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uturealhu.sharepoint.com/sites/Energy/Shared Documents/FEP/02_ONGOING_DEALS/Hungary/ARES wind (BORA)/02_Analysis/01_Financial_model/"/>
    </mc:Choice>
  </mc:AlternateContent>
  <xr:revisionPtr revIDLastSave="952" documentId="13_ncr:1_{DB9742B5-8122-4646-9581-23F9033CD4E4}" xr6:coauthVersionLast="47" xr6:coauthVersionMax="47" xr10:uidLastSave="{56EDE69F-70B8-428F-97E9-8F7538E16CE1}"/>
  <bookViews>
    <workbookView xWindow="-11616" yWindow="12852" windowWidth="23256" windowHeight="13896" xr2:uid="{00000000-000D-0000-FFFF-FFFF00000000}"/>
  </bookViews>
  <sheets>
    <sheet name="Dashboard" sheetId="1" r:id="rId1"/>
    <sheet name="Inputs" sheetId="2" r:id="rId2"/>
  </sheets>
  <definedNames>
    <definedName name="Balancing">Inputs!$E$70</definedName>
    <definedName name="Bench_BESS">Inputs!$E$8</definedName>
    <definedName name="Bench_Wind">Inputs!$E$7</definedName>
    <definedName name="BESS_Capex">Inputs!$E$57</definedName>
    <definedName name="Bid_Sec_Rate">Inputs!$E$9</definedName>
    <definedName name="Capex_Civil">Inputs!$E$50</definedName>
    <definedName name="Capex_Cont">Inputs!$E$56</definedName>
    <definedName name="Capex_Elec">Inputs!$E$51</definedName>
    <definedName name="Capex_Fdn">Inputs!$E$49</definedName>
    <definedName name="Capex_Install">Inputs!$E$48</definedName>
    <definedName name="Capex_Land">Inputs!$E$53</definedName>
    <definedName name="Capex_Owner">Inputs!$E$52</definedName>
    <definedName name="Case_CN">Dashboard!$H$26</definedName>
    <definedName name="Case_EU">Dashboard!$H$25</definedName>
    <definedName name="Case_OM">Dashboard!$H$29</definedName>
    <definedName name="Case_P50">Dashboard!$H$28</definedName>
    <definedName name="Case_PPA">Dashboard!$H$27</definedName>
    <definedName name="CIT_Rate">Inputs!$E$45</definedName>
    <definedName name="Clipping">Inputs!$E$60</definedName>
    <definedName name="Curtailment">Inputs!$E$59</definedName>
    <definedName name="Dash_BESS_Share">Dashboard!$E$8:$G$8</definedName>
    <definedName name="Dash_Brownfield">Dashboard!$E$15:$G$15</definedName>
    <definedName name="Dash_Case">Dashboard!$H$24</definedName>
    <definedName name="Dash_Case_CN">Dashboard!$E$26:$G$26</definedName>
    <definedName name="Dash_Case_EU">Dashboard!$E$25:$G$25</definedName>
    <definedName name="Dash_Case_OM">Dashboard!$E$29:$G$29</definedName>
    <definedName name="Dash_Case_P50">Dashboard!$E$28:$G$28</definedName>
    <definedName name="Dash_Case_PPA">Dashboard!$E$27:$G$27</definedName>
    <definedName name="Dash_Community">Dashboard!$E$12:$G$12</definedName>
    <definedName name="Dash_DSA">Dashboard!$E$20:$G$20</definedName>
    <definedName name="Dash_FEP_Share">Dashboard!$E$19:$G$19</definedName>
    <definedName name="Dash_Hours">Dashboard!$E$9:$G$9</definedName>
    <definedName name="Dash_Municipal">Dashboard!$E$11:$G$11</definedName>
    <definedName name="Dash_MVA">Dashboard!$E$6:$G$6</definedName>
    <definedName name="Dash_Overbuild">Dashboard!$E$7:$G$7</definedName>
    <definedName name="Dash_P50">Dashboard!$E$21:$G$21</definedName>
    <definedName name="Dash_Partial">Dashboard!$E$13:$G$13</definedName>
    <definedName name="Dash_PB_Mult">Dashboard!$E$14:$G$14</definedName>
    <definedName name="Dash_Premium">Dashboard!$E$18:$G$18</definedName>
    <definedName name="Dash_Shared">Dashboard!$E$16:$G$16</definedName>
    <definedName name="Dash_Shortfall">Dashboard!$E$10:$G$10</definedName>
    <definedName name="Dash_Turbine">Dashboard!$E$17:$G$17</definedName>
    <definedName name="Days_In_Year">Inputs!$E$81</definedName>
    <definedName name="Degradation">Inputs!$E$61</definedName>
    <definedName name="Devex_Floor">Inputs!$E$39</definedName>
    <definedName name="Discount_Rate">Inputs!$E$78</definedName>
    <definedName name="DSA_Cap">Inputs!$E$44</definedName>
    <definedName name="DSA_Rate">Inputs!$E$43</definedName>
    <definedName name="First_Year">Inputs!$E$79</definedName>
    <definedName name="Freeze_Date">Inputs!$E$40</definedName>
    <definedName name="FX">Inputs!$E$6</definedName>
    <definedName name="Grid_Charges">Inputs!$E$71</definedName>
    <definedName name="HIPA_Rate">Inputs!$E$73</definedName>
    <definedName name="Life">Inputs!$E$77</definedName>
    <definedName name="Lump_Basis">Inputs!$E$55</definedName>
    <definedName name="Master_Check">Dashboard!$H$360</definedName>
    <definedName name="MEKH_Fee">Inputs!$E$72</definedName>
    <definedName name="Months_In_Year">Inputs!$E$82</definedName>
    <definedName name="Opex_Admin">Inputs!$E$69</definedName>
    <definedName name="Opex_BoP">Inputs!$E$64</definedName>
    <definedName name="Opex_Cont">Inputs!$E$74</definedName>
    <definedName name="Opex_Esc">Inputs!$E$75</definedName>
    <definedName name="Opex_Ins">Inputs!$E$66</definedName>
    <definedName name="Opex_Lease">Inputs!$E$65</definedName>
    <definedName name="Opex_Mgmt">Inputs!$E$67</definedName>
    <definedName name="Opex_Per_MW">Inputs!$E$64:$E$68</definedName>
    <definedName name="Opex_PropTax">Inputs!$E$68</definedName>
    <definedName name="Osz1_Incl">Inputs!$E$87:$M$87</definedName>
    <definedName name="Osz1_LB">Inputs!$E$86:$M$86</definedName>
    <definedName name="Osz1_Pts">Inputs!$E$88:$N$88</definedName>
    <definedName name="Osz1_W">Inputs!$E$103</definedName>
    <definedName name="Osz2_Incl">Inputs!$E$90:$O$90</definedName>
    <definedName name="Osz2_LB">Inputs!$E$89:$O$89</definedName>
    <definedName name="Osz2_Pts">Inputs!$E$91:$P$91</definedName>
    <definedName name="Osz2_W">Inputs!$E$104</definedName>
    <definedName name="Osz3_Incl">Inputs!$E$93:$N$93</definedName>
    <definedName name="Osz3_LB">Inputs!$E$92:$N$92</definedName>
    <definedName name="Osz3_Pts">Inputs!$E$94:$O$94</definedName>
    <definedName name="Osz3_W">Inputs!$E$105</definedName>
    <definedName name="Osz4_W">Inputs!$E$106</definedName>
    <definedName name="Osz5_Pts">Inputs!$E$98</definedName>
    <definedName name="Osz5_W">Inputs!$E$107</definedName>
    <definedName name="Osz6_Incl">Inputs!$E$96:$N$96</definedName>
    <definedName name="Osz6_LB">Inputs!$E$95:$N$95</definedName>
    <definedName name="Osz6_Pts">Inputs!$E$97:$O$97</definedName>
    <definedName name="Osz6_W">Inputs!$E$108</definedName>
    <definedName name="Osz7_Pts">Inputs!$E$99</definedName>
    <definedName name="Osz7_W">Inputs!$E$109</definedName>
    <definedName name="Osz8_Pts">Inputs!$E$100</definedName>
    <definedName name="Osz8_W">Inputs!$E$110</definedName>
    <definedName name="Osz9_W">Inputs!$E$111</definedName>
    <definedName name="Osz9a_Pts">Inputs!$E$101</definedName>
    <definedName name="Osz9b_Pts">Inputs!$E$102</definedName>
    <definedName name="Part_Fee">Inputs!$E$11</definedName>
    <definedName name="PB_Rate">Inputs!$E$10</definedName>
    <definedName name="PPA_Esc">Inputs!$E$62</definedName>
    <definedName name="Rate_Cash">Inputs!$E$37</definedName>
    <definedName name="Rate_Devex">Inputs!$E$38</definedName>
    <definedName name="Sale_Costs">Inputs!$E$42</definedName>
    <definedName name="Sale_Date">Inputs!$E$41</definedName>
    <definedName name="Share_Exempt">Inputs!$E$46</definedName>
    <definedName name="Subs_Lump">Inputs!$E$54</definedName>
    <definedName name="Thousand">Inputs!$E$80</definedName>
    <definedName name="Tolerance">Inputs!$E$83</definedName>
    <definedName name="TSO_Rate">Inputs!$E$12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1" l="1"/>
  <c r="L328" i="1"/>
  <c r="AE328" i="1"/>
  <c r="AF328" i="1"/>
  <c r="AO328" i="1"/>
  <c r="AQ328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F23" i="2"/>
  <c r="G23" i="2"/>
  <c r="F22" i="2"/>
  <c r="G22" i="2"/>
  <c r="F21" i="2"/>
  <c r="G21" i="2"/>
  <c r="F20" i="2"/>
  <c r="G20" i="2"/>
  <c r="F19" i="2"/>
  <c r="F98" i="1" s="1"/>
  <c r="G19" i="2"/>
  <c r="F18" i="2"/>
  <c r="F97" i="1" s="1"/>
  <c r="G18" i="2"/>
  <c r="G97" i="1" s="1"/>
  <c r="K239" i="1"/>
  <c r="L239" i="1"/>
  <c r="K238" i="1"/>
  <c r="L238" i="1"/>
  <c r="K237" i="1"/>
  <c r="L237" i="1"/>
  <c r="K236" i="1"/>
  <c r="L236" i="1"/>
  <c r="K235" i="1"/>
  <c r="L235" i="1"/>
  <c r="K234" i="1"/>
  <c r="L234" i="1"/>
  <c r="K233" i="1"/>
  <c r="L233" i="1"/>
  <c r="J239" i="1"/>
  <c r="J238" i="1"/>
  <c r="J237" i="1"/>
  <c r="J236" i="1"/>
  <c r="J235" i="1"/>
  <c r="J234" i="1"/>
  <c r="J233" i="1"/>
  <c r="J55" i="1"/>
  <c r="E55" i="1"/>
  <c r="F55" i="1"/>
  <c r="G55" i="1"/>
  <c r="G354" i="1"/>
  <c r="F354" i="1"/>
  <c r="E354" i="1"/>
  <c r="G319" i="1"/>
  <c r="G317" i="1"/>
  <c r="F287" i="1"/>
  <c r="F285" i="1"/>
  <c r="E255" i="1"/>
  <c r="E253" i="1"/>
  <c r="AS248" i="1"/>
  <c r="AS287" i="1" s="1"/>
  <c r="AR248" i="1"/>
  <c r="AR255" i="1" s="1"/>
  <c r="AQ248" i="1"/>
  <c r="AQ252" i="1" s="1"/>
  <c r="AQ267" i="1" s="1"/>
  <c r="AP248" i="1"/>
  <c r="AP316" i="1" s="1"/>
  <c r="AP327" i="1" s="1"/>
  <c r="AO248" i="1"/>
  <c r="AO316" i="1" s="1"/>
  <c r="AN248" i="1"/>
  <c r="AN252" i="1" s="1"/>
  <c r="AM248" i="1"/>
  <c r="AL248" i="1"/>
  <c r="AK248" i="1"/>
  <c r="AK249" i="1" s="1"/>
  <c r="AJ248" i="1"/>
  <c r="AJ284" i="1" s="1"/>
  <c r="AI248" i="1"/>
  <c r="AI252" i="1" s="1"/>
  <c r="AI267" i="1" s="1"/>
  <c r="AH248" i="1"/>
  <c r="AH317" i="1" s="1"/>
  <c r="AG248" i="1"/>
  <c r="AG316" i="1" s="1"/>
  <c r="AF248" i="1"/>
  <c r="AF319" i="1" s="1"/>
  <c r="AE248" i="1"/>
  <c r="AE249" i="1" s="1"/>
  <c r="AD248" i="1"/>
  <c r="AD285" i="1" s="1"/>
  <c r="AC248" i="1"/>
  <c r="AC252" i="1" s="1"/>
  <c r="AB248" i="1"/>
  <c r="AB249" i="1" s="1"/>
  <c r="AA248" i="1"/>
  <c r="AA252" i="1" s="1"/>
  <c r="Z248" i="1"/>
  <c r="Z255" i="1" s="1"/>
  <c r="Y248" i="1"/>
  <c r="X248" i="1"/>
  <c r="X137" i="1" s="1"/>
  <c r="W248" i="1"/>
  <c r="W319" i="1" s="1"/>
  <c r="V248" i="1"/>
  <c r="V287" i="1" s="1"/>
  <c r="U248" i="1"/>
  <c r="U252" i="1" s="1"/>
  <c r="T248" i="1"/>
  <c r="T255" i="1" s="1"/>
  <c r="S248" i="1"/>
  <c r="S253" i="1" s="1"/>
  <c r="R248" i="1"/>
  <c r="R255" i="1" s="1"/>
  <c r="Q248" i="1"/>
  <c r="Q249" i="1" s="1"/>
  <c r="P248" i="1"/>
  <c r="P252" i="1" s="1"/>
  <c r="P257" i="1" s="1"/>
  <c r="O248" i="1"/>
  <c r="N248" i="1"/>
  <c r="N252" i="1" s="1"/>
  <c r="M248" i="1"/>
  <c r="L248" i="1"/>
  <c r="L287" i="1" s="1"/>
  <c r="K248" i="1"/>
  <c r="K255" i="1" s="1"/>
  <c r="J248" i="1"/>
  <c r="J287" i="1" s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G190" i="1"/>
  <c r="G221" i="1" s="1"/>
  <c r="F190" i="1"/>
  <c r="F221" i="1" s="1"/>
  <c r="E190" i="1"/>
  <c r="E221" i="1" s="1"/>
  <c r="G177" i="1"/>
  <c r="F177" i="1"/>
  <c r="E177" i="1"/>
  <c r="G175" i="1"/>
  <c r="F175" i="1"/>
  <c r="E175" i="1"/>
  <c r="G173" i="1"/>
  <c r="F173" i="1"/>
  <c r="E173" i="1"/>
  <c r="G171" i="1"/>
  <c r="F171" i="1"/>
  <c r="E171" i="1"/>
  <c r="G169" i="1"/>
  <c r="F169" i="1"/>
  <c r="E169" i="1"/>
  <c r="G166" i="1"/>
  <c r="G168" i="1" s="1"/>
  <c r="F166" i="1"/>
  <c r="E166" i="1"/>
  <c r="E167" i="1" s="1"/>
  <c r="G102" i="1"/>
  <c r="F102" i="1"/>
  <c r="E102" i="1"/>
  <c r="G101" i="1"/>
  <c r="F101" i="1"/>
  <c r="E101" i="1"/>
  <c r="E100" i="1"/>
  <c r="G99" i="1"/>
  <c r="F99" i="1"/>
  <c r="E99" i="1"/>
  <c r="G98" i="1"/>
  <c r="E98" i="1"/>
  <c r="E97" i="1"/>
  <c r="G90" i="1"/>
  <c r="F90" i="1"/>
  <c r="E90" i="1"/>
  <c r="G85" i="1"/>
  <c r="F85" i="1"/>
  <c r="E85" i="1"/>
  <c r="J66" i="1"/>
  <c r="G66" i="1"/>
  <c r="G233" i="1" s="1"/>
  <c r="F66" i="1"/>
  <c r="F203" i="1" s="1"/>
  <c r="E66" i="1"/>
  <c r="E203" i="1" s="1"/>
  <c r="J65" i="1"/>
  <c r="J64" i="1"/>
  <c r="J63" i="1"/>
  <c r="J62" i="1"/>
  <c r="J61" i="1"/>
  <c r="J60" i="1"/>
  <c r="J59" i="1"/>
  <c r="J54" i="1"/>
  <c r="E54" i="1"/>
  <c r="E65" i="1" s="1"/>
  <c r="E210" i="1" s="1"/>
  <c r="J53" i="1"/>
  <c r="J52" i="1"/>
  <c r="G52" i="1"/>
  <c r="G63" i="1" s="1"/>
  <c r="G208" i="1" s="1"/>
  <c r="F52" i="1"/>
  <c r="F63" i="1" s="1"/>
  <c r="E52" i="1"/>
  <c r="E63" i="1" s="1"/>
  <c r="E208" i="1" s="1"/>
  <c r="J51" i="1"/>
  <c r="G51" i="1"/>
  <c r="G62" i="1" s="1"/>
  <c r="G237" i="1" s="1"/>
  <c r="F51" i="1"/>
  <c r="F62" i="1" s="1"/>
  <c r="F237" i="1" s="1"/>
  <c r="E51" i="1"/>
  <c r="E53" i="1" s="1"/>
  <c r="J50" i="1"/>
  <c r="J49" i="1"/>
  <c r="J48" i="1"/>
  <c r="G48" i="1"/>
  <c r="G59" i="1" s="1"/>
  <c r="G234" i="1" s="1"/>
  <c r="F48" i="1"/>
  <c r="E48" i="1"/>
  <c r="G44" i="1"/>
  <c r="G87" i="1" s="1"/>
  <c r="F44" i="1"/>
  <c r="E44" i="1"/>
  <c r="E87" i="1" s="1"/>
  <c r="G43" i="1"/>
  <c r="G45" i="1" s="1"/>
  <c r="U328" i="1" s="1"/>
  <c r="F43" i="1"/>
  <c r="F45" i="1" s="1"/>
  <c r="F79" i="1" s="1"/>
  <c r="E43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H29" i="1"/>
  <c r="H28" i="1"/>
  <c r="H27" i="1"/>
  <c r="H26" i="1"/>
  <c r="H25" i="1"/>
  <c r="H6" i="1"/>
  <c r="AC328" i="1" l="1"/>
  <c r="S328" i="1"/>
  <c r="AD328" i="1"/>
  <c r="T328" i="1"/>
  <c r="R328" i="1"/>
  <c r="Q328" i="1"/>
  <c r="AR328" i="1"/>
  <c r="O328" i="1"/>
  <c r="AP328" i="1"/>
  <c r="P328" i="1"/>
  <c r="AA328" i="1"/>
  <c r="AL328" i="1"/>
  <c r="Z328" i="1"/>
  <c r="N328" i="1"/>
  <c r="AN328" i="1"/>
  <c r="AB328" i="1"/>
  <c r="AM328" i="1"/>
  <c r="AK328" i="1"/>
  <c r="Y328" i="1"/>
  <c r="M328" i="1"/>
  <c r="X328" i="1"/>
  <c r="AI328" i="1"/>
  <c r="W328" i="1"/>
  <c r="K328" i="1"/>
  <c r="AJ328" i="1"/>
  <c r="AH328" i="1"/>
  <c r="V328" i="1"/>
  <c r="J328" i="1"/>
  <c r="AS328" i="1"/>
  <c r="AG328" i="1"/>
  <c r="X296" i="1"/>
  <c r="W296" i="1"/>
  <c r="AR296" i="1"/>
  <c r="T296" i="1"/>
  <c r="S296" i="1"/>
  <c r="AD296" i="1"/>
  <c r="AC296" i="1"/>
  <c r="AB296" i="1"/>
  <c r="AM296" i="1"/>
  <c r="AA296" i="1"/>
  <c r="O296" i="1"/>
  <c r="AI296" i="1"/>
  <c r="AQ296" i="1"/>
  <c r="AP296" i="1"/>
  <c r="AO296" i="1"/>
  <c r="P296" i="1"/>
  <c r="AL296" i="1"/>
  <c r="Z296" i="1"/>
  <c r="N296" i="1"/>
  <c r="AJ296" i="1"/>
  <c r="L296" i="1"/>
  <c r="K296" i="1"/>
  <c r="AF296" i="1"/>
  <c r="AE296" i="1"/>
  <c r="R296" i="1"/>
  <c r="Q296" i="1"/>
  <c r="AN296" i="1"/>
  <c r="AK296" i="1"/>
  <c r="Y296" i="1"/>
  <c r="M296" i="1"/>
  <c r="AH296" i="1"/>
  <c r="V296" i="1"/>
  <c r="J296" i="1"/>
  <c r="AS296" i="1"/>
  <c r="AG296" i="1"/>
  <c r="U296" i="1"/>
  <c r="G54" i="1"/>
  <c r="G65" i="1" s="1"/>
  <c r="G238" i="1" s="1"/>
  <c r="F54" i="1"/>
  <c r="F65" i="1" s="1"/>
  <c r="F238" i="1" s="1"/>
  <c r="F100" i="1"/>
  <c r="F103" i="1" s="1"/>
  <c r="G100" i="1"/>
  <c r="H100" i="1" s="1"/>
  <c r="AF320" i="1"/>
  <c r="W320" i="1"/>
  <c r="R253" i="1"/>
  <c r="R254" i="1" s="1"/>
  <c r="E168" i="1"/>
  <c r="E178" i="1" s="1"/>
  <c r="E185" i="1" s="1"/>
  <c r="L288" i="1"/>
  <c r="AD287" i="1"/>
  <c r="AD288" i="1" s="1"/>
  <c r="H221" i="1"/>
  <c r="AP285" i="1"/>
  <c r="AP286" i="1" s="1"/>
  <c r="H55" i="1"/>
  <c r="E238" i="1"/>
  <c r="AD137" i="1"/>
  <c r="S254" i="1"/>
  <c r="E233" i="1"/>
  <c r="AP137" i="1"/>
  <c r="AP319" i="1"/>
  <c r="AP320" i="1" s="1"/>
  <c r="AP329" i="1" s="1"/>
  <c r="F233" i="1"/>
  <c r="AS288" i="1"/>
  <c r="AR319" i="1"/>
  <c r="AR320" i="1" s="1"/>
  <c r="J288" i="1"/>
  <c r="V288" i="1"/>
  <c r="AH318" i="1"/>
  <c r="AP249" i="1"/>
  <c r="AP310" i="1" s="1"/>
  <c r="K256" i="1"/>
  <c r="AN253" i="1"/>
  <c r="AN254" i="1" s="1"/>
  <c r="AD255" i="1"/>
  <c r="AD256" i="1" s="1"/>
  <c r="P137" i="1"/>
  <c r="T284" i="1"/>
  <c r="T295" i="1" s="1"/>
  <c r="E176" i="1"/>
  <c r="E183" i="1" s="1"/>
  <c r="P249" i="1"/>
  <c r="P310" i="1" s="1"/>
  <c r="AB252" i="1"/>
  <c r="AB263" i="1" s="1"/>
  <c r="AD252" i="1"/>
  <c r="AD263" i="1" s="1"/>
  <c r="E172" i="1"/>
  <c r="AJ137" i="1"/>
  <c r="AP252" i="1"/>
  <c r="AP257" i="1" s="1"/>
  <c r="AP261" i="1" s="1"/>
  <c r="AR285" i="1"/>
  <c r="AR286" i="1" s="1"/>
  <c r="X252" i="1"/>
  <c r="X267" i="1" s="1"/>
  <c r="L285" i="1"/>
  <c r="L286" i="1" s="1"/>
  <c r="AN137" i="1"/>
  <c r="AH137" i="1"/>
  <c r="J253" i="1"/>
  <c r="J254" i="1" s="1"/>
  <c r="AB287" i="1"/>
  <c r="AB288" i="1" s="1"/>
  <c r="AJ249" i="1"/>
  <c r="AJ342" i="1" s="1"/>
  <c r="L137" i="1"/>
  <c r="AN284" i="1"/>
  <c r="AN299" i="1" s="1"/>
  <c r="AH285" i="1"/>
  <c r="AH286" i="1" s="1"/>
  <c r="J137" i="1"/>
  <c r="U255" i="1"/>
  <c r="U256" i="1" s="1"/>
  <c r="U265" i="1" s="1"/>
  <c r="AN285" i="1"/>
  <c r="AN286" i="1" s="1"/>
  <c r="P317" i="1"/>
  <c r="P318" i="1" s="1"/>
  <c r="V255" i="1"/>
  <c r="V256" i="1" s="1"/>
  <c r="AP317" i="1"/>
  <c r="AP318" i="1" s="1"/>
  <c r="H97" i="1"/>
  <c r="H101" i="1"/>
  <c r="R137" i="1"/>
  <c r="R249" i="1"/>
  <c r="R278" i="1" s="1"/>
  <c r="AS252" i="1"/>
  <c r="AS257" i="1" s="1"/>
  <c r="AS261" i="1" s="1"/>
  <c r="J284" i="1"/>
  <c r="J295" i="1" s="1"/>
  <c r="X319" i="1"/>
  <c r="X320" i="1" s="1"/>
  <c r="Z137" i="1"/>
  <c r="AG249" i="1"/>
  <c r="AG342" i="1" s="1"/>
  <c r="R284" i="1"/>
  <c r="R287" i="1"/>
  <c r="R288" i="1" s="1"/>
  <c r="AD319" i="1"/>
  <c r="AD320" i="1" s="1"/>
  <c r="F42" i="1"/>
  <c r="H98" i="1"/>
  <c r="AO249" i="1"/>
  <c r="AO310" i="1" s="1"/>
  <c r="AJ253" i="1"/>
  <c r="AJ254" i="1" s="1"/>
  <c r="AP284" i="1"/>
  <c r="AP299" i="1" s="1"/>
  <c r="AP287" i="1"/>
  <c r="AP288" i="1" s="1"/>
  <c r="AP331" i="1"/>
  <c r="H99" i="1"/>
  <c r="AP253" i="1"/>
  <c r="AP254" i="1" s="1"/>
  <c r="R316" i="1"/>
  <c r="R327" i="1" s="1"/>
  <c r="H354" i="1"/>
  <c r="R285" i="1"/>
  <c r="R286" i="1" s="1"/>
  <c r="G80" i="1"/>
  <c r="G84" i="1"/>
  <c r="G83" i="1"/>
  <c r="G81" i="1"/>
  <c r="U267" i="1"/>
  <c r="U263" i="1"/>
  <c r="U257" i="1"/>
  <c r="U261" i="1" s="1"/>
  <c r="AI316" i="1"/>
  <c r="AI321" i="1" s="1"/>
  <c r="AI325" i="1" s="1"/>
  <c r="AI285" i="1"/>
  <c r="AI286" i="1" s="1"/>
  <c r="T287" i="1"/>
  <c r="T288" i="1" s="1"/>
  <c r="AQ317" i="1"/>
  <c r="AQ318" i="1" s="1"/>
  <c r="H52" i="1"/>
  <c r="AF137" i="1"/>
  <c r="W255" i="1"/>
  <c r="W256" i="1" s="1"/>
  <c r="K284" i="1"/>
  <c r="K289" i="1" s="1"/>
  <c r="K293" i="1" s="1"/>
  <c r="AR284" i="1"/>
  <c r="AQ316" i="1"/>
  <c r="AQ327" i="1" s="1"/>
  <c r="AR317" i="1"/>
  <c r="AR318" i="1" s="1"/>
  <c r="AG319" i="1"/>
  <c r="AG320" i="1" s="1"/>
  <c r="AG329" i="1" s="1"/>
  <c r="G49" i="1"/>
  <c r="G60" i="1" s="1"/>
  <c r="F353" i="1"/>
  <c r="K249" i="1"/>
  <c r="K278" i="1" s="1"/>
  <c r="AR253" i="1"/>
  <c r="AR254" i="1" s="1"/>
  <c r="X255" i="1"/>
  <c r="X256" i="1" s="1"/>
  <c r="AI257" i="1"/>
  <c r="AI261" i="1" s="1"/>
  <c r="AR316" i="1"/>
  <c r="AR327" i="1" s="1"/>
  <c r="G78" i="1"/>
  <c r="AQ249" i="1"/>
  <c r="AQ310" i="1" s="1"/>
  <c r="AR249" i="1"/>
  <c r="AR278" i="1" s="1"/>
  <c r="AF252" i="1"/>
  <c r="AF267" i="1" s="1"/>
  <c r="V253" i="1"/>
  <c r="V254" i="1" s="1"/>
  <c r="AH255" i="1"/>
  <c r="AH256" i="1" s="1"/>
  <c r="V284" i="1"/>
  <c r="V289" i="1" s="1"/>
  <c r="V293" i="1" s="1"/>
  <c r="S285" i="1"/>
  <c r="S286" i="1" s="1"/>
  <c r="S316" i="1"/>
  <c r="S327" i="1" s="1"/>
  <c r="S317" i="1"/>
  <c r="S318" i="1" s="1"/>
  <c r="AR137" i="1"/>
  <c r="Z256" i="1"/>
  <c r="T249" i="1"/>
  <c r="T278" i="1" s="1"/>
  <c r="K252" i="1"/>
  <c r="AG252" i="1"/>
  <c r="AG267" i="1" s="1"/>
  <c r="W253" i="1"/>
  <c r="W254" i="1" s="1"/>
  <c r="J255" i="1"/>
  <c r="J256" i="1" s="1"/>
  <c r="AN255" i="1"/>
  <c r="AN256" i="1" s="1"/>
  <c r="AN265" i="1" s="1"/>
  <c r="W284" i="1"/>
  <c r="W289" i="1" s="1"/>
  <c r="W293" i="1" s="1"/>
  <c r="T285" i="1"/>
  <c r="T286" i="1" s="1"/>
  <c r="AQ287" i="1"/>
  <c r="AQ288" i="1" s="1"/>
  <c r="T316" i="1"/>
  <c r="T331" i="1" s="1"/>
  <c r="U317" i="1"/>
  <c r="U318" i="1" s="1"/>
  <c r="J319" i="1"/>
  <c r="J320" i="1" s="1"/>
  <c r="H54" i="1"/>
  <c r="S137" i="1"/>
  <c r="W249" i="1"/>
  <c r="W342" i="1" s="1"/>
  <c r="AD253" i="1"/>
  <c r="AD254" i="1" s="1"/>
  <c r="AP255" i="1"/>
  <c r="AP256" i="1" s="1"/>
  <c r="AF284" i="1"/>
  <c r="AF299" i="1" s="1"/>
  <c r="U285" i="1"/>
  <c r="U286" i="1" s="1"/>
  <c r="AR287" i="1"/>
  <c r="AR288" i="1" s="1"/>
  <c r="V316" i="1"/>
  <c r="V327" i="1" s="1"/>
  <c r="V317" i="1"/>
  <c r="V318" i="1" s="1"/>
  <c r="S319" i="1"/>
  <c r="S320" i="1" s="1"/>
  <c r="AE287" i="1"/>
  <c r="AE288" i="1" s="1"/>
  <c r="AF287" i="1"/>
  <c r="AF288" i="1" s="1"/>
  <c r="E42" i="1"/>
  <c r="H85" i="1"/>
  <c r="T137" i="1"/>
  <c r="R252" i="1"/>
  <c r="R263" i="1" s="1"/>
  <c r="AF253" i="1"/>
  <c r="AF254" i="1" s="1"/>
  <c r="L255" i="1"/>
  <c r="L256" i="1" s="1"/>
  <c r="AS255" i="1"/>
  <c r="AS256" i="1" s="1"/>
  <c r="AH284" i="1"/>
  <c r="W285" i="1"/>
  <c r="W286" i="1" s="1"/>
  <c r="AE316" i="1"/>
  <c r="AE321" i="1" s="1"/>
  <c r="AE325" i="1" s="1"/>
  <c r="AE317" i="1"/>
  <c r="AE318" i="1" s="1"/>
  <c r="U319" i="1"/>
  <c r="U320" i="1" s="1"/>
  <c r="G53" i="1"/>
  <c r="G64" i="1" s="1"/>
  <c r="G187" i="1"/>
  <c r="AE252" i="1"/>
  <c r="AE257" i="1" s="1"/>
  <c r="AE261" i="1" s="1"/>
  <c r="T253" i="1"/>
  <c r="T254" i="1" s="1"/>
  <c r="AF255" i="1"/>
  <c r="AF256" i="1" s="1"/>
  <c r="U284" i="1"/>
  <c r="U295" i="1" s="1"/>
  <c r="V137" i="1"/>
  <c r="AD249" i="1"/>
  <c r="AD278" i="1" s="1"/>
  <c r="T252" i="1"/>
  <c r="T267" i="1" s="1"/>
  <c r="AH253" i="1"/>
  <c r="AH254" i="1" s="1"/>
  <c r="AI284" i="1"/>
  <c r="AI289" i="1" s="1"/>
  <c r="AI293" i="1" s="1"/>
  <c r="AF285" i="1"/>
  <c r="AF286" i="1" s="1"/>
  <c r="AF316" i="1"/>
  <c r="AF317" i="1"/>
  <c r="AF318" i="1" s="1"/>
  <c r="V319" i="1"/>
  <c r="V320" i="1" s="1"/>
  <c r="AP321" i="1"/>
  <c r="AP325" i="1" s="1"/>
  <c r="F53" i="1"/>
  <c r="F64" i="1" s="1"/>
  <c r="F72" i="1" s="1"/>
  <c r="G42" i="1"/>
  <c r="E170" i="1"/>
  <c r="AR252" i="1"/>
  <c r="AR263" i="1" s="1"/>
  <c r="AI253" i="1"/>
  <c r="AI254" i="1" s="1"/>
  <c r="AG285" i="1"/>
  <c r="AG286" i="1" s="1"/>
  <c r="N267" i="1"/>
  <c r="N257" i="1"/>
  <c r="N261" i="1" s="1"/>
  <c r="N263" i="1"/>
  <c r="AK278" i="1"/>
  <c r="AK342" i="1"/>
  <c r="AK310" i="1"/>
  <c r="H63" i="1"/>
  <c r="P261" i="1"/>
  <c r="M285" i="1"/>
  <c r="M286" i="1" s="1"/>
  <c r="M319" i="1"/>
  <c r="M320" i="1" s="1"/>
  <c r="M253" i="1"/>
  <c r="M254" i="1" s="1"/>
  <c r="M317" i="1"/>
  <c r="M318" i="1" s="1"/>
  <c r="M137" i="1"/>
  <c r="M284" i="1"/>
  <c r="M249" i="1"/>
  <c r="Y285" i="1"/>
  <c r="Y286" i="1" s="1"/>
  <c r="Y317" i="1"/>
  <c r="Y318" i="1" s="1"/>
  <c r="Y319" i="1"/>
  <c r="Y320" i="1" s="1"/>
  <c r="Y252" i="1"/>
  <c r="Y316" i="1"/>
  <c r="Y249" i="1"/>
  <c r="Y284" i="1"/>
  <c r="Y253" i="1"/>
  <c r="Y254" i="1" s="1"/>
  <c r="Y287" i="1"/>
  <c r="Y288" i="1" s="1"/>
  <c r="AK285" i="1"/>
  <c r="AK286" i="1" s="1"/>
  <c r="AK287" i="1"/>
  <c r="AK288" i="1" s="1"/>
  <c r="AK253" i="1"/>
  <c r="AK254" i="1" s="1"/>
  <c r="AK317" i="1"/>
  <c r="AK318" i="1" s="1"/>
  <c r="AK284" i="1"/>
  <c r="AK316" i="1"/>
  <c r="AK319" i="1"/>
  <c r="AK320" i="1" s="1"/>
  <c r="AK252" i="1"/>
  <c r="Q310" i="1"/>
  <c r="Q342" i="1"/>
  <c r="Q278" i="1"/>
  <c r="M255" i="1"/>
  <c r="M256" i="1" s="1"/>
  <c r="AL317" i="1"/>
  <c r="AL318" i="1" s="1"/>
  <c r="AL284" i="1"/>
  <c r="AL252" i="1"/>
  <c r="AL319" i="1"/>
  <c r="AL320" i="1" s="1"/>
  <c r="AL287" i="1"/>
  <c r="AL288" i="1" s="1"/>
  <c r="AL249" i="1"/>
  <c r="AL316" i="1"/>
  <c r="AL285" i="1"/>
  <c r="AL286" i="1" s="1"/>
  <c r="AL255" i="1"/>
  <c r="AL256" i="1" s="1"/>
  <c r="AO321" i="1"/>
  <c r="AO325" i="1" s="1"/>
  <c r="AO327" i="1"/>
  <c r="AO331" i="1"/>
  <c r="F84" i="1"/>
  <c r="F81" i="1"/>
  <c r="F78" i="1"/>
  <c r="F82" i="1"/>
  <c r="H51" i="1"/>
  <c r="E62" i="1"/>
  <c r="E237" i="1" s="1"/>
  <c r="H237" i="1" s="1"/>
  <c r="G204" i="1"/>
  <c r="G91" i="1"/>
  <c r="O316" i="1"/>
  <c r="O284" i="1"/>
  <c r="O255" i="1"/>
  <c r="O256" i="1" s="1"/>
  <c r="O319" i="1"/>
  <c r="O320" i="1" s="1"/>
  <c r="O285" i="1"/>
  <c r="O286" i="1" s="1"/>
  <c r="O317" i="1"/>
  <c r="O318" i="1" s="1"/>
  <c r="O137" i="1"/>
  <c r="O287" i="1"/>
  <c r="O288" i="1" s="1"/>
  <c r="AM316" i="1"/>
  <c r="AM317" i="1"/>
  <c r="AM318" i="1" s="1"/>
  <c r="AM285" i="1"/>
  <c r="AM286" i="1" s="1"/>
  <c r="AM253" i="1"/>
  <c r="AM254" i="1" s="1"/>
  <c r="AM252" i="1"/>
  <c r="AM249" i="1"/>
  <c r="AM284" i="1"/>
  <c r="AM319" i="1"/>
  <c r="AM320" i="1" s="1"/>
  <c r="AM255" i="1"/>
  <c r="AM256" i="1" s="1"/>
  <c r="AK255" i="1"/>
  <c r="AK256" i="1" s="1"/>
  <c r="F207" i="1"/>
  <c r="F80" i="1"/>
  <c r="H90" i="1"/>
  <c r="M316" i="1"/>
  <c r="AK137" i="1"/>
  <c r="F167" i="1"/>
  <c r="F176" i="1" s="1"/>
  <c r="F183" i="1" s="1"/>
  <c r="Q285" i="1"/>
  <c r="Q286" i="1" s="1"/>
  <c r="Q284" i="1"/>
  <c r="Q255" i="1"/>
  <c r="Q256" i="1" s="1"/>
  <c r="Q317" i="1"/>
  <c r="Q318" i="1" s="1"/>
  <c r="Q137" i="1"/>
  <c r="Q252" i="1"/>
  <c r="Q319" i="1"/>
  <c r="Q320" i="1" s="1"/>
  <c r="AC319" i="1"/>
  <c r="AC320" i="1" s="1"/>
  <c r="AC316" i="1"/>
  <c r="AC253" i="1"/>
  <c r="AC254" i="1" s="1"/>
  <c r="AC137" i="1"/>
  <c r="AC285" i="1"/>
  <c r="AC286" i="1" s="1"/>
  <c r="AC317" i="1"/>
  <c r="AC318" i="1" s="1"/>
  <c r="AC287" i="1"/>
  <c r="AC288" i="1" s="1"/>
  <c r="AC284" i="1"/>
  <c r="AO319" i="1"/>
  <c r="AO320" i="1" s="1"/>
  <c r="AO329" i="1" s="1"/>
  <c r="AO284" i="1"/>
  <c r="AO255" i="1"/>
  <c r="AO256" i="1" s="1"/>
  <c r="AO287" i="1"/>
  <c r="AO288" i="1" s="1"/>
  <c r="AO137" i="1"/>
  <c r="AO285" i="1"/>
  <c r="AO286" i="1" s="1"/>
  <c r="AO317" i="1"/>
  <c r="AO318" i="1" s="1"/>
  <c r="Z249" i="1"/>
  <c r="O253" i="1"/>
  <c r="O254" i="1" s="1"/>
  <c r="AL253" i="1"/>
  <c r="AL254" i="1" s="1"/>
  <c r="Q316" i="1"/>
  <c r="E59" i="1"/>
  <c r="AL137" i="1"/>
  <c r="E174" i="1"/>
  <c r="AB310" i="1"/>
  <c r="AB278" i="1"/>
  <c r="M252" i="1"/>
  <c r="Z319" i="1"/>
  <c r="Z320" i="1" s="1"/>
  <c r="F59" i="1"/>
  <c r="AC249" i="1"/>
  <c r="AO253" i="1"/>
  <c r="AO254" i="1" s="1"/>
  <c r="M287" i="1"/>
  <c r="M288" i="1" s="1"/>
  <c r="E45" i="1"/>
  <c r="E49" i="1"/>
  <c r="E50" i="1" s="1"/>
  <c r="E187" i="1"/>
  <c r="F168" i="1"/>
  <c r="F178" i="1" s="1"/>
  <c r="O252" i="1"/>
  <c r="Y255" i="1"/>
  <c r="Y256" i="1" s="1"/>
  <c r="Q287" i="1"/>
  <c r="Q288" i="1" s="1"/>
  <c r="F49" i="1"/>
  <c r="F50" i="1" s="1"/>
  <c r="F187" i="1"/>
  <c r="H48" i="1"/>
  <c r="F83" i="1"/>
  <c r="F87" i="1"/>
  <c r="H87" i="1" s="1"/>
  <c r="H44" i="1"/>
  <c r="E103" i="1"/>
  <c r="N319" i="1"/>
  <c r="N320" i="1" s="1"/>
  <c r="N317" i="1"/>
  <c r="N318" i="1" s="1"/>
  <c r="N284" i="1"/>
  <c r="N285" i="1"/>
  <c r="N286" i="1" s="1"/>
  <c r="N253" i="1"/>
  <c r="N254" i="1" s="1"/>
  <c r="N137" i="1"/>
  <c r="N287" i="1"/>
  <c r="N288" i="1" s="1"/>
  <c r="N255" i="1"/>
  <c r="N256" i="1" s="1"/>
  <c r="N265" i="1" s="1"/>
  <c r="N316" i="1"/>
  <c r="N249" i="1"/>
  <c r="AA319" i="1"/>
  <c r="AA320" i="1" s="1"/>
  <c r="AA316" i="1"/>
  <c r="AA317" i="1"/>
  <c r="AA318" i="1" s="1"/>
  <c r="AA249" i="1"/>
  <c r="AA284" i="1"/>
  <c r="AA285" i="1"/>
  <c r="AA286" i="1" s="1"/>
  <c r="AA253" i="1"/>
  <c r="AA254" i="1" s="1"/>
  <c r="AA137" i="1"/>
  <c r="AA287" i="1"/>
  <c r="AA288" i="1" s="1"/>
  <c r="AJ299" i="1"/>
  <c r="AJ295" i="1"/>
  <c r="AJ289" i="1"/>
  <c r="AJ293" i="1" s="1"/>
  <c r="AM287" i="1"/>
  <c r="AM288" i="1" s="1"/>
  <c r="H66" i="1"/>
  <c r="G203" i="1"/>
  <c r="G167" i="1"/>
  <c r="G170" i="1" s="1"/>
  <c r="G179" i="1" s="1"/>
  <c r="Q253" i="1"/>
  <c r="Q254" i="1" s="1"/>
  <c r="G210" i="1"/>
  <c r="H190" i="1"/>
  <c r="AO252" i="1"/>
  <c r="AA255" i="1"/>
  <c r="AA256" i="1" s="1"/>
  <c r="AA265" i="1" s="1"/>
  <c r="Z317" i="1"/>
  <c r="Z318" i="1" s="1"/>
  <c r="Z284" i="1"/>
  <c r="Z316" i="1"/>
  <c r="Z287" i="1"/>
  <c r="Z288" i="1" s="1"/>
  <c r="Z253" i="1"/>
  <c r="Z254" i="1" s="1"/>
  <c r="Z285" i="1"/>
  <c r="Z286" i="1" s="1"/>
  <c r="Z252" i="1"/>
  <c r="AA263" i="1"/>
  <c r="AA267" i="1"/>
  <c r="AA257" i="1"/>
  <c r="AA261" i="1" s="1"/>
  <c r="AC263" i="1"/>
  <c r="AC267" i="1"/>
  <c r="AC257" i="1"/>
  <c r="AC261" i="1" s="1"/>
  <c r="G178" i="1"/>
  <c r="G185" i="1" s="1"/>
  <c r="AM137" i="1"/>
  <c r="H43" i="1"/>
  <c r="F208" i="1"/>
  <c r="H208" i="1" s="1"/>
  <c r="H102" i="1"/>
  <c r="Y137" i="1"/>
  <c r="O249" i="1"/>
  <c r="AC255" i="1"/>
  <c r="AC256" i="1" s="1"/>
  <c r="AC265" i="1" s="1"/>
  <c r="AB342" i="1"/>
  <c r="G353" i="1"/>
  <c r="AE278" i="1"/>
  <c r="AE342" i="1"/>
  <c r="P267" i="1"/>
  <c r="P263" i="1"/>
  <c r="AI263" i="1"/>
  <c r="L317" i="1"/>
  <c r="L318" i="1" s="1"/>
  <c r="L316" i="1"/>
  <c r="L252" i="1"/>
  <c r="L284" i="1"/>
  <c r="L249" i="1"/>
  <c r="L253" i="1"/>
  <c r="L254" i="1" s="1"/>
  <c r="L319" i="1"/>
  <c r="L320" i="1" s="1"/>
  <c r="X285" i="1"/>
  <c r="X286" i="1" s="1"/>
  <c r="X316" i="1"/>
  <c r="X287" i="1"/>
  <c r="X288" i="1" s="1"/>
  <c r="X253" i="1"/>
  <c r="X254" i="1" s="1"/>
  <c r="X249" i="1"/>
  <c r="X284" i="1"/>
  <c r="X317" i="1"/>
  <c r="X318" i="1" s="1"/>
  <c r="AJ316" i="1"/>
  <c r="AJ317" i="1"/>
  <c r="AJ318" i="1" s="1"/>
  <c r="AJ285" i="1"/>
  <c r="AJ286" i="1" s="1"/>
  <c r="AJ252" i="1"/>
  <c r="AJ319" i="1"/>
  <c r="AJ320" i="1" s="1"/>
  <c r="AJ287" i="1"/>
  <c r="AJ288" i="1" s="1"/>
  <c r="AJ297" i="1" s="1"/>
  <c r="AJ255" i="1"/>
  <c r="AJ256" i="1" s="1"/>
  <c r="AN267" i="1"/>
  <c r="AN257" i="1"/>
  <c r="AN261" i="1" s="1"/>
  <c r="AN263" i="1"/>
  <c r="AE310" i="1"/>
  <c r="P319" i="1"/>
  <c r="P320" i="1" s="1"/>
  <c r="P284" i="1"/>
  <c r="P253" i="1"/>
  <c r="P254" i="1" s="1"/>
  <c r="P287" i="1"/>
  <c r="P288" i="1" s="1"/>
  <c r="P255" i="1"/>
  <c r="P256" i="1" s="1"/>
  <c r="P265" i="1" s="1"/>
  <c r="AB319" i="1"/>
  <c r="AB320" i="1" s="1"/>
  <c r="AB284" i="1"/>
  <c r="AB317" i="1"/>
  <c r="AB318" i="1" s="1"/>
  <c r="AB316" i="1"/>
  <c r="AB285" i="1"/>
  <c r="AB286" i="1" s="1"/>
  <c r="AB255" i="1"/>
  <c r="AB256" i="1" s="1"/>
  <c r="AB253" i="1"/>
  <c r="AB254" i="1" s="1"/>
  <c r="AB137" i="1"/>
  <c r="AN319" i="1"/>
  <c r="AN320" i="1" s="1"/>
  <c r="AN316" i="1"/>
  <c r="AN287" i="1"/>
  <c r="AN288" i="1" s="1"/>
  <c r="AN317" i="1"/>
  <c r="AN318" i="1" s="1"/>
  <c r="AN249" i="1"/>
  <c r="AQ263" i="1"/>
  <c r="AQ257" i="1"/>
  <c r="AQ261" i="1" s="1"/>
  <c r="T256" i="1"/>
  <c r="T289" i="1"/>
  <c r="T293" i="1" s="1"/>
  <c r="P316" i="1"/>
  <c r="P285" i="1"/>
  <c r="P286" i="1" s="1"/>
  <c r="AG331" i="1"/>
  <c r="AG321" i="1"/>
  <c r="AG325" i="1" s="1"/>
  <c r="AG327" i="1"/>
  <c r="S284" i="1"/>
  <c r="S287" i="1"/>
  <c r="S288" i="1" s="1"/>
  <c r="S255" i="1"/>
  <c r="S256" i="1" s="1"/>
  <c r="S249" i="1"/>
  <c r="AE284" i="1"/>
  <c r="AE255" i="1"/>
  <c r="AE256" i="1" s="1"/>
  <c r="AE285" i="1"/>
  <c r="AE286" i="1" s="1"/>
  <c r="AE319" i="1"/>
  <c r="AE320" i="1" s="1"/>
  <c r="AQ285" i="1"/>
  <c r="AQ286" i="1" s="1"/>
  <c r="AQ319" i="1"/>
  <c r="AQ320" i="1" s="1"/>
  <c r="AQ255" i="1"/>
  <c r="AQ256" i="1" s="1"/>
  <c r="AQ265" i="1" s="1"/>
  <c r="AQ284" i="1"/>
  <c r="G207" i="1"/>
  <c r="AR256" i="1"/>
  <c r="AQ253" i="1"/>
  <c r="AQ254" i="1" s="1"/>
  <c r="G82" i="1"/>
  <c r="AQ137" i="1"/>
  <c r="U316" i="1"/>
  <c r="U287" i="1"/>
  <c r="U288" i="1" s="1"/>
  <c r="U253" i="1"/>
  <c r="U254" i="1" s="1"/>
  <c r="U249" i="1"/>
  <c r="U137" i="1"/>
  <c r="AG284" i="1"/>
  <c r="AG317" i="1"/>
  <c r="AG318" i="1" s="1"/>
  <c r="AG287" i="1"/>
  <c r="AG288" i="1" s="1"/>
  <c r="AG253" i="1"/>
  <c r="AG254" i="1" s="1"/>
  <c r="AG137" i="1"/>
  <c r="AS319" i="1"/>
  <c r="AS320" i="1" s="1"/>
  <c r="AS284" i="1"/>
  <c r="AS253" i="1"/>
  <c r="AS254" i="1" s="1"/>
  <c r="AS317" i="1"/>
  <c r="AS318" i="1" s="1"/>
  <c r="AS316" i="1"/>
  <c r="AS285" i="1"/>
  <c r="AS286" i="1" s="1"/>
  <c r="AS249" i="1"/>
  <c r="AS137" i="1"/>
  <c r="S252" i="1"/>
  <c r="R256" i="1"/>
  <c r="AG255" i="1"/>
  <c r="AG256" i="1" s="1"/>
  <c r="G79" i="1"/>
  <c r="AE137" i="1"/>
  <c r="K287" i="1"/>
  <c r="K288" i="1" s="1"/>
  <c r="K319" i="1"/>
  <c r="K320" i="1" s="1"/>
  <c r="K316" i="1"/>
  <c r="K317" i="1"/>
  <c r="K318" i="1" s="1"/>
  <c r="K137" i="1"/>
  <c r="K285" i="1"/>
  <c r="K286" i="1" s="1"/>
  <c r="K253" i="1"/>
  <c r="K254" i="1" s="1"/>
  <c r="W287" i="1"/>
  <c r="W288" i="1" s="1"/>
  <c r="W316" i="1"/>
  <c r="W317" i="1"/>
  <c r="W318" i="1" s="1"/>
  <c r="W137" i="1"/>
  <c r="W252" i="1"/>
  <c r="AI287" i="1"/>
  <c r="AI288" i="1" s="1"/>
  <c r="AI317" i="1"/>
  <c r="AI318" i="1" s="1"/>
  <c r="AI319" i="1"/>
  <c r="AI320" i="1" s="1"/>
  <c r="AI249" i="1"/>
  <c r="AI137" i="1"/>
  <c r="AE253" i="1"/>
  <c r="AE254" i="1" s="1"/>
  <c r="AI255" i="1"/>
  <c r="AI256" i="1" s="1"/>
  <c r="AI265" i="1" s="1"/>
  <c r="R319" i="1"/>
  <c r="R320" i="1" s="1"/>
  <c r="R317" i="1"/>
  <c r="R318" i="1" s="1"/>
  <c r="AD286" i="1"/>
  <c r="AF249" i="1"/>
  <c r="AD284" i="1"/>
  <c r="E353" i="1"/>
  <c r="T319" i="1"/>
  <c r="T320" i="1" s="1"/>
  <c r="T317" i="1"/>
  <c r="T318" i="1" s="1"/>
  <c r="AD316" i="1"/>
  <c r="AD317" i="1"/>
  <c r="AD318" i="1" s="1"/>
  <c r="J316" i="1"/>
  <c r="J317" i="1"/>
  <c r="J318" i="1" s="1"/>
  <c r="AH319" i="1"/>
  <c r="AH320" i="1" s="1"/>
  <c r="AH316" i="1"/>
  <c r="AH287" i="1"/>
  <c r="AH288" i="1" s="1"/>
  <c r="J249" i="1"/>
  <c r="V249" i="1"/>
  <c r="AH249" i="1"/>
  <c r="J252" i="1"/>
  <c r="V252" i="1"/>
  <c r="AH252" i="1"/>
  <c r="V285" i="1"/>
  <c r="V286" i="1" s="1"/>
  <c r="J285" i="1"/>
  <c r="J286" i="1" s="1"/>
  <c r="G103" i="1" l="1"/>
  <c r="G355" i="1" s="1"/>
  <c r="G70" i="1"/>
  <c r="T299" i="1"/>
  <c r="T301" i="1" s="1"/>
  <c r="L297" i="1"/>
  <c r="AF329" i="1"/>
  <c r="AR342" i="1"/>
  <c r="AR321" i="1"/>
  <c r="AR325" i="1" s="1"/>
  <c r="AR331" i="1"/>
  <c r="AR332" i="1" s="1"/>
  <c r="T297" i="1"/>
  <c r="AG278" i="1"/>
  <c r="G209" i="1"/>
  <c r="G72" i="1"/>
  <c r="E234" i="1"/>
  <c r="E70" i="1"/>
  <c r="R321" i="1"/>
  <c r="R325" i="1" s="1"/>
  <c r="AI329" i="1"/>
  <c r="U305" i="1"/>
  <c r="AQ321" i="1"/>
  <c r="AQ325" i="1" s="1"/>
  <c r="AP333" i="1"/>
  <c r="H238" i="1"/>
  <c r="AQ331" i="1"/>
  <c r="AQ333" i="1" s="1"/>
  <c r="F234" i="1"/>
  <c r="F70" i="1"/>
  <c r="AG310" i="1"/>
  <c r="T327" i="1"/>
  <c r="AD310" i="1"/>
  <c r="AM297" i="1"/>
  <c r="AS267" i="1"/>
  <c r="AS269" i="1" s="1"/>
  <c r="AB329" i="1"/>
  <c r="T321" i="1"/>
  <c r="T325" i="1" s="1"/>
  <c r="AS263" i="1"/>
  <c r="V329" i="1"/>
  <c r="AP265" i="1"/>
  <c r="V321" i="1"/>
  <c r="V325" i="1" s="1"/>
  <c r="AB257" i="1"/>
  <c r="AB261" i="1" s="1"/>
  <c r="AD267" i="1"/>
  <c r="AD269" i="1" s="1"/>
  <c r="AR329" i="1"/>
  <c r="V331" i="1"/>
  <c r="V333" i="1" s="1"/>
  <c r="AB267" i="1"/>
  <c r="AB269" i="1" s="1"/>
  <c r="R342" i="1"/>
  <c r="AP263" i="1"/>
  <c r="AS265" i="1"/>
  <c r="K265" i="1"/>
  <c r="AP278" i="1"/>
  <c r="U289" i="1"/>
  <c r="U293" i="1" s="1"/>
  <c r="AP289" i="1"/>
  <c r="AP293" i="1" s="1"/>
  <c r="AP267" i="1"/>
  <c r="AP268" i="1" s="1"/>
  <c r="AJ300" i="1"/>
  <c r="T329" i="1"/>
  <c r="AP295" i="1"/>
  <c r="K310" i="1"/>
  <c r="V337" i="1"/>
  <c r="G217" i="1"/>
  <c r="G107" i="1" s="1"/>
  <c r="G235" i="1"/>
  <c r="AP342" i="1"/>
  <c r="AD297" i="1"/>
  <c r="W299" i="1"/>
  <c r="W301" i="1" s="1"/>
  <c r="Q329" i="1"/>
  <c r="AF297" i="1"/>
  <c r="R297" i="1"/>
  <c r="P329" i="1"/>
  <c r="AD257" i="1"/>
  <c r="AD261" i="1" s="1"/>
  <c r="AN295" i="1"/>
  <c r="AN305" i="1" s="1"/>
  <c r="AR337" i="1"/>
  <c r="W297" i="1"/>
  <c r="AG269" i="1"/>
  <c r="AN289" i="1"/>
  <c r="AN293" i="1" s="1"/>
  <c r="R267" i="1"/>
  <c r="R268" i="1" s="1"/>
  <c r="R257" i="1"/>
  <c r="R261" i="1" s="1"/>
  <c r="R310" i="1"/>
  <c r="W295" i="1"/>
  <c r="W305" i="1" s="1"/>
  <c r="R337" i="1"/>
  <c r="K263" i="1"/>
  <c r="J305" i="1"/>
  <c r="H233" i="1"/>
  <c r="R265" i="1"/>
  <c r="AO342" i="1"/>
  <c r="AO278" i="1"/>
  <c r="Z329" i="1"/>
  <c r="AK329" i="1"/>
  <c r="F209" i="1"/>
  <c r="F217" i="1"/>
  <c r="F107" i="1" s="1"/>
  <c r="T342" i="1"/>
  <c r="AI295" i="1"/>
  <c r="G50" i="1"/>
  <c r="G61" i="1" s="1"/>
  <c r="G236" i="1" s="1"/>
  <c r="AJ310" i="1"/>
  <c r="M329" i="1"/>
  <c r="AR310" i="1"/>
  <c r="AJ278" i="1"/>
  <c r="AF301" i="1"/>
  <c r="T332" i="1"/>
  <c r="T310" i="1"/>
  <c r="AD265" i="1"/>
  <c r="AG337" i="1"/>
  <c r="AI331" i="1"/>
  <c r="AI333" i="1" s="1"/>
  <c r="AI327" i="1"/>
  <c r="AI337" i="1" s="1"/>
  <c r="AB265" i="1"/>
  <c r="R295" i="1"/>
  <c r="AO297" i="1"/>
  <c r="AR257" i="1"/>
  <c r="AR261" i="1" s="1"/>
  <c r="AD329" i="1"/>
  <c r="AG265" i="1"/>
  <c r="AN300" i="1"/>
  <c r="P278" i="1"/>
  <c r="AF265" i="1"/>
  <c r="AG333" i="1"/>
  <c r="AE331" i="1"/>
  <c r="AE333" i="1" s="1"/>
  <c r="P342" i="1"/>
  <c r="F56" i="1"/>
  <c r="AE329" i="1"/>
  <c r="R331" i="1"/>
  <c r="R332" i="1" s="1"/>
  <c r="AB297" i="1"/>
  <c r="AE327" i="1"/>
  <c r="Y297" i="1"/>
  <c r="E56" i="1"/>
  <c r="X257" i="1"/>
  <c r="X261" i="1" s="1"/>
  <c r="AR267" i="1"/>
  <c r="AR269" i="1" s="1"/>
  <c r="X269" i="1"/>
  <c r="X263" i="1"/>
  <c r="O265" i="1"/>
  <c r="V265" i="1"/>
  <c r="H353" i="1"/>
  <c r="AO334" i="1"/>
  <c r="F174" i="1"/>
  <c r="F182" i="1" s="1"/>
  <c r="AI299" i="1"/>
  <c r="AI300" i="1" s="1"/>
  <c r="AL265" i="1"/>
  <c r="S265" i="1"/>
  <c r="L265" i="1"/>
  <c r="X265" i="1"/>
  <c r="AM329" i="1"/>
  <c r="W265" i="1"/>
  <c r="K329" i="1"/>
  <c r="O297" i="1"/>
  <c r="AR297" i="1"/>
  <c r="AA329" i="1"/>
  <c r="AN329" i="1"/>
  <c r="AK265" i="1"/>
  <c r="AH329" i="1"/>
  <c r="AF321" i="1"/>
  <c r="AF325" i="1" s="1"/>
  <c r="AE265" i="1"/>
  <c r="T257" i="1"/>
  <c r="T261" i="1" s="1"/>
  <c r="AP332" i="1"/>
  <c r="AJ265" i="1"/>
  <c r="T263" i="1"/>
  <c r="AQ342" i="1"/>
  <c r="H320" i="1"/>
  <c r="G358" i="1" s="1"/>
  <c r="T265" i="1"/>
  <c r="L329" i="1"/>
  <c r="V297" i="1"/>
  <c r="AQ278" i="1"/>
  <c r="J299" i="1"/>
  <c r="J301" i="1" s="1"/>
  <c r="V299" i="1"/>
  <c r="V301" i="1" s="1"/>
  <c r="R289" i="1"/>
  <c r="R293" i="1" s="1"/>
  <c r="R299" i="1"/>
  <c r="K342" i="1"/>
  <c r="AE263" i="1"/>
  <c r="AF327" i="1"/>
  <c r="AE267" i="1"/>
  <c r="AE269" i="1" s="1"/>
  <c r="AF331" i="1"/>
  <c r="AF333" i="1" s="1"/>
  <c r="V295" i="1"/>
  <c r="G86" i="1"/>
  <c r="G88" i="1" s="1"/>
  <c r="J289" i="1"/>
  <c r="J293" i="1" s="1"/>
  <c r="AH265" i="1"/>
  <c r="P297" i="1"/>
  <c r="Z297" i="1"/>
  <c r="J297" i="1"/>
  <c r="O329" i="1"/>
  <c r="AO333" i="1"/>
  <c r="F170" i="1"/>
  <c r="F179" i="1" s="1"/>
  <c r="AF268" i="1"/>
  <c r="H187" i="1"/>
  <c r="S337" i="1"/>
  <c r="AQ337" i="1"/>
  <c r="AD342" i="1"/>
  <c r="H288" i="1"/>
  <c r="F358" i="1" s="1"/>
  <c r="F89" i="1"/>
  <c r="R329" i="1"/>
  <c r="AQ269" i="1"/>
  <c r="F355" i="1"/>
  <c r="W278" i="1"/>
  <c r="AR265" i="1"/>
  <c r="S329" i="1"/>
  <c r="AN297" i="1"/>
  <c r="AF300" i="1"/>
  <c r="AG263" i="1"/>
  <c r="AG257" i="1"/>
  <c r="AG261" i="1" s="1"/>
  <c r="K299" i="1"/>
  <c r="K295" i="1"/>
  <c r="P269" i="1"/>
  <c r="K267" i="1"/>
  <c r="K269" i="1" s="1"/>
  <c r="AH289" i="1"/>
  <c r="AH293" i="1" s="1"/>
  <c r="AH295" i="1"/>
  <c r="AH299" i="1"/>
  <c r="AH300" i="1" s="1"/>
  <c r="G89" i="1"/>
  <c r="T269" i="1"/>
  <c r="K257" i="1"/>
  <c r="K261" i="1" s="1"/>
  <c r="AF257" i="1"/>
  <c r="AF261" i="1" s="1"/>
  <c r="AF263" i="1"/>
  <c r="G176" i="1"/>
  <c r="G184" i="1" s="1"/>
  <c r="AA269" i="1"/>
  <c r="T300" i="1"/>
  <c r="N297" i="1"/>
  <c r="AQ329" i="1"/>
  <c r="Q297" i="1"/>
  <c r="F172" i="1"/>
  <c r="AO332" i="1"/>
  <c r="AJ329" i="1"/>
  <c r="K297" i="1"/>
  <c r="S331" i="1"/>
  <c r="F184" i="1"/>
  <c r="AF289" i="1"/>
  <c r="AF293" i="1" s="1"/>
  <c r="AF295" i="1"/>
  <c r="H256" i="1"/>
  <c r="E358" i="1" s="1"/>
  <c r="W310" i="1"/>
  <c r="S321" i="1"/>
  <c r="S325" i="1" s="1"/>
  <c r="H254" i="1"/>
  <c r="AJ302" i="1"/>
  <c r="X297" i="1"/>
  <c r="U299" i="1"/>
  <c r="U300" i="1" s="1"/>
  <c r="AI297" i="1"/>
  <c r="AR289" i="1"/>
  <c r="AR293" i="1" s="1"/>
  <c r="AR299" i="1"/>
  <c r="AR295" i="1"/>
  <c r="J342" i="1"/>
  <c r="J310" i="1"/>
  <c r="J278" i="1"/>
  <c r="AO263" i="1"/>
  <c r="AO257" i="1"/>
  <c r="AO261" i="1" s="1"/>
  <c r="AO267" i="1"/>
  <c r="AO269" i="1" s="1"/>
  <c r="M263" i="1"/>
  <c r="M267" i="1"/>
  <c r="M269" i="1" s="1"/>
  <c r="M257" i="1"/>
  <c r="M261" i="1" s="1"/>
  <c r="Z310" i="1"/>
  <c r="Z278" i="1"/>
  <c r="Z342" i="1"/>
  <c r="AM257" i="1"/>
  <c r="AM261" i="1" s="1"/>
  <c r="AM263" i="1"/>
  <c r="AM267" i="1"/>
  <c r="AM269" i="1" s="1"/>
  <c r="AL342" i="1"/>
  <c r="AL310" i="1"/>
  <c r="AL278" i="1"/>
  <c r="AK299" i="1"/>
  <c r="AK295" i="1"/>
  <c r="AK289" i="1"/>
  <c r="AK293" i="1" s="1"/>
  <c r="Y327" i="1"/>
  <c r="Y331" i="1"/>
  <c r="Y321" i="1"/>
  <c r="Y325" i="1" s="1"/>
  <c r="AQ295" i="1"/>
  <c r="AQ289" i="1"/>
  <c r="AQ293" i="1" s="1"/>
  <c r="AQ299" i="1"/>
  <c r="X342" i="1"/>
  <c r="X278" i="1"/>
  <c r="X310" i="1"/>
  <c r="F86" i="1"/>
  <c r="F88" i="1" s="1"/>
  <c r="Y263" i="1"/>
  <c r="Y267" i="1"/>
  <c r="Y269" i="1" s="1"/>
  <c r="Y257" i="1"/>
  <c r="Y261" i="1" s="1"/>
  <c r="Y265" i="1"/>
  <c r="AP297" i="1"/>
  <c r="S299" i="1"/>
  <c r="S295" i="1"/>
  <c r="S289" i="1"/>
  <c r="S293" i="1" s="1"/>
  <c r="AB331" i="1"/>
  <c r="AB327" i="1"/>
  <c r="AB321" i="1"/>
  <c r="AB325" i="1" s="1"/>
  <c r="O321" i="1"/>
  <c r="O325" i="1" s="1"/>
  <c r="O327" i="1"/>
  <c r="O331" i="1"/>
  <c r="AS331" i="1"/>
  <c r="AS327" i="1"/>
  <c r="AS321" i="1"/>
  <c r="AS325" i="1" s="1"/>
  <c r="S297" i="1"/>
  <c r="H49" i="1"/>
  <c r="E60" i="1"/>
  <c r="Q327" i="1"/>
  <c r="Q321" i="1"/>
  <c r="Q325" i="1" s="1"/>
  <c r="Q331" i="1"/>
  <c r="AL257" i="1"/>
  <c r="AL261" i="1" s="1"/>
  <c r="AL263" i="1"/>
  <c r="AL267" i="1"/>
  <c r="AL269" i="1" s="1"/>
  <c r="AP300" i="1"/>
  <c r="AN342" i="1"/>
  <c r="AN310" i="1"/>
  <c r="AN278" i="1"/>
  <c r="G172" i="1"/>
  <c r="M265" i="1"/>
  <c r="AI268" i="1"/>
  <c r="E83" i="1"/>
  <c r="H83" i="1" s="1"/>
  <c r="E79" i="1"/>
  <c r="H79" i="1" s="1"/>
  <c r="AC268" i="1"/>
  <c r="E82" i="1"/>
  <c r="H82" i="1" s="1"/>
  <c r="X268" i="1"/>
  <c r="AA268" i="1"/>
  <c r="U268" i="1"/>
  <c r="E84" i="1"/>
  <c r="H84" i="1" s="1"/>
  <c r="P268" i="1"/>
  <c r="AN268" i="1"/>
  <c r="N268" i="1"/>
  <c r="E81" i="1"/>
  <c r="H81" i="1" s="1"/>
  <c r="AQ268" i="1"/>
  <c r="H45" i="1"/>
  <c r="E80" i="1"/>
  <c r="H80" i="1" s="1"/>
  <c r="E78" i="1"/>
  <c r="AC310" i="1"/>
  <c r="AC342" i="1"/>
  <c r="AC278" i="1"/>
  <c r="AL299" i="1"/>
  <c r="AL295" i="1"/>
  <c r="AL289" i="1"/>
  <c r="AL293" i="1" s="1"/>
  <c r="H286" i="1"/>
  <c r="AF342" i="1"/>
  <c r="AF278" i="1"/>
  <c r="AF310" i="1"/>
  <c r="U331" i="1"/>
  <c r="U327" i="1"/>
  <c r="U321" i="1"/>
  <c r="U325" i="1" s="1"/>
  <c r="O310" i="1"/>
  <c r="O342" i="1"/>
  <c r="O278" i="1"/>
  <c r="M297" i="1"/>
  <c r="AM321" i="1"/>
  <c r="AM325" i="1" s="1"/>
  <c r="AM327" i="1"/>
  <c r="AM331" i="1"/>
  <c r="M310" i="1"/>
  <c r="M278" i="1"/>
  <c r="M342" i="1"/>
  <c r="AM265" i="1"/>
  <c r="AH257" i="1"/>
  <c r="AH261" i="1" s="1"/>
  <c r="AH263" i="1"/>
  <c r="AH267" i="1"/>
  <c r="K327" i="1"/>
  <c r="K331" i="1"/>
  <c r="K321" i="1"/>
  <c r="K325" i="1" s="1"/>
  <c r="AN301" i="1"/>
  <c r="AA310" i="1"/>
  <c r="AA342" i="1"/>
  <c r="AA278" i="1"/>
  <c r="Q263" i="1"/>
  <c r="Q267" i="1"/>
  <c r="Q265" i="1"/>
  <c r="Q257" i="1"/>
  <c r="Q261" i="1" s="1"/>
  <c r="M299" i="1"/>
  <c r="M295" i="1"/>
  <c r="M289" i="1"/>
  <c r="M293" i="1" s="1"/>
  <c r="N269" i="1"/>
  <c r="V257" i="1"/>
  <c r="V261" i="1" s="1"/>
  <c r="V263" i="1"/>
  <c r="V267" i="1"/>
  <c r="AG332" i="1"/>
  <c r="P321" i="1"/>
  <c r="P325" i="1" s="1"/>
  <c r="P327" i="1"/>
  <c r="P331" i="1"/>
  <c r="L278" i="1"/>
  <c r="L310" i="1"/>
  <c r="L342" i="1"/>
  <c r="G174" i="1"/>
  <c r="G182" i="1" s="1"/>
  <c r="N289" i="1"/>
  <c r="N293" i="1" s="1"/>
  <c r="N299" i="1"/>
  <c r="N295" i="1"/>
  <c r="F60" i="1"/>
  <c r="U297" i="1"/>
  <c r="U329" i="1"/>
  <c r="AO295" i="1"/>
  <c r="AO299" i="1"/>
  <c r="AO289" i="1"/>
  <c r="AO293" i="1" s="1"/>
  <c r="AK263" i="1"/>
  <c r="AK257" i="1"/>
  <c r="AK261" i="1" s="1"/>
  <c r="AK267" i="1"/>
  <c r="J257" i="1"/>
  <c r="J261" i="1" s="1"/>
  <c r="J263" i="1"/>
  <c r="J267" i="1"/>
  <c r="J269" i="1" s="1"/>
  <c r="J265" i="1"/>
  <c r="AD321" i="1"/>
  <c r="AD325" i="1" s="1"/>
  <c r="AD331" i="1"/>
  <c r="AD327" i="1"/>
  <c r="T268" i="1"/>
  <c r="L295" i="1"/>
  <c r="L299" i="1"/>
  <c r="L289" i="1"/>
  <c r="L293" i="1" s="1"/>
  <c r="AI269" i="1"/>
  <c r="AA321" i="1"/>
  <c r="AA325" i="1" s="1"/>
  <c r="AA327" i="1"/>
  <c r="AA331" i="1"/>
  <c r="AL297" i="1"/>
  <c r="AH297" i="1"/>
  <c r="W327" i="1"/>
  <c r="W331" i="1"/>
  <c r="W321" i="1"/>
  <c r="W325" i="1" s="1"/>
  <c r="M331" i="1"/>
  <c r="M321" i="1"/>
  <c r="M325" i="1" s="1"/>
  <c r="M327" i="1"/>
  <c r="O299" i="1"/>
  <c r="O295" i="1"/>
  <c r="O289" i="1"/>
  <c r="O293" i="1" s="1"/>
  <c r="AH327" i="1"/>
  <c r="AH331" i="1"/>
  <c r="AH321" i="1"/>
  <c r="AH325" i="1" s="1"/>
  <c r="U342" i="1"/>
  <c r="U310" i="1"/>
  <c r="U278" i="1"/>
  <c r="AP301" i="1"/>
  <c r="N331" i="1"/>
  <c r="N321" i="1"/>
  <c r="N325" i="1" s="1"/>
  <c r="N327" i="1"/>
  <c r="E179" i="1"/>
  <c r="E204" i="1"/>
  <c r="E91" i="1"/>
  <c r="H59" i="1"/>
  <c r="X327" i="1"/>
  <c r="X321" i="1"/>
  <c r="X325" i="1" s="1"/>
  <c r="X331" i="1"/>
  <c r="J327" i="1"/>
  <c r="J331" i="1"/>
  <c r="J321" i="1"/>
  <c r="J325" i="1" s="1"/>
  <c r="AI342" i="1"/>
  <c r="AI310" i="1"/>
  <c r="AI278" i="1"/>
  <c r="AS299" i="1"/>
  <c r="AS295" i="1"/>
  <c r="AS289" i="1"/>
  <c r="AS293" i="1" s="1"/>
  <c r="AS297" i="1"/>
  <c r="AA299" i="1"/>
  <c r="AA289" i="1"/>
  <c r="AA293" i="1" s="1"/>
  <c r="AA295" i="1"/>
  <c r="AA297" i="1"/>
  <c r="W329" i="1"/>
  <c r="H203" i="1"/>
  <c r="G205" i="1"/>
  <c r="G180" i="1"/>
  <c r="AN327" i="1"/>
  <c r="AN321" i="1"/>
  <c r="AN325" i="1" s="1"/>
  <c r="AN331" i="1"/>
  <c r="AJ257" i="1"/>
  <c r="AJ261" i="1" s="1"/>
  <c r="AJ267" i="1"/>
  <c r="AJ269" i="1" s="1"/>
  <c r="AJ263" i="1"/>
  <c r="AH342" i="1"/>
  <c r="AH310" i="1"/>
  <c r="AH278" i="1"/>
  <c r="AG268" i="1"/>
  <c r="W267" i="1"/>
  <c r="W257" i="1"/>
  <c r="W261" i="1" s="1"/>
  <c r="W263" i="1"/>
  <c r="AE299" i="1"/>
  <c r="AE295" i="1"/>
  <c r="AE289" i="1"/>
  <c r="AE293" i="1" s="1"/>
  <c r="U269" i="1"/>
  <c r="P295" i="1"/>
  <c r="P289" i="1"/>
  <c r="P293" i="1" s="1"/>
  <c r="P299" i="1"/>
  <c r="AJ331" i="1"/>
  <c r="AJ321" i="1"/>
  <c r="AJ325" i="1" s="1"/>
  <c r="AJ327" i="1"/>
  <c r="L267" i="1"/>
  <c r="L269" i="1" s="1"/>
  <c r="L263" i="1"/>
  <c r="L257" i="1"/>
  <c r="L261" i="1" s="1"/>
  <c r="AC269" i="1"/>
  <c r="Z331" i="1"/>
  <c r="Z321" i="1"/>
  <c r="Z325" i="1" s="1"/>
  <c r="Z327" i="1"/>
  <c r="AO265" i="1"/>
  <c r="AE297" i="1"/>
  <c r="AQ297" i="1"/>
  <c r="X329" i="1"/>
  <c r="N329" i="1"/>
  <c r="AS329" i="1"/>
  <c r="AC295" i="1"/>
  <c r="AC299" i="1"/>
  <c r="AC289" i="1"/>
  <c r="AC293" i="1" s="1"/>
  <c r="AC297" i="1"/>
  <c r="AM299" i="1"/>
  <c r="AM295" i="1"/>
  <c r="AM289" i="1"/>
  <c r="AM293" i="1" s="1"/>
  <c r="Y295" i="1"/>
  <c r="Y289" i="1"/>
  <c r="Y293" i="1" s="1"/>
  <c r="Y299" i="1"/>
  <c r="AG295" i="1"/>
  <c r="AG289" i="1"/>
  <c r="AG293" i="1" s="1"/>
  <c r="AG299" i="1"/>
  <c r="AG297" i="1"/>
  <c r="X299" i="1"/>
  <c r="X289" i="1"/>
  <c r="X293" i="1" s="1"/>
  <c r="X295" i="1"/>
  <c r="AS342" i="1"/>
  <c r="AS310" i="1"/>
  <c r="AS278" i="1"/>
  <c r="AD295" i="1"/>
  <c r="AD289" i="1"/>
  <c r="AD293" i="1" s="1"/>
  <c r="AD299" i="1"/>
  <c r="AF269" i="1"/>
  <c r="H318" i="1"/>
  <c r="AP334" i="1"/>
  <c r="AP330" i="1"/>
  <c r="AP337" i="1"/>
  <c r="AB295" i="1"/>
  <c r="AB289" i="1"/>
  <c r="AB293" i="1" s="1"/>
  <c r="AB299" i="1"/>
  <c r="AC331" i="1"/>
  <c r="AC327" i="1"/>
  <c r="AC321" i="1"/>
  <c r="AC325" i="1" s="1"/>
  <c r="Z267" i="1"/>
  <c r="Z269" i="1" s="1"/>
  <c r="Z257" i="1"/>
  <c r="Z261" i="1" s="1"/>
  <c r="Z263" i="1"/>
  <c r="F185" i="1"/>
  <c r="H185" i="1" s="1"/>
  <c r="F210" i="1"/>
  <c r="H210" i="1" s="1"/>
  <c r="H65" i="1"/>
  <c r="Z265" i="1"/>
  <c r="F204" i="1"/>
  <c r="F91" i="1"/>
  <c r="E182" i="1"/>
  <c r="H62" i="1"/>
  <c r="E207" i="1"/>
  <c r="H207" i="1" s="1"/>
  <c r="O263" i="1"/>
  <c r="O267" i="1"/>
  <c r="O269" i="1" s="1"/>
  <c r="O257" i="1"/>
  <c r="O261" i="1" s="1"/>
  <c r="V342" i="1"/>
  <c r="V310" i="1"/>
  <c r="V278" i="1"/>
  <c r="S257" i="1"/>
  <c r="S261" i="1" s="1"/>
  <c r="S267" i="1"/>
  <c r="S263" i="1"/>
  <c r="T333" i="1"/>
  <c r="S342" i="1"/>
  <c r="S278" i="1"/>
  <c r="S310" i="1"/>
  <c r="AN269" i="1"/>
  <c r="L327" i="1"/>
  <c r="L331" i="1"/>
  <c r="L321" i="1"/>
  <c r="L325" i="1" s="1"/>
  <c r="Z299" i="1"/>
  <c r="Z295" i="1"/>
  <c r="Z289" i="1"/>
  <c r="Z293" i="1" s="1"/>
  <c r="AJ301" i="1"/>
  <c r="N342" i="1"/>
  <c r="N310" i="1"/>
  <c r="N278" i="1"/>
  <c r="E355" i="1"/>
  <c r="H103" i="1"/>
  <c r="Y329" i="1"/>
  <c r="AK297" i="1"/>
  <c r="AC329" i="1"/>
  <c r="J329" i="1"/>
  <c r="Q295" i="1"/>
  <c r="Q289" i="1"/>
  <c r="Q293" i="1" s="1"/>
  <c r="Q299" i="1"/>
  <c r="AM310" i="1"/>
  <c r="AM278" i="1"/>
  <c r="AM342" i="1"/>
  <c r="AL327" i="1"/>
  <c r="AL331" i="1"/>
  <c r="AL321" i="1"/>
  <c r="AL325" i="1" s="1"/>
  <c r="AL329" i="1"/>
  <c r="AK327" i="1"/>
  <c r="AK321" i="1"/>
  <c r="AK325" i="1" s="1"/>
  <c r="AK331" i="1"/>
  <c r="Y342" i="1"/>
  <c r="Y278" i="1"/>
  <c r="Y310" i="1"/>
  <c r="T302" i="1" l="1"/>
  <c r="AF330" i="1"/>
  <c r="AF335" i="1" s="1"/>
  <c r="AR323" i="1"/>
  <c r="H234" i="1"/>
  <c r="W323" i="1"/>
  <c r="K323" i="1"/>
  <c r="AG330" i="1"/>
  <c r="AG157" i="1" s="1"/>
  <c r="J298" i="1"/>
  <c r="J149" i="1" s="1"/>
  <c r="G181" i="1"/>
  <c r="AR330" i="1"/>
  <c r="AR157" i="1" s="1"/>
  <c r="AQ332" i="1"/>
  <c r="AR334" i="1"/>
  <c r="AR333" i="1"/>
  <c r="G191" i="1"/>
  <c r="G192" i="1" s="1"/>
  <c r="G193" i="1" s="1"/>
  <c r="G194" i="1" s="1"/>
  <c r="AA323" i="1"/>
  <c r="AI330" i="1"/>
  <c r="AI338" i="1" s="1"/>
  <c r="L323" i="1"/>
  <c r="M323" i="1"/>
  <c r="AJ323" i="1"/>
  <c r="Y323" i="1"/>
  <c r="AP323" i="1"/>
  <c r="R323" i="1"/>
  <c r="AK323" i="1"/>
  <c r="AE332" i="1"/>
  <c r="G67" i="1"/>
  <c r="G115" i="1" s="1"/>
  <c r="AI323" i="1"/>
  <c r="N323" i="1"/>
  <c r="AC323" i="1"/>
  <c r="AS268" i="1"/>
  <c r="S323" i="1"/>
  <c r="T323" i="1"/>
  <c r="Z323" i="1"/>
  <c r="G206" i="1"/>
  <c r="AA322" i="1" s="1"/>
  <c r="AM323" i="1"/>
  <c r="AL323" i="1"/>
  <c r="AN323" i="1"/>
  <c r="O323" i="1"/>
  <c r="AD323" i="1"/>
  <c r="AB323" i="1"/>
  <c r="U323" i="1"/>
  <c r="AS323" i="1"/>
  <c r="X323" i="1"/>
  <c r="AH323" i="1"/>
  <c r="V330" i="1"/>
  <c r="V335" i="1" s="1"/>
  <c r="J323" i="1"/>
  <c r="AQ323" i="1"/>
  <c r="V323" i="1"/>
  <c r="Q323" i="1"/>
  <c r="H70" i="1"/>
  <c r="W300" i="1"/>
  <c r="AI334" i="1"/>
  <c r="V300" i="1"/>
  <c r="U298" i="1"/>
  <c r="U306" i="1" s="1"/>
  <c r="P323" i="1"/>
  <c r="AE323" i="1"/>
  <c r="AF323" i="1"/>
  <c r="G71" i="1"/>
  <c r="G73" i="1" s="1"/>
  <c r="G75" i="1" s="1"/>
  <c r="AI332" i="1"/>
  <c r="V334" i="1"/>
  <c r="AG323" i="1"/>
  <c r="AO323" i="1"/>
  <c r="AG334" i="1"/>
  <c r="AD268" i="1"/>
  <c r="AR302" i="1"/>
  <c r="AN324" i="1"/>
  <c r="AI324" i="1"/>
  <c r="V332" i="1"/>
  <c r="S330" i="1"/>
  <c r="S335" i="1" s="1"/>
  <c r="R298" i="1"/>
  <c r="R306" i="1" s="1"/>
  <c r="AP269" i="1"/>
  <c r="AJ298" i="1"/>
  <c r="AJ303" i="1" s="1"/>
  <c r="AB268" i="1"/>
  <c r="AF298" i="1"/>
  <c r="AF306" i="1" s="1"/>
  <c r="G222" i="1"/>
  <c r="G223" i="1" s="1"/>
  <c r="G224" i="1" s="1"/>
  <c r="R330" i="1"/>
  <c r="R335" i="1" s="1"/>
  <c r="R269" i="1"/>
  <c r="G56" i="1"/>
  <c r="H56" i="1" s="1"/>
  <c r="R302" i="1"/>
  <c r="E235" i="1"/>
  <c r="R305" i="1"/>
  <c r="J302" i="1"/>
  <c r="AR305" i="1"/>
  <c r="J300" i="1"/>
  <c r="V302" i="1"/>
  <c r="AR268" i="1"/>
  <c r="F235" i="1"/>
  <c r="T305" i="1"/>
  <c r="T298" i="1"/>
  <c r="T306" i="1" s="1"/>
  <c r="AQ330" i="1"/>
  <c r="AQ157" i="1" s="1"/>
  <c r="AJ305" i="1"/>
  <c r="AQ334" i="1"/>
  <c r="AE334" i="1"/>
  <c r="AE330" i="1"/>
  <c r="AE335" i="1" s="1"/>
  <c r="AE337" i="1"/>
  <c r="AI302" i="1"/>
  <c r="AI305" i="1"/>
  <c r="AE268" i="1"/>
  <c r="H358" i="1"/>
  <c r="AR298" i="1"/>
  <c r="AR306" i="1" s="1"/>
  <c r="R333" i="1"/>
  <c r="R334" i="1"/>
  <c r="AI301" i="1"/>
  <c r="AF302" i="1"/>
  <c r="AN302" i="1"/>
  <c r="AI298" i="1"/>
  <c r="AI306" i="1" s="1"/>
  <c r="AH301" i="1"/>
  <c r="AF305" i="1"/>
  <c r="AF332" i="1"/>
  <c r="AG324" i="1"/>
  <c r="AF334" i="1"/>
  <c r="AN298" i="1"/>
  <c r="AN149" i="1" s="1"/>
  <c r="G92" i="1"/>
  <c r="AF337" i="1"/>
  <c r="M268" i="1"/>
  <c r="AO337" i="1"/>
  <c r="J324" i="1"/>
  <c r="H355" i="1"/>
  <c r="AO330" i="1"/>
  <c r="AO335" i="1" s="1"/>
  <c r="AA324" i="1"/>
  <c r="W302" i="1"/>
  <c r="AP324" i="1"/>
  <c r="W298" i="1"/>
  <c r="W149" i="1" s="1"/>
  <c r="R324" i="1"/>
  <c r="AJ268" i="1"/>
  <c r="U301" i="1"/>
  <c r="P324" i="1"/>
  <c r="V305" i="1"/>
  <c r="R300" i="1"/>
  <c r="R301" i="1"/>
  <c r="K268" i="1"/>
  <c r="U324" i="1"/>
  <c r="V298" i="1"/>
  <c r="V306" i="1" s="1"/>
  <c r="N324" i="1"/>
  <c r="K302" i="1"/>
  <c r="K305" i="1"/>
  <c r="K298" i="1"/>
  <c r="K306" i="1" s="1"/>
  <c r="H293" i="1"/>
  <c r="AO324" i="1"/>
  <c r="T324" i="1"/>
  <c r="K324" i="1"/>
  <c r="AM324" i="1"/>
  <c r="AR300" i="1"/>
  <c r="AR301" i="1"/>
  <c r="U302" i="1"/>
  <c r="L268" i="1"/>
  <c r="G183" i="1"/>
  <c r="H183" i="1" s="1"/>
  <c r="AO268" i="1"/>
  <c r="AH324" i="1"/>
  <c r="AF324" i="1"/>
  <c r="S333" i="1"/>
  <c r="S332" i="1"/>
  <c r="K301" i="1"/>
  <c r="K300" i="1"/>
  <c r="S334" i="1"/>
  <c r="O324" i="1"/>
  <c r="L324" i="1"/>
  <c r="AD322" i="1"/>
  <c r="AR324" i="1"/>
  <c r="AL324" i="1"/>
  <c r="AJ324" i="1"/>
  <c r="AM268" i="1"/>
  <c r="AC324" i="1"/>
  <c r="S324" i="1"/>
  <c r="M324" i="1"/>
  <c r="AE324" i="1"/>
  <c r="AQ324" i="1"/>
  <c r="Y324" i="1"/>
  <c r="AS324" i="1"/>
  <c r="Q324" i="1"/>
  <c r="X324" i="1"/>
  <c r="AB324" i="1"/>
  <c r="V324" i="1"/>
  <c r="W324" i="1"/>
  <c r="AK324" i="1"/>
  <c r="AD324" i="1"/>
  <c r="Z324" i="1"/>
  <c r="L270" i="1"/>
  <c r="L266" i="1"/>
  <c r="L273" i="1"/>
  <c r="AQ292" i="1"/>
  <c r="AE292" i="1"/>
  <c r="S292" i="1"/>
  <c r="AH292" i="1"/>
  <c r="U292" i="1"/>
  <c r="AL292" i="1"/>
  <c r="X292" i="1"/>
  <c r="J292" i="1"/>
  <c r="AJ292" i="1"/>
  <c r="V292" i="1"/>
  <c r="AC292" i="1"/>
  <c r="M292" i="1"/>
  <c r="AR292" i="1"/>
  <c r="AA292" i="1"/>
  <c r="K292" i="1"/>
  <c r="AN292" i="1"/>
  <c r="R292" i="1"/>
  <c r="AK292" i="1"/>
  <c r="P292" i="1"/>
  <c r="AI292" i="1"/>
  <c r="O292" i="1"/>
  <c r="AG292" i="1"/>
  <c r="N292" i="1"/>
  <c r="F92" i="1"/>
  <c r="AD292" i="1"/>
  <c r="AB292" i="1"/>
  <c r="W292" i="1"/>
  <c r="Q292" i="1"/>
  <c r="L292" i="1"/>
  <c r="T292" i="1"/>
  <c r="AS292" i="1"/>
  <c r="AP292" i="1"/>
  <c r="AO292" i="1"/>
  <c r="AM292" i="1"/>
  <c r="AF292" i="1"/>
  <c r="Z292" i="1"/>
  <c r="Y292" i="1"/>
  <c r="S273" i="1"/>
  <c r="S266" i="1"/>
  <c r="S270" i="1"/>
  <c r="AH334" i="1"/>
  <c r="AH337" i="1"/>
  <c r="AH330" i="1"/>
  <c r="Q334" i="1"/>
  <c r="Q337" i="1"/>
  <c r="Q330" i="1"/>
  <c r="O298" i="1"/>
  <c r="O305" i="1"/>
  <c r="O302" i="1"/>
  <c r="AO273" i="1"/>
  <c r="AO266" i="1"/>
  <c r="AO270" i="1"/>
  <c r="S302" i="1"/>
  <c r="S298" i="1"/>
  <c r="S305" i="1"/>
  <c r="X302" i="1"/>
  <c r="X305" i="1"/>
  <c r="X298" i="1"/>
  <c r="N305" i="1"/>
  <c r="N302" i="1"/>
  <c r="N298" i="1"/>
  <c r="V273" i="1"/>
  <c r="V270" i="1"/>
  <c r="V266" i="1"/>
  <c r="Q273" i="1"/>
  <c r="Q270" i="1"/>
  <c r="Q266" i="1"/>
  <c r="AJ266" i="1"/>
  <c r="AJ273" i="1"/>
  <c r="AJ270" i="1"/>
  <c r="AA298" i="1"/>
  <c r="AA305" i="1"/>
  <c r="AA302" i="1"/>
  <c r="O266" i="1"/>
  <c r="O273" i="1"/>
  <c r="O270" i="1"/>
  <c r="Y334" i="1"/>
  <c r="Y330" i="1"/>
  <c r="Y337" i="1"/>
  <c r="AC305" i="1"/>
  <c r="AC298" i="1"/>
  <c r="AC302" i="1"/>
  <c r="M305" i="1"/>
  <c r="M302" i="1"/>
  <c r="M298" i="1"/>
  <c r="H296" i="1"/>
  <c r="AL302" i="1"/>
  <c r="AL305" i="1"/>
  <c r="AL298" i="1"/>
  <c r="W266" i="1"/>
  <c r="W273" i="1"/>
  <c r="W270" i="1"/>
  <c r="M330" i="1"/>
  <c r="M334" i="1"/>
  <c r="M337" i="1"/>
  <c r="Q305" i="1"/>
  <c r="Q302" i="1"/>
  <c r="Q298" i="1"/>
  <c r="Z270" i="1"/>
  <c r="Z273" i="1"/>
  <c r="Z266" i="1"/>
  <c r="Y270" i="1"/>
  <c r="Y273" i="1"/>
  <c r="Y266" i="1"/>
  <c r="AD301" i="1"/>
  <c r="AD300" i="1"/>
  <c r="AE301" i="1"/>
  <c r="AE300" i="1"/>
  <c r="AH333" i="1"/>
  <c r="AH332" i="1"/>
  <c r="H50" i="1"/>
  <c r="E61" i="1"/>
  <c r="E71" i="1" s="1"/>
  <c r="H264" i="1"/>
  <c r="J273" i="1"/>
  <c r="J270" i="1"/>
  <c r="J266" i="1"/>
  <c r="AM273" i="1"/>
  <c r="AM270" i="1"/>
  <c r="AM266" i="1"/>
  <c r="Q333" i="1"/>
  <c r="Q332" i="1"/>
  <c r="AK333" i="1"/>
  <c r="AK332" i="1"/>
  <c r="Z302" i="1"/>
  <c r="Z305" i="1"/>
  <c r="Z298" i="1"/>
  <c r="Y301" i="1"/>
  <c r="Y300" i="1"/>
  <c r="AN333" i="1"/>
  <c r="AN332" i="1"/>
  <c r="X330" i="1"/>
  <c r="X337" i="1"/>
  <c r="X334" i="1"/>
  <c r="N301" i="1"/>
  <c r="N300" i="1"/>
  <c r="V269" i="1"/>
  <c r="V268" i="1"/>
  <c r="E86" i="1"/>
  <c r="H86" i="1" s="1"/>
  <c r="H78" i="1"/>
  <c r="AE270" i="1"/>
  <c r="AE273" i="1"/>
  <c r="AE266" i="1"/>
  <c r="T270" i="1"/>
  <c r="T266" i="1"/>
  <c r="T273" i="1"/>
  <c r="O333" i="1"/>
  <c r="O332" i="1"/>
  <c r="AP338" i="1"/>
  <c r="AP335" i="1"/>
  <c r="AP157" i="1"/>
  <c r="AR270" i="1"/>
  <c r="AR266" i="1"/>
  <c r="AR273" i="1"/>
  <c r="Z268" i="1"/>
  <c r="AH273" i="1"/>
  <c r="AH266" i="1"/>
  <c r="AH270" i="1"/>
  <c r="O337" i="1"/>
  <c r="O330" i="1"/>
  <c r="O334" i="1"/>
  <c r="AK334" i="1"/>
  <c r="AK330" i="1"/>
  <c r="AK337" i="1"/>
  <c r="Y298" i="1"/>
  <c r="Y305" i="1"/>
  <c r="Y302" i="1"/>
  <c r="AJ334" i="1"/>
  <c r="AJ337" i="1"/>
  <c r="AJ330" i="1"/>
  <c r="AN337" i="1"/>
  <c r="AN330" i="1"/>
  <c r="AN334" i="1"/>
  <c r="H53" i="1"/>
  <c r="AA333" i="1"/>
  <c r="AA332" i="1"/>
  <c r="AH269" i="1"/>
  <c r="AH268" i="1"/>
  <c r="M270" i="1"/>
  <c r="M273" i="1"/>
  <c r="M266" i="1"/>
  <c r="H60" i="1"/>
  <c r="E205" i="1"/>
  <c r="E180" i="1"/>
  <c r="Y333" i="1"/>
  <c r="Y332" i="1"/>
  <c r="R303" i="1"/>
  <c r="AA301" i="1"/>
  <c r="AA300" i="1"/>
  <c r="AA337" i="1"/>
  <c r="AA330" i="1"/>
  <c r="AA334" i="1"/>
  <c r="AO301" i="1"/>
  <c r="AO300" i="1"/>
  <c r="N270" i="1"/>
  <c r="N273" i="1"/>
  <c r="N266" i="1"/>
  <c r="U273" i="1"/>
  <c r="U266" i="1"/>
  <c r="U270" i="1"/>
  <c r="AL270" i="1"/>
  <c r="AL273" i="1"/>
  <c r="AL266" i="1"/>
  <c r="AK302" i="1"/>
  <c r="AK298" i="1"/>
  <c r="AK305" i="1"/>
  <c r="S269" i="1"/>
  <c r="S268" i="1"/>
  <c r="AJ332" i="1"/>
  <c r="AJ333" i="1"/>
  <c r="AO302" i="1"/>
  <c r="AO298" i="1"/>
  <c r="AO305" i="1"/>
  <c r="P266" i="1"/>
  <c r="P270" i="1"/>
  <c r="P273" i="1"/>
  <c r="AN270" i="1"/>
  <c r="AN273" i="1"/>
  <c r="AN266" i="1"/>
  <c r="AB330" i="1"/>
  <c r="AB337" i="1"/>
  <c r="AB334" i="1"/>
  <c r="AL333" i="1"/>
  <c r="AL332" i="1"/>
  <c r="P322" i="1"/>
  <c r="AM298" i="1"/>
  <c r="AM302" i="1"/>
  <c r="AM305" i="1"/>
  <c r="P301" i="1"/>
  <c r="P300" i="1"/>
  <c r="H325" i="1"/>
  <c r="U330" i="1"/>
  <c r="U334" i="1"/>
  <c r="U337" i="1"/>
  <c r="Y268" i="1"/>
  <c r="R273" i="1"/>
  <c r="R266" i="1"/>
  <c r="R270" i="1"/>
  <c r="AI266" i="1"/>
  <c r="AI270" i="1"/>
  <c r="AI273" i="1"/>
  <c r="AB333" i="1"/>
  <c r="AB332" i="1"/>
  <c r="AL337" i="1"/>
  <c r="AL330" i="1"/>
  <c r="AL334" i="1"/>
  <c r="AM301" i="1"/>
  <c r="AM300" i="1"/>
  <c r="AS305" i="1"/>
  <c r="AS298" i="1"/>
  <c r="AS302" i="1"/>
  <c r="J333" i="1"/>
  <c r="J332" i="1"/>
  <c r="H91" i="1"/>
  <c r="W333" i="1"/>
  <c r="W332" i="1"/>
  <c r="H261" i="1"/>
  <c r="P333" i="1"/>
  <c r="P332" i="1"/>
  <c r="M301" i="1"/>
  <c r="M300" i="1"/>
  <c r="U333" i="1"/>
  <c r="U332" i="1"/>
  <c r="K266" i="1"/>
  <c r="K270" i="1"/>
  <c r="K273" i="1"/>
  <c r="AK273" i="1"/>
  <c r="AK270" i="1"/>
  <c r="AK266" i="1"/>
  <c r="AK301" i="1"/>
  <c r="AK300" i="1"/>
  <c r="L337" i="1"/>
  <c r="L334" i="1"/>
  <c r="L330" i="1"/>
  <c r="X301" i="1"/>
  <c r="X300" i="1"/>
  <c r="P298" i="1"/>
  <c r="P305" i="1"/>
  <c r="P302" i="1"/>
  <c r="AS301" i="1"/>
  <c r="AS300" i="1"/>
  <c r="H328" i="1"/>
  <c r="J337" i="1"/>
  <c r="J334" i="1"/>
  <c r="J330" i="1"/>
  <c r="W330" i="1"/>
  <c r="W337" i="1"/>
  <c r="W334" i="1"/>
  <c r="L301" i="1"/>
  <c r="L300" i="1"/>
  <c r="AK269" i="1"/>
  <c r="AK268" i="1"/>
  <c r="P337" i="1"/>
  <c r="P334" i="1"/>
  <c r="P330" i="1"/>
  <c r="AM333" i="1"/>
  <c r="AM332" i="1"/>
  <c r="AL301" i="1"/>
  <c r="AL300" i="1"/>
  <c r="AS273" i="1"/>
  <c r="AS270" i="1"/>
  <c r="AS266" i="1"/>
  <c r="AQ273" i="1"/>
  <c r="AQ270" i="1"/>
  <c r="AQ266" i="1"/>
  <c r="X273" i="1"/>
  <c r="X270" i="1"/>
  <c r="X266" i="1"/>
  <c r="AS330" i="1"/>
  <c r="AS334" i="1"/>
  <c r="AS337" i="1"/>
  <c r="J268" i="1"/>
  <c r="AC333" i="1"/>
  <c r="AC332" i="1"/>
  <c r="Z333" i="1"/>
  <c r="Z332" i="1"/>
  <c r="H204" i="1"/>
  <c r="M333" i="1"/>
  <c r="M332" i="1"/>
  <c r="L302" i="1"/>
  <c r="L298" i="1"/>
  <c r="L305" i="1"/>
  <c r="F180" i="1"/>
  <c r="F205" i="1"/>
  <c r="AL268" i="1"/>
  <c r="AS333" i="1"/>
  <c r="AS332" i="1"/>
  <c r="S301" i="1"/>
  <c r="S300" i="1"/>
  <c r="AQ301" i="1"/>
  <c r="AQ300" i="1"/>
  <c r="AG305" i="1"/>
  <c r="AG302" i="1"/>
  <c r="AG298" i="1"/>
  <c r="K333" i="1"/>
  <c r="K332" i="1"/>
  <c r="AD334" i="1"/>
  <c r="AD337" i="1"/>
  <c r="AD330" i="1"/>
  <c r="AG266" i="1"/>
  <c r="AG270" i="1"/>
  <c r="AG273" i="1"/>
  <c r="W269" i="1"/>
  <c r="W268" i="1"/>
  <c r="AB301" i="1"/>
  <c r="AB300" i="1"/>
  <c r="AG301" i="1"/>
  <c r="AG300" i="1"/>
  <c r="AC301" i="1"/>
  <c r="AC300" i="1"/>
  <c r="H179" i="1"/>
  <c r="F61" i="1"/>
  <c r="F222" i="1" s="1"/>
  <c r="F223" i="1" s="1"/>
  <c r="T330" i="1"/>
  <c r="T337" i="1"/>
  <c r="T334" i="1"/>
  <c r="AD270" i="1"/>
  <c r="AD273" i="1"/>
  <c r="AD266" i="1"/>
  <c r="AP270" i="1"/>
  <c r="AP266" i="1"/>
  <c r="AP273" i="1"/>
  <c r="AP302" i="1"/>
  <c r="AP298" i="1"/>
  <c r="AP305" i="1"/>
  <c r="AB302" i="1"/>
  <c r="AB305" i="1"/>
  <c r="AB298" i="1"/>
  <c r="AM337" i="1"/>
  <c r="AM334" i="1"/>
  <c r="AM330" i="1"/>
  <c r="AA270" i="1"/>
  <c r="AA273" i="1"/>
  <c r="AA266" i="1"/>
  <c r="AC334" i="1"/>
  <c r="AC337" i="1"/>
  <c r="AC330" i="1"/>
  <c r="N333" i="1"/>
  <c r="N332" i="1"/>
  <c r="K334" i="1"/>
  <c r="K330" i="1"/>
  <c r="K337" i="1"/>
  <c r="AF270" i="1"/>
  <c r="AF273" i="1"/>
  <c r="AF266" i="1"/>
  <c r="Z301" i="1"/>
  <c r="Z300" i="1"/>
  <c r="AD298" i="1"/>
  <c r="AD305" i="1"/>
  <c r="AD302" i="1"/>
  <c r="AD333" i="1"/>
  <c r="AD332" i="1"/>
  <c r="AB266" i="1"/>
  <c r="AB270" i="1"/>
  <c r="AB273" i="1"/>
  <c r="Z337" i="1"/>
  <c r="Z330" i="1"/>
  <c r="Z334" i="1"/>
  <c r="Q269" i="1"/>
  <c r="Q268" i="1"/>
  <c r="O301" i="1"/>
  <c r="O300" i="1"/>
  <c r="AC273" i="1"/>
  <c r="AC266" i="1"/>
  <c r="AC270" i="1"/>
  <c r="L333" i="1"/>
  <c r="L332" i="1"/>
  <c r="Q301" i="1"/>
  <c r="Q300" i="1"/>
  <c r="H182" i="1"/>
  <c r="AE305" i="1"/>
  <c r="AE302" i="1"/>
  <c r="AE298" i="1"/>
  <c r="X333" i="1"/>
  <c r="X332" i="1"/>
  <c r="N337" i="1"/>
  <c r="N330" i="1"/>
  <c r="N334" i="1"/>
  <c r="AH305" i="1"/>
  <c r="AH298" i="1"/>
  <c r="AH302" i="1"/>
  <c r="O268" i="1"/>
  <c r="AQ305" i="1"/>
  <c r="AQ302" i="1"/>
  <c r="AQ298" i="1"/>
  <c r="AF157" i="1" l="1"/>
  <c r="AF338" i="1"/>
  <c r="G94" i="1"/>
  <c r="V338" i="1"/>
  <c r="AJ322" i="1"/>
  <c r="U322" i="1"/>
  <c r="U326" i="1" s="1"/>
  <c r="K322" i="1"/>
  <c r="K326" i="1" s="1"/>
  <c r="M322" i="1"/>
  <c r="M326" i="1" s="1"/>
  <c r="V322" i="1"/>
  <c r="AK322" i="1"/>
  <c r="AP322" i="1"/>
  <c r="AP326" i="1" s="1"/>
  <c r="AF322" i="1"/>
  <c r="AF326" i="1" s="1"/>
  <c r="AC322" i="1"/>
  <c r="AC326" i="1" s="1"/>
  <c r="AQ322" i="1"/>
  <c r="AQ326" i="1" s="1"/>
  <c r="Z322" i="1"/>
  <c r="Z326" i="1" s="1"/>
  <c r="N322" i="1"/>
  <c r="N326" i="1" s="1"/>
  <c r="R322" i="1"/>
  <c r="R326" i="1" s="1"/>
  <c r="AR338" i="1"/>
  <c r="L322" i="1"/>
  <c r="L326" i="1" s="1"/>
  <c r="X322" i="1"/>
  <c r="X326" i="1" s="1"/>
  <c r="AR335" i="1"/>
  <c r="AR336" i="1" s="1"/>
  <c r="J306" i="1"/>
  <c r="AN322" i="1"/>
  <c r="AN326" i="1" s="1"/>
  <c r="AG335" i="1"/>
  <c r="AG336" i="1" s="1"/>
  <c r="R157" i="1"/>
  <c r="Y322" i="1"/>
  <c r="Y326" i="1" s="1"/>
  <c r="AG338" i="1"/>
  <c r="S157" i="1"/>
  <c r="V157" i="1"/>
  <c r="J303" i="1"/>
  <c r="J304" i="1" s="1"/>
  <c r="AI157" i="1"/>
  <c r="AF149" i="1"/>
  <c r="V303" i="1"/>
  <c r="U303" i="1"/>
  <c r="U304" i="1" s="1"/>
  <c r="U307" i="1" s="1"/>
  <c r="U149" i="1"/>
  <c r="AQ335" i="1"/>
  <c r="AQ336" i="1" s="1"/>
  <c r="AI335" i="1"/>
  <c r="AI336" i="1" s="1"/>
  <c r="AI339" i="1" s="1"/>
  <c r="Q322" i="1"/>
  <c r="Q326" i="1" s="1"/>
  <c r="AI322" i="1"/>
  <c r="AI326" i="1" s="1"/>
  <c r="AQ338" i="1"/>
  <c r="V336" i="1"/>
  <c r="V339" i="1" s="1"/>
  <c r="V158" i="1" s="1"/>
  <c r="AA326" i="1"/>
  <c r="J322" i="1"/>
  <c r="J326" i="1" s="1"/>
  <c r="G93" i="1"/>
  <c r="AB322" i="1"/>
  <c r="AB326" i="1" s="1"/>
  <c r="W322" i="1"/>
  <c r="W326" i="1" s="1"/>
  <c r="AI303" i="1"/>
  <c r="AI304" i="1" s="1"/>
  <c r="AI307" i="1" s="1"/>
  <c r="AI150" i="1" s="1"/>
  <c r="AR322" i="1"/>
  <c r="AR326" i="1" s="1"/>
  <c r="AG322" i="1"/>
  <c r="AG326" i="1" s="1"/>
  <c r="AH322" i="1"/>
  <c r="AH326" i="1" s="1"/>
  <c r="G218" i="1"/>
  <c r="G108" i="1" s="1"/>
  <c r="AE322" i="1"/>
  <c r="AE326" i="1" s="1"/>
  <c r="AF303" i="1"/>
  <c r="AF304" i="1" s="1"/>
  <c r="AF307" i="1" s="1"/>
  <c r="AO322" i="1"/>
  <c r="AO326" i="1" s="1"/>
  <c r="H323" i="1"/>
  <c r="P326" i="1"/>
  <c r="S322" i="1"/>
  <c r="S326" i="1" s="1"/>
  <c r="V304" i="1"/>
  <c r="V307" i="1" s="1"/>
  <c r="AL322" i="1"/>
  <c r="AL326" i="1" s="1"/>
  <c r="T322" i="1"/>
  <c r="T326" i="1" s="1"/>
  <c r="AS322" i="1"/>
  <c r="AS326" i="1" s="1"/>
  <c r="O322" i="1"/>
  <c r="O326" i="1" s="1"/>
  <c r="AM322" i="1"/>
  <c r="AM326" i="1" s="1"/>
  <c r="G74" i="1"/>
  <c r="E217" i="1"/>
  <c r="E107" i="1" s="1"/>
  <c r="H107" i="1" s="1"/>
  <c r="E72" i="1"/>
  <c r="R338" i="1"/>
  <c r="F71" i="1"/>
  <c r="F73" i="1" s="1"/>
  <c r="R149" i="1"/>
  <c r="AE336" i="1"/>
  <c r="S338" i="1"/>
  <c r="G129" i="1"/>
  <c r="W306" i="1"/>
  <c r="W303" i="1"/>
  <c r="AO338" i="1"/>
  <c r="AO157" i="1"/>
  <c r="AJ306" i="1"/>
  <c r="AJ149" i="1"/>
  <c r="AI149" i="1"/>
  <c r="T149" i="1"/>
  <c r="T303" i="1"/>
  <c r="T304" i="1" s="1"/>
  <c r="F224" i="1"/>
  <c r="F225" i="1" s="1"/>
  <c r="AE157" i="1"/>
  <c r="AI259" i="1"/>
  <c r="E236" i="1"/>
  <c r="AE338" i="1"/>
  <c r="E222" i="1"/>
  <c r="AJ326" i="1"/>
  <c r="AC291" i="1"/>
  <c r="F236" i="1"/>
  <c r="AK326" i="1"/>
  <c r="G225" i="1"/>
  <c r="H235" i="1"/>
  <c r="V149" i="1"/>
  <c r="R304" i="1"/>
  <c r="R307" i="1" s="1"/>
  <c r="R308" i="1" s="1"/>
  <c r="AF336" i="1"/>
  <c r="AF339" i="1" s="1"/>
  <c r="AF158" i="1" s="1"/>
  <c r="AR149" i="1"/>
  <c r="AR303" i="1"/>
  <c r="AN303" i="1"/>
  <c r="AN304" i="1" s="1"/>
  <c r="AN306" i="1"/>
  <c r="K149" i="1"/>
  <c r="AA259" i="1"/>
  <c r="V326" i="1"/>
  <c r="K303" i="1"/>
  <c r="K304" i="1" s="1"/>
  <c r="K307" i="1" s="1"/>
  <c r="H269" i="1"/>
  <c r="Z291" i="1"/>
  <c r="AD326" i="1"/>
  <c r="AJ291" i="1"/>
  <c r="Z259" i="1"/>
  <c r="AQ291" i="1"/>
  <c r="Q291" i="1"/>
  <c r="AC259" i="1"/>
  <c r="G186" i="1"/>
  <c r="G219" i="1" s="1"/>
  <c r="N259" i="1"/>
  <c r="J259" i="1"/>
  <c r="W259" i="1"/>
  <c r="AN291" i="1"/>
  <c r="AD259" i="1"/>
  <c r="AE259" i="1"/>
  <c r="AN259" i="1"/>
  <c r="AO291" i="1"/>
  <c r="AK259" i="1"/>
  <c r="J291" i="1"/>
  <c r="AO259" i="1"/>
  <c r="AH259" i="1"/>
  <c r="AD291" i="1"/>
  <c r="T259" i="1"/>
  <c r="AL259" i="1"/>
  <c r="O259" i="1"/>
  <c r="K291" i="1"/>
  <c r="AI291" i="1"/>
  <c r="Y259" i="1"/>
  <c r="S259" i="1"/>
  <c r="R259" i="1"/>
  <c r="AG259" i="1"/>
  <c r="O291" i="1"/>
  <c r="K259" i="1"/>
  <c r="AR259" i="1"/>
  <c r="U259" i="1"/>
  <c r="AM259" i="1"/>
  <c r="L259" i="1"/>
  <c r="X259" i="1"/>
  <c r="H324" i="1"/>
  <c r="G356" i="1" s="1"/>
  <c r="E88" i="1"/>
  <c r="AL260" i="1" s="1"/>
  <c r="H298" i="1"/>
  <c r="F130" i="1" s="1"/>
  <c r="H305" i="1"/>
  <c r="H302" i="1"/>
  <c r="AP336" i="1"/>
  <c r="AP339" i="1" s="1"/>
  <c r="AK306" i="1"/>
  <c r="AK303" i="1"/>
  <c r="AK304" i="1" s="1"/>
  <c r="AK149" i="1"/>
  <c r="N338" i="1"/>
  <c r="N335" i="1"/>
  <c r="N157" i="1"/>
  <c r="AB274" i="1"/>
  <c r="AB271" i="1"/>
  <c r="AB141" i="1"/>
  <c r="AA271" i="1"/>
  <c r="AA272" i="1" s="1"/>
  <c r="AA141" i="1"/>
  <c r="AA274" i="1"/>
  <c r="L335" i="1"/>
  <c r="L336" i="1" s="1"/>
  <c r="L338" i="1"/>
  <c r="L157" i="1"/>
  <c r="H64" i="1"/>
  <c r="E209" i="1"/>
  <c r="H209" i="1" s="1"/>
  <c r="E184" i="1"/>
  <c r="H184" i="1" s="1"/>
  <c r="E89" i="1"/>
  <c r="H89" i="1" s="1"/>
  <c r="AK338" i="1"/>
  <c r="AK335" i="1"/>
  <c r="AK336" i="1" s="1"/>
  <c r="AK157" i="1"/>
  <c r="Y141" i="1"/>
  <c r="Y271" i="1"/>
  <c r="Y274" i="1"/>
  <c r="AH157" i="1"/>
  <c r="AH335" i="1"/>
  <c r="AH336" i="1" s="1"/>
  <c r="AH338" i="1"/>
  <c r="H292" i="1"/>
  <c r="F356" i="1" s="1"/>
  <c r="AD271" i="1"/>
  <c r="AD274" i="1"/>
  <c r="AD141" i="1"/>
  <c r="AQ271" i="1"/>
  <c r="AQ141" i="1"/>
  <c r="AQ274" i="1"/>
  <c r="G195" i="1"/>
  <c r="M338" i="1"/>
  <c r="M157" i="1"/>
  <c r="M335" i="1"/>
  <c r="M336" i="1" s="1"/>
  <c r="V141" i="1"/>
  <c r="V271" i="1"/>
  <c r="V272" i="1" s="1"/>
  <c r="V274" i="1"/>
  <c r="S303" i="1"/>
  <c r="S306" i="1"/>
  <c r="S149" i="1"/>
  <c r="K338" i="1"/>
  <c r="K335" i="1"/>
  <c r="K336" i="1" s="1"/>
  <c r="K157" i="1"/>
  <c r="H330" i="1"/>
  <c r="G130" i="1" s="1"/>
  <c r="J338" i="1"/>
  <c r="J335" i="1"/>
  <c r="J336" i="1" s="1"/>
  <c r="J157" i="1"/>
  <c r="AL141" i="1"/>
  <c r="AL274" i="1"/>
  <c r="AL271" i="1"/>
  <c r="AL272" i="1" s="1"/>
  <c r="AN335" i="1"/>
  <c r="AN336" i="1" s="1"/>
  <c r="AN338" i="1"/>
  <c r="AN157" i="1"/>
  <c r="J274" i="1"/>
  <c r="H266" i="1"/>
  <c r="E130" i="1" s="1"/>
  <c r="J271" i="1"/>
  <c r="J272" i="1" s="1"/>
  <c r="J141" i="1"/>
  <c r="AC306" i="1"/>
  <c r="AC303" i="1"/>
  <c r="AC149" i="1"/>
  <c r="O274" i="1"/>
  <c r="O141" i="1"/>
  <c r="O271" i="1"/>
  <c r="O272" i="1" s="1"/>
  <c r="F181" i="1"/>
  <c r="F186" i="1" s="1"/>
  <c r="F219" i="1" s="1"/>
  <c r="F206" i="1"/>
  <c r="F67" i="1"/>
  <c r="AG274" i="1"/>
  <c r="AG141" i="1"/>
  <c r="AG271" i="1"/>
  <c r="AP291" i="1"/>
  <c r="P291" i="1"/>
  <c r="AG291" i="1"/>
  <c r="P335" i="1"/>
  <c r="P336" i="1" s="1"/>
  <c r="P338" i="1"/>
  <c r="P157" i="1"/>
  <c r="H334" i="1"/>
  <c r="AJ304" i="1"/>
  <c r="M271" i="1"/>
  <c r="M141" i="1"/>
  <c r="M274" i="1"/>
  <c r="AE271" i="1"/>
  <c r="AE274" i="1"/>
  <c r="AE141" i="1"/>
  <c r="H270" i="1"/>
  <c r="Z141" i="1"/>
  <c r="Z274" i="1"/>
  <c r="Z271" i="1"/>
  <c r="AE303" i="1"/>
  <c r="AE306" i="1"/>
  <c r="AE149" i="1"/>
  <c r="M291" i="1"/>
  <c r="AK291" i="1"/>
  <c r="R291" i="1"/>
  <c r="H268" i="1"/>
  <c r="AN274" i="1"/>
  <c r="AN271" i="1"/>
  <c r="AN141" i="1"/>
  <c r="AA335" i="1"/>
  <c r="AA336" i="1" s="1"/>
  <c r="AA338" i="1"/>
  <c r="AA157" i="1"/>
  <c r="AJ335" i="1"/>
  <c r="AJ336" i="1" s="1"/>
  <c r="AJ338" i="1"/>
  <c r="AJ157" i="1"/>
  <c r="Z306" i="1"/>
  <c r="Z149" i="1"/>
  <c r="Z303" i="1"/>
  <c r="Z304" i="1" s="1"/>
  <c r="H273" i="1"/>
  <c r="W274" i="1"/>
  <c r="W271" i="1"/>
  <c r="W141" i="1"/>
  <c r="AO141" i="1"/>
  <c r="AO271" i="1"/>
  <c r="AO272" i="1" s="1"/>
  <c r="AO274" i="1"/>
  <c r="S271" i="1"/>
  <c r="S272" i="1" s="1"/>
  <c r="S141" i="1"/>
  <c r="S274" i="1"/>
  <c r="AM335" i="1"/>
  <c r="AM336" i="1" s="1"/>
  <c r="AM338" i="1"/>
  <c r="AM157" i="1"/>
  <c r="AP306" i="1"/>
  <c r="AP303" i="1"/>
  <c r="AP304" i="1" s="1"/>
  <c r="AP149" i="1"/>
  <c r="AO336" i="1"/>
  <c r="U291" i="1"/>
  <c r="AE291" i="1"/>
  <c r="P306" i="1"/>
  <c r="P149" i="1"/>
  <c r="P303" i="1"/>
  <c r="AM149" i="1"/>
  <c r="AM306" i="1"/>
  <c r="AM303" i="1"/>
  <c r="AM304" i="1" s="1"/>
  <c r="AA303" i="1"/>
  <c r="AA306" i="1"/>
  <c r="AA149" i="1"/>
  <c r="N149" i="1"/>
  <c r="N306" i="1"/>
  <c r="N303" i="1"/>
  <c r="N304" i="1" s="1"/>
  <c r="W291" i="1"/>
  <c r="F191" i="1"/>
  <c r="F192" i="1" s="1"/>
  <c r="AS291" i="1"/>
  <c r="U274" i="1"/>
  <c r="U141" i="1"/>
  <c r="U271" i="1"/>
  <c r="Q303" i="1"/>
  <c r="Q304" i="1" s="1"/>
  <c r="Q149" i="1"/>
  <c r="Q306" i="1"/>
  <c r="AL303" i="1"/>
  <c r="AL304" i="1" s="1"/>
  <c r="AL149" i="1"/>
  <c r="AL306" i="1"/>
  <c r="AD306" i="1"/>
  <c r="AD149" i="1"/>
  <c r="AD303" i="1"/>
  <c r="AD304" i="1" s="1"/>
  <c r="AC335" i="1"/>
  <c r="AC157" i="1"/>
  <c r="AC338" i="1"/>
  <c r="S336" i="1"/>
  <c r="S291" i="1"/>
  <c r="AL291" i="1"/>
  <c r="L291" i="1"/>
  <c r="T291" i="1"/>
  <c r="AS338" i="1"/>
  <c r="AS157" i="1"/>
  <c r="AS335" i="1"/>
  <c r="AS336" i="1" s="1"/>
  <c r="H180" i="1"/>
  <c r="O338" i="1"/>
  <c r="O157" i="1"/>
  <c r="O335" i="1"/>
  <c r="O336" i="1" s="1"/>
  <c r="E206" i="1"/>
  <c r="E181" i="1"/>
  <c r="H61" i="1"/>
  <c r="F93" i="1"/>
  <c r="F94" i="1"/>
  <c r="F129" i="1"/>
  <c r="AQ306" i="1"/>
  <c r="AQ303" i="1"/>
  <c r="AQ149" i="1"/>
  <c r="Z338" i="1"/>
  <c r="Z335" i="1"/>
  <c r="Z336" i="1" s="1"/>
  <c r="Z157" i="1"/>
  <c r="AB306" i="1"/>
  <c r="AB149" i="1"/>
  <c r="AB303" i="1"/>
  <c r="T338" i="1"/>
  <c r="T335" i="1"/>
  <c r="T336" i="1" s="1"/>
  <c r="T157" i="1"/>
  <c r="V291" i="1"/>
  <c r="AM291" i="1"/>
  <c r="AB291" i="1"/>
  <c r="AF291" i="1"/>
  <c r="X274" i="1"/>
  <c r="X271" i="1"/>
  <c r="X141" i="1"/>
  <c r="H300" i="1"/>
  <c r="H332" i="1"/>
  <c r="U338" i="1"/>
  <c r="U157" i="1"/>
  <c r="U335" i="1"/>
  <c r="U336" i="1" s="1"/>
  <c r="AP259" i="1"/>
  <c r="M259" i="1"/>
  <c r="AF259" i="1"/>
  <c r="AJ259" i="1"/>
  <c r="AJ274" i="1"/>
  <c r="AJ271" i="1"/>
  <c r="AJ141" i="1"/>
  <c r="O306" i="1"/>
  <c r="O303" i="1"/>
  <c r="O304" i="1" s="1"/>
  <c r="O149" i="1"/>
  <c r="L306" i="1"/>
  <c r="L149" i="1"/>
  <c r="L303" i="1"/>
  <c r="L304" i="1" s="1"/>
  <c r="AK271" i="1"/>
  <c r="AK274" i="1"/>
  <c r="AK141" i="1"/>
  <c r="AS303" i="1"/>
  <c r="AS304" i="1" s="1"/>
  <c r="AS306" i="1"/>
  <c r="AS149" i="1"/>
  <c r="T271" i="1"/>
  <c r="T274" i="1"/>
  <c r="T141" i="1"/>
  <c r="AM274" i="1"/>
  <c r="AM141" i="1"/>
  <c r="AM271" i="1"/>
  <c r="AD338" i="1"/>
  <c r="AD157" i="1"/>
  <c r="AD335" i="1"/>
  <c r="AD336" i="1" s="1"/>
  <c r="H337" i="1"/>
  <c r="K271" i="1"/>
  <c r="K141" i="1"/>
  <c r="K274" i="1"/>
  <c r="AL338" i="1"/>
  <c r="AL335" i="1"/>
  <c r="AL157" i="1"/>
  <c r="AC271" i="1"/>
  <c r="AC141" i="1"/>
  <c r="AC274" i="1"/>
  <c r="AH303" i="1"/>
  <c r="AH306" i="1"/>
  <c r="AH149" i="1"/>
  <c r="AP271" i="1"/>
  <c r="AP274" i="1"/>
  <c r="AP141" i="1"/>
  <c r="R336" i="1"/>
  <c r="X291" i="1"/>
  <c r="N291" i="1"/>
  <c r="AR291" i="1"/>
  <c r="H301" i="1"/>
  <c r="H333" i="1"/>
  <c r="P274" i="1"/>
  <c r="P271" i="1"/>
  <c r="P141" i="1"/>
  <c r="AQ259" i="1"/>
  <c r="H205" i="1"/>
  <c r="E191" i="1"/>
  <c r="P259" i="1"/>
  <c r="Y306" i="1"/>
  <c r="Y303" i="1"/>
  <c r="Y149" i="1"/>
  <c r="X149" i="1"/>
  <c r="X303" i="1"/>
  <c r="X306" i="1"/>
  <c r="Q335" i="1"/>
  <c r="Q336" i="1" s="1"/>
  <c r="Q338" i="1"/>
  <c r="Q157" i="1"/>
  <c r="L271" i="1"/>
  <c r="L141" i="1"/>
  <c r="L274" i="1"/>
  <c r="AI271" i="1"/>
  <c r="AI274" i="1"/>
  <c r="AI141" i="1"/>
  <c r="AO306" i="1"/>
  <c r="AO303" i="1"/>
  <c r="AO304" i="1" s="1"/>
  <c r="AO149" i="1"/>
  <c r="W338" i="1"/>
  <c r="W157" i="1"/>
  <c r="W335" i="1"/>
  <c r="W336" i="1" s="1"/>
  <c r="E67" i="1"/>
  <c r="AR141" i="1"/>
  <c r="AR274" i="1"/>
  <c r="AR271" i="1"/>
  <c r="AR272" i="1" s="1"/>
  <c r="R274" i="1"/>
  <c r="R271" i="1"/>
  <c r="R141" i="1"/>
  <c r="AB335" i="1"/>
  <c r="AB336" i="1" s="1"/>
  <c r="AB338" i="1"/>
  <c r="AB157" i="1"/>
  <c r="AS141" i="1"/>
  <c r="AS271" i="1"/>
  <c r="AS274" i="1"/>
  <c r="AF271" i="1"/>
  <c r="AF274" i="1"/>
  <c r="AF141" i="1"/>
  <c r="AG303" i="1"/>
  <c r="AG306" i="1"/>
  <c r="AG149" i="1"/>
  <c r="Y291" i="1"/>
  <c r="AA291" i="1"/>
  <c r="AH291" i="1"/>
  <c r="N271" i="1"/>
  <c r="N272" i="1" s="1"/>
  <c r="N274" i="1"/>
  <c r="N141" i="1"/>
  <c r="AS259" i="1"/>
  <c r="V259" i="1"/>
  <c r="Q259" i="1"/>
  <c r="AB259" i="1"/>
  <c r="AH274" i="1"/>
  <c r="AH271" i="1"/>
  <c r="AH141" i="1"/>
  <c r="X338" i="1"/>
  <c r="X335" i="1"/>
  <c r="X336" i="1" s="1"/>
  <c r="X157" i="1"/>
  <c r="M306" i="1"/>
  <c r="M303" i="1"/>
  <c r="M304" i="1" s="1"/>
  <c r="M149" i="1"/>
  <c r="Y338" i="1"/>
  <c r="Y335" i="1"/>
  <c r="Y157" i="1"/>
  <c r="Q271" i="1"/>
  <c r="Q272" i="1" s="1"/>
  <c r="Q274" i="1"/>
  <c r="Q141" i="1"/>
  <c r="M156" i="1" l="1"/>
  <c r="AP156" i="1"/>
  <c r="U156" i="1"/>
  <c r="T156" i="1"/>
  <c r="AN156" i="1"/>
  <c r="W156" i="1"/>
  <c r="AR156" i="1"/>
  <c r="V156" i="1"/>
  <c r="S156" i="1"/>
  <c r="AB156" i="1"/>
  <c r="AR339" i="1"/>
  <c r="AR158" i="1" s="1"/>
  <c r="K156" i="1"/>
  <c r="AJ156" i="1"/>
  <c r="R156" i="1"/>
  <c r="AF156" i="1"/>
  <c r="AK156" i="1"/>
  <c r="P156" i="1"/>
  <c r="L156" i="1"/>
  <c r="AA156" i="1"/>
  <c r="AE156" i="1"/>
  <c r="N156" i="1"/>
  <c r="AO156" i="1"/>
  <c r="AM156" i="1"/>
  <c r="AI156" i="1"/>
  <c r="Z156" i="1"/>
  <c r="AL156" i="1"/>
  <c r="X156" i="1"/>
  <c r="O156" i="1"/>
  <c r="AH156" i="1"/>
  <c r="Q156" i="1"/>
  <c r="Y156" i="1"/>
  <c r="AQ156" i="1"/>
  <c r="AD156" i="1"/>
  <c r="AS156" i="1"/>
  <c r="AG156" i="1"/>
  <c r="AC156" i="1"/>
  <c r="AG339" i="1"/>
  <c r="AG340" i="1" s="1"/>
  <c r="E218" i="1"/>
  <c r="E108" i="1" s="1"/>
  <c r="H217" i="1"/>
  <c r="R339" i="1"/>
  <c r="R158" i="1" s="1"/>
  <c r="S339" i="1"/>
  <c r="AQ339" i="1"/>
  <c r="AQ340" i="1" s="1"/>
  <c r="H71" i="1"/>
  <c r="H322" i="1"/>
  <c r="AK339" i="1"/>
  <c r="AK340" i="1" s="1"/>
  <c r="F75" i="1"/>
  <c r="F74" i="1"/>
  <c r="H72" i="1"/>
  <c r="AE339" i="1"/>
  <c r="AE340" i="1" s="1"/>
  <c r="AE341" i="1" s="1"/>
  <c r="AE160" i="1" s="1"/>
  <c r="E73" i="1"/>
  <c r="E74" i="1" s="1"/>
  <c r="T307" i="1"/>
  <c r="T150" i="1" s="1"/>
  <c r="W304" i="1"/>
  <c r="W307" i="1" s="1"/>
  <c r="F226" i="1"/>
  <c r="AO339" i="1"/>
  <c r="AO158" i="1" s="1"/>
  <c r="AR304" i="1"/>
  <c r="AR307" i="1" s="1"/>
  <c r="H236" i="1"/>
  <c r="AJ307" i="1"/>
  <c r="AJ150" i="1" s="1"/>
  <c r="F115" i="1"/>
  <c r="F218" i="1"/>
  <c r="AO307" i="1"/>
  <c r="AO150" i="1" s="1"/>
  <c r="K339" i="1"/>
  <c r="K158" i="1" s="1"/>
  <c r="R150" i="1"/>
  <c r="H222" i="1"/>
  <c r="E223" i="1"/>
  <c r="G226" i="1"/>
  <c r="AN307" i="1"/>
  <c r="AN150" i="1" s="1"/>
  <c r="AK260" i="1"/>
  <c r="AF340" i="1"/>
  <c r="AF341" i="1" s="1"/>
  <c r="AF160" i="1" s="1"/>
  <c r="AD260" i="1"/>
  <c r="M339" i="1"/>
  <c r="M158" i="1" s="1"/>
  <c r="AP260" i="1"/>
  <c r="AM307" i="1"/>
  <c r="AM308" i="1" s="1"/>
  <c r="AJ339" i="1"/>
  <c r="AJ158" i="1" s="1"/>
  <c r="AG304" i="1"/>
  <c r="AG307" i="1" s="1"/>
  <c r="U339" i="1"/>
  <c r="U158" i="1" s="1"/>
  <c r="AL307" i="1"/>
  <c r="AL150" i="1" s="1"/>
  <c r="AI308" i="1"/>
  <c r="AI151" i="1" s="1"/>
  <c r="AA304" i="1"/>
  <c r="AA307" i="1" s="1"/>
  <c r="H259" i="1"/>
  <c r="H291" i="1"/>
  <c r="Q260" i="1"/>
  <c r="AF260" i="1"/>
  <c r="O260" i="1"/>
  <c r="S260" i="1"/>
  <c r="R260" i="1"/>
  <c r="AA260" i="1"/>
  <c r="H88" i="1"/>
  <c r="U260" i="1"/>
  <c r="AH260" i="1"/>
  <c r="AM260" i="1"/>
  <c r="L339" i="1"/>
  <c r="L158" i="1" s="1"/>
  <c r="V260" i="1"/>
  <c r="AJ260" i="1"/>
  <c r="J260" i="1"/>
  <c r="Q339" i="1"/>
  <c r="Q340" i="1" s="1"/>
  <c r="W260" i="1"/>
  <c r="AO260" i="1"/>
  <c r="X260" i="1"/>
  <c r="Z260" i="1"/>
  <c r="T260" i="1"/>
  <c r="AN260" i="1"/>
  <c r="Q307" i="1"/>
  <c r="Q150" i="1" s="1"/>
  <c r="J275" i="1"/>
  <c r="J276" i="1" s="1"/>
  <c r="AG260" i="1"/>
  <c r="AR260" i="1"/>
  <c r="M260" i="1"/>
  <c r="V340" i="1"/>
  <c r="V159" i="1" s="1"/>
  <c r="AI260" i="1"/>
  <c r="K260" i="1"/>
  <c r="AB260" i="1"/>
  <c r="AS339" i="1"/>
  <c r="AS158" i="1" s="1"/>
  <c r="O307" i="1"/>
  <c r="O150" i="1" s="1"/>
  <c r="AQ260" i="1"/>
  <c r="N260" i="1"/>
  <c r="L260" i="1"/>
  <c r="AH304" i="1"/>
  <c r="AH307" i="1" s="1"/>
  <c r="N307" i="1"/>
  <c r="N150" i="1" s="1"/>
  <c r="AC260" i="1"/>
  <c r="AE260" i="1"/>
  <c r="Y260" i="1"/>
  <c r="AS260" i="1"/>
  <c r="P260" i="1"/>
  <c r="O339" i="1"/>
  <c r="O340" i="1" s="1"/>
  <c r="AL275" i="1"/>
  <c r="AL142" i="1" s="1"/>
  <c r="AP340" i="1"/>
  <c r="AP341" i="1" s="1"/>
  <c r="AP160" i="1" s="1"/>
  <c r="AP158" i="1"/>
  <c r="AK307" i="1"/>
  <c r="AK150" i="1" s="1"/>
  <c r="Q275" i="1"/>
  <c r="Q142" i="1" s="1"/>
  <c r="AM339" i="1"/>
  <c r="AM158" i="1" s="1"/>
  <c r="AN339" i="1"/>
  <c r="AN158" i="1" s="1"/>
  <c r="X339" i="1"/>
  <c r="X158" i="1" s="1"/>
  <c r="AQ272" i="1"/>
  <c r="AQ275" i="1" s="1"/>
  <c r="H306" i="1"/>
  <c r="O275" i="1"/>
  <c r="O142" i="1" s="1"/>
  <c r="N336" i="1"/>
  <c r="N339" i="1" s="1"/>
  <c r="N158" i="1" s="1"/>
  <c r="Z339" i="1"/>
  <c r="Z158" i="1" s="1"/>
  <c r="P339" i="1"/>
  <c r="P158" i="1" s="1"/>
  <c r="Y304" i="1"/>
  <c r="Y307" i="1" s="1"/>
  <c r="AC336" i="1"/>
  <c r="AC339" i="1" s="1"/>
  <c r="AB272" i="1"/>
  <c r="AB275" i="1" s="1"/>
  <c r="AB142" i="1" s="1"/>
  <c r="V275" i="1"/>
  <c r="V142" i="1" s="1"/>
  <c r="H149" i="1"/>
  <c r="M307" i="1"/>
  <c r="M150" i="1" s="1"/>
  <c r="AO275" i="1"/>
  <c r="AO142" i="1" s="1"/>
  <c r="AN272" i="1"/>
  <c r="AN275" i="1" s="1"/>
  <c r="AN142" i="1" s="1"/>
  <c r="AC304" i="1"/>
  <c r="AC307" i="1" s="1"/>
  <c r="AC150" i="1" s="1"/>
  <c r="AD272" i="1"/>
  <c r="AD275" i="1" s="1"/>
  <c r="AD142" i="1" s="1"/>
  <c r="AA275" i="1"/>
  <c r="AA142" i="1" s="1"/>
  <c r="AH339" i="1"/>
  <c r="AH158" i="1" s="1"/>
  <c r="AK272" i="1"/>
  <c r="AK275" i="1" s="1"/>
  <c r="AB339" i="1"/>
  <c r="AB340" i="1" s="1"/>
  <c r="AS307" i="1"/>
  <c r="AS150" i="1" s="1"/>
  <c r="W272" i="1"/>
  <c r="W275" i="1" s="1"/>
  <c r="R340" i="1"/>
  <c r="U150" i="1"/>
  <c r="U308" i="1"/>
  <c r="AG158" i="1"/>
  <c r="K150" i="1"/>
  <c r="K308" i="1"/>
  <c r="AJ272" i="1"/>
  <c r="AJ275" i="1" s="1"/>
  <c r="H274" i="1"/>
  <c r="H157" i="1"/>
  <c r="AD307" i="1"/>
  <c r="S158" i="1"/>
  <c r="S340" i="1"/>
  <c r="H181" i="1"/>
  <c r="E186" i="1"/>
  <c r="M272" i="1"/>
  <c r="M275" i="1" s="1"/>
  <c r="Y272" i="1"/>
  <c r="Y275" i="1" s="1"/>
  <c r="U272" i="1"/>
  <c r="U275" i="1" s="1"/>
  <c r="H206" i="1"/>
  <c r="AE258" i="1"/>
  <c r="O258" i="1"/>
  <c r="AO258" i="1"/>
  <c r="J258" i="1"/>
  <c r="AS258" i="1"/>
  <c r="AA258" i="1"/>
  <c r="W258" i="1"/>
  <c r="AR258" i="1"/>
  <c r="L258" i="1"/>
  <c r="AF258" i="1"/>
  <c r="AM258" i="1"/>
  <c r="S258" i="1"/>
  <c r="AH258" i="1"/>
  <c r="R258" i="1"/>
  <c r="AQ258" i="1"/>
  <c r="K258" i="1"/>
  <c r="M258" i="1"/>
  <c r="P258" i="1"/>
  <c r="AD258" i="1"/>
  <c r="AK258" i="1"/>
  <c r="AN258" i="1"/>
  <c r="Z258" i="1"/>
  <c r="AP258" i="1"/>
  <c r="Q258" i="1"/>
  <c r="AI258" i="1"/>
  <c r="T258" i="1"/>
  <c r="AL258" i="1"/>
  <c r="AL262" i="1" s="1"/>
  <c r="N258" i="1"/>
  <c r="AG258" i="1"/>
  <c r="V258" i="1"/>
  <c r="AB258" i="1"/>
  <c r="Y258" i="1"/>
  <c r="U258" i="1"/>
  <c r="X258" i="1"/>
  <c r="AC258" i="1"/>
  <c r="AJ258" i="1"/>
  <c r="AB304" i="1"/>
  <c r="AB307" i="1" s="1"/>
  <c r="N290" i="1"/>
  <c r="N294" i="1" s="1"/>
  <c r="AP290" i="1"/>
  <c r="AP294" i="1" s="1"/>
  <c r="Z290" i="1"/>
  <c r="Z294" i="1" s="1"/>
  <c r="O290" i="1"/>
  <c r="O294" i="1" s="1"/>
  <c r="M290" i="1"/>
  <c r="M294" i="1" s="1"/>
  <c r="J290" i="1"/>
  <c r="W290" i="1"/>
  <c r="W294" i="1" s="1"/>
  <c r="AI290" i="1"/>
  <c r="AI294" i="1" s="1"/>
  <c r="U290" i="1"/>
  <c r="U294" i="1" s="1"/>
  <c r="AK290" i="1"/>
  <c r="AK294" i="1" s="1"/>
  <c r="K290" i="1"/>
  <c r="K294" i="1" s="1"/>
  <c r="AR290" i="1"/>
  <c r="AR294" i="1" s="1"/>
  <c r="AC290" i="1"/>
  <c r="AC294" i="1" s="1"/>
  <c r="X290" i="1"/>
  <c r="X294" i="1" s="1"/>
  <c r="AM290" i="1"/>
  <c r="AM294" i="1" s="1"/>
  <c r="P290" i="1"/>
  <c r="P294" i="1" s="1"/>
  <c r="AJ290" i="1"/>
  <c r="AJ294" i="1" s="1"/>
  <c r="AG290" i="1"/>
  <c r="AG294" i="1" s="1"/>
  <c r="AQ290" i="1"/>
  <c r="AQ294" i="1" s="1"/>
  <c r="L290" i="1"/>
  <c r="L294" i="1" s="1"/>
  <c r="T290" i="1"/>
  <c r="T294" i="1" s="1"/>
  <c r="Q290" i="1"/>
  <c r="Q294" i="1" s="1"/>
  <c r="AS290" i="1"/>
  <c r="AS294" i="1" s="1"/>
  <c r="AL290" i="1"/>
  <c r="AL294" i="1" s="1"/>
  <c r="AF290" i="1"/>
  <c r="AF294" i="1" s="1"/>
  <c r="V290" i="1"/>
  <c r="V294" i="1" s="1"/>
  <c r="AB290" i="1"/>
  <c r="AB294" i="1" s="1"/>
  <c r="Y290" i="1"/>
  <c r="Y294" i="1" s="1"/>
  <c r="AE290" i="1"/>
  <c r="AE294" i="1" s="1"/>
  <c r="AN290" i="1"/>
  <c r="AN294" i="1" s="1"/>
  <c r="S290" i="1"/>
  <c r="S294" i="1" s="1"/>
  <c r="AA290" i="1"/>
  <c r="AA294" i="1" s="1"/>
  <c r="AO290" i="1"/>
  <c r="AO294" i="1" s="1"/>
  <c r="T272" i="1"/>
  <c r="T275" i="1" s="1"/>
  <c r="G196" i="1"/>
  <c r="G213" i="1" s="1"/>
  <c r="AR275" i="1"/>
  <c r="S275" i="1"/>
  <c r="AI158" i="1"/>
  <c r="AI340" i="1"/>
  <c r="AL336" i="1"/>
  <c r="AL339" i="1" s="1"/>
  <c r="N275" i="1"/>
  <c r="Z272" i="1"/>
  <c r="Z275" i="1" s="1"/>
  <c r="P272" i="1"/>
  <c r="P275" i="1" s="1"/>
  <c r="W339" i="1"/>
  <c r="Z307" i="1"/>
  <c r="AH272" i="1"/>
  <c r="AH275" i="1" s="1"/>
  <c r="K272" i="1"/>
  <c r="K275" i="1" s="1"/>
  <c r="X272" i="1"/>
  <c r="X275" i="1" s="1"/>
  <c r="AE272" i="1"/>
  <c r="AG272" i="1"/>
  <c r="AG275" i="1" s="1"/>
  <c r="AC272" i="1"/>
  <c r="AC275" i="1" s="1"/>
  <c r="F193" i="1"/>
  <c r="AP307" i="1"/>
  <c r="H335" i="1"/>
  <c r="J339" i="1"/>
  <c r="H338" i="1"/>
  <c r="AF150" i="1"/>
  <c r="AF308" i="1"/>
  <c r="AM272" i="1"/>
  <c r="AM275" i="1" s="1"/>
  <c r="E92" i="1"/>
  <c r="AA339" i="1"/>
  <c r="AD339" i="1"/>
  <c r="H141" i="1"/>
  <c r="R290" i="1"/>
  <c r="R294" i="1" s="1"/>
  <c r="R272" i="1"/>
  <c r="R275" i="1" s="1"/>
  <c r="P304" i="1"/>
  <c r="T339" i="1"/>
  <c r="L307" i="1"/>
  <c r="AD290" i="1"/>
  <c r="AD294" i="1" s="1"/>
  <c r="J307" i="1"/>
  <c r="X304" i="1"/>
  <c r="X307" i="1" s="1"/>
  <c r="H271" i="1"/>
  <c r="AQ304" i="1"/>
  <c r="AQ307" i="1" s="1"/>
  <c r="AF272" i="1"/>
  <c r="AF275" i="1" s="1"/>
  <c r="AI272" i="1"/>
  <c r="AI275" i="1" s="1"/>
  <c r="L272" i="1"/>
  <c r="L275" i="1" s="1"/>
  <c r="AH290" i="1"/>
  <c r="AH294" i="1" s="1"/>
  <c r="H303" i="1"/>
  <c r="Y336" i="1"/>
  <c r="AE304" i="1"/>
  <c r="AE307" i="1" s="1"/>
  <c r="S304" i="1"/>
  <c r="S307" i="1" s="1"/>
  <c r="H130" i="1"/>
  <c r="AP272" i="1"/>
  <c r="AP275" i="1" s="1"/>
  <c r="AS272" i="1"/>
  <c r="AS275" i="1" s="1"/>
  <c r="H67" i="1"/>
  <c r="E115" i="1"/>
  <c r="H191" i="1"/>
  <c r="E192" i="1"/>
  <c r="V150" i="1"/>
  <c r="V308" i="1"/>
  <c r="J156" i="1"/>
  <c r="H326" i="1"/>
  <c r="G357" i="1" s="1"/>
  <c r="R311" i="1"/>
  <c r="R151" i="1"/>
  <c r="AQ158" i="1" l="1"/>
  <c r="AR340" i="1"/>
  <c r="AR159" i="1" s="1"/>
  <c r="W262" i="1"/>
  <c r="H156" i="1"/>
  <c r="G227" i="1"/>
  <c r="G241" i="1"/>
  <c r="F227" i="1"/>
  <c r="F241" i="1"/>
  <c r="AJ308" i="1"/>
  <c r="AJ309" i="1" s="1"/>
  <c r="AJ152" i="1" s="1"/>
  <c r="N262" i="1"/>
  <c r="V262" i="1"/>
  <c r="V140" i="1" s="1"/>
  <c r="AE343" i="1"/>
  <c r="AE159" i="1"/>
  <c r="K340" i="1"/>
  <c r="K159" i="1" s="1"/>
  <c r="AK158" i="1"/>
  <c r="AE158" i="1"/>
  <c r="J142" i="1"/>
  <c r="T308" i="1"/>
  <c r="T311" i="1" s="1"/>
  <c r="AP343" i="1"/>
  <c r="AO340" i="1"/>
  <c r="AO159" i="1" s="1"/>
  <c r="E75" i="1"/>
  <c r="H75" i="1" s="1"/>
  <c r="H73" i="1"/>
  <c r="H74" i="1" s="1"/>
  <c r="V343" i="1"/>
  <c r="W150" i="1"/>
  <c r="W308" i="1"/>
  <c r="W309" i="1" s="1"/>
  <c r="W152" i="1" s="1"/>
  <c r="AA262" i="1"/>
  <c r="AA140" i="1" s="1"/>
  <c r="H115" i="1"/>
  <c r="H218" i="1"/>
  <c r="F108" i="1"/>
  <c r="H108" i="1" s="1"/>
  <c r="AR150" i="1"/>
  <c r="AR308" i="1"/>
  <c r="AR311" i="1" s="1"/>
  <c r="G228" i="1"/>
  <c r="AO308" i="1"/>
  <c r="AO311" i="1" s="1"/>
  <c r="AN308" i="1"/>
  <c r="AN311" i="1" s="1"/>
  <c r="F228" i="1"/>
  <c r="AM262" i="1"/>
  <c r="AM140" i="1" s="1"/>
  <c r="AK308" i="1"/>
  <c r="AK151" i="1" s="1"/>
  <c r="E224" i="1"/>
  <c r="H224" i="1" s="1"/>
  <c r="H223" i="1"/>
  <c r="H186" i="1"/>
  <c r="E219" i="1"/>
  <c r="H219" i="1" s="1"/>
  <c r="AD262" i="1"/>
  <c r="AD140" i="1" s="1"/>
  <c r="AM150" i="1"/>
  <c r="AL308" i="1"/>
  <c r="AL311" i="1" s="1"/>
  <c r="V341" i="1"/>
  <c r="V160" i="1" s="1"/>
  <c r="AM340" i="1"/>
  <c r="AM343" i="1" s="1"/>
  <c r="AN340" i="1"/>
  <c r="AN159" i="1" s="1"/>
  <c r="M340" i="1"/>
  <c r="M341" i="1" s="1"/>
  <c r="M160" i="1" s="1"/>
  <c r="AS340" i="1"/>
  <c r="AS343" i="1" s="1"/>
  <c r="AP159" i="1"/>
  <c r="Y262" i="1"/>
  <c r="Y140" i="1" s="1"/>
  <c r="AK262" i="1"/>
  <c r="AK140" i="1" s="1"/>
  <c r="AR262" i="1"/>
  <c r="AR140" i="1" s="1"/>
  <c r="Q158" i="1"/>
  <c r="AI262" i="1"/>
  <c r="AI140" i="1" s="1"/>
  <c r="AC262" i="1"/>
  <c r="AC140" i="1" s="1"/>
  <c r="AP262" i="1"/>
  <c r="AP140" i="1" s="1"/>
  <c r="R262" i="1"/>
  <c r="R140" i="1" s="1"/>
  <c r="X262" i="1"/>
  <c r="X140" i="1" s="1"/>
  <c r="Z262" i="1"/>
  <c r="Z140" i="1" s="1"/>
  <c r="AF262" i="1"/>
  <c r="AF140" i="1" s="1"/>
  <c r="U262" i="1"/>
  <c r="U140" i="1" s="1"/>
  <c r="AF343" i="1"/>
  <c r="AO262" i="1"/>
  <c r="AO140" i="1" s="1"/>
  <c r="AF159" i="1"/>
  <c r="AE262" i="1"/>
  <c r="AE140" i="1" s="1"/>
  <c r="AB262" i="1"/>
  <c r="AB140" i="1" s="1"/>
  <c r="O276" i="1"/>
  <c r="O279" i="1" s="1"/>
  <c r="U340" i="1"/>
  <c r="U343" i="1" s="1"/>
  <c r="AA150" i="1"/>
  <c r="AA308" i="1"/>
  <c r="AA311" i="1" s="1"/>
  <c r="AG150" i="1"/>
  <c r="AG308" i="1"/>
  <c r="AG309" i="1" s="1"/>
  <c r="AG152" i="1" s="1"/>
  <c r="L262" i="1"/>
  <c r="L140" i="1" s="1"/>
  <c r="O158" i="1"/>
  <c r="H260" i="1"/>
  <c r="E356" i="1" s="1"/>
  <c r="H356" i="1" s="1"/>
  <c r="AA276" i="1"/>
  <c r="AI311" i="1"/>
  <c r="Z340" i="1"/>
  <c r="Z343" i="1" s="1"/>
  <c r="S262" i="1"/>
  <c r="S140" i="1" s="1"/>
  <c r="AJ340" i="1"/>
  <c r="AJ343" i="1" s="1"/>
  <c r="G197" i="1"/>
  <c r="G198" i="1" s="1"/>
  <c r="G199" i="1" s="1"/>
  <c r="G211" i="1" s="1"/>
  <c r="AH150" i="1"/>
  <c r="AH308" i="1"/>
  <c r="AH311" i="1" s="1"/>
  <c r="Q308" i="1"/>
  <c r="Q311" i="1" s="1"/>
  <c r="AN262" i="1"/>
  <c r="AN140" i="1" s="1"/>
  <c r="L340" i="1"/>
  <c r="L343" i="1" s="1"/>
  <c r="AO276" i="1"/>
  <c r="AO143" i="1" s="1"/>
  <c r="Q276" i="1"/>
  <c r="Q143" i="1" s="1"/>
  <c r="P262" i="1"/>
  <c r="AL276" i="1"/>
  <c r="AL277" i="1" s="1"/>
  <c r="AL144" i="1" s="1"/>
  <c r="AG262" i="1"/>
  <c r="AG140" i="1" s="1"/>
  <c r="M262" i="1"/>
  <c r="M140" i="1" s="1"/>
  <c r="AS262" i="1"/>
  <c r="AS140" i="1" s="1"/>
  <c r="O308" i="1"/>
  <c r="O311" i="1" s="1"/>
  <c r="K262" i="1"/>
  <c r="K140" i="1" s="1"/>
  <c r="AQ262" i="1"/>
  <c r="AQ140" i="1" s="1"/>
  <c r="T262" i="1"/>
  <c r="T140" i="1" s="1"/>
  <c r="O262" i="1"/>
  <c r="O140" i="1" s="1"/>
  <c r="AC308" i="1"/>
  <c r="AC311" i="1" s="1"/>
  <c r="AH262" i="1"/>
  <c r="AH140" i="1" s="1"/>
  <c r="N308" i="1"/>
  <c r="N151" i="1" s="1"/>
  <c r="V276" i="1"/>
  <c r="V279" i="1" s="1"/>
  <c r="AD276" i="1"/>
  <c r="AD143" i="1" s="1"/>
  <c r="AJ262" i="1"/>
  <c r="AJ140" i="1" s="1"/>
  <c r="Q262" i="1"/>
  <c r="AQ142" i="1"/>
  <c r="AQ276" i="1"/>
  <c r="AQ279" i="1" s="1"/>
  <c r="W142" i="1"/>
  <c r="W276" i="1"/>
  <c r="W279" i="1" s="1"/>
  <c r="AC340" i="1"/>
  <c r="AC159" i="1" s="1"/>
  <c r="AC158" i="1"/>
  <c r="AK142" i="1"/>
  <c r="AK276" i="1"/>
  <c r="Y150" i="1"/>
  <c r="Y308" i="1"/>
  <c r="Y151" i="1" s="1"/>
  <c r="H336" i="1"/>
  <c r="N340" i="1"/>
  <c r="N343" i="1" s="1"/>
  <c r="AS308" i="1"/>
  <c r="AS311" i="1" s="1"/>
  <c r="P340" i="1"/>
  <c r="P159" i="1" s="1"/>
  <c r="Y339" i="1"/>
  <c r="Y340" i="1" s="1"/>
  <c r="AN276" i="1"/>
  <c r="AN279" i="1" s="1"/>
  <c r="H304" i="1"/>
  <c r="AH340" i="1"/>
  <c r="AH341" i="1" s="1"/>
  <c r="AH160" i="1" s="1"/>
  <c r="AB276" i="1"/>
  <c r="AB279" i="1" s="1"/>
  <c r="X340" i="1"/>
  <c r="X343" i="1" s="1"/>
  <c r="AB158" i="1"/>
  <c r="M308" i="1"/>
  <c r="M309" i="1" s="1"/>
  <c r="M152" i="1" s="1"/>
  <c r="H272" i="1"/>
  <c r="S150" i="1"/>
  <c r="S308" i="1"/>
  <c r="S309" i="1" s="1"/>
  <c r="S152" i="1" s="1"/>
  <c r="X150" i="1"/>
  <c r="X308" i="1"/>
  <c r="X309" i="1" s="1"/>
  <c r="X152" i="1" s="1"/>
  <c r="K142" i="1"/>
  <c r="K276" i="1"/>
  <c r="M142" i="1"/>
  <c r="M276" i="1"/>
  <c r="AE150" i="1"/>
  <c r="AE308" i="1"/>
  <c r="Z142" i="1"/>
  <c r="Z276" i="1"/>
  <c r="U142" i="1"/>
  <c r="U276" i="1"/>
  <c r="AL158" i="1"/>
  <c r="AL340" i="1"/>
  <c r="AJ142" i="1"/>
  <c r="AJ276" i="1"/>
  <c r="AP142" i="1"/>
  <c r="AP276" i="1"/>
  <c r="AM142" i="1"/>
  <c r="AM276" i="1"/>
  <c r="AH142" i="1"/>
  <c r="AH276" i="1"/>
  <c r="AI142" i="1"/>
  <c r="AI276" i="1"/>
  <c r="AF142" i="1"/>
  <c r="AF276" i="1"/>
  <c r="AG142" i="1"/>
  <c r="AG276" i="1"/>
  <c r="AQ150" i="1"/>
  <c r="AQ308" i="1"/>
  <c r="AQ309" i="1" s="1"/>
  <c r="AQ152" i="1" s="1"/>
  <c r="AS142" i="1"/>
  <c r="AS276" i="1"/>
  <c r="S142" i="1"/>
  <c r="S276" i="1"/>
  <c r="AQ148" i="1"/>
  <c r="Q343" i="1"/>
  <c r="Q159" i="1"/>
  <c r="Q341" i="1"/>
  <c r="Q160" i="1" s="1"/>
  <c r="Z150" i="1"/>
  <c r="Z308" i="1"/>
  <c r="W158" i="1"/>
  <c r="W340" i="1"/>
  <c r="AJ148" i="1"/>
  <c r="V151" i="1"/>
  <c r="V311" i="1"/>
  <c r="AR341" i="1"/>
  <c r="AR160" i="1" s="1"/>
  <c r="AF151" i="1"/>
  <c r="AF311" i="1"/>
  <c r="P142" i="1"/>
  <c r="P276" i="1"/>
  <c r="P148" i="1"/>
  <c r="F194" i="1"/>
  <c r="F195" i="1" s="1"/>
  <c r="X142" i="1"/>
  <c r="X276" i="1"/>
  <c r="V309" i="1"/>
  <c r="V152" i="1" s="1"/>
  <c r="V148" i="1"/>
  <c r="O148" i="1"/>
  <c r="E193" i="1"/>
  <c r="H193" i="1" s="1"/>
  <c r="H192" i="1"/>
  <c r="AD158" i="1"/>
  <c r="AD340" i="1"/>
  <c r="AF148" i="1"/>
  <c r="AF309" i="1"/>
  <c r="AF152" i="1" s="1"/>
  <c r="X148" i="1"/>
  <c r="Z148" i="1"/>
  <c r="N140" i="1"/>
  <c r="W140" i="1"/>
  <c r="P307" i="1"/>
  <c r="H307" i="1" s="1"/>
  <c r="F131" i="1" s="1"/>
  <c r="AB150" i="1"/>
  <c r="AB308" i="1"/>
  <c r="AL148" i="1"/>
  <c r="AC148" i="1"/>
  <c r="AP148" i="1"/>
  <c r="AL140" i="1"/>
  <c r="K311" i="1"/>
  <c r="K151" i="1"/>
  <c r="AN148" i="1"/>
  <c r="U309" i="1"/>
  <c r="U152" i="1" s="1"/>
  <c r="U148" i="1"/>
  <c r="AD150" i="1"/>
  <c r="AD308" i="1"/>
  <c r="AD309" i="1" s="1"/>
  <c r="AD152" i="1" s="1"/>
  <c r="AB159" i="1"/>
  <c r="AB343" i="1"/>
  <c r="AB341" i="1"/>
  <c r="AB160" i="1" s="1"/>
  <c r="T142" i="1"/>
  <c r="T276" i="1"/>
  <c r="R142" i="1"/>
  <c r="R276" i="1"/>
  <c r="AQ343" i="1"/>
  <c r="AQ159" i="1"/>
  <c r="AQ341" i="1"/>
  <c r="AQ160" i="1" s="1"/>
  <c r="AE275" i="1"/>
  <c r="H275" i="1" s="1"/>
  <c r="E131" i="1" s="1"/>
  <c r="AR142" i="1"/>
  <c r="AR276" i="1"/>
  <c r="AE148" i="1"/>
  <c r="W148" i="1"/>
  <c r="O343" i="1"/>
  <c r="O159" i="1"/>
  <c r="O341" i="1"/>
  <c r="O160" i="1" s="1"/>
  <c r="Y148" i="1"/>
  <c r="H290" i="1"/>
  <c r="J294" i="1"/>
  <c r="R309" i="1"/>
  <c r="R152" i="1" s="1"/>
  <c r="R148" i="1"/>
  <c r="AB148" i="1"/>
  <c r="U311" i="1"/>
  <c r="U151" i="1"/>
  <c r="AM148" i="1"/>
  <c r="AM309" i="1"/>
  <c r="AM152" i="1" s="1"/>
  <c r="AH148" i="1"/>
  <c r="J150" i="1"/>
  <c r="J308" i="1"/>
  <c r="AC142" i="1"/>
  <c r="AC276" i="1"/>
  <c r="N142" i="1"/>
  <c r="N276" i="1"/>
  <c r="AS148" i="1"/>
  <c r="AR148" i="1"/>
  <c r="N148" i="1"/>
  <c r="AM311" i="1"/>
  <c r="AM151" i="1"/>
  <c r="R343" i="1"/>
  <c r="R159" i="1"/>
  <c r="R341" i="1"/>
  <c r="R160" i="1" s="1"/>
  <c r="AD148" i="1"/>
  <c r="J158" i="1"/>
  <c r="J340" i="1"/>
  <c r="AO148" i="1"/>
  <c r="Q148" i="1"/>
  <c r="K148" i="1"/>
  <c r="K309" i="1"/>
  <c r="K152" i="1" s="1"/>
  <c r="J262" i="1"/>
  <c r="H258" i="1"/>
  <c r="AG343" i="1"/>
  <c r="AG159" i="1"/>
  <c r="AG341" i="1"/>
  <c r="AG160" i="1" s="1"/>
  <c r="AG148" i="1"/>
  <c r="AA148" i="1"/>
  <c r="T148" i="1"/>
  <c r="S343" i="1"/>
  <c r="S159" i="1"/>
  <c r="S341" i="1"/>
  <c r="S160" i="1" s="1"/>
  <c r="AK343" i="1"/>
  <c r="AK159" i="1"/>
  <c r="AK341" i="1"/>
  <c r="AK160" i="1" s="1"/>
  <c r="AI309" i="1"/>
  <c r="AI152" i="1" s="1"/>
  <c r="AI148" i="1"/>
  <c r="M148" i="1"/>
  <c r="Y142" i="1"/>
  <c r="Y276" i="1"/>
  <c r="L142" i="1"/>
  <c r="L276" i="1"/>
  <c r="L150" i="1"/>
  <c r="L308" i="1"/>
  <c r="L309" i="1" s="1"/>
  <c r="L152" i="1" s="1"/>
  <c r="AA158" i="1"/>
  <c r="AA340" i="1"/>
  <c r="AI343" i="1"/>
  <c r="AI159" i="1"/>
  <c r="AI341" i="1"/>
  <c r="AI160" i="1" s="1"/>
  <c r="AK148" i="1"/>
  <c r="J143" i="1"/>
  <c r="J279" i="1"/>
  <c r="T158" i="1"/>
  <c r="T340" i="1"/>
  <c r="E129" i="1"/>
  <c r="H129" i="1" s="1"/>
  <c r="H92" i="1"/>
  <c r="E93" i="1"/>
  <c r="E94" i="1"/>
  <c r="AP150" i="1"/>
  <c r="AP308" i="1"/>
  <c r="AP309" i="1" s="1"/>
  <c r="AP152" i="1" s="1"/>
  <c r="S148" i="1"/>
  <c r="L148" i="1"/>
  <c r="AJ151" i="1" l="1"/>
  <c r="AJ311" i="1"/>
  <c r="AR343" i="1"/>
  <c r="K341" i="1"/>
  <c r="K160" i="1" s="1"/>
  <c r="K343" i="1"/>
  <c r="T151" i="1"/>
  <c r="T309" i="1"/>
  <c r="T152" i="1" s="1"/>
  <c r="AO309" i="1"/>
  <c r="AO152" i="1" s="1"/>
  <c r="AO341" i="1"/>
  <c r="AO160" i="1" s="1"/>
  <c r="M159" i="1"/>
  <c r="AO343" i="1"/>
  <c r="AR151" i="1"/>
  <c r="W151" i="1"/>
  <c r="AR309" i="1"/>
  <c r="AR152" i="1" s="1"/>
  <c r="W311" i="1"/>
  <c r="AH343" i="1"/>
  <c r="AN151" i="1"/>
  <c r="O143" i="1"/>
  <c r="AO151" i="1"/>
  <c r="N311" i="1"/>
  <c r="AN309" i="1"/>
  <c r="AN152" i="1" s="1"/>
  <c r="AN341" i="1"/>
  <c r="AN160" i="1" s="1"/>
  <c r="AA277" i="1"/>
  <c r="AA144" i="1" s="1"/>
  <c r="AN343" i="1"/>
  <c r="AM277" i="1"/>
  <c r="AM144" i="1" s="1"/>
  <c r="M343" i="1"/>
  <c r="Y311" i="1"/>
  <c r="AA309" i="1"/>
  <c r="AA152" i="1" s="1"/>
  <c r="X277" i="1"/>
  <c r="X144" i="1" s="1"/>
  <c r="AL309" i="1"/>
  <c r="AL152" i="1" s="1"/>
  <c r="AG151" i="1"/>
  <c r="F229" i="1"/>
  <c r="G229" i="1"/>
  <c r="G230" i="1" s="1"/>
  <c r="G239" i="1" s="1"/>
  <c r="G109" i="1" s="1"/>
  <c r="AD279" i="1"/>
  <c r="AG311" i="1"/>
  <c r="AM159" i="1"/>
  <c r="N309" i="1"/>
  <c r="N152" i="1" s="1"/>
  <c r="AS341" i="1"/>
  <c r="AS160" i="1" s="1"/>
  <c r="AL151" i="1"/>
  <c r="AK311" i="1"/>
  <c r="AM341" i="1"/>
  <c r="AM160" i="1" s="1"/>
  <c r="AK309" i="1"/>
  <c r="AK152" i="1" s="1"/>
  <c r="E225" i="1"/>
  <c r="Y277" i="1"/>
  <c r="Y144" i="1" s="1"/>
  <c r="O309" i="1"/>
  <c r="O152" i="1" s="1"/>
  <c r="P343" i="1"/>
  <c r="AS309" i="1"/>
  <c r="AS152" i="1" s="1"/>
  <c r="AS159" i="1"/>
  <c r="AC341" i="1"/>
  <c r="AC160" i="1" s="1"/>
  <c r="AS151" i="1"/>
  <c r="O151" i="1"/>
  <c r="AA151" i="1"/>
  <c r="AH309" i="1"/>
  <c r="AH152" i="1" s="1"/>
  <c r="L341" i="1"/>
  <c r="L160" i="1" s="1"/>
  <c r="AK277" i="1"/>
  <c r="AK144" i="1" s="1"/>
  <c r="L159" i="1"/>
  <c r="U277" i="1"/>
  <c r="U144" i="1" s="1"/>
  <c r="Z277" i="1"/>
  <c r="Z144" i="1" s="1"/>
  <c r="AC277" i="1"/>
  <c r="AC144" i="1" s="1"/>
  <c r="AA279" i="1"/>
  <c r="AK279" i="1"/>
  <c r="AB277" i="1"/>
  <c r="AB144" i="1" s="1"/>
  <c r="O277" i="1"/>
  <c r="O144" i="1" s="1"/>
  <c r="Q309" i="1"/>
  <c r="Q152" i="1" s="1"/>
  <c r="AQ143" i="1"/>
  <c r="L277" i="1"/>
  <c r="L144" i="1" s="1"/>
  <c r="AH151" i="1"/>
  <c r="AO277" i="1"/>
  <c r="AO144" i="1" s="1"/>
  <c r="P341" i="1"/>
  <c r="P160" i="1" s="1"/>
  <c r="K277" i="1"/>
  <c r="K144" i="1" s="1"/>
  <c r="AH159" i="1"/>
  <c r="AO279" i="1"/>
  <c r="U341" i="1"/>
  <c r="U160" i="1" s="1"/>
  <c r="AC151" i="1"/>
  <c r="U159" i="1"/>
  <c r="X159" i="1"/>
  <c r="AC309" i="1"/>
  <c r="AC152" i="1" s="1"/>
  <c r="AK143" i="1"/>
  <c r="P277" i="1"/>
  <c r="P144" i="1" s="1"/>
  <c r="AL143" i="1"/>
  <c r="AA143" i="1"/>
  <c r="AC343" i="1"/>
  <c r="AL279" i="1"/>
  <c r="AJ341" i="1"/>
  <c r="AJ160" i="1" s="1"/>
  <c r="AJ159" i="1"/>
  <c r="V277" i="1"/>
  <c r="V144" i="1" s="1"/>
  <c r="X341" i="1"/>
  <c r="X160" i="1" s="1"/>
  <c r="Z341" i="1"/>
  <c r="Z160" i="1" s="1"/>
  <c r="Q277" i="1"/>
  <c r="Q144" i="1" s="1"/>
  <c r="Z159" i="1"/>
  <c r="P140" i="1"/>
  <c r="AH277" i="1"/>
  <c r="AH144" i="1" s="1"/>
  <c r="W143" i="1"/>
  <c r="AS277" i="1"/>
  <c r="AS144" i="1" s="1"/>
  <c r="Q151" i="1"/>
  <c r="Y158" i="1"/>
  <c r="H158" i="1" s="1"/>
  <c r="AD277" i="1"/>
  <c r="AD144" i="1" s="1"/>
  <c r="Q140" i="1"/>
  <c r="M151" i="1"/>
  <c r="M277" i="1"/>
  <c r="M144" i="1" s="1"/>
  <c r="Q279" i="1"/>
  <c r="AG277" i="1"/>
  <c r="AG144" i="1" s="1"/>
  <c r="V143" i="1"/>
  <c r="AQ277" i="1"/>
  <c r="AQ144" i="1" s="1"/>
  <c r="Y309" i="1"/>
  <c r="Y152" i="1" s="1"/>
  <c r="N341" i="1"/>
  <c r="N160" i="1" s="1"/>
  <c r="N159" i="1"/>
  <c r="M311" i="1"/>
  <c r="W277" i="1"/>
  <c r="W144" i="1" s="1"/>
  <c r="AB143" i="1"/>
  <c r="AN277" i="1"/>
  <c r="AN144" i="1" s="1"/>
  <c r="AN143" i="1"/>
  <c r="H339" i="1"/>
  <c r="G131" i="1" s="1"/>
  <c r="H131" i="1" s="1"/>
  <c r="N143" i="1"/>
  <c r="N279" i="1"/>
  <c r="R279" i="1"/>
  <c r="R143" i="1"/>
  <c r="AP143" i="1"/>
  <c r="AP279" i="1"/>
  <c r="Y143" i="1"/>
  <c r="Y279" i="1"/>
  <c r="J309" i="1"/>
  <c r="H294" i="1"/>
  <c r="F357" i="1" s="1"/>
  <c r="J148" i="1"/>
  <c r="H148" i="1" s="1"/>
  <c r="AB311" i="1"/>
  <c r="AB151" i="1"/>
  <c r="AJ279" i="1"/>
  <c r="AJ143" i="1"/>
  <c r="AL343" i="1"/>
  <c r="AL159" i="1"/>
  <c r="AL341" i="1"/>
  <c r="AL160" i="1" s="1"/>
  <c r="R277" i="1"/>
  <c r="R144" i="1" s="1"/>
  <c r="T279" i="1"/>
  <c r="T143" i="1"/>
  <c r="N277" i="1"/>
  <c r="N144" i="1" s="1"/>
  <c r="W343" i="1"/>
  <c r="W159" i="1"/>
  <c r="W341" i="1"/>
  <c r="W160" i="1" s="1"/>
  <c r="Z311" i="1"/>
  <c r="Z151" i="1"/>
  <c r="S143" i="1"/>
  <c r="S279" i="1"/>
  <c r="AI279" i="1"/>
  <c r="AI143" i="1"/>
  <c r="T343" i="1"/>
  <c r="T159" i="1"/>
  <c r="T341" i="1"/>
  <c r="T160" i="1" s="1"/>
  <c r="J151" i="1"/>
  <c r="J311" i="1"/>
  <c r="U279" i="1"/>
  <c r="U143" i="1"/>
  <c r="L151" i="1"/>
  <c r="L311" i="1"/>
  <c r="J343" i="1"/>
  <c r="H340" i="1"/>
  <c r="G132" i="1" s="1"/>
  <c r="J159" i="1"/>
  <c r="J341" i="1"/>
  <c r="AB309" i="1"/>
  <c r="AB152" i="1" s="1"/>
  <c r="Y343" i="1"/>
  <c r="Y159" i="1"/>
  <c r="Y341" i="1"/>
  <c r="Y160" i="1" s="1"/>
  <c r="P150" i="1"/>
  <c r="H150" i="1" s="1"/>
  <c r="P308" i="1"/>
  <c r="Z309" i="1"/>
  <c r="Z152" i="1" s="1"/>
  <c r="AD343" i="1"/>
  <c r="AD159" i="1"/>
  <c r="AD341" i="1"/>
  <c r="AD160" i="1" s="1"/>
  <c r="F196" i="1"/>
  <c r="F197" i="1" s="1"/>
  <c r="AH143" i="1"/>
  <c r="AH279" i="1"/>
  <c r="X311" i="1"/>
  <c r="X151" i="1"/>
  <c r="AE311" i="1"/>
  <c r="AE151" i="1"/>
  <c r="E194" i="1"/>
  <c r="H194" i="1" s="1"/>
  <c r="AC143" i="1"/>
  <c r="AC279" i="1"/>
  <c r="AE309" i="1"/>
  <c r="AE152" i="1" s="1"/>
  <c r="M143" i="1"/>
  <c r="M279" i="1"/>
  <c r="H93" i="1"/>
  <c r="H94" i="1"/>
  <c r="J140" i="1"/>
  <c r="H262" i="1"/>
  <c r="E357" i="1" s="1"/>
  <c r="J277" i="1"/>
  <c r="AR279" i="1"/>
  <c r="AR143" i="1"/>
  <c r="K143" i="1"/>
  <c r="K279" i="1"/>
  <c r="AJ277" i="1"/>
  <c r="AJ144" i="1" s="1"/>
  <c r="AI277" i="1"/>
  <c r="AI144" i="1" s="1"/>
  <c r="AE142" i="1"/>
  <c r="H142" i="1" s="1"/>
  <c r="AE276" i="1"/>
  <c r="H276" i="1" s="1"/>
  <c r="E132" i="1" s="1"/>
  <c r="Z279" i="1"/>
  <c r="Z143" i="1"/>
  <c r="L279" i="1"/>
  <c r="L143" i="1"/>
  <c r="AS279" i="1"/>
  <c r="AS143" i="1"/>
  <c r="AM279" i="1"/>
  <c r="AM143" i="1"/>
  <c r="AF143" i="1"/>
  <c r="AF279" i="1"/>
  <c r="AD311" i="1"/>
  <c r="AD151" i="1"/>
  <c r="P279" i="1"/>
  <c r="P143" i="1"/>
  <c r="G116" i="1"/>
  <c r="G212" i="1"/>
  <c r="G120" i="1"/>
  <c r="G119" i="1"/>
  <c r="S311" i="1"/>
  <c r="S151" i="1"/>
  <c r="AG279" i="1"/>
  <c r="AG143" i="1"/>
  <c r="AA159" i="1"/>
  <c r="AA343" i="1"/>
  <c r="AA341" i="1"/>
  <c r="AA160" i="1" s="1"/>
  <c r="AP311" i="1"/>
  <c r="AP151" i="1"/>
  <c r="T277" i="1"/>
  <c r="T144" i="1" s="1"/>
  <c r="AP277" i="1"/>
  <c r="AP144" i="1" s="1"/>
  <c r="S277" i="1"/>
  <c r="S144" i="1" s="1"/>
  <c r="AR277" i="1"/>
  <c r="AR144" i="1" s="1"/>
  <c r="X279" i="1"/>
  <c r="X143" i="1"/>
  <c r="AF277" i="1"/>
  <c r="AF144" i="1" s="1"/>
  <c r="AQ311" i="1"/>
  <c r="AQ151" i="1"/>
  <c r="G200" i="1"/>
  <c r="F213" i="1" l="1"/>
  <c r="G352" i="1"/>
  <c r="T344" i="1"/>
  <c r="AF344" i="1"/>
  <c r="AR344" i="1"/>
  <c r="N344" i="1"/>
  <c r="AL344" i="1"/>
  <c r="AD344" i="1"/>
  <c r="U344" i="1"/>
  <c r="AG344" i="1"/>
  <c r="AS344" i="1"/>
  <c r="M344" i="1"/>
  <c r="Z344" i="1"/>
  <c r="AP344" i="1"/>
  <c r="S344" i="1"/>
  <c r="V344" i="1"/>
  <c r="AH344" i="1"/>
  <c r="J344" i="1"/>
  <c r="R344" i="1"/>
  <c r="AE344" i="1"/>
  <c r="K344" i="1"/>
  <c r="W344" i="1"/>
  <c r="AI344" i="1"/>
  <c r="AK344" i="1"/>
  <c r="O344" i="1"/>
  <c r="AA344" i="1"/>
  <c r="AM344" i="1"/>
  <c r="L344" i="1"/>
  <c r="X344" i="1"/>
  <c r="AJ344" i="1"/>
  <c r="Y344" i="1"/>
  <c r="P344" i="1"/>
  <c r="AB344" i="1"/>
  <c r="AN344" i="1"/>
  <c r="Q344" i="1"/>
  <c r="AC344" i="1"/>
  <c r="AO344" i="1"/>
  <c r="AQ344" i="1"/>
  <c r="G243" i="1"/>
  <c r="G112" i="1" s="1"/>
  <c r="G244" i="1"/>
  <c r="G113" i="1" s="1"/>
  <c r="G240" i="1"/>
  <c r="G110" i="1" s="1"/>
  <c r="F230" i="1"/>
  <c r="F239" i="1" s="1"/>
  <c r="F109" i="1" s="1"/>
  <c r="G231" i="1"/>
  <c r="G359" i="1" s="1"/>
  <c r="H225" i="1"/>
  <c r="E226" i="1"/>
  <c r="E227" i="1" s="1"/>
  <c r="H227" i="1" s="1"/>
  <c r="H140" i="1"/>
  <c r="H343" i="1"/>
  <c r="J152" i="1"/>
  <c r="P311" i="1"/>
  <c r="H311" i="1" s="1"/>
  <c r="P151" i="1"/>
  <c r="H151" i="1" s="1"/>
  <c r="P309" i="1"/>
  <c r="P152" i="1" s="1"/>
  <c r="J144" i="1"/>
  <c r="H357" i="1"/>
  <c r="H308" i="1"/>
  <c r="F132" i="1" s="1"/>
  <c r="H132" i="1" s="1"/>
  <c r="G214" i="1"/>
  <c r="G118" i="1" s="1"/>
  <c r="G117" i="1"/>
  <c r="H341" i="1"/>
  <c r="J160" i="1"/>
  <c r="G133" i="1"/>
  <c r="G134" i="1"/>
  <c r="F198" i="1"/>
  <c r="AE143" i="1"/>
  <c r="H143" i="1" s="1"/>
  <c r="AE279" i="1"/>
  <c r="H279" i="1" s="1"/>
  <c r="AE277" i="1"/>
  <c r="AE144" i="1" s="1"/>
  <c r="E195" i="1"/>
  <c r="H159" i="1"/>
  <c r="AJ345" i="1" l="1"/>
  <c r="M345" i="1"/>
  <c r="AR345" i="1"/>
  <c r="AA345" i="1"/>
  <c r="Z345" i="1"/>
  <c r="Y345" i="1"/>
  <c r="AO345" i="1"/>
  <c r="R345" i="1"/>
  <c r="O345" i="1"/>
  <c r="L345" i="1"/>
  <c r="AP345" i="1"/>
  <c r="V345" i="1"/>
  <c r="AE345" i="1"/>
  <c r="AL345" i="1"/>
  <c r="AQ345" i="1"/>
  <c r="AS345" i="1"/>
  <c r="AF345" i="1"/>
  <c r="AB345" i="1"/>
  <c r="K345" i="1"/>
  <c r="U345" i="1"/>
  <c r="S345" i="1"/>
  <c r="N345" i="1"/>
  <c r="X345" i="1"/>
  <c r="AD345" i="1"/>
  <c r="T345" i="1"/>
  <c r="AI345" i="1"/>
  <c r="AK345" i="1"/>
  <c r="Q345" i="1"/>
  <c r="P345" i="1"/>
  <c r="W345" i="1"/>
  <c r="AN345" i="1"/>
  <c r="J345" i="1"/>
  <c r="AM345" i="1"/>
  <c r="AH345" i="1"/>
  <c r="AG345" i="1"/>
  <c r="AC345" i="1"/>
  <c r="H344" i="1"/>
  <c r="G122" i="1" s="1"/>
  <c r="H226" i="1"/>
  <c r="E241" i="1"/>
  <c r="H195" i="1"/>
  <c r="G245" i="1"/>
  <c r="G242" i="1"/>
  <c r="G111" i="1" s="1"/>
  <c r="F240" i="1"/>
  <c r="F244" i="1"/>
  <c r="F113" i="1" s="1"/>
  <c r="F243" i="1"/>
  <c r="F112" i="1" s="1"/>
  <c r="F231" i="1"/>
  <c r="F359" i="1" s="1"/>
  <c r="E228" i="1"/>
  <c r="G123" i="1"/>
  <c r="E133" i="1"/>
  <c r="H277" i="1"/>
  <c r="E123" i="1"/>
  <c r="F123" i="1"/>
  <c r="AP145" i="1"/>
  <c r="AD145" i="1"/>
  <c r="R145" i="1"/>
  <c r="AN145" i="1"/>
  <c r="AB145" i="1"/>
  <c r="P145" i="1"/>
  <c r="AO145" i="1"/>
  <c r="Z145" i="1"/>
  <c r="L145" i="1"/>
  <c r="AL145" i="1"/>
  <c r="X145" i="1"/>
  <c r="J145" i="1"/>
  <c r="AK145" i="1"/>
  <c r="W145" i="1"/>
  <c r="AJ145" i="1"/>
  <c r="V145" i="1"/>
  <c r="AC145" i="1"/>
  <c r="AA145" i="1"/>
  <c r="AM145" i="1"/>
  <c r="N145" i="1"/>
  <c r="Y145" i="1"/>
  <c r="AS145" i="1"/>
  <c r="AI145" i="1"/>
  <c r="M145" i="1"/>
  <c r="AE145" i="1"/>
  <c r="AH145" i="1"/>
  <c r="K145" i="1"/>
  <c r="AG145" i="1"/>
  <c r="AF145" i="1"/>
  <c r="U145" i="1"/>
  <c r="T145" i="1"/>
  <c r="S145" i="1"/>
  <c r="H144" i="1"/>
  <c r="AR145" i="1"/>
  <c r="Q145" i="1"/>
  <c r="AQ145" i="1"/>
  <c r="O145" i="1"/>
  <c r="AR161" i="1"/>
  <c r="AF161" i="1"/>
  <c r="T161" i="1"/>
  <c r="AP161" i="1"/>
  <c r="AD161" i="1"/>
  <c r="R161" i="1"/>
  <c r="AE161" i="1"/>
  <c r="P161" i="1"/>
  <c r="AQ161" i="1"/>
  <c r="AB161" i="1"/>
  <c r="N161" i="1"/>
  <c r="AO161" i="1"/>
  <c r="AA161" i="1"/>
  <c r="M161" i="1"/>
  <c r="AN161" i="1"/>
  <c r="Z161" i="1"/>
  <c r="L161" i="1"/>
  <c r="AS161" i="1"/>
  <c r="AL161" i="1"/>
  <c r="S161" i="1"/>
  <c r="AK161" i="1"/>
  <c r="Q161" i="1"/>
  <c r="AJ161" i="1"/>
  <c r="J161" i="1"/>
  <c r="AC161" i="1"/>
  <c r="W161" i="1"/>
  <c r="AI161" i="1"/>
  <c r="U161" i="1"/>
  <c r="AH161" i="1"/>
  <c r="AG161" i="1"/>
  <c r="Y161" i="1"/>
  <c r="X161" i="1"/>
  <c r="H160" i="1"/>
  <c r="V161" i="1"/>
  <c r="O161" i="1"/>
  <c r="AM161" i="1"/>
  <c r="K161" i="1"/>
  <c r="F133" i="1"/>
  <c r="F134" i="1"/>
  <c r="F199" i="1"/>
  <c r="F211" i="1" s="1"/>
  <c r="H309" i="1"/>
  <c r="E196" i="1"/>
  <c r="E213" i="1" s="1"/>
  <c r="AK153" i="1"/>
  <c r="Y153" i="1"/>
  <c r="M153" i="1"/>
  <c r="AI153" i="1"/>
  <c r="W153" i="1"/>
  <c r="K153" i="1"/>
  <c r="AJ153" i="1"/>
  <c r="U153" i="1"/>
  <c r="AG153" i="1"/>
  <c r="S153" i="1"/>
  <c r="AF153" i="1"/>
  <c r="R153" i="1"/>
  <c r="AS153" i="1"/>
  <c r="AE153" i="1"/>
  <c r="Q153" i="1"/>
  <c r="H152" i="1"/>
  <c r="AQ153" i="1"/>
  <c r="X153" i="1"/>
  <c r="AP153" i="1"/>
  <c r="V153" i="1"/>
  <c r="AA153" i="1"/>
  <c r="AO153" i="1"/>
  <c r="AN153" i="1"/>
  <c r="J153" i="1"/>
  <c r="Z153" i="1"/>
  <c r="N153" i="1"/>
  <c r="T153" i="1"/>
  <c r="AR153" i="1"/>
  <c r="P153" i="1"/>
  <c r="O153" i="1"/>
  <c r="AM153" i="1"/>
  <c r="L153" i="1"/>
  <c r="AL153" i="1"/>
  <c r="AH153" i="1"/>
  <c r="AD153" i="1"/>
  <c r="AC153" i="1"/>
  <c r="AB153" i="1"/>
  <c r="E134" i="1"/>
  <c r="F242" i="1" l="1"/>
  <c r="F111" i="1" s="1"/>
  <c r="F110" i="1"/>
  <c r="H228" i="1"/>
  <c r="E229" i="1"/>
  <c r="G126" i="1"/>
  <c r="G127" i="1"/>
  <c r="H345" i="1"/>
  <c r="F200" i="1"/>
  <c r="H134" i="1"/>
  <c r="F116" i="1"/>
  <c r="F212" i="1"/>
  <c r="F245" i="1" s="1"/>
  <c r="F120" i="1"/>
  <c r="F119" i="1"/>
  <c r="H196" i="1"/>
  <c r="E197" i="1"/>
  <c r="H123" i="1"/>
  <c r="F352" i="1" l="1"/>
  <c r="T312" i="1"/>
  <c r="T313" i="1" s="1"/>
  <c r="AF312" i="1"/>
  <c r="AF313" i="1" s="1"/>
  <c r="AR312" i="1"/>
  <c r="AR313" i="1" s="1"/>
  <c r="Z312" i="1"/>
  <c r="Z313" i="1" s="1"/>
  <c r="S312" i="1"/>
  <c r="S313" i="1" s="1"/>
  <c r="U312" i="1"/>
  <c r="U313" i="1" s="1"/>
  <c r="AG312" i="1"/>
  <c r="AG313" i="1" s="1"/>
  <c r="AS312" i="1"/>
  <c r="AS313" i="1" s="1"/>
  <c r="N312" i="1"/>
  <c r="N313" i="1" s="1"/>
  <c r="AL312" i="1"/>
  <c r="AL313" i="1" s="1"/>
  <c r="AQ312" i="1"/>
  <c r="AQ313" i="1" s="1"/>
  <c r="V312" i="1"/>
  <c r="V313" i="1" s="1"/>
  <c r="AH312" i="1"/>
  <c r="AH313" i="1" s="1"/>
  <c r="J312" i="1"/>
  <c r="AD312" i="1"/>
  <c r="AD313" i="1" s="1"/>
  <c r="K312" i="1"/>
  <c r="K313" i="1" s="1"/>
  <c r="W312" i="1"/>
  <c r="W313" i="1" s="1"/>
  <c r="AI312" i="1"/>
  <c r="AI313" i="1" s="1"/>
  <c r="AK312" i="1"/>
  <c r="AK313" i="1" s="1"/>
  <c r="O312" i="1"/>
  <c r="O313" i="1" s="1"/>
  <c r="AA312" i="1"/>
  <c r="AA313" i="1" s="1"/>
  <c r="AM312" i="1"/>
  <c r="AM313" i="1" s="1"/>
  <c r="L312" i="1"/>
  <c r="L313" i="1" s="1"/>
  <c r="X312" i="1"/>
  <c r="X313" i="1" s="1"/>
  <c r="AJ312" i="1"/>
  <c r="AJ313" i="1" s="1"/>
  <c r="M312" i="1"/>
  <c r="M313" i="1" s="1"/>
  <c r="Y312" i="1"/>
  <c r="Y313" i="1" s="1"/>
  <c r="P312" i="1"/>
  <c r="P313" i="1" s="1"/>
  <c r="AB312" i="1"/>
  <c r="AB313" i="1" s="1"/>
  <c r="AN312" i="1"/>
  <c r="AN313" i="1" s="1"/>
  <c r="R312" i="1"/>
  <c r="R313" i="1" s="1"/>
  <c r="AE312" i="1"/>
  <c r="AE313" i="1" s="1"/>
  <c r="Q312" i="1"/>
  <c r="Q313" i="1" s="1"/>
  <c r="AC312" i="1"/>
  <c r="AC313" i="1" s="1"/>
  <c r="AO312" i="1"/>
  <c r="AO313" i="1" s="1"/>
  <c r="AP312" i="1"/>
  <c r="AP313" i="1" s="1"/>
  <c r="G124" i="1"/>
  <c r="G348" i="1"/>
  <c r="G349" i="1" s="1"/>
  <c r="G125" i="1" s="1"/>
  <c r="H229" i="1"/>
  <c r="E230" i="1"/>
  <c r="E231" i="1" s="1"/>
  <c r="F117" i="1"/>
  <c r="F214" i="1"/>
  <c r="F118" i="1" s="1"/>
  <c r="H197" i="1"/>
  <c r="E198" i="1"/>
  <c r="H312" i="1" l="1"/>
  <c r="F122" i="1" s="1"/>
  <c r="J313" i="1"/>
  <c r="H231" i="1"/>
  <c r="H230" i="1"/>
  <c r="E239" i="1"/>
  <c r="E199" i="1"/>
  <c r="E200" i="1" s="1"/>
  <c r="H198" i="1"/>
  <c r="H313" i="1" l="1"/>
  <c r="F127" i="1"/>
  <c r="F126" i="1"/>
  <c r="T280" i="1"/>
  <c r="T281" i="1" s="1"/>
  <c r="AF280" i="1"/>
  <c r="AF281" i="1" s="1"/>
  <c r="AR280" i="1"/>
  <c r="AR281" i="1" s="1"/>
  <c r="M280" i="1"/>
  <c r="M281" i="1" s="1"/>
  <c r="Z280" i="1"/>
  <c r="Z281" i="1" s="1"/>
  <c r="U280" i="1"/>
  <c r="U281" i="1" s="1"/>
  <c r="AG280" i="1"/>
  <c r="AG281" i="1" s="1"/>
  <c r="AS280" i="1"/>
  <c r="AS281" i="1" s="1"/>
  <c r="AL280" i="1"/>
  <c r="AL281" i="1" s="1"/>
  <c r="R280" i="1"/>
  <c r="R281" i="1" s="1"/>
  <c r="V280" i="1"/>
  <c r="V281" i="1" s="1"/>
  <c r="AH280" i="1"/>
  <c r="AH281" i="1" s="1"/>
  <c r="AP280" i="1"/>
  <c r="AP281" i="1" s="1"/>
  <c r="AE280" i="1"/>
  <c r="AE281" i="1" s="1"/>
  <c r="K280" i="1"/>
  <c r="K281" i="1" s="1"/>
  <c r="W280" i="1"/>
  <c r="W281" i="1" s="1"/>
  <c r="AI280" i="1"/>
  <c r="AI281" i="1" s="1"/>
  <c r="AK280" i="1"/>
  <c r="AK281" i="1" s="1"/>
  <c r="N280" i="1"/>
  <c r="N281" i="1" s="1"/>
  <c r="O280" i="1"/>
  <c r="O281" i="1" s="1"/>
  <c r="AA280" i="1"/>
  <c r="AA281" i="1" s="1"/>
  <c r="AM280" i="1"/>
  <c r="AM281" i="1" s="1"/>
  <c r="L280" i="1"/>
  <c r="L281" i="1" s="1"/>
  <c r="X280" i="1"/>
  <c r="X281" i="1" s="1"/>
  <c r="AJ280" i="1"/>
  <c r="AJ281" i="1" s="1"/>
  <c r="Y280" i="1"/>
  <c r="Y281" i="1" s="1"/>
  <c r="P280" i="1"/>
  <c r="P281" i="1" s="1"/>
  <c r="AB280" i="1"/>
  <c r="AB281" i="1" s="1"/>
  <c r="AN280" i="1"/>
  <c r="AN281" i="1" s="1"/>
  <c r="AD280" i="1"/>
  <c r="AD281" i="1" s="1"/>
  <c r="AQ280" i="1"/>
  <c r="AQ281" i="1" s="1"/>
  <c r="Q280" i="1"/>
  <c r="Q281" i="1" s="1"/>
  <c r="AC280" i="1"/>
  <c r="AC281" i="1" s="1"/>
  <c r="AO280" i="1"/>
  <c r="AO281" i="1" s="1"/>
  <c r="S280" i="1"/>
  <c r="S281" i="1" s="1"/>
  <c r="J280" i="1"/>
  <c r="J281" i="1" s="1"/>
  <c r="E359" i="1"/>
  <c r="H359" i="1" s="1"/>
  <c r="E109" i="1"/>
  <c r="H109" i="1" s="1"/>
  <c r="H239" i="1"/>
  <c r="H243" i="1" s="1"/>
  <c r="H112" i="1" s="1"/>
  <c r="E240" i="1"/>
  <c r="E110" i="1" s="1"/>
  <c r="H110" i="1" s="1"/>
  <c r="E244" i="1"/>
  <c r="E113" i="1" s="1"/>
  <c r="E243" i="1"/>
  <c r="E112" i="1" s="1"/>
  <c r="H200" i="1"/>
  <c r="E211" i="1"/>
  <c r="E352" i="1" s="1"/>
  <c r="H352" i="1" s="1"/>
  <c r="H199" i="1"/>
  <c r="E126" i="1" l="1"/>
  <c r="H281" i="1"/>
  <c r="E127" i="1"/>
  <c r="F348" i="1"/>
  <c r="F349" i="1" s="1"/>
  <c r="F125" i="1" s="1"/>
  <c r="F124" i="1"/>
  <c r="H280" i="1"/>
  <c r="E122" i="1" s="1"/>
  <c r="H122" i="1" s="1"/>
  <c r="H360" i="1"/>
  <c r="H3" i="1" s="1"/>
  <c r="H241" i="1"/>
  <c r="H240" i="1"/>
  <c r="H211" i="1"/>
  <c r="H119" i="1" s="1"/>
  <c r="E116" i="1"/>
  <c r="H116" i="1" s="1"/>
  <c r="E120" i="1"/>
  <c r="E119" i="1"/>
  <c r="E212" i="1"/>
  <c r="E245" i="1" s="1"/>
  <c r="H245" i="1" s="1"/>
  <c r="E348" i="1" l="1"/>
  <c r="H348" i="1" s="1"/>
  <c r="E124" i="1"/>
  <c r="H124" i="1" s="1"/>
  <c r="E242" i="1"/>
  <c r="H212" i="1"/>
  <c r="E117" i="1"/>
  <c r="H117" i="1" s="1"/>
  <c r="H213" i="1"/>
  <c r="E349" i="1" l="1"/>
  <c r="H242" i="1"/>
  <c r="E111" i="1"/>
  <c r="H111" i="1" s="1"/>
  <c r="E214" i="1"/>
  <c r="H349" i="1" l="1"/>
  <c r="E125" i="1"/>
  <c r="H125" i="1" s="1"/>
  <c r="H214" i="1"/>
  <c r="E118" i="1"/>
  <c r="H1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Zádeczki Zalán</author>
  </authors>
  <commentList>
    <comment ref="G195" authorId="0" shapeId="0" xr:uid="{868D0816-57CB-4F1E-8088-D84283E21DCA}">
      <text>
        <r>
          <rPr>
            <b/>
            <sz val="9"/>
            <color indexed="81"/>
            <rFont val="Tahoma"/>
            <charset val="1"/>
          </rPr>
          <t>Zádeczki Zalán:</t>
        </r>
        <r>
          <rPr>
            <sz val="9"/>
            <color indexed="81"/>
            <rFont val="Tahoma"/>
            <charset val="1"/>
          </rPr>
          <t xml:space="preserve">
not correct</t>
        </r>
      </text>
    </comment>
    <comment ref="J232" authorId="0" shapeId="0" xr:uid="{32427C90-ED46-4543-ABF3-2F53AEA9FA3D}">
      <text>
        <r>
          <rPr>
            <b/>
            <sz val="9"/>
            <color indexed="81"/>
            <rFont val="Tahoma"/>
            <charset val="1"/>
          </rPr>
          <t>Zádeczki Zalán:</t>
        </r>
        <r>
          <rPr>
            <sz val="9"/>
            <color indexed="81"/>
            <rFont val="Tahoma"/>
            <charset val="1"/>
          </rPr>
          <t xml:space="preserve">
different exit date </t>
        </r>
      </text>
    </comment>
  </commentList>
</comments>
</file>

<file path=xl/sharedStrings.xml><?xml version="1.0" encoding="utf-8"?>
<sst xmlns="http://schemas.openxmlformats.org/spreadsheetml/2006/main" count="1018" uniqueCount="429">
  <si>
    <t>Master check (0 = OK; checks at the end of the detail)</t>
  </si>
  <si>
    <t>flag</t>
  </si>
  <si>
    <t>x</t>
  </si>
  <si>
    <t>Key inputs: the bids</t>
  </si>
  <si>
    <t>Bora</t>
  </si>
  <si>
    <t>Iváncsa</t>
  </si>
  <si>
    <t>Dunaújváros</t>
  </si>
  <si>
    <t>Total</t>
  </si>
  <si>
    <t>Net connection capacity</t>
  </si>
  <si>
    <t>MVA</t>
  </si>
  <si>
    <t>Overbuild (ÖSZ-3)</t>
  </si>
  <si>
    <t>%</t>
  </si>
  <si>
    <t>BESS power, share of MVA (ÖSZ-4)</t>
  </si>
  <si>
    <t>BESS duration</t>
  </si>
  <si>
    <t>h</t>
  </si>
  <si>
    <t>Wind built below the bid</t>
  </si>
  <si>
    <t>Municipal one-off (ÖSZ-1), at COD</t>
  </si>
  <si>
    <t>EUR k/MVA</t>
  </si>
  <si>
    <t>Community contribution (ÖSZ-2)</t>
  </si>
  <si>
    <t>EUR/MWh</t>
  </si>
  <si>
    <t>Partial award accepted (ÖSZ-5)</t>
  </si>
  <si>
    <t>Performance security multiple (ÖSZ-6)</t>
  </si>
  <si>
    <t>Brownfield site (ÖSZ-7)</t>
  </si>
  <si>
    <t>Shared connection (ÖSZ-8)</t>
  </si>
  <si>
    <t>Turbine route (EU or CN; EU scores ÖSZ-9)</t>
  </si>
  <si>
    <t>text</t>
  </si>
  <si>
    <t>CN</t>
  </si>
  <si>
    <t>RtB premium</t>
  </si>
  <si>
    <t>FEP share of distributable proceeds</t>
  </si>
  <si>
    <t>Developer success fee (DSA) on</t>
  </si>
  <si>
    <t>Case: turbine price, PPA, yield, O&amp;M</t>
  </si>
  <si>
    <t>Base</t>
  </si>
  <si>
    <t>Low</t>
  </si>
  <si>
    <t>High</t>
  </si>
  <si>
    <t>Live</t>
  </si>
  <si>
    <t>Case selected (Base, Low or High)</t>
  </si>
  <si>
    <t>case</t>
  </si>
  <si>
    <t>Turbine supply incl. transport, EU route</t>
  </si>
  <si>
    <t>EUR k/MW</t>
  </si>
  <si>
    <t>Bora Dashboard H8 / Inputs G162</t>
  </si>
  <si>
    <t>Turbine supply incl. transport, CN route</t>
  </si>
  <si>
    <t>Bora Inputs H162</t>
  </si>
  <si>
    <t>PPA price in the COD year</t>
  </si>
  <si>
    <t>Bora Dashboard H9</t>
  </si>
  <si>
    <t>h/yr</t>
  </si>
  <si>
    <t>Bora Dashboard H10</t>
  </si>
  <si>
    <t>O&amp;M full-service contract</t>
  </si>
  <si>
    <t>EUR k/MW/yr</t>
  </si>
  <si>
    <t>Bora Dashboard H11</t>
  </si>
  <si>
    <t>Bid points and capacity</t>
  </si>
  <si>
    <t>Points – municipal one-off</t>
  </si>
  <si>
    <t>points</t>
  </si>
  <si>
    <t>Points – community contribution</t>
  </si>
  <si>
    <t>Points – overbuild</t>
  </si>
  <si>
    <t>Points – BESS</t>
  </si>
  <si>
    <t>Points – partial award</t>
  </si>
  <si>
    <t>Points – performance security</t>
  </si>
  <si>
    <t>Points – brownfield</t>
  </si>
  <si>
    <t>Points – shared connection</t>
  </si>
  <si>
    <t>Points – EU turbines</t>
  </si>
  <si>
    <t>Points – EU transformers</t>
  </si>
  <si>
    <t>Points total</t>
  </si>
  <si>
    <t>Wind committed in the bid</t>
  </si>
  <si>
    <t>MW</t>
  </si>
  <si>
    <t>BESS energy</t>
  </si>
  <si>
    <t>MWh</t>
  </si>
  <si>
    <t>Wind built (committed less the build shortfall)</t>
  </si>
  <si>
    <t>Guarantees, securities and connection fees, DEVEX (HUF)</t>
  </si>
  <si>
    <t>Date: Bora</t>
  </si>
  <si>
    <t>Participation fee</t>
  </si>
  <si>
    <t>HUF</t>
  </si>
  <si>
    <t>Bid security</t>
  </si>
  <si>
    <t>Performance security payable (bid security deducted)</t>
  </si>
  <si>
    <t>TSO connection-request security</t>
  </si>
  <si>
    <t>Direct connection fee (per point ÷ bids sharing it)</t>
  </si>
  <si>
    <t>Indirect connection fee, payable (TSO security deducted)</t>
  </si>
  <si>
    <t>DEVEX</t>
  </si>
  <si>
    <t>Guarantees, securities and connection fees, DEVEX (EUR k)</t>
  </si>
  <si>
    <t>EUR k</t>
  </si>
  <si>
    <t>Direct connection fee</t>
  </si>
  <si>
    <t>Signing fee and DD</t>
  </si>
  <si>
    <t>Total cash to RtB (incl. signing and DD)</t>
  </si>
  <si>
    <t>Capex breakdown to COD</t>
  </si>
  <si>
    <t>Turbines (route price, live case)</t>
  </si>
  <si>
    <t>Installation and erection</t>
  </si>
  <si>
    <t>Foundations</t>
  </si>
  <si>
    <t>Balance of plant – civil</t>
  </si>
  <si>
    <t>Balance of plant – electrical</t>
  </si>
  <si>
    <t>Owner's costs, engineering, PM, construction insurance</t>
  </si>
  <si>
    <t>Land purchase and easements</t>
  </si>
  <si>
    <t>Substation and 132 kV bay (scaled by MVA)</t>
  </si>
  <si>
    <t>Contingency (not on BESS)</t>
  </si>
  <si>
    <t>BESS (on BESS energy)</t>
  </si>
  <si>
    <t>Construction capex</t>
  </si>
  <si>
    <t>Connection fees (TSO security, direct, indirect)</t>
  </si>
  <si>
    <t>Municipal one-off</t>
  </si>
  <si>
    <t>Development (participation fee, devex, signing and DD)</t>
  </si>
  <si>
    <t>All-in cost to COD (securities excluded: returned)</t>
  </si>
  <si>
    <t>All-in cost per MW built</t>
  </si>
  <si>
    <t>All-in cost per MVA</t>
  </si>
  <si>
    <t>Devex breakdown (Bora: devex-file categories; tender fee and securities: above)</t>
  </si>
  <si>
    <t>Grid connection plan and agreement</t>
  </si>
  <si>
    <t>Land (reservation, purchase, contracting)</t>
  </si>
  <si>
    <t>Permits, zoning, cable rights</t>
  </si>
  <si>
    <t>Studies (wind, environment, ground)</t>
  </si>
  <si>
    <t>Legal, financial and other</t>
  </si>
  <si>
    <t>Contingency</t>
  </si>
  <si>
    <t>Devex total (= DEVEX line above)</t>
  </si>
  <si>
    <t>Total FEP cash out to RtB (peak exposure)</t>
  </si>
  <si>
    <t>Total proceeds to FEP at the sale</t>
  </si>
  <si>
    <t>FEP profit, pre-tax</t>
  </si>
  <si>
    <t>FEP profit, post-tax</t>
  </si>
  <si>
    <t>MOIC, pre-tax</t>
  </si>
  <si>
    <t>IRR, pre-tax</t>
  </si>
  <si>
    <t>Total capex and costs to COD</t>
  </si>
  <si>
    <t>Sale price at COD</t>
  </si>
  <si>
    <t>Hold to maturity (EBITDA only, no debt, no tax)</t>
  </si>
  <si>
    <t>Total revenue over the life</t>
  </si>
  <si>
    <t>Total opex over the life</t>
  </si>
  <si>
    <t>Total EBITDA over the life</t>
  </si>
  <si>
    <t>Project IRR, pre-tax</t>
  </si>
  <si>
    <t>NPV at the discount rate, at the first year end</t>
  </si>
  <si>
    <t>Annual cash flow per project (EUR k)</t>
  </si>
  <si>
    <t>Year</t>
  </si>
  <si>
    <t>year</t>
  </si>
  <si>
    <t>Spending (capex, fees, securities, devex), net</t>
  </si>
  <si>
    <t>Revenue</t>
  </si>
  <si>
    <t>Opex</t>
  </si>
  <si>
    <t>EBITDA</t>
  </si>
  <si>
    <t>Net cash flow</t>
  </si>
  <si>
    <t>Cumulative net cash flow</t>
  </si>
  <si>
    <t>Detailed calculations: claims, waterfall, dated flows, timelines, checks – expand the group</t>
  </si>
  <si>
    <t>RtB exit: FEP claims at the sale (interest to the freeze, act/365, capitalised 31-Dec)</t>
  </si>
  <si>
    <t>Interest accrual end (earlier of freeze and sale)</t>
  </si>
  <si>
    <t>date</t>
  </si>
  <si>
    <t>Accrual factor in the end year, cash rate</t>
  </si>
  <si>
    <t>Accrual factor in the end year, devex rate</t>
  </si>
  <si>
    <t>Days to the first 31-Dec from bid submission</t>
  </si>
  <si>
    <t>days</t>
  </si>
  <si>
    <t>Accrual factor from bid submission</t>
  </si>
  <si>
    <t>Days to the first 31-Dec from performance security posting</t>
  </si>
  <si>
    <t>Accrual factor from performance security posting</t>
  </si>
  <si>
    <t>Days to the first 31-Dec from TSO security payment</t>
  </si>
  <si>
    <t>Accrual factor from TSO security payment</t>
  </si>
  <si>
    <t>Days to the first 31-Dec from connection agreement (HCSSZ)</t>
  </si>
  <si>
    <t>Accrual factor from connection agreement (HCSSZ)</t>
  </si>
  <si>
    <t>Days to the first 31-Dec from devex payment (average)</t>
  </si>
  <si>
    <t>Accrual factor from devex payment (average)</t>
  </si>
  <si>
    <t>Claim: participation fee (not reimbursed)</t>
  </si>
  <si>
    <t>Claim: bid security (cash)</t>
  </si>
  <si>
    <t>Claim: performance security payable (cash)</t>
  </si>
  <si>
    <t>Claim: TSO connection-request security</t>
  </si>
  <si>
    <t>Claim: direct connection fee</t>
  </si>
  <si>
    <t>Claim: indirect connection fee, payable</t>
  </si>
  <si>
    <t>Claim: devex, MAX(20 % accrued, 1× principal)</t>
  </si>
  <si>
    <t>Total FEP claims</t>
  </si>
  <si>
    <t>Developer success fee due (DSA, capped)</t>
  </si>
  <si>
    <t>RtB exit: waterfall at the sale</t>
  </si>
  <si>
    <t>Buyer reimburses securities and connection fees at cost</t>
  </si>
  <si>
    <t>Total proceeds</t>
  </si>
  <si>
    <t>Less sale costs</t>
  </si>
  <si>
    <t>Less securities and fees repaid to FEP</t>
  </si>
  <si>
    <t>Less FEP claims at 12 %</t>
  </si>
  <si>
    <t>Less FEP devex return</t>
  </si>
  <si>
    <t>Less developer success fee (DSA)</t>
  </si>
  <si>
    <t>Distributable proceeds</t>
  </si>
  <si>
    <t>FEP share of distributable</t>
  </si>
  <si>
    <t>Developer share of distributable</t>
  </si>
  <si>
    <t>FEP cash flows, dated (outlays, then receipts at the sale)</t>
  </si>
  <si>
    <t>Performance security payable</t>
  </si>
  <si>
    <t>Indirect connection fee, payable</t>
  </si>
  <si>
    <t>Devex</t>
  </si>
  <si>
    <t>FEP receipts at the sale (repaid, claims, share)</t>
  </si>
  <si>
    <t>Annual timeline</t>
  </si>
  <si>
    <t>Year end</t>
  </si>
  <si>
    <t>Bora: annual cash flow (EUR k)</t>
  </si>
  <si>
    <t>Value</t>
  </si>
  <si>
    <t>Years from the COD year</t>
  </si>
  <si>
    <t>years</t>
  </si>
  <si>
    <t>Construction months by year end (value: construction period)</t>
  </si>
  <si>
    <t>months</t>
  </si>
  <si>
    <t>Construction share of the year (NTP to COD)</t>
  </si>
  <si>
    <t>Months operated by year end (value: operating life)</t>
  </si>
  <si>
    <t>Operating share of the year (COD to end of life)</t>
  </si>
  <si>
    <t>COD year flag</t>
  </si>
  <si>
    <t>FEP outlays at their dates (signing, fee, securities, fees, devex)</t>
  </si>
  <si>
    <t>Performance security released (bid security included)</t>
  </si>
  <si>
    <t>Construction capex (straight-line NTP to COD)</t>
  </si>
  <si>
    <t>Municipal one-off at COD</t>
  </si>
  <si>
    <t>Investment cash flow</t>
  </si>
  <si>
    <t>Degradation factor (from the first full year)</t>
  </si>
  <si>
    <t>Net generation</t>
  </si>
  <si>
    <t>GWh</t>
  </si>
  <si>
    <t>PPA price</t>
  </si>
  <si>
    <t>Opex index (COD year = 1)</t>
  </si>
  <si>
    <t>O&amp;M, BoP, lease, insurance, management, property tax</t>
  </si>
  <si>
    <t>Administration, audit, compliance</t>
  </si>
  <si>
    <t>Balancing and grid charges</t>
  </si>
  <si>
    <t>MEKH supervisory fee</t>
  </si>
  <si>
    <t>Opex contingency</t>
  </si>
  <si>
    <t>Community contribution</t>
  </si>
  <si>
    <t>HIPA local business tax</t>
  </si>
  <si>
    <t>Total opex</t>
  </si>
  <si>
    <t>Unlevered pre-tax cash flow</t>
  </si>
  <si>
    <t>Discount factor to COD (buyer's rate)</t>
  </si>
  <si>
    <t>EBITDA valued at COD (total = COD price)</t>
  </si>
  <si>
    <t>COD exit: FEP cash flow (to COD, price and securities at COD)</t>
  </si>
  <si>
    <t>Iváncsa: annual cash flow (EUR k)</t>
  </si>
  <si>
    <t>Dunaújváros: annual cash flow (EUR k)</t>
  </si>
  <si>
    <t>COD exit: tax on the gain (price and profit: totals of the cash-flow blocks above)</t>
  </si>
  <si>
    <t>Checks (0 = OK)</t>
  </si>
  <si>
    <t>RtB waterfall closes (proceeds = all amounts paid out)</t>
  </si>
  <si>
    <t>Claim lines paid before the accrual end year</t>
  </si>
  <si>
    <t>Turbine route is EU or CN</t>
  </si>
  <si>
    <t>Devex breakdown = DEVEX line</t>
  </si>
  <si>
    <t>Construction capex spread in full (timeline = capex)</t>
  </si>
  <si>
    <t>Investment cash flows = all-in cost to COD</t>
  </si>
  <si>
    <t>Operating life inside the timeline</t>
  </si>
  <si>
    <t>Master check</t>
  </si>
  <si>
    <t>***END***</t>
  </si>
  <si>
    <t>HU wind bids – other inputs (blue) with sources</t>
  </si>
  <si>
    <t>Inputs</t>
  </si>
  <si>
    <t>Source</t>
  </si>
  <si>
    <t>Tender and grid (all projects; value in column E)</t>
  </si>
  <si>
    <t>FX rate</t>
  </si>
  <si>
    <t>HUF/EUR</t>
  </si>
  <si>
    <t>Bora Inputs E11; Bid_Cash E45</t>
  </si>
  <si>
    <t>Security base: benchmark investment, wind</t>
  </si>
  <si>
    <t>HUF/MW</t>
  </si>
  <si>
    <t>Bora Inputs E75; Bid_Cash E46</t>
  </si>
  <si>
    <t>Security base: benchmark investment, BESS</t>
  </si>
  <si>
    <t>HUF/MWh</t>
  </si>
  <si>
    <t>Bora Inputs E89; Bid_Cash E47</t>
  </si>
  <si>
    <t>Bid security, share of base</t>
  </si>
  <si>
    <t>Bora Inputs E76; Bid_Cash E49</t>
  </si>
  <si>
    <t>Performance security, minimum share of base</t>
  </si>
  <si>
    <t>Bora Inputs E77; Bid_Cash E50</t>
  </si>
  <si>
    <t>Participation fee per bid</t>
  </si>
  <si>
    <t>Bora Inputs E81; Bid_Cash E48</t>
  </si>
  <si>
    <t>HUF/MVA</t>
  </si>
  <si>
    <t>Bora Inputs E83; Bid_Cash E51</t>
  </si>
  <si>
    <t>Per project: fees, devex, dates</t>
  </si>
  <si>
    <t>Indirect connection fee</t>
  </si>
  <si>
    <t>Bora Inputs G290; Bid_Cash E52</t>
  </si>
  <si>
    <t>Direct connection fee per connection point</t>
  </si>
  <si>
    <t>Bora Inputs G291; Bid_Cash E53</t>
  </si>
  <si>
    <t>Bids sharing the connection point</t>
  </si>
  <si>
    <t>count</t>
  </si>
  <si>
    <t>Bora: 2 bids per point (SPEC §22.2)</t>
  </si>
  <si>
    <t>Bora E24+E25: 400 × 50/200; Bid_Cash E55</t>
  </si>
  <si>
    <t>Devex: grid connection plan and agreement</t>
  </si>
  <si>
    <t>Devex: land (reservation, purchase, contracting)</t>
  </si>
  <si>
    <t>Devex: permits, zoning, cable rights</t>
  </si>
  <si>
    <t>Devex: studies (wind, environment, ground)</t>
  </si>
  <si>
    <t>Devex: legal, financial and other</t>
  </si>
  <si>
    <t>Devex: contingency</t>
  </si>
  <si>
    <t>EU transformers ≥ 80 % (ÖSZ-9)</t>
  </si>
  <si>
    <t>Bid_Cash E16; SPEC §23.1</t>
  </si>
  <si>
    <t>Signing fee and DD paid</t>
  </si>
  <si>
    <t>Bora Inputs E27; Bid_Cash E34</t>
  </si>
  <si>
    <t>Bid submission: fee paid, bid security posted</t>
  </si>
  <si>
    <t>Bora Inputs E95; Bid_Cash E35</t>
  </si>
  <si>
    <t>Performance security posted</t>
  </si>
  <si>
    <t>Bora Deposits K10 (E96 + 17 d); Bid_Cash E36</t>
  </si>
  <si>
    <t>TSO security paid</t>
  </si>
  <si>
    <t>Bora Inputs E97; Bid_Cash E37</t>
  </si>
  <si>
    <t>Connection agreement (HCSSZ): fees paid</t>
  </si>
  <si>
    <t>Bora Inputs E99; Bid_Cash E39</t>
  </si>
  <si>
    <t>Devex average payment date</t>
  </si>
  <si>
    <t>Bora Devex_FEP, amount-weighted; Bid_Cash 'continuous'</t>
  </si>
  <si>
    <t>Notice to proceed</t>
  </si>
  <si>
    <t>Bora Inputs E154; Bid_Cash E40</t>
  </si>
  <si>
    <t>COD</t>
  </si>
  <si>
    <t>Bora Inputs E155; Bid_Cash E41</t>
  </si>
  <si>
    <t>Performance security released</t>
  </si>
  <si>
    <t>Bid_Cash E42 (Kiírás XII.13, estimate)</t>
  </si>
  <si>
    <t>DSA accrual start</t>
  </si>
  <si>
    <t>Bora Inputs E70; others: signing (DSA off)</t>
  </si>
  <si>
    <t>RtB exit terms (all projects; value in column E)</t>
  </si>
  <si>
    <t>Claim rate, cash lines (incl. cash-posted securities)</t>
  </si>
  <si>
    <t>Devex file V18; SPEC §21.1</t>
  </si>
  <si>
    <t>Claim rate, devex</t>
  </si>
  <si>
    <t>Devex file V19</t>
  </si>
  <si>
    <t>Devex minimum return multiple</t>
  </si>
  <si>
    <t>Devex file V20</t>
  </si>
  <si>
    <t>Interest freeze date</t>
  </si>
  <si>
    <t>Devex file V24</t>
  </si>
  <si>
    <t>Sale date (RtB exit)</t>
  </si>
  <si>
    <t>Bora Inputs E58; SPEC §21.1</t>
  </si>
  <si>
    <t>Sale costs per project</t>
  </si>
  <si>
    <t>SPEC §21.1</t>
  </si>
  <si>
    <t>Developer success fee (on committed MW, 30/360)</t>
  </si>
  <si>
    <t>Bora Inputs E36</t>
  </si>
  <si>
    <t>Developer success fee cap</t>
  </si>
  <si>
    <t>Bora Inputs E37</t>
  </si>
  <si>
    <t>Corporate income tax on exit gains</t>
  </si>
  <si>
    <t>SPEC §22.2 (exit gains only)</t>
  </si>
  <si>
    <t>Capex (per MW of wind built unless stated; turbines: case table on the Dashboard)</t>
  </si>
  <si>
    <t>Turbine installation and erection</t>
  </si>
  <si>
    <t>Bora Inputs G163</t>
  </si>
  <si>
    <t>Bora Inputs G164</t>
  </si>
  <si>
    <t>Bora Inputs G165</t>
  </si>
  <si>
    <t>Bora Inputs G166</t>
  </si>
  <si>
    <t>Bora Inputs G169</t>
  </si>
  <si>
    <t>Bora Inputs G170</t>
  </si>
  <si>
    <t>On-site substation and 132 kV bay (lump sum)</t>
  </si>
  <si>
    <t>Bora Inputs G167</t>
  </si>
  <si>
    <t>Source basis of the lump sums</t>
  </si>
  <si>
    <t>Bora Inputs E305</t>
  </si>
  <si>
    <t>Capex contingency (not on BESS)</t>
  </si>
  <si>
    <t>Bora Inputs G173</t>
  </si>
  <si>
    <t>BESS capex</t>
  </si>
  <si>
    <t>EUR k/MWh</t>
  </si>
  <si>
    <t>CLAUDE.md standing assumption, 15-Oct-26</t>
  </si>
  <si>
    <t>Generation (hours and PPA price: case table on the Dashboard)</t>
  </si>
  <si>
    <t>Curtailment</t>
  </si>
  <si>
    <t>Bora Inputs G183</t>
  </si>
  <si>
    <t>Clipping</t>
  </si>
  <si>
    <t>Bora Dash_Clip_Override (user, 26-Oct-26)</t>
  </si>
  <si>
    <t>Degradation</t>
  </si>
  <si>
    <t>% p.a.</t>
  </si>
  <si>
    <t>Bora Inputs G184</t>
  </si>
  <si>
    <t>PPA escalation</t>
  </si>
  <si>
    <t>Bora Inputs G194</t>
  </si>
  <si>
    <t>Opex (COD-year prices; O&amp;M contract: case table on the Dashboard)</t>
  </si>
  <si>
    <t>Balance of plant maintenance</t>
  </si>
  <si>
    <t>Bora Inputs G204</t>
  </si>
  <si>
    <t>Land lease</t>
  </si>
  <si>
    <t>Bora Inputs G205</t>
  </si>
  <si>
    <t>Operational insurance</t>
  </si>
  <si>
    <t>Bora Inputs G206</t>
  </si>
  <si>
    <t>Asset and commercial management</t>
  </si>
  <si>
    <t>Bora Inputs G207</t>
  </si>
  <si>
    <t>Property tax</t>
  </si>
  <si>
    <t>Bora Inputs G208</t>
  </si>
  <si>
    <t>Administration, audit, compliance (at the source basis)</t>
  </si>
  <si>
    <t>EUR k/yr</t>
  </si>
  <si>
    <t>Bora Inputs G209</t>
  </si>
  <si>
    <t>Balancing cost</t>
  </si>
  <si>
    <t>Bora Inputs G196</t>
  </si>
  <si>
    <t>Grid use-of-system charges</t>
  </si>
  <si>
    <t>Bora Inputs G197</t>
  </si>
  <si>
    <t>% of rev.</t>
  </si>
  <si>
    <t>Bora Inputs G198</t>
  </si>
  <si>
    <t>Bora Inputs G212</t>
  </si>
  <si>
    <t>Opex contingency (not on community, HIPA)</t>
  </si>
  <si>
    <t>Bora Inputs G210</t>
  </si>
  <si>
    <t>Opex escalation</t>
  </si>
  <si>
    <t>Bora Inputs G211</t>
  </si>
  <si>
    <t>Valuation, timeline and constants</t>
  </si>
  <si>
    <t>Operating life from COD</t>
  </si>
  <si>
    <t>Bora Inputs G157</t>
  </si>
  <si>
    <t>Discount rate (buyer's pre-tax return at COD)</t>
  </si>
  <si>
    <t>Bora Inputs G226</t>
  </si>
  <si>
    <t>First year of the annual timeline</t>
  </si>
  <si>
    <t>Year of the first signing</t>
  </si>
  <si>
    <t>Thousand</t>
  </si>
  <si>
    <t>Constant</t>
  </si>
  <si>
    <t>Days in a year (act/365)</t>
  </si>
  <si>
    <t>Months in a year</t>
  </si>
  <si>
    <t>Check tolerance</t>
  </si>
  <si>
    <t>Band tables for the points (ÖSZ, Kiírás Annex 4) – expand the group</t>
  </si>
  <si>
    <t>Values →</t>
  </si>
  <si>
    <t>Osz1_LB</t>
  </si>
  <si>
    <t>Osz1_Incl</t>
  </si>
  <si>
    <t>Osz1_Pts</t>
  </si>
  <si>
    <t>Osz2_LB</t>
  </si>
  <si>
    <t>Osz2_Incl</t>
  </si>
  <si>
    <t>Osz2_Pts</t>
  </si>
  <si>
    <t>Osz3_LB</t>
  </si>
  <si>
    <t>Osz3_Incl</t>
  </si>
  <si>
    <t>Osz3_Pts</t>
  </si>
  <si>
    <t>Osz6_LB</t>
  </si>
  <si>
    <t>Osz6_Incl</t>
  </si>
  <si>
    <t>Osz6_Pts</t>
  </si>
  <si>
    <t>Osz5_Pts</t>
  </si>
  <si>
    <t>Osz7_Pts</t>
  </si>
  <si>
    <t>Osz8_Pts</t>
  </si>
  <si>
    <t>Osz9a_Pts</t>
  </si>
  <si>
    <t>Osz9b_Pts</t>
  </si>
  <si>
    <t>Osz1_W</t>
  </si>
  <si>
    <t>Osz2_W</t>
  </si>
  <si>
    <t>Osz3_W</t>
  </si>
  <si>
    <t>Osz4_W</t>
  </si>
  <si>
    <t>Osz5_W</t>
  </si>
  <si>
    <t>Osz6_W</t>
  </si>
  <si>
    <t>Osz7_W</t>
  </si>
  <si>
    <t>Osz8_W</t>
  </si>
  <si>
    <t>Osz9_W</t>
  </si>
  <si>
    <t>Date</t>
  </si>
  <si>
    <t>HU wind projects</t>
  </si>
  <si>
    <t>COD exit</t>
  </si>
  <si>
    <t>Returns RTB COD HTM</t>
  </si>
  <si>
    <t>RtB exit, Case B: buyer pays the grid connection fees directly (FEP does not pre-fund them)</t>
  </si>
  <si>
    <t>Grid connection fees paid by the buyer at HCSSZ (direct + indirect, payable)</t>
  </si>
  <si>
    <t>FEP cash out to RtB, Case B (peak exposure)</t>
  </si>
  <si>
    <t>Total FEP claims, Case B (no claims on connection fees)</t>
  </si>
  <si>
    <t>Waterfall at the sale, Case B</t>
  </si>
  <si>
    <t>Buyer reimburses securities at cost (no connection fees to reimburse)</t>
  </si>
  <si>
    <t>Less securities repaid to FEP</t>
  </si>
  <si>
    <t>FEP cash flows, dated, Case B (no connection-fee outlays)</t>
  </si>
  <si>
    <t>Memo: pre-tax profit vs Case A (connection-fee claims no longer earned, FEP share)</t>
  </si>
  <si>
    <t>Case B waterfall closes (proceeds = all amounts paid out)</t>
  </si>
  <si>
    <t>Grid connection fees paid by the buyer (not FEP cash)</t>
  </si>
  <si>
    <t>Cash to RtB by nature: sunk, returned, or borne by the buyer (EUR k)</t>
  </si>
  <si>
    <t>Who bears it</t>
  </si>
  <si>
    <t>Sunk fees and devex (signing and DD, participation fee, devex)</t>
  </si>
  <si>
    <t>FEP – sunk; recovered only via the claims at the sale</t>
  </si>
  <si>
    <t>Securities, returned (bid, performance, TSO connection request)</t>
  </si>
  <si>
    <t>FEP – cash out, returned or reimbursed at the sale</t>
  </si>
  <si>
    <t>Grid connection fees (direct + indirect, payable at HCSSZ)</t>
  </si>
  <si>
    <t>Buyer at RtB; FEP pays only if no buyer is found</t>
  </si>
  <si>
    <t>Total cash to RtB (= total above)</t>
  </si>
  <si>
    <t>Case A: FEP pre-funds everything</t>
  </si>
  <si>
    <t>Grid connection fees, share of the total</t>
  </si>
  <si>
    <t>FEP exposure if the buyer pays the grid connection fees</t>
  </si>
  <si>
    <t>Case B: FEP funds sunk fees, devex and securities only</t>
  </si>
  <si>
    <t>Devex total, Iváncsa and Dunaújváros (allocated pro rata to Bora's categories)</t>
  </si>
  <si>
    <t>User, 27-Oct-26: EUR 1m per project, split as Bora</t>
  </si>
  <si>
    <t>Bora share × F25/G25 (Iváncsa, Dunaújváros); Bora: Devex_FEP × 50/100 MVA</t>
  </si>
  <si>
    <t>RTB exit, Case A: buyer pays the grid connection fees (FEP does not pre-fund)</t>
  </si>
  <si>
    <t>RTB exit, Case B: FEP pre-funds the grid connection fees, buyer reimburses them at the sale</t>
  </si>
  <si>
    <t>Share deal, participation exemption on the share gain (1 = on); claims taxed as interest</t>
  </si>
  <si>
    <t>CIT: claims taxed as interest; share gain exempt if share deal</t>
  </si>
  <si>
    <t>CIT on the gain (nil if share deal with participation exemption)</t>
  </si>
  <si>
    <t>Developer JV buyout at RtB (developer waterfall share + DSA, at the sale date)</t>
  </si>
  <si>
    <t>Total capex and costs to COD (incl. developer JV buyout at RtB)</t>
  </si>
  <si>
    <t>Net P50 hours (project wind study)</t>
  </si>
  <si>
    <t>Net P50 hours (not used: project P50 in row 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</si>
</sst>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&quot;–&quot;"/>
    <numFmt numFmtId="165" formatCode="0.0%;\(0.0%\);&quot;–&quot;"/>
    <numFmt numFmtId="166" formatCode="#,##0.0;\(#,##0.0\);&quot;–&quot;"/>
    <numFmt numFmtId="167" formatCode="0.00&quot;x&quot;"/>
    <numFmt numFmtId="168" formatCode="0.000"/>
    <numFmt numFmtId="169" formatCode="0.0000"/>
    <numFmt numFmtId="170" formatCode="#,##0.00;\(#,##0.00\);&quot;–&quot;"/>
    <numFmt numFmtId="171" formatCode="0;\-0;&quot;–&quot;"/>
    <numFmt numFmtId="172" formatCode="0.000;\(0.000\);&quot;–&quot;"/>
    <numFmt numFmtId="173" formatCode="&quot;CHECK&quot;\ 0;&quot;CHECK&quot;\ \-0;&quot;OK&quot;"/>
    <numFmt numFmtId="174" formatCode="0.0%"/>
  </numFmts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</font>
    <font>
      <b/>
      <sz val="10"/>
      <color rgb="FFFFFFFF"/>
      <name val="Aptos Narrow"/>
    </font>
    <font>
      <b/>
      <sz val="10"/>
      <color rgb="FF3C3C3B"/>
      <name val="Aptos Narrow"/>
    </font>
    <font>
      <sz val="10"/>
      <color rgb="FF000000"/>
      <name val="Aptos Narrow"/>
    </font>
    <font>
      <i/>
      <sz val="10"/>
      <color rgb="FF808080"/>
      <name val="Aptos Narrow"/>
    </font>
    <font>
      <sz val="10"/>
      <color rgb="FF0000FF"/>
      <name val="Aptos Narrow"/>
    </font>
    <font>
      <b/>
      <sz val="10"/>
      <color rgb="FF808080"/>
      <name val="Aptos Narrow"/>
    </font>
    <font>
      <b/>
      <sz val="11"/>
      <color theme="1"/>
      <name val="Calibri"/>
      <family val="2"/>
      <charset val="238"/>
      <scheme val="minor"/>
    </font>
    <font>
      <b/>
      <sz val="10"/>
      <color rgb="FF000000"/>
      <name val="Aptos Narrow"/>
      <family val="2"/>
    </font>
    <font>
      <b/>
      <i/>
      <sz val="10"/>
      <color rgb="FF808080"/>
      <name val="Aptos Narrow"/>
      <family val="2"/>
    </font>
    <font>
      <b/>
      <sz val="10"/>
      <color rgb="FFFFFFFF"/>
      <name val="Aptos Narrow"/>
      <family val="2"/>
    </font>
    <font>
      <b/>
      <sz val="10"/>
      <color rgb="FF3C3C3B"/>
      <name val="Aptos Narrow"/>
      <family val="2"/>
    </font>
    <font>
      <b/>
      <sz val="10"/>
      <color rgb="FFFFFFFF"/>
      <name val="Aptos Narrow"/>
      <family val="2"/>
      <charset val="238"/>
    </font>
    <font>
      <i/>
      <sz val="10"/>
      <color rgb="FF000000"/>
      <name val="Aptos Narrow"/>
      <family val="2"/>
    </font>
    <font>
      <i/>
      <sz val="10"/>
      <color rgb="FF808080"/>
      <name val="Aptos Narrow"/>
      <family val="2"/>
    </font>
    <font>
      <sz val="10"/>
      <color rgb="FF000000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00563C"/>
      </patternFill>
    </fill>
    <fill>
      <patternFill patternType="solid">
        <fgColor rgb="FFE6F4EC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5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4" fillId="0" borderId="0" xfId="0" applyFont="1"/>
    <xf numFmtId="166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15" fontId="4" fillId="0" borderId="0" xfId="0" applyNumberFormat="1" applyFont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7" fillId="0" borderId="0" xfId="0" applyFont="1"/>
    <xf numFmtId="0" fontId="0" fillId="5" borderId="0" xfId="0" applyFill="1"/>
    <xf numFmtId="0" fontId="2" fillId="5" borderId="0" xfId="0" applyFont="1" applyFill="1" applyAlignment="1">
      <alignment horizontal="right"/>
    </xf>
    <xf numFmtId="15" fontId="4" fillId="5" borderId="0" xfId="0" applyNumberFormat="1" applyFont="1" applyFill="1" applyAlignment="1">
      <alignment horizontal="right"/>
    </xf>
    <xf numFmtId="0" fontId="9" fillId="6" borderId="0" xfId="0" applyFont="1" applyFill="1"/>
    <xf numFmtId="0" fontId="10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3" borderId="0" xfId="0" applyFont="1" applyFill="1"/>
    <xf numFmtId="0" fontId="13" fillId="2" borderId="0" xfId="0" applyFont="1" applyFill="1"/>
    <xf numFmtId="0" fontId="11" fillId="2" borderId="0" xfId="0" applyFont="1" applyFill="1" applyAlignment="1">
      <alignment horizontal="right"/>
    </xf>
    <xf numFmtId="0" fontId="8" fillId="0" borderId="0" xfId="0" applyFont="1"/>
    <xf numFmtId="0" fontId="14" fillId="0" borderId="0" xfId="0" applyFont="1"/>
    <xf numFmtId="0" fontId="15" fillId="0" borderId="0" xfId="0" applyFont="1"/>
    <xf numFmtId="0" fontId="4" fillId="7" borderId="0" xfId="0" applyFont="1" applyFill="1"/>
    <xf numFmtId="0" fontId="5" fillId="7" borderId="0" xfId="0" applyFont="1" applyFill="1"/>
    <xf numFmtId="164" fontId="4" fillId="7" borderId="0" xfId="0" applyNumberFormat="1" applyFont="1" applyFill="1" applyAlignment="1">
      <alignment horizontal="right"/>
    </xf>
    <xf numFmtId="166" fontId="4" fillId="7" borderId="0" xfId="0" applyNumberFormat="1" applyFont="1" applyFill="1" applyAlignment="1">
      <alignment horizontal="right"/>
    </xf>
    <xf numFmtId="164" fontId="0" fillId="0" borderId="0" xfId="0" applyNumberFormat="1"/>
    <xf numFmtId="164" fontId="6" fillId="8" borderId="1" xfId="0" applyNumberFormat="1" applyFont="1" applyFill="1" applyBorder="1" applyAlignment="1">
      <alignment horizontal="right"/>
    </xf>
    <xf numFmtId="165" fontId="6" fillId="8" borderId="1" xfId="0" applyNumberFormat="1" applyFont="1" applyFill="1" applyBorder="1" applyAlignment="1">
      <alignment horizontal="right"/>
    </xf>
    <xf numFmtId="1" fontId="6" fillId="8" borderId="1" xfId="0" applyNumberFormat="1" applyFont="1" applyFill="1" applyBorder="1" applyAlignment="1">
      <alignment horizontal="right"/>
    </xf>
    <xf numFmtId="166" fontId="6" fillId="8" borderId="1" xfId="0" applyNumberFormat="1" applyFont="1" applyFill="1" applyBorder="1" applyAlignment="1">
      <alignment horizontal="right"/>
    </xf>
    <xf numFmtId="4" fontId="16" fillId="8" borderId="1" xfId="0" applyNumberFormat="1" applyFont="1" applyFill="1" applyBorder="1" applyAlignment="1">
      <alignment horizontal="right"/>
    </xf>
    <xf numFmtId="166" fontId="16" fillId="8" borderId="1" xfId="0" applyNumberFormat="1" applyFont="1" applyFill="1" applyBorder="1" applyAlignment="1">
      <alignment horizontal="right"/>
    </xf>
    <xf numFmtId="15" fontId="6" fillId="8" borderId="1" xfId="0" applyNumberFormat="1" applyFont="1" applyFill="1" applyBorder="1" applyAlignment="1">
      <alignment horizontal="right"/>
    </xf>
    <xf numFmtId="167" fontId="6" fillId="8" borderId="1" xfId="0" applyNumberFormat="1" applyFont="1" applyFill="1" applyBorder="1" applyAlignment="1">
      <alignment horizontal="right"/>
    </xf>
    <xf numFmtId="168" fontId="6" fillId="8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right"/>
    </xf>
    <xf numFmtId="173" fontId="1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3" fontId="6" fillId="8" borderId="1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9" fillId="9" borderId="0" xfId="0" applyNumberFormat="1" applyFont="1" applyFill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174" fontId="0" fillId="0" borderId="0" xfId="0" applyNumberFormat="1"/>
    <xf numFmtId="164" fontId="9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9" fillId="0" borderId="2" xfId="0" applyNumberFormat="1" applyFont="1" applyBorder="1" applyAlignment="1">
      <alignment horizontal="right"/>
    </xf>
    <xf numFmtId="171" fontId="4" fillId="0" borderId="0" xfId="0" applyNumberFormat="1" applyFont="1" applyAlignment="1">
      <alignment horizontal="right"/>
    </xf>
    <xf numFmtId="172" fontId="4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173" fontId="1" fillId="0" borderId="2" xfId="0" applyNumberFormat="1" applyFont="1" applyBorder="1" applyAlignment="1">
      <alignment horizontal="right"/>
    </xf>
    <xf numFmtId="166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5" fontId="4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4" fontId="9" fillId="0" borderId="0" xfId="0" applyNumberFormat="1" applyFont="1" applyFill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164" fontId="9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font>
        <b/>
        <color rgb="FFFF0000"/>
      </font>
    </dxf>
    <dxf>
      <font>
        <b/>
        <color rgb="FF00B050"/>
      </font>
    </dxf>
    <dxf>
      <font>
        <b/>
        <color rgb="FFFF0000"/>
      </font>
    </dxf>
    <dxf>
      <font>
        <b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C6CBDD-24D1-428A-8A5A-5C0C59C757D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db377c9-e644-431f-a678-9c0c720e8f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AS362"/>
  <sheetViews>
    <sheetView showGridLines="0" tabSelected="1" zoomScale="85" zoomScaleNormal="85" workbookViewId="0">
      <pane xSplit="4" ySplit="3" topLeftCell="E4" activePane="bottomRight" state="frozen"/>
      <selection pane="topRight"/>
      <selection pane="bottomLeft"/>
      <selection pane="bottomRight" activeCell="F12" sqref="F12"/>
    </sheetView>
  </sheetViews>
  <sheetFormatPr defaultRowHeight="14.4" outlineLevelRow="1" x14ac:dyDescent="0.3"/>
  <cols>
    <col min="1" max="2" width="2" customWidth="1"/>
    <col min="3" max="3" width="56" customWidth="1"/>
    <col min="4" max="4" width="10" customWidth="1"/>
    <col min="5" max="7" width="13" customWidth="1"/>
    <col min="8" max="8" width="15" customWidth="1"/>
    <col min="9" max="9" width="2" customWidth="1"/>
    <col min="10" max="45" width="10" customWidth="1"/>
  </cols>
  <sheetData>
    <row r="2" spans="2:8" x14ac:dyDescent="0.3">
      <c r="C2" s="1" t="s">
        <v>390</v>
      </c>
    </row>
    <row r="3" spans="2:8" x14ac:dyDescent="0.3">
      <c r="C3" s="1" t="s">
        <v>0</v>
      </c>
      <c r="D3" s="2" t="s">
        <v>1</v>
      </c>
      <c r="H3" s="43">
        <f>Master_Check</f>
        <v>0</v>
      </c>
    </row>
    <row r="5" spans="2:8" x14ac:dyDescent="0.3">
      <c r="B5" s="3" t="s">
        <v>2</v>
      </c>
      <c r="C5" s="3" t="s">
        <v>3</v>
      </c>
      <c r="D5" s="3"/>
      <c r="E5" s="4" t="s">
        <v>4</v>
      </c>
      <c r="F5" s="4" t="s">
        <v>5</v>
      </c>
      <c r="G5" s="4" t="s">
        <v>6</v>
      </c>
      <c r="H5" s="4" t="s">
        <v>7</v>
      </c>
    </row>
    <row r="6" spans="2:8" x14ac:dyDescent="0.3">
      <c r="C6" s="5" t="s">
        <v>8</v>
      </c>
      <c r="D6" s="2" t="s">
        <v>9</v>
      </c>
      <c r="E6" s="33">
        <v>50</v>
      </c>
      <c r="F6" s="33">
        <v>50</v>
      </c>
      <c r="G6" s="33">
        <v>50</v>
      </c>
      <c r="H6" s="44">
        <f>SUM(E6:G6)</f>
        <v>150</v>
      </c>
    </row>
    <row r="7" spans="2:8" x14ac:dyDescent="0.3">
      <c r="C7" s="5" t="s">
        <v>10</v>
      </c>
      <c r="D7" s="2" t="s">
        <v>11</v>
      </c>
      <c r="E7" s="34">
        <v>0</v>
      </c>
      <c r="F7" s="34">
        <v>0.4</v>
      </c>
      <c r="G7" s="34">
        <v>0.4</v>
      </c>
    </row>
    <row r="8" spans="2:8" x14ac:dyDescent="0.3">
      <c r="C8" s="5" t="s">
        <v>12</v>
      </c>
      <c r="D8" s="2" t="s">
        <v>11</v>
      </c>
      <c r="E8" s="34">
        <v>0</v>
      </c>
      <c r="F8" s="34">
        <v>0.2</v>
      </c>
      <c r="G8" s="34">
        <v>0.2</v>
      </c>
    </row>
    <row r="9" spans="2:8" x14ac:dyDescent="0.3">
      <c r="C9" s="5" t="s">
        <v>13</v>
      </c>
      <c r="D9" s="2" t="s">
        <v>14</v>
      </c>
      <c r="E9" s="33">
        <v>4</v>
      </c>
      <c r="F9" s="33">
        <v>4</v>
      </c>
      <c r="G9" s="33">
        <v>4</v>
      </c>
    </row>
    <row r="10" spans="2:8" x14ac:dyDescent="0.3">
      <c r="C10" s="5" t="s">
        <v>15</v>
      </c>
      <c r="D10" s="2" t="s">
        <v>11</v>
      </c>
      <c r="E10" s="34">
        <v>0</v>
      </c>
      <c r="F10" s="34">
        <v>0</v>
      </c>
      <c r="G10" s="34">
        <v>0</v>
      </c>
    </row>
    <row r="11" spans="2:8" x14ac:dyDescent="0.3">
      <c r="C11" s="5" t="s">
        <v>16</v>
      </c>
      <c r="D11" s="2" t="s">
        <v>17</v>
      </c>
      <c r="E11" s="33">
        <v>20</v>
      </c>
      <c r="F11" s="33">
        <v>50</v>
      </c>
      <c r="G11" s="33">
        <v>50</v>
      </c>
    </row>
    <row r="12" spans="2:8" x14ac:dyDescent="0.3">
      <c r="C12" s="5" t="s">
        <v>18</v>
      </c>
      <c r="D12" s="2" t="s">
        <v>19</v>
      </c>
      <c r="E12" s="36">
        <v>0</v>
      </c>
      <c r="F12" s="36">
        <v>3</v>
      </c>
      <c r="G12" s="36">
        <v>3</v>
      </c>
    </row>
    <row r="13" spans="2:8" x14ac:dyDescent="0.3">
      <c r="C13" s="5" t="s">
        <v>20</v>
      </c>
      <c r="D13" s="2" t="s">
        <v>1</v>
      </c>
      <c r="E13" s="35">
        <v>1</v>
      </c>
      <c r="F13" s="35">
        <v>1</v>
      </c>
      <c r="G13" s="35">
        <v>1</v>
      </c>
    </row>
    <row r="14" spans="2:8" x14ac:dyDescent="0.3">
      <c r="C14" s="5" t="s">
        <v>21</v>
      </c>
      <c r="D14" s="2" t="s">
        <v>2</v>
      </c>
      <c r="E14" s="40">
        <v>1</v>
      </c>
      <c r="F14" s="40">
        <v>1</v>
      </c>
      <c r="G14" s="40">
        <v>1</v>
      </c>
    </row>
    <row r="15" spans="2:8" x14ac:dyDescent="0.3">
      <c r="C15" s="5" t="s">
        <v>22</v>
      </c>
      <c r="D15" s="2" t="s">
        <v>1</v>
      </c>
      <c r="E15" s="35">
        <v>0</v>
      </c>
      <c r="F15" s="35">
        <v>0</v>
      </c>
      <c r="G15" s="35">
        <v>0</v>
      </c>
    </row>
    <row r="16" spans="2:8" x14ac:dyDescent="0.3">
      <c r="C16" s="5" t="s">
        <v>23</v>
      </c>
      <c r="D16" s="2" t="s">
        <v>1</v>
      </c>
      <c r="E16" s="35">
        <v>1</v>
      </c>
      <c r="F16" s="35">
        <v>1</v>
      </c>
      <c r="G16" s="35">
        <v>1</v>
      </c>
    </row>
    <row r="17" spans="2:10" x14ac:dyDescent="0.3">
      <c r="C17" s="5" t="s">
        <v>24</v>
      </c>
      <c r="D17" s="2" t="s">
        <v>25</v>
      </c>
      <c r="E17" s="7" t="s">
        <v>26</v>
      </c>
      <c r="F17" s="42" t="s">
        <v>26</v>
      </c>
      <c r="G17" s="7" t="s">
        <v>26</v>
      </c>
    </row>
    <row r="18" spans="2:10" x14ac:dyDescent="0.3">
      <c r="C18" s="5" t="s">
        <v>27</v>
      </c>
      <c r="D18" s="2" t="s">
        <v>17</v>
      </c>
      <c r="E18" s="33">
        <v>150</v>
      </c>
      <c r="F18" s="33">
        <v>150</v>
      </c>
      <c r="G18" s="33">
        <v>150</v>
      </c>
    </row>
    <row r="19" spans="2:10" x14ac:dyDescent="0.3">
      <c r="C19" s="5" t="s">
        <v>28</v>
      </c>
      <c r="D19" s="2" t="s">
        <v>11</v>
      </c>
      <c r="E19" s="34">
        <v>0.7</v>
      </c>
      <c r="F19" s="34">
        <v>1</v>
      </c>
      <c r="G19" s="34">
        <v>1</v>
      </c>
    </row>
    <row r="20" spans="2:10" x14ac:dyDescent="0.3">
      <c r="C20" s="5" t="s">
        <v>29</v>
      </c>
      <c r="D20" s="2" t="s">
        <v>1</v>
      </c>
      <c r="E20" s="35">
        <v>1</v>
      </c>
      <c r="F20" s="35">
        <v>0</v>
      </c>
      <c r="G20" s="35">
        <v>0</v>
      </c>
    </row>
    <row r="21" spans="2:10" x14ac:dyDescent="0.3">
      <c r="C21" s="5" t="s">
        <v>427</v>
      </c>
      <c r="D21" s="2" t="s">
        <v>44</v>
      </c>
      <c r="E21" s="45">
        <v>2500</v>
      </c>
      <c r="F21" s="45">
        <v>2500</v>
      </c>
      <c r="G21" s="45">
        <v>2500</v>
      </c>
    </row>
    <row r="23" spans="2:10" x14ac:dyDescent="0.3">
      <c r="B23" s="3" t="s">
        <v>2</v>
      </c>
      <c r="C23" s="3" t="s">
        <v>30</v>
      </c>
      <c r="D23" s="3"/>
      <c r="E23" s="4" t="s">
        <v>31</v>
      </c>
      <c r="F23" s="4" t="s">
        <v>32</v>
      </c>
      <c r="G23" s="4" t="s">
        <v>33</v>
      </c>
      <c r="H23" s="4" t="s">
        <v>34</v>
      </c>
    </row>
    <row r="24" spans="2:10" x14ac:dyDescent="0.3">
      <c r="C24" s="1" t="s">
        <v>35</v>
      </c>
      <c r="D24" s="2" t="s">
        <v>36</v>
      </c>
      <c r="H24" s="42" t="s">
        <v>31</v>
      </c>
    </row>
    <row r="25" spans="2:10" x14ac:dyDescent="0.3">
      <c r="C25" s="5" t="s">
        <v>37</v>
      </c>
      <c r="D25" s="2" t="s">
        <v>38</v>
      </c>
      <c r="E25" s="33">
        <v>850</v>
      </c>
      <c r="F25" s="33">
        <v>950</v>
      </c>
      <c r="G25" s="33">
        <v>800</v>
      </c>
      <c r="H25" s="46">
        <f>INDEX(E25:G25,MATCH(Dash_Case,$E$23:$G$23,0))</f>
        <v>850</v>
      </c>
      <c r="J25" s="2" t="s">
        <v>39</v>
      </c>
    </row>
    <row r="26" spans="2:10" x14ac:dyDescent="0.3">
      <c r="C26" s="5" t="s">
        <v>40</v>
      </c>
      <c r="D26" s="2" t="s">
        <v>38</v>
      </c>
      <c r="E26" s="33">
        <v>500</v>
      </c>
      <c r="F26" s="33">
        <v>600</v>
      </c>
      <c r="G26" s="33">
        <v>480</v>
      </c>
      <c r="H26" s="46">
        <f>INDEX(E26:G26,MATCH(Dash_Case,$E$23:$G$23,0))</f>
        <v>500</v>
      </c>
      <c r="J26" s="2" t="s">
        <v>41</v>
      </c>
    </row>
    <row r="27" spans="2:10" x14ac:dyDescent="0.3">
      <c r="C27" s="5" t="s">
        <v>42</v>
      </c>
      <c r="D27" s="2" t="s">
        <v>19</v>
      </c>
      <c r="E27" s="36">
        <v>90</v>
      </c>
      <c r="F27" s="36">
        <v>90</v>
      </c>
      <c r="G27" s="36">
        <v>100</v>
      </c>
      <c r="H27" s="47">
        <f>INDEX(E27:G27,MATCH(Dash_Case,$E$23:$G$23,0))</f>
        <v>90</v>
      </c>
      <c r="J27" s="2" t="s">
        <v>43</v>
      </c>
    </row>
    <row r="28" spans="2:10" x14ac:dyDescent="0.3">
      <c r="C28" s="5" t="s">
        <v>428</v>
      </c>
      <c r="D28" s="2" t="s">
        <v>44</v>
      </c>
      <c r="E28" s="33">
        <v>2500</v>
      </c>
      <c r="F28" s="33">
        <v>2460</v>
      </c>
      <c r="G28" s="33">
        <v>2600</v>
      </c>
      <c r="H28" s="46">
        <f>INDEX(E28:G28,MATCH(Dash_Case,$E$23:$G$23,0))</f>
        <v>2500</v>
      </c>
      <c r="J28" s="2" t="s">
        <v>45</v>
      </c>
    </row>
    <row r="29" spans="2:10" x14ac:dyDescent="0.3">
      <c r="C29" s="5" t="s">
        <v>46</v>
      </c>
      <c r="D29" s="2" t="s">
        <v>47</v>
      </c>
      <c r="E29" s="36">
        <v>12</v>
      </c>
      <c r="F29" s="36">
        <v>12</v>
      </c>
      <c r="G29" s="36">
        <v>10</v>
      </c>
      <c r="H29" s="47">
        <f>INDEX(E29:G29,MATCH(Dash_Case,$E$23:$G$23,0))</f>
        <v>12</v>
      </c>
      <c r="J29" s="2" t="s">
        <v>48</v>
      </c>
    </row>
    <row r="31" spans="2:10" x14ac:dyDescent="0.3">
      <c r="B31" s="3" t="s">
        <v>2</v>
      </c>
      <c r="C31" s="3" t="s">
        <v>49</v>
      </c>
      <c r="D31" s="3"/>
      <c r="E31" s="4" t="s">
        <v>4</v>
      </c>
      <c r="F31" s="4" t="s">
        <v>5</v>
      </c>
      <c r="G31" s="4" t="s">
        <v>6</v>
      </c>
      <c r="H31" s="4" t="s">
        <v>7</v>
      </c>
    </row>
    <row r="32" spans="2:10" x14ac:dyDescent="0.3">
      <c r="C32" s="5" t="s">
        <v>50</v>
      </c>
      <c r="D32" s="2" t="s">
        <v>51</v>
      </c>
      <c r="E32" s="48">
        <f>INDEX(Osz1_Pts,1+SUMPRODUCT((Osz1_LB&lt;E11)+(Osz1_LB=E11)*Osz1_Incl))*Osz1_W</f>
        <v>4</v>
      </c>
      <c r="F32" s="48">
        <f>INDEX(Osz1_Pts,1+SUMPRODUCT((Osz1_LB&lt;F11)+(Osz1_LB=F11)*Osz1_Incl))*Osz1_W</f>
        <v>20</v>
      </c>
      <c r="G32" s="48">
        <f>INDEX(Osz1_Pts,1+SUMPRODUCT((Osz1_LB&lt;G11)+(Osz1_LB=G11)*Osz1_Incl))*Osz1_W</f>
        <v>20</v>
      </c>
    </row>
    <row r="33" spans="2:13" x14ac:dyDescent="0.3">
      <c r="C33" s="5" t="s">
        <v>52</v>
      </c>
      <c r="D33" s="2" t="s">
        <v>51</v>
      </c>
      <c r="E33" s="48">
        <f>INDEX(Osz2_Pts,1+SUMPRODUCT((Osz2_LB&lt;E12)+(Osz2_LB=E12)*Osz2_Incl))*Osz2_W</f>
        <v>0</v>
      </c>
      <c r="F33" s="67">
        <f>INDEX(Osz2_Pts,1+SUMPRODUCT((Osz2_LB&lt;F12)+(Osz2_LB=F12)*Osz2_Incl))*Osz2_W</f>
        <v>15</v>
      </c>
      <c r="G33" s="48">
        <f>INDEX(Osz2_Pts,1+SUMPRODUCT((Osz2_LB&lt;G12)+(Osz2_LB=G12)*Osz2_Incl))*Osz2_W</f>
        <v>15</v>
      </c>
    </row>
    <row r="34" spans="2:13" x14ac:dyDescent="0.3">
      <c r="C34" s="5" t="s">
        <v>53</v>
      </c>
      <c r="D34" s="2" t="s">
        <v>51</v>
      </c>
      <c r="E34" s="67">
        <f>INDEX(Osz3_Pts,1+SUMPRODUCT((Osz3_LB&lt;E7)+(Osz3_LB=E7)*Osz3_Incl))*Osz3_W</f>
        <v>0</v>
      </c>
      <c r="F34" s="48">
        <f>INDEX(Osz3_Pts,1+SUMPRODUCT((Osz3_LB&lt;F7)+(Osz3_LB=F7)*Osz3_Incl))*Osz3_W</f>
        <v>9</v>
      </c>
      <c r="G34" s="48">
        <f>INDEX(Osz3_Pts,1+SUMPRODUCT((Osz3_LB&lt;G7)+(Osz3_LB=G7)*Osz3_Incl))*Osz3_W</f>
        <v>9</v>
      </c>
    </row>
    <row r="35" spans="2:13" x14ac:dyDescent="0.3">
      <c r="C35" s="5" t="s">
        <v>54</v>
      </c>
      <c r="D35" s="2" t="s">
        <v>51</v>
      </c>
      <c r="E35" s="48">
        <f>INDEX(Osz3_Pts,1+SUMPRODUCT((Osz3_LB&lt;E8)+(Osz3_LB=E8)*Osz3_Incl))*Osz4_W</f>
        <v>0</v>
      </c>
      <c r="F35" s="48">
        <f>INDEX(Osz3_Pts,1+SUMPRODUCT((Osz3_LB&lt;F8)+(Osz3_LB=F8)*Osz3_Incl))*Osz4_W</f>
        <v>7.5</v>
      </c>
      <c r="G35" s="48">
        <f>INDEX(Osz3_Pts,1+SUMPRODUCT((Osz3_LB&lt;G8)+(Osz3_LB=G8)*Osz3_Incl))*Osz4_W</f>
        <v>7.5</v>
      </c>
    </row>
    <row r="36" spans="2:13" x14ac:dyDescent="0.3">
      <c r="C36" s="5" t="s">
        <v>55</v>
      </c>
      <c r="D36" s="2" t="s">
        <v>51</v>
      </c>
      <c r="E36" s="48">
        <f>E13*Osz5_Pts*Osz5_W</f>
        <v>5</v>
      </c>
      <c r="F36" s="48">
        <f>F13*Osz5_Pts*Osz5_W</f>
        <v>5</v>
      </c>
      <c r="G36" s="48">
        <f>G13*Osz5_Pts*Osz5_W</f>
        <v>5</v>
      </c>
    </row>
    <row r="37" spans="2:13" x14ac:dyDescent="0.3">
      <c r="C37" s="5" t="s">
        <v>56</v>
      </c>
      <c r="D37" s="2" t="s">
        <v>51</v>
      </c>
      <c r="E37" s="48">
        <f>INDEX(Osz6_Pts,1+SUMPRODUCT((Osz6_LB&lt;E14)+(Osz6_LB=E14)*Osz6_Incl))*Osz6_W</f>
        <v>0</v>
      </c>
      <c r="F37" s="48">
        <f>INDEX(Osz6_Pts,1+SUMPRODUCT((Osz6_LB&lt;F14)+(Osz6_LB=F14)*Osz6_Incl))*Osz6_W</f>
        <v>0</v>
      </c>
      <c r="G37" s="48">
        <f>INDEX(Osz6_Pts,1+SUMPRODUCT((Osz6_LB&lt;G14)+(Osz6_LB=G14)*Osz6_Incl))*Osz6_W</f>
        <v>0</v>
      </c>
    </row>
    <row r="38" spans="2:13" x14ac:dyDescent="0.3">
      <c r="C38" s="5" t="s">
        <v>57</v>
      </c>
      <c r="D38" s="2" t="s">
        <v>51</v>
      </c>
      <c r="E38" s="48">
        <f>E15*Osz7_Pts*Osz7_W</f>
        <v>0</v>
      </c>
      <c r="F38" s="48">
        <f>F15*Osz7_Pts*Osz7_W</f>
        <v>0</v>
      </c>
      <c r="G38" s="48">
        <f>G15*Osz7_Pts*Osz7_W</f>
        <v>0</v>
      </c>
    </row>
    <row r="39" spans="2:13" x14ac:dyDescent="0.3">
      <c r="C39" s="5" t="s">
        <v>58</v>
      </c>
      <c r="D39" s="2" t="s">
        <v>51</v>
      </c>
      <c r="E39" s="48">
        <f>E16*Osz8_Pts*Osz8_W</f>
        <v>5</v>
      </c>
      <c r="F39" s="48">
        <f>F16*Osz8_Pts*Osz8_W</f>
        <v>5</v>
      </c>
      <c r="G39" s="48">
        <f>G16*Osz8_Pts*Osz8_W</f>
        <v>5</v>
      </c>
    </row>
    <row r="40" spans="2:13" x14ac:dyDescent="0.3">
      <c r="C40" s="5" t="s">
        <v>59</v>
      </c>
      <c r="D40" s="2" t="s">
        <v>51</v>
      </c>
      <c r="E40" s="48">
        <f>N(E17="EU")*Osz9a_Pts*Osz9_W</f>
        <v>0</v>
      </c>
      <c r="F40" s="67">
        <f>N(F17="EU")*Osz9a_Pts*Osz9_W</f>
        <v>0</v>
      </c>
      <c r="G40" s="48">
        <f>N(G17="EU")*Osz9a_Pts*Osz9_W</f>
        <v>0</v>
      </c>
    </row>
    <row r="41" spans="2:13" x14ac:dyDescent="0.3">
      <c r="C41" s="5" t="s">
        <v>60</v>
      </c>
      <c r="D41" s="2" t="s">
        <v>51</v>
      </c>
      <c r="E41" s="48">
        <f>Inputs!E$25*Osz9b_Pts*Osz9_W</f>
        <v>0</v>
      </c>
      <c r="F41" s="48">
        <f>Inputs!F$25*Osz9b_Pts*Osz9_W</f>
        <v>0</v>
      </c>
      <c r="G41" s="48">
        <f>Inputs!G$25*Osz9b_Pts*Osz9_W</f>
        <v>0</v>
      </c>
    </row>
    <row r="42" spans="2:13" x14ac:dyDescent="0.3">
      <c r="C42" s="1" t="s">
        <v>61</v>
      </c>
      <c r="D42" s="2" t="s">
        <v>51</v>
      </c>
      <c r="E42" s="49">
        <f>SUM(E32:E41)</f>
        <v>14</v>
      </c>
      <c r="F42" s="49">
        <f>SUM(F32:F41)</f>
        <v>61.5</v>
      </c>
      <c r="G42" s="49">
        <f>SUM(G32:G41)</f>
        <v>61.5</v>
      </c>
    </row>
    <row r="43" spans="2:13" x14ac:dyDescent="0.3">
      <c r="C43" s="5" t="s">
        <v>62</v>
      </c>
      <c r="D43" s="2" t="s">
        <v>63</v>
      </c>
      <c r="E43" s="67">
        <f>E6*(1+E7)</f>
        <v>50</v>
      </c>
      <c r="F43" s="48">
        <f>F6*(1+F7)</f>
        <v>70</v>
      </c>
      <c r="G43" s="48">
        <f>G6*(1+G7)</f>
        <v>70</v>
      </c>
      <c r="H43" s="48">
        <f>SUM(E43:G43)</f>
        <v>190</v>
      </c>
    </row>
    <row r="44" spans="2:13" x14ac:dyDescent="0.3">
      <c r="C44" s="5" t="s">
        <v>64</v>
      </c>
      <c r="D44" s="2" t="s">
        <v>65</v>
      </c>
      <c r="E44" s="67">
        <f>E6*E8*E9</f>
        <v>0</v>
      </c>
      <c r="F44" s="48">
        <f>F6*F8*F9</f>
        <v>40</v>
      </c>
      <c r="G44" s="48">
        <f>G6*G8*G9</f>
        <v>40</v>
      </c>
      <c r="H44" s="48">
        <f>SUM(E44:G44)</f>
        <v>80</v>
      </c>
    </row>
    <row r="45" spans="2:13" x14ac:dyDescent="0.3">
      <c r="C45" s="5" t="s">
        <v>66</v>
      </c>
      <c r="D45" s="2" t="s">
        <v>63</v>
      </c>
      <c r="E45" s="48">
        <f>E43*(1-E10)</f>
        <v>50</v>
      </c>
      <c r="F45" s="67">
        <f>F43*(1-F10)</f>
        <v>70</v>
      </c>
      <c r="G45" s="48">
        <f>G43*(1-G10)</f>
        <v>70</v>
      </c>
      <c r="H45" s="48">
        <f>SUM(E45:G45)</f>
        <v>190</v>
      </c>
    </row>
    <row r="46" spans="2:13" x14ac:dyDescent="0.3">
      <c r="K46" s="12"/>
      <c r="L46" s="12"/>
      <c r="M46" s="12"/>
    </row>
    <row r="47" spans="2:13" x14ac:dyDescent="0.3">
      <c r="B47" s="3" t="s">
        <v>2</v>
      </c>
      <c r="C47" s="3" t="s">
        <v>67</v>
      </c>
      <c r="D47" s="3"/>
      <c r="E47" s="4" t="s">
        <v>4</v>
      </c>
      <c r="F47" s="4" t="s">
        <v>5</v>
      </c>
      <c r="G47" s="4" t="s">
        <v>6</v>
      </c>
      <c r="H47" s="4" t="s">
        <v>7</v>
      </c>
      <c r="J47" s="4" t="s">
        <v>389</v>
      </c>
      <c r="K47" s="13"/>
      <c r="L47" s="13"/>
      <c r="M47" s="12"/>
    </row>
    <row r="48" spans="2:13" x14ac:dyDescent="0.3">
      <c r="C48" s="28" t="s">
        <v>69</v>
      </c>
      <c r="D48" s="29" t="s">
        <v>70</v>
      </c>
      <c r="E48" s="30">
        <f>Part_Fee</f>
        <v>3000000</v>
      </c>
      <c r="F48" s="30">
        <f>Part_Fee</f>
        <v>3000000</v>
      </c>
      <c r="G48" s="30">
        <f>Part_Fee</f>
        <v>3000000</v>
      </c>
      <c r="H48" s="30">
        <f t="shared" ref="H48:H54" si="0">SUM(E48:G48)</f>
        <v>9000000</v>
      </c>
      <c r="J48" s="8">
        <f>Inputs!E$27</f>
        <v>46325</v>
      </c>
      <c r="K48" s="14"/>
      <c r="L48" s="14"/>
      <c r="M48" s="12"/>
    </row>
    <row r="49" spans="2:13" x14ac:dyDescent="0.3">
      <c r="C49" s="28" t="s">
        <v>71</v>
      </c>
      <c r="D49" s="29" t="s">
        <v>70</v>
      </c>
      <c r="E49" s="30">
        <f>Bid_Sec_Rate*(E43*Bench_Wind+E44*Bench_BESS)</f>
        <v>101500000</v>
      </c>
      <c r="F49" s="30">
        <f>Bid_Sec_Rate*(F43*Bench_Wind+F44*Bench_BESS)</f>
        <v>182100000</v>
      </c>
      <c r="G49" s="30">
        <f>Bid_Sec_Rate*(G43*Bench_Wind+G44*Bench_BESS)</f>
        <v>182100000</v>
      </c>
      <c r="H49" s="30">
        <f t="shared" si="0"/>
        <v>465700000</v>
      </c>
      <c r="J49" s="8">
        <f>Inputs!E$27</f>
        <v>46325</v>
      </c>
      <c r="K49" s="14"/>
      <c r="L49" s="14"/>
      <c r="M49" s="12"/>
    </row>
    <row r="50" spans="2:13" x14ac:dyDescent="0.3">
      <c r="C50" s="28" t="s">
        <v>72</v>
      </c>
      <c r="D50" s="29" t="s">
        <v>70</v>
      </c>
      <c r="E50" s="30">
        <f>PB_Rate*E14*(E43*Bench_Wind+E44*Bench_BESS)-E49</f>
        <v>406000000</v>
      </c>
      <c r="F50" s="30">
        <f>PB_Rate*F14*(F43*Bench_Wind+F44*Bench_BESS)-F49</f>
        <v>728400000</v>
      </c>
      <c r="G50" s="30">
        <f>PB_Rate*G14*(G43*Bench_Wind+G44*Bench_BESS)-G49</f>
        <v>728400000</v>
      </c>
      <c r="H50" s="30">
        <f t="shared" si="0"/>
        <v>1862800000</v>
      </c>
      <c r="J50" s="8">
        <f>Inputs!E$28</f>
        <v>46402</v>
      </c>
      <c r="K50" s="14"/>
      <c r="L50" s="14"/>
      <c r="M50" s="12"/>
    </row>
    <row r="51" spans="2:13" x14ac:dyDescent="0.3">
      <c r="C51" s="17" t="s">
        <v>73</v>
      </c>
      <c r="D51" s="18" t="s">
        <v>70</v>
      </c>
      <c r="E51" s="50">
        <f>TSO_Rate*E6</f>
        <v>225000000</v>
      </c>
      <c r="F51" s="50">
        <f>TSO_Rate*F6</f>
        <v>225000000</v>
      </c>
      <c r="G51" s="50">
        <f>TSO_Rate*G6</f>
        <v>225000000</v>
      </c>
      <c r="H51" s="50">
        <f t="shared" si="0"/>
        <v>675000000</v>
      </c>
      <c r="J51" s="8">
        <f>Inputs!E$29</f>
        <v>46402</v>
      </c>
      <c r="K51" s="14"/>
      <c r="L51" s="14"/>
      <c r="M51" s="12"/>
    </row>
    <row r="52" spans="2:13" x14ac:dyDescent="0.3">
      <c r="C52" s="15" t="s">
        <v>74</v>
      </c>
      <c r="D52" s="16" t="s">
        <v>70</v>
      </c>
      <c r="E52" s="51">
        <f>Inputs!E$15/Inputs!E$16</f>
        <v>254172902</v>
      </c>
      <c r="F52" s="51">
        <f>Inputs!F$15/Inputs!F$16</f>
        <v>460000000</v>
      </c>
      <c r="G52" s="51">
        <f>Inputs!G$15/Inputs!G$16</f>
        <v>460000000</v>
      </c>
      <c r="H52" s="51">
        <f t="shared" si="0"/>
        <v>1174172902</v>
      </c>
      <c r="J52" s="8">
        <f>Inputs!E$30</f>
        <v>47027</v>
      </c>
      <c r="K52" s="14"/>
      <c r="L52" s="14"/>
      <c r="M52" s="12"/>
    </row>
    <row r="53" spans="2:13" x14ac:dyDescent="0.3">
      <c r="C53" s="15" t="s">
        <v>75</v>
      </c>
      <c r="D53" s="16" t="s">
        <v>70</v>
      </c>
      <c r="E53" s="51">
        <f>Inputs!E$14*E6-E51</f>
        <v>3428565300</v>
      </c>
      <c r="F53" s="51">
        <f>Inputs!F$14*F6-F51</f>
        <v>766334000</v>
      </c>
      <c r="G53" s="51">
        <f>Inputs!G$14*G6-G51</f>
        <v>766334000</v>
      </c>
      <c r="H53" s="51">
        <f t="shared" si="0"/>
        <v>4961233300</v>
      </c>
      <c r="J53" s="8">
        <f>Inputs!E$30</f>
        <v>47027</v>
      </c>
      <c r="K53" s="14"/>
      <c r="L53" s="14"/>
      <c r="M53" s="12"/>
    </row>
    <row r="54" spans="2:13" x14ac:dyDescent="0.3">
      <c r="C54" s="5" t="s">
        <v>76</v>
      </c>
      <c r="D54" s="2" t="s">
        <v>70</v>
      </c>
      <c r="E54" s="68">
        <f>SUM(Inputs!E$18:E$23)*FX*Thousand</f>
        <v>286331550</v>
      </c>
      <c r="F54" s="44">
        <f>SUM(Inputs!F$18:F$23)*FX*Thousand</f>
        <v>365000000.00000006</v>
      </c>
      <c r="G54" s="44">
        <f>SUM(Inputs!G$18:G$23)*FX*Thousand</f>
        <v>365000000.00000006</v>
      </c>
      <c r="H54" s="44">
        <f t="shared" si="0"/>
        <v>1016331550</v>
      </c>
      <c r="J54" s="8">
        <f>Inputs!E$31</f>
        <v>46752</v>
      </c>
      <c r="K54" s="14"/>
      <c r="L54" s="14"/>
      <c r="M54" s="12"/>
    </row>
    <row r="55" spans="2:13" x14ac:dyDescent="0.3">
      <c r="C55" s="5" t="s">
        <v>80</v>
      </c>
      <c r="D55" s="2" t="s">
        <v>70</v>
      </c>
      <c r="E55" s="44">
        <f>Inputs!E$17*FX*Thousand</f>
        <v>36500000</v>
      </c>
      <c r="F55" s="44">
        <f>Inputs!F$17*FX*Thousand</f>
        <v>54750000</v>
      </c>
      <c r="G55" s="44">
        <f>Inputs!G$17*FX*Thousand</f>
        <v>54750000</v>
      </c>
      <c r="H55" s="44">
        <f>SUM(E55:G55)</f>
        <v>146000000</v>
      </c>
      <c r="J55" s="8">
        <f>Inputs!E$26</f>
        <v>46234</v>
      </c>
      <c r="K55" s="14"/>
      <c r="L55" s="14"/>
      <c r="M55" s="12"/>
    </row>
    <row r="56" spans="2:13" x14ac:dyDescent="0.3">
      <c r="C56" s="1" t="s">
        <v>81</v>
      </c>
      <c r="D56" s="2" t="s">
        <v>70</v>
      </c>
      <c r="E56" s="52">
        <f>SUM(E48:E55)</f>
        <v>4741069752</v>
      </c>
      <c r="F56" s="52">
        <f>SUM(F48:F55)</f>
        <v>2784584000</v>
      </c>
      <c r="G56" s="52">
        <f>SUM(G48:G55)</f>
        <v>2784584000</v>
      </c>
      <c r="H56" s="52">
        <f>SUM(E56:G56)</f>
        <v>10310237752</v>
      </c>
      <c r="K56" s="12"/>
      <c r="L56" s="12"/>
      <c r="M56" s="12"/>
    </row>
    <row r="57" spans="2:13" x14ac:dyDescent="0.3">
      <c r="K57" s="12"/>
      <c r="L57" s="12"/>
      <c r="M57" s="12"/>
    </row>
    <row r="58" spans="2:13" x14ac:dyDescent="0.3">
      <c r="B58" s="3" t="s">
        <v>2</v>
      </c>
      <c r="C58" s="3" t="s">
        <v>77</v>
      </c>
      <c r="D58" s="3"/>
      <c r="E58" s="4" t="s">
        <v>4</v>
      </c>
      <c r="F58" s="4" t="s">
        <v>5</v>
      </c>
      <c r="G58" s="4" t="s">
        <v>6</v>
      </c>
      <c r="H58" s="4" t="s">
        <v>7</v>
      </c>
      <c r="J58" s="4" t="s">
        <v>389</v>
      </c>
      <c r="K58" s="13"/>
      <c r="L58" s="13"/>
      <c r="M58" s="12"/>
    </row>
    <row r="59" spans="2:13" x14ac:dyDescent="0.3">
      <c r="C59" s="28" t="s">
        <v>69</v>
      </c>
      <c r="D59" s="29" t="s">
        <v>78</v>
      </c>
      <c r="E59" s="31">
        <f t="shared" ref="E59:G65" si="1">E48/FX/Thousand</f>
        <v>8.2191780821917799</v>
      </c>
      <c r="F59" s="31">
        <f t="shared" si="1"/>
        <v>8.2191780821917799</v>
      </c>
      <c r="G59" s="31">
        <f t="shared" si="1"/>
        <v>8.2191780821917799</v>
      </c>
      <c r="H59" s="31">
        <f t="shared" ref="H59:H67" si="2">SUM(E59:G59)</f>
        <v>24.657534246575338</v>
      </c>
      <c r="J59" s="8">
        <f>Inputs!E$27</f>
        <v>46325</v>
      </c>
      <c r="K59" s="14"/>
      <c r="L59" s="14"/>
      <c r="M59" s="12"/>
    </row>
    <row r="60" spans="2:13" x14ac:dyDescent="0.3">
      <c r="C60" s="28" t="s">
        <v>71</v>
      </c>
      <c r="D60" s="29" t="s">
        <v>78</v>
      </c>
      <c r="E60" s="30">
        <f t="shared" si="1"/>
        <v>278.08219178082197</v>
      </c>
      <c r="F60" s="30">
        <f t="shared" si="1"/>
        <v>498.90410958904107</v>
      </c>
      <c r="G60" s="30">
        <f t="shared" si="1"/>
        <v>498.90410958904107</v>
      </c>
      <c r="H60" s="30">
        <f t="shared" si="2"/>
        <v>1275.8904109589041</v>
      </c>
      <c r="J60" s="8">
        <f>Inputs!E$27</f>
        <v>46325</v>
      </c>
      <c r="K60" s="14"/>
      <c r="L60" s="14"/>
      <c r="M60" s="12"/>
    </row>
    <row r="61" spans="2:13" x14ac:dyDescent="0.3">
      <c r="C61" s="28" t="s">
        <v>72</v>
      </c>
      <c r="D61" s="29" t="s">
        <v>78</v>
      </c>
      <c r="E61" s="30">
        <f t="shared" si="1"/>
        <v>1112.3287671232879</v>
      </c>
      <c r="F61" s="30">
        <f t="shared" si="1"/>
        <v>1995.6164383561643</v>
      </c>
      <c r="G61" s="30">
        <f t="shared" si="1"/>
        <v>1995.6164383561643</v>
      </c>
      <c r="H61" s="30">
        <f t="shared" si="2"/>
        <v>5103.5616438356165</v>
      </c>
      <c r="J61" s="8">
        <f>Inputs!E$28</f>
        <v>46402</v>
      </c>
      <c r="K61" s="14"/>
      <c r="L61" s="14"/>
      <c r="M61" s="12"/>
    </row>
    <row r="62" spans="2:13" x14ac:dyDescent="0.3">
      <c r="C62" s="17" t="s">
        <v>73</v>
      </c>
      <c r="D62" s="18" t="s">
        <v>78</v>
      </c>
      <c r="E62" s="50">
        <f t="shared" si="1"/>
        <v>616.43835616438355</v>
      </c>
      <c r="F62" s="50">
        <f t="shared" si="1"/>
        <v>616.43835616438355</v>
      </c>
      <c r="G62" s="50">
        <f t="shared" si="1"/>
        <v>616.43835616438355</v>
      </c>
      <c r="H62" s="50">
        <f t="shared" si="2"/>
        <v>1849.3150684931506</v>
      </c>
      <c r="J62" s="8">
        <f>Inputs!E$29</f>
        <v>46402</v>
      </c>
      <c r="K62" s="8"/>
      <c r="L62" s="8"/>
    </row>
    <row r="63" spans="2:13" x14ac:dyDescent="0.3">
      <c r="C63" s="15" t="s">
        <v>74</v>
      </c>
      <c r="D63" s="16" t="s">
        <v>78</v>
      </c>
      <c r="E63" s="51">
        <f t="shared" si="1"/>
        <v>696.36411506849322</v>
      </c>
      <c r="F63" s="51">
        <f t="shared" si="1"/>
        <v>1260.2739726027396</v>
      </c>
      <c r="G63" s="51">
        <f t="shared" si="1"/>
        <v>1260.2739726027396</v>
      </c>
      <c r="H63" s="51">
        <f t="shared" si="2"/>
        <v>3216.9120602739722</v>
      </c>
      <c r="J63" s="8">
        <f>Inputs!E$30</f>
        <v>47027</v>
      </c>
      <c r="K63" s="8"/>
      <c r="L63" s="8"/>
    </row>
    <row r="64" spans="2:13" x14ac:dyDescent="0.3">
      <c r="C64" s="15" t="s">
        <v>75</v>
      </c>
      <c r="D64" s="16" t="s">
        <v>78</v>
      </c>
      <c r="E64" s="51">
        <f>E53/FX/Thousand</f>
        <v>9393.3295890410955</v>
      </c>
      <c r="F64" s="51">
        <f t="shared" si="1"/>
        <v>2099.5452054794519</v>
      </c>
      <c r="G64" s="51">
        <f t="shared" si="1"/>
        <v>2099.5452054794519</v>
      </c>
      <c r="H64" s="51">
        <f t="shared" si="2"/>
        <v>13592.419999999998</v>
      </c>
      <c r="J64" s="8">
        <f>Inputs!E$30</f>
        <v>47027</v>
      </c>
      <c r="K64" s="8"/>
      <c r="L64" s="8"/>
    </row>
    <row r="65" spans="2:12" x14ac:dyDescent="0.3">
      <c r="C65" s="5" t="s">
        <v>76</v>
      </c>
      <c r="D65" s="2" t="s">
        <v>78</v>
      </c>
      <c r="E65" s="44">
        <f t="shared" si="1"/>
        <v>784.47</v>
      </c>
      <c r="F65" s="44">
        <f t="shared" si="1"/>
        <v>1000.0000000000001</v>
      </c>
      <c r="G65" s="44">
        <f t="shared" si="1"/>
        <v>1000.0000000000001</v>
      </c>
      <c r="H65" s="44">
        <f t="shared" si="2"/>
        <v>2784.4700000000003</v>
      </c>
      <c r="J65" s="8">
        <f>Inputs!E$31</f>
        <v>46752</v>
      </c>
      <c r="K65" s="8"/>
      <c r="L65" s="8"/>
    </row>
    <row r="66" spans="2:12" x14ac:dyDescent="0.3">
      <c r="C66" s="5" t="s">
        <v>80</v>
      </c>
      <c r="D66" s="2" t="s">
        <v>78</v>
      </c>
      <c r="E66" s="44">
        <f>Inputs!E$17</f>
        <v>100</v>
      </c>
      <c r="F66" s="44">
        <f>Inputs!F$17</f>
        <v>150</v>
      </c>
      <c r="G66" s="44">
        <f>Inputs!G$17</f>
        <v>150</v>
      </c>
      <c r="H66" s="44">
        <f t="shared" si="2"/>
        <v>400</v>
      </c>
      <c r="J66" s="8">
        <f>Inputs!E$26</f>
        <v>46234</v>
      </c>
      <c r="K66" s="8"/>
      <c r="L66" s="8"/>
    </row>
    <row r="67" spans="2:12" x14ac:dyDescent="0.3">
      <c r="C67" s="1" t="s">
        <v>81</v>
      </c>
      <c r="D67" s="2" t="s">
        <v>78</v>
      </c>
      <c r="E67" s="52">
        <f>SUM(E59:E66)</f>
        <v>12989.232197260273</v>
      </c>
      <c r="F67" s="52">
        <f>SUM(F59:F66)</f>
        <v>7628.9972602739726</v>
      </c>
      <c r="G67" s="52">
        <f>SUM(G59:G66)</f>
        <v>7628.9972602739726</v>
      </c>
      <c r="H67" s="52">
        <f t="shared" si="2"/>
        <v>28247.226717808218</v>
      </c>
    </row>
    <row r="69" spans="2:12" x14ac:dyDescent="0.3">
      <c r="B69" s="3" t="s">
        <v>2</v>
      </c>
      <c r="C69" s="3" t="s">
        <v>404</v>
      </c>
      <c r="D69" s="3"/>
      <c r="E69" s="4" t="s">
        <v>4</v>
      </c>
      <c r="F69" s="4" t="s">
        <v>5</v>
      </c>
      <c r="G69" s="4" t="s">
        <v>6</v>
      </c>
      <c r="H69" s="4" t="s">
        <v>7</v>
      </c>
      <c r="J69" s="4" t="s">
        <v>405</v>
      </c>
    </row>
    <row r="70" spans="2:12" x14ac:dyDescent="0.3">
      <c r="C70" s="5" t="s">
        <v>406</v>
      </c>
      <c r="D70" s="2" t="s">
        <v>78</v>
      </c>
      <c r="E70" s="44">
        <f>E59+E65+E66</f>
        <v>892.6891780821918</v>
      </c>
      <c r="F70" s="44">
        <f>F59+F65+F66</f>
        <v>1158.2191780821918</v>
      </c>
      <c r="G70" s="44">
        <f>G59+G65+G66</f>
        <v>1158.2191780821918</v>
      </c>
      <c r="H70" s="44">
        <f>SUM(E70:G70)</f>
        <v>3209.1275342465756</v>
      </c>
      <c r="J70" s="27" t="s">
        <v>407</v>
      </c>
    </row>
    <row r="71" spans="2:12" x14ac:dyDescent="0.3">
      <c r="C71" s="5" t="s">
        <v>408</v>
      </c>
      <c r="D71" s="2" t="s">
        <v>78</v>
      </c>
      <c r="E71" s="44">
        <f>SUM(E60:E62)</f>
        <v>2006.8493150684935</v>
      </c>
      <c r="F71" s="44">
        <f>SUM(F60:F62)</f>
        <v>3110.9589041095887</v>
      </c>
      <c r="G71" s="44">
        <f>SUM(G60:G62)</f>
        <v>3110.9589041095887</v>
      </c>
      <c r="H71" s="44">
        <f>SUM(E71:G71)</f>
        <v>8228.767123287671</v>
      </c>
      <c r="J71" s="27" t="s">
        <v>409</v>
      </c>
    </row>
    <row r="72" spans="2:12" x14ac:dyDescent="0.3">
      <c r="C72" s="5" t="s">
        <v>410</v>
      </c>
      <c r="D72" s="2" t="s">
        <v>78</v>
      </c>
      <c r="E72" s="53">
        <f>E63+E64</f>
        <v>10089.693704109588</v>
      </c>
      <c r="F72" s="53">
        <f>F63+F64</f>
        <v>3359.8191780821917</v>
      </c>
      <c r="G72" s="53">
        <f>G63+G64</f>
        <v>3359.8191780821917</v>
      </c>
      <c r="H72" s="53">
        <f>SUM(E72:G72)</f>
        <v>16809.33206027397</v>
      </c>
      <c r="J72" s="27" t="s">
        <v>411</v>
      </c>
    </row>
    <row r="73" spans="2:12" x14ac:dyDescent="0.3">
      <c r="C73" s="1" t="s">
        <v>412</v>
      </c>
      <c r="D73" s="2" t="s">
        <v>78</v>
      </c>
      <c r="E73" s="46">
        <f>SUM(E70:E72)</f>
        <v>12989.232197260273</v>
      </c>
      <c r="F73" s="46">
        <f>SUM(F70:F72)</f>
        <v>7628.9972602739717</v>
      </c>
      <c r="G73" s="46">
        <f>SUM(G70:G72)</f>
        <v>7628.9972602739717</v>
      </c>
      <c r="H73" s="46">
        <f>SUM(E73:G73)</f>
        <v>28247.226717808218</v>
      </c>
      <c r="J73" s="27" t="s">
        <v>413</v>
      </c>
    </row>
    <row r="74" spans="2:12" x14ac:dyDescent="0.3">
      <c r="C74" t="s">
        <v>414</v>
      </c>
      <c r="D74" t="s">
        <v>11</v>
      </c>
      <c r="E74" s="54">
        <f>E72/E73</f>
        <v>0.77677368075980158</v>
      </c>
      <c r="F74" s="54">
        <f>F72/F73</f>
        <v>0.44040115148259135</v>
      </c>
      <c r="G74" s="54">
        <f>G72/G73</f>
        <v>0.44040115148259135</v>
      </c>
      <c r="H74" s="54">
        <f>H72/H73</f>
        <v>0.59507902238334331</v>
      </c>
      <c r="J74" s="27"/>
    </row>
    <row r="75" spans="2:12" x14ac:dyDescent="0.3">
      <c r="C75" s="1" t="s">
        <v>415</v>
      </c>
      <c r="D75" s="2" t="s">
        <v>78</v>
      </c>
      <c r="E75" s="52">
        <f>E73-E72</f>
        <v>2899.5384931506851</v>
      </c>
      <c r="F75" s="52">
        <f>F73-F72</f>
        <v>4269.17808219178</v>
      </c>
      <c r="G75" s="52">
        <f>G73-G72</f>
        <v>4269.17808219178</v>
      </c>
      <c r="H75" s="52">
        <f>SUM(E75:G75)</f>
        <v>11437.894657534245</v>
      </c>
      <c r="J75" s="27" t="s">
        <v>416</v>
      </c>
    </row>
    <row r="77" spans="2:12" x14ac:dyDescent="0.3">
      <c r="B77" s="3" t="s">
        <v>2</v>
      </c>
      <c r="C77" s="3" t="s">
        <v>82</v>
      </c>
      <c r="D77" s="3"/>
      <c r="E77" s="4" t="s">
        <v>4</v>
      </c>
      <c r="F77" s="4" t="s">
        <v>5</v>
      </c>
      <c r="G77" s="4" t="s">
        <v>6</v>
      </c>
      <c r="H77" s="4" t="s">
        <v>7</v>
      </c>
    </row>
    <row r="78" spans="2:12" x14ac:dyDescent="0.3">
      <c r="C78" s="5" t="s">
        <v>83</v>
      </c>
      <c r="D78" s="2" t="s">
        <v>78</v>
      </c>
      <c r="E78" s="44">
        <f>IF(E17="EU",Case_EU,Case_CN)*E45</f>
        <v>25000</v>
      </c>
      <c r="F78" s="44">
        <f>IF(F17="EU",Case_EU,Case_CN)*F45</f>
        <v>35000</v>
      </c>
      <c r="G78" s="44">
        <f>IF(G17="EU",Case_EU,Case_CN)*G45</f>
        <v>35000</v>
      </c>
      <c r="H78" s="44">
        <f t="shared" ref="H78:H92" si="3">SUM(E78:G78)</f>
        <v>95000</v>
      </c>
    </row>
    <row r="79" spans="2:12" x14ac:dyDescent="0.3">
      <c r="C79" s="5" t="s">
        <v>84</v>
      </c>
      <c r="D79" s="2" t="s">
        <v>78</v>
      </c>
      <c r="E79" s="44">
        <f>Capex_Install*E45</f>
        <v>4000</v>
      </c>
      <c r="F79" s="44">
        <f>Capex_Install*F45</f>
        <v>5600</v>
      </c>
      <c r="G79" s="44">
        <f>Capex_Install*G45</f>
        <v>5600</v>
      </c>
      <c r="H79" s="44">
        <f t="shared" si="3"/>
        <v>15200</v>
      </c>
    </row>
    <row r="80" spans="2:12" x14ac:dyDescent="0.3">
      <c r="C80" s="5" t="s">
        <v>85</v>
      </c>
      <c r="D80" s="2" t="s">
        <v>78</v>
      </c>
      <c r="E80" s="44">
        <f>Capex_Fdn*E45</f>
        <v>4500</v>
      </c>
      <c r="F80" s="44">
        <f>Capex_Fdn*F45</f>
        <v>6300</v>
      </c>
      <c r="G80" s="44">
        <f>Capex_Fdn*G45</f>
        <v>6300</v>
      </c>
      <c r="H80" s="44">
        <f t="shared" si="3"/>
        <v>17100</v>
      </c>
    </row>
    <row r="81" spans="2:8" x14ac:dyDescent="0.3">
      <c r="C81" s="5" t="s">
        <v>86</v>
      </c>
      <c r="D81" s="2" t="s">
        <v>78</v>
      </c>
      <c r="E81" s="44">
        <f>Capex_Civil*E45</f>
        <v>3500</v>
      </c>
      <c r="F81" s="44">
        <f>Capex_Civil*F45</f>
        <v>4900</v>
      </c>
      <c r="G81" s="44">
        <f>Capex_Civil*G45</f>
        <v>4900</v>
      </c>
      <c r="H81" s="44">
        <f t="shared" si="3"/>
        <v>13300</v>
      </c>
    </row>
    <row r="82" spans="2:8" x14ac:dyDescent="0.3">
      <c r="C82" s="5" t="s">
        <v>87</v>
      </c>
      <c r="D82" s="2" t="s">
        <v>78</v>
      </c>
      <c r="E82" s="44">
        <f>Capex_Elec*E45</f>
        <v>3000</v>
      </c>
      <c r="F82" s="44">
        <f>Capex_Elec*F45</f>
        <v>4200</v>
      </c>
      <c r="G82" s="44">
        <f>Capex_Elec*G45</f>
        <v>4200</v>
      </c>
      <c r="H82" s="44">
        <f t="shared" si="3"/>
        <v>11400</v>
      </c>
    </row>
    <row r="83" spans="2:8" x14ac:dyDescent="0.3">
      <c r="C83" s="5" t="s">
        <v>88</v>
      </c>
      <c r="D83" s="2" t="s">
        <v>78</v>
      </c>
      <c r="E83" s="44">
        <f>Capex_Owner*E45</f>
        <v>2000</v>
      </c>
      <c r="F83" s="44">
        <f>Capex_Owner*F45</f>
        <v>2800</v>
      </c>
      <c r="G83" s="44">
        <f>Capex_Owner*G45</f>
        <v>2800</v>
      </c>
      <c r="H83" s="44">
        <f t="shared" si="3"/>
        <v>7600</v>
      </c>
    </row>
    <row r="84" spans="2:8" x14ac:dyDescent="0.3">
      <c r="C84" s="5" t="s">
        <v>89</v>
      </c>
      <c r="D84" s="2" t="s">
        <v>78</v>
      </c>
      <c r="E84" s="44">
        <f>Capex_Land*E45</f>
        <v>750</v>
      </c>
      <c r="F84" s="44">
        <f>Capex_Land*F45</f>
        <v>1050</v>
      </c>
      <c r="G84" s="44">
        <f>Capex_Land*G45</f>
        <v>1050</v>
      </c>
      <c r="H84" s="44">
        <f t="shared" si="3"/>
        <v>2850</v>
      </c>
    </row>
    <row r="85" spans="2:8" x14ac:dyDescent="0.3">
      <c r="C85" s="5" t="s">
        <v>90</v>
      </c>
      <c r="D85" s="2" t="s">
        <v>78</v>
      </c>
      <c r="E85" s="44">
        <f>Subs_Lump*E6/Lump_Basis</f>
        <v>3000</v>
      </c>
      <c r="F85" s="44">
        <f>Subs_Lump*F6/Lump_Basis</f>
        <v>3000</v>
      </c>
      <c r="G85" s="44">
        <f>Subs_Lump*G6/Lump_Basis</f>
        <v>3000</v>
      </c>
      <c r="H85" s="44">
        <f t="shared" si="3"/>
        <v>9000</v>
      </c>
    </row>
    <row r="86" spans="2:8" x14ac:dyDescent="0.3">
      <c r="C86" s="5" t="s">
        <v>91</v>
      </c>
      <c r="D86" s="2" t="s">
        <v>78</v>
      </c>
      <c r="E86" s="44">
        <f>SUM(E78:E85)*Capex_Cont</f>
        <v>2287.5</v>
      </c>
      <c r="F86" s="44">
        <f>SUM(F78:F85)*Capex_Cont</f>
        <v>3142.5</v>
      </c>
      <c r="G86" s="44">
        <f>SUM(G78:G85)*Capex_Cont</f>
        <v>3142.5</v>
      </c>
      <c r="H86" s="44">
        <f t="shared" si="3"/>
        <v>8572.5</v>
      </c>
    </row>
    <row r="87" spans="2:8" x14ac:dyDescent="0.3">
      <c r="C87" s="5" t="s">
        <v>92</v>
      </c>
      <c r="D87" s="2" t="s">
        <v>78</v>
      </c>
      <c r="E87" s="44">
        <f>BESS_Capex*E44</f>
        <v>0</v>
      </c>
      <c r="F87" s="44">
        <f>BESS_Capex*F44</f>
        <v>4000</v>
      </c>
      <c r="G87" s="44">
        <f>BESS_Capex*G44</f>
        <v>4000</v>
      </c>
      <c r="H87" s="44">
        <f t="shared" si="3"/>
        <v>8000</v>
      </c>
    </row>
    <row r="88" spans="2:8" x14ac:dyDescent="0.3">
      <c r="C88" s="1" t="s">
        <v>93</v>
      </c>
      <c r="D88" s="2" t="s">
        <v>78</v>
      </c>
      <c r="E88" s="52">
        <f>SUM(E78:E87)</f>
        <v>48037.5</v>
      </c>
      <c r="F88" s="52">
        <f>SUM(F78:F87)</f>
        <v>69992.5</v>
      </c>
      <c r="G88" s="52">
        <f>SUM(G78:G87)</f>
        <v>69992.5</v>
      </c>
      <c r="H88" s="52">
        <f t="shared" si="3"/>
        <v>188022.5</v>
      </c>
    </row>
    <row r="89" spans="2:8" x14ac:dyDescent="0.3">
      <c r="C89" s="15" t="s">
        <v>94</v>
      </c>
      <c r="D89" s="16" t="s">
        <v>78</v>
      </c>
      <c r="E89" s="51">
        <f>E62+E63+E64</f>
        <v>10706.132060273972</v>
      </c>
      <c r="F89" s="51">
        <f>F62+F63+F64</f>
        <v>3976.2575342465752</v>
      </c>
      <c r="G89" s="51">
        <f>G62+G63+G64</f>
        <v>3976.2575342465752</v>
      </c>
      <c r="H89" s="51">
        <f t="shared" si="3"/>
        <v>18658.647128767123</v>
      </c>
    </row>
    <row r="90" spans="2:8" x14ac:dyDescent="0.3">
      <c r="C90" s="5" t="s">
        <v>95</v>
      </c>
      <c r="D90" s="2" t="s">
        <v>78</v>
      </c>
      <c r="E90" s="44">
        <f>E11*E6</f>
        <v>1000</v>
      </c>
      <c r="F90" s="44">
        <f>F11*F6</f>
        <v>2500</v>
      </c>
      <c r="G90" s="44">
        <f>G11*G6</f>
        <v>2500</v>
      </c>
      <c r="H90" s="44">
        <f t="shared" si="3"/>
        <v>6000</v>
      </c>
    </row>
    <row r="91" spans="2:8" x14ac:dyDescent="0.3">
      <c r="C91" s="5" t="s">
        <v>96</v>
      </c>
      <c r="D91" s="2" t="s">
        <v>78</v>
      </c>
      <c r="E91" s="44">
        <f>E59+E65+E66</f>
        <v>892.6891780821918</v>
      </c>
      <c r="F91" s="44">
        <f>F59+F65+F66</f>
        <v>1158.2191780821918</v>
      </c>
      <c r="G91" s="44">
        <f>G59+G65+G66</f>
        <v>1158.2191780821918</v>
      </c>
      <c r="H91" s="44">
        <f t="shared" si="3"/>
        <v>3209.1275342465756</v>
      </c>
    </row>
    <row r="92" spans="2:8" x14ac:dyDescent="0.3">
      <c r="C92" s="1" t="s">
        <v>97</v>
      </c>
      <c r="D92" s="2" t="s">
        <v>78</v>
      </c>
      <c r="E92" s="52">
        <f>E88+SUM(E89:E91)</f>
        <v>60636.321238356162</v>
      </c>
      <c r="F92" s="52">
        <f>F88+SUM(F89:F91)</f>
        <v>77626.97671232876</v>
      </c>
      <c r="G92" s="52">
        <f>G88+SUM(G89:G91)</f>
        <v>77626.97671232876</v>
      </c>
      <c r="H92" s="52">
        <f t="shared" si="3"/>
        <v>215890.27466301367</v>
      </c>
    </row>
    <row r="93" spans="2:8" x14ac:dyDescent="0.3">
      <c r="C93" s="5" t="s">
        <v>98</v>
      </c>
      <c r="D93" s="2" t="s">
        <v>38</v>
      </c>
      <c r="E93" s="48">
        <f>E92/E45</f>
        <v>1212.7264247671233</v>
      </c>
      <c r="F93" s="48">
        <f>F92/F45</f>
        <v>1108.9568101761251</v>
      </c>
      <c r="G93" s="48">
        <f>G92/G45</f>
        <v>1108.9568101761251</v>
      </c>
      <c r="H93" s="48">
        <f>H92/H45</f>
        <v>1136.2646034895456</v>
      </c>
    </row>
    <row r="94" spans="2:8" x14ac:dyDescent="0.3">
      <c r="C94" s="5" t="s">
        <v>99</v>
      </c>
      <c r="D94" s="2" t="s">
        <v>17</v>
      </c>
      <c r="E94" s="48">
        <f>E92/E6</f>
        <v>1212.7264247671233</v>
      </c>
      <c r="F94" s="48">
        <f>F92/F6</f>
        <v>1552.5395342465752</v>
      </c>
      <c r="G94" s="48">
        <f>G92/G6</f>
        <v>1552.5395342465752</v>
      </c>
      <c r="H94" s="48">
        <f>H92/H6</f>
        <v>1439.2684977534245</v>
      </c>
    </row>
    <row r="96" spans="2:8" x14ac:dyDescent="0.3">
      <c r="B96" s="3" t="s">
        <v>2</v>
      </c>
      <c r="C96" s="3" t="s">
        <v>100</v>
      </c>
      <c r="D96" s="3"/>
      <c r="E96" s="4" t="s">
        <v>4</v>
      </c>
      <c r="F96" s="4" t="s">
        <v>5</v>
      </c>
      <c r="G96" s="4" t="s">
        <v>6</v>
      </c>
      <c r="H96" s="4" t="s">
        <v>7</v>
      </c>
    </row>
    <row r="97" spans="2:8" x14ac:dyDescent="0.3">
      <c r="C97" s="5" t="s">
        <v>101</v>
      </c>
      <c r="D97" s="2" t="s">
        <v>78</v>
      </c>
      <c r="E97" s="48">
        <f>Inputs!E$18</f>
        <v>40.47</v>
      </c>
      <c r="F97" s="48">
        <f>Inputs!F$18</f>
        <v>51.588970897548663</v>
      </c>
      <c r="G97" s="48">
        <f>Inputs!G$18</f>
        <v>51.588970897548663</v>
      </c>
      <c r="H97" s="48">
        <f t="shared" ref="H97:H103" si="4">SUM(E97:G97)</f>
        <v>143.64794179509732</v>
      </c>
    </row>
    <row r="98" spans="2:8" x14ac:dyDescent="0.3">
      <c r="C98" s="5" t="s">
        <v>102</v>
      </c>
      <c r="D98" s="2" t="s">
        <v>78</v>
      </c>
      <c r="E98" s="48">
        <f>Inputs!E$19</f>
        <v>150.66</v>
      </c>
      <c r="F98" s="48">
        <f>Inputs!F$19</f>
        <v>192.05323339324642</v>
      </c>
      <c r="G98" s="48">
        <f>Inputs!G$19</f>
        <v>192.05323339324642</v>
      </c>
      <c r="H98" s="48">
        <f t="shared" si="4"/>
        <v>534.76646678649286</v>
      </c>
    </row>
    <row r="99" spans="2:8" x14ac:dyDescent="0.3">
      <c r="C99" s="5" t="s">
        <v>103</v>
      </c>
      <c r="D99" s="2" t="s">
        <v>78</v>
      </c>
      <c r="E99" s="48">
        <f>Inputs!E$20</f>
        <v>333.93</v>
      </c>
      <c r="F99" s="48">
        <f>Inputs!F$20</f>
        <v>425.67593407013658</v>
      </c>
      <c r="G99" s="48">
        <f>Inputs!G$20</f>
        <v>425.67593407013658</v>
      </c>
      <c r="H99" s="48">
        <f t="shared" si="4"/>
        <v>1185.2818681402732</v>
      </c>
    </row>
    <row r="100" spans="2:8" x14ac:dyDescent="0.3">
      <c r="C100" s="5" t="s">
        <v>104</v>
      </c>
      <c r="D100" s="2" t="s">
        <v>78</v>
      </c>
      <c r="E100" s="48">
        <f>Inputs!E$21</f>
        <v>151.36000000000001</v>
      </c>
      <c r="F100" s="48">
        <f>Inputs!F$21</f>
        <v>192.94555559804712</v>
      </c>
      <c r="G100" s="48">
        <f>Inputs!G$21</f>
        <v>192.94555559804712</v>
      </c>
      <c r="H100" s="48">
        <f t="shared" si="4"/>
        <v>537.25111119609426</v>
      </c>
    </row>
    <row r="101" spans="2:8" x14ac:dyDescent="0.3">
      <c r="C101" s="5" t="s">
        <v>105</v>
      </c>
      <c r="D101" s="2" t="s">
        <v>78</v>
      </c>
      <c r="E101" s="48">
        <f>Inputs!E$22</f>
        <v>37.5</v>
      </c>
      <c r="F101" s="48">
        <f>Inputs!F$22</f>
        <v>47.802975257180009</v>
      </c>
      <c r="G101" s="48">
        <f>Inputs!G$22</f>
        <v>47.802975257180009</v>
      </c>
      <c r="H101" s="48">
        <f t="shared" si="4"/>
        <v>133.10595051436002</v>
      </c>
    </row>
    <row r="102" spans="2:8" x14ac:dyDescent="0.3">
      <c r="C102" s="5" t="s">
        <v>106</v>
      </c>
      <c r="D102" s="2" t="s">
        <v>78</v>
      </c>
      <c r="E102" s="67">
        <f>Inputs!E$23</f>
        <v>70.55</v>
      </c>
      <c r="F102" s="67">
        <f>Inputs!F$23</f>
        <v>89.933330783841328</v>
      </c>
      <c r="G102" s="48">
        <f>Inputs!G$23</f>
        <v>89.933330783841328</v>
      </c>
      <c r="H102" s="48">
        <f t="shared" si="4"/>
        <v>250.41666156768264</v>
      </c>
    </row>
    <row r="103" spans="2:8" x14ac:dyDescent="0.3">
      <c r="C103" s="1" t="s">
        <v>107</v>
      </c>
      <c r="D103" s="2" t="s">
        <v>78</v>
      </c>
      <c r="E103" s="49">
        <f>SUM(E97:E102)</f>
        <v>784.46999999999991</v>
      </c>
      <c r="F103" s="49">
        <f>SUM(F97:F102)</f>
        <v>1000.0000000000002</v>
      </c>
      <c r="G103" s="49">
        <f>SUM(G97:G102)</f>
        <v>1000.0000000000002</v>
      </c>
      <c r="H103" s="49">
        <f t="shared" si="4"/>
        <v>2784.4700000000003</v>
      </c>
    </row>
    <row r="105" spans="2:8" s="25" customFormat="1" x14ac:dyDescent="0.3">
      <c r="B105" s="21" t="s">
        <v>2</v>
      </c>
      <c r="C105" s="23" t="s">
        <v>392</v>
      </c>
      <c r="D105" s="21"/>
      <c r="E105" s="24" t="s">
        <v>4</v>
      </c>
      <c r="F105" s="24" t="s">
        <v>5</v>
      </c>
      <c r="G105" s="24" t="s">
        <v>6</v>
      </c>
      <c r="H105" s="24" t="s">
        <v>7</v>
      </c>
    </row>
    <row r="106" spans="2:8" x14ac:dyDescent="0.3">
      <c r="C106" s="22" t="s">
        <v>420</v>
      </c>
      <c r="D106" s="9"/>
      <c r="E106" s="10"/>
      <c r="F106" s="10"/>
      <c r="G106" s="10"/>
      <c r="H106" s="10"/>
    </row>
    <row r="107" spans="2:8" x14ac:dyDescent="0.3">
      <c r="C107" s="5" t="s">
        <v>403</v>
      </c>
      <c r="D107" s="2" t="s">
        <v>78</v>
      </c>
      <c r="E107" s="68">
        <f t="shared" ref="E107:G108" si="5">E217</f>
        <v>10089.693704109588</v>
      </c>
      <c r="F107" s="44">
        <f t="shared" si="5"/>
        <v>3359.8191780821917</v>
      </c>
      <c r="G107" s="44">
        <f t="shared" si="5"/>
        <v>3359.8191780821917</v>
      </c>
      <c r="H107" s="44">
        <f>SUM(E107:G107)</f>
        <v>16809.33206027397</v>
      </c>
    </row>
    <row r="108" spans="2:8" x14ac:dyDescent="0.3">
      <c r="C108" s="19" t="s">
        <v>108</v>
      </c>
      <c r="D108" s="20" t="s">
        <v>78</v>
      </c>
      <c r="E108" s="55">
        <f t="shared" si="5"/>
        <v>2899.5384931506851</v>
      </c>
      <c r="F108" s="55">
        <f t="shared" si="5"/>
        <v>4269.178082191781</v>
      </c>
      <c r="G108" s="55">
        <f t="shared" si="5"/>
        <v>4269.178082191781</v>
      </c>
      <c r="H108" s="55">
        <f>SUM(E108:G108)</f>
        <v>11437.894657534247</v>
      </c>
    </row>
    <row r="109" spans="2:8" x14ac:dyDescent="0.3">
      <c r="C109" s="5" t="s">
        <v>109</v>
      </c>
      <c r="D109" s="2" t="s">
        <v>78</v>
      </c>
      <c r="E109" s="44">
        <f t="shared" ref="E109:G110" si="6">E239</f>
        <v>7260.428371469281</v>
      </c>
      <c r="F109" s="44">
        <f t="shared" si="6"/>
        <v>10360.95890410959</v>
      </c>
      <c r="G109" s="44">
        <f t="shared" si="6"/>
        <v>10360.95890410959</v>
      </c>
      <c r="H109" s="44">
        <f>SUM(E109:G109)</f>
        <v>27982.346179688459</v>
      </c>
    </row>
    <row r="110" spans="2:8" x14ac:dyDescent="0.3">
      <c r="C110" s="5" t="s">
        <v>110</v>
      </c>
      <c r="D110" s="2" t="s">
        <v>78</v>
      </c>
      <c r="E110" s="44">
        <f t="shared" si="6"/>
        <v>4360.8898783185959</v>
      </c>
      <c r="F110" s="44">
        <f t="shared" si="6"/>
        <v>6091.7808219178087</v>
      </c>
      <c r="G110" s="44">
        <f t="shared" si="6"/>
        <v>6091.7808219178087</v>
      </c>
      <c r="H110" s="44">
        <f>SUM(E110:G110)</f>
        <v>16544.451522154213</v>
      </c>
    </row>
    <row r="111" spans="2:8" x14ac:dyDescent="0.3">
      <c r="C111" s="19" t="s">
        <v>111</v>
      </c>
      <c r="D111" s="20" t="s">
        <v>78</v>
      </c>
      <c r="E111" s="55">
        <f t="shared" ref="E111:G113" si="7">E242</f>
        <v>4143.9961834515352</v>
      </c>
      <c r="F111" s="55">
        <f t="shared" si="7"/>
        <v>5787.8741508765534</v>
      </c>
      <c r="G111" s="55">
        <f t="shared" si="7"/>
        <v>5787.8741508765534</v>
      </c>
      <c r="H111" s="55">
        <f>SUM(E111:G111)</f>
        <v>15719.744485204643</v>
      </c>
    </row>
    <row r="112" spans="2:8" x14ac:dyDescent="0.3">
      <c r="C112" s="5" t="s">
        <v>112</v>
      </c>
      <c r="D112" s="2" t="s">
        <v>2</v>
      </c>
      <c r="E112" s="56">
        <f t="shared" si="7"/>
        <v>2.5039944765761613</v>
      </c>
      <c r="F112" s="56">
        <f t="shared" si="7"/>
        <v>2.4269212257339965</v>
      </c>
      <c r="G112" s="56">
        <f t="shared" si="7"/>
        <v>2.4269212257339965</v>
      </c>
      <c r="H112" s="56">
        <f>H243</f>
        <v>2.4464595117822863</v>
      </c>
    </row>
    <row r="113" spans="3:10" x14ac:dyDescent="0.3">
      <c r="C113" s="5" t="s">
        <v>113</v>
      </c>
      <c r="D113" s="2" t="s">
        <v>11</v>
      </c>
      <c r="E113" s="57">
        <f t="shared" si="7"/>
        <v>0.43872876763343815</v>
      </c>
      <c r="F113" s="57">
        <f t="shared" si="7"/>
        <v>0.41424058079719539</v>
      </c>
      <c r="G113" s="57">
        <f t="shared" si="7"/>
        <v>0.41424058079719539</v>
      </c>
    </row>
    <row r="114" spans="3:10" x14ac:dyDescent="0.3">
      <c r="C114" s="22" t="s">
        <v>421</v>
      </c>
      <c r="D114" s="9"/>
      <c r="E114" s="10"/>
      <c r="F114" s="10"/>
      <c r="G114" s="10"/>
      <c r="H114" s="10"/>
    </row>
    <row r="115" spans="3:10" x14ac:dyDescent="0.3">
      <c r="C115" s="19" t="s">
        <v>108</v>
      </c>
      <c r="D115" s="20" t="s">
        <v>78</v>
      </c>
      <c r="E115" s="55">
        <f>E67</f>
        <v>12989.232197260273</v>
      </c>
      <c r="F115" s="55">
        <f>F67</f>
        <v>7628.9972602739726</v>
      </c>
      <c r="G115" s="55">
        <f>G67</f>
        <v>7628.9972602739726</v>
      </c>
      <c r="H115" s="55">
        <f>SUM(E115:G115)</f>
        <v>28247.226717808218</v>
      </c>
    </row>
    <row r="116" spans="3:10" x14ac:dyDescent="0.3">
      <c r="C116" s="5" t="s">
        <v>109</v>
      </c>
      <c r="D116" s="2" t="s">
        <v>78</v>
      </c>
      <c r="E116" s="44">
        <f t="shared" ref="E116:G117" si="8">E211</f>
        <v>17627.245511217519</v>
      </c>
      <c r="F116" s="44">
        <f t="shared" si="8"/>
        <v>13720.77808219178</v>
      </c>
      <c r="G116" s="44">
        <f t="shared" si="8"/>
        <v>13720.77808219178</v>
      </c>
      <c r="H116" s="44">
        <f>SUM(E116:G116)</f>
        <v>45068.801675601077</v>
      </c>
    </row>
    <row r="117" spans="3:10" x14ac:dyDescent="0.3">
      <c r="C117" s="5" t="s">
        <v>110</v>
      </c>
      <c r="D117" s="2" t="s">
        <v>78</v>
      </c>
      <c r="E117" s="44">
        <f t="shared" si="8"/>
        <v>4638.0133139572463</v>
      </c>
      <c r="F117" s="44">
        <f t="shared" si="8"/>
        <v>6091.7808219178078</v>
      </c>
      <c r="G117" s="44">
        <f t="shared" si="8"/>
        <v>6091.7808219178078</v>
      </c>
      <c r="H117" s="44">
        <f>SUM(E117:G117)</f>
        <v>16821.574957792862</v>
      </c>
    </row>
    <row r="118" spans="3:10" x14ac:dyDescent="0.3">
      <c r="C118" s="19" t="s">
        <v>111</v>
      </c>
      <c r="D118" s="20" t="s">
        <v>78</v>
      </c>
      <c r="E118" s="55">
        <f>E214</f>
        <v>4282.5579012708622</v>
      </c>
      <c r="F118" s="72">
        <f>F214</f>
        <v>5741.7337693615254</v>
      </c>
      <c r="G118" s="55">
        <f>G214</f>
        <v>5741.7337693615254</v>
      </c>
      <c r="H118" s="46">
        <f>SUM(E118:G118)</f>
        <v>15766.025439993915</v>
      </c>
    </row>
    <row r="119" spans="3:10" x14ac:dyDescent="0.3">
      <c r="C119" s="5" t="s">
        <v>112</v>
      </c>
      <c r="D119" s="2" t="s">
        <v>2</v>
      </c>
      <c r="E119" s="56">
        <f>SUMIF(E203:E211,"&gt;0")/-SUMIF(E203:E211,"&lt;0")</f>
        <v>1.3570660100244809</v>
      </c>
      <c r="F119" s="56">
        <f>SUMIF(F203:F211,"&gt;0")/-SUMIF(F203:F211,"&lt;0")</f>
        <v>1.7985034748457938</v>
      </c>
      <c r="G119" s="56">
        <f>SUMIF(G203:G211,"&gt;0")/-SUMIF(G203:G211,"&lt;0")</f>
        <v>1.7985034748457938</v>
      </c>
      <c r="H119" s="56">
        <f>SUMIF(H203:H211,"&gt;0")/-SUMIF(H203:H211,"&lt;0")</f>
        <v>1.5955124418351427</v>
      </c>
    </row>
    <row r="120" spans="3:10" x14ac:dyDescent="0.3">
      <c r="C120" s="5" t="s">
        <v>113</v>
      </c>
      <c r="D120" s="2" t="s">
        <v>11</v>
      </c>
      <c r="E120" s="57">
        <f>XIRR(E203:E211,J203:J211)</f>
        <v>0.24737151265144347</v>
      </c>
      <c r="F120" s="71">
        <f>XIRR(F203:F211,K203:K211)</f>
        <v>0.35003436207771299</v>
      </c>
      <c r="G120" s="57">
        <f>XIRR(G203:G211,L203:L211)</f>
        <v>0.35003436207771299</v>
      </c>
    </row>
    <row r="121" spans="3:10" x14ac:dyDescent="0.3">
      <c r="C121" s="22" t="s">
        <v>391</v>
      </c>
      <c r="D121" s="9"/>
      <c r="E121" s="10"/>
      <c r="F121" s="10"/>
      <c r="G121" s="10"/>
      <c r="H121" s="10"/>
    </row>
    <row r="122" spans="3:10" x14ac:dyDescent="0.3">
      <c r="C122" s="5" t="s">
        <v>426</v>
      </c>
      <c r="D122" s="2" t="s">
        <v>78</v>
      </c>
      <c r="E122" s="44">
        <f>E92-$H$280</f>
        <v>62355.61874631673</v>
      </c>
      <c r="F122" s="44">
        <f>F92-$H$312</f>
        <v>77626.97671232876</v>
      </c>
      <c r="G122" s="44">
        <f>G92-$H$344</f>
        <v>77626.97671232876</v>
      </c>
      <c r="H122" s="44">
        <f>SUM(E122:G122)</f>
        <v>217609.57217097425</v>
      </c>
    </row>
    <row r="123" spans="3:10" x14ac:dyDescent="0.3">
      <c r="C123" s="5" t="s">
        <v>115</v>
      </c>
      <c r="D123" s="2" t="s">
        <v>78</v>
      </c>
      <c r="E123" s="44">
        <f>$H$279</f>
        <v>96859.987575114079</v>
      </c>
      <c r="F123" s="44">
        <f>$H$311</f>
        <v>130416.00131391952</v>
      </c>
      <c r="G123" s="44">
        <f>$H$343</f>
        <v>130416.00131391952</v>
      </c>
      <c r="H123" s="44">
        <f>SUM(E123:G123)</f>
        <v>357691.99020295311</v>
      </c>
    </row>
    <row r="124" spans="3:10" x14ac:dyDescent="0.3">
      <c r="C124" s="5" t="s">
        <v>110</v>
      </c>
      <c r="D124" s="2" t="s">
        <v>78</v>
      </c>
      <c r="E124" s="44">
        <f>$H$281</f>
        <v>34504.368828797342</v>
      </c>
      <c r="F124" s="44">
        <f>$H$313</f>
        <v>52789.024601590747</v>
      </c>
      <c r="G124" s="44">
        <f>$H$345</f>
        <v>52789.024601590747</v>
      </c>
      <c r="H124" s="44">
        <f>SUM(E124:G124)</f>
        <v>140082.41803197883</v>
      </c>
      <c r="J124" s="32"/>
    </row>
    <row r="125" spans="3:10" x14ac:dyDescent="0.3">
      <c r="C125" s="1" t="s">
        <v>111</v>
      </c>
      <c r="D125" s="2" t="s">
        <v>78</v>
      </c>
      <c r="E125" s="46">
        <f>E349</f>
        <v>34504.368828797342</v>
      </c>
      <c r="F125" s="46">
        <f>F349</f>
        <v>52789.024601590747</v>
      </c>
      <c r="G125" s="46">
        <f>G349</f>
        <v>52789.024601590747</v>
      </c>
      <c r="H125" s="46">
        <f>SUM(E125:G125)</f>
        <v>140082.41803197883</v>
      </c>
    </row>
    <row r="126" spans="3:10" x14ac:dyDescent="0.3">
      <c r="C126" s="5" t="s">
        <v>112</v>
      </c>
      <c r="D126" s="2" t="s">
        <v>2</v>
      </c>
      <c r="E126" s="56">
        <f>SUMIF($J$281:$AS$281,"&gt;0")/-SUMIF($J$281:$AS$281,"&lt;0")</f>
        <v>1.6800678726113729</v>
      </c>
      <c r="F126" s="56">
        <f>SUMIF($J$313:$AS$313,"&gt;0")/-SUMIF($J$313:$AS$313,"&lt;0")</f>
        <v>1.8780117052161871</v>
      </c>
      <c r="G126" s="56">
        <f>SUMIF($J$345:$AS$345,"&gt;0")/-SUMIF($J$345:$AS$345,"&lt;0")</f>
        <v>1.8780117052161871</v>
      </c>
    </row>
    <row r="127" spans="3:10" x14ac:dyDescent="0.3">
      <c r="C127" s="5" t="s">
        <v>113</v>
      </c>
      <c r="D127" s="2" t="s">
        <v>11</v>
      </c>
      <c r="E127" s="57">
        <f>XIRR($J$281:$AS$281,$J$249:$AS$249)</f>
        <v>0.30021349787712104</v>
      </c>
      <c r="F127" s="57">
        <f>XIRR($J$313:$AS$313,$J$249:$AS$249)</f>
        <v>0.41885141730308539</v>
      </c>
      <c r="G127" s="57">
        <f>XIRR($J$345:$AS$345,$J$249:$AS$249)</f>
        <v>0.41885141730308539</v>
      </c>
    </row>
    <row r="128" spans="3:10" x14ac:dyDescent="0.3">
      <c r="C128" s="22" t="s">
        <v>116</v>
      </c>
      <c r="D128" s="9"/>
      <c r="E128" s="10"/>
      <c r="F128" s="10"/>
      <c r="G128" s="10"/>
      <c r="H128" s="10"/>
    </row>
    <row r="129" spans="2:45" x14ac:dyDescent="0.3">
      <c r="C129" s="5" t="s">
        <v>114</v>
      </c>
      <c r="D129" s="2" t="s">
        <v>78</v>
      </c>
      <c r="E129" s="44">
        <f>E92</f>
        <v>60636.321238356162</v>
      </c>
      <c r="F129" s="44">
        <f>F92</f>
        <v>77626.97671232876</v>
      </c>
      <c r="G129" s="44">
        <f>G92</f>
        <v>77626.97671232876</v>
      </c>
      <c r="H129" s="44">
        <f>SUM(E129:G129)</f>
        <v>215890.27466301367</v>
      </c>
    </row>
    <row r="130" spans="2:45" x14ac:dyDescent="0.3">
      <c r="C130" s="5" t="s">
        <v>117</v>
      </c>
      <c r="D130" s="2" t="s">
        <v>78</v>
      </c>
      <c r="E130" s="44">
        <f>$H$266</f>
        <v>354071.9728011543</v>
      </c>
      <c r="F130" s="44">
        <f>$H$298</f>
        <v>495700.76192161598</v>
      </c>
      <c r="G130" s="44">
        <f>$H$330</f>
        <v>495700.76192161598</v>
      </c>
      <c r="H130" s="44">
        <f>SUM(E130:G130)</f>
        <v>1345473.4966443863</v>
      </c>
    </row>
    <row r="131" spans="2:45" x14ac:dyDescent="0.3">
      <c r="C131" s="5" t="s">
        <v>118</v>
      </c>
      <c r="D131" s="2" t="s">
        <v>78</v>
      </c>
      <c r="E131" s="44">
        <f>$H$275</f>
        <v>-93722.677174535434</v>
      </c>
      <c r="F131" s="44">
        <f>$H$307</f>
        <v>-144722.96654839191</v>
      </c>
      <c r="G131" s="44">
        <f>$H$339</f>
        <v>-144722.96654839191</v>
      </c>
      <c r="H131" s="44">
        <f>SUM(E131:G131)</f>
        <v>-383168.61027131928</v>
      </c>
    </row>
    <row r="132" spans="2:45" x14ac:dyDescent="0.3">
      <c r="C132" s="5" t="s">
        <v>119</v>
      </c>
      <c r="D132" s="2" t="s">
        <v>78</v>
      </c>
      <c r="E132" s="44">
        <f>$H$276</f>
        <v>260349.29562661887</v>
      </c>
      <c r="F132" s="44">
        <f>$H$308</f>
        <v>350977.79537322401</v>
      </c>
      <c r="G132" s="44">
        <f>$H$340</f>
        <v>350977.79537322401</v>
      </c>
      <c r="H132" s="44">
        <f>SUM(E132:G132)</f>
        <v>962304.88637306681</v>
      </c>
    </row>
    <row r="133" spans="2:45" x14ac:dyDescent="0.3">
      <c r="C133" s="1" t="s">
        <v>120</v>
      </c>
      <c r="D133" s="2" t="s">
        <v>11</v>
      </c>
      <c r="E133" s="58">
        <f>XIRR($J$277:$AS$277,$J$249:$AS$249)</f>
        <v>0.12079291939735412</v>
      </c>
      <c r="F133" s="58">
        <f>XIRR($J$309:$AS$309,$J$249:$AS$249)</f>
        <v>0.13013823628425597</v>
      </c>
      <c r="G133" s="58">
        <f>XIRR($J$341:$AS$341,$J$249:$AS$249)</f>
        <v>0.13013823628425597</v>
      </c>
    </row>
    <row r="134" spans="2:45" x14ac:dyDescent="0.3">
      <c r="C134" s="5" t="s">
        <v>121</v>
      </c>
      <c r="D134" s="2" t="s">
        <v>78</v>
      </c>
      <c r="E134" s="44">
        <f>XNPV(Discount_Rate,$J$277:$AS$277,$J$249:$AS$249)</f>
        <v>21929.450195448186</v>
      </c>
      <c r="F134" s="44">
        <f>XNPV(Discount_Rate,$J$309:$AS$309,$J$249:$AS$249)</f>
        <v>33611.090102596689</v>
      </c>
      <c r="G134" s="44">
        <f>XNPV(Discount_Rate,$J$341:$AS$341,$J$249:$AS$249)</f>
        <v>33611.090102596689</v>
      </c>
      <c r="H134" s="44">
        <f>SUM(E134:G134)</f>
        <v>89151.630400641559</v>
      </c>
    </row>
    <row r="136" spans="2:45" x14ac:dyDescent="0.3">
      <c r="B136" s="3" t="s">
        <v>2</v>
      </c>
      <c r="C136" s="3" t="s">
        <v>122</v>
      </c>
      <c r="D136" s="3"/>
      <c r="E136" s="4"/>
      <c r="F136" s="4"/>
      <c r="G136" s="4"/>
      <c r="H136" s="4" t="s">
        <v>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2:45" x14ac:dyDescent="0.3">
      <c r="C137" s="5" t="s">
        <v>123</v>
      </c>
      <c r="D137" s="2" t="s">
        <v>124</v>
      </c>
      <c r="J137" s="59">
        <f t="shared" ref="J137:AS137" si="9">J248</f>
        <v>2026</v>
      </c>
      <c r="K137" s="59">
        <f t="shared" si="9"/>
        <v>2027</v>
      </c>
      <c r="L137" s="59">
        <f t="shared" si="9"/>
        <v>2028</v>
      </c>
      <c r="M137" s="59">
        <f t="shared" si="9"/>
        <v>2029</v>
      </c>
      <c r="N137" s="59">
        <f t="shared" si="9"/>
        <v>2030</v>
      </c>
      <c r="O137" s="59">
        <f t="shared" si="9"/>
        <v>2031</v>
      </c>
      <c r="P137" s="59">
        <f t="shared" si="9"/>
        <v>2032</v>
      </c>
      <c r="Q137" s="59">
        <f t="shared" si="9"/>
        <v>2033</v>
      </c>
      <c r="R137" s="59">
        <f t="shared" si="9"/>
        <v>2034</v>
      </c>
      <c r="S137" s="59">
        <f t="shared" si="9"/>
        <v>2035</v>
      </c>
      <c r="T137" s="59">
        <f t="shared" si="9"/>
        <v>2036</v>
      </c>
      <c r="U137" s="59">
        <f t="shared" si="9"/>
        <v>2037</v>
      </c>
      <c r="V137" s="59">
        <f t="shared" si="9"/>
        <v>2038</v>
      </c>
      <c r="W137" s="59">
        <f t="shared" si="9"/>
        <v>2039</v>
      </c>
      <c r="X137" s="59">
        <f t="shared" si="9"/>
        <v>2040</v>
      </c>
      <c r="Y137" s="59">
        <f t="shared" si="9"/>
        <v>2041</v>
      </c>
      <c r="Z137" s="59">
        <f t="shared" si="9"/>
        <v>2042</v>
      </c>
      <c r="AA137" s="59">
        <f t="shared" si="9"/>
        <v>2043</v>
      </c>
      <c r="AB137" s="59">
        <f t="shared" si="9"/>
        <v>2044</v>
      </c>
      <c r="AC137" s="59">
        <f t="shared" si="9"/>
        <v>2045</v>
      </c>
      <c r="AD137" s="59">
        <f t="shared" si="9"/>
        <v>2046</v>
      </c>
      <c r="AE137" s="59">
        <f t="shared" si="9"/>
        <v>2047</v>
      </c>
      <c r="AF137" s="59">
        <f t="shared" si="9"/>
        <v>2048</v>
      </c>
      <c r="AG137" s="59">
        <f t="shared" si="9"/>
        <v>2049</v>
      </c>
      <c r="AH137" s="59">
        <f t="shared" si="9"/>
        <v>2050</v>
      </c>
      <c r="AI137" s="59">
        <f t="shared" si="9"/>
        <v>2051</v>
      </c>
      <c r="AJ137" s="59">
        <f t="shared" si="9"/>
        <v>2052</v>
      </c>
      <c r="AK137" s="59">
        <f t="shared" si="9"/>
        <v>2053</v>
      </c>
      <c r="AL137" s="59">
        <f t="shared" si="9"/>
        <v>2054</v>
      </c>
      <c r="AM137" s="59">
        <f t="shared" si="9"/>
        <v>2055</v>
      </c>
      <c r="AN137" s="59">
        <f t="shared" si="9"/>
        <v>2056</v>
      </c>
      <c r="AO137" s="59">
        <f t="shared" si="9"/>
        <v>2057</v>
      </c>
      <c r="AP137" s="59">
        <f t="shared" si="9"/>
        <v>2058</v>
      </c>
      <c r="AQ137" s="59">
        <f t="shared" si="9"/>
        <v>2059</v>
      </c>
      <c r="AR137" s="59">
        <f t="shared" si="9"/>
        <v>2060</v>
      </c>
      <c r="AS137" s="59">
        <f t="shared" si="9"/>
        <v>2061</v>
      </c>
    </row>
    <row r="139" spans="2:45" x14ac:dyDescent="0.3">
      <c r="C139" s="9" t="s">
        <v>4</v>
      </c>
      <c r="D139" s="9"/>
      <c r="E139" s="10"/>
      <c r="F139" s="10"/>
      <c r="G139" s="10"/>
      <c r="H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2:45" x14ac:dyDescent="0.3">
      <c r="C140" s="5" t="s">
        <v>125</v>
      </c>
      <c r="D140" s="2" t="s">
        <v>78</v>
      </c>
      <c r="H140" s="44">
        <f>SUM(J140:AS140)</f>
        <v>-60636.321238356162</v>
      </c>
      <c r="J140" s="44">
        <f t="shared" ref="J140:AS140" si="10">J262</f>
        <v>-386.30136986301375</v>
      </c>
      <c r="K140" s="68">
        <f t="shared" si="10"/>
        <v>-2513.2371232876712</v>
      </c>
      <c r="L140" s="44">
        <f t="shared" si="10"/>
        <v>-10089.693704109588</v>
      </c>
      <c r="M140" s="44">
        <f t="shared" si="10"/>
        <v>-12009.375</v>
      </c>
      <c r="N140" s="44">
        <f t="shared" si="10"/>
        <v>-24018.75</v>
      </c>
      <c r="O140" s="44">
        <f t="shared" si="10"/>
        <v>-13009.375</v>
      </c>
      <c r="P140" s="44">
        <f t="shared" si="10"/>
        <v>0</v>
      </c>
      <c r="Q140" s="44">
        <f t="shared" si="10"/>
        <v>1390.41095890411</v>
      </c>
      <c r="R140" s="44">
        <f t="shared" si="10"/>
        <v>0</v>
      </c>
      <c r="S140" s="44">
        <f t="shared" si="10"/>
        <v>0</v>
      </c>
      <c r="T140" s="44">
        <f t="shared" si="10"/>
        <v>0</v>
      </c>
      <c r="U140" s="44">
        <f t="shared" si="10"/>
        <v>0</v>
      </c>
      <c r="V140" s="44">
        <f t="shared" si="10"/>
        <v>0</v>
      </c>
      <c r="W140" s="44">
        <f t="shared" si="10"/>
        <v>0</v>
      </c>
      <c r="X140" s="44">
        <f t="shared" si="10"/>
        <v>0</v>
      </c>
      <c r="Y140" s="44">
        <f t="shared" si="10"/>
        <v>0</v>
      </c>
      <c r="Z140" s="44">
        <f t="shared" si="10"/>
        <v>0</v>
      </c>
      <c r="AA140" s="44">
        <f t="shared" si="10"/>
        <v>0</v>
      </c>
      <c r="AB140" s="44">
        <f t="shared" si="10"/>
        <v>0</v>
      </c>
      <c r="AC140" s="44">
        <f t="shared" si="10"/>
        <v>0</v>
      </c>
      <c r="AD140" s="44">
        <f t="shared" si="10"/>
        <v>0</v>
      </c>
      <c r="AE140" s="44">
        <f t="shared" si="10"/>
        <v>0</v>
      </c>
      <c r="AF140" s="44">
        <f t="shared" si="10"/>
        <v>0</v>
      </c>
      <c r="AG140" s="44">
        <f t="shared" si="10"/>
        <v>0</v>
      </c>
      <c r="AH140" s="44">
        <f t="shared" si="10"/>
        <v>0</v>
      </c>
      <c r="AI140" s="44">
        <f t="shared" si="10"/>
        <v>0</v>
      </c>
      <c r="AJ140" s="44">
        <f t="shared" si="10"/>
        <v>0</v>
      </c>
      <c r="AK140" s="44">
        <f t="shared" si="10"/>
        <v>0</v>
      </c>
      <c r="AL140" s="44">
        <f t="shared" si="10"/>
        <v>0</v>
      </c>
      <c r="AM140" s="44">
        <f t="shared" si="10"/>
        <v>0</v>
      </c>
      <c r="AN140" s="44">
        <f t="shared" si="10"/>
        <v>0</v>
      </c>
      <c r="AO140" s="44">
        <f t="shared" si="10"/>
        <v>0</v>
      </c>
      <c r="AP140" s="44">
        <f t="shared" si="10"/>
        <v>0</v>
      </c>
      <c r="AQ140" s="44">
        <f t="shared" si="10"/>
        <v>0</v>
      </c>
      <c r="AR140" s="44">
        <f t="shared" si="10"/>
        <v>0</v>
      </c>
      <c r="AS140" s="44">
        <f t="shared" si="10"/>
        <v>0</v>
      </c>
    </row>
    <row r="141" spans="2:45" x14ac:dyDescent="0.3">
      <c r="C141" s="5" t="s">
        <v>126</v>
      </c>
      <c r="D141" s="2" t="s">
        <v>78</v>
      </c>
      <c r="H141" s="44">
        <f>SUM(J141:AS141)</f>
        <v>354071.9728011543</v>
      </c>
      <c r="J141" s="44">
        <f t="shared" ref="J141:AS141" si="11">J266</f>
        <v>0</v>
      </c>
      <c r="K141" s="44">
        <f t="shared" si="11"/>
        <v>0</v>
      </c>
      <c r="L141" s="44">
        <f t="shared" si="11"/>
        <v>0</v>
      </c>
      <c r="M141" s="44">
        <f t="shared" si="11"/>
        <v>0</v>
      </c>
      <c r="N141" s="44">
        <f t="shared" si="11"/>
        <v>0</v>
      </c>
      <c r="O141" s="44">
        <f t="shared" si="11"/>
        <v>5292</v>
      </c>
      <c r="P141" s="44">
        <f t="shared" si="11"/>
        <v>10689.84</v>
      </c>
      <c r="Q141" s="44">
        <f t="shared" si="11"/>
        <v>10764.348184799999</v>
      </c>
      <c r="R141" s="44">
        <f t="shared" si="11"/>
        <v>10839.375691648056</v>
      </c>
      <c r="S141" s="44">
        <f t="shared" si="11"/>
        <v>10914.926140218842</v>
      </c>
      <c r="T141" s="44">
        <f t="shared" si="11"/>
        <v>10991.003175416168</v>
      </c>
      <c r="U141" s="44">
        <f t="shared" si="11"/>
        <v>11067.61046754882</v>
      </c>
      <c r="V141" s="44">
        <f t="shared" si="11"/>
        <v>11144.751712507632</v>
      </c>
      <c r="W141" s="44">
        <f t="shared" si="11"/>
        <v>11222.430631943815</v>
      </c>
      <c r="X141" s="44">
        <f t="shared" si="11"/>
        <v>11300.650973448463</v>
      </c>
      <c r="Y141" s="44">
        <f t="shared" si="11"/>
        <v>11379.416510733399</v>
      </c>
      <c r="Z141" s="44">
        <f t="shared" si="11"/>
        <v>11458.731043813208</v>
      </c>
      <c r="AA141" s="44">
        <f t="shared" si="11"/>
        <v>11538.598399188588</v>
      </c>
      <c r="AB141" s="44">
        <f t="shared" si="11"/>
        <v>11619.022430030933</v>
      </c>
      <c r="AC141" s="44">
        <f t="shared" si="11"/>
        <v>11700.007016368249</v>
      </c>
      <c r="AD141" s="44">
        <f t="shared" si="11"/>
        <v>11781.556065272334</v>
      </c>
      <c r="AE141" s="44">
        <f t="shared" si="11"/>
        <v>11863.673511047284</v>
      </c>
      <c r="AF141" s="44">
        <f t="shared" si="11"/>
        <v>11946.363315419287</v>
      </c>
      <c r="AG141" s="44">
        <f t="shared" si="11"/>
        <v>12029.629467727758</v>
      </c>
      <c r="AH141" s="44">
        <f t="shared" si="11"/>
        <v>12113.475985117821</v>
      </c>
      <c r="AI141" s="44">
        <f t="shared" si="11"/>
        <v>12197.90691273409</v>
      </c>
      <c r="AJ141" s="44">
        <f t="shared" si="11"/>
        <v>12282.926323915848</v>
      </c>
      <c r="AK141" s="44">
        <f t="shared" si="11"/>
        <v>12368.538320393545</v>
      </c>
      <c r="AL141" s="44">
        <f t="shared" si="11"/>
        <v>12454.747032486684</v>
      </c>
      <c r="AM141" s="44">
        <f t="shared" si="11"/>
        <v>12541.556619303121</v>
      </c>
      <c r="AN141" s="44">
        <f t="shared" si="11"/>
        <v>12628.971268939664</v>
      </c>
      <c r="AO141" s="44">
        <f t="shared" si="11"/>
        <v>12716.995198684172</v>
      </c>
      <c r="AP141" s="44">
        <f t="shared" si="11"/>
        <v>12805.632655219</v>
      </c>
      <c r="AQ141" s="44">
        <f t="shared" si="11"/>
        <v>12894.887914825877</v>
      </c>
      <c r="AR141" s="44">
        <f t="shared" si="11"/>
        <v>12984.765283592213</v>
      </c>
      <c r="AS141" s="44">
        <f t="shared" si="11"/>
        <v>6537.6345488094257</v>
      </c>
    </row>
    <row r="142" spans="2:45" x14ac:dyDescent="0.3">
      <c r="C142" s="5" t="s">
        <v>127</v>
      </c>
      <c r="D142" s="2" t="s">
        <v>78</v>
      </c>
      <c r="H142" s="44">
        <f>SUM(J142:AS142)</f>
        <v>-93722.677174535434</v>
      </c>
      <c r="J142" s="44">
        <f t="shared" ref="J142:AS142" si="12">J275</f>
        <v>0</v>
      </c>
      <c r="K142" s="44">
        <f t="shared" si="12"/>
        <v>0</v>
      </c>
      <c r="L142" s="44">
        <f t="shared" si="12"/>
        <v>0</v>
      </c>
      <c r="M142" s="44">
        <f t="shared" si="12"/>
        <v>0</v>
      </c>
      <c r="N142" s="44">
        <f t="shared" si="12"/>
        <v>0</v>
      </c>
      <c r="O142" s="44">
        <f t="shared" si="12"/>
        <v>-1096.0341000000001</v>
      </c>
      <c r="P142" s="44">
        <f t="shared" si="12"/>
        <v>-2243.5280069999999</v>
      </c>
      <c r="Q142" s="44">
        <f t="shared" si="12"/>
        <v>-2293.6131085400398</v>
      </c>
      <c r="R142" s="44">
        <f t="shared" si="12"/>
        <v>-2344.879394075263</v>
      </c>
      <c r="S142" s="44">
        <f t="shared" si="12"/>
        <v>-2397.3552606688904</v>
      </c>
      <c r="T142" s="44">
        <f t="shared" si="12"/>
        <v>-2451.0697934274726</v>
      </c>
      <c r="U142" s="44">
        <f t="shared" si="12"/>
        <v>-2506.0527822427293</v>
      </c>
      <c r="V142" s="44">
        <f t="shared" si="12"/>
        <v>-2562.3347389420082</v>
      </c>
      <c r="W142" s="44">
        <f t="shared" si="12"/>
        <v>-2619.9469148573617</v>
      </c>
      <c r="X142" s="44">
        <f t="shared" si="12"/>
        <v>-2678.9213188234821</v>
      </c>
      <c r="Y142" s="44">
        <f t="shared" si="12"/>
        <v>-2739.2907356150117</v>
      </c>
      <c r="Z142" s="44">
        <f t="shared" si="12"/>
        <v>-2801.0887448339422</v>
      </c>
      <c r="AA142" s="44">
        <f t="shared" si="12"/>
        <v>-2864.349740258157</v>
      </c>
      <c r="AB142" s="44">
        <f t="shared" si="12"/>
        <v>-2929.1089496623867</v>
      </c>
      <c r="AC142" s="44">
        <f t="shared" si="12"/>
        <v>-2995.402455123135</v>
      </c>
      <c r="AD142" s="44">
        <f t="shared" si="12"/>
        <v>-3063.267213819443</v>
      </c>
      <c r="AE142" s="44">
        <f t="shared" si="12"/>
        <v>-3132.7410793415984</v>
      </c>
      <c r="AF142" s="44">
        <f t="shared" si="12"/>
        <v>-3203.8628235202686</v>
      </c>
      <c r="AG142" s="44">
        <f t="shared" si="12"/>
        <v>-3276.6721587887555</v>
      </c>
      <c r="AH142" s="44">
        <f t="shared" si="12"/>
        <v>-3351.2097610914511</v>
      </c>
      <c r="AI142" s="44">
        <f t="shared" si="12"/>
        <v>-3427.5172933518597</v>
      </c>
      <c r="AJ142" s="44">
        <f t="shared" si="12"/>
        <v>-3505.6374295138949</v>
      </c>
      <c r="AK142" s="44">
        <f t="shared" si="12"/>
        <v>-3585.6138791704816</v>
      </c>
      <c r="AL142" s="44">
        <f t="shared" si="12"/>
        <v>-3667.4914127938478</v>
      </c>
      <c r="AM142" s="44">
        <f t="shared" si="12"/>
        <v>-3751.3158875822483</v>
      </c>
      <c r="AN142" s="44">
        <f t="shared" si="12"/>
        <v>-3837.1342739382076</v>
      </c>
      <c r="AO142" s="44">
        <f t="shared" si="12"/>
        <v>-3924.9946825937714</v>
      </c>
      <c r="AP142" s="44">
        <f t="shared" si="12"/>
        <v>-4014.946392398575</v>
      </c>
      <c r="AQ142" s="44">
        <f t="shared" si="12"/>
        <v>-4107.0398787870072</v>
      </c>
      <c r="AR142" s="44">
        <f t="shared" si="12"/>
        <v>-4201.3268429410928</v>
      </c>
      <c r="AS142" s="44">
        <f t="shared" si="12"/>
        <v>-2148.9301208330548</v>
      </c>
    </row>
    <row r="143" spans="2:45" x14ac:dyDescent="0.3">
      <c r="C143" s="5" t="s">
        <v>128</v>
      </c>
      <c r="D143" s="2" t="s">
        <v>78</v>
      </c>
      <c r="H143" s="44">
        <f>SUM(J143:AS143)</f>
        <v>260349.29562661887</v>
      </c>
      <c r="J143" s="44">
        <f t="shared" ref="J143:AS143" si="13">J276</f>
        <v>0</v>
      </c>
      <c r="K143" s="44">
        <f t="shared" si="13"/>
        <v>0</v>
      </c>
      <c r="L143" s="44">
        <f t="shared" si="13"/>
        <v>0</v>
      </c>
      <c r="M143" s="44">
        <f t="shared" si="13"/>
        <v>0</v>
      </c>
      <c r="N143" s="44">
        <f t="shared" si="13"/>
        <v>0</v>
      </c>
      <c r="O143" s="44">
        <f t="shared" si="13"/>
        <v>4195.9659000000001</v>
      </c>
      <c r="P143" s="44">
        <f t="shared" si="13"/>
        <v>8446.3119929999993</v>
      </c>
      <c r="Q143" s="44">
        <f t="shared" si="13"/>
        <v>8470.7350762599599</v>
      </c>
      <c r="R143" s="44">
        <f t="shared" si="13"/>
        <v>8494.496297572794</v>
      </c>
      <c r="S143" s="44">
        <f t="shared" si="13"/>
        <v>8517.5708795499522</v>
      </c>
      <c r="T143" s="44">
        <f t="shared" si="13"/>
        <v>8539.9333819886961</v>
      </c>
      <c r="U143" s="44">
        <f t="shared" si="13"/>
        <v>8561.557685306092</v>
      </c>
      <c r="V143" s="44">
        <f t="shared" si="13"/>
        <v>8582.4169735656233</v>
      </c>
      <c r="W143" s="44">
        <f t="shared" si="13"/>
        <v>8602.4837170864521</v>
      </c>
      <c r="X143" s="44">
        <f t="shared" si="13"/>
        <v>8621.72965462498</v>
      </c>
      <c r="Y143" s="44">
        <f t="shared" si="13"/>
        <v>8640.1257751183875</v>
      </c>
      <c r="Z143" s="44">
        <f t="shared" si="13"/>
        <v>8657.6422989792663</v>
      </c>
      <c r="AA143" s="44">
        <f t="shared" si="13"/>
        <v>8674.2486589304317</v>
      </c>
      <c r="AB143" s="44">
        <f t="shared" si="13"/>
        <v>8689.9134803685465</v>
      </c>
      <c r="AC143" s="44">
        <f t="shared" si="13"/>
        <v>8704.6045612451126</v>
      </c>
      <c r="AD143" s="44">
        <f t="shared" si="13"/>
        <v>8718.2888514528913</v>
      </c>
      <c r="AE143" s="44">
        <f t="shared" si="13"/>
        <v>8730.9324317056853</v>
      </c>
      <c r="AF143" s="44">
        <f t="shared" si="13"/>
        <v>8742.500491899018</v>
      </c>
      <c r="AG143" s="44">
        <f t="shared" si="13"/>
        <v>8752.9573089390033</v>
      </c>
      <c r="AH143" s="44">
        <f t="shared" si="13"/>
        <v>8762.2662240263689</v>
      </c>
      <c r="AI143" s="44">
        <f t="shared" si="13"/>
        <v>8770.3896193822293</v>
      </c>
      <c r="AJ143" s="44">
        <f t="shared" si="13"/>
        <v>8777.2888944019542</v>
      </c>
      <c r="AK143" s="44">
        <f t="shared" si="13"/>
        <v>8782.9244412230637</v>
      </c>
      <c r="AL143" s="44">
        <f t="shared" si="13"/>
        <v>8787.2556196928363</v>
      </c>
      <c r="AM143" s="44">
        <f t="shared" si="13"/>
        <v>8790.2407317208726</v>
      </c>
      <c r="AN143" s="44">
        <f t="shared" si="13"/>
        <v>8791.8369950014567</v>
      </c>
      <c r="AO143" s="44">
        <f t="shared" si="13"/>
        <v>8792.0005160904002</v>
      </c>
      <c r="AP143" s="44">
        <f t="shared" si="13"/>
        <v>8790.6862628204253</v>
      </c>
      <c r="AQ143" s="44">
        <f t="shared" si="13"/>
        <v>8787.8480360388694</v>
      </c>
      <c r="AR143" s="44">
        <f t="shared" si="13"/>
        <v>8783.4384406511199</v>
      </c>
      <c r="AS143" s="44">
        <f t="shared" si="13"/>
        <v>4388.7044279763704</v>
      </c>
    </row>
    <row r="144" spans="2:45" x14ac:dyDescent="0.3">
      <c r="C144" s="1" t="s">
        <v>129</v>
      </c>
      <c r="D144" s="2" t="s">
        <v>78</v>
      </c>
      <c r="H144" s="46">
        <f>SUM(J144:AS144)</f>
        <v>199712.97438826269</v>
      </c>
      <c r="J144" s="46">
        <f t="shared" ref="J144:AS144" si="14">J277</f>
        <v>-386.30136986301375</v>
      </c>
      <c r="K144" s="46">
        <f t="shared" si="14"/>
        <v>-2513.2371232876712</v>
      </c>
      <c r="L144" s="46">
        <f t="shared" si="14"/>
        <v>-10089.693704109588</v>
      </c>
      <c r="M144" s="46">
        <f t="shared" si="14"/>
        <v>-12009.375</v>
      </c>
      <c r="N144" s="46">
        <f t="shared" si="14"/>
        <v>-24018.75</v>
      </c>
      <c r="O144" s="46">
        <f t="shared" si="14"/>
        <v>-8813.4091000000008</v>
      </c>
      <c r="P144" s="46">
        <f t="shared" si="14"/>
        <v>8446.3119929999993</v>
      </c>
      <c r="Q144" s="46">
        <f t="shared" si="14"/>
        <v>9861.1460351640708</v>
      </c>
      <c r="R144" s="46">
        <f t="shared" si="14"/>
        <v>8494.496297572794</v>
      </c>
      <c r="S144" s="46">
        <f t="shared" si="14"/>
        <v>8517.5708795499522</v>
      </c>
      <c r="T144" s="46">
        <f t="shared" si="14"/>
        <v>8539.9333819886961</v>
      </c>
      <c r="U144" s="46">
        <f t="shared" si="14"/>
        <v>8561.557685306092</v>
      </c>
      <c r="V144" s="46">
        <f t="shared" si="14"/>
        <v>8582.4169735656233</v>
      </c>
      <c r="W144" s="46">
        <f t="shared" si="14"/>
        <v>8602.4837170864521</v>
      </c>
      <c r="X144" s="46">
        <f t="shared" si="14"/>
        <v>8621.72965462498</v>
      </c>
      <c r="Y144" s="46">
        <f t="shared" si="14"/>
        <v>8640.1257751183875</v>
      </c>
      <c r="Z144" s="46">
        <f t="shared" si="14"/>
        <v>8657.6422989792663</v>
      </c>
      <c r="AA144" s="46">
        <f t="shared" si="14"/>
        <v>8674.2486589304317</v>
      </c>
      <c r="AB144" s="46">
        <f t="shared" si="14"/>
        <v>8689.9134803685465</v>
      </c>
      <c r="AC144" s="46">
        <f t="shared" si="14"/>
        <v>8704.6045612451126</v>
      </c>
      <c r="AD144" s="46">
        <f t="shared" si="14"/>
        <v>8718.2888514528913</v>
      </c>
      <c r="AE144" s="46">
        <f t="shared" si="14"/>
        <v>8730.9324317056853</v>
      </c>
      <c r="AF144" s="46">
        <f t="shared" si="14"/>
        <v>8742.500491899018</v>
      </c>
      <c r="AG144" s="46">
        <f t="shared" si="14"/>
        <v>8752.9573089390033</v>
      </c>
      <c r="AH144" s="46">
        <f t="shared" si="14"/>
        <v>8762.2662240263689</v>
      </c>
      <c r="AI144" s="46">
        <f t="shared" si="14"/>
        <v>8770.3896193822293</v>
      </c>
      <c r="AJ144" s="46">
        <f t="shared" si="14"/>
        <v>8777.2888944019542</v>
      </c>
      <c r="AK144" s="46">
        <f t="shared" si="14"/>
        <v>8782.9244412230637</v>
      </c>
      <c r="AL144" s="46">
        <f t="shared" si="14"/>
        <v>8787.2556196928363</v>
      </c>
      <c r="AM144" s="46">
        <f t="shared" si="14"/>
        <v>8790.2407317208726</v>
      </c>
      <c r="AN144" s="46">
        <f t="shared" si="14"/>
        <v>8791.8369950014567</v>
      </c>
      <c r="AO144" s="46">
        <f t="shared" si="14"/>
        <v>8792.0005160904002</v>
      </c>
      <c r="AP144" s="46">
        <f t="shared" si="14"/>
        <v>8790.6862628204253</v>
      </c>
      <c r="AQ144" s="46">
        <f t="shared" si="14"/>
        <v>8787.8480360388694</v>
      </c>
      <c r="AR144" s="46">
        <f t="shared" si="14"/>
        <v>8783.4384406511199</v>
      </c>
      <c r="AS144" s="46">
        <f t="shared" si="14"/>
        <v>4388.7044279763704</v>
      </c>
    </row>
    <row r="145" spans="3:45" x14ac:dyDescent="0.3">
      <c r="C145" s="5" t="s">
        <v>130</v>
      </c>
      <c r="D145" s="2" t="s">
        <v>78</v>
      </c>
      <c r="J145" s="44">
        <f>SUM($J144:J144)</f>
        <v>-386.30136986301375</v>
      </c>
      <c r="K145" s="44">
        <f>SUM($J144:K144)</f>
        <v>-2899.5384931506851</v>
      </c>
      <c r="L145" s="44">
        <f>SUM($J144:L144)</f>
        <v>-12989.232197260273</v>
      </c>
      <c r="M145" s="44">
        <f>SUM($J144:M144)</f>
        <v>-24998.607197260273</v>
      </c>
      <c r="N145" s="44">
        <f>SUM($J144:N144)</f>
        <v>-49017.357197260273</v>
      </c>
      <c r="O145" s="44">
        <f>SUM($J144:O144)</f>
        <v>-57830.76629726027</v>
      </c>
      <c r="P145" s="44">
        <f>SUM($J144:P144)</f>
        <v>-49384.454304260275</v>
      </c>
      <c r="Q145" s="44">
        <f>SUM($J144:Q144)</f>
        <v>-39523.308269096204</v>
      </c>
      <c r="R145" s="44">
        <f>SUM($J144:R144)</f>
        <v>-31028.81197152341</v>
      </c>
      <c r="S145" s="44">
        <f>SUM($J144:S144)</f>
        <v>-22511.241091973458</v>
      </c>
      <c r="T145" s="44">
        <f>SUM($J144:T144)</f>
        <v>-13971.307709984761</v>
      </c>
      <c r="U145" s="44">
        <f>SUM($J144:U144)</f>
        <v>-5409.7500246786694</v>
      </c>
      <c r="V145" s="44">
        <f>SUM($J144:V144)</f>
        <v>3172.6669488869538</v>
      </c>
      <c r="W145" s="44">
        <f>SUM($J144:W144)</f>
        <v>11775.150665973406</v>
      </c>
      <c r="X145" s="44">
        <f>SUM($J144:X144)</f>
        <v>20396.880320598386</v>
      </c>
      <c r="Y145" s="44">
        <f>SUM($J144:Y144)</f>
        <v>29037.006095716773</v>
      </c>
      <c r="Z145" s="44">
        <f>SUM($J144:Z144)</f>
        <v>37694.648394696036</v>
      </c>
      <c r="AA145" s="44">
        <f>SUM($J144:AA144)</f>
        <v>46368.897053626468</v>
      </c>
      <c r="AB145" s="44">
        <f>SUM($J144:AB144)</f>
        <v>55058.810533995013</v>
      </c>
      <c r="AC145" s="44">
        <f>SUM($J144:AC144)</f>
        <v>63763.415095240125</v>
      </c>
      <c r="AD145" s="44">
        <f>SUM($J144:AD144)</f>
        <v>72481.703946693015</v>
      </c>
      <c r="AE145" s="44">
        <f>SUM($J144:AE144)</f>
        <v>81212.636378398704</v>
      </c>
      <c r="AF145" s="44">
        <f>SUM($J144:AF144)</f>
        <v>89955.13687029772</v>
      </c>
      <c r="AG145" s="44">
        <f>SUM($J144:AG144)</f>
        <v>98708.094179236723</v>
      </c>
      <c r="AH145" s="44">
        <f>SUM($J144:AH144)</f>
        <v>107470.3604032631</v>
      </c>
      <c r="AI145" s="44">
        <f>SUM($J144:AI144)</f>
        <v>116240.75002264533</v>
      </c>
      <c r="AJ145" s="44">
        <f>SUM($J144:AJ144)</f>
        <v>125018.03891704728</v>
      </c>
      <c r="AK145" s="44">
        <f>SUM($J144:AK144)</f>
        <v>133800.96335827035</v>
      </c>
      <c r="AL145" s="44">
        <f>SUM($J144:AL144)</f>
        <v>142588.2189779632</v>
      </c>
      <c r="AM145" s="44">
        <f>SUM($J144:AM144)</f>
        <v>151378.45970968407</v>
      </c>
      <c r="AN145" s="44">
        <f>SUM($J144:AN144)</f>
        <v>160170.29670468552</v>
      </c>
      <c r="AO145" s="44">
        <f>SUM($J144:AO144)</f>
        <v>168962.29722077592</v>
      </c>
      <c r="AP145" s="44">
        <f>SUM($J144:AP144)</f>
        <v>177752.98348359636</v>
      </c>
      <c r="AQ145" s="44">
        <f>SUM($J144:AQ144)</f>
        <v>186540.83151963522</v>
      </c>
      <c r="AR145" s="44">
        <f>SUM($J144:AR144)</f>
        <v>195324.26996028633</v>
      </c>
      <c r="AS145" s="44">
        <f>SUM($J144:AS144)</f>
        <v>199712.97438826269</v>
      </c>
    </row>
    <row r="147" spans="3:45" x14ac:dyDescent="0.3">
      <c r="C147" s="9" t="s">
        <v>5</v>
      </c>
      <c r="D147" s="9"/>
      <c r="E147" s="10"/>
      <c r="F147" s="10"/>
      <c r="G147" s="10"/>
      <c r="H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3:45" x14ac:dyDescent="0.3">
      <c r="C148" s="5" t="s">
        <v>125</v>
      </c>
      <c r="D148" s="2" t="s">
        <v>78</v>
      </c>
      <c r="H148" s="44">
        <f>SUM(J148:AS148)</f>
        <v>-77626.97671232876</v>
      </c>
      <c r="J148" s="44">
        <f t="shared" ref="J148:AS148" si="15">J294</f>
        <v>-657.1232876712329</v>
      </c>
      <c r="K148" s="44">
        <f t="shared" si="15"/>
        <v>-3612.0547945205481</v>
      </c>
      <c r="L148" s="44">
        <f t="shared" si="15"/>
        <v>-3359.8191780821917</v>
      </c>
      <c r="M148" s="44">
        <f t="shared" si="15"/>
        <v>-17498.125</v>
      </c>
      <c r="N148" s="44">
        <f t="shared" si="15"/>
        <v>-34996.25</v>
      </c>
      <c r="O148" s="44">
        <f t="shared" si="15"/>
        <v>-19998.125</v>
      </c>
      <c r="P148" s="44">
        <f t="shared" si="15"/>
        <v>0</v>
      </c>
      <c r="Q148" s="44">
        <f t="shared" si="15"/>
        <v>2494.5205479452052</v>
      </c>
      <c r="R148" s="44">
        <f t="shared" si="15"/>
        <v>0</v>
      </c>
      <c r="S148" s="44">
        <f t="shared" si="15"/>
        <v>0</v>
      </c>
      <c r="T148" s="44">
        <f t="shared" si="15"/>
        <v>0</v>
      </c>
      <c r="U148" s="44">
        <f t="shared" si="15"/>
        <v>0</v>
      </c>
      <c r="V148" s="44">
        <f t="shared" si="15"/>
        <v>0</v>
      </c>
      <c r="W148" s="44">
        <f t="shared" si="15"/>
        <v>0</v>
      </c>
      <c r="X148" s="44">
        <f t="shared" si="15"/>
        <v>0</v>
      </c>
      <c r="Y148" s="44">
        <f t="shared" si="15"/>
        <v>0</v>
      </c>
      <c r="Z148" s="44">
        <f t="shared" si="15"/>
        <v>0</v>
      </c>
      <c r="AA148" s="44">
        <f t="shared" si="15"/>
        <v>0</v>
      </c>
      <c r="AB148" s="44">
        <f t="shared" si="15"/>
        <v>0</v>
      </c>
      <c r="AC148" s="44">
        <f t="shared" si="15"/>
        <v>0</v>
      </c>
      <c r="AD148" s="44">
        <f t="shared" si="15"/>
        <v>0</v>
      </c>
      <c r="AE148" s="44">
        <f t="shared" si="15"/>
        <v>0</v>
      </c>
      <c r="AF148" s="44">
        <f t="shared" si="15"/>
        <v>0</v>
      </c>
      <c r="AG148" s="44">
        <f t="shared" si="15"/>
        <v>0</v>
      </c>
      <c r="AH148" s="44">
        <f t="shared" si="15"/>
        <v>0</v>
      </c>
      <c r="AI148" s="44">
        <f t="shared" si="15"/>
        <v>0</v>
      </c>
      <c r="AJ148" s="44">
        <f t="shared" si="15"/>
        <v>0</v>
      </c>
      <c r="AK148" s="44">
        <f t="shared" si="15"/>
        <v>0</v>
      </c>
      <c r="AL148" s="44">
        <f t="shared" si="15"/>
        <v>0</v>
      </c>
      <c r="AM148" s="44">
        <f t="shared" si="15"/>
        <v>0</v>
      </c>
      <c r="AN148" s="44">
        <f t="shared" si="15"/>
        <v>0</v>
      </c>
      <c r="AO148" s="44">
        <f t="shared" si="15"/>
        <v>0</v>
      </c>
      <c r="AP148" s="44">
        <f t="shared" si="15"/>
        <v>0</v>
      </c>
      <c r="AQ148" s="44">
        <f t="shared" si="15"/>
        <v>0</v>
      </c>
      <c r="AR148" s="44">
        <f t="shared" si="15"/>
        <v>0</v>
      </c>
      <c r="AS148" s="44">
        <f t="shared" si="15"/>
        <v>0</v>
      </c>
    </row>
    <row r="149" spans="3:45" x14ac:dyDescent="0.3">
      <c r="C149" s="5" t="s">
        <v>126</v>
      </c>
      <c r="D149" s="2" t="s">
        <v>78</v>
      </c>
      <c r="H149" s="44">
        <f>SUM(J149:AS149)</f>
        <v>495700.76192161598</v>
      </c>
      <c r="J149" s="44">
        <f t="shared" ref="J149:AS149" si="16">J298</f>
        <v>0</v>
      </c>
      <c r="K149" s="44">
        <f t="shared" si="16"/>
        <v>0</v>
      </c>
      <c r="L149" s="44">
        <f t="shared" si="16"/>
        <v>0</v>
      </c>
      <c r="M149" s="44">
        <f t="shared" si="16"/>
        <v>0</v>
      </c>
      <c r="N149" s="44">
        <f t="shared" si="16"/>
        <v>0</v>
      </c>
      <c r="O149" s="44">
        <f t="shared" si="16"/>
        <v>7408.7999999999993</v>
      </c>
      <c r="P149" s="44">
        <f t="shared" si="16"/>
        <v>14965.776</v>
      </c>
      <c r="Q149" s="44">
        <f t="shared" si="16"/>
        <v>15070.087458719998</v>
      </c>
      <c r="R149" s="44">
        <f t="shared" si="16"/>
        <v>15175.125968307277</v>
      </c>
      <c r="S149" s="44">
        <f t="shared" si="16"/>
        <v>15280.89659630638</v>
      </c>
      <c r="T149" s="44">
        <f t="shared" si="16"/>
        <v>15387.404445582635</v>
      </c>
      <c r="U149" s="44">
        <f t="shared" si="16"/>
        <v>15494.654654568349</v>
      </c>
      <c r="V149" s="44">
        <f t="shared" si="16"/>
        <v>15602.652397510685</v>
      </c>
      <c r="W149" s="44">
        <f t="shared" si="16"/>
        <v>15711.402884721339</v>
      </c>
      <c r="X149" s="44">
        <f t="shared" si="16"/>
        <v>15820.91136282785</v>
      </c>
      <c r="Y149" s="44">
        <f t="shared" si="16"/>
        <v>15931.183115026757</v>
      </c>
      <c r="Z149" s="44">
        <f t="shared" si="16"/>
        <v>16042.223461338494</v>
      </c>
      <c r="AA149" s="44">
        <f t="shared" si="16"/>
        <v>16154.037758864024</v>
      </c>
      <c r="AB149" s="44">
        <f t="shared" si="16"/>
        <v>16266.631402043306</v>
      </c>
      <c r="AC149" s="44">
        <f t="shared" si="16"/>
        <v>16380.009822915548</v>
      </c>
      <c r="AD149" s="44">
        <f t="shared" si="16"/>
        <v>16494.178491381266</v>
      </c>
      <c r="AE149" s="44">
        <f t="shared" si="16"/>
        <v>16609.1429154662</v>
      </c>
      <c r="AF149" s="44">
        <f t="shared" si="16"/>
        <v>16724.908641587001</v>
      </c>
      <c r="AG149" s="44">
        <f t="shared" si="16"/>
        <v>16841.48125481886</v>
      </c>
      <c r="AH149" s="44">
        <f t="shared" si="16"/>
        <v>16958.866379164949</v>
      </c>
      <c r="AI149" s="44">
        <f t="shared" si="16"/>
        <v>17077.069677827727</v>
      </c>
      <c r="AJ149" s="44">
        <f t="shared" si="16"/>
        <v>17196.096853482184</v>
      </c>
      <c r="AK149" s="44">
        <f t="shared" si="16"/>
        <v>17315.95364855096</v>
      </c>
      <c r="AL149" s="44">
        <f t="shared" si="16"/>
        <v>17436.645845481358</v>
      </c>
      <c r="AM149" s="44">
        <f t="shared" si="16"/>
        <v>17558.17926702437</v>
      </c>
      <c r="AN149" s="44">
        <f t="shared" si="16"/>
        <v>17680.559776515533</v>
      </c>
      <c r="AO149" s="44">
        <f t="shared" si="16"/>
        <v>17803.793278157842</v>
      </c>
      <c r="AP149" s="44">
        <f t="shared" si="16"/>
        <v>17927.885717306599</v>
      </c>
      <c r="AQ149" s="44">
        <f t="shared" si="16"/>
        <v>18052.843080756229</v>
      </c>
      <c r="AR149" s="44">
        <f t="shared" si="16"/>
        <v>18178.671397029098</v>
      </c>
      <c r="AS149" s="44">
        <f t="shared" si="16"/>
        <v>9152.6883683331962</v>
      </c>
    </row>
    <row r="150" spans="3:45" x14ac:dyDescent="0.3">
      <c r="C150" s="5" t="s">
        <v>127</v>
      </c>
      <c r="D150" s="2" t="s">
        <v>78</v>
      </c>
      <c r="H150" s="44">
        <f>SUM(J150:AS150)</f>
        <v>-144722.96654839191</v>
      </c>
      <c r="J150" s="44">
        <f t="shared" ref="J150:AS150" si="17">J307</f>
        <v>0</v>
      </c>
      <c r="K150" s="44">
        <f t="shared" si="17"/>
        <v>0</v>
      </c>
      <c r="L150" s="44">
        <f t="shared" si="17"/>
        <v>0</v>
      </c>
      <c r="M150" s="44">
        <f t="shared" si="17"/>
        <v>0</v>
      </c>
      <c r="N150" s="44">
        <f t="shared" si="17"/>
        <v>0</v>
      </c>
      <c r="O150" s="44">
        <f t="shared" si="17"/>
        <v>-1773.5327399999999</v>
      </c>
      <c r="P150" s="44">
        <f t="shared" si="17"/>
        <v>-3618.7154597999997</v>
      </c>
      <c r="Q150" s="44">
        <f t="shared" si="17"/>
        <v>-3686.9492482060555</v>
      </c>
      <c r="R150" s="44">
        <f t="shared" si="17"/>
        <v>-3756.8310496416188</v>
      </c>
      <c r="S150" s="44">
        <f t="shared" si="17"/>
        <v>-3828.4003544132629</v>
      </c>
      <c r="T150" s="44">
        <f t="shared" si="17"/>
        <v>-3901.6976098220812</v>
      </c>
      <c r="U150" s="44">
        <f t="shared" si="17"/>
        <v>-3976.7642434444856</v>
      </c>
      <c r="V150" s="44">
        <f t="shared" si="17"/>
        <v>-4053.6426869811307</v>
      </c>
      <c r="W150" s="44">
        <f t="shared" si="17"/>
        <v>-4132.37640068787</v>
      </c>
      <c r="X150" s="44">
        <f t="shared" si="17"/>
        <v>-4213.0098984029746</v>
      </c>
      <c r="Y150" s="44">
        <f t="shared" si="17"/>
        <v>-4295.5887731852181</v>
      </c>
      <c r="Z150" s="44">
        <f t="shared" si="17"/>
        <v>-4380.1597235777572</v>
      </c>
      <c r="AA150" s="44">
        <f t="shared" si="17"/>
        <v>-4466.7705805131382</v>
      </c>
      <c r="AB150" s="44">
        <f t="shared" si="17"/>
        <v>-4555.4703348751118</v>
      </c>
      <c r="AC150" s="44">
        <f t="shared" si="17"/>
        <v>-4646.3091657333362</v>
      </c>
      <c r="AD150" s="44">
        <f t="shared" si="17"/>
        <v>-4739.3384692674344</v>
      </c>
      <c r="AE150" s="44">
        <f t="shared" si="17"/>
        <v>-4834.6108883972656</v>
      </c>
      <c r="AF150" s="44">
        <f t="shared" si="17"/>
        <v>-4932.1803431367352</v>
      </c>
      <c r="AG150" s="44">
        <f t="shared" si="17"/>
        <v>-5032.1020616888145</v>
      </c>
      <c r="AH150" s="44">
        <f t="shared" si="17"/>
        <v>-5134.4326122999246</v>
      </c>
      <c r="AI150" s="44">
        <f t="shared" si="17"/>
        <v>-5239.2299358923101</v>
      </c>
      <c r="AJ150" s="44">
        <f t="shared" si="17"/>
        <v>-5346.5533794933926</v>
      </c>
      <c r="AK150" s="44">
        <f t="shared" si="17"/>
        <v>-5456.4637304816697</v>
      </c>
      <c r="AL150" s="44">
        <f t="shared" si="17"/>
        <v>-5569.0232516691212</v>
      </c>
      <c r="AM150" s="44">
        <f t="shared" si="17"/>
        <v>-5684.2957172406168</v>
      </c>
      <c r="AN150" s="44">
        <f t="shared" si="17"/>
        <v>-5802.3464495713179</v>
      </c>
      <c r="AO150" s="44">
        <f t="shared" si="17"/>
        <v>-5923.242356943575</v>
      </c>
      <c r="AP150" s="44">
        <f t="shared" si="17"/>
        <v>-6047.051972185317</v>
      </c>
      <c r="AQ150" s="44">
        <f t="shared" si="17"/>
        <v>-6173.8454922525716</v>
      </c>
      <c r="AR150" s="44">
        <f t="shared" si="17"/>
        <v>-6303.6948187791659</v>
      </c>
      <c r="AS150" s="44">
        <f t="shared" si="17"/>
        <v>-3218.3367998086751</v>
      </c>
    </row>
    <row r="151" spans="3:45" x14ac:dyDescent="0.3">
      <c r="C151" s="5" t="s">
        <v>128</v>
      </c>
      <c r="D151" s="2" t="s">
        <v>78</v>
      </c>
      <c r="H151" s="44">
        <f>SUM(J151:AS151)</f>
        <v>350977.79537322401</v>
      </c>
      <c r="J151" s="44">
        <f t="shared" ref="J151:AS151" si="18">J308</f>
        <v>0</v>
      </c>
      <c r="K151" s="44">
        <f t="shared" si="18"/>
        <v>0</v>
      </c>
      <c r="L151" s="44">
        <f t="shared" si="18"/>
        <v>0</v>
      </c>
      <c r="M151" s="44">
        <f t="shared" si="18"/>
        <v>0</v>
      </c>
      <c r="N151" s="44">
        <f t="shared" si="18"/>
        <v>0</v>
      </c>
      <c r="O151" s="44">
        <f t="shared" si="18"/>
        <v>5635.2672599999996</v>
      </c>
      <c r="P151" s="44">
        <f t="shared" si="18"/>
        <v>11347.0605402</v>
      </c>
      <c r="Q151" s="44">
        <f t="shared" si="18"/>
        <v>11383.138210513942</v>
      </c>
      <c r="R151" s="44">
        <f t="shared" si="18"/>
        <v>11418.294918665659</v>
      </c>
      <c r="S151" s="44">
        <f t="shared" si="18"/>
        <v>11452.496241893117</v>
      </c>
      <c r="T151" s="44">
        <f t="shared" si="18"/>
        <v>11485.706835760553</v>
      </c>
      <c r="U151" s="44">
        <f t="shared" si="18"/>
        <v>11517.890411123863</v>
      </c>
      <c r="V151" s="44">
        <f t="shared" si="18"/>
        <v>11549.009710529554</v>
      </c>
      <c r="W151" s="44">
        <f t="shared" si="18"/>
        <v>11579.026484033469</v>
      </c>
      <c r="X151" s="44">
        <f t="shared" si="18"/>
        <v>11607.901464424875</v>
      </c>
      <c r="Y151" s="44">
        <f t="shared" si="18"/>
        <v>11635.594341841539</v>
      </c>
      <c r="Z151" s="44">
        <f t="shared" si="18"/>
        <v>11662.063737760736</v>
      </c>
      <c r="AA151" s="44">
        <f t="shared" si="18"/>
        <v>11687.267178350885</v>
      </c>
      <c r="AB151" s="44">
        <f t="shared" si="18"/>
        <v>11711.161067168194</v>
      </c>
      <c r="AC151" s="44">
        <f t="shared" si="18"/>
        <v>11733.700657182213</v>
      </c>
      <c r="AD151" s="44">
        <f t="shared" si="18"/>
        <v>11754.840022113833</v>
      </c>
      <c r="AE151" s="44">
        <f t="shared" si="18"/>
        <v>11774.532027068934</v>
      </c>
      <c r="AF151" s="44">
        <f t="shared" si="18"/>
        <v>11792.728298450265</v>
      </c>
      <c r="AG151" s="44">
        <f t="shared" si="18"/>
        <v>11809.379193130046</v>
      </c>
      <c r="AH151" s="44">
        <f t="shared" si="18"/>
        <v>11824.433766865024</v>
      </c>
      <c r="AI151" s="44">
        <f t="shared" si="18"/>
        <v>11837.839741935417</v>
      </c>
      <c r="AJ151" s="44">
        <f t="shared" si="18"/>
        <v>11849.543473988791</v>
      </c>
      <c r="AK151" s="44">
        <f t="shared" si="18"/>
        <v>11859.48991806929</v>
      </c>
      <c r="AL151" s="44">
        <f t="shared" si="18"/>
        <v>11867.622593812237</v>
      </c>
      <c r="AM151" s="44">
        <f t="shared" si="18"/>
        <v>11873.883549783754</v>
      </c>
      <c r="AN151" s="44">
        <f t="shared" si="18"/>
        <v>11878.213326944215</v>
      </c>
      <c r="AO151" s="44">
        <f t="shared" si="18"/>
        <v>11880.550921214268</v>
      </c>
      <c r="AP151" s="44">
        <f t="shared" si="18"/>
        <v>11880.833745121283</v>
      </c>
      <c r="AQ151" s="44">
        <f t="shared" si="18"/>
        <v>11878.997588503658</v>
      </c>
      <c r="AR151" s="44">
        <f t="shared" si="18"/>
        <v>11874.976578249933</v>
      </c>
      <c r="AS151" s="44">
        <f t="shared" si="18"/>
        <v>5934.3515685245211</v>
      </c>
    </row>
    <row r="152" spans="3:45" x14ac:dyDescent="0.3">
      <c r="C152" s="1" t="s">
        <v>129</v>
      </c>
      <c r="D152" s="2" t="s">
        <v>78</v>
      </c>
      <c r="H152" s="46">
        <f>SUM(J152:AS152)</f>
        <v>273350.81866089534</v>
      </c>
      <c r="J152" s="46">
        <f t="shared" ref="J152:AS152" si="19">J309</f>
        <v>-657.1232876712329</v>
      </c>
      <c r="K152" s="46">
        <f t="shared" si="19"/>
        <v>-3612.0547945205481</v>
      </c>
      <c r="L152" s="46">
        <f t="shared" si="19"/>
        <v>-3359.8191780821917</v>
      </c>
      <c r="M152" s="46">
        <f t="shared" si="19"/>
        <v>-17498.125</v>
      </c>
      <c r="N152" s="46">
        <f t="shared" si="19"/>
        <v>-34996.25</v>
      </c>
      <c r="O152" s="46">
        <f t="shared" si="19"/>
        <v>-14362.857739999999</v>
      </c>
      <c r="P152" s="46">
        <f t="shared" si="19"/>
        <v>11347.0605402</v>
      </c>
      <c r="Q152" s="46">
        <f t="shared" si="19"/>
        <v>13877.658758459147</v>
      </c>
      <c r="R152" s="46">
        <f t="shared" si="19"/>
        <v>11418.294918665659</v>
      </c>
      <c r="S152" s="46">
        <f t="shared" si="19"/>
        <v>11452.496241893117</v>
      </c>
      <c r="T152" s="46">
        <f t="shared" si="19"/>
        <v>11485.706835760553</v>
      </c>
      <c r="U152" s="46">
        <f t="shared" si="19"/>
        <v>11517.890411123863</v>
      </c>
      <c r="V152" s="46">
        <f t="shared" si="19"/>
        <v>11549.009710529554</v>
      </c>
      <c r="W152" s="46">
        <f t="shared" si="19"/>
        <v>11579.026484033469</v>
      </c>
      <c r="X152" s="46">
        <f t="shared" si="19"/>
        <v>11607.901464424875</v>
      </c>
      <c r="Y152" s="46">
        <f t="shared" si="19"/>
        <v>11635.594341841539</v>
      </c>
      <c r="Z152" s="46">
        <f t="shared" si="19"/>
        <v>11662.063737760736</v>
      </c>
      <c r="AA152" s="46">
        <f t="shared" si="19"/>
        <v>11687.267178350885</v>
      </c>
      <c r="AB152" s="46">
        <f t="shared" si="19"/>
        <v>11711.161067168194</v>
      </c>
      <c r="AC152" s="46">
        <f t="shared" si="19"/>
        <v>11733.700657182213</v>
      </c>
      <c r="AD152" s="46">
        <f t="shared" si="19"/>
        <v>11754.840022113833</v>
      </c>
      <c r="AE152" s="46">
        <f t="shared" si="19"/>
        <v>11774.532027068934</v>
      </c>
      <c r="AF152" s="46">
        <f t="shared" si="19"/>
        <v>11792.728298450265</v>
      </c>
      <c r="AG152" s="46">
        <f t="shared" si="19"/>
        <v>11809.379193130046</v>
      </c>
      <c r="AH152" s="46">
        <f t="shared" si="19"/>
        <v>11824.433766865024</v>
      </c>
      <c r="AI152" s="46">
        <f t="shared" si="19"/>
        <v>11837.839741935417</v>
      </c>
      <c r="AJ152" s="46">
        <f t="shared" si="19"/>
        <v>11849.543473988791</v>
      </c>
      <c r="AK152" s="46">
        <f t="shared" si="19"/>
        <v>11859.48991806929</v>
      </c>
      <c r="AL152" s="46">
        <f t="shared" si="19"/>
        <v>11867.622593812237</v>
      </c>
      <c r="AM152" s="46">
        <f t="shared" si="19"/>
        <v>11873.883549783754</v>
      </c>
      <c r="AN152" s="46">
        <f t="shared" si="19"/>
        <v>11878.213326944215</v>
      </c>
      <c r="AO152" s="46">
        <f t="shared" si="19"/>
        <v>11880.550921214268</v>
      </c>
      <c r="AP152" s="46">
        <f t="shared" si="19"/>
        <v>11880.833745121283</v>
      </c>
      <c r="AQ152" s="46">
        <f t="shared" si="19"/>
        <v>11878.997588503658</v>
      </c>
      <c r="AR152" s="46">
        <f t="shared" si="19"/>
        <v>11874.976578249933</v>
      </c>
      <c r="AS152" s="46">
        <f t="shared" si="19"/>
        <v>5934.3515685245211</v>
      </c>
    </row>
    <row r="153" spans="3:45" x14ac:dyDescent="0.3">
      <c r="C153" s="5" t="s">
        <v>130</v>
      </c>
      <c r="D153" s="2" t="s">
        <v>78</v>
      </c>
      <c r="J153" s="44">
        <f>SUM($J152:J152)</f>
        <v>-657.1232876712329</v>
      </c>
      <c r="K153" s="44">
        <f>SUM($J152:K152)</f>
        <v>-4269.178082191781</v>
      </c>
      <c r="L153" s="44">
        <f>SUM($J152:L152)</f>
        <v>-7628.9972602739726</v>
      </c>
      <c r="M153" s="44">
        <f>SUM($J152:M152)</f>
        <v>-25127.122260273973</v>
      </c>
      <c r="N153" s="44">
        <f>SUM($J152:N152)</f>
        <v>-60123.372260273973</v>
      </c>
      <c r="O153" s="44">
        <f>SUM($J152:O152)</f>
        <v>-74486.230000273965</v>
      </c>
      <c r="P153" s="44">
        <f>SUM($J152:P152)</f>
        <v>-63139.169460073965</v>
      </c>
      <c r="Q153" s="44">
        <f>SUM($J152:Q152)</f>
        <v>-49261.510701614818</v>
      </c>
      <c r="R153" s="44">
        <f>SUM($J152:R152)</f>
        <v>-37843.215782949163</v>
      </c>
      <c r="S153" s="44">
        <f>SUM($J152:S152)</f>
        <v>-26390.719541056045</v>
      </c>
      <c r="T153" s="44">
        <f>SUM($J152:T152)</f>
        <v>-14905.012705295492</v>
      </c>
      <c r="U153" s="44">
        <f>SUM($J152:U152)</f>
        <v>-3387.1222941716296</v>
      </c>
      <c r="V153" s="44">
        <f>SUM($J152:V152)</f>
        <v>8161.8874163579239</v>
      </c>
      <c r="W153" s="44">
        <f>SUM($J152:W152)</f>
        <v>19740.913900391395</v>
      </c>
      <c r="X153" s="44">
        <f>SUM($J152:X152)</f>
        <v>31348.81536481627</v>
      </c>
      <c r="Y153" s="44">
        <f>SUM($J152:Y152)</f>
        <v>42984.409706657811</v>
      </c>
      <c r="Z153" s="44">
        <f>SUM($J152:Z152)</f>
        <v>54646.473444418545</v>
      </c>
      <c r="AA153" s="44">
        <f>SUM($J152:AA152)</f>
        <v>66333.74062276943</v>
      </c>
      <c r="AB153" s="44">
        <f>SUM($J152:AB152)</f>
        <v>78044.901689937629</v>
      </c>
      <c r="AC153" s="44">
        <f>SUM($J152:AC152)</f>
        <v>89778.602347119842</v>
      </c>
      <c r="AD153" s="44">
        <f>SUM($J152:AD152)</f>
        <v>101533.44236923367</v>
      </c>
      <c r="AE153" s="44">
        <f>SUM($J152:AE152)</f>
        <v>113307.9743963026</v>
      </c>
      <c r="AF153" s="44">
        <f>SUM($J152:AF152)</f>
        <v>125100.70269475286</v>
      </c>
      <c r="AG153" s="44">
        <f>SUM($J152:AG152)</f>
        <v>136910.0818878829</v>
      </c>
      <c r="AH153" s="44">
        <f>SUM($J152:AH152)</f>
        <v>148734.51565474793</v>
      </c>
      <c r="AI153" s="44">
        <f>SUM($J152:AI152)</f>
        <v>160572.35539668336</v>
      </c>
      <c r="AJ153" s="44">
        <f>SUM($J152:AJ152)</f>
        <v>172421.89887067216</v>
      </c>
      <c r="AK153" s="44">
        <f>SUM($J152:AK152)</f>
        <v>184281.38878874146</v>
      </c>
      <c r="AL153" s="44">
        <f>SUM($J152:AL152)</f>
        <v>196149.0113825537</v>
      </c>
      <c r="AM153" s="44">
        <f>SUM($J152:AM152)</f>
        <v>208022.89493233745</v>
      </c>
      <c r="AN153" s="44">
        <f>SUM($J152:AN152)</f>
        <v>219901.10825928167</v>
      </c>
      <c r="AO153" s="44">
        <f>SUM($J152:AO152)</f>
        <v>231781.65918049595</v>
      </c>
      <c r="AP153" s="44">
        <f>SUM($J152:AP152)</f>
        <v>243662.49292561723</v>
      </c>
      <c r="AQ153" s="44">
        <f>SUM($J152:AQ152)</f>
        <v>255541.4905141209</v>
      </c>
      <c r="AR153" s="44">
        <f>SUM($J152:AR152)</f>
        <v>267416.46709237085</v>
      </c>
      <c r="AS153" s="44">
        <f>SUM($J152:AS152)</f>
        <v>273350.81866089534</v>
      </c>
    </row>
    <row r="155" spans="3:45" x14ac:dyDescent="0.3">
      <c r="C155" s="9" t="s">
        <v>6</v>
      </c>
      <c r="D155" s="9"/>
      <c r="E155" s="10"/>
      <c r="F155" s="10"/>
      <c r="G155" s="10"/>
      <c r="H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3:45" x14ac:dyDescent="0.3">
      <c r="C156" s="5" t="s">
        <v>125</v>
      </c>
      <c r="D156" s="2" t="s">
        <v>78</v>
      </c>
      <c r="H156" s="44">
        <f>SUM(J156:AS156)</f>
        <v>-77626.97671232876</v>
      </c>
      <c r="J156" s="68">
        <f t="shared" ref="J156:AS156" si="20">J326</f>
        <v>-657.1232876712329</v>
      </c>
      <c r="K156" s="44">
        <f t="shared" si="20"/>
        <v>-3612.0547945205481</v>
      </c>
      <c r="L156" s="44">
        <f t="shared" si="20"/>
        <v>-3359.8191780821917</v>
      </c>
      <c r="M156" s="44">
        <f t="shared" si="20"/>
        <v>-17498.125</v>
      </c>
      <c r="N156" s="44">
        <f t="shared" si="20"/>
        <v>-34996.25</v>
      </c>
      <c r="O156" s="44">
        <f t="shared" si="20"/>
        <v>-19998.125</v>
      </c>
      <c r="P156" s="44">
        <f t="shared" si="20"/>
        <v>0</v>
      </c>
      <c r="Q156" s="44">
        <f t="shared" si="20"/>
        <v>2494.5205479452052</v>
      </c>
      <c r="R156" s="44">
        <f t="shared" si="20"/>
        <v>0</v>
      </c>
      <c r="S156" s="44">
        <f t="shared" si="20"/>
        <v>0</v>
      </c>
      <c r="T156" s="44">
        <f t="shared" si="20"/>
        <v>0</v>
      </c>
      <c r="U156" s="44">
        <f t="shared" si="20"/>
        <v>0</v>
      </c>
      <c r="V156" s="44">
        <f t="shared" si="20"/>
        <v>0</v>
      </c>
      <c r="W156" s="44">
        <f t="shared" si="20"/>
        <v>0</v>
      </c>
      <c r="X156" s="44">
        <f t="shared" si="20"/>
        <v>0</v>
      </c>
      <c r="Y156" s="44">
        <f t="shared" si="20"/>
        <v>0</v>
      </c>
      <c r="Z156" s="44">
        <f t="shared" si="20"/>
        <v>0</v>
      </c>
      <c r="AA156" s="44">
        <f t="shared" si="20"/>
        <v>0</v>
      </c>
      <c r="AB156" s="44">
        <f t="shared" si="20"/>
        <v>0</v>
      </c>
      <c r="AC156" s="44">
        <f t="shared" si="20"/>
        <v>0</v>
      </c>
      <c r="AD156" s="44">
        <f t="shared" si="20"/>
        <v>0</v>
      </c>
      <c r="AE156" s="44">
        <f t="shared" si="20"/>
        <v>0</v>
      </c>
      <c r="AF156" s="44">
        <f t="shared" si="20"/>
        <v>0</v>
      </c>
      <c r="AG156" s="44">
        <f t="shared" si="20"/>
        <v>0</v>
      </c>
      <c r="AH156" s="44">
        <f t="shared" si="20"/>
        <v>0</v>
      </c>
      <c r="AI156" s="44">
        <f t="shared" si="20"/>
        <v>0</v>
      </c>
      <c r="AJ156" s="44">
        <f t="shared" si="20"/>
        <v>0</v>
      </c>
      <c r="AK156" s="44">
        <f t="shared" si="20"/>
        <v>0</v>
      </c>
      <c r="AL156" s="44">
        <f t="shared" si="20"/>
        <v>0</v>
      </c>
      <c r="AM156" s="44">
        <f t="shared" si="20"/>
        <v>0</v>
      </c>
      <c r="AN156" s="44">
        <f t="shared" si="20"/>
        <v>0</v>
      </c>
      <c r="AO156" s="44">
        <f t="shared" si="20"/>
        <v>0</v>
      </c>
      <c r="AP156" s="44">
        <f t="shared" si="20"/>
        <v>0</v>
      </c>
      <c r="AQ156" s="44">
        <f t="shared" si="20"/>
        <v>0</v>
      </c>
      <c r="AR156" s="44">
        <f t="shared" si="20"/>
        <v>0</v>
      </c>
      <c r="AS156" s="44">
        <f t="shared" si="20"/>
        <v>0</v>
      </c>
    </row>
    <row r="157" spans="3:45" x14ac:dyDescent="0.3">
      <c r="C157" s="5" t="s">
        <v>126</v>
      </c>
      <c r="D157" s="2" t="s">
        <v>78</v>
      </c>
      <c r="H157" s="44">
        <f>SUM(J157:AS157)</f>
        <v>495700.76192161598</v>
      </c>
      <c r="J157" s="44">
        <f t="shared" ref="J157:AS157" si="21">J330</f>
        <v>0</v>
      </c>
      <c r="K157" s="44">
        <f t="shared" si="21"/>
        <v>0</v>
      </c>
      <c r="L157" s="44">
        <f t="shared" si="21"/>
        <v>0</v>
      </c>
      <c r="M157" s="44">
        <f t="shared" si="21"/>
        <v>0</v>
      </c>
      <c r="N157" s="44">
        <f t="shared" si="21"/>
        <v>0</v>
      </c>
      <c r="O157" s="44">
        <f t="shared" si="21"/>
        <v>7408.7999999999993</v>
      </c>
      <c r="P157" s="44">
        <f t="shared" si="21"/>
        <v>14965.776</v>
      </c>
      <c r="Q157" s="44">
        <f t="shared" si="21"/>
        <v>15070.087458719998</v>
      </c>
      <c r="R157" s="44">
        <f t="shared" si="21"/>
        <v>15175.125968307277</v>
      </c>
      <c r="S157" s="44">
        <f t="shared" si="21"/>
        <v>15280.89659630638</v>
      </c>
      <c r="T157" s="44">
        <f t="shared" si="21"/>
        <v>15387.404445582635</v>
      </c>
      <c r="U157" s="44">
        <f t="shared" si="21"/>
        <v>15494.654654568349</v>
      </c>
      <c r="V157" s="44">
        <f t="shared" si="21"/>
        <v>15602.652397510685</v>
      </c>
      <c r="W157" s="44">
        <f t="shared" si="21"/>
        <v>15711.402884721339</v>
      </c>
      <c r="X157" s="44">
        <f t="shared" si="21"/>
        <v>15820.91136282785</v>
      </c>
      <c r="Y157" s="44">
        <f t="shared" si="21"/>
        <v>15931.183115026757</v>
      </c>
      <c r="Z157" s="44">
        <f t="shared" si="21"/>
        <v>16042.223461338494</v>
      </c>
      <c r="AA157" s="44">
        <f t="shared" si="21"/>
        <v>16154.037758864024</v>
      </c>
      <c r="AB157" s="44">
        <f t="shared" si="21"/>
        <v>16266.631402043306</v>
      </c>
      <c r="AC157" s="44">
        <f t="shared" si="21"/>
        <v>16380.009822915548</v>
      </c>
      <c r="AD157" s="44">
        <f t="shared" si="21"/>
        <v>16494.178491381266</v>
      </c>
      <c r="AE157" s="44">
        <f t="shared" si="21"/>
        <v>16609.1429154662</v>
      </c>
      <c r="AF157" s="44">
        <f t="shared" si="21"/>
        <v>16724.908641587001</v>
      </c>
      <c r="AG157" s="44">
        <f t="shared" si="21"/>
        <v>16841.48125481886</v>
      </c>
      <c r="AH157" s="44">
        <f t="shared" si="21"/>
        <v>16958.866379164949</v>
      </c>
      <c r="AI157" s="44">
        <f t="shared" si="21"/>
        <v>17077.069677827727</v>
      </c>
      <c r="AJ157" s="44">
        <f t="shared" si="21"/>
        <v>17196.096853482184</v>
      </c>
      <c r="AK157" s="44">
        <f t="shared" si="21"/>
        <v>17315.95364855096</v>
      </c>
      <c r="AL157" s="44">
        <f t="shared" si="21"/>
        <v>17436.645845481358</v>
      </c>
      <c r="AM157" s="44">
        <f t="shared" si="21"/>
        <v>17558.17926702437</v>
      </c>
      <c r="AN157" s="44">
        <f t="shared" si="21"/>
        <v>17680.559776515533</v>
      </c>
      <c r="AO157" s="44">
        <f t="shared" si="21"/>
        <v>17803.793278157842</v>
      </c>
      <c r="AP157" s="44">
        <f t="shared" si="21"/>
        <v>17927.885717306599</v>
      </c>
      <c r="AQ157" s="44">
        <f t="shared" si="21"/>
        <v>18052.843080756229</v>
      </c>
      <c r="AR157" s="44">
        <f t="shared" si="21"/>
        <v>18178.671397029098</v>
      </c>
      <c r="AS157" s="44">
        <f t="shared" si="21"/>
        <v>9152.6883683331962</v>
      </c>
    </row>
    <row r="158" spans="3:45" x14ac:dyDescent="0.3">
      <c r="C158" s="5" t="s">
        <v>127</v>
      </c>
      <c r="D158" s="2" t="s">
        <v>78</v>
      </c>
      <c r="H158" s="44">
        <f>SUM(J158:AS158)</f>
        <v>-144722.96654839191</v>
      </c>
      <c r="J158" s="44">
        <f t="shared" ref="J158:AS158" si="22">J339</f>
        <v>0</v>
      </c>
      <c r="K158" s="44">
        <f t="shared" si="22"/>
        <v>0</v>
      </c>
      <c r="L158" s="44">
        <f t="shared" si="22"/>
        <v>0</v>
      </c>
      <c r="M158" s="44">
        <f t="shared" si="22"/>
        <v>0</v>
      </c>
      <c r="N158" s="44">
        <f t="shared" si="22"/>
        <v>0</v>
      </c>
      <c r="O158" s="44">
        <f t="shared" si="22"/>
        <v>-1773.5327399999999</v>
      </c>
      <c r="P158" s="44">
        <f t="shared" si="22"/>
        <v>-3618.7154597999997</v>
      </c>
      <c r="Q158" s="44">
        <f t="shared" si="22"/>
        <v>-3686.9492482060555</v>
      </c>
      <c r="R158" s="44">
        <f t="shared" si="22"/>
        <v>-3756.8310496416188</v>
      </c>
      <c r="S158" s="44">
        <f t="shared" si="22"/>
        <v>-3828.4003544132629</v>
      </c>
      <c r="T158" s="44">
        <f t="shared" si="22"/>
        <v>-3901.6976098220812</v>
      </c>
      <c r="U158" s="44">
        <f t="shared" si="22"/>
        <v>-3976.7642434444856</v>
      </c>
      <c r="V158" s="44">
        <f t="shared" si="22"/>
        <v>-4053.6426869811307</v>
      </c>
      <c r="W158" s="44">
        <f t="shared" si="22"/>
        <v>-4132.37640068787</v>
      </c>
      <c r="X158" s="44">
        <f t="shared" si="22"/>
        <v>-4213.0098984029746</v>
      </c>
      <c r="Y158" s="44">
        <f t="shared" si="22"/>
        <v>-4295.5887731852181</v>
      </c>
      <c r="Z158" s="44">
        <f t="shared" si="22"/>
        <v>-4380.1597235777572</v>
      </c>
      <c r="AA158" s="44">
        <f t="shared" si="22"/>
        <v>-4466.7705805131382</v>
      </c>
      <c r="AB158" s="44">
        <f t="shared" si="22"/>
        <v>-4555.4703348751118</v>
      </c>
      <c r="AC158" s="44">
        <f t="shared" si="22"/>
        <v>-4646.3091657333362</v>
      </c>
      <c r="AD158" s="44">
        <f t="shared" si="22"/>
        <v>-4739.3384692674344</v>
      </c>
      <c r="AE158" s="44">
        <f t="shared" si="22"/>
        <v>-4834.6108883972656</v>
      </c>
      <c r="AF158" s="44">
        <f t="shared" si="22"/>
        <v>-4932.1803431367352</v>
      </c>
      <c r="AG158" s="44">
        <f t="shared" si="22"/>
        <v>-5032.1020616888145</v>
      </c>
      <c r="AH158" s="44">
        <f t="shared" si="22"/>
        <v>-5134.4326122999246</v>
      </c>
      <c r="AI158" s="44">
        <f t="shared" si="22"/>
        <v>-5239.2299358923101</v>
      </c>
      <c r="AJ158" s="44">
        <f t="shared" si="22"/>
        <v>-5346.5533794933926</v>
      </c>
      <c r="AK158" s="44">
        <f t="shared" si="22"/>
        <v>-5456.4637304816697</v>
      </c>
      <c r="AL158" s="44">
        <f t="shared" si="22"/>
        <v>-5569.0232516691212</v>
      </c>
      <c r="AM158" s="44">
        <f t="shared" si="22"/>
        <v>-5684.2957172406168</v>
      </c>
      <c r="AN158" s="44">
        <f t="shared" si="22"/>
        <v>-5802.3464495713179</v>
      </c>
      <c r="AO158" s="44">
        <f t="shared" si="22"/>
        <v>-5923.242356943575</v>
      </c>
      <c r="AP158" s="44">
        <f t="shared" si="22"/>
        <v>-6047.051972185317</v>
      </c>
      <c r="AQ158" s="44">
        <f t="shared" si="22"/>
        <v>-6173.8454922525716</v>
      </c>
      <c r="AR158" s="44">
        <f t="shared" si="22"/>
        <v>-6303.6948187791659</v>
      </c>
      <c r="AS158" s="44">
        <f t="shared" si="22"/>
        <v>-3218.3367998086751</v>
      </c>
    </row>
    <row r="159" spans="3:45" x14ac:dyDescent="0.3">
      <c r="C159" s="5" t="s">
        <v>128</v>
      </c>
      <c r="D159" s="2" t="s">
        <v>78</v>
      </c>
      <c r="H159" s="44">
        <f>SUM(J159:AS159)</f>
        <v>350977.79537322401</v>
      </c>
      <c r="J159" s="44">
        <f t="shared" ref="J159:AS159" si="23">J340</f>
        <v>0</v>
      </c>
      <c r="K159" s="44">
        <f t="shared" si="23"/>
        <v>0</v>
      </c>
      <c r="L159" s="44">
        <f t="shared" si="23"/>
        <v>0</v>
      </c>
      <c r="M159" s="44">
        <f t="shared" si="23"/>
        <v>0</v>
      </c>
      <c r="N159" s="44">
        <f t="shared" si="23"/>
        <v>0</v>
      </c>
      <c r="O159" s="44">
        <f t="shared" si="23"/>
        <v>5635.2672599999996</v>
      </c>
      <c r="P159" s="44">
        <f t="shared" si="23"/>
        <v>11347.0605402</v>
      </c>
      <c r="Q159" s="44">
        <f t="shared" si="23"/>
        <v>11383.138210513942</v>
      </c>
      <c r="R159" s="44">
        <f t="shared" si="23"/>
        <v>11418.294918665659</v>
      </c>
      <c r="S159" s="44">
        <f t="shared" si="23"/>
        <v>11452.496241893117</v>
      </c>
      <c r="T159" s="44">
        <f t="shared" si="23"/>
        <v>11485.706835760553</v>
      </c>
      <c r="U159" s="44">
        <f t="shared" si="23"/>
        <v>11517.890411123863</v>
      </c>
      <c r="V159" s="44">
        <f t="shared" si="23"/>
        <v>11549.009710529554</v>
      </c>
      <c r="W159" s="44">
        <f t="shared" si="23"/>
        <v>11579.026484033469</v>
      </c>
      <c r="X159" s="44">
        <f t="shared" si="23"/>
        <v>11607.901464424875</v>
      </c>
      <c r="Y159" s="44">
        <f t="shared" si="23"/>
        <v>11635.594341841539</v>
      </c>
      <c r="Z159" s="44">
        <f t="shared" si="23"/>
        <v>11662.063737760736</v>
      </c>
      <c r="AA159" s="44">
        <f t="shared" si="23"/>
        <v>11687.267178350885</v>
      </c>
      <c r="AB159" s="44">
        <f t="shared" si="23"/>
        <v>11711.161067168194</v>
      </c>
      <c r="AC159" s="44">
        <f t="shared" si="23"/>
        <v>11733.700657182213</v>
      </c>
      <c r="AD159" s="44">
        <f t="shared" si="23"/>
        <v>11754.840022113833</v>
      </c>
      <c r="AE159" s="44">
        <f t="shared" si="23"/>
        <v>11774.532027068934</v>
      </c>
      <c r="AF159" s="44">
        <f t="shared" si="23"/>
        <v>11792.728298450265</v>
      </c>
      <c r="AG159" s="44">
        <f t="shared" si="23"/>
        <v>11809.379193130046</v>
      </c>
      <c r="AH159" s="44">
        <f t="shared" si="23"/>
        <v>11824.433766865024</v>
      </c>
      <c r="AI159" s="44">
        <f t="shared" si="23"/>
        <v>11837.839741935417</v>
      </c>
      <c r="AJ159" s="44">
        <f t="shared" si="23"/>
        <v>11849.543473988791</v>
      </c>
      <c r="AK159" s="44">
        <f t="shared" si="23"/>
        <v>11859.48991806929</v>
      </c>
      <c r="AL159" s="44">
        <f t="shared" si="23"/>
        <v>11867.622593812237</v>
      </c>
      <c r="AM159" s="44">
        <f t="shared" si="23"/>
        <v>11873.883549783754</v>
      </c>
      <c r="AN159" s="44">
        <f t="shared" si="23"/>
        <v>11878.213326944215</v>
      </c>
      <c r="AO159" s="44">
        <f t="shared" si="23"/>
        <v>11880.550921214268</v>
      </c>
      <c r="AP159" s="44">
        <f t="shared" si="23"/>
        <v>11880.833745121283</v>
      </c>
      <c r="AQ159" s="44">
        <f t="shared" si="23"/>
        <v>11878.997588503658</v>
      </c>
      <c r="AR159" s="44">
        <f t="shared" si="23"/>
        <v>11874.976578249933</v>
      </c>
      <c r="AS159" s="44">
        <f t="shared" si="23"/>
        <v>5934.3515685245211</v>
      </c>
    </row>
    <row r="160" spans="3:45" x14ac:dyDescent="0.3">
      <c r="C160" s="1" t="s">
        <v>129</v>
      </c>
      <c r="D160" s="2" t="s">
        <v>78</v>
      </c>
      <c r="H160" s="46">
        <f>SUM(J160:AS160)</f>
        <v>273350.81866089534</v>
      </c>
      <c r="J160" s="46">
        <f t="shared" ref="J160:AS160" si="24">J341</f>
        <v>-657.1232876712329</v>
      </c>
      <c r="K160" s="46">
        <f t="shared" si="24"/>
        <v>-3612.0547945205481</v>
      </c>
      <c r="L160" s="46">
        <f t="shared" si="24"/>
        <v>-3359.8191780821917</v>
      </c>
      <c r="M160" s="46">
        <f t="shared" si="24"/>
        <v>-17498.125</v>
      </c>
      <c r="N160" s="46">
        <f t="shared" si="24"/>
        <v>-34996.25</v>
      </c>
      <c r="O160" s="46">
        <f t="shared" si="24"/>
        <v>-14362.857739999999</v>
      </c>
      <c r="P160" s="46">
        <f t="shared" si="24"/>
        <v>11347.0605402</v>
      </c>
      <c r="Q160" s="46">
        <f t="shared" si="24"/>
        <v>13877.658758459147</v>
      </c>
      <c r="R160" s="46">
        <f t="shared" si="24"/>
        <v>11418.294918665659</v>
      </c>
      <c r="S160" s="46">
        <f t="shared" si="24"/>
        <v>11452.496241893117</v>
      </c>
      <c r="T160" s="46">
        <f t="shared" si="24"/>
        <v>11485.706835760553</v>
      </c>
      <c r="U160" s="46">
        <f t="shared" si="24"/>
        <v>11517.890411123863</v>
      </c>
      <c r="V160" s="46">
        <f t="shared" si="24"/>
        <v>11549.009710529554</v>
      </c>
      <c r="W160" s="46">
        <f t="shared" si="24"/>
        <v>11579.026484033469</v>
      </c>
      <c r="X160" s="46">
        <f t="shared" si="24"/>
        <v>11607.901464424875</v>
      </c>
      <c r="Y160" s="46">
        <f t="shared" si="24"/>
        <v>11635.594341841539</v>
      </c>
      <c r="Z160" s="46">
        <f t="shared" si="24"/>
        <v>11662.063737760736</v>
      </c>
      <c r="AA160" s="46">
        <f t="shared" si="24"/>
        <v>11687.267178350885</v>
      </c>
      <c r="AB160" s="46">
        <f t="shared" si="24"/>
        <v>11711.161067168194</v>
      </c>
      <c r="AC160" s="46">
        <f t="shared" si="24"/>
        <v>11733.700657182213</v>
      </c>
      <c r="AD160" s="46">
        <f t="shared" si="24"/>
        <v>11754.840022113833</v>
      </c>
      <c r="AE160" s="46">
        <f t="shared" si="24"/>
        <v>11774.532027068934</v>
      </c>
      <c r="AF160" s="46">
        <f t="shared" si="24"/>
        <v>11792.728298450265</v>
      </c>
      <c r="AG160" s="46">
        <f t="shared" si="24"/>
        <v>11809.379193130046</v>
      </c>
      <c r="AH160" s="46">
        <f t="shared" si="24"/>
        <v>11824.433766865024</v>
      </c>
      <c r="AI160" s="46">
        <f t="shared" si="24"/>
        <v>11837.839741935417</v>
      </c>
      <c r="AJ160" s="46">
        <f t="shared" si="24"/>
        <v>11849.543473988791</v>
      </c>
      <c r="AK160" s="46">
        <f t="shared" si="24"/>
        <v>11859.48991806929</v>
      </c>
      <c r="AL160" s="46">
        <f t="shared" si="24"/>
        <v>11867.622593812237</v>
      </c>
      <c r="AM160" s="46">
        <f t="shared" si="24"/>
        <v>11873.883549783754</v>
      </c>
      <c r="AN160" s="46">
        <f t="shared" si="24"/>
        <v>11878.213326944215</v>
      </c>
      <c r="AO160" s="46">
        <f t="shared" si="24"/>
        <v>11880.550921214268</v>
      </c>
      <c r="AP160" s="46">
        <f t="shared" si="24"/>
        <v>11880.833745121283</v>
      </c>
      <c r="AQ160" s="46">
        <f t="shared" si="24"/>
        <v>11878.997588503658</v>
      </c>
      <c r="AR160" s="46">
        <f t="shared" si="24"/>
        <v>11874.976578249933</v>
      </c>
      <c r="AS160" s="46">
        <f t="shared" si="24"/>
        <v>5934.3515685245211</v>
      </c>
    </row>
    <row r="161" spans="2:45" x14ac:dyDescent="0.3">
      <c r="C161" s="5" t="s">
        <v>130</v>
      </c>
      <c r="D161" s="2" t="s">
        <v>78</v>
      </c>
      <c r="J161" s="44">
        <f>SUM($J160:J160)</f>
        <v>-657.1232876712329</v>
      </c>
      <c r="K161" s="44">
        <f>SUM($J160:K160)</f>
        <v>-4269.178082191781</v>
      </c>
      <c r="L161" s="44">
        <f>SUM($J160:L160)</f>
        <v>-7628.9972602739726</v>
      </c>
      <c r="M161" s="44">
        <f>SUM($J160:M160)</f>
        <v>-25127.122260273973</v>
      </c>
      <c r="N161" s="44">
        <f>SUM($J160:N160)</f>
        <v>-60123.372260273973</v>
      </c>
      <c r="O161" s="44">
        <f>SUM($J160:O160)</f>
        <v>-74486.230000273965</v>
      </c>
      <c r="P161" s="44">
        <f>SUM($J160:P160)</f>
        <v>-63139.169460073965</v>
      </c>
      <c r="Q161" s="44">
        <f>SUM($J160:Q160)</f>
        <v>-49261.510701614818</v>
      </c>
      <c r="R161" s="44">
        <f>SUM($J160:R160)</f>
        <v>-37843.215782949163</v>
      </c>
      <c r="S161" s="44">
        <f>SUM($J160:S160)</f>
        <v>-26390.719541056045</v>
      </c>
      <c r="T161" s="44">
        <f>SUM($J160:T160)</f>
        <v>-14905.012705295492</v>
      </c>
      <c r="U161" s="44">
        <f>SUM($J160:U160)</f>
        <v>-3387.1222941716296</v>
      </c>
      <c r="V161" s="44">
        <f>SUM($J160:V160)</f>
        <v>8161.8874163579239</v>
      </c>
      <c r="W161" s="44">
        <f>SUM($J160:W160)</f>
        <v>19740.913900391395</v>
      </c>
      <c r="X161" s="44">
        <f>SUM($J160:X160)</f>
        <v>31348.81536481627</v>
      </c>
      <c r="Y161" s="44">
        <f>SUM($J160:Y160)</f>
        <v>42984.409706657811</v>
      </c>
      <c r="Z161" s="44">
        <f>SUM($J160:Z160)</f>
        <v>54646.473444418545</v>
      </c>
      <c r="AA161" s="44">
        <f>SUM($J160:AA160)</f>
        <v>66333.74062276943</v>
      </c>
      <c r="AB161" s="44">
        <f>SUM($J160:AB160)</f>
        <v>78044.901689937629</v>
      </c>
      <c r="AC161" s="44">
        <f>SUM($J160:AC160)</f>
        <v>89778.602347119842</v>
      </c>
      <c r="AD161" s="44">
        <f>SUM($J160:AD160)</f>
        <v>101533.44236923367</v>
      </c>
      <c r="AE161" s="44">
        <f>SUM($J160:AE160)</f>
        <v>113307.9743963026</v>
      </c>
      <c r="AF161" s="44">
        <f>SUM($J160:AF160)</f>
        <v>125100.70269475286</v>
      </c>
      <c r="AG161" s="44">
        <f>SUM($J160:AG160)</f>
        <v>136910.0818878829</v>
      </c>
      <c r="AH161" s="44">
        <f>SUM($J160:AH160)</f>
        <v>148734.51565474793</v>
      </c>
      <c r="AI161" s="44">
        <f>SUM($J160:AI160)</f>
        <v>160572.35539668336</v>
      </c>
      <c r="AJ161" s="44">
        <f>SUM($J160:AJ160)</f>
        <v>172421.89887067216</v>
      </c>
      <c r="AK161" s="44">
        <f>SUM($J160:AK160)</f>
        <v>184281.38878874146</v>
      </c>
      <c r="AL161" s="44">
        <f>SUM($J160:AL160)</f>
        <v>196149.0113825537</v>
      </c>
      <c r="AM161" s="44">
        <f>SUM($J160:AM160)</f>
        <v>208022.89493233745</v>
      </c>
      <c r="AN161" s="44">
        <f>SUM($J160:AN160)</f>
        <v>219901.10825928167</v>
      </c>
      <c r="AO161" s="44">
        <f>SUM($J160:AO160)</f>
        <v>231781.65918049595</v>
      </c>
      <c r="AP161" s="44">
        <f>SUM($J160:AP160)</f>
        <v>243662.49292561723</v>
      </c>
      <c r="AQ161" s="44">
        <f>SUM($J160:AQ160)</f>
        <v>255541.4905141209</v>
      </c>
      <c r="AR161" s="44">
        <f>SUM($J160:AR160)</f>
        <v>267416.46709237085</v>
      </c>
      <c r="AS161" s="44">
        <f>SUM($J160:AS160)</f>
        <v>273350.81866089534</v>
      </c>
    </row>
    <row r="163" spans="2:45" x14ac:dyDescent="0.3">
      <c r="B163" s="3" t="s">
        <v>2</v>
      </c>
      <c r="C163" s="3" t="s">
        <v>131</v>
      </c>
      <c r="D163" s="3"/>
      <c r="E163" s="4" t="s">
        <v>4</v>
      </c>
      <c r="F163" s="4" t="s">
        <v>5</v>
      </c>
      <c r="G163" s="4" t="s">
        <v>6</v>
      </c>
      <c r="H163" s="4" t="s">
        <v>7</v>
      </c>
    </row>
    <row r="164" spans="2:45" outlineLevel="1" x14ac:dyDescent="0.3"/>
    <row r="165" spans="2:45" outlineLevel="1" x14ac:dyDescent="0.3">
      <c r="B165" s="3" t="s">
        <v>2</v>
      </c>
      <c r="C165" s="3" t="s">
        <v>132</v>
      </c>
      <c r="D165" s="3"/>
      <c r="E165" s="4" t="s">
        <v>4</v>
      </c>
      <c r="F165" s="4" t="s">
        <v>5</v>
      </c>
      <c r="G165" s="4" t="s">
        <v>6</v>
      </c>
      <c r="H165" s="4" t="s">
        <v>7</v>
      </c>
    </row>
    <row r="166" spans="2:45" outlineLevel="1" x14ac:dyDescent="0.3">
      <c r="C166" s="5" t="s">
        <v>133</v>
      </c>
      <c r="D166" s="2" t="s">
        <v>134</v>
      </c>
      <c r="E166" s="8">
        <f>MIN(Freeze_Date,Sale_Date)</f>
        <v>47299</v>
      </c>
      <c r="F166" s="8">
        <f>MIN(Freeze_Date,Sale_Date)</f>
        <v>47299</v>
      </c>
      <c r="G166" s="8">
        <f>MIN(Freeze_Date,Sale_Date)</f>
        <v>47299</v>
      </c>
    </row>
    <row r="167" spans="2:45" outlineLevel="1" x14ac:dyDescent="0.3">
      <c r="C167" s="5" t="s">
        <v>135</v>
      </c>
      <c r="D167" s="2" t="s">
        <v>2</v>
      </c>
      <c r="E167" s="60">
        <f>1+Rate_Cash*(E166-DATE(YEAR(E166),1,1)+1)/Days_In_Year</f>
        <v>1.0595068493150686</v>
      </c>
      <c r="F167" s="60">
        <f>1+Rate_Cash*(F166-DATE(YEAR(F166),1,1)+1)/Days_In_Year</f>
        <v>1.0595068493150686</v>
      </c>
      <c r="G167" s="60">
        <f>1+Rate_Cash*(G166-DATE(YEAR(G166),1,1)+1)/Days_In_Year</f>
        <v>1.0595068493150686</v>
      </c>
    </row>
    <row r="168" spans="2:45" outlineLevel="1" x14ac:dyDescent="0.3">
      <c r="C168" s="5" t="s">
        <v>136</v>
      </c>
      <c r="D168" s="2" t="s">
        <v>2</v>
      </c>
      <c r="E168" s="60">
        <f>1+Rate_Devex*(E166-DATE(YEAR(E166),1,1)+1)/Days_In_Year</f>
        <v>1.0991780821917809</v>
      </c>
      <c r="F168" s="60">
        <f>1+Rate_Devex*(F166-DATE(YEAR(F166),1,1)+1)/Days_In_Year</f>
        <v>1.0991780821917809</v>
      </c>
      <c r="G168" s="60">
        <f>1+Rate_Devex*(G166-DATE(YEAR(G166),1,1)+1)/Days_In_Year</f>
        <v>1.0991780821917809</v>
      </c>
    </row>
    <row r="169" spans="2:45" outlineLevel="1" x14ac:dyDescent="0.3">
      <c r="C169" s="5" t="s">
        <v>137</v>
      </c>
      <c r="D169" s="2" t="s">
        <v>138</v>
      </c>
      <c r="E169" s="61">
        <f>DATE(YEAR(Inputs!E$27)+1,1,1)-Inputs!E$27</f>
        <v>63</v>
      </c>
      <c r="F169" s="61">
        <f>DATE(YEAR(Inputs!F$27)+1,1,1)-Inputs!F$27</f>
        <v>63</v>
      </c>
      <c r="G169" s="61">
        <f>DATE(YEAR(Inputs!G$27)+1,1,1)-Inputs!G$27</f>
        <v>63</v>
      </c>
    </row>
    <row r="170" spans="2:45" outlineLevel="1" x14ac:dyDescent="0.3">
      <c r="C170" s="5" t="s">
        <v>139</v>
      </c>
      <c r="D170" s="2" t="s">
        <v>2</v>
      </c>
      <c r="E170" s="60">
        <f>(1+Rate_Cash*E169/Days_In_Year)*(1+Rate_Cash)^(YEAR(E166)-YEAR(Inputs!E$27)-1)*E167</f>
        <v>1.3565730168818169</v>
      </c>
      <c r="F170" s="60">
        <f>(1+Rate_Cash*F169/Days_In_Year)*(1+Rate_Cash)^(YEAR(F166)-YEAR(Inputs!F$27)-1)*F167</f>
        <v>1.3565730168818169</v>
      </c>
      <c r="G170" s="60">
        <f>(1+Rate_Cash*G169/Days_In_Year)*(1+Rate_Cash)^(YEAR(G166)-YEAR(Inputs!G$27)-1)*G167</f>
        <v>1.3565730168818169</v>
      </c>
    </row>
    <row r="171" spans="2:45" outlineLevel="1" x14ac:dyDescent="0.3">
      <c r="C171" s="5" t="s">
        <v>140</v>
      </c>
      <c r="D171" s="2" t="s">
        <v>138</v>
      </c>
      <c r="E171" s="61">
        <f>DATE(YEAR(Inputs!E$28)+1,1,1)-Inputs!E$28</f>
        <v>351</v>
      </c>
      <c r="F171" s="61">
        <f>DATE(YEAR(Inputs!F$28)+1,1,1)-Inputs!F$28</f>
        <v>351</v>
      </c>
      <c r="G171" s="61">
        <f>DATE(YEAR(Inputs!G$28)+1,1,1)-Inputs!G$28</f>
        <v>351</v>
      </c>
    </row>
    <row r="172" spans="2:45" outlineLevel="1" x14ac:dyDescent="0.3">
      <c r="C172" s="5" t="s">
        <v>141</v>
      </c>
      <c r="D172" s="2" t="s">
        <v>2</v>
      </c>
      <c r="E172" s="60">
        <f>(1+Rate_Cash*E171/Days_In_Year)*(1+Rate_Cash)^(YEAR(E166)-YEAR(Inputs!E$28)-1)*E167</f>
        <v>1.3235835614036406</v>
      </c>
      <c r="F172" s="60">
        <f>(1+Rate_Cash*F171/Days_In_Year)*(1+Rate_Cash)^(YEAR(F166)-YEAR(Inputs!F$28)-1)*F167</f>
        <v>1.3235835614036406</v>
      </c>
      <c r="G172" s="60">
        <f>(1+Rate_Cash*G171/Days_In_Year)*(1+Rate_Cash)^(YEAR(G166)-YEAR(Inputs!G$28)-1)*G167</f>
        <v>1.3235835614036406</v>
      </c>
    </row>
    <row r="173" spans="2:45" outlineLevel="1" x14ac:dyDescent="0.3">
      <c r="C173" s="5" t="s">
        <v>142</v>
      </c>
      <c r="D173" s="2" t="s">
        <v>138</v>
      </c>
      <c r="E173" s="61">
        <f>DATE(YEAR(Inputs!E$29)+1,1,1)-Inputs!E$29</f>
        <v>351</v>
      </c>
      <c r="F173" s="61">
        <f>DATE(YEAR(Inputs!F$29)+1,1,1)-Inputs!F$29</f>
        <v>351</v>
      </c>
      <c r="G173" s="61">
        <f>DATE(YEAR(Inputs!G$29)+1,1,1)-Inputs!G$29</f>
        <v>351</v>
      </c>
    </row>
    <row r="174" spans="2:45" outlineLevel="1" x14ac:dyDescent="0.3">
      <c r="C174" s="5" t="s">
        <v>143</v>
      </c>
      <c r="D174" s="2" t="s">
        <v>2</v>
      </c>
      <c r="E174" s="60">
        <f>(1+Rate_Cash*E173/Days_In_Year)*(1+Rate_Cash)^(YEAR(E166)-YEAR(Inputs!E$29)-1)*E167</f>
        <v>1.3235835614036406</v>
      </c>
      <c r="F174" s="60">
        <f>(1+Rate_Cash*F173/Days_In_Year)*(1+Rate_Cash)^(YEAR(F166)-YEAR(Inputs!F$29)-1)*F167</f>
        <v>1.3235835614036406</v>
      </c>
      <c r="G174" s="60">
        <f>(1+Rate_Cash*G173/Days_In_Year)*(1+Rate_Cash)^(YEAR(G166)-YEAR(Inputs!G$29)-1)*G167</f>
        <v>1.3235835614036406</v>
      </c>
    </row>
    <row r="175" spans="2:45" outlineLevel="1" x14ac:dyDescent="0.3">
      <c r="C175" s="5" t="s">
        <v>144</v>
      </c>
      <c r="D175" s="2" t="s">
        <v>138</v>
      </c>
      <c r="E175" s="61">
        <f>DATE(YEAR(Inputs!E$30)+1,1,1)-Inputs!E$30</f>
        <v>92</v>
      </c>
      <c r="F175" s="61">
        <f>DATE(YEAR(Inputs!F$30)+1,1,1)-Inputs!F$30</f>
        <v>92</v>
      </c>
      <c r="G175" s="61">
        <f>DATE(YEAR(Inputs!G$30)+1,1,1)-Inputs!G$30</f>
        <v>92</v>
      </c>
    </row>
    <row r="176" spans="2:45" outlineLevel="1" x14ac:dyDescent="0.3">
      <c r="C176" s="5" t="s">
        <v>145</v>
      </c>
      <c r="D176" s="2" t="s">
        <v>2</v>
      </c>
      <c r="E176" s="60">
        <f>(1+Rate_Cash*E175/Days_In_Year)*(1+Rate_Cash)^(YEAR(E166)-YEAR(Inputs!E$30)-1)*E167</f>
        <v>1.0915533030587352</v>
      </c>
      <c r="F176" s="60">
        <f>(1+Rate_Cash*F175/Days_In_Year)*(1+Rate_Cash)^(YEAR(F166)-YEAR(Inputs!F$30)-1)*F167</f>
        <v>1.0915533030587352</v>
      </c>
      <c r="G176" s="60">
        <f>(1+Rate_Cash*G175/Days_In_Year)*(1+Rate_Cash)^(YEAR(G166)-YEAR(Inputs!G$30)-1)*G167</f>
        <v>1.0915533030587352</v>
      </c>
    </row>
    <row r="177" spans="2:8" outlineLevel="1" x14ac:dyDescent="0.3">
      <c r="C177" s="5" t="s">
        <v>146</v>
      </c>
      <c r="D177" s="2" t="s">
        <v>138</v>
      </c>
      <c r="E177" s="61">
        <f>DATE(YEAR(Inputs!E$31)+1,1,1)-Inputs!E$31</f>
        <v>1</v>
      </c>
      <c r="F177" s="61">
        <f>DATE(YEAR(Inputs!F$31)+1,1,1)-Inputs!F$31</f>
        <v>1</v>
      </c>
      <c r="G177" s="61">
        <f>DATE(YEAR(Inputs!G$31)+1,1,1)-Inputs!G$31</f>
        <v>1</v>
      </c>
    </row>
    <row r="178" spans="2:8" outlineLevel="1" x14ac:dyDescent="0.3">
      <c r="C178" s="5" t="s">
        <v>147</v>
      </c>
      <c r="D178" s="2" t="s">
        <v>2</v>
      </c>
      <c r="E178" s="60">
        <f>(1+Rate_Devex*E177/Days_In_Year)*(1+Rate_Devex)^(YEAR(E166)-YEAR(Inputs!E$31)-1)*E168</f>
        <v>1.3197364458622631</v>
      </c>
      <c r="F178" s="60">
        <f>(1+Rate_Devex*F177/Days_In_Year)*(1+Rate_Devex)^(YEAR(F166)-YEAR(Inputs!F$31)-1)*F168</f>
        <v>1.3197364458622631</v>
      </c>
      <c r="G178" s="60">
        <f>(1+Rate_Devex*G177/Days_In_Year)*(1+Rate_Devex)^(YEAR(G166)-YEAR(Inputs!G$31)-1)*G168</f>
        <v>1.3197364458622631</v>
      </c>
    </row>
    <row r="179" spans="2:8" outlineLevel="1" x14ac:dyDescent="0.3">
      <c r="C179" s="5" t="s">
        <v>148</v>
      </c>
      <c r="D179" s="2" t="s">
        <v>78</v>
      </c>
      <c r="E179" s="48">
        <f>E59*(E170-1)</f>
        <v>2.9307371250560288</v>
      </c>
      <c r="F179" s="48">
        <f>F59*(F170-1)</f>
        <v>2.9307371250560288</v>
      </c>
      <c r="G179" s="48">
        <f>G59*(G170-1)</f>
        <v>2.9307371250560288</v>
      </c>
      <c r="H179" s="48">
        <f t="shared" ref="H179:H187" si="25">SUM(E179:G179)</f>
        <v>8.7922113751680868</v>
      </c>
    </row>
    <row r="180" spans="2:8" outlineLevel="1" x14ac:dyDescent="0.3">
      <c r="C180" s="5" t="s">
        <v>149</v>
      </c>
      <c r="D180" s="2" t="s">
        <v>78</v>
      </c>
      <c r="E180" s="44">
        <f>E60*(E170-1)</f>
        <v>99.15660606439566</v>
      </c>
      <c r="F180" s="44">
        <f>F60*(F170-1)</f>
        <v>177.89574349090094</v>
      </c>
      <c r="G180" s="44">
        <f>G60*(G170-1)</f>
        <v>177.89574349090094</v>
      </c>
      <c r="H180" s="44">
        <f t="shared" si="25"/>
        <v>454.94809304619753</v>
      </c>
    </row>
    <row r="181" spans="2:8" outlineLevel="1" x14ac:dyDescent="0.3">
      <c r="C181" s="5" t="s">
        <v>150</v>
      </c>
      <c r="D181" s="2" t="s">
        <v>78</v>
      </c>
      <c r="E181" s="44">
        <f>E61*(E172-1)</f>
        <v>359.93130391747434</v>
      </c>
      <c r="F181" s="44">
        <f>F61*(F172-1)</f>
        <v>645.74867431893654</v>
      </c>
      <c r="G181" s="44">
        <f>G61*(G172-1)</f>
        <v>645.74867431893654</v>
      </c>
      <c r="H181" s="44">
        <f t="shared" si="25"/>
        <v>1651.4286525553475</v>
      </c>
    </row>
    <row r="182" spans="2:8" outlineLevel="1" x14ac:dyDescent="0.3">
      <c r="C182" s="5" t="s">
        <v>151</v>
      </c>
      <c r="D182" s="2" t="s">
        <v>78</v>
      </c>
      <c r="E182" s="44">
        <f>E62*(E174-1)</f>
        <v>199.46931867347709</v>
      </c>
      <c r="F182" s="44">
        <f>F62*(F174-1)</f>
        <v>199.46931867347709</v>
      </c>
      <c r="G182" s="44">
        <f>G62*(G174-1)</f>
        <v>199.46931867347709</v>
      </c>
      <c r="H182" s="44">
        <f t="shared" si="25"/>
        <v>598.40795602043124</v>
      </c>
    </row>
    <row r="183" spans="2:8" outlineLevel="1" x14ac:dyDescent="0.3">
      <c r="C183" s="5" t="s">
        <v>152</v>
      </c>
      <c r="D183" s="2" t="s">
        <v>78</v>
      </c>
      <c r="E183" s="44">
        <f>E63*(E176-1)</f>
        <v>63.754434866093717</v>
      </c>
      <c r="F183" s="44">
        <f>F63*(F176-1)</f>
        <v>115.38224495073477</v>
      </c>
      <c r="G183" s="44">
        <f>G63*(G176-1)</f>
        <v>115.38224495073477</v>
      </c>
      <c r="H183" s="44">
        <f t="shared" si="25"/>
        <v>294.51892476756325</v>
      </c>
    </row>
    <row r="184" spans="2:8" outlineLevel="1" x14ac:dyDescent="0.3">
      <c r="C184" s="5" t="s">
        <v>153</v>
      </c>
      <c r="D184" s="2" t="s">
        <v>78</v>
      </c>
      <c r="E184" s="44">
        <f>E64*(E176-1)</f>
        <v>859.9903505960641</v>
      </c>
      <c r="F184" s="44">
        <f>F64*(F176-1)</f>
        <v>192.22029848277475</v>
      </c>
      <c r="G184" s="44">
        <f>G64*(G176-1)</f>
        <v>192.22029848277475</v>
      </c>
      <c r="H184" s="44">
        <f t="shared" si="25"/>
        <v>1244.4309475616135</v>
      </c>
    </row>
    <row r="185" spans="2:8" outlineLevel="1" x14ac:dyDescent="0.3">
      <c r="C185" s="5" t="s">
        <v>154</v>
      </c>
      <c r="D185" s="2" t="s">
        <v>78</v>
      </c>
      <c r="E185" s="44">
        <f>E65*MAX(E178-1,Devex_Floor-1)</f>
        <v>784.47</v>
      </c>
      <c r="F185" s="44">
        <f>F65*MAX(F178-1,Devex_Floor-1)</f>
        <v>1000.0000000000001</v>
      </c>
      <c r="G185" s="44">
        <f>G65*MAX(G178-1,Devex_Floor-1)</f>
        <v>1000.0000000000001</v>
      </c>
      <c r="H185" s="44">
        <f t="shared" si="25"/>
        <v>2784.4700000000003</v>
      </c>
    </row>
    <row r="186" spans="2:8" outlineLevel="1" x14ac:dyDescent="0.3">
      <c r="C186" s="1" t="s">
        <v>155</v>
      </c>
      <c r="D186" s="2" t="s">
        <v>78</v>
      </c>
      <c r="E186" s="52">
        <f>SUM(E179:E185)</f>
        <v>2369.7027512425611</v>
      </c>
      <c r="F186" s="52">
        <f>SUM(F179:F185)</f>
        <v>2333.6470170418802</v>
      </c>
      <c r="G186" s="52">
        <f>SUM(G179:G185)</f>
        <v>2333.6470170418802</v>
      </c>
      <c r="H186" s="52">
        <f t="shared" si="25"/>
        <v>7036.9967853263206</v>
      </c>
    </row>
    <row r="187" spans="2:8" outlineLevel="1" x14ac:dyDescent="0.3">
      <c r="C187" s="5" t="s">
        <v>156</v>
      </c>
      <c r="D187" s="2" t="s">
        <v>78</v>
      </c>
      <c r="E187" s="44">
        <f>E20*MIN(DSA_Rate*YEARFRAC(Inputs!E$35,Sale_Date),DSA_Cap)*E43</f>
        <v>364.58333333333331</v>
      </c>
      <c r="F187" s="44">
        <f>F20*MIN(DSA_Rate*YEARFRAC(Inputs!F$35,Sale_Date),DSA_Cap)*F43</f>
        <v>0</v>
      </c>
      <c r="G187" s="44">
        <f>G20*MIN(DSA_Rate*YEARFRAC(Inputs!G$35,Sale_Date),DSA_Cap)*G43</f>
        <v>0</v>
      </c>
      <c r="H187" s="44">
        <f t="shared" si="25"/>
        <v>364.58333333333331</v>
      </c>
    </row>
    <row r="188" spans="2:8" outlineLevel="1" x14ac:dyDescent="0.3"/>
    <row r="189" spans="2:8" outlineLevel="1" x14ac:dyDescent="0.3">
      <c r="B189" s="3" t="s">
        <v>2</v>
      </c>
      <c r="C189" s="3" t="s">
        <v>157</v>
      </c>
      <c r="D189" s="3"/>
      <c r="E189" s="4" t="s">
        <v>4</v>
      </c>
      <c r="F189" s="4" t="s">
        <v>5</v>
      </c>
      <c r="G189" s="4" t="s">
        <v>6</v>
      </c>
      <c r="H189" s="4" t="s">
        <v>7</v>
      </c>
    </row>
    <row r="190" spans="2:8" outlineLevel="1" x14ac:dyDescent="0.3">
      <c r="C190" s="5" t="s">
        <v>27</v>
      </c>
      <c r="D190" s="2" t="s">
        <v>78</v>
      </c>
      <c r="E190" s="44">
        <f>E18*E6</f>
        <v>7500</v>
      </c>
      <c r="F190" s="44">
        <f>F18*F6</f>
        <v>7500</v>
      </c>
      <c r="G190" s="44">
        <f>G18*G6</f>
        <v>7500</v>
      </c>
      <c r="H190" s="44">
        <f t="shared" ref="H190:H200" si="26">SUM(E190:G190)</f>
        <v>22500</v>
      </c>
    </row>
    <row r="191" spans="2:8" outlineLevel="1" x14ac:dyDescent="0.3">
      <c r="C191" s="5" t="s">
        <v>158</v>
      </c>
      <c r="D191" s="2" t="s">
        <v>78</v>
      </c>
      <c r="E191" s="44">
        <f>SUM(E60:E64)</f>
        <v>12096.543019178083</v>
      </c>
      <c r="F191" s="44">
        <f>SUM(F60:F64)</f>
        <v>6470.7780821917804</v>
      </c>
      <c r="G191" s="44">
        <f>SUM(G60:G64)</f>
        <v>6470.7780821917804</v>
      </c>
      <c r="H191" s="44">
        <f t="shared" si="26"/>
        <v>25038.099183561644</v>
      </c>
    </row>
    <row r="192" spans="2:8" outlineLevel="1" x14ac:dyDescent="0.3">
      <c r="C192" s="1" t="s">
        <v>159</v>
      </c>
      <c r="D192" s="2" t="s">
        <v>78</v>
      </c>
      <c r="E192" s="46">
        <f>E190+E191</f>
        <v>19596.543019178083</v>
      </c>
      <c r="F192" s="46">
        <f>F190+F191</f>
        <v>13970.77808219178</v>
      </c>
      <c r="G192" s="46">
        <f>G190+G191</f>
        <v>13970.77808219178</v>
      </c>
      <c r="H192" s="46">
        <f t="shared" si="26"/>
        <v>47538.099183561644</v>
      </c>
    </row>
    <row r="193" spans="3:12" outlineLevel="1" x14ac:dyDescent="0.3">
      <c r="C193" s="5" t="s">
        <v>160</v>
      </c>
      <c r="D193" s="2" t="s">
        <v>78</v>
      </c>
      <c r="E193" s="44">
        <f>-MIN(E192,Sale_Costs)</f>
        <v>-250</v>
      </c>
      <c r="F193" s="44">
        <f>-MIN(F192,Sale_Costs)</f>
        <v>-250</v>
      </c>
      <c r="G193" s="44">
        <f>-MIN(G192,Sale_Costs)</f>
        <v>-250</v>
      </c>
      <c r="H193" s="44">
        <f t="shared" si="26"/>
        <v>-750</v>
      </c>
    </row>
    <row r="194" spans="3:12" outlineLevel="1" x14ac:dyDescent="0.3">
      <c r="C194" s="5" t="s">
        <v>161</v>
      </c>
      <c r="D194" s="2" t="s">
        <v>78</v>
      </c>
      <c r="E194" s="44">
        <f>-MIN(SUM(E192:E193),E191)</f>
        <v>-12096.543019178083</v>
      </c>
      <c r="F194" s="44">
        <f>-MIN(SUM(F192:F193),F191)</f>
        <v>-6470.7780821917804</v>
      </c>
      <c r="G194" s="44">
        <f>-MIN(SUM(G192:G193),G191)</f>
        <v>-6470.7780821917804</v>
      </c>
      <c r="H194" s="44">
        <f t="shared" si="26"/>
        <v>-25038.099183561644</v>
      </c>
    </row>
    <row r="195" spans="3:12" outlineLevel="1" x14ac:dyDescent="0.3">
      <c r="C195" s="5" t="s">
        <v>162</v>
      </c>
      <c r="D195" s="2" t="s">
        <v>78</v>
      </c>
      <c r="E195" s="44">
        <f>-MIN(SUM(E192:E194),SUM(E179:E184))</f>
        <v>-1585.2327512425609</v>
      </c>
      <c r="F195" s="68">
        <f>-MIN(SUM(F192:F194),SUM(F179:F184))</f>
        <v>-1333.64701704188</v>
      </c>
      <c r="G195" s="44">
        <f>-MIN(SUM(G192:G194),SUM(G179:G184))</f>
        <v>-1333.64701704188</v>
      </c>
      <c r="H195" s="44">
        <f t="shared" si="26"/>
        <v>-4252.5267853263204</v>
      </c>
    </row>
    <row r="196" spans="3:12" outlineLevel="1" x14ac:dyDescent="0.3">
      <c r="C196" s="5" t="s">
        <v>163</v>
      </c>
      <c r="D196" s="2" t="s">
        <v>78</v>
      </c>
      <c r="E196" s="44">
        <f>-MIN(SUM(E192:E195),E185)</f>
        <v>-784.47</v>
      </c>
      <c r="F196" s="68">
        <f>-MIN(SUM(F192:F195),F185)</f>
        <v>-1000.0000000000001</v>
      </c>
      <c r="G196" s="44">
        <f>-MIN(SUM(G192:G195),G185)</f>
        <v>-1000.0000000000001</v>
      </c>
      <c r="H196" s="44">
        <f t="shared" si="26"/>
        <v>-2784.4700000000003</v>
      </c>
    </row>
    <row r="197" spans="3:12" outlineLevel="1" x14ac:dyDescent="0.3">
      <c r="C197" s="5" t="s">
        <v>164</v>
      </c>
      <c r="D197" s="2" t="s">
        <v>78</v>
      </c>
      <c r="E197" s="44">
        <f>-MIN(SUM(E192:E196),E187)</f>
        <v>-364.58333333333331</v>
      </c>
      <c r="F197" s="44">
        <f>-MIN(SUM(F192:F196),F187)</f>
        <v>0</v>
      </c>
      <c r="G197" s="44">
        <f>-MIN(SUM(G192:G196),G187)</f>
        <v>0</v>
      </c>
      <c r="H197" s="44">
        <f t="shared" si="26"/>
        <v>-364.58333333333331</v>
      </c>
    </row>
    <row r="198" spans="3:12" outlineLevel="1" x14ac:dyDescent="0.3">
      <c r="C198" s="1" t="s">
        <v>165</v>
      </c>
      <c r="D198" s="2" t="s">
        <v>78</v>
      </c>
      <c r="E198" s="52">
        <f>SUM(E192:E197)</f>
        <v>4515.7139154241058</v>
      </c>
      <c r="F198" s="52">
        <f>SUM(F192:F197)</f>
        <v>4916.3529829581203</v>
      </c>
      <c r="G198" s="52">
        <f>SUM(G192:G197)</f>
        <v>4916.3529829581203</v>
      </c>
      <c r="H198" s="52">
        <f t="shared" si="26"/>
        <v>14348.419881340345</v>
      </c>
    </row>
    <row r="199" spans="3:12" outlineLevel="1" x14ac:dyDescent="0.3">
      <c r="C199" s="5" t="s">
        <v>166</v>
      </c>
      <c r="D199" s="2" t="s">
        <v>78</v>
      </c>
      <c r="E199" s="44">
        <f>E198*E19</f>
        <v>3160.999740796874</v>
      </c>
      <c r="F199" s="44">
        <f>F198*F19</f>
        <v>4916.3529829581203</v>
      </c>
      <c r="G199" s="44">
        <f>G198*G19</f>
        <v>4916.3529829581203</v>
      </c>
      <c r="H199" s="44">
        <f t="shared" si="26"/>
        <v>12993.705706713114</v>
      </c>
    </row>
    <row r="200" spans="3:12" outlineLevel="1" x14ac:dyDescent="0.3">
      <c r="C200" s="5" t="s">
        <v>167</v>
      </c>
      <c r="D200" s="2" t="s">
        <v>78</v>
      </c>
      <c r="E200" s="44">
        <f>E198-E199</f>
        <v>1354.7141746272318</v>
      </c>
      <c r="F200" s="44">
        <f>F198-F199</f>
        <v>0</v>
      </c>
      <c r="G200" s="44">
        <f>G198-G199</f>
        <v>0</v>
      </c>
      <c r="H200" s="44">
        <f t="shared" si="26"/>
        <v>1354.7141746272318</v>
      </c>
    </row>
    <row r="201" spans="3:12" outlineLevel="1" x14ac:dyDescent="0.3"/>
    <row r="202" spans="3:12" outlineLevel="1" x14ac:dyDescent="0.3">
      <c r="C202" s="9" t="s">
        <v>168</v>
      </c>
      <c r="D202" s="9"/>
      <c r="E202" s="10" t="s">
        <v>4</v>
      </c>
      <c r="F202" s="10" t="s">
        <v>5</v>
      </c>
      <c r="G202" s="10" t="s">
        <v>6</v>
      </c>
      <c r="H202" s="10" t="s">
        <v>7</v>
      </c>
      <c r="J202" s="10" t="s">
        <v>68</v>
      </c>
      <c r="K202" s="10" t="s">
        <v>5</v>
      </c>
      <c r="L202" s="10" t="s">
        <v>6</v>
      </c>
    </row>
    <row r="203" spans="3:12" outlineLevel="1" x14ac:dyDescent="0.3">
      <c r="C203" s="5" t="s">
        <v>80</v>
      </c>
      <c r="D203" s="2" t="s">
        <v>78</v>
      </c>
      <c r="E203" s="44">
        <f>-E66</f>
        <v>-100</v>
      </c>
      <c r="F203" s="68">
        <f>-F66</f>
        <v>-150</v>
      </c>
      <c r="G203" s="44">
        <f>-G66</f>
        <v>-150</v>
      </c>
      <c r="H203" s="44">
        <f t="shared" ref="H203:H214" si="27">SUM(E203:G203)</f>
        <v>-400</v>
      </c>
      <c r="J203" s="8">
        <f>Inputs!E$26</f>
        <v>46234</v>
      </c>
      <c r="K203" s="70">
        <f>Inputs!F$26</f>
        <v>46234</v>
      </c>
      <c r="L203" s="8">
        <f>Inputs!G$26</f>
        <v>46234</v>
      </c>
    </row>
    <row r="204" spans="3:12" outlineLevel="1" x14ac:dyDescent="0.3">
      <c r="C204" s="5" t="s">
        <v>69</v>
      </c>
      <c r="D204" s="2" t="s">
        <v>78</v>
      </c>
      <c r="E204" s="48">
        <f t="shared" ref="E204:G210" si="28">-E59</f>
        <v>-8.2191780821917799</v>
      </c>
      <c r="F204" s="67">
        <f t="shared" si="28"/>
        <v>-8.2191780821917799</v>
      </c>
      <c r="G204" s="48">
        <f t="shared" si="28"/>
        <v>-8.2191780821917799</v>
      </c>
      <c r="H204" s="48">
        <f t="shared" si="27"/>
        <v>-24.657534246575338</v>
      </c>
      <c r="J204" s="8">
        <f>Inputs!E$27</f>
        <v>46325</v>
      </c>
      <c r="K204" s="70">
        <f>Inputs!F$27</f>
        <v>46325</v>
      </c>
      <c r="L204" s="8">
        <f>Inputs!G$27</f>
        <v>46325</v>
      </c>
    </row>
    <row r="205" spans="3:12" outlineLevel="1" x14ac:dyDescent="0.3">
      <c r="C205" s="5" t="s">
        <v>71</v>
      </c>
      <c r="D205" s="2" t="s">
        <v>78</v>
      </c>
      <c r="E205" s="44">
        <f t="shared" si="28"/>
        <v>-278.08219178082197</v>
      </c>
      <c r="F205" s="68">
        <f t="shared" si="28"/>
        <v>-498.90410958904107</v>
      </c>
      <c r="G205" s="44">
        <f t="shared" si="28"/>
        <v>-498.90410958904107</v>
      </c>
      <c r="H205" s="44">
        <f t="shared" si="27"/>
        <v>-1275.8904109589041</v>
      </c>
      <c r="J205" s="8">
        <f>Inputs!E$27</f>
        <v>46325</v>
      </c>
      <c r="K205" s="70">
        <f>Inputs!F$27</f>
        <v>46325</v>
      </c>
      <c r="L205" s="8">
        <f>Inputs!G$27</f>
        <v>46325</v>
      </c>
    </row>
    <row r="206" spans="3:12" outlineLevel="1" x14ac:dyDescent="0.3">
      <c r="C206" s="5" t="s">
        <v>169</v>
      </c>
      <c r="D206" s="2" t="s">
        <v>78</v>
      </c>
      <c r="E206" s="44">
        <f t="shared" si="28"/>
        <v>-1112.3287671232879</v>
      </c>
      <c r="F206" s="68">
        <f t="shared" si="28"/>
        <v>-1995.6164383561643</v>
      </c>
      <c r="G206" s="44">
        <f t="shared" si="28"/>
        <v>-1995.6164383561643</v>
      </c>
      <c r="H206" s="44">
        <f t="shared" si="27"/>
        <v>-5103.5616438356165</v>
      </c>
      <c r="J206" s="8">
        <f>Inputs!E$28</f>
        <v>46402</v>
      </c>
      <c r="K206" s="70">
        <f>Inputs!F$28</f>
        <v>46402</v>
      </c>
      <c r="L206" s="8">
        <f>Inputs!G$28</f>
        <v>46402</v>
      </c>
    </row>
    <row r="207" spans="3:12" outlineLevel="1" x14ac:dyDescent="0.3">
      <c r="C207" s="5" t="s">
        <v>73</v>
      </c>
      <c r="D207" s="2" t="s">
        <v>78</v>
      </c>
      <c r="E207" s="44">
        <f t="shared" si="28"/>
        <v>-616.43835616438355</v>
      </c>
      <c r="F207" s="68">
        <f t="shared" si="28"/>
        <v>-616.43835616438355</v>
      </c>
      <c r="G207" s="44">
        <f t="shared" si="28"/>
        <v>-616.43835616438355</v>
      </c>
      <c r="H207" s="44">
        <f t="shared" si="27"/>
        <v>-1849.3150684931506</v>
      </c>
      <c r="J207" s="8">
        <f>Inputs!E$29</f>
        <v>46402</v>
      </c>
      <c r="K207" s="70">
        <f>Inputs!F$29</f>
        <v>46402</v>
      </c>
      <c r="L207" s="8">
        <f>Inputs!G$29</f>
        <v>46402</v>
      </c>
    </row>
    <row r="208" spans="3:12" outlineLevel="1" x14ac:dyDescent="0.3">
      <c r="C208" s="5" t="s">
        <v>79</v>
      </c>
      <c r="D208" s="2" t="s">
        <v>78</v>
      </c>
      <c r="E208" s="44">
        <f t="shared" si="28"/>
        <v>-696.36411506849322</v>
      </c>
      <c r="F208" s="68">
        <f t="shared" si="28"/>
        <v>-1260.2739726027396</v>
      </c>
      <c r="G208" s="44">
        <f t="shared" si="28"/>
        <v>-1260.2739726027396</v>
      </c>
      <c r="H208" s="44">
        <f t="shared" si="27"/>
        <v>-3216.9120602739722</v>
      </c>
      <c r="J208" s="8">
        <f>Inputs!E$30</f>
        <v>47027</v>
      </c>
      <c r="K208" s="70">
        <f>Inputs!F$30</f>
        <v>47027</v>
      </c>
      <c r="L208" s="8">
        <f>Inputs!G$30</f>
        <v>47027</v>
      </c>
    </row>
    <row r="209" spans="2:12" outlineLevel="1" x14ac:dyDescent="0.3">
      <c r="C209" s="5" t="s">
        <v>170</v>
      </c>
      <c r="D209" s="2" t="s">
        <v>78</v>
      </c>
      <c r="E209" s="44">
        <f t="shared" si="28"/>
        <v>-9393.3295890410955</v>
      </c>
      <c r="F209" s="68">
        <f t="shared" si="28"/>
        <v>-2099.5452054794519</v>
      </c>
      <c r="G209" s="44">
        <f t="shared" si="28"/>
        <v>-2099.5452054794519</v>
      </c>
      <c r="H209" s="44">
        <f t="shared" si="27"/>
        <v>-13592.419999999998</v>
      </c>
      <c r="J209" s="8">
        <f>Inputs!E$30</f>
        <v>47027</v>
      </c>
      <c r="K209" s="70">
        <f>Inputs!F$30</f>
        <v>47027</v>
      </c>
      <c r="L209" s="8">
        <f>Inputs!G$30</f>
        <v>47027</v>
      </c>
    </row>
    <row r="210" spans="2:12" outlineLevel="1" x14ac:dyDescent="0.3">
      <c r="C210" s="5" t="s">
        <v>171</v>
      </c>
      <c r="D210" s="2" t="s">
        <v>78</v>
      </c>
      <c r="E210" s="44">
        <f t="shared" si="28"/>
        <v>-784.47</v>
      </c>
      <c r="F210" s="68">
        <f t="shared" si="28"/>
        <v>-1000.0000000000001</v>
      </c>
      <c r="G210" s="44">
        <f t="shared" si="28"/>
        <v>-1000.0000000000001</v>
      </c>
      <c r="H210" s="44">
        <f t="shared" si="27"/>
        <v>-2784.4700000000003</v>
      </c>
      <c r="J210" s="8">
        <f>Inputs!E$31</f>
        <v>46752</v>
      </c>
      <c r="K210" s="70">
        <f>Inputs!F$31</f>
        <v>46752</v>
      </c>
      <c r="L210" s="8">
        <f>Inputs!G$31</f>
        <v>46752</v>
      </c>
    </row>
    <row r="211" spans="2:12" outlineLevel="1" x14ac:dyDescent="0.3">
      <c r="C211" s="1" t="s">
        <v>172</v>
      </c>
      <c r="D211" s="2" t="s">
        <v>78</v>
      </c>
      <c r="E211" s="46">
        <f>E199-SUM(E194:E196)</f>
        <v>17627.245511217519</v>
      </c>
      <c r="F211" s="69">
        <f>F199-SUM(F194:F196)</f>
        <v>13720.77808219178</v>
      </c>
      <c r="G211" s="46">
        <f>G199-SUM(G194:G196)</f>
        <v>13720.77808219178</v>
      </c>
      <c r="H211" s="46">
        <f t="shared" si="27"/>
        <v>45068.801675601077</v>
      </c>
      <c r="J211" s="8">
        <f>Sale_Date</f>
        <v>47391</v>
      </c>
      <c r="K211" s="70">
        <f>Sale_Date</f>
        <v>47391</v>
      </c>
      <c r="L211" s="8">
        <f>Sale_Date</f>
        <v>47391</v>
      </c>
    </row>
    <row r="212" spans="2:12" outlineLevel="1" x14ac:dyDescent="0.3">
      <c r="C212" s="1" t="s">
        <v>110</v>
      </c>
      <c r="D212" s="2" t="s">
        <v>78</v>
      </c>
      <c r="E212" s="73">
        <f>SUM(E203:E211)</f>
        <v>4638.0133139572463</v>
      </c>
      <c r="F212" s="73">
        <f>SUM(F203:F211)</f>
        <v>6091.7808219178078</v>
      </c>
      <c r="G212" s="52">
        <f>SUM(G203:G211)</f>
        <v>6091.7808219178078</v>
      </c>
      <c r="H212" s="52">
        <f t="shared" si="27"/>
        <v>16821.574957792862</v>
      </c>
    </row>
    <row r="213" spans="2:12" outlineLevel="1" x14ac:dyDescent="0.3">
      <c r="C213" s="5" t="s">
        <v>423</v>
      </c>
      <c r="D213" s="2" t="s">
        <v>78</v>
      </c>
      <c r="E213" s="44">
        <f>-IF(Share_Exempt=1,MAX(0,-(E195+E196)),MAX(0,E212))*CIT_Rate</f>
        <v>-355.45541268638414</v>
      </c>
      <c r="F213" s="68">
        <f>-IF(Share_Exempt=1,MAX(0,-(F195+F196)),MAX(0,F212))*CIT_Rate</f>
        <v>-350.04705255628204</v>
      </c>
      <c r="G213" s="44">
        <f>-IF(Share_Exempt=1,MAX(0,-(G195+G196)),MAX(0,G212))*CIT_Rate</f>
        <v>-350.04705255628204</v>
      </c>
      <c r="H213" s="44">
        <f t="shared" si="27"/>
        <v>-1055.5495177989483</v>
      </c>
    </row>
    <row r="214" spans="2:12" outlineLevel="1" x14ac:dyDescent="0.3">
      <c r="C214" s="1" t="s">
        <v>111</v>
      </c>
      <c r="D214" s="2" t="s">
        <v>78</v>
      </c>
      <c r="E214" s="46">
        <f>E212+E213</f>
        <v>4282.5579012708622</v>
      </c>
      <c r="F214" s="69">
        <f>F212+F213</f>
        <v>5741.7337693615254</v>
      </c>
      <c r="G214" s="46">
        <f>G212+G213</f>
        <v>5741.7337693615254</v>
      </c>
      <c r="H214" s="46">
        <f t="shared" si="27"/>
        <v>15766.025439993915</v>
      </c>
    </row>
    <row r="215" spans="2:12" outlineLevel="1" x14ac:dyDescent="0.3"/>
    <row r="216" spans="2:12" outlineLevel="1" x14ac:dyDescent="0.3">
      <c r="B216" s="3" t="s">
        <v>2</v>
      </c>
      <c r="C216" s="3" t="s">
        <v>393</v>
      </c>
      <c r="D216" s="3"/>
      <c r="E216" s="4" t="s">
        <v>4</v>
      </c>
      <c r="F216" s="4" t="s">
        <v>5</v>
      </c>
      <c r="G216" s="4" t="s">
        <v>6</v>
      </c>
      <c r="H216" s="4" t="s">
        <v>7</v>
      </c>
    </row>
    <row r="217" spans="2:12" outlineLevel="1" x14ac:dyDescent="0.3">
      <c r="C217" s="5" t="s">
        <v>394</v>
      </c>
      <c r="D217" s="2" t="s">
        <v>78</v>
      </c>
      <c r="E217" s="68">
        <f>E63+E64</f>
        <v>10089.693704109588</v>
      </c>
      <c r="F217" s="44">
        <f>F63+F64</f>
        <v>3359.8191780821917</v>
      </c>
      <c r="G217" s="44">
        <f>G63+G64</f>
        <v>3359.8191780821917</v>
      </c>
      <c r="H217" s="44">
        <f>SUM(E217:G217)</f>
        <v>16809.33206027397</v>
      </c>
    </row>
    <row r="218" spans="2:12" outlineLevel="1" x14ac:dyDescent="0.3">
      <c r="C218" s="5" t="s">
        <v>395</v>
      </c>
      <c r="D218" s="2" t="s">
        <v>78</v>
      </c>
      <c r="E218" s="44">
        <f>E67-E217</f>
        <v>2899.5384931506851</v>
      </c>
      <c r="F218" s="44">
        <f>F67-F217</f>
        <v>4269.178082191781</v>
      </c>
      <c r="G218" s="44">
        <f>G67-G217</f>
        <v>4269.178082191781</v>
      </c>
      <c r="H218" s="44">
        <f>SUM(E218:G218)</f>
        <v>11437.894657534247</v>
      </c>
    </row>
    <row r="219" spans="2:12" outlineLevel="1" x14ac:dyDescent="0.3">
      <c r="C219" s="5" t="s">
        <v>396</v>
      </c>
      <c r="D219" s="2" t="s">
        <v>78</v>
      </c>
      <c r="E219" s="44">
        <f>E186-E183-E184</f>
        <v>1445.9579657804034</v>
      </c>
      <c r="F219" s="44">
        <f t="shared" ref="F219:G219" si="29">F186-F183-F184</f>
        <v>2026.0444736083707</v>
      </c>
      <c r="G219" s="44">
        <f t="shared" si="29"/>
        <v>2026.0444736083707</v>
      </c>
      <c r="H219" s="44">
        <f>SUM(E219:G219)</f>
        <v>5498.0469129971452</v>
      </c>
    </row>
    <row r="220" spans="2:12" outlineLevel="1" x14ac:dyDescent="0.3">
      <c r="C220" s="22" t="s">
        <v>397</v>
      </c>
      <c r="D220" s="9"/>
      <c r="E220" s="10"/>
      <c r="F220" s="10"/>
      <c r="G220" s="10"/>
      <c r="H220" s="10"/>
    </row>
    <row r="221" spans="2:12" outlineLevel="1" x14ac:dyDescent="0.3">
      <c r="C221" s="5" t="s">
        <v>27</v>
      </c>
      <c r="D221" s="2" t="s">
        <v>78</v>
      </c>
      <c r="E221" s="44">
        <f>E190</f>
        <v>7500</v>
      </c>
      <c r="F221" s="44">
        <f t="shared" ref="F221:G221" si="30">F190</f>
        <v>7500</v>
      </c>
      <c r="G221" s="44">
        <f t="shared" si="30"/>
        <v>7500</v>
      </c>
      <c r="H221" s="44">
        <f t="shared" ref="H221:H231" si="31">SUM(E221:G221)</f>
        <v>22500</v>
      </c>
    </row>
    <row r="222" spans="2:12" outlineLevel="1" x14ac:dyDescent="0.3">
      <c r="C222" s="5" t="s">
        <v>398</v>
      </c>
      <c r="D222" s="2" t="s">
        <v>78</v>
      </c>
      <c r="E222" s="44">
        <f>SUM(E60:E62)</f>
        <v>2006.8493150684935</v>
      </c>
      <c r="F222" s="44">
        <f>SUM(F60:F62)</f>
        <v>3110.9589041095887</v>
      </c>
      <c r="G222" s="44">
        <f>SUM(G60:G62)</f>
        <v>3110.9589041095887</v>
      </c>
      <c r="H222" s="44">
        <f t="shared" si="31"/>
        <v>8228.767123287671</v>
      </c>
    </row>
    <row r="223" spans="2:12" outlineLevel="1" x14ac:dyDescent="0.3">
      <c r="C223" s="5" t="s">
        <v>159</v>
      </c>
      <c r="D223" s="2" t="s">
        <v>78</v>
      </c>
      <c r="E223" s="44">
        <f>E221+E222</f>
        <v>9506.8493150684935</v>
      </c>
      <c r="F223" s="44">
        <f t="shared" ref="F223:G223" si="32">F221+F222</f>
        <v>10610.95890410959</v>
      </c>
      <c r="G223" s="44">
        <f t="shared" si="32"/>
        <v>10610.95890410959</v>
      </c>
      <c r="H223" s="44">
        <f t="shared" si="31"/>
        <v>30728.767123287675</v>
      </c>
    </row>
    <row r="224" spans="2:12" outlineLevel="1" x14ac:dyDescent="0.3">
      <c r="C224" s="5" t="s">
        <v>160</v>
      </c>
      <c r="D224" s="2" t="s">
        <v>78</v>
      </c>
      <c r="E224" s="44">
        <f>-MIN(E223,Sale_Costs)</f>
        <v>-250</v>
      </c>
      <c r="F224" s="44">
        <f>-MIN(F223,Sale_Costs)</f>
        <v>-250</v>
      </c>
      <c r="G224" s="44">
        <f>-MIN(G223,Sale_Costs)</f>
        <v>-250</v>
      </c>
      <c r="H224" s="44">
        <f t="shared" si="31"/>
        <v>-750</v>
      </c>
    </row>
    <row r="225" spans="3:12" outlineLevel="1" x14ac:dyDescent="0.3">
      <c r="C225" s="5" t="s">
        <v>399</v>
      </c>
      <c r="D225" s="2" t="s">
        <v>78</v>
      </c>
      <c r="E225" s="44">
        <f>-MIN(SUM(E223:E224),E222)</f>
        <v>-2006.8493150684935</v>
      </c>
      <c r="F225" s="44">
        <f t="shared" ref="F225:G225" si="33">-MIN(SUM(F223:F224),F222)</f>
        <v>-3110.9589041095887</v>
      </c>
      <c r="G225" s="44">
        <f t="shared" si="33"/>
        <v>-3110.9589041095887</v>
      </c>
      <c r="H225" s="44">
        <f t="shared" si="31"/>
        <v>-8228.767123287671</v>
      </c>
    </row>
    <row r="226" spans="3:12" outlineLevel="1" x14ac:dyDescent="0.3">
      <c r="C226" s="5" t="s">
        <v>162</v>
      </c>
      <c r="D226" s="2" t="s">
        <v>78</v>
      </c>
      <c r="E226" s="44">
        <f>-MIN(SUM(E223:E225),SUM(E179:E182))</f>
        <v>-661.4879657804031</v>
      </c>
      <c r="F226" s="44">
        <f t="shared" ref="F226:G226" si="34">-MIN(SUM(F223:F225),SUM(F179:F182))</f>
        <v>-1026.0444736083705</v>
      </c>
      <c r="G226" s="44">
        <f t="shared" si="34"/>
        <v>-1026.0444736083705</v>
      </c>
      <c r="H226" s="44">
        <f t="shared" si="31"/>
        <v>-2713.5769129971441</v>
      </c>
    </row>
    <row r="227" spans="3:12" outlineLevel="1" x14ac:dyDescent="0.3">
      <c r="C227" s="5" t="s">
        <v>163</v>
      </c>
      <c r="D227" s="2" t="s">
        <v>78</v>
      </c>
      <c r="E227" s="44">
        <f>-MIN(SUM(E223:E226),E185)</f>
        <v>-784.47</v>
      </c>
      <c r="F227" s="44">
        <f t="shared" ref="F227:G227" si="35">-MIN(SUM(F223:F226),F185)</f>
        <v>-1000.0000000000001</v>
      </c>
      <c r="G227" s="44">
        <f t="shared" si="35"/>
        <v>-1000.0000000000001</v>
      </c>
      <c r="H227" s="44">
        <f t="shared" si="31"/>
        <v>-2784.4700000000003</v>
      </c>
    </row>
    <row r="228" spans="3:12" outlineLevel="1" x14ac:dyDescent="0.3">
      <c r="C228" s="5" t="s">
        <v>164</v>
      </c>
      <c r="D228" s="2" t="s">
        <v>78</v>
      </c>
      <c r="E228" s="44">
        <f>-MIN(SUM(E223:E227),E187)</f>
        <v>-364.58333333333331</v>
      </c>
      <c r="F228" s="44">
        <f t="shared" ref="F228:G228" si="36">-MIN(SUM(F223:F227),F187)</f>
        <v>0</v>
      </c>
      <c r="G228" s="44">
        <f t="shared" si="36"/>
        <v>0</v>
      </c>
      <c r="H228" s="44">
        <f t="shared" si="31"/>
        <v>-364.58333333333331</v>
      </c>
    </row>
    <row r="229" spans="3:12" outlineLevel="1" x14ac:dyDescent="0.3">
      <c r="C229" s="5" t="s">
        <v>165</v>
      </c>
      <c r="D229" s="2" t="s">
        <v>78</v>
      </c>
      <c r="E229" s="44">
        <f>SUM(E223:E228)</f>
        <v>5439.4587008862636</v>
      </c>
      <c r="F229" s="44">
        <f t="shared" ref="F229:G229" si="37">SUM(F223:F228)</f>
        <v>5223.95552639163</v>
      </c>
      <c r="G229" s="44">
        <f t="shared" si="37"/>
        <v>5223.95552639163</v>
      </c>
      <c r="H229" s="44">
        <f t="shared" si="31"/>
        <v>15887.369753669524</v>
      </c>
    </row>
    <row r="230" spans="3:12" outlineLevel="1" x14ac:dyDescent="0.3">
      <c r="C230" s="5" t="s">
        <v>166</v>
      </c>
      <c r="D230" s="2" t="s">
        <v>78</v>
      </c>
      <c r="E230" s="44">
        <f>E229*E19</f>
        <v>3807.6210906203842</v>
      </c>
      <c r="F230" s="44">
        <f>F229*F19</f>
        <v>5223.95552639163</v>
      </c>
      <c r="G230" s="44">
        <f>G229*G19</f>
        <v>5223.95552639163</v>
      </c>
      <c r="H230" s="44">
        <f t="shared" si="31"/>
        <v>14255.532143403645</v>
      </c>
    </row>
    <row r="231" spans="3:12" outlineLevel="1" x14ac:dyDescent="0.3">
      <c r="C231" s="5" t="s">
        <v>167</v>
      </c>
      <c r="D231" s="2" t="s">
        <v>78</v>
      </c>
      <c r="E231" s="44">
        <f>E229-E230</f>
        <v>1631.8376102658794</v>
      </c>
      <c r="F231" s="44">
        <f t="shared" ref="F231:G231" si="38">F229-F230</f>
        <v>0</v>
      </c>
      <c r="G231" s="44">
        <f t="shared" si="38"/>
        <v>0</v>
      </c>
      <c r="H231" s="44">
        <f t="shared" si="31"/>
        <v>1631.8376102658794</v>
      </c>
    </row>
    <row r="232" spans="3:12" outlineLevel="1" x14ac:dyDescent="0.3">
      <c r="C232" s="9" t="s">
        <v>400</v>
      </c>
      <c r="D232" s="9"/>
      <c r="E232" s="10" t="s">
        <v>4</v>
      </c>
      <c r="F232" s="10" t="s">
        <v>5</v>
      </c>
      <c r="G232" s="10" t="s">
        <v>6</v>
      </c>
      <c r="H232" s="10" t="s">
        <v>7</v>
      </c>
      <c r="J232" s="10" t="s">
        <v>68</v>
      </c>
      <c r="K232" s="10" t="s">
        <v>5</v>
      </c>
      <c r="L232" s="10" t="s">
        <v>6</v>
      </c>
    </row>
    <row r="233" spans="3:12" outlineLevel="1" x14ac:dyDescent="0.3">
      <c r="C233" s="5" t="s">
        <v>80</v>
      </c>
      <c r="D233" s="2" t="s">
        <v>78</v>
      </c>
      <c r="E233" s="44">
        <f>-E66</f>
        <v>-100</v>
      </c>
      <c r="F233" s="44">
        <f>-F66</f>
        <v>-150</v>
      </c>
      <c r="G233" s="44">
        <f>-G66</f>
        <v>-150</v>
      </c>
      <c r="H233" s="44">
        <f t="shared" ref="H233:H242" si="39">SUM(E233:G233)</f>
        <v>-400</v>
      </c>
      <c r="J233" s="8">
        <f>Inputs!E$26</f>
        <v>46234</v>
      </c>
      <c r="K233" s="8">
        <f>Inputs!F$26</f>
        <v>46234</v>
      </c>
      <c r="L233" s="8">
        <f>Inputs!G$26</f>
        <v>46234</v>
      </c>
    </row>
    <row r="234" spans="3:12" outlineLevel="1" x14ac:dyDescent="0.3">
      <c r="C234" s="5" t="s">
        <v>69</v>
      </c>
      <c r="D234" s="2" t="s">
        <v>78</v>
      </c>
      <c r="E234" s="44">
        <f t="shared" ref="E234:G237" si="40">-E59</f>
        <v>-8.2191780821917799</v>
      </c>
      <c r="F234" s="44">
        <f t="shared" si="40"/>
        <v>-8.2191780821917799</v>
      </c>
      <c r="G234" s="44">
        <f t="shared" si="40"/>
        <v>-8.2191780821917799</v>
      </c>
      <c r="H234" s="44">
        <f t="shared" si="39"/>
        <v>-24.657534246575338</v>
      </c>
      <c r="J234" s="8">
        <f>Inputs!E$27</f>
        <v>46325</v>
      </c>
      <c r="K234" s="8">
        <f>Inputs!F$27</f>
        <v>46325</v>
      </c>
      <c r="L234" s="8">
        <f>Inputs!G$27</f>
        <v>46325</v>
      </c>
    </row>
    <row r="235" spans="3:12" outlineLevel="1" x14ac:dyDescent="0.3">
      <c r="C235" s="5" t="s">
        <v>71</v>
      </c>
      <c r="D235" s="2" t="s">
        <v>78</v>
      </c>
      <c r="E235" s="44">
        <f t="shared" si="40"/>
        <v>-278.08219178082197</v>
      </c>
      <c r="F235" s="44">
        <f t="shared" si="40"/>
        <v>-498.90410958904107</v>
      </c>
      <c r="G235" s="44">
        <f t="shared" si="40"/>
        <v>-498.90410958904107</v>
      </c>
      <c r="H235" s="44">
        <f t="shared" si="39"/>
        <v>-1275.8904109589041</v>
      </c>
      <c r="J235" s="8">
        <f>Inputs!E$27</f>
        <v>46325</v>
      </c>
      <c r="K235" s="8">
        <f>Inputs!F$27</f>
        <v>46325</v>
      </c>
      <c r="L235" s="8">
        <f>Inputs!G$27</f>
        <v>46325</v>
      </c>
    </row>
    <row r="236" spans="3:12" outlineLevel="1" x14ac:dyDescent="0.3">
      <c r="C236" s="5" t="s">
        <v>169</v>
      </c>
      <c r="D236" s="2" t="s">
        <v>78</v>
      </c>
      <c r="E236" s="44">
        <f t="shared" si="40"/>
        <v>-1112.3287671232879</v>
      </c>
      <c r="F236" s="44">
        <f t="shared" si="40"/>
        <v>-1995.6164383561643</v>
      </c>
      <c r="G236" s="44">
        <f t="shared" si="40"/>
        <v>-1995.6164383561643</v>
      </c>
      <c r="H236" s="44">
        <f t="shared" si="39"/>
        <v>-5103.5616438356165</v>
      </c>
      <c r="J236" s="8">
        <f>Inputs!E$28</f>
        <v>46402</v>
      </c>
      <c r="K236" s="8">
        <f>Inputs!F$28</f>
        <v>46402</v>
      </c>
      <c r="L236" s="8">
        <f>Inputs!G$28</f>
        <v>46402</v>
      </c>
    </row>
    <row r="237" spans="3:12" outlineLevel="1" x14ac:dyDescent="0.3">
      <c r="C237" s="5" t="s">
        <v>73</v>
      </c>
      <c r="D237" s="2" t="s">
        <v>78</v>
      </c>
      <c r="E237" s="44">
        <f t="shared" si="40"/>
        <v>-616.43835616438355</v>
      </c>
      <c r="F237" s="44">
        <f t="shared" si="40"/>
        <v>-616.43835616438355</v>
      </c>
      <c r="G237" s="44">
        <f t="shared" si="40"/>
        <v>-616.43835616438355</v>
      </c>
      <c r="H237" s="44">
        <f t="shared" si="39"/>
        <v>-1849.3150684931506</v>
      </c>
      <c r="J237" s="8">
        <f>Inputs!E$29</f>
        <v>46402</v>
      </c>
      <c r="K237" s="8">
        <f>Inputs!F$29</f>
        <v>46402</v>
      </c>
      <c r="L237" s="8">
        <f>Inputs!G$29</f>
        <v>46402</v>
      </c>
    </row>
    <row r="238" spans="3:12" outlineLevel="1" x14ac:dyDescent="0.3">
      <c r="C238" s="5" t="s">
        <v>171</v>
      </c>
      <c r="D238" s="2" t="s">
        <v>78</v>
      </c>
      <c r="E238" s="44">
        <f>-E65</f>
        <v>-784.47</v>
      </c>
      <c r="F238" s="44">
        <f>-F65</f>
        <v>-1000.0000000000001</v>
      </c>
      <c r="G238" s="44">
        <f>-G65</f>
        <v>-1000.0000000000001</v>
      </c>
      <c r="H238" s="44">
        <f t="shared" si="39"/>
        <v>-2784.4700000000003</v>
      </c>
      <c r="J238" s="8">
        <f>Inputs!E$31</f>
        <v>46752</v>
      </c>
      <c r="K238" s="8">
        <f>Inputs!F$31</f>
        <v>46752</v>
      </c>
      <c r="L238" s="8">
        <f>Inputs!G$31</f>
        <v>46752</v>
      </c>
    </row>
    <row r="239" spans="3:12" outlineLevel="1" x14ac:dyDescent="0.3">
      <c r="C239" s="5" t="s">
        <v>172</v>
      </c>
      <c r="D239" s="2" t="s">
        <v>78</v>
      </c>
      <c r="E239" s="44">
        <f>E230-SUM(E225:E227)</f>
        <v>7260.428371469281</v>
      </c>
      <c r="F239" s="44">
        <f t="shared" ref="F239:G239" si="41">F230-SUM(F225:F227)</f>
        <v>10360.95890410959</v>
      </c>
      <c r="G239" s="44">
        <f t="shared" si="41"/>
        <v>10360.95890410959</v>
      </c>
      <c r="H239" s="44">
        <f t="shared" si="39"/>
        <v>27982.346179688459</v>
      </c>
      <c r="J239" s="8">
        <f>Sale_Date</f>
        <v>47391</v>
      </c>
      <c r="K239" s="8">
        <f>Sale_Date</f>
        <v>47391</v>
      </c>
      <c r="L239" s="8">
        <f>Sale_Date</f>
        <v>47391</v>
      </c>
    </row>
    <row r="240" spans="3:12" outlineLevel="1" x14ac:dyDescent="0.3">
      <c r="C240" s="19" t="s">
        <v>110</v>
      </c>
      <c r="D240" s="20" t="s">
        <v>78</v>
      </c>
      <c r="E240" s="74">
        <f>SUM(E233:E239)</f>
        <v>4360.8898783185959</v>
      </c>
      <c r="F240" s="62">
        <f t="shared" ref="F240:G240" si="42">SUM(F233:F239)</f>
        <v>6091.7808219178087</v>
      </c>
      <c r="G240" s="62">
        <f t="shared" si="42"/>
        <v>6091.7808219178087</v>
      </c>
      <c r="H240" s="62">
        <f t="shared" si="39"/>
        <v>16544.451522154213</v>
      </c>
    </row>
    <row r="241" spans="2:45" outlineLevel="1" x14ac:dyDescent="0.3">
      <c r="C241" s="1" t="s">
        <v>423</v>
      </c>
      <c r="D241" s="2" t="s">
        <v>78</v>
      </c>
      <c r="E241" s="52">
        <f>-IF(Share_Exempt=1,MAX(0,-(E226+E227)),MAX(0,E240))*CIT_Rate</f>
        <v>-216.89369486706047</v>
      </c>
      <c r="F241" s="52">
        <f>-IF(Share_Exempt=1,MAX(0,-(F226+F227)),MAX(0,F240))*CIT_Rate</f>
        <v>-303.90667104125555</v>
      </c>
      <c r="G241" s="52">
        <f>-IF(Share_Exempt=1,MAX(0,-(G226+G227)),MAX(0,G240))*CIT_Rate</f>
        <v>-303.90667104125555</v>
      </c>
      <c r="H241" s="52">
        <f t="shared" si="39"/>
        <v>-824.7070369495716</v>
      </c>
    </row>
    <row r="242" spans="2:45" outlineLevel="1" x14ac:dyDescent="0.3">
      <c r="C242" s="19" t="s">
        <v>111</v>
      </c>
      <c r="D242" s="20" t="s">
        <v>78</v>
      </c>
      <c r="E242" s="62">
        <f>E240+E241</f>
        <v>4143.9961834515352</v>
      </c>
      <c r="F242" s="62">
        <f t="shared" ref="F242:G242" si="43">F240+F241</f>
        <v>5787.8741508765534</v>
      </c>
      <c r="G242" s="62">
        <f t="shared" si="43"/>
        <v>5787.8741508765534</v>
      </c>
      <c r="H242" s="62">
        <f t="shared" si="39"/>
        <v>15719.744485204643</v>
      </c>
    </row>
    <row r="243" spans="2:45" outlineLevel="1" x14ac:dyDescent="0.3">
      <c r="C243" s="5" t="s">
        <v>112</v>
      </c>
      <c r="D243" s="2" t="s">
        <v>2</v>
      </c>
      <c r="E243" s="56">
        <f>SUMIF(E233:E239,"&gt;0")/-SUMIF(E233:E239,"&lt;0")</f>
        <v>2.5039944765761613</v>
      </c>
      <c r="F243" s="56">
        <f t="shared" ref="F243:G243" si="44">SUMIF(F233:F239,"&gt;0")/-SUMIF(F233:F239,"&lt;0")</f>
        <v>2.4269212257339965</v>
      </c>
      <c r="G243" s="56">
        <f t="shared" si="44"/>
        <v>2.4269212257339965</v>
      </c>
      <c r="H243" s="56">
        <f>SUMIF(H233:H239,"&gt;0")/-SUMIF(H233:H239,"&lt;0")</f>
        <v>2.4464595117822863</v>
      </c>
    </row>
    <row r="244" spans="2:45" outlineLevel="1" x14ac:dyDescent="0.3">
      <c r="C244" s="5" t="s">
        <v>113</v>
      </c>
      <c r="D244" s="2" t="s">
        <v>11</v>
      </c>
      <c r="E244" s="57">
        <f>XIRR(E233:E239,J233:J239)</f>
        <v>0.43872876763343815</v>
      </c>
      <c r="F244" s="57">
        <f t="shared" ref="F244:G244" si="45">XIRR(F233:F239,K233:K239)</f>
        <v>0.41424058079719539</v>
      </c>
      <c r="G244" s="57">
        <f t="shared" si="45"/>
        <v>0.41424058079719539</v>
      </c>
    </row>
    <row r="245" spans="2:45" outlineLevel="1" x14ac:dyDescent="0.3">
      <c r="C245" s="26" t="s">
        <v>401</v>
      </c>
      <c r="D245" s="27" t="s">
        <v>78</v>
      </c>
      <c r="E245" s="68">
        <f>E240-E212</f>
        <v>-277.12343563865034</v>
      </c>
      <c r="F245" s="44">
        <f t="shared" ref="F245:G245" si="46">F240-F212</f>
        <v>0</v>
      </c>
      <c r="G245" s="44">
        <f t="shared" si="46"/>
        <v>0</v>
      </c>
      <c r="H245" s="44">
        <f>SUM(E245:G245)</f>
        <v>-277.12343563865034</v>
      </c>
    </row>
    <row r="246" spans="2:45" outlineLevel="1" x14ac:dyDescent="0.3"/>
    <row r="247" spans="2:45" outlineLevel="1" x14ac:dyDescent="0.3">
      <c r="B247" s="3" t="s">
        <v>2</v>
      </c>
      <c r="C247" s="3" t="s">
        <v>173</v>
      </c>
      <c r="D247" s="3"/>
      <c r="E247" s="4"/>
      <c r="F247" s="4"/>
      <c r="G247" s="4"/>
      <c r="H247" s="4" t="s">
        <v>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2:45" outlineLevel="1" x14ac:dyDescent="0.3">
      <c r="C248" s="5" t="s">
        <v>123</v>
      </c>
      <c r="D248" s="2" t="s">
        <v>124</v>
      </c>
      <c r="J248" s="61">
        <f t="shared" ref="J248:AS248" si="47">First_Year+COLUMN()-COLUMN($J$1)</f>
        <v>2026</v>
      </c>
      <c r="K248" s="61">
        <f t="shared" si="47"/>
        <v>2027</v>
      </c>
      <c r="L248" s="61">
        <f t="shared" si="47"/>
        <v>2028</v>
      </c>
      <c r="M248" s="61">
        <f t="shared" si="47"/>
        <v>2029</v>
      </c>
      <c r="N248" s="61">
        <f t="shared" si="47"/>
        <v>2030</v>
      </c>
      <c r="O248" s="61">
        <f t="shared" si="47"/>
        <v>2031</v>
      </c>
      <c r="P248" s="61">
        <f t="shared" si="47"/>
        <v>2032</v>
      </c>
      <c r="Q248" s="61">
        <f t="shared" si="47"/>
        <v>2033</v>
      </c>
      <c r="R248" s="61">
        <f t="shared" si="47"/>
        <v>2034</v>
      </c>
      <c r="S248" s="61">
        <f t="shared" si="47"/>
        <v>2035</v>
      </c>
      <c r="T248" s="61">
        <f t="shared" si="47"/>
        <v>2036</v>
      </c>
      <c r="U248" s="61">
        <f t="shared" si="47"/>
        <v>2037</v>
      </c>
      <c r="V248" s="61">
        <f t="shared" si="47"/>
        <v>2038</v>
      </c>
      <c r="W248" s="61">
        <f t="shared" si="47"/>
        <v>2039</v>
      </c>
      <c r="X248" s="61">
        <f t="shared" si="47"/>
        <v>2040</v>
      </c>
      <c r="Y248" s="61">
        <f t="shared" si="47"/>
        <v>2041</v>
      </c>
      <c r="Z248" s="61">
        <f t="shared" si="47"/>
        <v>2042</v>
      </c>
      <c r="AA248" s="61">
        <f t="shared" si="47"/>
        <v>2043</v>
      </c>
      <c r="AB248" s="61">
        <f t="shared" si="47"/>
        <v>2044</v>
      </c>
      <c r="AC248" s="61">
        <f t="shared" si="47"/>
        <v>2045</v>
      </c>
      <c r="AD248" s="61">
        <f t="shared" si="47"/>
        <v>2046</v>
      </c>
      <c r="AE248" s="61">
        <f t="shared" si="47"/>
        <v>2047</v>
      </c>
      <c r="AF248" s="61">
        <f t="shared" si="47"/>
        <v>2048</v>
      </c>
      <c r="AG248" s="61">
        <f t="shared" si="47"/>
        <v>2049</v>
      </c>
      <c r="AH248" s="61">
        <f t="shared" si="47"/>
        <v>2050</v>
      </c>
      <c r="AI248" s="61">
        <f t="shared" si="47"/>
        <v>2051</v>
      </c>
      <c r="AJ248" s="61">
        <f t="shared" si="47"/>
        <v>2052</v>
      </c>
      <c r="AK248" s="61">
        <f t="shared" si="47"/>
        <v>2053</v>
      </c>
      <c r="AL248" s="61">
        <f t="shared" si="47"/>
        <v>2054</v>
      </c>
      <c r="AM248" s="61">
        <f t="shared" si="47"/>
        <v>2055</v>
      </c>
      <c r="AN248" s="61">
        <f t="shared" si="47"/>
        <v>2056</v>
      </c>
      <c r="AO248" s="61">
        <f t="shared" si="47"/>
        <v>2057</v>
      </c>
      <c r="AP248" s="61">
        <f t="shared" si="47"/>
        <v>2058</v>
      </c>
      <c r="AQ248" s="61">
        <f t="shared" si="47"/>
        <v>2059</v>
      </c>
      <c r="AR248" s="61">
        <f t="shared" si="47"/>
        <v>2060</v>
      </c>
      <c r="AS248" s="61">
        <f t="shared" si="47"/>
        <v>2061</v>
      </c>
    </row>
    <row r="249" spans="2:45" outlineLevel="1" x14ac:dyDescent="0.3">
      <c r="C249" s="5" t="s">
        <v>174</v>
      </c>
      <c r="D249" s="2" t="s">
        <v>134</v>
      </c>
      <c r="J249" s="8">
        <f t="shared" ref="J249:AS249" si="48">DATE(J248+1,1,1)-1</f>
        <v>46387</v>
      </c>
      <c r="K249" s="8">
        <f t="shared" si="48"/>
        <v>46752</v>
      </c>
      <c r="L249" s="8">
        <f t="shared" si="48"/>
        <v>47118</v>
      </c>
      <c r="M249" s="8">
        <f t="shared" si="48"/>
        <v>47483</v>
      </c>
      <c r="N249" s="8">
        <f t="shared" si="48"/>
        <v>47848</v>
      </c>
      <c r="O249" s="8">
        <f t="shared" si="48"/>
        <v>48213</v>
      </c>
      <c r="P249" s="8">
        <f t="shared" si="48"/>
        <v>48579</v>
      </c>
      <c r="Q249" s="8">
        <f t="shared" si="48"/>
        <v>48944</v>
      </c>
      <c r="R249" s="8">
        <f t="shared" si="48"/>
        <v>49309</v>
      </c>
      <c r="S249" s="8">
        <f t="shared" si="48"/>
        <v>49674</v>
      </c>
      <c r="T249" s="8">
        <f t="shared" si="48"/>
        <v>50040</v>
      </c>
      <c r="U249" s="8">
        <f t="shared" si="48"/>
        <v>50405</v>
      </c>
      <c r="V249" s="8">
        <f t="shared" si="48"/>
        <v>50770</v>
      </c>
      <c r="W249" s="8">
        <f t="shared" si="48"/>
        <v>51135</v>
      </c>
      <c r="X249" s="8">
        <f t="shared" si="48"/>
        <v>51501</v>
      </c>
      <c r="Y249" s="8">
        <f t="shared" si="48"/>
        <v>51866</v>
      </c>
      <c r="Z249" s="8">
        <f t="shared" si="48"/>
        <v>52231</v>
      </c>
      <c r="AA249" s="8">
        <f t="shared" si="48"/>
        <v>52596</v>
      </c>
      <c r="AB249" s="8">
        <f t="shared" si="48"/>
        <v>52962</v>
      </c>
      <c r="AC249" s="8">
        <f t="shared" si="48"/>
        <v>53327</v>
      </c>
      <c r="AD249" s="8">
        <f t="shared" si="48"/>
        <v>53692</v>
      </c>
      <c r="AE249" s="8">
        <f t="shared" si="48"/>
        <v>54057</v>
      </c>
      <c r="AF249" s="8">
        <f t="shared" si="48"/>
        <v>54423</v>
      </c>
      <c r="AG249" s="8">
        <f t="shared" si="48"/>
        <v>54788</v>
      </c>
      <c r="AH249" s="8">
        <f t="shared" si="48"/>
        <v>55153</v>
      </c>
      <c r="AI249" s="8">
        <f t="shared" si="48"/>
        <v>55518</v>
      </c>
      <c r="AJ249" s="8">
        <f t="shared" si="48"/>
        <v>55884</v>
      </c>
      <c r="AK249" s="8">
        <f t="shared" si="48"/>
        <v>56249</v>
      </c>
      <c r="AL249" s="8">
        <f t="shared" si="48"/>
        <v>56614</v>
      </c>
      <c r="AM249" s="8">
        <f t="shared" si="48"/>
        <v>56979</v>
      </c>
      <c r="AN249" s="8">
        <f t="shared" si="48"/>
        <v>57345</v>
      </c>
      <c r="AO249" s="8">
        <f t="shared" si="48"/>
        <v>57710</v>
      </c>
      <c r="AP249" s="8">
        <f t="shared" si="48"/>
        <v>58075</v>
      </c>
      <c r="AQ249" s="8">
        <f t="shared" si="48"/>
        <v>58440</v>
      </c>
      <c r="AR249" s="8">
        <f t="shared" si="48"/>
        <v>58806</v>
      </c>
      <c r="AS249" s="8">
        <f t="shared" si="48"/>
        <v>59171</v>
      </c>
    </row>
    <row r="250" spans="2:45" outlineLevel="1" x14ac:dyDescent="0.3"/>
    <row r="251" spans="2:45" outlineLevel="1" x14ac:dyDescent="0.3">
      <c r="B251" s="3" t="s">
        <v>2</v>
      </c>
      <c r="C251" s="3" t="s">
        <v>175</v>
      </c>
      <c r="D251" s="3"/>
      <c r="E251" s="4" t="s">
        <v>176</v>
      </c>
      <c r="F251" s="4"/>
      <c r="G251" s="4"/>
      <c r="H251" s="4" t="s">
        <v>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2:45" outlineLevel="1" x14ac:dyDescent="0.3">
      <c r="C252" s="5" t="s">
        <v>177</v>
      </c>
      <c r="D252" s="2" t="s">
        <v>178</v>
      </c>
      <c r="J252" s="61">
        <f>J$248-YEAR(Inputs!$E$33)</f>
        <v>-5</v>
      </c>
      <c r="K252" s="61">
        <f>K$248-YEAR(Inputs!$E$33)</f>
        <v>-4</v>
      </c>
      <c r="L252" s="61">
        <f>L$248-YEAR(Inputs!$E$33)</f>
        <v>-3</v>
      </c>
      <c r="M252" s="61">
        <f>M$248-YEAR(Inputs!$E$33)</f>
        <v>-2</v>
      </c>
      <c r="N252" s="61">
        <f>N$248-YEAR(Inputs!$E$33)</f>
        <v>-1</v>
      </c>
      <c r="O252" s="61">
        <f>O$248-YEAR(Inputs!$E$33)</f>
        <v>0</v>
      </c>
      <c r="P252" s="61">
        <f>P$248-YEAR(Inputs!$E$33)</f>
        <v>1</v>
      </c>
      <c r="Q252" s="61">
        <f>Q$248-YEAR(Inputs!$E$33)</f>
        <v>2</v>
      </c>
      <c r="R252" s="61">
        <f>R$248-YEAR(Inputs!$E$33)</f>
        <v>3</v>
      </c>
      <c r="S252" s="61">
        <f>S$248-YEAR(Inputs!$E$33)</f>
        <v>4</v>
      </c>
      <c r="T252" s="61">
        <f>T$248-YEAR(Inputs!$E$33)</f>
        <v>5</v>
      </c>
      <c r="U252" s="61">
        <f>U$248-YEAR(Inputs!$E$33)</f>
        <v>6</v>
      </c>
      <c r="V252" s="61">
        <f>V$248-YEAR(Inputs!$E$33)</f>
        <v>7</v>
      </c>
      <c r="W252" s="61">
        <f>W$248-YEAR(Inputs!$E$33)</f>
        <v>8</v>
      </c>
      <c r="X252" s="61">
        <f>X$248-YEAR(Inputs!$E$33)</f>
        <v>9</v>
      </c>
      <c r="Y252" s="61">
        <f>Y$248-YEAR(Inputs!$E$33)</f>
        <v>10</v>
      </c>
      <c r="Z252" s="61">
        <f>Z$248-YEAR(Inputs!$E$33)</f>
        <v>11</v>
      </c>
      <c r="AA252" s="61">
        <f>AA$248-YEAR(Inputs!$E$33)</f>
        <v>12</v>
      </c>
      <c r="AB252" s="61">
        <f>AB$248-YEAR(Inputs!$E$33)</f>
        <v>13</v>
      </c>
      <c r="AC252" s="61">
        <f>AC$248-YEAR(Inputs!$E$33)</f>
        <v>14</v>
      </c>
      <c r="AD252" s="61">
        <f>AD$248-YEAR(Inputs!$E$33)</f>
        <v>15</v>
      </c>
      <c r="AE252" s="61">
        <f>AE$248-YEAR(Inputs!$E$33)</f>
        <v>16</v>
      </c>
      <c r="AF252" s="61">
        <f>AF$248-YEAR(Inputs!$E$33)</f>
        <v>17</v>
      </c>
      <c r="AG252" s="61">
        <f>AG$248-YEAR(Inputs!$E$33)</f>
        <v>18</v>
      </c>
      <c r="AH252" s="61">
        <f>AH$248-YEAR(Inputs!$E$33)</f>
        <v>19</v>
      </c>
      <c r="AI252" s="61">
        <f>AI$248-YEAR(Inputs!$E$33)</f>
        <v>20</v>
      </c>
      <c r="AJ252" s="61">
        <f>AJ$248-YEAR(Inputs!$E$33)</f>
        <v>21</v>
      </c>
      <c r="AK252" s="61">
        <f>AK$248-YEAR(Inputs!$E$33)</f>
        <v>22</v>
      </c>
      <c r="AL252" s="61">
        <f>AL$248-YEAR(Inputs!$E$33)</f>
        <v>23</v>
      </c>
      <c r="AM252" s="61">
        <f>AM$248-YEAR(Inputs!$E$33)</f>
        <v>24</v>
      </c>
      <c r="AN252" s="61">
        <f>AN$248-YEAR(Inputs!$E$33)</f>
        <v>25</v>
      </c>
      <c r="AO252" s="61">
        <f>AO$248-YEAR(Inputs!$E$33)</f>
        <v>26</v>
      </c>
      <c r="AP252" s="61">
        <f>AP$248-YEAR(Inputs!$E$33)</f>
        <v>27</v>
      </c>
      <c r="AQ252" s="61">
        <f>AQ$248-YEAR(Inputs!$E$33)</f>
        <v>28</v>
      </c>
      <c r="AR252" s="61">
        <f>AR$248-YEAR(Inputs!$E$33)</f>
        <v>29</v>
      </c>
      <c r="AS252" s="61">
        <f>AS$248-YEAR(Inputs!$E$33)</f>
        <v>30</v>
      </c>
    </row>
    <row r="253" spans="2:45" outlineLevel="1" x14ac:dyDescent="0.3">
      <c r="C253" s="5" t="s">
        <v>179</v>
      </c>
      <c r="D253" s="2" t="s">
        <v>180</v>
      </c>
      <c r="E253" s="61">
        <f>DATEDIF(Inputs!$E$32,Inputs!$E$33,"m")</f>
        <v>24</v>
      </c>
      <c r="J253" s="61">
        <f>(J$248+1-YEAR(Inputs!$E$32))*Months_In_Year-MONTH(Inputs!$E$32)</f>
        <v>-30</v>
      </c>
      <c r="K253" s="61">
        <f>(K$248+1-YEAR(Inputs!$E$32))*Months_In_Year-MONTH(Inputs!$E$32)</f>
        <v>-18</v>
      </c>
      <c r="L253" s="61">
        <f>(L$248+1-YEAR(Inputs!$E$32))*Months_In_Year-MONTH(Inputs!$E$32)</f>
        <v>-6</v>
      </c>
      <c r="M253" s="61">
        <f>(M$248+1-YEAR(Inputs!$E$32))*Months_In_Year-MONTH(Inputs!$E$32)</f>
        <v>6</v>
      </c>
      <c r="N253" s="61">
        <f>(N$248+1-YEAR(Inputs!$E$32))*Months_In_Year-MONTH(Inputs!$E$32)</f>
        <v>18</v>
      </c>
      <c r="O253" s="61">
        <f>(O$248+1-YEAR(Inputs!$E$32))*Months_In_Year-MONTH(Inputs!$E$32)</f>
        <v>30</v>
      </c>
      <c r="P253" s="61">
        <f>(P$248+1-YEAR(Inputs!$E$32))*Months_In_Year-MONTH(Inputs!$E$32)</f>
        <v>42</v>
      </c>
      <c r="Q253" s="61">
        <f>(Q$248+1-YEAR(Inputs!$E$32))*Months_In_Year-MONTH(Inputs!$E$32)</f>
        <v>54</v>
      </c>
      <c r="R253" s="61">
        <f>(R$248+1-YEAR(Inputs!$E$32))*Months_In_Year-MONTH(Inputs!$E$32)</f>
        <v>66</v>
      </c>
      <c r="S253" s="61">
        <f>(S$248+1-YEAR(Inputs!$E$32))*Months_In_Year-MONTH(Inputs!$E$32)</f>
        <v>78</v>
      </c>
      <c r="T253" s="61">
        <f>(T$248+1-YEAR(Inputs!$E$32))*Months_In_Year-MONTH(Inputs!$E$32)</f>
        <v>90</v>
      </c>
      <c r="U253" s="61">
        <f>(U$248+1-YEAR(Inputs!$E$32))*Months_In_Year-MONTH(Inputs!$E$32)</f>
        <v>102</v>
      </c>
      <c r="V253" s="61">
        <f>(V$248+1-YEAR(Inputs!$E$32))*Months_In_Year-MONTH(Inputs!$E$32)</f>
        <v>114</v>
      </c>
      <c r="W253" s="61">
        <f>(W$248+1-YEAR(Inputs!$E$32))*Months_In_Year-MONTH(Inputs!$E$32)</f>
        <v>126</v>
      </c>
      <c r="X253" s="61">
        <f>(X$248+1-YEAR(Inputs!$E$32))*Months_In_Year-MONTH(Inputs!$E$32)</f>
        <v>138</v>
      </c>
      <c r="Y253" s="61">
        <f>(Y$248+1-YEAR(Inputs!$E$32))*Months_In_Year-MONTH(Inputs!$E$32)</f>
        <v>150</v>
      </c>
      <c r="Z253" s="61">
        <f>(Z$248+1-YEAR(Inputs!$E$32))*Months_In_Year-MONTH(Inputs!$E$32)</f>
        <v>162</v>
      </c>
      <c r="AA253" s="61">
        <f>(AA$248+1-YEAR(Inputs!$E$32))*Months_In_Year-MONTH(Inputs!$E$32)</f>
        <v>174</v>
      </c>
      <c r="AB253" s="61">
        <f>(AB$248+1-YEAR(Inputs!$E$32))*Months_In_Year-MONTH(Inputs!$E$32)</f>
        <v>186</v>
      </c>
      <c r="AC253" s="61">
        <f>(AC$248+1-YEAR(Inputs!$E$32))*Months_In_Year-MONTH(Inputs!$E$32)</f>
        <v>198</v>
      </c>
      <c r="AD253" s="61">
        <f>(AD$248+1-YEAR(Inputs!$E$32))*Months_In_Year-MONTH(Inputs!$E$32)</f>
        <v>210</v>
      </c>
      <c r="AE253" s="61">
        <f>(AE$248+1-YEAR(Inputs!$E$32))*Months_In_Year-MONTH(Inputs!$E$32)</f>
        <v>222</v>
      </c>
      <c r="AF253" s="61">
        <f>(AF$248+1-YEAR(Inputs!$E$32))*Months_In_Year-MONTH(Inputs!$E$32)</f>
        <v>234</v>
      </c>
      <c r="AG253" s="61">
        <f>(AG$248+1-YEAR(Inputs!$E$32))*Months_In_Year-MONTH(Inputs!$E$32)</f>
        <v>246</v>
      </c>
      <c r="AH253" s="61">
        <f>(AH$248+1-YEAR(Inputs!$E$32))*Months_In_Year-MONTH(Inputs!$E$32)</f>
        <v>258</v>
      </c>
      <c r="AI253" s="61">
        <f>(AI$248+1-YEAR(Inputs!$E$32))*Months_In_Year-MONTH(Inputs!$E$32)</f>
        <v>270</v>
      </c>
      <c r="AJ253" s="61">
        <f>(AJ$248+1-YEAR(Inputs!$E$32))*Months_In_Year-MONTH(Inputs!$E$32)</f>
        <v>282</v>
      </c>
      <c r="AK253" s="61">
        <f>(AK$248+1-YEAR(Inputs!$E$32))*Months_In_Year-MONTH(Inputs!$E$32)</f>
        <v>294</v>
      </c>
      <c r="AL253" s="61">
        <f>(AL$248+1-YEAR(Inputs!$E$32))*Months_In_Year-MONTH(Inputs!$E$32)</f>
        <v>306</v>
      </c>
      <c r="AM253" s="61">
        <f>(AM$248+1-YEAR(Inputs!$E$32))*Months_In_Year-MONTH(Inputs!$E$32)</f>
        <v>318</v>
      </c>
      <c r="AN253" s="61">
        <f>(AN$248+1-YEAR(Inputs!$E$32))*Months_In_Year-MONTH(Inputs!$E$32)</f>
        <v>330</v>
      </c>
      <c r="AO253" s="61">
        <f>(AO$248+1-YEAR(Inputs!$E$32))*Months_In_Year-MONTH(Inputs!$E$32)</f>
        <v>342</v>
      </c>
      <c r="AP253" s="61">
        <f>(AP$248+1-YEAR(Inputs!$E$32))*Months_In_Year-MONTH(Inputs!$E$32)</f>
        <v>354</v>
      </c>
      <c r="AQ253" s="61">
        <f>(AQ$248+1-YEAR(Inputs!$E$32))*Months_In_Year-MONTH(Inputs!$E$32)</f>
        <v>366</v>
      </c>
      <c r="AR253" s="61">
        <f>(AR$248+1-YEAR(Inputs!$E$32))*Months_In_Year-MONTH(Inputs!$E$32)</f>
        <v>378</v>
      </c>
      <c r="AS253" s="61">
        <f>(AS$248+1-YEAR(Inputs!$E$32))*Months_In_Year-MONTH(Inputs!$E$32)</f>
        <v>390</v>
      </c>
    </row>
    <row r="254" spans="2:45" outlineLevel="1" x14ac:dyDescent="0.3">
      <c r="C254" s="5" t="s">
        <v>181</v>
      </c>
      <c r="D254" s="2" t="s">
        <v>11</v>
      </c>
      <c r="H254" s="65">
        <f>SUM(J254:AS254)</f>
        <v>1</v>
      </c>
      <c r="J254" s="57">
        <f t="shared" ref="J254:AS254" si="49">MAX(0,MIN(J253,$E253)-MAX(J253-Months_In_Year,0))/$E253</f>
        <v>0</v>
      </c>
      <c r="K254" s="57">
        <f t="shared" si="49"/>
        <v>0</v>
      </c>
      <c r="L254" s="57">
        <f t="shared" si="49"/>
        <v>0</v>
      </c>
      <c r="M254" s="57">
        <f t="shared" si="49"/>
        <v>0.25</v>
      </c>
      <c r="N254" s="57">
        <f t="shared" si="49"/>
        <v>0.5</v>
      </c>
      <c r="O254" s="57">
        <f t="shared" si="49"/>
        <v>0.25</v>
      </c>
      <c r="P254" s="57">
        <f t="shared" si="49"/>
        <v>0</v>
      </c>
      <c r="Q254" s="57">
        <f t="shared" si="49"/>
        <v>0</v>
      </c>
      <c r="R254" s="57">
        <f t="shared" si="49"/>
        <v>0</v>
      </c>
      <c r="S254" s="57">
        <f t="shared" si="49"/>
        <v>0</v>
      </c>
      <c r="T254" s="57">
        <f t="shared" si="49"/>
        <v>0</v>
      </c>
      <c r="U254" s="57">
        <f t="shared" si="49"/>
        <v>0</v>
      </c>
      <c r="V254" s="57">
        <f t="shared" si="49"/>
        <v>0</v>
      </c>
      <c r="W254" s="57">
        <f t="shared" si="49"/>
        <v>0</v>
      </c>
      <c r="X254" s="57">
        <f t="shared" si="49"/>
        <v>0</v>
      </c>
      <c r="Y254" s="57">
        <f t="shared" si="49"/>
        <v>0</v>
      </c>
      <c r="Z254" s="57">
        <f t="shared" si="49"/>
        <v>0</v>
      </c>
      <c r="AA254" s="57">
        <f t="shared" si="49"/>
        <v>0</v>
      </c>
      <c r="AB254" s="57">
        <f t="shared" si="49"/>
        <v>0</v>
      </c>
      <c r="AC254" s="57">
        <f t="shared" si="49"/>
        <v>0</v>
      </c>
      <c r="AD254" s="57">
        <f t="shared" si="49"/>
        <v>0</v>
      </c>
      <c r="AE254" s="57">
        <f t="shared" si="49"/>
        <v>0</v>
      </c>
      <c r="AF254" s="57">
        <f t="shared" si="49"/>
        <v>0</v>
      </c>
      <c r="AG254" s="57">
        <f t="shared" si="49"/>
        <v>0</v>
      </c>
      <c r="AH254" s="57">
        <f t="shared" si="49"/>
        <v>0</v>
      </c>
      <c r="AI254" s="57">
        <f t="shared" si="49"/>
        <v>0</v>
      </c>
      <c r="AJ254" s="57">
        <f t="shared" si="49"/>
        <v>0</v>
      </c>
      <c r="AK254" s="57">
        <f t="shared" si="49"/>
        <v>0</v>
      </c>
      <c r="AL254" s="57">
        <f t="shared" si="49"/>
        <v>0</v>
      </c>
      <c r="AM254" s="57">
        <f t="shared" si="49"/>
        <v>0</v>
      </c>
      <c r="AN254" s="57">
        <f t="shared" si="49"/>
        <v>0</v>
      </c>
      <c r="AO254" s="57">
        <f t="shared" si="49"/>
        <v>0</v>
      </c>
      <c r="AP254" s="57">
        <f t="shared" si="49"/>
        <v>0</v>
      </c>
      <c r="AQ254" s="57">
        <f t="shared" si="49"/>
        <v>0</v>
      </c>
      <c r="AR254" s="57">
        <f t="shared" si="49"/>
        <v>0</v>
      </c>
      <c r="AS254" s="57">
        <f t="shared" si="49"/>
        <v>0</v>
      </c>
    </row>
    <row r="255" spans="2:45" outlineLevel="1" x14ac:dyDescent="0.3">
      <c r="C255" s="5" t="s">
        <v>182</v>
      </c>
      <c r="D255" s="2" t="s">
        <v>180</v>
      </c>
      <c r="E255" s="61">
        <f>Life*Months_In_Year</f>
        <v>360</v>
      </c>
      <c r="J255" s="61">
        <f>(J$248+1-YEAR(Inputs!$E$33))*Months_In_Year-MONTH(Inputs!$E$33)</f>
        <v>-54</v>
      </c>
      <c r="K255" s="61">
        <f>(K$248+1-YEAR(Inputs!$E$33))*Months_In_Year-MONTH(Inputs!$E$33)</f>
        <v>-42</v>
      </c>
      <c r="L255" s="61">
        <f>(L$248+1-YEAR(Inputs!$E$33))*Months_In_Year-MONTH(Inputs!$E$33)</f>
        <v>-30</v>
      </c>
      <c r="M255" s="61">
        <f>(M$248+1-YEAR(Inputs!$E$33))*Months_In_Year-MONTH(Inputs!$E$33)</f>
        <v>-18</v>
      </c>
      <c r="N255" s="61">
        <f>(N$248+1-YEAR(Inputs!$E$33))*Months_In_Year-MONTH(Inputs!$E$33)</f>
        <v>-6</v>
      </c>
      <c r="O255" s="61">
        <f>(O$248+1-YEAR(Inputs!$E$33))*Months_In_Year-MONTH(Inputs!$E$33)</f>
        <v>6</v>
      </c>
      <c r="P255" s="61">
        <f>(P$248+1-YEAR(Inputs!$E$33))*Months_In_Year-MONTH(Inputs!$E$33)</f>
        <v>18</v>
      </c>
      <c r="Q255" s="61">
        <f>(Q$248+1-YEAR(Inputs!$E$33))*Months_In_Year-MONTH(Inputs!$E$33)</f>
        <v>30</v>
      </c>
      <c r="R255" s="61">
        <f>(R$248+1-YEAR(Inputs!$E$33))*Months_In_Year-MONTH(Inputs!$E$33)</f>
        <v>42</v>
      </c>
      <c r="S255" s="61">
        <f>(S$248+1-YEAR(Inputs!$E$33))*Months_In_Year-MONTH(Inputs!$E$33)</f>
        <v>54</v>
      </c>
      <c r="T255" s="61">
        <f>(T$248+1-YEAR(Inputs!$E$33))*Months_In_Year-MONTH(Inputs!$E$33)</f>
        <v>66</v>
      </c>
      <c r="U255" s="61">
        <f>(U$248+1-YEAR(Inputs!$E$33))*Months_In_Year-MONTH(Inputs!$E$33)</f>
        <v>78</v>
      </c>
      <c r="V255" s="61">
        <f>(V$248+1-YEAR(Inputs!$E$33))*Months_In_Year-MONTH(Inputs!$E$33)</f>
        <v>90</v>
      </c>
      <c r="W255" s="61">
        <f>(W$248+1-YEAR(Inputs!$E$33))*Months_In_Year-MONTH(Inputs!$E$33)</f>
        <v>102</v>
      </c>
      <c r="X255" s="61">
        <f>(X$248+1-YEAR(Inputs!$E$33))*Months_In_Year-MONTH(Inputs!$E$33)</f>
        <v>114</v>
      </c>
      <c r="Y255" s="61">
        <f>(Y$248+1-YEAR(Inputs!$E$33))*Months_In_Year-MONTH(Inputs!$E$33)</f>
        <v>126</v>
      </c>
      <c r="Z255" s="61">
        <f>(Z$248+1-YEAR(Inputs!$E$33))*Months_In_Year-MONTH(Inputs!$E$33)</f>
        <v>138</v>
      </c>
      <c r="AA255" s="61">
        <f>(AA$248+1-YEAR(Inputs!$E$33))*Months_In_Year-MONTH(Inputs!$E$33)</f>
        <v>150</v>
      </c>
      <c r="AB255" s="61">
        <f>(AB$248+1-YEAR(Inputs!$E$33))*Months_In_Year-MONTH(Inputs!$E$33)</f>
        <v>162</v>
      </c>
      <c r="AC255" s="61">
        <f>(AC$248+1-YEAR(Inputs!$E$33))*Months_In_Year-MONTH(Inputs!$E$33)</f>
        <v>174</v>
      </c>
      <c r="AD255" s="61">
        <f>(AD$248+1-YEAR(Inputs!$E$33))*Months_In_Year-MONTH(Inputs!$E$33)</f>
        <v>186</v>
      </c>
      <c r="AE255" s="61">
        <f>(AE$248+1-YEAR(Inputs!$E$33))*Months_In_Year-MONTH(Inputs!$E$33)</f>
        <v>198</v>
      </c>
      <c r="AF255" s="61">
        <f>(AF$248+1-YEAR(Inputs!$E$33))*Months_In_Year-MONTH(Inputs!$E$33)</f>
        <v>210</v>
      </c>
      <c r="AG255" s="61">
        <f>(AG$248+1-YEAR(Inputs!$E$33))*Months_In_Year-MONTH(Inputs!$E$33)</f>
        <v>222</v>
      </c>
      <c r="AH255" s="61">
        <f>(AH$248+1-YEAR(Inputs!$E$33))*Months_In_Year-MONTH(Inputs!$E$33)</f>
        <v>234</v>
      </c>
      <c r="AI255" s="61">
        <f>(AI$248+1-YEAR(Inputs!$E$33))*Months_In_Year-MONTH(Inputs!$E$33)</f>
        <v>246</v>
      </c>
      <c r="AJ255" s="61">
        <f>(AJ$248+1-YEAR(Inputs!$E$33))*Months_In_Year-MONTH(Inputs!$E$33)</f>
        <v>258</v>
      </c>
      <c r="AK255" s="61">
        <f>(AK$248+1-YEAR(Inputs!$E$33))*Months_In_Year-MONTH(Inputs!$E$33)</f>
        <v>270</v>
      </c>
      <c r="AL255" s="61">
        <f>(AL$248+1-YEAR(Inputs!$E$33))*Months_In_Year-MONTH(Inputs!$E$33)</f>
        <v>282</v>
      </c>
      <c r="AM255" s="61">
        <f>(AM$248+1-YEAR(Inputs!$E$33))*Months_In_Year-MONTH(Inputs!$E$33)</f>
        <v>294</v>
      </c>
      <c r="AN255" s="61">
        <f>(AN$248+1-YEAR(Inputs!$E$33))*Months_In_Year-MONTH(Inputs!$E$33)</f>
        <v>306</v>
      </c>
      <c r="AO255" s="61">
        <f>(AO$248+1-YEAR(Inputs!$E$33))*Months_In_Year-MONTH(Inputs!$E$33)</f>
        <v>318</v>
      </c>
      <c r="AP255" s="61">
        <f>(AP$248+1-YEAR(Inputs!$E$33))*Months_In_Year-MONTH(Inputs!$E$33)</f>
        <v>330</v>
      </c>
      <c r="AQ255" s="61">
        <f>(AQ$248+1-YEAR(Inputs!$E$33))*Months_In_Year-MONTH(Inputs!$E$33)</f>
        <v>342</v>
      </c>
      <c r="AR255" s="61">
        <f>(AR$248+1-YEAR(Inputs!$E$33))*Months_In_Year-MONTH(Inputs!$E$33)</f>
        <v>354</v>
      </c>
      <c r="AS255" s="61">
        <f>(AS$248+1-YEAR(Inputs!$E$33))*Months_In_Year-MONTH(Inputs!$E$33)</f>
        <v>366</v>
      </c>
    </row>
    <row r="256" spans="2:45" outlineLevel="1" x14ac:dyDescent="0.3">
      <c r="C256" s="5" t="s">
        <v>183</v>
      </c>
      <c r="D256" s="2" t="s">
        <v>11</v>
      </c>
      <c r="H256" s="65">
        <f>SUM(J256:AS256)</f>
        <v>30</v>
      </c>
      <c r="J256" s="57">
        <f t="shared" ref="J256:AS256" si="50">MAX(0,MIN(J255,$E255)-MAX(J255-Months_In_Year,0))/Months_In_Year</f>
        <v>0</v>
      </c>
      <c r="K256" s="57">
        <f t="shared" si="50"/>
        <v>0</v>
      </c>
      <c r="L256" s="57">
        <f t="shared" si="50"/>
        <v>0</v>
      </c>
      <c r="M256" s="57">
        <f t="shared" si="50"/>
        <v>0</v>
      </c>
      <c r="N256" s="57">
        <f t="shared" si="50"/>
        <v>0</v>
      </c>
      <c r="O256" s="57">
        <f t="shared" si="50"/>
        <v>0.5</v>
      </c>
      <c r="P256" s="57">
        <f t="shared" si="50"/>
        <v>1</v>
      </c>
      <c r="Q256" s="57">
        <f t="shared" si="50"/>
        <v>1</v>
      </c>
      <c r="R256" s="57">
        <f t="shared" si="50"/>
        <v>1</v>
      </c>
      <c r="S256" s="57">
        <f t="shared" si="50"/>
        <v>1</v>
      </c>
      <c r="T256" s="57">
        <f t="shared" si="50"/>
        <v>1</v>
      </c>
      <c r="U256" s="57">
        <f t="shared" si="50"/>
        <v>1</v>
      </c>
      <c r="V256" s="57">
        <f t="shared" si="50"/>
        <v>1</v>
      </c>
      <c r="W256" s="57">
        <f t="shared" si="50"/>
        <v>1</v>
      </c>
      <c r="X256" s="57">
        <f t="shared" si="50"/>
        <v>1</v>
      </c>
      <c r="Y256" s="57">
        <f t="shared" si="50"/>
        <v>1</v>
      </c>
      <c r="Z256" s="57">
        <f t="shared" si="50"/>
        <v>1</v>
      </c>
      <c r="AA256" s="57">
        <f t="shared" si="50"/>
        <v>1</v>
      </c>
      <c r="AB256" s="57">
        <f t="shared" si="50"/>
        <v>1</v>
      </c>
      <c r="AC256" s="57">
        <f t="shared" si="50"/>
        <v>1</v>
      </c>
      <c r="AD256" s="57">
        <f t="shared" si="50"/>
        <v>1</v>
      </c>
      <c r="AE256" s="57">
        <f t="shared" si="50"/>
        <v>1</v>
      </c>
      <c r="AF256" s="57">
        <f t="shared" si="50"/>
        <v>1</v>
      </c>
      <c r="AG256" s="57">
        <f t="shared" si="50"/>
        <v>1</v>
      </c>
      <c r="AH256" s="57">
        <f t="shared" si="50"/>
        <v>1</v>
      </c>
      <c r="AI256" s="57">
        <f t="shared" si="50"/>
        <v>1</v>
      </c>
      <c r="AJ256" s="57">
        <f t="shared" si="50"/>
        <v>1</v>
      </c>
      <c r="AK256" s="57">
        <f t="shared" si="50"/>
        <v>1</v>
      </c>
      <c r="AL256" s="57">
        <f t="shared" si="50"/>
        <v>1</v>
      </c>
      <c r="AM256" s="57">
        <f t="shared" si="50"/>
        <v>1</v>
      </c>
      <c r="AN256" s="57">
        <f t="shared" si="50"/>
        <v>1</v>
      </c>
      <c r="AO256" s="57">
        <f t="shared" si="50"/>
        <v>1</v>
      </c>
      <c r="AP256" s="57">
        <f t="shared" si="50"/>
        <v>1</v>
      </c>
      <c r="AQ256" s="57">
        <f t="shared" si="50"/>
        <v>1</v>
      </c>
      <c r="AR256" s="57">
        <f t="shared" si="50"/>
        <v>1</v>
      </c>
      <c r="AS256" s="57">
        <f t="shared" si="50"/>
        <v>0.5</v>
      </c>
    </row>
    <row r="257" spans="3:45" outlineLevel="1" x14ac:dyDescent="0.3">
      <c r="C257" s="5" t="s">
        <v>184</v>
      </c>
      <c r="D257" s="2" t="s">
        <v>1</v>
      </c>
      <c r="J257" s="63">
        <f t="shared" ref="J257:AS257" si="51">N(J252=0)</f>
        <v>0</v>
      </c>
      <c r="K257" s="63">
        <f t="shared" si="51"/>
        <v>0</v>
      </c>
      <c r="L257" s="63">
        <f t="shared" si="51"/>
        <v>0</v>
      </c>
      <c r="M257" s="63">
        <f t="shared" si="51"/>
        <v>0</v>
      </c>
      <c r="N257" s="63">
        <f t="shared" si="51"/>
        <v>0</v>
      </c>
      <c r="O257" s="63">
        <f t="shared" si="51"/>
        <v>1</v>
      </c>
      <c r="P257" s="63">
        <f t="shared" si="51"/>
        <v>0</v>
      </c>
      <c r="Q257" s="63">
        <f t="shared" si="51"/>
        <v>0</v>
      </c>
      <c r="R257" s="63">
        <f t="shared" si="51"/>
        <v>0</v>
      </c>
      <c r="S257" s="63">
        <f t="shared" si="51"/>
        <v>0</v>
      </c>
      <c r="T257" s="63">
        <f t="shared" si="51"/>
        <v>0</v>
      </c>
      <c r="U257" s="63">
        <f t="shared" si="51"/>
        <v>0</v>
      </c>
      <c r="V257" s="63">
        <f t="shared" si="51"/>
        <v>0</v>
      </c>
      <c r="W257" s="63">
        <f t="shared" si="51"/>
        <v>0</v>
      </c>
      <c r="X257" s="63">
        <f t="shared" si="51"/>
        <v>0</v>
      </c>
      <c r="Y257" s="63">
        <f t="shared" si="51"/>
        <v>0</v>
      </c>
      <c r="Z257" s="63">
        <f t="shared" si="51"/>
        <v>0</v>
      </c>
      <c r="AA257" s="63">
        <f t="shared" si="51"/>
        <v>0</v>
      </c>
      <c r="AB257" s="63">
        <f t="shared" si="51"/>
        <v>0</v>
      </c>
      <c r="AC257" s="63">
        <f t="shared" si="51"/>
        <v>0</v>
      </c>
      <c r="AD257" s="63">
        <f t="shared" si="51"/>
        <v>0</v>
      </c>
      <c r="AE257" s="63">
        <f t="shared" si="51"/>
        <v>0</v>
      </c>
      <c r="AF257" s="63">
        <f t="shared" si="51"/>
        <v>0</v>
      </c>
      <c r="AG257" s="63">
        <f t="shared" si="51"/>
        <v>0</v>
      </c>
      <c r="AH257" s="63">
        <f t="shared" si="51"/>
        <v>0</v>
      </c>
      <c r="AI257" s="63">
        <f t="shared" si="51"/>
        <v>0</v>
      </c>
      <c r="AJ257" s="63">
        <f t="shared" si="51"/>
        <v>0</v>
      </c>
      <c r="AK257" s="63">
        <f t="shared" si="51"/>
        <v>0</v>
      </c>
      <c r="AL257" s="63">
        <f t="shared" si="51"/>
        <v>0</v>
      </c>
      <c r="AM257" s="63">
        <f t="shared" si="51"/>
        <v>0</v>
      </c>
      <c r="AN257" s="63">
        <f t="shared" si="51"/>
        <v>0</v>
      </c>
      <c r="AO257" s="63">
        <f t="shared" si="51"/>
        <v>0</v>
      </c>
      <c r="AP257" s="63">
        <f t="shared" si="51"/>
        <v>0</v>
      </c>
      <c r="AQ257" s="63">
        <f t="shared" si="51"/>
        <v>0</v>
      </c>
      <c r="AR257" s="63">
        <f t="shared" si="51"/>
        <v>0</v>
      </c>
      <c r="AS257" s="63">
        <f t="shared" si="51"/>
        <v>0</v>
      </c>
    </row>
    <row r="258" spans="3:45" outlineLevel="1" x14ac:dyDescent="0.3">
      <c r="C258" s="5" t="s">
        <v>185</v>
      </c>
      <c r="D258" s="2" t="s">
        <v>78</v>
      </c>
      <c r="H258" s="44">
        <f>SUM(J258:AS258)</f>
        <v>-12989.232197260273</v>
      </c>
      <c r="J258" s="44">
        <f t="shared" ref="J258:AS258" si="52">SUMPRODUCT((YEAR($J$203:$J$210)=J$248)*$E$203:$E$210)</f>
        <v>-386.30136986301375</v>
      </c>
      <c r="K258" s="44">
        <f t="shared" si="52"/>
        <v>-2513.2371232876712</v>
      </c>
      <c r="L258" s="44">
        <f t="shared" si="52"/>
        <v>-10089.693704109588</v>
      </c>
      <c r="M258" s="44">
        <f t="shared" si="52"/>
        <v>0</v>
      </c>
      <c r="N258" s="44">
        <f t="shared" si="52"/>
        <v>0</v>
      </c>
      <c r="O258" s="44">
        <f t="shared" si="52"/>
        <v>0</v>
      </c>
      <c r="P258" s="44">
        <f t="shared" si="52"/>
        <v>0</v>
      </c>
      <c r="Q258" s="44">
        <f t="shared" si="52"/>
        <v>0</v>
      </c>
      <c r="R258" s="44">
        <f t="shared" si="52"/>
        <v>0</v>
      </c>
      <c r="S258" s="44">
        <f t="shared" si="52"/>
        <v>0</v>
      </c>
      <c r="T258" s="44">
        <f t="shared" si="52"/>
        <v>0</v>
      </c>
      <c r="U258" s="44">
        <f t="shared" si="52"/>
        <v>0</v>
      </c>
      <c r="V258" s="44">
        <f t="shared" si="52"/>
        <v>0</v>
      </c>
      <c r="W258" s="44">
        <f t="shared" si="52"/>
        <v>0</v>
      </c>
      <c r="X258" s="44">
        <f t="shared" si="52"/>
        <v>0</v>
      </c>
      <c r="Y258" s="44">
        <f t="shared" si="52"/>
        <v>0</v>
      </c>
      <c r="Z258" s="44">
        <f t="shared" si="52"/>
        <v>0</v>
      </c>
      <c r="AA258" s="44">
        <f t="shared" si="52"/>
        <v>0</v>
      </c>
      <c r="AB258" s="44">
        <f t="shared" si="52"/>
        <v>0</v>
      </c>
      <c r="AC258" s="44">
        <f t="shared" si="52"/>
        <v>0</v>
      </c>
      <c r="AD258" s="44">
        <f t="shared" si="52"/>
        <v>0</v>
      </c>
      <c r="AE258" s="44">
        <f t="shared" si="52"/>
        <v>0</v>
      </c>
      <c r="AF258" s="44">
        <f t="shared" si="52"/>
        <v>0</v>
      </c>
      <c r="AG258" s="44">
        <f t="shared" si="52"/>
        <v>0</v>
      </c>
      <c r="AH258" s="44">
        <f t="shared" si="52"/>
        <v>0</v>
      </c>
      <c r="AI258" s="44">
        <f t="shared" si="52"/>
        <v>0</v>
      </c>
      <c r="AJ258" s="44">
        <f t="shared" si="52"/>
        <v>0</v>
      </c>
      <c r="AK258" s="44">
        <f t="shared" si="52"/>
        <v>0</v>
      </c>
      <c r="AL258" s="44">
        <f t="shared" si="52"/>
        <v>0</v>
      </c>
      <c r="AM258" s="44">
        <f t="shared" si="52"/>
        <v>0</v>
      </c>
      <c r="AN258" s="44">
        <f t="shared" si="52"/>
        <v>0</v>
      </c>
      <c r="AO258" s="44">
        <f t="shared" si="52"/>
        <v>0</v>
      </c>
      <c r="AP258" s="44">
        <f t="shared" si="52"/>
        <v>0</v>
      </c>
      <c r="AQ258" s="44">
        <f t="shared" si="52"/>
        <v>0</v>
      </c>
      <c r="AR258" s="44">
        <f t="shared" si="52"/>
        <v>0</v>
      </c>
      <c r="AS258" s="44">
        <f t="shared" si="52"/>
        <v>0</v>
      </c>
    </row>
    <row r="259" spans="3:45" outlineLevel="1" x14ac:dyDescent="0.3">
      <c r="C259" s="5" t="s">
        <v>186</v>
      </c>
      <c r="D259" s="2" t="s">
        <v>78</v>
      </c>
      <c r="H259" s="44">
        <f>SUM(J259:AS259)</f>
        <v>1390.41095890411</v>
      </c>
      <c r="J259" s="44">
        <f>($E$60+$E$61)*(J$248=YEAR(Inputs!$E$34))</f>
        <v>0</v>
      </c>
      <c r="K259" s="44">
        <f>($E$60+$E$61)*(K$248=YEAR(Inputs!$E$34))</f>
        <v>0</v>
      </c>
      <c r="L259" s="44">
        <f>($E$60+$E$61)*(L$248=YEAR(Inputs!$E$34))</f>
        <v>0</v>
      </c>
      <c r="M259" s="44">
        <f>($E$60+$E$61)*(M$248=YEAR(Inputs!$E$34))</f>
        <v>0</v>
      </c>
      <c r="N259" s="44">
        <f>($E$60+$E$61)*(N$248=YEAR(Inputs!$E$34))</f>
        <v>0</v>
      </c>
      <c r="O259" s="44">
        <f>($E$60+$E$61)*(O$248=YEAR(Inputs!$E$34))</f>
        <v>0</v>
      </c>
      <c r="P259" s="44">
        <f>($E$60+$E$61)*(P$248=YEAR(Inputs!$E$34))</f>
        <v>0</v>
      </c>
      <c r="Q259" s="44">
        <f>($E$60+$E$61)*(Q$248=YEAR(Inputs!$E$34))</f>
        <v>1390.41095890411</v>
      </c>
      <c r="R259" s="44">
        <f>($E$60+$E$61)*(R$248=YEAR(Inputs!$E$34))</f>
        <v>0</v>
      </c>
      <c r="S259" s="44">
        <f>($E$60+$E$61)*(S$248=YEAR(Inputs!$E$34))</f>
        <v>0</v>
      </c>
      <c r="T259" s="44">
        <f>($E$60+$E$61)*(T$248=YEAR(Inputs!$E$34))</f>
        <v>0</v>
      </c>
      <c r="U259" s="44">
        <f>($E$60+$E$61)*(U$248=YEAR(Inputs!$E$34))</f>
        <v>0</v>
      </c>
      <c r="V259" s="44">
        <f>($E$60+$E$61)*(V$248=YEAR(Inputs!$E$34))</f>
        <v>0</v>
      </c>
      <c r="W259" s="44">
        <f>($E$60+$E$61)*(W$248=YEAR(Inputs!$E$34))</f>
        <v>0</v>
      </c>
      <c r="X259" s="44">
        <f>($E$60+$E$61)*(X$248=YEAR(Inputs!$E$34))</f>
        <v>0</v>
      </c>
      <c r="Y259" s="44">
        <f>($E$60+$E$61)*(Y$248=YEAR(Inputs!$E$34))</f>
        <v>0</v>
      </c>
      <c r="Z259" s="44">
        <f>($E$60+$E$61)*(Z$248=YEAR(Inputs!$E$34))</f>
        <v>0</v>
      </c>
      <c r="AA259" s="44">
        <f>($E$60+$E$61)*(AA$248=YEAR(Inputs!$E$34))</f>
        <v>0</v>
      </c>
      <c r="AB259" s="44">
        <f>($E$60+$E$61)*(AB$248=YEAR(Inputs!$E$34))</f>
        <v>0</v>
      </c>
      <c r="AC259" s="44">
        <f>($E$60+$E$61)*(AC$248=YEAR(Inputs!$E$34))</f>
        <v>0</v>
      </c>
      <c r="AD259" s="44">
        <f>($E$60+$E$61)*(AD$248=YEAR(Inputs!$E$34))</f>
        <v>0</v>
      </c>
      <c r="AE259" s="44">
        <f>($E$60+$E$61)*(AE$248=YEAR(Inputs!$E$34))</f>
        <v>0</v>
      </c>
      <c r="AF259" s="44">
        <f>($E$60+$E$61)*(AF$248=YEAR(Inputs!$E$34))</f>
        <v>0</v>
      </c>
      <c r="AG259" s="44">
        <f>($E$60+$E$61)*(AG$248=YEAR(Inputs!$E$34))</f>
        <v>0</v>
      </c>
      <c r="AH259" s="44">
        <f>($E$60+$E$61)*(AH$248=YEAR(Inputs!$E$34))</f>
        <v>0</v>
      </c>
      <c r="AI259" s="44">
        <f>($E$60+$E$61)*(AI$248=YEAR(Inputs!$E$34))</f>
        <v>0</v>
      </c>
      <c r="AJ259" s="44">
        <f>($E$60+$E$61)*(AJ$248=YEAR(Inputs!$E$34))</f>
        <v>0</v>
      </c>
      <c r="AK259" s="44">
        <f>($E$60+$E$61)*(AK$248=YEAR(Inputs!$E$34))</f>
        <v>0</v>
      </c>
      <c r="AL259" s="44">
        <f>($E$60+$E$61)*(AL$248=YEAR(Inputs!$E$34))</f>
        <v>0</v>
      </c>
      <c r="AM259" s="44">
        <f>($E$60+$E$61)*(AM$248=YEAR(Inputs!$E$34))</f>
        <v>0</v>
      </c>
      <c r="AN259" s="44">
        <f>($E$60+$E$61)*(AN$248=YEAR(Inputs!$E$34))</f>
        <v>0</v>
      </c>
      <c r="AO259" s="44">
        <f>($E$60+$E$61)*(AO$248=YEAR(Inputs!$E$34))</f>
        <v>0</v>
      </c>
      <c r="AP259" s="44">
        <f>($E$60+$E$61)*(AP$248=YEAR(Inputs!$E$34))</f>
        <v>0</v>
      </c>
      <c r="AQ259" s="44">
        <f>($E$60+$E$61)*(AQ$248=YEAR(Inputs!$E$34))</f>
        <v>0</v>
      </c>
      <c r="AR259" s="44">
        <f>($E$60+$E$61)*(AR$248=YEAR(Inputs!$E$34))</f>
        <v>0</v>
      </c>
      <c r="AS259" s="44">
        <f>($E$60+$E$61)*(AS$248=YEAR(Inputs!$E$34))</f>
        <v>0</v>
      </c>
    </row>
    <row r="260" spans="3:45" outlineLevel="1" x14ac:dyDescent="0.3">
      <c r="C260" s="5" t="s">
        <v>187</v>
      </c>
      <c r="D260" s="2" t="s">
        <v>78</v>
      </c>
      <c r="H260" s="44">
        <f>SUM(J260:AS260)</f>
        <v>-48037.5</v>
      </c>
      <c r="J260" s="44">
        <f t="shared" ref="J260:AS260" si="53">-$E$88*J254</f>
        <v>0</v>
      </c>
      <c r="K260" s="44">
        <f t="shared" si="53"/>
        <v>0</v>
      </c>
      <c r="L260" s="44">
        <f t="shared" si="53"/>
        <v>0</v>
      </c>
      <c r="M260" s="44">
        <f t="shared" si="53"/>
        <v>-12009.375</v>
      </c>
      <c r="N260" s="44">
        <f t="shared" si="53"/>
        <v>-24018.75</v>
      </c>
      <c r="O260" s="44">
        <f t="shared" si="53"/>
        <v>-12009.375</v>
      </c>
      <c r="P260" s="44">
        <f t="shared" si="53"/>
        <v>0</v>
      </c>
      <c r="Q260" s="44">
        <f t="shared" si="53"/>
        <v>0</v>
      </c>
      <c r="R260" s="44">
        <f t="shared" si="53"/>
        <v>0</v>
      </c>
      <c r="S260" s="44">
        <f t="shared" si="53"/>
        <v>0</v>
      </c>
      <c r="T260" s="44">
        <f t="shared" si="53"/>
        <v>0</v>
      </c>
      <c r="U260" s="44">
        <f t="shared" si="53"/>
        <v>0</v>
      </c>
      <c r="V260" s="44">
        <f t="shared" si="53"/>
        <v>0</v>
      </c>
      <c r="W260" s="44">
        <f t="shared" si="53"/>
        <v>0</v>
      </c>
      <c r="X260" s="44">
        <f t="shared" si="53"/>
        <v>0</v>
      </c>
      <c r="Y260" s="44">
        <f t="shared" si="53"/>
        <v>0</v>
      </c>
      <c r="Z260" s="44">
        <f t="shared" si="53"/>
        <v>0</v>
      </c>
      <c r="AA260" s="44">
        <f t="shared" si="53"/>
        <v>0</v>
      </c>
      <c r="AB260" s="44">
        <f t="shared" si="53"/>
        <v>0</v>
      </c>
      <c r="AC260" s="44">
        <f t="shared" si="53"/>
        <v>0</v>
      </c>
      <c r="AD260" s="44">
        <f t="shared" si="53"/>
        <v>0</v>
      </c>
      <c r="AE260" s="44">
        <f t="shared" si="53"/>
        <v>0</v>
      </c>
      <c r="AF260" s="44">
        <f t="shared" si="53"/>
        <v>0</v>
      </c>
      <c r="AG260" s="44">
        <f t="shared" si="53"/>
        <v>0</v>
      </c>
      <c r="AH260" s="44">
        <f t="shared" si="53"/>
        <v>0</v>
      </c>
      <c r="AI260" s="44">
        <f t="shared" si="53"/>
        <v>0</v>
      </c>
      <c r="AJ260" s="44">
        <f t="shared" si="53"/>
        <v>0</v>
      </c>
      <c r="AK260" s="44">
        <f t="shared" si="53"/>
        <v>0</v>
      </c>
      <c r="AL260" s="44">
        <f t="shared" si="53"/>
        <v>0</v>
      </c>
      <c r="AM260" s="44">
        <f t="shared" si="53"/>
        <v>0</v>
      </c>
      <c r="AN260" s="44">
        <f t="shared" si="53"/>
        <v>0</v>
      </c>
      <c r="AO260" s="44">
        <f t="shared" si="53"/>
        <v>0</v>
      </c>
      <c r="AP260" s="44">
        <f t="shared" si="53"/>
        <v>0</v>
      </c>
      <c r="AQ260" s="44">
        <f t="shared" si="53"/>
        <v>0</v>
      </c>
      <c r="AR260" s="44">
        <f t="shared" si="53"/>
        <v>0</v>
      </c>
      <c r="AS260" s="44">
        <f t="shared" si="53"/>
        <v>0</v>
      </c>
    </row>
    <row r="261" spans="3:45" outlineLevel="1" x14ac:dyDescent="0.3">
      <c r="C261" s="5" t="s">
        <v>188</v>
      </c>
      <c r="D261" s="2" t="s">
        <v>78</v>
      </c>
      <c r="H261" s="44">
        <f>SUM(J261:AS261)</f>
        <v>-1000</v>
      </c>
      <c r="J261" s="44">
        <f t="shared" ref="J261:AS261" si="54">-$E$90*J257</f>
        <v>0</v>
      </c>
      <c r="K261" s="44">
        <f t="shared" si="54"/>
        <v>0</v>
      </c>
      <c r="L261" s="44">
        <f t="shared" si="54"/>
        <v>0</v>
      </c>
      <c r="M261" s="44">
        <f t="shared" si="54"/>
        <v>0</v>
      </c>
      <c r="N261" s="44">
        <f t="shared" si="54"/>
        <v>0</v>
      </c>
      <c r="O261" s="44">
        <f t="shared" si="54"/>
        <v>-1000</v>
      </c>
      <c r="P261" s="44">
        <f t="shared" si="54"/>
        <v>0</v>
      </c>
      <c r="Q261" s="44">
        <f t="shared" si="54"/>
        <v>0</v>
      </c>
      <c r="R261" s="44">
        <f t="shared" si="54"/>
        <v>0</v>
      </c>
      <c r="S261" s="44">
        <f t="shared" si="54"/>
        <v>0</v>
      </c>
      <c r="T261" s="44">
        <f t="shared" si="54"/>
        <v>0</v>
      </c>
      <c r="U261" s="44">
        <f t="shared" si="54"/>
        <v>0</v>
      </c>
      <c r="V261" s="44">
        <f t="shared" si="54"/>
        <v>0</v>
      </c>
      <c r="W261" s="44">
        <f t="shared" si="54"/>
        <v>0</v>
      </c>
      <c r="X261" s="44">
        <f t="shared" si="54"/>
        <v>0</v>
      </c>
      <c r="Y261" s="44">
        <f t="shared" si="54"/>
        <v>0</v>
      </c>
      <c r="Z261" s="44">
        <f t="shared" si="54"/>
        <v>0</v>
      </c>
      <c r="AA261" s="44">
        <f t="shared" si="54"/>
        <v>0</v>
      </c>
      <c r="AB261" s="44">
        <f t="shared" si="54"/>
        <v>0</v>
      </c>
      <c r="AC261" s="44">
        <f t="shared" si="54"/>
        <v>0</v>
      </c>
      <c r="AD261" s="44">
        <f t="shared" si="54"/>
        <v>0</v>
      </c>
      <c r="AE261" s="44">
        <f t="shared" si="54"/>
        <v>0</v>
      </c>
      <c r="AF261" s="44">
        <f t="shared" si="54"/>
        <v>0</v>
      </c>
      <c r="AG261" s="44">
        <f t="shared" si="54"/>
        <v>0</v>
      </c>
      <c r="AH261" s="44">
        <f t="shared" si="54"/>
        <v>0</v>
      </c>
      <c r="AI261" s="44">
        <f t="shared" si="54"/>
        <v>0</v>
      </c>
      <c r="AJ261" s="44">
        <f t="shared" si="54"/>
        <v>0</v>
      </c>
      <c r="AK261" s="44">
        <f t="shared" si="54"/>
        <v>0</v>
      </c>
      <c r="AL261" s="44">
        <f t="shared" si="54"/>
        <v>0</v>
      </c>
      <c r="AM261" s="44">
        <f t="shared" si="54"/>
        <v>0</v>
      </c>
      <c r="AN261" s="44">
        <f t="shared" si="54"/>
        <v>0</v>
      </c>
      <c r="AO261" s="44">
        <f t="shared" si="54"/>
        <v>0</v>
      </c>
      <c r="AP261" s="44">
        <f t="shared" si="54"/>
        <v>0</v>
      </c>
      <c r="AQ261" s="44">
        <f t="shared" si="54"/>
        <v>0</v>
      </c>
      <c r="AR261" s="44">
        <f t="shared" si="54"/>
        <v>0</v>
      </c>
      <c r="AS261" s="44">
        <f t="shared" si="54"/>
        <v>0</v>
      </c>
    </row>
    <row r="262" spans="3:45" outlineLevel="1" x14ac:dyDescent="0.3">
      <c r="C262" s="1" t="s">
        <v>189</v>
      </c>
      <c r="D262" s="2" t="s">
        <v>78</v>
      </c>
      <c r="H262" s="46">
        <f>SUM(J262:AS262)</f>
        <v>-60636.321238356162</v>
      </c>
      <c r="J262" s="46">
        <f t="shared" ref="J262:AS262" si="55">SUM(J258:J261)</f>
        <v>-386.30136986301375</v>
      </c>
      <c r="K262" s="69">
        <f t="shared" si="55"/>
        <v>-2513.2371232876712</v>
      </c>
      <c r="L262" s="46">
        <f t="shared" si="55"/>
        <v>-10089.693704109588</v>
      </c>
      <c r="M262" s="46">
        <f t="shared" si="55"/>
        <v>-12009.375</v>
      </c>
      <c r="N262" s="46">
        <f t="shared" si="55"/>
        <v>-24018.75</v>
      </c>
      <c r="O262" s="46">
        <f t="shared" si="55"/>
        <v>-13009.375</v>
      </c>
      <c r="P262" s="46">
        <f t="shared" si="55"/>
        <v>0</v>
      </c>
      <c r="Q262" s="46">
        <f t="shared" si="55"/>
        <v>1390.41095890411</v>
      </c>
      <c r="R262" s="46">
        <f t="shared" si="55"/>
        <v>0</v>
      </c>
      <c r="S262" s="46">
        <f t="shared" si="55"/>
        <v>0</v>
      </c>
      <c r="T262" s="46">
        <f t="shared" si="55"/>
        <v>0</v>
      </c>
      <c r="U262" s="46">
        <f t="shared" si="55"/>
        <v>0</v>
      </c>
      <c r="V262" s="46">
        <f t="shared" si="55"/>
        <v>0</v>
      </c>
      <c r="W262" s="46">
        <f t="shared" si="55"/>
        <v>0</v>
      </c>
      <c r="X262" s="46">
        <f t="shared" si="55"/>
        <v>0</v>
      </c>
      <c r="Y262" s="46">
        <f t="shared" si="55"/>
        <v>0</v>
      </c>
      <c r="Z262" s="46">
        <f t="shared" si="55"/>
        <v>0</v>
      </c>
      <c r="AA262" s="46">
        <f t="shared" si="55"/>
        <v>0</v>
      </c>
      <c r="AB262" s="46">
        <f t="shared" si="55"/>
        <v>0</v>
      </c>
      <c r="AC262" s="46">
        <f t="shared" si="55"/>
        <v>0</v>
      </c>
      <c r="AD262" s="46">
        <f t="shared" si="55"/>
        <v>0</v>
      </c>
      <c r="AE262" s="46">
        <f t="shared" si="55"/>
        <v>0</v>
      </c>
      <c r="AF262" s="46">
        <f t="shared" si="55"/>
        <v>0</v>
      </c>
      <c r="AG262" s="46">
        <f t="shared" si="55"/>
        <v>0</v>
      </c>
      <c r="AH262" s="46">
        <f t="shared" si="55"/>
        <v>0</v>
      </c>
      <c r="AI262" s="46">
        <f t="shared" si="55"/>
        <v>0</v>
      </c>
      <c r="AJ262" s="46">
        <f t="shared" si="55"/>
        <v>0</v>
      </c>
      <c r="AK262" s="46">
        <f t="shared" si="55"/>
        <v>0</v>
      </c>
      <c r="AL262" s="46">
        <f t="shared" si="55"/>
        <v>0</v>
      </c>
      <c r="AM262" s="46">
        <f t="shared" si="55"/>
        <v>0</v>
      </c>
      <c r="AN262" s="46">
        <f t="shared" si="55"/>
        <v>0</v>
      </c>
      <c r="AO262" s="46">
        <f t="shared" si="55"/>
        <v>0</v>
      </c>
      <c r="AP262" s="46">
        <f t="shared" si="55"/>
        <v>0</v>
      </c>
      <c r="AQ262" s="46">
        <f t="shared" si="55"/>
        <v>0</v>
      </c>
      <c r="AR262" s="46">
        <f t="shared" si="55"/>
        <v>0</v>
      </c>
      <c r="AS262" s="46">
        <f t="shared" si="55"/>
        <v>0</v>
      </c>
    </row>
    <row r="263" spans="3:45" outlineLevel="1" x14ac:dyDescent="0.3">
      <c r="C263" s="5" t="s">
        <v>190</v>
      </c>
      <c r="D263" s="2" t="s">
        <v>2</v>
      </c>
      <c r="J263" s="64">
        <f t="shared" ref="J263:AS263" si="56">(1-Degradation)^MAX(J252-1,0)</f>
        <v>1</v>
      </c>
      <c r="K263" s="64">
        <f t="shared" si="56"/>
        <v>1</v>
      </c>
      <c r="L263" s="64">
        <f t="shared" si="56"/>
        <v>1</v>
      </c>
      <c r="M263" s="64">
        <f t="shared" si="56"/>
        <v>1</v>
      </c>
      <c r="N263" s="64">
        <f t="shared" si="56"/>
        <v>1</v>
      </c>
      <c r="O263" s="64">
        <f t="shared" si="56"/>
        <v>1</v>
      </c>
      <c r="P263" s="64">
        <f t="shared" si="56"/>
        <v>1</v>
      </c>
      <c r="Q263" s="64">
        <f t="shared" si="56"/>
        <v>0.997</v>
      </c>
      <c r="R263" s="64">
        <f t="shared" si="56"/>
        <v>0.99400900000000003</v>
      </c>
      <c r="S263" s="64">
        <f t="shared" si="56"/>
        <v>0.99102697299999998</v>
      </c>
      <c r="T263" s="64">
        <f t="shared" si="56"/>
        <v>0.98805389208100003</v>
      </c>
      <c r="U263" s="64">
        <f t="shared" si="56"/>
        <v>0.985089730404757</v>
      </c>
      <c r="V263" s="64">
        <f t="shared" si="56"/>
        <v>0.98213446121354275</v>
      </c>
      <c r="W263" s="64">
        <f t="shared" si="56"/>
        <v>0.97918805782990215</v>
      </c>
      <c r="X263" s="64">
        <f t="shared" si="56"/>
        <v>0.97625049365641248</v>
      </c>
      <c r="Y263" s="64">
        <f t="shared" si="56"/>
        <v>0.97332174217544321</v>
      </c>
      <c r="Z263" s="64">
        <f t="shared" si="56"/>
        <v>0.97040177694891694</v>
      </c>
      <c r="AA263" s="64">
        <f t="shared" si="56"/>
        <v>0.96749057161807017</v>
      </c>
      <c r="AB263" s="64">
        <f t="shared" si="56"/>
        <v>0.96458809990321592</v>
      </c>
      <c r="AC263" s="64">
        <f t="shared" si="56"/>
        <v>0.96169433560350626</v>
      </c>
      <c r="AD263" s="64">
        <f t="shared" si="56"/>
        <v>0.9588092525966958</v>
      </c>
      <c r="AE263" s="64">
        <f t="shared" si="56"/>
        <v>0.95593282483890574</v>
      </c>
      <c r="AF263" s="64">
        <f t="shared" si="56"/>
        <v>0.95306502636438906</v>
      </c>
      <c r="AG263" s="64">
        <f t="shared" si="56"/>
        <v>0.9502058312852959</v>
      </c>
      <c r="AH263" s="64">
        <f t="shared" si="56"/>
        <v>0.94735521379144005</v>
      </c>
      <c r="AI263" s="64">
        <f t="shared" si="56"/>
        <v>0.94451314815006571</v>
      </c>
      <c r="AJ263" s="64">
        <f t="shared" si="56"/>
        <v>0.94167960870561551</v>
      </c>
      <c r="AK263" s="64">
        <f t="shared" si="56"/>
        <v>0.93885456987949867</v>
      </c>
      <c r="AL263" s="64">
        <f t="shared" si="56"/>
        <v>0.93603800616986021</v>
      </c>
      <c r="AM263" s="64">
        <f t="shared" si="56"/>
        <v>0.93322989215135066</v>
      </c>
      <c r="AN263" s="64">
        <f t="shared" si="56"/>
        <v>0.93043020247489661</v>
      </c>
      <c r="AO263" s="64">
        <f t="shared" si="56"/>
        <v>0.92763891186747183</v>
      </c>
      <c r="AP263" s="64">
        <f t="shared" si="56"/>
        <v>0.92485599513186956</v>
      </c>
      <c r="AQ263" s="64">
        <f t="shared" si="56"/>
        <v>0.9220814271464739</v>
      </c>
      <c r="AR263" s="64">
        <f t="shared" si="56"/>
        <v>0.91931518286503444</v>
      </c>
      <c r="AS263" s="64">
        <f t="shared" si="56"/>
        <v>0.91655723731643934</v>
      </c>
    </row>
    <row r="264" spans="3:45" outlineLevel="1" x14ac:dyDescent="0.3">
      <c r="C264" s="5" t="s">
        <v>191</v>
      </c>
      <c r="D264" s="2" t="s">
        <v>192</v>
      </c>
      <c r="H264" s="48">
        <f>SUM(J264:AS264)</f>
        <v>3383.649862749794</v>
      </c>
      <c r="J264" s="48">
        <f t="shared" ref="J264:AS264" si="57">$E$45*$E$21*(1-Curtailment)*(1-Clipping)*J256*J263/Thousand</f>
        <v>0</v>
      </c>
      <c r="K264" s="48">
        <f t="shared" si="57"/>
        <v>0</v>
      </c>
      <c r="L264" s="48">
        <f t="shared" si="57"/>
        <v>0</v>
      </c>
      <c r="M264" s="48">
        <f t="shared" si="57"/>
        <v>0</v>
      </c>
      <c r="N264" s="48">
        <f t="shared" si="57"/>
        <v>0</v>
      </c>
      <c r="O264" s="48">
        <f t="shared" si="57"/>
        <v>58.8</v>
      </c>
      <c r="P264" s="48">
        <f t="shared" si="57"/>
        <v>117.6</v>
      </c>
      <c r="Q264" s="48">
        <f t="shared" si="57"/>
        <v>117.24719999999999</v>
      </c>
      <c r="R264" s="48">
        <f t="shared" si="57"/>
        <v>116.89545840000001</v>
      </c>
      <c r="S264" s="48">
        <f t="shared" si="57"/>
        <v>116.5447720248</v>
      </c>
      <c r="T264" s="48">
        <f t="shared" si="57"/>
        <v>116.1951377087256</v>
      </c>
      <c r="U264" s="48">
        <f t="shared" si="57"/>
        <v>115.84655229559942</v>
      </c>
      <c r="V264" s="48">
        <f t="shared" si="57"/>
        <v>115.49901263871263</v>
      </c>
      <c r="W264" s="48">
        <f t="shared" si="57"/>
        <v>115.15251560079649</v>
      </c>
      <c r="X264" s="48">
        <f t="shared" si="57"/>
        <v>114.8070580539941</v>
      </c>
      <c r="Y264" s="48">
        <f t="shared" si="57"/>
        <v>114.46263687983212</v>
      </c>
      <c r="Z264" s="48">
        <f t="shared" si="57"/>
        <v>114.11924896919263</v>
      </c>
      <c r="AA264" s="48">
        <f t="shared" si="57"/>
        <v>113.77689122228504</v>
      </c>
      <c r="AB264" s="48">
        <f t="shared" si="57"/>
        <v>113.43556054861818</v>
      </c>
      <c r="AC264" s="48">
        <f t="shared" si="57"/>
        <v>113.09525386697233</v>
      </c>
      <c r="AD264" s="48">
        <f t="shared" si="57"/>
        <v>112.75596810537144</v>
      </c>
      <c r="AE264" s="48">
        <f t="shared" si="57"/>
        <v>112.41770020105531</v>
      </c>
      <c r="AF264" s="48">
        <f t="shared" si="57"/>
        <v>112.08044710045215</v>
      </c>
      <c r="AG264" s="48">
        <f t="shared" si="57"/>
        <v>111.74420575915079</v>
      </c>
      <c r="AH264" s="48">
        <f t="shared" si="57"/>
        <v>111.40897314187336</v>
      </c>
      <c r="AI264" s="48">
        <f t="shared" si="57"/>
        <v>111.07474622244771</v>
      </c>
      <c r="AJ264" s="48">
        <f t="shared" si="57"/>
        <v>110.74152198378039</v>
      </c>
      <c r="AK264" s="48">
        <f t="shared" si="57"/>
        <v>110.40929741782905</v>
      </c>
      <c r="AL264" s="48">
        <f t="shared" si="57"/>
        <v>110.07806952557556</v>
      </c>
      <c r="AM264" s="48">
        <f t="shared" si="57"/>
        <v>109.74783531699885</v>
      </c>
      <c r="AN264" s="48">
        <f t="shared" si="57"/>
        <v>109.41859181104783</v>
      </c>
      <c r="AO264" s="48">
        <f t="shared" si="57"/>
        <v>109.09033603561468</v>
      </c>
      <c r="AP264" s="48">
        <f t="shared" si="57"/>
        <v>108.76306502750786</v>
      </c>
      <c r="AQ264" s="48">
        <f t="shared" si="57"/>
        <v>108.43677583242534</v>
      </c>
      <c r="AR264" s="48">
        <f t="shared" si="57"/>
        <v>108.11146550492805</v>
      </c>
      <c r="AS264" s="48">
        <f t="shared" si="57"/>
        <v>53.893565554206631</v>
      </c>
    </row>
    <row r="265" spans="3:45" outlineLevel="1" x14ac:dyDescent="0.3">
      <c r="C265" s="5" t="s">
        <v>193</v>
      </c>
      <c r="D265" s="2" t="s">
        <v>19</v>
      </c>
      <c r="J265" s="48">
        <f t="shared" ref="J265:AS265" si="58">Case_PPA*(1+PPA_Esc)^J252*(J256&gt;0)</f>
        <v>0</v>
      </c>
      <c r="K265" s="48">
        <f t="shared" si="58"/>
        <v>0</v>
      </c>
      <c r="L265" s="48">
        <f t="shared" si="58"/>
        <v>0</v>
      </c>
      <c r="M265" s="48">
        <f t="shared" si="58"/>
        <v>0</v>
      </c>
      <c r="N265" s="48">
        <f t="shared" si="58"/>
        <v>0</v>
      </c>
      <c r="O265" s="48">
        <f t="shared" si="58"/>
        <v>90</v>
      </c>
      <c r="P265" s="48">
        <f t="shared" si="58"/>
        <v>90.9</v>
      </c>
      <c r="Q265" s="48">
        <f t="shared" si="58"/>
        <v>91.808999999999997</v>
      </c>
      <c r="R265" s="48">
        <f t="shared" si="58"/>
        <v>92.72708999999999</v>
      </c>
      <c r="S265" s="48">
        <f t="shared" si="58"/>
        <v>93.6543609</v>
      </c>
      <c r="T265" s="48">
        <f t="shared" si="58"/>
        <v>94.590904508999998</v>
      </c>
      <c r="U265" s="48">
        <f t="shared" si="58"/>
        <v>95.536813554090017</v>
      </c>
      <c r="V265" s="48">
        <f t="shared" si="58"/>
        <v>96.492181689630883</v>
      </c>
      <c r="W265" s="48">
        <f t="shared" si="58"/>
        <v>97.457103506527218</v>
      </c>
      <c r="X265" s="48">
        <f t="shared" si="58"/>
        <v>98.4316745415925</v>
      </c>
      <c r="Y265" s="48">
        <f t="shared" si="58"/>
        <v>99.415991287008424</v>
      </c>
      <c r="Z265" s="48">
        <f t="shared" si="58"/>
        <v>100.41015119987848</v>
      </c>
      <c r="AA265" s="48">
        <f t="shared" si="58"/>
        <v>101.41425271187728</v>
      </c>
      <c r="AB265" s="48">
        <f t="shared" si="58"/>
        <v>102.42839523899606</v>
      </c>
      <c r="AC265" s="48">
        <f t="shared" si="58"/>
        <v>103.45267919138603</v>
      </c>
      <c r="AD265" s="48">
        <f t="shared" si="58"/>
        <v>104.48720598329986</v>
      </c>
      <c r="AE265" s="48">
        <f t="shared" si="58"/>
        <v>105.53207804313288</v>
      </c>
      <c r="AF265" s="48">
        <f t="shared" si="58"/>
        <v>106.58739882356423</v>
      </c>
      <c r="AG265" s="48">
        <f t="shared" si="58"/>
        <v>107.65327281179987</v>
      </c>
      <c r="AH265" s="48">
        <f t="shared" si="58"/>
        <v>108.72980553991785</v>
      </c>
      <c r="AI265" s="48">
        <f t="shared" si="58"/>
        <v>109.81710359531704</v>
      </c>
      <c r="AJ265" s="48">
        <f t="shared" si="58"/>
        <v>110.91527463127019</v>
      </c>
      <c r="AK265" s="48">
        <f t="shared" si="58"/>
        <v>112.02442737758292</v>
      </c>
      <c r="AL265" s="48">
        <f t="shared" si="58"/>
        <v>113.14467165135873</v>
      </c>
      <c r="AM265" s="48">
        <f t="shared" si="58"/>
        <v>114.27611836787234</v>
      </c>
      <c r="AN265" s="48">
        <f t="shared" si="58"/>
        <v>115.41887955155109</v>
      </c>
      <c r="AO265" s="48">
        <f t="shared" si="58"/>
        <v>116.5730683470666</v>
      </c>
      <c r="AP265" s="48">
        <f t="shared" si="58"/>
        <v>117.73879903053722</v>
      </c>
      <c r="AQ265" s="48">
        <f t="shared" si="58"/>
        <v>118.9161870208426</v>
      </c>
      <c r="AR265" s="48">
        <f t="shared" si="58"/>
        <v>120.10534889105104</v>
      </c>
      <c r="AS265" s="48">
        <f t="shared" si="58"/>
        <v>121.30640237996157</v>
      </c>
    </row>
    <row r="266" spans="3:45" outlineLevel="1" x14ac:dyDescent="0.3">
      <c r="C266" s="1" t="s">
        <v>126</v>
      </c>
      <c r="D266" s="2" t="s">
        <v>78</v>
      </c>
      <c r="H266" s="52">
        <f>SUM(J266:AS266)</f>
        <v>354071.9728011543</v>
      </c>
      <c r="J266" s="52">
        <f t="shared" ref="J266:AS266" si="59">J264*J265</f>
        <v>0</v>
      </c>
      <c r="K266" s="52">
        <f t="shared" si="59"/>
        <v>0</v>
      </c>
      <c r="L266" s="52">
        <f t="shared" si="59"/>
        <v>0</v>
      </c>
      <c r="M266" s="52">
        <f t="shared" si="59"/>
        <v>0</v>
      </c>
      <c r="N266" s="52">
        <f t="shared" si="59"/>
        <v>0</v>
      </c>
      <c r="O266" s="52">
        <f t="shared" si="59"/>
        <v>5292</v>
      </c>
      <c r="P266" s="52">
        <f t="shared" si="59"/>
        <v>10689.84</v>
      </c>
      <c r="Q266" s="52">
        <f t="shared" si="59"/>
        <v>10764.348184799999</v>
      </c>
      <c r="R266" s="52">
        <f t="shared" si="59"/>
        <v>10839.375691648056</v>
      </c>
      <c r="S266" s="52">
        <f t="shared" si="59"/>
        <v>10914.926140218842</v>
      </c>
      <c r="T266" s="52">
        <f t="shared" si="59"/>
        <v>10991.003175416168</v>
      </c>
      <c r="U266" s="52">
        <f t="shared" si="59"/>
        <v>11067.61046754882</v>
      </c>
      <c r="V266" s="52">
        <f t="shared" si="59"/>
        <v>11144.751712507632</v>
      </c>
      <c r="W266" s="52">
        <f t="shared" si="59"/>
        <v>11222.430631943815</v>
      </c>
      <c r="X266" s="52">
        <f t="shared" si="59"/>
        <v>11300.650973448463</v>
      </c>
      <c r="Y266" s="52">
        <f t="shared" si="59"/>
        <v>11379.416510733399</v>
      </c>
      <c r="Z266" s="52">
        <f t="shared" si="59"/>
        <v>11458.731043813208</v>
      </c>
      <c r="AA266" s="52">
        <f t="shared" si="59"/>
        <v>11538.598399188588</v>
      </c>
      <c r="AB266" s="52">
        <f t="shared" si="59"/>
        <v>11619.022430030933</v>
      </c>
      <c r="AC266" s="52">
        <f t="shared" si="59"/>
        <v>11700.007016368249</v>
      </c>
      <c r="AD266" s="52">
        <f t="shared" si="59"/>
        <v>11781.556065272334</v>
      </c>
      <c r="AE266" s="52">
        <f t="shared" si="59"/>
        <v>11863.673511047284</v>
      </c>
      <c r="AF266" s="52">
        <f t="shared" si="59"/>
        <v>11946.363315419287</v>
      </c>
      <c r="AG266" s="52">
        <f t="shared" si="59"/>
        <v>12029.629467727758</v>
      </c>
      <c r="AH266" s="52">
        <f t="shared" si="59"/>
        <v>12113.475985117821</v>
      </c>
      <c r="AI266" s="52">
        <f t="shared" si="59"/>
        <v>12197.90691273409</v>
      </c>
      <c r="AJ266" s="52">
        <f t="shared" si="59"/>
        <v>12282.926323915848</v>
      </c>
      <c r="AK266" s="52">
        <f t="shared" si="59"/>
        <v>12368.538320393545</v>
      </c>
      <c r="AL266" s="52">
        <f t="shared" si="59"/>
        <v>12454.747032486684</v>
      </c>
      <c r="AM266" s="52">
        <f t="shared" si="59"/>
        <v>12541.556619303121</v>
      </c>
      <c r="AN266" s="52">
        <f t="shared" si="59"/>
        <v>12628.971268939664</v>
      </c>
      <c r="AO266" s="52">
        <f t="shared" si="59"/>
        <v>12716.995198684172</v>
      </c>
      <c r="AP266" s="52">
        <f t="shared" si="59"/>
        <v>12805.632655219</v>
      </c>
      <c r="AQ266" s="52">
        <f t="shared" si="59"/>
        <v>12894.887914825877</v>
      </c>
      <c r="AR266" s="52">
        <f t="shared" si="59"/>
        <v>12984.765283592213</v>
      </c>
      <c r="AS266" s="52">
        <f t="shared" si="59"/>
        <v>6537.6345488094257</v>
      </c>
    </row>
    <row r="267" spans="3:45" outlineLevel="1" x14ac:dyDescent="0.3">
      <c r="C267" s="5" t="s">
        <v>194</v>
      </c>
      <c r="D267" s="2" t="s">
        <v>2</v>
      </c>
      <c r="J267" s="64">
        <f t="shared" ref="J267:AS267" si="60">(1+Opex_Esc)^J252</f>
        <v>0.88385428760951712</v>
      </c>
      <c r="K267" s="64">
        <f t="shared" si="60"/>
        <v>0.90595064479975507</v>
      </c>
      <c r="L267" s="64">
        <f t="shared" si="60"/>
        <v>0.92859941091974885</v>
      </c>
      <c r="M267" s="64">
        <f t="shared" si="60"/>
        <v>0.95181439619274244</v>
      </c>
      <c r="N267" s="64">
        <f t="shared" si="60"/>
        <v>0.97560975609756106</v>
      </c>
      <c r="O267" s="64">
        <f t="shared" si="60"/>
        <v>1</v>
      </c>
      <c r="P267" s="64">
        <f t="shared" si="60"/>
        <v>1.0249999999999999</v>
      </c>
      <c r="Q267" s="64">
        <f t="shared" si="60"/>
        <v>1.0506249999999999</v>
      </c>
      <c r="R267" s="64">
        <f t="shared" si="60"/>
        <v>1.0768906249999999</v>
      </c>
      <c r="S267" s="64">
        <f t="shared" si="60"/>
        <v>1.1038128906249998</v>
      </c>
      <c r="T267" s="64">
        <f t="shared" si="60"/>
        <v>1.1314082128906247</v>
      </c>
      <c r="U267" s="64">
        <f t="shared" si="60"/>
        <v>1.1596934182128902</v>
      </c>
      <c r="V267" s="64">
        <f t="shared" si="60"/>
        <v>1.1886857536682125</v>
      </c>
      <c r="W267" s="64">
        <f t="shared" si="60"/>
        <v>1.2184028975099177</v>
      </c>
      <c r="X267" s="64">
        <f t="shared" si="60"/>
        <v>1.2488629699476654</v>
      </c>
      <c r="Y267" s="64">
        <f t="shared" si="60"/>
        <v>1.2800845441963571</v>
      </c>
      <c r="Z267" s="64">
        <f t="shared" si="60"/>
        <v>1.312086657801266</v>
      </c>
      <c r="AA267" s="64">
        <f t="shared" si="60"/>
        <v>1.3448888242462975</v>
      </c>
      <c r="AB267" s="64">
        <f t="shared" si="60"/>
        <v>1.3785110448524549</v>
      </c>
      <c r="AC267" s="64">
        <f t="shared" si="60"/>
        <v>1.4129738209737661</v>
      </c>
      <c r="AD267" s="64">
        <f t="shared" si="60"/>
        <v>1.4482981664981105</v>
      </c>
      <c r="AE267" s="64">
        <f t="shared" si="60"/>
        <v>1.4845056206605631</v>
      </c>
      <c r="AF267" s="64">
        <f t="shared" si="60"/>
        <v>1.521618261177077</v>
      </c>
      <c r="AG267" s="64">
        <f t="shared" si="60"/>
        <v>1.559658717706504</v>
      </c>
      <c r="AH267" s="64">
        <f t="shared" si="60"/>
        <v>1.5986501856491666</v>
      </c>
      <c r="AI267" s="64">
        <f t="shared" si="60"/>
        <v>1.6386164402903955</v>
      </c>
      <c r="AJ267" s="64">
        <f t="shared" si="60"/>
        <v>1.6795818512976552</v>
      </c>
      <c r="AK267" s="64">
        <f t="shared" si="60"/>
        <v>1.7215713975800966</v>
      </c>
      <c r="AL267" s="64">
        <f t="shared" si="60"/>
        <v>1.7646106825195991</v>
      </c>
      <c r="AM267" s="64">
        <f t="shared" si="60"/>
        <v>1.8087259495825889</v>
      </c>
      <c r="AN267" s="64">
        <f t="shared" si="60"/>
        <v>1.8539440983221533</v>
      </c>
      <c r="AO267" s="64">
        <f t="shared" si="60"/>
        <v>1.9002927007802071</v>
      </c>
      <c r="AP267" s="64">
        <f t="shared" si="60"/>
        <v>1.9478000182997122</v>
      </c>
      <c r="AQ267" s="64">
        <f t="shared" si="60"/>
        <v>1.9964950187572048</v>
      </c>
      <c r="AR267" s="64">
        <f t="shared" si="60"/>
        <v>2.0464073942261352</v>
      </c>
      <c r="AS267" s="64">
        <f t="shared" si="60"/>
        <v>2.097567579081788</v>
      </c>
    </row>
    <row r="268" spans="3:45" outlineLevel="1" x14ac:dyDescent="0.3">
      <c r="C268" s="5" t="s">
        <v>195</v>
      </c>
      <c r="D268" s="2" t="s">
        <v>78</v>
      </c>
      <c r="H268" s="44">
        <f t="shared" ref="H268:H277" si="61">SUM(J268:AS268)</f>
        <v>-55564.358691015645</v>
      </c>
      <c r="J268" s="44">
        <f t="shared" ref="J268:AS268" si="62">-(Case_OM+SUM(Opex_Per_MW))*$E$45*J267*J256</f>
        <v>0</v>
      </c>
      <c r="K268" s="44">
        <f t="shared" si="62"/>
        <v>0</v>
      </c>
      <c r="L268" s="44">
        <f t="shared" si="62"/>
        <v>0</v>
      </c>
      <c r="M268" s="44">
        <f t="shared" si="62"/>
        <v>0</v>
      </c>
      <c r="N268" s="44">
        <f t="shared" si="62"/>
        <v>0</v>
      </c>
      <c r="O268" s="44">
        <f t="shared" si="62"/>
        <v>-625</v>
      </c>
      <c r="P268" s="44">
        <f t="shared" si="62"/>
        <v>-1281.25</v>
      </c>
      <c r="Q268" s="44">
        <f t="shared" si="62"/>
        <v>-1313.28125</v>
      </c>
      <c r="R268" s="44">
        <f t="shared" si="62"/>
        <v>-1346.1132812499998</v>
      </c>
      <c r="S268" s="44">
        <f t="shared" si="62"/>
        <v>-1379.7661132812498</v>
      </c>
      <c r="T268" s="44">
        <f t="shared" si="62"/>
        <v>-1414.2602661132807</v>
      </c>
      <c r="U268" s="44">
        <f t="shared" si="62"/>
        <v>-1449.6167727661127</v>
      </c>
      <c r="V268" s="44">
        <f t="shared" si="62"/>
        <v>-1485.8571920852655</v>
      </c>
      <c r="W268" s="44">
        <f t="shared" si="62"/>
        <v>-1523.0036218873972</v>
      </c>
      <c r="X268" s="44">
        <f t="shared" si="62"/>
        <v>-1561.0787124345818</v>
      </c>
      <c r="Y268" s="44">
        <f t="shared" si="62"/>
        <v>-1600.1056802454464</v>
      </c>
      <c r="Z268" s="44">
        <f t="shared" si="62"/>
        <v>-1640.1083222515824</v>
      </c>
      <c r="AA268" s="44">
        <f t="shared" si="62"/>
        <v>-1681.1110303078719</v>
      </c>
      <c r="AB268" s="44">
        <f t="shared" si="62"/>
        <v>-1723.1388060655686</v>
      </c>
      <c r="AC268" s="44">
        <f t="shared" si="62"/>
        <v>-1766.2172762172077</v>
      </c>
      <c r="AD268" s="44">
        <f t="shared" si="62"/>
        <v>-1810.3727081226382</v>
      </c>
      <c r="AE268" s="44">
        <f t="shared" si="62"/>
        <v>-1855.632025825704</v>
      </c>
      <c r="AF268" s="44">
        <f t="shared" si="62"/>
        <v>-1902.0228264713462</v>
      </c>
      <c r="AG268" s="44">
        <f t="shared" si="62"/>
        <v>-1949.5733971331299</v>
      </c>
      <c r="AH268" s="44">
        <f t="shared" si="62"/>
        <v>-1998.3127320614583</v>
      </c>
      <c r="AI268" s="44">
        <f t="shared" si="62"/>
        <v>-2048.2705503629945</v>
      </c>
      <c r="AJ268" s="44">
        <f t="shared" si="62"/>
        <v>-2099.4773141220689</v>
      </c>
      <c r="AK268" s="44">
        <f t="shared" si="62"/>
        <v>-2151.9642469751207</v>
      </c>
      <c r="AL268" s="44">
        <f t="shared" si="62"/>
        <v>-2205.7633531494989</v>
      </c>
      <c r="AM268" s="44">
        <f t="shared" si="62"/>
        <v>-2260.9074369782361</v>
      </c>
      <c r="AN268" s="44">
        <f t="shared" si="62"/>
        <v>-2317.4301229026919</v>
      </c>
      <c r="AO268" s="44">
        <f t="shared" si="62"/>
        <v>-2375.3658759752589</v>
      </c>
      <c r="AP268" s="44">
        <f t="shared" si="62"/>
        <v>-2434.7500228746403</v>
      </c>
      <c r="AQ268" s="44">
        <f t="shared" si="62"/>
        <v>-2495.6187734465061</v>
      </c>
      <c r="AR268" s="44">
        <f t="shared" si="62"/>
        <v>-2558.0092427826689</v>
      </c>
      <c r="AS268" s="44">
        <f t="shared" si="62"/>
        <v>-1310.9797369261175</v>
      </c>
    </row>
    <row r="269" spans="3:45" outlineLevel="1" x14ac:dyDescent="0.3">
      <c r="C269" s="5" t="s">
        <v>196</v>
      </c>
      <c r="D269" s="2" t="s">
        <v>78</v>
      </c>
      <c r="H269" s="44">
        <f t="shared" si="61"/>
        <v>-1666.9307607304695</v>
      </c>
      <c r="J269" s="44">
        <f t="shared" ref="J269:AS269" si="63">-Opex_Admin*$E$6/Lump_Basis*J267*J256</f>
        <v>0</v>
      </c>
      <c r="K269" s="44">
        <f t="shared" si="63"/>
        <v>0</v>
      </c>
      <c r="L269" s="44">
        <f t="shared" si="63"/>
        <v>0</v>
      </c>
      <c r="M269" s="44">
        <f t="shared" si="63"/>
        <v>0</v>
      </c>
      <c r="N269" s="44">
        <f t="shared" si="63"/>
        <v>0</v>
      </c>
      <c r="O269" s="44">
        <f t="shared" si="63"/>
        <v>-18.75</v>
      </c>
      <c r="P269" s="44">
        <f t="shared" si="63"/>
        <v>-38.4375</v>
      </c>
      <c r="Q269" s="44">
        <f t="shared" si="63"/>
        <v>-39.3984375</v>
      </c>
      <c r="R269" s="44">
        <f t="shared" si="63"/>
        <v>-40.383398437499999</v>
      </c>
      <c r="S269" s="44">
        <f t="shared" si="63"/>
        <v>-41.392983398437494</v>
      </c>
      <c r="T269" s="44">
        <f t="shared" si="63"/>
        <v>-42.427807983398424</v>
      </c>
      <c r="U269" s="44">
        <f t="shared" si="63"/>
        <v>-43.488503182983379</v>
      </c>
      <c r="V269" s="44">
        <f t="shared" si="63"/>
        <v>-44.575715762557969</v>
      </c>
      <c r="W269" s="44">
        <f t="shared" si="63"/>
        <v>-45.690108656621916</v>
      </c>
      <c r="X269" s="44">
        <f t="shared" si="63"/>
        <v>-46.83236137303745</v>
      </c>
      <c r="Y269" s="44">
        <f t="shared" si="63"/>
        <v>-48.003170407363392</v>
      </c>
      <c r="Z269" s="44">
        <f t="shared" si="63"/>
        <v>-49.203249667547475</v>
      </c>
      <c r="AA269" s="44">
        <f t="shared" si="63"/>
        <v>-50.433330909236155</v>
      </c>
      <c r="AB269" s="44">
        <f t="shared" si="63"/>
        <v>-51.694164181967061</v>
      </c>
      <c r="AC269" s="44">
        <f t="shared" si="63"/>
        <v>-52.98651828651623</v>
      </c>
      <c r="AD269" s="44">
        <f t="shared" si="63"/>
        <v>-54.311181243679144</v>
      </c>
      <c r="AE269" s="44">
        <f t="shared" si="63"/>
        <v>-55.668960774771115</v>
      </c>
      <c r="AF269" s="44">
        <f t="shared" si="63"/>
        <v>-57.060684794140386</v>
      </c>
      <c r="AG269" s="44">
        <f t="shared" si="63"/>
        <v>-58.4872019139939</v>
      </c>
      <c r="AH269" s="44">
        <f t="shared" si="63"/>
        <v>-59.949381961843748</v>
      </c>
      <c r="AI269" s="44">
        <f t="shared" si="63"/>
        <v>-61.448116510889832</v>
      </c>
      <c r="AJ269" s="44">
        <f t="shared" si="63"/>
        <v>-62.984319423662072</v>
      </c>
      <c r="AK269" s="44">
        <f t="shared" si="63"/>
        <v>-64.558927409253627</v>
      </c>
      <c r="AL269" s="44">
        <f t="shared" si="63"/>
        <v>-66.172900594484972</v>
      </c>
      <c r="AM269" s="44">
        <f t="shared" si="63"/>
        <v>-67.827223109347088</v>
      </c>
      <c r="AN269" s="44">
        <f t="shared" si="63"/>
        <v>-69.522903687080756</v>
      </c>
      <c r="AO269" s="44">
        <f t="shared" si="63"/>
        <v>-71.260976279257761</v>
      </c>
      <c r="AP269" s="44">
        <f t="shared" si="63"/>
        <v>-73.042500686239208</v>
      </c>
      <c r="AQ269" s="44">
        <f t="shared" si="63"/>
        <v>-74.868563203395183</v>
      </c>
      <c r="AR269" s="44">
        <f t="shared" si="63"/>
        <v>-76.740277283480069</v>
      </c>
      <c r="AS269" s="44">
        <f t="shared" si="63"/>
        <v>-39.329392107783526</v>
      </c>
    </row>
    <row r="270" spans="3:45" outlineLevel="1" x14ac:dyDescent="0.3">
      <c r="C270" s="5" t="s">
        <v>197</v>
      </c>
      <c r="D270" s="2" t="s">
        <v>78</v>
      </c>
      <c r="H270" s="44">
        <f t="shared" si="61"/>
        <v>-24930.103069274021</v>
      </c>
      <c r="J270" s="44">
        <f t="shared" ref="J270:AS270" si="64">-J264*(Balancing+Grid_Charges)*J267</f>
        <v>0</v>
      </c>
      <c r="K270" s="44">
        <f t="shared" si="64"/>
        <v>0</v>
      </c>
      <c r="L270" s="44">
        <f t="shared" si="64"/>
        <v>0</v>
      </c>
      <c r="M270" s="44">
        <f t="shared" si="64"/>
        <v>0</v>
      </c>
      <c r="N270" s="44">
        <f t="shared" si="64"/>
        <v>0</v>
      </c>
      <c r="O270" s="44">
        <f t="shared" si="64"/>
        <v>-294</v>
      </c>
      <c r="P270" s="44">
        <f t="shared" si="64"/>
        <v>-602.69999999999993</v>
      </c>
      <c r="Q270" s="44">
        <f t="shared" si="64"/>
        <v>-615.91419749999989</v>
      </c>
      <c r="R270" s="44">
        <f t="shared" si="64"/>
        <v>-629.41811628018752</v>
      </c>
      <c r="S270" s="44">
        <f t="shared" si="64"/>
        <v>-643.21810847963047</v>
      </c>
      <c r="T270" s="44">
        <f t="shared" si="64"/>
        <v>-657.3206655080462</v>
      </c>
      <c r="U270" s="44">
        <f t="shared" si="64"/>
        <v>-671.73242109931016</v>
      </c>
      <c r="V270" s="44">
        <f t="shared" si="64"/>
        <v>-686.46015443191266</v>
      </c>
      <c r="W270" s="44">
        <f t="shared" si="64"/>
        <v>-701.51079331783217</v>
      </c>
      <c r="X270" s="44">
        <f t="shared" si="64"/>
        <v>-716.89141746132555</v>
      </c>
      <c r="Y270" s="44">
        <f t="shared" si="64"/>
        <v>-732.6092617891652</v>
      </c>
      <c r="Z270" s="44">
        <f t="shared" si="64"/>
        <v>-748.67171985389268</v>
      </c>
      <c r="AA270" s="44">
        <f t="shared" si="64"/>
        <v>-765.08634731168922</v>
      </c>
      <c r="AB270" s="44">
        <f t="shared" si="64"/>
        <v>-781.86086547649791</v>
      </c>
      <c r="AC270" s="44">
        <f t="shared" si="64"/>
        <v>-799.00316495206994</v>
      </c>
      <c r="AD270" s="44">
        <f t="shared" si="64"/>
        <v>-816.52130934364448</v>
      </c>
      <c r="AE270" s="44">
        <f t="shared" si="64"/>
        <v>-834.42353905100367</v>
      </c>
      <c r="AF270" s="44">
        <f t="shared" si="64"/>
        <v>-852.7182751446968</v>
      </c>
      <c r="AG270" s="44">
        <f t="shared" si="64"/>
        <v>-871.41412332724428</v>
      </c>
      <c r="AH270" s="44">
        <f t="shared" si="64"/>
        <v>-890.51987798119433</v>
      </c>
      <c r="AI270" s="44">
        <f t="shared" si="64"/>
        <v>-910.04452630593175</v>
      </c>
      <c r="AJ270" s="44">
        <f t="shared" si="64"/>
        <v>-929.99725254518921</v>
      </c>
      <c r="AK270" s="44">
        <f t="shared" si="64"/>
        <v>-950.38744230724251</v>
      </c>
      <c r="AL270" s="44">
        <f t="shared" si="64"/>
        <v>-971.22468697982879</v>
      </c>
      <c r="AM270" s="44">
        <f t="shared" si="64"/>
        <v>-992.51878824186156</v>
      </c>
      <c r="AN270" s="44">
        <f t="shared" si="64"/>
        <v>-1014.279762674064</v>
      </c>
      <c r="AO270" s="44">
        <f t="shared" si="64"/>
        <v>-1036.5178464706928</v>
      </c>
      <c r="AP270" s="44">
        <f t="shared" si="64"/>
        <v>-1059.2435002545628</v>
      </c>
      <c r="AQ270" s="44">
        <f t="shared" si="64"/>
        <v>-1082.4674139976441</v>
      </c>
      <c r="AR270" s="44">
        <f t="shared" si="64"/>
        <v>-1106.2005120495423</v>
      </c>
      <c r="AS270" s="44">
        <f t="shared" si="64"/>
        <v>-565.2269791381143</v>
      </c>
    </row>
    <row r="271" spans="3:45" outlineLevel="1" x14ac:dyDescent="0.3">
      <c r="C271" s="5" t="s">
        <v>198</v>
      </c>
      <c r="D271" s="2" t="s">
        <v>78</v>
      </c>
      <c r="H271" s="44">
        <f t="shared" si="61"/>
        <v>-354.07197280115423</v>
      </c>
      <c r="J271" s="44">
        <f t="shared" ref="J271:AS271" si="65">-J266*MEKH_Fee</f>
        <v>0</v>
      </c>
      <c r="K271" s="44">
        <f t="shared" si="65"/>
        <v>0</v>
      </c>
      <c r="L271" s="44">
        <f t="shared" si="65"/>
        <v>0</v>
      </c>
      <c r="M271" s="44">
        <f t="shared" si="65"/>
        <v>0</v>
      </c>
      <c r="N271" s="44">
        <f t="shared" si="65"/>
        <v>0</v>
      </c>
      <c r="O271" s="44">
        <f t="shared" si="65"/>
        <v>-5.2919999999999998</v>
      </c>
      <c r="P271" s="44">
        <f t="shared" si="65"/>
        <v>-10.68984</v>
      </c>
      <c r="Q271" s="44">
        <f t="shared" si="65"/>
        <v>-10.764348184799999</v>
      </c>
      <c r="R271" s="44">
        <f t="shared" si="65"/>
        <v>-10.839375691648057</v>
      </c>
      <c r="S271" s="44">
        <f t="shared" si="65"/>
        <v>-10.914926140218842</v>
      </c>
      <c r="T271" s="44">
        <f t="shared" si="65"/>
        <v>-10.991003175416168</v>
      </c>
      <c r="U271" s="44">
        <f t="shared" si="65"/>
        <v>-11.067610467548821</v>
      </c>
      <c r="V271" s="44">
        <f t="shared" si="65"/>
        <v>-11.144751712507633</v>
      </c>
      <c r="W271" s="44">
        <f t="shared" si="65"/>
        <v>-11.222430631943816</v>
      </c>
      <c r="X271" s="44">
        <f t="shared" si="65"/>
        <v>-11.300650973448462</v>
      </c>
      <c r="Y271" s="44">
        <f t="shared" si="65"/>
        <v>-11.3794165107334</v>
      </c>
      <c r="Z271" s="44">
        <f t="shared" si="65"/>
        <v>-11.458731043813208</v>
      </c>
      <c r="AA271" s="44">
        <f t="shared" si="65"/>
        <v>-11.538598399188588</v>
      </c>
      <c r="AB271" s="44">
        <f t="shared" si="65"/>
        <v>-11.619022430030933</v>
      </c>
      <c r="AC271" s="44">
        <f t="shared" si="65"/>
        <v>-11.700007016368248</v>
      </c>
      <c r="AD271" s="44">
        <f t="shared" si="65"/>
        <v>-11.781556065272335</v>
      </c>
      <c r="AE271" s="44">
        <f t="shared" si="65"/>
        <v>-11.863673511047283</v>
      </c>
      <c r="AF271" s="44">
        <f t="shared" si="65"/>
        <v>-11.946363315419287</v>
      </c>
      <c r="AG271" s="44">
        <f t="shared" si="65"/>
        <v>-12.029629467727759</v>
      </c>
      <c r="AH271" s="44">
        <f t="shared" si="65"/>
        <v>-12.113475985117821</v>
      </c>
      <c r="AI271" s="44">
        <f t="shared" si="65"/>
        <v>-12.197906912734091</v>
      </c>
      <c r="AJ271" s="44">
        <f t="shared" si="65"/>
        <v>-12.282926323915849</v>
      </c>
      <c r="AK271" s="44">
        <f t="shared" si="65"/>
        <v>-12.368538320393546</v>
      </c>
      <c r="AL271" s="44">
        <f t="shared" si="65"/>
        <v>-12.454747032486685</v>
      </c>
      <c r="AM271" s="44">
        <f t="shared" si="65"/>
        <v>-12.541556619303121</v>
      </c>
      <c r="AN271" s="44">
        <f t="shared" si="65"/>
        <v>-12.628971268939663</v>
      </c>
      <c r="AO271" s="44">
        <f t="shared" si="65"/>
        <v>-12.716995198684172</v>
      </c>
      <c r="AP271" s="44">
        <f t="shared" si="65"/>
        <v>-12.805632655219</v>
      </c>
      <c r="AQ271" s="44">
        <f t="shared" si="65"/>
        <v>-12.894887914825876</v>
      </c>
      <c r="AR271" s="44">
        <f t="shared" si="65"/>
        <v>-12.984765283592212</v>
      </c>
      <c r="AS271" s="44">
        <f t="shared" si="65"/>
        <v>-6.5376345488094261</v>
      </c>
    </row>
    <row r="272" spans="3:45" outlineLevel="1" x14ac:dyDescent="0.3">
      <c r="C272" s="5" t="s">
        <v>199</v>
      </c>
      <c r="D272" s="2" t="s">
        <v>78</v>
      </c>
      <c r="H272" s="44">
        <f t="shared" si="61"/>
        <v>-4125.7732246910637</v>
      </c>
      <c r="J272" s="44">
        <f t="shared" ref="J272:AS272" si="66">SUM(J268:J271)*Opex_Cont</f>
        <v>0</v>
      </c>
      <c r="K272" s="44">
        <f t="shared" si="66"/>
        <v>0</v>
      </c>
      <c r="L272" s="44">
        <f t="shared" si="66"/>
        <v>0</v>
      </c>
      <c r="M272" s="44">
        <f t="shared" si="66"/>
        <v>0</v>
      </c>
      <c r="N272" s="44">
        <f t="shared" si="66"/>
        <v>0</v>
      </c>
      <c r="O272" s="44">
        <f t="shared" si="66"/>
        <v>-47.152100000000004</v>
      </c>
      <c r="P272" s="44">
        <f t="shared" si="66"/>
        <v>-96.653866999999991</v>
      </c>
      <c r="Q272" s="44">
        <f t="shared" si="66"/>
        <v>-98.967911659239988</v>
      </c>
      <c r="R272" s="44">
        <f t="shared" si="66"/>
        <v>-101.33770858296678</v>
      </c>
      <c r="S272" s="44">
        <f t="shared" si="66"/>
        <v>-103.76460656497684</v>
      </c>
      <c r="T272" s="44">
        <f t="shared" si="66"/>
        <v>-106.24998713900709</v>
      </c>
      <c r="U272" s="44">
        <f t="shared" si="66"/>
        <v>-108.79526537579775</v>
      </c>
      <c r="V272" s="44">
        <f t="shared" si="66"/>
        <v>-111.40189069961218</v>
      </c>
      <c r="W272" s="44">
        <f t="shared" si="66"/>
        <v>-114.07134772468976</v>
      </c>
      <c r="X272" s="44">
        <f t="shared" si="66"/>
        <v>-116.80515711211967</v>
      </c>
      <c r="Y272" s="44">
        <f t="shared" si="66"/>
        <v>-119.60487644763542</v>
      </c>
      <c r="Z272" s="44">
        <f t="shared" si="66"/>
        <v>-122.4721011408418</v>
      </c>
      <c r="AA272" s="44">
        <f t="shared" si="66"/>
        <v>-125.4084653463993</v>
      </c>
      <c r="AB272" s="44">
        <f t="shared" si="66"/>
        <v>-128.41564290770324</v>
      </c>
      <c r="AC272" s="44">
        <f t="shared" si="66"/>
        <v>-131.49534832360811</v>
      </c>
      <c r="AD272" s="44">
        <f t="shared" si="66"/>
        <v>-134.64933773876172</v>
      </c>
      <c r="AE272" s="44">
        <f t="shared" si="66"/>
        <v>-137.8794099581263</v>
      </c>
      <c r="AF272" s="44">
        <f t="shared" si="66"/>
        <v>-141.18740748628014</v>
      </c>
      <c r="AG272" s="44">
        <f t="shared" si="66"/>
        <v>-144.57521759210479</v>
      </c>
      <c r="AH272" s="44">
        <f t="shared" si="66"/>
        <v>-148.0447733994807</v>
      </c>
      <c r="AI272" s="44">
        <f t="shared" si="66"/>
        <v>-151.59805500462753</v>
      </c>
      <c r="AJ272" s="44">
        <f t="shared" si="66"/>
        <v>-155.23709062074181</v>
      </c>
      <c r="AK272" s="44">
        <f t="shared" si="66"/>
        <v>-158.96395775060051</v>
      </c>
      <c r="AL272" s="44">
        <f t="shared" si="66"/>
        <v>-162.78078438781495</v>
      </c>
      <c r="AM272" s="44">
        <f t="shared" si="66"/>
        <v>-166.68975024743742</v>
      </c>
      <c r="AN272" s="44">
        <f t="shared" si="66"/>
        <v>-170.6930880266388</v>
      </c>
      <c r="AO272" s="44">
        <f t="shared" si="66"/>
        <v>-174.79308469619468</v>
      </c>
      <c r="AP272" s="44">
        <f t="shared" si="66"/>
        <v>-178.99208282353311</v>
      </c>
      <c r="AQ272" s="44">
        <f t="shared" si="66"/>
        <v>-183.2924819281186</v>
      </c>
      <c r="AR272" s="44">
        <f t="shared" si="66"/>
        <v>-187.6967398699642</v>
      </c>
      <c r="AS272" s="44">
        <f t="shared" si="66"/>
        <v>-96.103687136041245</v>
      </c>
    </row>
    <row r="273" spans="2:45" outlineLevel="1" x14ac:dyDescent="0.3">
      <c r="C273" s="5" t="s">
        <v>200</v>
      </c>
      <c r="D273" s="2" t="s">
        <v>78</v>
      </c>
      <c r="H273" s="44">
        <f t="shared" si="61"/>
        <v>0</v>
      </c>
      <c r="J273" s="44">
        <f t="shared" ref="J273:AS273" si="67">-J264*$E$12</f>
        <v>0</v>
      </c>
      <c r="K273" s="44">
        <f t="shared" si="67"/>
        <v>0</v>
      </c>
      <c r="L273" s="44">
        <f t="shared" si="67"/>
        <v>0</v>
      </c>
      <c r="M273" s="44">
        <f t="shared" si="67"/>
        <v>0</v>
      </c>
      <c r="N273" s="44">
        <f t="shared" si="67"/>
        <v>0</v>
      </c>
      <c r="O273" s="44">
        <f t="shared" si="67"/>
        <v>0</v>
      </c>
      <c r="P273" s="44">
        <f t="shared" si="67"/>
        <v>0</v>
      </c>
      <c r="Q273" s="44">
        <f t="shared" si="67"/>
        <v>0</v>
      </c>
      <c r="R273" s="44">
        <f t="shared" si="67"/>
        <v>0</v>
      </c>
      <c r="S273" s="44">
        <f t="shared" si="67"/>
        <v>0</v>
      </c>
      <c r="T273" s="44">
        <f t="shared" si="67"/>
        <v>0</v>
      </c>
      <c r="U273" s="44">
        <f t="shared" si="67"/>
        <v>0</v>
      </c>
      <c r="V273" s="44">
        <f t="shared" si="67"/>
        <v>0</v>
      </c>
      <c r="W273" s="44">
        <f t="shared" si="67"/>
        <v>0</v>
      </c>
      <c r="X273" s="44">
        <f t="shared" si="67"/>
        <v>0</v>
      </c>
      <c r="Y273" s="44">
        <f t="shared" si="67"/>
        <v>0</v>
      </c>
      <c r="Z273" s="44">
        <f t="shared" si="67"/>
        <v>0</v>
      </c>
      <c r="AA273" s="44">
        <f t="shared" si="67"/>
        <v>0</v>
      </c>
      <c r="AB273" s="44">
        <f t="shared" si="67"/>
        <v>0</v>
      </c>
      <c r="AC273" s="44">
        <f t="shared" si="67"/>
        <v>0</v>
      </c>
      <c r="AD273" s="44">
        <f t="shared" si="67"/>
        <v>0</v>
      </c>
      <c r="AE273" s="44">
        <f t="shared" si="67"/>
        <v>0</v>
      </c>
      <c r="AF273" s="44">
        <f t="shared" si="67"/>
        <v>0</v>
      </c>
      <c r="AG273" s="44">
        <f t="shared" si="67"/>
        <v>0</v>
      </c>
      <c r="AH273" s="44">
        <f t="shared" si="67"/>
        <v>0</v>
      </c>
      <c r="AI273" s="44">
        <f t="shared" si="67"/>
        <v>0</v>
      </c>
      <c r="AJ273" s="44">
        <f t="shared" si="67"/>
        <v>0</v>
      </c>
      <c r="AK273" s="44">
        <f t="shared" si="67"/>
        <v>0</v>
      </c>
      <c r="AL273" s="44">
        <f t="shared" si="67"/>
        <v>0</v>
      </c>
      <c r="AM273" s="44">
        <f t="shared" si="67"/>
        <v>0</v>
      </c>
      <c r="AN273" s="44">
        <f t="shared" si="67"/>
        <v>0</v>
      </c>
      <c r="AO273" s="44">
        <f t="shared" si="67"/>
        <v>0</v>
      </c>
      <c r="AP273" s="44">
        <f t="shared" si="67"/>
        <v>0</v>
      </c>
      <c r="AQ273" s="44">
        <f t="shared" si="67"/>
        <v>0</v>
      </c>
      <c r="AR273" s="44">
        <f t="shared" si="67"/>
        <v>0</v>
      </c>
      <c r="AS273" s="44">
        <f t="shared" si="67"/>
        <v>0</v>
      </c>
    </row>
    <row r="274" spans="2:45" outlineLevel="1" x14ac:dyDescent="0.3">
      <c r="C274" s="5" t="s">
        <v>201</v>
      </c>
      <c r="D274" s="2" t="s">
        <v>78</v>
      </c>
      <c r="H274" s="44">
        <f t="shared" si="61"/>
        <v>-7081.4394560230876</v>
      </c>
      <c r="J274" s="44">
        <f t="shared" ref="J274:AS274" si="68">-J266*HIPA_Rate</f>
        <v>0</v>
      </c>
      <c r="K274" s="44">
        <f t="shared" si="68"/>
        <v>0</v>
      </c>
      <c r="L274" s="44">
        <f t="shared" si="68"/>
        <v>0</v>
      </c>
      <c r="M274" s="44">
        <f t="shared" si="68"/>
        <v>0</v>
      </c>
      <c r="N274" s="44">
        <f t="shared" si="68"/>
        <v>0</v>
      </c>
      <c r="O274" s="44">
        <f t="shared" si="68"/>
        <v>-105.84</v>
      </c>
      <c r="P274" s="44">
        <f t="shared" si="68"/>
        <v>-213.79680000000002</v>
      </c>
      <c r="Q274" s="44">
        <f t="shared" si="68"/>
        <v>-215.28696369599999</v>
      </c>
      <c r="R274" s="44">
        <f t="shared" si="68"/>
        <v>-216.78751383296114</v>
      </c>
      <c r="S274" s="44">
        <f t="shared" si="68"/>
        <v>-218.29852280437686</v>
      </c>
      <c r="T274" s="44">
        <f t="shared" si="68"/>
        <v>-219.82006350832336</v>
      </c>
      <c r="U274" s="44">
        <f t="shared" si="68"/>
        <v>-221.35220935097641</v>
      </c>
      <c r="V274" s="44">
        <f t="shared" si="68"/>
        <v>-222.89503425015263</v>
      </c>
      <c r="W274" s="44">
        <f t="shared" si="68"/>
        <v>-224.44861263887628</v>
      </c>
      <c r="X274" s="44">
        <f t="shared" si="68"/>
        <v>-226.01301946896925</v>
      </c>
      <c r="Y274" s="44">
        <f t="shared" si="68"/>
        <v>-227.58833021466799</v>
      </c>
      <c r="Z274" s="44">
        <f t="shared" si="68"/>
        <v>-229.17462087626416</v>
      </c>
      <c r="AA274" s="44">
        <f t="shared" si="68"/>
        <v>-230.77196798377176</v>
      </c>
      <c r="AB274" s="44">
        <f t="shared" si="68"/>
        <v>-232.38044860061865</v>
      </c>
      <c r="AC274" s="44">
        <f t="shared" si="68"/>
        <v>-234.00014032736499</v>
      </c>
      <c r="AD274" s="44">
        <f t="shared" si="68"/>
        <v>-235.6311213054467</v>
      </c>
      <c r="AE274" s="44">
        <f t="shared" si="68"/>
        <v>-237.27347022094568</v>
      </c>
      <c r="AF274" s="44">
        <f t="shared" si="68"/>
        <v>-238.92726630838573</v>
      </c>
      <c r="AG274" s="44">
        <f t="shared" si="68"/>
        <v>-240.59258935455517</v>
      </c>
      <c r="AH274" s="44">
        <f t="shared" si="68"/>
        <v>-242.2695197023564</v>
      </c>
      <c r="AI274" s="44">
        <f t="shared" si="68"/>
        <v>-243.95813825468181</v>
      </c>
      <c r="AJ274" s="44">
        <f t="shared" si="68"/>
        <v>-245.65852647831696</v>
      </c>
      <c r="AK274" s="44">
        <f t="shared" si="68"/>
        <v>-247.37076640787092</v>
      </c>
      <c r="AL274" s="44">
        <f t="shared" si="68"/>
        <v>-249.0949406497337</v>
      </c>
      <c r="AM274" s="44">
        <f t="shared" si="68"/>
        <v>-250.83113238606242</v>
      </c>
      <c r="AN274" s="44">
        <f t="shared" si="68"/>
        <v>-252.57942537879327</v>
      </c>
      <c r="AO274" s="44">
        <f t="shared" si="68"/>
        <v>-254.33990397368345</v>
      </c>
      <c r="AP274" s="44">
        <f t="shared" si="68"/>
        <v>-256.11265310438</v>
      </c>
      <c r="AQ274" s="44">
        <f t="shared" si="68"/>
        <v>-257.89775829651751</v>
      </c>
      <c r="AR274" s="44">
        <f t="shared" si="68"/>
        <v>-259.69530567184427</v>
      </c>
      <c r="AS274" s="44">
        <f t="shared" si="68"/>
        <v>-130.75269097618852</v>
      </c>
    </row>
    <row r="275" spans="2:45" outlineLevel="1" x14ac:dyDescent="0.3">
      <c r="C275" s="1" t="s">
        <v>202</v>
      </c>
      <c r="D275" s="2" t="s">
        <v>78</v>
      </c>
      <c r="H275" s="52">
        <f t="shared" si="61"/>
        <v>-93722.677174535434</v>
      </c>
      <c r="J275" s="52">
        <f t="shared" ref="J275:AS275" si="69">SUM(J268:J274)</f>
        <v>0</v>
      </c>
      <c r="K275" s="52">
        <f t="shared" si="69"/>
        <v>0</v>
      </c>
      <c r="L275" s="52">
        <f t="shared" si="69"/>
        <v>0</v>
      </c>
      <c r="M275" s="52">
        <f t="shared" si="69"/>
        <v>0</v>
      </c>
      <c r="N275" s="52">
        <f t="shared" si="69"/>
        <v>0</v>
      </c>
      <c r="O275" s="52">
        <f t="shared" si="69"/>
        <v>-1096.0341000000001</v>
      </c>
      <c r="P275" s="52">
        <f t="shared" si="69"/>
        <v>-2243.5280069999999</v>
      </c>
      <c r="Q275" s="52">
        <f t="shared" si="69"/>
        <v>-2293.6131085400398</v>
      </c>
      <c r="R275" s="52">
        <f t="shared" si="69"/>
        <v>-2344.879394075263</v>
      </c>
      <c r="S275" s="52">
        <f t="shared" si="69"/>
        <v>-2397.3552606688904</v>
      </c>
      <c r="T275" s="52">
        <f t="shared" si="69"/>
        <v>-2451.0697934274726</v>
      </c>
      <c r="U275" s="52">
        <f t="shared" si="69"/>
        <v>-2506.0527822427293</v>
      </c>
      <c r="V275" s="52">
        <f t="shared" si="69"/>
        <v>-2562.3347389420082</v>
      </c>
      <c r="W275" s="52">
        <f t="shared" si="69"/>
        <v>-2619.9469148573617</v>
      </c>
      <c r="X275" s="52">
        <f t="shared" si="69"/>
        <v>-2678.9213188234821</v>
      </c>
      <c r="Y275" s="52">
        <f t="shared" si="69"/>
        <v>-2739.2907356150117</v>
      </c>
      <c r="Z275" s="52">
        <f t="shared" si="69"/>
        <v>-2801.0887448339422</v>
      </c>
      <c r="AA275" s="52">
        <f t="shared" si="69"/>
        <v>-2864.349740258157</v>
      </c>
      <c r="AB275" s="52">
        <f t="shared" si="69"/>
        <v>-2929.1089496623867</v>
      </c>
      <c r="AC275" s="52">
        <f t="shared" si="69"/>
        <v>-2995.402455123135</v>
      </c>
      <c r="AD275" s="52">
        <f t="shared" si="69"/>
        <v>-3063.267213819443</v>
      </c>
      <c r="AE275" s="52">
        <f t="shared" si="69"/>
        <v>-3132.7410793415984</v>
      </c>
      <c r="AF275" s="52">
        <f t="shared" si="69"/>
        <v>-3203.8628235202686</v>
      </c>
      <c r="AG275" s="52">
        <f t="shared" si="69"/>
        <v>-3276.6721587887555</v>
      </c>
      <c r="AH275" s="52">
        <f t="shared" si="69"/>
        <v>-3351.2097610914511</v>
      </c>
      <c r="AI275" s="52">
        <f t="shared" si="69"/>
        <v>-3427.5172933518597</v>
      </c>
      <c r="AJ275" s="52">
        <f t="shared" si="69"/>
        <v>-3505.6374295138949</v>
      </c>
      <c r="AK275" s="52">
        <f t="shared" si="69"/>
        <v>-3585.6138791704816</v>
      </c>
      <c r="AL275" s="52">
        <f t="shared" si="69"/>
        <v>-3667.4914127938478</v>
      </c>
      <c r="AM275" s="52">
        <f t="shared" si="69"/>
        <v>-3751.3158875822483</v>
      </c>
      <c r="AN275" s="52">
        <f t="shared" si="69"/>
        <v>-3837.1342739382076</v>
      </c>
      <c r="AO275" s="52">
        <f t="shared" si="69"/>
        <v>-3924.9946825937714</v>
      </c>
      <c r="AP275" s="52">
        <f t="shared" si="69"/>
        <v>-4014.946392398575</v>
      </c>
      <c r="AQ275" s="52">
        <f t="shared" si="69"/>
        <v>-4107.0398787870072</v>
      </c>
      <c r="AR275" s="52">
        <f t="shared" si="69"/>
        <v>-4201.3268429410928</v>
      </c>
      <c r="AS275" s="52">
        <f t="shared" si="69"/>
        <v>-2148.9301208330548</v>
      </c>
    </row>
    <row r="276" spans="2:45" outlineLevel="1" x14ac:dyDescent="0.3">
      <c r="C276" s="1" t="s">
        <v>128</v>
      </c>
      <c r="D276" s="2" t="s">
        <v>78</v>
      </c>
      <c r="H276" s="46">
        <f t="shared" si="61"/>
        <v>260349.29562661887</v>
      </c>
      <c r="J276" s="46">
        <f t="shared" ref="J276:AS276" si="70">J266+J275</f>
        <v>0</v>
      </c>
      <c r="K276" s="46">
        <f t="shared" si="70"/>
        <v>0</v>
      </c>
      <c r="L276" s="46">
        <f t="shared" si="70"/>
        <v>0</v>
      </c>
      <c r="M276" s="46">
        <f t="shared" si="70"/>
        <v>0</v>
      </c>
      <c r="N276" s="46">
        <f t="shared" si="70"/>
        <v>0</v>
      </c>
      <c r="O276" s="46">
        <f t="shared" si="70"/>
        <v>4195.9659000000001</v>
      </c>
      <c r="P276" s="46">
        <f t="shared" si="70"/>
        <v>8446.3119929999993</v>
      </c>
      <c r="Q276" s="46">
        <f t="shared" si="70"/>
        <v>8470.7350762599599</v>
      </c>
      <c r="R276" s="46">
        <f t="shared" si="70"/>
        <v>8494.496297572794</v>
      </c>
      <c r="S276" s="46">
        <f t="shared" si="70"/>
        <v>8517.5708795499522</v>
      </c>
      <c r="T276" s="46">
        <f t="shared" si="70"/>
        <v>8539.9333819886961</v>
      </c>
      <c r="U276" s="46">
        <f t="shared" si="70"/>
        <v>8561.557685306092</v>
      </c>
      <c r="V276" s="46">
        <f t="shared" si="70"/>
        <v>8582.4169735656233</v>
      </c>
      <c r="W276" s="46">
        <f t="shared" si="70"/>
        <v>8602.4837170864521</v>
      </c>
      <c r="X276" s="46">
        <f t="shared" si="70"/>
        <v>8621.72965462498</v>
      </c>
      <c r="Y276" s="46">
        <f t="shared" si="70"/>
        <v>8640.1257751183875</v>
      </c>
      <c r="Z276" s="46">
        <f t="shared" si="70"/>
        <v>8657.6422989792663</v>
      </c>
      <c r="AA276" s="46">
        <f t="shared" si="70"/>
        <v>8674.2486589304317</v>
      </c>
      <c r="AB276" s="46">
        <f t="shared" si="70"/>
        <v>8689.9134803685465</v>
      </c>
      <c r="AC276" s="46">
        <f t="shared" si="70"/>
        <v>8704.6045612451126</v>
      </c>
      <c r="AD276" s="46">
        <f t="shared" si="70"/>
        <v>8718.2888514528913</v>
      </c>
      <c r="AE276" s="46">
        <f t="shared" si="70"/>
        <v>8730.9324317056853</v>
      </c>
      <c r="AF276" s="46">
        <f t="shared" si="70"/>
        <v>8742.500491899018</v>
      </c>
      <c r="AG276" s="46">
        <f t="shared" si="70"/>
        <v>8752.9573089390033</v>
      </c>
      <c r="AH276" s="46">
        <f t="shared" si="70"/>
        <v>8762.2662240263689</v>
      </c>
      <c r="AI276" s="46">
        <f t="shared" si="70"/>
        <v>8770.3896193822293</v>
      </c>
      <c r="AJ276" s="46">
        <f t="shared" si="70"/>
        <v>8777.2888944019542</v>
      </c>
      <c r="AK276" s="46">
        <f t="shared" si="70"/>
        <v>8782.9244412230637</v>
      </c>
      <c r="AL276" s="46">
        <f t="shared" si="70"/>
        <v>8787.2556196928363</v>
      </c>
      <c r="AM276" s="46">
        <f t="shared" si="70"/>
        <v>8790.2407317208726</v>
      </c>
      <c r="AN276" s="46">
        <f t="shared" si="70"/>
        <v>8791.8369950014567</v>
      </c>
      <c r="AO276" s="46">
        <f t="shared" si="70"/>
        <v>8792.0005160904002</v>
      </c>
      <c r="AP276" s="46">
        <f t="shared" si="70"/>
        <v>8790.6862628204253</v>
      </c>
      <c r="AQ276" s="46">
        <f t="shared" si="70"/>
        <v>8787.8480360388694</v>
      </c>
      <c r="AR276" s="46">
        <f t="shared" si="70"/>
        <v>8783.4384406511199</v>
      </c>
      <c r="AS276" s="46">
        <f t="shared" si="70"/>
        <v>4388.7044279763704</v>
      </c>
    </row>
    <row r="277" spans="2:45" outlineLevel="1" x14ac:dyDescent="0.3">
      <c r="C277" s="1" t="s">
        <v>203</v>
      </c>
      <c r="D277" s="2" t="s">
        <v>78</v>
      </c>
      <c r="H277" s="52">
        <f t="shared" si="61"/>
        <v>199712.97438826269</v>
      </c>
      <c r="J277" s="52">
        <f t="shared" ref="J277:AS277" si="71">J262+J276</f>
        <v>-386.30136986301375</v>
      </c>
      <c r="K277" s="52">
        <f t="shared" si="71"/>
        <v>-2513.2371232876712</v>
      </c>
      <c r="L277" s="52">
        <f t="shared" si="71"/>
        <v>-10089.693704109588</v>
      </c>
      <c r="M277" s="52">
        <f t="shared" si="71"/>
        <v>-12009.375</v>
      </c>
      <c r="N277" s="52">
        <f t="shared" si="71"/>
        <v>-24018.75</v>
      </c>
      <c r="O277" s="52">
        <f t="shared" si="71"/>
        <v>-8813.4091000000008</v>
      </c>
      <c r="P277" s="52">
        <f t="shared" si="71"/>
        <v>8446.3119929999993</v>
      </c>
      <c r="Q277" s="52">
        <f t="shared" si="71"/>
        <v>9861.1460351640708</v>
      </c>
      <c r="R277" s="52">
        <f t="shared" si="71"/>
        <v>8494.496297572794</v>
      </c>
      <c r="S277" s="52">
        <f t="shared" si="71"/>
        <v>8517.5708795499522</v>
      </c>
      <c r="T277" s="52">
        <f t="shared" si="71"/>
        <v>8539.9333819886961</v>
      </c>
      <c r="U277" s="52">
        <f t="shared" si="71"/>
        <v>8561.557685306092</v>
      </c>
      <c r="V277" s="52">
        <f t="shared" si="71"/>
        <v>8582.4169735656233</v>
      </c>
      <c r="W277" s="52">
        <f t="shared" si="71"/>
        <v>8602.4837170864521</v>
      </c>
      <c r="X277" s="52">
        <f t="shared" si="71"/>
        <v>8621.72965462498</v>
      </c>
      <c r="Y277" s="52">
        <f t="shared" si="71"/>
        <v>8640.1257751183875</v>
      </c>
      <c r="Z277" s="52">
        <f t="shared" si="71"/>
        <v>8657.6422989792663</v>
      </c>
      <c r="AA277" s="52">
        <f t="shared" si="71"/>
        <v>8674.2486589304317</v>
      </c>
      <c r="AB277" s="52">
        <f t="shared" si="71"/>
        <v>8689.9134803685465</v>
      </c>
      <c r="AC277" s="52">
        <f t="shared" si="71"/>
        <v>8704.6045612451126</v>
      </c>
      <c r="AD277" s="52">
        <f t="shared" si="71"/>
        <v>8718.2888514528913</v>
      </c>
      <c r="AE277" s="52">
        <f t="shared" si="71"/>
        <v>8730.9324317056853</v>
      </c>
      <c r="AF277" s="52">
        <f t="shared" si="71"/>
        <v>8742.500491899018</v>
      </c>
      <c r="AG277" s="52">
        <f t="shared" si="71"/>
        <v>8752.9573089390033</v>
      </c>
      <c r="AH277" s="52">
        <f t="shared" si="71"/>
        <v>8762.2662240263689</v>
      </c>
      <c r="AI277" s="52">
        <f t="shared" si="71"/>
        <v>8770.3896193822293</v>
      </c>
      <c r="AJ277" s="52">
        <f t="shared" si="71"/>
        <v>8777.2888944019542</v>
      </c>
      <c r="AK277" s="52">
        <f t="shared" si="71"/>
        <v>8782.9244412230637</v>
      </c>
      <c r="AL277" s="52">
        <f t="shared" si="71"/>
        <v>8787.2556196928363</v>
      </c>
      <c r="AM277" s="52">
        <f t="shared" si="71"/>
        <v>8790.2407317208726</v>
      </c>
      <c r="AN277" s="52">
        <f t="shared" si="71"/>
        <v>8791.8369950014567</v>
      </c>
      <c r="AO277" s="52">
        <f t="shared" si="71"/>
        <v>8792.0005160904002</v>
      </c>
      <c r="AP277" s="52">
        <f t="shared" si="71"/>
        <v>8790.6862628204253</v>
      </c>
      <c r="AQ277" s="52">
        <f t="shared" si="71"/>
        <v>8787.8480360388694</v>
      </c>
      <c r="AR277" s="52">
        <f t="shared" si="71"/>
        <v>8783.4384406511199</v>
      </c>
      <c r="AS277" s="52">
        <f t="shared" si="71"/>
        <v>4388.7044279763704</v>
      </c>
    </row>
    <row r="278" spans="2:45" outlineLevel="1" x14ac:dyDescent="0.3">
      <c r="C278" s="5" t="s">
        <v>204</v>
      </c>
      <c r="D278" s="2" t="s">
        <v>2</v>
      </c>
      <c r="J278" s="64">
        <f>(1+Discount_Rate)^((Inputs!$E$33-J$249)/Days_In_Year)</f>
        <v>1.4137125510793771</v>
      </c>
      <c r="K278" s="64">
        <f>(1+Discount_Rate)^((Inputs!$E$33-K$249)/Days_In_Year)</f>
        <v>1.3089931028512751</v>
      </c>
      <c r="L278" s="64">
        <f>(1+Discount_Rate)^((Inputs!$E$33-L$249)/Days_In_Year)</f>
        <v>1.2117751184391485</v>
      </c>
      <c r="M278" s="64">
        <f>(1+Discount_Rate)^((Inputs!$E$33-M$249)/Days_In_Year)</f>
        <v>1.122013998554767</v>
      </c>
      <c r="N278" s="64">
        <f>(1+Discount_Rate)^((Inputs!$E$33-N$249)/Days_In_Year)</f>
        <v>1.0389018505136731</v>
      </c>
      <c r="O278" s="64">
        <f>(1+Discount_Rate)^((Inputs!$E$33-O$249)/Days_In_Year)</f>
        <v>0.96194615788303062</v>
      </c>
      <c r="P278" s="64">
        <f>(1+Discount_Rate)^((Inputs!$E$33-P$249)/Days_In_Year)</f>
        <v>0.8905031026227137</v>
      </c>
      <c r="Q278" s="64">
        <f>(1+Discount_Rate)^((Inputs!$E$33-Q$249)/Days_In_Year)</f>
        <v>0.8245399098358458</v>
      </c>
      <c r="R278" s="64">
        <f>(1+Discount_Rate)^((Inputs!$E$33-R$249)/Days_In_Year)</f>
        <v>0.76346287947763503</v>
      </c>
      <c r="S278" s="64">
        <f>(1+Discount_Rate)^((Inputs!$E$33-S$249)/Days_In_Year)</f>
        <v>0.7069100735904027</v>
      </c>
      <c r="T278" s="64">
        <f>(1+Discount_Rate)^((Inputs!$E$33-T$249)/Days_In_Year)</f>
        <v>0.6544083664649869</v>
      </c>
      <c r="U278" s="64">
        <f>(1+Discount_Rate)^((Inputs!$E$33-U$249)/Days_In_Year)</f>
        <v>0.60593367265276554</v>
      </c>
      <c r="V278" s="64">
        <f>(1+Discount_Rate)^((Inputs!$E$33-V$249)/Days_In_Year)</f>
        <v>0.56104969690070883</v>
      </c>
      <c r="W278" s="64">
        <f>(1+Discount_Rate)^((Inputs!$E$33-W$249)/Days_In_Year)</f>
        <v>0.51949046009324884</v>
      </c>
      <c r="X278" s="64">
        <f>(1+Discount_Rate)^((Inputs!$E$33-X$249)/Days_In_Year)</f>
        <v>0.48090827402856651</v>
      </c>
      <c r="Y278" s="64">
        <f>(1+Discount_Rate)^((Inputs!$E$33-Y$249)/Days_In_Year)</f>
        <v>0.44528543891533923</v>
      </c>
      <c r="Z278" s="64">
        <f>(1+Discount_Rate)^((Inputs!$E$33-Z$249)/Days_In_Year)</f>
        <v>0.41230133232901778</v>
      </c>
      <c r="AA278" s="64">
        <f>(1+Discount_Rate)^((Inputs!$E$33-AA$249)/Days_In_Year)</f>
        <v>0.38176049289723868</v>
      </c>
      <c r="AB278" s="64">
        <f>(1+Discount_Rate)^((Inputs!$E$33-AB$249)/Days_In_Year)</f>
        <v>0.35340741329215369</v>
      </c>
      <c r="AC278" s="64">
        <f>(1+Discount_Rate)^((Inputs!$E$33-AC$249)/Days_In_Year)</f>
        <v>0.32722908638162373</v>
      </c>
      <c r="AD278" s="64">
        <f>(1+Discount_Rate)^((Inputs!$E$33-AD$249)/Days_In_Year)</f>
        <v>0.30298989479779975</v>
      </c>
      <c r="AE278" s="64">
        <f>(1+Discount_Rate)^((Inputs!$E$33-AE$249)/Days_In_Year)</f>
        <v>0.28054619888685151</v>
      </c>
      <c r="AF278" s="64">
        <f>(1+Discount_Rate)^((Inputs!$E$33-AF$249)/Days_In_Year)</f>
        <v>0.25971023273022764</v>
      </c>
      <c r="AG278" s="64">
        <f>(1+Discount_Rate)^((Inputs!$E$33-AG$249)/Days_In_Year)</f>
        <v>0.24047243771317375</v>
      </c>
      <c r="AH278" s="64">
        <f>(1+Discount_Rate)^((Inputs!$E$33-AH$249)/Days_In_Year)</f>
        <v>0.22265966454923491</v>
      </c>
      <c r="AI278" s="64">
        <f>(1+Discount_Rate)^((Inputs!$E$33-AI$249)/Days_In_Year)</f>
        <v>0.20616635606410641</v>
      </c>
      <c r="AJ278" s="64">
        <f>(1+Discount_Rate)^((Inputs!$E$33-AJ$249)/Days_In_Year)</f>
        <v>0.19085452779970458</v>
      </c>
      <c r="AK278" s="64">
        <f>(1+Discount_Rate)^((Inputs!$E$33-AK$249)/Days_In_Year)</f>
        <v>0.17671715537009683</v>
      </c>
      <c r="AL278" s="64">
        <f>(1+Discount_Rate)^((Inputs!$E$33-AL$249)/Days_In_Year)</f>
        <v>0.16362699571305259</v>
      </c>
      <c r="AM278" s="64">
        <f>(1+Discount_Rate)^((Inputs!$E$33-AM$249)/Days_In_Year)</f>
        <v>0.15150647751208571</v>
      </c>
      <c r="AN278" s="64">
        <f>(1+Discount_Rate)^((Inputs!$E$33-AN$249)/Days_In_Year)</f>
        <v>0.14025419945422371</v>
      </c>
      <c r="AO278" s="64">
        <f>(1+Discount_Rate)^((Inputs!$E$33-AO$249)/Days_In_Year)</f>
        <v>0.12986499949465158</v>
      </c>
      <c r="AP278" s="64">
        <f>(1+Discount_Rate)^((Inputs!$E$33-AP$249)/Days_In_Year)</f>
        <v>0.12024536990245513</v>
      </c>
      <c r="AQ278" s="64">
        <f>(1+Discount_Rate)^((Inputs!$E$33-AQ$249)/Days_In_Year)</f>
        <v>0.1113383054652362</v>
      </c>
      <c r="AR278" s="64">
        <f>(1+Discount_Rate)^((Inputs!$E$33-AR$249)/Days_In_Year)</f>
        <v>0.1030692889046335</v>
      </c>
      <c r="AS278" s="64">
        <f>(1+Discount_Rate)^((Inputs!$E$33-AS$249)/Days_In_Year)</f>
        <v>9.5434526763549549E-2</v>
      </c>
    </row>
    <row r="279" spans="2:45" outlineLevel="1" x14ac:dyDescent="0.3">
      <c r="C279" s="5" t="s">
        <v>205</v>
      </c>
      <c r="D279" s="2" t="s">
        <v>78</v>
      </c>
      <c r="H279" s="44">
        <f>SUM(J279:AS279)</f>
        <v>96859.987575114079</v>
      </c>
      <c r="J279" s="44">
        <f t="shared" ref="J279:AS279" si="72">J276*J278</f>
        <v>0</v>
      </c>
      <c r="K279" s="44">
        <f t="shared" si="72"/>
        <v>0</v>
      </c>
      <c r="L279" s="44">
        <f t="shared" si="72"/>
        <v>0</v>
      </c>
      <c r="M279" s="44">
        <f t="shared" si="72"/>
        <v>0</v>
      </c>
      <c r="N279" s="44">
        <f t="shared" si="72"/>
        <v>0</v>
      </c>
      <c r="O279" s="44">
        <f t="shared" si="72"/>
        <v>4036.2932761132129</v>
      </c>
      <c r="P279" s="44">
        <f t="shared" si="72"/>
        <v>7521.4670354859363</v>
      </c>
      <c r="Q279" s="44">
        <f t="shared" si="72"/>
        <v>6984.4591360227241</v>
      </c>
      <c r="R279" s="44">
        <f t="shared" si="72"/>
        <v>6485.2326030570348</v>
      </c>
      <c r="S279" s="44">
        <f t="shared" si="72"/>
        <v>6021.1566572741276</v>
      </c>
      <c r="T279" s="44">
        <f t="shared" si="72"/>
        <v>5588.6038542270335</v>
      </c>
      <c r="U279" s="44">
        <f t="shared" si="72"/>
        <v>5187.7360918860304</v>
      </c>
      <c r="V279" s="44">
        <f t="shared" si="72"/>
        <v>4815.1624416944915</v>
      </c>
      <c r="W279" s="44">
        <f t="shared" si="72"/>
        <v>4468.9082241339229</v>
      </c>
      <c r="X279" s="44">
        <f t="shared" si="72"/>
        <v>4146.2611273466082</v>
      </c>
      <c r="Y279" s="44">
        <f t="shared" si="72"/>
        <v>3847.3221980573267</v>
      </c>
      <c r="Z279" s="44">
        <f t="shared" si="72"/>
        <v>3569.5574546972121</v>
      </c>
      <c r="AA279" s="44">
        <f t="shared" si="72"/>
        <v>3311.4854435464931</v>
      </c>
      <c r="AB279" s="44">
        <f t="shared" si="72"/>
        <v>3071.0798448296646</v>
      </c>
      <c r="AC279" s="44">
        <f t="shared" si="72"/>
        <v>2848.3997978895527</v>
      </c>
      <c r="AD279" s="44">
        <f t="shared" si="72"/>
        <v>2641.553421918542</v>
      </c>
      <c r="AE279" s="44">
        <f t="shared" si="72"/>
        <v>2449.429906452965</v>
      </c>
      <c r="AF279" s="44">
        <f t="shared" si="72"/>
        <v>2270.5168373952238</v>
      </c>
      <c r="AG279" s="44">
        <f t="shared" si="72"/>
        <v>2104.8449812799035</v>
      </c>
      <c r="AH279" s="44">
        <f t="shared" si="72"/>
        <v>1951.0032581328026</v>
      </c>
      <c r="AI279" s="44">
        <f t="shared" si="72"/>
        <v>1808.1592690904993</v>
      </c>
      <c r="AJ279" s="44">
        <f t="shared" si="72"/>
        <v>1675.1853273026761</v>
      </c>
      <c r="AK279" s="44">
        <f t="shared" si="72"/>
        <v>1552.0934230834371</v>
      </c>
      <c r="AL279" s="44">
        <f t="shared" si="72"/>
        <v>1437.832237612977</v>
      </c>
      <c r="AM279" s="44">
        <f t="shared" si="72"/>
        <v>1331.7784097462882</v>
      </c>
      <c r="AN279" s="44">
        <f t="shared" si="72"/>
        <v>1233.0920594659572</v>
      </c>
      <c r="AO279" s="44">
        <f t="shared" si="72"/>
        <v>1141.7731425790562</v>
      </c>
      <c r="AP279" s="44">
        <f t="shared" si="72"/>
        <v>1057.039321369273</v>
      </c>
      <c r="AQ279" s="44">
        <f t="shared" si="72"/>
        <v>978.42410901857158</v>
      </c>
      <c r="AR279" s="44">
        <f t="shared" si="72"/>
        <v>905.30275421553381</v>
      </c>
      <c r="AS279" s="44">
        <f t="shared" si="72"/>
        <v>418.83393018901933</v>
      </c>
    </row>
    <row r="280" spans="2:45" outlineLevel="1" x14ac:dyDescent="0.3">
      <c r="C280" s="5" t="s">
        <v>425</v>
      </c>
      <c r="D280" s="2" t="s">
        <v>78</v>
      </c>
      <c r="H280" s="44">
        <f>SUM(J280:AS280)</f>
        <v>-1719.2975079605651</v>
      </c>
      <c r="J280" s="44">
        <f t="shared" ref="J280:AS280" si="73">-($E$200+$E$187)*(J$248=YEAR(Sale_Date))</f>
        <v>0</v>
      </c>
      <c r="K280" s="44">
        <f t="shared" si="73"/>
        <v>0</v>
      </c>
      <c r="L280" s="44">
        <f t="shared" si="73"/>
        <v>0</v>
      </c>
      <c r="M280" s="44">
        <f t="shared" si="73"/>
        <v>-1719.2975079605651</v>
      </c>
      <c r="N280" s="44">
        <f t="shared" si="73"/>
        <v>0</v>
      </c>
      <c r="O280" s="44">
        <f t="shared" si="73"/>
        <v>0</v>
      </c>
      <c r="P280" s="44">
        <f t="shared" si="73"/>
        <v>0</v>
      </c>
      <c r="Q280" s="44">
        <f t="shared" si="73"/>
        <v>0</v>
      </c>
      <c r="R280" s="44">
        <f t="shared" si="73"/>
        <v>0</v>
      </c>
      <c r="S280" s="44">
        <f t="shared" si="73"/>
        <v>0</v>
      </c>
      <c r="T280" s="44">
        <f t="shared" si="73"/>
        <v>0</v>
      </c>
      <c r="U280" s="44">
        <f t="shared" si="73"/>
        <v>0</v>
      </c>
      <c r="V280" s="44">
        <f t="shared" si="73"/>
        <v>0</v>
      </c>
      <c r="W280" s="44">
        <f t="shared" si="73"/>
        <v>0</v>
      </c>
      <c r="X280" s="44">
        <f t="shared" si="73"/>
        <v>0</v>
      </c>
      <c r="Y280" s="44">
        <f t="shared" si="73"/>
        <v>0</v>
      </c>
      <c r="Z280" s="44">
        <f t="shared" si="73"/>
        <v>0</v>
      </c>
      <c r="AA280" s="44">
        <f t="shared" si="73"/>
        <v>0</v>
      </c>
      <c r="AB280" s="44">
        <f t="shared" si="73"/>
        <v>0</v>
      </c>
      <c r="AC280" s="44">
        <f t="shared" si="73"/>
        <v>0</v>
      </c>
      <c r="AD280" s="44">
        <f t="shared" si="73"/>
        <v>0</v>
      </c>
      <c r="AE280" s="44">
        <f t="shared" si="73"/>
        <v>0</v>
      </c>
      <c r="AF280" s="44">
        <f t="shared" si="73"/>
        <v>0</v>
      </c>
      <c r="AG280" s="44">
        <f t="shared" si="73"/>
        <v>0</v>
      </c>
      <c r="AH280" s="44">
        <f t="shared" si="73"/>
        <v>0</v>
      </c>
      <c r="AI280" s="44">
        <f t="shared" si="73"/>
        <v>0</v>
      </c>
      <c r="AJ280" s="44">
        <f t="shared" si="73"/>
        <v>0</v>
      </c>
      <c r="AK280" s="44">
        <f t="shared" si="73"/>
        <v>0</v>
      </c>
      <c r="AL280" s="44">
        <f t="shared" si="73"/>
        <v>0</v>
      </c>
      <c r="AM280" s="44">
        <f t="shared" si="73"/>
        <v>0</v>
      </c>
      <c r="AN280" s="44">
        <f t="shared" si="73"/>
        <v>0</v>
      </c>
      <c r="AO280" s="44">
        <f t="shared" si="73"/>
        <v>0</v>
      </c>
      <c r="AP280" s="44">
        <f t="shared" si="73"/>
        <v>0</v>
      </c>
      <c r="AQ280" s="44">
        <f t="shared" si="73"/>
        <v>0</v>
      </c>
      <c r="AR280" s="44">
        <f t="shared" si="73"/>
        <v>0</v>
      </c>
      <c r="AS280" s="44">
        <f t="shared" si="73"/>
        <v>0</v>
      </c>
    </row>
    <row r="281" spans="2:45" outlineLevel="1" x14ac:dyDescent="0.3">
      <c r="C281" s="1" t="s">
        <v>206</v>
      </c>
      <c r="D281" s="2" t="s">
        <v>78</v>
      </c>
      <c r="H281" s="52">
        <f>SUM(J281:AS281)</f>
        <v>34504.368828797342</v>
      </c>
      <c r="J281" s="52">
        <f t="shared" ref="J281:AS281" si="74">J262*(J252&lt;=0)+J257*($H279+$E$60+$E$61)+J280</f>
        <v>-386.30136986301375</v>
      </c>
      <c r="K281" s="52">
        <f t="shared" si="74"/>
        <v>-2513.2371232876712</v>
      </c>
      <c r="L281" s="52">
        <f t="shared" si="74"/>
        <v>-10089.693704109588</v>
      </c>
      <c r="M281" s="52">
        <f t="shared" si="74"/>
        <v>-13728.672507960566</v>
      </c>
      <c r="N281" s="52">
        <f t="shared" si="74"/>
        <v>-24018.75</v>
      </c>
      <c r="O281" s="52">
        <f t="shared" si="74"/>
        <v>85241.023534018183</v>
      </c>
      <c r="P281" s="52">
        <f t="shared" si="74"/>
        <v>0</v>
      </c>
      <c r="Q281" s="52">
        <f t="shared" si="74"/>
        <v>0</v>
      </c>
      <c r="R281" s="52">
        <f t="shared" si="74"/>
        <v>0</v>
      </c>
      <c r="S281" s="52">
        <f t="shared" si="74"/>
        <v>0</v>
      </c>
      <c r="T281" s="52">
        <f t="shared" si="74"/>
        <v>0</v>
      </c>
      <c r="U281" s="52">
        <f t="shared" si="74"/>
        <v>0</v>
      </c>
      <c r="V281" s="52">
        <f t="shared" si="74"/>
        <v>0</v>
      </c>
      <c r="W281" s="52">
        <f t="shared" si="74"/>
        <v>0</v>
      </c>
      <c r="X281" s="52">
        <f t="shared" si="74"/>
        <v>0</v>
      </c>
      <c r="Y281" s="52">
        <f t="shared" si="74"/>
        <v>0</v>
      </c>
      <c r="Z281" s="52">
        <f t="shared" si="74"/>
        <v>0</v>
      </c>
      <c r="AA281" s="52">
        <f t="shared" si="74"/>
        <v>0</v>
      </c>
      <c r="AB281" s="52">
        <f t="shared" si="74"/>
        <v>0</v>
      </c>
      <c r="AC281" s="52">
        <f t="shared" si="74"/>
        <v>0</v>
      </c>
      <c r="AD281" s="52">
        <f t="shared" si="74"/>
        <v>0</v>
      </c>
      <c r="AE281" s="52">
        <f t="shared" si="74"/>
        <v>0</v>
      </c>
      <c r="AF281" s="52">
        <f t="shared" si="74"/>
        <v>0</v>
      </c>
      <c r="AG281" s="52">
        <f t="shared" si="74"/>
        <v>0</v>
      </c>
      <c r="AH281" s="52">
        <f t="shared" si="74"/>
        <v>0</v>
      </c>
      <c r="AI281" s="52">
        <f t="shared" si="74"/>
        <v>0</v>
      </c>
      <c r="AJ281" s="52">
        <f t="shared" si="74"/>
        <v>0</v>
      </c>
      <c r="AK281" s="52">
        <f t="shared" si="74"/>
        <v>0</v>
      </c>
      <c r="AL281" s="52">
        <f t="shared" si="74"/>
        <v>0</v>
      </c>
      <c r="AM281" s="52">
        <f t="shared" si="74"/>
        <v>0</v>
      </c>
      <c r="AN281" s="52">
        <f t="shared" si="74"/>
        <v>0</v>
      </c>
      <c r="AO281" s="52">
        <f t="shared" si="74"/>
        <v>0</v>
      </c>
      <c r="AP281" s="52">
        <f t="shared" si="74"/>
        <v>0</v>
      </c>
      <c r="AQ281" s="52">
        <f t="shared" si="74"/>
        <v>0</v>
      </c>
      <c r="AR281" s="52">
        <f t="shared" si="74"/>
        <v>0</v>
      </c>
      <c r="AS281" s="52">
        <f t="shared" si="74"/>
        <v>0</v>
      </c>
    </row>
    <row r="282" spans="2:45" outlineLevel="1" x14ac:dyDescent="0.3"/>
    <row r="283" spans="2:45" outlineLevel="1" x14ac:dyDescent="0.3">
      <c r="B283" s="3" t="s">
        <v>2</v>
      </c>
      <c r="C283" s="3" t="s">
        <v>207</v>
      </c>
      <c r="D283" s="3"/>
      <c r="E283" s="4"/>
      <c r="F283" s="4" t="s">
        <v>176</v>
      </c>
      <c r="G283" s="4"/>
      <c r="H283" s="4" t="s">
        <v>7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2:45" outlineLevel="1" x14ac:dyDescent="0.3">
      <c r="C284" s="5" t="s">
        <v>177</v>
      </c>
      <c r="D284" s="2" t="s">
        <v>178</v>
      </c>
      <c r="J284" s="61">
        <f>J$248-YEAR(Inputs!$F$33)</f>
        <v>-5</v>
      </c>
      <c r="K284" s="61">
        <f>K$248-YEAR(Inputs!$F$33)</f>
        <v>-4</v>
      </c>
      <c r="L284" s="61">
        <f>L$248-YEAR(Inputs!$F$33)</f>
        <v>-3</v>
      </c>
      <c r="M284" s="61">
        <f>M$248-YEAR(Inputs!$F$33)</f>
        <v>-2</v>
      </c>
      <c r="N284" s="61">
        <f>N$248-YEAR(Inputs!$F$33)</f>
        <v>-1</v>
      </c>
      <c r="O284" s="61">
        <f>O$248-YEAR(Inputs!$F$33)</f>
        <v>0</v>
      </c>
      <c r="P284" s="61">
        <f>P$248-YEAR(Inputs!$F$33)</f>
        <v>1</v>
      </c>
      <c r="Q284" s="61">
        <f>Q$248-YEAR(Inputs!$F$33)</f>
        <v>2</v>
      </c>
      <c r="R284" s="61">
        <f>R$248-YEAR(Inputs!$F$33)</f>
        <v>3</v>
      </c>
      <c r="S284" s="61">
        <f>S$248-YEAR(Inputs!$F$33)</f>
        <v>4</v>
      </c>
      <c r="T284" s="61">
        <f>T$248-YEAR(Inputs!$F$33)</f>
        <v>5</v>
      </c>
      <c r="U284" s="61">
        <f>U$248-YEAR(Inputs!$F$33)</f>
        <v>6</v>
      </c>
      <c r="V284" s="61">
        <f>V$248-YEAR(Inputs!$F$33)</f>
        <v>7</v>
      </c>
      <c r="W284" s="61">
        <f>W$248-YEAR(Inputs!$F$33)</f>
        <v>8</v>
      </c>
      <c r="X284" s="61">
        <f>X$248-YEAR(Inputs!$F$33)</f>
        <v>9</v>
      </c>
      <c r="Y284" s="61">
        <f>Y$248-YEAR(Inputs!$F$33)</f>
        <v>10</v>
      </c>
      <c r="Z284" s="61">
        <f>Z$248-YEAR(Inputs!$F$33)</f>
        <v>11</v>
      </c>
      <c r="AA284" s="61">
        <f>AA$248-YEAR(Inputs!$F$33)</f>
        <v>12</v>
      </c>
      <c r="AB284" s="61">
        <f>AB$248-YEAR(Inputs!$F$33)</f>
        <v>13</v>
      </c>
      <c r="AC284" s="61">
        <f>AC$248-YEAR(Inputs!$F$33)</f>
        <v>14</v>
      </c>
      <c r="AD284" s="61">
        <f>AD$248-YEAR(Inputs!$F$33)</f>
        <v>15</v>
      </c>
      <c r="AE284" s="61">
        <f>AE$248-YEAR(Inputs!$F$33)</f>
        <v>16</v>
      </c>
      <c r="AF284" s="61">
        <f>AF$248-YEAR(Inputs!$F$33)</f>
        <v>17</v>
      </c>
      <c r="AG284" s="61">
        <f>AG$248-YEAR(Inputs!$F$33)</f>
        <v>18</v>
      </c>
      <c r="AH284" s="61">
        <f>AH$248-YEAR(Inputs!$F$33)</f>
        <v>19</v>
      </c>
      <c r="AI284" s="61">
        <f>AI$248-YEAR(Inputs!$F$33)</f>
        <v>20</v>
      </c>
      <c r="AJ284" s="61">
        <f>AJ$248-YEAR(Inputs!$F$33)</f>
        <v>21</v>
      </c>
      <c r="AK284" s="61">
        <f>AK$248-YEAR(Inputs!$F$33)</f>
        <v>22</v>
      </c>
      <c r="AL284" s="61">
        <f>AL$248-YEAR(Inputs!$F$33)</f>
        <v>23</v>
      </c>
      <c r="AM284" s="61">
        <f>AM$248-YEAR(Inputs!$F$33)</f>
        <v>24</v>
      </c>
      <c r="AN284" s="61">
        <f>AN$248-YEAR(Inputs!$F$33)</f>
        <v>25</v>
      </c>
      <c r="AO284" s="61">
        <f>AO$248-YEAR(Inputs!$F$33)</f>
        <v>26</v>
      </c>
      <c r="AP284" s="61">
        <f>AP$248-YEAR(Inputs!$F$33)</f>
        <v>27</v>
      </c>
      <c r="AQ284" s="61">
        <f>AQ$248-YEAR(Inputs!$F$33)</f>
        <v>28</v>
      </c>
      <c r="AR284" s="61">
        <f>AR$248-YEAR(Inputs!$F$33)</f>
        <v>29</v>
      </c>
      <c r="AS284" s="61">
        <f>AS$248-YEAR(Inputs!$F$33)</f>
        <v>30</v>
      </c>
    </row>
    <row r="285" spans="2:45" outlineLevel="1" x14ac:dyDescent="0.3">
      <c r="C285" s="5" t="s">
        <v>179</v>
      </c>
      <c r="D285" s="2" t="s">
        <v>180</v>
      </c>
      <c r="F285" s="61">
        <f>DATEDIF(Inputs!$F$32,Inputs!$F$33,"m")</f>
        <v>24</v>
      </c>
      <c r="J285" s="61">
        <f>(J$248+1-YEAR(Inputs!$F$32))*Months_In_Year-MONTH(Inputs!$F$32)</f>
        <v>-30</v>
      </c>
      <c r="K285" s="61">
        <f>(K$248+1-YEAR(Inputs!$F$32))*Months_In_Year-MONTH(Inputs!$F$32)</f>
        <v>-18</v>
      </c>
      <c r="L285" s="61">
        <f>(L$248+1-YEAR(Inputs!$F$32))*Months_In_Year-MONTH(Inputs!$F$32)</f>
        <v>-6</v>
      </c>
      <c r="M285" s="61">
        <f>(M$248+1-YEAR(Inputs!$F$32))*Months_In_Year-MONTH(Inputs!$F$32)</f>
        <v>6</v>
      </c>
      <c r="N285" s="61">
        <f>(N$248+1-YEAR(Inputs!$F$32))*Months_In_Year-MONTH(Inputs!$F$32)</f>
        <v>18</v>
      </c>
      <c r="O285" s="61">
        <f>(O$248+1-YEAR(Inputs!$F$32))*Months_In_Year-MONTH(Inputs!$F$32)</f>
        <v>30</v>
      </c>
      <c r="P285" s="61">
        <f>(P$248+1-YEAR(Inputs!$F$32))*Months_In_Year-MONTH(Inputs!$F$32)</f>
        <v>42</v>
      </c>
      <c r="Q285" s="61">
        <f>(Q$248+1-YEAR(Inputs!$F$32))*Months_In_Year-MONTH(Inputs!$F$32)</f>
        <v>54</v>
      </c>
      <c r="R285" s="61">
        <f>(R$248+1-YEAR(Inputs!$F$32))*Months_In_Year-MONTH(Inputs!$F$32)</f>
        <v>66</v>
      </c>
      <c r="S285" s="61">
        <f>(S$248+1-YEAR(Inputs!$F$32))*Months_In_Year-MONTH(Inputs!$F$32)</f>
        <v>78</v>
      </c>
      <c r="T285" s="61">
        <f>(T$248+1-YEAR(Inputs!$F$32))*Months_In_Year-MONTH(Inputs!$F$32)</f>
        <v>90</v>
      </c>
      <c r="U285" s="61">
        <f>(U$248+1-YEAR(Inputs!$F$32))*Months_In_Year-MONTH(Inputs!$F$32)</f>
        <v>102</v>
      </c>
      <c r="V285" s="61">
        <f>(V$248+1-YEAR(Inputs!$F$32))*Months_In_Year-MONTH(Inputs!$F$32)</f>
        <v>114</v>
      </c>
      <c r="W285" s="61">
        <f>(W$248+1-YEAR(Inputs!$F$32))*Months_In_Year-MONTH(Inputs!$F$32)</f>
        <v>126</v>
      </c>
      <c r="X285" s="61">
        <f>(X$248+1-YEAR(Inputs!$F$32))*Months_In_Year-MONTH(Inputs!$F$32)</f>
        <v>138</v>
      </c>
      <c r="Y285" s="61">
        <f>(Y$248+1-YEAR(Inputs!$F$32))*Months_In_Year-MONTH(Inputs!$F$32)</f>
        <v>150</v>
      </c>
      <c r="Z285" s="61">
        <f>(Z$248+1-YEAR(Inputs!$F$32))*Months_In_Year-MONTH(Inputs!$F$32)</f>
        <v>162</v>
      </c>
      <c r="AA285" s="61">
        <f>(AA$248+1-YEAR(Inputs!$F$32))*Months_In_Year-MONTH(Inputs!$F$32)</f>
        <v>174</v>
      </c>
      <c r="AB285" s="61">
        <f>(AB$248+1-YEAR(Inputs!$F$32))*Months_In_Year-MONTH(Inputs!$F$32)</f>
        <v>186</v>
      </c>
      <c r="AC285" s="61">
        <f>(AC$248+1-YEAR(Inputs!$F$32))*Months_In_Year-MONTH(Inputs!$F$32)</f>
        <v>198</v>
      </c>
      <c r="AD285" s="61">
        <f>(AD$248+1-YEAR(Inputs!$F$32))*Months_In_Year-MONTH(Inputs!$F$32)</f>
        <v>210</v>
      </c>
      <c r="AE285" s="61">
        <f>(AE$248+1-YEAR(Inputs!$F$32))*Months_In_Year-MONTH(Inputs!$F$32)</f>
        <v>222</v>
      </c>
      <c r="AF285" s="61">
        <f>(AF$248+1-YEAR(Inputs!$F$32))*Months_In_Year-MONTH(Inputs!$F$32)</f>
        <v>234</v>
      </c>
      <c r="AG285" s="61">
        <f>(AG$248+1-YEAR(Inputs!$F$32))*Months_In_Year-MONTH(Inputs!$F$32)</f>
        <v>246</v>
      </c>
      <c r="AH285" s="61">
        <f>(AH$248+1-YEAR(Inputs!$F$32))*Months_In_Year-MONTH(Inputs!$F$32)</f>
        <v>258</v>
      </c>
      <c r="AI285" s="61">
        <f>(AI$248+1-YEAR(Inputs!$F$32))*Months_In_Year-MONTH(Inputs!$F$32)</f>
        <v>270</v>
      </c>
      <c r="AJ285" s="61">
        <f>(AJ$248+1-YEAR(Inputs!$F$32))*Months_In_Year-MONTH(Inputs!$F$32)</f>
        <v>282</v>
      </c>
      <c r="AK285" s="61">
        <f>(AK$248+1-YEAR(Inputs!$F$32))*Months_In_Year-MONTH(Inputs!$F$32)</f>
        <v>294</v>
      </c>
      <c r="AL285" s="61">
        <f>(AL$248+1-YEAR(Inputs!$F$32))*Months_In_Year-MONTH(Inputs!$F$32)</f>
        <v>306</v>
      </c>
      <c r="AM285" s="61">
        <f>(AM$248+1-YEAR(Inputs!$F$32))*Months_In_Year-MONTH(Inputs!$F$32)</f>
        <v>318</v>
      </c>
      <c r="AN285" s="61">
        <f>(AN$248+1-YEAR(Inputs!$F$32))*Months_In_Year-MONTH(Inputs!$F$32)</f>
        <v>330</v>
      </c>
      <c r="AO285" s="61">
        <f>(AO$248+1-YEAR(Inputs!$F$32))*Months_In_Year-MONTH(Inputs!$F$32)</f>
        <v>342</v>
      </c>
      <c r="AP285" s="61">
        <f>(AP$248+1-YEAR(Inputs!$F$32))*Months_In_Year-MONTH(Inputs!$F$32)</f>
        <v>354</v>
      </c>
      <c r="AQ285" s="61">
        <f>(AQ$248+1-YEAR(Inputs!$F$32))*Months_In_Year-MONTH(Inputs!$F$32)</f>
        <v>366</v>
      </c>
      <c r="AR285" s="61">
        <f>(AR$248+1-YEAR(Inputs!$F$32))*Months_In_Year-MONTH(Inputs!$F$32)</f>
        <v>378</v>
      </c>
      <c r="AS285" s="61">
        <f>(AS$248+1-YEAR(Inputs!$F$32))*Months_In_Year-MONTH(Inputs!$F$32)</f>
        <v>390</v>
      </c>
    </row>
    <row r="286" spans="2:45" outlineLevel="1" x14ac:dyDescent="0.3">
      <c r="C286" s="5" t="s">
        <v>181</v>
      </c>
      <c r="D286" s="2" t="s">
        <v>11</v>
      </c>
      <c r="H286" s="65">
        <f>SUM(J286:AS286)</f>
        <v>1</v>
      </c>
      <c r="J286" s="57">
        <f t="shared" ref="J286:AS286" si="75">MAX(0,MIN(J285,$F285)-MAX(J285-Months_In_Year,0))/$F285</f>
        <v>0</v>
      </c>
      <c r="K286" s="57">
        <f t="shared" si="75"/>
        <v>0</v>
      </c>
      <c r="L286" s="57">
        <f t="shared" si="75"/>
        <v>0</v>
      </c>
      <c r="M286" s="57">
        <f t="shared" si="75"/>
        <v>0.25</v>
      </c>
      <c r="N286" s="57">
        <f t="shared" si="75"/>
        <v>0.5</v>
      </c>
      <c r="O286" s="57">
        <f t="shared" si="75"/>
        <v>0.25</v>
      </c>
      <c r="P286" s="57">
        <f t="shared" si="75"/>
        <v>0</v>
      </c>
      <c r="Q286" s="57">
        <f t="shared" si="75"/>
        <v>0</v>
      </c>
      <c r="R286" s="57">
        <f t="shared" si="75"/>
        <v>0</v>
      </c>
      <c r="S286" s="57">
        <f t="shared" si="75"/>
        <v>0</v>
      </c>
      <c r="T286" s="57">
        <f t="shared" si="75"/>
        <v>0</v>
      </c>
      <c r="U286" s="57">
        <f t="shared" si="75"/>
        <v>0</v>
      </c>
      <c r="V286" s="57">
        <f t="shared" si="75"/>
        <v>0</v>
      </c>
      <c r="W286" s="57">
        <f t="shared" si="75"/>
        <v>0</v>
      </c>
      <c r="X286" s="57">
        <f t="shared" si="75"/>
        <v>0</v>
      </c>
      <c r="Y286" s="57">
        <f t="shared" si="75"/>
        <v>0</v>
      </c>
      <c r="Z286" s="57">
        <f t="shared" si="75"/>
        <v>0</v>
      </c>
      <c r="AA286" s="57">
        <f t="shared" si="75"/>
        <v>0</v>
      </c>
      <c r="AB286" s="57">
        <f t="shared" si="75"/>
        <v>0</v>
      </c>
      <c r="AC286" s="57">
        <f t="shared" si="75"/>
        <v>0</v>
      </c>
      <c r="AD286" s="57">
        <f t="shared" si="75"/>
        <v>0</v>
      </c>
      <c r="AE286" s="57">
        <f t="shared" si="75"/>
        <v>0</v>
      </c>
      <c r="AF286" s="57">
        <f t="shared" si="75"/>
        <v>0</v>
      </c>
      <c r="AG286" s="57">
        <f t="shared" si="75"/>
        <v>0</v>
      </c>
      <c r="AH286" s="57">
        <f t="shared" si="75"/>
        <v>0</v>
      </c>
      <c r="AI286" s="57">
        <f t="shared" si="75"/>
        <v>0</v>
      </c>
      <c r="AJ286" s="57">
        <f t="shared" si="75"/>
        <v>0</v>
      </c>
      <c r="AK286" s="57">
        <f t="shared" si="75"/>
        <v>0</v>
      </c>
      <c r="AL286" s="57">
        <f t="shared" si="75"/>
        <v>0</v>
      </c>
      <c r="AM286" s="57">
        <f t="shared" si="75"/>
        <v>0</v>
      </c>
      <c r="AN286" s="57">
        <f t="shared" si="75"/>
        <v>0</v>
      </c>
      <c r="AO286" s="57">
        <f t="shared" si="75"/>
        <v>0</v>
      </c>
      <c r="AP286" s="57">
        <f t="shared" si="75"/>
        <v>0</v>
      </c>
      <c r="AQ286" s="57">
        <f t="shared" si="75"/>
        <v>0</v>
      </c>
      <c r="AR286" s="57">
        <f t="shared" si="75"/>
        <v>0</v>
      </c>
      <c r="AS286" s="57">
        <f t="shared" si="75"/>
        <v>0</v>
      </c>
    </row>
    <row r="287" spans="2:45" outlineLevel="1" x14ac:dyDescent="0.3">
      <c r="C287" s="5" t="s">
        <v>182</v>
      </c>
      <c r="D287" s="2" t="s">
        <v>180</v>
      </c>
      <c r="F287" s="61">
        <f>Life*Months_In_Year</f>
        <v>360</v>
      </c>
      <c r="J287" s="61">
        <f>(J$248+1-YEAR(Inputs!$F$33))*Months_In_Year-MONTH(Inputs!$F$33)</f>
        <v>-54</v>
      </c>
      <c r="K287" s="61">
        <f>(K$248+1-YEAR(Inputs!$F$33))*Months_In_Year-MONTH(Inputs!$F$33)</f>
        <v>-42</v>
      </c>
      <c r="L287" s="61">
        <f>(L$248+1-YEAR(Inputs!$F$33))*Months_In_Year-MONTH(Inputs!$F$33)</f>
        <v>-30</v>
      </c>
      <c r="M287" s="61">
        <f>(M$248+1-YEAR(Inputs!$F$33))*Months_In_Year-MONTH(Inputs!$F$33)</f>
        <v>-18</v>
      </c>
      <c r="N287" s="61">
        <f>(N$248+1-YEAR(Inputs!$F$33))*Months_In_Year-MONTH(Inputs!$F$33)</f>
        <v>-6</v>
      </c>
      <c r="O287" s="61">
        <f>(O$248+1-YEAR(Inputs!$F$33))*Months_In_Year-MONTH(Inputs!$F$33)</f>
        <v>6</v>
      </c>
      <c r="P287" s="61">
        <f>(P$248+1-YEAR(Inputs!$F$33))*Months_In_Year-MONTH(Inputs!$F$33)</f>
        <v>18</v>
      </c>
      <c r="Q287" s="61">
        <f>(Q$248+1-YEAR(Inputs!$F$33))*Months_In_Year-MONTH(Inputs!$F$33)</f>
        <v>30</v>
      </c>
      <c r="R287" s="61">
        <f>(R$248+1-YEAR(Inputs!$F$33))*Months_In_Year-MONTH(Inputs!$F$33)</f>
        <v>42</v>
      </c>
      <c r="S287" s="61">
        <f>(S$248+1-YEAR(Inputs!$F$33))*Months_In_Year-MONTH(Inputs!$F$33)</f>
        <v>54</v>
      </c>
      <c r="T287" s="61">
        <f>(T$248+1-YEAR(Inputs!$F$33))*Months_In_Year-MONTH(Inputs!$F$33)</f>
        <v>66</v>
      </c>
      <c r="U287" s="61">
        <f>(U$248+1-YEAR(Inputs!$F$33))*Months_In_Year-MONTH(Inputs!$F$33)</f>
        <v>78</v>
      </c>
      <c r="V287" s="61">
        <f>(V$248+1-YEAR(Inputs!$F$33))*Months_In_Year-MONTH(Inputs!$F$33)</f>
        <v>90</v>
      </c>
      <c r="W287" s="61">
        <f>(W$248+1-YEAR(Inputs!$F$33))*Months_In_Year-MONTH(Inputs!$F$33)</f>
        <v>102</v>
      </c>
      <c r="X287" s="61">
        <f>(X$248+1-YEAR(Inputs!$F$33))*Months_In_Year-MONTH(Inputs!$F$33)</f>
        <v>114</v>
      </c>
      <c r="Y287" s="61">
        <f>(Y$248+1-YEAR(Inputs!$F$33))*Months_In_Year-MONTH(Inputs!$F$33)</f>
        <v>126</v>
      </c>
      <c r="Z287" s="61">
        <f>(Z$248+1-YEAR(Inputs!$F$33))*Months_In_Year-MONTH(Inputs!$F$33)</f>
        <v>138</v>
      </c>
      <c r="AA287" s="61">
        <f>(AA$248+1-YEAR(Inputs!$F$33))*Months_In_Year-MONTH(Inputs!$F$33)</f>
        <v>150</v>
      </c>
      <c r="AB287" s="61">
        <f>(AB$248+1-YEAR(Inputs!$F$33))*Months_In_Year-MONTH(Inputs!$F$33)</f>
        <v>162</v>
      </c>
      <c r="AC287" s="61">
        <f>(AC$248+1-YEAR(Inputs!$F$33))*Months_In_Year-MONTH(Inputs!$F$33)</f>
        <v>174</v>
      </c>
      <c r="AD287" s="61">
        <f>(AD$248+1-YEAR(Inputs!$F$33))*Months_In_Year-MONTH(Inputs!$F$33)</f>
        <v>186</v>
      </c>
      <c r="AE287" s="61">
        <f>(AE$248+1-YEAR(Inputs!$F$33))*Months_In_Year-MONTH(Inputs!$F$33)</f>
        <v>198</v>
      </c>
      <c r="AF287" s="61">
        <f>(AF$248+1-YEAR(Inputs!$F$33))*Months_In_Year-MONTH(Inputs!$F$33)</f>
        <v>210</v>
      </c>
      <c r="AG287" s="61">
        <f>(AG$248+1-YEAR(Inputs!$F$33))*Months_In_Year-MONTH(Inputs!$F$33)</f>
        <v>222</v>
      </c>
      <c r="AH287" s="61">
        <f>(AH$248+1-YEAR(Inputs!$F$33))*Months_In_Year-MONTH(Inputs!$F$33)</f>
        <v>234</v>
      </c>
      <c r="AI287" s="61">
        <f>(AI$248+1-YEAR(Inputs!$F$33))*Months_In_Year-MONTH(Inputs!$F$33)</f>
        <v>246</v>
      </c>
      <c r="AJ287" s="61">
        <f>(AJ$248+1-YEAR(Inputs!$F$33))*Months_In_Year-MONTH(Inputs!$F$33)</f>
        <v>258</v>
      </c>
      <c r="AK287" s="61">
        <f>(AK$248+1-YEAR(Inputs!$F$33))*Months_In_Year-MONTH(Inputs!$F$33)</f>
        <v>270</v>
      </c>
      <c r="AL287" s="61">
        <f>(AL$248+1-YEAR(Inputs!$F$33))*Months_In_Year-MONTH(Inputs!$F$33)</f>
        <v>282</v>
      </c>
      <c r="AM287" s="61">
        <f>(AM$248+1-YEAR(Inputs!$F$33))*Months_In_Year-MONTH(Inputs!$F$33)</f>
        <v>294</v>
      </c>
      <c r="AN287" s="61">
        <f>(AN$248+1-YEAR(Inputs!$F$33))*Months_In_Year-MONTH(Inputs!$F$33)</f>
        <v>306</v>
      </c>
      <c r="AO287" s="61">
        <f>(AO$248+1-YEAR(Inputs!$F$33))*Months_In_Year-MONTH(Inputs!$F$33)</f>
        <v>318</v>
      </c>
      <c r="AP287" s="61">
        <f>(AP$248+1-YEAR(Inputs!$F$33))*Months_In_Year-MONTH(Inputs!$F$33)</f>
        <v>330</v>
      </c>
      <c r="AQ287" s="61">
        <f>(AQ$248+1-YEAR(Inputs!$F$33))*Months_In_Year-MONTH(Inputs!$F$33)</f>
        <v>342</v>
      </c>
      <c r="AR287" s="61">
        <f>(AR$248+1-YEAR(Inputs!$F$33))*Months_In_Year-MONTH(Inputs!$F$33)</f>
        <v>354</v>
      </c>
      <c r="AS287" s="61">
        <f>(AS$248+1-YEAR(Inputs!$F$33))*Months_In_Year-MONTH(Inputs!$F$33)</f>
        <v>366</v>
      </c>
    </row>
    <row r="288" spans="2:45" outlineLevel="1" x14ac:dyDescent="0.3">
      <c r="C288" s="5" t="s">
        <v>183</v>
      </c>
      <c r="D288" s="2" t="s">
        <v>11</v>
      </c>
      <c r="H288" s="65">
        <f>SUM(J288:AS288)</f>
        <v>30</v>
      </c>
      <c r="J288" s="57">
        <f t="shared" ref="J288:AS288" si="76">MAX(0,MIN(J287,$F287)-MAX(J287-Months_In_Year,0))/Months_In_Year</f>
        <v>0</v>
      </c>
      <c r="K288" s="57">
        <f t="shared" si="76"/>
        <v>0</v>
      </c>
      <c r="L288" s="57">
        <f t="shared" si="76"/>
        <v>0</v>
      </c>
      <c r="M288" s="57">
        <f t="shared" si="76"/>
        <v>0</v>
      </c>
      <c r="N288" s="57">
        <f t="shared" si="76"/>
        <v>0</v>
      </c>
      <c r="O288" s="57">
        <f t="shared" si="76"/>
        <v>0.5</v>
      </c>
      <c r="P288" s="57">
        <f t="shared" si="76"/>
        <v>1</v>
      </c>
      <c r="Q288" s="57">
        <f t="shared" si="76"/>
        <v>1</v>
      </c>
      <c r="R288" s="57">
        <f t="shared" si="76"/>
        <v>1</v>
      </c>
      <c r="S288" s="57">
        <f t="shared" si="76"/>
        <v>1</v>
      </c>
      <c r="T288" s="57">
        <f t="shared" si="76"/>
        <v>1</v>
      </c>
      <c r="U288" s="57">
        <f t="shared" si="76"/>
        <v>1</v>
      </c>
      <c r="V288" s="57">
        <f t="shared" si="76"/>
        <v>1</v>
      </c>
      <c r="W288" s="57">
        <f t="shared" si="76"/>
        <v>1</v>
      </c>
      <c r="X288" s="57">
        <f t="shared" si="76"/>
        <v>1</v>
      </c>
      <c r="Y288" s="57">
        <f t="shared" si="76"/>
        <v>1</v>
      </c>
      <c r="Z288" s="57">
        <f t="shared" si="76"/>
        <v>1</v>
      </c>
      <c r="AA288" s="57">
        <f t="shared" si="76"/>
        <v>1</v>
      </c>
      <c r="AB288" s="57">
        <f t="shared" si="76"/>
        <v>1</v>
      </c>
      <c r="AC288" s="57">
        <f t="shared" si="76"/>
        <v>1</v>
      </c>
      <c r="AD288" s="57">
        <f t="shared" si="76"/>
        <v>1</v>
      </c>
      <c r="AE288" s="57">
        <f t="shared" si="76"/>
        <v>1</v>
      </c>
      <c r="AF288" s="57">
        <f t="shared" si="76"/>
        <v>1</v>
      </c>
      <c r="AG288" s="57">
        <f t="shared" si="76"/>
        <v>1</v>
      </c>
      <c r="AH288" s="57">
        <f t="shared" si="76"/>
        <v>1</v>
      </c>
      <c r="AI288" s="57">
        <f t="shared" si="76"/>
        <v>1</v>
      </c>
      <c r="AJ288" s="57">
        <f t="shared" si="76"/>
        <v>1</v>
      </c>
      <c r="AK288" s="57">
        <f t="shared" si="76"/>
        <v>1</v>
      </c>
      <c r="AL288" s="57">
        <f t="shared" si="76"/>
        <v>1</v>
      </c>
      <c r="AM288" s="57">
        <f t="shared" si="76"/>
        <v>1</v>
      </c>
      <c r="AN288" s="57">
        <f t="shared" si="76"/>
        <v>1</v>
      </c>
      <c r="AO288" s="57">
        <f t="shared" si="76"/>
        <v>1</v>
      </c>
      <c r="AP288" s="57">
        <f t="shared" si="76"/>
        <v>1</v>
      </c>
      <c r="AQ288" s="57">
        <f t="shared" si="76"/>
        <v>1</v>
      </c>
      <c r="AR288" s="57">
        <f t="shared" si="76"/>
        <v>1</v>
      </c>
      <c r="AS288" s="57">
        <f t="shared" si="76"/>
        <v>0.5</v>
      </c>
    </row>
    <row r="289" spans="3:45" outlineLevel="1" x14ac:dyDescent="0.3">
      <c r="C289" s="5" t="s">
        <v>184</v>
      </c>
      <c r="D289" s="2" t="s">
        <v>1</v>
      </c>
      <c r="J289" s="63">
        <f t="shared" ref="J289:AS289" si="77">N(J284=0)</f>
        <v>0</v>
      </c>
      <c r="K289" s="63">
        <f t="shared" si="77"/>
        <v>0</v>
      </c>
      <c r="L289" s="63">
        <f t="shared" si="77"/>
        <v>0</v>
      </c>
      <c r="M289" s="63">
        <f t="shared" si="77"/>
        <v>0</v>
      </c>
      <c r="N289" s="63">
        <f t="shared" si="77"/>
        <v>0</v>
      </c>
      <c r="O289" s="63">
        <f t="shared" si="77"/>
        <v>1</v>
      </c>
      <c r="P289" s="63">
        <f t="shared" si="77"/>
        <v>0</v>
      </c>
      <c r="Q289" s="63">
        <f t="shared" si="77"/>
        <v>0</v>
      </c>
      <c r="R289" s="63">
        <f t="shared" si="77"/>
        <v>0</v>
      </c>
      <c r="S289" s="63">
        <f t="shared" si="77"/>
        <v>0</v>
      </c>
      <c r="T289" s="63">
        <f t="shared" si="77"/>
        <v>0</v>
      </c>
      <c r="U289" s="63">
        <f t="shared" si="77"/>
        <v>0</v>
      </c>
      <c r="V289" s="63">
        <f t="shared" si="77"/>
        <v>0</v>
      </c>
      <c r="W289" s="63">
        <f t="shared" si="77"/>
        <v>0</v>
      </c>
      <c r="X289" s="63">
        <f t="shared" si="77"/>
        <v>0</v>
      </c>
      <c r="Y289" s="63">
        <f t="shared" si="77"/>
        <v>0</v>
      </c>
      <c r="Z289" s="63">
        <f t="shared" si="77"/>
        <v>0</v>
      </c>
      <c r="AA289" s="63">
        <f t="shared" si="77"/>
        <v>0</v>
      </c>
      <c r="AB289" s="63">
        <f t="shared" si="77"/>
        <v>0</v>
      </c>
      <c r="AC289" s="63">
        <f t="shared" si="77"/>
        <v>0</v>
      </c>
      <c r="AD289" s="63">
        <f t="shared" si="77"/>
        <v>0</v>
      </c>
      <c r="AE289" s="63">
        <f t="shared" si="77"/>
        <v>0</v>
      </c>
      <c r="AF289" s="63">
        <f t="shared" si="77"/>
        <v>0</v>
      </c>
      <c r="AG289" s="63">
        <f t="shared" si="77"/>
        <v>0</v>
      </c>
      <c r="AH289" s="63">
        <f t="shared" si="77"/>
        <v>0</v>
      </c>
      <c r="AI289" s="63">
        <f t="shared" si="77"/>
        <v>0</v>
      </c>
      <c r="AJ289" s="63">
        <f t="shared" si="77"/>
        <v>0</v>
      </c>
      <c r="AK289" s="63">
        <f t="shared" si="77"/>
        <v>0</v>
      </c>
      <c r="AL289" s="63">
        <f t="shared" si="77"/>
        <v>0</v>
      </c>
      <c r="AM289" s="63">
        <f t="shared" si="77"/>
        <v>0</v>
      </c>
      <c r="AN289" s="63">
        <f t="shared" si="77"/>
        <v>0</v>
      </c>
      <c r="AO289" s="63">
        <f t="shared" si="77"/>
        <v>0</v>
      </c>
      <c r="AP289" s="63">
        <f t="shared" si="77"/>
        <v>0</v>
      </c>
      <c r="AQ289" s="63">
        <f t="shared" si="77"/>
        <v>0</v>
      </c>
      <c r="AR289" s="63">
        <f t="shared" si="77"/>
        <v>0</v>
      </c>
      <c r="AS289" s="63">
        <f t="shared" si="77"/>
        <v>0</v>
      </c>
    </row>
    <row r="290" spans="3:45" outlineLevel="1" x14ac:dyDescent="0.3">
      <c r="C290" s="5" t="s">
        <v>185</v>
      </c>
      <c r="D290" s="2" t="s">
        <v>78</v>
      </c>
      <c r="H290" s="44">
        <f>SUM(J290:AS290)</f>
        <v>-7628.9972602739726</v>
      </c>
      <c r="J290" s="44">
        <f t="shared" ref="J290:AS290" si="78">SUMPRODUCT((YEAR($K$203:$K$210)=J$248)*$F$203:$F$210)</f>
        <v>-657.1232876712329</v>
      </c>
      <c r="K290" s="44">
        <f t="shared" si="78"/>
        <v>-3612.0547945205481</v>
      </c>
      <c r="L290" s="44">
        <f t="shared" si="78"/>
        <v>-3359.8191780821917</v>
      </c>
      <c r="M290" s="44">
        <f t="shared" si="78"/>
        <v>0</v>
      </c>
      <c r="N290" s="44">
        <f t="shared" si="78"/>
        <v>0</v>
      </c>
      <c r="O290" s="44">
        <f t="shared" si="78"/>
        <v>0</v>
      </c>
      <c r="P290" s="44">
        <f t="shared" si="78"/>
        <v>0</v>
      </c>
      <c r="Q290" s="44">
        <f t="shared" si="78"/>
        <v>0</v>
      </c>
      <c r="R290" s="44">
        <f t="shared" si="78"/>
        <v>0</v>
      </c>
      <c r="S290" s="44">
        <f t="shared" si="78"/>
        <v>0</v>
      </c>
      <c r="T290" s="44">
        <f t="shared" si="78"/>
        <v>0</v>
      </c>
      <c r="U290" s="44">
        <f t="shared" si="78"/>
        <v>0</v>
      </c>
      <c r="V290" s="44">
        <f t="shared" si="78"/>
        <v>0</v>
      </c>
      <c r="W290" s="44">
        <f t="shared" si="78"/>
        <v>0</v>
      </c>
      <c r="X290" s="44">
        <f t="shared" si="78"/>
        <v>0</v>
      </c>
      <c r="Y290" s="44">
        <f t="shared" si="78"/>
        <v>0</v>
      </c>
      <c r="Z290" s="44">
        <f t="shared" si="78"/>
        <v>0</v>
      </c>
      <c r="AA290" s="44">
        <f t="shared" si="78"/>
        <v>0</v>
      </c>
      <c r="AB290" s="44">
        <f t="shared" si="78"/>
        <v>0</v>
      </c>
      <c r="AC290" s="44">
        <f t="shared" si="78"/>
        <v>0</v>
      </c>
      <c r="AD290" s="44">
        <f t="shared" si="78"/>
        <v>0</v>
      </c>
      <c r="AE290" s="44">
        <f t="shared" si="78"/>
        <v>0</v>
      </c>
      <c r="AF290" s="44">
        <f t="shared" si="78"/>
        <v>0</v>
      </c>
      <c r="AG290" s="44">
        <f t="shared" si="78"/>
        <v>0</v>
      </c>
      <c r="AH290" s="44">
        <f t="shared" si="78"/>
        <v>0</v>
      </c>
      <c r="AI290" s="44">
        <f t="shared" si="78"/>
        <v>0</v>
      </c>
      <c r="AJ290" s="44">
        <f t="shared" si="78"/>
        <v>0</v>
      </c>
      <c r="AK290" s="44">
        <f t="shared" si="78"/>
        <v>0</v>
      </c>
      <c r="AL290" s="44">
        <f t="shared" si="78"/>
        <v>0</v>
      </c>
      <c r="AM290" s="44">
        <f t="shared" si="78"/>
        <v>0</v>
      </c>
      <c r="AN290" s="44">
        <f t="shared" si="78"/>
        <v>0</v>
      </c>
      <c r="AO290" s="44">
        <f t="shared" si="78"/>
        <v>0</v>
      </c>
      <c r="AP290" s="44">
        <f t="shared" si="78"/>
        <v>0</v>
      </c>
      <c r="AQ290" s="44">
        <f t="shared" si="78"/>
        <v>0</v>
      </c>
      <c r="AR290" s="44">
        <f t="shared" si="78"/>
        <v>0</v>
      </c>
      <c r="AS290" s="44">
        <f t="shared" si="78"/>
        <v>0</v>
      </c>
    </row>
    <row r="291" spans="3:45" outlineLevel="1" x14ac:dyDescent="0.3">
      <c r="C291" s="5" t="s">
        <v>186</v>
      </c>
      <c r="D291" s="2" t="s">
        <v>78</v>
      </c>
      <c r="H291" s="44">
        <f>SUM(J291:AS291)</f>
        <v>2494.5205479452052</v>
      </c>
      <c r="J291" s="44">
        <f>($F$60+$F$61)*(J$248=YEAR(Inputs!$F$34))</f>
        <v>0</v>
      </c>
      <c r="K291" s="44">
        <f>($F$60+$F$61)*(K$248=YEAR(Inputs!$F$34))</f>
        <v>0</v>
      </c>
      <c r="L291" s="44">
        <f>($F$60+$F$61)*(L$248=YEAR(Inputs!$F$34))</f>
        <v>0</v>
      </c>
      <c r="M291" s="44">
        <f>($F$60+$F$61)*(M$248=YEAR(Inputs!$F$34))</f>
        <v>0</v>
      </c>
      <c r="N291" s="44">
        <f>($F$60+$F$61)*(N$248=YEAR(Inputs!$F$34))</f>
        <v>0</v>
      </c>
      <c r="O291" s="44">
        <f>($F$60+$F$61)*(O$248=YEAR(Inputs!$F$34))</f>
        <v>0</v>
      </c>
      <c r="P291" s="44">
        <f>($F$60+$F$61)*(P$248=YEAR(Inputs!$F$34))</f>
        <v>0</v>
      </c>
      <c r="Q291" s="44">
        <f>($F$60+$F$61)*(Q$248=YEAR(Inputs!$F$34))</f>
        <v>2494.5205479452052</v>
      </c>
      <c r="R291" s="44">
        <f>($F$60+$F$61)*(R$248=YEAR(Inputs!$F$34))</f>
        <v>0</v>
      </c>
      <c r="S291" s="44">
        <f>($F$60+$F$61)*(S$248=YEAR(Inputs!$F$34))</f>
        <v>0</v>
      </c>
      <c r="T291" s="44">
        <f>($F$60+$F$61)*(T$248=YEAR(Inputs!$F$34))</f>
        <v>0</v>
      </c>
      <c r="U291" s="44">
        <f>($F$60+$F$61)*(U$248=YEAR(Inputs!$F$34))</f>
        <v>0</v>
      </c>
      <c r="V291" s="44">
        <f>($F$60+$F$61)*(V$248=YEAR(Inputs!$F$34))</f>
        <v>0</v>
      </c>
      <c r="W291" s="44">
        <f>($F$60+$F$61)*(W$248=YEAR(Inputs!$F$34))</f>
        <v>0</v>
      </c>
      <c r="X291" s="44">
        <f>($F$60+$F$61)*(X$248=YEAR(Inputs!$F$34))</f>
        <v>0</v>
      </c>
      <c r="Y291" s="44">
        <f>($F$60+$F$61)*(Y$248=YEAR(Inputs!$F$34))</f>
        <v>0</v>
      </c>
      <c r="Z291" s="44">
        <f>($F$60+$F$61)*(Z$248=YEAR(Inputs!$F$34))</f>
        <v>0</v>
      </c>
      <c r="AA291" s="44">
        <f>($F$60+$F$61)*(AA$248=YEAR(Inputs!$F$34))</f>
        <v>0</v>
      </c>
      <c r="AB291" s="44">
        <f>($F$60+$F$61)*(AB$248=YEAR(Inputs!$F$34))</f>
        <v>0</v>
      </c>
      <c r="AC291" s="44">
        <f>($F$60+$F$61)*(AC$248=YEAR(Inputs!$F$34))</f>
        <v>0</v>
      </c>
      <c r="AD291" s="44">
        <f>($F$60+$F$61)*(AD$248=YEAR(Inputs!$F$34))</f>
        <v>0</v>
      </c>
      <c r="AE291" s="44">
        <f>($F$60+$F$61)*(AE$248=YEAR(Inputs!$F$34))</f>
        <v>0</v>
      </c>
      <c r="AF291" s="44">
        <f>($F$60+$F$61)*(AF$248=YEAR(Inputs!$F$34))</f>
        <v>0</v>
      </c>
      <c r="AG291" s="44">
        <f>($F$60+$F$61)*(AG$248=YEAR(Inputs!$F$34))</f>
        <v>0</v>
      </c>
      <c r="AH291" s="44">
        <f>($F$60+$F$61)*(AH$248=YEAR(Inputs!$F$34))</f>
        <v>0</v>
      </c>
      <c r="AI291" s="44">
        <f>($F$60+$F$61)*(AI$248=YEAR(Inputs!$F$34))</f>
        <v>0</v>
      </c>
      <c r="AJ291" s="44">
        <f>($F$60+$F$61)*(AJ$248=YEAR(Inputs!$F$34))</f>
        <v>0</v>
      </c>
      <c r="AK291" s="44">
        <f>($F$60+$F$61)*(AK$248=YEAR(Inputs!$F$34))</f>
        <v>0</v>
      </c>
      <c r="AL291" s="44">
        <f>($F$60+$F$61)*(AL$248=YEAR(Inputs!$F$34))</f>
        <v>0</v>
      </c>
      <c r="AM291" s="44">
        <f>($F$60+$F$61)*(AM$248=YEAR(Inputs!$F$34))</f>
        <v>0</v>
      </c>
      <c r="AN291" s="44">
        <f>($F$60+$F$61)*(AN$248=YEAR(Inputs!$F$34))</f>
        <v>0</v>
      </c>
      <c r="AO291" s="44">
        <f>($F$60+$F$61)*(AO$248=YEAR(Inputs!$F$34))</f>
        <v>0</v>
      </c>
      <c r="AP291" s="44">
        <f>($F$60+$F$61)*(AP$248=YEAR(Inputs!$F$34))</f>
        <v>0</v>
      </c>
      <c r="AQ291" s="44">
        <f>($F$60+$F$61)*(AQ$248=YEAR(Inputs!$F$34))</f>
        <v>0</v>
      </c>
      <c r="AR291" s="44">
        <f>($F$60+$F$61)*(AR$248=YEAR(Inputs!$F$34))</f>
        <v>0</v>
      </c>
      <c r="AS291" s="44">
        <f>($F$60+$F$61)*(AS$248=YEAR(Inputs!$F$34))</f>
        <v>0</v>
      </c>
    </row>
    <row r="292" spans="3:45" outlineLevel="1" x14ac:dyDescent="0.3">
      <c r="C292" s="5" t="s">
        <v>187</v>
      </c>
      <c r="D292" s="2" t="s">
        <v>78</v>
      </c>
      <c r="H292" s="44">
        <f>SUM(J292:AS292)</f>
        <v>-69992.5</v>
      </c>
      <c r="J292" s="44">
        <f t="shared" ref="J292:AS292" si="79">-$F$88*J286</f>
        <v>0</v>
      </c>
      <c r="K292" s="44">
        <f t="shared" si="79"/>
        <v>0</v>
      </c>
      <c r="L292" s="44">
        <f t="shared" si="79"/>
        <v>0</v>
      </c>
      <c r="M292" s="44">
        <f t="shared" si="79"/>
        <v>-17498.125</v>
      </c>
      <c r="N292" s="44">
        <f t="shared" si="79"/>
        <v>-34996.25</v>
      </c>
      <c r="O292" s="44">
        <f t="shared" si="79"/>
        <v>-17498.125</v>
      </c>
      <c r="P292" s="44">
        <f t="shared" si="79"/>
        <v>0</v>
      </c>
      <c r="Q292" s="44">
        <f t="shared" si="79"/>
        <v>0</v>
      </c>
      <c r="R292" s="44">
        <f t="shared" si="79"/>
        <v>0</v>
      </c>
      <c r="S292" s="44">
        <f t="shared" si="79"/>
        <v>0</v>
      </c>
      <c r="T292" s="44">
        <f t="shared" si="79"/>
        <v>0</v>
      </c>
      <c r="U292" s="44">
        <f t="shared" si="79"/>
        <v>0</v>
      </c>
      <c r="V292" s="44">
        <f t="shared" si="79"/>
        <v>0</v>
      </c>
      <c r="W292" s="44">
        <f t="shared" si="79"/>
        <v>0</v>
      </c>
      <c r="X292" s="44">
        <f t="shared" si="79"/>
        <v>0</v>
      </c>
      <c r="Y292" s="44">
        <f t="shared" si="79"/>
        <v>0</v>
      </c>
      <c r="Z292" s="44">
        <f t="shared" si="79"/>
        <v>0</v>
      </c>
      <c r="AA292" s="44">
        <f t="shared" si="79"/>
        <v>0</v>
      </c>
      <c r="AB292" s="44">
        <f t="shared" si="79"/>
        <v>0</v>
      </c>
      <c r="AC292" s="44">
        <f t="shared" si="79"/>
        <v>0</v>
      </c>
      <c r="AD292" s="44">
        <f t="shared" si="79"/>
        <v>0</v>
      </c>
      <c r="AE292" s="44">
        <f t="shared" si="79"/>
        <v>0</v>
      </c>
      <c r="AF292" s="44">
        <f t="shared" si="79"/>
        <v>0</v>
      </c>
      <c r="AG292" s="44">
        <f t="shared" si="79"/>
        <v>0</v>
      </c>
      <c r="AH292" s="44">
        <f t="shared" si="79"/>
        <v>0</v>
      </c>
      <c r="AI292" s="44">
        <f t="shared" si="79"/>
        <v>0</v>
      </c>
      <c r="AJ292" s="44">
        <f t="shared" si="79"/>
        <v>0</v>
      </c>
      <c r="AK292" s="44">
        <f t="shared" si="79"/>
        <v>0</v>
      </c>
      <c r="AL292" s="44">
        <f t="shared" si="79"/>
        <v>0</v>
      </c>
      <c r="AM292" s="44">
        <f t="shared" si="79"/>
        <v>0</v>
      </c>
      <c r="AN292" s="44">
        <f t="shared" si="79"/>
        <v>0</v>
      </c>
      <c r="AO292" s="44">
        <f t="shared" si="79"/>
        <v>0</v>
      </c>
      <c r="AP292" s="44">
        <f t="shared" si="79"/>
        <v>0</v>
      </c>
      <c r="AQ292" s="44">
        <f t="shared" si="79"/>
        <v>0</v>
      </c>
      <c r="AR292" s="44">
        <f t="shared" si="79"/>
        <v>0</v>
      </c>
      <c r="AS292" s="44">
        <f t="shared" si="79"/>
        <v>0</v>
      </c>
    </row>
    <row r="293" spans="3:45" outlineLevel="1" x14ac:dyDescent="0.3">
      <c r="C293" s="5" t="s">
        <v>188</v>
      </c>
      <c r="D293" s="2" t="s">
        <v>78</v>
      </c>
      <c r="H293" s="44">
        <f>SUM(J293:AS293)</f>
        <v>-2500</v>
      </c>
      <c r="J293" s="44">
        <f t="shared" ref="J293:AS293" si="80">-$F$90*J289</f>
        <v>0</v>
      </c>
      <c r="K293" s="44">
        <f t="shared" si="80"/>
        <v>0</v>
      </c>
      <c r="L293" s="44">
        <f t="shared" si="80"/>
        <v>0</v>
      </c>
      <c r="M293" s="44">
        <f t="shared" si="80"/>
        <v>0</v>
      </c>
      <c r="N293" s="44">
        <f t="shared" si="80"/>
        <v>0</v>
      </c>
      <c r="O293" s="44">
        <f t="shared" si="80"/>
        <v>-2500</v>
      </c>
      <c r="P293" s="44">
        <f t="shared" si="80"/>
        <v>0</v>
      </c>
      <c r="Q293" s="44">
        <f t="shared" si="80"/>
        <v>0</v>
      </c>
      <c r="R293" s="44">
        <f t="shared" si="80"/>
        <v>0</v>
      </c>
      <c r="S293" s="44">
        <f t="shared" si="80"/>
        <v>0</v>
      </c>
      <c r="T293" s="44">
        <f t="shared" si="80"/>
        <v>0</v>
      </c>
      <c r="U293" s="44">
        <f t="shared" si="80"/>
        <v>0</v>
      </c>
      <c r="V293" s="44">
        <f t="shared" si="80"/>
        <v>0</v>
      </c>
      <c r="W293" s="44">
        <f t="shared" si="80"/>
        <v>0</v>
      </c>
      <c r="X293" s="44">
        <f t="shared" si="80"/>
        <v>0</v>
      </c>
      <c r="Y293" s="44">
        <f t="shared" si="80"/>
        <v>0</v>
      </c>
      <c r="Z293" s="44">
        <f t="shared" si="80"/>
        <v>0</v>
      </c>
      <c r="AA293" s="44">
        <f t="shared" si="80"/>
        <v>0</v>
      </c>
      <c r="AB293" s="44">
        <f t="shared" si="80"/>
        <v>0</v>
      </c>
      <c r="AC293" s="44">
        <f t="shared" si="80"/>
        <v>0</v>
      </c>
      <c r="AD293" s="44">
        <f t="shared" si="80"/>
        <v>0</v>
      </c>
      <c r="AE293" s="44">
        <f t="shared" si="80"/>
        <v>0</v>
      </c>
      <c r="AF293" s="44">
        <f t="shared" si="80"/>
        <v>0</v>
      </c>
      <c r="AG293" s="44">
        <f t="shared" si="80"/>
        <v>0</v>
      </c>
      <c r="AH293" s="44">
        <f t="shared" si="80"/>
        <v>0</v>
      </c>
      <c r="AI293" s="44">
        <f t="shared" si="80"/>
        <v>0</v>
      </c>
      <c r="AJ293" s="44">
        <f t="shared" si="80"/>
        <v>0</v>
      </c>
      <c r="AK293" s="44">
        <f t="shared" si="80"/>
        <v>0</v>
      </c>
      <c r="AL293" s="44">
        <f t="shared" si="80"/>
        <v>0</v>
      </c>
      <c r="AM293" s="44">
        <f t="shared" si="80"/>
        <v>0</v>
      </c>
      <c r="AN293" s="44">
        <f t="shared" si="80"/>
        <v>0</v>
      </c>
      <c r="AO293" s="44">
        <f t="shared" si="80"/>
        <v>0</v>
      </c>
      <c r="AP293" s="44">
        <f t="shared" si="80"/>
        <v>0</v>
      </c>
      <c r="AQ293" s="44">
        <f t="shared" si="80"/>
        <v>0</v>
      </c>
      <c r="AR293" s="44">
        <f t="shared" si="80"/>
        <v>0</v>
      </c>
      <c r="AS293" s="44">
        <f t="shared" si="80"/>
        <v>0</v>
      </c>
    </row>
    <row r="294" spans="3:45" outlineLevel="1" x14ac:dyDescent="0.3">
      <c r="C294" s="1" t="s">
        <v>189</v>
      </c>
      <c r="D294" s="2" t="s">
        <v>78</v>
      </c>
      <c r="H294" s="46">
        <f>SUM(J294:AS294)</f>
        <v>-77626.97671232876</v>
      </c>
      <c r="J294" s="46">
        <f t="shared" ref="J294:AS294" si="81">SUM(J290:J293)</f>
        <v>-657.1232876712329</v>
      </c>
      <c r="K294" s="46">
        <f t="shared" si="81"/>
        <v>-3612.0547945205481</v>
      </c>
      <c r="L294" s="46">
        <f t="shared" si="81"/>
        <v>-3359.8191780821917</v>
      </c>
      <c r="M294" s="46">
        <f t="shared" si="81"/>
        <v>-17498.125</v>
      </c>
      <c r="N294" s="46">
        <f t="shared" si="81"/>
        <v>-34996.25</v>
      </c>
      <c r="O294" s="46">
        <f t="shared" si="81"/>
        <v>-19998.125</v>
      </c>
      <c r="P294" s="46">
        <f t="shared" si="81"/>
        <v>0</v>
      </c>
      <c r="Q294" s="46">
        <f t="shared" si="81"/>
        <v>2494.5205479452052</v>
      </c>
      <c r="R294" s="46">
        <f t="shared" si="81"/>
        <v>0</v>
      </c>
      <c r="S294" s="46">
        <f t="shared" si="81"/>
        <v>0</v>
      </c>
      <c r="T294" s="46">
        <f t="shared" si="81"/>
        <v>0</v>
      </c>
      <c r="U294" s="46">
        <f t="shared" si="81"/>
        <v>0</v>
      </c>
      <c r="V294" s="46">
        <f t="shared" si="81"/>
        <v>0</v>
      </c>
      <c r="W294" s="46">
        <f t="shared" si="81"/>
        <v>0</v>
      </c>
      <c r="X294" s="46">
        <f t="shared" si="81"/>
        <v>0</v>
      </c>
      <c r="Y294" s="46">
        <f t="shared" si="81"/>
        <v>0</v>
      </c>
      <c r="Z294" s="46">
        <f t="shared" si="81"/>
        <v>0</v>
      </c>
      <c r="AA294" s="46">
        <f t="shared" si="81"/>
        <v>0</v>
      </c>
      <c r="AB294" s="46">
        <f t="shared" si="81"/>
        <v>0</v>
      </c>
      <c r="AC294" s="46">
        <f t="shared" si="81"/>
        <v>0</v>
      </c>
      <c r="AD294" s="46">
        <f t="shared" si="81"/>
        <v>0</v>
      </c>
      <c r="AE294" s="46">
        <f t="shared" si="81"/>
        <v>0</v>
      </c>
      <c r="AF294" s="46">
        <f t="shared" si="81"/>
        <v>0</v>
      </c>
      <c r="AG294" s="46">
        <f t="shared" si="81"/>
        <v>0</v>
      </c>
      <c r="AH294" s="46">
        <f t="shared" si="81"/>
        <v>0</v>
      </c>
      <c r="AI294" s="46">
        <f t="shared" si="81"/>
        <v>0</v>
      </c>
      <c r="AJ294" s="46">
        <f t="shared" si="81"/>
        <v>0</v>
      </c>
      <c r="AK294" s="46">
        <f t="shared" si="81"/>
        <v>0</v>
      </c>
      <c r="AL294" s="46">
        <f t="shared" si="81"/>
        <v>0</v>
      </c>
      <c r="AM294" s="46">
        <f t="shared" si="81"/>
        <v>0</v>
      </c>
      <c r="AN294" s="46">
        <f t="shared" si="81"/>
        <v>0</v>
      </c>
      <c r="AO294" s="46">
        <f t="shared" si="81"/>
        <v>0</v>
      </c>
      <c r="AP294" s="46">
        <f t="shared" si="81"/>
        <v>0</v>
      </c>
      <c r="AQ294" s="46">
        <f t="shared" si="81"/>
        <v>0</v>
      </c>
      <c r="AR294" s="46">
        <f t="shared" si="81"/>
        <v>0</v>
      </c>
      <c r="AS294" s="46">
        <f t="shared" si="81"/>
        <v>0</v>
      </c>
    </row>
    <row r="295" spans="3:45" outlineLevel="1" x14ac:dyDescent="0.3">
      <c r="C295" s="5" t="s">
        <v>190</v>
      </c>
      <c r="D295" s="2" t="s">
        <v>2</v>
      </c>
      <c r="J295" s="64">
        <f t="shared" ref="J295:AS295" si="82">(1-Degradation)^MAX(J284-1,0)</f>
        <v>1</v>
      </c>
      <c r="K295" s="64">
        <f t="shared" si="82"/>
        <v>1</v>
      </c>
      <c r="L295" s="64">
        <f t="shared" si="82"/>
        <v>1</v>
      </c>
      <c r="M295" s="64">
        <f t="shared" si="82"/>
        <v>1</v>
      </c>
      <c r="N295" s="64">
        <f t="shared" si="82"/>
        <v>1</v>
      </c>
      <c r="O295" s="64">
        <f t="shared" si="82"/>
        <v>1</v>
      </c>
      <c r="P295" s="64">
        <f t="shared" si="82"/>
        <v>1</v>
      </c>
      <c r="Q295" s="64">
        <f t="shared" si="82"/>
        <v>0.997</v>
      </c>
      <c r="R295" s="64">
        <f t="shared" si="82"/>
        <v>0.99400900000000003</v>
      </c>
      <c r="S295" s="64">
        <f t="shared" si="82"/>
        <v>0.99102697299999998</v>
      </c>
      <c r="T295" s="64">
        <f t="shared" si="82"/>
        <v>0.98805389208100003</v>
      </c>
      <c r="U295" s="64">
        <f t="shared" si="82"/>
        <v>0.985089730404757</v>
      </c>
      <c r="V295" s="64">
        <f t="shared" si="82"/>
        <v>0.98213446121354275</v>
      </c>
      <c r="W295" s="64">
        <f t="shared" si="82"/>
        <v>0.97918805782990215</v>
      </c>
      <c r="X295" s="64">
        <f t="shared" si="82"/>
        <v>0.97625049365641248</v>
      </c>
      <c r="Y295" s="64">
        <f t="shared" si="82"/>
        <v>0.97332174217544321</v>
      </c>
      <c r="Z295" s="64">
        <f t="shared" si="82"/>
        <v>0.97040177694891694</v>
      </c>
      <c r="AA295" s="64">
        <f t="shared" si="82"/>
        <v>0.96749057161807017</v>
      </c>
      <c r="AB295" s="64">
        <f t="shared" si="82"/>
        <v>0.96458809990321592</v>
      </c>
      <c r="AC295" s="64">
        <f t="shared" si="82"/>
        <v>0.96169433560350626</v>
      </c>
      <c r="AD295" s="64">
        <f t="shared" si="82"/>
        <v>0.9588092525966958</v>
      </c>
      <c r="AE295" s="64">
        <f t="shared" si="82"/>
        <v>0.95593282483890574</v>
      </c>
      <c r="AF295" s="64">
        <f t="shared" si="82"/>
        <v>0.95306502636438906</v>
      </c>
      <c r="AG295" s="64">
        <f t="shared" si="82"/>
        <v>0.9502058312852959</v>
      </c>
      <c r="AH295" s="64">
        <f t="shared" si="82"/>
        <v>0.94735521379144005</v>
      </c>
      <c r="AI295" s="64">
        <f t="shared" si="82"/>
        <v>0.94451314815006571</v>
      </c>
      <c r="AJ295" s="64">
        <f t="shared" si="82"/>
        <v>0.94167960870561551</v>
      </c>
      <c r="AK295" s="64">
        <f t="shared" si="82"/>
        <v>0.93885456987949867</v>
      </c>
      <c r="AL295" s="64">
        <f t="shared" si="82"/>
        <v>0.93603800616986021</v>
      </c>
      <c r="AM295" s="64">
        <f t="shared" si="82"/>
        <v>0.93322989215135066</v>
      </c>
      <c r="AN295" s="64">
        <f t="shared" si="82"/>
        <v>0.93043020247489661</v>
      </c>
      <c r="AO295" s="64">
        <f t="shared" si="82"/>
        <v>0.92763891186747183</v>
      </c>
      <c r="AP295" s="64">
        <f t="shared" si="82"/>
        <v>0.92485599513186956</v>
      </c>
      <c r="AQ295" s="64">
        <f t="shared" si="82"/>
        <v>0.9220814271464739</v>
      </c>
      <c r="AR295" s="64">
        <f t="shared" si="82"/>
        <v>0.91931518286503444</v>
      </c>
      <c r="AS295" s="64">
        <f t="shared" si="82"/>
        <v>0.91655723731643934</v>
      </c>
    </row>
    <row r="296" spans="3:45" outlineLevel="1" x14ac:dyDescent="0.3">
      <c r="C296" s="5" t="s">
        <v>191</v>
      </c>
      <c r="D296" s="2" t="s">
        <v>192</v>
      </c>
      <c r="H296" s="48">
        <f>SUM(J296:AS296)</f>
        <v>4737.1098078497116</v>
      </c>
      <c r="J296" s="48">
        <f t="shared" ref="J296:AS296" si="83">$F$45*$F$21*(1-Curtailment)*(1-Clipping)*J288*J295/Thousand</f>
        <v>0</v>
      </c>
      <c r="K296" s="48">
        <f t="shared" si="83"/>
        <v>0</v>
      </c>
      <c r="L296" s="48">
        <f t="shared" si="83"/>
        <v>0</v>
      </c>
      <c r="M296" s="48">
        <f t="shared" si="83"/>
        <v>0</v>
      </c>
      <c r="N296" s="48">
        <f t="shared" si="83"/>
        <v>0</v>
      </c>
      <c r="O296" s="48">
        <f t="shared" si="83"/>
        <v>82.32</v>
      </c>
      <c r="P296" s="48">
        <f t="shared" si="83"/>
        <v>164.64</v>
      </c>
      <c r="Q296" s="48">
        <f t="shared" si="83"/>
        <v>164.14607999999998</v>
      </c>
      <c r="R296" s="48">
        <f t="shared" si="83"/>
        <v>163.65364176</v>
      </c>
      <c r="S296" s="48">
        <f t="shared" si="83"/>
        <v>163.16268083471999</v>
      </c>
      <c r="T296" s="48">
        <f t="shared" si="83"/>
        <v>162.67319279221584</v>
      </c>
      <c r="U296" s="48">
        <f t="shared" si="83"/>
        <v>162.18517321383919</v>
      </c>
      <c r="V296" s="48">
        <f t="shared" si="83"/>
        <v>161.69861769419768</v>
      </c>
      <c r="W296" s="48">
        <f t="shared" si="83"/>
        <v>161.2135218411151</v>
      </c>
      <c r="X296" s="48">
        <f t="shared" si="83"/>
        <v>160.72988127559177</v>
      </c>
      <c r="Y296" s="48">
        <f t="shared" si="83"/>
        <v>160.24769163176495</v>
      </c>
      <c r="Z296" s="48">
        <f t="shared" si="83"/>
        <v>159.76694855686969</v>
      </c>
      <c r="AA296" s="48">
        <f t="shared" si="83"/>
        <v>159.28764771119907</v>
      </c>
      <c r="AB296" s="48">
        <f t="shared" si="83"/>
        <v>158.80978476806547</v>
      </c>
      <c r="AC296" s="48">
        <f t="shared" si="83"/>
        <v>158.33335541376127</v>
      </c>
      <c r="AD296" s="48">
        <f t="shared" si="83"/>
        <v>157.85835534751999</v>
      </c>
      <c r="AE296" s="48">
        <f t="shared" si="83"/>
        <v>157.38478028147745</v>
      </c>
      <c r="AF296" s="48">
        <f t="shared" si="83"/>
        <v>156.91262594063301</v>
      </c>
      <c r="AG296" s="48">
        <f t="shared" si="83"/>
        <v>156.4418880628111</v>
      </c>
      <c r="AH296" s="48">
        <f t="shared" si="83"/>
        <v>155.9725623986227</v>
      </c>
      <c r="AI296" s="48">
        <f t="shared" si="83"/>
        <v>155.50464471142681</v>
      </c>
      <c r="AJ296" s="48">
        <f t="shared" si="83"/>
        <v>155.03813077729254</v>
      </c>
      <c r="AK296" s="48">
        <f t="shared" si="83"/>
        <v>154.57301638496065</v>
      </c>
      <c r="AL296" s="48">
        <f t="shared" si="83"/>
        <v>154.10929733580579</v>
      </c>
      <c r="AM296" s="48">
        <f t="shared" si="83"/>
        <v>153.64696944379838</v>
      </c>
      <c r="AN296" s="48">
        <f t="shared" si="83"/>
        <v>153.18602853546699</v>
      </c>
      <c r="AO296" s="48">
        <f t="shared" si="83"/>
        <v>152.72647044986056</v>
      </c>
      <c r="AP296" s="48">
        <f t="shared" si="83"/>
        <v>152.26829103851099</v>
      </c>
      <c r="AQ296" s="48">
        <f t="shared" si="83"/>
        <v>151.81148616539548</v>
      </c>
      <c r="AR296" s="48">
        <f t="shared" si="83"/>
        <v>151.35605170689928</v>
      </c>
      <c r="AS296" s="48">
        <f t="shared" si="83"/>
        <v>75.450991775889278</v>
      </c>
    </row>
    <row r="297" spans="3:45" outlineLevel="1" x14ac:dyDescent="0.3">
      <c r="C297" s="5" t="s">
        <v>193</v>
      </c>
      <c r="D297" s="2" t="s">
        <v>19</v>
      </c>
      <c r="J297" s="48">
        <f t="shared" ref="J297:AS297" si="84">Case_PPA*(1+PPA_Esc)^J284*(J288&gt;0)</f>
        <v>0</v>
      </c>
      <c r="K297" s="48">
        <f t="shared" si="84"/>
        <v>0</v>
      </c>
      <c r="L297" s="48">
        <f t="shared" si="84"/>
        <v>0</v>
      </c>
      <c r="M297" s="48">
        <f t="shared" si="84"/>
        <v>0</v>
      </c>
      <c r="N297" s="48">
        <f t="shared" si="84"/>
        <v>0</v>
      </c>
      <c r="O297" s="48">
        <f t="shared" si="84"/>
        <v>90</v>
      </c>
      <c r="P297" s="48">
        <f t="shared" si="84"/>
        <v>90.9</v>
      </c>
      <c r="Q297" s="48">
        <f t="shared" si="84"/>
        <v>91.808999999999997</v>
      </c>
      <c r="R297" s="48">
        <f t="shared" si="84"/>
        <v>92.72708999999999</v>
      </c>
      <c r="S297" s="48">
        <f t="shared" si="84"/>
        <v>93.6543609</v>
      </c>
      <c r="T297" s="48">
        <f t="shared" si="84"/>
        <v>94.590904508999998</v>
      </c>
      <c r="U297" s="48">
        <f t="shared" si="84"/>
        <v>95.536813554090017</v>
      </c>
      <c r="V297" s="48">
        <f t="shared" si="84"/>
        <v>96.492181689630883</v>
      </c>
      <c r="W297" s="48">
        <f t="shared" si="84"/>
        <v>97.457103506527218</v>
      </c>
      <c r="X297" s="48">
        <f t="shared" si="84"/>
        <v>98.4316745415925</v>
      </c>
      <c r="Y297" s="48">
        <f t="shared" si="84"/>
        <v>99.415991287008424</v>
      </c>
      <c r="Z297" s="48">
        <f t="shared" si="84"/>
        <v>100.41015119987848</v>
      </c>
      <c r="AA297" s="48">
        <f t="shared" si="84"/>
        <v>101.41425271187728</v>
      </c>
      <c r="AB297" s="48">
        <f t="shared" si="84"/>
        <v>102.42839523899606</v>
      </c>
      <c r="AC297" s="48">
        <f t="shared" si="84"/>
        <v>103.45267919138603</v>
      </c>
      <c r="AD297" s="48">
        <f t="shared" si="84"/>
        <v>104.48720598329986</v>
      </c>
      <c r="AE297" s="48">
        <f t="shared" si="84"/>
        <v>105.53207804313288</v>
      </c>
      <c r="AF297" s="48">
        <f t="shared" si="84"/>
        <v>106.58739882356423</v>
      </c>
      <c r="AG297" s="48">
        <f t="shared" si="84"/>
        <v>107.65327281179987</v>
      </c>
      <c r="AH297" s="48">
        <f t="shared" si="84"/>
        <v>108.72980553991785</v>
      </c>
      <c r="AI297" s="48">
        <f t="shared" si="84"/>
        <v>109.81710359531704</v>
      </c>
      <c r="AJ297" s="48">
        <f t="shared" si="84"/>
        <v>110.91527463127019</v>
      </c>
      <c r="AK297" s="48">
        <f t="shared" si="84"/>
        <v>112.02442737758292</v>
      </c>
      <c r="AL297" s="48">
        <f t="shared" si="84"/>
        <v>113.14467165135873</v>
      </c>
      <c r="AM297" s="48">
        <f t="shared" si="84"/>
        <v>114.27611836787234</v>
      </c>
      <c r="AN297" s="48">
        <f t="shared" si="84"/>
        <v>115.41887955155109</v>
      </c>
      <c r="AO297" s="48">
        <f t="shared" si="84"/>
        <v>116.5730683470666</v>
      </c>
      <c r="AP297" s="48">
        <f t="shared" si="84"/>
        <v>117.73879903053722</v>
      </c>
      <c r="AQ297" s="48">
        <f t="shared" si="84"/>
        <v>118.9161870208426</v>
      </c>
      <c r="AR297" s="48">
        <f t="shared" si="84"/>
        <v>120.10534889105104</v>
      </c>
      <c r="AS297" s="48">
        <f t="shared" si="84"/>
        <v>121.30640237996157</v>
      </c>
    </row>
    <row r="298" spans="3:45" outlineLevel="1" x14ac:dyDescent="0.3">
      <c r="C298" s="1" t="s">
        <v>126</v>
      </c>
      <c r="D298" s="2" t="s">
        <v>78</v>
      </c>
      <c r="H298" s="52">
        <f>SUM(J298:AS298)</f>
        <v>495700.76192161598</v>
      </c>
      <c r="J298" s="52">
        <f t="shared" ref="J298:AS298" si="85">J296*J297</f>
        <v>0</v>
      </c>
      <c r="K298" s="52">
        <f t="shared" si="85"/>
        <v>0</v>
      </c>
      <c r="L298" s="52">
        <f t="shared" si="85"/>
        <v>0</v>
      </c>
      <c r="M298" s="52">
        <f t="shared" si="85"/>
        <v>0</v>
      </c>
      <c r="N298" s="52">
        <f t="shared" si="85"/>
        <v>0</v>
      </c>
      <c r="O298" s="52">
        <f t="shared" si="85"/>
        <v>7408.7999999999993</v>
      </c>
      <c r="P298" s="52">
        <f t="shared" si="85"/>
        <v>14965.776</v>
      </c>
      <c r="Q298" s="52">
        <f t="shared" si="85"/>
        <v>15070.087458719998</v>
      </c>
      <c r="R298" s="52">
        <f t="shared" si="85"/>
        <v>15175.125968307277</v>
      </c>
      <c r="S298" s="52">
        <f t="shared" si="85"/>
        <v>15280.89659630638</v>
      </c>
      <c r="T298" s="52">
        <f t="shared" si="85"/>
        <v>15387.404445582635</v>
      </c>
      <c r="U298" s="52">
        <f t="shared" si="85"/>
        <v>15494.654654568349</v>
      </c>
      <c r="V298" s="52">
        <f t="shared" si="85"/>
        <v>15602.652397510685</v>
      </c>
      <c r="W298" s="52">
        <f t="shared" si="85"/>
        <v>15711.402884721339</v>
      </c>
      <c r="X298" s="52">
        <f t="shared" si="85"/>
        <v>15820.91136282785</v>
      </c>
      <c r="Y298" s="52">
        <f t="shared" si="85"/>
        <v>15931.183115026757</v>
      </c>
      <c r="Z298" s="52">
        <f t="shared" si="85"/>
        <v>16042.223461338494</v>
      </c>
      <c r="AA298" s="52">
        <f t="shared" si="85"/>
        <v>16154.037758864024</v>
      </c>
      <c r="AB298" s="52">
        <f t="shared" si="85"/>
        <v>16266.631402043306</v>
      </c>
      <c r="AC298" s="52">
        <f t="shared" si="85"/>
        <v>16380.009822915548</v>
      </c>
      <c r="AD298" s="52">
        <f t="shared" si="85"/>
        <v>16494.178491381266</v>
      </c>
      <c r="AE298" s="52">
        <f t="shared" si="85"/>
        <v>16609.1429154662</v>
      </c>
      <c r="AF298" s="52">
        <f t="shared" si="85"/>
        <v>16724.908641587001</v>
      </c>
      <c r="AG298" s="52">
        <f t="shared" si="85"/>
        <v>16841.48125481886</v>
      </c>
      <c r="AH298" s="52">
        <f t="shared" si="85"/>
        <v>16958.866379164949</v>
      </c>
      <c r="AI298" s="52">
        <f t="shared" si="85"/>
        <v>17077.069677827727</v>
      </c>
      <c r="AJ298" s="52">
        <f t="shared" si="85"/>
        <v>17196.096853482184</v>
      </c>
      <c r="AK298" s="52">
        <f t="shared" si="85"/>
        <v>17315.95364855096</v>
      </c>
      <c r="AL298" s="52">
        <f t="shared" si="85"/>
        <v>17436.645845481358</v>
      </c>
      <c r="AM298" s="52">
        <f t="shared" si="85"/>
        <v>17558.17926702437</v>
      </c>
      <c r="AN298" s="52">
        <f t="shared" si="85"/>
        <v>17680.559776515533</v>
      </c>
      <c r="AO298" s="52">
        <f t="shared" si="85"/>
        <v>17803.793278157842</v>
      </c>
      <c r="AP298" s="52">
        <f t="shared" si="85"/>
        <v>17927.885717306599</v>
      </c>
      <c r="AQ298" s="52">
        <f t="shared" si="85"/>
        <v>18052.843080756229</v>
      </c>
      <c r="AR298" s="52">
        <f t="shared" si="85"/>
        <v>18178.671397029098</v>
      </c>
      <c r="AS298" s="52">
        <f t="shared" si="85"/>
        <v>9152.6883683331962</v>
      </c>
    </row>
    <row r="299" spans="3:45" outlineLevel="1" x14ac:dyDescent="0.3">
      <c r="C299" s="5" t="s">
        <v>194</v>
      </c>
      <c r="D299" s="2" t="s">
        <v>2</v>
      </c>
      <c r="J299" s="64">
        <f t="shared" ref="J299:AS299" si="86">(1+Opex_Esc)^J284</f>
        <v>0.88385428760951712</v>
      </c>
      <c r="K299" s="64">
        <f t="shared" si="86"/>
        <v>0.90595064479975507</v>
      </c>
      <c r="L299" s="64">
        <f t="shared" si="86"/>
        <v>0.92859941091974885</v>
      </c>
      <c r="M299" s="64">
        <f t="shared" si="86"/>
        <v>0.95181439619274244</v>
      </c>
      <c r="N299" s="64">
        <f t="shared" si="86"/>
        <v>0.97560975609756106</v>
      </c>
      <c r="O299" s="64">
        <f t="shared" si="86"/>
        <v>1</v>
      </c>
      <c r="P299" s="64">
        <f t="shared" si="86"/>
        <v>1.0249999999999999</v>
      </c>
      <c r="Q299" s="64">
        <f t="shared" si="86"/>
        <v>1.0506249999999999</v>
      </c>
      <c r="R299" s="64">
        <f t="shared" si="86"/>
        <v>1.0768906249999999</v>
      </c>
      <c r="S299" s="64">
        <f t="shared" si="86"/>
        <v>1.1038128906249998</v>
      </c>
      <c r="T299" s="64">
        <f t="shared" si="86"/>
        <v>1.1314082128906247</v>
      </c>
      <c r="U299" s="64">
        <f t="shared" si="86"/>
        <v>1.1596934182128902</v>
      </c>
      <c r="V299" s="64">
        <f t="shared" si="86"/>
        <v>1.1886857536682125</v>
      </c>
      <c r="W299" s="64">
        <f t="shared" si="86"/>
        <v>1.2184028975099177</v>
      </c>
      <c r="X299" s="64">
        <f t="shared" si="86"/>
        <v>1.2488629699476654</v>
      </c>
      <c r="Y299" s="64">
        <f t="shared" si="86"/>
        <v>1.2800845441963571</v>
      </c>
      <c r="Z299" s="64">
        <f t="shared" si="86"/>
        <v>1.312086657801266</v>
      </c>
      <c r="AA299" s="64">
        <f t="shared" si="86"/>
        <v>1.3448888242462975</v>
      </c>
      <c r="AB299" s="64">
        <f t="shared" si="86"/>
        <v>1.3785110448524549</v>
      </c>
      <c r="AC299" s="64">
        <f t="shared" si="86"/>
        <v>1.4129738209737661</v>
      </c>
      <c r="AD299" s="64">
        <f t="shared" si="86"/>
        <v>1.4482981664981105</v>
      </c>
      <c r="AE299" s="64">
        <f t="shared" si="86"/>
        <v>1.4845056206605631</v>
      </c>
      <c r="AF299" s="64">
        <f t="shared" si="86"/>
        <v>1.521618261177077</v>
      </c>
      <c r="AG299" s="64">
        <f t="shared" si="86"/>
        <v>1.559658717706504</v>
      </c>
      <c r="AH299" s="64">
        <f t="shared" si="86"/>
        <v>1.5986501856491666</v>
      </c>
      <c r="AI299" s="64">
        <f t="shared" si="86"/>
        <v>1.6386164402903955</v>
      </c>
      <c r="AJ299" s="64">
        <f t="shared" si="86"/>
        <v>1.6795818512976552</v>
      </c>
      <c r="AK299" s="64">
        <f t="shared" si="86"/>
        <v>1.7215713975800966</v>
      </c>
      <c r="AL299" s="64">
        <f t="shared" si="86"/>
        <v>1.7646106825195991</v>
      </c>
      <c r="AM299" s="64">
        <f t="shared" si="86"/>
        <v>1.8087259495825889</v>
      </c>
      <c r="AN299" s="64">
        <f t="shared" si="86"/>
        <v>1.8539440983221533</v>
      </c>
      <c r="AO299" s="64">
        <f t="shared" si="86"/>
        <v>1.9002927007802071</v>
      </c>
      <c r="AP299" s="64">
        <f t="shared" si="86"/>
        <v>1.9478000182997122</v>
      </c>
      <c r="AQ299" s="64">
        <f t="shared" si="86"/>
        <v>1.9964950187572048</v>
      </c>
      <c r="AR299" s="64">
        <f t="shared" si="86"/>
        <v>2.0464073942261352</v>
      </c>
      <c r="AS299" s="64">
        <f t="shared" si="86"/>
        <v>2.097567579081788</v>
      </c>
    </row>
    <row r="300" spans="3:45" outlineLevel="1" x14ac:dyDescent="0.3">
      <c r="C300" s="5" t="s">
        <v>195</v>
      </c>
      <c r="D300" s="2" t="s">
        <v>78</v>
      </c>
      <c r="H300" s="44">
        <f t="shared" ref="H300:H309" si="87">SUM(J300:AS300)</f>
        <v>-77790.102167421894</v>
      </c>
      <c r="J300" s="44">
        <f t="shared" ref="J300:AS300" si="88">-(Case_OM+SUM(Opex_Per_MW))*$F$45*J299*J288</f>
        <v>0</v>
      </c>
      <c r="K300" s="44">
        <f t="shared" si="88"/>
        <v>0</v>
      </c>
      <c r="L300" s="44">
        <f t="shared" si="88"/>
        <v>0</v>
      </c>
      <c r="M300" s="44">
        <f t="shared" si="88"/>
        <v>0</v>
      </c>
      <c r="N300" s="44">
        <f t="shared" si="88"/>
        <v>0</v>
      </c>
      <c r="O300" s="44">
        <f t="shared" si="88"/>
        <v>-875</v>
      </c>
      <c r="P300" s="44">
        <f t="shared" si="88"/>
        <v>-1793.7499999999998</v>
      </c>
      <c r="Q300" s="44">
        <f t="shared" si="88"/>
        <v>-1838.5937499999998</v>
      </c>
      <c r="R300" s="44">
        <f t="shared" si="88"/>
        <v>-1884.5585937499998</v>
      </c>
      <c r="S300" s="44">
        <f t="shared" si="88"/>
        <v>-1931.6725585937495</v>
      </c>
      <c r="T300" s="44">
        <f t="shared" si="88"/>
        <v>-1979.9643725585931</v>
      </c>
      <c r="U300" s="44">
        <f t="shared" si="88"/>
        <v>-2029.4634818725578</v>
      </c>
      <c r="V300" s="44">
        <f t="shared" si="88"/>
        <v>-2080.2000689193719</v>
      </c>
      <c r="W300" s="44">
        <f t="shared" si="88"/>
        <v>-2132.2050706423561</v>
      </c>
      <c r="X300" s="44">
        <f t="shared" si="88"/>
        <v>-2185.5101974084146</v>
      </c>
      <c r="Y300" s="44">
        <f t="shared" si="88"/>
        <v>-2240.1479523436251</v>
      </c>
      <c r="Z300" s="44">
        <f t="shared" si="88"/>
        <v>-2296.1516511522154</v>
      </c>
      <c r="AA300" s="44">
        <f t="shared" si="88"/>
        <v>-2353.5554424310208</v>
      </c>
      <c r="AB300" s="44">
        <f t="shared" si="88"/>
        <v>-2412.3943284917959</v>
      </c>
      <c r="AC300" s="44">
        <f t="shared" si="88"/>
        <v>-2472.7041867040907</v>
      </c>
      <c r="AD300" s="44">
        <f t="shared" si="88"/>
        <v>-2534.5217913716933</v>
      </c>
      <c r="AE300" s="44">
        <f t="shared" si="88"/>
        <v>-2597.8848361559853</v>
      </c>
      <c r="AF300" s="44">
        <f t="shared" si="88"/>
        <v>-2662.8319570598846</v>
      </c>
      <c r="AG300" s="44">
        <f t="shared" si="88"/>
        <v>-2729.4027559863821</v>
      </c>
      <c r="AH300" s="44">
        <f t="shared" si="88"/>
        <v>-2797.6378248860415</v>
      </c>
      <c r="AI300" s="44">
        <f t="shared" si="88"/>
        <v>-2867.5787705081921</v>
      </c>
      <c r="AJ300" s="44">
        <f t="shared" si="88"/>
        <v>-2939.2682397708968</v>
      </c>
      <c r="AK300" s="44">
        <f t="shared" si="88"/>
        <v>-3012.7499457651688</v>
      </c>
      <c r="AL300" s="44">
        <f t="shared" si="88"/>
        <v>-3088.0686944092986</v>
      </c>
      <c r="AM300" s="44">
        <f t="shared" si="88"/>
        <v>-3165.2704117695307</v>
      </c>
      <c r="AN300" s="44">
        <f t="shared" si="88"/>
        <v>-3244.4021720637684</v>
      </c>
      <c r="AO300" s="44">
        <f t="shared" si="88"/>
        <v>-3325.5122263653625</v>
      </c>
      <c r="AP300" s="44">
        <f t="shared" si="88"/>
        <v>-3408.6500320244963</v>
      </c>
      <c r="AQ300" s="44">
        <f t="shared" si="88"/>
        <v>-3493.8662828251086</v>
      </c>
      <c r="AR300" s="44">
        <f t="shared" si="88"/>
        <v>-3581.2129398957363</v>
      </c>
      <c r="AS300" s="44">
        <f t="shared" si="88"/>
        <v>-1835.3716316965645</v>
      </c>
    </row>
    <row r="301" spans="3:45" outlineLevel="1" x14ac:dyDescent="0.3">
      <c r="C301" s="5" t="s">
        <v>196</v>
      </c>
      <c r="D301" s="2" t="s">
        <v>78</v>
      </c>
      <c r="H301" s="44">
        <f t="shared" si="87"/>
        <v>-1666.9307607304695</v>
      </c>
      <c r="J301" s="44">
        <f t="shared" ref="J301:AS301" si="89">-Opex_Admin*$F$6/Lump_Basis*J299*J288</f>
        <v>0</v>
      </c>
      <c r="K301" s="44">
        <f t="shared" si="89"/>
        <v>0</v>
      </c>
      <c r="L301" s="44">
        <f t="shared" si="89"/>
        <v>0</v>
      </c>
      <c r="M301" s="44">
        <f t="shared" si="89"/>
        <v>0</v>
      </c>
      <c r="N301" s="44">
        <f t="shared" si="89"/>
        <v>0</v>
      </c>
      <c r="O301" s="44">
        <f t="shared" si="89"/>
        <v>-18.75</v>
      </c>
      <c r="P301" s="44">
        <f t="shared" si="89"/>
        <v>-38.4375</v>
      </c>
      <c r="Q301" s="44">
        <f t="shared" si="89"/>
        <v>-39.3984375</v>
      </c>
      <c r="R301" s="44">
        <f t="shared" si="89"/>
        <v>-40.383398437499999</v>
      </c>
      <c r="S301" s="44">
        <f t="shared" si="89"/>
        <v>-41.392983398437494</v>
      </c>
      <c r="T301" s="44">
        <f t="shared" si="89"/>
        <v>-42.427807983398424</v>
      </c>
      <c r="U301" s="44">
        <f t="shared" si="89"/>
        <v>-43.488503182983379</v>
      </c>
      <c r="V301" s="44">
        <f t="shared" si="89"/>
        <v>-44.575715762557969</v>
      </c>
      <c r="W301" s="44">
        <f t="shared" si="89"/>
        <v>-45.690108656621916</v>
      </c>
      <c r="X301" s="44">
        <f t="shared" si="89"/>
        <v>-46.83236137303745</v>
      </c>
      <c r="Y301" s="44">
        <f t="shared" si="89"/>
        <v>-48.003170407363392</v>
      </c>
      <c r="Z301" s="44">
        <f t="shared" si="89"/>
        <v>-49.203249667547475</v>
      </c>
      <c r="AA301" s="44">
        <f t="shared" si="89"/>
        <v>-50.433330909236155</v>
      </c>
      <c r="AB301" s="44">
        <f t="shared" si="89"/>
        <v>-51.694164181967061</v>
      </c>
      <c r="AC301" s="44">
        <f t="shared" si="89"/>
        <v>-52.98651828651623</v>
      </c>
      <c r="AD301" s="44">
        <f t="shared" si="89"/>
        <v>-54.311181243679144</v>
      </c>
      <c r="AE301" s="44">
        <f t="shared" si="89"/>
        <v>-55.668960774771115</v>
      </c>
      <c r="AF301" s="44">
        <f t="shared" si="89"/>
        <v>-57.060684794140386</v>
      </c>
      <c r="AG301" s="44">
        <f t="shared" si="89"/>
        <v>-58.4872019139939</v>
      </c>
      <c r="AH301" s="44">
        <f t="shared" si="89"/>
        <v>-59.949381961843748</v>
      </c>
      <c r="AI301" s="44">
        <f t="shared" si="89"/>
        <v>-61.448116510889832</v>
      </c>
      <c r="AJ301" s="44">
        <f t="shared" si="89"/>
        <v>-62.984319423662072</v>
      </c>
      <c r="AK301" s="44">
        <f t="shared" si="89"/>
        <v>-64.558927409253627</v>
      </c>
      <c r="AL301" s="44">
        <f t="shared" si="89"/>
        <v>-66.172900594484972</v>
      </c>
      <c r="AM301" s="44">
        <f t="shared" si="89"/>
        <v>-67.827223109347088</v>
      </c>
      <c r="AN301" s="44">
        <f t="shared" si="89"/>
        <v>-69.522903687080756</v>
      </c>
      <c r="AO301" s="44">
        <f t="shared" si="89"/>
        <v>-71.260976279257761</v>
      </c>
      <c r="AP301" s="44">
        <f t="shared" si="89"/>
        <v>-73.042500686239208</v>
      </c>
      <c r="AQ301" s="44">
        <f t="shared" si="89"/>
        <v>-74.868563203395183</v>
      </c>
      <c r="AR301" s="44">
        <f t="shared" si="89"/>
        <v>-76.740277283480069</v>
      </c>
      <c r="AS301" s="44">
        <f t="shared" si="89"/>
        <v>-39.329392107783526</v>
      </c>
    </row>
    <row r="302" spans="3:45" outlineLevel="1" x14ac:dyDescent="0.3">
      <c r="C302" s="5" t="s">
        <v>197</v>
      </c>
      <c r="D302" s="2" t="s">
        <v>78</v>
      </c>
      <c r="H302" s="44">
        <f t="shared" si="87"/>
        <v>-34902.144296983628</v>
      </c>
      <c r="J302" s="44">
        <f t="shared" ref="J302:AS302" si="90">-J296*(Balancing+Grid_Charges)*J299</f>
        <v>0</v>
      </c>
      <c r="K302" s="44">
        <f t="shared" si="90"/>
        <v>0</v>
      </c>
      <c r="L302" s="44">
        <f t="shared" si="90"/>
        <v>0</v>
      </c>
      <c r="M302" s="44">
        <f t="shared" si="90"/>
        <v>0</v>
      </c>
      <c r="N302" s="44">
        <f t="shared" si="90"/>
        <v>0</v>
      </c>
      <c r="O302" s="44">
        <f t="shared" si="90"/>
        <v>-411.59999999999997</v>
      </c>
      <c r="P302" s="44">
        <f t="shared" si="90"/>
        <v>-843.77999999999986</v>
      </c>
      <c r="Q302" s="44">
        <f t="shared" si="90"/>
        <v>-862.27987649999989</v>
      </c>
      <c r="R302" s="44">
        <f t="shared" si="90"/>
        <v>-881.18536279226248</v>
      </c>
      <c r="S302" s="44">
        <f t="shared" si="90"/>
        <v>-900.50535187148273</v>
      </c>
      <c r="T302" s="44">
        <f t="shared" si="90"/>
        <v>-920.24893171126485</v>
      </c>
      <c r="U302" s="44">
        <f t="shared" si="90"/>
        <v>-940.42538953903431</v>
      </c>
      <c r="V302" s="44">
        <f t="shared" si="90"/>
        <v>-961.04421620467758</v>
      </c>
      <c r="W302" s="44">
        <f t="shared" si="90"/>
        <v>-982.11511064496528</v>
      </c>
      <c r="X302" s="44">
        <f t="shared" si="90"/>
        <v>-1003.647984445856</v>
      </c>
      <c r="Y302" s="44">
        <f t="shared" si="90"/>
        <v>-1025.6529665048311</v>
      </c>
      <c r="Z302" s="44">
        <f t="shared" si="90"/>
        <v>-1048.1404077954498</v>
      </c>
      <c r="AA302" s="44">
        <f t="shared" si="90"/>
        <v>-1071.1208862363649</v>
      </c>
      <c r="AB302" s="44">
        <f t="shared" si="90"/>
        <v>-1094.6052116670971</v>
      </c>
      <c r="AC302" s="44">
        <f t="shared" si="90"/>
        <v>-1118.6044309328979</v>
      </c>
      <c r="AD302" s="44">
        <f t="shared" si="90"/>
        <v>-1143.1298330811021</v>
      </c>
      <c r="AE302" s="44">
        <f t="shared" si="90"/>
        <v>-1168.1929546714052</v>
      </c>
      <c r="AF302" s="44">
        <f t="shared" si="90"/>
        <v>-1193.8055852025755</v>
      </c>
      <c r="AG302" s="44">
        <f t="shared" si="90"/>
        <v>-1219.9797726581421</v>
      </c>
      <c r="AH302" s="44">
        <f t="shared" si="90"/>
        <v>-1246.727829173672</v>
      </c>
      <c r="AI302" s="44">
        <f t="shared" si="90"/>
        <v>-1274.0623368283045</v>
      </c>
      <c r="AJ302" s="44">
        <f t="shared" si="90"/>
        <v>-1301.9961535632649</v>
      </c>
      <c r="AK302" s="44">
        <f t="shared" si="90"/>
        <v>-1330.5424192301393</v>
      </c>
      <c r="AL302" s="44">
        <f t="shared" si="90"/>
        <v>-1359.7145617717604</v>
      </c>
      <c r="AM302" s="44">
        <f t="shared" si="90"/>
        <v>-1389.5263035386063</v>
      </c>
      <c r="AN302" s="44">
        <f t="shared" si="90"/>
        <v>-1419.99166774369</v>
      </c>
      <c r="AO302" s="44">
        <f t="shared" si="90"/>
        <v>-1451.12498505897</v>
      </c>
      <c r="AP302" s="44">
        <f t="shared" si="90"/>
        <v>-1482.9409003563883</v>
      </c>
      <c r="AQ302" s="44">
        <f t="shared" si="90"/>
        <v>-1515.454379596702</v>
      </c>
      <c r="AR302" s="44">
        <f t="shared" si="90"/>
        <v>-1548.6807168693597</v>
      </c>
      <c r="AS302" s="44">
        <f t="shared" si="90"/>
        <v>-791.31777079335984</v>
      </c>
    </row>
    <row r="303" spans="3:45" outlineLevel="1" x14ac:dyDescent="0.3">
      <c r="C303" s="5" t="s">
        <v>198</v>
      </c>
      <c r="D303" s="2" t="s">
        <v>78</v>
      </c>
      <c r="H303" s="44">
        <f t="shared" si="87"/>
        <v>-495.70076192161599</v>
      </c>
      <c r="J303" s="44">
        <f t="shared" ref="J303:AS303" si="91">-J298*MEKH_Fee</f>
        <v>0</v>
      </c>
      <c r="K303" s="44">
        <f t="shared" si="91"/>
        <v>0</v>
      </c>
      <c r="L303" s="44">
        <f t="shared" si="91"/>
        <v>0</v>
      </c>
      <c r="M303" s="44">
        <f t="shared" si="91"/>
        <v>0</v>
      </c>
      <c r="N303" s="44">
        <f t="shared" si="91"/>
        <v>0</v>
      </c>
      <c r="O303" s="44">
        <f t="shared" si="91"/>
        <v>-7.4087999999999994</v>
      </c>
      <c r="P303" s="44">
        <f t="shared" si="91"/>
        <v>-14.965776</v>
      </c>
      <c r="Q303" s="44">
        <f t="shared" si="91"/>
        <v>-15.070087458719998</v>
      </c>
      <c r="R303" s="44">
        <f t="shared" si="91"/>
        <v>-15.175125968307277</v>
      </c>
      <c r="S303" s="44">
        <f t="shared" si="91"/>
        <v>-15.280896596306381</v>
      </c>
      <c r="T303" s="44">
        <f t="shared" si="91"/>
        <v>-15.387404445582636</v>
      </c>
      <c r="U303" s="44">
        <f t="shared" si="91"/>
        <v>-15.494654654568349</v>
      </c>
      <c r="V303" s="44">
        <f t="shared" si="91"/>
        <v>-15.602652397510685</v>
      </c>
      <c r="W303" s="44">
        <f t="shared" si="91"/>
        <v>-15.711402884721339</v>
      </c>
      <c r="X303" s="44">
        <f t="shared" si="91"/>
        <v>-15.82091136282785</v>
      </c>
      <c r="Y303" s="44">
        <f t="shared" si="91"/>
        <v>-15.931183115026757</v>
      </c>
      <c r="Z303" s="44">
        <f t="shared" si="91"/>
        <v>-16.042223461338494</v>
      </c>
      <c r="AA303" s="44">
        <f t="shared" si="91"/>
        <v>-16.154037758864025</v>
      </c>
      <c r="AB303" s="44">
        <f t="shared" si="91"/>
        <v>-16.266631402043306</v>
      </c>
      <c r="AC303" s="44">
        <f t="shared" si="91"/>
        <v>-16.38000982291555</v>
      </c>
      <c r="AD303" s="44">
        <f t="shared" si="91"/>
        <v>-16.494178491381266</v>
      </c>
      <c r="AE303" s="44">
        <f t="shared" si="91"/>
        <v>-16.609142915466201</v>
      </c>
      <c r="AF303" s="44">
        <f t="shared" si="91"/>
        <v>-16.724908641587</v>
      </c>
      <c r="AG303" s="44">
        <f t="shared" si="91"/>
        <v>-16.841481254818859</v>
      </c>
      <c r="AH303" s="44">
        <f t="shared" si="91"/>
        <v>-16.958866379164949</v>
      </c>
      <c r="AI303" s="44">
        <f t="shared" si="91"/>
        <v>-17.077069677827726</v>
      </c>
      <c r="AJ303" s="44">
        <f t="shared" si="91"/>
        <v>-17.196096853482185</v>
      </c>
      <c r="AK303" s="44">
        <f t="shared" si="91"/>
        <v>-17.315953648550959</v>
      </c>
      <c r="AL303" s="44">
        <f t="shared" si="91"/>
        <v>-17.436645845481358</v>
      </c>
      <c r="AM303" s="44">
        <f t="shared" si="91"/>
        <v>-17.558179267024371</v>
      </c>
      <c r="AN303" s="44">
        <f t="shared" si="91"/>
        <v>-17.680559776515533</v>
      </c>
      <c r="AO303" s="44">
        <f t="shared" si="91"/>
        <v>-17.803793278157844</v>
      </c>
      <c r="AP303" s="44">
        <f t="shared" si="91"/>
        <v>-17.927885717306598</v>
      </c>
      <c r="AQ303" s="44">
        <f t="shared" si="91"/>
        <v>-18.052843080756229</v>
      </c>
      <c r="AR303" s="44">
        <f t="shared" si="91"/>
        <v>-18.178671397029099</v>
      </c>
      <c r="AS303" s="44">
        <f t="shared" si="91"/>
        <v>-9.1526883683331963</v>
      </c>
    </row>
    <row r="304" spans="3:45" outlineLevel="1" x14ac:dyDescent="0.3">
      <c r="C304" s="5" t="s">
        <v>199</v>
      </c>
      <c r="D304" s="2" t="s">
        <v>78</v>
      </c>
      <c r="H304" s="44">
        <f t="shared" si="87"/>
        <v>-5742.7438993528804</v>
      </c>
      <c r="J304" s="44">
        <f t="shared" ref="J304:AS304" si="92">SUM(J300:J303)*Opex_Cont</f>
        <v>0</v>
      </c>
      <c r="K304" s="44">
        <f t="shared" si="92"/>
        <v>0</v>
      </c>
      <c r="L304" s="44">
        <f t="shared" si="92"/>
        <v>0</v>
      </c>
      <c r="M304" s="44">
        <f t="shared" si="92"/>
        <v>0</v>
      </c>
      <c r="N304" s="44">
        <f t="shared" si="92"/>
        <v>0</v>
      </c>
      <c r="O304" s="44">
        <f t="shared" si="92"/>
        <v>-65.63794</v>
      </c>
      <c r="P304" s="44">
        <f t="shared" si="92"/>
        <v>-134.5466638</v>
      </c>
      <c r="Q304" s="44">
        <f t="shared" si="92"/>
        <v>-137.767107572936</v>
      </c>
      <c r="R304" s="44">
        <f t="shared" si="92"/>
        <v>-141.06512404740349</v>
      </c>
      <c r="S304" s="44">
        <f t="shared" si="92"/>
        <v>-144.44258952299882</v>
      </c>
      <c r="T304" s="44">
        <f t="shared" si="92"/>
        <v>-147.90142583494193</v>
      </c>
      <c r="U304" s="44">
        <f t="shared" si="92"/>
        <v>-151.4436014624572</v>
      </c>
      <c r="V304" s="44">
        <f t="shared" si="92"/>
        <v>-155.07113266420592</v>
      </c>
      <c r="W304" s="44">
        <f t="shared" si="92"/>
        <v>-158.78608464143323</v>
      </c>
      <c r="X304" s="44">
        <f t="shared" si="92"/>
        <v>-162.59057272950679</v>
      </c>
      <c r="Y304" s="44">
        <f t="shared" si="92"/>
        <v>-166.48676361854234</v>
      </c>
      <c r="Z304" s="44">
        <f t="shared" si="92"/>
        <v>-170.47687660382758</v>
      </c>
      <c r="AA304" s="44">
        <f t="shared" si="92"/>
        <v>-174.56318486677432</v>
      </c>
      <c r="AB304" s="44">
        <f t="shared" si="92"/>
        <v>-178.74801678714519</v>
      </c>
      <c r="AC304" s="44">
        <f t="shared" si="92"/>
        <v>-183.03375728732101</v>
      </c>
      <c r="AD304" s="44">
        <f t="shared" si="92"/>
        <v>-187.42284920939281</v>
      </c>
      <c r="AE304" s="44">
        <f t="shared" si="92"/>
        <v>-191.91779472588141</v>
      </c>
      <c r="AF304" s="44">
        <f t="shared" si="92"/>
        <v>-196.52115678490938</v>
      </c>
      <c r="AG304" s="44">
        <f t="shared" si="92"/>
        <v>-201.23556059066686</v>
      </c>
      <c r="AH304" s="44">
        <f t="shared" si="92"/>
        <v>-206.06369512003607</v>
      </c>
      <c r="AI304" s="44">
        <f t="shared" si="92"/>
        <v>-211.00831467626074</v>
      </c>
      <c r="AJ304" s="44">
        <f t="shared" si="92"/>
        <v>-216.07224048056528</v>
      </c>
      <c r="AK304" s="44">
        <f t="shared" si="92"/>
        <v>-221.25836230265566</v>
      </c>
      <c r="AL304" s="44">
        <f t="shared" si="92"/>
        <v>-226.56964013105127</v>
      </c>
      <c r="AM304" s="44">
        <f t="shared" si="92"/>
        <v>-232.00910588422545</v>
      </c>
      <c r="AN304" s="44">
        <f t="shared" si="92"/>
        <v>-237.57986516355274</v>
      </c>
      <c r="AO304" s="44">
        <f t="shared" si="92"/>
        <v>-243.28509904908742</v>
      </c>
      <c r="AP304" s="44">
        <f t="shared" si="92"/>
        <v>-249.12806593922153</v>
      </c>
      <c r="AQ304" s="44">
        <f t="shared" si="92"/>
        <v>-255.11210343529811</v>
      </c>
      <c r="AR304" s="44">
        <f t="shared" si="92"/>
        <v>-261.24063027228027</v>
      </c>
      <c r="AS304" s="44">
        <f t="shared" si="92"/>
        <v>-133.75857414830205</v>
      </c>
    </row>
    <row r="305" spans="2:45" outlineLevel="1" x14ac:dyDescent="0.3">
      <c r="C305" s="5" t="s">
        <v>200</v>
      </c>
      <c r="D305" s="2" t="s">
        <v>78</v>
      </c>
      <c r="H305" s="44">
        <f t="shared" si="87"/>
        <v>-14211.329423549134</v>
      </c>
      <c r="J305" s="44">
        <f t="shared" ref="J305:AS305" si="93">-J296*$F$12</f>
        <v>0</v>
      </c>
      <c r="K305" s="44">
        <f t="shared" si="93"/>
        <v>0</v>
      </c>
      <c r="L305" s="44">
        <f t="shared" si="93"/>
        <v>0</v>
      </c>
      <c r="M305" s="44">
        <f t="shared" si="93"/>
        <v>0</v>
      </c>
      <c r="N305" s="44">
        <f t="shared" si="93"/>
        <v>0</v>
      </c>
      <c r="O305" s="44">
        <f t="shared" si="93"/>
        <v>-246.95999999999998</v>
      </c>
      <c r="P305" s="44">
        <f t="shared" si="93"/>
        <v>-493.91999999999996</v>
      </c>
      <c r="Q305" s="44">
        <f t="shared" si="93"/>
        <v>-492.43823999999995</v>
      </c>
      <c r="R305" s="44">
        <f t="shared" si="93"/>
        <v>-490.96092527999997</v>
      </c>
      <c r="S305" s="44">
        <f t="shared" si="93"/>
        <v>-489.48804250415998</v>
      </c>
      <c r="T305" s="44">
        <f t="shared" si="93"/>
        <v>-488.01957837664753</v>
      </c>
      <c r="U305" s="44">
        <f t="shared" si="93"/>
        <v>-486.55551964151755</v>
      </c>
      <c r="V305" s="44">
        <f t="shared" si="93"/>
        <v>-485.09585308259307</v>
      </c>
      <c r="W305" s="44">
        <f t="shared" si="93"/>
        <v>-483.64056552334529</v>
      </c>
      <c r="X305" s="44">
        <f t="shared" si="93"/>
        <v>-482.1896438267753</v>
      </c>
      <c r="Y305" s="44">
        <f t="shared" si="93"/>
        <v>-480.74307489529485</v>
      </c>
      <c r="Z305" s="44">
        <f t="shared" si="93"/>
        <v>-479.30084567060908</v>
      </c>
      <c r="AA305" s="44">
        <f t="shared" si="93"/>
        <v>-477.86294313359724</v>
      </c>
      <c r="AB305" s="44">
        <f t="shared" si="93"/>
        <v>-476.42935430419641</v>
      </c>
      <c r="AC305" s="44">
        <f t="shared" si="93"/>
        <v>-475.00006624128378</v>
      </c>
      <c r="AD305" s="44">
        <f t="shared" si="93"/>
        <v>-473.57506604255997</v>
      </c>
      <c r="AE305" s="44">
        <f t="shared" si="93"/>
        <v>-472.15434084443234</v>
      </c>
      <c r="AF305" s="44">
        <f t="shared" si="93"/>
        <v>-470.73787782189902</v>
      </c>
      <c r="AG305" s="44">
        <f t="shared" si="93"/>
        <v>-469.32566418843328</v>
      </c>
      <c r="AH305" s="44">
        <f t="shared" si="93"/>
        <v>-467.9176871958681</v>
      </c>
      <c r="AI305" s="44">
        <f t="shared" si="93"/>
        <v>-466.51393413428042</v>
      </c>
      <c r="AJ305" s="44">
        <f t="shared" si="93"/>
        <v>-465.11439233187764</v>
      </c>
      <c r="AK305" s="44">
        <f t="shared" si="93"/>
        <v>-463.71904915488199</v>
      </c>
      <c r="AL305" s="44">
        <f t="shared" si="93"/>
        <v>-462.3278920074174</v>
      </c>
      <c r="AM305" s="44">
        <f t="shared" si="93"/>
        <v>-460.94090833139512</v>
      </c>
      <c r="AN305" s="44">
        <f t="shared" si="93"/>
        <v>-459.55808560640094</v>
      </c>
      <c r="AO305" s="44">
        <f t="shared" si="93"/>
        <v>-458.17941134958164</v>
      </c>
      <c r="AP305" s="44">
        <f t="shared" si="93"/>
        <v>-456.80487311553298</v>
      </c>
      <c r="AQ305" s="44">
        <f t="shared" si="93"/>
        <v>-455.43445849618644</v>
      </c>
      <c r="AR305" s="44">
        <f t="shared" si="93"/>
        <v>-454.06815512069784</v>
      </c>
      <c r="AS305" s="44">
        <f t="shared" si="93"/>
        <v>-226.35297532766782</v>
      </c>
    </row>
    <row r="306" spans="2:45" outlineLevel="1" x14ac:dyDescent="0.3">
      <c r="C306" s="5" t="s">
        <v>201</v>
      </c>
      <c r="D306" s="2" t="s">
        <v>78</v>
      </c>
      <c r="H306" s="44">
        <f t="shared" si="87"/>
        <v>-9914.0152384323228</v>
      </c>
      <c r="J306" s="44">
        <f t="shared" ref="J306:AS306" si="94">-J298*HIPA_Rate</f>
        <v>0</v>
      </c>
      <c r="K306" s="44">
        <f t="shared" si="94"/>
        <v>0</v>
      </c>
      <c r="L306" s="44">
        <f t="shared" si="94"/>
        <v>0</v>
      </c>
      <c r="M306" s="44">
        <f t="shared" si="94"/>
        <v>0</v>
      </c>
      <c r="N306" s="44">
        <f t="shared" si="94"/>
        <v>0</v>
      </c>
      <c r="O306" s="44">
        <f t="shared" si="94"/>
        <v>-148.17599999999999</v>
      </c>
      <c r="P306" s="44">
        <f t="shared" si="94"/>
        <v>-299.31551999999999</v>
      </c>
      <c r="Q306" s="44">
        <f t="shared" si="94"/>
        <v>-301.40174917439998</v>
      </c>
      <c r="R306" s="44">
        <f t="shared" si="94"/>
        <v>-303.50251936614552</v>
      </c>
      <c r="S306" s="44">
        <f t="shared" si="94"/>
        <v>-305.6179319261276</v>
      </c>
      <c r="T306" s="44">
        <f t="shared" si="94"/>
        <v>-307.7480889116527</v>
      </c>
      <c r="U306" s="44">
        <f t="shared" si="94"/>
        <v>-309.89309309136701</v>
      </c>
      <c r="V306" s="44">
        <f t="shared" si="94"/>
        <v>-312.05304795021368</v>
      </c>
      <c r="W306" s="44">
        <f t="shared" si="94"/>
        <v>-314.22805769442681</v>
      </c>
      <c r="X306" s="44">
        <f t="shared" si="94"/>
        <v>-316.41822725655703</v>
      </c>
      <c r="Y306" s="44">
        <f t="shared" si="94"/>
        <v>-318.62366230053516</v>
      </c>
      <c r="Z306" s="44">
        <f t="shared" si="94"/>
        <v>-320.84446922676989</v>
      </c>
      <c r="AA306" s="44">
        <f t="shared" si="94"/>
        <v>-323.08075517728048</v>
      </c>
      <c r="AB306" s="44">
        <f t="shared" si="94"/>
        <v>-325.3326280408661</v>
      </c>
      <c r="AC306" s="44">
        <f t="shared" si="94"/>
        <v>-327.60019645831096</v>
      </c>
      <c r="AD306" s="44">
        <f t="shared" si="94"/>
        <v>-329.88356982762531</v>
      </c>
      <c r="AE306" s="44">
        <f t="shared" si="94"/>
        <v>-332.18285830932399</v>
      </c>
      <c r="AF306" s="44">
        <f t="shared" si="94"/>
        <v>-334.49817283174002</v>
      </c>
      <c r="AG306" s="44">
        <f t="shared" si="94"/>
        <v>-336.82962509637719</v>
      </c>
      <c r="AH306" s="44">
        <f t="shared" si="94"/>
        <v>-339.17732758329896</v>
      </c>
      <c r="AI306" s="44">
        <f t="shared" si="94"/>
        <v>-341.54139355655457</v>
      </c>
      <c r="AJ306" s="44">
        <f t="shared" si="94"/>
        <v>-343.92193706964366</v>
      </c>
      <c r="AK306" s="44">
        <f t="shared" si="94"/>
        <v>-346.31907297101918</v>
      </c>
      <c r="AL306" s="44">
        <f t="shared" si="94"/>
        <v>-348.73291690962719</v>
      </c>
      <c r="AM306" s="44">
        <f t="shared" si="94"/>
        <v>-351.16358534048743</v>
      </c>
      <c r="AN306" s="44">
        <f t="shared" si="94"/>
        <v>-353.61119553031068</v>
      </c>
      <c r="AO306" s="44">
        <f t="shared" si="94"/>
        <v>-356.07586556315687</v>
      </c>
      <c r="AP306" s="44">
        <f t="shared" si="94"/>
        <v>-358.557714346132</v>
      </c>
      <c r="AQ306" s="44">
        <f t="shared" si="94"/>
        <v>-361.0568616151246</v>
      </c>
      <c r="AR306" s="44">
        <f t="shared" si="94"/>
        <v>-363.57342794058195</v>
      </c>
      <c r="AS306" s="44">
        <f t="shared" si="94"/>
        <v>-183.05376736666392</v>
      </c>
    </row>
    <row r="307" spans="2:45" outlineLevel="1" x14ac:dyDescent="0.3">
      <c r="C307" s="1" t="s">
        <v>202</v>
      </c>
      <c r="D307" s="2" t="s">
        <v>78</v>
      </c>
      <c r="H307" s="52">
        <f t="shared" si="87"/>
        <v>-144722.96654839191</v>
      </c>
      <c r="J307" s="52">
        <f t="shared" ref="J307:AS307" si="95">SUM(J300:J306)</f>
        <v>0</v>
      </c>
      <c r="K307" s="52">
        <f t="shared" si="95"/>
        <v>0</v>
      </c>
      <c r="L307" s="52">
        <f t="shared" si="95"/>
        <v>0</v>
      </c>
      <c r="M307" s="52">
        <f t="shared" si="95"/>
        <v>0</v>
      </c>
      <c r="N307" s="52">
        <f t="shared" si="95"/>
        <v>0</v>
      </c>
      <c r="O307" s="52">
        <f t="shared" si="95"/>
        <v>-1773.5327399999999</v>
      </c>
      <c r="P307" s="52">
        <f t="shared" si="95"/>
        <v>-3618.7154597999997</v>
      </c>
      <c r="Q307" s="52">
        <f t="shared" si="95"/>
        <v>-3686.9492482060555</v>
      </c>
      <c r="R307" s="52">
        <f t="shared" si="95"/>
        <v>-3756.8310496416188</v>
      </c>
      <c r="S307" s="52">
        <f t="shared" si="95"/>
        <v>-3828.4003544132629</v>
      </c>
      <c r="T307" s="52">
        <f t="shared" si="95"/>
        <v>-3901.6976098220812</v>
      </c>
      <c r="U307" s="52">
        <f t="shared" si="95"/>
        <v>-3976.7642434444856</v>
      </c>
      <c r="V307" s="52">
        <f t="shared" si="95"/>
        <v>-4053.6426869811307</v>
      </c>
      <c r="W307" s="52">
        <f t="shared" si="95"/>
        <v>-4132.37640068787</v>
      </c>
      <c r="X307" s="52">
        <f t="shared" si="95"/>
        <v>-4213.0098984029746</v>
      </c>
      <c r="Y307" s="52">
        <f t="shared" si="95"/>
        <v>-4295.5887731852181</v>
      </c>
      <c r="Z307" s="52">
        <f t="shared" si="95"/>
        <v>-4380.1597235777572</v>
      </c>
      <c r="AA307" s="52">
        <f t="shared" si="95"/>
        <v>-4466.7705805131382</v>
      </c>
      <c r="AB307" s="52">
        <f t="shared" si="95"/>
        <v>-4555.4703348751118</v>
      </c>
      <c r="AC307" s="52">
        <f t="shared" si="95"/>
        <v>-4646.3091657333362</v>
      </c>
      <c r="AD307" s="52">
        <f t="shared" si="95"/>
        <v>-4739.3384692674344</v>
      </c>
      <c r="AE307" s="52">
        <f t="shared" si="95"/>
        <v>-4834.6108883972656</v>
      </c>
      <c r="AF307" s="52">
        <f t="shared" si="95"/>
        <v>-4932.1803431367352</v>
      </c>
      <c r="AG307" s="52">
        <f t="shared" si="95"/>
        <v>-5032.1020616888145</v>
      </c>
      <c r="AH307" s="52">
        <f t="shared" si="95"/>
        <v>-5134.4326122999246</v>
      </c>
      <c r="AI307" s="52">
        <f t="shared" si="95"/>
        <v>-5239.2299358923101</v>
      </c>
      <c r="AJ307" s="52">
        <f t="shared" si="95"/>
        <v>-5346.5533794933926</v>
      </c>
      <c r="AK307" s="52">
        <f t="shared" si="95"/>
        <v>-5456.4637304816697</v>
      </c>
      <c r="AL307" s="52">
        <f t="shared" si="95"/>
        <v>-5569.0232516691212</v>
      </c>
      <c r="AM307" s="52">
        <f t="shared" si="95"/>
        <v>-5684.2957172406168</v>
      </c>
      <c r="AN307" s="52">
        <f t="shared" si="95"/>
        <v>-5802.3464495713179</v>
      </c>
      <c r="AO307" s="52">
        <f t="shared" si="95"/>
        <v>-5923.242356943575</v>
      </c>
      <c r="AP307" s="52">
        <f t="shared" si="95"/>
        <v>-6047.051972185317</v>
      </c>
      <c r="AQ307" s="52">
        <f t="shared" si="95"/>
        <v>-6173.8454922525716</v>
      </c>
      <c r="AR307" s="52">
        <f t="shared" si="95"/>
        <v>-6303.6948187791659</v>
      </c>
      <c r="AS307" s="52">
        <f t="shared" si="95"/>
        <v>-3218.3367998086751</v>
      </c>
    </row>
    <row r="308" spans="2:45" outlineLevel="1" x14ac:dyDescent="0.3">
      <c r="C308" s="1" t="s">
        <v>128</v>
      </c>
      <c r="D308" s="2" t="s">
        <v>78</v>
      </c>
      <c r="H308" s="46">
        <f t="shared" si="87"/>
        <v>350977.79537322401</v>
      </c>
      <c r="J308" s="46">
        <f t="shared" ref="J308:AS308" si="96">J298+J307</f>
        <v>0</v>
      </c>
      <c r="K308" s="46">
        <f t="shared" si="96"/>
        <v>0</v>
      </c>
      <c r="L308" s="46">
        <f t="shared" si="96"/>
        <v>0</v>
      </c>
      <c r="M308" s="46">
        <f t="shared" si="96"/>
        <v>0</v>
      </c>
      <c r="N308" s="46">
        <f t="shared" si="96"/>
        <v>0</v>
      </c>
      <c r="O308" s="46">
        <f t="shared" si="96"/>
        <v>5635.2672599999996</v>
      </c>
      <c r="P308" s="46">
        <f t="shared" si="96"/>
        <v>11347.0605402</v>
      </c>
      <c r="Q308" s="46">
        <f t="shared" si="96"/>
        <v>11383.138210513942</v>
      </c>
      <c r="R308" s="46">
        <f t="shared" si="96"/>
        <v>11418.294918665659</v>
      </c>
      <c r="S308" s="46">
        <f t="shared" si="96"/>
        <v>11452.496241893117</v>
      </c>
      <c r="T308" s="46">
        <f t="shared" si="96"/>
        <v>11485.706835760553</v>
      </c>
      <c r="U308" s="46">
        <f t="shared" si="96"/>
        <v>11517.890411123863</v>
      </c>
      <c r="V308" s="46">
        <f t="shared" si="96"/>
        <v>11549.009710529554</v>
      </c>
      <c r="W308" s="46">
        <f t="shared" si="96"/>
        <v>11579.026484033469</v>
      </c>
      <c r="X308" s="46">
        <f t="shared" si="96"/>
        <v>11607.901464424875</v>
      </c>
      <c r="Y308" s="46">
        <f t="shared" si="96"/>
        <v>11635.594341841539</v>
      </c>
      <c r="Z308" s="46">
        <f t="shared" si="96"/>
        <v>11662.063737760736</v>
      </c>
      <c r="AA308" s="46">
        <f t="shared" si="96"/>
        <v>11687.267178350885</v>
      </c>
      <c r="AB308" s="46">
        <f t="shared" si="96"/>
        <v>11711.161067168194</v>
      </c>
      <c r="AC308" s="46">
        <f t="shared" si="96"/>
        <v>11733.700657182213</v>
      </c>
      <c r="AD308" s="46">
        <f t="shared" si="96"/>
        <v>11754.840022113833</v>
      </c>
      <c r="AE308" s="46">
        <f t="shared" si="96"/>
        <v>11774.532027068934</v>
      </c>
      <c r="AF308" s="46">
        <f t="shared" si="96"/>
        <v>11792.728298450265</v>
      </c>
      <c r="AG308" s="46">
        <f t="shared" si="96"/>
        <v>11809.379193130046</v>
      </c>
      <c r="AH308" s="46">
        <f t="shared" si="96"/>
        <v>11824.433766865024</v>
      </c>
      <c r="AI308" s="46">
        <f t="shared" si="96"/>
        <v>11837.839741935417</v>
      </c>
      <c r="AJ308" s="46">
        <f t="shared" si="96"/>
        <v>11849.543473988791</v>
      </c>
      <c r="AK308" s="46">
        <f t="shared" si="96"/>
        <v>11859.48991806929</v>
      </c>
      <c r="AL308" s="46">
        <f t="shared" si="96"/>
        <v>11867.622593812237</v>
      </c>
      <c r="AM308" s="46">
        <f t="shared" si="96"/>
        <v>11873.883549783754</v>
      </c>
      <c r="AN308" s="46">
        <f t="shared" si="96"/>
        <v>11878.213326944215</v>
      </c>
      <c r="AO308" s="46">
        <f t="shared" si="96"/>
        <v>11880.550921214268</v>
      </c>
      <c r="AP308" s="46">
        <f t="shared" si="96"/>
        <v>11880.833745121283</v>
      </c>
      <c r="AQ308" s="46">
        <f t="shared" si="96"/>
        <v>11878.997588503658</v>
      </c>
      <c r="AR308" s="46">
        <f t="shared" si="96"/>
        <v>11874.976578249933</v>
      </c>
      <c r="AS308" s="46">
        <f t="shared" si="96"/>
        <v>5934.3515685245211</v>
      </c>
    </row>
    <row r="309" spans="2:45" outlineLevel="1" x14ac:dyDescent="0.3">
      <c r="C309" s="1" t="s">
        <v>203</v>
      </c>
      <c r="D309" s="2" t="s">
        <v>78</v>
      </c>
      <c r="H309" s="52">
        <f t="shared" si="87"/>
        <v>273350.81866089534</v>
      </c>
      <c r="J309" s="52">
        <f t="shared" ref="J309:AS309" si="97">J294+J308</f>
        <v>-657.1232876712329</v>
      </c>
      <c r="K309" s="52">
        <f t="shared" si="97"/>
        <v>-3612.0547945205481</v>
      </c>
      <c r="L309" s="52">
        <f t="shared" si="97"/>
        <v>-3359.8191780821917</v>
      </c>
      <c r="M309" s="52">
        <f t="shared" si="97"/>
        <v>-17498.125</v>
      </c>
      <c r="N309" s="52">
        <f t="shared" si="97"/>
        <v>-34996.25</v>
      </c>
      <c r="O309" s="52">
        <f t="shared" si="97"/>
        <v>-14362.857739999999</v>
      </c>
      <c r="P309" s="52">
        <f t="shared" si="97"/>
        <v>11347.0605402</v>
      </c>
      <c r="Q309" s="52">
        <f t="shared" si="97"/>
        <v>13877.658758459147</v>
      </c>
      <c r="R309" s="52">
        <f t="shared" si="97"/>
        <v>11418.294918665659</v>
      </c>
      <c r="S309" s="52">
        <f t="shared" si="97"/>
        <v>11452.496241893117</v>
      </c>
      <c r="T309" s="52">
        <f t="shared" si="97"/>
        <v>11485.706835760553</v>
      </c>
      <c r="U309" s="52">
        <f t="shared" si="97"/>
        <v>11517.890411123863</v>
      </c>
      <c r="V309" s="52">
        <f t="shared" si="97"/>
        <v>11549.009710529554</v>
      </c>
      <c r="W309" s="52">
        <f t="shared" si="97"/>
        <v>11579.026484033469</v>
      </c>
      <c r="X309" s="52">
        <f t="shared" si="97"/>
        <v>11607.901464424875</v>
      </c>
      <c r="Y309" s="52">
        <f t="shared" si="97"/>
        <v>11635.594341841539</v>
      </c>
      <c r="Z309" s="52">
        <f t="shared" si="97"/>
        <v>11662.063737760736</v>
      </c>
      <c r="AA309" s="52">
        <f t="shared" si="97"/>
        <v>11687.267178350885</v>
      </c>
      <c r="AB309" s="52">
        <f t="shared" si="97"/>
        <v>11711.161067168194</v>
      </c>
      <c r="AC309" s="52">
        <f t="shared" si="97"/>
        <v>11733.700657182213</v>
      </c>
      <c r="AD309" s="52">
        <f t="shared" si="97"/>
        <v>11754.840022113833</v>
      </c>
      <c r="AE309" s="52">
        <f t="shared" si="97"/>
        <v>11774.532027068934</v>
      </c>
      <c r="AF309" s="52">
        <f t="shared" si="97"/>
        <v>11792.728298450265</v>
      </c>
      <c r="AG309" s="52">
        <f t="shared" si="97"/>
        <v>11809.379193130046</v>
      </c>
      <c r="AH309" s="52">
        <f t="shared" si="97"/>
        <v>11824.433766865024</v>
      </c>
      <c r="AI309" s="52">
        <f t="shared" si="97"/>
        <v>11837.839741935417</v>
      </c>
      <c r="AJ309" s="52">
        <f t="shared" si="97"/>
        <v>11849.543473988791</v>
      </c>
      <c r="AK309" s="52">
        <f t="shared" si="97"/>
        <v>11859.48991806929</v>
      </c>
      <c r="AL309" s="52">
        <f t="shared" si="97"/>
        <v>11867.622593812237</v>
      </c>
      <c r="AM309" s="52">
        <f t="shared" si="97"/>
        <v>11873.883549783754</v>
      </c>
      <c r="AN309" s="52">
        <f t="shared" si="97"/>
        <v>11878.213326944215</v>
      </c>
      <c r="AO309" s="52">
        <f t="shared" si="97"/>
        <v>11880.550921214268</v>
      </c>
      <c r="AP309" s="52">
        <f t="shared" si="97"/>
        <v>11880.833745121283</v>
      </c>
      <c r="AQ309" s="52">
        <f t="shared" si="97"/>
        <v>11878.997588503658</v>
      </c>
      <c r="AR309" s="52">
        <f t="shared" si="97"/>
        <v>11874.976578249933</v>
      </c>
      <c r="AS309" s="52">
        <f t="shared" si="97"/>
        <v>5934.3515685245211</v>
      </c>
    </row>
    <row r="310" spans="2:45" outlineLevel="1" x14ac:dyDescent="0.3">
      <c r="C310" s="5" t="s">
        <v>204</v>
      </c>
      <c r="D310" s="2" t="s">
        <v>2</v>
      </c>
      <c r="J310" s="64">
        <f>(1+Discount_Rate)^((Inputs!$F$33-J$249)/Days_In_Year)</f>
        <v>1.4137125510793771</v>
      </c>
      <c r="K310" s="64">
        <f>(1+Discount_Rate)^((Inputs!$F$33-K$249)/Days_In_Year)</f>
        <v>1.3089931028512751</v>
      </c>
      <c r="L310" s="64">
        <f>(1+Discount_Rate)^((Inputs!$F$33-L$249)/Days_In_Year)</f>
        <v>1.2117751184391485</v>
      </c>
      <c r="M310" s="64">
        <f>(1+Discount_Rate)^((Inputs!$F$33-M$249)/Days_In_Year)</f>
        <v>1.122013998554767</v>
      </c>
      <c r="N310" s="64">
        <f>(1+Discount_Rate)^((Inputs!$F$33-N$249)/Days_In_Year)</f>
        <v>1.0389018505136731</v>
      </c>
      <c r="O310" s="64">
        <f>(1+Discount_Rate)^((Inputs!$F$33-O$249)/Days_In_Year)</f>
        <v>0.96194615788303062</v>
      </c>
      <c r="P310" s="64">
        <f>(1+Discount_Rate)^((Inputs!$F$33-P$249)/Days_In_Year)</f>
        <v>0.8905031026227137</v>
      </c>
      <c r="Q310" s="64">
        <f>(1+Discount_Rate)^((Inputs!$F$33-Q$249)/Days_In_Year)</f>
        <v>0.8245399098358458</v>
      </c>
      <c r="R310" s="64">
        <f>(1+Discount_Rate)^((Inputs!$F$33-R$249)/Days_In_Year)</f>
        <v>0.76346287947763503</v>
      </c>
      <c r="S310" s="64">
        <f>(1+Discount_Rate)^((Inputs!$F$33-S$249)/Days_In_Year)</f>
        <v>0.7069100735904027</v>
      </c>
      <c r="T310" s="64">
        <f>(1+Discount_Rate)^((Inputs!$F$33-T$249)/Days_In_Year)</f>
        <v>0.6544083664649869</v>
      </c>
      <c r="U310" s="64">
        <f>(1+Discount_Rate)^((Inputs!$F$33-U$249)/Days_In_Year)</f>
        <v>0.60593367265276554</v>
      </c>
      <c r="V310" s="64">
        <f>(1+Discount_Rate)^((Inputs!$F$33-V$249)/Days_In_Year)</f>
        <v>0.56104969690070883</v>
      </c>
      <c r="W310" s="64">
        <f>(1+Discount_Rate)^((Inputs!$F$33-W$249)/Days_In_Year)</f>
        <v>0.51949046009324884</v>
      </c>
      <c r="X310" s="64">
        <f>(1+Discount_Rate)^((Inputs!$F$33-X$249)/Days_In_Year)</f>
        <v>0.48090827402856651</v>
      </c>
      <c r="Y310" s="64">
        <f>(1+Discount_Rate)^((Inputs!$F$33-Y$249)/Days_In_Year)</f>
        <v>0.44528543891533923</v>
      </c>
      <c r="Z310" s="64">
        <f>(1+Discount_Rate)^((Inputs!$F$33-Z$249)/Days_In_Year)</f>
        <v>0.41230133232901778</v>
      </c>
      <c r="AA310" s="64">
        <f>(1+Discount_Rate)^((Inputs!$F$33-AA$249)/Days_In_Year)</f>
        <v>0.38176049289723868</v>
      </c>
      <c r="AB310" s="64">
        <f>(1+Discount_Rate)^((Inputs!$F$33-AB$249)/Days_In_Year)</f>
        <v>0.35340741329215369</v>
      </c>
      <c r="AC310" s="64">
        <f>(1+Discount_Rate)^((Inputs!$F$33-AC$249)/Days_In_Year)</f>
        <v>0.32722908638162373</v>
      </c>
      <c r="AD310" s="64">
        <f>(1+Discount_Rate)^((Inputs!$F$33-AD$249)/Days_In_Year)</f>
        <v>0.30298989479779975</v>
      </c>
      <c r="AE310" s="64">
        <f>(1+Discount_Rate)^((Inputs!$F$33-AE$249)/Days_In_Year)</f>
        <v>0.28054619888685151</v>
      </c>
      <c r="AF310" s="64">
        <f>(1+Discount_Rate)^((Inputs!$F$33-AF$249)/Days_In_Year)</f>
        <v>0.25971023273022764</v>
      </c>
      <c r="AG310" s="64">
        <f>(1+Discount_Rate)^((Inputs!$F$33-AG$249)/Days_In_Year)</f>
        <v>0.24047243771317375</v>
      </c>
      <c r="AH310" s="64">
        <f>(1+Discount_Rate)^((Inputs!$F$33-AH$249)/Days_In_Year)</f>
        <v>0.22265966454923491</v>
      </c>
      <c r="AI310" s="64">
        <f>(1+Discount_Rate)^((Inputs!$F$33-AI$249)/Days_In_Year)</f>
        <v>0.20616635606410641</v>
      </c>
      <c r="AJ310" s="64">
        <f>(1+Discount_Rate)^((Inputs!$F$33-AJ$249)/Days_In_Year)</f>
        <v>0.19085452779970458</v>
      </c>
      <c r="AK310" s="64">
        <f>(1+Discount_Rate)^((Inputs!$F$33-AK$249)/Days_In_Year)</f>
        <v>0.17671715537009683</v>
      </c>
      <c r="AL310" s="64">
        <f>(1+Discount_Rate)^((Inputs!$F$33-AL$249)/Days_In_Year)</f>
        <v>0.16362699571305259</v>
      </c>
      <c r="AM310" s="64">
        <f>(1+Discount_Rate)^((Inputs!$F$33-AM$249)/Days_In_Year)</f>
        <v>0.15150647751208571</v>
      </c>
      <c r="AN310" s="64">
        <f>(1+Discount_Rate)^((Inputs!$F$33-AN$249)/Days_In_Year)</f>
        <v>0.14025419945422371</v>
      </c>
      <c r="AO310" s="64">
        <f>(1+Discount_Rate)^((Inputs!$F$33-AO$249)/Days_In_Year)</f>
        <v>0.12986499949465158</v>
      </c>
      <c r="AP310" s="64">
        <f>(1+Discount_Rate)^((Inputs!$F$33-AP$249)/Days_In_Year)</f>
        <v>0.12024536990245513</v>
      </c>
      <c r="AQ310" s="64">
        <f>(1+Discount_Rate)^((Inputs!$F$33-AQ$249)/Days_In_Year)</f>
        <v>0.1113383054652362</v>
      </c>
      <c r="AR310" s="64">
        <f>(1+Discount_Rate)^((Inputs!$F$33-AR$249)/Days_In_Year)</f>
        <v>0.1030692889046335</v>
      </c>
      <c r="AS310" s="64">
        <f>(1+Discount_Rate)^((Inputs!$F$33-AS$249)/Days_In_Year)</f>
        <v>9.5434526763549549E-2</v>
      </c>
    </row>
    <row r="311" spans="2:45" outlineLevel="1" x14ac:dyDescent="0.3">
      <c r="C311" s="5" t="s">
        <v>205</v>
      </c>
      <c r="D311" s="2" t="s">
        <v>78</v>
      </c>
      <c r="H311" s="44">
        <f>SUM(J311:AS311)</f>
        <v>130416.00131391952</v>
      </c>
      <c r="J311" s="44">
        <f t="shared" ref="J311:AS311" si="98">J308*J310</f>
        <v>0</v>
      </c>
      <c r="K311" s="44">
        <f t="shared" si="98"/>
        <v>0</v>
      </c>
      <c r="L311" s="44">
        <f t="shared" si="98"/>
        <v>0</v>
      </c>
      <c r="M311" s="44">
        <f t="shared" si="98"/>
        <v>0</v>
      </c>
      <c r="N311" s="44">
        <f t="shared" si="98"/>
        <v>0</v>
      </c>
      <c r="O311" s="44">
        <f t="shared" si="98"/>
        <v>5420.8236894010333</v>
      </c>
      <c r="P311" s="44">
        <f t="shared" si="98"/>
        <v>10104.592616695865</v>
      </c>
      <c r="Q311" s="44">
        <f t="shared" si="98"/>
        <v>9385.8517537461375</v>
      </c>
      <c r="R311" s="44">
        <f t="shared" si="98"/>
        <v>8717.444317329333</v>
      </c>
      <c r="S311" s="44">
        <f t="shared" si="98"/>
        <v>8095.8849611504738</v>
      </c>
      <c r="T311" s="44">
        <f t="shared" si="98"/>
        <v>7516.342648085797</v>
      </c>
      <c r="U311" s="44">
        <f t="shared" si="98"/>
        <v>6979.0776380243533</v>
      </c>
      <c r="V311" s="44">
        <f t="shared" si="98"/>
        <v>6479.5683975959491</v>
      </c>
      <c r="W311" s="44">
        <f t="shared" si="98"/>
        <v>6015.1937956224601</v>
      </c>
      <c r="X311" s="44">
        <f t="shared" si="98"/>
        <v>5582.3358583502359</v>
      </c>
      <c r="Y311" s="44">
        <f t="shared" si="98"/>
        <v>5181.1607335477474</v>
      </c>
      <c r="Z311" s="44">
        <f t="shared" si="98"/>
        <v>4808.284416784677</v>
      </c>
      <c r="AA311" s="44">
        <f t="shared" si="98"/>
        <v>4461.7368786289535</v>
      </c>
      <c r="AB311" s="44">
        <f t="shared" si="98"/>
        <v>4138.8111393956897</v>
      </c>
      <c r="AC311" s="44">
        <f t="shared" si="98"/>
        <v>3839.6081459251936</v>
      </c>
      <c r="AD311" s="44">
        <f t="shared" si="98"/>
        <v>3561.5977416652363</v>
      </c>
      <c r="AE311" s="44">
        <f t="shared" si="98"/>
        <v>3303.3002038656837</v>
      </c>
      <c r="AF311" s="44">
        <f t="shared" si="98"/>
        <v>3062.69221091486</v>
      </c>
      <c r="AG311" s="44">
        <f t="shared" si="98"/>
        <v>2839.830202451215</v>
      </c>
      <c r="AH311" s="44">
        <f t="shared" si="98"/>
        <v>2632.8244560148123</v>
      </c>
      <c r="AI311" s="44">
        <f t="shared" si="98"/>
        <v>2440.5642832656868</v>
      </c>
      <c r="AJ311" s="44">
        <f t="shared" si="98"/>
        <v>2261.5390243702018</v>
      </c>
      <c r="AK311" s="44">
        <f t="shared" si="98"/>
        <v>2095.7753224615476</v>
      </c>
      <c r="AL311" s="44">
        <f t="shared" si="98"/>
        <v>1941.863431281841</v>
      </c>
      <c r="AM311" s="44">
        <f t="shared" si="98"/>
        <v>1798.9702710164368</v>
      </c>
      <c r="AN311" s="44">
        <f t="shared" si="98"/>
        <v>1665.9693011170521</v>
      </c>
      <c r="AO311" s="44">
        <f t="shared" si="98"/>
        <v>1542.8677393796731</v>
      </c>
      <c r="AP311" s="44">
        <f t="shared" si="98"/>
        <v>1428.6152484316799</v>
      </c>
      <c r="AQ311" s="44">
        <f t="shared" si="98"/>
        <v>1322.5874621296246</v>
      </c>
      <c r="AR311" s="44">
        <f t="shared" si="98"/>
        <v>1223.9453916793984</v>
      </c>
      <c r="AS311" s="44">
        <f t="shared" si="98"/>
        <v>566.34203359066566</v>
      </c>
    </row>
    <row r="312" spans="2:45" outlineLevel="1" x14ac:dyDescent="0.3">
      <c r="C312" s="5" t="s">
        <v>425</v>
      </c>
      <c r="D312" s="2" t="s">
        <v>78</v>
      </c>
      <c r="H312" s="44">
        <f>SUM(J312:AS312)</f>
        <v>0</v>
      </c>
      <c r="J312" s="44">
        <f t="shared" ref="J312:AS312" si="99">-($F$200+$F$187)*(J$248=YEAR(Sale_Date))</f>
        <v>0</v>
      </c>
      <c r="K312" s="44">
        <f t="shared" si="99"/>
        <v>0</v>
      </c>
      <c r="L312" s="44">
        <f t="shared" si="99"/>
        <v>0</v>
      </c>
      <c r="M312" s="44">
        <f t="shared" si="99"/>
        <v>0</v>
      </c>
      <c r="N312" s="44">
        <f t="shared" si="99"/>
        <v>0</v>
      </c>
      <c r="O312" s="44">
        <f t="shared" si="99"/>
        <v>0</v>
      </c>
      <c r="P312" s="44">
        <f t="shared" si="99"/>
        <v>0</v>
      </c>
      <c r="Q312" s="44">
        <f t="shared" si="99"/>
        <v>0</v>
      </c>
      <c r="R312" s="44">
        <f t="shared" si="99"/>
        <v>0</v>
      </c>
      <c r="S312" s="44">
        <f t="shared" si="99"/>
        <v>0</v>
      </c>
      <c r="T312" s="44">
        <f t="shared" si="99"/>
        <v>0</v>
      </c>
      <c r="U312" s="44">
        <f t="shared" si="99"/>
        <v>0</v>
      </c>
      <c r="V312" s="44">
        <f t="shared" si="99"/>
        <v>0</v>
      </c>
      <c r="W312" s="44">
        <f t="shared" si="99"/>
        <v>0</v>
      </c>
      <c r="X312" s="44">
        <f t="shared" si="99"/>
        <v>0</v>
      </c>
      <c r="Y312" s="44">
        <f t="shared" si="99"/>
        <v>0</v>
      </c>
      <c r="Z312" s="44">
        <f t="shared" si="99"/>
        <v>0</v>
      </c>
      <c r="AA312" s="44">
        <f t="shared" si="99"/>
        <v>0</v>
      </c>
      <c r="AB312" s="44">
        <f t="shared" si="99"/>
        <v>0</v>
      </c>
      <c r="AC312" s="44">
        <f t="shared" si="99"/>
        <v>0</v>
      </c>
      <c r="AD312" s="44">
        <f t="shared" si="99"/>
        <v>0</v>
      </c>
      <c r="AE312" s="44">
        <f t="shared" si="99"/>
        <v>0</v>
      </c>
      <c r="AF312" s="44">
        <f t="shared" si="99"/>
        <v>0</v>
      </c>
      <c r="AG312" s="44">
        <f t="shared" si="99"/>
        <v>0</v>
      </c>
      <c r="AH312" s="44">
        <f t="shared" si="99"/>
        <v>0</v>
      </c>
      <c r="AI312" s="44">
        <f t="shared" si="99"/>
        <v>0</v>
      </c>
      <c r="AJ312" s="44">
        <f t="shared" si="99"/>
        <v>0</v>
      </c>
      <c r="AK312" s="44">
        <f t="shared" si="99"/>
        <v>0</v>
      </c>
      <c r="AL312" s="44">
        <f t="shared" si="99"/>
        <v>0</v>
      </c>
      <c r="AM312" s="44">
        <f t="shared" si="99"/>
        <v>0</v>
      </c>
      <c r="AN312" s="44">
        <f t="shared" si="99"/>
        <v>0</v>
      </c>
      <c r="AO312" s="44">
        <f t="shared" si="99"/>
        <v>0</v>
      </c>
      <c r="AP312" s="44">
        <f t="shared" si="99"/>
        <v>0</v>
      </c>
      <c r="AQ312" s="44">
        <f t="shared" si="99"/>
        <v>0</v>
      </c>
      <c r="AR312" s="44">
        <f t="shared" si="99"/>
        <v>0</v>
      </c>
      <c r="AS312" s="44">
        <f t="shared" si="99"/>
        <v>0</v>
      </c>
    </row>
    <row r="313" spans="2:45" outlineLevel="1" x14ac:dyDescent="0.3">
      <c r="C313" s="1" t="s">
        <v>206</v>
      </c>
      <c r="D313" s="2" t="s">
        <v>78</v>
      </c>
      <c r="H313" s="52">
        <f>SUM(J313:AS313)</f>
        <v>52789.024601590747</v>
      </c>
      <c r="J313" s="52">
        <f t="shared" ref="J313:AS313" si="100">J294*(J284&lt;=0)+J289*($H311+$F$60+$F$61)+J312</f>
        <v>-657.1232876712329</v>
      </c>
      <c r="K313" s="52">
        <f t="shared" si="100"/>
        <v>-3612.0547945205481</v>
      </c>
      <c r="L313" s="52">
        <f t="shared" si="100"/>
        <v>-3359.8191780821917</v>
      </c>
      <c r="M313" s="52">
        <f t="shared" si="100"/>
        <v>-17498.125</v>
      </c>
      <c r="N313" s="52">
        <f t="shared" si="100"/>
        <v>-34996.25</v>
      </c>
      <c r="O313" s="52">
        <f t="shared" si="100"/>
        <v>112912.39686186472</v>
      </c>
      <c r="P313" s="52">
        <f t="shared" si="100"/>
        <v>0</v>
      </c>
      <c r="Q313" s="52">
        <f t="shared" si="100"/>
        <v>0</v>
      </c>
      <c r="R313" s="52">
        <f t="shared" si="100"/>
        <v>0</v>
      </c>
      <c r="S313" s="52">
        <f t="shared" si="100"/>
        <v>0</v>
      </c>
      <c r="T313" s="52">
        <f t="shared" si="100"/>
        <v>0</v>
      </c>
      <c r="U313" s="52">
        <f t="shared" si="100"/>
        <v>0</v>
      </c>
      <c r="V313" s="52">
        <f t="shared" si="100"/>
        <v>0</v>
      </c>
      <c r="W313" s="52">
        <f t="shared" si="100"/>
        <v>0</v>
      </c>
      <c r="X313" s="52">
        <f t="shared" si="100"/>
        <v>0</v>
      </c>
      <c r="Y313" s="52">
        <f t="shared" si="100"/>
        <v>0</v>
      </c>
      <c r="Z313" s="52">
        <f t="shared" si="100"/>
        <v>0</v>
      </c>
      <c r="AA313" s="52">
        <f t="shared" si="100"/>
        <v>0</v>
      </c>
      <c r="AB313" s="52">
        <f t="shared" si="100"/>
        <v>0</v>
      </c>
      <c r="AC313" s="52">
        <f t="shared" si="100"/>
        <v>0</v>
      </c>
      <c r="AD313" s="52">
        <f t="shared" si="100"/>
        <v>0</v>
      </c>
      <c r="AE313" s="52">
        <f t="shared" si="100"/>
        <v>0</v>
      </c>
      <c r="AF313" s="52">
        <f t="shared" si="100"/>
        <v>0</v>
      </c>
      <c r="AG313" s="52">
        <f t="shared" si="100"/>
        <v>0</v>
      </c>
      <c r="AH313" s="52">
        <f t="shared" si="100"/>
        <v>0</v>
      </c>
      <c r="AI313" s="52">
        <f t="shared" si="100"/>
        <v>0</v>
      </c>
      <c r="AJ313" s="52">
        <f t="shared" si="100"/>
        <v>0</v>
      </c>
      <c r="AK313" s="52">
        <f t="shared" si="100"/>
        <v>0</v>
      </c>
      <c r="AL313" s="52">
        <f t="shared" si="100"/>
        <v>0</v>
      </c>
      <c r="AM313" s="52">
        <f t="shared" si="100"/>
        <v>0</v>
      </c>
      <c r="AN313" s="52">
        <f t="shared" si="100"/>
        <v>0</v>
      </c>
      <c r="AO313" s="52">
        <f t="shared" si="100"/>
        <v>0</v>
      </c>
      <c r="AP313" s="52">
        <f t="shared" si="100"/>
        <v>0</v>
      </c>
      <c r="AQ313" s="52">
        <f t="shared" si="100"/>
        <v>0</v>
      </c>
      <c r="AR313" s="52">
        <f t="shared" si="100"/>
        <v>0</v>
      </c>
      <c r="AS313" s="52">
        <f t="shared" si="100"/>
        <v>0</v>
      </c>
    </row>
    <row r="314" spans="2:45" outlineLevel="1" x14ac:dyDescent="0.3"/>
    <row r="315" spans="2:45" outlineLevel="1" x14ac:dyDescent="0.3">
      <c r="B315" s="3" t="s">
        <v>2</v>
      </c>
      <c r="C315" s="3" t="s">
        <v>208</v>
      </c>
      <c r="D315" s="3"/>
      <c r="E315" s="4"/>
      <c r="F315" s="4"/>
      <c r="G315" s="4" t="s">
        <v>176</v>
      </c>
      <c r="H315" s="4" t="s">
        <v>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2:45" outlineLevel="1" x14ac:dyDescent="0.3">
      <c r="C316" s="5" t="s">
        <v>177</v>
      </c>
      <c r="D316" s="2" t="s">
        <v>178</v>
      </c>
      <c r="J316" s="61">
        <f>J$248-YEAR(Inputs!$G$33)</f>
        <v>-5</v>
      </c>
      <c r="K316" s="61">
        <f>K$248-YEAR(Inputs!$G$33)</f>
        <v>-4</v>
      </c>
      <c r="L316" s="61">
        <f>L$248-YEAR(Inputs!$G$33)</f>
        <v>-3</v>
      </c>
      <c r="M316" s="61">
        <f>M$248-YEAR(Inputs!$G$33)</f>
        <v>-2</v>
      </c>
      <c r="N316" s="61">
        <f>N$248-YEAR(Inputs!$G$33)</f>
        <v>-1</v>
      </c>
      <c r="O316" s="61">
        <f>O$248-YEAR(Inputs!$G$33)</f>
        <v>0</v>
      </c>
      <c r="P316" s="61">
        <f>P$248-YEAR(Inputs!$G$33)</f>
        <v>1</v>
      </c>
      <c r="Q316" s="61">
        <f>Q$248-YEAR(Inputs!$G$33)</f>
        <v>2</v>
      </c>
      <c r="R316" s="61">
        <f>R$248-YEAR(Inputs!$G$33)</f>
        <v>3</v>
      </c>
      <c r="S316" s="61">
        <f>S$248-YEAR(Inputs!$G$33)</f>
        <v>4</v>
      </c>
      <c r="T316" s="61">
        <f>T$248-YEAR(Inputs!$G$33)</f>
        <v>5</v>
      </c>
      <c r="U316" s="61">
        <f>U$248-YEAR(Inputs!$G$33)</f>
        <v>6</v>
      </c>
      <c r="V316" s="61">
        <f>V$248-YEAR(Inputs!$G$33)</f>
        <v>7</v>
      </c>
      <c r="W316" s="61">
        <f>W$248-YEAR(Inputs!$G$33)</f>
        <v>8</v>
      </c>
      <c r="X316" s="61">
        <f>X$248-YEAR(Inputs!$G$33)</f>
        <v>9</v>
      </c>
      <c r="Y316" s="61">
        <f>Y$248-YEAR(Inputs!$G$33)</f>
        <v>10</v>
      </c>
      <c r="Z316" s="61">
        <f>Z$248-YEAR(Inputs!$G$33)</f>
        <v>11</v>
      </c>
      <c r="AA316" s="61">
        <f>AA$248-YEAR(Inputs!$G$33)</f>
        <v>12</v>
      </c>
      <c r="AB316" s="61">
        <f>AB$248-YEAR(Inputs!$G$33)</f>
        <v>13</v>
      </c>
      <c r="AC316" s="61">
        <f>AC$248-YEAR(Inputs!$G$33)</f>
        <v>14</v>
      </c>
      <c r="AD316" s="61">
        <f>AD$248-YEAR(Inputs!$G$33)</f>
        <v>15</v>
      </c>
      <c r="AE316" s="61">
        <f>AE$248-YEAR(Inputs!$G$33)</f>
        <v>16</v>
      </c>
      <c r="AF316" s="61">
        <f>AF$248-YEAR(Inputs!$G$33)</f>
        <v>17</v>
      </c>
      <c r="AG316" s="61">
        <f>AG$248-YEAR(Inputs!$G$33)</f>
        <v>18</v>
      </c>
      <c r="AH316" s="61">
        <f>AH$248-YEAR(Inputs!$G$33)</f>
        <v>19</v>
      </c>
      <c r="AI316" s="61">
        <f>AI$248-YEAR(Inputs!$G$33)</f>
        <v>20</v>
      </c>
      <c r="AJ316" s="61">
        <f>AJ$248-YEAR(Inputs!$G$33)</f>
        <v>21</v>
      </c>
      <c r="AK316" s="61">
        <f>AK$248-YEAR(Inputs!$G$33)</f>
        <v>22</v>
      </c>
      <c r="AL316" s="61">
        <f>AL$248-YEAR(Inputs!$G$33)</f>
        <v>23</v>
      </c>
      <c r="AM316" s="61">
        <f>AM$248-YEAR(Inputs!$G$33)</f>
        <v>24</v>
      </c>
      <c r="AN316" s="61">
        <f>AN$248-YEAR(Inputs!$G$33)</f>
        <v>25</v>
      </c>
      <c r="AO316" s="61">
        <f>AO$248-YEAR(Inputs!$G$33)</f>
        <v>26</v>
      </c>
      <c r="AP316" s="61">
        <f>AP$248-YEAR(Inputs!$G$33)</f>
        <v>27</v>
      </c>
      <c r="AQ316" s="61">
        <f>AQ$248-YEAR(Inputs!$G$33)</f>
        <v>28</v>
      </c>
      <c r="AR316" s="61">
        <f>AR$248-YEAR(Inputs!$G$33)</f>
        <v>29</v>
      </c>
      <c r="AS316" s="61">
        <f>AS$248-YEAR(Inputs!$G$33)</f>
        <v>30</v>
      </c>
    </row>
    <row r="317" spans="2:45" outlineLevel="1" x14ac:dyDescent="0.3">
      <c r="C317" s="5" t="s">
        <v>179</v>
      </c>
      <c r="D317" s="2" t="s">
        <v>180</v>
      </c>
      <c r="G317" s="61">
        <f>DATEDIF(Inputs!$G$32,Inputs!$G$33,"m")</f>
        <v>24</v>
      </c>
      <c r="J317" s="61">
        <f>(J$248+1-YEAR(Inputs!$G$32))*Months_In_Year-MONTH(Inputs!$G$32)</f>
        <v>-30</v>
      </c>
      <c r="K317" s="61">
        <f>(K$248+1-YEAR(Inputs!$G$32))*Months_In_Year-MONTH(Inputs!$G$32)</f>
        <v>-18</v>
      </c>
      <c r="L317" s="61">
        <f>(L$248+1-YEAR(Inputs!$G$32))*Months_In_Year-MONTH(Inputs!$G$32)</f>
        <v>-6</v>
      </c>
      <c r="M317" s="61">
        <f>(M$248+1-YEAR(Inputs!$G$32))*Months_In_Year-MONTH(Inputs!$G$32)</f>
        <v>6</v>
      </c>
      <c r="N317" s="61">
        <f>(N$248+1-YEAR(Inputs!$G$32))*Months_In_Year-MONTH(Inputs!$G$32)</f>
        <v>18</v>
      </c>
      <c r="O317" s="61">
        <f>(O$248+1-YEAR(Inputs!$G$32))*Months_In_Year-MONTH(Inputs!$G$32)</f>
        <v>30</v>
      </c>
      <c r="P317" s="61">
        <f>(P$248+1-YEAR(Inputs!$G$32))*Months_In_Year-MONTH(Inputs!$G$32)</f>
        <v>42</v>
      </c>
      <c r="Q317" s="61">
        <f>(Q$248+1-YEAR(Inputs!$G$32))*Months_In_Year-MONTH(Inputs!$G$32)</f>
        <v>54</v>
      </c>
      <c r="R317" s="61">
        <f>(R$248+1-YEAR(Inputs!$G$32))*Months_In_Year-MONTH(Inputs!$G$32)</f>
        <v>66</v>
      </c>
      <c r="S317" s="61">
        <f>(S$248+1-YEAR(Inputs!$G$32))*Months_In_Year-MONTH(Inputs!$G$32)</f>
        <v>78</v>
      </c>
      <c r="T317" s="61">
        <f>(T$248+1-YEAR(Inputs!$G$32))*Months_In_Year-MONTH(Inputs!$G$32)</f>
        <v>90</v>
      </c>
      <c r="U317" s="61">
        <f>(U$248+1-YEAR(Inputs!$G$32))*Months_In_Year-MONTH(Inputs!$G$32)</f>
        <v>102</v>
      </c>
      <c r="V317" s="61">
        <f>(V$248+1-YEAR(Inputs!$G$32))*Months_In_Year-MONTH(Inputs!$G$32)</f>
        <v>114</v>
      </c>
      <c r="W317" s="61">
        <f>(W$248+1-YEAR(Inputs!$G$32))*Months_In_Year-MONTH(Inputs!$G$32)</f>
        <v>126</v>
      </c>
      <c r="X317" s="61">
        <f>(X$248+1-YEAR(Inputs!$G$32))*Months_In_Year-MONTH(Inputs!$G$32)</f>
        <v>138</v>
      </c>
      <c r="Y317" s="61">
        <f>(Y$248+1-YEAR(Inputs!$G$32))*Months_In_Year-MONTH(Inputs!$G$32)</f>
        <v>150</v>
      </c>
      <c r="Z317" s="61">
        <f>(Z$248+1-YEAR(Inputs!$G$32))*Months_In_Year-MONTH(Inputs!$G$32)</f>
        <v>162</v>
      </c>
      <c r="AA317" s="61">
        <f>(AA$248+1-YEAR(Inputs!$G$32))*Months_In_Year-MONTH(Inputs!$G$32)</f>
        <v>174</v>
      </c>
      <c r="AB317" s="61">
        <f>(AB$248+1-YEAR(Inputs!$G$32))*Months_In_Year-MONTH(Inputs!$G$32)</f>
        <v>186</v>
      </c>
      <c r="AC317" s="61">
        <f>(AC$248+1-YEAR(Inputs!$G$32))*Months_In_Year-MONTH(Inputs!$G$32)</f>
        <v>198</v>
      </c>
      <c r="AD317" s="61">
        <f>(AD$248+1-YEAR(Inputs!$G$32))*Months_In_Year-MONTH(Inputs!$G$32)</f>
        <v>210</v>
      </c>
      <c r="AE317" s="61">
        <f>(AE$248+1-YEAR(Inputs!$G$32))*Months_In_Year-MONTH(Inputs!$G$32)</f>
        <v>222</v>
      </c>
      <c r="AF317" s="61">
        <f>(AF$248+1-YEAR(Inputs!$G$32))*Months_In_Year-MONTH(Inputs!$G$32)</f>
        <v>234</v>
      </c>
      <c r="AG317" s="61">
        <f>(AG$248+1-YEAR(Inputs!$G$32))*Months_In_Year-MONTH(Inputs!$G$32)</f>
        <v>246</v>
      </c>
      <c r="AH317" s="61">
        <f>(AH$248+1-YEAR(Inputs!$G$32))*Months_In_Year-MONTH(Inputs!$G$32)</f>
        <v>258</v>
      </c>
      <c r="AI317" s="61">
        <f>(AI$248+1-YEAR(Inputs!$G$32))*Months_In_Year-MONTH(Inputs!$G$32)</f>
        <v>270</v>
      </c>
      <c r="AJ317" s="61">
        <f>(AJ$248+1-YEAR(Inputs!$G$32))*Months_In_Year-MONTH(Inputs!$G$32)</f>
        <v>282</v>
      </c>
      <c r="AK317" s="61">
        <f>(AK$248+1-YEAR(Inputs!$G$32))*Months_In_Year-MONTH(Inputs!$G$32)</f>
        <v>294</v>
      </c>
      <c r="AL317" s="61">
        <f>(AL$248+1-YEAR(Inputs!$G$32))*Months_In_Year-MONTH(Inputs!$G$32)</f>
        <v>306</v>
      </c>
      <c r="AM317" s="61">
        <f>(AM$248+1-YEAR(Inputs!$G$32))*Months_In_Year-MONTH(Inputs!$G$32)</f>
        <v>318</v>
      </c>
      <c r="AN317" s="61">
        <f>(AN$248+1-YEAR(Inputs!$G$32))*Months_In_Year-MONTH(Inputs!$G$32)</f>
        <v>330</v>
      </c>
      <c r="AO317" s="61">
        <f>(AO$248+1-YEAR(Inputs!$G$32))*Months_In_Year-MONTH(Inputs!$G$32)</f>
        <v>342</v>
      </c>
      <c r="AP317" s="61">
        <f>(AP$248+1-YEAR(Inputs!$G$32))*Months_In_Year-MONTH(Inputs!$G$32)</f>
        <v>354</v>
      </c>
      <c r="AQ317" s="61">
        <f>(AQ$248+1-YEAR(Inputs!$G$32))*Months_In_Year-MONTH(Inputs!$G$32)</f>
        <v>366</v>
      </c>
      <c r="AR317" s="61">
        <f>(AR$248+1-YEAR(Inputs!$G$32))*Months_In_Year-MONTH(Inputs!$G$32)</f>
        <v>378</v>
      </c>
      <c r="AS317" s="61">
        <f>(AS$248+1-YEAR(Inputs!$G$32))*Months_In_Year-MONTH(Inputs!$G$32)</f>
        <v>390</v>
      </c>
    </row>
    <row r="318" spans="2:45" outlineLevel="1" x14ac:dyDescent="0.3">
      <c r="C318" s="5" t="s">
        <v>181</v>
      </c>
      <c r="D318" s="2" t="s">
        <v>11</v>
      </c>
      <c r="H318" s="65">
        <f>SUM(J318:AS318)</f>
        <v>1</v>
      </c>
      <c r="J318" s="57">
        <f t="shared" ref="J318:AS318" si="101">MAX(0,MIN(J317,$G317)-MAX(J317-Months_In_Year,0))/$G317</f>
        <v>0</v>
      </c>
      <c r="K318" s="57">
        <f t="shared" si="101"/>
        <v>0</v>
      </c>
      <c r="L318" s="57">
        <f t="shared" si="101"/>
        <v>0</v>
      </c>
      <c r="M318" s="57">
        <f t="shared" si="101"/>
        <v>0.25</v>
      </c>
      <c r="N318" s="57">
        <f t="shared" si="101"/>
        <v>0.5</v>
      </c>
      <c r="O318" s="57">
        <f t="shared" si="101"/>
        <v>0.25</v>
      </c>
      <c r="P318" s="57">
        <f t="shared" si="101"/>
        <v>0</v>
      </c>
      <c r="Q318" s="57">
        <f t="shared" si="101"/>
        <v>0</v>
      </c>
      <c r="R318" s="57">
        <f t="shared" si="101"/>
        <v>0</v>
      </c>
      <c r="S318" s="57">
        <f t="shared" si="101"/>
        <v>0</v>
      </c>
      <c r="T318" s="57">
        <f t="shared" si="101"/>
        <v>0</v>
      </c>
      <c r="U318" s="57">
        <f t="shared" si="101"/>
        <v>0</v>
      </c>
      <c r="V318" s="57">
        <f t="shared" si="101"/>
        <v>0</v>
      </c>
      <c r="W318" s="57">
        <f t="shared" si="101"/>
        <v>0</v>
      </c>
      <c r="X318" s="57">
        <f t="shared" si="101"/>
        <v>0</v>
      </c>
      <c r="Y318" s="57">
        <f t="shared" si="101"/>
        <v>0</v>
      </c>
      <c r="Z318" s="57">
        <f t="shared" si="101"/>
        <v>0</v>
      </c>
      <c r="AA318" s="57">
        <f t="shared" si="101"/>
        <v>0</v>
      </c>
      <c r="AB318" s="57">
        <f t="shared" si="101"/>
        <v>0</v>
      </c>
      <c r="AC318" s="57">
        <f t="shared" si="101"/>
        <v>0</v>
      </c>
      <c r="AD318" s="57">
        <f t="shared" si="101"/>
        <v>0</v>
      </c>
      <c r="AE318" s="57">
        <f t="shared" si="101"/>
        <v>0</v>
      </c>
      <c r="AF318" s="57">
        <f t="shared" si="101"/>
        <v>0</v>
      </c>
      <c r="AG318" s="57">
        <f t="shared" si="101"/>
        <v>0</v>
      </c>
      <c r="AH318" s="57">
        <f t="shared" si="101"/>
        <v>0</v>
      </c>
      <c r="AI318" s="57">
        <f t="shared" si="101"/>
        <v>0</v>
      </c>
      <c r="AJ318" s="57">
        <f t="shared" si="101"/>
        <v>0</v>
      </c>
      <c r="AK318" s="57">
        <f t="shared" si="101"/>
        <v>0</v>
      </c>
      <c r="AL318" s="57">
        <f t="shared" si="101"/>
        <v>0</v>
      </c>
      <c r="AM318" s="57">
        <f t="shared" si="101"/>
        <v>0</v>
      </c>
      <c r="AN318" s="57">
        <f t="shared" si="101"/>
        <v>0</v>
      </c>
      <c r="AO318" s="57">
        <f t="shared" si="101"/>
        <v>0</v>
      </c>
      <c r="AP318" s="57">
        <f t="shared" si="101"/>
        <v>0</v>
      </c>
      <c r="AQ318" s="57">
        <f t="shared" si="101"/>
        <v>0</v>
      </c>
      <c r="AR318" s="57">
        <f t="shared" si="101"/>
        <v>0</v>
      </c>
      <c r="AS318" s="57">
        <f t="shared" si="101"/>
        <v>0</v>
      </c>
    </row>
    <row r="319" spans="2:45" outlineLevel="1" x14ac:dyDescent="0.3">
      <c r="C319" s="5" t="s">
        <v>182</v>
      </c>
      <c r="D319" s="2" t="s">
        <v>180</v>
      </c>
      <c r="G319" s="61">
        <f>Life*Months_In_Year</f>
        <v>360</v>
      </c>
      <c r="J319" s="61">
        <f>(J$248+1-YEAR(Inputs!$G$33))*Months_In_Year-MONTH(Inputs!$G$33)</f>
        <v>-54</v>
      </c>
      <c r="K319" s="61">
        <f>(K$248+1-YEAR(Inputs!$G$33))*Months_In_Year-MONTH(Inputs!$G$33)</f>
        <v>-42</v>
      </c>
      <c r="L319" s="61">
        <f>(L$248+1-YEAR(Inputs!$G$33))*Months_In_Year-MONTH(Inputs!$G$33)</f>
        <v>-30</v>
      </c>
      <c r="M319" s="61">
        <f>(M$248+1-YEAR(Inputs!$G$33))*Months_In_Year-MONTH(Inputs!$G$33)</f>
        <v>-18</v>
      </c>
      <c r="N319" s="61">
        <f>(N$248+1-YEAR(Inputs!$G$33))*Months_In_Year-MONTH(Inputs!$G$33)</f>
        <v>-6</v>
      </c>
      <c r="O319" s="61">
        <f>(O$248+1-YEAR(Inputs!$G$33))*Months_In_Year-MONTH(Inputs!$G$33)</f>
        <v>6</v>
      </c>
      <c r="P319" s="61">
        <f>(P$248+1-YEAR(Inputs!$G$33))*Months_In_Year-MONTH(Inputs!$G$33)</f>
        <v>18</v>
      </c>
      <c r="Q319" s="61">
        <f>(Q$248+1-YEAR(Inputs!$G$33))*Months_In_Year-MONTH(Inputs!$G$33)</f>
        <v>30</v>
      </c>
      <c r="R319" s="61">
        <f>(R$248+1-YEAR(Inputs!$G$33))*Months_In_Year-MONTH(Inputs!$G$33)</f>
        <v>42</v>
      </c>
      <c r="S319" s="61">
        <f>(S$248+1-YEAR(Inputs!$G$33))*Months_In_Year-MONTH(Inputs!$G$33)</f>
        <v>54</v>
      </c>
      <c r="T319" s="61">
        <f>(T$248+1-YEAR(Inputs!$G$33))*Months_In_Year-MONTH(Inputs!$G$33)</f>
        <v>66</v>
      </c>
      <c r="U319" s="61">
        <f>(U$248+1-YEAR(Inputs!$G$33))*Months_In_Year-MONTH(Inputs!$G$33)</f>
        <v>78</v>
      </c>
      <c r="V319" s="61">
        <f>(V$248+1-YEAR(Inputs!$G$33))*Months_In_Year-MONTH(Inputs!$G$33)</f>
        <v>90</v>
      </c>
      <c r="W319" s="61">
        <f>(W$248+1-YEAR(Inputs!$G$33))*Months_In_Year-MONTH(Inputs!$G$33)</f>
        <v>102</v>
      </c>
      <c r="X319" s="61">
        <f>(X$248+1-YEAR(Inputs!$G$33))*Months_In_Year-MONTH(Inputs!$G$33)</f>
        <v>114</v>
      </c>
      <c r="Y319" s="61">
        <f>(Y$248+1-YEAR(Inputs!$G$33))*Months_In_Year-MONTH(Inputs!$G$33)</f>
        <v>126</v>
      </c>
      <c r="Z319" s="61">
        <f>(Z$248+1-YEAR(Inputs!$G$33))*Months_In_Year-MONTH(Inputs!$G$33)</f>
        <v>138</v>
      </c>
      <c r="AA319" s="61">
        <f>(AA$248+1-YEAR(Inputs!$G$33))*Months_In_Year-MONTH(Inputs!$G$33)</f>
        <v>150</v>
      </c>
      <c r="AB319" s="61">
        <f>(AB$248+1-YEAR(Inputs!$G$33))*Months_In_Year-MONTH(Inputs!$G$33)</f>
        <v>162</v>
      </c>
      <c r="AC319" s="61">
        <f>(AC$248+1-YEAR(Inputs!$G$33))*Months_In_Year-MONTH(Inputs!$G$33)</f>
        <v>174</v>
      </c>
      <c r="AD319" s="61">
        <f>(AD$248+1-YEAR(Inputs!$G$33))*Months_In_Year-MONTH(Inputs!$G$33)</f>
        <v>186</v>
      </c>
      <c r="AE319" s="61">
        <f>(AE$248+1-YEAR(Inputs!$G$33))*Months_In_Year-MONTH(Inputs!$G$33)</f>
        <v>198</v>
      </c>
      <c r="AF319" s="61">
        <f>(AF$248+1-YEAR(Inputs!$G$33))*Months_In_Year-MONTH(Inputs!$G$33)</f>
        <v>210</v>
      </c>
      <c r="AG319" s="61">
        <f>(AG$248+1-YEAR(Inputs!$G$33))*Months_In_Year-MONTH(Inputs!$G$33)</f>
        <v>222</v>
      </c>
      <c r="AH319" s="61">
        <f>(AH$248+1-YEAR(Inputs!$G$33))*Months_In_Year-MONTH(Inputs!$G$33)</f>
        <v>234</v>
      </c>
      <c r="AI319" s="61">
        <f>(AI$248+1-YEAR(Inputs!$G$33))*Months_In_Year-MONTH(Inputs!$G$33)</f>
        <v>246</v>
      </c>
      <c r="AJ319" s="61">
        <f>(AJ$248+1-YEAR(Inputs!$G$33))*Months_In_Year-MONTH(Inputs!$G$33)</f>
        <v>258</v>
      </c>
      <c r="AK319" s="61">
        <f>(AK$248+1-YEAR(Inputs!$G$33))*Months_In_Year-MONTH(Inputs!$G$33)</f>
        <v>270</v>
      </c>
      <c r="AL319" s="61">
        <f>(AL$248+1-YEAR(Inputs!$G$33))*Months_In_Year-MONTH(Inputs!$G$33)</f>
        <v>282</v>
      </c>
      <c r="AM319" s="61">
        <f>(AM$248+1-YEAR(Inputs!$G$33))*Months_In_Year-MONTH(Inputs!$G$33)</f>
        <v>294</v>
      </c>
      <c r="AN319" s="61">
        <f>(AN$248+1-YEAR(Inputs!$G$33))*Months_In_Year-MONTH(Inputs!$G$33)</f>
        <v>306</v>
      </c>
      <c r="AO319" s="61">
        <f>(AO$248+1-YEAR(Inputs!$G$33))*Months_In_Year-MONTH(Inputs!$G$33)</f>
        <v>318</v>
      </c>
      <c r="AP319" s="61">
        <f>(AP$248+1-YEAR(Inputs!$G$33))*Months_In_Year-MONTH(Inputs!$G$33)</f>
        <v>330</v>
      </c>
      <c r="AQ319" s="61">
        <f>(AQ$248+1-YEAR(Inputs!$G$33))*Months_In_Year-MONTH(Inputs!$G$33)</f>
        <v>342</v>
      </c>
      <c r="AR319" s="61">
        <f>(AR$248+1-YEAR(Inputs!$G$33))*Months_In_Year-MONTH(Inputs!$G$33)</f>
        <v>354</v>
      </c>
      <c r="AS319" s="61">
        <f>(AS$248+1-YEAR(Inputs!$G$33))*Months_In_Year-MONTH(Inputs!$G$33)</f>
        <v>366</v>
      </c>
    </row>
    <row r="320" spans="2:45" outlineLevel="1" x14ac:dyDescent="0.3">
      <c r="C320" s="5" t="s">
        <v>183</v>
      </c>
      <c r="D320" s="2" t="s">
        <v>11</v>
      </c>
      <c r="H320" s="65">
        <f>SUM(J320:AS320)</f>
        <v>30</v>
      </c>
      <c r="J320" s="57">
        <f t="shared" ref="J320:AS320" si="102">MAX(0,MIN(J319,$G319)-MAX(J319-Months_In_Year,0))/Months_In_Year</f>
        <v>0</v>
      </c>
      <c r="K320" s="57">
        <f t="shared" si="102"/>
        <v>0</v>
      </c>
      <c r="L320" s="57">
        <f t="shared" si="102"/>
        <v>0</v>
      </c>
      <c r="M320" s="57">
        <f t="shared" si="102"/>
        <v>0</v>
      </c>
      <c r="N320" s="57">
        <f t="shared" si="102"/>
        <v>0</v>
      </c>
      <c r="O320" s="57">
        <f t="shared" si="102"/>
        <v>0.5</v>
      </c>
      <c r="P320" s="57">
        <f t="shared" si="102"/>
        <v>1</v>
      </c>
      <c r="Q320" s="57">
        <f t="shared" si="102"/>
        <v>1</v>
      </c>
      <c r="R320" s="57">
        <f t="shared" si="102"/>
        <v>1</v>
      </c>
      <c r="S320" s="57">
        <f t="shared" si="102"/>
        <v>1</v>
      </c>
      <c r="T320" s="57">
        <f t="shared" si="102"/>
        <v>1</v>
      </c>
      <c r="U320" s="57">
        <f t="shared" si="102"/>
        <v>1</v>
      </c>
      <c r="V320" s="57">
        <f t="shared" si="102"/>
        <v>1</v>
      </c>
      <c r="W320" s="57">
        <f t="shared" si="102"/>
        <v>1</v>
      </c>
      <c r="X320" s="57">
        <f t="shared" si="102"/>
        <v>1</v>
      </c>
      <c r="Y320" s="57">
        <f t="shared" si="102"/>
        <v>1</v>
      </c>
      <c r="Z320" s="57">
        <f t="shared" si="102"/>
        <v>1</v>
      </c>
      <c r="AA320" s="57">
        <f t="shared" si="102"/>
        <v>1</v>
      </c>
      <c r="AB320" s="57">
        <f t="shared" si="102"/>
        <v>1</v>
      </c>
      <c r="AC320" s="57">
        <f t="shared" si="102"/>
        <v>1</v>
      </c>
      <c r="AD320" s="57">
        <f t="shared" si="102"/>
        <v>1</v>
      </c>
      <c r="AE320" s="57">
        <f t="shared" si="102"/>
        <v>1</v>
      </c>
      <c r="AF320" s="57">
        <f t="shared" si="102"/>
        <v>1</v>
      </c>
      <c r="AG320" s="57">
        <f t="shared" si="102"/>
        <v>1</v>
      </c>
      <c r="AH320" s="57">
        <f t="shared" si="102"/>
        <v>1</v>
      </c>
      <c r="AI320" s="57">
        <f t="shared" si="102"/>
        <v>1</v>
      </c>
      <c r="AJ320" s="57">
        <f t="shared" si="102"/>
        <v>1</v>
      </c>
      <c r="AK320" s="57">
        <f t="shared" si="102"/>
        <v>1</v>
      </c>
      <c r="AL320" s="57">
        <f t="shared" si="102"/>
        <v>1</v>
      </c>
      <c r="AM320" s="57">
        <f t="shared" si="102"/>
        <v>1</v>
      </c>
      <c r="AN320" s="57">
        <f t="shared" si="102"/>
        <v>1</v>
      </c>
      <c r="AO320" s="57">
        <f t="shared" si="102"/>
        <v>1</v>
      </c>
      <c r="AP320" s="57">
        <f t="shared" si="102"/>
        <v>1</v>
      </c>
      <c r="AQ320" s="57">
        <f t="shared" si="102"/>
        <v>1</v>
      </c>
      <c r="AR320" s="57">
        <f t="shared" si="102"/>
        <v>1</v>
      </c>
      <c r="AS320" s="57">
        <f t="shared" si="102"/>
        <v>0.5</v>
      </c>
    </row>
    <row r="321" spans="3:45" outlineLevel="1" x14ac:dyDescent="0.3">
      <c r="C321" s="5" t="s">
        <v>184</v>
      </c>
      <c r="D321" s="2" t="s">
        <v>1</v>
      </c>
      <c r="J321" s="63">
        <f t="shared" ref="J321:AS321" si="103">N(J316=0)</f>
        <v>0</v>
      </c>
      <c r="K321" s="63">
        <f t="shared" si="103"/>
        <v>0</v>
      </c>
      <c r="L321" s="63">
        <f t="shared" si="103"/>
        <v>0</v>
      </c>
      <c r="M321" s="63">
        <f t="shared" si="103"/>
        <v>0</v>
      </c>
      <c r="N321" s="63">
        <f t="shared" si="103"/>
        <v>0</v>
      </c>
      <c r="O321" s="63">
        <f t="shared" si="103"/>
        <v>1</v>
      </c>
      <c r="P321" s="63">
        <f t="shared" si="103"/>
        <v>0</v>
      </c>
      <c r="Q321" s="63">
        <f t="shared" si="103"/>
        <v>0</v>
      </c>
      <c r="R321" s="63">
        <f t="shared" si="103"/>
        <v>0</v>
      </c>
      <c r="S321" s="63">
        <f t="shared" si="103"/>
        <v>0</v>
      </c>
      <c r="T321" s="63">
        <f t="shared" si="103"/>
        <v>0</v>
      </c>
      <c r="U321" s="63">
        <f t="shared" si="103"/>
        <v>0</v>
      </c>
      <c r="V321" s="63">
        <f t="shared" si="103"/>
        <v>0</v>
      </c>
      <c r="W321" s="63">
        <f t="shared" si="103"/>
        <v>0</v>
      </c>
      <c r="X321" s="63">
        <f t="shared" si="103"/>
        <v>0</v>
      </c>
      <c r="Y321" s="63">
        <f t="shared" si="103"/>
        <v>0</v>
      </c>
      <c r="Z321" s="63">
        <f t="shared" si="103"/>
        <v>0</v>
      </c>
      <c r="AA321" s="63">
        <f t="shared" si="103"/>
        <v>0</v>
      </c>
      <c r="AB321" s="63">
        <f t="shared" si="103"/>
        <v>0</v>
      </c>
      <c r="AC321" s="63">
        <f t="shared" si="103"/>
        <v>0</v>
      </c>
      <c r="AD321" s="63">
        <f t="shared" si="103"/>
        <v>0</v>
      </c>
      <c r="AE321" s="63">
        <f t="shared" si="103"/>
        <v>0</v>
      </c>
      <c r="AF321" s="63">
        <f t="shared" si="103"/>
        <v>0</v>
      </c>
      <c r="AG321" s="63">
        <f t="shared" si="103"/>
        <v>0</v>
      </c>
      <c r="AH321" s="63">
        <f t="shared" si="103"/>
        <v>0</v>
      </c>
      <c r="AI321" s="63">
        <f t="shared" si="103"/>
        <v>0</v>
      </c>
      <c r="AJ321" s="63">
        <f t="shared" si="103"/>
        <v>0</v>
      </c>
      <c r="AK321" s="63">
        <f t="shared" si="103"/>
        <v>0</v>
      </c>
      <c r="AL321" s="63">
        <f t="shared" si="103"/>
        <v>0</v>
      </c>
      <c r="AM321" s="63">
        <f t="shared" si="103"/>
        <v>0</v>
      </c>
      <c r="AN321" s="63">
        <f t="shared" si="103"/>
        <v>0</v>
      </c>
      <c r="AO321" s="63">
        <f t="shared" si="103"/>
        <v>0</v>
      </c>
      <c r="AP321" s="63">
        <f t="shared" si="103"/>
        <v>0</v>
      </c>
      <c r="AQ321" s="63">
        <f t="shared" si="103"/>
        <v>0</v>
      </c>
      <c r="AR321" s="63">
        <f t="shared" si="103"/>
        <v>0</v>
      </c>
      <c r="AS321" s="63">
        <f t="shared" si="103"/>
        <v>0</v>
      </c>
    </row>
    <row r="322" spans="3:45" outlineLevel="1" x14ac:dyDescent="0.3">
      <c r="C322" s="5" t="s">
        <v>185</v>
      </c>
      <c r="D322" s="2" t="s">
        <v>78</v>
      </c>
      <c r="H322" s="44">
        <f>SUM(J322:AS322)</f>
        <v>-7628.9972602739726</v>
      </c>
      <c r="J322" s="44">
        <f t="shared" ref="J322:AS322" si="104">SUMPRODUCT((YEAR($L$203:$L$210)=J$248)*$G$203:$G$210)</f>
        <v>-657.1232876712329</v>
      </c>
      <c r="K322" s="44">
        <f t="shared" si="104"/>
        <v>-3612.0547945205481</v>
      </c>
      <c r="L322" s="44">
        <f t="shared" si="104"/>
        <v>-3359.8191780821917</v>
      </c>
      <c r="M322" s="44">
        <f t="shared" si="104"/>
        <v>0</v>
      </c>
      <c r="N322" s="44">
        <f t="shared" si="104"/>
        <v>0</v>
      </c>
      <c r="O322" s="44">
        <f t="shared" si="104"/>
        <v>0</v>
      </c>
      <c r="P322" s="44">
        <f t="shared" si="104"/>
        <v>0</v>
      </c>
      <c r="Q322" s="44">
        <f t="shared" si="104"/>
        <v>0</v>
      </c>
      <c r="R322" s="44">
        <f t="shared" si="104"/>
        <v>0</v>
      </c>
      <c r="S322" s="44">
        <f t="shared" si="104"/>
        <v>0</v>
      </c>
      <c r="T322" s="44">
        <f t="shared" si="104"/>
        <v>0</v>
      </c>
      <c r="U322" s="44">
        <f t="shared" si="104"/>
        <v>0</v>
      </c>
      <c r="V322" s="44">
        <f t="shared" si="104"/>
        <v>0</v>
      </c>
      <c r="W322" s="44">
        <f t="shared" si="104"/>
        <v>0</v>
      </c>
      <c r="X322" s="44">
        <f t="shared" si="104"/>
        <v>0</v>
      </c>
      <c r="Y322" s="44">
        <f t="shared" si="104"/>
        <v>0</v>
      </c>
      <c r="Z322" s="44">
        <f t="shared" si="104"/>
        <v>0</v>
      </c>
      <c r="AA322" s="44">
        <f t="shared" si="104"/>
        <v>0</v>
      </c>
      <c r="AB322" s="44">
        <f t="shared" si="104"/>
        <v>0</v>
      </c>
      <c r="AC322" s="44">
        <f t="shared" si="104"/>
        <v>0</v>
      </c>
      <c r="AD322" s="44">
        <f t="shared" si="104"/>
        <v>0</v>
      </c>
      <c r="AE322" s="44">
        <f t="shared" si="104"/>
        <v>0</v>
      </c>
      <c r="AF322" s="44">
        <f t="shared" si="104"/>
        <v>0</v>
      </c>
      <c r="AG322" s="44">
        <f t="shared" si="104"/>
        <v>0</v>
      </c>
      <c r="AH322" s="44">
        <f t="shared" si="104"/>
        <v>0</v>
      </c>
      <c r="AI322" s="44">
        <f t="shared" si="104"/>
        <v>0</v>
      </c>
      <c r="AJ322" s="44">
        <f t="shared" si="104"/>
        <v>0</v>
      </c>
      <c r="AK322" s="44">
        <f t="shared" si="104"/>
        <v>0</v>
      </c>
      <c r="AL322" s="44">
        <f t="shared" si="104"/>
        <v>0</v>
      </c>
      <c r="AM322" s="44">
        <f t="shared" si="104"/>
        <v>0</v>
      </c>
      <c r="AN322" s="44">
        <f t="shared" si="104"/>
        <v>0</v>
      </c>
      <c r="AO322" s="44">
        <f t="shared" si="104"/>
        <v>0</v>
      </c>
      <c r="AP322" s="44">
        <f t="shared" si="104"/>
        <v>0</v>
      </c>
      <c r="AQ322" s="44">
        <f t="shared" si="104"/>
        <v>0</v>
      </c>
      <c r="AR322" s="44">
        <f t="shared" si="104"/>
        <v>0</v>
      </c>
      <c r="AS322" s="44">
        <f t="shared" si="104"/>
        <v>0</v>
      </c>
    </row>
    <row r="323" spans="3:45" outlineLevel="1" x14ac:dyDescent="0.3">
      <c r="C323" s="5" t="s">
        <v>186</v>
      </c>
      <c r="D323" s="2" t="s">
        <v>78</v>
      </c>
      <c r="H323" s="44">
        <f>SUM(J323:AS323)</f>
        <v>2494.5205479452052</v>
      </c>
      <c r="J323" s="44">
        <f>($G$60+$G$61)*(J$248=YEAR(Inputs!$G$34))</f>
        <v>0</v>
      </c>
      <c r="K323" s="44">
        <f>($G$60+$G$61)*(K$248=YEAR(Inputs!$G$34))</f>
        <v>0</v>
      </c>
      <c r="L323" s="44">
        <f>($G$60+$G$61)*(L$248=YEAR(Inputs!$G$34))</f>
        <v>0</v>
      </c>
      <c r="M323" s="44">
        <f>($G$60+$G$61)*(M$248=YEAR(Inputs!$G$34))</f>
        <v>0</v>
      </c>
      <c r="N323" s="44">
        <f>($G$60+$G$61)*(N$248=YEAR(Inputs!$G$34))</f>
        <v>0</v>
      </c>
      <c r="O323" s="44">
        <f>($G$60+$G$61)*(O$248=YEAR(Inputs!$G$34))</f>
        <v>0</v>
      </c>
      <c r="P323" s="44">
        <f>($G$60+$G$61)*(P$248=YEAR(Inputs!$G$34))</f>
        <v>0</v>
      </c>
      <c r="Q323" s="44">
        <f>($G$60+$G$61)*(Q$248=YEAR(Inputs!$G$34))</f>
        <v>2494.5205479452052</v>
      </c>
      <c r="R323" s="44">
        <f>($G$60+$G$61)*(R$248=YEAR(Inputs!$G$34))</f>
        <v>0</v>
      </c>
      <c r="S323" s="44">
        <f>($G$60+$G$61)*(S$248=YEAR(Inputs!$G$34))</f>
        <v>0</v>
      </c>
      <c r="T323" s="44">
        <f>($G$60+$G$61)*(T$248=YEAR(Inputs!$G$34))</f>
        <v>0</v>
      </c>
      <c r="U323" s="44">
        <f>($G$60+$G$61)*(U$248=YEAR(Inputs!$G$34))</f>
        <v>0</v>
      </c>
      <c r="V323" s="44">
        <f>($G$60+$G$61)*(V$248=YEAR(Inputs!$G$34))</f>
        <v>0</v>
      </c>
      <c r="W323" s="44">
        <f>($G$60+$G$61)*(W$248=YEAR(Inputs!$G$34))</f>
        <v>0</v>
      </c>
      <c r="X323" s="44">
        <f>($G$60+$G$61)*(X$248=YEAR(Inputs!$G$34))</f>
        <v>0</v>
      </c>
      <c r="Y323" s="44">
        <f>($G$60+$G$61)*(Y$248=YEAR(Inputs!$G$34))</f>
        <v>0</v>
      </c>
      <c r="Z323" s="44">
        <f>($G$60+$G$61)*(Z$248=YEAR(Inputs!$G$34))</f>
        <v>0</v>
      </c>
      <c r="AA323" s="44">
        <f>($G$60+$G$61)*(AA$248=YEAR(Inputs!$G$34))</f>
        <v>0</v>
      </c>
      <c r="AB323" s="44">
        <f>($G$60+$G$61)*(AB$248=YEAR(Inputs!$G$34))</f>
        <v>0</v>
      </c>
      <c r="AC323" s="44">
        <f>($G$60+$G$61)*(AC$248=YEAR(Inputs!$G$34))</f>
        <v>0</v>
      </c>
      <c r="AD323" s="44">
        <f>($G$60+$G$61)*(AD$248=YEAR(Inputs!$G$34))</f>
        <v>0</v>
      </c>
      <c r="AE323" s="44">
        <f>($G$60+$G$61)*(AE$248=YEAR(Inputs!$G$34))</f>
        <v>0</v>
      </c>
      <c r="AF323" s="44">
        <f>($G$60+$G$61)*(AF$248=YEAR(Inputs!$G$34))</f>
        <v>0</v>
      </c>
      <c r="AG323" s="44">
        <f>($G$60+$G$61)*(AG$248=YEAR(Inputs!$G$34))</f>
        <v>0</v>
      </c>
      <c r="AH323" s="44">
        <f>($G$60+$G$61)*(AH$248=YEAR(Inputs!$G$34))</f>
        <v>0</v>
      </c>
      <c r="AI323" s="44">
        <f>($G$60+$G$61)*(AI$248=YEAR(Inputs!$G$34))</f>
        <v>0</v>
      </c>
      <c r="AJ323" s="44">
        <f>($G$60+$G$61)*(AJ$248=YEAR(Inputs!$G$34))</f>
        <v>0</v>
      </c>
      <c r="AK323" s="44">
        <f>($G$60+$G$61)*(AK$248=YEAR(Inputs!$G$34))</f>
        <v>0</v>
      </c>
      <c r="AL323" s="44">
        <f>($G$60+$G$61)*(AL$248=YEAR(Inputs!$G$34))</f>
        <v>0</v>
      </c>
      <c r="AM323" s="44">
        <f>($G$60+$G$61)*(AM$248=YEAR(Inputs!$G$34))</f>
        <v>0</v>
      </c>
      <c r="AN323" s="44">
        <f>($G$60+$G$61)*(AN$248=YEAR(Inputs!$G$34))</f>
        <v>0</v>
      </c>
      <c r="AO323" s="44">
        <f>($G$60+$G$61)*(AO$248=YEAR(Inputs!$G$34))</f>
        <v>0</v>
      </c>
      <c r="AP323" s="44">
        <f>($G$60+$G$61)*(AP$248=YEAR(Inputs!$G$34))</f>
        <v>0</v>
      </c>
      <c r="AQ323" s="44">
        <f>($G$60+$G$61)*(AQ$248=YEAR(Inputs!$G$34))</f>
        <v>0</v>
      </c>
      <c r="AR323" s="44">
        <f>($G$60+$G$61)*(AR$248=YEAR(Inputs!$G$34))</f>
        <v>0</v>
      </c>
      <c r="AS323" s="44">
        <f>($G$60+$G$61)*(AS$248=YEAR(Inputs!$G$34))</f>
        <v>0</v>
      </c>
    </row>
    <row r="324" spans="3:45" outlineLevel="1" x14ac:dyDescent="0.3">
      <c r="C324" s="5" t="s">
        <v>187</v>
      </c>
      <c r="D324" s="2" t="s">
        <v>78</v>
      </c>
      <c r="H324" s="44">
        <f>SUM(J324:AS324)</f>
        <v>-69992.5</v>
      </c>
      <c r="J324" s="44">
        <f t="shared" ref="J324:AS324" si="105">-$G$88*J318</f>
        <v>0</v>
      </c>
      <c r="K324" s="44">
        <f t="shared" si="105"/>
        <v>0</v>
      </c>
      <c r="L324" s="44">
        <f t="shared" si="105"/>
        <v>0</v>
      </c>
      <c r="M324" s="44">
        <f t="shared" si="105"/>
        <v>-17498.125</v>
      </c>
      <c r="N324" s="44">
        <f t="shared" si="105"/>
        <v>-34996.25</v>
      </c>
      <c r="O324" s="44">
        <f t="shared" si="105"/>
        <v>-17498.125</v>
      </c>
      <c r="P324" s="44">
        <f t="shared" si="105"/>
        <v>0</v>
      </c>
      <c r="Q324" s="44">
        <f t="shared" si="105"/>
        <v>0</v>
      </c>
      <c r="R324" s="44">
        <f t="shared" si="105"/>
        <v>0</v>
      </c>
      <c r="S324" s="44">
        <f t="shared" si="105"/>
        <v>0</v>
      </c>
      <c r="T324" s="44">
        <f t="shared" si="105"/>
        <v>0</v>
      </c>
      <c r="U324" s="44">
        <f t="shared" si="105"/>
        <v>0</v>
      </c>
      <c r="V324" s="44">
        <f t="shared" si="105"/>
        <v>0</v>
      </c>
      <c r="W324" s="44">
        <f t="shared" si="105"/>
        <v>0</v>
      </c>
      <c r="X324" s="44">
        <f t="shared" si="105"/>
        <v>0</v>
      </c>
      <c r="Y324" s="44">
        <f t="shared" si="105"/>
        <v>0</v>
      </c>
      <c r="Z324" s="44">
        <f t="shared" si="105"/>
        <v>0</v>
      </c>
      <c r="AA324" s="44">
        <f t="shared" si="105"/>
        <v>0</v>
      </c>
      <c r="AB324" s="44">
        <f t="shared" si="105"/>
        <v>0</v>
      </c>
      <c r="AC324" s="44">
        <f t="shared" si="105"/>
        <v>0</v>
      </c>
      <c r="AD324" s="44">
        <f t="shared" si="105"/>
        <v>0</v>
      </c>
      <c r="AE324" s="44">
        <f t="shared" si="105"/>
        <v>0</v>
      </c>
      <c r="AF324" s="44">
        <f t="shared" si="105"/>
        <v>0</v>
      </c>
      <c r="AG324" s="44">
        <f t="shared" si="105"/>
        <v>0</v>
      </c>
      <c r="AH324" s="44">
        <f t="shared" si="105"/>
        <v>0</v>
      </c>
      <c r="AI324" s="44">
        <f t="shared" si="105"/>
        <v>0</v>
      </c>
      <c r="AJ324" s="44">
        <f t="shared" si="105"/>
        <v>0</v>
      </c>
      <c r="AK324" s="44">
        <f t="shared" si="105"/>
        <v>0</v>
      </c>
      <c r="AL324" s="44">
        <f t="shared" si="105"/>
        <v>0</v>
      </c>
      <c r="AM324" s="44">
        <f t="shared" si="105"/>
        <v>0</v>
      </c>
      <c r="AN324" s="44">
        <f t="shared" si="105"/>
        <v>0</v>
      </c>
      <c r="AO324" s="44">
        <f t="shared" si="105"/>
        <v>0</v>
      </c>
      <c r="AP324" s="44">
        <f t="shared" si="105"/>
        <v>0</v>
      </c>
      <c r="AQ324" s="44">
        <f t="shared" si="105"/>
        <v>0</v>
      </c>
      <c r="AR324" s="44">
        <f t="shared" si="105"/>
        <v>0</v>
      </c>
      <c r="AS324" s="44">
        <f t="shared" si="105"/>
        <v>0</v>
      </c>
    </row>
    <row r="325" spans="3:45" outlineLevel="1" x14ac:dyDescent="0.3">
      <c r="C325" s="5" t="s">
        <v>188</v>
      </c>
      <c r="D325" s="2" t="s">
        <v>78</v>
      </c>
      <c r="H325" s="44">
        <f>SUM(J325:AS325)</f>
        <v>-2500</v>
      </c>
      <c r="J325" s="44">
        <f t="shared" ref="J325:AS325" si="106">-$G$90*J321</f>
        <v>0</v>
      </c>
      <c r="K325" s="44">
        <f t="shared" si="106"/>
        <v>0</v>
      </c>
      <c r="L325" s="44">
        <f t="shared" si="106"/>
        <v>0</v>
      </c>
      <c r="M325" s="44">
        <f t="shared" si="106"/>
        <v>0</v>
      </c>
      <c r="N325" s="44">
        <f t="shared" si="106"/>
        <v>0</v>
      </c>
      <c r="O325" s="44">
        <f t="shared" si="106"/>
        <v>-2500</v>
      </c>
      <c r="P325" s="44">
        <f t="shared" si="106"/>
        <v>0</v>
      </c>
      <c r="Q325" s="44">
        <f t="shared" si="106"/>
        <v>0</v>
      </c>
      <c r="R325" s="44">
        <f t="shared" si="106"/>
        <v>0</v>
      </c>
      <c r="S325" s="44">
        <f t="shared" si="106"/>
        <v>0</v>
      </c>
      <c r="T325" s="44">
        <f t="shared" si="106"/>
        <v>0</v>
      </c>
      <c r="U325" s="44">
        <f t="shared" si="106"/>
        <v>0</v>
      </c>
      <c r="V325" s="44">
        <f t="shared" si="106"/>
        <v>0</v>
      </c>
      <c r="W325" s="44">
        <f t="shared" si="106"/>
        <v>0</v>
      </c>
      <c r="X325" s="44">
        <f t="shared" si="106"/>
        <v>0</v>
      </c>
      <c r="Y325" s="44">
        <f t="shared" si="106"/>
        <v>0</v>
      </c>
      <c r="Z325" s="44">
        <f t="shared" si="106"/>
        <v>0</v>
      </c>
      <c r="AA325" s="44">
        <f t="shared" si="106"/>
        <v>0</v>
      </c>
      <c r="AB325" s="44">
        <f t="shared" si="106"/>
        <v>0</v>
      </c>
      <c r="AC325" s="44">
        <f t="shared" si="106"/>
        <v>0</v>
      </c>
      <c r="AD325" s="44">
        <f t="shared" si="106"/>
        <v>0</v>
      </c>
      <c r="AE325" s="44">
        <f t="shared" si="106"/>
        <v>0</v>
      </c>
      <c r="AF325" s="44">
        <f t="shared" si="106"/>
        <v>0</v>
      </c>
      <c r="AG325" s="44">
        <f t="shared" si="106"/>
        <v>0</v>
      </c>
      <c r="AH325" s="44">
        <f t="shared" si="106"/>
        <v>0</v>
      </c>
      <c r="AI325" s="44">
        <f t="shared" si="106"/>
        <v>0</v>
      </c>
      <c r="AJ325" s="44">
        <f t="shared" si="106"/>
        <v>0</v>
      </c>
      <c r="AK325" s="44">
        <f t="shared" si="106"/>
        <v>0</v>
      </c>
      <c r="AL325" s="44">
        <f t="shared" si="106"/>
        <v>0</v>
      </c>
      <c r="AM325" s="44">
        <f t="shared" si="106"/>
        <v>0</v>
      </c>
      <c r="AN325" s="44">
        <f t="shared" si="106"/>
        <v>0</v>
      </c>
      <c r="AO325" s="44">
        <f t="shared" si="106"/>
        <v>0</v>
      </c>
      <c r="AP325" s="44">
        <f t="shared" si="106"/>
        <v>0</v>
      </c>
      <c r="AQ325" s="44">
        <f t="shared" si="106"/>
        <v>0</v>
      </c>
      <c r="AR325" s="44">
        <f t="shared" si="106"/>
        <v>0</v>
      </c>
      <c r="AS325" s="44">
        <f t="shared" si="106"/>
        <v>0</v>
      </c>
    </row>
    <row r="326" spans="3:45" outlineLevel="1" x14ac:dyDescent="0.3">
      <c r="C326" s="1" t="s">
        <v>189</v>
      </c>
      <c r="D326" s="2" t="s">
        <v>78</v>
      </c>
      <c r="H326" s="46">
        <f>SUM(J326:AS326)</f>
        <v>-77626.97671232876</v>
      </c>
      <c r="J326" s="69">
        <f t="shared" ref="J326:AS326" si="107">SUM(J322:J325)</f>
        <v>-657.1232876712329</v>
      </c>
      <c r="K326" s="46">
        <f t="shared" si="107"/>
        <v>-3612.0547945205481</v>
      </c>
      <c r="L326" s="46">
        <f t="shared" si="107"/>
        <v>-3359.8191780821917</v>
      </c>
      <c r="M326" s="46">
        <f t="shared" si="107"/>
        <v>-17498.125</v>
      </c>
      <c r="N326" s="46">
        <f t="shared" si="107"/>
        <v>-34996.25</v>
      </c>
      <c r="O326" s="46">
        <f t="shared" si="107"/>
        <v>-19998.125</v>
      </c>
      <c r="P326" s="46">
        <f t="shared" si="107"/>
        <v>0</v>
      </c>
      <c r="Q326" s="46">
        <f t="shared" si="107"/>
        <v>2494.5205479452052</v>
      </c>
      <c r="R326" s="46">
        <f t="shared" si="107"/>
        <v>0</v>
      </c>
      <c r="S326" s="46">
        <f t="shared" si="107"/>
        <v>0</v>
      </c>
      <c r="T326" s="46">
        <f t="shared" si="107"/>
        <v>0</v>
      </c>
      <c r="U326" s="46">
        <f t="shared" si="107"/>
        <v>0</v>
      </c>
      <c r="V326" s="46">
        <f t="shared" si="107"/>
        <v>0</v>
      </c>
      <c r="W326" s="46">
        <f t="shared" si="107"/>
        <v>0</v>
      </c>
      <c r="X326" s="46">
        <f t="shared" si="107"/>
        <v>0</v>
      </c>
      <c r="Y326" s="46">
        <f t="shared" si="107"/>
        <v>0</v>
      </c>
      <c r="Z326" s="46">
        <f t="shared" si="107"/>
        <v>0</v>
      </c>
      <c r="AA326" s="46">
        <f t="shared" si="107"/>
        <v>0</v>
      </c>
      <c r="AB326" s="46">
        <f t="shared" si="107"/>
        <v>0</v>
      </c>
      <c r="AC326" s="46">
        <f t="shared" si="107"/>
        <v>0</v>
      </c>
      <c r="AD326" s="46">
        <f t="shared" si="107"/>
        <v>0</v>
      </c>
      <c r="AE326" s="46">
        <f t="shared" si="107"/>
        <v>0</v>
      </c>
      <c r="AF326" s="46">
        <f t="shared" si="107"/>
        <v>0</v>
      </c>
      <c r="AG326" s="46">
        <f t="shared" si="107"/>
        <v>0</v>
      </c>
      <c r="AH326" s="46">
        <f t="shared" si="107"/>
        <v>0</v>
      </c>
      <c r="AI326" s="46">
        <f t="shared" si="107"/>
        <v>0</v>
      </c>
      <c r="AJ326" s="46">
        <f t="shared" si="107"/>
        <v>0</v>
      </c>
      <c r="AK326" s="46">
        <f t="shared" si="107"/>
        <v>0</v>
      </c>
      <c r="AL326" s="46">
        <f t="shared" si="107"/>
        <v>0</v>
      </c>
      <c r="AM326" s="46">
        <f t="shared" si="107"/>
        <v>0</v>
      </c>
      <c r="AN326" s="46">
        <f t="shared" si="107"/>
        <v>0</v>
      </c>
      <c r="AO326" s="46">
        <f t="shared" si="107"/>
        <v>0</v>
      </c>
      <c r="AP326" s="46">
        <f t="shared" si="107"/>
        <v>0</v>
      </c>
      <c r="AQ326" s="46">
        <f t="shared" si="107"/>
        <v>0</v>
      </c>
      <c r="AR326" s="46">
        <f t="shared" si="107"/>
        <v>0</v>
      </c>
      <c r="AS326" s="46">
        <f t="shared" si="107"/>
        <v>0</v>
      </c>
    </row>
    <row r="327" spans="3:45" outlineLevel="1" x14ac:dyDescent="0.3">
      <c r="C327" s="5" t="s">
        <v>190</v>
      </c>
      <c r="D327" s="2" t="s">
        <v>2</v>
      </c>
      <c r="J327" s="64">
        <f t="shared" ref="J327:AS327" si="108">(1-Degradation)^MAX(J316-1,0)</f>
        <v>1</v>
      </c>
      <c r="K327" s="64">
        <f t="shared" si="108"/>
        <v>1</v>
      </c>
      <c r="L327" s="64">
        <f t="shared" si="108"/>
        <v>1</v>
      </c>
      <c r="M327" s="64">
        <f t="shared" si="108"/>
        <v>1</v>
      </c>
      <c r="N327" s="64">
        <f t="shared" si="108"/>
        <v>1</v>
      </c>
      <c r="O327" s="64">
        <f t="shared" si="108"/>
        <v>1</v>
      </c>
      <c r="P327" s="64">
        <f t="shared" si="108"/>
        <v>1</v>
      </c>
      <c r="Q327" s="64">
        <f t="shared" si="108"/>
        <v>0.997</v>
      </c>
      <c r="R327" s="64">
        <f t="shared" si="108"/>
        <v>0.99400900000000003</v>
      </c>
      <c r="S327" s="64">
        <f t="shared" si="108"/>
        <v>0.99102697299999998</v>
      </c>
      <c r="T327" s="64">
        <f t="shared" si="108"/>
        <v>0.98805389208100003</v>
      </c>
      <c r="U327" s="64">
        <f t="shared" si="108"/>
        <v>0.985089730404757</v>
      </c>
      <c r="V327" s="64">
        <f t="shared" si="108"/>
        <v>0.98213446121354275</v>
      </c>
      <c r="W327" s="64">
        <f t="shared" si="108"/>
        <v>0.97918805782990215</v>
      </c>
      <c r="X327" s="64">
        <f t="shared" si="108"/>
        <v>0.97625049365641248</v>
      </c>
      <c r="Y327" s="64">
        <f t="shared" si="108"/>
        <v>0.97332174217544321</v>
      </c>
      <c r="Z327" s="64">
        <f t="shared" si="108"/>
        <v>0.97040177694891694</v>
      </c>
      <c r="AA327" s="64">
        <f t="shared" si="108"/>
        <v>0.96749057161807017</v>
      </c>
      <c r="AB327" s="64">
        <f t="shared" si="108"/>
        <v>0.96458809990321592</v>
      </c>
      <c r="AC327" s="64">
        <f t="shared" si="108"/>
        <v>0.96169433560350626</v>
      </c>
      <c r="AD327" s="64">
        <f t="shared" si="108"/>
        <v>0.9588092525966958</v>
      </c>
      <c r="AE327" s="64">
        <f t="shared" si="108"/>
        <v>0.95593282483890574</v>
      </c>
      <c r="AF327" s="64">
        <f t="shared" si="108"/>
        <v>0.95306502636438906</v>
      </c>
      <c r="AG327" s="64">
        <f t="shared" si="108"/>
        <v>0.9502058312852959</v>
      </c>
      <c r="AH327" s="64">
        <f t="shared" si="108"/>
        <v>0.94735521379144005</v>
      </c>
      <c r="AI327" s="64">
        <f t="shared" si="108"/>
        <v>0.94451314815006571</v>
      </c>
      <c r="AJ327" s="64">
        <f t="shared" si="108"/>
        <v>0.94167960870561551</v>
      </c>
      <c r="AK327" s="64">
        <f t="shared" si="108"/>
        <v>0.93885456987949867</v>
      </c>
      <c r="AL327" s="64">
        <f t="shared" si="108"/>
        <v>0.93603800616986021</v>
      </c>
      <c r="AM327" s="64">
        <f t="shared" si="108"/>
        <v>0.93322989215135066</v>
      </c>
      <c r="AN327" s="64">
        <f t="shared" si="108"/>
        <v>0.93043020247489661</v>
      </c>
      <c r="AO327" s="64">
        <f t="shared" si="108"/>
        <v>0.92763891186747183</v>
      </c>
      <c r="AP327" s="64">
        <f t="shared" si="108"/>
        <v>0.92485599513186956</v>
      </c>
      <c r="AQ327" s="64">
        <f t="shared" si="108"/>
        <v>0.9220814271464739</v>
      </c>
      <c r="AR327" s="64">
        <f t="shared" si="108"/>
        <v>0.91931518286503444</v>
      </c>
      <c r="AS327" s="64">
        <f t="shared" si="108"/>
        <v>0.91655723731643934</v>
      </c>
    </row>
    <row r="328" spans="3:45" outlineLevel="1" x14ac:dyDescent="0.3">
      <c r="C328" s="5" t="s">
        <v>191</v>
      </c>
      <c r="D328" s="2" t="s">
        <v>192</v>
      </c>
      <c r="H328" s="48">
        <f>SUM(J328:AS328)</f>
        <v>4737.1098078497116</v>
      </c>
      <c r="J328" s="48">
        <f t="shared" ref="J328:AS328" si="109">$G$45*$G$21*(1-Curtailment)*(1-Clipping)*J320*J327/Thousand</f>
        <v>0</v>
      </c>
      <c r="K328" s="48">
        <f t="shared" si="109"/>
        <v>0</v>
      </c>
      <c r="L328" s="48">
        <f t="shared" si="109"/>
        <v>0</v>
      </c>
      <c r="M328" s="48">
        <f t="shared" si="109"/>
        <v>0</v>
      </c>
      <c r="N328" s="48">
        <f t="shared" si="109"/>
        <v>0</v>
      </c>
      <c r="O328" s="48">
        <f t="shared" si="109"/>
        <v>82.32</v>
      </c>
      <c r="P328" s="48">
        <f t="shared" si="109"/>
        <v>164.64</v>
      </c>
      <c r="Q328" s="48">
        <f t="shared" si="109"/>
        <v>164.14607999999998</v>
      </c>
      <c r="R328" s="48">
        <f t="shared" si="109"/>
        <v>163.65364176</v>
      </c>
      <c r="S328" s="48">
        <f t="shared" si="109"/>
        <v>163.16268083471999</v>
      </c>
      <c r="T328" s="48">
        <f t="shared" si="109"/>
        <v>162.67319279221584</v>
      </c>
      <c r="U328" s="48">
        <f t="shared" si="109"/>
        <v>162.18517321383919</v>
      </c>
      <c r="V328" s="48">
        <f t="shared" si="109"/>
        <v>161.69861769419768</v>
      </c>
      <c r="W328" s="48">
        <f t="shared" si="109"/>
        <v>161.2135218411151</v>
      </c>
      <c r="X328" s="48">
        <f t="shared" si="109"/>
        <v>160.72988127559177</v>
      </c>
      <c r="Y328" s="48">
        <f t="shared" si="109"/>
        <v>160.24769163176495</v>
      </c>
      <c r="Z328" s="48">
        <f t="shared" si="109"/>
        <v>159.76694855686969</v>
      </c>
      <c r="AA328" s="48">
        <f t="shared" si="109"/>
        <v>159.28764771119907</v>
      </c>
      <c r="AB328" s="48">
        <f t="shared" si="109"/>
        <v>158.80978476806547</v>
      </c>
      <c r="AC328" s="48">
        <f t="shared" si="109"/>
        <v>158.33335541376127</v>
      </c>
      <c r="AD328" s="48">
        <f t="shared" si="109"/>
        <v>157.85835534751999</v>
      </c>
      <c r="AE328" s="48">
        <f t="shared" si="109"/>
        <v>157.38478028147745</v>
      </c>
      <c r="AF328" s="48">
        <f t="shared" si="109"/>
        <v>156.91262594063301</v>
      </c>
      <c r="AG328" s="48">
        <f t="shared" si="109"/>
        <v>156.4418880628111</v>
      </c>
      <c r="AH328" s="48">
        <f t="shared" si="109"/>
        <v>155.9725623986227</v>
      </c>
      <c r="AI328" s="48">
        <f t="shared" si="109"/>
        <v>155.50464471142681</v>
      </c>
      <c r="AJ328" s="48">
        <f t="shared" si="109"/>
        <v>155.03813077729254</v>
      </c>
      <c r="AK328" s="48">
        <f t="shared" si="109"/>
        <v>154.57301638496065</v>
      </c>
      <c r="AL328" s="48">
        <f t="shared" si="109"/>
        <v>154.10929733580579</v>
      </c>
      <c r="AM328" s="48">
        <f t="shared" si="109"/>
        <v>153.64696944379838</v>
      </c>
      <c r="AN328" s="48">
        <f t="shared" si="109"/>
        <v>153.18602853546699</v>
      </c>
      <c r="AO328" s="48">
        <f t="shared" si="109"/>
        <v>152.72647044986056</v>
      </c>
      <c r="AP328" s="48">
        <f t="shared" si="109"/>
        <v>152.26829103851099</v>
      </c>
      <c r="AQ328" s="48">
        <f t="shared" si="109"/>
        <v>151.81148616539548</v>
      </c>
      <c r="AR328" s="48">
        <f t="shared" si="109"/>
        <v>151.35605170689928</v>
      </c>
      <c r="AS328" s="48">
        <f t="shared" si="109"/>
        <v>75.450991775889278</v>
      </c>
    </row>
    <row r="329" spans="3:45" outlineLevel="1" x14ac:dyDescent="0.3">
      <c r="C329" s="5" t="s">
        <v>193</v>
      </c>
      <c r="D329" s="2" t="s">
        <v>19</v>
      </c>
      <c r="J329" s="48">
        <f t="shared" ref="J329:AS329" si="110">Case_PPA*(1+PPA_Esc)^J316*(J320&gt;0)</f>
        <v>0</v>
      </c>
      <c r="K329" s="48">
        <f t="shared" si="110"/>
        <v>0</v>
      </c>
      <c r="L329" s="48">
        <f t="shared" si="110"/>
        <v>0</v>
      </c>
      <c r="M329" s="48">
        <f t="shared" si="110"/>
        <v>0</v>
      </c>
      <c r="N329" s="48">
        <f t="shared" si="110"/>
        <v>0</v>
      </c>
      <c r="O329" s="48">
        <f t="shared" si="110"/>
        <v>90</v>
      </c>
      <c r="P329" s="48">
        <f t="shared" si="110"/>
        <v>90.9</v>
      </c>
      <c r="Q329" s="48">
        <f t="shared" si="110"/>
        <v>91.808999999999997</v>
      </c>
      <c r="R329" s="48">
        <f t="shared" si="110"/>
        <v>92.72708999999999</v>
      </c>
      <c r="S329" s="48">
        <f t="shared" si="110"/>
        <v>93.6543609</v>
      </c>
      <c r="T329" s="48">
        <f t="shared" si="110"/>
        <v>94.590904508999998</v>
      </c>
      <c r="U329" s="48">
        <f t="shared" si="110"/>
        <v>95.536813554090017</v>
      </c>
      <c r="V329" s="48">
        <f t="shared" si="110"/>
        <v>96.492181689630883</v>
      </c>
      <c r="W329" s="48">
        <f t="shared" si="110"/>
        <v>97.457103506527218</v>
      </c>
      <c r="X329" s="48">
        <f t="shared" si="110"/>
        <v>98.4316745415925</v>
      </c>
      <c r="Y329" s="48">
        <f t="shared" si="110"/>
        <v>99.415991287008424</v>
      </c>
      <c r="Z329" s="48">
        <f t="shared" si="110"/>
        <v>100.41015119987848</v>
      </c>
      <c r="AA329" s="48">
        <f t="shared" si="110"/>
        <v>101.41425271187728</v>
      </c>
      <c r="AB329" s="48">
        <f t="shared" si="110"/>
        <v>102.42839523899606</v>
      </c>
      <c r="AC329" s="48">
        <f t="shared" si="110"/>
        <v>103.45267919138603</v>
      </c>
      <c r="AD329" s="48">
        <f t="shared" si="110"/>
        <v>104.48720598329986</v>
      </c>
      <c r="AE329" s="48">
        <f t="shared" si="110"/>
        <v>105.53207804313288</v>
      </c>
      <c r="AF329" s="48">
        <f t="shared" si="110"/>
        <v>106.58739882356423</v>
      </c>
      <c r="AG329" s="48">
        <f t="shared" si="110"/>
        <v>107.65327281179987</v>
      </c>
      <c r="AH329" s="48">
        <f t="shared" si="110"/>
        <v>108.72980553991785</v>
      </c>
      <c r="AI329" s="48">
        <f t="shared" si="110"/>
        <v>109.81710359531704</v>
      </c>
      <c r="AJ329" s="48">
        <f t="shared" si="110"/>
        <v>110.91527463127019</v>
      </c>
      <c r="AK329" s="48">
        <f t="shared" si="110"/>
        <v>112.02442737758292</v>
      </c>
      <c r="AL329" s="48">
        <f t="shared" si="110"/>
        <v>113.14467165135873</v>
      </c>
      <c r="AM329" s="48">
        <f t="shared" si="110"/>
        <v>114.27611836787234</v>
      </c>
      <c r="AN329" s="48">
        <f t="shared" si="110"/>
        <v>115.41887955155109</v>
      </c>
      <c r="AO329" s="48">
        <f t="shared" si="110"/>
        <v>116.5730683470666</v>
      </c>
      <c r="AP329" s="48">
        <f t="shared" si="110"/>
        <v>117.73879903053722</v>
      </c>
      <c r="AQ329" s="48">
        <f t="shared" si="110"/>
        <v>118.9161870208426</v>
      </c>
      <c r="AR329" s="48">
        <f t="shared" si="110"/>
        <v>120.10534889105104</v>
      </c>
      <c r="AS329" s="48">
        <f t="shared" si="110"/>
        <v>121.30640237996157</v>
      </c>
    </row>
    <row r="330" spans="3:45" outlineLevel="1" x14ac:dyDescent="0.3">
      <c r="C330" s="1" t="s">
        <v>126</v>
      </c>
      <c r="D330" s="2" t="s">
        <v>78</v>
      </c>
      <c r="H330" s="52">
        <f>SUM(J330:AS330)</f>
        <v>495700.76192161598</v>
      </c>
      <c r="J330" s="52">
        <f t="shared" ref="J330:AS330" si="111">J328*J329</f>
        <v>0</v>
      </c>
      <c r="K330" s="52">
        <f t="shared" si="111"/>
        <v>0</v>
      </c>
      <c r="L330" s="52">
        <f t="shared" si="111"/>
        <v>0</v>
      </c>
      <c r="M330" s="52">
        <f t="shared" si="111"/>
        <v>0</v>
      </c>
      <c r="N330" s="52">
        <f t="shared" si="111"/>
        <v>0</v>
      </c>
      <c r="O330" s="52">
        <f t="shared" si="111"/>
        <v>7408.7999999999993</v>
      </c>
      <c r="P330" s="52">
        <f t="shared" si="111"/>
        <v>14965.776</v>
      </c>
      <c r="Q330" s="52">
        <f t="shared" si="111"/>
        <v>15070.087458719998</v>
      </c>
      <c r="R330" s="52">
        <f t="shared" si="111"/>
        <v>15175.125968307277</v>
      </c>
      <c r="S330" s="52">
        <f t="shared" si="111"/>
        <v>15280.89659630638</v>
      </c>
      <c r="T330" s="52">
        <f t="shared" si="111"/>
        <v>15387.404445582635</v>
      </c>
      <c r="U330" s="52">
        <f t="shared" si="111"/>
        <v>15494.654654568349</v>
      </c>
      <c r="V330" s="52">
        <f t="shared" si="111"/>
        <v>15602.652397510685</v>
      </c>
      <c r="W330" s="52">
        <f t="shared" si="111"/>
        <v>15711.402884721339</v>
      </c>
      <c r="X330" s="52">
        <f t="shared" si="111"/>
        <v>15820.91136282785</v>
      </c>
      <c r="Y330" s="52">
        <f t="shared" si="111"/>
        <v>15931.183115026757</v>
      </c>
      <c r="Z330" s="52">
        <f t="shared" si="111"/>
        <v>16042.223461338494</v>
      </c>
      <c r="AA330" s="52">
        <f t="shared" si="111"/>
        <v>16154.037758864024</v>
      </c>
      <c r="AB330" s="52">
        <f t="shared" si="111"/>
        <v>16266.631402043306</v>
      </c>
      <c r="AC330" s="52">
        <f t="shared" si="111"/>
        <v>16380.009822915548</v>
      </c>
      <c r="AD330" s="52">
        <f t="shared" si="111"/>
        <v>16494.178491381266</v>
      </c>
      <c r="AE330" s="52">
        <f t="shared" si="111"/>
        <v>16609.1429154662</v>
      </c>
      <c r="AF330" s="52">
        <f t="shared" si="111"/>
        <v>16724.908641587001</v>
      </c>
      <c r="AG330" s="52">
        <f t="shared" si="111"/>
        <v>16841.48125481886</v>
      </c>
      <c r="AH330" s="52">
        <f t="shared" si="111"/>
        <v>16958.866379164949</v>
      </c>
      <c r="AI330" s="52">
        <f t="shared" si="111"/>
        <v>17077.069677827727</v>
      </c>
      <c r="AJ330" s="52">
        <f t="shared" si="111"/>
        <v>17196.096853482184</v>
      </c>
      <c r="AK330" s="52">
        <f t="shared" si="111"/>
        <v>17315.95364855096</v>
      </c>
      <c r="AL330" s="52">
        <f t="shared" si="111"/>
        <v>17436.645845481358</v>
      </c>
      <c r="AM330" s="52">
        <f t="shared" si="111"/>
        <v>17558.17926702437</v>
      </c>
      <c r="AN330" s="52">
        <f t="shared" si="111"/>
        <v>17680.559776515533</v>
      </c>
      <c r="AO330" s="52">
        <f t="shared" si="111"/>
        <v>17803.793278157842</v>
      </c>
      <c r="AP330" s="52">
        <f t="shared" si="111"/>
        <v>17927.885717306599</v>
      </c>
      <c r="AQ330" s="52">
        <f t="shared" si="111"/>
        <v>18052.843080756229</v>
      </c>
      <c r="AR330" s="52">
        <f t="shared" si="111"/>
        <v>18178.671397029098</v>
      </c>
      <c r="AS330" s="52">
        <f t="shared" si="111"/>
        <v>9152.6883683331962</v>
      </c>
    </row>
    <row r="331" spans="3:45" outlineLevel="1" x14ac:dyDescent="0.3">
      <c r="C331" s="5" t="s">
        <v>194</v>
      </c>
      <c r="D331" s="2" t="s">
        <v>2</v>
      </c>
      <c r="J331" s="64">
        <f t="shared" ref="J331:AS331" si="112">(1+Opex_Esc)^J316</f>
        <v>0.88385428760951712</v>
      </c>
      <c r="K331" s="64">
        <f t="shared" si="112"/>
        <v>0.90595064479975507</v>
      </c>
      <c r="L331" s="64">
        <f t="shared" si="112"/>
        <v>0.92859941091974885</v>
      </c>
      <c r="M331" s="64">
        <f t="shared" si="112"/>
        <v>0.95181439619274244</v>
      </c>
      <c r="N331" s="64">
        <f t="shared" si="112"/>
        <v>0.97560975609756106</v>
      </c>
      <c r="O331" s="64">
        <f t="shared" si="112"/>
        <v>1</v>
      </c>
      <c r="P331" s="64">
        <f t="shared" si="112"/>
        <v>1.0249999999999999</v>
      </c>
      <c r="Q331" s="64">
        <f t="shared" si="112"/>
        <v>1.0506249999999999</v>
      </c>
      <c r="R331" s="64">
        <f t="shared" si="112"/>
        <v>1.0768906249999999</v>
      </c>
      <c r="S331" s="64">
        <f t="shared" si="112"/>
        <v>1.1038128906249998</v>
      </c>
      <c r="T331" s="64">
        <f t="shared" si="112"/>
        <v>1.1314082128906247</v>
      </c>
      <c r="U331" s="64">
        <f t="shared" si="112"/>
        <v>1.1596934182128902</v>
      </c>
      <c r="V331" s="64">
        <f t="shared" si="112"/>
        <v>1.1886857536682125</v>
      </c>
      <c r="W331" s="64">
        <f t="shared" si="112"/>
        <v>1.2184028975099177</v>
      </c>
      <c r="X331" s="64">
        <f t="shared" si="112"/>
        <v>1.2488629699476654</v>
      </c>
      <c r="Y331" s="64">
        <f t="shared" si="112"/>
        <v>1.2800845441963571</v>
      </c>
      <c r="Z331" s="64">
        <f t="shared" si="112"/>
        <v>1.312086657801266</v>
      </c>
      <c r="AA331" s="64">
        <f t="shared" si="112"/>
        <v>1.3448888242462975</v>
      </c>
      <c r="AB331" s="64">
        <f t="shared" si="112"/>
        <v>1.3785110448524549</v>
      </c>
      <c r="AC331" s="64">
        <f t="shared" si="112"/>
        <v>1.4129738209737661</v>
      </c>
      <c r="AD331" s="64">
        <f t="shared" si="112"/>
        <v>1.4482981664981105</v>
      </c>
      <c r="AE331" s="64">
        <f t="shared" si="112"/>
        <v>1.4845056206605631</v>
      </c>
      <c r="AF331" s="64">
        <f t="shared" si="112"/>
        <v>1.521618261177077</v>
      </c>
      <c r="AG331" s="64">
        <f t="shared" si="112"/>
        <v>1.559658717706504</v>
      </c>
      <c r="AH331" s="64">
        <f t="shared" si="112"/>
        <v>1.5986501856491666</v>
      </c>
      <c r="AI331" s="64">
        <f t="shared" si="112"/>
        <v>1.6386164402903955</v>
      </c>
      <c r="AJ331" s="64">
        <f t="shared" si="112"/>
        <v>1.6795818512976552</v>
      </c>
      <c r="AK331" s="64">
        <f t="shared" si="112"/>
        <v>1.7215713975800966</v>
      </c>
      <c r="AL331" s="64">
        <f t="shared" si="112"/>
        <v>1.7646106825195991</v>
      </c>
      <c r="AM331" s="64">
        <f t="shared" si="112"/>
        <v>1.8087259495825889</v>
      </c>
      <c r="AN331" s="64">
        <f t="shared" si="112"/>
        <v>1.8539440983221533</v>
      </c>
      <c r="AO331" s="64">
        <f t="shared" si="112"/>
        <v>1.9002927007802071</v>
      </c>
      <c r="AP331" s="64">
        <f t="shared" si="112"/>
        <v>1.9478000182997122</v>
      </c>
      <c r="AQ331" s="64">
        <f t="shared" si="112"/>
        <v>1.9964950187572048</v>
      </c>
      <c r="AR331" s="64">
        <f t="shared" si="112"/>
        <v>2.0464073942261352</v>
      </c>
      <c r="AS331" s="64">
        <f t="shared" si="112"/>
        <v>2.097567579081788</v>
      </c>
    </row>
    <row r="332" spans="3:45" outlineLevel="1" x14ac:dyDescent="0.3">
      <c r="C332" s="5" t="s">
        <v>195</v>
      </c>
      <c r="D332" s="2" t="s">
        <v>78</v>
      </c>
      <c r="H332" s="44">
        <f t="shared" ref="H332:H341" si="113">SUM(J332:AS332)</f>
        <v>-77790.102167421894</v>
      </c>
      <c r="J332" s="44">
        <f t="shared" ref="J332:AS332" si="114">-(Case_OM+SUM(Opex_Per_MW))*$G$45*J331*J320</f>
        <v>0</v>
      </c>
      <c r="K332" s="44">
        <f t="shared" si="114"/>
        <v>0</v>
      </c>
      <c r="L332" s="44">
        <f t="shared" si="114"/>
        <v>0</v>
      </c>
      <c r="M332" s="44">
        <f t="shared" si="114"/>
        <v>0</v>
      </c>
      <c r="N332" s="44">
        <f t="shared" si="114"/>
        <v>0</v>
      </c>
      <c r="O332" s="44">
        <f t="shared" si="114"/>
        <v>-875</v>
      </c>
      <c r="P332" s="44">
        <f t="shared" si="114"/>
        <v>-1793.7499999999998</v>
      </c>
      <c r="Q332" s="44">
        <f t="shared" si="114"/>
        <v>-1838.5937499999998</v>
      </c>
      <c r="R332" s="44">
        <f t="shared" si="114"/>
        <v>-1884.5585937499998</v>
      </c>
      <c r="S332" s="44">
        <f t="shared" si="114"/>
        <v>-1931.6725585937495</v>
      </c>
      <c r="T332" s="44">
        <f t="shared" si="114"/>
        <v>-1979.9643725585931</v>
      </c>
      <c r="U332" s="44">
        <f t="shared" si="114"/>
        <v>-2029.4634818725578</v>
      </c>
      <c r="V332" s="44">
        <f t="shared" si="114"/>
        <v>-2080.2000689193719</v>
      </c>
      <c r="W332" s="44">
        <f t="shared" si="114"/>
        <v>-2132.2050706423561</v>
      </c>
      <c r="X332" s="44">
        <f t="shared" si="114"/>
        <v>-2185.5101974084146</v>
      </c>
      <c r="Y332" s="44">
        <f t="shared" si="114"/>
        <v>-2240.1479523436251</v>
      </c>
      <c r="Z332" s="44">
        <f t="shared" si="114"/>
        <v>-2296.1516511522154</v>
      </c>
      <c r="AA332" s="44">
        <f t="shared" si="114"/>
        <v>-2353.5554424310208</v>
      </c>
      <c r="AB332" s="44">
        <f t="shared" si="114"/>
        <v>-2412.3943284917959</v>
      </c>
      <c r="AC332" s="44">
        <f t="shared" si="114"/>
        <v>-2472.7041867040907</v>
      </c>
      <c r="AD332" s="44">
        <f t="shared" si="114"/>
        <v>-2534.5217913716933</v>
      </c>
      <c r="AE332" s="44">
        <f t="shared" si="114"/>
        <v>-2597.8848361559853</v>
      </c>
      <c r="AF332" s="44">
        <f t="shared" si="114"/>
        <v>-2662.8319570598846</v>
      </c>
      <c r="AG332" s="44">
        <f t="shared" si="114"/>
        <v>-2729.4027559863821</v>
      </c>
      <c r="AH332" s="44">
        <f t="shared" si="114"/>
        <v>-2797.6378248860415</v>
      </c>
      <c r="AI332" s="44">
        <f t="shared" si="114"/>
        <v>-2867.5787705081921</v>
      </c>
      <c r="AJ332" s="44">
        <f t="shared" si="114"/>
        <v>-2939.2682397708968</v>
      </c>
      <c r="AK332" s="44">
        <f t="shared" si="114"/>
        <v>-3012.7499457651688</v>
      </c>
      <c r="AL332" s="44">
        <f t="shared" si="114"/>
        <v>-3088.0686944092986</v>
      </c>
      <c r="AM332" s="44">
        <f t="shared" si="114"/>
        <v>-3165.2704117695307</v>
      </c>
      <c r="AN332" s="44">
        <f t="shared" si="114"/>
        <v>-3244.4021720637684</v>
      </c>
      <c r="AO332" s="44">
        <f t="shared" si="114"/>
        <v>-3325.5122263653625</v>
      </c>
      <c r="AP332" s="44">
        <f t="shared" si="114"/>
        <v>-3408.6500320244963</v>
      </c>
      <c r="AQ332" s="44">
        <f t="shared" si="114"/>
        <v>-3493.8662828251086</v>
      </c>
      <c r="AR332" s="44">
        <f t="shared" si="114"/>
        <v>-3581.2129398957363</v>
      </c>
      <c r="AS332" s="44">
        <f t="shared" si="114"/>
        <v>-1835.3716316965645</v>
      </c>
    </row>
    <row r="333" spans="3:45" outlineLevel="1" x14ac:dyDescent="0.3">
      <c r="C333" s="5" t="s">
        <v>196</v>
      </c>
      <c r="D333" s="2" t="s">
        <v>78</v>
      </c>
      <c r="H333" s="44">
        <f t="shared" si="113"/>
        <v>-1666.9307607304695</v>
      </c>
      <c r="J333" s="44">
        <f t="shared" ref="J333:AS333" si="115">-Opex_Admin*$G$6/Lump_Basis*J331*J320</f>
        <v>0</v>
      </c>
      <c r="K333" s="44">
        <f t="shared" si="115"/>
        <v>0</v>
      </c>
      <c r="L333" s="44">
        <f t="shared" si="115"/>
        <v>0</v>
      </c>
      <c r="M333" s="44">
        <f t="shared" si="115"/>
        <v>0</v>
      </c>
      <c r="N333" s="44">
        <f t="shared" si="115"/>
        <v>0</v>
      </c>
      <c r="O333" s="44">
        <f t="shared" si="115"/>
        <v>-18.75</v>
      </c>
      <c r="P333" s="44">
        <f t="shared" si="115"/>
        <v>-38.4375</v>
      </c>
      <c r="Q333" s="44">
        <f t="shared" si="115"/>
        <v>-39.3984375</v>
      </c>
      <c r="R333" s="44">
        <f t="shared" si="115"/>
        <v>-40.383398437499999</v>
      </c>
      <c r="S333" s="44">
        <f t="shared" si="115"/>
        <v>-41.392983398437494</v>
      </c>
      <c r="T333" s="44">
        <f t="shared" si="115"/>
        <v>-42.427807983398424</v>
      </c>
      <c r="U333" s="44">
        <f t="shared" si="115"/>
        <v>-43.488503182983379</v>
      </c>
      <c r="V333" s="44">
        <f t="shared" si="115"/>
        <v>-44.575715762557969</v>
      </c>
      <c r="W333" s="44">
        <f t="shared" si="115"/>
        <v>-45.690108656621916</v>
      </c>
      <c r="X333" s="44">
        <f t="shared" si="115"/>
        <v>-46.83236137303745</v>
      </c>
      <c r="Y333" s="44">
        <f t="shared" si="115"/>
        <v>-48.003170407363392</v>
      </c>
      <c r="Z333" s="44">
        <f t="shared" si="115"/>
        <v>-49.203249667547475</v>
      </c>
      <c r="AA333" s="44">
        <f t="shared" si="115"/>
        <v>-50.433330909236155</v>
      </c>
      <c r="AB333" s="44">
        <f t="shared" si="115"/>
        <v>-51.694164181967061</v>
      </c>
      <c r="AC333" s="44">
        <f t="shared" si="115"/>
        <v>-52.98651828651623</v>
      </c>
      <c r="AD333" s="44">
        <f t="shared" si="115"/>
        <v>-54.311181243679144</v>
      </c>
      <c r="AE333" s="44">
        <f t="shared" si="115"/>
        <v>-55.668960774771115</v>
      </c>
      <c r="AF333" s="44">
        <f t="shared" si="115"/>
        <v>-57.060684794140386</v>
      </c>
      <c r="AG333" s="44">
        <f t="shared" si="115"/>
        <v>-58.4872019139939</v>
      </c>
      <c r="AH333" s="44">
        <f t="shared" si="115"/>
        <v>-59.949381961843748</v>
      </c>
      <c r="AI333" s="44">
        <f t="shared" si="115"/>
        <v>-61.448116510889832</v>
      </c>
      <c r="AJ333" s="44">
        <f t="shared" si="115"/>
        <v>-62.984319423662072</v>
      </c>
      <c r="AK333" s="44">
        <f t="shared" si="115"/>
        <v>-64.558927409253627</v>
      </c>
      <c r="AL333" s="44">
        <f t="shared" si="115"/>
        <v>-66.172900594484972</v>
      </c>
      <c r="AM333" s="44">
        <f t="shared" si="115"/>
        <v>-67.827223109347088</v>
      </c>
      <c r="AN333" s="44">
        <f t="shared" si="115"/>
        <v>-69.522903687080756</v>
      </c>
      <c r="AO333" s="44">
        <f t="shared" si="115"/>
        <v>-71.260976279257761</v>
      </c>
      <c r="AP333" s="44">
        <f t="shared" si="115"/>
        <v>-73.042500686239208</v>
      </c>
      <c r="AQ333" s="44">
        <f t="shared" si="115"/>
        <v>-74.868563203395183</v>
      </c>
      <c r="AR333" s="44">
        <f t="shared" si="115"/>
        <v>-76.740277283480069</v>
      </c>
      <c r="AS333" s="44">
        <f t="shared" si="115"/>
        <v>-39.329392107783526</v>
      </c>
    </row>
    <row r="334" spans="3:45" outlineLevel="1" x14ac:dyDescent="0.3">
      <c r="C334" s="5" t="s">
        <v>197</v>
      </c>
      <c r="D334" s="2" t="s">
        <v>78</v>
      </c>
      <c r="H334" s="44">
        <f t="shared" si="113"/>
        <v>-34902.144296983628</v>
      </c>
      <c r="J334" s="44">
        <f t="shared" ref="J334:AS334" si="116">-J328*(Balancing+Grid_Charges)*J331</f>
        <v>0</v>
      </c>
      <c r="K334" s="44">
        <f t="shared" si="116"/>
        <v>0</v>
      </c>
      <c r="L334" s="44">
        <f t="shared" si="116"/>
        <v>0</v>
      </c>
      <c r="M334" s="44">
        <f t="shared" si="116"/>
        <v>0</v>
      </c>
      <c r="N334" s="44">
        <f t="shared" si="116"/>
        <v>0</v>
      </c>
      <c r="O334" s="44">
        <f t="shared" si="116"/>
        <v>-411.59999999999997</v>
      </c>
      <c r="P334" s="44">
        <f t="shared" si="116"/>
        <v>-843.77999999999986</v>
      </c>
      <c r="Q334" s="44">
        <f t="shared" si="116"/>
        <v>-862.27987649999989</v>
      </c>
      <c r="R334" s="44">
        <f t="shared" si="116"/>
        <v>-881.18536279226248</v>
      </c>
      <c r="S334" s="44">
        <f t="shared" si="116"/>
        <v>-900.50535187148273</v>
      </c>
      <c r="T334" s="44">
        <f t="shared" si="116"/>
        <v>-920.24893171126485</v>
      </c>
      <c r="U334" s="44">
        <f t="shared" si="116"/>
        <v>-940.42538953903431</v>
      </c>
      <c r="V334" s="44">
        <f t="shared" si="116"/>
        <v>-961.04421620467758</v>
      </c>
      <c r="W334" s="44">
        <f t="shared" si="116"/>
        <v>-982.11511064496528</v>
      </c>
      <c r="X334" s="44">
        <f t="shared" si="116"/>
        <v>-1003.647984445856</v>
      </c>
      <c r="Y334" s="44">
        <f t="shared" si="116"/>
        <v>-1025.6529665048311</v>
      </c>
      <c r="Z334" s="44">
        <f t="shared" si="116"/>
        <v>-1048.1404077954498</v>
      </c>
      <c r="AA334" s="44">
        <f t="shared" si="116"/>
        <v>-1071.1208862363649</v>
      </c>
      <c r="AB334" s="44">
        <f t="shared" si="116"/>
        <v>-1094.6052116670971</v>
      </c>
      <c r="AC334" s="44">
        <f t="shared" si="116"/>
        <v>-1118.6044309328979</v>
      </c>
      <c r="AD334" s="44">
        <f t="shared" si="116"/>
        <v>-1143.1298330811021</v>
      </c>
      <c r="AE334" s="44">
        <f t="shared" si="116"/>
        <v>-1168.1929546714052</v>
      </c>
      <c r="AF334" s="44">
        <f t="shared" si="116"/>
        <v>-1193.8055852025755</v>
      </c>
      <c r="AG334" s="44">
        <f t="shared" si="116"/>
        <v>-1219.9797726581421</v>
      </c>
      <c r="AH334" s="44">
        <f t="shared" si="116"/>
        <v>-1246.727829173672</v>
      </c>
      <c r="AI334" s="44">
        <f t="shared" si="116"/>
        <v>-1274.0623368283045</v>
      </c>
      <c r="AJ334" s="44">
        <f t="shared" si="116"/>
        <v>-1301.9961535632649</v>
      </c>
      <c r="AK334" s="44">
        <f t="shared" si="116"/>
        <v>-1330.5424192301393</v>
      </c>
      <c r="AL334" s="44">
        <f t="shared" si="116"/>
        <v>-1359.7145617717604</v>
      </c>
      <c r="AM334" s="44">
        <f t="shared" si="116"/>
        <v>-1389.5263035386063</v>
      </c>
      <c r="AN334" s="44">
        <f t="shared" si="116"/>
        <v>-1419.99166774369</v>
      </c>
      <c r="AO334" s="44">
        <f t="shared" si="116"/>
        <v>-1451.12498505897</v>
      </c>
      <c r="AP334" s="44">
        <f t="shared" si="116"/>
        <v>-1482.9409003563883</v>
      </c>
      <c r="AQ334" s="44">
        <f t="shared" si="116"/>
        <v>-1515.454379596702</v>
      </c>
      <c r="AR334" s="44">
        <f t="shared" si="116"/>
        <v>-1548.6807168693597</v>
      </c>
      <c r="AS334" s="44">
        <f t="shared" si="116"/>
        <v>-791.31777079335984</v>
      </c>
    </row>
    <row r="335" spans="3:45" outlineLevel="1" x14ac:dyDescent="0.3">
      <c r="C335" s="5" t="s">
        <v>198</v>
      </c>
      <c r="D335" s="2" t="s">
        <v>78</v>
      </c>
      <c r="H335" s="44">
        <f t="shared" si="113"/>
        <v>-495.70076192161599</v>
      </c>
      <c r="J335" s="44">
        <f t="shared" ref="J335:AS335" si="117">-J330*MEKH_Fee</f>
        <v>0</v>
      </c>
      <c r="K335" s="44">
        <f t="shared" si="117"/>
        <v>0</v>
      </c>
      <c r="L335" s="44">
        <f t="shared" si="117"/>
        <v>0</v>
      </c>
      <c r="M335" s="44">
        <f t="shared" si="117"/>
        <v>0</v>
      </c>
      <c r="N335" s="44">
        <f t="shared" si="117"/>
        <v>0</v>
      </c>
      <c r="O335" s="44">
        <f t="shared" si="117"/>
        <v>-7.4087999999999994</v>
      </c>
      <c r="P335" s="44">
        <f t="shared" si="117"/>
        <v>-14.965776</v>
      </c>
      <c r="Q335" s="44">
        <f t="shared" si="117"/>
        <v>-15.070087458719998</v>
      </c>
      <c r="R335" s="44">
        <f t="shared" si="117"/>
        <v>-15.175125968307277</v>
      </c>
      <c r="S335" s="44">
        <f t="shared" si="117"/>
        <v>-15.280896596306381</v>
      </c>
      <c r="T335" s="44">
        <f t="shared" si="117"/>
        <v>-15.387404445582636</v>
      </c>
      <c r="U335" s="44">
        <f t="shared" si="117"/>
        <v>-15.494654654568349</v>
      </c>
      <c r="V335" s="44">
        <f t="shared" si="117"/>
        <v>-15.602652397510685</v>
      </c>
      <c r="W335" s="44">
        <f t="shared" si="117"/>
        <v>-15.711402884721339</v>
      </c>
      <c r="X335" s="44">
        <f t="shared" si="117"/>
        <v>-15.82091136282785</v>
      </c>
      <c r="Y335" s="44">
        <f t="shared" si="117"/>
        <v>-15.931183115026757</v>
      </c>
      <c r="Z335" s="44">
        <f t="shared" si="117"/>
        <v>-16.042223461338494</v>
      </c>
      <c r="AA335" s="44">
        <f t="shared" si="117"/>
        <v>-16.154037758864025</v>
      </c>
      <c r="AB335" s="44">
        <f t="shared" si="117"/>
        <v>-16.266631402043306</v>
      </c>
      <c r="AC335" s="44">
        <f t="shared" si="117"/>
        <v>-16.38000982291555</v>
      </c>
      <c r="AD335" s="44">
        <f t="shared" si="117"/>
        <v>-16.494178491381266</v>
      </c>
      <c r="AE335" s="44">
        <f t="shared" si="117"/>
        <v>-16.609142915466201</v>
      </c>
      <c r="AF335" s="44">
        <f t="shared" si="117"/>
        <v>-16.724908641587</v>
      </c>
      <c r="AG335" s="44">
        <f t="shared" si="117"/>
        <v>-16.841481254818859</v>
      </c>
      <c r="AH335" s="44">
        <f t="shared" si="117"/>
        <v>-16.958866379164949</v>
      </c>
      <c r="AI335" s="44">
        <f t="shared" si="117"/>
        <v>-17.077069677827726</v>
      </c>
      <c r="AJ335" s="44">
        <f t="shared" si="117"/>
        <v>-17.196096853482185</v>
      </c>
      <c r="AK335" s="44">
        <f t="shared" si="117"/>
        <v>-17.315953648550959</v>
      </c>
      <c r="AL335" s="44">
        <f t="shared" si="117"/>
        <v>-17.436645845481358</v>
      </c>
      <c r="AM335" s="44">
        <f t="shared" si="117"/>
        <v>-17.558179267024371</v>
      </c>
      <c r="AN335" s="44">
        <f t="shared" si="117"/>
        <v>-17.680559776515533</v>
      </c>
      <c r="AO335" s="44">
        <f t="shared" si="117"/>
        <v>-17.803793278157844</v>
      </c>
      <c r="AP335" s="44">
        <f t="shared" si="117"/>
        <v>-17.927885717306598</v>
      </c>
      <c r="AQ335" s="44">
        <f t="shared" si="117"/>
        <v>-18.052843080756229</v>
      </c>
      <c r="AR335" s="44">
        <f t="shared" si="117"/>
        <v>-18.178671397029099</v>
      </c>
      <c r="AS335" s="44">
        <f t="shared" si="117"/>
        <v>-9.1526883683331963</v>
      </c>
    </row>
    <row r="336" spans="3:45" outlineLevel="1" x14ac:dyDescent="0.3">
      <c r="C336" s="5" t="s">
        <v>199</v>
      </c>
      <c r="D336" s="2" t="s">
        <v>78</v>
      </c>
      <c r="H336" s="44">
        <f t="shared" si="113"/>
        <v>-5742.7438993528804</v>
      </c>
      <c r="J336" s="44">
        <f t="shared" ref="J336:AS336" si="118">SUM(J332:J335)*Opex_Cont</f>
        <v>0</v>
      </c>
      <c r="K336" s="44">
        <f t="shared" si="118"/>
        <v>0</v>
      </c>
      <c r="L336" s="44">
        <f t="shared" si="118"/>
        <v>0</v>
      </c>
      <c r="M336" s="44">
        <f t="shared" si="118"/>
        <v>0</v>
      </c>
      <c r="N336" s="44">
        <f t="shared" si="118"/>
        <v>0</v>
      </c>
      <c r="O336" s="44">
        <f t="shared" si="118"/>
        <v>-65.63794</v>
      </c>
      <c r="P336" s="44">
        <f t="shared" si="118"/>
        <v>-134.5466638</v>
      </c>
      <c r="Q336" s="44">
        <f t="shared" si="118"/>
        <v>-137.767107572936</v>
      </c>
      <c r="R336" s="44">
        <f t="shared" si="118"/>
        <v>-141.06512404740349</v>
      </c>
      <c r="S336" s="44">
        <f t="shared" si="118"/>
        <v>-144.44258952299882</v>
      </c>
      <c r="T336" s="44">
        <f t="shared" si="118"/>
        <v>-147.90142583494193</v>
      </c>
      <c r="U336" s="44">
        <f t="shared" si="118"/>
        <v>-151.4436014624572</v>
      </c>
      <c r="V336" s="44">
        <f t="shared" si="118"/>
        <v>-155.07113266420592</v>
      </c>
      <c r="W336" s="44">
        <f t="shared" si="118"/>
        <v>-158.78608464143323</v>
      </c>
      <c r="X336" s="44">
        <f t="shared" si="118"/>
        <v>-162.59057272950679</v>
      </c>
      <c r="Y336" s="44">
        <f t="shared" si="118"/>
        <v>-166.48676361854234</v>
      </c>
      <c r="Z336" s="44">
        <f t="shared" si="118"/>
        <v>-170.47687660382758</v>
      </c>
      <c r="AA336" s="44">
        <f t="shared" si="118"/>
        <v>-174.56318486677432</v>
      </c>
      <c r="AB336" s="44">
        <f t="shared" si="118"/>
        <v>-178.74801678714519</v>
      </c>
      <c r="AC336" s="44">
        <f t="shared" si="118"/>
        <v>-183.03375728732101</v>
      </c>
      <c r="AD336" s="44">
        <f t="shared" si="118"/>
        <v>-187.42284920939281</v>
      </c>
      <c r="AE336" s="44">
        <f t="shared" si="118"/>
        <v>-191.91779472588141</v>
      </c>
      <c r="AF336" s="44">
        <f t="shared" si="118"/>
        <v>-196.52115678490938</v>
      </c>
      <c r="AG336" s="44">
        <f t="shared" si="118"/>
        <v>-201.23556059066686</v>
      </c>
      <c r="AH336" s="44">
        <f t="shared" si="118"/>
        <v>-206.06369512003607</v>
      </c>
      <c r="AI336" s="44">
        <f t="shared" si="118"/>
        <v>-211.00831467626074</v>
      </c>
      <c r="AJ336" s="44">
        <f t="shared" si="118"/>
        <v>-216.07224048056528</v>
      </c>
      <c r="AK336" s="44">
        <f t="shared" si="118"/>
        <v>-221.25836230265566</v>
      </c>
      <c r="AL336" s="44">
        <f t="shared" si="118"/>
        <v>-226.56964013105127</v>
      </c>
      <c r="AM336" s="44">
        <f t="shared" si="118"/>
        <v>-232.00910588422545</v>
      </c>
      <c r="AN336" s="44">
        <f t="shared" si="118"/>
        <v>-237.57986516355274</v>
      </c>
      <c r="AO336" s="44">
        <f t="shared" si="118"/>
        <v>-243.28509904908742</v>
      </c>
      <c r="AP336" s="44">
        <f t="shared" si="118"/>
        <v>-249.12806593922153</v>
      </c>
      <c r="AQ336" s="44">
        <f t="shared" si="118"/>
        <v>-255.11210343529811</v>
      </c>
      <c r="AR336" s="44">
        <f t="shared" si="118"/>
        <v>-261.24063027228027</v>
      </c>
      <c r="AS336" s="44">
        <f t="shared" si="118"/>
        <v>-133.75857414830205</v>
      </c>
    </row>
    <row r="337" spans="2:45" outlineLevel="1" x14ac:dyDescent="0.3">
      <c r="C337" s="5" t="s">
        <v>200</v>
      </c>
      <c r="D337" s="2" t="s">
        <v>78</v>
      </c>
      <c r="H337" s="44">
        <f t="shared" si="113"/>
        <v>-14211.329423549134</v>
      </c>
      <c r="J337" s="44">
        <f t="shared" ref="J337:AS337" si="119">-J328*$G$12</f>
        <v>0</v>
      </c>
      <c r="K337" s="44">
        <f t="shared" si="119"/>
        <v>0</v>
      </c>
      <c r="L337" s="44">
        <f t="shared" si="119"/>
        <v>0</v>
      </c>
      <c r="M337" s="44">
        <f t="shared" si="119"/>
        <v>0</v>
      </c>
      <c r="N337" s="44">
        <f t="shared" si="119"/>
        <v>0</v>
      </c>
      <c r="O337" s="44">
        <f t="shared" si="119"/>
        <v>-246.95999999999998</v>
      </c>
      <c r="P337" s="44">
        <f t="shared" si="119"/>
        <v>-493.91999999999996</v>
      </c>
      <c r="Q337" s="44">
        <f t="shared" si="119"/>
        <v>-492.43823999999995</v>
      </c>
      <c r="R337" s="44">
        <f t="shared" si="119"/>
        <v>-490.96092527999997</v>
      </c>
      <c r="S337" s="44">
        <f t="shared" si="119"/>
        <v>-489.48804250415998</v>
      </c>
      <c r="T337" s="44">
        <f t="shared" si="119"/>
        <v>-488.01957837664753</v>
      </c>
      <c r="U337" s="44">
        <f t="shared" si="119"/>
        <v>-486.55551964151755</v>
      </c>
      <c r="V337" s="44">
        <f t="shared" si="119"/>
        <v>-485.09585308259307</v>
      </c>
      <c r="W337" s="44">
        <f t="shared" si="119"/>
        <v>-483.64056552334529</v>
      </c>
      <c r="X337" s="44">
        <f t="shared" si="119"/>
        <v>-482.1896438267753</v>
      </c>
      <c r="Y337" s="44">
        <f t="shared" si="119"/>
        <v>-480.74307489529485</v>
      </c>
      <c r="Z337" s="44">
        <f t="shared" si="119"/>
        <v>-479.30084567060908</v>
      </c>
      <c r="AA337" s="44">
        <f t="shared" si="119"/>
        <v>-477.86294313359724</v>
      </c>
      <c r="AB337" s="44">
        <f t="shared" si="119"/>
        <v>-476.42935430419641</v>
      </c>
      <c r="AC337" s="44">
        <f t="shared" si="119"/>
        <v>-475.00006624128378</v>
      </c>
      <c r="AD337" s="44">
        <f t="shared" si="119"/>
        <v>-473.57506604255997</v>
      </c>
      <c r="AE337" s="44">
        <f t="shared" si="119"/>
        <v>-472.15434084443234</v>
      </c>
      <c r="AF337" s="44">
        <f t="shared" si="119"/>
        <v>-470.73787782189902</v>
      </c>
      <c r="AG337" s="44">
        <f t="shared" si="119"/>
        <v>-469.32566418843328</v>
      </c>
      <c r="AH337" s="44">
        <f t="shared" si="119"/>
        <v>-467.9176871958681</v>
      </c>
      <c r="AI337" s="44">
        <f t="shared" si="119"/>
        <v>-466.51393413428042</v>
      </c>
      <c r="AJ337" s="44">
        <f t="shared" si="119"/>
        <v>-465.11439233187764</v>
      </c>
      <c r="AK337" s="44">
        <f t="shared" si="119"/>
        <v>-463.71904915488199</v>
      </c>
      <c r="AL337" s="44">
        <f t="shared" si="119"/>
        <v>-462.3278920074174</v>
      </c>
      <c r="AM337" s="44">
        <f t="shared" si="119"/>
        <v>-460.94090833139512</v>
      </c>
      <c r="AN337" s="44">
        <f t="shared" si="119"/>
        <v>-459.55808560640094</v>
      </c>
      <c r="AO337" s="44">
        <f t="shared" si="119"/>
        <v>-458.17941134958164</v>
      </c>
      <c r="AP337" s="44">
        <f t="shared" si="119"/>
        <v>-456.80487311553298</v>
      </c>
      <c r="AQ337" s="44">
        <f t="shared" si="119"/>
        <v>-455.43445849618644</v>
      </c>
      <c r="AR337" s="44">
        <f t="shared" si="119"/>
        <v>-454.06815512069784</v>
      </c>
      <c r="AS337" s="44">
        <f t="shared" si="119"/>
        <v>-226.35297532766782</v>
      </c>
    </row>
    <row r="338" spans="2:45" outlineLevel="1" x14ac:dyDescent="0.3">
      <c r="C338" s="5" t="s">
        <v>201</v>
      </c>
      <c r="D338" s="2" t="s">
        <v>78</v>
      </c>
      <c r="H338" s="44">
        <f t="shared" si="113"/>
        <v>-9914.0152384323228</v>
      </c>
      <c r="J338" s="44">
        <f t="shared" ref="J338:AS338" si="120">-J330*HIPA_Rate</f>
        <v>0</v>
      </c>
      <c r="K338" s="44">
        <f t="shared" si="120"/>
        <v>0</v>
      </c>
      <c r="L338" s="44">
        <f t="shared" si="120"/>
        <v>0</v>
      </c>
      <c r="M338" s="44">
        <f t="shared" si="120"/>
        <v>0</v>
      </c>
      <c r="N338" s="44">
        <f t="shared" si="120"/>
        <v>0</v>
      </c>
      <c r="O338" s="44">
        <f t="shared" si="120"/>
        <v>-148.17599999999999</v>
      </c>
      <c r="P338" s="44">
        <f t="shared" si="120"/>
        <v>-299.31551999999999</v>
      </c>
      <c r="Q338" s="44">
        <f t="shared" si="120"/>
        <v>-301.40174917439998</v>
      </c>
      <c r="R338" s="44">
        <f t="shared" si="120"/>
        <v>-303.50251936614552</v>
      </c>
      <c r="S338" s="44">
        <f t="shared" si="120"/>
        <v>-305.6179319261276</v>
      </c>
      <c r="T338" s="44">
        <f t="shared" si="120"/>
        <v>-307.7480889116527</v>
      </c>
      <c r="U338" s="44">
        <f t="shared" si="120"/>
        <v>-309.89309309136701</v>
      </c>
      <c r="V338" s="44">
        <f t="shared" si="120"/>
        <v>-312.05304795021368</v>
      </c>
      <c r="W338" s="44">
        <f t="shared" si="120"/>
        <v>-314.22805769442681</v>
      </c>
      <c r="X338" s="44">
        <f t="shared" si="120"/>
        <v>-316.41822725655703</v>
      </c>
      <c r="Y338" s="44">
        <f t="shared" si="120"/>
        <v>-318.62366230053516</v>
      </c>
      <c r="Z338" s="44">
        <f t="shared" si="120"/>
        <v>-320.84446922676989</v>
      </c>
      <c r="AA338" s="44">
        <f t="shared" si="120"/>
        <v>-323.08075517728048</v>
      </c>
      <c r="AB338" s="44">
        <f t="shared" si="120"/>
        <v>-325.3326280408661</v>
      </c>
      <c r="AC338" s="44">
        <f t="shared" si="120"/>
        <v>-327.60019645831096</v>
      </c>
      <c r="AD338" s="44">
        <f t="shared" si="120"/>
        <v>-329.88356982762531</v>
      </c>
      <c r="AE338" s="44">
        <f t="shared" si="120"/>
        <v>-332.18285830932399</v>
      </c>
      <c r="AF338" s="44">
        <f t="shared" si="120"/>
        <v>-334.49817283174002</v>
      </c>
      <c r="AG338" s="44">
        <f t="shared" si="120"/>
        <v>-336.82962509637719</v>
      </c>
      <c r="AH338" s="44">
        <f t="shared" si="120"/>
        <v>-339.17732758329896</v>
      </c>
      <c r="AI338" s="44">
        <f t="shared" si="120"/>
        <v>-341.54139355655457</v>
      </c>
      <c r="AJ338" s="44">
        <f t="shared" si="120"/>
        <v>-343.92193706964366</v>
      </c>
      <c r="AK338" s="44">
        <f t="shared" si="120"/>
        <v>-346.31907297101918</v>
      </c>
      <c r="AL338" s="44">
        <f t="shared" si="120"/>
        <v>-348.73291690962719</v>
      </c>
      <c r="AM338" s="44">
        <f t="shared" si="120"/>
        <v>-351.16358534048743</v>
      </c>
      <c r="AN338" s="44">
        <f t="shared" si="120"/>
        <v>-353.61119553031068</v>
      </c>
      <c r="AO338" s="44">
        <f t="shared" si="120"/>
        <v>-356.07586556315687</v>
      </c>
      <c r="AP338" s="44">
        <f t="shared" si="120"/>
        <v>-358.557714346132</v>
      </c>
      <c r="AQ338" s="44">
        <f t="shared" si="120"/>
        <v>-361.0568616151246</v>
      </c>
      <c r="AR338" s="44">
        <f t="shared" si="120"/>
        <v>-363.57342794058195</v>
      </c>
      <c r="AS338" s="44">
        <f t="shared" si="120"/>
        <v>-183.05376736666392</v>
      </c>
    </row>
    <row r="339" spans="2:45" outlineLevel="1" x14ac:dyDescent="0.3">
      <c r="C339" s="1" t="s">
        <v>202</v>
      </c>
      <c r="D339" s="2" t="s">
        <v>78</v>
      </c>
      <c r="H339" s="52">
        <f t="shared" si="113"/>
        <v>-144722.96654839191</v>
      </c>
      <c r="J339" s="52">
        <f t="shared" ref="J339:AS339" si="121">SUM(J332:J338)</f>
        <v>0</v>
      </c>
      <c r="K339" s="52">
        <f t="shared" si="121"/>
        <v>0</v>
      </c>
      <c r="L339" s="52">
        <f t="shared" si="121"/>
        <v>0</v>
      </c>
      <c r="M339" s="52">
        <f t="shared" si="121"/>
        <v>0</v>
      </c>
      <c r="N339" s="52">
        <f t="shared" si="121"/>
        <v>0</v>
      </c>
      <c r="O339" s="52">
        <f t="shared" si="121"/>
        <v>-1773.5327399999999</v>
      </c>
      <c r="P339" s="52">
        <f t="shared" si="121"/>
        <v>-3618.7154597999997</v>
      </c>
      <c r="Q339" s="52">
        <f t="shared" si="121"/>
        <v>-3686.9492482060555</v>
      </c>
      <c r="R339" s="52">
        <f t="shared" si="121"/>
        <v>-3756.8310496416188</v>
      </c>
      <c r="S339" s="52">
        <f t="shared" si="121"/>
        <v>-3828.4003544132629</v>
      </c>
      <c r="T339" s="52">
        <f t="shared" si="121"/>
        <v>-3901.6976098220812</v>
      </c>
      <c r="U339" s="52">
        <f t="shared" si="121"/>
        <v>-3976.7642434444856</v>
      </c>
      <c r="V339" s="52">
        <f t="shared" si="121"/>
        <v>-4053.6426869811307</v>
      </c>
      <c r="W339" s="52">
        <f t="shared" si="121"/>
        <v>-4132.37640068787</v>
      </c>
      <c r="X339" s="52">
        <f t="shared" si="121"/>
        <v>-4213.0098984029746</v>
      </c>
      <c r="Y339" s="52">
        <f t="shared" si="121"/>
        <v>-4295.5887731852181</v>
      </c>
      <c r="Z339" s="52">
        <f t="shared" si="121"/>
        <v>-4380.1597235777572</v>
      </c>
      <c r="AA339" s="52">
        <f t="shared" si="121"/>
        <v>-4466.7705805131382</v>
      </c>
      <c r="AB339" s="52">
        <f t="shared" si="121"/>
        <v>-4555.4703348751118</v>
      </c>
      <c r="AC339" s="52">
        <f t="shared" si="121"/>
        <v>-4646.3091657333362</v>
      </c>
      <c r="AD339" s="52">
        <f t="shared" si="121"/>
        <v>-4739.3384692674344</v>
      </c>
      <c r="AE339" s="52">
        <f t="shared" si="121"/>
        <v>-4834.6108883972656</v>
      </c>
      <c r="AF339" s="52">
        <f t="shared" si="121"/>
        <v>-4932.1803431367352</v>
      </c>
      <c r="AG339" s="52">
        <f t="shared" si="121"/>
        <v>-5032.1020616888145</v>
      </c>
      <c r="AH339" s="52">
        <f t="shared" si="121"/>
        <v>-5134.4326122999246</v>
      </c>
      <c r="AI339" s="52">
        <f t="shared" si="121"/>
        <v>-5239.2299358923101</v>
      </c>
      <c r="AJ339" s="52">
        <f t="shared" si="121"/>
        <v>-5346.5533794933926</v>
      </c>
      <c r="AK339" s="52">
        <f t="shared" si="121"/>
        <v>-5456.4637304816697</v>
      </c>
      <c r="AL339" s="52">
        <f t="shared" si="121"/>
        <v>-5569.0232516691212</v>
      </c>
      <c r="AM339" s="52">
        <f t="shared" si="121"/>
        <v>-5684.2957172406168</v>
      </c>
      <c r="AN339" s="52">
        <f t="shared" si="121"/>
        <v>-5802.3464495713179</v>
      </c>
      <c r="AO339" s="52">
        <f t="shared" si="121"/>
        <v>-5923.242356943575</v>
      </c>
      <c r="AP339" s="52">
        <f t="shared" si="121"/>
        <v>-6047.051972185317</v>
      </c>
      <c r="AQ339" s="52">
        <f t="shared" si="121"/>
        <v>-6173.8454922525716</v>
      </c>
      <c r="AR339" s="52">
        <f t="shared" si="121"/>
        <v>-6303.6948187791659</v>
      </c>
      <c r="AS339" s="52">
        <f t="shared" si="121"/>
        <v>-3218.3367998086751</v>
      </c>
    </row>
    <row r="340" spans="2:45" outlineLevel="1" x14ac:dyDescent="0.3">
      <c r="C340" s="1" t="s">
        <v>128</v>
      </c>
      <c r="D340" s="2" t="s">
        <v>78</v>
      </c>
      <c r="H340" s="46">
        <f t="shared" si="113"/>
        <v>350977.79537322401</v>
      </c>
      <c r="J340" s="46">
        <f t="shared" ref="J340:AS340" si="122">J330+J339</f>
        <v>0</v>
      </c>
      <c r="K340" s="46">
        <f t="shared" si="122"/>
        <v>0</v>
      </c>
      <c r="L340" s="46">
        <f t="shared" si="122"/>
        <v>0</v>
      </c>
      <c r="M340" s="46">
        <f t="shared" si="122"/>
        <v>0</v>
      </c>
      <c r="N340" s="46">
        <f t="shared" si="122"/>
        <v>0</v>
      </c>
      <c r="O340" s="46">
        <f t="shared" si="122"/>
        <v>5635.2672599999996</v>
      </c>
      <c r="P340" s="46">
        <f t="shared" si="122"/>
        <v>11347.0605402</v>
      </c>
      <c r="Q340" s="46">
        <f t="shared" si="122"/>
        <v>11383.138210513942</v>
      </c>
      <c r="R340" s="46">
        <f t="shared" si="122"/>
        <v>11418.294918665659</v>
      </c>
      <c r="S340" s="46">
        <f t="shared" si="122"/>
        <v>11452.496241893117</v>
      </c>
      <c r="T340" s="46">
        <f t="shared" si="122"/>
        <v>11485.706835760553</v>
      </c>
      <c r="U340" s="46">
        <f t="shared" si="122"/>
        <v>11517.890411123863</v>
      </c>
      <c r="V340" s="46">
        <f t="shared" si="122"/>
        <v>11549.009710529554</v>
      </c>
      <c r="W340" s="46">
        <f t="shared" si="122"/>
        <v>11579.026484033469</v>
      </c>
      <c r="X340" s="46">
        <f t="shared" si="122"/>
        <v>11607.901464424875</v>
      </c>
      <c r="Y340" s="46">
        <f t="shared" si="122"/>
        <v>11635.594341841539</v>
      </c>
      <c r="Z340" s="46">
        <f t="shared" si="122"/>
        <v>11662.063737760736</v>
      </c>
      <c r="AA340" s="46">
        <f t="shared" si="122"/>
        <v>11687.267178350885</v>
      </c>
      <c r="AB340" s="46">
        <f t="shared" si="122"/>
        <v>11711.161067168194</v>
      </c>
      <c r="AC340" s="46">
        <f t="shared" si="122"/>
        <v>11733.700657182213</v>
      </c>
      <c r="AD340" s="46">
        <f t="shared" si="122"/>
        <v>11754.840022113833</v>
      </c>
      <c r="AE340" s="46">
        <f t="shared" si="122"/>
        <v>11774.532027068934</v>
      </c>
      <c r="AF340" s="46">
        <f t="shared" si="122"/>
        <v>11792.728298450265</v>
      </c>
      <c r="AG340" s="46">
        <f t="shared" si="122"/>
        <v>11809.379193130046</v>
      </c>
      <c r="AH340" s="46">
        <f t="shared" si="122"/>
        <v>11824.433766865024</v>
      </c>
      <c r="AI340" s="46">
        <f t="shared" si="122"/>
        <v>11837.839741935417</v>
      </c>
      <c r="AJ340" s="46">
        <f t="shared" si="122"/>
        <v>11849.543473988791</v>
      </c>
      <c r="AK340" s="46">
        <f t="shared" si="122"/>
        <v>11859.48991806929</v>
      </c>
      <c r="AL340" s="46">
        <f t="shared" si="122"/>
        <v>11867.622593812237</v>
      </c>
      <c r="AM340" s="46">
        <f t="shared" si="122"/>
        <v>11873.883549783754</v>
      </c>
      <c r="AN340" s="46">
        <f t="shared" si="122"/>
        <v>11878.213326944215</v>
      </c>
      <c r="AO340" s="46">
        <f t="shared" si="122"/>
        <v>11880.550921214268</v>
      </c>
      <c r="AP340" s="46">
        <f t="shared" si="122"/>
        <v>11880.833745121283</v>
      </c>
      <c r="AQ340" s="46">
        <f t="shared" si="122"/>
        <v>11878.997588503658</v>
      </c>
      <c r="AR340" s="46">
        <f t="shared" si="122"/>
        <v>11874.976578249933</v>
      </c>
      <c r="AS340" s="46">
        <f t="shared" si="122"/>
        <v>5934.3515685245211</v>
      </c>
    </row>
    <row r="341" spans="2:45" outlineLevel="1" x14ac:dyDescent="0.3">
      <c r="C341" s="1" t="s">
        <v>203</v>
      </c>
      <c r="D341" s="2" t="s">
        <v>78</v>
      </c>
      <c r="H341" s="52">
        <f t="shared" si="113"/>
        <v>273350.81866089534</v>
      </c>
      <c r="J341" s="52">
        <f t="shared" ref="J341:AS341" si="123">J326+J340</f>
        <v>-657.1232876712329</v>
      </c>
      <c r="K341" s="52">
        <f t="shared" si="123"/>
        <v>-3612.0547945205481</v>
      </c>
      <c r="L341" s="52">
        <f t="shared" si="123"/>
        <v>-3359.8191780821917</v>
      </c>
      <c r="M341" s="52">
        <f t="shared" si="123"/>
        <v>-17498.125</v>
      </c>
      <c r="N341" s="52">
        <f t="shared" si="123"/>
        <v>-34996.25</v>
      </c>
      <c r="O341" s="52">
        <f t="shared" si="123"/>
        <v>-14362.857739999999</v>
      </c>
      <c r="P341" s="52">
        <f t="shared" si="123"/>
        <v>11347.0605402</v>
      </c>
      <c r="Q341" s="52">
        <f t="shared" si="123"/>
        <v>13877.658758459147</v>
      </c>
      <c r="R341" s="52">
        <f t="shared" si="123"/>
        <v>11418.294918665659</v>
      </c>
      <c r="S341" s="52">
        <f t="shared" si="123"/>
        <v>11452.496241893117</v>
      </c>
      <c r="T341" s="52">
        <f t="shared" si="123"/>
        <v>11485.706835760553</v>
      </c>
      <c r="U341" s="52">
        <f t="shared" si="123"/>
        <v>11517.890411123863</v>
      </c>
      <c r="V341" s="52">
        <f t="shared" si="123"/>
        <v>11549.009710529554</v>
      </c>
      <c r="W341" s="52">
        <f t="shared" si="123"/>
        <v>11579.026484033469</v>
      </c>
      <c r="X341" s="52">
        <f t="shared" si="123"/>
        <v>11607.901464424875</v>
      </c>
      <c r="Y341" s="52">
        <f t="shared" si="123"/>
        <v>11635.594341841539</v>
      </c>
      <c r="Z341" s="52">
        <f t="shared" si="123"/>
        <v>11662.063737760736</v>
      </c>
      <c r="AA341" s="52">
        <f t="shared" si="123"/>
        <v>11687.267178350885</v>
      </c>
      <c r="AB341" s="52">
        <f t="shared" si="123"/>
        <v>11711.161067168194</v>
      </c>
      <c r="AC341" s="52">
        <f t="shared" si="123"/>
        <v>11733.700657182213</v>
      </c>
      <c r="AD341" s="52">
        <f t="shared" si="123"/>
        <v>11754.840022113833</v>
      </c>
      <c r="AE341" s="52">
        <f t="shared" si="123"/>
        <v>11774.532027068934</v>
      </c>
      <c r="AF341" s="52">
        <f t="shared" si="123"/>
        <v>11792.728298450265</v>
      </c>
      <c r="AG341" s="52">
        <f t="shared" si="123"/>
        <v>11809.379193130046</v>
      </c>
      <c r="AH341" s="52">
        <f t="shared" si="123"/>
        <v>11824.433766865024</v>
      </c>
      <c r="AI341" s="52">
        <f t="shared" si="123"/>
        <v>11837.839741935417</v>
      </c>
      <c r="AJ341" s="52">
        <f t="shared" si="123"/>
        <v>11849.543473988791</v>
      </c>
      <c r="AK341" s="52">
        <f t="shared" si="123"/>
        <v>11859.48991806929</v>
      </c>
      <c r="AL341" s="52">
        <f t="shared" si="123"/>
        <v>11867.622593812237</v>
      </c>
      <c r="AM341" s="52">
        <f t="shared" si="123"/>
        <v>11873.883549783754</v>
      </c>
      <c r="AN341" s="52">
        <f t="shared" si="123"/>
        <v>11878.213326944215</v>
      </c>
      <c r="AO341" s="52">
        <f t="shared" si="123"/>
        <v>11880.550921214268</v>
      </c>
      <c r="AP341" s="52">
        <f t="shared" si="123"/>
        <v>11880.833745121283</v>
      </c>
      <c r="AQ341" s="52">
        <f t="shared" si="123"/>
        <v>11878.997588503658</v>
      </c>
      <c r="AR341" s="52">
        <f t="shared" si="123"/>
        <v>11874.976578249933</v>
      </c>
      <c r="AS341" s="52">
        <f t="shared" si="123"/>
        <v>5934.3515685245211</v>
      </c>
    </row>
    <row r="342" spans="2:45" outlineLevel="1" x14ac:dyDescent="0.3">
      <c r="C342" s="5" t="s">
        <v>204</v>
      </c>
      <c r="D342" s="2" t="s">
        <v>2</v>
      </c>
      <c r="J342" s="64">
        <f>(1+Discount_Rate)^((Inputs!$G$33-J$249)/Days_In_Year)</f>
        <v>1.4137125510793771</v>
      </c>
      <c r="K342" s="64">
        <f>(1+Discount_Rate)^((Inputs!$G$33-K$249)/Days_In_Year)</f>
        <v>1.3089931028512751</v>
      </c>
      <c r="L342" s="64">
        <f>(1+Discount_Rate)^((Inputs!$G$33-L$249)/Days_In_Year)</f>
        <v>1.2117751184391485</v>
      </c>
      <c r="M342" s="64">
        <f>(1+Discount_Rate)^((Inputs!$G$33-M$249)/Days_In_Year)</f>
        <v>1.122013998554767</v>
      </c>
      <c r="N342" s="64">
        <f>(1+Discount_Rate)^((Inputs!$G$33-N$249)/Days_In_Year)</f>
        <v>1.0389018505136731</v>
      </c>
      <c r="O342" s="64">
        <f>(1+Discount_Rate)^((Inputs!$G$33-O$249)/Days_In_Year)</f>
        <v>0.96194615788303062</v>
      </c>
      <c r="P342" s="64">
        <f>(1+Discount_Rate)^((Inputs!$G$33-P$249)/Days_In_Year)</f>
        <v>0.8905031026227137</v>
      </c>
      <c r="Q342" s="64">
        <f>(1+Discount_Rate)^((Inputs!$G$33-Q$249)/Days_In_Year)</f>
        <v>0.8245399098358458</v>
      </c>
      <c r="R342" s="64">
        <f>(1+Discount_Rate)^((Inputs!$G$33-R$249)/Days_In_Year)</f>
        <v>0.76346287947763503</v>
      </c>
      <c r="S342" s="64">
        <f>(1+Discount_Rate)^((Inputs!$G$33-S$249)/Days_In_Year)</f>
        <v>0.7069100735904027</v>
      </c>
      <c r="T342" s="64">
        <f>(1+Discount_Rate)^((Inputs!$G$33-T$249)/Days_In_Year)</f>
        <v>0.6544083664649869</v>
      </c>
      <c r="U342" s="64">
        <f>(1+Discount_Rate)^((Inputs!$G$33-U$249)/Days_In_Year)</f>
        <v>0.60593367265276554</v>
      </c>
      <c r="V342" s="64">
        <f>(1+Discount_Rate)^((Inputs!$G$33-V$249)/Days_In_Year)</f>
        <v>0.56104969690070883</v>
      </c>
      <c r="W342" s="64">
        <f>(1+Discount_Rate)^((Inputs!$G$33-W$249)/Days_In_Year)</f>
        <v>0.51949046009324884</v>
      </c>
      <c r="X342" s="64">
        <f>(1+Discount_Rate)^((Inputs!$G$33-X$249)/Days_In_Year)</f>
        <v>0.48090827402856651</v>
      </c>
      <c r="Y342" s="64">
        <f>(1+Discount_Rate)^((Inputs!$G$33-Y$249)/Days_In_Year)</f>
        <v>0.44528543891533923</v>
      </c>
      <c r="Z342" s="64">
        <f>(1+Discount_Rate)^((Inputs!$G$33-Z$249)/Days_In_Year)</f>
        <v>0.41230133232901778</v>
      </c>
      <c r="AA342" s="64">
        <f>(1+Discount_Rate)^((Inputs!$G$33-AA$249)/Days_In_Year)</f>
        <v>0.38176049289723868</v>
      </c>
      <c r="AB342" s="64">
        <f>(1+Discount_Rate)^((Inputs!$G$33-AB$249)/Days_In_Year)</f>
        <v>0.35340741329215369</v>
      </c>
      <c r="AC342" s="64">
        <f>(1+Discount_Rate)^((Inputs!$G$33-AC$249)/Days_In_Year)</f>
        <v>0.32722908638162373</v>
      </c>
      <c r="AD342" s="64">
        <f>(1+Discount_Rate)^((Inputs!$G$33-AD$249)/Days_In_Year)</f>
        <v>0.30298989479779975</v>
      </c>
      <c r="AE342" s="64">
        <f>(1+Discount_Rate)^((Inputs!$G$33-AE$249)/Days_In_Year)</f>
        <v>0.28054619888685151</v>
      </c>
      <c r="AF342" s="64">
        <f>(1+Discount_Rate)^((Inputs!$G$33-AF$249)/Days_In_Year)</f>
        <v>0.25971023273022764</v>
      </c>
      <c r="AG342" s="64">
        <f>(1+Discount_Rate)^((Inputs!$G$33-AG$249)/Days_In_Year)</f>
        <v>0.24047243771317375</v>
      </c>
      <c r="AH342" s="64">
        <f>(1+Discount_Rate)^((Inputs!$G$33-AH$249)/Days_In_Year)</f>
        <v>0.22265966454923491</v>
      </c>
      <c r="AI342" s="64">
        <f>(1+Discount_Rate)^((Inputs!$G$33-AI$249)/Days_In_Year)</f>
        <v>0.20616635606410641</v>
      </c>
      <c r="AJ342" s="64">
        <f>(1+Discount_Rate)^((Inputs!$G$33-AJ$249)/Days_In_Year)</f>
        <v>0.19085452779970458</v>
      </c>
      <c r="AK342" s="64">
        <f>(1+Discount_Rate)^((Inputs!$G$33-AK$249)/Days_In_Year)</f>
        <v>0.17671715537009683</v>
      </c>
      <c r="AL342" s="64">
        <f>(1+Discount_Rate)^((Inputs!$G$33-AL$249)/Days_In_Year)</f>
        <v>0.16362699571305259</v>
      </c>
      <c r="AM342" s="64">
        <f>(1+Discount_Rate)^((Inputs!$G$33-AM$249)/Days_In_Year)</f>
        <v>0.15150647751208571</v>
      </c>
      <c r="AN342" s="64">
        <f>(1+Discount_Rate)^((Inputs!$G$33-AN$249)/Days_In_Year)</f>
        <v>0.14025419945422371</v>
      </c>
      <c r="AO342" s="64">
        <f>(1+Discount_Rate)^((Inputs!$G$33-AO$249)/Days_In_Year)</f>
        <v>0.12986499949465158</v>
      </c>
      <c r="AP342" s="64">
        <f>(1+Discount_Rate)^((Inputs!$G$33-AP$249)/Days_In_Year)</f>
        <v>0.12024536990245513</v>
      </c>
      <c r="AQ342" s="64">
        <f>(1+Discount_Rate)^((Inputs!$G$33-AQ$249)/Days_In_Year)</f>
        <v>0.1113383054652362</v>
      </c>
      <c r="AR342" s="64">
        <f>(1+Discount_Rate)^((Inputs!$G$33-AR$249)/Days_In_Year)</f>
        <v>0.1030692889046335</v>
      </c>
      <c r="AS342" s="64">
        <f>(1+Discount_Rate)^((Inputs!$G$33-AS$249)/Days_In_Year)</f>
        <v>9.5434526763549549E-2</v>
      </c>
    </row>
    <row r="343" spans="2:45" outlineLevel="1" x14ac:dyDescent="0.3">
      <c r="C343" s="5" t="s">
        <v>205</v>
      </c>
      <c r="D343" s="2" t="s">
        <v>78</v>
      </c>
      <c r="H343" s="44">
        <f>SUM(J343:AS343)</f>
        <v>130416.00131391952</v>
      </c>
      <c r="J343" s="44">
        <f t="shared" ref="J343:AS343" si="124">J340*J342</f>
        <v>0</v>
      </c>
      <c r="K343" s="44">
        <f t="shared" si="124"/>
        <v>0</v>
      </c>
      <c r="L343" s="44">
        <f t="shared" si="124"/>
        <v>0</v>
      </c>
      <c r="M343" s="44">
        <f t="shared" si="124"/>
        <v>0</v>
      </c>
      <c r="N343" s="44">
        <f t="shared" si="124"/>
        <v>0</v>
      </c>
      <c r="O343" s="44">
        <f t="shared" si="124"/>
        <v>5420.8236894010333</v>
      </c>
      <c r="P343" s="44">
        <f t="shared" si="124"/>
        <v>10104.592616695865</v>
      </c>
      <c r="Q343" s="44">
        <f t="shared" si="124"/>
        <v>9385.8517537461375</v>
      </c>
      <c r="R343" s="44">
        <f t="shared" si="124"/>
        <v>8717.444317329333</v>
      </c>
      <c r="S343" s="44">
        <f t="shared" si="124"/>
        <v>8095.8849611504738</v>
      </c>
      <c r="T343" s="44">
        <f t="shared" si="124"/>
        <v>7516.342648085797</v>
      </c>
      <c r="U343" s="44">
        <f t="shared" si="124"/>
        <v>6979.0776380243533</v>
      </c>
      <c r="V343" s="44">
        <f t="shared" si="124"/>
        <v>6479.5683975959491</v>
      </c>
      <c r="W343" s="44">
        <f t="shared" si="124"/>
        <v>6015.1937956224601</v>
      </c>
      <c r="X343" s="44">
        <f t="shared" si="124"/>
        <v>5582.3358583502359</v>
      </c>
      <c r="Y343" s="44">
        <f t="shared" si="124"/>
        <v>5181.1607335477474</v>
      </c>
      <c r="Z343" s="44">
        <f t="shared" si="124"/>
        <v>4808.284416784677</v>
      </c>
      <c r="AA343" s="44">
        <f t="shared" si="124"/>
        <v>4461.7368786289535</v>
      </c>
      <c r="AB343" s="44">
        <f t="shared" si="124"/>
        <v>4138.8111393956897</v>
      </c>
      <c r="AC343" s="44">
        <f t="shared" si="124"/>
        <v>3839.6081459251936</v>
      </c>
      <c r="AD343" s="44">
        <f t="shared" si="124"/>
        <v>3561.5977416652363</v>
      </c>
      <c r="AE343" s="44">
        <f t="shared" si="124"/>
        <v>3303.3002038656837</v>
      </c>
      <c r="AF343" s="44">
        <f t="shared" si="124"/>
        <v>3062.69221091486</v>
      </c>
      <c r="AG343" s="44">
        <f t="shared" si="124"/>
        <v>2839.830202451215</v>
      </c>
      <c r="AH343" s="44">
        <f t="shared" si="124"/>
        <v>2632.8244560148123</v>
      </c>
      <c r="AI343" s="44">
        <f t="shared" si="124"/>
        <v>2440.5642832656868</v>
      </c>
      <c r="AJ343" s="44">
        <f t="shared" si="124"/>
        <v>2261.5390243702018</v>
      </c>
      <c r="AK343" s="44">
        <f t="shared" si="124"/>
        <v>2095.7753224615476</v>
      </c>
      <c r="AL343" s="44">
        <f t="shared" si="124"/>
        <v>1941.863431281841</v>
      </c>
      <c r="AM343" s="44">
        <f t="shared" si="124"/>
        <v>1798.9702710164368</v>
      </c>
      <c r="AN343" s="44">
        <f t="shared" si="124"/>
        <v>1665.9693011170521</v>
      </c>
      <c r="AO343" s="44">
        <f t="shared" si="124"/>
        <v>1542.8677393796731</v>
      </c>
      <c r="AP343" s="44">
        <f t="shared" si="124"/>
        <v>1428.6152484316799</v>
      </c>
      <c r="AQ343" s="44">
        <f t="shared" si="124"/>
        <v>1322.5874621296246</v>
      </c>
      <c r="AR343" s="44">
        <f t="shared" si="124"/>
        <v>1223.9453916793984</v>
      </c>
      <c r="AS343" s="44">
        <f t="shared" si="124"/>
        <v>566.34203359066566</v>
      </c>
    </row>
    <row r="344" spans="2:45" outlineLevel="1" x14ac:dyDescent="0.3">
      <c r="C344" s="5" t="s">
        <v>425</v>
      </c>
      <c r="D344" s="2" t="s">
        <v>78</v>
      </c>
      <c r="H344" s="44">
        <f>SUM(J344:AS344)</f>
        <v>0</v>
      </c>
      <c r="J344" s="44">
        <f t="shared" ref="J344:AS344" si="125">-($G$200+$G$187)*(J$248=YEAR(Sale_Date))</f>
        <v>0</v>
      </c>
      <c r="K344" s="44">
        <f t="shared" si="125"/>
        <v>0</v>
      </c>
      <c r="L344" s="44">
        <f t="shared" si="125"/>
        <v>0</v>
      </c>
      <c r="M344" s="44">
        <f t="shared" si="125"/>
        <v>0</v>
      </c>
      <c r="N344" s="44">
        <f t="shared" si="125"/>
        <v>0</v>
      </c>
      <c r="O344" s="44">
        <f t="shared" si="125"/>
        <v>0</v>
      </c>
      <c r="P344" s="44">
        <f t="shared" si="125"/>
        <v>0</v>
      </c>
      <c r="Q344" s="44">
        <f t="shared" si="125"/>
        <v>0</v>
      </c>
      <c r="R344" s="44">
        <f t="shared" si="125"/>
        <v>0</v>
      </c>
      <c r="S344" s="44">
        <f t="shared" si="125"/>
        <v>0</v>
      </c>
      <c r="T344" s="44">
        <f t="shared" si="125"/>
        <v>0</v>
      </c>
      <c r="U344" s="44">
        <f t="shared" si="125"/>
        <v>0</v>
      </c>
      <c r="V344" s="44">
        <f t="shared" si="125"/>
        <v>0</v>
      </c>
      <c r="W344" s="44">
        <f t="shared" si="125"/>
        <v>0</v>
      </c>
      <c r="X344" s="44">
        <f t="shared" si="125"/>
        <v>0</v>
      </c>
      <c r="Y344" s="44">
        <f t="shared" si="125"/>
        <v>0</v>
      </c>
      <c r="Z344" s="44">
        <f t="shared" si="125"/>
        <v>0</v>
      </c>
      <c r="AA344" s="44">
        <f t="shared" si="125"/>
        <v>0</v>
      </c>
      <c r="AB344" s="44">
        <f t="shared" si="125"/>
        <v>0</v>
      </c>
      <c r="AC344" s="44">
        <f t="shared" si="125"/>
        <v>0</v>
      </c>
      <c r="AD344" s="44">
        <f t="shared" si="125"/>
        <v>0</v>
      </c>
      <c r="AE344" s="44">
        <f t="shared" si="125"/>
        <v>0</v>
      </c>
      <c r="AF344" s="44">
        <f t="shared" si="125"/>
        <v>0</v>
      </c>
      <c r="AG344" s="44">
        <f t="shared" si="125"/>
        <v>0</v>
      </c>
      <c r="AH344" s="44">
        <f t="shared" si="125"/>
        <v>0</v>
      </c>
      <c r="AI344" s="44">
        <f t="shared" si="125"/>
        <v>0</v>
      </c>
      <c r="AJ344" s="44">
        <f t="shared" si="125"/>
        <v>0</v>
      </c>
      <c r="AK344" s="44">
        <f t="shared" si="125"/>
        <v>0</v>
      </c>
      <c r="AL344" s="44">
        <f t="shared" si="125"/>
        <v>0</v>
      </c>
      <c r="AM344" s="44">
        <f t="shared" si="125"/>
        <v>0</v>
      </c>
      <c r="AN344" s="44">
        <f t="shared" si="125"/>
        <v>0</v>
      </c>
      <c r="AO344" s="44">
        <f t="shared" si="125"/>
        <v>0</v>
      </c>
      <c r="AP344" s="44">
        <f t="shared" si="125"/>
        <v>0</v>
      </c>
      <c r="AQ344" s="44">
        <f t="shared" si="125"/>
        <v>0</v>
      </c>
      <c r="AR344" s="44">
        <f t="shared" si="125"/>
        <v>0</v>
      </c>
      <c r="AS344" s="44">
        <f t="shared" si="125"/>
        <v>0</v>
      </c>
    </row>
    <row r="345" spans="2:45" outlineLevel="1" x14ac:dyDescent="0.3">
      <c r="C345" s="1" t="s">
        <v>206</v>
      </c>
      <c r="D345" s="2" t="s">
        <v>78</v>
      </c>
      <c r="H345" s="52">
        <f>SUM(J345:AS345)</f>
        <v>52789.024601590747</v>
      </c>
      <c r="J345" s="52">
        <f t="shared" ref="J345:AS345" si="126">J326*(J316&lt;=0)+J321*($H343+$G$60+$G$61)+J344</f>
        <v>-657.1232876712329</v>
      </c>
      <c r="K345" s="52">
        <f t="shared" si="126"/>
        <v>-3612.0547945205481</v>
      </c>
      <c r="L345" s="52">
        <f t="shared" si="126"/>
        <v>-3359.8191780821917</v>
      </c>
      <c r="M345" s="52">
        <f t="shared" si="126"/>
        <v>-17498.125</v>
      </c>
      <c r="N345" s="52">
        <f t="shared" si="126"/>
        <v>-34996.25</v>
      </c>
      <c r="O345" s="52">
        <f t="shared" si="126"/>
        <v>112912.39686186472</v>
      </c>
      <c r="P345" s="52">
        <f t="shared" si="126"/>
        <v>0</v>
      </c>
      <c r="Q345" s="52">
        <f t="shared" si="126"/>
        <v>0</v>
      </c>
      <c r="R345" s="52">
        <f t="shared" si="126"/>
        <v>0</v>
      </c>
      <c r="S345" s="52">
        <f t="shared" si="126"/>
        <v>0</v>
      </c>
      <c r="T345" s="52">
        <f t="shared" si="126"/>
        <v>0</v>
      </c>
      <c r="U345" s="52">
        <f t="shared" si="126"/>
        <v>0</v>
      </c>
      <c r="V345" s="52">
        <f t="shared" si="126"/>
        <v>0</v>
      </c>
      <c r="W345" s="52">
        <f t="shared" si="126"/>
        <v>0</v>
      </c>
      <c r="X345" s="52">
        <f t="shared" si="126"/>
        <v>0</v>
      </c>
      <c r="Y345" s="52">
        <f t="shared" si="126"/>
        <v>0</v>
      </c>
      <c r="Z345" s="52">
        <f t="shared" si="126"/>
        <v>0</v>
      </c>
      <c r="AA345" s="52">
        <f t="shared" si="126"/>
        <v>0</v>
      </c>
      <c r="AB345" s="52">
        <f t="shared" si="126"/>
        <v>0</v>
      </c>
      <c r="AC345" s="52">
        <f t="shared" si="126"/>
        <v>0</v>
      </c>
      <c r="AD345" s="52">
        <f t="shared" si="126"/>
        <v>0</v>
      </c>
      <c r="AE345" s="52">
        <f t="shared" si="126"/>
        <v>0</v>
      </c>
      <c r="AF345" s="52">
        <f t="shared" si="126"/>
        <v>0</v>
      </c>
      <c r="AG345" s="52">
        <f t="shared" si="126"/>
        <v>0</v>
      </c>
      <c r="AH345" s="52">
        <f t="shared" si="126"/>
        <v>0</v>
      </c>
      <c r="AI345" s="52">
        <f t="shared" si="126"/>
        <v>0</v>
      </c>
      <c r="AJ345" s="52">
        <f t="shared" si="126"/>
        <v>0</v>
      </c>
      <c r="AK345" s="52">
        <f t="shared" si="126"/>
        <v>0</v>
      </c>
      <c r="AL345" s="52">
        <f t="shared" si="126"/>
        <v>0</v>
      </c>
      <c r="AM345" s="52">
        <f t="shared" si="126"/>
        <v>0</v>
      </c>
      <c r="AN345" s="52">
        <f t="shared" si="126"/>
        <v>0</v>
      </c>
      <c r="AO345" s="52">
        <f t="shared" si="126"/>
        <v>0</v>
      </c>
      <c r="AP345" s="52">
        <f t="shared" si="126"/>
        <v>0</v>
      </c>
      <c r="AQ345" s="52">
        <f t="shared" si="126"/>
        <v>0</v>
      </c>
      <c r="AR345" s="52">
        <f t="shared" si="126"/>
        <v>0</v>
      </c>
      <c r="AS345" s="52">
        <f t="shared" si="126"/>
        <v>0</v>
      </c>
    </row>
    <row r="346" spans="2:45" outlineLevel="1" x14ac:dyDescent="0.3"/>
    <row r="347" spans="2:45" outlineLevel="1" x14ac:dyDescent="0.3">
      <c r="B347" s="3" t="s">
        <v>2</v>
      </c>
      <c r="C347" s="3" t="s">
        <v>209</v>
      </c>
      <c r="D347" s="3"/>
      <c r="E347" s="4" t="s">
        <v>4</v>
      </c>
      <c r="F347" s="4" t="s">
        <v>5</v>
      </c>
      <c r="G347" s="4" t="s">
        <v>6</v>
      </c>
      <c r="H347" s="4" t="s">
        <v>7</v>
      </c>
    </row>
    <row r="348" spans="2:45" outlineLevel="1" x14ac:dyDescent="0.3">
      <c r="C348" s="5" t="s">
        <v>424</v>
      </c>
      <c r="D348" s="2" t="s">
        <v>78</v>
      </c>
      <c r="E348" s="44">
        <f>-MAX(0,$H$281)*CIT_Rate*(1-Share_Exempt)</f>
        <v>0</v>
      </c>
      <c r="F348" s="44">
        <f>-MAX(0,$H$313)*CIT_Rate*(1-Share_Exempt)</f>
        <v>0</v>
      </c>
      <c r="G348" s="44">
        <f>-MAX(0,$H$345)*CIT_Rate*(1-Share_Exempt)</f>
        <v>0</v>
      </c>
      <c r="H348" s="44">
        <f>SUM(E348:G348)</f>
        <v>0</v>
      </c>
    </row>
    <row r="349" spans="2:45" outlineLevel="1" x14ac:dyDescent="0.3">
      <c r="C349" s="1" t="s">
        <v>111</v>
      </c>
      <c r="D349" s="2" t="s">
        <v>78</v>
      </c>
      <c r="E349" s="46">
        <f>$H$281+E348</f>
        <v>34504.368828797342</v>
      </c>
      <c r="F349" s="46">
        <f>$H$313+F348</f>
        <v>52789.024601590747</v>
      </c>
      <c r="G349" s="46">
        <f>$H$345+G348</f>
        <v>52789.024601590747</v>
      </c>
      <c r="H349" s="46">
        <f>SUM(E349:G349)</f>
        <v>140082.41803197883</v>
      </c>
    </row>
    <row r="350" spans="2:45" outlineLevel="1" x14ac:dyDescent="0.3"/>
    <row r="351" spans="2:45" outlineLevel="1" x14ac:dyDescent="0.3">
      <c r="B351" s="3" t="s">
        <v>2</v>
      </c>
      <c r="C351" s="3" t="s">
        <v>210</v>
      </c>
      <c r="D351" s="3"/>
      <c r="E351" s="4" t="s">
        <v>4</v>
      </c>
      <c r="F351" s="4" t="s">
        <v>5</v>
      </c>
      <c r="G351" s="4" t="s">
        <v>6</v>
      </c>
      <c r="H351" s="4" t="s">
        <v>7</v>
      </c>
    </row>
    <row r="352" spans="2:45" outlineLevel="1" x14ac:dyDescent="0.3">
      <c r="C352" s="5" t="s">
        <v>211</v>
      </c>
      <c r="D352" s="2" t="s">
        <v>1</v>
      </c>
      <c r="E352" s="63">
        <f>N(ABS(E192+E193+E197-E200-E211)&gt;Tolerance)</f>
        <v>0</v>
      </c>
      <c r="F352" s="63">
        <f>N(ABS(F192+F193+F197-F200-F211)&gt;Tolerance)</f>
        <v>0</v>
      </c>
      <c r="G352" s="63">
        <f>N(ABS(G192+G193+G197-G200-G211)&gt;Tolerance)</f>
        <v>0</v>
      </c>
      <c r="H352" s="63">
        <f t="shared" ref="H352:H358" si="127">SUM(E352:G352)</f>
        <v>0</v>
      </c>
    </row>
    <row r="353" spans="3:8" outlineLevel="1" x14ac:dyDescent="0.3">
      <c r="C353" s="5" t="s">
        <v>212</v>
      </c>
      <c r="D353" s="2" t="s">
        <v>1</v>
      </c>
      <c r="E353" s="63">
        <f>SUMPRODUCT(--(YEAR(J204:J210)&gt;=YEAR(E166)))</f>
        <v>0</v>
      </c>
      <c r="F353" s="63">
        <f>SUMPRODUCT(--(YEAR(K204:K210)&gt;=YEAR(F166)))</f>
        <v>0</v>
      </c>
      <c r="G353" s="63">
        <f>SUMPRODUCT(--(YEAR(L204:L210)&gt;=YEAR(G166)))</f>
        <v>0</v>
      </c>
      <c r="H353" s="63">
        <f t="shared" si="127"/>
        <v>0</v>
      </c>
    </row>
    <row r="354" spans="3:8" outlineLevel="1" x14ac:dyDescent="0.3">
      <c r="C354" s="5" t="s">
        <v>213</v>
      </c>
      <c r="D354" s="2" t="s">
        <v>1</v>
      </c>
      <c r="E354" s="63">
        <f>N(AND(E17&lt;&gt;"EU",E17&lt;&gt;"CN"))</f>
        <v>0</v>
      </c>
      <c r="F354" s="63">
        <f>N(AND(F17&lt;&gt;"EU",F17&lt;&gt;"CN"))</f>
        <v>0</v>
      </c>
      <c r="G354" s="63">
        <f>N(AND(G17&lt;&gt;"EU",G17&lt;&gt;"CN"))</f>
        <v>0</v>
      </c>
      <c r="H354" s="63">
        <f t="shared" si="127"/>
        <v>0</v>
      </c>
    </row>
    <row r="355" spans="3:8" outlineLevel="1" x14ac:dyDescent="0.3">
      <c r="C355" s="5" t="s">
        <v>214</v>
      </c>
      <c r="D355" s="2" t="s">
        <v>1</v>
      </c>
      <c r="E355" s="63">
        <f>N(ABS(E103-E65)&gt;Tolerance)</f>
        <v>0</v>
      </c>
      <c r="F355" s="63">
        <f>N(ABS(F103-F65)&gt;Tolerance)</f>
        <v>0</v>
      </c>
      <c r="G355" s="63">
        <f>N(ABS(G103-G65)&gt;Tolerance)</f>
        <v>0</v>
      </c>
      <c r="H355" s="63">
        <f t="shared" si="127"/>
        <v>0</v>
      </c>
    </row>
    <row r="356" spans="3:8" outlineLevel="1" x14ac:dyDescent="0.3">
      <c r="C356" s="5" t="s">
        <v>215</v>
      </c>
      <c r="D356" s="2" t="s">
        <v>1</v>
      </c>
      <c r="E356" s="63">
        <f>N(ABS(E88+$H$260)&gt;Tolerance)</f>
        <v>0</v>
      </c>
      <c r="F356" s="63">
        <f>N(ABS(F88+$H$292)&gt;Tolerance)</f>
        <v>0</v>
      </c>
      <c r="G356" s="63">
        <f>N(ABS(G88+$H$324)&gt;Tolerance)</f>
        <v>0</v>
      </c>
      <c r="H356" s="63">
        <f t="shared" si="127"/>
        <v>0</v>
      </c>
    </row>
    <row r="357" spans="3:8" outlineLevel="1" x14ac:dyDescent="0.3">
      <c r="C357" s="5" t="s">
        <v>216</v>
      </c>
      <c r="D357" s="2" t="s">
        <v>1</v>
      </c>
      <c r="E357" s="63">
        <f>N(ABS(E92+$H$262)&gt;Tolerance)</f>
        <v>0</v>
      </c>
      <c r="F357" s="63">
        <f>N(ABS(F92+$H$294)&gt;Tolerance)</f>
        <v>0</v>
      </c>
      <c r="G357" s="63">
        <f>N(ABS(G92+$H$326)&gt;Tolerance)</f>
        <v>0</v>
      </c>
      <c r="H357" s="63">
        <f t="shared" si="127"/>
        <v>0</v>
      </c>
    </row>
    <row r="358" spans="3:8" outlineLevel="1" x14ac:dyDescent="0.3">
      <c r="C358" s="5" t="s">
        <v>217</v>
      </c>
      <c r="D358" s="2" t="s">
        <v>1</v>
      </c>
      <c r="E358" s="63">
        <f>N(ABS($H$256-Life)&gt;Tolerance)</f>
        <v>0</v>
      </c>
      <c r="F358" s="63">
        <f>N(ABS($H$288-Life)&gt;Tolerance)</f>
        <v>0</v>
      </c>
      <c r="G358" s="63">
        <f>N(ABS($H$320-Life)&gt;Tolerance)</f>
        <v>0</v>
      </c>
      <c r="H358" s="63">
        <f t="shared" si="127"/>
        <v>0</v>
      </c>
    </row>
    <row r="359" spans="3:8" outlineLevel="1" x14ac:dyDescent="0.3">
      <c r="C359" s="5" t="s">
        <v>402</v>
      </c>
      <c r="D359" s="2" t="s">
        <v>1</v>
      </c>
      <c r="E359" s="63">
        <f>N(ABS(E223+E224+E228-E231-E239)&gt;Tolerance)</f>
        <v>0</v>
      </c>
      <c r="F359" s="63">
        <f>N(ABS(F223+F224+F228-F231-F239)&gt;Tolerance)</f>
        <v>0</v>
      </c>
      <c r="G359" s="63">
        <f>N(ABS(G223+G224+G228-G231-G239)&gt;Tolerance)</f>
        <v>0</v>
      </c>
      <c r="H359" s="63">
        <f>SUM(E359:G359)</f>
        <v>0</v>
      </c>
    </row>
    <row r="360" spans="3:8" outlineLevel="1" x14ac:dyDescent="0.3">
      <c r="C360" s="1" t="s">
        <v>218</v>
      </c>
      <c r="D360" s="2" t="s">
        <v>1</v>
      </c>
      <c r="H360" s="66">
        <f>SUM(H352:H359)</f>
        <v>0</v>
      </c>
    </row>
    <row r="361" spans="3:8" outlineLevel="1" x14ac:dyDescent="0.3"/>
    <row r="362" spans="3:8" outlineLevel="1" x14ac:dyDescent="0.3">
      <c r="C362" s="11" t="s">
        <v>219</v>
      </c>
    </row>
  </sheetData>
  <conditionalFormatting sqref="H3">
    <cfRule type="cellIs" dxfId="3" priority="1" operator="equal">
      <formula>0</formula>
    </cfRule>
    <cfRule type="cellIs" dxfId="2" priority="3" operator="notEqual">
      <formula>0</formula>
    </cfRule>
  </conditionalFormatting>
  <conditionalFormatting sqref="H360">
    <cfRule type="cellIs" dxfId="1" priority="4" operator="equal">
      <formula>0</formula>
    </cfRule>
    <cfRule type="cellIs" dxfId="0" priority="4" operator="notEqual">
      <formula>0</formula>
    </cfRule>
  </conditionalFormatting>
  <dataValidations disablePrompts="1" count="1">
    <dataValidation type="list" sqref="H24" xr:uid="{00000000-0002-0000-0000-000000000000}">
      <formula1>"Base,Low,High"</formula1>
    </dataValidation>
  </dataValidations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2:P113"/>
  <sheetViews>
    <sheetView showGridLines="0" workbookViewId="0">
      <pane xSplit="4" ySplit="4" topLeftCell="E8" activePane="bottomRight" state="frozen"/>
      <selection pane="topRight"/>
      <selection pane="bottomLeft"/>
      <selection pane="bottomRight" activeCell="E23" sqref="E23"/>
    </sheetView>
  </sheetViews>
  <sheetFormatPr defaultRowHeight="14.4" outlineLevelRow="1" x14ac:dyDescent="0.3"/>
  <cols>
    <col min="1" max="2" width="2" customWidth="1"/>
    <col min="3" max="3" width="54" customWidth="1"/>
    <col min="4" max="4" width="11" customWidth="1"/>
    <col min="5" max="7" width="13" customWidth="1"/>
    <col min="8" max="8" width="50" customWidth="1"/>
  </cols>
  <sheetData>
    <row r="2" spans="2:8" x14ac:dyDescent="0.3">
      <c r="C2" s="1" t="s">
        <v>220</v>
      </c>
    </row>
    <row r="4" spans="2:8" x14ac:dyDescent="0.3">
      <c r="B4" s="3" t="s">
        <v>2</v>
      </c>
      <c r="C4" s="3" t="s">
        <v>221</v>
      </c>
      <c r="D4" s="3"/>
      <c r="E4" s="4" t="s">
        <v>4</v>
      </c>
      <c r="F4" s="4" t="s">
        <v>5</v>
      </c>
      <c r="G4" s="4" t="s">
        <v>6</v>
      </c>
      <c r="H4" s="3" t="s">
        <v>222</v>
      </c>
    </row>
    <row r="5" spans="2:8" x14ac:dyDescent="0.3">
      <c r="C5" s="9" t="s">
        <v>223</v>
      </c>
      <c r="D5" s="9"/>
      <c r="E5" s="10"/>
      <c r="F5" s="10"/>
      <c r="G5" s="10"/>
      <c r="H5" s="10"/>
    </row>
    <row r="6" spans="2:8" x14ac:dyDescent="0.3">
      <c r="C6" s="5" t="s">
        <v>224</v>
      </c>
      <c r="D6" s="2" t="s">
        <v>225</v>
      </c>
      <c r="E6" s="33">
        <v>365</v>
      </c>
      <c r="H6" s="2" t="s">
        <v>226</v>
      </c>
    </row>
    <row r="7" spans="2:8" x14ac:dyDescent="0.3">
      <c r="C7" s="5" t="s">
        <v>227</v>
      </c>
      <c r="D7" s="2" t="s">
        <v>228</v>
      </c>
      <c r="E7" s="33">
        <v>406000000</v>
      </c>
      <c r="H7" s="2" t="s">
        <v>229</v>
      </c>
    </row>
    <row r="8" spans="2:8" x14ac:dyDescent="0.3">
      <c r="C8" s="5" t="s">
        <v>230</v>
      </c>
      <c r="D8" s="2" t="s">
        <v>231</v>
      </c>
      <c r="E8" s="33">
        <v>200000000</v>
      </c>
      <c r="H8" s="2" t="s">
        <v>232</v>
      </c>
    </row>
    <row r="9" spans="2:8" x14ac:dyDescent="0.3">
      <c r="C9" s="5" t="s">
        <v>233</v>
      </c>
      <c r="D9" s="2" t="s">
        <v>11</v>
      </c>
      <c r="E9" s="34">
        <v>5.0000000000000001E-3</v>
      </c>
      <c r="H9" s="2" t="s">
        <v>234</v>
      </c>
    </row>
    <row r="10" spans="2:8" x14ac:dyDescent="0.3">
      <c r="C10" s="5" t="s">
        <v>235</v>
      </c>
      <c r="D10" s="2" t="s">
        <v>11</v>
      </c>
      <c r="E10" s="34">
        <v>2.5000000000000001E-2</v>
      </c>
      <c r="H10" s="2" t="s">
        <v>236</v>
      </c>
    </row>
    <row r="11" spans="2:8" x14ac:dyDescent="0.3">
      <c r="C11" s="5" t="s">
        <v>237</v>
      </c>
      <c r="D11" s="2" t="s">
        <v>70</v>
      </c>
      <c r="E11" s="33">
        <v>3000000</v>
      </c>
      <c r="H11" s="2" t="s">
        <v>238</v>
      </c>
    </row>
    <row r="12" spans="2:8" x14ac:dyDescent="0.3">
      <c r="C12" s="5" t="s">
        <v>73</v>
      </c>
      <c r="D12" s="2" t="s">
        <v>239</v>
      </c>
      <c r="E12" s="33">
        <v>4500000</v>
      </c>
      <c r="H12" s="2" t="s">
        <v>240</v>
      </c>
    </row>
    <row r="13" spans="2:8" x14ac:dyDescent="0.3">
      <c r="C13" s="9" t="s">
        <v>241</v>
      </c>
      <c r="D13" s="9"/>
      <c r="E13" s="10"/>
      <c r="F13" s="10"/>
      <c r="G13" s="10"/>
      <c r="H13" s="10"/>
    </row>
    <row r="14" spans="2:8" x14ac:dyDescent="0.3">
      <c r="C14" s="5" t="s">
        <v>242</v>
      </c>
      <c r="D14" s="2" t="s">
        <v>239</v>
      </c>
      <c r="E14" s="33">
        <v>73071306</v>
      </c>
      <c r="F14" s="33">
        <v>19826680</v>
      </c>
      <c r="G14" s="33">
        <v>19826680</v>
      </c>
      <c r="H14" s="2" t="s">
        <v>243</v>
      </c>
    </row>
    <row r="15" spans="2:8" x14ac:dyDescent="0.3">
      <c r="C15" s="5" t="s">
        <v>244</v>
      </c>
      <c r="D15" s="2" t="s">
        <v>70</v>
      </c>
      <c r="E15" s="33">
        <v>508345804</v>
      </c>
      <c r="F15" s="33">
        <v>460000000</v>
      </c>
      <c r="G15" s="33">
        <v>460000000</v>
      </c>
      <c r="H15" s="2" t="s">
        <v>245</v>
      </c>
    </row>
    <row r="16" spans="2:8" x14ac:dyDescent="0.3">
      <c r="C16" s="5" t="s">
        <v>246</v>
      </c>
      <c r="D16" s="2" t="s">
        <v>247</v>
      </c>
      <c r="E16" s="35">
        <v>2</v>
      </c>
      <c r="F16" s="35">
        <v>1</v>
      </c>
      <c r="G16" s="35">
        <v>1</v>
      </c>
      <c r="H16" s="2" t="s">
        <v>248</v>
      </c>
    </row>
    <row r="17" spans="3:8" x14ac:dyDescent="0.3">
      <c r="C17" s="5" t="s">
        <v>80</v>
      </c>
      <c r="D17" s="2" t="s">
        <v>78</v>
      </c>
      <c r="E17" s="33">
        <v>100</v>
      </c>
      <c r="F17" s="33">
        <v>150</v>
      </c>
      <c r="G17" s="33">
        <v>150</v>
      </c>
      <c r="H17" s="2" t="s">
        <v>249</v>
      </c>
    </row>
    <row r="18" spans="3:8" x14ac:dyDescent="0.3">
      <c r="C18" s="5" t="s">
        <v>250</v>
      </c>
      <c r="D18" s="2" t="s">
        <v>78</v>
      </c>
      <c r="E18" s="36">
        <v>40.47</v>
      </c>
      <c r="F18" s="37">
        <f t="shared" ref="F18:G23" si="0">$E18/SUM($E$18:$E$23)*F$24</f>
        <v>51.588970897548663</v>
      </c>
      <c r="G18" s="37">
        <f t="shared" si="0"/>
        <v>51.588970897548663</v>
      </c>
      <c r="H18" s="2" t="s">
        <v>419</v>
      </c>
    </row>
    <row r="19" spans="3:8" x14ac:dyDescent="0.3">
      <c r="C19" s="5" t="s">
        <v>251</v>
      </c>
      <c r="D19" s="2" t="s">
        <v>78</v>
      </c>
      <c r="E19" s="36">
        <v>150.66</v>
      </c>
      <c r="F19" s="37">
        <f t="shared" si="0"/>
        <v>192.05323339324642</v>
      </c>
      <c r="G19" s="37">
        <f t="shared" si="0"/>
        <v>192.05323339324642</v>
      </c>
      <c r="H19" s="2" t="s">
        <v>419</v>
      </c>
    </row>
    <row r="20" spans="3:8" x14ac:dyDescent="0.3">
      <c r="C20" s="5" t="s">
        <v>252</v>
      </c>
      <c r="D20" s="2" t="s">
        <v>78</v>
      </c>
      <c r="E20" s="36">
        <v>333.93</v>
      </c>
      <c r="F20" s="37">
        <f t="shared" si="0"/>
        <v>425.67593407013658</v>
      </c>
      <c r="G20" s="37">
        <f t="shared" si="0"/>
        <v>425.67593407013658</v>
      </c>
      <c r="H20" s="2" t="s">
        <v>419</v>
      </c>
    </row>
    <row r="21" spans="3:8" x14ac:dyDescent="0.3">
      <c r="C21" s="5" t="s">
        <v>253</v>
      </c>
      <c r="D21" s="2" t="s">
        <v>78</v>
      </c>
      <c r="E21" s="36">
        <v>151.36000000000001</v>
      </c>
      <c r="F21" s="37">
        <f t="shared" si="0"/>
        <v>192.94555559804712</v>
      </c>
      <c r="G21" s="37">
        <f t="shared" si="0"/>
        <v>192.94555559804712</v>
      </c>
      <c r="H21" s="2" t="s">
        <v>419</v>
      </c>
    </row>
    <row r="22" spans="3:8" x14ac:dyDescent="0.3">
      <c r="C22" s="5" t="s">
        <v>254</v>
      </c>
      <c r="D22" s="2" t="s">
        <v>78</v>
      </c>
      <c r="E22" s="36">
        <v>37.5</v>
      </c>
      <c r="F22" s="37">
        <f t="shared" si="0"/>
        <v>47.802975257180009</v>
      </c>
      <c r="G22" s="37">
        <f t="shared" si="0"/>
        <v>47.802975257180009</v>
      </c>
      <c r="H22" s="2" t="s">
        <v>419</v>
      </c>
    </row>
    <row r="23" spans="3:8" x14ac:dyDescent="0.3">
      <c r="C23" s="5" t="s">
        <v>255</v>
      </c>
      <c r="D23" s="2" t="s">
        <v>78</v>
      </c>
      <c r="E23" s="36">
        <v>70.55</v>
      </c>
      <c r="F23" s="38">
        <f t="shared" si="0"/>
        <v>89.933330783841328</v>
      </c>
      <c r="G23" s="38">
        <f t="shared" si="0"/>
        <v>89.933330783841328</v>
      </c>
      <c r="H23" s="2" t="s">
        <v>419</v>
      </c>
    </row>
    <row r="24" spans="3:8" x14ac:dyDescent="0.3">
      <c r="C24" s="5" t="s">
        <v>417</v>
      </c>
      <c r="D24" s="2" t="s">
        <v>78</v>
      </c>
      <c r="E24" s="6"/>
      <c r="F24" s="36">
        <v>1000</v>
      </c>
      <c r="G24" s="36">
        <v>1000</v>
      </c>
      <c r="H24" s="2" t="s">
        <v>418</v>
      </c>
    </row>
    <row r="25" spans="3:8" x14ac:dyDescent="0.3">
      <c r="C25" s="5" t="s">
        <v>256</v>
      </c>
      <c r="D25" s="2" t="s">
        <v>1</v>
      </c>
      <c r="E25" s="35">
        <v>0</v>
      </c>
      <c r="F25" s="35">
        <v>0</v>
      </c>
      <c r="G25" s="35">
        <v>0</v>
      </c>
      <c r="H25" s="2" t="s">
        <v>257</v>
      </c>
    </row>
    <row r="26" spans="3:8" x14ac:dyDescent="0.3">
      <c r="C26" s="5" t="s">
        <v>258</v>
      </c>
      <c r="D26" s="2" t="s">
        <v>134</v>
      </c>
      <c r="E26" s="39">
        <v>46234</v>
      </c>
      <c r="F26" s="39">
        <v>46234</v>
      </c>
      <c r="G26" s="39">
        <v>46234</v>
      </c>
      <c r="H26" s="2" t="s">
        <v>259</v>
      </c>
    </row>
    <row r="27" spans="3:8" x14ac:dyDescent="0.3">
      <c r="C27" s="5" t="s">
        <v>260</v>
      </c>
      <c r="D27" s="2" t="s">
        <v>134</v>
      </c>
      <c r="E27" s="39">
        <v>46325</v>
      </c>
      <c r="F27" s="39">
        <v>46325</v>
      </c>
      <c r="G27" s="39">
        <v>46325</v>
      </c>
      <c r="H27" s="2" t="s">
        <v>261</v>
      </c>
    </row>
    <row r="28" spans="3:8" x14ac:dyDescent="0.3">
      <c r="C28" s="5" t="s">
        <v>262</v>
      </c>
      <c r="D28" s="2" t="s">
        <v>134</v>
      </c>
      <c r="E28" s="39">
        <v>46402</v>
      </c>
      <c r="F28" s="39">
        <v>46402</v>
      </c>
      <c r="G28" s="39">
        <v>46402</v>
      </c>
      <c r="H28" s="2" t="s">
        <v>263</v>
      </c>
    </row>
    <row r="29" spans="3:8" x14ac:dyDescent="0.3">
      <c r="C29" s="5" t="s">
        <v>264</v>
      </c>
      <c r="D29" s="2" t="s">
        <v>134</v>
      </c>
      <c r="E29" s="39">
        <v>46402</v>
      </c>
      <c r="F29" s="39">
        <v>46402</v>
      </c>
      <c r="G29" s="39">
        <v>46402</v>
      </c>
      <c r="H29" s="2" t="s">
        <v>265</v>
      </c>
    </row>
    <row r="30" spans="3:8" x14ac:dyDescent="0.3">
      <c r="C30" s="5" t="s">
        <v>266</v>
      </c>
      <c r="D30" s="2" t="s">
        <v>134</v>
      </c>
      <c r="E30" s="39">
        <v>47027</v>
      </c>
      <c r="F30" s="39">
        <v>47027</v>
      </c>
      <c r="G30" s="39">
        <v>47027</v>
      </c>
      <c r="H30" s="2" t="s">
        <v>267</v>
      </c>
    </row>
    <row r="31" spans="3:8" x14ac:dyDescent="0.3">
      <c r="C31" s="5" t="s">
        <v>268</v>
      </c>
      <c r="D31" s="2" t="s">
        <v>134</v>
      </c>
      <c r="E31" s="39">
        <v>46752</v>
      </c>
      <c r="F31" s="39">
        <v>46752</v>
      </c>
      <c r="G31" s="39">
        <v>46752</v>
      </c>
      <c r="H31" s="2" t="s">
        <v>269</v>
      </c>
    </row>
    <row r="32" spans="3:8" x14ac:dyDescent="0.3">
      <c r="C32" s="5" t="s">
        <v>270</v>
      </c>
      <c r="D32" s="2" t="s">
        <v>134</v>
      </c>
      <c r="E32" s="39">
        <v>47299</v>
      </c>
      <c r="F32" s="39">
        <v>47299</v>
      </c>
      <c r="G32" s="39">
        <v>47299</v>
      </c>
      <c r="H32" s="2" t="s">
        <v>271</v>
      </c>
    </row>
    <row r="33" spans="3:8" x14ac:dyDescent="0.3">
      <c r="C33" s="5" t="s">
        <v>272</v>
      </c>
      <c r="D33" s="2" t="s">
        <v>134</v>
      </c>
      <c r="E33" s="39">
        <v>48029</v>
      </c>
      <c r="F33" s="39">
        <v>48029</v>
      </c>
      <c r="G33" s="39">
        <v>48029</v>
      </c>
      <c r="H33" s="2" t="s">
        <v>273</v>
      </c>
    </row>
    <row r="34" spans="3:8" x14ac:dyDescent="0.3">
      <c r="C34" s="5" t="s">
        <v>274</v>
      </c>
      <c r="D34" s="2" t="s">
        <v>134</v>
      </c>
      <c r="E34" s="39">
        <v>48669</v>
      </c>
      <c r="F34" s="39">
        <v>48669</v>
      </c>
      <c r="G34" s="39">
        <v>48669</v>
      </c>
      <c r="H34" s="2" t="s">
        <v>275</v>
      </c>
    </row>
    <row r="35" spans="3:8" x14ac:dyDescent="0.3">
      <c r="C35" s="5" t="s">
        <v>276</v>
      </c>
      <c r="D35" s="2" t="s">
        <v>134</v>
      </c>
      <c r="E35" s="39">
        <v>46325</v>
      </c>
      <c r="F35" s="39">
        <v>46325</v>
      </c>
      <c r="G35" s="39">
        <v>46325</v>
      </c>
      <c r="H35" s="2" t="s">
        <v>277</v>
      </c>
    </row>
    <row r="36" spans="3:8" x14ac:dyDescent="0.3">
      <c r="C36" s="9" t="s">
        <v>278</v>
      </c>
      <c r="D36" s="9"/>
      <c r="E36" s="10"/>
      <c r="F36" s="10"/>
      <c r="G36" s="10"/>
      <c r="H36" s="10"/>
    </row>
    <row r="37" spans="3:8" x14ac:dyDescent="0.3">
      <c r="C37" s="5" t="s">
        <v>279</v>
      </c>
      <c r="D37" s="2" t="s">
        <v>11</v>
      </c>
      <c r="E37" s="34">
        <v>0.12</v>
      </c>
      <c r="H37" s="2" t="s">
        <v>280</v>
      </c>
    </row>
    <row r="38" spans="3:8" x14ac:dyDescent="0.3">
      <c r="C38" s="5" t="s">
        <v>281</v>
      </c>
      <c r="D38" s="2" t="s">
        <v>11</v>
      </c>
      <c r="E38" s="34">
        <v>0.2</v>
      </c>
      <c r="H38" s="2" t="s">
        <v>282</v>
      </c>
    </row>
    <row r="39" spans="3:8" x14ac:dyDescent="0.3">
      <c r="C39" s="5" t="s">
        <v>283</v>
      </c>
      <c r="D39" s="2" t="s">
        <v>2</v>
      </c>
      <c r="E39" s="40">
        <v>2</v>
      </c>
      <c r="H39" s="2" t="s">
        <v>284</v>
      </c>
    </row>
    <row r="40" spans="3:8" x14ac:dyDescent="0.3">
      <c r="C40" s="5" t="s">
        <v>285</v>
      </c>
      <c r="D40" s="2" t="s">
        <v>134</v>
      </c>
      <c r="E40" s="39">
        <v>47299</v>
      </c>
      <c r="H40" s="2" t="s">
        <v>286</v>
      </c>
    </row>
    <row r="41" spans="3:8" x14ac:dyDescent="0.3">
      <c r="C41" s="5" t="s">
        <v>287</v>
      </c>
      <c r="D41" s="2" t="s">
        <v>134</v>
      </c>
      <c r="E41" s="39">
        <v>47391</v>
      </c>
      <c r="H41" s="2" t="s">
        <v>288</v>
      </c>
    </row>
    <row r="42" spans="3:8" x14ac:dyDescent="0.3">
      <c r="C42" s="5" t="s">
        <v>289</v>
      </c>
      <c r="D42" s="2" t="s">
        <v>78</v>
      </c>
      <c r="E42" s="33">
        <v>250</v>
      </c>
      <c r="H42" s="2" t="s">
        <v>290</v>
      </c>
    </row>
    <row r="43" spans="3:8" x14ac:dyDescent="0.3">
      <c r="C43" s="5" t="s">
        <v>291</v>
      </c>
      <c r="D43" s="2" t="s">
        <v>47</v>
      </c>
      <c r="E43" s="36">
        <v>2.5</v>
      </c>
      <c r="H43" s="2" t="s">
        <v>292</v>
      </c>
    </row>
    <row r="44" spans="3:8" x14ac:dyDescent="0.3">
      <c r="C44" s="5" t="s">
        <v>293</v>
      </c>
      <c r="D44" s="2" t="s">
        <v>38</v>
      </c>
      <c r="E44" s="36">
        <v>10</v>
      </c>
      <c r="H44" s="2" t="s">
        <v>294</v>
      </c>
    </row>
    <row r="45" spans="3:8" x14ac:dyDescent="0.3">
      <c r="C45" s="5" t="s">
        <v>295</v>
      </c>
      <c r="D45" s="2" t="s">
        <v>11</v>
      </c>
      <c r="E45" s="34">
        <v>0.15</v>
      </c>
      <c r="H45" s="2" t="s">
        <v>296</v>
      </c>
    </row>
    <row r="46" spans="3:8" x14ac:dyDescent="0.3">
      <c r="C46" s="5" t="s">
        <v>422</v>
      </c>
      <c r="D46" s="2" t="s">
        <v>1</v>
      </c>
      <c r="E46" s="35">
        <v>1</v>
      </c>
      <c r="H46" s="2"/>
    </row>
    <row r="47" spans="3:8" x14ac:dyDescent="0.3">
      <c r="C47" s="9" t="s">
        <v>297</v>
      </c>
      <c r="D47" s="9"/>
      <c r="E47" s="10"/>
      <c r="F47" s="10"/>
      <c r="G47" s="10"/>
      <c r="H47" s="10"/>
    </row>
    <row r="48" spans="3:8" x14ac:dyDescent="0.3">
      <c r="C48" s="5" t="s">
        <v>298</v>
      </c>
      <c r="D48" s="2" t="s">
        <v>38</v>
      </c>
      <c r="E48" s="33">
        <v>80</v>
      </c>
      <c r="H48" s="2" t="s">
        <v>299</v>
      </c>
    </row>
    <row r="49" spans="3:8" x14ac:dyDescent="0.3">
      <c r="C49" s="5" t="s">
        <v>85</v>
      </c>
      <c r="D49" s="2" t="s">
        <v>38</v>
      </c>
      <c r="E49" s="33">
        <v>90</v>
      </c>
      <c r="H49" s="2" t="s">
        <v>300</v>
      </c>
    </row>
    <row r="50" spans="3:8" x14ac:dyDescent="0.3">
      <c r="C50" s="5" t="s">
        <v>86</v>
      </c>
      <c r="D50" s="2" t="s">
        <v>38</v>
      </c>
      <c r="E50" s="33">
        <v>70</v>
      </c>
      <c r="H50" s="2" t="s">
        <v>301</v>
      </c>
    </row>
    <row r="51" spans="3:8" x14ac:dyDescent="0.3">
      <c r="C51" s="5" t="s">
        <v>87</v>
      </c>
      <c r="D51" s="2" t="s">
        <v>38</v>
      </c>
      <c r="E51" s="33">
        <v>60</v>
      </c>
      <c r="H51" s="2" t="s">
        <v>302</v>
      </c>
    </row>
    <row r="52" spans="3:8" x14ac:dyDescent="0.3">
      <c r="C52" s="5" t="s">
        <v>88</v>
      </c>
      <c r="D52" s="2" t="s">
        <v>38</v>
      </c>
      <c r="E52" s="33">
        <v>40</v>
      </c>
      <c r="H52" s="2" t="s">
        <v>303</v>
      </c>
    </row>
    <row r="53" spans="3:8" x14ac:dyDescent="0.3">
      <c r="C53" s="5" t="s">
        <v>89</v>
      </c>
      <c r="D53" s="2" t="s">
        <v>38</v>
      </c>
      <c r="E53" s="33">
        <v>15</v>
      </c>
      <c r="H53" s="2" t="s">
        <v>304</v>
      </c>
    </row>
    <row r="54" spans="3:8" x14ac:dyDescent="0.3">
      <c r="C54" s="5" t="s">
        <v>305</v>
      </c>
      <c r="D54" s="2" t="s">
        <v>78</v>
      </c>
      <c r="E54" s="33">
        <v>12000</v>
      </c>
      <c r="H54" s="2" t="s">
        <v>306</v>
      </c>
    </row>
    <row r="55" spans="3:8" x14ac:dyDescent="0.3">
      <c r="C55" s="5" t="s">
        <v>307</v>
      </c>
      <c r="D55" s="2" t="s">
        <v>9</v>
      </c>
      <c r="E55" s="33">
        <v>200</v>
      </c>
      <c r="H55" s="2" t="s">
        <v>308</v>
      </c>
    </row>
    <row r="56" spans="3:8" x14ac:dyDescent="0.3">
      <c r="C56" s="5" t="s">
        <v>309</v>
      </c>
      <c r="D56" s="2" t="s">
        <v>11</v>
      </c>
      <c r="E56" s="34">
        <v>0.05</v>
      </c>
      <c r="H56" s="2" t="s">
        <v>310</v>
      </c>
    </row>
    <row r="57" spans="3:8" x14ac:dyDescent="0.3">
      <c r="C57" s="5" t="s">
        <v>311</v>
      </c>
      <c r="D57" s="2" t="s">
        <v>312</v>
      </c>
      <c r="E57" s="33">
        <v>100</v>
      </c>
      <c r="H57" s="2" t="s">
        <v>313</v>
      </c>
    </row>
    <row r="58" spans="3:8" x14ac:dyDescent="0.3">
      <c r="C58" s="9" t="s">
        <v>314</v>
      </c>
      <c r="D58" s="9"/>
      <c r="E58" s="10"/>
      <c r="F58" s="10"/>
      <c r="G58" s="10"/>
      <c r="H58" s="10"/>
    </row>
    <row r="59" spans="3:8" x14ac:dyDescent="0.3">
      <c r="C59" s="5" t="s">
        <v>315</v>
      </c>
      <c r="D59" s="2" t="s">
        <v>11</v>
      </c>
      <c r="E59" s="34">
        <v>0.02</v>
      </c>
      <c r="H59" s="2" t="s">
        <v>316</v>
      </c>
    </row>
    <row r="60" spans="3:8" x14ac:dyDescent="0.3">
      <c r="C60" s="5" t="s">
        <v>317</v>
      </c>
      <c r="D60" s="2" t="s">
        <v>11</v>
      </c>
      <c r="E60" s="34">
        <v>0.04</v>
      </c>
      <c r="H60" s="2" t="s">
        <v>318</v>
      </c>
    </row>
    <row r="61" spans="3:8" x14ac:dyDescent="0.3">
      <c r="C61" s="5" t="s">
        <v>319</v>
      </c>
      <c r="D61" s="2" t="s">
        <v>320</v>
      </c>
      <c r="E61" s="34">
        <v>3.0000000000000001E-3</v>
      </c>
      <c r="H61" s="2" t="s">
        <v>321</v>
      </c>
    </row>
    <row r="62" spans="3:8" x14ac:dyDescent="0.3">
      <c r="C62" s="5" t="s">
        <v>322</v>
      </c>
      <c r="D62" s="2" t="s">
        <v>320</v>
      </c>
      <c r="E62" s="34">
        <v>0.01</v>
      </c>
      <c r="H62" s="2" t="s">
        <v>323</v>
      </c>
    </row>
    <row r="63" spans="3:8" x14ac:dyDescent="0.3">
      <c r="C63" s="9" t="s">
        <v>324</v>
      </c>
      <c r="D63" s="9"/>
      <c r="E63" s="10"/>
      <c r="F63" s="10"/>
      <c r="G63" s="10"/>
      <c r="H63" s="10"/>
    </row>
    <row r="64" spans="3:8" x14ac:dyDescent="0.3">
      <c r="C64" s="5" t="s">
        <v>325</v>
      </c>
      <c r="D64" s="2" t="s">
        <v>47</v>
      </c>
      <c r="E64" s="36">
        <v>3</v>
      </c>
      <c r="H64" s="2" t="s">
        <v>326</v>
      </c>
    </row>
    <row r="65" spans="3:8" x14ac:dyDescent="0.3">
      <c r="C65" s="5" t="s">
        <v>327</v>
      </c>
      <c r="D65" s="2" t="s">
        <v>47</v>
      </c>
      <c r="E65" s="36">
        <v>3</v>
      </c>
      <c r="H65" s="2" t="s">
        <v>328</v>
      </c>
    </row>
    <row r="66" spans="3:8" x14ac:dyDescent="0.3">
      <c r="C66" s="5" t="s">
        <v>329</v>
      </c>
      <c r="D66" s="2" t="s">
        <v>47</v>
      </c>
      <c r="E66" s="36">
        <v>2.5</v>
      </c>
      <c r="H66" s="2" t="s">
        <v>330</v>
      </c>
    </row>
    <row r="67" spans="3:8" x14ac:dyDescent="0.3">
      <c r="C67" s="5" t="s">
        <v>331</v>
      </c>
      <c r="D67" s="2" t="s">
        <v>47</v>
      </c>
      <c r="E67" s="36">
        <v>1.5</v>
      </c>
      <c r="H67" s="2" t="s">
        <v>332</v>
      </c>
    </row>
    <row r="68" spans="3:8" x14ac:dyDescent="0.3">
      <c r="C68" s="5" t="s">
        <v>333</v>
      </c>
      <c r="D68" s="2" t="s">
        <v>47</v>
      </c>
      <c r="E68" s="36">
        <v>3</v>
      </c>
      <c r="H68" s="2" t="s">
        <v>334</v>
      </c>
    </row>
    <row r="69" spans="3:8" x14ac:dyDescent="0.3">
      <c r="C69" s="5" t="s">
        <v>335</v>
      </c>
      <c r="D69" s="2" t="s">
        <v>336</v>
      </c>
      <c r="E69" s="33">
        <v>150</v>
      </c>
      <c r="H69" s="2" t="s">
        <v>337</v>
      </c>
    </row>
    <row r="70" spans="3:8" x14ac:dyDescent="0.3">
      <c r="C70" s="5" t="s">
        <v>338</v>
      </c>
      <c r="D70" s="2" t="s">
        <v>19</v>
      </c>
      <c r="E70" s="36">
        <v>4</v>
      </c>
      <c r="H70" s="2" t="s">
        <v>339</v>
      </c>
    </row>
    <row r="71" spans="3:8" x14ac:dyDescent="0.3">
      <c r="C71" s="5" t="s">
        <v>340</v>
      </c>
      <c r="D71" s="2" t="s">
        <v>19</v>
      </c>
      <c r="E71" s="36">
        <v>1</v>
      </c>
      <c r="H71" s="2" t="s">
        <v>341</v>
      </c>
    </row>
    <row r="72" spans="3:8" x14ac:dyDescent="0.3">
      <c r="C72" s="5" t="s">
        <v>198</v>
      </c>
      <c r="D72" s="2" t="s">
        <v>342</v>
      </c>
      <c r="E72" s="34">
        <v>1E-3</v>
      </c>
      <c r="H72" s="2" t="s">
        <v>343</v>
      </c>
    </row>
    <row r="73" spans="3:8" x14ac:dyDescent="0.3">
      <c r="C73" s="5" t="s">
        <v>201</v>
      </c>
      <c r="D73" s="2" t="s">
        <v>342</v>
      </c>
      <c r="E73" s="34">
        <v>0.02</v>
      </c>
      <c r="H73" s="2" t="s">
        <v>344</v>
      </c>
    </row>
    <row r="74" spans="3:8" x14ac:dyDescent="0.3">
      <c r="C74" s="5" t="s">
        <v>345</v>
      </c>
      <c r="D74" s="2" t="s">
        <v>11</v>
      </c>
      <c r="E74" s="34">
        <v>0.05</v>
      </c>
      <c r="H74" s="2" t="s">
        <v>346</v>
      </c>
    </row>
    <row r="75" spans="3:8" x14ac:dyDescent="0.3">
      <c r="C75" s="5" t="s">
        <v>347</v>
      </c>
      <c r="D75" s="2" t="s">
        <v>320</v>
      </c>
      <c r="E75" s="34">
        <v>2.5000000000000001E-2</v>
      </c>
      <c r="H75" s="2" t="s">
        <v>348</v>
      </c>
    </row>
    <row r="76" spans="3:8" x14ac:dyDescent="0.3">
      <c r="C76" s="9" t="s">
        <v>349</v>
      </c>
      <c r="D76" s="9"/>
      <c r="E76" s="10"/>
      <c r="F76" s="10"/>
      <c r="G76" s="10"/>
      <c r="H76" s="10"/>
    </row>
    <row r="77" spans="3:8" x14ac:dyDescent="0.3">
      <c r="C77" s="5" t="s">
        <v>350</v>
      </c>
      <c r="D77" s="2" t="s">
        <v>178</v>
      </c>
      <c r="E77" s="35">
        <v>30</v>
      </c>
      <c r="H77" s="2" t="s">
        <v>351</v>
      </c>
    </row>
    <row r="78" spans="3:8" x14ac:dyDescent="0.3">
      <c r="C78" s="5" t="s">
        <v>352</v>
      </c>
      <c r="D78" s="2" t="s">
        <v>11</v>
      </c>
      <c r="E78" s="34">
        <v>0.08</v>
      </c>
      <c r="H78" s="2" t="s">
        <v>353</v>
      </c>
    </row>
    <row r="79" spans="3:8" x14ac:dyDescent="0.3">
      <c r="C79" s="5" t="s">
        <v>354</v>
      </c>
      <c r="D79" s="2" t="s">
        <v>124</v>
      </c>
      <c r="E79" s="35">
        <v>2026</v>
      </c>
      <c r="H79" s="2" t="s">
        <v>355</v>
      </c>
    </row>
    <row r="80" spans="3:8" x14ac:dyDescent="0.3">
      <c r="C80" s="5" t="s">
        <v>356</v>
      </c>
      <c r="D80" s="2" t="s">
        <v>2</v>
      </c>
      <c r="E80" s="33">
        <v>1000</v>
      </c>
      <c r="H80" s="2" t="s">
        <v>357</v>
      </c>
    </row>
    <row r="81" spans="2:16" x14ac:dyDescent="0.3">
      <c r="C81" s="5" t="s">
        <v>358</v>
      </c>
      <c r="D81" s="2" t="s">
        <v>138</v>
      </c>
      <c r="E81" s="35">
        <v>365</v>
      </c>
      <c r="H81" s="2" t="s">
        <v>357</v>
      </c>
    </row>
    <row r="82" spans="2:16" x14ac:dyDescent="0.3">
      <c r="C82" s="5" t="s">
        <v>359</v>
      </c>
      <c r="D82" s="2" t="s">
        <v>180</v>
      </c>
      <c r="E82" s="35">
        <v>12</v>
      </c>
      <c r="H82" s="2" t="s">
        <v>357</v>
      </c>
    </row>
    <row r="83" spans="2:16" x14ac:dyDescent="0.3">
      <c r="C83" s="5" t="s">
        <v>360</v>
      </c>
      <c r="D83" s="2" t="s">
        <v>78</v>
      </c>
      <c r="E83" s="41">
        <v>1E-3</v>
      </c>
      <c r="H83" s="2" t="s">
        <v>357</v>
      </c>
    </row>
    <row r="85" spans="2:16" x14ac:dyDescent="0.3">
      <c r="B85" s="3" t="s">
        <v>2</v>
      </c>
      <c r="C85" s="3" t="s">
        <v>361</v>
      </c>
      <c r="D85" s="3"/>
      <c r="E85" s="4" t="s">
        <v>362</v>
      </c>
      <c r="F85" s="4"/>
      <c r="G85" s="4"/>
      <c r="H85" s="4"/>
    </row>
    <row r="86" spans="2:16" outlineLevel="1" x14ac:dyDescent="0.3">
      <c r="C86" s="5" t="s">
        <v>363</v>
      </c>
      <c r="E86" s="42">
        <v>10</v>
      </c>
      <c r="F86" s="42">
        <v>15</v>
      </c>
      <c r="G86" s="42">
        <v>20</v>
      </c>
      <c r="H86" s="42">
        <v>25</v>
      </c>
      <c r="I86" s="42">
        <v>30</v>
      </c>
      <c r="J86" s="42">
        <v>35</v>
      </c>
      <c r="K86" s="42">
        <v>40</v>
      </c>
      <c r="L86" s="42">
        <v>45</v>
      </c>
      <c r="M86" s="42">
        <v>50</v>
      </c>
    </row>
    <row r="87" spans="2:16" outlineLevel="1" x14ac:dyDescent="0.3">
      <c r="C87" s="5" t="s">
        <v>364</v>
      </c>
      <c r="E87" s="42">
        <v>0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1</v>
      </c>
    </row>
    <row r="88" spans="2:16" outlineLevel="1" x14ac:dyDescent="0.3">
      <c r="C88" s="5" t="s">
        <v>365</v>
      </c>
      <c r="E88" s="42">
        <v>0</v>
      </c>
      <c r="F88" s="42">
        <v>10</v>
      </c>
      <c r="G88" s="42">
        <v>20</v>
      </c>
      <c r="H88" s="42">
        <v>30</v>
      </c>
      <c r="I88" s="42">
        <v>40</v>
      </c>
      <c r="J88" s="42">
        <v>55</v>
      </c>
      <c r="K88" s="42">
        <v>70</v>
      </c>
      <c r="L88" s="42">
        <v>80</v>
      </c>
      <c r="M88" s="42">
        <v>90</v>
      </c>
      <c r="N88" s="42">
        <v>100</v>
      </c>
    </row>
    <row r="89" spans="2:16" outlineLevel="1" x14ac:dyDescent="0.3">
      <c r="C89" s="5" t="s">
        <v>366</v>
      </c>
      <c r="E89" s="42">
        <v>2</v>
      </c>
      <c r="F89" s="42">
        <v>2.1</v>
      </c>
      <c r="G89" s="42">
        <v>2.2000000000000002</v>
      </c>
      <c r="H89" s="42">
        <v>2.2999999999999998</v>
      </c>
      <c r="I89" s="42">
        <v>2.4</v>
      </c>
      <c r="J89" s="42">
        <v>2.5</v>
      </c>
      <c r="K89" s="42">
        <v>2.6</v>
      </c>
      <c r="L89" s="42">
        <v>2.7</v>
      </c>
      <c r="M89" s="42">
        <v>2.8</v>
      </c>
      <c r="N89" s="42">
        <v>2.9</v>
      </c>
      <c r="O89" s="42">
        <v>3</v>
      </c>
    </row>
    <row r="90" spans="2:16" outlineLevel="1" x14ac:dyDescent="0.3">
      <c r="C90" s="5" t="s">
        <v>367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0</v>
      </c>
      <c r="N90" s="42">
        <v>0</v>
      </c>
      <c r="O90" s="42">
        <v>1</v>
      </c>
    </row>
    <row r="91" spans="2:16" outlineLevel="1" x14ac:dyDescent="0.3">
      <c r="C91" s="5" t="s">
        <v>368</v>
      </c>
      <c r="E91" s="42">
        <v>0</v>
      </c>
      <c r="F91" s="42">
        <v>5</v>
      </c>
      <c r="G91" s="42">
        <v>10</v>
      </c>
      <c r="H91" s="42">
        <v>20</v>
      </c>
      <c r="I91" s="42">
        <v>30</v>
      </c>
      <c r="J91" s="42">
        <v>40</v>
      </c>
      <c r="K91" s="42">
        <v>50</v>
      </c>
      <c r="L91" s="42">
        <v>60</v>
      </c>
      <c r="M91" s="42">
        <v>70</v>
      </c>
      <c r="N91" s="42">
        <v>80</v>
      </c>
      <c r="O91" s="42">
        <v>90</v>
      </c>
      <c r="P91" s="42">
        <v>100</v>
      </c>
    </row>
    <row r="92" spans="2:16" outlineLevel="1" x14ac:dyDescent="0.3">
      <c r="C92" s="5" t="s">
        <v>369</v>
      </c>
      <c r="E92" s="42">
        <v>0.02</v>
      </c>
      <c r="F92" s="42">
        <v>0.05</v>
      </c>
      <c r="G92" s="42">
        <v>0.1</v>
      </c>
      <c r="H92" s="42">
        <v>0.15</v>
      </c>
      <c r="I92" s="42">
        <v>0.2</v>
      </c>
      <c r="J92" s="42">
        <v>0.25</v>
      </c>
      <c r="K92" s="42">
        <v>0.3</v>
      </c>
      <c r="L92" s="42">
        <v>0.35</v>
      </c>
      <c r="M92" s="42">
        <v>0.4</v>
      </c>
      <c r="N92" s="42">
        <v>0.5</v>
      </c>
    </row>
    <row r="93" spans="2:16" outlineLevel="1" x14ac:dyDescent="0.3">
      <c r="C93" s="5" t="s">
        <v>370</v>
      </c>
      <c r="E93" s="42">
        <v>0</v>
      </c>
      <c r="F93" s="42">
        <v>1</v>
      </c>
      <c r="G93" s="42">
        <v>1</v>
      </c>
      <c r="H93" s="42">
        <v>1</v>
      </c>
      <c r="I93" s="42">
        <v>1</v>
      </c>
      <c r="J93" s="42">
        <v>1</v>
      </c>
      <c r="K93" s="42">
        <v>1</v>
      </c>
      <c r="L93" s="42">
        <v>1</v>
      </c>
      <c r="M93" s="42">
        <v>1</v>
      </c>
      <c r="N93" s="42">
        <v>0</v>
      </c>
    </row>
    <row r="94" spans="2:16" outlineLevel="1" x14ac:dyDescent="0.3">
      <c r="C94" s="5" t="s">
        <v>371</v>
      </c>
      <c r="E94" s="42">
        <v>0</v>
      </c>
      <c r="F94" s="42">
        <v>10</v>
      </c>
      <c r="G94" s="42">
        <v>20</v>
      </c>
      <c r="H94" s="42">
        <v>30</v>
      </c>
      <c r="I94" s="42">
        <v>40</v>
      </c>
      <c r="J94" s="42">
        <v>50</v>
      </c>
      <c r="K94" s="42">
        <v>60</v>
      </c>
      <c r="L94" s="42">
        <v>70</v>
      </c>
      <c r="M94" s="42">
        <v>80</v>
      </c>
      <c r="N94" s="42">
        <v>90</v>
      </c>
      <c r="O94" s="42">
        <v>100</v>
      </c>
    </row>
    <row r="95" spans="2:16" outlineLevel="1" x14ac:dyDescent="0.3">
      <c r="C95" s="5" t="s">
        <v>372</v>
      </c>
      <c r="E95" s="42">
        <v>1</v>
      </c>
      <c r="F95" s="42">
        <v>1.2</v>
      </c>
      <c r="G95" s="42">
        <v>1.3</v>
      </c>
      <c r="H95" s="42">
        <v>1.4</v>
      </c>
      <c r="I95" s="42">
        <v>1.5</v>
      </c>
      <c r="J95" s="42">
        <v>1.6</v>
      </c>
      <c r="K95" s="42">
        <v>1.7</v>
      </c>
      <c r="L95" s="42">
        <v>1.8</v>
      </c>
      <c r="M95" s="42">
        <v>1.9</v>
      </c>
      <c r="N95" s="42">
        <v>2</v>
      </c>
    </row>
    <row r="96" spans="2:16" outlineLevel="1" x14ac:dyDescent="0.3">
      <c r="C96" s="5" t="s">
        <v>373</v>
      </c>
      <c r="E96" s="42">
        <v>0</v>
      </c>
      <c r="F96" s="42">
        <v>1</v>
      </c>
      <c r="G96" s="42">
        <v>1</v>
      </c>
      <c r="H96" s="42">
        <v>1</v>
      </c>
      <c r="I96" s="42">
        <v>1</v>
      </c>
      <c r="J96" s="42">
        <v>1</v>
      </c>
      <c r="K96" s="42">
        <v>1</v>
      </c>
      <c r="L96" s="42">
        <v>1</v>
      </c>
      <c r="M96" s="42">
        <v>1</v>
      </c>
      <c r="N96" s="42">
        <v>1</v>
      </c>
    </row>
    <row r="97" spans="3:15" outlineLevel="1" x14ac:dyDescent="0.3">
      <c r="C97" s="5" t="s">
        <v>374</v>
      </c>
      <c r="E97" s="42">
        <v>0</v>
      </c>
      <c r="F97" s="42">
        <v>10</v>
      </c>
      <c r="G97" s="42">
        <v>20</v>
      </c>
      <c r="H97" s="42">
        <v>30</v>
      </c>
      <c r="I97" s="42">
        <v>40</v>
      </c>
      <c r="J97" s="42">
        <v>50</v>
      </c>
      <c r="K97" s="42">
        <v>60</v>
      </c>
      <c r="L97" s="42">
        <v>70</v>
      </c>
      <c r="M97" s="42">
        <v>80</v>
      </c>
      <c r="N97" s="42">
        <v>90</v>
      </c>
      <c r="O97" s="42">
        <v>100</v>
      </c>
    </row>
    <row r="98" spans="3:15" outlineLevel="1" x14ac:dyDescent="0.3">
      <c r="C98" s="5" t="s">
        <v>375</v>
      </c>
      <c r="E98" s="42">
        <v>100</v>
      </c>
    </row>
    <row r="99" spans="3:15" outlineLevel="1" x14ac:dyDescent="0.3">
      <c r="C99" s="5" t="s">
        <v>376</v>
      </c>
      <c r="E99" s="42">
        <v>100</v>
      </c>
    </row>
    <row r="100" spans="3:15" outlineLevel="1" x14ac:dyDescent="0.3">
      <c r="C100" s="5" t="s">
        <v>377</v>
      </c>
      <c r="E100" s="42">
        <v>100</v>
      </c>
    </row>
    <row r="101" spans="3:15" outlineLevel="1" x14ac:dyDescent="0.3">
      <c r="C101" s="5" t="s">
        <v>378</v>
      </c>
      <c r="E101" s="42">
        <v>80</v>
      </c>
    </row>
    <row r="102" spans="3:15" outlineLevel="1" x14ac:dyDescent="0.3">
      <c r="C102" s="5" t="s">
        <v>379</v>
      </c>
      <c r="E102" s="42">
        <v>20</v>
      </c>
    </row>
    <row r="103" spans="3:15" outlineLevel="1" x14ac:dyDescent="0.3">
      <c r="C103" s="5" t="s">
        <v>380</v>
      </c>
      <c r="E103" s="42">
        <v>0.2</v>
      </c>
    </row>
    <row r="104" spans="3:15" outlineLevel="1" x14ac:dyDescent="0.3">
      <c r="C104" s="5" t="s">
        <v>381</v>
      </c>
      <c r="E104" s="42">
        <v>0.15</v>
      </c>
    </row>
    <row r="105" spans="3:15" outlineLevel="1" x14ac:dyDescent="0.3">
      <c r="C105" s="5" t="s">
        <v>382</v>
      </c>
      <c r="E105" s="42">
        <v>0.1</v>
      </c>
    </row>
    <row r="106" spans="3:15" outlineLevel="1" x14ac:dyDescent="0.3">
      <c r="C106" s="5" t="s">
        <v>383</v>
      </c>
      <c r="E106" s="42">
        <v>0.15</v>
      </c>
    </row>
    <row r="107" spans="3:15" outlineLevel="1" x14ac:dyDescent="0.3">
      <c r="C107" s="5" t="s">
        <v>384</v>
      </c>
      <c r="E107" s="42">
        <v>0.05</v>
      </c>
    </row>
    <row r="108" spans="3:15" outlineLevel="1" x14ac:dyDescent="0.3">
      <c r="C108" s="5" t="s">
        <v>385</v>
      </c>
      <c r="E108" s="42">
        <v>0.05</v>
      </c>
    </row>
    <row r="109" spans="3:15" outlineLevel="1" x14ac:dyDescent="0.3">
      <c r="C109" s="5" t="s">
        <v>386</v>
      </c>
      <c r="E109" s="42">
        <v>0.1</v>
      </c>
    </row>
    <row r="110" spans="3:15" outlineLevel="1" x14ac:dyDescent="0.3">
      <c r="C110" s="5" t="s">
        <v>387</v>
      </c>
      <c r="E110" s="42">
        <v>0.05</v>
      </c>
    </row>
    <row r="111" spans="3:15" outlineLevel="1" x14ac:dyDescent="0.3">
      <c r="C111" s="5" t="s">
        <v>388</v>
      </c>
      <c r="E111" s="42">
        <v>0.15</v>
      </c>
    </row>
    <row r="113" spans="3:3" x14ac:dyDescent="0.3">
      <c r="C113" s="11" t="s">
        <v>219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5C80BA76C054AAAC0D3CDDFCEC309" ma:contentTypeVersion="14" ma:contentTypeDescription="Create a new document." ma:contentTypeScope="" ma:versionID="d968673a7c3a10ddeefea4f97a096cd1">
  <xsd:schema xmlns:xsd="http://www.w3.org/2001/XMLSchema" xmlns:xs="http://www.w3.org/2001/XMLSchema" xmlns:p="http://schemas.microsoft.com/office/2006/metadata/properties" xmlns:ns2="3ba8be79-126f-4ecc-b268-0e8a1c9d820a" xmlns:ns3="348e42aa-7502-48aa-9973-d5430de63b43" targetNamespace="http://schemas.microsoft.com/office/2006/metadata/properties" ma:root="true" ma:fieldsID="65bd50756c71f8c38774f3a5c983a670" ns2:_="" ns3:_="">
    <xsd:import namespace="3ba8be79-126f-4ecc-b268-0e8a1c9d820a"/>
    <xsd:import namespace="348e42aa-7502-48aa-9973-d5430de63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8be79-126f-4ecc-b268-0e8a1c9d8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54c7780-c79f-4b81-a1cc-c56cb19b1b79}" ma:internalName="TaxCatchAll" ma:showField="CatchAllData" ma:web="3ba8be79-126f-4ecc-b268-0e8a1c9d8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42aa-7502-48aa-9973-d5430de63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080c10-e0a6-4b42-beda-2db26c8ffc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8e42aa-7502-48aa-9973-d5430de63b43">
      <Terms xmlns="http://schemas.microsoft.com/office/infopath/2007/PartnerControls"/>
    </lcf76f155ced4ddcb4097134ff3c332f>
    <TaxCatchAll xmlns="3ba8be79-126f-4ecc-b268-0e8a1c9d820a" xsi:nil="true"/>
  </documentManagement>
</p:properties>
</file>

<file path=customXml/itemProps1.xml><?xml version="1.0" encoding="utf-8"?>
<ds:datastoreItem xmlns:ds="http://schemas.openxmlformats.org/officeDocument/2006/customXml" ds:itemID="{9C9C9B8A-D976-47D5-B74F-5F75FDEC5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8be79-126f-4ecc-b268-0e8a1c9d820a"/>
    <ds:schemaRef ds:uri="348e42aa-7502-48aa-9973-d5430de63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623F0-E57A-43AF-8A8C-53C11C5244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DA6336-3ABB-4636-B282-3252113AC58A}">
  <ds:schemaRefs>
    <ds:schemaRef ds:uri="http://schemas.microsoft.com/office/2006/metadata/properties"/>
    <ds:schemaRef ds:uri="http://schemas.microsoft.com/office/infopath/2007/PartnerControls"/>
    <ds:schemaRef ds:uri="348e42aa-7502-48aa-9973-d5430de63b43"/>
    <ds:schemaRef ds:uri="3ba8be79-126f-4ecc-b268-0e8a1c9d820a"/>
  </ds:schemaRefs>
</ds:datastoreItem>
</file>

<file path=docMetadata/LabelInfo.xml><?xml version="1.0" encoding="utf-8"?>
<clbl:labelList xmlns:clbl="http://schemas.microsoft.com/office/2020/mipLabelMetadata">
  <clbl:label id="{42728984-5573-4501-93e1-26196c1472d0}" enabled="0" method="" siteId="{42728984-5573-4501-93e1-26196c1472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105</vt:i4>
      </vt:variant>
    </vt:vector>
  </HeadingPairs>
  <TitlesOfParts>
    <vt:vector size="107" baseType="lpstr">
      <vt:lpstr>Dashboard</vt:lpstr>
      <vt:lpstr>Inputs</vt:lpstr>
      <vt:lpstr>Balancing</vt:lpstr>
      <vt:lpstr>Bench_BESS</vt:lpstr>
      <vt:lpstr>Bench_Wind</vt:lpstr>
      <vt:lpstr>BESS_Capex</vt:lpstr>
      <vt:lpstr>Bid_Sec_Rate</vt:lpstr>
      <vt:lpstr>Capex_Civil</vt:lpstr>
      <vt:lpstr>Capex_Cont</vt:lpstr>
      <vt:lpstr>Capex_Elec</vt:lpstr>
      <vt:lpstr>Capex_Fdn</vt:lpstr>
      <vt:lpstr>Capex_Install</vt:lpstr>
      <vt:lpstr>Capex_Land</vt:lpstr>
      <vt:lpstr>Capex_Owner</vt:lpstr>
      <vt:lpstr>Case_CN</vt:lpstr>
      <vt:lpstr>Case_EU</vt:lpstr>
      <vt:lpstr>Case_OM</vt:lpstr>
      <vt:lpstr>Case_P50</vt:lpstr>
      <vt:lpstr>Case_PPA</vt:lpstr>
      <vt:lpstr>CIT_Rate</vt:lpstr>
      <vt:lpstr>Clipping</vt:lpstr>
      <vt:lpstr>Curtailment</vt:lpstr>
      <vt:lpstr>Dash_BESS_Share</vt:lpstr>
      <vt:lpstr>Dash_Brownfield</vt:lpstr>
      <vt:lpstr>Dash_Case</vt:lpstr>
      <vt:lpstr>Dash_Case_CN</vt:lpstr>
      <vt:lpstr>Dash_Case_EU</vt:lpstr>
      <vt:lpstr>Dash_Case_OM</vt:lpstr>
      <vt:lpstr>Dash_Case_P50</vt:lpstr>
      <vt:lpstr>Dash_Case_PPA</vt:lpstr>
      <vt:lpstr>Dash_Community</vt:lpstr>
      <vt:lpstr>Dash_DSA</vt:lpstr>
      <vt:lpstr>Dash_FEP_Share</vt:lpstr>
      <vt:lpstr>Dash_Hours</vt:lpstr>
      <vt:lpstr>Dash_Municipal</vt:lpstr>
      <vt:lpstr>Dash_MVA</vt:lpstr>
      <vt:lpstr>Dash_Overbuild</vt:lpstr>
      <vt:lpstr>Dash_P50</vt:lpstr>
      <vt:lpstr>Dash_Partial</vt:lpstr>
      <vt:lpstr>Dash_PB_Mult</vt:lpstr>
      <vt:lpstr>Dash_Premium</vt:lpstr>
      <vt:lpstr>Dash_Shared</vt:lpstr>
      <vt:lpstr>Dash_Shortfall</vt:lpstr>
      <vt:lpstr>Dash_Turbine</vt:lpstr>
      <vt:lpstr>Days_In_Year</vt:lpstr>
      <vt:lpstr>Degradation</vt:lpstr>
      <vt:lpstr>Devex_Floor</vt:lpstr>
      <vt:lpstr>Discount_Rate</vt:lpstr>
      <vt:lpstr>DSA_Cap</vt:lpstr>
      <vt:lpstr>DSA_Rate</vt:lpstr>
      <vt:lpstr>First_Year</vt:lpstr>
      <vt:lpstr>Freeze_Date</vt:lpstr>
      <vt:lpstr>FX</vt:lpstr>
      <vt:lpstr>Grid_Charges</vt:lpstr>
      <vt:lpstr>HIPA_Rate</vt:lpstr>
      <vt:lpstr>Life</vt:lpstr>
      <vt:lpstr>Lump_Basis</vt:lpstr>
      <vt:lpstr>Master_Check</vt:lpstr>
      <vt:lpstr>MEKH_Fee</vt:lpstr>
      <vt:lpstr>Months_In_Year</vt:lpstr>
      <vt:lpstr>Opex_Admin</vt:lpstr>
      <vt:lpstr>Opex_BoP</vt:lpstr>
      <vt:lpstr>Opex_Cont</vt:lpstr>
      <vt:lpstr>Opex_Esc</vt:lpstr>
      <vt:lpstr>Opex_Ins</vt:lpstr>
      <vt:lpstr>Opex_Lease</vt:lpstr>
      <vt:lpstr>Opex_Mgmt</vt:lpstr>
      <vt:lpstr>Opex_Per_MW</vt:lpstr>
      <vt:lpstr>Opex_PropTax</vt:lpstr>
      <vt:lpstr>Osz1_Incl</vt:lpstr>
      <vt:lpstr>Osz1_LB</vt:lpstr>
      <vt:lpstr>Osz1_Pts</vt:lpstr>
      <vt:lpstr>Osz1_W</vt:lpstr>
      <vt:lpstr>Osz2_Incl</vt:lpstr>
      <vt:lpstr>Osz2_LB</vt:lpstr>
      <vt:lpstr>Osz2_Pts</vt:lpstr>
      <vt:lpstr>Osz2_W</vt:lpstr>
      <vt:lpstr>Osz3_Incl</vt:lpstr>
      <vt:lpstr>Osz3_LB</vt:lpstr>
      <vt:lpstr>Osz3_Pts</vt:lpstr>
      <vt:lpstr>Osz3_W</vt:lpstr>
      <vt:lpstr>Osz4_W</vt:lpstr>
      <vt:lpstr>Osz5_Pts</vt:lpstr>
      <vt:lpstr>Osz5_W</vt:lpstr>
      <vt:lpstr>Osz6_Incl</vt:lpstr>
      <vt:lpstr>Osz6_LB</vt:lpstr>
      <vt:lpstr>Osz6_Pts</vt:lpstr>
      <vt:lpstr>Osz6_W</vt:lpstr>
      <vt:lpstr>Osz7_Pts</vt:lpstr>
      <vt:lpstr>Osz7_W</vt:lpstr>
      <vt:lpstr>Osz8_Pts</vt:lpstr>
      <vt:lpstr>Osz8_W</vt:lpstr>
      <vt:lpstr>Osz9_W</vt:lpstr>
      <vt:lpstr>Osz9a_Pts</vt:lpstr>
      <vt:lpstr>Osz9b_Pts</vt:lpstr>
      <vt:lpstr>Part_Fee</vt:lpstr>
      <vt:lpstr>PB_Rate</vt:lpstr>
      <vt:lpstr>PPA_Esc</vt:lpstr>
      <vt:lpstr>Rate_Cash</vt:lpstr>
      <vt:lpstr>Rate_Devex</vt:lpstr>
      <vt:lpstr>Sale_Costs</vt:lpstr>
      <vt:lpstr>Sale_Date</vt:lpstr>
      <vt:lpstr>Share_Exempt</vt:lpstr>
      <vt:lpstr>Subs_Lump</vt:lpstr>
      <vt:lpstr>Thousand</vt:lpstr>
      <vt:lpstr>Tolerance</vt:lpstr>
      <vt:lpstr>TSO_Rate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Zádeczki Zalán</cp:lastModifiedBy>
  <dcterms:created xsi:type="dcterms:W3CDTF">2026-10-27T15:34:29Z</dcterms:created>
  <dcterms:modified xsi:type="dcterms:W3CDTF">2026-10-28T16:00:51Z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