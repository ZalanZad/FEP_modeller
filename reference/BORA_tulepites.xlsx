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shortcut-targets-by-id\1L0IJfR4TQrQBt-hzix54tbVEeVyOeqGH\A.RES\04_PROJEKTEK\01_MAGYARORSZÁG\05_Bora\15_Tender\"/>
    </mc:Choice>
  </mc:AlternateContent>
  <xr:revisionPtr revIDLastSave="0" documentId="13_ncr:1_{244377E5-9A92-4DA2-85B7-DF25050599AD}" xr6:coauthVersionLast="47" xr6:coauthVersionMax="47" xr10:uidLastSave="{00000000-0000-0000-0000-000000000000}"/>
  <bookViews>
    <workbookView xWindow="-108" yWindow="-108" windowWidth="23256" windowHeight="12456" xr2:uid="{935643C1-6789-4355-B7E2-965361AF6A2B}"/>
  </bookViews>
  <sheets>
    <sheet name="Tulepi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" i="1" l="1"/>
  <c r="M6" i="1"/>
  <c r="F3" i="1"/>
  <c r="D4" i="1"/>
  <c r="D5" i="1"/>
  <c r="D6" i="1"/>
  <c r="I6" i="1" s="1"/>
  <c r="J6" i="1" s="1"/>
  <c r="Q3" i="1"/>
  <c r="Q2" i="1"/>
  <c r="E4" i="1" l="1"/>
  <c r="I4" i="1"/>
  <c r="J4" i="1" s="1"/>
  <c r="G4" i="1"/>
  <c r="K4" i="1" s="1"/>
  <c r="E5" i="1"/>
  <c r="I5" i="1"/>
  <c r="J5" i="1" s="1"/>
  <c r="G5" i="1"/>
  <c r="K5" i="1" s="1"/>
  <c r="E6" i="1"/>
  <c r="G6" i="1"/>
  <c r="K6" i="1" s="1"/>
  <c r="L4" i="1"/>
  <c r="M4" i="1" s="1"/>
  <c r="H4" i="1"/>
  <c r="L5" i="1"/>
  <c r="H5" i="1"/>
  <c r="D3" i="1"/>
  <c r="E3" i="1" l="1"/>
  <c r="I3" i="1"/>
  <c r="J3" i="1" s="1"/>
  <c r="L6" i="1"/>
  <c r="H6" i="1"/>
  <c r="G3" i="1"/>
  <c r="H3" i="1" l="1"/>
  <c r="K3" i="1"/>
  <c r="L3" i="1" s="1"/>
  <c r="M3" i="1" s="1"/>
</calcChain>
</file>

<file path=xl/sharedStrings.xml><?xml version="1.0" encoding="utf-8"?>
<sst xmlns="http://schemas.openxmlformats.org/spreadsheetml/2006/main" count="29" uniqueCount="18">
  <si>
    <t>Csatlakozási kapacitás</t>
  </si>
  <si>
    <t>Beépített kapacitás</t>
  </si>
  <si>
    <t xml:space="preserve">Túlépítés mértéke </t>
  </si>
  <si>
    <t>MW</t>
  </si>
  <si>
    <t>%</t>
  </si>
  <si>
    <t>Tényleges eltérés</t>
  </si>
  <si>
    <t>Megengedett eltérés (10%)</t>
  </si>
  <si>
    <t>HUF</t>
  </si>
  <si>
    <t>Teljesítési biztosíték</t>
  </si>
  <si>
    <t>Szél</t>
  </si>
  <si>
    <t>BESS</t>
  </si>
  <si>
    <t>Szükséges-e visszafizetés?</t>
  </si>
  <si>
    <t>HUF/MW</t>
  </si>
  <si>
    <t>Elvesztett teljesítési biztosíték</t>
  </si>
  <si>
    <t>EUR</t>
  </si>
  <si>
    <t>EUR/HUF</t>
  </si>
  <si>
    <t>Biztosíték/teljes beruházási költség</t>
  </si>
  <si>
    <t>Befizetett teljesítési biztosíték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</si>
</sst>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1" xfId="0" applyFill="1" applyBorder="1"/>
    <xf numFmtId="0" fontId="2" fillId="2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left"/>
    </xf>
    <xf numFmtId="164" fontId="0" fillId="0" borderId="1" xfId="1" applyNumberFormat="1" applyFont="1" applyBorder="1"/>
    <xf numFmtId="164" fontId="0" fillId="0" borderId="0" xfId="1" applyNumberFormat="1" applyFont="1"/>
    <xf numFmtId="164" fontId="0" fillId="0" borderId="1" xfId="0" applyNumberFormat="1" applyBorder="1"/>
    <xf numFmtId="2" fontId="0" fillId="0" borderId="1" xfId="0" applyNumberFormat="1" applyBorder="1"/>
    <xf numFmtId="165" fontId="0" fillId="0" borderId="1" xfId="0" applyNumberFormat="1" applyBorder="1"/>
    <xf numFmtId="0" fontId="2" fillId="2" borderId="2" xfId="0" applyFont="1" applyFill="1" applyBorder="1" applyAlignment="1">
      <alignment horizontal="left" wrapText="1"/>
    </xf>
  </cellXfs>
  <cellStyles count="2">
    <cellStyle name="Ezres" xfId="1" builtinId="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7723-32DF-4B19-B1BB-3255A3244441}">
  <dimension ref="A1:R6"/>
  <sheetViews>
    <sheetView tabSelected="1" workbookViewId="0">
      <selection activeCell="J13" sqref="J13"/>
    </sheetView>
  </sheetViews>
  <sheetFormatPr defaultRowHeight="14.4" x14ac:dyDescent="0.3"/>
  <cols>
    <col min="1" max="1" width="3.88671875" customWidth="1"/>
    <col min="2" max="2" width="11.77734375" customWidth="1"/>
    <col min="3" max="3" width="11.21875" customWidth="1"/>
    <col min="4" max="4" width="10.77734375" customWidth="1"/>
    <col min="5" max="5" width="14.33203125" customWidth="1"/>
    <col min="6" max="7" width="11" customWidth="1"/>
    <col min="8" max="8" width="13.21875" customWidth="1"/>
    <col min="9" max="9" width="18.44140625" customWidth="1"/>
    <col min="10" max="10" width="19.109375" customWidth="1"/>
    <col min="11" max="11" width="18.21875" customWidth="1"/>
    <col min="12" max="12" width="18.88671875" customWidth="1"/>
    <col min="13" max="13" width="17" customWidth="1"/>
    <col min="16" max="16" width="16.109375" customWidth="1"/>
    <col min="17" max="17" width="17.6640625" style="8" customWidth="1"/>
  </cols>
  <sheetData>
    <row r="1" spans="1:18" ht="28.8" x14ac:dyDescent="0.3">
      <c r="A1" s="1"/>
      <c r="B1" s="2" t="s">
        <v>0</v>
      </c>
      <c r="C1" s="2" t="s">
        <v>2</v>
      </c>
      <c r="D1" s="2" t="s">
        <v>1</v>
      </c>
      <c r="E1" s="2" t="s">
        <v>6</v>
      </c>
      <c r="F1" s="2" t="s">
        <v>5</v>
      </c>
      <c r="G1" s="2" t="s">
        <v>5</v>
      </c>
      <c r="H1" s="2" t="s">
        <v>11</v>
      </c>
      <c r="I1" s="2" t="s">
        <v>17</v>
      </c>
      <c r="J1" s="2" t="s">
        <v>17</v>
      </c>
      <c r="K1" s="2" t="s">
        <v>13</v>
      </c>
      <c r="L1" s="2" t="s">
        <v>13</v>
      </c>
      <c r="M1" s="2" t="s">
        <v>16</v>
      </c>
      <c r="P1" s="12" t="s">
        <v>8</v>
      </c>
      <c r="Q1" s="12"/>
      <c r="R1" s="12"/>
    </row>
    <row r="2" spans="1:18" x14ac:dyDescent="0.3">
      <c r="A2" s="3"/>
      <c r="B2" s="4" t="s">
        <v>3</v>
      </c>
      <c r="C2" s="4" t="s">
        <v>4</v>
      </c>
      <c r="D2" s="4" t="s">
        <v>3</v>
      </c>
      <c r="E2" s="4" t="s">
        <v>3</v>
      </c>
      <c r="F2" s="4" t="s">
        <v>3</v>
      </c>
      <c r="G2" s="4" t="s">
        <v>4</v>
      </c>
      <c r="H2" s="4"/>
      <c r="I2" s="4" t="s">
        <v>7</v>
      </c>
      <c r="J2" s="4" t="s">
        <v>14</v>
      </c>
      <c r="K2" s="4" t="s">
        <v>7</v>
      </c>
      <c r="L2" s="4" t="s">
        <v>14</v>
      </c>
      <c r="M2" s="4" t="s">
        <v>4</v>
      </c>
      <c r="P2" s="6" t="s">
        <v>9</v>
      </c>
      <c r="Q2" s="7">
        <f>406000000*0.025</f>
        <v>10150000</v>
      </c>
      <c r="R2" s="5" t="s">
        <v>12</v>
      </c>
    </row>
    <row r="3" spans="1:18" x14ac:dyDescent="0.3">
      <c r="A3" s="5">
        <v>1</v>
      </c>
      <c r="B3" s="5">
        <v>200</v>
      </c>
      <c r="C3" s="5">
        <v>50</v>
      </c>
      <c r="D3" s="5">
        <f>B3*(100+C3)*0.01</f>
        <v>300</v>
      </c>
      <c r="E3" s="5">
        <f>D3*0.1</f>
        <v>30</v>
      </c>
      <c r="F3" s="5">
        <f>300-217</f>
        <v>83</v>
      </c>
      <c r="G3" s="10">
        <f>(F3/D3)*100</f>
        <v>27.666666666666668</v>
      </c>
      <c r="H3" s="5" t="str">
        <f>IF(G3&lt;=10,"nem","igen")</f>
        <v>igen</v>
      </c>
      <c r="I3" s="9">
        <f>D3*$Q$2</f>
        <v>3045000000</v>
      </c>
      <c r="J3" s="9">
        <f>I3/$Q$5</f>
        <v>8229729.7297297297</v>
      </c>
      <c r="K3" s="9">
        <f>IF(G3&lt;=10,0,F3*$Q$2)</f>
        <v>842450000</v>
      </c>
      <c r="L3" s="9">
        <f>K3/$Q$5</f>
        <v>2276891.8918918921</v>
      </c>
      <c r="M3" s="11">
        <f>L3/(2000000*D3)*100</f>
        <v>0.37948198198198202</v>
      </c>
      <c r="P3" s="3" t="s">
        <v>10</v>
      </c>
      <c r="Q3" s="7">
        <f>200000000*0.025</f>
        <v>5000000</v>
      </c>
      <c r="R3" s="5" t="s">
        <v>12</v>
      </c>
    </row>
    <row r="4" spans="1:18" x14ac:dyDescent="0.3">
      <c r="A4" s="5">
        <v>2</v>
      </c>
      <c r="B4" s="5">
        <v>200</v>
      </c>
      <c r="C4" s="5">
        <v>50</v>
      </c>
      <c r="D4" s="5">
        <f t="shared" ref="D4:D6" si="0">B4*(100+C4)*0.01</f>
        <v>300</v>
      </c>
      <c r="E4" s="5">
        <f t="shared" ref="E4:E6" si="1">D4*0.1</f>
        <v>30</v>
      </c>
      <c r="F4" s="5">
        <v>10</v>
      </c>
      <c r="G4" s="10">
        <f t="shared" ref="G4:G6" si="2">(F4/D4)*100</f>
        <v>3.3333333333333335</v>
      </c>
      <c r="H4" s="5" t="str">
        <f>IF(G4&lt;=10,"nem","igen")</f>
        <v>nem</v>
      </c>
      <c r="I4" s="9">
        <f t="shared" ref="I4:I6" si="3">D4*$Q$2</f>
        <v>3045000000</v>
      </c>
      <c r="J4" s="9">
        <f t="shared" ref="J4:J6" si="4">I4/$Q$5</f>
        <v>8229729.7297297297</v>
      </c>
      <c r="K4" s="9">
        <f>IF(G4&lt;=10,0,F4*$Q$2)</f>
        <v>0</v>
      </c>
      <c r="L4" s="9">
        <f t="shared" ref="L4:L6" si="5">K4/$Q$5</f>
        <v>0</v>
      </c>
      <c r="M4" s="11">
        <f>L4/(2000000*D4)*100</f>
        <v>0</v>
      </c>
    </row>
    <row r="5" spans="1:18" x14ac:dyDescent="0.3">
      <c r="A5" s="5">
        <v>3</v>
      </c>
      <c r="B5" s="5">
        <v>200</v>
      </c>
      <c r="C5" s="5">
        <v>20</v>
      </c>
      <c r="D5" s="5">
        <f t="shared" si="0"/>
        <v>240</v>
      </c>
      <c r="E5" s="5">
        <f t="shared" si="1"/>
        <v>24</v>
      </c>
      <c r="F5" s="5">
        <v>30</v>
      </c>
      <c r="G5" s="10">
        <f t="shared" si="2"/>
        <v>12.5</v>
      </c>
      <c r="H5" s="5" t="str">
        <f t="shared" ref="H5:H6" si="6">IF(G5&lt;=10,"nem","igen")</f>
        <v>igen</v>
      </c>
      <c r="I5" s="9">
        <f t="shared" si="3"/>
        <v>2436000000</v>
      </c>
      <c r="J5" s="9">
        <f t="shared" si="4"/>
        <v>6583783.7837837841</v>
      </c>
      <c r="K5" s="9">
        <f t="shared" ref="K5:K6" si="7">IF(G5&lt;=10,0,F5*$Q$2)</f>
        <v>304500000</v>
      </c>
      <c r="L5" s="9">
        <f t="shared" si="5"/>
        <v>822972.97297297302</v>
      </c>
      <c r="M5" s="11">
        <f>L5/(2000000*D5)*100</f>
        <v>0.17145270270270271</v>
      </c>
      <c r="P5" s="5" t="s">
        <v>15</v>
      </c>
      <c r="Q5" s="7">
        <v>370</v>
      </c>
    </row>
    <row r="6" spans="1:18" x14ac:dyDescent="0.3">
      <c r="A6" s="5">
        <v>4</v>
      </c>
      <c r="B6" s="5">
        <v>200</v>
      </c>
      <c r="C6" s="5">
        <v>10</v>
      </c>
      <c r="D6" s="5">
        <f t="shared" si="0"/>
        <v>220</v>
      </c>
      <c r="E6" s="5">
        <f t="shared" si="1"/>
        <v>22</v>
      </c>
      <c r="F6" s="5">
        <v>7</v>
      </c>
      <c r="G6" s="10">
        <f t="shared" si="2"/>
        <v>3.1818181818181817</v>
      </c>
      <c r="H6" s="5" t="str">
        <f t="shared" si="6"/>
        <v>nem</v>
      </c>
      <c r="I6" s="9">
        <f t="shared" si="3"/>
        <v>2233000000</v>
      </c>
      <c r="J6" s="9">
        <f t="shared" si="4"/>
        <v>6035135.1351351347</v>
      </c>
      <c r="K6" s="9">
        <f t="shared" si="7"/>
        <v>0</v>
      </c>
      <c r="L6" s="9">
        <f t="shared" si="5"/>
        <v>0</v>
      </c>
      <c r="M6" s="11">
        <f>L6/(2000000*D6)*100</f>
        <v>0</v>
      </c>
    </row>
  </sheetData>
  <mergeCells count="1"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Tulepites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Bernadett Gugyella</dc:creator>
  <cp:lastModifiedBy>Bernadett Gugyella</cp:lastModifiedBy>
  <dcterms:created xsi:type="dcterms:W3CDTF">2026-09-28T10:29:27Z</dcterms:created>
  <dcterms:modified xsi:type="dcterms:W3CDTF">2026-10-12T13:31:19Z</dcterms:modified>
</cp:coreProperties>
</file>