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adeczkiz\Downloads\"/>
    </mc:Choice>
  </mc:AlternateContent>
  <xr:revisionPtr revIDLastSave="0" documentId="13_ncr:1_{CCA31B42-29DE-4930-819A-6C7DAC6317C5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ashboard" sheetId="1" r:id="rId1"/>
    <sheet name="Inputs" sheetId="2" r:id="rId2"/>
  </sheets>
  <definedNames>
    <definedName name="Balancing">Inputs!$E$69</definedName>
    <definedName name="Bench_BESS">Inputs!$E$8</definedName>
    <definedName name="Bench_Wind">Inputs!$E$7</definedName>
    <definedName name="BESS_Capex">Inputs!$E$56</definedName>
    <definedName name="Bid_Sec_Rate">Inputs!$E$9</definedName>
    <definedName name="Capex_Civil">Inputs!$E$49</definedName>
    <definedName name="Capex_Cont">Inputs!$E$55</definedName>
    <definedName name="Capex_Elec">Inputs!$E$50</definedName>
    <definedName name="Capex_Fdn">Inputs!$E$48</definedName>
    <definedName name="Capex_Install">Inputs!$E$47</definedName>
    <definedName name="Capex_Land">Inputs!$E$52</definedName>
    <definedName name="Capex_Owner">Inputs!$E$51</definedName>
    <definedName name="Case_CN">Dashboard!$H$25</definedName>
    <definedName name="Case_EU">Dashboard!$H$24</definedName>
    <definedName name="Case_OM">Dashboard!$H$28</definedName>
    <definedName name="Case_P50">Dashboard!$H$27</definedName>
    <definedName name="Case_PPA">Dashboard!$H$26</definedName>
    <definedName name="CIT_Rate">Inputs!$E$45</definedName>
    <definedName name="Clipping">Inputs!$E$59</definedName>
    <definedName name="Curtailment">Inputs!$E$58</definedName>
    <definedName name="Dash_BESS_Share">Dashboard!$E$8:$G$8</definedName>
    <definedName name="Dash_Brownfield">Dashboard!$E$15:$G$15</definedName>
    <definedName name="Dash_Case">Dashboard!$H$23</definedName>
    <definedName name="Dash_Case_CN">Dashboard!$E$25:$G$25</definedName>
    <definedName name="Dash_Case_EU">Dashboard!$E$24:$G$24</definedName>
    <definedName name="Dash_Case_OM">Dashboard!$E$28:$G$28</definedName>
    <definedName name="Dash_Case_P50">Dashboard!$E$27:$G$27</definedName>
    <definedName name="Dash_Case_PPA">Dashboard!$E$26:$G$26</definedName>
    <definedName name="Dash_Community">Dashboard!$E$12:$G$12</definedName>
    <definedName name="Dash_DSA">Dashboard!$E$20:$G$20</definedName>
    <definedName name="Dash_FEP_Share">Dashboard!$E$19:$G$19</definedName>
    <definedName name="Dash_Hours">Dashboard!$E$9:$G$9</definedName>
    <definedName name="Dash_Municipal">Dashboard!$E$11:$G$11</definedName>
    <definedName name="Dash_MVA">Dashboard!$E$6:$G$6</definedName>
    <definedName name="Dash_Overbuild">Dashboard!$E$7:$G$7</definedName>
    <definedName name="Dash_Partial">Dashboard!$E$13:$G$13</definedName>
    <definedName name="Dash_PB_Mult">Dashboard!$E$14:$G$14</definedName>
    <definedName name="Dash_Premium">Dashboard!$E$18:$G$18</definedName>
    <definedName name="Dash_Shared">Dashboard!$E$16:$G$16</definedName>
    <definedName name="Dash_Shortfall">Dashboard!$E$10:$G$10</definedName>
    <definedName name="Dash_Turbine">Dashboard!$E$17:$G$17</definedName>
    <definedName name="Days_In_Year">Inputs!$E$80</definedName>
    <definedName name="Degradation">Inputs!$E$60</definedName>
    <definedName name="Devex_Floor">Inputs!$E$39</definedName>
    <definedName name="Discount_Rate">Inputs!$E$77</definedName>
    <definedName name="DSA_Cap">Inputs!$E$44</definedName>
    <definedName name="DSA_Rate">Inputs!$E$43</definedName>
    <definedName name="First_Year">Inputs!$E$78</definedName>
    <definedName name="Freeze_Date">Inputs!$E$40</definedName>
    <definedName name="FX">Inputs!$E$6</definedName>
    <definedName name="Grid_Charges">Inputs!$E$70</definedName>
    <definedName name="HIPA_Rate">Inputs!$E$72</definedName>
    <definedName name="Life">Inputs!$E$76</definedName>
    <definedName name="Lump_Basis">Inputs!$E$54</definedName>
    <definedName name="Master_Check">Dashboard!$H$356</definedName>
    <definedName name="MEKH_Fee">Inputs!$E$71</definedName>
    <definedName name="Months_In_Year">Inputs!$E$81</definedName>
    <definedName name="Opex_Admin">Inputs!$E$68</definedName>
    <definedName name="Opex_BoP">Inputs!$E$63</definedName>
    <definedName name="Opex_Cont">Inputs!$E$73</definedName>
    <definedName name="Opex_Esc">Inputs!$E$74</definedName>
    <definedName name="Opex_Ins">Inputs!$E$65</definedName>
    <definedName name="Opex_Lease">Inputs!$E$64</definedName>
    <definedName name="Opex_Mgmt">Inputs!$E$66</definedName>
    <definedName name="Opex_Per_MW">Inputs!$E$63:$E$67</definedName>
    <definedName name="Opex_PropTax">Inputs!$E$67</definedName>
    <definedName name="Osz1_Incl">Inputs!$E$86:$M$86</definedName>
    <definedName name="Osz1_LB">Inputs!$E$85:$M$85</definedName>
    <definedName name="Osz1_Pts">Inputs!$E$87:$N$87</definedName>
    <definedName name="Osz1_W">Inputs!$E$102</definedName>
    <definedName name="Osz2_Incl">Inputs!$E$89:$O$89</definedName>
    <definedName name="Osz2_LB">Inputs!$E$88:$O$88</definedName>
    <definedName name="Osz2_Pts">Inputs!$E$90:$P$90</definedName>
    <definedName name="Osz2_W">Inputs!$E$103</definedName>
    <definedName name="Osz3_Incl">Inputs!$E$92:$N$92</definedName>
    <definedName name="Osz3_LB">Inputs!$E$91:$N$91</definedName>
    <definedName name="Osz3_Pts">Inputs!$E$93:$O$93</definedName>
    <definedName name="Osz3_W">Inputs!$E$104</definedName>
    <definedName name="Osz4_W">Inputs!$E$105</definedName>
    <definedName name="Osz5_Pts">Inputs!$E$97</definedName>
    <definedName name="Osz5_W">Inputs!$E$106</definedName>
    <definedName name="Osz6_Incl">Inputs!$E$95:$N$95</definedName>
    <definedName name="Osz6_LB">Inputs!$E$94:$N$94</definedName>
    <definedName name="Osz6_Pts">Inputs!$E$96:$O$96</definedName>
    <definedName name="Osz6_W">Inputs!$E$107</definedName>
    <definedName name="Osz7_Pts">Inputs!$E$98</definedName>
    <definedName name="Osz7_W">Inputs!$E$108</definedName>
    <definedName name="Osz8_Pts">Inputs!$E$99</definedName>
    <definedName name="Osz8_W">Inputs!$E$109</definedName>
    <definedName name="Osz9_W">Inputs!$E$110</definedName>
    <definedName name="Osz9a_Pts">Inputs!$E$100</definedName>
    <definedName name="Osz9b_Pts">Inputs!$E$101</definedName>
    <definedName name="Part_Fee">Inputs!$E$11</definedName>
    <definedName name="PB_Rate">Inputs!$E$10</definedName>
    <definedName name="PPA_Esc">Inputs!$E$61</definedName>
    <definedName name="Rate_Cash">Inputs!$E$37</definedName>
    <definedName name="Rate_Devex">Inputs!$E$38</definedName>
    <definedName name="Sale_Costs">Inputs!$E$42</definedName>
    <definedName name="Sale_Date">Inputs!$E$41</definedName>
    <definedName name="Subs_Lump">Inputs!$E$53</definedName>
    <definedName name="Thousand">Inputs!$E$79</definedName>
    <definedName name="Tolerance">Inputs!$E$82</definedName>
    <definedName name="TSO_Rate">Inputs!$E$12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" l="1"/>
  <c r="G23" i="2"/>
  <c r="F22" i="2"/>
  <c r="G22" i="2"/>
  <c r="F21" i="2"/>
  <c r="F53" i="1" s="1"/>
  <c r="G21" i="2"/>
  <c r="G53" i="1" s="1"/>
  <c r="G64" i="1" s="1"/>
  <c r="G237" i="1" s="1"/>
  <c r="F20" i="2"/>
  <c r="G20" i="2"/>
  <c r="F19" i="2"/>
  <c r="F97" i="1" s="1"/>
  <c r="G19" i="2"/>
  <c r="F18" i="2"/>
  <c r="F96" i="1" s="1"/>
  <c r="G18" i="2"/>
  <c r="G96" i="1" s="1"/>
  <c r="K238" i="1"/>
  <c r="L238" i="1"/>
  <c r="K237" i="1"/>
  <c r="L237" i="1"/>
  <c r="K236" i="1"/>
  <c r="L236" i="1"/>
  <c r="K235" i="1"/>
  <c r="L235" i="1"/>
  <c r="K234" i="1"/>
  <c r="L234" i="1"/>
  <c r="K233" i="1"/>
  <c r="L233" i="1"/>
  <c r="K232" i="1"/>
  <c r="L232" i="1"/>
  <c r="J238" i="1"/>
  <c r="J237" i="1"/>
  <c r="J236" i="1"/>
  <c r="J235" i="1"/>
  <c r="J234" i="1"/>
  <c r="J233" i="1"/>
  <c r="J232" i="1"/>
  <c r="J54" i="1"/>
  <c r="E54" i="1"/>
  <c r="F54" i="1"/>
  <c r="G54" i="1"/>
  <c r="G350" i="1"/>
  <c r="F350" i="1"/>
  <c r="E350" i="1"/>
  <c r="G316" i="1"/>
  <c r="G314" i="1"/>
  <c r="F285" i="1"/>
  <c r="F283" i="1"/>
  <c r="E254" i="1"/>
  <c r="E252" i="1"/>
  <c r="AS247" i="1"/>
  <c r="AS285" i="1" s="1"/>
  <c r="AR247" i="1"/>
  <c r="AR254" i="1" s="1"/>
  <c r="AQ247" i="1"/>
  <c r="AQ251" i="1" s="1"/>
  <c r="AQ266" i="1" s="1"/>
  <c r="AP247" i="1"/>
  <c r="AP313" i="1" s="1"/>
  <c r="AP324" i="1" s="1"/>
  <c r="AO247" i="1"/>
  <c r="AO313" i="1" s="1"/>
  <c r="AN247" i="1"/>
  <c r="AN251" i="1" s="1"/>
  <c r="AM247" i="1"/>
  <c r="AL247" i="1"/>
  <c r="AK247" i="1"/>
  <c r="AK248" i="1" s="1"/>
  <c r="AJ247" i="1"/>
  <c r="AJ282" i="1" s="1"/>
  <c r="AI247" i="1"/>
  <c r="AI251" i="1" s="1"/>
  <c r="AI266" i="1" s="1"/>
  <c r="AH247" i="1"/>
  <c r="AH314" i="1" s="1"/>
  <c r="AG247" i="1"/>
  <c r="AG313" i="1" s="1"/>
  <c r="AF247" i="1"/>
  <c r="AF316" i="1" s="1"/>
  <c r="AE247" i="1"/>
  <c r="AE248" i="1" s="1"/>
  <c r="AD247" i="1"/>
  <c r="AD283" i="1" s="1"/>
  <c r="AC247" i="1"/>
  <c r="AC251" i="1" s="1"/>
  <c r="AB247" i="1"/>
  <c r="AB248" i="1" s="1"/>
  <c r="AA247" i="1"/>
  <c r="AA251" i="1" s="1"/>
  <c r="Z247" i="1"/>
  <c r="Z254" i="1" s="1"/>
  <c r="Y247" i="1"/>
  <c r="X247" i="1"/>
  <c r="X136" i="1" s="1"/>
  <c r="W247" i="1"/>
  <c r="W316" i="1" s="1"/>
  <c r="V247" i="1"/>
  <c r="V285" i="1" s="1"/>
  <c r="U247" i="1"/>
  <c r="U251" i="1" s="1"/>
  <c r="T247" i="1"/>
  <c r="T254" i="1" s="1"/>
  <c r="S247" i="1"/>
  <c r="S252" i="1" s="1"/>
  <c r="R247" i="1"/>
  <c r="R254" i="1" s="1"/>
  <c r="Q247" i="1"/>
  <c r="Q248" i="1" s="1"/>
  <c r="P247" i="1"/>
  <c r="P251" i="1" s="1"/>
  <c r="P256" i="1" s="1"/>
  <c r="O247" i="1"/>
  <c r="N247" i="1"/>
  <c r="N251" i="1" s="1"/>
  <c r="M247" i="1"/>
  <c r="L247" i="1"/>
  <c r="L285" i="1" s="1"/>
  <c r="K247" i="1"/>
  <c r="K254" i="1" s="1"/>
  <c r="J247" i="1"/>
  <c r="J285" i="1" s="1"/>
  <c r="L210" i="1"/>
  <c r="K210" i="1"/>
  <c r="J210" i="1"/>
  <c r="L209" i="1"/>
  <c r="K209" i="1"/>
  <c r="J209" i="1"/>
  <c r="L208" i="1"/>
  <c r="K208" i="1"/>
  <c r="J208" i="1"/>
  <c r="L207" i="1"/>
  <c r="K207" i="1"/>
  <c r="J207" i="1"/>
  <c r="L206" i="1"/>
  <c r="K206" i="1"/>
  <c r="J206" i="1"/>
  <c r="L205" i="1"/>
  <c r="K205" i="1"/>
  <c r="J205" i="1"/>
  <c r="L204" i="1"/>
  <c r="K204" i="1"/>
  <c r="J204" i="1"/>
  <c r="L203" i="1"/>
  <c r="K203" i="1"/>
  <c r="J203" i="1"/>
  <c r="L202" i="1"/>
  <c r="K202" i="1"/>
  <c r="J202" i="1"/>
  <c r="G189" i="1"/>
  <c r="G220" i="1" s="1"/>
  <c r="F189" i="1"/>
  <c r="F220" i="1" s="1"/>
  <c r="E189" i="1"/>
  <c r="E220" i="1" s="1"/>
  <c r="G176" i="1"/>
  <c r="F176" i="1"/>
  <c r="E176" i="1"/>
  <c r="G174" i="1"/>
  <c r="F174" i="1"/>
  <c r="E174" i="1"/>
  <c r="G172" i="1"/>
  <c r="F172" i="1"/>
  <c r="E172" i="1"/>
  <c r="G170" i="1"/>
  <c r="F170" i="1"/>
  <c r="E170" i="1"/>
  <c r="G168" i="1"/>
  <c r="F168" i="1"/>
  <c r="E168" i="1"/>
  <c r="G165" i="1"/>
  <c r="G167" i="1" s="1"/>
  <c r="F165" i="1"/>
  <c r="E165" i="1"/>
  <c r="E166" i="1" s="1"/>
  <c r="G101" i="1"/>
  <c r="F101" i="1"/>
  <c r="E101" i="1"/>
  <c r="G100" i="1"/>
  <c r="F100" i="1"/>
  <c r="E100" i="1"/>
  <c r="E99" i="1"/>
  <c r="G98" i="1"/>
  <c r="F98" i="1"/>
  <c r="E98" i="1"/>
  <c r="G97" i="1"/>
  <c r="E97" i="1"/>
  <c r="E96" i="1"/>
  <c r="G89" i="1"/>
  <c r="F89" i="1"/>
  <c r="E89" i="1"/>
  <c r="G84" i="1"/>
  <c r="F84" i="1"/>
  <c r="E84" i="1"/>
  <c r="J65" i="1"/>
  <c r="G65" i="1"/>
  <c r="G232" i="1" s="1"/>
  <c r="F65" i="1"/>
  <c r="F202" i="1" s="1"/>
  <c r="E65" i="1"/>
  <c r="E202" i="1" s="1"/>
  <c r="J64" i="1"/>
  <c r="J63" i="1"/>
  <c r="J62" i="1"/>
  <c r="J61" i="1"/>
  <c r="J60" i="1"/>
  <c r="J59" i="1"/>
  <c r="J58" i="1"/>
  <c r="J53" i="1"/>
  <c r="E53" i="1"/>
  <c r="E64" i="1" s="1"/>
  <c r="E209" i="1" s="1"/>
  <c r="J52" i="1"/>
  <c r="J51" i="1"/>
  <c r="G51" i="1"/>
  <c r="G62" i="1" s="1"/>
  <c r="G207" i="1" s="1"/>
  <c r="F51" i="1"/>
  <c r="F62" i="1" s="1"/>
  <c r="E51" i="1"/>
  <c r="E62" i="1" s="1"/>
  <c r="E207" i="1" s="1"/>
  <c r="J50" i="1"/>
  <c r="G50" i="1"/>
  <c r="G61" i="1" s="1"/>
  <c r="G236" i="1" s="1"/>
  <c r="F50" i="1"/>
  <c r="F61" i="1" s="1"/>
  <c r="F236" i="1" s="1"/>
  <c r="E50" i="1"/>
  <c r="E52" i="1" s="1"/>
  <c r="J49" i="1"/>
  <c r="J48" i="1"/>
  <c r="J47" i="1"/>
  <c r="G47" i="1"/>
  <c r="G58" i="1" s="1"/>
  <c r="G233" i="1" s="1"/>
  <c r="F47" i="1"/>
  <c r="E47" i="1"/>
  <c r="G43" i="1"/>
  <c r="G86" i="1" s="1"/>
  <c r="F43" i="1"/>
  <c r="E43" i="1"/>
  <c r="E86" i="1" s="1"/>
  <c r="G42" i="1"/>
  <c r="G44" i="1" s="1"/>
  <c r="F42" i="1"/>
  <c r="F44" i="1" s="1"/>
  <c r="F78" i="1" s="1"/>
  <c r="E42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H28" i="1"/>
  <c r="H27" i="1"/>
  <c r="H26" i="1"/>
  <c r="H25" i="1"/>
  <c r="H24" i="1"/>
  <c r="H6" i="1"/>
  <c r="F99" i="1" l="1"/>
  <c r="F102" i="1" s="1"/>
  <c r="G99" i="1"/>
  <c r="H99" i="1" s="1"/>
  <c r="G69" i="1"/>
  <c r="AF317" i="1"/>
  <c r="W317" i="1"/>
  <c r="R252" i="1"/>
  <c r="R253" i="1" s="1"/>
  <c r="E167" i="1"/>
  <c r="E177" i="1" s="1"/>
  <c r="E184" i="1" s="1"/>
  <c r="L286" i="1"/>
  <c r="AD285" i="1"/>
  <c r="AD286" i="1" s="1"/>
  <c r="H220" i="1"/>
  <c r="AP283" i="1"/>
  <c r="AP284" i="1" s="1"/>
  <c r="H54" i="1"/>
  <c r="E237" i="1"/>
  <c r="AD136" i="1"/>
  <c r="S253" i="1"/>
  <c r="E232" i="1"/>
  <c r="AP136" i="1"/>
  <c r="AP316" i="1"/>
  <c r="AP317" i="1" s="1"/>
  <c r="AP326" i="1" s="1"/>
  <c r="F232" i="1"/>
  <c r="AS286" i="1"/>
  <c r="AR316" i="1"/>
  <c r="AR317" i="1" s="1"/>
  <c r="J286" i="1"/>
  <c r="V286" i="1"/>
  <c r="AH315" i="1"/>
  <c r="AP248" i="1"/>
  <c r="AP308" i="1" s="1"/>
  <c r="K255" i="1"/>
  <c r="AN252" i="1"/>
  <c r="AN253" i="1" s="1"/>
  <c r="AD254" i="1"/>
  <c r="P136" i="1"/>
  <c r="T282" i="1"/>
  <c r="T293" i="1" s="1"/>
  <c r="E175" i="1"/>
  <c r="E182" i="1" s="1"/>
  <c r="P248" i="1"/>
  <c r="P308" i="1" s="1"/>
  <c r="AB251" i="1"/>
  <c r="AB262" i="1" s="1"/>
  <c r="AD251" i="1"/>
  <c r="AD262" i="1" s="1"/>
  <c r="E171" i="1"/>
  <c r="AJ136" i="1"/>
  <c r="AP251" i="1"/>
  <c r="AP256" i="1" s="1"/>
  <c r="AP260" i="1" s="1"/>
  <c r="AR283" i="1"/>
  <c r="AR284" i="1" s="1"/>
  <c r="X251" i="1"/>
  <c r="X266" i="1" s="1"/>
  <c r="L283" i="1"/>
  <c r="L284" i="1" s="1"/>
  <c r="AN136" i="1"/>
  <c r="AH136" i="1"/>
  <c r="J252" i="1"/>
  <c r="J253" i="1" s="1"/>
  <c r="AB285" i="1"/>
  <c r="AB286" i="1" s="1"/>
  <c r="AJ248" i="1"/>
  <c r="AJ339" i="1" s="1"/>
  <c r="L136" i="1"/>
  <c r="AN282" i="1"/>
  <c r="AN297" i="1" s="1"/>
  <c r="AH283" i="1"/>
  <c r="AH284" i="1" s="1"/>
  <c r="J136" i="1"/>
  <c r="U254" i="1"/>
  <c r="U255" i="1" s="1"/>
  <c r="U264" i="1" s="1"/>
  <c r="AN283" i="1"/>
  <c r="AN284" i="1" s="1"/>
  <c r="P314" i="1"/>
  <c r="P315" i="1" s="1"/>
  <c r="V254" i="1"/>
  <c r="V255" i="1" s="1"/>
  <c r="AP314" i="1"/>
  <c r="AP315" i="1" s="1"/>
  <c r="H96" i="1"/>
  <c r="H100" i="1"/>
  <c r="R136" i="1"/>
  <c r="R248" i="1"/>
  <c r="R277" i="1" s="1"/>
  <c r="AS251" i="1"/>
  <c r="AS256" i="1" s="1"/>
  <c r="AS260" i="1" s="1"/>
  <c r="J282" i="1"/>
  <c r="J293" i="1" s="1"/>
  <c r="X316" i="1"/>
  <c r="X317" i="1" s="1"/>
  <c r="Z136" i="1"/>
  <c r="AG248" i="1"/>
  <c r="AG339" i="1" s="1"/>
  <c r="R282" i="1"/>
  <c r="R285" i="1"/>
  <c r="R286" i="1" s="1"/>
  <c r="AD316" i="1"/>
  <c r="AD317" i="1" s="1"/>
  <c r="F41" i="1"/>
  <c r="H97" i="1"/>
  <c r="AO248" i="1"/>
  <c r="AO308" i="1" s="1"/>
  <c r="AJ252" i="1"/>
  <c r="AJ253" i="1" s="1"/>
  <c r="AP282" i="1"/>
  <c r="AP297" i="1" s="1"/>
  <c r="AP285" i="1"/>
  <c r="AP286" i="1" s="1"/>
  <c r="AP328" i="1"/>
  <c r="H98" i="1"/>
  <c r="AP252" i="1"/>
  <c r="AP253" i="1" s="1"/>
  <c r="R313" i="1"/>
  <c r="R324" i="1" s="1"/>
  <c r="H350" i="1"/>
  <c r="R283" i="1"/>
  <c r="R284" i="1" s="1"/>
  <c r="G79" i="1"/>
  <c r="G83" i="1"/>
  <c r="G82" i="1"/>
  <c r="G80" i="1"/>
  <c r="U266" i="1"/>
  <c r="U262" i="1"/>
  <c r="U256" i="1"/>
  <c r="U260" i="1" s="1"/>
  <c r="AI313" i="1"/>
  <c r="AI318" i="1" s="1"/>
  <c r="AI322" i="1" s="1"/>
  <c r="AI283" i="1"/>
  <c r="AI284" i="1" s="1"/>
  <c r="T285" i="1"/>
  <c r="T286" i="1" s="1"/>
  <c r="AQ314" i="1"/>
  <c r="AQ315" i="1" s="1"/>
  <c r="H51" i="1"/>
  <c r="AF136" i="1"/>
  <c r="W254" i="1"/>
  <c r="W255" i="1" s="1"/>
  <c r="K282" i="1"/>
  <c r="K287" i="1" s="1"/>
  <c r="K291" i="1" s="1"/>
  <c r="AR282" i="1"/>
  <c r="AQ313" i="1"/>
  <c r="AQ324" i="1" s="1"/>
  <c r="AR314" i="1"/>
  <c r="AR315" i="1" s="1"/>
  <c r="AG316" i="1"/>
  <c r="AG317" i="1" s="1"/>
  <c r="AG326" i="1" s="1"/>
  <c r="G48" i="1"/>
  <c r="G59" i="1" s="1"/>
  <c r="G102" i="1"/>
  <c r="G351" i="1" s="1"/>
  <c r="F349" i="1"/>
  <c r="K248" i="1"/>
  <c r="K277" i="1" s="1"/>
  <c r="AR252" i="1"/>
  <c r="AR253" i="1" s="1"/>
  <c r="X254" i="1"/>
  <c r="X255" i="1" s="1"/>
  <c r="AI256" i="1"/>
  <c r="AI260" i="1" s="1"/>
  <c r="AR313" i="1"/>
  <c r="AR324" i="1" s="1"/>
  <c r="G77" i="1"/>
  <c r="AQ248" i="1"/>
  <c r="AQ308" i="1" s="1"/>
  <c r="AR248" i="1"/>
  <c r="AR277" i="1" s="1"/>
  <c r="AF251" i="1"/>
  <c r="AF266" i="1" s="1"/>
  <c r="V252" i="1"/>
  <c r="V253" i="1" s="1"/>
  <c r="AH254" i="1"/>
  <c r="AH255" i="1" s="1"/>
  <c r="V282" i="1"/>
  <c r="V287" i="1" s="1"/>
  <c r="V291" i="1" s="1"/>
  <c r="S283" i="1"/>
  <c r="S284" i="1" s="1"/>
  <c r="S313" i="1"/>
  <c r="S324" i="1" s="1"/>
  <c r="S314" i="1"/>
  <c r="S315" i="1" s="1"/>
  <c r="AR136" i="1"/>
  <c r="Z255" i="1"/>
  <c r="T248" i="1"/>
  <c r="T277" i="1" s="1"/>
  <c r="K251" i="1"/>
  <c r="AG251" i="1"/>
  <c r="AG266" i="1" s="1"/>
  <c r="W252" i="1"/>
  <c r="W253" i="1" s="1"/>
  <c r="J254" i="1"/>
  <c r="J255" i="1" s="1"/>
  <c r="AN254" i="1"/>
  <c r="AN255" i="1" s="1"/>
  <c r="AN264" i="1" s="1"/>
  <c r="W282" i="1"/>
  <c r="W287" i="1" s="1"/>
  <c r="W291" i="1" s="1"/>
  <c r="T283" i="1"/>
  <c r="T284" i="1" s="1"/>
  <c r="AQ285" i="1"/>
  <c r="AQ286" i="1" s="1"/>
  <c r="T313" i="1"/>
  <c r="T328" i="1" s="1"/>
  <c r="U314" i="1"/>
  <c r="U315" i="1" s="1"/>
  <c r="J316" i="1"/>
  <c r="J317" i="1" s="1"/>
  <c r="H53" i="1"/>
  <c r="S136" i="1"/>
  <c r="W248" i="1"/>
  <c r="W339" i="1" s="1"/>
  <c r="AD252" i="1"/>
  <c r="AD253" i="1" s="1"/>
  <c r="AP254" i="1"/>
  <c r="AP255" i="1" s="1"/>
  <c r="AF282" i="1"/>
  <c r="AF297" i="1" s="1"/>
  <c r="U283" i="1"/>
  <c r="U284" i="1" s="1"/>
  <c r="AR285" i="1"/>
  <c r="AR286" i="1" s="1"/>
  <c r="V313" i="1"/>
  <c r="V324" i="1" s="1"/>
  <c r="V314" i="1"/>
  <c r="V315" i="1" s="1"/>
  <c r="S316" i="1"/>
  <c r="S317" i="1" s="1"/>
  <c r="AE285" i="1"/>
  <c r="AE286" i="1" s="1"/>
  <c r="AF285" i="1"/>
  <c r="AF286" i="1" s="1"/>
  <c r="E41" i="1"/>
  <c r="H84" i="1"/>
  <c r="T136" i="1"/>
  <c r="R251" i="1"/>
  <c r="R262" i="1" s="1"/>
  <c r="AF252" i="1"/>
  <c r="AF253" i="1" s="1"/>
  <c r="L254" i="1"/>
  <c r="L255" i="1" s="1"/>
  <c r="AS254" i="1"/>
  <c r="AS255" i="1" s="1"/>
  <c r="AH282" i="1"/>
  <c r="W283" i="1"/>
  <c r="W284" i="1" s="1"/>
  <c r="AE313" i="1"/>
  <c r="AE318" i="1" s="1"/>
  <c r="AE322" i="1" s="1"/>
  <c r="AE314" i="1"/>
  <c r="AE315" i="1" s="1"/>
  <c r="U316" i="1"/>
  <c r="U317" i="1" s="1"/>
  <c r="G52" i="1"/>
  <c r="G63" i="1" s="1"/>
  <c r="G186" i="1"/>
  <c r="AE251" i="1"/>
  <c r="AE256" i="1" s="1"/>
  <c r="AE260" i="1" s="1"/>
  <c r="T252" i="1"/>
  <c r="T253" i="1" s="1"/>
  <c r="AF254" i="1"/>
  <c r="AF255" i="1" s="1"/>
  <c r="U282" i="1"/>
  <c r="U293" i="1" s="1"/>
  <c r="V136" i="1"/>
  <c r="AD248" i="1"/>
  <c r="AD277" i="1" s="1"/>
  <c r="T251" i="1"/>
  <c r="T266" i="1" s="1"/>
  <c r="AH252" i="1"/>
  <c r="AH253" i="1" s="1"/>
  <c r="AI282" i="1"/>
  <c r="AI287" i="1" s="1"/>
  <c r="AI291" i="1" s="1"/>
  <c r="AF283" i="1"/>
  <c r="AF284" i="1" s="1"/>
  <c r="AF313" i="1"/>
  <c r="AF326" i="1" s="1"/>
  <c r="AF314" i="1"/>
  <c r="AF315" i="1" s="1"/>
  <c r="V316" i="1"/>
  <c r="V317" i="1" s="1"/>
  <c r="AP318" i="1"/>
  <c r="AP322" i="1" s="1"/>
  <c r="F52" i="1"/>
  <c r="F63" i="1" s="1"/>
  <c r="F71" i="1" s="1"/>
  <c r="G41" i="1"/>
  <c r="E169" i="1"/>
  <c r="AR251" i="1"/>
  <c r="AR262" i="1" s="1"/>
  <c r="AI252" i="1"/>
  <c r="AI253" i="1" s="1"/>
  <c r="AG283" i="1"/>
  <c r="AG284" i="1" s="1"/>
  <c r="N266" i="1"/>
  <c r="N256" i="1"/>
  <c r="N260" i="1" s="1"/>
  <c r="N262" i="1"/>
  <c r="AK277" i="1"/>
  <c r="AK339" i="1"/>
  <c r="AK308" i="1"/>
  <c r="H62" i="1"/>
  <c r="P260" i="1"/>
  <c r="M283" i="1"/>
  <c r="M284" i="1" s="1"/>
  <c r="M316" i="1"/>
  <c r="M317" i="1" s="1"/>
  <c r="M252" i="1"/>
  <c r="M253" i="1" s="1"/>
  <c r="M314" i="1"/>
  <c r="M315" i="1" s="1"/>
  <c r="M136" i="1"/>
  <c r="M282" i="1"/>
  <c r="M248" i="1"/>
  <c r="Y283" i="1"/>
  <c r="Y284" i="1" s="1"/>
  <c r="Y314" i="1"/>
  <c r="Y315" i="1" s="1"/>
  <c r="Y316" i="1"/>
  <c r="Y317" i="1" s="1"/>
  <c r="Y251" i="1"/>
  <c r="Y313" i="1"/>
  <c r="Y248" i="1"/>
  <c r="Y282" i="1"/>
  <c r="Y252" i="1"/>
  <c r="Y253" i="1" s="1"/>
  <c r="Y285" i="1"/>
  <c r="Y286" i="1" s="1"/>
  <c r="AK283" i="1"/>
  <c r="AK284" i="1" s="1"/>
  <c r="AK285" i="1"/>
  <c r="AK286" i="1" s="1"/>
  <c r="AK252" i="1"/>
  <c r="AK253" i="1" s="1"/>
  <c r="AK314" i="1"/>
  <c r="AK315" i="1" s="1"/>
  <c r="AK282" i="1"/>
  <c r="AK313" i="1"/>
  <c r="AK316" i="1"/>
  <c r="AK317" i="1" s="1"/>
  <c r="AK251" i="1"/>
  <c r="Q308" i="1"/>
  <c r="Q339" i="1"/>
  <c r="Q277" i="1"/>
  <c r="M254" i="1"/>
  <c r="M255" i="1" s="1"/>
  <c r="AL314" i="1"/>
  <c r="AL315" i="1" s="1"/>
  <c r="AL282" i="1"/>
  <c r="AL251" i="1"/>
  <c r="AL316" i="1"/>
  <c r="AL317" i="1" s="1"/>
  <c r="AL285" i="1"/>
  <c r="AL286" i="1" s="1"/>
  <c r="AL248" i="1"/>
  <c r="AL313" i="1"/>
  <c r="AL283" i="1"/>
  <c r="AL284" i="1" s="1"/>
  <c r="AL254" i="1"/>
  <c r="AL255" i="1" s="1"/>
  <c r="AO318" i="1"/>
  <c r="AO322" i="1" s="1"/>
  <c r="AO324" i="1"/>
  <c r="AO328" i="1"/>
  <c r="F83" i="1"/>
  <c r="F80" i="1"/>
  <c r="F77" i="1"/>
  <c r="F81" i="1"/>
  <c r="H50" i="1"/>
  <c r="E61" i="1"/>
  <c r="E236" i="1" s="1"/>
  <c r="H236" i="1" s="1"/>
  <c r="G203" i="1"/>
  <c r="G90" i="1"/>
  <c r="O313" i="1"/>
  <c r="O282" i="1"/>
  <c r="O254" i="1"/>
  <c r="O255" i="1" s="1"/>
  <c r="O316" i="1"/>
  <c r="O317" i="1" s="1"/>
  <c r="O283" i="1"/>
  <c r="O284" i="1" s="1"/>
  <c r="O314" i="1"/>
  <c r="O315" i="1" s="1"/>
  <c r="O136" i="1"/>
  <c r="O285" i="1"/>
  <c r="O286" i="1" s="1"/>
  <c r="AM313" i="1"/>
  <c r="AM314" i="1"/>
  <c r="AM315" i="1" s="1"/>
  <c r="AM283" i="1"/>
  <c r="AM284" i="1" s="1"/>
  <c r="AM252" i="1"/>
  <c r="AM253" i="1" s="1"/>
  <c r="AM251" i="1"/>
  <c r="AM248" i="1"/>
  <c r="AM282" i="1"/>
  <c r="AM316" i="1"/>
  <c r="AM317" i="1" s="1"/>
  <c r="AM254" i="1"/>
  <c r="AM255" i="1" s="1"/>
  <c r="AK254" i="1"/>
  <c r="AK255" i="1" s="1"/>
  <c r="F206" i="1"/>
  <c r="F79" i="1"/>
  <c r="H89" i="1"/>
  <c r="M313" i="1"/>
  <c r="AK136" i="1"/>
  <c r="F166" i="1"/>
  <c r="F175" i="1" s="1"/>
  <c r="F182" i="1" s="1"/>
  <c r="Q283" i="1"/>
  <c r="Q284" i="1" s="1"/>
  <c r="Q282" i="1"/>
  <c r="Q254" i="1"/>
  <c r="Q255" i="1" s="1"/>
  <c r="Q314" i="1"/>
  <c r="Q315" i="1" s="1"/>
  <c r="Q136" i="1"/>
  <c r="Q251" i="1"/>
  <c r="Q316" i="1"/>
  <c r="Q317" i="1" s="1"/>
  <c r="AC316" i="1"/>
  <c r="AC317" i="1" s="1"/>
  <c r="AC313" i="1"/>
  <c r="AC252" i="1"/>
  <c r="AC253" i="1" s="1"/>
  <c r="AC136" i="1"/>
  <c r="AC283" i="1"/>
  <c r="AC284" i="1" s="1"/>
  <c r="AC314" i="1"/>
  <c r="AC315" i="1" s="1"/>
  <c r="AC285" i="1"/>
  <c r="AC286" i="1" s="1"/>
  <c r="AC282" i="1"/>
  <c r="AO316" i="1"/>
  <c r="AO317" i="1" s="1"/>
  <c r="AO326" i="1" s="1"/>
  <c r="AO282" i="1"/>
  <c r="AO254" i="1"/>
  <c r="AO255" i="1" s="1"/>
  <c r="AO285" i="1"/>
  <c r="AO286" i="1" s="1"/>
  <c r="AO136" i="1"/>
  <c r="AO283" i="1"/>
  <c r="AO284" i="1" s="1"/>
  <c r="AO314" i="1"/>
  <c r="AO315" i="1" s="1"/>
  <c r="Z248" i="1"/>
  <c r="O252" i="1"/>
  <c r="O253" i="1" s="1"/>
  <c r="AL252" i="1"/>
  <c r="AL253" i="1" s="1"/>
  <c r="Q313" i="1"/>
  <c r="E58" i="1"/>
  <c r="AL136" i="1"/>
  <c r="E173" i="1"/>
  <c r="AB308" i="1"/>
  <c r="AB277" i="1"/>
  <c r="M251" i="1"/>
  <c r="Z316" i="1"/>
  <c r="Z317" i="1" s="1"/>
  <c r="F58" i="1"/>
  <c r="AC248" i="1"/>
  <c r="AO252" i="1"/>
  <c r="AO253" i="1" s="1"/>
  <c r="M285" i="1"/>
  <c r="M286" i="1" s="1"/>
  <c r="E44" i="1"/>
  <c r="E48" i="1"/>
  <c r="E49" i="1" s="1"/>
  <c r="E186" i="1"/>
  <c r="F167" i="1"/>
  <c r="F177" i="1" s="1"/>
  <c r="O251" i="1"/>
  <c r="Y254" i="1"/>
  <c r="Y255" i="1" s="1"/>
  <c r="Q285" i="1"/>
  <c r="Q286" i="1" s="1"/>
  <c r="F48" i="1"/>
  <c r="F49" i="1" s="1"/>
  <c r="F186" i="1"/>
  <c r="H47" i="1"/>
  <c r="F64" i="1"/>
  <c r="F237" i="1" s="1"/>
  <c r="F82" i="1"/>
  <c r="F86" i="1"/>
  <c r="H86" i="1" s="1"/>
  <c r="H43" i="1"/>
  <c r="E102" i="1"/>
  <c r="N316" i="1"/>
  <c r="N317" i="1" s="1"/>
  <c r="N314" i="1"/>
  <c r="N315" i="1" s="1"/>
  <c r="N282" i="1"/>
  <c r="N283" i="1"/>
  <c r="N284" i="1" s="1"/>
  <c r="N252" i="1"/>
  <c r="N253" i="1" s="1"/>
  <c r="N136" i="1"/>
  <c r="N285" i="1"/>
  <c r="N286" i="1" s="1"/>
  <c r="N254" i="1"/>
  <c r="N255" i="1" s="1"/>
  <c r="N264" i="1" s="1"/>
  <c r="N313" i="1"/>
  <c r="N248" i="1"/>
  <c r="AA316" i="1"/>
  <c r="AA317" i="1" s="1"/>
  <c r="AA313" i="1"/>
  <c r="AA314" i="1"/>
  <c r="AA315" i="1" s="1"/>
  <c r="AA248" i="1"/>
  <c r="AA282" i="1"/>
  <c r="AA283" i="1"/>
  <c r="AA284" i="1" s="1"/>
  <c r="AA252" i="1"/>
  <c r="AA253" i="1" s="1"/>
  <c r="AA136" i="1"/>
  <c r="AA285" i="1"/>
  <c r="AA286" i="1" s="1"/>
  <c r="AJ297" i="1"/>
  <c r="AJ293" i="1"/>
  <c r="AJ287" i="1"/>
  <c r="AJ291" i="1" s="1"/>
  <c r="AM285" i="1"/>
  <c r="AM286" i="1" s="1"/>
  <c r="H65" i="1"/>
  <c r="G202" i="1"/>
  <c r="G166" i="1"/>
  <c r="G169" i="1" s="1"/>
  <c r="G178" i="1" s="1"/>
  <c r="Q252" i="1"/>
  <c r="Q253" i="1" s="1"/>
  <c r="G209" i="1"/>
  <c r="H189" i="1"/>
  <c r="AO251" i="1"/>
  <c r="AA254" i="1"/>
  <c r="AA255" i="1" s="1"/>
  <c r="AA264" i="1" s="1"/>
  <c r="Z314" i="1"/>
  <c r="Z315" i="1" s="1"/>
  <c r="Z282" i="1"/>
  <c r="Z313" i="1"/>
  <c r="Z285" i="1"/>
  <c r="Z286" i="1" s="1"/>
  <c r="Z252" i="1"/>
  <c r="Z253" i="1" s="1"/>
  <c r="Z283" i="1"/>
  <c r="Z284" i="1" s="1"/>
  <c r="Z251" i="1"/>
  <c r="AA262" i="1"/>
  <c r="AA266" i="1"/>
  <c r="AA256" i="1"/>
  <c r="AA260" i="1" s="1"/>
  <c r="AC262" i="1"/>
  <c r="AC266" i="1"/>
  <c r="AC256" i="1"/>
  <c r="AC260" i="1" s="1"/>
  <c r="G177" i="1"/>
  <c r="G184" i="1" s="1"/>
  <c r="AM136" i="1"/>
  <c r="H42" i="1"/>
  <c r="F207" i="1"/>
  <c r="H207" i="1" s="1"/>
  <c r="H101" i="1"/>
  <c r="Y136" i="1"/>
  <c r="O248" i="1"/>
  <c r="AC254" i="1"/>
  <c r="AC255" i="1" s="1"/>
  <c r="AC264" i="1" s="1"/>
  <c r="AB339" i="1"/>
  <c r="G349" i="1"/>
  <c r="AE277" i="1"/>
  <c r="AE339" i="1"/>
  <c r="P266" i="1"/>
  <c r="P262" i="1"/>
  <c r="AI262" i="1"/>
  <c r="L314" i="1"/>
  <c r="L315" i="1" s="1"/>
  <c r="L313" i="1"/>
  <c r="L251" i="1"/>
  <c r="L282" i="1"/>
  <c r="L295" i="1" s="1"/>
  <c r="L248" i="1"/>
  <c r="L252" i="1"/>
  <c r="L253" i="1" s="1"/>
  <c r="L316" i="1"/>
  <c r="L317" i="1" s="1"/>
  <c r="X283" i="1"/>
  <c r="X284" i="1" s="1"/>
  <c r="X313" i="1"/>
  <c r="X285" i="1"/>
  <c r="X286" i="1" s="1"/>
  <c r="X252" i="1"/>
  <c r="X253" i="1" s="1"/>
  <c r="X248" i="1"/>
  <c r="X282" i="1"/>
  <c r="X314" i="1"/>
  <c r="X315" i="1" s="1"/>
  <c r="AJ313" i="1"/>
  <c r="AJ314" i="1"/>
  <c r="AJ315" i="1" s="1"/>
  <c r="AJ283" i="1"/>
  <c r="AJ284" i="1" s="1"/>
  <c r="AJ251" i="1"/>
  <c r="AJ316" i="1"/>
  <c r="AJ317" i="1" s="1"/>
  <c r="AJ285" i="1"/>
  <c r="AJ286" i="1" s="1"/>
  <c r="AJ295" i="1" s="1"/>
  <c r="AJ254" i="1"/>
  <c r="AJ255" i="1" s="1"/>
  <c r="AN266" i="1"/>
  <c r="AN256" i="1"/>
  <c r="AN260" i="1" s="1"/>
  <c r="AN262" i="1"/>
  <c r="AE308" i="1"/>
  <c r="P316" i="1"/>
  <c r="P317" i="1" s="1"/>
  <c r="P282" i="1"/>
  <c r="P252" i="1"/>
  <c r="P253" i="1" s="1"/>
  <c r="P285" i="1"/>
  <c r="P286" i="1" s="1"/>
  <c r="P254" i="1"/>
  <c r="P255" i="1" s="1"/>
  <c r="P264" i="1" s="1"/>
  <c r="AB316" i="1"/>
  <c r="AB317" i="1" s="1"/>
  <c r="AB282" i="1"/>
  <c r="AB314" i="1"/>
  <c r="AB315" i="1" s="1"/>
  <c r="AB313" i="1"/>
  <c r="AB283" i="1"/>
  <c r="AB284" i="1" s="1"/>
  <c r="AB254" i="1"/>
  <c r="AB255" i="1" s="1"/>
  <c r="AB252" i="1"/>
  <c r="AB253" i="1" s="1"/>
  <c r="AB136" i="1"/>
  <c r="AN316" i="1"/>
  <c r="AN317" i="1" s="1"/>
  <c r="AN313" i="1"/>
  <c r="AN285" i="1"/>
  <c r="AN286" i="1" s="1"/>
  <c r="AN314" i="1"/>
  <c r="AN315" i="1" s="1"/>
  <c r="AN248" i="1"/>
  <c r="AQ262" i="1"/>
  <c r="AQ256" i="1"/>
  <c r="AQ260" i="1" s="1"/>
  <c r="T255" i="1"/>
  <c r="T287" i="1"/>
  <c r="T291" i="1" s="1"/>
  <c r="T297" i="1"/>
  <c r="P313" i="1"/>
  <c r="P283" i="1"/>
  <c r="P284" i="1" s="1"/>
  <c r="AG328" i="1"/>
  <c r="AG318" i="1"/>
  <c r="AG322" i="1" s="1"/>
  <c r="AG324" i="1"/>
  <c r="S282" i="1"/>
  <c r="S285" i="1"/>
  <c r="S286" i="1" s="1"/>
  <c r="S254" i="1"/>
  <c r="S255" i="1" s="1"/>
  <c r="S248" i="1"/>
  <c r="AE282" i="1"/>
  <c r="AE254" i="1"/>
  <c r="AE255" i="1" s="1"/>
  <c r="AE283" i="1"/>
  <c r="AE284" i="1" s="1"/>
  <c r="AE316" i="1"/>
  <c r="AE317" i="1" s="1"/>
  <c r="AQ283" i="1"/>
  <c r="AQ284" i="1" s="1"/>
  <c r="AQ316" i="1"/>
  <c r="AQ317" i="1" s="1"/>
  <c r="AQ254" i="1"/>
  <c r="AQ255" i="1" s="1"/>
  <c r="AQ264" i="1" s="1"/>
  <c r="AQ282" i="1"/>
  <c r="G206" i="1"/>
  <c r="AR255" i="1"/>
  <c r="AQ252" i="1"/>
  <c r="AQ253" i="1" s="1"/>
  <c r="G81" i="1"/>
  <c r="AQ136" i="1"/>
  <c r="U313" i="1"/>
  <c r="U285" i="1"/>
  <c r="U286" i="1" s="1"/>
  <c r="U252" i="1"/>
  <c r="U253" i="1" s="1"/>
  <c r="U248" i="1"/>
  <c r="U136" i="1"/>
  <c r="AG282" i="1"/>
  <c r="AG314" i="1"/>
  <c r="AG315" i="1" s="1"/>
  <c r="AG285" i="1"/>
  <c r="AG286" i="1" s="1"/>
  <c r="AG252" i="1"/>
  <c r="AG253" i="1" s="1"/>
  <c r="AG136" i="1"/>
  <c r="AS316" i="1"/>
  <c r="AS317" i="1" s="1"/>
  <c r="AS282" i="1"/>
  <c r="AS252" i="1"/>
  <c r="AS253" i="1" s="1"/>
  <c r="AS314" i="1"/>
  <c r="AS315" i="1" s="1"/>
  <c r="AS313" i="1"/>
  <c r="AS283" i="1"/>
  <c r="AS284" i="1" s="1"/>
  <c r="AS248" i="1"/>
  <c r="AS136" i="1"/>
  <c r="S251" i="1"/>
  <c r="R255" i="1"/>
  <c r="AG254" i="1"/>
  <c r="AG255" i="1" s="1"/>
  <c r="AP325" i="1"/>
  <c r="G78" i="1"/>
  <c r="AE136" i="1"/>
  <c r="K285" i="1"/>
  <c r="K286" i="1" s="1"/>
  <c r="K316" i="1"/>
  <c r="K317" i="1" s="1"/>
  <c r="K313" i="1"/>
  <c r="K314" i="1"/>
  <c r="K315" i="1" s="1"/>
  <c r="K136" i="1"/>
  <c r="K283" i="1"/>
  <c r="K284" i="1" s="1"/>
  <c r="K252" i="1"/>
  <c r="K253" i="1" s="1"/>
  <c r="W285" i="1"/>
  <c r="W286" i="1" s="1"/>
  <c r="W313" i="1"/>
  <c r="W314" i="1"/>
  <c r="W315" i="1" s="1"/>
  <c r="W136" i="1"/>
  <c r="W251" i="1"/>
  <c r="AI285" i="1"/>
  <c r="AI286" i="1" s="1"/>
  <c r="AI314" i="1"/>
  <c r="AI315" i="1" s="1"/>
  <c r="AI316" i="1"/>
  <c r="AI317" i="1" s="1"/>
  <c r="AI248" i="1"/>
  <c r="AI136" i="1"/>
  <c r="AE252" i="1"/>
  <c r="AE253" i="1" s="1"/>
  <c r="AI254" i="1"/>
  <c r="AI255" i="1" s="1"/>
  <c r="AI264" i="1" s="1"/>
  <c r="R316" i="1"/>
  <c r="R317" i="1" s="1"/>
  <c r="R314" i="1"/>
  <c r="R315" i="1" s="1"/>
  <c r="AD284" i="1"/>
  <c r="AF248" i="1"/>
  <c r="AD282" i="1"/>
  <c r="E349" i="1"/>
  <c r="T316" i="1"/>
  <c r="T317" i="1" s="1"/>
  <c r="T314" i="1"/>
  <c r="T315" i="1" s="1"/>
  <c r="AD255" i="1"/>
  <c r="AD313" i="1"/>
  <c r="AD314" i="1"/>
  <c r="AD315" i="1" s="1"/>
  <c r="J313" i="1"/>
  <c r="J314" i="1"/>
  <c r="J315" i="1" s="1"/>
  <c r="AH316" i="1"/>
  <c r="AH317" i="1" s="1"/>
  <c r="AH313" i="1"/>
  <c r="AH285" i="1"/>
  <c r="AH286" i="1" s="1"/>
  <c r="J248" i="1"/>
  <c r="V248" i="1"/>
  <c r="AH248" i="1"/>
  <c r="J251" i="1"/>
  <c r="V251" i="1"/>
  <c r="AH251" i="1"/>
  <c r="V283" i="1"/>
  <c r="V284" i="1" s="1"/>
  <c r="J283" i="1"/>
  <c r="J284" i="1" s="1"/>
  <c r="AR339" i="1" l="1"/>
  <c r="AR318" i="1"/>
  <c r="AR322" i="1" s="1"/>
  <c r="AR328" i="1"/>
  <c r="T295" i="1"/>
  <c r="AG277" i="1"/>
  <c r="G208" i="1"/>
  <c r="G71" i="1"/>
  <c r="E233" i="1"/>
  <c r="E69" i="1"/>
  <c r="R318" i="1"/>
  <c r="R322" i="1" s="1"/>
  <c r="AI326" i="1"/>
  <c r="U294" i="1"/>
  <c r="U303" i="1" s="1"/>
  <c r="AQ318" i="1"/>
  <c r="AQ322" i="1" s="1"/>
  <c r="AP330" i="1"/>
  <c r="H237" i="1"/>
  <c r="AQ328" i="1"/>
  <c r="AQ330" i="1" s="1"/>
  <c r="F233" i="1"/>
  <c r="H233" i="1" s="1"/>
  <c r="F69" i="1"/>
  <c r="AG308" i="1"/>
  <c r="T324" i="1"/>
  <c r="T325" i="1" s="1"/>
  <c r="AD308" i="1"/>
  <c r="AM295" i="1"/>
  <c r="AS266" i="1"/>
  <c r="AS268" i="1" s="1"/>
  <c r="AB326" i="1"/>
  <c r="T318" i="1"/>
  <c r="T322" i="1" s="1"/>
  <c r="AS262" i="1"/>
  <c r="V326" i="1"/>
  <c r="AP264" i="1"/>
  <c r="V318" i="1"/>
  <c r="V322" i="1" s="1"/>
  <c r="AB256" i="1"/>
  <c r="AB260" i="1" s="1"/>
  <c r="AD266" i="1"/>
  <c r="AD268" i="1" s="1"/>
  <c r="AR326" i="1"/>
  <c r="V328" i="1"/>
  <c r="V330" i="1" s="1"/>
  <c r="AB266" i="1"/>
  <c r="AB268" i="1" s="1"/>
  <c r="R339" i="1"/>
  <c r="AP262" i="1"/>
  <c r="AP263" i="1" s="1"/>
  <c r="AS264" i="1"/>
  <c r="K264" i="1"/>
  <c r="AP277" i="1"/>
  <c r="U287" i="1"/>
  <c r="U291" i="1" s="1"/>
  <c r="AP287" i="1"/>
  <c r="AP291" i="1" s="1"/>
  <c r="AP266" i="1"/>
  <c r="AP267" i="1" s="1"/>
  <c r="AJ298" i="1"/>
  <c r="T326" i="1"/>
  <c r="AP293" i="1"/>
  <c r="AP294" i="1" s="1"/>
  <c r="K308" i="1"/>
  <c r="V325" i="1"/>
  <c r="V334" i="1" s="1"/>
  <c r="G216" i="1"/>
  <c r="G106" i="1" s="1"/>
  <c r="G234" i="1"/>
  <c r="AP339" i="1"/>
  <c r="AD295" i="1"/>
  <c r="W297" i="1"/>
  <c r="W299" i="1" s="1"/>
  <c r="Q326" i="1"/>
  <c r="AF295" i="1"/>
  <c r="R295" i="1"/>
  <c r="P326" i="1"/>
  <c r="AD256" i="1"/>
  <c r="AD260" i="1" s="1"/>
  <c r="AN293" i="1"/>
  <c r="AN294" i="1" s="1"/>
  <c r="AN303" i="1" s="1"/>
  <c r="AR325" i="1"/>
  <c r="AR334" i="1" s="1"/>
  <c r="W295" i="1"/>
  <c r="AG268" i="1"/>
  <c r="AN287" i="1"/>
  <c r="AN291" i="1" s="1"/>
  <c r="R266" i="1"/>
  <c r="R267" i="1" s="1"/>
  <c r="R256" i="1"/>
  <c r="R260" i="1" s="1"/>
  <c r="R308" i="1"/>
  <c r="W293" i="1"/>
  <c r="W294" i="1" s="1"/>
  <c r="W303" i="1" s="1"/>
  <c r="R325" i="1"/>
  <c r="R334" i="1" s="1"/>
  <c r="K262" i="1"/>
  <c r="K263" i="1" s="1"/>
  <c r="J294" i="1"/>
  <c r="J303" i="1" s="1"/>
  <c r="H232" i="1"/>
  <c r="R264" i="1"/>
  <c r="AO339" i="1"/>
  <c r="AO277" i="1"/>
  <c r="Z326" i="1"/>
  <c r="AK326" i="1"/>
  <c r="F208" i="1"/>
  <c r="F216" i="1"/>
  <c r="F106" i="1" s="1"/>
  <c r="T339" i="1"/>
  <c r="AI293" i="1"/>
  <c r="AI294" i="1" s="1"/>
  <c r="G49" i="1"/>
  <c r="G60" i="1" s="1"/>
  <c r="G235" i="1" s="1"/>
  <c r="AJ308" i="1"/>
  <c r="M326" i="1"/>
  <c r="AR308" i="1"/>
  <c r="AJ277" i="1"/>
  <c r="AF299" i="1"/>
  <c r="T329" i="1"/>
  <c r="T308" i="1"/>
  <c r="AD264" i="1"/>
  <c r="AG325" i="1"/>
  <c r="AG334" i="1" s="1"/>
  <c r="AI328" i="1"/>
  <c r="AI330" i="1" s="1"/>
  <c r="T299" i="1"/>
  <c r="AI324" i="1"/>
  <c r="AI325" i="1" s="1"/>
  <c r="AI334" i="1" s="1"/>
  <c r="T294" i="1"/>
  <c r="T300" i="1" s="1"/>
  <c r="AB264" i="1"/>
  <c r="R293" i="1"/>
  <c r="R294" i="1" s="1"/>
  <c r="AO295" i="1"/>
  <c r="AR256" i="1"/>
  <c r="AR260" i="1" s="1"/>
  <c r="AD326" i="1"/>
  <c r="AG264" i="1"/>
  <c r="AN298" i="1"/>
  <c r="P277" i="1"/>
  <c r="AF264" i="1"/>
  <c r="AG330" i="1"/>
  <c r="AE328" i="1"/>
  <c r="AE330" i="1" s="1"/>
  <c r="P339" i="1"/>
  <c r="F55" i="1"/>
  <c r="AE326" i="1"/>
  <c r="R328" i="1"/>
  <c r="R329" i="1" s="1"/>
  <c r="AB295" i="1"/>
  <c r="AE324" i="1"/>
  <c r="AE325" i="1" s="1"/>
  <c r="Y295" i="1"/>
  <c r="E55" i="1"/>
  <c r="X256" i="1"/>
  <c r="X260" i="1" s="1"/>
  <c r="AR266" i="1"/>
  <c r="AR268" i="1" s="1"/>
  <c r="X268" i="1"/>
  <c r="X262" i="1"/>
  <c r="X263" i="1" s="1"/>
  <c r="O264" i="1"/>
  <c r="V264" i="1"/>
  <c r="H349" i="1"/>
  <c r="AO325" i="1"/>
  <c r="AO331" i="1" s="1"/>
  <c r="F173" i="1"/>
  <c r="F181" i="1" s="1"/>
  <c r="AI297" i="1"/>
  <c r="AI298" i="1" s="1"/>
  <c r="AL264" i="1"/>
  <c r="S264" i="1"/>
  <c r="L264" i="1"/>
  <c r="X264" i="1"/>
  <c r="AM326" i="1"/>
  <c r="W264" i="1"/>
  <c r="K326" i="1"/>
  <c r="O295" i="1"/>
  <c r="AR295" i="1"/>
  <c r="AA326" i="1"/>
  <c r="AN326" i="1"/>
  <c r="AK264" i="1"/>
  <c r="AH326" i="1"/>
  <c r="AF318" i="1"/>
  <c r="AF322" i="1" s="1"/>
  <c r="AE264" i="1"/>
  <c r="T256" i="1"/>
  <c r="T260" i="1" s="1"/>
  <c r="AP329" i="1"/>
  <c r="AJ264" i="1"/>
  <c r="T262" i="1"/>
  <c r="T263" i="1" s="1"/>
  <c r="AQ339" i="1"/>
  <c r="H317" i="1"/>
  <c r="G354" i="1" s="1"/>
  <c r="T264" i="1"/>
  <c r="L326" i="1"/>
  <c r="V295" i="1"/>
  <c r="AQ277" i="1"/>
  <c r="J297" i="1"/>
  <c r="J299" i="1" s="1"/>
  <c r="V297" i="1"/>
  <c r="V299" i="1" s="1"/>
  <c r="R287" i="1"/>
  <c r="R291" i="1" s="1"/>
  <c r="R297" i="1"/>
  <c r="K339" i="1"/>
  <c r="AE262" i="1"/>
  <c r="AE263" i="1" s="1"/>
  <c r="AF324" i="1"/>
  <c r="AF325" i="1" s="1"/>
  <c r="AF327" i="1" s="1"/>
  <c r="AE266" i="1"/>
  <c r="AE268" i="1" s="1"/>
  <c r="AF328" i="1"/>
  <c r="AF330" i="1" s="1"/>
  <c r="V293" i="1"/>
  <c r="V294" i="1" s="1"/>
  <c r="G85" i="1"/>
  <c r="G87" i="1" s="1"/>
  <c r="J287" i="1"/>
  <c r="J291" i="1" s="1"/>
  <c r="AH264" i="1"/>
  <c r="P295" i="1"/>
  <c r="Z295" i="1"/>
  <c r="J295" i="1"/>
  <c r="O326" i="1"/>
  <c r="AO330" i="1"/>
  <c r="F169" i="1"/>
  <c r="F178" i="1" s="1"/>
  <c r="AF267" i="1"/>
  <c r="H186" i="1"/>
  <c r="S325" i="1"/>
  <c r="S334" i="1" s="1"/>
  <c r="AQ325" i="1"/>
  <c r="AQ334" i="1" s="1"/>
  <c r="AD339" i="1"/>
  <c r="H286" i="1"/>
  <c r="F354" i="1" s="1"/>
  <c r="F88" i="1"/>
  <c r="R326" i="1"/>
  <c r="AQ268" i="1"/>
  <c r="F351" i="1"/>
  <c r="W277" i="1"/>
  <c r="AR264" i="1"/>
  <c r="S326" i="1"/>
  <c r="AN295" i="1"/>
  <c r="AF298" i="1"/>
  <c r="AG262" i="1"/>
  <c r="AG263" i="1" s="1"/>
  <c r="AG256" i="1"/>
  <c r="AG260" i="1" s="1"/>
  <c r="K297" i="1"/>
  <c r="K293" i="1"/>
  <c r="K294" i="1" s="1"/>
  <c r="P268" i="1"/>
  <c r="K266" i="1"/>
  <c r="K268" i="1" s="1"/>
  <c r="AH287" i="1"/>
  <c r="AH291" i="1" s="1"/>
  <c r="AH293" i="1"/>
  <c r="AH294" i="1" s="1"/>
  <c r="AH297" i="1"/>
  <c r="AH298" i="1" s="1"/>
  <c r="G88" i="1"/>
  <c r="T268" i="1"/>
  <c r="K256" i="1"/>
  <c r="K260" i="1" s="1"/>
  <c r="AF256" i="1"/>
  <c r="AF260" i="1" s="1"/>
  <c r="AF262" i="1"/>
  <c r="AF263" i="1" s="1"/>
  <c r="G175" i="1"/>
  <c r="G183" i="1" s="1"/>
  <c r="AA268" i="1"/>
  <c r="T298" i="1"/>
  <c r="N295" i="1"/>
  <c r="AQ326" i="1"/>
  <c r="Q295" i="1"/>
  <c r="F171" i="1"/>
  <c r="AO329" i="1"/>
  <c r="AJ326" i="1"/>
  <c r="K295" i="1"/>
  <c r="S328" i="1"/>
  <c r="F183" i="1"/>
  <c r="AF287" i="1"/>
  <c r="AF291" i="1" s="1"/>
  <c r="AF293" i="1"/>
  <c r="AF294" i="1" s="1"/>
  <c r="H255" i="1"/>
  <c r="E354" i="1" s="1"/>
  <c r="W308" i="1"/>
  <c r="S318" i="1"/>
  <c r="S322" i="1" s="1"/>
  <c r="H253" i="1"/>
  <c r="AJ294" i="1"/>
  <c r="AJ300" i="1" s="1"/>
  <c r="X295" i="1"/>
  <c r="U297" i="1"/>
  <c r="U298" i="1" s="1"/>
  <c r="AI295" i="1"/>
  <c r="AR287" i="1"/>
  <c r="AR291" i="1" s="1"/>
  <c r="AR297" i="1"/>
  <c r="AR293" i="1"/>
  <c r="AR294" i="1" s="1"/>
  <c r="J339" i="1"/>
  <c r="J308" i="1"/>
  <c r="J277" i="1"/>
  <c r="AO262" i="1"/>
  <c r="AO263" i="1" s="1"/>
  <c r="AO256" i="1"/>
  <c r="AO260" i="1" s="1"/>
  <c r="AO266" i="1"/>
  <c r="AO268" i="1" s="1"/>
  <c r="M262" i="1"/>
  <c r="M263" i="1" s="1"/>
  <c r="M266" i="1"/>
  <c r="M268" i="1" s="1"/>
  <c r="M256" i="1"/>
  <c r="M260" i="1" s="1"/>
  <c r="Z308" i="1"/>
  <c r="Z277" i="1"/>
  <c r="Z339" i="1"/>
  <c r="AM256" i="1"/>
  <c r="AM260" i="1" s="1"/>
  <c r="AM262" i="1"/>
  <c r="AM263" i="1" s="1"/>
  <c r="AM266" i="1"/>
  <c r="AM268" i="1" s="1"/>
  <c r="AL339" i="1"/>
  <c r="AL308" i="1"/>
  <c r="AL277" i="1"/>
  <c r="AK297" i="1"/>
  <c r="AK293" i="1"/>
  <c r="AK294" i="1" s="1"/>
  <c r="AK287" i="1"/>
  <c r="AK291" i="1" s="1"/>
  <c r="Y324" i="1"/>
  <c r="Y325" i="1" s="1"/>
  <c r="Y328" i="1"/>
  <c r="Y318" i="1"/>
  <c r="Y322" i="1" s="1"/>
  <c r="AQ293" i="1"/>
  <c r="AQ294" i="1" s="1"/>
  <c r="AQ287" i="1"/>
  <c r="AQ291" i="1" s="1"/>
  <c r="AQ297" i="1"/>
  <c r="X339" i="1"/>
  <c r="X277" i="1"/>
  <c r="X308" i="1"/>
  <c r="F85" i="1"/>
  <c r="F87" i="1" s="1"/>
  <c r="Y262" i="1"/>
  <c r="Y263" i="1" s="1"/>
  <c r="Y266" i="1"/>
  <c r="Y268" i="1" s="1"/>
  <c r="Y256" i="1"/>
  <c r="Y260" i="1" s="1"/>
  <c r="Y264" i="1"/>
  <c r="AP295" i="1"/>
  <c r="S297" i="1"/>
  <c r="S293" i="1"/>
  <c r="S294" i="1" s="1"/>
  <c r="S287" i="1"/>
  <c r="S291" i="1" s="1"/>
  <c r="AB328" i="1"/>
  <c r="AB324" i="1"/>
  <c r="AB325" i="1" s="1"/>
  <c r="AB318" i="1"/>
  <c r="AB322" i="1" s="1"/>
  <c r="O318" i="1"/>
  <c r="O322" i="1" s="1"/>
  <c r="O324" i="1"/>
  <c r="O325" i="1" s="1"/>
  <c r="O328" i="1"/>
  <c r="AS328" i="1"/>
  <c r="AS324" i="1"/>
  <c r="AS325" i="1" s="1"/>
  <c r="AS318" i="1"/>
  <c r="AS322" i="1" s="1"/>
  <c r="S295" i="1"/>
  <c r="H48" i="1"/>
  <c r="E59" i="1"/>
  <c r="Q324" i="1"/>
  <c r="Q325" i="1" s="1"/>
  <c r="Q318" i="1"/>
  <c r="Q322" i="1" s="1"/>
  <c r="Q328" i="1"/>
  <c r="AL256" i="1"/>
  <c r="AL260" i="1" s="1"/>
  <c r="AL262" i="1"/>
  <c r="AL263" i="1" s="1"/>
  <c r="AL266" i="1"/>
  <c r="AL268" i="1" s="1"/>
  <c r="AP298" i="1"/>
  <c r="AN339" i="1"/>
  <c r="AN308" i="1"/>
  <c r="AN277" i="1"/>
  <c r="G171" i="1"/>
  <c r="M264" i="1"/>
  <c r="AI263" i="1"/>
  <c r="AI267" i="1"/>
  <c r="E82" i="1"/>
  <c r="H82" i="1" s="1"/>
  <c r="AN263" i="1"/>
  <c r="U263" i="1"/>
  <c r="E78" i="1"/>
  <c r="H78" i="1" s="1"/>
  <c r="AC267" i="1"/>
  <c r="R263" i="1"/>
  <c r="E81" i="1"/>
  <c r="H81" i="1" s="1"/>
  <c r="AB263" i="1"/>
  <c r="X267" i="1"/>
  <c r="AD263" i="1"/>
  <c r="AA267" i="1"/>
  <c r="AQ263" i="1"/>
  <c r="U267" i="1"/>
  <c r="E83" i="1"/>
  <c r="H83" i="1" s="1"/>
  <c r="AS263" i="1"/>
  <c r="P267" i="1"/>
  <c r="AC263" i="1"/>
  <c r="P263" i="1"/>
  <c r="AN267" i="1"/>
  <c r="AR263" i="1"/>
  <c r="N267" i="1"/>
  <c r="AA263" i="1"/>
  <c r="E80" i="1"/>
  <c r="H80" i="1" s="1"/>
  <c r="AQ267" i="1"/>
  <c r="H44" i="1"/>
  <c r="N263" i="1"/>
  <c r="E79" i="1"/>
  <c r="H79" i="1" s="1"/>
  <c r="E77" i="1"/>
  <c r="AC308" i="1"/>
  <c r="AC339" i="1"/>
  <c r="AC277" i="1"/>
  <c r="AL297" i="1"/>
  <c r="AL293" i="1"/>
  <c r="AL294" i="1" s="1"/>
  <c r="AL287" i="1"/>
  <c r="AL291" i="1" s="1"/>
  <c r="H284" i="1"/>
  <c r="AF339" i="1"/>
  <c r="AF277" i="1"/>
  <c r="AF308" i="1"/>
  <c r="U328" i="1"/>
  <c r="U324" i="1"/>
  <c r="U325" i="1" s="1"/>
  <c r="U318" i="1"/>
  <c r="U322" i="1" s="1"/>
  <c r="O308" i="1"/>
  <c r="O339" i="1"/>
  <c r="O277" i="1"/>
  <c r="M295" i="1"/>
  <c r="AM318" i="1"/>
  <c r="AM322" i="1" s="1"/>
  <c r="AM324" i="1"/>
  <c r="AM325" i="1" s="1"/>
  <c r="AM328" i="1"/>
  <c r="M308" i="1"/>
  <c r="M277" i="1"/>
  <c r="M339" i="1"/>
  <c r="AM264" i="1"/>
  <c r="AH256" i="1"/>
  <c r="AH260" i="1" s="1"/>
  <c r="AH262" i="1"/>
  <c r="AH263" i="1" s="1"/>
  <c r="AH266" i="1"/>
  <c r="K324" i="1"/>
  <c r="K325" i="1" s="1"/>
  <c r="K328" i="1"/>
  <c r="K318" i="1"/>
  <c r="K322" i="1" s="1"/>
  <c r="AN299" i="1"/>
  <c r="AA308" i="1"/>
  <c r="AA339" i="1"/>
  <c r="AA277" i="1"/>
  <c r="Q262" i="1"/>
  <c r="Q263" i="1" s="1"/>
  <c r="Q266" i="1"/>
  <c r="Q264" i="1"/>
  <c r="Q256" i="1"/>
  <c r="Q260" i="1" s="1"/>
  <c r="M297" i="1"/>
  <c r="M293" i="1"/>
  <c r="M294" i="1" s="1"/>
  <c r="M287" i="1"/>
  <c r="M291" i="1" s="1"/>
  <c r="N268" i="1"/>
  <c r="V256" i="1"/>
  <c r="V260" i="1" s="1"/>
  <c r="V262" i="1"/>
  <c r="V263" i="1" s="1"/>
  <c r="V266" i="1"/>
  <c r="AG329" i="1"/>
  <c r="AR329" i="1"/>
  <c r="P318" i="1"/>
  <c r="P322" i="1" s="1"/>
  <c r="P324" i="1"/>
  <c r="P325" i="1" s="1"/>
  <c r="P328" i="1"/>
  <c r="L277" i="1"/>
  <c r="L308" i="1"/>
  <c r="L339" i="1"/>
  <c r="G173" i="1"/>
  <c r="G181" i="1" s="1"/>
  <c r="N287" i="1"/>
  <c r="N291" i="1" s="1"/>
  <c r="N297" i="1"/>
  <c r="N293" i="1"/>
  <c r="N294" i="1" s="1"/>
  <c r="F59" i="1"/>
  <c r="U295" i="1"/>
  <c r="U326" i="1"/>
  <c r="AO293" i="1"/>
  <c r="AO294" i="1" s="1"/>
  <c r="AO297" i="1"/>
  <c r="AO287" i="1"/>
  <c r="AO291" i="1" s="1"/>
  <c r="AK262" i="1"/>
  <c r="AK263" i="1" s="1"/>
  <c r="AK256" i="1"/>
  <c r="AK260" i="1" s="1"/>
  <c r="AK266" i="1"/>
  <c r="J256" i="1"/>
  <c r="J260" i="1" s="1"/>
  <c r="J262" i="1"/>
  <c r="J263" i="1" s="1"/>
  <c r="J266" i="1"/>
  <c r="J268" i="1" s="1"/>
  <c r="J264" i="1"/>
  <c r="AD318" i="1"/>
  <c r="AD322" i="1" s="1"/>
  <c r="AD328" i="1"/>
  <c r="AD324" i="1"/>
  <c r="AD325" i="1" s="1"/>
  <c r="T267" i="1"/>
  <c r="L293" i="1"/>
  <c r="L294" i="1" s="1"/>
  <c r="L297" i="1"/>
  <c r="L287" i="1"/>
  <c r="L291" i="1" s="1"/>
  <c r="AI268" i="1"/>
  <c r="AA318" i="1"/>
  <c r="AA322" i="1" s="1"/>
  <c r="AA324" i="1"/>
  <c r="AA325" i="1" s="1"/>
  <c r="AA328" i="1"/>
  <c r="AL295" i="1"/>
  <c r="AH295" i="1"/>
  <c r="W324" i="1"/>
  <c r="W325" i="1" s="1"/>
  <c r="W328" i="1"/>
  <c r="W318" i="1"/>
  <c r="W322" i="1" s="1"/>
  <c r="M328" i="1"/>
  <c r="M318" i="1"/>
  <c r="M322" i="1" s="1"/>
  <c r="M324" i="1"/>
  <c r="M325" i="1" s="1"/>
  <c r="O297" i="1"/>
  <c r="O293" i="1"/>
  <c r="O294" i="1" s="1"/>
  <c r="O287" i="1"/>
  <c r="O291" i="1" s="1"/>
  <c r="AH324" i="1"/>
  <c r="AH325" i="1" s="1"/>
  <c r="AH328" i="1"/>
  <c r="AH318" i="1"/>
  <c r="AH322" i="1" s="1"/>
  <c r="U339" i="1"/>
  <c r="U308" i="1"/>
  <c r="U277" i="1"/>
  <c r="AP299" i="1"/>
  <c r="N328" i="1"/>
  <c r="N318" i="1"/>
  <c r="N322" i="1" s="1"/>
  <c r="N324" i="1"/>
  <c r="N325" i="1" s="1"/>
  <c r="E178" i="1"/>
  <c r="E203" i="1"/>
  <c r="E90" i="1"/>
  <c r="H58" i="1"/>
  <c r="X324" i="1"/>
  <c r="X325" i="1" s="1"/>
  <c r="X318" i="1"/>
  <c r="X322" i="1" s="1"/>
  <c r="X328" i="1"/>
  <c r="J324" i="1"/>
  <c r="J325" i="1" s="1"/>
  <c r="J328" i="1"/>
  <c r="J318" i="1"/>
  <c r="J322" i="1" s="1"/>
  <c r="AI339" i="1"/>
  <c r="AI308" i="1"/>
  <c r="AI277" i="1"/>
  <c r="AS297" i="1"/>
  <c r="AS293" i="1"/>
  <c r="AS294" i="1" s="1"/>
  <c r="AS287" i="1"/>
  <c r="AS291" i="1" s="1"/>
  <c r="AS295" i="1"/>
  <c r="AA297" i="1"/>
  <c r="AA287" i="1"/>
  <c r="AA291" i="1" s="1"/>
  <c r="AA293" i="1"/>
  <c r="AA294" i="1" s="1"/>
  <c r="AA295" i="1"/>
  <c r="W326" i="1"/>
  <c r="H202" i="1"/>
  <c r="K320" i="1"/>
  <c r="W320" i="1"/>
  <c r="G204" i="1"/>
  <c r="G179" i="1"/>
  <c r="AR320" i="1"/>
  <c r="AN324" i="1"/>
  <c r="AN325" i="1" s="1"/>
  <c r="AN318" i="1"/>
  <c r="AN322" i="1" s="1"/>
  <c r="AN328" i="1"/>
  <c r="AJ256" i="1"/>
  <c r="AJ260" i="1" s="1"/>
  <c r="AJ266" i="1"/>
  <c r="AJ268" i="1" s="1"/>
  <c r="AJ262" i="1"/>
  <c r="AJ263" i="1" s="1"/>
  <c r="AH339" i="1"/>
  <c r="AH308" i="1"/>
  <c r="AH277" i="1"/>
  <c r="AG267" i="1"/>
  <c r="W266" i="1"/>
  <c r="W256" i="1"/>
  <c r="W260" i="1" s="1"/>
  <c r="W262" i="1"/>
  <c r="W263" i="1" s="1"/>
  <c r="AE297" i="1"/>
  <c r="AE293" i="1"/>
  <c r="AE294" i="1" s="1"/>
  <c r="AE287" i="1"/>
  <c r="AE291" i="1" s="1"/>
  <c r="U268" i="1"/>
  <c r="P293" i="1"/>
  <c r="P294" i="1" s="1"/>
  <c r="P287" i="1"/>
  <c r="P291" i="1" s="1"/>
  <c r="P297" i="1"/>
  <c r="AJ328" i="1"/>
  <c r="AJ318" i="1"/>
  <c r="AJ322" i="1" s="1"/>
  <c r="AJ324" i="1"/>
  <c r="AJ325" i="1" s="1"/>
  <c r="L266" i="1"/>
  <c r="L268" i="1" s="1"/>
  <c r="L262" i="1"/>
  <c r="L263" i="1" s="1"/>
  <c r="L256" i="1"/>
  <c r="L260" i="1" s="1"/>
  <c r="AC268" i="1"/>
  <c r="Z328" i="1"/>
  <c r="Z318" i="1"/>
  <c r="Z322" i="1" s="1"/>
  <c r="Z324" i="1"/>
  <c r="Z325" i="1" s="1"/>
  <c r="AO264" i="1"/>
  <c r="AE295" i="1"/>
  <c r="AQ295" i="1"/>
  <c r="X326" i="1"/>
  <c r="N326" i="1"/>
  <c r="AS326" i="1"/>
  <c r="AC293" i="1"/>
  <c r="AC294" i="1" s="1"/>
  <c r="AC297" i="1"/>
  <c r="AC287" i="1"/>
  <c r="AC291" i="1" s="1"/>
  <c r="AC295" i="1"/>
  <c r="AM297" i="1"/>
  <c r="AM293" i="1"/>
  <c r="AM294" i="1" s="1"/>
  <c r="AM287" i="1"/>
  <c r="AM291" i="1" s="1"/>
  <c r="Y293" i="1"/>
  <c r="Y294" i="1" s="1"/>
  <c r="Y287" i="1"/>
  <c r="Y291" i="1" s="1"/>
  <c r="Y297" i="1"/>
  <c r="AG293" i="1"/>
  <c r="AG294" i="1" s="1"/>
  <c r="AG287" i="1"/>
  <c r="AG291" i="1" s="1"/>
  <c r="AG297" i="1"/>
  <c r="AG295" i="1"/>
  <c r="X297" i="1"/>
  <c r="X287" i="1"/>
  <c r="X291" i="1" s="1"/>
  <c r="X293" i="1"/>
  <c r="X294" i="1" s="1"/>
  <c r="AS339" i="1"/>
  <c r="AS308" i="1"/>
  <c r="AS277" i="1"/>
  <c r="AD293" i="1"/>
  <c r="AD294" i="1" s="1"/>
  <c r="AD287" i="1"/>
  <c r="AD291" i="1" s="1"/>
  <c r="AD297" i="1"/>
  <c r="AF268" i="1"/>
  <c r="H315" i="1"/>
  <c r="AP331" i="1"/>
  <c r="AP327" i="1"/>
  <c r="AP334" i="1"/>
  <c r="AB293" i="1"/>
  <c r="AB294" i="1" s="1"/>
  <c r="AB287" i="1"/>
  <c r="AB291" i="1" s="1"/>
  <c r="AB297" i="1"/>
  <c r="AC328" i="1"/>
  <c r="AC324" i="1"/>
  <c r="AC325" i="1" s="1"/>
  <c r="AC318" i="1"/>
  <c r="AC322" i="1" s="1"/>
  <c r="Z266" i="1"/>
  <c r="Z268" i="1" s="1"/>
  <c r="Z256" i="1"/>
  <c r="Z260" i="1" s="1"/>
  <c r="Z262" i="1"/>
  <c r="Z263" i="1" s="1"/>
  <c r="F184" i="1"/>
  <c r="H184" i="1" s="1"/>
  <c r="F209" i="1"/>
  <c r="H209" i="1" s="1"/>
  <c r="H64" i="1"/>
  <c r="Z264" i="1"/>
  <c r="F203" i="1"/>
  <c r="F90" i="1"/>
  <c r="E181" i="1"/>
  <c r="H61" i="1"/>
  <c r="E206" i="1"/>
  <c r="H206" i="1" s="1"/>
  <c r="O262" i="1"/>
  <c r="O263" i="1" s="1"/>
  <c r="O266" i="1"/>
  <c r="O268" i="1" s="1"/>
  <c r="O256" i="1"/>
  <c r="O260" i="1" s="1"/>
  <c r="V339" i="1"/>
  <c r="V308" i="1"/>
  <c r="V277" i="1"/>
  <c r="S256" i="1"/>
  <c r="S260" i="1" s="1"/>
  <c r="S266" i="1"/>
  <c r="S262" i="1"/>
  <c r="S263" i="1" s="1"/>
  <c r="T330" i="1"/>
  <c r="S339" i="1"/>
  <c r="S277" i="1"/>
  <c r="S308" i="1"/>
  <c r="AN268" i="1"/>
  <c r="L324" i="1"/>
  <c r="L325" i="1" s="1"/>
  <c r="L328" i="1"/>
  <c r="L318" i="1"/>
  <c r="L322" i="1" s="1"/>
  <c r="Z297" i="1"/>
  <c r="Z293" i="1"/>
  <c r="Z294" i="1" s="1"/>
  <c r="Z287" i="1"/>
  <c r="Z291" i="1" s="1"/>
  <c r="AJ299" i="1"/>
  <c r="N339" i="1"/>
  <c r="N308" i="1"/>
  <c r="N277" i="1"/>
  <c r="E351" i="1"/>
  <c r="H102" i="1"/>
  <c r="Y326" i="1"/>
  <c r="AK295" i="1"/>
  <c r="AC326" i="1"/>
  <c r="J326" i="1"/>
  <c r="Q293" i="1"/>
  <c r="Q294" i="1" s="1"/>
  <c r="Q287" i="1"/>
  <c r="Q291" i="1" s="1"/>
  <c r="Q297" i="1"/>
  <c r="AM308" i="1"/>
  <c r="AM277" i="1"/>
  <c r="AM339" i="1"/>
  <c r="AL324" i="1"/>
  <c r="AL325" i="1" s="1"/>
  <c r="AL328" i="1"/>
  <c r="AL318" i="1"/>
  <c r="AL322" i="1" s="1"/>
  <c r="AL326" i="1"/>
  <c r="AK324" i="1"/>
  <c r="AK325" i="1" s="1"/>
  <c r="AK318" i="1"/>
  <c r="AK322" i="1" s="1"/>
  <c r="AK328" i="1"/>
  <c r="Y339" i="1"/>
  <c r="Y277" i="1"/>
  <c r="Y308" i="1"/>
  <c r="AG327" i="1" l="1"/>
  <c r="J296" i="1"/>
  <c r="G180" i="1"/>
  <c r="AR327" i="1"/>
  <c r="AR156" i="1" s="1"/>
  <c r="AQ329" i="1"/>
  <c r="AR331" i="1"/>
  <c r="AR330" i="1"/>
  <c r="G190" i="1"/>
  <c r="G191" i="1" s="1"/>
  <c r="G192" i="1" s="1"/>
  <c r="G193" i="1" s="1"/>
  <c r="AA320" i="1"/>
  <c r="AI327" i="1"/>
  <c r="AI335" i="1" s="1"/>
  <c r="L320" i="1"/>
  <c r="M320" i="1"/>
  <c r="AJ320" i="1"/>
  <c r="Y320" i="1"/>
  <c r="AP320" i="1"/>
  <c r="R320" i="1"/>
  <c r="AK320" i="1"/>
  <c r="AE329" i="1"/>
  <c r="G66" i="1"/>
  <c r="G114" i="1" s="1"/>
  <c r="AI320" i="1"/>
  <c r="N320" i="1"/>
  <c r="AC320" i="1"/>
  <c r="AS267" i="1"/>
  <c r="S320" i="1"/>
  <c r="T320" i="1"/>
  <c r="Z320" i="1"/>
  <c r="G205" i="1"/>
  <c r="AA319" i="1" s="1"/>
  <c r="AM320" i="1"/>
  <c r="AL320" i="1"/>
  <c r="AN320" i="1"/>
  <c r="O320" i="1"/>
  <c r="AD320" i="1"/>
  <c r="AB320" i="1"/>
  <c r="U320" i="1"/>
  <c r="AS320" i="1"/>
  <c r="X320" i="1"/>
  <c r="AH320" i="1"/>
  <c r="V327" i="1"/>
  <c r="J320" i="1"/>
  <c r="AQ320" i="1"/>
  <c r="V320" i="1"/>
  <c r="Q320" i="1"/>
  <c r="H69" i="1"/>
  <c r="W298" i="1"/>
  <c r="AI331" i="1"/>
  <c r="V298" i="1"/>
  <c r="U296" i="1"/>
  <c r="U304" i="1" s="1"/>
  <c r="P320" i="1"/>
  <c r="AE320" i="1"/>
  <c r="AF320" i="1"/>
  <c r="G70" i="1"/>
  <c r="G72" i="1" s="1"/>
  <c r="G74" i="1" s="1"/>
  <c r="AI329" i="1"/>
  <c r="V331" i="1"/>
  <c r="AG320" i="1"/>
  <c r="AO320" i="1"/>
  <c r="AG331" i="1"/>
  <c r="AD267" i="1"/>
  <c r="AR300" i="1"/>
  <c r="AN321" i="1"/>
  <c r="AI321" i="1"/>
  <c r="V329" i="1"/>
  <c r="S327" i="1"/>
  <c r="S332" i="1" s="1"/>
  <c r="R296" i="1"/>
  <c r="R304" i="1" s="1"/>
  <c r="AP268" i="1"/>
  <c r="AJ296" i="1"/>
  <c r="AJ301" i="1" s="1"/>
  <c r="AB267" i="1"/>
  <c r="AF296" i="1"/>
  <c r="AF304" i="1" s="1"/>
  <c r="G221" i="1"/>
  <c r="G222" i="1" s="1"/>
  <c r="G223" i="1" s="1"/>
  <c r="R327" i="1"/>
  <c r="R332" i="1" s="1"/>
  <c r="R268" i="1"/>
  <c r="G55" i="1"/>
  <c r="H55" i="1" s="1"/>
  <c r="R300" i="1"/>
  <c r="E234" i="1"/>
  <c r="R303" i="1"/>
  <c r="J300" i="1"/>
  <c r="AR303" i="1"/>
  <c r="J298" i="1"/>
  <c r="V300" i="1"/>
  <c r="AR267" i="1"/>
  <c r="F234" i="1"/>
  <c r="T303" i="1"/>
  <c r="T296" i="1"/>
  <c r="T304" i="1" s="1"/>
  <c r="AQ327" i="1"/>
  <c r="AQ156" i="1" s="1"/>
  <c r="AJ303" i="1"/>
  <c r="AQ331" i="1"/>
  <c r="AE331" i="1"/>
  <c r="AE327" i="1"/>
  <c r="AE332" i="1" s="1"/>
  <c r="AE334" i="1"/>
  <c r="AI300" i="1"/>
  <c r="AI303" i="1"/>
  <c r="AE267" i="1"/>
  <c r="H354" i="1"/>
  <c r="AR296" i="1"/>
  <c r="AR304" i="1" s="1"/>
  <c r="R330" i="1"/>
  <c r="R331" i="1"/>
  <c r="AI299" i="1"/>
  <c r="AN319" i="1"/>
  <c r="AF300" i="1"/>
  <c r="AN300" i="1"/>
  <c r="AI296" i="1"/>
  <c r="AI304" i="1" s="1"/>
  <c r="AH299" i="1"/>
  <c r="AF303" i="1"/>
  <c r="AF329" i="1"/>
  <c r="AG321" i="1"/>
  <c r="AF331" i="1"/>
  <c r="AN296" i="1"/>
  <c r="AN148" i="1" s="1"/>
  <c r="G91" i="1"/>
  <c r="G93" i="1" s="1"/>
  <c r="AF334" i="1"/>
  <c r="M267" i="1"/>
  <c r="AO334" i="1"/>
  <c r="J321" i="1"/>
  <c r="H351" i="1"/>
  <c r="AO327" i="1"/>
  <c r="AO332" i="1" s="1"/>
  <c r="AA321" i="1"/>
  <c r="W300" i="1"/>
  <c r="AP321" i="1"/>
  <c r="W296" i="1"/>
  <c r="W148" i="1" s="1"/>
  <c r="R321" i="1"/>
  <c r="AJ267" i="1"/>
  <c r="U299" i="1"/>
  <c r="P321" i="1"/>
  <c r="V303" i="1"/>
  <c r="R298" i="1"/>
  <c r="R299" i="1"/>
  <c r="K267" i="1"/>
  <c r="U321" i="1"/>
  <c r="V296" i="1"/>
  <c r="V304" i="1" s="1"/>
  <c r="N321" i="1"/>
  <c r="K300" i="1"/>
  <c r="K303" i="1"/>
  <c r="K296" i="1"/>
  <c r="K304" i="1" s="1"/>
  <c r="H291" i="1"/>
  <c r="AO321" i="1"/>
  <c r="T321" i="1"/>
  <c r="X319" i="1"/>
  <c r="K321" i="1"/>
  <c r="AM321" i="1"/>
  <c r="AR298" i="1"/>
  <c r="AR299" i="1"/>
  <c r="U300" i="1"/>
  <c r="L267" i="1"/>
  <c r="G182" i="1"/>
  <c r="H182" i="1" s="1"/>
  <c r="AO267" i="1"/>
  <c r="AH321" i="1"/>
  <c r="AF321" i="1"/>
  <c r="S330" i="1"/>
  <c r="S329" i="1"/>
  <c r="K299" i="1"/>
  <c r="K298" i="1"/>
  <c r="S331" i="1"/>
  <c r="O321" i="1"/>
  <c r="L321" i="1"/>
  <c r="AD319" i="1"/>
  <c r="AR321" i="1"/>
  <c r="AL321" i="1"/>
  <c r="AJ321" i="1"/>
  <c r="AM267" i="1"/>
  <c r="AC321" i="1"/>
  <c r="S321" i="1"/>
  <c r="M321" i="1"/>
  <c r="AE321" i="1"/>
  <c r="AQ321" i="1"/>
  <c r="Y321" i="1"/>
  <c r="AS321" i="1"/>
  <c r="Q321" i="1"/>
  <c r="X321" i="1"/>
  <c r="AB321" i="1"/>
  <c r="V321" i="1"/>
  <c r="W321" i="1"/>
  <c r="AK321" i="1"/>
  <c r="AD321" i="1"/>
  <c r="Z321" i="1"/>
  <c r="L269" i="1"/>
  <c r="L265" i="1"/>
  <c r="L272" i="1"/>
  <c r="AQ290" i="1"/>
  <c r="AE290" i="1"/>
  <c r="S290" i="1"/>
  <c r="AH290" i="1"/>
  <c r="U290" i="1"/>
  <c r="AL290" i="1"/>
  <c r="X290" i="1"/>
  <c r="J290" i="1"/>
  <c r="AJ290" i="1"/>
  <c r="V290" i="1"/>
  <c r="AC290" i="1"/>
  <c r="M290" i="1"/>
  <c r="AR290" i="1"/>
  <c r="AA290" i="1"/>
  <c r="K290" i="1"/>
  <c r="AN290" i="1"/>
  <c r="R290" i="1"/>
  <c r="AK290" i="1"/>
  <c r="P290" i="1"/>
  <c r="AI290" i="1"/>
  <c r="O290" i="1"/>
  <c r="AG290" i="1"/>
  <c r="N290" i="1"/>
  <c r="F91" i="1"/>
  <c r="AD290" i="1"/>
  <c r="AB290" i="1"/>
  <c r="W290" i="1"/>
  <c r="Q290" i="1"/>
  <c r="L290" i="1"/>
  <c r="T290" i="1"/>
  <c r="AS290" i="1"/>
  <c r="AP290" i="1"/>
  <c r="AO290" i="1"/>
  <c r="AM290" i="1"/>
  <c r="AF290" i="1"/>
  <c r="Z290" i="1"/>
  <c r="Y290" i="1"/>
  <c r="S272" i="1"/>
  <c r="S265" i="1"/>
  <c r="S269" i="1"/>
  <c r="AH331" i="1"/>
  <c r="AH334" i="1"/>
  <c r="AH327" i="1"/>
  <c r="Q331" i="1"/>
  <c r="Q334" i="1"/>
  <c r="Q327" i="1"/>
  <c r="O296" i="1"/>
  <c r="O303" i="1"/>
  <c r="O300" i="1"/>
  <c r="AO272" i="1"/>
  <c r="AO265" i="1"/>
  <c r="AO269" i="1"/>
  <c r="S300" i="1"/>
  <c r="S296" i="1"/>
  <c r="S303" i="1"/>
  <c r="X300" i="1"/>
  <c r="X303" i="1"/>
  <c r="X296" i="1"/>
  <c r="N303" i="1"/>
  <c r="N300" i="1"/>
  <c r="N296" i="1"/>
  <c r="V272" i="1"/>
  <c r="V269" i="1"/>
  <c r="V265" i="1"/>
  <c r="Q272" i="1"/>
  <c r="Q269" i="1"/>
  <c r="Q265" i="1"/>
  <c r="AJ265" i="1"/>
  <c r="AJ272" i="1"/>
  <c r="AJ269" i="1"/>
  <c r="AA296" i="1"/>
  <c r="AA303" i="1"/>
  <c r="AA300" i="1"/>
  <c r="O265" i="1"/>
  <c r="O272" i="1"/>
  <c r="O269" i="1"/>
  <c r="Y331" i="1"/>
  <c r="Y327" i="1"/>
  <c r="Y334" i="1"/>
  <c r="AC303" i="1"/>
  <c r="AC296" i="1"/>
  <c r="AC300" i="1"/>
  <c r="M303" i="1"/>
  <c r="M300" i="1"/>
  <c r="M296" i="1"/>
  <c r="H294" i="1"/>
  <c r="AL300" i="1"/>
  <c r="AL303" i="1"/>
  <c r="AL296" i="1"/>
  <c r="W265" i="1"/>
  <c r="W272" i="1"/>
  <c r="W269" i="1"/>
  <c r="M327" i="1"/>
  <c r="M331" i="1"/>
  <c r="M334" i="1"/>
  <c r="Q303" i="1"/>
  <c r="Q300" i="1"/>
  <c r="Q296" i="1"/>
  <c r="Z269" i="1"/>
  <c r="Z272" i="1"/>
  <c r="Z265" i="1"/>
  <c r="Y269" i="1"/>
  <c r="Y272" i="1"/>
  <c r="Y265" i="1"/>
  <c r="AD299" i="1"/>
  <c r="AD298" i="1"/>
  <c r="AE299" i="1"/>
  <c r="AE298" i="1"/>
  <c r="AH330" i="1"/>
  <c r="AH329" i="1"/>
  <c r="H49" i="1"/>
  <c r="E60" i="1"/>
  <c r="E70" i="1" s="1"/>
  <c r="H263" i="1"/>
  <c r="J272" i="1"/>
  <c r="J269" i="1"/>
  <c r="J265" i="1"/>
  <c r="AM272" i="1"/>
  <c r="AM269" i="1"/>
  <c r="AM265" i="1"/>
  <c r="Q330" i="1"/>
  <c r="Q329" i="1"/>
  <c r="AK330" i="1"/>
  <c r="AK329" i="1"/>
  <c r="Z300" i="1"/>
  <c r="Z303" i="1"/>
  <c r="Z296" i="1"/>
  <c r="Y299" i="1"/>
  <c r="Y298" i="1"/>
  <c r="AN330" i="1"/>
  <c r="AN329" i="1"/>
  <c r="X327" i="1"/>
  <c r="X334" i="1"/>
  <c r="X331" i="1"/>
  <c r="N299" i="1"/>
  <c r="N298" i="1"/>
  <c r="V268" i="1"/>
  <c r="V267" i="1"/>
  <c r="E85" i="1"/>
  <c r="H85" i="1" s="1"/>
  <c r="H77" i="1"/>
  <c r="AE269" i="1"/>
  <c r="AE272" i="1"/>
  <c r="AE265" i="1"/>
  <c r="T269" i="1"/>
  <c r="T265" i="1"/>
  <c r="T272" i="1"/>
  <c r="O330" i="1"/>
  <c r="O329" i="1"/>
  <c r="AP335" i="1"/>
  <c r="AP332" i="1"/>
  <c r="AP156" i="1"/>
  <c r="J304" i="1"/>
  <c r="J148" i="1"/>
  <c r="J301" i="1"/>
  <c r="AR269" i="1"/>
  <c r="AR265" i="1"/>
  <c r="AR272" i="1"/>
  <c r="Z267" i="1"/>
  <c r="AH272" i="1"/>
  <c r="AH265" i="1"/>
  <c r="AH269" i="1"/>
  <c r="O334" i="1"/>
  <c r="O327" i="1"/>
  <c r="O331" i="1"/>
  <c r="AF332" i="1"/>
  <c r="AF335" i="1"/>
  <c r="AF156" i="1"/>
  <c r="AK331" i="1"/>
  <c r="AK327" i="1"/>
  <c r="AK334" i="1"/>
  <c r="Y296" i="1"/>
  <c r="Y303" i="1"/>
  <c r="Y300" i="1"/>
  <c r="AJ331" i="1"/>
  <c r="AJ334" i="1"/>
  <c r="AJ327" i="1"/>
  <c r="AN334" i="1"/>
  <c r="AN327" i="1"/>
  <c r="AN331" i="1"/>
  <c r="E63" i="1"/>
  <c r="H52" i="1"/>
  <c r="AA330" i="1"/>
  <c r="AA329" i="1"/>
  <c r="AH268" i="1"/>
  <c r="AH267" i="1"/>
  <c r="M269" i="1"/>
  <c r="M272" i="1"/>
  <c r="M265" i="1"/>
  <c r="H59" i="1"/>
  <c r="E204" i="1"/>
  <c r="E179" i="1"/>
  <c r="Y330" i="1"/>
  <c r="Y329" i="1"/>
  <c r="R301" i="1"/>
  <c r="M319" i="1"/>
  <c r="U319" i="1"/>
  <c r="AA299" i="1"/>
  <c r="AA298" i="1"/>
  <c r="AA334" i="1"/>
  <c r="AA327" i="1"/>
  <c r="AA331" i="1"/>
  <c r="AO299" i="1"/>
  <c r="AO298" i="1"/>
  <c r="N269" i="1"/>
  <c r="N272" i="1"/>
  <c r="N265" i="1"/>
  <c r="U272" i="1"/>
  <c r="U265" i="1"/>
  <c r="U269" i="1"/>
  <c r="AL269" i="1"/>
  <c r="AL272" i="1"/>
  <c r="AL265" i="1"/>
  <c r="AK300" i="1"/>
  <c r="AK296" i="1"/>
  <c r="AK303" i="1"/>
  <c r="S268" i="1"/>
  <c r="S267" i="1"/>
  <c r="AJ329" i="1"/>
  <c r="AJ330" i="1"/>
  <c r="AO300" i="1"/>
  <c r="AO296" i="1"/>
  <c r="AO303" i="1"/>
  <c r="P265" i="1"/>
  <c r="P269" i="1"/>
  <c r="P272" i="1"/>
  <c r="AN269" i="1"/>
  <c r="AN272" i="1"/>
  <c r="AN265" i="1"/>
  <c r="AB327" i="1"/>
  <c r="AB334" i="1"/>
  <c r="AB331" i="1"/>
  <c r="AL330" i="1"/>
  <c r="AL329" i="1"/>
  <c r="P319" i="1"/>
  <c r="AM296" i="1"/>
  <c r="AM300" i="1"/>
  <c r="AM303" i="1"/>
  <c r="P299" i="1"/>
  <c r="P298" i="1"/>
  <c r="L319" i="1"/>
  <c r="Y319" i="1"/>
  <c r="R319" i="1"/>
  <c r="N319" i="1"/>
  <c r="Z319" i="1"/>
  <c r="AF319" i="1"/>
  <c r="AK319" i="1"/>
  <c r="V319" i="1"/>
  <c r="H322" i="1"/>
  <c r="U327" i="1"/>
  <c r="U331" i="1"/>
  <c r="U334" i="1"/>
  <c r="Y267" i="1"/>
  <c r="R272" i="1"/>
  <c r="R265" i="1"/>
  <c r="R269" i="1"/>
  <c r="AI265" i="1"/>
  <c r="AI269" i="1"/>
  <c r="AI272" i="1"/>
  <c r="AB330" i="1"/>
  <c r="AB329" i="1"/>
  <c r="AL334" i="1"/>
  <c r="AL327" i="1"/>
  <c r="AL331" i="1"/>
  <c r="AM299" i="1"/>
  <c r="AM298" i="1"/>
  <c r="AS303" i="1"/>
  <c r="AS296" i="1"/>
  <c r="AS300" i="1"/>
  <c r="J330" i="1"/>
  <c r="J329" i="1"/>
  <c r="H90" i="1"/>
  <c r="W330" i="1"/>
  <c r="W329" i="1"/>
  <c r="H260" i="1"/>
  <c r="P330" i="1"/>
  <c r="P329" i="1"/>
  <c r="M299" i="1"/>
  <c r="M298" i="1"/>
  <c r="U330" i="1"/>
  <c r="U329" i="1"/>
  <c r="K265" i="1"/>
  <c r="K269" i="1"/>
  <c r="K272" i="1"/>
  <c r="AK272" i="1"/>
  <c r="AK269" i="1"/>
  <c r="AK265" i="1"/>
  <c r="AK299" i="1"/>
  <c r="AK298" i="1"/>
  <c r="L334" i="1"/>
  <c r="L331" i="1"/>
  <c r="L327" i="1"/>
  <c r="AQ319" i="1"/>
  <c r="X299" i="1"/>
  <c r="X298" i="1"/>
  <c r="P296" i="1"/>
  <c r="P303" i="1"/>
  <c r="P300" i="1"/>
  <c r="AS299" i="1"/>
  <c r="AS298" i="1"/>
  <c r="H325" i="1"/>
  <c r="J334" i="1"/>
  <c r="J331" i="1"/>
  <c r="J327" i="1"/>
  <c r="W327" i="1"/>
  <c r="W334" i="1"/>
  <c r="W331" i="1"/>
  <c r="L299" i="1"/>
  <c r="L298" i="1"/>
  <c r="AK268" i="1"/>
  <c r="AK267" i="1"/>
  <c r="P334" i="1"/>
  <c r="P331" i="1"/>
  <c r="P327" i="1"/>
  <c r="AM330" i="1"/>
  <c r="AM329" i="1"/>
  <c r="R156" i="1"/>
  <c r="AL299" i="1"/>
  <c r="AL298" i="1"/>
  <c r="AS272" i="1"/>
  <c r="AS269" i="1"/>
  <c r="AS265" i="1"/>
  <c r="AQ272" i="1"/>
  <c r="AQ269" i="1"/>
  <c r="AQ265" i="1"/>
  <c r="X272" i="1"/>
  <c r="X269" i="1"/>
  <c r="X265" i="1"/>
  <c r="AS327" i="1"/>
  <c r="AS331" i="1"/>
  <c r="AS334" i="1"/>
  <c r="J267" i="1"/>
  <c r="AC330" i="1"/>
  <c r="AC329" i="1"/>
  <c r="Z330" i="1"/>
  <c r="Z329" i="1"/>
  <c r="H203" i="1"/>
  <c r="M330" i="1"/>
  <c r="M329" i="1"/>
  <c r="L300" i="1"/>
  <c r="L296" i="1"/>
  <c r="L303" i="1"/>
  <c r="F179" i="1"/>
  <c r="F204" i="1"/>
  <c r="AL267" i="1"/>
  <c r="AS330" i="1"/>
  <c r="AS329" i="1"/>
  <c r="S299" i="1"/>
  <c r="S298" i="1"/>
  <c r="AQ299" i="1"/>
  <c r="AQ298" i="1"/>
  <c r="AG303" i="1"/>
  <c r="AG300" i="1"/>
  <c r="AG296" i="1"/>
  <c r="K330" i="1"/>
  <c r="K329" i="1"/>
  <c r="AD331" i="1"/>
  <c r="AD334" i="1"/>
  <c r="AD327" i="1"/>
  <c r="K319" i="1"/>
  <c r="AG265" i="1"/>
  <c r="AG269" i="1"/>
  <c r="AG272" i="1"/>
  <c r="AR332" i="1"/>
  <c r="AR333" i="1" s="1"/>
  <c r="AR335" i="1"/>
  <c r="W268" i="1"/>
  <c r="W267" i="1"/>
  <c r="AG335" i="1"/>
  <c r="AG332" i="1"/>
  <c r="AG156" i="1"/>
  <c r="AC319" i="1"/>
  <c r="AP319" i="1"/>
  <c r="AB299" i="1"/>
  <c r="AB298" i="1"/>
  <c r="AG299" i="1"/>
  <c r="AG298" i="1"/>
  <c r="AC299" i="1"/>
  <c r="AC298" i="1"/>
  <c r="S156" i="1"/>
  <c r="H178" i="1"/>
  <c r="F60" i="1"/>
  <c r="F221" i="1" s="1"/>
  <c r="F222" i="1" s="1"/>
  <c r="AJ319" i="1"/>
  <c r="T327" i="1"/>
  <c r="T334" i="1"/>
  <c r="T331" i="1"/>
  <c r="AD269" i="1"/>
  <c r="AD272" i="1"/>
  <c r="AD265" i="1"/>
  <c r="AP269" i="1"/>
  <c r="AP265" i="1"/>
  <c r="AP272" i="1"/>
  <c r="AP300" i="1"/>
  <c r="AP296" i="1"/>
  <c r="AP303" i="1"/>
  <c r="AB300" i="1"/>
  <c r="AB303" i="1"/>
  <c r="AB296" i="1"/>
  <c r="AM334" i="1"/>
  <c r="AM331" i="1"/>
  <c r="AM327" i="1"/>
  <c r="AA269" i="1"/>
  <c r="AA272" i="1"/>
  <c r="AA265" i="1"/>
  <c r="AC331" i="1"/>
  <c r="AC334" i="1"/>
  <c r="AC327" i="1"/>
  <c r="N330" i="1"/>
  <c r="N329" i="1"/>
  <c r="K331" i="1"/>
  <c r="K327" i="1"/>
  <c r="K334" i="1"/>
  <c r="AF269" i="1"/>
  <c r="AF272" i="1"/>
  <c r="AF265" i="1"/>
  <c r="Z299" i="1"/>
  <c r="Z298" i="1"/>
  <c r="AD296" i="1"/>
  <c r="AD303" i="1"/>
  <c r="AD300" i="1"/>
  <c r="AD330" i="1"/>
  <c r="AD329" i="1"/>
  <c r="AB265" i="1"/>
  <c r="AB269" i="1"/>
  <c r="AB272" i="1"/>
  <c r="Z334" i="1"/>
  <c r="Z327" i="1"/>
  <c r="Z331" i="1"/>
  <c r="Q268" i="1"/>
  <c r="Q267" i="1"/>
  <c r="V332" i="1"/>
  <c r="V335" i="1"/>
  <c r="V156" i="1"/>
  <c r="O299" i="1"/>
  <c r="O298" i="1"/>
  <c r="AC272" i="1"/>
  <c r="AC265" i="1"/>
  <c r="AC269" i="1"/>
  <c r="L330" i="1"/>
  <c r="L329" i="1"/>
  <c r="Q299" i="1"/>
  <c r="Q298" i="1"/>
  <c r="H181" i="1"/>
  <c r="AE303" i="1"/>
  <c r="AE300" i="1"/>
  <c r="AE296" i="1"/>
  <c r="X330" i="1"/>
  <c r="X329" i="1"/>
  <c r="N334" i="1"/>
  <c r="N327" i="1"/>
  <c r="N331" i="1"/>
  <c r="AH303" i="1"/>
  <c r="AH296" i="1"/>
  <c r="AH300" i="1"/>
  <c r="O267" i="1"/>
  <c r="AQ303" i="1"/>
  <c r="AQ300" i="1"/>
  <c r="AQ296" i="1"/>
  <c r="AI156" i="1" l="1"/>
  <c r="AF148" i="1"/>
  <c r="V301" i="1"/>
  <c r="U301" i="1"/>
  <c r="U302" i="1" s="1"/>
  <c r="U305" i="1" s="1"/>
  <c r="U148" i="1"/>
  <c r="AQ332" i="1"/>
  <c r="AI332" i="1"/>
  <c r="AI333" i="1" s="1"/>
  <c r="AI336" i="1" s="1"/>
  <c r="Q319" i="1"/>
  <c r="Q323" i="1" s="1"/>
  <c r="Q155" i="1" s="1"/>
  <c r="AI319" i="1"/>
  <c r="AI323" i="1" s="1"/>
  <c r="AI155" i="1" s="1"/>
  <c r="AQ335" i="1"/>
  <c r="V333" i="1"/>
  <c r="V336" i="1" s="1"/>
  <c r="V157" i="1" s="1"/>
  <c r="AA323" i="1"/>
  <c r="AA155" i="1" s="1"/>
  <c r="J319" i="1"/>
  <c r="J323" i="1" s="1"/>
  <c r="G92" i="1"/>
  <c r="AB319" i="1"/>
  <c r="AB323" i="1" s="1"/>
  <c r="AB155" i="1" s="1"/>
  <c r="W319" i="1"/>
  <c r="AI301" i="1"/>
  <c r="AI302" i="1" s="1"/>
  <c r="AI305" i="1" s="1"/>
  <c r="AI149" i="1" s="1"/>
  <c r="AR319" i="1"/>
  <c r="AR323" i="1" s="1"/>
  <c r="AR155" i="1" s="1"/>
  <c r="AG319" i="1"/>
  <c r="AG323" i="1" s="1"/>
  <c r="AG155" i="1" s="1"/>
  <c r="AH319" i="1"/>
  <c r="AH323" i="1" s="1"/>
  <c r="AH155" i="1" s="1"/>
  <c r="G217" i="1"/>
  <c r="G107" i="1" s="1"/>
  <c r="AE319" i="1"/>
  <c r="AE323" i="1" s="1"/>
  <c r="AE155" i="1" s="1"/>
  <c r="AF301" i="1"/>
  <c r="AF302" i="1" s="1"/>
  <c r="AF305" i="1" s="1"/>
  <c r="AO319" i="1"/>
  <c r="AO323" i="1" s="1"/>
  <c r="AO155" i="1" s="1"/>
  <c r="H320" i="1"/>
  <c r="P323" i="1"/>
  <c r="P155" i="1" s="1"/>
  <c r="S319" i="1"/>
  <c r="S323" i="1" s="1"/>
  <c r="S155" i="1" s="1"/>
  <c r="V302" i="1"/>
  <c r="V305" i="1" s="1"/>
  <c r="AL319" i="1"/>
  <c r="AL323" i="1" s="1"/>
  <c r="AL155" i="1" s="1"/>
  <c r="T319" i="1"/>
  <c r="T323" i="1" s="1"/>
  <c r="T155" i="1" s="1"/>
  <c r="AS319" i="1"/>
  <c r="AS323" i="1" s="1"/>
  <c r="AS155" i="1" s="1"/>
  <c r="O319" i="1"/>
  <c r="O323" i="1" s="1"/>
  <c r="O155" i="1" s="1"/>
  <c r="AM319" i="1"/>
  <c r="AM323" i="1" s="1"/>
  <c r="AM155" i="1" s="1"/>
  <c r="G73" i="1"/>
  <c r="E216" i="1"/>
  <c r="E106" i="1" s="1"/>
  <c r="H106" i="1" s="1"/>
  <c r="E71" i="1"/>
  <c r="R335" i="1"/>
  <c r="F70" i="1"/>
  <c r="F72" i="1" s="1"/>
  <c r="AN323" i="1"/>
  <c r="AN155" i="1" s="1"/>
  <c r="R148" i="1"/>
  <c r="AE333" i="1"/>
  <c r="AC323" i="1"/>
  <c r="AC155" i="1" s="1"/>
  <c r="G121" i="1"/>
  <c r="S335" i="1"/>
  <c r="G128" i="1"/>
  <c r="H216" i="1"/>
  <c r="W304" i="1"/>
  <c r="W301" i="1"/>
  <c r="AO335" i="1"/>
  <c r="AO156" i="1"/>
  <c r="AJ304" i="1"/>
  <c r="AJ148" i="1"/>
  <c r="K323" i="1"/>
  <c r="K155" i="1" s="1"/>
  <c r="AI148" i="1"/>
  <c r="T148" i="1"/>
  <c r="T301" i="1"/>
  <c r="T302" i="1" s="1"/>
  <c r="F223" i="1"/>
  <c r="F224" i="1" s="1"/>
  <c r="AE156" i="1"/>
  <c r="AI258" i="1"/>
  <c r="E235" i="1"/>
  <c r="AE335" i="1"/>
  <c r="U323" i="1"/>
  <c r="U155" i="1" s="1"/>
  <c r="E221" i="1"/>
  <c r="AJ323" i="1"/>
  <c r="AJ155" i="1" s="1"/>
  <c r="AC289" i="1"/>
  <c r="F235" i="1"/>
  <c r="AK323" i="1"/>
  <c r="AK155" i="1" s="1"/>
  <c r="G224" i="1"/>
  <c r="H234" i="1"/>
  <c r="V148" i="1"/>
  <c r="R302" i="1"/>
  <c r="R305" i="1" s="1"/>
  <c r="R306" i="1" s="1"/>
  <c r="AF333" i="1"/>
  <c r="AF336" i="1" s="1"/>
  <c r="AF157" i="1" s="1"/>
  <c r="N323" i="1"/>
  <c r="N155" i="1" s="1"/>
  <c r="AP323" i="1"/>
  <c r="AP155" i="1" s="1"/>
  <c r="R323" i="1"/>
  <c r="R155" i="1" s="1"/>
  <c r="AR148" i="1"/>
  <c r="AR301" i="1"/>
  <c r="AQ323" i="1"/>
  <c r="AQ155" i="1" s="1"/>
  <c r="AN301" i="1"/>
  <c r="AN302" i="1" s="1"/>
  <c r="L323" i="1"/>
  <c r="L155" i="1" s="1"/>
  <c r="AN304" i="1"/>
  <c r="W323" i="1"/>
  <c r="W155" i="1" s="1"/>
  <c r="K148" i="1"/>
  <c r="AA258" i="1"/>
  <c r="V323" i="1"/>
  <c r="V155" i="1" s="1"/>
  <c r="K301" i="1"/>
  <c r="K302" i="1" s="1"/>
  <c r="K305" i="1" s="1"/>
  <c r="H268" i="1"/>
  <c r="Z289" i="1"/>
  <c r="AD323" i="1"/>
  <c r="AD155" i="1" s="1"/>
  <c r="AJ289" i="1"/>
  <c r="Z258" i="1"/>
  <c r="AQ289" i="1"/>
  <c r="M323" i="1"/>
  <c r="M155" i="1" s="1"/>
  <c r="X323" i="1"/>
  <c r="X155" i="1" s="1"/>
  <c r="Q289" i="1"/>
  <c r="AC258" i="1"/>
  <c r="G185" i="1"/>
  <c r="G218" i="1" s="1"/>
  <c r="N258" i="1"/>
  <c r="AF323" i="1"/>
  <c r="AF155" i="1" s="1"/>
  <c r="J258" i="1"/>
  <c r="Y323" i="1"/>
  <c r="Y155" i="1" s="1"/>
  <c r="W258" i="1"/>
  <c r="AN289" i="1"/>
  <c r="AD258" i="1"/>
  <c r="AE258" i="1"/>
  <c r="AN258" i="1"/>
  <c r="AO289" i="1"/>
  <c r="AK258" i="1"/>
  <c r="J289" i="1"/>
  <c r="AO258" i="1"/>
  <c r="AH258" i="1"/>
  <c r="AD289" i="1"/>
  <c r="T258" i="1"/>
  <c r="AL258" i="1"/>
  <c r="O258" i="1"/>
  <c r="K289" i="1"/>
  <c r="AI289" i="1"/>
  <c r="Y258" i="1"/>
  <c r="S258" i="1"/>
  <c r="R258" i="1"/>
  <c r="AG258" i="1"/>
  <c r="O289" i="1"/>
  <c r="K258" i="1"/>
  <c r="AR258" i="1"/>
  <c r="U258" i="1"/>
  <c r="AM258" i="1"/>
  <c r="L258" i="1"/>
  <c r="X258" i="1"/>
  <c r="H321" i="1"/>
  <c r="G352" i="1" s="1"/>
  <c r="E87" i="1"/>
  <c r="AL259" i="1" s="1"/>
  <c r="H296" i="1"/>
  <c r="F129" i="1" s="1"/>
  <c r="Z323" i="1"/>
  <c r="Z155" i="1" s="1"/>
  <c r="H303" i="1"/>
  <c r="H300" i="1"/>
  <c r="AP333" i="1"/>
  <c r="AP336" i="1" s="1"/>
  <c r="AK304" i="1"/>
  <c r="AK301" i="1"/>
  <c r="AK302" i="1" s="1"/>
  <c r="AK148" i="1"/>
  <c r="N335" i="1"/>
  <c r="N332" i="1"/>
  <c r="N156" i="1"/>
  <c r="AB273" i="1"/>
  <c r="AB270" i="1"/>
  <c r="AB140" i="1"/>
  <c r="AA270" i="1"/>
  <c r="AA271" i="1" s="1"/>
  <c r="AA140" i="1"/>
  <c r="AA273" i="1"/>
  <c r="L332" i="1"/>
  <c r="L333" i="1" s="1"/>
  <c r="L335" i="1"/>
  <c r="L156" i="1"/>
  <c r="H63" i="1"/>
  <c r="E208" i="1"/>
  <c r="H208" i="1" s="1"/>
  <c r="E183" i="1"/>
  <c r="H183" i="1" s="1"/>
  <c r="E88" i="1"/>
  <c r="H88" i="1" s="1"/>
  <c r="AK335" i="1"/>
  <c r="AK332" i="1"/>
  <c r="AK333" i="1" s="1"/>
  <c r="AK156" i="1"/>
  <c r="Y140" i="1"/>
  <c r="Y270" i="1"/>
  <c r="Y273" i="1"/>
  <c r="AH156" i="1"/>
  <c r="AH332" i="1"/>
  <c r="AH333" i="1" s="1"/>
  <c r="AH335" i="1"/>
  <c r="H290" i="1"/>
  <c r="F352" i="1" s="1"/>
  <c r="AD270" i="1"/>
  <c r="AD273" i="1"/>
  <c r="AD140" i="1"/>
  <c r="AQ270" i="1"/>
  <c r="AQ140" i="1"/>
  <c r="AQ273" i="1"/>
  <c r="G194" i="1"/>
  <c r="M335" i="1"/>
  <c r="M156" i="1"/>
  <c r="M332" i="1"/>
  <c r="M333" i="1" s="1"/>
  <c r="V140" i="1"/>
  <c r="V270" i="1"/>
  <c r="V271" i="1" s="1"/>
  <c r="V273" i="1"/>
  <c r="S301" i="1"/>
  <c r="S304" i="1"/>
  <c r="S148" i="1"/>
  <c r="K335" i="1"/>
  <c r="K332" i="1"/>
  <c r="K333" i="1" s="1"/>
  <c r="K156" i="1"/>
  <c r="H327" i="1"/>
  <c r="G129" i="1" s="1"/>
  <c r="J335" i="1"/>
  <c r="J332" i="1"/>
  <c r="J333" i="1" s="1"/>
  <c r="J156" i="1"/>
  <c r="AL140" i="1"/>
  <c r="AL273" i="1"/>
  <c r="AL270" i="1"/>
  <c r="AL271" i="1" s="1"/>
  <c r="AN332" i="1"/>
  <c r="AN333" i="1" s="1"/>
  <c r="AN335" i="1"/>
  <c r="AN156" i="1"/>
  <c r="J273" i="1"/>
  <c r="H265" i="1"/>
  <c r="E129" i="1" s="1"/>
  <c r="J270" i="1"/>
  <c r="J271" i="1" s="1"/>
  <c r="J140" i="1"/>
  <c r="AC304" i="1"/>
  <c r="AC301" i="1"/>
  <c r="AC148" i="1"/>
  <c r="O273" i="1"/>
  <c r="O140" i="1"/>
  <c r="O270" i="1"/>
  <c r="O271" i="1" s="1"/>
  <c r="AG333" i="1"/>
  <c r="AG336" i="1" s="1"/>
  <c r="F180" i="1"/>
  <c r="F185" i="1" s="1"/>
  <c r="F218" i="1" s="1"/>
  <c r="F205" i="1"/>
  <c r="F66" i="1"/>
  <c r="AG273" i="1"/>
  <c r="AG140" i="1"/>
  <c r="AG270" i="1"/>
  <c r="AP289" i="1"/>
  <c r="P289" i="1"/>
  <c r="AG289" i="1"/>
  <c r="P332" i="1"/>
  <c r="P333" i="1" s="1"/>
  <c r="P335" i="1"/>
  <c r="P156" i="1"/>
  <c r="H331" i="1"/>
  <c r="AJ302" i="1"/>
  <c r="M270" i="1"/>
  <c r="M140" i="1"/>
  <c r="M273" i="1"/>
  <c r="AE270" i="1"/>
  <c r="AE273" i="1"/>
  <c r="AE140" i="1"/>
  <c r="H269" i="1"/>
  <c r="Z140" i="1"/>
  <c r="Z273" i="1"/>
  <c r="Z270" i="1"/>
  <c r="AE301" i="1"/>
  <c r="AE304" i="1"/>
  <c r="AE148" i="1"/>
  <c r="M289" i="1"/>
  <c r="AK289" i="1"/>
  <c r="R289" i="1"/>
  <c r="H267" i="1"/>
  <c r="AN273" i="1"/>
  <c r="AN270" i="1"/>
  <c r="AN140" i="1"/>
  <c r="AA332" i="1"/>
  <c r="AA333" i="1" s="1"/>
  <c r="AA335" i="1"/>
  <c r="AA156" i="1"/>
  <c r="AJ332" i="1"/>
  <c r="AJ333" i="1" s="1"/>
  <c r="AJ335" i="1"/>
  <c r="AJ156" i="1"/>
  <c r="Z304" i="1"/>
  <c r="Z148" i="1"/>
  <c r="Z301" i="1"/>
  <c r="Z302" i="1" s="1"/>
  <c r="H272" i="1"/>
  <c r="W273" i="1"/>
  <c r="W270" i="1"/>
  <c r="W140" i="1"/>
  <c r="AO140" i="1"/>
  <c r="AO270" i="1"/>
  <c r="AO271" i="1" s="1"/>
  <c r="AO273" i="1"/>
  <c r="S270" i="1"/>
  <c r="S271" i="1" s="1"/>
  <c r="S140" i="1"/>
  <c r="S273" i="1"/>
  <c r="AM332" i="1"/>
  <c r="AM333" i="1" s="1"/>
  <c r="AM335" i="1"/>
  <c r="AM156" i="1"/>
  <c r="AP304" i="1"/>
  <c r="AP301" i="1"/>
  <c r="AP302" i="1" s="1"/>
  <c r="AP148" i="1"/>
  <c r="AO333" i="1"/>
  <c r="U289" i="1"/>
  <c r="AE289" i="1"/>
  <c r="P304" i="1"/>
  <c r="P148" i="1"/>
  <c r="P301" i="1"/>
  <c r="AM148" i="1"/>
  <c r="AM304" i="1"/>
  <c r="AM301" i="1"/>
  <c r="AM302" i="1" s="1"/>
  <c r="AA301" i="1"/>
  <c r="AA304" i="1"/>
  <c r="AA148" i="1"/>
  <c r="N148" i="1"/>
  <c r="N304" i="1"/>
  <c r="N301" i="1"/>
  <c r="N302" i="1" s="1"/>
  <c r="AR336" i="1"/>
  <c r="W289" i="1"/>
  <c r="F190" i="1"/>
  <c r="F191" i="1" s="1"/>
  <c r="AS289" i="1"/>
  <c r="U273" i="1"/>
  <c r="U140" i="1"/>
  <c r="U270" i="1"/>
  <c r="Q301" i="1"/>
  <c r="Q302" i="1" s="1"/>
  <c r="Q148" i="1"/>
  <c r="Q304" i="1"/>
  <c r="AL301" i="1"/>
  <c r="AL302" i="1" s="1"/>
  <c r="AL148" i="1"/>
  <c r="AL304" i="1"/>
  <c r="AD304" i="1"/>
  <c r="AD148" i="1"/>
  <c r="AD301" i="1"/>
  <c r="AD302" i="1" s="1"/>
  <c r="AC332" i="1"/>
  <c r="AC156" i="1"/>
  <c r="AC335" i="1"/>
  <c r="S333" i="1"/>
  <c r="S289" i="1"/>
  <c r="AL289" i="1"/>
  <c r="L289" i="1"/>
  <c r="T289" i="1"/>
  <c r="AS335" i="1"/>
  <c r="AS156" i="1"/>
  <c r="AS332" i="1"/>
  <c r="AS333" i="1" s="1"/>
  <c r="H179" i="1"/>
  <c r="O335" i="1"/>
  <c r="O156" i="1"/>
  <c r="O332" i="1"/>
  <c r="O333" i="1" s="1"/>
  <c r="J302" i="1"/>
  <c r="E205" i="1"/>
  <c r="E180" i="1"/>
  <c r="H60" i="1"/>
  <c r="F92" i="1"/>
  <c r="F93" i="1"/>
  <c r="F128" i="1"/>
  <c r="F121" i="1"/>
  <c r="AQ304" i="1"/>
  <c r="AQ301" i="1"/>
  <c r="AQ148" i="1"/>
  <c r="Z335" i="1"/>
  <c r="Z332" i="1"/>
  <c r="Z333" i="1" s="1"/>
  <c r="Z156" i="1"/>
  <c r="AB304" i="1"/>
  <c r="AB148" i="1"/>
  <c r="AB301" i="1"/>
  <c r="T335" i="1"/>
  <c r="T332" i="1"/>
  <c r="T333" i="1" s="1"/>
  <c r="T156" i="1"/>
  <c r="V289" i="1"/>
  <c r="AM289" i="1"/>
  <c r="AB289" i="1"/>
  <c r="AF289" i="1"/>
  <c r="X273" i="1"/>
  <c r="X270" i="1"/>
  <c r="X140" i="1"/>
  <c r="H298" i="1"/>
  <c r="H329" i="1"/>
  <c r="U335" i="1"/>
  <c r="U156" i="1"/>
  <c r="U332" i="1"/>
  <c r="U333" i="1" s="1"/>
  <c r="AP258" i="1"/>
  <c r="M258" i="1"/>
  <c r="AF258" i="1"/>
  <c r="AJ258" i="1"/>
  <c r="AJ273" i="1"/>
  <c r="AJ270" i="1"/>
  <c r="AJ140" i="1"/>
  <c r="O304" i="1"/>
  <c r="O301" i="1"/>
  <c r="O302" i="1" s="1"/>
  <c r="O148" i="1"/>
  <c r="L304" i="1"/>
  <c r="L148" i="1"/>
  <c r="L301" i="1"/>
  <c r="L302" i="1" s="1"/>
  <c r="AK270" i="1"/>
  <c r="AK273" i="1"/>
  <c r="AK140" i="1"/>
  <c r="AS301" i="1"/>
  <c r="AS302" i="1" s="1"/>
  <c r="AS304" i="1"/>
  <c r="AS148" i="1"/>
  <c r="T270" i="1"/>
  <c r="T273" i="1"/>
  <c r="T140" i="1"/>
  <c r="AM273" i="1"/>
  <c r="AM140" i="1"/>
  <c r="AM270" i="1"/>
  <c r="AD335" i="1"/>
  <c r="AD156" i="1"/>
  <c r="AD332" i="1"/>
  <c r="AD333" i="1" s="1"/>
  <c r="H334" i="1"/>
  <c r="K270" i="1"/>
  <c r="K140" i="1"/>
  <c r="K273" i="1"/>
  <c r="AL335" i="1"/>
  <c r="AL332" i="1"/>
  <c r="AL156" i="1"/>
  <c r="AC270" i="1"/>
  <c r="AC140" i="1"/>
  <c r="AC273" i="1"/>
  <c r="AH301" i="1"/>
  <c r="AH304" i="1"/>
  <c r="AH148" i="1"/>
  <c r="AP270" i="1"/>
  <c r="AP273" i="1"/>
  <c r="AP140" i="1"/>
  <c r="R333" i="1"/>
  <c r="X289" i="1"/>
  <c r="N289" i="1"/>
  <c r="AR289" i="1"/>
  <c r="H299" i="1"/>
  <c r="H330" i="1"/>
  <c r="P273" i="1"/>
  <c r="P270" i="1"/>
  <c r="P140" i="1"/>
  <c r="AQ258" i="1"/>
  <c r="H204" i="1"/>
  <c r="E190" i="1"/>
  <c r="P258" i="1"/>
  <c r="Y304" i="1"/>
  <c r="Y301" i="1"/>
  <c r="Y148" i="1"/>
  <c r="X148" i="1"/>
  <c r="X301" i="1"/>
  <c r="X304" i="1"/>
  <c r="Q332" i="1"/>
  <c r="Q333" i="1" s="1"/>
  <c r="Q335" i="1"/>
  <c r="Q156" i="1"/>
  <c r="L270" i="1"/>
  <c r="L140" i="1"/>
  <c r="L273" i="1"/>
  <c r="AI270" i="1"/>
  <c r="AI273" i="1"/>
  <c r="AI140" i="1"/>
  <c r="AO304" i="1"/>
  <c r="AO301" i="1"/>
  <c r="AO302" i="1" s="1"/>
  <c r="AO148" i="1"/>
  <c r="W335" i="1"/>
  <c r="W156" i="1"/>
  <c r="W332" i="1"/>
  <c r="W333" i="1" s="1"/>
  <c r="E66" i="1"/>
  <c r="E217" i="1" s="1"/>
  <c r="E107" i="1" s="1"/>
  <c r="AR140" i="1"/>
  <c r="AR273" i="1"/>
  <c r="AR270" i="1"/>
  <c r="AR271" i="1" s="1"/>
  <c r="R273" i="1"/>
  <c r="R270" i="1"/>
  <c r="R140" i="1"/>
  <c r="AB332" i="1"/>
  <c r="AB333" i="1" s="1"/>
  <c r="AB335" i="1"/>
  <c r="AB156" i="1"/>
  <c r="AS140" i="1"/>
  <c r="AS270" i="1"/>
  <c r="AS273" i="1"/>
  <c r="AQ333" i="1"/>
  <c r="AF270" i="1"/>
  <c r="AF273" i="1"/>
  <c r="AF140" i="1"/>
  <c r="AG301" i="1"/>
  <c r="AG304" i="1"/>
  <c r="AG148" i="1"/>
  <c r="Y289" i="1"/>
  <c r="AA289" i="1"/>
  <c r="AH289" i="1"/>
  <c r="N270" i="1"/>
  <c r="N271" i="1" s="1"/>
  <c r="N273" i="1"/>
  <c r="N140" i="1"/>
  <c r="AS258" i="1"/>
  <c r="V258" i="1"/>
  <c r="Q258" i="1"/>
  <c r="AB258" i="1"/>
  <c r="AH273" i="1"/>
  <c r="AH270" i="1"/>
  <c r="AH140" i="1"/>
  <c r="X335" i="1"/>
  <c r="X332" i="1"/>
  <c r="X333" i="1" s="1"/>
  <c r="X156" i="1"/>
  <c r="M304" i="1"/>
  <c r="M301" i="1"/>
  <c r="M302" i="1" s="1"/>
  <c r="M148" i="1"/>
  <c r="Y335" i="1"/>
  <c r="Y332" i="1"/>
  <c r="Y156" i="1"/>
  <c r="Q270" i="1"/>
  <c r="Q271" i="1" s="1"/>
  <c r="Q273" i="1"/>
  <c r="Q140" i="1"/>
  <c r="R336" i="1" l="1"/>
  <c r="S336" i="1"/>
  <c r="AQ336" i="1"/>
  <c r="AQ337" i="1" s="1"/>
  <c r="H70" i="1"/>
  <c r="H319" i="1"/>
  <c r="AK336" i="1"/>
  <c r="AK337" i="1" s="1"/>
  <c r="F74" i="1"/>
  <c r="F73" i="1"/>
  <c r="H71" i="1"/>
  <c r="AE336" i="1"/>
  <c r="AE337" i="1" s="1"/>
  <c r="AE338" i="1" s="1"/>
  <c r="AE159" i="1" s="1"/>
  <c r="E72" i="1"/>
  <c r="E73" i="1" s="1"/>
  <c r="T305" i="1"/>
  <c r="T149" i="1" s="1"/>
  <c r="W302" i="1"/>
  <c r="W305" i="1" s="1"/>
  <c r="F225" i="1"/>
  <c r="F226" i="1" s="1"/>
  <c r="AO336" i="1"/>
  <c r="AO157" i="1" s="1"/>
  <c r="AR302" i="1"/>
  <c r="AR305" i="1" s="1"/>
  <c r="H235" i="1"/>
  <c r="AJ305" i="1"/>
  <c r="AJ149" i="1" s="1"/>
  <c r="F114" i="1"/>
  <c r="F217" i="1"/>
  <c r="AO305" i="1"/>
  <c r="AO149" i="1" s="1"/>
  <c r="K336" i="1"/>
  <c r="K157" i="1" s="1"/>
  <c r="R149" i="1"/>
  <c r="H221" i="1"/>
  <c r="E222" i="1"/>
  <c r="G225" i="1"/>
  <c r="G226" i="1" s="1"/>
  <c r="AN305" i="1"/>
  <c r="AN149" i="1" s="1"/>
  <c r="AK259" i="1"/>
  <c r="AF337" i="1"/>
  <c r="AF338" i="1" s="1"/>
  <c r="AF159" i="1" s="1"/>
  <c r="AD259" i="1"/>
  <c r="M336" i="1"/>
  <c r="M157" i="1" s="1"/>
  <c r="AP259" i="1"/>
  <c r="AM305" i="1"/>
  <c r="AM306" i="1" s="1"/>
  <c r="AJ336" i="1"/>
  <c r="AJ157" i="1" s="1"/>
  <c r="AG302" i="1"/>
  <c r="AG305" i="1" s="1"/>
  <c r="U336" i="1"/>
  <c r="U157" i="1" s="1"/>
  <c r="AL305" i="1"/>
  <c r="AL149" i="1" s="1"/>
  <c r="AI306" i="1"/>
  <c r="AI150" i="1" s="1"/>
  <c r="AA302" i="1"/>
  <c r="AA305" i="1" s="1"/>
  <c r="H258" i="1"/>
  <c r="H289" i="1"/>
  <c r="Q259" i="1"/>
  <c r="AF259" i="1"/>
  <c r="O259" i="1"/>
  <c r="S259" i="1"/>
  <c r="R259" i="1"/>
  <c r="AA259" i="1"/>
  <c r="H87" i="1"/>
  <c r="U259" i="1"/>
  <c r="AH259" i="1"/>
  <c r="AM259" i="1"/>
  <c r="L336" i="1"/>
  <c r="L157" i="1" s="1"/>
  <c r="V259" i="1"/>
  <c r="AJ259" i="1"/>
  <c r="J259" i="1"/>
  <c r="Q336" i="1"/>
  <c r="Q337" i="1" s="1"/>
  <c r="W259" i="1"/>
  <c r="AO259" i="1"/>
  <c r="X259" i="1"/>
  <c r="Z259" i="1"/>
  <c r="T259" i="1"/>
  <c r="AN259" i="1"/>
  <c r="Q305" i="1"/>
  <c r="Q149" i="1" s="1"/>
  <c r="J274" i="1"/>
  <c r="J275" i="1" s="1"/>
  <c r="AG259" i="1"/>
  <c r="AR259" i="1"/>
  <c r="M259" i="1"/>
  <c r="V337" i="1"/>
  <c r="V158" i="1" s="1"/>
  <c r="AI259" i="1"/>
  <c r="K259" i="1"/>
  <c r="AB259" i="1"/>
  <c r="AS336" i="1"/>
  <c r="AS157" i="1" s="1"/>
  <c r="O305" i="1"/>
  <c r="O149" i="1" s="1"/>
  <c r="AQ259" i="1"/>
  <c r="N259" i="1"/>
  <c r="L259" i="1"/>
  <c r="AH302" i="1"/>
  <c r="AH305" i="1" s="1"/>
  <c r="N305" i="1"/>
  <c r="N149" i="1" s="1"/>
  <c r="AC259" i="1"/>
  <c r="AE259" i="1"/>
  <c r="Y259" i="1"/>
  <c r="AS259" i="1"/>
  <c r="P259" i="1"/>
  <c r="O336" i="1"/>
  <c r="O337" i="1" s="1"/>
  <c r="AL274" i="1"/>
  <c r="AL141" i="1" s="1"/>
  <c r="AP337" i="1"/>
  <c r="AP338" i="1" s="1"/>
  <c r="AP159" i="1" s="1"/>
  <c r="AP157" i="1"/>
  <c r="AK305" i="1"/>
  <c r="AK149" i="1" s="1"/>
  <c r="Q274" i="1"/>
  <c r="Q141" i="1" s="1"/>
  <c r="AM336" i="1"/>
  <c r="AM157" i="1" s="1"/>
  <c r="AN336" i="1"/>
  <c r="AN157" i="1" s="1"/>
  <c r="X336" i="1"/>
  <c r="X157" i="1" s="1"/>
  <c r="AQ271" i="1"/>
  <c r="AQ274" i="1" s="1"/>
  <c r="H304" i="1"/>
  <c r="O274" i="1"/>
  <c r="O141" i="1" s="1"/>
  <c r="N333" i="1"/>
  <c r="N336" i="1" s="1"/>
  <c r="N157" i="1" s="1"/>
  <c r="Z336" i="1"/>
  <c r="Z157" i="1" s="1"/>
  <c r="P336" i="1"/>
  <c r="P157" i="1" s="1"/>
  <c r="Y302" i="1"/>
  <c r="Y305" i="1" s="1"/>
  <c r="AC333" i="1"/>
  <c r="AC336" i="1" s="1"/>
  <c r="AB271" i="1"/>
  <c r="AB274" i="1" s="1"/>
  <c r="AB141" i="1" s="1"/>
  <c r="V274" i="1"/>
  <c r="V141" i="1" s="1"/>
  <c r="H148" i="1"/>
  <c r="M305" i="1"/>
  <c r="M149" i="1" s="1"/>
  <c r="AO274" i="1"/>
  <c r="AO141" i="1" s="1"/>
  <c r="AN271" i="1"/>
  <c r="AN274" i="1" s="1"/>
  <c r="AN141" i="1" s="1"/>
  <c r="AC302" i="1"/>
  <c r="AC305" i="1" s="1"/>
  <c r="AC149" i="1" s="1"/>
  <c r="AD271" i="1"/>
  <c r="AD274" i="1" s="1"/>
  <c r="AD141" i="1" s="1"/>
  <c r="AA274" i="1"/>
  <c r="AA141" i="1" s="1"/>
  <c r="AH336" i="1"/>
  <c r="AH157" i="1" s="1"/>
  <c r="AK271" i="1"/>
  <c r="AK274" i="1" s="1"/>
  <c r="AB336" i="1"/>
  <c r="AB337" i="1" s="1"/>
  <c r="AS305" i="1"/>
  <c r="AS149" i="1" s="1"/>
  <c r="W271" i="1"/>
  <c r="W274" i="1" s="1"/>
  <c r="R157" i="1"/>
  <c r="R337" i="1"/>
  <c r="AJ306" i="1"/>
  <c r="U149" i="1"/>
  <c r="U306" i="1"/>
  <c r="AG157" i="1"/>
  <c r="AG337" i="1"/>
  <c r="K149" i="1"/>
  <c r="K306" i="1"/>
  <c r="AJ271" i="1"/>
  <c r="AJ274" i="1" s="1"/>
  <c r="H273" i="1"/>
  <c r="H156" i="1"/>
  <c r="AD305" i="1"/>
  <c r="S157" i="1"/>
  <c r="S337" i="1"/>
  <c r="H180" i="1"/>
  <c r="E185" i="1"/>
  <c r="M271" i="1"/>
  <c r="M274" i="1" s="1"/>
  <c r="Y271" i="1"/>
  <c r="Y274" i="1" s="1"/>
  <c r="U271" i="1"/>
  <c r="U274" i="1" s="1"/>
  <c r="H205" i="1"/>
  <c r="AE257" i="1"/>
  <c r="O257" i="1"/>
  <c r="AO257" i="1"/>
  <c r="J257" i="1"/>
  <c r="AS257" i="1"/>
  <c r="AA257" i="1"/>
  <c r="W257" i="1"/>
  <c r="W261" i="1" s="1"/>
  <c r="AR257" i="1"/>
  <c r="L257" i="1"/>
  <c r="AF257" i="1"/>
  <c r="AM257" i="1"/>
  <c r="S257" i="1"/>
  <c r="AH257" i="1"/>
  <c r="R257" i="1"/>
  <c r="AQ257" i="1"/>
  <c r="K257" i="1"/>
  <c r="M257" i="1"/>
  <c r="P257" i="1"/>
  <c r="AD257" i="1"/>
  <c r="AK257" i="1"/>
  <c r="AN257" i="1"/>
  <c r="Z257" i="1"/>
  <c r="AP257" i="1"/>
  <c r="Q257" i="1"/>
  <c r="AI257" i="1"/>
  <c r="T257" i="1"/>
  <c r="AL257" i="1"/>
  <c r="AL261" i="1" s="1"/>
  <c r="N257" i="1"/>
  <c r="N261" i="1" s="1"/>
  <c r="AG257" i="1"/>
  <c r="V257" i="1"/>
  <c r="V261" i="1" s="1"/>
  <c r="AB257" i="1"/>
  <c r="Y257" i="1"/>
  <c r="U257" i="1"/>
  <c r="X257" i="1"/>
  <c r="AC257" i="1"/>
  <c r="AJ257" i="1"/>
  <c r="AB302" i="1"/>
  <c r="AB305" i="1" s="1"/>
  <c r="N288" i="1"/>
  <c r="N292" i="1" s="1"/>
  <c r="AP288" i="1"/>
  <c r="AP292" i="1" s="1"/>
  <c r="Z288" i="1"/>
  <c r="Z292" i="1" s="1"/>
  <c r="O288" i="1"/>
  <c r="O292" i="1" s="1"/>
  <c r="M288" i="1"/>
  <c r="M292" i="1" s="1"/>
  <c r="J288" i="1"/>
  <c r="W288" i="1"/>
  <c r="W292" i="1" s="1"/>
  <c r="AI288" i="1"/>
  <c r="AI292" i="1" s="1"/>
  <c r="U288" i="1"/>
  <c r="U292" i="1" s="1"/>
  <c r="AK288" i="1"/>
  <c r="AK292" i="1" s="1"/>
  <c r="K288" i="1"/>
  <c r="K292" i="1" s="1"/>
  <c r="AR288" i="1"/>
  <c r="AR292" i="1" s="1"/>
  <c r="AC288" i="1"/>
  <c r="AC292" i="1" s="1"/>
  <c r="X288" i="1"/>
  <c r="X292" i="1" s="1"/>
  <c r="AM288" i="1"/>
  <c r="AM292" i="1" s="1"/>
  <c r="P288" i="1"/>
  <c r="P292" i="1" s="1"/>
  <c r="AJ288" i="1"/>
  <c r="AJ292" i="1" s="1"/>
  <c r="AG288" i="1"/>
  <c r="AG292" i="1" s="1"/>
  <c r="AQ288" i="1"/>
  <c r="AQ292" i="1" s="1"/>
  <c r="L288" i="1"/>
  <c r="L292" i="1" s="1"/>
  <c r="T288" i="1"/>
  <c r="T292" i="1" s="1"/>
  <c r="Q288" i="1"/>
  <c r="Q292" i="1" s="1"/>
  <c r="AS288" i="1"/>
  <c r="AS292" i="1" s="1"/>
  <c r="AL288" i="1"/>
  <c r="AL292" i="1" s="1"/>
  <c r="AF288" i="1"/>
  <c r="AF292" i="1" s="1"/>
  <c r="V288" i="1"/>
  <c r="V292" i="1" s="1"/>
  <c r="AB288" i="1"/>
  <c r="AB292" i="1" s="1"/>
  <c r="Y288" i="1"/>
  <c r="Y292" i="1" s="1"/>
  <c r="AE288" i="1"/>
  <c r="AE292" i="1" s="1"/>
  <c r="AN288" i="1"/>
  <c r="AN292" i="1" s="1"/>
  <c r="S288" i="1"/>
  <c r="S292" i="1" s="1"/>
  <c r="AA288" i="1"/>
  <c r="AA292" i="1" s="1"/>
  <c r="AO288" i="1"/>
  <c r="AO292" i="1" s="1"/>
  <c r="T271" i="1"/>
  <c r="T274" i="1" s="1"/>
  <c r="G195" i="1"/>
  <c r="AR274" i="1"/>
  <c r="S274" i="1"/>
  <c r="AI157" i="1"/>
  <c r="AI337" i="1"/>
  <c r="AL333" i="1"/>
  <c r="AL336" i="1" s="1"/>
  <c r="N274" i="1"/>
  <c r="Z271" i="1"/>
  <c r="Z274" i="1" s="1"/>
  <c r="P271" i="1"/>
  <c r="P274" i="1" s="1"/>
  <c r="W336" i="1"/>
  <c r="Z305" i="1"/>
  <c r="AH271" i="1"/>
  <c r="AH274" i="1" s="1"/>
  <c r="K271" i="1"/>
  <c r="K274" i="1" s="1"/>
  <c r="X271" i="1"/>
  <c r="X274" i="1" s="1"/>
  <c r="AE271" i="1"/>
  <c r="AG271" i="1"/>
  <c r="AG274" i="1" s="1"/>
  <c r="AC271" i="1"/>
  <c r="AC274" i="1" s="1"/>
  <c r="F192" i="1"/>
  <c r="AP305" i="1"/>
  <c r="H332" i="1"/>
  <c r="J336" i="1"/>
  <c r="H335" i="1"/>
  <c r="AF149" i="1"/>
  <c r="AF306" i="1"/>
  <c r="AQ157" i="1"/>
  <c r="AM271" i="1"/>
  <c r="AM274" i="1" s="1"/>
  <c r="E91" i="1"/>
  <c r="AA336" i="1"/>
  <c r="AD336" i="1"/>
  <c r="H140" i="1"/>
  <c r="R288" i="1"/>
  <c r="R292" i="1" s="1"/>
  <c r="R271" i="1"/>
  <c r="R274" i="1" s="1"/>
  <c r="P302" i="1"/>
  <c r="T336" i="1"/>
  <c r="L305" i="1"/>
  <c r="AD288" i="1"/>
  <c r="AD292" i="1" s="1"/>
  <c r="J305" i="1"/>
  <c r="X302" i="1"/>
  <c r="X305" i="1" s="1"/>
  <c r="H270" i="1"/>
  <c r="AQ302" i="1"/>
  <c r="AQ305" i="1" s="1"/>
  <c r="AF271" i="1"/>
  <c r="AF274" i="1" s="1"/>
  <c r="AI271" i="1"/>
  <c r="AI274" i="1" s="1"/>
  <c r="L271" i="1"/>
  <c r="L274" i="1" s="1"/>
  <c r="AH288" i="1"/>
  <c r="AH292" i="1" s="1"/>
  <c r="H301" i="1"/>
  <c r="Y333" i="1"/>
  <c r="AR157" i="1"/>
  <c r="AR337" i="1"/>
  <c r="AE302" i="1"/>
  <c r="AE305" i="1" s="1"/>
  <c r="S302" i="1"/>
  <c r="S305" i="1" s="1"/>
  <c r="H129" i="1"/>
  <c r="AP271" i="1"/>
  <c r="AP274" i="1" s="1"/>
  <c r="AS271" i="1"/>
  <c r="AS274" i="1" s="1"/>
  <c r="H66" i="1"/>
  <c r="E114" i="1"/>
  <c r="H190" i="1"/>
  <c r="E191" i="1"/>
  <c r="V149" i="1"/>
  <c r="V306" i="1"/>
  <c r="J155" i="1"/>
  <c r="H155" i="1" s="1"/>
  <c r="H323" i="1"/>
  <c r="G353" i="1" s="1"/>
  <c r="R309" i="1"/>
  <c r="R150" i="1"/>
  <c r="AE340" i="1" l="1"/>
  <c r="AE158" i="1"/>
  <c r="K337" i="1"/>
  <c r="K158" i="1" s="1"/>
  <c r="AK157" i="1"/>
  <c r="AE157" i="1"/>
  <c r="J141" i="1"/>
  <c r="T306" i="1"/>
  <c r="T309" i="1" s="1"/>
  <c r="AP340" i="1"/>
  <c r="AO337" i="1"/>
  <c r="AO158" i="1" s="1"/>
  <c r="E74" i="1"/>
  <c r="H74" i="1" s="1"/>
  <c r="H72" i="1"/>
  <c r="H73" i="1" s="1"/>
  <c r="V340" i="1"/>
  <c r="W149" i="1"/>
  <c r="W306" i="1"/>
  <c r="W307" i="1" s="1"/>
  <c r="W151" i="1" s="1"/>
  <c r="AA261" i="1"/>
  <c r="AA139" i="1" s="1"/>
  <c r="H114" i="1"/>
  <c r="H217" i="1"/>
  <c r="F107" i="1"/>
  <c r="H107" i="1" s="1"/>
  <c r="AR149" i="1"/>
  <c r="AR306" i="1"/>
  <c r="AR309" i="1" s="1"/>
  <c r="G227" i="1"/>
  <c r="AO306" i="1"/>
  <c r="AO309" i="1" s="1"/>
  <c r="AN306" i="1"/>
  <c r="AN309" i="1" s="1"/>
  <c r="F227" i="1"/>
  <c r="AM261" i="1"/>
  <c r="AM139" i="1" s="1"/>
  <c r="AK306" i="1"/>
  <c r="AK150" i="1" s="1"/>
  <c r="E223" i="1"/>
  <c r="H223" i="1" s="1"/>
  <c r="H222" i="1"/>
  <c r="H185" i="1"/>
  <c r="E218" i="1"/>
  <c r="H218" i="1" s="1"/>
  <c r="AD261" i="1"/>
  <c r="AD139" i="1" s="1"/>
  <c r="AM149" i="1"/>
  <c r="AL306" i="1"/>
  <c r="AL309" i="1" s="1"/>
  <c r="V338" i="1"/>
  <c r="V159" i="1" s="1"/>
  <c r="AM337" i="1"/>
  <c r="AM340" i="1" s="1"/>
  <c r="AN337" i="1"/>
  <c r="AN158" i="1" s="1"/>
  <c r="M337" i="1"/>
  <c r="M338" i="1" s="1"/>
  <c r="M159" i="1" s="1"/>
  <c r="AS337" i="1"/>
  <c r="AS340" i="1" s="1"/>
  <c r="AP158" i="1"/>
  <c r="Y261" i="1"/>
  <c r="Y139" i="1" s="1"/>
  <c r="AK261" i="1"/>
  <c r="AK139" i="1" s="1"/>
  <c r="AR261" i="1"/>
  <c r="AR139" i="1" s="1"/>
  <c r="Q157" i="1"/>
  <c r="AI261" i="1"/>
  <c r="AI139" i="1" s="1"/>
  <c r="AC261" i="1"/>
  <c r="AC139" i="1" s="1"/>
  <c r="AP261" i="1"/>
  <c r="AP139" i="1" s="1"/>
  <c r="R261" i="1"/>
  <c r="R139" i="1" s="1"/>
  <c r="X261" i="1"/>
  <c r="X139" i="1" s="1"/>
  <c r="Z261" i="1"/>
  <c r="Z139" i="1" s="1"/>
  <c r="AF261" i="1"/>
  <c r="AF139" i="1" s="1"/>
  <c r="U261" i="1"/>
  <c r="U139" i="1" s="1"/>
  <c r="AF340" i="1"/>
  <c r="AO261" i="1"/>
  <c r="AO139" i="1" s="1"/>
  <c r="AF158" i="1"/>
  <c r="AE261" i="1"/>
  <c r="AE139" i="1" s="1"/>
  <c r="AB261" i="1"/>
  <c r="AB139" i="1" s="1"/>
  <c r="O275" i="1"/>
  <c r="O278" i="1" s="1"/>
  <c r="U337" i="1"/>
  <c r="U340" i="1" s="1"/>
  <c r="AA149" i="1"/>
  <c r="AA306" i="1"/>
  <c r="AA309" i="1" s="1"/>
  <c r="AG149" i="1"/>
  <c r="AG306" i="1"/>
  <c r="AG307" i="1" s="1"/>
  <c r="AG151" i="1" s="1"/>
  <c r="L261" i="1"/>
  <c r="L139" i="1" s="1"/>
  <c r="O157" i="1"/>
  <c r="H259" i="1"/>
  <c r="E352" i="1" s="1"/>
  <c r="H352" i="1" s="1"/>
  <c r="AA275" i="1"/>
  <c r="AI309" i="1"/>
  <c r="Z337" i="1"/>
  <c r="Z340" i="1" s="1"/>
  <c r="S261" i="1"/>
  <c r="S139" i="1" s="1"/>
  <c r="AJ337" i="1"/>
  <c r="AJ340" i="1" s="1"/>
  <c r="G196" i="1"/>
  <c r="G197" i="1" s="1"/>
  <c r="G198" i="1" s="1"/>
  <c r="G210" i="1" s="1"/>
  <c r="AH149" i="1"/>
  <c r="AH306" i="1"/>
  <c r="AH309" i="1" s="1"/>
  <c r="Q306" i="1"/>
  <c r="Q309" i="1" s="1"/>
  <c r="AN261" i="1"/>
  <c r="AN139" i="1" s="1"/>
  <c r="L337" i="1"/>
  <c r="L340" i="1" s="1"/>
  <c r="AO275" i="1"/>
  <c r="AO142" i="1" s="1"/>
  <c r="Q275" i="1"/>
  <c r="Q142" i="1" s="1"/>
  <c r="P261" i="1"/>
  <c r="AL275" i="1"/>
  <c r="AL276" i="1" s="1"/>
  <c r="AL143" i="1" s="1"/>
  <c r="AG261" i="1"/>
  <c r="AG139" i="1" s="1"/>
  <c r="M261" i="1"/>
  <c r="M139" i="1" s="1"/>
  <c r="AS261" i="1"/>
  <c r="AS139" i="1" s="1"/>
  <c r="O306" i="1"/>
  <c r="O309" i="1" s="1"/>
  <c r="K261" i="1"/>
  <c r="K139" i="1" s="1"/>
  <c r="AQ261" i="1"/>
  <c r="AQ139" i="1" s="1"/>
  <c r="T261" i="1"/>
  <c r="T139" i="1" s="1"/>
  <c r="O261" i="1"/>
  <c r="O139" i="1" s="1"/>
  <c r="AC306" i="1"/>
  <c r="AC309" i="1" s="1"/>
  <c r="AH261" i="1"/>
  <c r="AH139" i="1" s="1"/>
  <c r="N306" i="1"/>
  <c r="N150" i="1" s="1"/>
  <c r="V275" i="1"/>
  <c r="V278" i="1" s="1"/>
  <c r="AD275" i="1"/>
  <c r="AD142" i="1" s="1"/>
  <c r="AJ261" i="1"/>
  <c r="AJ139" i="1" s="1"/>
  <c r="Q261" i="1"/>
  <c r="AQ141" i="1"/>
  <c r="AQ275" i="1"/>
  <c r="AQ278" i="1" s="1"/>
  <c r="W141" i="1"/>
  <c r="W275" i="1"/>
  <c r="W278" i="1" s="1"/>
  <c r="AC337" i="1"/>
  <c r="AC158" i="1" s="1"/>
  <c r="AC157" i="1"/>
  <c r="AK141" i="1"/>
  <c r="AK275" i="1"/>
  <c r="Y149" i="1"/>
  <c r="Y306" i="1"/>
  <c r="Y150" i="1" s="1"/>
  <c r="H333" i="1"/>
  <c r="N337" i="1"/>
  <c r="N340" i="1" s="1"/>
  <c r="AS306" i="1"/>
  <c r="AS309" i="1" s="1"/>
  <c r="P337" i="1"/>
  <c r="P158" i="1" s="1"/>
  <c r="Y336" i="1"/>
  <c r="Y337" i="1" s="1"/>
  <c r="AN275" i="1"/>
  <c r="AN278" i="1" s="1"/>
  <c r="H302" i="1"/>
  <c r="AH337" i="1"/>
  <c r="AH338" i="1" s="1"/>
  <c r="AH159" i="1" s="1"/>
  <c r="AB275" i="1"/>
  <c r="AB278" i="1" s="1"/>
  <c r="X337" i="1"/>
  <c r="X340" i="1" s="1"/>
  <c r="AB157" i="1"/>
  <c r="M306" i="1"/>
  <c r="M307" i="1" s="1"/>
  <c r="M151" i="1" s="1"/>
  <c r="H271" i="1"/>
  <c r="S149" i="1"/>
  <c r="S306" i="1"/>
  <c r="S307" i="1" s="1"/>
  <c r="S151" i="1" s="1"/>
  <c r="X149" i="1"/>
  <c r="X306" i="1"/>
  <c r="X307" i="1" s="1"/>
  <c r="X151" i="1" s="1"/>
  <c r="K141" i="1"/>
  <c r="K275" i="1"/>
  <c r="M141" i="1"/>
  <c r="M275" i="1"/>
  <c r="AE149" i="1"/>
  <c r="AE306" i="1"/>
  <c r="Z141" i="1"/>
  <c r="Z275" i="1"/>
  <c r="U141" i="1"/>
  <c r="U275" i="1"/>
  <c r="AL157" i="1"/>
  <c r="AL337" i="1"/>
  <c r="AJ141" i="1"/>
  <c r="AJ275" i="1"/>
  <c r="AP141" i="1"/>
  <c r="AP275" i="1"/>
  <c r="AM141" i="1"/>
  <c r="AM275" i="1"/>
  <c r="AH141" i="1"/>
  <c r="AH275" i="1"/>
  <c r="AI141" i="1"/>
  <c r="AI275" i="1"/>
  <c r="AF141" i="1"/>
  <c r="AF275" i="1"/>
  <c r="AG141" i="1"/>
  <c r="AG275" i="1"/>
  <c r="AQ149" i="1"/>
  <c r="AQ306" i="1"/>
  <c r="AQ307" i="1" s="1"/>
  <c r="AQ151" i="1" s="1"/>
  <c r="AS141" i="1"/>
  <c r="AS275" i="1"/>
  <c r="S141" i="1"/>
  <c r="S275" i="1"/>
  <c r="AQ147" i="1"/>
  <c r="Q340" i="1"/>
  <c r="Q158" i="1"/>
  <c r="Q338" i="1"/>
  <c r="Q159" i="1" s="1"/>
  <c r="Z149" i="1"/>
  <c r="Z306" i="1"/>
  <c r="W157" i="1"/>
  <c r="W337" i="1"/>
  <c r="AJ307" i="1"/>
  <c r="AJ151" i="1" s="1"/>
  <c r="AJ147" i="1"/>
  <c r="AJ309" i="1"/>
  <c r="AJ150" i="1"/>
  <c r="V150" i="1"/>
  <c r="V309" i="1"/>
  <c r="AR340" i="1"/>
  <c r="AR158" i="1"/>
  <c r="AR338" i="1"/>
  <c r="AR159" i="1" s="1"/>
  <c r="AF150" i="1"/>
  <c r="AF309" i="1"/>
  <c r="P141" i="1"/>
  <c r="P275" i="1"/>
  <c r="P147" i="1"/>
  <c r="F193" i="1"/>
  <c r="F194" i="1" s="1"/>
  <c r="X141" i="1"/>
  <c r="X275" i="1"/>
  <c r="V307" i="1"/>
  <c r="V151" i="1" s="1"/>
  <c r="V147" i="1"/>
  <c r="O147" i="1"/>
  <c r="E192" i="1"/>
  <c r="H192" i="1" s="1"/>
  <c r="H191" i="1"/>
  <c r="AD157" i="1"/>
  <c r="AD337" i="1"/>
  <c r="AF147" i="1"/>
  <c r="AF307" i="1"/>
  <c r="AF151" i="1" s="1"/>
  <c r="X147" i="1"/>
  <c r="Z147" i="1"/>
  <c r="N139" i="1"/>
  <c r="W139" i="1"/>
  <c r="P305" i="1"/>
  <c r="H305" i="1" s="1"/>
  <c r="F130" i="1" s="1"/>
  <c r="AB149" i="1"/>
  <c r="AB306" i="1"/>
  <c r="AL147" i="1"/>
  <c r="AC147" i="1"/>
  <c r="AP147" i="1"/>
  <c r="AL139" i="1"/>
  <c r="K309" i="1"/>
  <c r="K150" i="1"/>
  <c r="AN147" i="1"/>
  <c r="U307" i="1"/>
  <c r="U151" i="1" s="1"/>
  <c r="U147" i="1"/>
  <c r="AD149" i="1"/>
  <c r="AD306" i="1"/>
  <c r="AD307" i="1" s="1"/>
  <c r="AD151" i="1" s="1"/>
  <c r="AB158" i="1"/>
  <c r="AB340" i="1"/>
  <c r="AB338" i="1"/>
  <c r="AB159" i="1" s="1"/>
  <c r="T141" i="1"/>
  <c r="T275" i="1"/>
  <c r="R141" i="1"/>
  <c r="R275" i="1"/>
  <c r="AQ340" i="1"/>
  <c r="AQ158" i="1"/>
  <c r="AQ338" i="1"/>
  <c r="AQ159" i="1" s="1"/>
  <c r="AE274" i="1"/>
  <c r="H274" i="1" s="1"/>
  <c r="E130" i="1" s="1"/>
  <c r="AR141" i="1"/>
  <c r="AR275" i="1"/>
  <c r="AE147" i="1"/>
  <c r="W147" i="1"/>
  <c r="O340" i="1"/>
  <c r="O158" i="1"/>
  <c r="O338" i="1"/>
  <c r="O159" i="1" s="1"/>
  <c r="Y147" i="1"/>
  <c r="H288" i="1"/>
  <c r="J292" i="1"/>
  <c r="R307" i="1"/>
  <c r="R151" i="1" s="1"/>
  <c r="R147" i="1"/>
  <c r="AB147" i="1"/>
  <c r="U309" i="1"/>
  <c r="U150" i="1"/>
  <c r="AM147" i="1"/>
  <c r="AM307" i="1"/>
  <c r="AM151" i="1" s="1"/>
  <c r="AH147" i="1"/>
  <c r="J149" i="1"/>
  <c r="J306" i="1"/>
  <c r="AC141" i="1"/>
  <c r="AC275" i="1"/>
  <c r="N141" i="1"/>
  <c r="N275" i="1"/>
  <c r="AS147" i="1"/>
  <c r="AR147" i="1"/>
  <c r="N147" i="1"/>
  <c r="AM309" i="1"/>
  <c r="AM150" i="1"/>
  <c r="R340" i="1"/>
  <c r="R158" i="1"/>
  <c r="R338" i="1"/>
  <c r="R159" i="1" s="1"/>
  <c r="AD147" i="1"/>
  <c r="J157" i="1"/>
  <c r="J337" i="1"/>
  <c r="AO147" i="1"/>
  <c r="Q147" i="1"/>
  <c r="K147" i="1"/>
  <c r="K307" i="1"/>
  <c r="K151" i="1" s="1"/>
  <c r="J261" i="1"/>
  <c r="H257" i="1"/>
  <c r="AG340" i="1"/>
  <c r="AG158" i="1"/>
  <c r="AG338" i="1"/>
  <c r="AG159" i="1" s="1"/>
  <c r="AG147" i="1"/>
  <c r="V139" i="1"/>
  <c r="AA147" i="1"/>
  <c r="T147" i="1"/>
  <c r="S340" i="1"/>
  <c r="S158" i="1"/>
  <c r="S338" i="1"/>
  <c r="S159" i="1" s="1"/>
  <c r="AK340" i="1"/>
  <c r="AK158" i="1"/>
  <c r="AK338" i="1"/>
  <c r="AK159" i="1" s="1"/>
  <c r="AI307" i="1"/>
  <c r="AI151" i="1" s="1"/>
  <c r="AI147" i="1"/>
  <c r="M147" i="1"/>
  <c r="Y141" i="1"/>
  <c r="Y275" i="1"/>
  <c r="K340" i="1"/>
  <c r="K338" i="1"/>
  <c r="K159" i="1" s="1"/>
  <c r="L141" i="1"/>
  <c r="L275" i="1"/>
  <c r="L149" i="1"/>
  <c r="L306" i="1"/>
  <c r="L307" i="1" s="1"/>
  <c r="L151" i="1" s="1"/>
  <c r="AA157" i="1"/>
  <c r="AA337" i="1"/>
  <c r="AI340" i="1"/>
  <c r="AI158" i="1"/>
  <c r="AI338" i="1"/>
  <c r="AI159" i="1" s="1"/>
  <c r="AK147" i="1"/>
  <c r="J142" i="1"/>
  <c r="J278" i="1"/>
  <c r="T157" i="1"/>
  <c r="T337" i="1"/>
  <c r="E128" i="1"/>
  <c r="H128" i="1" s="1"/>
  <c r="H91" i="1"/>
  <c r="E92" i="1"/>
  <c r="E93" i="1"/>
  <c r="E121" i="1"/>
  <c r="H121" i="1" s="1"/>
  <c r="AP149" i="1"/>
  <c r="AP306" i="1"/>
  <c r="AP307" i="1" s="1"/>
  <c r="AP151" i="1" s="1"/>
  <c r="S147" i="1"/>
  <c r="L147" i="1"/>
  <c r="T150" i="1" l="1"/>
  <c r="T307" i="1"/>
  <c r="T151" i="1" s="1"/>
  <c r="AO307" i="1"/>
  <c r="AO151" i="1" s="1"/>
  <c r="AO338" i="1"/>
  <c r="AO159" i="1" s="1"/>
  <c r="M158" i="1"/>
  <c r="AO340" i="1"/>
  <c r="AR150" i="1"/>
  <c r="W150" i="1"/>
  <c r="AR307" i="1"/>
  <c r="AR151" i="1" s="1"/>
  <c r="W309" i="1"/>
  <c r="AH340" i="1"/>
  <c r="AN150" i="1"/>
  <c r="O142" i="1"/>
  <c r="AO150" i="1"/>
  <c r="N309" i="1"/>
  <c r="AN307" i="1"/>
  <c r="AN151" i="1" s="1"/>
  <c r="AN338" i="1"/>
  <c r="AN159" i="1" s="1"/>
  <c r="AA276" i="1"/>
  <c r="AA143" i="1" s="1"/>
  <c r="AN340" i="1"/>
  <c r="AM276" i="1"/>
  <c r="AM143" i="1" s="1"/>
  <c r="M340" i="1"/>
  <c r="Y309" i="1"/>
  <c r="AA307" i="1"/>
  <c r="AA151" i="1" s="1"/>
  <c r="X276" i="1"/>
  <c r="X143" i="1" s="1"/>
  <c r="AL307" i="1"/>
  <c r="AL151" i="1" s="1"/>
  <c r="AG150" i="1"/>
  <c r="F228" i="1"/>
  <c r="G228" i="1"/>
  <c r="G229" i="1" s="1"/>
  <c r="G238" i="1" s="1"/>
  <c r="G108" i="1" s="1"/>
  <c r="AD278" i="1"/>
  <c r="AG309" i="1"/>
  <c r="AM158" i="1"/>
  <c r="N307" i="1"/>
  <c r="N151" i="1" s="1"/>
  <c r="AS338" i="1"/>
  <c r="AS159" i="1" s="1"/>
  <c r="AL150" i="1"/>
  <c r="AK309" i="1"/>
  <c r="AM338" i="1"/>
  <c r="AM159" i="1" s="1"/>
  <c r="AK307" i="1"/>
  <c r="AK151" i="1" s="1"/>
  <c r="E224" i="1"/>
  <c r="Y276" i="1"/>
  <c r="Y143" i="1" s="1"/>
  <c r="O307" i="1"/>
  <c r="O151" i="1" s="1"/>
  <c r="P340" i="1"/>
  <c r="AS307" i="1"/>
  <c r="AS151" i="1" s="1"/>
  <c r="AS158" i="1"/>
  <c r="AC338" i="1"/>
  <c r="AC159" i="1" s="1"/>
  <c r="AS150" i="1"/>
  <c r="O150" i="1"/>
  <c r="AA150" i="1"/>
  <c r="AH307" i="1"/>
  <c r="AH151" i="1" s="1"/>
  <c r="L338" i="1"/>
  <c r="L159" i="1" s="1"/>
  <c r="AK276" i="1"/>
  <c r="AK143" i="1" s="1"/>
  <c r="L158" i="1"/>
  <c r="U276" i="1"/>
  <c r="U143" i="1" s="1"/>
  <c r="Z276" i="1"/>
  <c r="Z143" i="1" s="1"/>
  <c r="AC276" i="1"/>
  <c r="AC143" i="1" s="1"/>
  <c r="AA278" i="1"/>
  <c r="AK278" i="1"/>
  <c r="AB276" i="1"/>
  <c r="AB143" i="1" s="1"/>
  <c r="O276" i="1"/>
  <c r="O143" i="1" s="1"/>
  <c r="Q307" i="1"/>
  <c r="Q151" i="1" s="1"/>
  <c r="AQ142" i="1"/>
  <c r="L276" i="1"/>
  <c r="L143" i="1" s="1"/>
  <c r="AH150" i="1"/>
  <c r="AO276" i="1"/>
  <c r="AO143" i="1" s="1"/>
  <c r="P338" i="1"/>
  <c r="P159" i="1" s="1"/>
  <c r="K276" i="1"/>
  <c r="K143" i="1" s="1"/>
  <c r="AH158" i="1"/>
  <c r="AO278" i="1"/>
  <c r="U338" i="1"/>
  <c r="U159" i="1" s="1"/>
  <c r="AC150" i="1"/>
  <c r="U158" i="1"/>
  <c r="X158" i="1"/>
  <c r="AC307" i="1"/>
  <c r="AC151" i="1" s="1"/>
  <c r="AK142" i="1"/>
  <c r="P276" i="1"/>
  <c r="P143" i="1" s="1"/>
  <c r="AL142" i="1"/>
  <c r="AA142" i="1"/>
  <c r="AC340" i="1"/>
  <c r="AL278" i="1"/>
  <c r="AJ338" i="1"/>
  <c r="AJ159" i="1" s="1"/>
  <c r="AJ158" i="1"/>
  <c r="V276" i="1"/>
  <c r="V143" i="1" s="1"/>
  <c r="X338" i="1"/>
  <c r="X159" i="1" s="1"/>
  <c r="Z338" i="1"/>
  <c r="Z159" i="1" s="1"/>
  <c r="Q276" i="1"/>
  <c r="Q143" i="1" s="1"/>
  <c r="Z158" i="1"/>
  <c r="P139" i="1"/>
  <c r="AH276" i="1"/>
  <c r="AH143" i="1" s="1"/>
  <c r="W142" i="1"/>
  <c r="AS276" i="1"/>
  <c r="AS143" i="1" s="1"/>
  <c r="Q150" i="1"/>
  <c r="Y157" i="1"/>
  <c r="H157" i="1" s="1"/>
  <c r="AD276" i="1"/>
  <c r="AD143" i="1" s="1"/>
  <c r="Q139" i="1"/>
  <c r="M150" i="1"/>
  <c r="M276" i="1"/>
  <c r="M143" i="1" s="1"/>
  <c r="Q278" i="1"/>
  <c r="AG276" i="1"/>
  <c r="AG143" i="1" s="1"/>
  <c r="V142" i="1"/>
  <c r="AQ276" i="1"/>
  <c r="AQ143" i="1" s="1"/>
  <c r="Y307" i="1"/>
  <c r="Y151" i="1" s="1"/>
  <c r="N338" i="1"/>
  <c r="N159" i="1" s="1"/>
  <c r="N158" i="1"/>
  <c r="M309" i="1"/>
  <c r="W276" i="1"/>
  <c r="W143" i="1" s="1"/>
  <c r="AB142" i="1"/>
  <c r="AN276" i="1"/>
  <c r="AN143" i="1" s="1"/>
  <c r="AN142" i="1"/>
  <c r="H336" i="1"/>
  <c r="G130" i="1" s="1"/>
  <c r="H130" i="1" s="1"/>
  <c r="N142" i="1"/>
  <c r="N278" i="1"/>
  <c r="R278" i="1"/>
  <c r="R142" i="1"/>
  <c r="AP142" i="1"/>
  <c r="AP278" i="1"/>
  <c r="Y142" i="1"/>
  <c r="Y278" i="1"/>
  <c r="J307" i="1"/>
  <c r="H292" i="1"/>
  <c r="F353" i="1" s="1"/>
  <c r="J147" i="1"/>
  <c r="H147" i="1" s="1"/>
  <c r="AB309" i="1"/>
  <c r="AB150" i="1"/>
  <c r="AJ278" i="1"/>
  <c r="AJ142" i="1"/>
  <c r="AL340" i="1"/>
  <c r="AL158" i="1"/>
  <c r="AL338" i="1"/>
  <c r="AL159" i="1" s="1"/>
  <c r="R276" i="1"/>
  <c r="R143" i="1" s="1"/>
  <c r="T278" i="1"/>
  <c r="T142" i="1"/>
  <c r="N276" i="1"/>
  <c r="N143" i="1" s="1"/>
  <c r="W340" i="1"/>
  <c r="W158" i="1"/>
  <c r="W338" i="1"/>
  <c r="W159" i="1" s="1"/>
  <c r="Z309" i="1"/>
  <c r="Z150" i="1"/>
  <c r="S142" i="1"/>
  <c r="S278" i="1"/>
  <c r="AI278" i="1"/>
  <c r="AI142" i="1"/>
  <c r="T340" i="1"/>
  <c r="T158" i="1"/>
  <c r="T338" i="1"/>
  <c r="T159" i="1" s="1"/>
  <c r="J150" i="1"/>
  <c r="J309" i="1"/>
  <c r="U278" i="1"/>
  <c r="U142" i="1"/>
  <c r="L150" i="1"/>
  <c r="L309" i="1"/>
  <c r="J340" i="1"/>
  <c r="H337" i="1"/>
  <c r="G131" i="1" s="1"/>
  <c r="J158" i="1"/>
  <c r="J338" i="1"/>
  <c r="AB307" i="1"/>
  <c r="AB151" i="1" s="1"/>
  <c r="Y340" i="1"/>
  <c r="Y158" i="1"/>
  <c r="Y338" i="1"/>
  <c r="Y159" i="1" s="1"/>
  <c r="P149" i="1"/>
  <c r="H149" i="1" s="1"/>
  <c r="P306" i="1"/>
  <c r="Z307" i="1"/>
  <c r="Z151" i="1" s="1"/>
  <c r="AD340" i="1"/>
  <c r="AD158" i="1"/>
  <c r="AD338" i="1"/>
  <c r="AD159" i="1" s="1"/>
  <c r="F195" i="1"/>
  <c r="F196" i="1" s="1"/>
  <c r="AH142" i="1"/>
  <c r="AH278" i="1"/>
  <c r="X309" i="1"/>
  <c r="X150" i="1"/>
  <c r="AE309" i="1"/>
  <c r="AE150" i="1"/>
  <c r="E193" i="1"/>
  <c r="H193" i="1" s="1"/>
  <c r="AC142" i="1"/>
  <c r="AC278" i="1"/>
  <c r="AE307" i="1"/>
  <c r="AE151" i="1" s="1"/>
  <c r="M142" i="1"/>
  <c r="M278" i="1"/>
  <c r="H92" i="1"/>
  <c r="H93" i="1"/>
  <c r="J139" i="1"/>
  <c r="H261" i="1"/>
  <c r="E353" i="1" s="1"/>
  <c r="J276" i="1"/>
  <c r="AR278" i="1"/>
  <c r="AR142" i="1"/>
  <c r="K142" i="1"/>
  <c r="K278" i="1"/>
  <c r="AJ276" i="1"/>
  <c r="AJ143" i="1" s="1"/>
  <c r="AI276" i="1"/>
  <c r="AI143" i="1" s="1"/>
  <c r="AE141" i="1"/>
  <c r="H141" i="1" s="1"/>
  <c r="AE275" i="1"/>
  <c r="H275" i="1" s="1"/>
  <c r="E131" i="1" s="1"/>
  <c r="Z278" i="1"/>
  <c r="Z142" i="1"/>
  <c r="L278" i="1"/>
  <c r="L142" i="1"/>
  <c r="AS278" i="1"/>
  <c r="AS142" i="1"/>
  <c r="AM278" i="1"/>
  <c r="AM142" i="1"/>
  <c r="AF142" i="1"/>
  <c r="AF278" i="1"/>
  <c r="AD309" i="1"/>
  <c r="AD150" i="1"/>
  <c r="P278" i="1"/>
  <c r="P142" i="1"/>
  <c r="G115" i="1"/>
  <c r="G211" i="1"/>
  <c r="G119" i="1"/>
  <c r="G118" i="1"/>
  <c r="S309" i="1"/>
  <c r="S150" i="1"/>
  <c r="AG278" i="1"/>
  <c r="AG142" i="1"/>
  <c r="AA158" i="1"/>
  <c r="AA340" i="1"/>
  <c r="AA338" i="1"/>
  <c r="AA159" i="1" s="1"/>
  <c r="AP309" i="1"/>
  <c r="AP150" i="1"/>
  <c r="T276" i="1"/>
  <c r="T143" i="1" s="1"/>
  <c r="AP276" i="1"/>
  <c r="AP143" i="1" s="1"/>
  <c r="S276" i="1"/>
  <c r="S143" i="1" s="1"/>
  <c r="AR276" i="1"/>
  <c r="AR143" i="1" s="1"/>
  <c r="X278" i="1"/>
  <c r="X142" i="1"/>
  <c r="AF276" i="1"/>
  <c r="AF143" i="1" s="1"/>
  <c r="AQ309" i="1"/>
  <c r="AQ150" i="1"/>
  <c r="G199" i="1"/>
  <c r="G348" i="1" s="1"/>
  <c r="G242" i="1" l="1"/>
  <c r="G111" i="1" s="1"/>
  <c r="G243" i="1"/>
  <c r="G112" i="1" s="1"/>
  <c r="G239" i="1"/>
  <c r="G109" i="1" s="1"/>
  <c r="F229" i="1"/>
  <c r="F238" i="1" s="1"/>
  <c r="F108" i="1" s="1"/>
  <c r="G230" i="1"/>
  <c r="G355" i="1" s="1"/>
  <c r="H224" i="1"/>
  <c r="E225" i="1"/>
  <c r="H225" i="1" s="1"/>
  <c r="E226" i="1"/>
  <c r="H226" i="1" s="1"/>
  <c r="H139" i="1"/>
  <c r="H340" i="1"/>
  <c r="AR341" i="1" s="1"/>
  <c r="J151" i="1"/>
  <c r="P309" i="1"/>
  <c r="H309" i="1" s="1"/>
  <c r="P150" i="1"/>
  <c r="H150" i="1" s="1"/>
  <c r="P307" i="1"/>
  <c r="P151" i="1" s="1"/>
  <c r="J143" i="1"/>
  <c r="H353" i="1"/>
  <c r="H306" i="1"/>
  <c r="F131" i="1" s="1"/>
  <c r="H131" i="1" s="1"/>
  <c r="G212" i="1"/>
  <c r="G213" i="1" s="1"/>
  <c r="G117" i="1" s="1"/>
  <c r="G116" i="1"/>
  <c r="H338" i="1"/>
  <c r="J159" i="1"/>
  <c r="G132" i="1"/>
  <c r="G133" i="1"/>
  <c r="F197" i="1"/>
  <c r="AE142" i="1"/>
  <c r="H142" i="1" s="1"/>
  <c r="AE278" i="1"/>
  <c r="H278" i="1" s="1"/>
  <c r="AE276" i="1"/>
  <c r="AE143" i="1" s="1"/>
  <c r="E194" i="1"/>
  <c r="H194" i="1" s="1"/>
  <c r="H158" i="1"/>
  <c r="G244" i="1" l="1"/>
  <c r="G240" i="1"/>
  <c r="G241" i="1" s="1"/>
  <c r="G110" i="1" s="1"/>
  <c r="N341" i="1"/>
  <c r="AB341" i="1"/>
  <c r="V341" i="1"/>
  <c r="Y341" i="1"/>
  <c r="F239" i="1"/>
  <c r="F243" i="1"/>
  <c r="F112" i="1" s="1"/>
  <c r="F242" i="1"/>
  <c r="F111" i="1" s="1"/>
  <c r="F230" i="1"/>
  <c r="F355" i="1" s="1"/>
  <c r="E227" i="1"/>
  <c r="AQ341" i="1"/>
  <c r="R341" i="1"/>
  <c r="X341" i="1"/>
  <c r="AK341" i="1"/>
  <c r="J341" i="1"/>
  <c r="T341" i="1"/>
  <c r="AE341" i="1"/>
  <c r="K341" i="1"/>
  <c r="AJ341" i="1"/>
  <c r="AI341" i="1"/>
  <c r="AM341" i="1"/>
  <c r="P341" i="1"/>
  <c r="AH341" i="1"/>
  <c r="U341" i="1"/>
  <c r="Q341" i="1"/>
  <c r="AD341" i="1"/>
  <c r="AS341" i="1"/>
  <c r="Z341" i="1"/>
  <c r="AN341" i="1"/>
  <c r="AL341" i="1"/>
  <c r="AC341" i="1"/>
  <c r="S341" i="1"/>
  <c r="AF341" i="1"/>
  <c r="AP341" i="1"/>
  <c r="G122" i="1"/>
  <c r="W341" i="1"/>
  <c r="AG341" i="1"/>
  <c r="AA341" i="1"/>
  <c r="M341" i="1"/>
  <c r="AO341" i="1"/>
  <c r="L341" i="1"/>
  <c r="O341" i="1"/>
  <c r="E132" i="1"/>
  <c r="H276" i="1"/>
  <c r="E122" i="1"/>
  <c r="AK279" i="1"/>
  <c r="Y279" i="1"/>
  <c r="AC279" i="1"/>
  <c r="K279" i="1"/>
  <c r="AE279" i="1"/>
  <c r="AA279" i="1"/>
  <c r="AH279" i="1"/>
  <c r="W279" i="1"/>
  <c r="S279" i="1"/>
  <c r="T279" i="1"/>
  <c r="AM279" i="1"/>
  <c r="Z279" i="1"/>
  <c r="AB279" i="1"/>
  <c r="Q279" i="1"/>
  <c r="P279" i="1"/>
  <c r="AL279" i="1"/>
  <c r="M279" i="1"/>
  <c r="U279" i="1"/>
  <c r="AN279" i="1"/>
  <c r="AR279" i="1"/>
  <c r="AG279" i="1"/>
  <c r="AP279" i="1"/>
  <c r="AQ279" i="1"/>
  <c r="AI279" i="1"/>
  <c r="AJ279" i="1"/>
  <c r="O279" i="1"/>
  <c r="N279" i="1"/>
  <c r="R279" i="1"/>
  <c r="X279" i="1"/>
  <c r="AD279" i="1"/>
  <c r="L279" i="1"/>
  <c r="AS279" i="1"/>
  <c r="V279" i="1"/>
  <c r="AF279" i="1"/>
  <c r="AO279" i="1"/>
  <c r="J279" i="1"/>
  <c r="F122" i="1"/>
  <c r="X310" i="1"/>
  <c r="W310" i="1"/>
  <c r="R310" i="1"/>
  <c r="AH310" i="1"/>
  <c r="AR310" i="1"/>
  <c r="AQ310" i="1"/>
  <c r="AG310" i="1"/>
  <c r="Y310" i="1"/>
  <c r="AE310" i="1"/>
  <c r="AF310" i="1"/>
  <c r="AI310" i="1"/>
  <c r="V310" i="1"/>
  <c r="Z310" i="1"/>
  <c r="P310" i="1"/>
  <c r="AC310" i="1"/>
  <c r="AB310" i="1"/>
  <c r="L310" i="1"/>
  <c r="AO310" i="1"/>
  <c r="AJ310" i="1"/>
  <c r="Q310" i="1"/>
  <c r="AK310" i="1"/>
  <c r="AL310" i="1"/>
  <c r="AD310" i="1"/>
  <c r="T310" i="1"/>
  <c r="O310" i="1"/>
  <c r="AP310" i="1"/>
  <c r="S310" i="1"/>
  <c r="AS310" i="1"/>
  <c r="AM310" i="1"/>
  <c r="M310" i="1"/>
  <c r="AN310" i="1"/>
  <c r="AA310" i="1"/>
  <c r="N310" i="1"/>
  <c r="U310" i="1"/>
  <c r="K310" i="1"/>
  <c r="J310" i="1"/>
  <c r="AP144" i="1"/>
  <c r="AD144" i="1"/>
  <c r="R144" i="1"/>
  <c r="AN144" i="1"/>
  <c r="AB144" i="1"/>
  <c r="P144" i="1"/>
  <c r="AO144" i="1"/>
  <c r="Z144" i="1"/>
  <c r="L144" i="1"/>
  <c r="AL144" i="1"/>
  <c r="X144" i="1"/>
  <c r="J144" i="1"/>
  <c r="AK144" i="1"/>
  <c r="W144" i="1"/>
  <c r="AJ144" i="1"/>
  <c r="V144" i="1"/>
  <c r="AC144" i="1"/>
  <c r="AA144" i="1"/>
  <c r="AM144" i="1"/>
  <c r="N144" i="1"/>
  <c r="Y144" i="1"/>
  <c r="AS144" i="1"/>
  <c r="AI144" i="1"/>
  <c r="M144" i="1"/>
  <c r="AE144" i="1"/>
  <c r="AH144" i="1"/>
  <c r="K144" i="1"/>
  <c r="AG144" i="1"/>
  <c r="AF144" i="1"/>
  <c r="U144" i="1"/>
  <c r="T144" i="1"/>
  <c r="S144" i="1"/>
  <c r="H143" i="1"/>
  <c r="AR144" i="1"/>
  <c r="Q144" i="1"/>
  <c r="AQ144" i="1"/>
  <c r="O144" i="1"/>
  <c r="AR160" i="1"/>
  <c r="AF160" i="1"/>
  <c r="T160" i="1"/>
  <c r="AP160" i="1"/>
  <c r="AD160" i="1"/>
  <c r="R160" i="1"/>
  <c r="AE160" i="1"/>
  <c r="P160" i="1"/>
  <c r="AQ160" i="1"/>
  <c r="AB160" i="1"/>
  <c r="N160" i="1"/>
  <c r="AO160" i="1"/>
  <c r="AA160" i="1"/>
  <c r="M160" i="1"/>
  <c r="AN160" i="1"/>
  <c r="Z160" i="1"/>
  <c r="L160" i="1"/>
  <c r="AS160" i="1"/>
  <c r="AL160" i="1"/>
  <c r="S160" i="1"/>
  <c r="AK160" i="1"/>
  <c r="Q160" i="1"/>
  <c r="AJ160" i="1"/>
  <c r="J160" i="1"/>
  <c r="AC160" i="1"/>
  <c r="W160" i="1"/>
  <c r="AI160" i="1"/>
  <c r="U160" i="1"/>
  <c r="AH160" i="1"/>
  <c r="AG160" i="1"/>
  <c r="Y160" i="1"/>
  <c r="X160" i="1"/>
  <c r="H159" i="1"/>
  <c r="V160" i="1"/>
  <c r="O160" i="1"/>
  <c r="AM160" i="1"/>
  <c r="K160" i="1"/>
  <c r="F132" i="1"/>
  <c r="F133" i="1"/>
  <c r="F198" i="1"/>
  <c r="F210" i="1" s="1"/>
  <c r="H307" i="1"/>
  <c r="E195" i="1"/>
  <c r="AK152" i="1"/>
  <c r="Y152" i="1"/>
  <c r="M152" i="1"/>
  <c r="AI152" i="1"/>
  <c r="W152" i="1"/>
  <c r="K152" i="1"/>
  <c r="AJ152" i="1"/>
  <c r="U152" i="1"/>
  <c r="AG152" i="1"/>
  <c r="S152" i="1"/>
  <c r="AF152" i="1"/>
  <c r="R152" i="1"/>
  <c r="AS152" i="1"/>
  <c r="AE152" i="1"/>
  <c r="Q152" i="1"/>
  <c r="H151" i="1"/>
  <c r="AQ152" i="1"/>
  <c r="X152" i="1"/>
  <c r="AP152" i="1"/>
  <c r="V152" i="1"/>
  <c r="AA152" i="1"/>
  <c r="AO152" i="1"/>
  <c r="AN152" i="1"/>
  <c r="J152" i="1"/>
  <c r="Z152" i="1"/>
  <c r="N152" i="1"/>
  <c r="T152" i="1"/>
  <c r="AR152" i="1"/>
  <c r="P152" i="1"/>
  <c r="O152" i="1"/>
  <c r="AM152" i="1"/>
  <c r="L152" i="1"/>
  <c r="AL152" i="1"/>
  <c r="AH152" i="1"/>
  <c r="AD152" i="1"/>
  <c r="AC152" i="1"/>
  <c r="AB152" i="1"/>
  <c r="E133" i="1"/>
  <c r="F240" i="1" l="1"/>
  <c r="F241" i="1" s="1"/>
  <c r="F110" i="1" s="1"/>
  <c r="F109" i="1"/>
  <c r="H227" i="1"/>
  <c r="E228" i="1"/>
  <c r="G125" i="1"/>
  <c r="G126" i="1"/>
  <c r="H341" i="1"/>
  <c r="G123" i="1" s="1"/>
  <c r="G344" i="1"/>
  <c r="G345" i="1" s="1"/>
  <c r="G124" i="1" s="1"/>
  <c r="F199" i="1"/>
  <c r="F348" i="1" s="1"/>
  <c r="H133" i="1"/>
  <c r="F115" i="1"/>
  <c r="F211" i="1"/>
  <c r="F244" i="1" s="1"/>
  <c r="F119" i="1"/>
  <c r="F118" i="1"/>
  <c r="H195" i="1"/>
  <c r="E196" i="1"/>
  <c r="H310" i="1"/>
  <c r="F126" i="1"/>
  <c r="F125" i="1"/>
  <c r="H279" i="1"/>
  <c r="E126" i="1"/>
  <c r="E125" i="1"/>
  <c r="H122" i="1"/>
  <c r="H228" i="1" l="1"/>
  <c r="E229" i="1"/>
  <c r="E230" i="1" s="1"/>
  <c r="F116" i="1"/>
  <c r="F212" i="1"/>
  <c r="F213" i="1" s="1"/>
  <c r="F117" i="1" s="1"/>
  <c r="E344" i="1"/>
  <c r="E345" i="1" s="1"/>
  <c r="E123" i="1"/>
  <c r="F344" i="1"/>
  <c r="F345" i="1" s="1"/>
  <c r="F124" i="1" s="1"/>
  <c r="F123" i="1"/>
  <c r="H196" i="1"/>
  <c r="E197" i="1"/>
  <c r="H230" i="1" l="1"/>
  <c r="H229" i="1"/>
  <c r="E238" i="1"/>
  <c r="H345" i="1"/>
  <c r="E124" i="1"/>
  <c r="H124" i="1" s="1"/>
  <c r="E198" i="1"/>
  <c r="E199" i="1" s="1"/>
  <c r="H197" i="1"/>
  <c r="H123" i="1"/>
  <c r="H344" i="1"/>
  <c r="E355" i="1" l="1"/>
  <c r="H355" i="1" s="1"/>
  <c r="E108" i="1"/>
  <c r="H108" i="1" s="1"/>
  <c r="H238" i="1"/>
  <c r="H242" i="1" s="1"/>
  <c r="H111" i="1" s="1"/>
  <c r="E239" i="1"/>
  <c r="E109" i="1" s="1"/>
  <c r="H109" i="1" s="1"/>
  <c r="E243" i="1"/>
  <c r="E112" i="1" s="1"/>
  <c r="E242" i="1"/>
  <c r="E111" i="1" s="1"/>
  <c r="H199" i="1"/>
  <c r="E210" i="1"/>
  <c r="E348" i="1" s="1"/>
  <c r="H348" i="1" s="1"/>
  <c r="H198" i="1"/>
  <c r="H356" i="1" l="1"/>
  <c r="H3" i="1" s="1"/>
  <c r="E240" i="1"/>
  <c r="H240" i="1" s="1"/>
  <c r="H239" i="1"/>
  <c r="H210" i="1"/>
  <c r="H118" i="1" s="1"/>
  <c r="E115" i="1"/>
  <c r="H115" i="1" s="1"/>
  <c r="E119" i="1"/>
  <c r="E118" i="1"/>
  <c r="E211" i="1"/>
  <c r="E244" i="1" s="1"/>
  <c r="H244" i="1" s="1"/>
  <c r="E241" i="1" l="1"/>
  <c r="H211" i="1"/>
  <c r="E116" i="1"/>
  <c r="H116" i="1" s="1"/>
  <c r="E212" i="1"/>
  <c r="H212" i="1" s="1"/>
  <c r="H241" i="1" l="1"/>
  <c r="E110" i="1"/>
  <c r="H110" i="1" s="1"/>
  <c r="E213" i="1"/>
  <c r="H213" i="1" l="1"/>
  <c r="E117" i="1"/>
  <c r="H117" i="1" s="1"/>
</calcChain>
</file>

<file path=xl/sharedStrings.xml><?xml version="1.0" encoding="utf-8"?>
<sst xmlns="http://schemas.openxmlformats.org/spreadsheetml/2006/main" count="1008" uniqueCount="424">
  <si>
    <t>Master check (0 = OK; checks at the end of the detail)</t>
  </si>
  <si>
    <t>flag</t>
  </si>
  <si>
    <t>x</t>
  </si>
  <si>
    <t>Key inputs: the bids</t>
  </si>
  <si>
    <t>Bora</t>
  </si>
  <si>
    <t>Iváncsa</t>
  </si>
  <si>
    <t>Dunaújváros</t>
  </si>
  <si>
    <t>Total</t>
  </si>
  <si>
    <t>Net connection capacity</t>
  </si>
  <si>
    <t>MVA</t>
  </si>
  <si>
    <t>Overbuild (ÖSZ-3)</t>
  </si>
  <si>
    <t>%</t>
  </si>
  <si>
    <t>BESS power, share of MVA (ÖSZ-4)</t>
  </si>
  <si>
    <t>BESS duration</t>
  </si>
  <si>
    <t>h</t>
  </si>
  <si>
    <t>Wind built below the bid</t>
  </si>
  <si>
    <t>Municipal one-off (ÖSZ-1), at COD</t>
  </si>
  <si>
    <t>EUR k/MVA</t>
  </si>
  <si>
    <t>Community contribution (ÖSZ-2)</t>
  </si>
  <si>
    <t>EUR/MWh</t>
  </si>
  <si>
    <t>Partial award accepted (ÖSZ-5)</t>
  </si>
  <si>
    <t>Performance security multiple (ÖSZ-6)</t>
  </si>
  <si>
    <t>Brownfield site (ÖSZ-7)</t>
  </si>
  <si>
    <t>Shared connection (ÖSZ-8)</t>
  </si>
  <si>
    <t>Turbine route (EU or CN; EU scores ÖSZ-9)</t>
  </si>
  <si>
    <t>text</t>
  </si>
  <si>
    <t>CN</t>
  </si>
  <si>
    <t>RtB premium</t>
  </si>
  <si>
    <t>FEP share of distributable proceeds</t>
  </si>
  <si>
    <t>Developer success fee (DSA) on</t>
  </si>
  <si>
    <t>Case: turbine price, PPA, yield, O&amp;M</t>
  </si>
  <si>
    <t>Base</t>
  </si>
  <si>
    <t>Low</t>
  </si>
  <si>
    <t>High</t>
  </si>
  <si>
    <t>Live</t>
  </si>
  <si>
    <t>Case selected (Base, Low or High)</t>
  </si>
  <si>
    <t>case</t>
  </si>
  <si>
    <t>Turbine supply incl. transport, EU route</t>
  </si>
  <si>
    <t>EUR k/MW</t>
  </si>
  <si>
    <t>Bora Dashboard H8 / Inputs G162</t>
  </si>
  <si>
    <t>Turbine supply incl. transport, CN route</t>
  </si>
  <si>
    <t>Bora Inputs H162</t>
  </si>
  <si>
    <t>PPA price in the COD year</t>
  </si>
  <si>
    <t>Bora Dashboard H9</t>
  </si>
  <si>
    <t>Net P50 hours</t>
  </si>
  <si>
    <t>h/yr</t>
  </si>
  <si>
    <t>Bora Dashboard H10</t>
  </si>
  <si>
    <t>O&amp;M full-service contract</t>
  </si>
  <si>
    <t>EUR k/MW/yr</t>
  </si>
  <si>
    <t>Bora Dashboard H11</t>
  </si>
  <si>
    <t>Bid points and capacity</t>
  </si>
  <si>
    <t>Points – municipal one-off</t>
  </si>
  <si>
    <t>points</t>
  </si>
  <si>
    <t>Points – community contribution</t>
  </si>
  <si>
    <t>Points – overbuild</t>
  </si>
  <si>
    <t>Points – BESS</t>
  </si>
  <si>
    <t>Points – partial award</t>
  </si>
  <si>
    <t>Points – performance security</t>
  </si>
  <si>
    <t>Points – brownfield</t>
  </si>
  <si>
    <t>Points – shared connection</t>
  </si>
  <si>
    <t>Points – EU turbines</t>
  </si>
  <si>
    <t>Points – EU transformers</t>
  </si>
  <si>
    <t>Points total</t>
  </si>
  <si>
    <t>Wind committed in the bid</t>
  </si>
  <si>
    <t>MW</t>
  </si>
  <si>
    <t>BESS energy</t>
  </si>
  <si>
    <t>MWh</t>
  </si>
  <si>
    <t>Wind built (committed less the build shortfall)</t>
  </si>
  <si>
    <t>Guarantees, securities and connection fees, DEVEX (HUF)</t>
  </si>
  <si>
    <t>Date: Bora</t>
  </si>
  <si>
    <t>Participation fee</t>
  </si>
  <si>
    <t>HUF</t>
  </si>
  <si>
    <t>Bid security</t>
  </si>
  <si>
    <t>Performance security payable (bid security deducted)</t>
  </si>
  <si>
    <t>TSO connection-request security</t>
  </si>
  <si>
    <t>Direct connection fee (per point ÷ bids sharing it)</t>
  </si>
  <si>
    <t>Indirect connection fee, payable (TSO security deducted)</t>
  </si>
  <si>
    <t>DEVEX</t>
  </si>
  <si>
    <t>Guarantees, securities and connection fees, DEVEX (EUR k)</t>
  </si>
  <si>
    <t>EUR k</t>
  </si>
  <si>
    <t>Direct connection fee</t>
  </si>
  <si>
    <t>Signing fee and DD</t>
  </si>
  <si>
    <t>Total cash to RtB (incl. signing and DD)</t>
  </si>
  <si>
    <t>Capex breakdown to COD</t>
  </si>
  <si>
    <t>Turbines (route price, live case)</t>
  </si>
  <si>
    <t>Installation and erection</t>
  </si>
  <si>
    <t>Foundations</t>
  </si>
  <si>
    <t>Balance of plant – civil</t>
  </si>
  <si>
    <t>Balance of plant – electrical</t>
  </si>
  <si>
    <t>Owner's costs, engineering, PM, construction insurance</t>
  </si>
  <si>
    <t>Land purchase and easements</t>
  </si>
  <si>
    <t>Substation and 132 kV bay (scaled by MVA)</t>
  </si>
  <si>
    <t>Contingency (not on BESS)</t>
  </si>
  <si>
    <t>BESS (on BESS energy)</t>
  </si>
  <si>
    <t>Construction capex</t>
  </si>
  <si>
    <t>Connection fees (TSO security, direct, indirect)</t>
  </si>
  <si>
    <t>Municipal one-off</t>
  </si>
  <si>
    <t>Development (participation fee, devex, signing and DD)</t>
  </si>
  <si>
    <t>All-in cost to COD (securities excluded: returned)</t>
  </si>
  <si>
    <t>All-in cost per MW built</t>
  </si>
  <si>
    <t>All-in cost per MVA</t>
  </si>
  <si>
    <t>Devex breakdown (Bora: devex-file categories; tender fee and securities: above)</t>
  </si>
  <si>
    <t>Grid connection plan and agreement</t>
  </si>
  <si>
    <t>Land (reservation, purchase, contracting)</t>
  </si>
  <si>
    <t>Permits, zoning, cable rights</t>
  </si>
  <si>
    <t>Studies (wind, environment, ground)</t>
  </si>
  <si>
    <t>Legal, financial and other</t>
  </si>
  <si>
    <t>Contingency</t>
  </si>
  <si>
    <t>Devex total (= DEVEX line above)</t>
  </si>
  <si>
    <t>Total FEP cash out to RtB (peak exposure)</t>
  </si>
  <si>
    <t>Total proceeds to FEP at the sale</t>
  </si>
  <si>
    <t>FEP profit, pre-tax</t>
  </si>
  <si>
    <t>FEP profit, post-tax</t>
  </si>
  <si>
    <t>MOIC, pre-tax</t>
  </si>
  <si>
    <t>IRR, pre-tax</t>
  </si>
  <si>
    <t>Total capex and costs to COD</t>
  </si>
  <si>
    <t>Sale price at COD</t>
  </si>
  <si>
    <t>Hold to maturity (EBITDA only, no debt, no tax)</t>
  </si>
  <si>
    <t>Total revenue over the life</t>
  </si>
  <si>
    <t>Total opex over the life</t>
  </si>
  <si>
    <t>Total EBITDA over the life</t>
  </si>
  <si>
    <t>Project IRR, pre-tax</t>
  </si>
  <si>
    <t>NPV at the discount rate, at the first year end</t>
  </si>
  <si>
    <t>Annual cash flow per project (EUR k)</t>
  </si>
  <si>
    <t>Year</t>
  </si>
  <si>
    <t>year</t>
  </si>
  <si>
    <t>Spending (capex, fees, securities, devex), net</t>
  </si>
  <si>
    <t>Revenue</t>
  </si>
  <si>
    <t>Opex</t>
  </si>
  <si>
    <t>EBITDA</t>
  </si>
  <si>
    <t>Net cash flow</t>
  </si>
  <si>
    <t>Cumulative net cash flow</t>
  </si>
  <si>
    <t>Detailed calculations: claims, waterfall, dated flows, timelines, checks – expand the group</t>
  </si>
  <si>
    <t>RtB exit: FEP claims at the sale (interest to the freeze, act/365, capitalised 31-Dec)</t>
  </si>
  <si>
    <t>Interest accrual end (earlier of freeze and sale)</t>
  </si>
  <si>
    <t>date</t>
  </si>
  <si>
    <t>Accrual factor in the end year, cash rate</t>
  </si>
  <si>
    <t>Accrual factor in the end year, devex rate</t>
  </si>
  <si>
    <t>Days to the first 31-Dec from bid submission</t>
  </si>
  <si>
    <t>days</t>
  </si>
  <si>
    <t>Accrual factor from bid submission</t>
  </si>
  <si>
    <t>Days to the first 31-Dec from performance security posting</t>
  </si>
  <si>
    <t>Accrual factor from performance security posting</t>
  </si>
  <si>
    <t>Days to the first 31-Dec from TSO security payment</t>
  </si>
  <si>
    <t>Accrual factor from TSO security payment</t>
  </si>
  <si>
    <t>Days to the first 31-Dec from connection agreement (HCSSZ)</t>
  </si>
  <si>
    <t>Accrual factor from connection agreement (HCSSZ)</t>
  </si>
  <si>
    <t>Days to the first 31-Dec from devex payment (average)</t>
  </si>
  <si>
    <t>Accrual factor from devex payment (average)</t>
  </si>
  <si>
    <t>Claim: participation fee (not reimbursed)</t>
  </si>
  <si>
    <t>Claim: bid security (cash)</t>
  </si>
  <si>
    <t>Claim: performance security payable (cash)</t>
  </si>
  <si>
    <t>Claim: TSO connection-request security</t>
  </si>
  <si>
    <t>Claim: direct connection fee</t>
  </si>
  <si>
    <t>Claim: indirect connection fee, payable</t>
  </si>
  <si>
    <t>Claim: devex, MAX(20 % accrued, 1× principal)</t>
  </si>
  <si>
    <t>Total FEP claims</t>
  </si>
  <si>
    <t>Developer success fee due (DSA, capped)</t>
  </si>
  <si>
    <t>RtB exit: waterfall at the sale</t>
  </si>
  <si>
    <t>Buyer reimburses securities and connection fees at cost</t>
  </si>
  <si>
    <t>Total proceeds</t>
  </si>
  <si>
    <t>Less sale costs</t>
  </si>
  <si>
    <t>Less securities and fees repaid to FEP</t>
  </si>
  <si>
    <t>Less FEP claims at 12 %</t>
  </si>
  <si>
    <t>Less FEP devex return</t>
  </si>
  <si>
    <t>Less developer success fee (DSA)</t>
  </si>
  <si>
    <t>Distributable proceeds</t>
  </si>
  <si>
    <t>FEP share of distributable</t>
  </si>
  <si>
    <t>Developer share of distributable</t>
  </si>
  <si>
    <t>FEP cash flows, dated (outlays, then receipts at the sale)</t>
  </si>
  <si>
    <t>Performance security payable</t>
  </si>
  <si>
    <t>Indirect connection fee, payable</t>
  </si>
  <si>
    <t>Devex</t>
  </si>
  <si>
    <t>FEP receipts at the sale (repaid, claims, share)</t>
  </si>
  <si>
    <t>CIT on the gain</t>
  </si>
  <si>
    <t>Annual timeline</t>
  </si>
  <si>
    <t>Year end</t>
  </si>
  <si>
    <t>Bora: annual cash flow (EUR k)</t>
  </si>
  <si>
    <t>Value</t>
  </si>
  <si>
    <t>Years from the COD year</t>
  </si>
  <si>
    <t>years</t>
  </si>
  <si>
    <t>Construction months by year end (value: construction period)</t>
  </si>
  <si>
    <t>months</t>
  </si>
  <si>
    <t>Construction share of the year (NTP to COD)</t>
  </si>
  <si>
    <t>Months operated by year end (value: operating life)</t>
  </si>
  <si>
    <t>Operating share of the year (COD to end of life)</t>
  </si>
  <si>
    <t>COD year flag</t>
  </si>
  <si>
    <t>FEP outlays at their dates (signing, fee, securities, fees, devex)</t>
  </si>
  <si>
    <t>Performance security released (bid security included)</t>
  </si>
  <si>
    <t>Construction capex (straight-line NTP to COD)</t>
  </si>
  <si>
    <t>Municipal one-off at COD</t>
  </si>
  <si>
    <t>Investment cash flow</t>
  </si>
  <si>
    <t>Degradation factor (from the first full year)</t>
  </si>
  <si>
    <t>Net generation</t>
  </si>
  <si>
    <t>GWh</t>
  </si>
  <si>
    <t>PPA price</t>
  </si>
  <si>
    <t>Opex index (COD year = 1)</t>
  </si>
  <si>
    <t>O&amp;M, BoP, lease, insurance, management, property tax</t>
  </si>
  <si>
    <t>Administration, audit, compliance</t>
  </si>
  <si>
    <t>Balancing and grid charges</t>
  </si>
  <si>
    <t>MEKH supervisory fee</t>
  </si>
  <si>
    <t>Opex contingency</t>
  </si>
  <si>
    <t>Community contribution</t>
  </si>
  <si>
    <t>HIPA local business tax</t>
  </si>
  <si>
    <t>Total opex</t>
  </si>
  <si>
    <t>Unlevered pre-tax cash flow</t>
  </si>
  <si>
    <t>Discount factor to COD (buyer's rate)</t>
  </si>
  <si>
    <t>EBITDA valued at COD (total = COD price)</t>
  </si>
  <si>
    <t>COD exit: FEP cash flow (to COD, price and securities at COD)</t>
  </si>
  <si>
    <t>Iváncsa: annual cash flow (EUR k)</t>
  </si>
  <si>
    <t>Dunaújváros: annual cash flow (EUR k)</t>
  </si>
  <si>
    <t>COD exit: tax on the gain (price and profit: totals of the cash-flow blocks above)</t>
  </si>
  <si>
    <t>Checks (0 = OK)</t>
  </si>
  <si>
    <t>RtB waterfall closes (proceeds = all amounts paid out)</t>
  </si>
  <si>
    <t>Claim lines paid before the accrual end year</t>
  </si>
  <si>
    <t>Turbine route is EU or CN</t>
  </si>
  <si>
    <t>Devex breakdown = DEVEX line</t>
  </si>
  <si>
    <t>Construction capex spread in full (timeline = capex)</t>
  </si>
  <si>
    <t>Investment cash flows = all-in cost to COD</t>
  </si>
  <si>
    <t>Operating life inside the timeline</t>
  </si>
  <si>
    <t>Master check</t>
  </si>
  <si>
    <t>***END***</t>
  </si>
  <si>
    <t>HU wind bids – other inputs (blue) with sources</t>
  </si>
  <si>
    <t>Inputs</t>
  </si>
  <si>
    <t>Source</t>
  </si>
  <si>
    <t>Tender and grid (all projects; value in column E)</t>
  </si>
  <si>
    <t>FX rate</t>
  </si>
  <si>
    <t>HUF/EUR</t>
  </si>
  <si>
    <t>Bora Inputs E11; Bid_Cash E45</t>
  </si>
  <si>
    <t>Security base: benchmark investment, wind</t>
  </si>
  <si>
    <t>HUF/MW</t>
  </si>
  <si>
    <t>Bora Inputs E75; Bid_Cash E46</t>
  </si>
  <si>
    <t>Security base: benchmark investment, BESS</t>
  </si>
  <si>
    <t>HUF/MWh</t>
  </si>
  <si>
    <t>Bora Inputs E89; Bid_Cash E47</t>
  </si>
  <si>
    <t>Bid security, share of base</t>
  </si>
  <si>
    <t>Bora Inputs E76; Bid_Cash E49</t>
  </si>
  <si>
    <t>Performance security, minimum share of base</t>
  </si>
  <si>
    <t>Bora Inputs E77; Bid_Cash E50</t>
  </si>
  <si>
    <t>Participation fee per bid</t>
  </si>
  <si>
    <t>Bora Inputs E81; Bid_Cash E48</t>
  </si>
  <si>
    <t>HUF/MVA</t>
  </si>
  <si>
    <t>Bora Inputs E83; Bid_Cash E51</t>
  </si>
  <si>
    <t>Per project: fees, devex, dates</t>
  </si>
  <si>
    <t>Indirect connection fee</t>
  </si>
  <si>
    <t>Bora Inputs G290; Bid_Cash E52</t>
  </si>
  <si>
    <t>Direct connection fee per connection point</t>
  </si>
  <si>
    <t>Bora Inputs G291; Bid_Cash E53</t>
  </si>
  <si>
    <t>Bids sharing the connection point</t>
  </si>
  <si>
    <t>count</t>
  </si>
  <si>
    <t>Bora: 2 bids per point (SPEC §22.2)</t>
  </si>
  <si>
    <t>Bora E24+E25: 400 × 50/200; Bid_Cash E55</t>
  </si>
  <si>
    <t>Devex: grid connection plan and agreement</t>
  </si>
  <si>
    <t>Devex: land (reservation, purchase, contracting)</t>
  </si>
  <si>
    <t>Devex: permits, zoning, cable rights</t>
  </si>
  <si>
    <t>Devex: studies (wind, environment, ground)</t>
  </si>
  <si>
    <t>Devex: legal, financial and other</t>
  </si>
  <si>
    <t>Devex: contingency</t>
  </si>
  <si>
    <t>EU transformers ≥ 80 % (ÖSZ-9)</t>
  </si>
  <si>
    <t>Bid_Cash E16; SPEC §23.1</t>
  </si>
  <si>
    <t>Signing fee and DD paid</t>
  </si>
  <si>
    <t>Bora Inputs E27; Bid_Cash E34</t>
  </si>
  <si>
    <t>Bid submission: fee paid, bid security posted</t>
  </si>
  <si>
    <t>Bora Inputs E95; Bid_Cash E35</t>
  </si>
  <si>
    <t>Performance security posted</t>
  </si>
  <si>
    <t>Bora Deposits K10 (E96 + 17 d); Bid_Cash E36</t>
  </si>
  <si>
    <t>TSO security paid</t>
  </si>
  <si>
    <t>Bora Inputs E97; Bid_Cash E37</t>
  </si>
  <si>
    <t>Connection agreement (HCSSZ): fees paid</t>
  </si>
  <si>
    <t>Bora Inputs E99; Bid_Cash E39</t>
  </si>
  <si>
    <t>Devex average payment date</t>
  </si>
  <si>
    <t>Bora Devex_FEP, amount-weighted; Bid_Cash 'continuous'</t>
  </si>
  <si>
    <t>Notice to proceed</t>
  </si>
  <si>
    <t>Bora Inputs E154; Bid_Cash E40</t>
  </si>
  <si>
    <t>COD</t>
  </si>
  <si>
    <t>Bora Inputs E155; Bid_Cash E41</t>
  </si>
  <si>
    <t>Performance security released</t>
  </si>
  <si>
    <t>Bid_Cash E42 (Kiírás XII.13, estimate)</t>
  </si>
  <si>
    <t>DSA accrual start</t>
  </si>
  <si>
    <t>Bora Inputs E70; others: signing (DSA off)</t>
  </si>
  <si>
    <t>RtB exit terms (all projects; value in column E)</t>
  </si>
  <si>
    <t>Claim rate, cash lines (incl. cash-posted securities)</t>
  </si>
  <si>
    <t>Devex file V18; SPEC §21.1</t>
  </si>
  <si>
    <t>Claim rate, devex</t>
  </si>
  <si>
    <t>Devex file V19</t>
  </si>
  <si>
    <t>Devex minimum return multiple</t>
  </si>
  <si>
    <t>Devex file V20</t>
  </si>
  <si>
    <t>Interest freeze date</t>
  </si>
  <si>
    <t>Devex file V24</t>
  </si>
  <si>
    <t>Sale date (RtB exit)</t>
  </si>
  <si>
    <t>Bora Inputs E58; SPEC §21.1</t>
  </si>
  <si>
    <t>Sale costs per project</t>
  </si>
  <si>
    <t>SPEC §21.1</t>
  </si>
  <si>
    <t>Developer success fee (on committed MW, 30/360)</t>
  </si>
  <si>
    <t>Bora Inputs E36</t>
  </si>
  <si>
    <t>Developer success fee cap</t>
  </si>
  <si>
    <t>Bora Inputs E37</t>
  </si>
  <si>
    <t>Corporate income tax on exit gains</t>
  </si>
  <si>
    <t>SPEC §22.2 (exit gains only)</t>
  </si>
  <si>
    <t>Capex (per MW of wind built unless stated; turbines: case table on the Dashboard)</t>
  </si>
  <si>
    <t>Turbine installation and erection</t>
  </si>
  <si>
    <t>Bora Inputs G163</t>
  </si>
  <si>
    <t>Bora Inputs G164</t>
  </si>
  <si>
    <t>Bora Inputs G165</t>
  </si>
  <si>
    <t>Bora Inputs G166</t>
  </si>
  <si>
    <t>Bora Inputs G169</t>
  </si>
  <si>
    <t>Bora Inputs G170</t>
  </si>
  <si>
    <t>On-site substation and 132 kV bay (lump sum)</t>
  </si>
  <si>
    <t>Bora Inputs G167</t>
  </si>
  <si>
    <t>Source basis of the lump sums</t>
  </si>
  <si>
    <t>Bora Inputs E305</t>
  </si>
  <si>
    <t>Capex contingency (not on BESS)</t>
  </si>
  <si>
    <t>Bora Inputs G173</t>
  </si>
  <si>
    <t>BESS capex</t>
  </si>
  <si>
    <t>EUR k/MWh</t>
  </si>
  <si>
    <t>CLAUDE.md standing assumption, 15-Oct-26</t>
  </si>
  <si>
    <t>Generation (hours and PPA price: case table on the Dashboard)</t>
  </si>
  <si>
    <t>Curtailment</t>
  </si>
  <si>
    <t>Bora Inputs G183</t>
  </si>
  <si>
    <t>Clipping</t>
  </si>
  <si>
    <t>Bora Dash_Clip_Override (user, 26-Oct-26)</t>
  </si>
  <si>
    <t>Degradation</t>
  </si>
  <si>
    <t>% p.a.</t>
  </si>
  <si>
    <t>Bora Inputs G184</t>
  </si>
  <si>
    <t>PPA escalation</t>
  </si>
  <si>
    <t>Bora Inputs G194</t>
  </si>
  <si>
    <t>Opex (COD-year prices; O&amp;M contract: case table on the Dashboard)</t>
  </si>
  <si>
    <t>Balance of plant maintenance</t>
  </si>
  <si>
    <t>Bora Inputs G204</t>
  </si>
  <si>
    <t>Land lease</t>
  </si>
  <si>
    <t>Bora Inputs G205</t>
  </si>
  <si>
    <t>Operational insurance</t>
  </si>
  <si>
    <t>Bora Inputs G206</t>
  </si>
  <si>
    <t>Asset and commercial management</t>
  </si>
  <si>
    <t>Bora Inputs G207</t>
  </si>
  <si>
    <t>Property tax</t>
  </si>
  <si>
    <t>Bora Inputs G208</t>
  </si>
  <si>
    <t>Administration, audit, compliance (at the source basis)</t>
  </si>
  <si>
    <t>EUR k/yr</t>
  </si>
  <si>
    <t>Bora Inputs G209</t>
  </si>
  <si>
    <t>Balancing cost</t>
  </si>
  <si>
    <t>Bora Inputs G196</t>
  </si>
  <si>
    <t>Grid use-of-system charges</t>
  </si>
  <si>
    <t>Bora Inputs G197</t>
  </si>
  <si>
    <t>% of rev.</t>
  </si>
  <si>
    <t>Bora Inputs G198</t>
  </si>
  <si>
    <t>Bora Inputs G212</t>
  </si>
  <si>
    <t>Opex contingency (not on community, HIPA)</t>
  </si>
  <si>
    <t>Bora Inputs G210</t>
  </si>
  <si>
    <t>Opex escalation</t>
  </si>
  <si>
    <t>Bora Inputs G211</t>
  </si>
  <si>
    <t>Valuation, timeline and constants</t>
  </si>
  <si>
    <t>Operating life from COD</t>
  </si>
  <si>
    <t>Bora Inputs G157</t>
  </si>
  <si>
    <t>Discount rate (buyer's pre-tax return at COD)</t>
  </si>
  <si>
    <t>Bora Inputs G226</t>
  </si>
  <si>
    <t>First year of the annual timeline</t>
  </si>
  <si>
    <t>Year of the first signing</t>
  </si>
  <si>
    <t>Thousand</t>
  </si>
  <si>
    <t>Constant</t>
  </si>
  <si>
    <t>Days in a year (act/365)</t>
  </si>
  <si>
    <t>Months in a year</t>
  </si>
  <si>
    <t>Check tolerance</t>
  </si>
  <si>
    <t>Band tables for the points (ÖSZ, Kiírás Annex 4) – expand the group</t>
  </si>
  <si>
    <t>Values →</t>
  </si>
  <si>
    <t>Osz1_LB</t>
  </si>
  <si>
    <t>Osz1_Incl</t>
  </si>
  <si>
    <t>Osz1_Pts</t>
  </si>
  <si>
    <t>Osz2_LB</t>
  </si>
  <si>
    <t>Osz2_Incl</t>
  </si>
  <si>
    <t>Osz2_Pts</t>
  </si>
  <si>
    <t>Osz3_LB</t>
  </si>
  <si>
    <t>Osz3_Incl</t>
  </si>
  <si>
    <t>Osz3_Pts</t>
  </si>
  <si>
    <t>Osz6_LB</t>
  </si>
  <si>
    <t>Osz6_Incl</t>
  </si>
  <si>
    <t>Osz6_Pts</t>
  </si>
  <si>
    <t>Osz5_Pts</t>
  </si>
  <si>
    <t>Osz7_Pts</t>
  </si>
  <si>
    <t>Osz8_Pts</t>
  </si>
  <si>
    <t>Osz9a_Pts</t>
  </si>
  <si>
    <t>Osz9b_Pts</t>
  </si>
  <si>
    <t>Osz1_W</t>
  </si>
  <si>
    <t>Osz2_W</t>
  </si>
  <si>
    <t>Osz3_W</t>
  </si>
  <si>
    <t>Osz4_W</t>
  </si>
  <si>
    <t>Osz5_W</t>
  </si>
  <si>
    <t>Osz6_W</t>
  </si>
  <si>
    <t>Osz7_W</t>
  </si>
  <si>
    <t>Osz8_W</t>
  </si>
  <si>
    <t>Osz9_W</t>
  </si>
  <si>
    <t>Date</t>
  </si>
  <si>
    <t>HU wind projects</t>
  </si>
  <si>
    <t>COD exit</t>
  </si>
  <si>
    <t>Returns RTB COD HTM</t>
  </si>
  <si>
    <t>RtB exit, Case B: buyer pays the grid connection fees directly (FEP does not pre-fund them)</t>
  </si>
  <si>
    <t>Grid connection fees paid by the buyer at HCSSZ (direct + indirect, payable)</t>
  </si>
  <si>
    <t>FEP cash out to RtB, Case B (peak exposure)</t>
  </si>
  <si>
    <t>Total FEP claims, Case B (no claims on connection fees)</t>
  </si>
  <si>
    <t>Waterfall at the sale, Case B</t>
  </si>
  <si>
    <t>Buyer reimburses securities at cost (no connection fees to reimburse)</t>
  </si>
  <si>
    <t>Less securities repaid to FEP</t>
  </si>
  <si>
    <t>FEP cash flows, dated, Case B (no connection-fee outlays)</t>
  </si>
  <si>
    <t>Memo: pre-tax profit vs Case A (connection-fee claims no longer earned, FEP share)</t>
  </si>
  <si>
    <t>Case B waterfall closes (proceeds = all amounts paid out)</t>
  </si>
  <si>
    <t>Grid connection fees paid by the buyer (not FEP cash)</t>
  </si>
  <si>
    <t>Cash to RtB by nature: sunk, returned, or borne by the buyer (EUR k)</t>
  </si>
  <si>
    <t>Who bears it</t>
  </si>
  <si>
    <t>Sunk fees and devex (signing and DD, participation fee, devex)</t>
  </si>
  <si>
    <t>FEP – sunk; recovered only via the claims at the sale</t>
  </si>
  <si>
    <t>Securities, returned (bid, performance, TSO connection request)</t>
  </si>
  <si>
    <t>FEP – cash out, returned or reimbursed at the sale</t>
  </si>
  <si>
    <t>Grid connection fees (direct + indirect, payable at HCSSZ)</t>
  </si>
  <si>
    <t>Buyer at RtB; FEP pays only if no buyer is found</t>
  </si>
  <si>
    <t>Total cash to RtB (= total above)</t>
  </si>
  <si>
    <t>Case A: FEP pre-funds everything</t>
  </si>
  <si>
    <t>Grid connection fees, share of the total</t>
  </si>
  <si>
    <t>FEP exposure if the buyer pays the grid connection fees</t>
  </si>
  <si>
    <t>Case B: FEP funds sunk fees, devex and securities only</t>
  </si>
  <si>
    <t>Devex total, Iváncsa and Dunaújváros (allocated pro rata to Bora's categories)</t>
  </si>
  <si>
    <t>User, 27-Oct-26: EUR 1m per project, split as Bora</t>
  </si>
  <si>
    <t>Bora share × F25/G25 (Iváncsa, Dunaújváros); Bora: Devex_FEP × 50/100 MVA</t>
  </si>
  <si>
    <t>RTB exit, Case A: buyer pays the grid connection fees (FEP does not pre-fund)</t>
  </si>
  <si>
    <t>RTB exit, Case B: FEP pre-funds the grid connection fees, buyer reimburses them at the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</si>
</sst>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;\(#,##0\);&quot;–&quot;"/>
    <numFmt numFmtId="165" formatCode="0.0%;\(0.0%\);&quot;–&quot;"/>
    <numFmt numFmtId="166" formatCode="#,##0.0;\(#,##0.0\);&quot;–&quot;"/>
    <numFmt numFmtId="167" formatCode="dd\-mmm\-yy"/>
    <numFmt numFmtId="168" formatCode="0.00&quot;x&quot;"/>
    <numFmt numFmtId="169" formatCode="0.000"/>
    <numFmt numFmtId="170" formatCode="0.0000"/>
    <numFmt numFmtId="171" formatCode="#,##0.00;\(#,##0.00\);&quot;–&quot;"/>
    <numFmt numFmtId="172" formatCode="0;\-0;&quot;–&quot;"/>
    <numFmt numFmtId="173" formatCode="0.000;\(0.000\);&quot;–&quot;"/>
    <numFmt numFmtId="174" formatCode="&quot;CHECK&quot;\ 0;&quot;CHECK&quot;\ \-0;&quot;OK&quot;"/>
    <numFmt numFmtId="175" formatCode="0.0%"/>
  </numFmts>
  <fonts count="17" x14ac:knownFonts="1">
    <font>
      <sz val="11"/>
      <color theme="1"/>
      <name val="Calibri"/>
      <family val="2"/>
      <scheme val="minor"/>
    </font>
    <font>
      <b/>
      <sz val="10"/>
      <color rgb="FF000000"/>
      <name val="Aptos Narrow"/>
    </font>
    <font>
      <b/>
      <sz val="10"/>
      <color rgb="FFFFFFFF"/>
      <name val="Aptos Narrow"/>
    </font>
    <font>
      <b/>
      <sz val="10"/>
      <color rgb="FF3C3C3B"/>
      <name val="Aptos Narrow"/>
    </font>
    <font>
      <sz val="10"/>
      <color rgb="FF000000"/>
      <name val="Aptos Narrow"/>
    </font>
    <font>
      <i/>
      <sz val="10"/>
      <color rgb="FF808080"/>
      <name val="Aptos Narrow"/>
    </font>
    <font>
      <sz val="10"/>
      <color rgb="FF0000FF"/>
      <name val="Aptos Narrow"/>
    </font>
    <font>
      <b/>
      <sz val="10"/>
      <color rgb="FF808080"/>
      <name val="Aptos Narrow"/>
    </font>
    <font>
      <b/>
      <sz val="11"/>
      <color theme="1"/>
      <name val="Calibri"/>
      <family val="2"/>
      <charset val="238"/>
      <scheme val="minor"/>
    </font>
    <font>
      <b/>
      <sz val="10"/>
      <color rgb="FF000000"/>
      <name val="Aptos Narrow"/>
      <family val="2"/>
    </font>
    <font>
      <b/>
      <i/>
      <sz val="10"/>
      <color rgb="FF808080"/>
      <name val="Aptos Narrow"/>
      <family val="2"/>
    </font>
    <font>
      <b/>
      <sz val="10"/>
      <color rgb="FFFFFFFF"/>
      <name val="Aptos Narrow"/>
      <family val="2"/>
    </font>
    <font>
      <b/>
      <sz val="10"/>
      <color rgb="FF3C3C3B"/>
      <name val="Aptos Narrow"/>
      <family val="2"/>
    </font>
    <font>
      <b/>
      <sz val="10"/>
      <color rgb="FFFFFFFF"/>
      <name val="Aptos Narrow"/>
      <family val="2"/>
      <charset val="238"/>
    </font>
    <font>
      <i/>
      <sz val="10"/>
      <color rgb="FF000000"/>
      <name val="Aptos Narrow"/>
      <family val="2"/>
    </font>
    <font>
      <i/>
      <sz val="10"/>
      <color rgb="FF808080"/>
      <name val="Aptos Narrow"/>
      <family val="2"/>
    </font>
    <font>
      <sz val="10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00563C"/>
      </patternFill>
    </fill>
    <fill>
      <patternFill patternType="solid">
        <fgColor rgb="FFE6F4EC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5" fillId="0" borderId="0" xfId="0" applyFont="1"/>
    <xf numFmtId="174" fontId="1" fillId="0" borderId="0" xfId="0" applyNumberFormat="1" applyFont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4" fillId="0" borderId="0" xfId="0" applyFont="1"/>
    <xf numFmtId="164" fontId="6" fillId="4" borderId="1" xfId="0" applyNumberFormat="1" applyFont="1" applyFill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5" fontId="6" fillId="4" borderId="1" xfId="0" applyNumberFormat="1" applyFont="1" applyFill="1" applyBorder="1" applyAlignment="1">
      <alignment horizontal="right"/>
    </xf>
    <xf numFmtId="166" fontId="6" fillId="4" borderId="1" xfId="0" applyNumberFormat="1" applyFont="1" applyFill="1" applyBorder="1" applyAlignment="1">
      <alignment horizontal="right"/>
    </xf>
    <xf numFmtId="1" fontId="6" fillId="4" borderId="1" xfId="0" applyNumberFormat="1" applyFont="1" applyFill="1" applyBorder="1" applyAlignment="1">
      <alignment horizontal="right"/>
    </xf>
    <xf numFmtId="168" fontId="6" fillId="4" borderId="1" xfId="0" applyNumberFormat="1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164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6" fontId="1" fillId="0" borderId="2" xfId="0" applyNumberFormat="1" applyFont="1" applyBorder="1" applyAlignment="1">
      <alignment horizontal="right"/>
    </xf>
    <xf numFmtId="167" fontId="4" fillId="0" borderId="0" xfId="0" applyNumberFormat="1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168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70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71" fontId="4" fillId="0" borderId="0" xfId="0" applyNumberFormat="1" applyFont="1" applyAlignment="1">
      <alignment horizontal="right"/>
    </xf>
    <xf numFmtId="172" fontId="4" fillId="0" borderId="0" xfId="0" applyNumberFormat="1" applyFont="1" applyAlignment="1">
      <alignment horizontal="right"/>
    </xf>
    <xf numFmtId="173" fontId="4" fillId="0" borderId="0" xfId="0" applyNumberFormat="1" applyFont="1" applyAlignment="1">
      <alignment horizontal="right"/>
    </xf>
    <xf numFmtId="174" fontId="1" fillId="0" borderId="2" xfId="0" applyNumberFormat="1" applyFont="1" applyBorder="1" applyAlignment="1">
      <alignment horizontal="right"/>
    </xf>
    <xf numFmtId="0" fontId="7" fillId="0" borderId="0" xfId="0" applyFont="1"/>
    <xf numFmtId="167" fontId="6" fillId="4" borderId="1" xfId="0" applyNumberFormat="1" applyFont="1" applyFill="1" applyBorder="1" applyAlignment="1">
      <alignment horizontal="right"/>
    </xf>
    <xf numFmtId="169" fontId="6" fillId="4" borderId="1" xfId="0" applyNumberFormat="1" applyFont="1" applyFill="1" applyBorder="1" applyAlignment="1">
      <alignment horizontal="right"/>
    </xf>
    <xf numFmtId="0" fontId="0" fillId="5" borderId="0" xfId="0" applyFill="1"/>
    <xf numFmtId="0" fontId="2" fillId="5" borderId="0" xfId="0" applyFont="1" applyFill="1" applyAlignment="1">
      <alignment horizontal="right"/>
    </xf>
    <xf numFmtId="167" fontId="4" fillId="5" borderId="0" xfId="0" applyNumberFormat="1" applyFont="1" applyFill="1" applyAlignment="1">
      <alignment horizontal="right"/>
    </xf>
    <xf numFmtId="0" fontId="9" fillId="6" borderId="0" xfId="0" applyFont="1" applyFill="1"/>
    <xf numFmtId="0" fontId="10" fillId="6" borderId="0" xfId="0" applyFont="1" applyFill="1"/>
    <xf numFmtId="164" fontId="9" fillId="6" borderId="0" xfId="0" applyNumberFormat="1" applyFont="1" applyFill="1" applyAlignment="1">
      <alignment horizontal="right"/>
    </xf>
    <xf numFmtId="0" fontId="4" fillId="6" borderId="0" xfId="0" applyFont="1" applyFill="1"/>
    <xf numFmtId="0" fontId="5" fillId="6" borderId="0" xfId="0" applyFont="1" applyFill="1"/>
    <xf numFmtId="164" fontId="4" fillId="6" borderId="0" xfId="0" applyNumberFormat="1" applyFont="1" applyFill="1" applyAlignment="1">
      <alignment horizontal="right"/>
    </xf>
    <xf numFmtId="0" fontId="9" fillId="0" borderId="0" xfId="0" applyFont="1"/>
    <xf numFmtId="0" fontId="10" fillId="0" borderId="0" xfId="0" applyFont="1"/>
    <xf numFmtId="164" fontId="9" fillId="0" borderId="0" xfId="0" applyNumberFormat="1" applyFont="1" applyAlignment="1">
      <alignment horizontal="right"/>
    </xf>
    <xf numFmtId="0" fontId="11" fillId="2" borderId="0" xfId="0" applyFont="1" applyFill="1"/>
    <xf numFmtId="0" fontId="12" fillId="3" borderId="0" xfId="0" applyFont="1" applyFill="1"/>
    <xf numFmtId="0" fontId="13" fillId="2" borderId="0" xfId="0" applyFont="1" applyFill="1"/>
    <xf numFmtId="0" fontId="11" fillId="2" borderId="0" xfId="0" applyFont="1" applyFill="1" applyAlignment="1">
      <alignment horizontal="right"/>
    </xf>
    <xf numFmtId="0" fontId="8" fillId="0" borderId="0" xfId="0" applyFont="1"/>
    <xf numFmtId="164" fontId="9" fillId="0" borderId="2" xfId="0" applyNumberFormat="1" applyFont="1" applyBorder="1" applyAlignment="1">
      <alignment horizontal="right"/>
    </xf>
    <xf numFmtId="0" fontId="14" fillId="0" borderId="0" xfId="0" applyFont="1"/>
    <xf numFmtId="0" fontId="15" fillId="0" borderId="0" xfId="0" applyFont="1"/>
    <xf numFmtId="175" fontId="0" fillId="0" borderId="0" xfId="0" applyNumberFormat="1"/>
    <xf numFmtId="164" fontId="1" fillId="0" borderId="0" xfId="0" applyNumberFormat="1" applyFont="1" applyBorder="1" applyAlignment="1">
      <alignment horizontal="right"/>
    </xf>
    <xf numFmtId="164" fontId="4" fillId="0" borderId="3" xfId="0" applyNumberFormat="1" applyFont="1" applyBorder="1" applyAlignment="1">
      <alignment horizontal="right"/>
    </xf>
    <xf numFmtId="166" fontId="16" fillId="4" borderId="1" xfId="0" applyNumberFormat="1" applyFont="1" applyFill="1" applyBorder="1" applyAlignment="1">
      <alignment horizontal="right"/>
    </xf>
    <xf numFmtId="4" fontId="16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4">
    <dxf>
      <font>
        <b/>
        <color rgb="FFFF0000"/>
      </font>
    </dxf>
    <dxf>
      <font>
        <b/>
        <color rgb="FF00B050"/>
      </font>
    </dxf>
    <dxf>
      <font>
        <b/>
        <color rgb="FFFF0000"/>
      </font>
    </dxf>
    <dxf>
      <font>
        <b/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C6CBDD-24D1-428A-8A5A-5C0C59C757D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db377c9-e644-431f-a678-9c0c720e8f0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2:AS358"/>
  <sheetViews>
    <sheetView showGridLines="0" tabSelected="1" zoomScale="85" zoomScaleNormal="85" workbookViewId="0">
      <pane xSplit="4" ySplit="3" topLeftCell="E86" activePane="bottomRight" state="frozen"/>
      <selection pane="topRight"/>
      <selection pane="bottomLeft"/>
      <selection pane="bottomRight" activeCell="L119" sqref="L119"/>
    </sheetView>
  </sheetViews>
  <sheetFormatPr defaultRowHeight="15" outlineLevelRow="1" x14ac:dyDescent="0.25"/>
  <cols>
    <col min="1" max="2" width="2" customWidth="1"/>
    <col min="3" max="3" width="56" customWidth="1"/>
    <col min="4" max="4" width="10" customWidth="1"/>
    <col min="5" max="7" width="13" customWidth="1"/>
    <col min="8" max="8" width="15" customWidth="1"/>
    <col min="9" max="9" width="2" customWidth="1"/>
    <col min="10" max="45" width="10" customWidth="1"/>
  </cols>
  <sheetData>
    <row r="2" spans="2:8" x14ac:dyDescent="0.25">
      <c r="C2" s="1" t="s">
        <v>392</v>
      </c>
    </row>
    <row r="3" spans="2:8" hidden="1" x14ac:dyDescent="0.25">
      <c r="C3" s="1" t="s">
        <v>0</v>
      </c>
      <c r="D3" s="2" t="s">
        <v>1</v>
      </c>
      <c r="H3" s="3">
        <f>Master_Check</f>
        <v>0</v>
      </c>
    </row>
    <row r="5" spans="2:8" x14ac:dyDescent="0.25">
      <c r="B5" s="4" t="s">
        <v>2</v>
      </c>
      <c r="C5" s="4" t="s">
        <v>3</v>
      </c>
      <c r="D5" s="4"/>
      <c r="E5" s="5" t="s">
        <v>4</v>
      </c>
      <c r="F5" s="5" t="s">
        <v>5</v>
      </c>
      <c r="G5" s="5" t="s">
        <v>6</v>
      </c>
      <c r="H5" s="5" t="s">
        <v>7</v>
      </c>
    </row>
    <row r="6" spans="2:8" x14ac:dyDescent="0.25">
      <c r="C6" s="6" t="s">
        <v>8</v>
      </c>
      <c r="D6" s="2" t="s">
        <v>9</v>
      </c>
      <c r="E6" s="7">
        <v>50</v>
      </c>
      <c r="F6" s="7">
        <v>50</v>
      </c>
      <c r="G6" s="7">
        <v>50</v>
      </c>
      <c r="H6" s="8">
        <f>SUM(E6:G6)</f>
        <v>150</v>
      </c>
    </row>
    <row r="7" spans="2:8" x14ac:dyDescent="0.25">
      <c r="C7" s="6" t="s">
        <v>10</v>
      </c>
      <c r="D7" s="2" t="s">
        <v>11</v>
      </c>
      <c r="E7" s="9">
        <v>0.2</v>
      </c>
      <c r="F7" s="9">
        <v>0.4</v>
      </c>
      <c r="G7" s="9">
        <v>0.4</v>
      </c>
    </row>
    <row r="8" spans="2:8" x14ac:dyDescent="0.25">
      <c r="C8" s="6" t="s">
        <v>12</v>
      </c>
      <c r="D8" s="2" t="s">
        <v>11</v>
      </c>
      <c r="E8" s="9">
        <v>0.1</v>
      </c>
      <c r="F8" s="9">
        <v>0.2</v>
      </c>
      <c r="G8" s="9">
        <v>0.2</v>
      </c>
    </row>
    <row r="9" spans="2:8" x14ac:dyDescent="0.25">
      <c r="C9" s="6" t="s">
        <v>13</v>
      </c>
      <c r="D9" s="2" t="s">
        <v>14</v>
      </c>
      <c r="E9" s="7">
        <v>4</v>
      </c>
      <c r="F9" s="7">
        <v>4</v>
      </c>
      <c r="G9" s="7">
        <v>4</v>
      </c>
    </row>
    <row r="10" spans="2:8" x14ac:dyDescent="0.25">
      <c r="C10" s="6" t="s">
        <v>15</v>
      </c>
      <c r="D10" s="2" t="s">
        <v>11</v>
      </c>
      <c r="E10" s="9">
        <v>0.1</v>
      </c>
      <c r="F10" s="9">
        <v>0.1</v>
      </c>
      <c r="G10" s="9">
        <v>0.1</v>
      </c>
    </row>
    <row r="11" spans="2:8" x14ac:dyDescent="0.25">
      <c r="C11" s="6" t="s">
        <v>16</v>
      </c>
      <c r="D11" s="2" t="s">
        <v>17</v>
      </c>
      <c r="E11" s="7">
        <v>20</v>
      </c>
      <c r="F11" s="7">
        <v>50</v>
      </c>
      <c r="G11" s="7">
        <v>50</v>
      </c>
    </row>
    <row r="12" spans="2:8" x14ac:dyDescent="0.25">
      <c r="C12" s="6" t="s">
        <v>18</v>
      </c>
      <c r="D12" s="2" t="s">
        <v>19</v>
      </c>
      <c r="E12" s="10">
        <v>0</v>
      </c>
      <c r="F12" s="10">
        <v>3</v>
      </c>
      <c r="G12" s="10">
        <v>3</v>
      </c>
    </row>
    <row r="13" spans="2:8" x14ac:dyDescent="0.25">
      <c r="C13" s="6" t="s">
        <v>20</v>
      </c>
      <c r="D13" s="2" t="s">
        <v>1</v>
      </c>
      <c r="E13" s="11">
        <v>1</v>
      </c>
      <c r="F13" s="11">
        <v>0</v>
      </c>
      <c r="G13" s="11">
        <v>0</v>
      </c>
    </row>
    <row r="14" spans="2:8" x14ac:dyDescent="0.25">
      <c r="C14" s="6" t="s">
        <v>21</v>
      </c>
      <c r="D14" s="2" t="s">
        <v>2</v>
      </c>
      <c r="E14" s="12">
        <v>1</v>
      </c>
      <c r="F14" s="12">
        <v>1</v>
      </c>
      <c r="G14" s="12">
        <v>1</v>
      </c>
    </row>
    <row r="15" spans="2:8" x14ac:dyDescent="0.25">
      <c r="C15" s="6" t="s">
        <v>22</v>
      </c>
      <c r="D15" s="2" t="s">
        <v>1</v>
      </c>
      <c r="E15" s="11">
        <v>0</v>
      </c>
      <c r="F15" s="11">
        <v>0</v>
      </c>
      <c r="G15" s="11">
        <v>0</v>
      </c>
    </row>
    <row r="16" spans="2:8" x14ac:dyDescent="0.25">
      <c r="C16" s="6" t="s">
        <v>23</v>
      </c>
      <c r="D16" s="2" t="s">
        <v>1</v>
      </c>
      <c r="E16" s="11">
        <v>1</v>
      </c>
      <c r="F16" s="11">
        <v>0</v>
      </c>
      <c r="G16" s="11">
        <v>0</v>
      </c>
    </row>
    <row r="17" spans="2:10" x14ac:dyDescent="0.25">
      <c r="C17" s="6" t="s">
        <v>24</v>
      </c>
      <c r="D17" s="2" t="s">
        <v>25</v>
      </c>
      <c r="E17" s="13" t="s">
        <v>26</v>
      </c>
      <c r="F17" s="13" t="s">
        <v>26</v>
      </c>
      <c r="G17" s="13" t="s">
        <v>26</v>
      </c>
    </row>
    <row r="18" spans="2:10" x14ac:dyDescent="0.25">
      <c r="C18" s="6" t="s">
        <v>27</v>
      </c>
      <c r="D18" s="2" t="s">
        <v>17</v>
      </c>
      <c r="E18" s="7">
        <v>150</v>
      </c>
      <c r="F18" s="7">
        <v>150</v>
      </c>
      <c r="G18" s="7">
        <v>150</v>
      </c>
    </row>
    <row r="19" spans="2:10" x14ac:dyDescent="0.25">
      <c r="C19" s="6" t="s">
        <v>28</v>
      </c>
      <c r="D19" s="2" t="s">
        <v>11</v>
      </c>
      <c r="E19" s="9">
        <v>0.7</v>
      </c>
      <c r="F19" s="9">
        <v>1</v>
      </c>
      <c r="G19" s="9">
        <v>1</v>
      </c>
    </row>
    <row r="20" spans="2:10" x14ac:dyDescent="0.25">
      <c r="C20" s="6" t="s">
        <v>29</v>
      </c>
      <c r="D20" s="2" t="s">
        <v>1</v>
      </c>
      <c r="E20" s="11">
        <v>1</v>
      </c>
      <c r="F20" s="11">
        <v>0</v>
      </c>
      <c r="G20" s="11">
        <v>0</v>
      </c>
    </row>
    <row r="22" spans="2:10" x14ac:dyDescent="0.25">
      <c r="B22" s="4" t="s">
        <v>2</v>
      </c>
      <c r="C22" s="4" t="s">
        <v>30</v>
      </c>
      <c r="D22" s="4"/>
      <c r="E22" s="5" t="s">
        <v>31</v>
      </c>
      <c r="F22" s="5" t="s">
        <v>32</v>
      </c>
      <c r="G22" s="5" t="s">
        <v>33</v>
      </c>
      <c r="H22" s="5" t="s">
        <v>34</v>
      </c>
    </row>
    <row r="23" spans="2:10" x14ac:dyDescent="0.25">
      <c r="C23" s="1" t="s">
        <v>35</v>
      </c>
      <c r="D23" s="2" t="s">
        <v>36</v>
      </c>
      <c r="H23" s="13" t="s">
        <v>31</v>
      </c>
    </row>
    <row r="24" spans="2:10" x14ac:dyDescent="0.25">
      <c r="C24" s="6" t="s">
        <v>37</v>
      </c>
      <c r="D24" s="2" t="s">
        <v>38</v>
      </c>
      <c r="E24" s="7">
        <v>850</v>
      </c>
      <c r="F24" s="7">
        <v>950</v>
      </c>
      <c r="G24" s="7">
        <v>800</v>
      </c>
      <c r="H24" s="14">
        <f>INDEX(E24:G24,MATCH(Dash_Case,$E$22:$G$22,0))</f>
        <v>850</v>
      </c>
      <c r="J24" s="2" t="s">
        <v>39</v>
      </c>
    </row>
    <row r="25" spans="2:10" x14ac:dyDescent="0.25">
      <c r="C25" s="6" t="s">
        <v>40</v>
      </c>
      <c r="D25" s="2" t="s">
        <v>38</v>
      </c>
      <c r="E25" s="7">
        <v>500</v>
      </c>
      <c r="F25" s="7">
        <v>600</v>
      </c>
      <c r="G25" s="7">
        <v>480</v>
      </c>
      <c r="H25" s="14">
        <f>INDEX(E25:G25,MATCH(Dash_Case,$E$22:$G$22,0))</f>
        <v>500</v>
      </c>
      <c r="J25" s="2" t="s">
        <v>41</v>
      </c>
    </row>
    <row r="26" spans="2:10" x14ac:dyDescent="0.25">
      <c r="C26" s="6" t="s">
        <v>42</v>
      </c>
      <c r="D26" s="2" t="s">
        <v>19</v>
      </c>
      <c r="E26" s="10">
        <v>90</v>
      </c>
      <c r="F26" s="10">
        <v>90</v>
      </c>
      <c r="G26" s="10">
        <v>100</v>
      </c>
      <c r="H26" s="15">
        <f>INDEX(E26:G26,MATCH(Dash_Case,$E$22:$G$22,0))</f>
        <v>90</v>
      </c>
      <c r="J26" s="2" t="s">
        <v>43</v>
      </c>
    </row>
    <row r="27" spans="2:10" x14ac:dyDescent="0.25">
      <c r="C27" s="6" t="s">
        <v>44</v>
      </c>
      <c r="D27" s="2" t="s">
        <v>45</v>
      </c>
      <c r="E27" s="7">
        <v>2500</v>
      </c>
      <c r="F27" s="7">
        <v>2460</v>
      </c>
      <c r="G27" s="7">
        <v>2600</v>
      </c>
      <c r="H27" s="14">
        <f>INDEX(E27:G27,MATCH(Dash_Case,$E$22:$G$22,0))</f>
        <v>2500</v>
      </c>
      <c r="J27" s="2" t="s">
        <v>46</v>
      </c>
    </row>
    <row r="28" spans="2:10" x14ac:dyDescent="0.25">
      <c r="C28" s="6" t="s">
        <v>47</v>
      </c>
      <c r="D28" s="2" t="s">
        <v>48</v>
      </c>
      <c r="E28" s="10">
        <v>12</v>
      </c>
      <c r="F28" s="10">
        <v>12</v>
      </c>
      <c r="G28" s="10">
        <v>10</v>
      </c>
      <c r="H28" s="15">
        <f>INDEX(E28:G28,MATCH(Dash_Case,$E$22:$G$22,0))</f>
        <v>12</v>
      </c>
      <c r="J28" s="2" t="s">
        <v>49</v>
      </c>
    </row>
    <row r="30" spans="2:10" x14ac:dyDescent="0.25">
      <c r="B30" s="4" t="s">
        <v>2</v>
      </c>
      <c r="C30" s="4" t="s">
        <v>50</v>
      </c>
      <c r="D30" s="4"/>
      <c r="E30" s="5" t="s">
        <v>4</v>
      </c>
      <c r="F30" s="5" t="s">
        <v>5</v>
      </c>
      <c r="G30" s="5" t="s">
        <v>6</v>
      </c>
      <c r="H30" s="5" t="s">
        <v>7</v>
      </c>
    </row>
    <row r="31" spans="2:10" x14ac:dyDescent="0.25">
      <c r="C31" s="6" t="s">
        <v>51</v>
      </c>
      <c r="D31" s="2" t="s">
        <v>52</v>
      </c>
      <c r="E31" s="16">
        <f>INDEX(Osz1_Pts,1+SUMPRODUCT((Osz1_LB&lt;E11)+(Osz1_LB=E11)*Osz1_Incl))*Osz1_W</f>
        <v>4</v>
      </c>
      <c r="F31" s="16">
        <f>INDEX(Osz1_Pts,1+SUMPRODUCT((Osz1_LB&lt;F11)+(Osz1_LB=F11)*Osz1_Incl))*Osz1_W</f>
        <v>20</v>
      </c>
      <c r="G31" s="16">
        <f>INDEX(Osz1_Pts,1+SUMPRODUCT((Osz1_LB&lt;G11)+(Osz1_LB=G11)*Osz1_Incl))*Osz1_W</f>
        <v>20</v>
      </c>
    </row>
    <row r="32" spans="2:10" x14ac:dyDescent="0.25">
      <c r="C32" s="6" t="s">
        <v>53</v>
      </c>
      <c r="D32" s="2" t="s">
        <v>52</v>
      </c>
      <c r="E32" s="16">
        <f>INDEX(Osz2_Pts,1+SUMPRODUCT((Osz2_LB&lt;E12)+(Osz2_LB=E12)*Osz2_Incl))*Osz2_W</f>
        <v>0</v>
      </c>
      <c r="F32" s="16">
        <f>INDEX(Osz2_Pts,1+SUMPRODUCT((Osz2_LB&lt;F12)+(Osz2_LB=F12)*Osz2_Incl))*Osz2_W</f>
        <v>15</v>
      </c>
      <c r="G32" s="16">
        <f>INDEX(Osz2_Pts,1+SUMPRODUCT((Osz2_LB&lt;G12)+(Osz2_LB=G12)*Osz2_Incl))*Osz2_W</f>
        <v>15</v>
      </c>
    </row>
    <row r="33" spans="2:13" x14ac:dyDescent="0.25">
      <c r="C33" s="6" t="s">
        <v>54</v>
      </c>
      <c r="D33" s="2" t="s">
        <v>52</v>
      </c>
      <c r="E33" s="16">
        <f>INDEX(Osz3_Pts,1+SUMPRODUCT((Osz3_LB&lt;E7)+(Osz3_LB=E7)*Osz3_Incl))*Osz3_W</f>
        <v>5</v>
      </c>
      <c r="F33" s="16">
        <f>INDEX(Osz3_Pts,1+SUMPRODUCT((Osz3_LB&lt;F7)+(Osz3_LB=F7)*Osz3_Incl))*Osz3_W</f>
        <v>9</v>
      </c>
      <c r="G33" s="16">
        <f>INDEX(Osz3_Pts,1+SUMPRODUCT((Osz3_LB&lt;G7)+(Osz3_LB=G7)*Osz3_Incl))*Osz3_W</f>
        <v>9</v>
      </c>
    </row>
    <row r="34" spans="2:13" x14ac:dyDescent="0.25">
      <c r="C34" s="6" t="s">
        <v>55</v>
      </c>
      <c r="D34" s="2" t="s">
        <v>52</v>
      </c>
      <c r="E34" s="16">
        <f>INDEX(Osz3_Pts,1+SUMPRODUCT((Osz3_LB&lt;E8)+(Osz3_LB=E8)*Osz3_Incl))*Osz4_W</f>
        <v>4.5</v>
      </c>
      <c r="F34" s="16">
        <f>INDEX(Osz3_Pts,1+SUMPRODUCT((Osz3_LB&lt;F8)+(Osz3_LB=F8)*Osz3_Incl))*Osz4_W</f>
        <v>7.5</v>
      </c>
      <c r="G34" s="16">
        <f>INDEX(Osz3_Pts,1+SUMPRODUCT((Osz3_LB&lt;G8)+(Osz3_LB=G8)*Osz3_Incl))*Osz4_W</f>
        <v>7.5</v>
      </c>
    </row>
    <row r="35" spans="2:13" x14ac:dyDescent="0.25">
      <c r="C35" s="6" t="s">
        <v>56</v>
      </c>
      <c r="D35" s="2" t="s">
        <v>52</v>
      </c>
      <c r="E35" s="16">
        <f>E13*Osz5_Pts*Osz5_W</f>
        <v>5</v>
      </c>
      <c r="F35" s="16">
        <f>F13*Osz5_Pts*Osz5_W</f>
        <v>0</v>
      </c>
      <c r="G35" s="16">
        <f>G13*Osz5_Pts*Osz5_W</f>
        <v>0</v>
      </c>
    </row>
    <row r="36" spans="2:13" x14ac:dyDescent="0.25">
      <c r="C36" s="6" t="s">
        <v>57</v>
      </c>
      <c r="D36" s="2" t="s">
        <v>52</v>
      </c>
      <c r="E36" s="16">
        <f>INDEX(Osz6_Pts,1+SUMPRODUCT((Osz6_LB&lt;E14)+(Osz6_LB=E14)*Osz6_Incl))*Osz6_W</f>
        <v>0</v>
      </c>
      <c r="F36" s="16">
        <f>INDEX(Osz6_Pts,1+SUMPRODUCT((Osz6_LB&lt;F14)+(Osz6_LB=F14)*Osz6_Incl))*Osz6_W</f>
        <v>0</v>
      </c>
      <c r="G36" s="16">
        <f>INDEX(Osz6_Pts,1+SUMPRODUCT((Osz6_LB&lt;G14)+(Osz6_LB=G14)*Osz6_Incl))*Osz6_W</f>
        <v>0</v>
      </c>
    </row>
    <row r="37" spans="2:13" x14ac:dyDescent="0.25">
      <c r="C37" s="6" t="s">
        <v>58</v>
      </c>
      <c r="D37" s="2" t="s">
        <v>52</v>
      </c>
      <c r="E37" s="16">
        <f>E15*Osz7_Pts*Osz7_W</f>
        <v>0</v>
      </c>
      <c r="F37" s="16">
        <f>F15*Osz7_Pts*Osz7_W</f>
        <v>0</v>
      </c>
      <c r="G37" s="16">
        <f>G15*Osz7_Pts*Osz7_W</f>
        <v>0</v>
      </c>
    </row>
    <row r="38" spans="2:13" x14ac:dyDescent="0.25">
      <c r="C38" s="6" t="s">
        <v>59</v>
      </c>
      <c r="D38" s="2" t="s">
        <v>52</v>
      </c>
      <c r="E38" s="16">
        <f>E16*Osz8_Pts*Osz8_W</f>
        <v>5</v>
      </c>
      <c r="F38" s="16">
        <f>F16*Osz8_Pts*Osz8_W</f>
        <v>0</v>
      </c>
      <c r="G38" s="16">
        <f>G16*Osz8_Pts*Osz8_W</f>
        <v>0</v>
      </c>
    </row>
    <row r="39" spans="2:13" x14ac:dyDescent="0.25">
      <c r="C39" s="6" t="s">
        <v>60</v>
      </c>
      <c r="D39" s="2" t="s">
        <v>52</v>
      </c>
      <c r="E39" s="16">
        <f>N(E17="EU")*Osz9a_Pts*Osz9_W</f>
        <v>0</v>
      </c>
      <c r="F39" s="16">
        <f>N(F17="EU")*Osz9a_Pts*Osz9_W</f>
        <v>0</v>
      </c>
      <c r="G39" s="16">
        <f>N(G17="EU")*Osz9a_Pts*Osz9_W</f>
        <v>0</v>
      </c>
    </row>
    <row r="40" spans="2:13" x14ac:dyDescent="0.25">
      <c r="C40" s="6" t="s">
        <v>61</v>
      </c>
      <c r="D40" s="2" t="s">
        <v>52</v>
      </c>
      <c r="E40" s="16">
        <f>Inputs!E$25*Osz9b_Pts*Osz9_W</f>
        <v>0</v>
      </c>
      <c r="F40" s="16">
        <f>Inputs!F$25*Osz9b_Pts*Osz9_W</f>
        <v>0</v>
      </c>
      <c r="G40" s="16">
        <f>Inputs!G$25*Osz9b_Pts*Osz9_W</f>
        <v>0</v>
      </c>
    </row>
    <row r="41" spans="2:13" x14ac:dyDescent="0.25">
      <c r="C41" s="1" t="s">
        <v>62</v>
      </c>
      <c r="D41" s="2" t="s">
        <v>52</v>
      </c>
      <c r="E41" s="17">
        <f>SUM(E31:E40)</f>
        <v>23.5</v>
      </c>
      <c r="F41" s="17">
        <f>SUM(F31:F40)</f>
        <v>51.5</v>
      </c>
      <c r="G41" s="17">
        <f>SUM(G31:G40)</f>
        <v>51.5</v>
      </c>
    </row>
    <row r="42" spans="2:13" x14ac:dyDescent="0.25">
      <c r="C42" s="6" t="s">
        <v>63</v>
      </c>
      <c r="D42" s="2" t="s">
        <v>64</v>
      </c>
      <c r="E42" s="16">
        <f>E6*(1+E7)</f>
        <v>60</v>
      </c>
      <c r="F42" s="16">
        <f>F6*(1+F7)</f>
        <v>70</v>
      </c>
      <c r="G42" s="16">
        <f>G6*(1+G7)</f>
        <v>70</v>
      </c>
      <c r="H42" s="16">
        <f>SUM(E42:G42)</f>
        <v>200</v>
      </c>
    </row>
    <row r="43" spans="2:13" x14ac:dyDescent="0.25">
      <c r="C43" s="6" t="s">
        <v>65</v>
      </c>
      <c r="D43" s="2" t="s">
        <v>66</v>
      </c>
      <c r="E43" s="16">
        <f>E6*E8*E9</f>
        <v>20</v>
      </c>
      <c r="F43" s="16">
        <f>F6*F8*F9</f>
        <v>40</v>
      </c>
      <c r="G43" s="16">
        <f>G6*G8*G9</f>
        <v>40</v>
      </c>
      <c r="H43" s="16">
        <f>SUM(E43:G43)</f>
        <v>100</v>
      </c>
    </row>
    <row r="44" spans="2:13" x14ac:dyDescent="0.25">
      <c r="C44" s="6" t="s">
        <v>67</v>
      </c>
      <c r="D44" s="2" t="s">
        <v>64</v>
      </c>
      <c r="E44" s="16">
        <f>E42*(1-E10)</f>
        <v>54</v>
      </c>
      <c r="F44" s="16">
        <f>F42*(1-F10)</f>
        <v>63</v>
      </c>
      <c r="G44" s="16">
        <f>G42*(1-G10)</f>
        <v>63</v>
      </c>
      <c r="H44" s="16">
        <f>SUM(E44:G44)</f>
        <v>180</v>
      </c>
    </row>
    <row r="45" spans="2:13" x14ac:dyDescent="0.25">
      <c r="K45" s="35"/>
      <c r="L45" s="35"/>
      <c r="M45" s="35"/>
    </row>
    <row r="46" spans="2:13" x14ac:dyDescent="0.25">
      <c r="B46" s="4" t="s">
        <v>2</v>
      </c>
      <c r="C46" s="4" t="s">
        <v>68</v>
      </c>
      <c r="D46" s="4"/>
      <c r="E46" s="5" t="s">
        <v>4</v>
      </c>
      <c r="F46" s="5" t="s">
        <v>5</v>
      </c>
      <c r="G46" s="5" t="s">
        <v>6</v>
      </c>
      <c r="H46" s="5" t="s">
        <v>7</v>
      </c>
      <c r="J46" s="5" t="s">
        <v>391</v>
      </c>
      <c r="K46" s="36"/>
      <c r="L46" s="36"/>
      <c r="M46" s="35"/>
    </row>
    <row r="47" spans="2:13" x14ac:dyDescent="0.25">
      <c r="C47" s="6" t="s">
        <v>70</v>
      </c>
      <c r="D47" s="2" t="s">
        <v>71</v>
      </c>
      <c r="E47" s="8">
        <f>Part_Fee</f>
        <v>3000000</v>
      </c>
      <c r="F47" s="8">
        <f>Part_Fee</f>
        <v>3000000</v>
      </c>
      <c r="G47" s="8">
        <f>Part_Fee</f>
        <v>3000000</v>
      </c>
      <c r="H47" s="8">
        <f t="shared" ref="H47:H53" si="0">SUM(E47:G47)</f>
        <v>9000000</v>
      </c>
      <c r="J47" s="18">
        <f>Inputs!E$27</f>
        <v>46325</v>
      </c>
      <c r="K47" s="37"/>
      <c r="L47" s="37"/>
      <c r="M47" s="35"/>
    </row>
    <row r="48" spans="2:13" x14ac:dyDescent="0.25">
      <c r="C48" s="6" t="s">
        <v>72</v>
      </c>
      <c r="D48" s="2" t="s">
        <v>71</v>
      </c>
      <c r="E48" s="8">
        <f>Bid_Sec_Rate*(E42*Bench_Wind+E43*Bench_BESS)</f>
        <v>141800000</v>
      </c>
      <c r="F48" s="8">
        <f>Bid_Sec_Rate*(F42*Bench_Wind+F43*Bench_BESS)</f>
        <v>182100000</v>
      </c>
      <c r="G48" s="8">
        <f>Bid_Sec_Rate*(G42*Bench_Wind+G43*Bench_BESS)</f>
        <v>182100000</v>
      </c>
      <c r="H48" s="8">
        <f t="shared" si="0"/>
        <v>506000000</v>
      </c>
      <c r="J48" s="18">
        <f>Inputs!E$27</f>
        <v>46325</v>
      </c>
      <c r="K48" s="37"/>
      <c r="L48" s="37"/>
      <c r="M48" s="35"/>
    </row>
    <row r="49" spans="2:13" x14ac:dyDescent="0.25">
      <c r="C49" s="6" t="s">
        <v>73</v>
      </c>
      <c r="D49" s="2" t="s">
        <v>71</v>
      </c>
      <c r="E49" s="8">
        <f>PB_Rate*E14*(E42*Bench_Wind+E43*Bench_BESS)-E48</f>
        <v>567200000</v>
      </c>
      <c r="F49" s="8">
        <f>PB_Rate*F14*(F42*Bench_Wind+F43*Bench_BESS)-F48</f>
        <v>728400000</v>
      </c>
      <c r="G49" s="8">
        <f>PB_Rate*G14*(G42*Bench_Wind+G43*Bench_BESS)-G48</f>
        <v>728400000</v>
      </c>
      <c r="H49" s="8">
        <f t="shared" si="0"/>
        <v>2024000000</v>
      </c>
      <c r="J49" s="18">
        <f>Inputs!E$28</f>
        <v>46402</v>
      </c>
      <c r="K49" s="37"/>
      <c r="L49" s="37"/>
      <c r="M49" s="35"/>
    </row>
    <row r="50" spans="2:13" x14ac:dyDescent="0.25">
      <c r="C50" s="41" t="s">
        <v>74</v>
      </c>
      <c r="D50" s="42" t="s">
        <v>71</v>
      </c>
      <c r="E50" s="43">
        <f>TSO_Rate*E6</f>
        <v>225000000</v>
      </c>
      <c r="F50" s="43">
        <f>TSO_Rate*F6</f>
        <v>225000000</v>
      </c>
      <c r="G50" s="43">
        <f>TSO_Rate*G6</f>
        <v>225000000</v>
      </c>
      <c r="H50" s="43">
        <f t="shared" si="0"/>
        <v>675000000</v>
      </c>
      <c r="J50" s="18">
        <f>Inputs!E$29</f>
        <v>46402</v>
      </c>
      <c r="K50" s="37"/>
      <c r="L50" s="37"/>
      <c r="M50" s="35"/>
    </row>
    <row r="51" spans="2:13" x14ac:dyDescent="0.25">
      <c r="C51" s="38" t="s">
        <v>75</v>
      </c>
      <c r="D51" s="39" t="s">
        <v>71</v>
      </c>
      <c r="E51" s="40">
        <f>Inputs!E$15/Inputs!E$16</f>
        <v>254172902</v>
      </c>
      <c r="F51" s="40">
        <f>Inputs!F$15/Inputs!F$16</f>
        <v>460000000</v>
      </c>
      <c r="G51" s="40">
        <f>Inputs!G$15/Inputs!G$16</f>
        <v>460000000</v>
      </c>
      <c r="H51" s="40">
        <f t="shared" si="0"/>
        <v>1174172902</v>
      </c>
      <c r="J51" s="18">
        <f>Inputs!E$30</f>
        <v>47027</v>
      </c>
      <c r="K51" s="37"/>
      <c r="L51" s="37"/>
      <c r="M51" s="35"/>
    </row>
    <row r="52" spans="2:13" x14ac:dyDescent="0.25">
      <c r="C52" s="38" t="s">
        <v>76</v>
      </c>
      <c r="D52" s="39" t="s">
        <v>71</v>
      </c>
      <c r="E52" s="40">
        <f>Inputs!E$14*E6-E50</f>
        <v>3428565300</v>
      </c>
      <c r="F52" s="40">
        <f>Inputs!F$14*F6-F50</f>
        <v>766334000</v>
      </c>
      <c r="G52" s="40">
        <f>Inputs!G$14*G6-G50</f>
        <v>766334000</v>
      </c>
      <c r="H52" s="40">
        <f t="shared" si="0"/>
        <v>4961233300</v>
      </c>
      <c r="J52" s="18">
        <f>Inputs!E$30</f>
        <v>47027</v>
      </c>
      <c r="K52" s="37"/>
      <c r="L52" s="37"/>
      <c r="M52" s="35"/>
    </row>
    <row r="53" spans="2:13" x14ac:dyDescent="0.25">
      <c r="C53" s="6" t="s">
        <v>77</v>
      </c>
      <c r="D53" s="2" t="s">
        <v>71</v>
      </c>
      <c r="E53" s="8">
        <f>SUM(Inputs!E$18:E$23)*FX*Thousand</f>
        <v>286331550</v>
      </c>
      <c r="F53" s="8">
        <f>SUM(Inputs!F$18:F$23)*FX*Thousand</f>
        <v>365000000.00000006</v>
      </c>
      <c r="G53" s="8">
        <f>SUM(Inputs!G$18:G$23)*FX*Thousand</f>
        <v>365000000.00000006</v>
      </c>
      <c r="H53" s="8">
        <f t="shared" si="0"/>
        <v>1016331550</v>
      </c>
      <c r="J53" s="18">
        <f>Inputs!E$31</f>
        <v>46752</v>
      </c>
      <c r="K53" s="37"/>
      <c r="L53" s="37"/>
      <c r="M53" s="35"/>
    </row>
    <row r="54" spans="2:13" x14ac:dyDescent="0.25">
      <c r="C54" s="6" t="s">
        <v>81</v>
      </c>
      <c r="D54" s="2" t="s">
        <v>71</v>
      </c>
      <c r="E54" s="8">
        <f>Inputs!E$17*FX*Thousand</f>
        <v>36500000</v>
      </c>
      <c r="F54" s="8">
        <f>Inputs!F$17*FX*Thousand</f>
        <v>54750000</v>
      </c>
      <c r="G54" s="8">
        <f>Inputs!G$17*FX*Thousand</f>
        <v>54750000</v>
      </c>
      <c r="H54" s="8">
        <f>SUM(E54:G54)</f>
        <v>146000000</v>
      </c>
      <c r="J54" s="18">
        <f>Inputs!E$26</f>
        <v>46234</v>
      </c>
      <c r="K54" s="37"/>
      <c r="L54" s="37"/>
      <c r="M54" s="35"/>
    </row>
    <row r="55" spans="2:13" x14ac:dyDescent="0.25">
      <c r="C55" s="1" t="s">
        <v>82</v>
      </c>
      <c r="D55" s="2" t="s">
        <v>71</v>
      </c>
      <c r="E55" s="19">
        <f>SUM(E47:E54)</f>
        <v>4942569752</v>
      </c>
      <c r="F55" s="19">
        <f>SUM(F47:F54)</f>
        <v>2784584000</v>
      </c>
      <c r="G55" s="19">
        <f>SUM(G47:G54)</f>
        <v>2784584000</v>
      </c>
      <c r="H55" s="19">
        <f>SUM(E55:G55)</f>
        <v>10511737752</v>
      </c>
      <c r="K55" s="35"/>
      <c r="L55" s="35"/>
      <c r="M55" s="35"/>
    </row>
    <row r="56" spans="2:13" x14ac:dyDescent="0.25">
      <c r="K56" s="35"/>
      <c r="L56" s="35"/>
      <c r="M56" s="35"/>
    </row>
    <row r="57" spans="2:13" x14ac:dyDescent="0.25">
      <c r="B57" s="4" t="s">
        <v>2</v>
      </c>
      <c r="C57" s="4" t="s">
        <v>78</v>
      </c>
      <c r="D57" s="4"/>
      <c r="E57" s="5" t="s">
        <v>4</v>
      </c>
      <c r="F57" s="5" t="s">
        <v>5</v>
      </c>
      <c r="G57" s="5" t="s">
        <v>6</v>
      </c>
      <c r="H57" s="5" t="s">
        <v>7</v>
      </c>
      <c r="J57" s="5" t="s">
        <v>391</v>
      </c>
      <c r="K57" s="36"/>
      <c r="L57" s="36"/>
      <c r="M57" s="35"/>
    </row>
    <row r="58" spans="2:13" x14ac:dyDescent="0.25">
      <c r="C58" s="6" t="s">
        <v>70</v>
      </c>
      <c r="D58" s="2" t="s">
        <v>79</v>
      </c>
      <c r="E58" s="16">
        <f t="shared" ref="E58:G64" si="1">E47/FX/Thousand</f>
        <v>8.2191780821917799</v>
      </c>
      <c r="F58" s="16">
        <f t="shared" si="1"/>
        <v>8.2191780821917799</v>
      </c>
      <c r="G58" s="16">
        <f t="shared" si="1"/>
        <v>8.2191780821917799</v>
      </c>
      <c r="H58" s="16">
        <f t="shared" ref="H58:H66" si="2">SUM(E58:G58)</f>
        <v>24.657534246575338</v>
      </c>
      <c r="J58" s="18">
        <f>Inputs!E$27</f>
        <v>46325</v>
      </c>
      <c r="K58" s="37"/>
      <c r="L58" s="37"/>
      <c r="M58" s="35"/>
    </row>
    <row r="59" spans="2:13" x14ac:dyDescent="0.25">
      <c r="C59" s="6" t="s">
        <v>72</v>
      </c>
      <c r="D59" s="2" t="s">
        <v>79</v>
      </c>
      <c r="E59" s="8">
        <f t="shared" si="1"/>
        <v>388.49315068493149</v>
      </c>
      <c r="F59" s="8">
        <f t="shared" si="1"/>
        <v>498.90410958904107</v>
      </c>
      <c r="G59" s="8">
        <f t="shared" si="1"/>
        <v>498.90410958904107</v>
      </c>
      <c r="H59" s="8">
        <f t="shared" si="2"/>
        <v>1386.3013698630136</v>
      </c>
      <c r="J59" s="18">
        <f>Inputs!E$27</f>
        <v>46325</v>
      </c>
      <c r="K59" s="37"/>
      <c r="L59" s="37"/>
      <c r="M59" s="35"/>
    </row>
    <row r="60" spans="2:13" x14ac:dyDescent="0.25">
      <c r="C60" s="6" t="s">
        <v>73</v>
      </c>
      <c r="D60" s="2" t="s">
        <v>79</v>
      </c>
      <c r="E60" s="8">
        <f t="shared" si="1"/>
        <v>1553.972602739726</v>
      </c>
      <c r="F60" s="8">
        <f t="shared" si="1"/>
        <v>1995.6164383561643</v>
      </c>
      <c r="G60" s="8">
        <f t="shared" si="1"/>
        <v>1995.6164383561643</v>
      </c>
      <c r="H60" s="8">
        <f t="shared" si="2"/>
        <v>5545.2054794520545</v>
      </c>
      <c r="J60" s="18">
        <f>Inputs!E$28</f>
        <v>46402</v>
      </c>
      <c r="K60" s="37"/>
      <c r="L60" s="37"/>
      <c r="M60" s="35"/>
    </row>
    <row r="61" spans="2:13" x14ac:dyDescent="0.25">
      <c r="C61" s="41" t="s">
        <v>74</v>
      </c>
      <c r="D61" s="42" t="s">
        <v>79</v>
      </c>
      <c r="E61" s="43">
        <f t="shared" si="1"/>
        <v>616.43835616438355</v>
      </c>
      <c r="F61" s="43">
        <f t="shared" si="1"/>
        <v>616.43835616438355</v>
      </c>
      <c r="G61" s="43">
        <f t="shared" si="1"/>
        <v>616.43835616438355</v>
      </c>
      <c r="H61" s="43">
        <f t="shared" si="2"/>
        <v>1849.3150684931506</v>
      </c>
      <c r="J61" s="18">
        <f>Inputs!E$29</f>
        <v>46402</v>
      </c>
      <c r="K61" s="18"/>
      <c r="L61" s="18"/>
    </row>
    <row r="62" spans="2:13" x14ac:dyDescent="0.25">
      <c r="C62" s="38" t="s">
        <v>75</v>
      </c>
      <c r="D62" s="39" t="s">
        <v>79</v>
      </c>
      <c r="E62" s="40">
        <f t="shared" si="1"/>
        <v>696.36411506849322</v>
      </c>
      <c r="F62" s="40">
        <f t="shared" si="1"/>
        <v>1260.2739726027396</v>
      </c>
      <c r="G62" s="40">
        <f t="shared" si="1"/>
        <v>1260.2739726027396</v>
      </c>
      <c r="H62" s="40">
        <f t="shared" si="2"/>
        <v>3216.9120602739722</v>
      </c>
      <c r="J62" s="18">
        <f>Inputs!E$30</f>
        <v>47027</v>
      </c>
      <c r="K62" s="18"/>
      <c r="L62" s="18"/>
    </row>
    <row r="63" spans="2:13" x14ac:dyDescent="0.25">
      <c r="C63" s="38" t="s">
        <v>76</v>
      </c>
      <c r="D63" s="39" t="s">
        <v>79</v>
      </c>
      <c r="E63" s="40">
        <f t="shared" si="1"/>
        <v>9393.3295890410955</v>
      </c>
      <c r="F63" s="40">
        <f t="shared" si="1"/>
        <v>2099.5452054794519</v>
      </c>
      <c r="G63" s="40">
        <f t="shared" si="1"/>
        <v>2099.5452054794519</v>
      </c>
      <c r="H63" s="40">
        <f t="shared" si="2"/>
        <v>13592.419999999998</v>
      </c>
      <c r="J63" s="18">
        <f>Inputs!E$30</f>
        <v>47027</v>
      </c>
      <c r="K63" s="18"/>
      <c r="L63" s="18"/>
    </row>
    <row r="64" spans="2:13" x14ac:dyDescent="0.25">
      <c r="C64" s="6" t="s">
        <v>77</v>
      </c>
      <c r="D64" s="2" t="s">
        <v>79</v>
      </c>
      <c r="E64" s="8">
        <f t="shared" si="1"/>
        <v>784.47</v>
      </c>
      <c r="F64" s="8">
        <f t="shared" si="1"/>
        <v>1000.0000000000001</v>
      </c>
      <c r="G64" s="8">
        <f t="shared" si="1"/>
        <v>1000.0000000000001</v>
      </c>
      <c r="H64" s="8">
        <f t="shared" si="2"/>
        <v>2784.4700000000003</v>
      </c>
      <c r="J64" s="18">
        <f>Inputs!E$31</f>
        <v>46752</v>
      </c>
      <c r="K64" s="18"/>
      <c r="L64" s="18"/>
    </row>
    <row r="65" spans="2:12" x14ac:dyDescent="0.25">
      <c r="C65" s="6" t="s">
        <v>81</v>
      </c>
      <c r="D65" s="2" t="s">
        <v>79</v>
      </c>
      <c r="E65" s="8">
        <f>Inputs!E$17</f>
        <v>100</v>
      </c>
      <c r="F65" s="8">
        <f>Inputs!F$17</f>
        <v>150</v>
      </c>
      <c r="G65" s="8">
        <f>Inputs!G$17</f>
        <v>150</v>
      </c>
      <c r="H65" s="8">
        <f t="shared" si="2"/>
        <v>400</v>
      </c>
      <c r="J65" s="18">
        <f>Inputs!E$26</f>
        <v>46234</v>
      </c>
      <c r="K65" s="18"/>
      <c r="L65" s="18"/>
    </row>
    <row r="66" spans="2:12" x14ac:dyDescent="0.25">
      <c r="C66" s="1" t="s">
        <v>82</v>
      </c>
      <c r="D66" s="2" t="s">
        <v>79</v>
      </c>
      <c r="E66" s="19">
        <f>SUM(E58:E65)</f>
        <v>13541.286991780822</v>
      </c>
      <c r="F66" s="19">
        <f>SUM(F58:F65)</f>
        <v>7628.9972602739726</v>
      </c>
      <c r="G66" s="19">
        <f>SUM(G58:G65)</f>
        <v>7628.9972602739726</v>
      </c>
      <c r="H66" s="19">
        <f t="shared" si="2"/>
        <v>28799.281512328766</v>
      </c>
    </row>
    <row r="68" spans="2:12" x14ac:dyDescent="0.25">
      <c r="B68" s="4" t="s">
        <v>2</v>
      </c>
      <c r="C68" s="4" t="s">
        <v>406</v>
      </c>
      <c r="D68" s="4"/>
      <c r="E68" s="5" t="s">
        <v>4</v>
      </c>
      <c r="F68" s="5" t="s">
        <v>5</v>
      </c>
      <c r="G68" s="5" t="s">
        <v>6</v>
      </c>
      <c r="H68" s="5" t="s">
        <v>7</v>
      </c>
      <c r="J68" s="5" t="s">
        <v>407</v>
      </c>
    </row>
    <row r="69" spans="2:12" x14ac:dyDescent="0.25">
      <c r="C69" s="6" t="s">
        <v>408</v>
      </c>
      <c r="D69" s="2" t="s">
        <v>79</v>
      </c>
      <c r="E69" s="8">
        <f>E58+E64+E65</f>
        <v>892.6891780821918</v>
      </c>
      <c r="F69" s="8">
        <f>F58+F64+F65</f>
        <v>1158.2191780821918</v>
      </c>
      <c r="G69" s="8">
        <f>G58+G64+G65</f>
        <v>1158.2191780821918</v>
      </c>
      <c r="H69" s="8">
        <f>SUM(E69:G69)</f>
        <v>3209.1275342465756</v>
      </c>
      <c r="J69" s="54" t="s">
        <v>409</v>
      </c>
    </row>
    <row r="70" spans="2:12" x14ac:dyDescent="0.25">
      <c r="C70" s="6" t="s">
        <v>410</v>
      </c>
      <c r="D70" s="2" t="s">
        <v>79</v>
      </c>
      <c r="E70" s="8">
        <f>SUM(E59:E61)</f>
        <v>2558.9041095890411</v>
      </c>
      <c r="F70" s="8">
        <f>SUM(F59:F61)</f>
        <v>3110.9589041095887</v>
      </c>
      <c r="G70" s="8">
        <f>SUM(G59:G61)</f>
        <v>3110.9589041095887</v>
      </c>
      <c r="H70" s="8">
        <f>SUM(E70:G70)</f>
        <v>8780.8219178082181</v>
      </c>
      <c r="J70" s="54" t="s">
        <v>411</v>
      </c>
    </row>
    <row r="71" spans="2:12" x14ac:dyDescent="0.25">
      <c r="C71" s="6" t="s">
        <v>412</v>
      </c>
      <c r="D71" s="2" t="s">
        <v>79</v>
      </c>
      <c r="E71" s="57">
        <f>E62+E63</f>
        <v>10089.693704109588</v>
      </c>
      <c r="F71" s="57">
        <f>F62+F63</f>
        <v>3359.8191780821917</v>
      </c>
      <c r="G71" s="57">
        <f>G62+G63</f>
        <v>3359.8191780821917</v>
      </c>
      <c r="H71" s="57">
        <f>SUM(E71:G71)</f>
        <v>16809.33206027397</v>
      </c>
      <c r="J71" s="54" t="s">
        <v>413</v>
      </c>
    </row>
    <row r="72" spans="2:12" x14ac:dyDescent="0.25">
      <c r="C72" s="1" t="s">
        <v>414</v>
      </c>
      <c r="D72" s="2" t="s">
        <v>79</v>
      </c>
      <c r="E72" s="56">
        <f>SUM(E69:E71)</f>
        <v>13541.28699178082</v>
      </c>
      <c r="F72" s="56">
        <f>SUM(F69:F71)</f>
        <v>7628.9972602739717</v>
      </c>
      <c r="G72" s="56">
        <f>SUM(G69:G71)</f>
        <v>7628.9972602739717</v>
      </c>
      <c r="H72" s="56">
        <f>SUM(E72:G72)</f>
        <v>28799.281512328766</v>
      </c>
      <c r="J72" s="54" t="s">
        <v>415</v>
      </c>
    </row>
    <row r="73" spans="2:12" x14ac:dyDescent="0.25">
      <c r="C73" t="s">
        <v>416</v>
      </c>
      <c r="D73" t="s">
        <v>11</v>
      </c>
      <c r="E73" s="55">
        <f>E71/E72</f>
        <v>0.74510596446510202</v>
      </c>
      <c r="F73" s="55">
        <f>F71/F72</f>
        <v>0.44040115148259135</v>
      </c>
      <c r="G73" s="55">
        <f>G71/G72</f>
        <v>0.44040115148259135</v>
      </c>
      <c r="H73" s="55">
        <f>H71/H72</f>
        <v>0.58367192435262716</v>
      </c>
      <c r="J73" s="54"/>
    </row>
    <row r="74" spans="2:12" x14ac:dyDescent="0.25">
      <c r="C74" s="1" t="s">
        <v>417</v>
      </c>
      <c r="D74" s="2" t="s">
        <v>79</v>
      </c>
      <c r="E74" s="19">
        <f>E72-E71</f>
        <v>3451.5932876712322</v>
      </c>
      <c r="F74" s="19">
        <f>F72-F71</f>
        <v>4269.17808219178</v>
      </c>
      <c r="G74" s="19">
        <f>G72-G71</f>
        <v>4269.17808219178</v>
      </c>
      <c r="H74" s="19">
        <f>SUM(E74:G74)</f>
        <v>11989.949452054792</v>
      </c>
      <c r="J74" s="54" t="s">
        <v>418</v>
      </c>
    </row>
    <row r="76" spans="2:12" x14ac:dyDescent="0.25">
      <c r="B76" s="4" t="s">
        <v>2</v>
      </c>
      <c r="C76" s="4" t="s">
        <v>83</v>
      </c>
      <c r="D76" s="4"/>
      <c r="E76" s="5" t="s">
        <v>4</v>
      </c>
      <c r="F76" s="5" t="s">
        <v>5</v>
      </c>
      <c r="G76" s="5" t="s">
        <v>6</v>
      </c>
      <c r="H76" s="5" t="s">
        <v>7</v>
      </c>
    </row>
    <row r="77" spans="2:12" x14ac:dyDescent="0.25">
      <c r="C77" s="6" t="s">
        <v>84</v>
      </c>
      <c r="D77" s="2" t="s">
        <v>79</v>
      </c>
      <c r="E77" s="8">
        <f>IF(E17="EU",Case_EU,Case_CN)*E44</f>
        <v>27000</v>
      </c>
      <c r="F77" s="8">
        <f>IF(F17="EU",Case_EU,Case_CN)*F44</f>
        <v>31500</v>
      </c>
      <c r="G77" s="8">
        <f>IF(G17="EU",Case_EU,Case_CN)*G44</f>
        <v>31500</v>
      </c>
      <c r="H77" s="8">
        <f t="shared" ref="H77:H91" si="3">SUM(E77:G77)</f>
        <v>90000</v>
      </c>
    </row>
    <row r="78" spans="2:12" x14ac:dyDescent="0.25">
      <c r="C78" s="6" t="s">
        <v>85</v>
      </c>
      <c r="D78" s="2" t="s">
        <v>79</v>
      </c>
      <c r="E78" s="8">
        <f>Capex_Install*E44</f>
        <v>4320</v>
      </c>
      <c r="F78" s="8">
        <f>Capex_Install*F44</f>
        <v>5040</v>
      </c>
      <c r="G78" s="8">
        <f>Capex_Install*G44</f>
        <v>5040</v>
      </c>
      <c r="H78" s="8">
        <f t="shared" si="3"/>
        <v>14400</v>
      </c>
    </row>
    <row r="79" spans="2:12" x14ac:dyDescent="0.25">
      <c r="C79" s="6" t="s">
        <v>86</v>
      </c>
      <c r="D79" s="2" t="s">
        <v>79</v>
      </c>
      <c r="E79" s="8">
        <f>Capex_Fdn*E44</f>
        <v>4860</v>
      </c>
      <c r="F79" s="8">
        <f>Capex_Fdn*F44</f>
        <v>5670</v>
      </c>
      <c r="G79" s="8">
        <f>Capex_Fdn*G44</f>
        <v>5670</v>
      </c>
      <c r="H79" s="8">
        <f t="shared" si="3"/>
        <v>16200</v>
      </c>
    </row>
    <row r="80" spans="2:12" x14ac:dyDescent="0.25">
      <c r="C80" s="6" t="s">
        <v>87</v>
      </c>
      <c r="D80" s="2" t="s">
        <v>79</v>
      </c>
      <c r="E80" s="8">
        <f>Capex_Civil*E44</f>
        <v>3780</v>
      </c>
      <c r="F80" s="8">
        <f>Capex_Civil*F44</f>
        <v>4410</v>
      </c>
      <c r="G80" s="8">
        <f>Capex_Civil*G44</f>
        <v>4410</v>
      </c>
      <c r="H80" s="8">
        <f t="shared" si="3"/>
        <v>12600</v>
      </c>
    </row>
    <row r="81" spans="2:8" x14ac:dyDescent="0.25">
      <c r="C81" s="6" t="s">
        <v>88</v>
      </c>
      <c r="D81" s="2" t="s">
        <v>79</v>
      </c>
      <c r="E81" s="8">
        <f>Capex_Elec*E44</f>
        <v>3240</v>
      </c>
      <c r="F81" s="8">
        <f>Capex_Elec*F44</f>
        <v>3780</v>
      </c>
      <c r="G81" s="8">
        <f>Capex_Elec*G44</f>
        <v>3780</v>
      </c>
      <c r="H81" s="8">
        <f t="shared" si="3"/>
        <v>10800</v>
      </c>
    </row>
    <row r="82" spans="2:8" x14ac:dyDescent="0.25">
      <c r="C82" s="6" t="s">
        <v>89</v>
      </c>
      <c r="D82" s="2" t="s">
        <v>79</v>
      </c>
      <c r="E82" s="8">
        <f>Capex_Owner*E44</f>
        <v>2160</v>
      </c>
      <c r="F82" s="8">
        <f>Capex_Owner*F44</f>
        <v>2520</v>
      </c>
      <c r="G82" s="8">
        <f>Capex_Owner*G44</f>
        <v>2520</v>
      </c>
      <c r="H82" s="8">
        <f t="shared" si="3"/>
        <v>7200</v>
      </c>
    </row>
    <row r="83" spans="2:8" x14ac:dyDescent="0.25">
      <c r="C83" s="6" t="s">
        <v>90</v>
      </c>
      <c r="D83" s="2" t="s">
        <v>79</v>
      </c>
      <c r="E83" s="8">
        <f>Capex_Land*E44</f>
        <v>810</v>
      </c>
      <c r="F83" s="8">
        <f>Capex_Land*F44</f>
        <v>945</v>
      </c>
      <c r="G83" s="8">
        <f>Capex_Land*G44</f>
        <v>945</v>
      </c>
      <c r="H83" s="8">
        <f t="shared" si="3"/>
        <v>2700</v>
      </c>
    </row>
    <row r="84" spans="2:8" x14ac:dyDescent="0.25">
      <c r="C84" s="6" t="s">
        <v>91</v>
      </c>
      <c r="D84" s="2" t="s">
        <v>79</v>
      </c>
      <c r="E84" s="8">
        <f>Subs_Lump*E6/Lump_Basis</f>
        <v>3000</v>
      </c>
      <c r="F84" s="8">
        <f>Subs_Lump*F6/Lump_Basis</f>
        <v>3000</v>
      </c>
      <c r="G84" s="8">
        <f>Subs_Lump*G6/Lump_Basis</f>
        <v>3000</v>
      </c>
      <c r="H84" s="8">
        <f t="shared" si="3"/>
        <v>9000</v>
      </c>
    </row>
    <row r="85" spans="2:8" x14ac:dyDescent="0.25">
      <c r="C85" s="6" t="s">
        <v>92</v>
      </c>
      <c r="D85" s="2" t="s">
        <v>79</v>
      </c>
      <c r="E85" s="8">
        <f>SUM(E77:E84)*Capex_Cont</f>
        <v>2458.5</v>
      </c>
      <c r="F85" s="8">
        <f>SUM(F77:F84)*Capex_Cont</f>
        <v>2843.25</v>
      </c>
      <c r="G85" s="8">
        <f>SUM(G77:G84)*Capex_Cont</f>
        <v>2843.25</v>
      </c>
      <c r="H85" s="8">
        <f t="shared" si="3"/>
        <v>8145</v>
      </c>
    </row>
    <row r="86" spans="2:8" x14ac:dyDescent="0.25">
      <c r="C86" s="6" t="s">
        <v>93</v>
      </c>
      <c r="D86" s="2" t="s">
        <v>79</v>
      </c>
      <c r="E86" s="8">
        <f>BESS_Capex*E43</f>
        <v>2000</v>
      </c>
      <c r="F86" s="8">
        <f>BESS_Capex*F43</f>
        <v>4000</v>
      </c>
      <c r="G86" s="8">
        <f>BESS_Capex*G43</f>
        <v>4000</v>
      </c>
      <c r="H86" s="8">
        <f t="shared" si="3"/>
        <v>10000</v>
      </c>
    </row>
    <row r="87" spans="2:8" x14ac:dyDescent="0.25">
      <c r="C87" s="1" t="s">
        <v>94</v>
      </c>
      <c r="D87" s="2" t="s">
        <v>79</v>
      </c>
      <c r="E87" s="19">
        <f>SUM(E77:E86)</f>
        <v>53628.5</v>
      </c>
      <c r="F87" s="19">
        <f>SUM(F77:F86)</f>
        <v>63708.25</v>
      </c>
      <c r="G87" s="19">
        <f>SUM(G77:G86)</f>
        <v>63708.25</v>
      </c>
      <c r="H87" s="19">
        <f t="shared" si="3"/>
        <v>181045</v>
      </c>
    </row>
    <row r="88" spans="2:8" x14ac:dyDescent="0.25">
      <c r="C88" s="38" t="s">
        <v>95</v>
      </c>
      <c r="D88" s="39" t="s">
        <v>79</v>
      </c>
      <c r="E88" s="40">
        <f>E61+E62+E63</f>
        <v>10706.132060273972</v>
      </c>
      <c r="F88" s="40">
        <f>F61+F62+F63</f>
        <v>3976.2575342465752</v>
      </c>
      <c r="G88" s="40">
        <f>G61+G62+G63</f>
        <v>3976.2575342465752</v>
      </c>
      <c r="H88" s="40">
        <f t="shared" si="3"/>
        <v>18658.647128767123</v>
      </c>
    </row>
    <row r="89" spans="2:8" x14ac:dyDescent="0.25">
      <c r="C89" s="6" t="s">
        <v>96</v>
      </c>
      <c r="D89" s="2" t="s">
        <v>79</v>
      </c>
      <c r="E89" s="8">
        <f>E11*E6</f>
        <v>1000</v>
      </c>
      <c r="F89" s="8">
        <f>F11*F6</f>
        <v>2500</v>
      </c>
      <c r="G89" s="8">
        <f>G11*G6</f>
        <v>2500</v>
      </c>
      <c r="H89" s="8">
        <f t="shared" si="3"/>
        <v>6000</v>
      </c>
    </row>
    <row r="90" spans="2:8" x14ac:dyDescent="0.25">
      <c r="C90" s="6" t="s">
        <v>97</v>
      </c>
      <c r="D90" s="2" t="s">
        <v>79</v>
      </c>
      <c r="E90" s="8">
        <f>E58+E64+E65</f>
        <v>892.6891780821918</v>
      </c>
      <c r="F90" s="8">
        <f>F58+F64+F65</f>
        <v>1158.2191780821918</v>
      </c>
      <c r="G90" s="8">
        <f>G58+G64+G65</f>
        <v>1158.2191780821918</v>
      </c>
      <c r="H90" s="8">
        <f t="shared" si="3"/>
        <v>3209.1275342465756</v>
      </c>
    </row>
    <row r="91" spans="2:8" x14ac:dyDescent="0.25">
      <c r="C91" s="1" t="s">
        <v>98</v>
      </c>
      <c r="D91" s="2" t="s">
        <v>79</v>
      </c>
      <c r="E91" s="19">
        <f>E87+SUM(E88:E90)</f>
        <v>66227.321238356162</v>
      </c>
      <c r="F91" s="19">
        <f>F87+SUM(F88:F90)</f>
        <v>71342.72671232876</v>
      </c>
      <c r="G91" s="19">
        <f>G87+SUM(G88:G90)</f>
        <v>71342.72671232876</v>
      </c>
      <c r="H91" s="19">
        <f t="shared" si="3"/>
        <v>208912.77466301367</v>
      </c>
    </row>
    <row r="92" spans="2:8" x14ac:dyDescent="0.25">
      <c r="C92" s="6" t="s">
        <v>99</v>
      </c>
      <c r="D92" s="2" t="s">
        <v>38</v>
      </c>
      <c r="E92" s="16">
        <f>E91/E44</f>
        <v>1226.4318747843733</v>
      </c>
      <c r="F92" s="16">
        <f>F91/F44</f>
        <v>1132.424233529028</v>
      </c>
      <c r="G92" s="16">
        <f>G91/G44</f>
        <v>1132.424233529028</v>
      </c>
      <c r="H92" s="16">
        <f>H91/H44</f>
        <v>1160.6265259056315</v>
      </c>
    </row>
    <row r="93" spans="2:8" x14ac:dyDescent="0.25">
      <c r="C93" s="6" t="s">
        <v>100</v>
      </c>
      <c r="D93" s="2" t="s">
        <v>17</v>
      </c>
      <c r="E93" s="16">
        <f>E91/E6</f>
        <v>1324.5464247671232</v>
      </c>
      <c r="F93" s="16">
        <f>F91/F6</f>
        <v>1426.8545342465752</v>
      </c>
      <c r="G93" s="16">
        <f>G91/G6</f>
        <v>1426.8545342465752</v>
      </c>
      <c r="H93" s="16">
        <f>H91/H6</f>
        <v>1392.7518310867579</v>
      </c>
    </row>
    <row r="95" spans="2:8" x14ac:dyDescent="0.25">
      <c r="B95" s="4" t="s">
        <v>2</v>
      </c>
      <c r="C95" s="4" t="s">
        <v>101</v>
      </c>
      <c r="D95" s="4"/>
      <c r="E95" s="5" t="s">
        <v>4</v>
      </c>
      <c r="F95" s="5" t="s">
        <v>5</v>
      </c>
      <c r="G95" s="5" t="s">
        <v>6</v>
      </c>
      <c r="H95" s="5" t="s">
        <v>7</v>
      </c>
    </row>
    <row r="96" spans="2:8" x14ac:dyDescent="0.25">
      <c r="C96" s="6" t="s">
        <v>102</v>
      </c>
      <c r="D96" s="2" t="s">
        <v>79</v>
      </c>
      <c r="E96" s="16">
        <f>Inputs!E$18</f>
        <v>40.47</v>
      </c>
      <c r="F96" s="16">
        <f>Inputs!F$18</f>
        <v>51.588970897548663</v>
      </c>
      <c r="G96" s="16">
        <f>Inputs!G$18</f>
        <v>51.588970897548663</v>
      </c>
      <c r="H96" s="16">
        <f t="shared" ref="H96:H102" si="4">SUM(E96:G96)</f>
        <v>143.64794179509732</v>
      </c>
    </row>
    <row r="97" spans="2:8" x14ac:dyDescent="0.25">
      <c r="C97" s="6" t="s">
        <v>103</v>
      </c>
      <c r="D97" s="2" t="s">
        <v>79</v>
      </c>
      <c r="E97" s="16">
        <f>Inputs!E$19</f>
        <v>150.66</v>
      </c>
      <c r="F97" s="16">
        <f>Inputs!F$19</f>
        <v>192.05323339324642</v>
      </c>
      <c r="G97" s="16">
        <f>Inputs!G$19</f>
        <v>192.05323339324642</v>
      </c>
      <c r="H97" s="16">
        <f t="shared" si="4"/>
        <v>534.76646678649286</v>
      </c>
    </row>
    <row r="98" spans="2:8" x14ac:dyDescent="0.25">
      <c r="C98" s="6" t="s">
        <v>104</v>
      </c>
      <c r="D98" s="2" t="s">
        <v>79</v>
      </c>
      <c r="E98" s="16">
        <f>Inputs!E$20</f>
        <v>333.93</v>
      </c>
      <c r="F98" s="16">
        <f>Inputs!F$20</f>
        <v>425.67593407013658</v>
      </c>
      <c r="G98" s="16">
        <f>Inputs!G$20</f>
        <v>425.67593407013658</v>
      </c>
      <c r="H98" s="16">
        <f t="shared" si="4"/>
        <v>1185.2818681402732</v>
      </c>
    </row>
    <row r="99" spans="2:8" x14ac:dyDescent="0.25">
      <c r="C99" s="6" t="s">
        <v>105</v>
      </c>
      <c r="D99" s="2" t="s">
        <v>79</v>
      </c>
      <c r="E99" s="16">
        <f>Inputs!E$21</f>
        <v>151.36000000000001</v>
      </c>
      <c r="F99" s="16">
        <f>Inputs!F$21</f>
        <v>192.94555559804712</v>
      </c>
      <c r="G99" s="16">
        <f>Inputs!G$21</f>
        <v>192.94555559804712</v>
      </c>
      <c r="H99" s="16">
        <f t="shared" si="4"/>
        <v>537.25111119609426</v>
      </c>
    </row>
    <row r="100" spans="2:8" x14ac:dyDescent="0.25">
      <c r="C100" s="6" t="s">
        <v>106</v>
      </c>
      <c r="D100" s="2" t="s">
        <v>79</v>
      </c>
      <c r="E100" s="16">
        <f>Inputs!E$22</f>
        <v>37.5</v>
      </c>
      <c r="F100" s="16">
        <f>Inputs!F$22</f>
        <v>47.802975257180009</v>
      </c>
      <c r="G100" s="16">
        <f>Inputs!G$22</f>
        <v>47.802975257180009</v>
      </c>
      <c r="H100" s="16">
        <f t="shared" si="4"/>
        <v>133.10595051436002</v>
      </c>
    </row>
    <row r="101" spans="2:8" x14ac:dyDescent="0.25">
      <c r="C101" s="6" t="s">
        <v>107</v>
      </c>
      <c r="D101" s="2" t="s">
        <v>79</v>
      </c>
      <c r="E101" s="16">
        <f>Inputs!E$23</f>
        <v>70.55</v>
      </c>
      <c r="F101" s="16">
        <f>Inputs!F$23</f>
        <v>89.933330783841328</v>
      </c>
      <c r="G101" s="16">
        <f>Inputs!G$23</f>
        <v>89.933330783841328</v>
      </c>
      <c r="H101" s="16">
        <f t="shared" si="4"/>
        <v>250.41666156768264</v>
      </c>
    </row>
    <row r="102" spans="2:8" x14ac:dyDescent="0.25">
      <c r="C102" s="1" t="s">
        <v>108</v>
      </c>
      <c r="D102" s="2" t="s">
        <v>79</v>
      </c>
      <c r="E102" s="17">
        <f>SUM(E96:E101)</f>
        <v>784.46999999999991</v>
      </c>
      <c r="F102" s="17">
        <f>SUM(F96:F101)</f>
        <v>1000.0000000000002</v>
      </c>
      <c r="G102" s="17">
        <f>SUM(G96:G101)</f>
        <v>1000.0000000000002</v>
      </c>
      <c r="H102" s="17">
        <f t="shared" si="4"/>
        <v>2784.4700000000003</v>
      </c>
    </row>
    <row r="104" spans="2:8" s="51" customFormat="1" x14ac:dyDescent="0.25">
      <c r="B104" s="47" t="s">
        <v>2</v>
      </c>
      <c r="C104" s="49" t="s">
        <v>394</v>
      </c>
      <c r="D104" s="47"/>
      <c r="E104" s="50" t="s">
        <v>4</v>
      </c>
      <c r="F104" s="50" t="s">
        <v>5</v>
      </c>
      <c r="G104" s="50" t="s">
        <v>6</v>
      </c>
      <c r="H104" s="50" t="s">
        <v>7</v>
      </c>
    </row>
    <row r="105" spans="2:8" x14ac:dyDescent="0.25">
      <c r="C105" s="48" t="s">
        <v>422</v>
      </c>
      <c r="D105" s="20"/>
      <c r="E105" s="21"/>
      <c r="F105" s="21"/>
      <c r="G105" s="21"/>
      <c r="H105" s="21"/>
    </row>
    <row r="106" spans="2:8" x14ac:dyDescent="0.25">
      <c r="C106" s="6" t="s">
        <v>405</v>
      </c>
      <c r="D106" s="2" t="s">
        <v>79</v>
      </c>
      <c r="E106" s="8">
        <f>E216</f>
        <v>10089.693704109588</v>
      </c>
      <c r="F106" s="8">
        <f>F216</f>
        <v>3359.8191780821917</v>
      </c>
      <c r="G106" s="8">
        <f>G216</f>
        <v>3359.8191780821917</v>
      </c>
      <c r="H106" s="8">
        <f>SUM(E106:G106)</f>
        <v>16809.33206027397</v>
      </c>
    </row>
    <row r="107" spans="2:8" x14ac:dyDescent="0.25">
      <c r="C107" s="44" t="s">
        <v>109</v>
      </c>
      <c r="D107" s="45" t="s">
        <v>79</v>
      </c>
      <c r="E107" s="46">
        <f>E217</f>
        <v>3451.5932876712341</v>
      </c>
      <c r="F107" s="46">
        <f>F217</f>
        <v>4269.178082191781</v>
      </c>
      <c r="G107" s="46">
        <f>G217</f>
        <v>4269.178082191781</v>
      </c>
      <c r="H107" s="46">
        <f>SUM(E107:G107)</f>
        <v>11989.949452054796</v>
      </c>
    </row>
    <row r="108" spans="2:8" x14ac:dyDescent="0.25">
      <c r="C108" s="6" t="s">
        <v>110</v>
      </c>
      <c r="D108" s="2" t="s">
        <v>79</v>
      </c>
      <c r="E108" s="8">
        <f>E238</f>
        <v>7816.1249754973578</v>
      </c>
      <c r="F108" s="8">
        <f>F238</f>
        <v>10360.95890410959</v>
      </c>
      <c r="G108" s="8">
        <f>G238</f>
        <v>10360.95890410959</v>
      </c>
      <c r="H108" s="8">
        <f>SUM(E108:G108)</f>
        <v>28538.042783716537</v>
      </c>
    </row>
    <row r="109" spans="2:8" x14ac:dyDescent="0.25">
      <c r="C109" s="6" t="s">
        <v>111</v>
      </c>
      <c r="D109" s="2" t="s">
        <v>79</v>
      </c>
      <c r="E109" s="8">
        <f>E239</f>
        <v>4364.5316878261247</v>
      </c>
      <c r="F109" s="8">
        <f>F239</f>
        <v>6091.7808219178087</v>
      </c>
      <c r="G109" s="8">
        <f>G239</f>
        <v>6091.7808219178087</v>
      </c>
      <c r="H109" s="8">
        <f>SUM(E109:G109)</f>
        <v>16548.093331661741</v>
      </c>
    </row>
    <row r="110" spans="2:8" x14ac:dyDescent="0.25">
      <c r="C110" s="44" t="s">
        <v>112</v>
      </c>
      <c r="D110" s="45" t="s">
        <v>79</v>
      </c>
      <c r="E110" s="46">
        <f>E241</f>
        <v>3971.7238359217736</v>
      </c>
      <c r="F110" s="46">
        <f>F241</f>
        <v>5543.5205479452061</v>
      </c>
      <c r="G110" s="46">
        <f>G241</f>
        <v>5543.5205479452061</v>
      </c>
      <c r="H110" s="46">
        <f>SUM(E110:G110)</f>
        <v>15058.764931812184</v>
      </c>
    </row>
    <row r="111" spans="2:8" x14ac:dyDescent="0.25">
      <c r="C111" s="6" t="s">
        <v>113</v>
      </c>
      <c r="D111" s="2" t="s">
        <v>2</v>
      </c>
      <c r="E111" s="22">
        <f>E242</f>
        <v>2.264497675150726</v>
      </c>
      <c r="F111" s="22">
        <f>F242</f>
        <v>2.4269212257339965</v>
      </c>
      <c r="G111" s="22">
        <f>G242</f>
        <v>2.4269212257339965</v>
      </c>
      <c r="H111" s="22">
        <f>H242</f>
        <v>2.3801637277816701</v>
      </c>
    </row>
    <row r="112" spans="2:8" x14ac:dyDescent="0.25">
      <c r="C112" s="6" t="s">
        <v>114</v>
      </c>
      <c r="D112" s="2" t="s">
        <v>11</v>
      </c>
      <c r="E112" s="23">
        <f>E243</f>
        <v>0.37652974724769595</v>
      </c>
      <c r="F112" s="23">
        <f>F243</f>
        <v>0.41424058079719539</v>
      </c>
      <c r="G112" s="23">
        <f>G243</f>
        <v>0.41424058079719539</v>
      </c>
    </row>
    <row r="113" spans="3:8" x14ac:dyDescent="0.25">
      <c r="C113" s="48" t="s">
        <v>423</v>
      </c>
      <c r="D113" s="20"/>
      <c r="E113" s="21"/>
      <c r="F113" s="21"/>
      <c r="G113" s="21"/>
      <c r="H113" s="21"/>
    </row>
    <row r="114" spans="3:8" x14ac:dyDescent="0.25">
      <c r="C114" s="44" t="s">
        <v>109</v>
      </c>
      <c r="D114" s="45" t="s">
        <v>79</v>
      </c>
      <c r="E114" s="46">
        <f>E66</f>
        <v>13541.286991780822</v>
      </c>
      <c r="F114" s="46">
        <f>F66</f>
        <v>7628.9972602739726</v>
      </c>
      <c r="G114" s="46">
        <f>G66</f>
        <v>7628.9972602739726</v>
      </c>
      <c r="H114" s="46">
        <f>SUM(E114:G114)</f>
        <v>28799.281512328766</v>
      </c>
    </row>
    <row r="115" spans="3:8" x14ac:dyDescent="0.25">
      <c r="C115" s="6" t="s">
        <v>110</v>
      </c>
      <c r="D115" s="2" t="s">
        <v>79</v>
      </c>
      <c r="E115" s="8">
        <f>E210</f>
        <v>18182.942115245594</v>
      </c>
      <c r="F115" s="8">
        <f>F210</f>
        <v>13720.77808219178</v>
      </c>
      <c r="G115" s="8">
        <f>G210</f>
        <v>13720.77808219178</v>
      </c>
      <c r="H115" s="8">
        <f>SUM(E115:G115)</f>
        <v>45624.498279629159</v>
      </c>
    </row>
    <row r="116" spans="3:8" x14ac:dyDescent="0.25">
      <c r="C116" s="6" t="s">
        <v>111</v>
      </c>
      <c r="D116" s="2" t="s">
        <v>79</v>
      </c>
      <c r="E116" s="8">
        <f>E211</f>
        <v>4641.6551234647723</v>
      </c>
      <c r="F116" s="8">
        <f>F211</f>
        <v>6091.7808219178078</v>
      </c>
      <c r="G116" s="8">
        <f>G211</f>
        <v>6091.7808219178078</v>
      </c>
      <c r="H116" s="8">
        <f>SUM(E116:G116)</f>
        <v>16825.216767300386</v>
      </c>
    </row>
    <row r="117" spans="3:8" x14ac:dyDescent="0.25">
      <c r="C117" s="44" t="s">
        <v>112</v>
      </c>
      <c r="D117" s="45" t="s">
        <v>79</v>
      </c>
      <c r="E117" s="46">
        <f>E213</f>
        <v>4223.9061623529424</v>
      </c>
      <c r="F117" s="46">
        <f>F213</f>
        <v>5543.5205479452052</v>
      </c>
      <c r="G117" s="46">
        <f>G213</f>
        <v>5543.5205479452052</v>
      </c>
      <c r="H117" s="14">
        <f>SUM(E117:G117)</f>
        <v>15310.947258243352</v>
      </c>
    </row>
    <row r="118" spans="3:8" x14ac:dyDescent="0.25">
      <c r="C118" s="6" t="s">
        <v>113</v>
      </c>
      <c r="D118" s="2" t="s">
        <v>2</v>
      </c>
      <c r="E118" s="22">
        <f>SUMIF(E202:E210,"&gt;0")/-SUMIF(E202:E210,"&lt;0")</f>
        <v>1.3427779889963285</v>
      </c>
      <c r="F118" s="22">
        <f>SUMIF(F202:F210,"&gt;0")/-SUMIF(F202:F210,"&lt;0")</f>
        <v>1.7985034748457938</v>
      </c>
      <c r="G118" s="22">
        <f>SUMIF(G202:G210,"&gt;0")/-SUMIF(G202:G210,"&lt;0")</f>
        <v>1.7985034748457938</v>
      </c>
      <c r="H118" s="22">
        <f>SUMIF(H202:H210,"&gt;0")/-SUMIF(H202:H210,"&lt;0")</f>
        <v>1.5842234904401222</v>
      </c>
    </row>
    <row r="119" spans="3:8" x14ac:dyDescent="0.25">
      <c r="C119" s="6" t="s">
        <v>114</v>
      </c>
      <c r="D119" s="2" t="s">
        <v>11</v>
      </c>
      <c r="E119" s="23">
        <f>XIRR(E202:E210,J202:J210)</f>
        <v>0.22687016129493717</v>
      </c>
      <c r="F119" s="23">
        <f>XIRR(F202:F210,K202:K210)</f>
        <v>0.35003436207771299</v>
      </c>
      <c r="G119" s="23">
        <f>XIRR(G202:G210,L202:L210)</f>
        <v>0.35003436207771299</v>
      </c>
    </row>
    <row r="120" spans="3:8" x14ac:dyDescent="0.25">
      <c r="C120" s="48" t="s">
        <v>393</v>
      </c>
      <c r="D120" s="20"/>
      <c r="E120" s="21"/>
      <c r="F120" s="21"/>
      <c r="G120" s="21"/>
      <c r="H120" s="21"/>
    </row>
    <row r="121" spans="3:8" x14ac:dyDescent="0.25">
      <c r="C121" s="6" t="s">
        <v>115</v>
      </c>
      <c r="D121" s="2" t="s">
        <v>79</v>
      </c>
      <c r="E121" s="8">
        <f>E91</f>
        <v>66227.321238356162</v>
      </c>
      <c r="F121" s="8">
        <f>F91</f>
        <v>71342.72671232876</v>
      </c>
      <c r="G121" s="8">
        <f>G91</f>
        <v>71342.72671232876</v>
      </c>
      <c r="H121" s="8">
        <f>SUM(E121:G121)</f>
        <v>208912.77466301367</v>
      </c>
    </row>
    <row r="122" spans="3:8" x14ac:dyDescent="0.25">
      <c r="C122" s="6" t="s">
        <v>116</v>
      </c>
      <c r="D122" s="2" t="s">
        <v>79</v>
      </c>
      <c r="E122" s="8">
        <f>$H$278</f>
        <v>104654.65424661252</v>
      </c>
      <c r="F122" s="8">
        <f>$H$309</f>
        <v>117317.066600666</v>
      </c>
      <c r="G122" s="8">
        <f>$H$340</f>
        <v>117317.066600666</v>
      </c>
      <c r="H122" s="8">
        <f>SUM(E122:G122)</f>
        <v>339288.78744794452</v>
      </c>
    </row>
    <row r="123" spans="3:8" x14ac:dyDescent="0.25">
      <c r="C123" s="6" t="s">
        <v>111</v>
      </c>
      <c r="D123" s="2" t="s">
        <v>79</v>
      </c>
      <c r="E123" s="8">
        <f>$H$279</f>
        <v>38427.333008256355</v>
      </c>
      <c r="F123" s="8">
        <f>$H$310</f>
        <v>45974.339888337243</v>
      </c>
      <c r="G123" s="8">
        <f>$H$341</f>
        <v>45974.339888337243</v>
      </c>
      <c r="H123" s="8">
        <f>SUM(E123:G123)</f>
        <v>130376.01278493085</v>
      </c>
    </row>
    <row r="124" spans="3:8" x14ac:dyDescent="0.25">
      <c r="C124" s="1" t="s">
        <v>112</v>
      </c>
      <c r="D124" s="2" t="s">
        <v>79</v>
      </c>
      <c r="E124" s="14">
        <f>E345</f>
        <v>34968.87303751328</v>
      </c>
      <c r="F124" s="14">
        <f>F345</f>
        <v>41836.649298386888</v>
      </c>
      <c r="G124" s="14">
        <f>G345</f>
        <v>41836.649298386888</v>
      </c>
      <c r="H124" s="14">
        <f>SUM(E124:G124)</f>
        <v>118642.17163428705</v>
      </c>
    </row>
    <row r="125" spans="3:8" x14ac:dyDescent="0.25">
      <c r="C125" s="6" t="s">
        <v>113</v>
      </c>
      <c r="D125" s="2" t="s">
        <v>2</v>
      </c>
      <c r="E125" s="22">
        <f>SUMIF($J$279:$AS$279,"&gt;0")/-SUMIF($J$279:$AS$279,"&lt;0")</f>
        <v>1.7147587486298779</v>
      </c>
      <c r="F125" s="22">
        <f>SUMIF($J$310:$AS$310,"&gt;0")/-SUMIF($J$310:$AS$310,"&lt;0")</f>
        <v>1.8297091967341408</v>
      </c>
      <c r="G125" s="22">
        <f>SUMIF($J$341:$AS$341,"&gt;0")/-SUMIF($J$341:$AS$341,"&lt;0")</f>
        <v>1.8297091967341408</v>
      </c>
    </row>
    <row r="126" spans="3:8" x14ac:dyDescent="0.25">
      <c r="C126" s="6" t="s">
        <v>114</v>
      </c>
      <c r="D126" s="2" t="s">
        <v>11</v>
      </c>
      <c r="E126" s="23">
        <f>XIRR($J$279:$AS$279,$J$248:$AS$248)</f>
        <v>0.3150341093540191</v>
      </c>
      <c r="F126" s="23">
        <f>XIRR($J$310:$AS$310,$J$248:$AS$248)</f>
        <v>0.39273877739906315</v>
      </c>
      <c r="G126" s="23">
        <f>XIRR($J$341:$AS$341,$J$248:$AS$248)</f>
        <v>0.39273877739906315</v>
      </c>
    </row>
    <row r="127" spans="3:8" x14ac:dyDescent="0.25">
      <c r="C127" s="48" t="s">
        <v>117</v>
      </c>
      <c r="D127" s="20"/>
      <c r="E127" s="21"/>
      <c r="F127" s="21"/>
      <c r="G127" s="21"/>
      <c r="H127" s="21"/>
    </row>
    <row r="128" spans="3:8" x14ac:dyDescent="0.25">
      <c r="C128" s="6" t="s">
        <v>115</v>
      </c>
      <c r="D128" s="2" t="s">
        <v>79</v>
      </c>
      <c r="E128" s="8">
        <f>E91</f>
        <v>66227.321238356162</v>
      </c>
      <c r="F128" s="8">
        <f>F91</f>
        <v>71342.72671232876</v>
      </c>
      <c r="G128" s="8">
        <f>G91</f>
        <v>71342.72671232876</v>
      </c>
      <c r="H128" s="8">
        <f>SUM(E128:G128)</f>
        <v>208912.77466301367</v>
      </c>
    </row>
    <row r="129" spans="2:45" x14ac:dyDescent="0.25">
      <c r="C129" s="6" t="s">
        <v>118</v>
      </c>
      <c r="D129" s="2" t="s">
        <v>79</v>
      </c>
      <c r="E129" s="8">
        <f>$H$265</f>
        <v>382397.73062524654</v>
      </c>
      <c r="F129" s="8">
        <f>$H$296</f>
        <v>446130.68572945433</v>
      </c>
      <c r="G129" s="8">
        <f>$H$327</f>
        <v>446130.68572945433</v>
      </c>
      <c r="H129" s="8">
        <f>SUM(E129:G129)</f>
        <v>1274659.1020841552</v>
      </c>
    </row>
    <row r="130" spans="2:45" x14ac:dyDescent="0.25">
      <c r="C130" s="6" t="s">
        <v>119</v>
      </c>
      <c r="D130" s="2" t="s">
        <v>79</v>
      </c>
      <c r="E130" s="8">
        <f>$H$274</f>
        <v>-101080.46916459691</v>
      </c>
      <c r="F130" s="8">
        <f>$H$305</f>
        <v>-130425.69762342949</v>
      </c>
      <c r="G130" s="8">
        <f>$H$336</f>
        <v>-130425.69762342949</v>
      </c>
      <c r="H130" s="8">
        <f>SUM(E130:G130)</f>
        <v>-361931.86441145587</v>
      </c>
    </row>
    <row r="131" spans="2:45" x14ac:dyDescent="0.25">
      <c r="C131" s="6" t="s">
        <v>120</v>
      </c>
      <c r="D131" s="2" t="s">
        <v>79</v>
      </c>
      <c r="E131" s="8">
        <f>$H$275</f>
        <v>281317.26146064978</v>
      </c>
      <c r="F131" s="8">
        <f>$H$306</f>
        <v>315704.98810602498</v>
      </c>
      <c r="G131" s="8">
        <f>$H$337</f>
        <v>315704.98810602498</v>
      </c>
      <c r="H131" s="8">
        <f>SUM(E131:G131)</f>
        <v>912727.23767269962</v>
      </c>
    </row>
    <row r="132" spans="2:45" x14ac:dyDescent="0.25">
      <c r="C132" s="1" t="s">
        <v>121</v>
      </c>
      <c r="D132" s="2" t="s">
        <v>11</v>
      </c>
      <c r="E132" s="24">
        <f>XIRR($J$276:$AS$276,$J$248:$AS$248)</f>
        <v>0.11947453618049622</v>
      </c>
      <c r="F132" s="24">
        <f>XIRR($J$307:$AS$307,$J$248:$AS$248)</f>
        <v>0.12699212431907658</v>
      </c>
      <c r="G132" s="24">
        <f>XIRR($J$338:$AS$338,$J$248:$AS$248)</f>
        <v>0.12699212431907658</v>
      </c>
    </row>
    <row r="133" spans="2:45" x14ac:dyDescent="0.25">
      <c r="C133" s="6" t="s">
        <v>122</v>
      </c>
      <c r="D133" s="2" t="s">
        <v>79</v>
      </c>
      <c r="E133" s="8">
        <f>XNPV(Discount_Rate,$J$276:$AS$276,$J$248:$AS$248)</f>
        <v>23130.935147824039</v>
      </c>
      <c r="F133" s="8">
        <f>XNPV(Discount_Rate,$J$307:$AS$307,$J$248:$AS$248)</f>
        <v>28970.44121118966</v>
      </c>
      <c r="G133" s="8">
        <f>XNPV(Discount_Rate,$J$338:$AS$338,$J$248:$AS$248)</f>
        <v>28970.44121118966</v>
      </c>
      <c r="H133" s="8">
        <f>SUM(E133:G133)</f>
        <v>81071.817570203362</v>
      </c>
    </row>
    <row r="135" spans="2:45" x14ac:dyDescent="0.25">
      <c r="B135" s="4" t="s">
        <v>2</v>
      </c>
      <c r="C135" s="4" t="s">
        <v>123</v>
      </c>
      <c r="D135" s="4"/>
      <c r="E135" s="5"/>
      <c r="F135" s="5"/>
      <c r="G135" s="5"/>
      <c r="H135" s="5" t="s">
        <v>7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</row>
    <row r="136" spans="2:45" x14ac:dyDescent="0.25">
      <c r="C136" s="6" t="s">
        <v>124</v>
      </c>
      <c r="D136" s="2" t="s">
        <v>125</v>
      </c>
      <c r="J136" s="25">
        <f t="shared" ref="J136:AS136" si="5">J247</f>
        <v>2026</v>
      </c>
      <c r="K136" s="25">
        <f t="shared" si="5"/>
        <v>2027</v>
      </c>
      <c r="L136" s="25">
        <f t="shared" si="5"/>
        <v>2028</v>
      </c>
      <c r="M136" s="25">
        <f t="shared" si="5"/>
        <v>2029</v>
      </c>
      <c r="N136" s="25">
        <f t="shared" si="5"/>
        <v>2030</v>
      </c>
      <c r="O136" s="25">
        <f t="shared" si="5"/>
        <v>2031</v>
      </c>
      <c r="P136" s="25">
        <f t="shared" si="5"/>
        <v>2032</v>
      </c>
      <c r="Q136" s="25">
        <f t="shared" si="5"/>
        <v>2033</v>
      </c>
      <c r="R136" s="25">
        <f t="shared" si="5"/>
        <v>2034</v>
      </c>
      <c r="S136" s="25">
        <f t="shared" si="5"/>
        <v>2035</v>
      </c>
      <c r="T136" s="25">
        <f t="shared" si="5"/>
        <v>2036</v>
      </c>
      <c r="U136" s="25">
        <f t="shared" si="5"/>
        <v>2037</v>
      </c>
      <c r="V136" s="25">
        <f t="shared" si="5"/>
        <v>2038</v>
      </c>
      <c r="W136" s="25">
        <f t="shared" si="5"/>
        <v>2039</v>
      </c>
      <c r="X136" s="25">
        <f t="shared" si="5"/>
        <v>2040</v>
      </c>
      <c r="Y136" s="25">
        <f t="shared" si="5"/>
        <v>2041</v>
      </c>
      <c r="Z136" s="25">
        <f t="shared" si="5"/>
        <v>2042</v>
      </c>
      <c r="AA136" s="25">
        <f t="shared" si="5"/>
        <v>2043</v>
      </c>
      <c r="AB136" s="25">
        <f t="shared" si="5"/>
        <v>2044</v>
      </c>
      <c r="AC136" s="25">
        <f t="shared" si="5"/>
        <v>2045</v>
      </c>
      <c r="AD136" s="25">
        <f t="shared" si="5"/>
        <v>2046</v>
      </c>
      <c r="AE136" s="25">
        <f t="shared" si="5"/>
        <v>2047</v>
      </c>
      <c r="AF136" s="25">
        <f t="shared" si="5"/>
        <v>2048</v>
      </c>
      <c r="AG136" s="25">
        <f t="shared" si="5"/>
        <v>2049</v>
      </c>
      <c r="AH136" s="25">
        <f t="shared" si="5"/>
        <v>2050</v>
      </c>
      <c r="AI136" s="25">
        <f t="shared" si="5"/>
        <v>2051</v>
      </c>
      <c r="AJ136" s="25">
        <f t="shared" si="5"/>
        <v>2052</v>
      </c>
      <c r="AK136" s="25">
        <f t="shared" si="5"/>
        <v>2053</v>
      </c>
      <c r="AL136" s="25">
        <f t="shared" si="5"/>
        <v>2054</v>
      </c>
      <c r="AM136" s="25">
        <f t="shared" si="5"/>
        <v>2055</v>
      </c>
      <c r="AN136" s="25">
        <f t="shared" si="5"/>
        <v>2056</v>
      </c>
      <c r="AO136" s="25">
        <f t="shared" si="5"/>
        <v>2057</v>
      </c>
      <c r="AP136" s="25">
        <f t="shared" si="5"/>
        <v>2058</v>
      </c>
      <c r="AQ136" s="25">
        <f t="shared" si="5"/>
        <v>2059</v>
      </c>
      <c r="AR136" s="25">
        <f t="shared" si="5"/>
        <v>2060</v>
      </c>
      <c r="AS136" s="25">
        <f t="shared" si="5"/>
        <v>2061</v>
      </c>
    </row>
    <row r="138" spans="2:45" x14ac:dyDescent="0.25">
      <c r="C138" s="20" t="s">
        <v>4</v>
      </c>
      <c r="D138" s="20"/>
      <c r="E138" s="21"/>
      <c r="F138" s="21"/>
      <c r="G138" s="21"/>
      <c r="H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</row>
    <row r="139" spans="2:45" x14ac:dyDescent="0.25">
      <c r="C139" s="6" t="s">
        <v>126</v>
      </c>
      <c r="D139" s="2" t="s">
        <v>79</v>
      </c>
      <c r="H139" s="8">
        <f>SUM(J139:AS139)</f>
        <v>-66227.321238356177</v>
      </c>
      <c r="J139" s="8">
        <f t="shared" ref="J139:AS139" si="6">J261</f>
        <v>-496.71232876712327</v>
      </c>
      <c r="K139" s="8">
        <f t="shared" si="6"/>
        <v>-2954.8809589041093</v>
      </c>
      <c r="L139" s="8">
        <f t="shared" si="6"/>
        <v>-10089.693704109588</v>
      </c>
      <c r="M139" s="8">
        <f t="shared" si="6"/>
        <v>-13407.125</v>
      </c>
      <c r="N139" s="8">
        <f t="shared" si="6"/>
        <v>-26814.25</v>
      </c>
      <c r="O139" s="8">
        <f t="shared" si="6"/>
        <v>-14407.125</v>
      </c>
      <c r="P139" s="8">
        <f t="shared" si="6"/>
        <v>0</v>
      </c>
      <c r="Q139" s="8">
        <f t="shared" si="6"/>
        <v>1942.4657534246576</v>
      </c>
      <c r="R139" s="8">
        <f t="shared" si="6"/>
        <v>0</v>
      </c>
      <c r="S139" s="8">
        <f t="shared" si="6"/>
        <v>0</v>
      </c>
      <c r="T139" s="8">
        <f t="shared" si="6"/>
        <v>0</v>
      </c>
      <c r="U139" s="8">
        <f t="shared" si="6"/>
        <v>0</v>
      </c>
      <c r="V139" s="8">
        <f t="shared" si="6"/>
        <v>0</v>
      </c>
      <c r="W139" s="8">
        <f t="shared" si="6"/>
        <v>0</v>
      </c>
      <c r="X139" s="8">
        <f t="shared" si="6"/>
        <v>0</v>
      </c>
      <c r="Y139" s="8">
        <f t="shared" si="6"/>
        <v>0</v>
      </c>
      <c r="Z139" s="8">
        <f t="shared" si="6"/>
        <v>0</v>
      </c>
      <c r="AA139" s="8">
        <f t="shared" si="6"/>
        <v>0</v>
      </c>
      <c r="AB139" s="8">
        <f t="shared" si="6"/>
        <v>0</v>
      </c>
      <c r="AC139" s="8">
        <f t="shared" si="6"/>
        <v>0</v>
      </c>
      <c r="AD139" s="8">
        <f t="shared" si="6"/>
        <v>0</v>
      </c>
      <c r="AE139" s="8">
        <f t="shared" si="6"/>
        <v>0</v>
      </c>
      <c r="AF139" s="8">
        <f t="shared" si="6"/>
        <v>0</v>
      </c>
      <c r="AG139" s="8">
        <f t="shared" si="6"/>
        <v>0</v>
      </c>
      <c r="AH139" s="8">
        <f t="shared" si="6"/>
        <v>0</v>
      </c>
      <c r="AI139" s="8">
        <f t="shared" si="6"/>
        <v>0</v>
      </c>
      <c r="AJ139" s="8">
        <f t="shared" si="6"/>
        <v>0</v>
      </c>
      <c r="AK139" s="8">
        <f t="shared" si="6"/>
        <v>0</v>
      </c>
      <c r="AL139" s="8">
        <f t="shared" si="6"/>
        <v>0</v>
      </c>
      <c r="AM139" s="8">
        <f t="shared" si="6"/>
        <v>0</v>
      </c>
      <c r="AN139" s="8">
        <f t="shared" si="6"/>
        <v>0</v>
      </c>
      <c r="AO139" s="8">
        <f t="shared" si="6"/>
        <v>0</v>
      </c>
      <c r="AP139" s="8">
        <f t="shared" si="6"/>
        <v>0</v>
      </c>
      <c r="AQ139" s="8">
        <f t="shared" si="6"/>
        <v>0</v>
      </c>
      <c r="AR139" s="8">
        <f t="shared" si="6"/>
        <v>0</v>
      </c>
      <c r="AS139" s="8">
        <f t="shared" si="6"/>
        <v>0</v>
      </c>
    </row>
    <row r="140" spans="2:45" x14ac:dyDescent="0.25">
      <c r="C140" s="6" t="s">
        <v>127</v>
      </c>
      <c r="D140" s="2" t="s">
        <v>79</v>
      </c>
      <c r="H140" s="8">
        <f>SUM(J140:AS140)</f>
        <v>382397.73062524654</v>
      </c>
      <c r="J140" s="8">
        <f t="shared" ref="J140:AS140" si="7">J265</f>
        <v>0</v>
      </c>
      <c r="K140" s="8">
        <f t="shared" si="7"/>
        <v>0</v>
      </c>
      <c r="L140" s="8">
        <f t="shared" si="7"/>
        <v>0</v>
      </c>
      <c r="M140" s="8">
        <f t="shared" si="7"/>
        <v>0</v>
      </c>
      <c r="N140" s="8">
        <f t="shared" si="7"/>
        <v>0</v>
      </c>
      <c r="O140" s="8">
        <f t="shared" si="7"/>
        <v>5715.36</v>
      </c>
      <c r="P140" s="8">
        <f t="shared" si="7"/>
        <v>11545.0272</v>
      </c>
      <c r="Q140" s="8">
        <f t="shared" si="7"/>
        <v>11625.496039583999</v>
      </c>
      <c r="R140" s="8">
        <f t="shared" si="7"/>
        <v>11706.5257469799</v>
      </c>
      <c r="S140" s="8">
        <f t="shared" si="7"/>
        <v>11788.120231436349</v>
      </c>
      <c r="T140" s="8">
        <f t="shared" si="7"/>
        <v>11870.283429449461</v>
      </c>
      <c r="U140" s="8">
        <f t="shared" si="7"/>
        <v>11953.019304952726</v>
      </c>
      <c r="V140" s="8">
        <f t="shared" si="7"/>
        <v>12036.331849508244</v>
      </c>
      <c r="W140" s="8">
        <f t="shared" si="7"/>
        <v>12120.225082499319</v>
      </c>
      <c r="X140" s="8">
        <f t="shared" si="7"/>
        <v>12204.703051324341</v>
      </c>
      <c r="Y140" s="8">
        <f t="shared" si="7"/>
        <v>12289.76983159207</v>
      </c>
      <c r="Z140" s="8">
        <f t="shared" si="7"/>
        <v>12375.429527318265</v>
      </c>
      <c r="AA140" s="8">
        <f t="shared" si="7"/>
        <v>12461.686271123675</v>
      </c>
      <c r="AB140" s="8">
        <f t="shared" si="7"/>
        <v>12548.544224433408</v>
      </c>
      <c r="AC140" s="8">
        <f t="shared" si="7"/>
        <v>12636.007577677708</v>
      </c>
      <c r="AD140" s="8">
        <f t="shared" si="7"/>
        <v>12724.08055049412</v>
      </c>
      <c r="AE140" s="8">
        <f t="shared" si="7"/>
        <v>12812.767391931069</v>
      </c>
      <c r="AF140" s="8">
        <f t="shared" si="7"/>
        <v>12902.072380652829</v>
      </c>
      <c r="AG140" s="8">
        <f t="shared" si="7"/>
        <v>12991.999825145978</v>
      </c>
      <c r="AH140" s="8">
        <f t="shared" si="7"/>
        <v>13082.554063927246</v>
      </c>
      <c r="AI140" s="8">
        <f t="shared" si="7"/>
        <v>13173.739465752818</v>
      </c>
      <c r="AJ140" s="8">
        <f t="shared" si="7"/>
        <v>13265.560429829115</v>
      </c>
      <c r="AK140" s="8">
        <f t="shared" si="7"/>
        <v>13358.021386025026</v>
      </c>
      <c r="AL140" s="8">
        <f t="shared" si="7"/>
        <v>13451.126795085622</v>
      </c>
      <c r="AM140" s="8">
        <f t="shared" si="7"/>
        <v>13544.881148847369</v>
      </c>
      <c r="AN140" s="8">
        <f t="shared" si="7"/>
        <v>13639.288970454838</v>
      </c>
      <c r="AO140" s="8">
        <f t="shared" si="7"/>
        <v>13734.354814578906</v>
      </c>
      <c r="AP140" s="8">
        <f t="shared" si="7"/>
        <v>13830.083267636519</v>
      </c>
      <c r="AQ140" s="8">
        <f t="shared" si="7"/>
        <v>13926.478948011945</v>
      </c>
      <c r="AR140" s="8">
        <f t="shared" si="7"/>
        <v>14023.546506279588</v>
      </c>
      <c r="AS140" s="8">
        <f t="shared" si="7"/>
        <v>7060.6453127141804</v>
      </c>
    </row>
    <row r="141" spans="2:45" x14ac:dyDescent="0.25">
      <c r="C141" s="6" t="s">
        <v>128</v>
      </c>
      <c r="D141" s="2" t="s">
        <v>79</v>
      </c>
      <c r="H141" s="8">
        <f>SUM(J141:AS141)</f>
        <v>-101080.46916459691</v>
      </c>
      <c r="J141" s="8">
        <f t="shared" ref="J141:AS141" si="8">J274</f>
        <v>0</v>
      </c>
      <c r="K141" s="8">
        <f t="shared" si="8"/>
        <v>0</v>
      </c>
      <c r="L141" s="8">
        <f t="shared" si="8"/>
        <v>0</v>
      </c>
      <c r="M141" s="8">
        <f t="shared" si="8"/>
        <v>0</v>
      </c>
      <c r="N141" s="8">
        <f t="shared" si="8"/>
        <v>0</v>
      </c>
      <c r="O141" s="8">
        <f t="shared" si="8"/>
        <v>-1182.141828</v>
      </c>
      <c r="P141" s="8">
        <f t="shared" si="8"/>
        <v>-2419.7814975599995</v>
      </c>
      <c r="Q141" s="8">
        <f t="shared" si="8"/>
        <v>-2473.7926884732433</v>
      </c>
      <c r="R141" s="8">
        <f t="shared" si="8"/>
        <v>-2529.0775401325345</v>
      </c>
      <c r="S141" s="8">
        <f t="shared" si="8"/>
        <v>-2585.6666709169326</v>
      </c>
      <c r="T141" s="8">
        <f t="shared" si="8"/>
        <v>-2643.5914410310643</v>
      </c>
      <c r="U141" s="8">
        <f t="shared" si="8"/>
        <v>-2702.8839705547771</v>
      </c>
      <c r="V141" s="8">
        <f t="shared" si="8"/>
        <v>-2763.577157933315</v>
      </c>
      <c r="W141" s="8">
        <f t="shared" si="8"/>
        <v>-2825.7046989187938</v>
      </c>
      <c r="X141" s="8">
        <f t="shared" si="8"/>
        <v>-2889.3011059740261</v>
      </c>
      <c r="Y141" s="8">
        <f t="shared" si="8"/>
        <v>-2954.4017281499937</v>
      </c>
      <c r="Z141" s="8">
        <f t="shared" si="8"/>
        <v>-3021.0427714485832</v>
      </c>
      <c r="AA141" s="8">
        <f t="shared" si="8"/>
        <v>-3089.2613196824336</v>
      </c>
      <c r="AB141" s="8">
        <f t="shared" si="8"/>
        <v>-3159.0953558440924</v>
      </c>
      <c r="AC141" s="8">
        <f t="shared" si="8"/>
        <v>-3230.5837839969195</v>
      </c>
      <c r="AD141" s="8">
        <f t="shared" si="8"/>
        <v>-3303.7664517005283</v>
      </c>
      <c r="AE141" s="8">
        <f t="shared" si="8"/>
        <v>-3378.6841729838452</v>
      </c>
      <c r="AF141" s="8">
        <f t="shared" si="8"/>
        <v>-3455.3787518791828</v>
      </c>
      <c r="AG141" s="8">
        <f t="shared" si="8"/>
        <v>-3533.8930065310806</v>
      </c>
      <c r="AH141" s="8">
        <f t="shared" si="8"/>
        <v>-3614.2707938939725</v>
      </c>
      <c r="AI141" s="8">
        <f t="shared" si="8"/>
        <v>-3696.5570350330941</v>
      </c>
      <c r="AJ141" s="8">
        <f t="shared" si="8"/>
        <v>-3780.7977410434187</v>
      </c>
      <c r="AK141" s="8">
        <f t="shared" si="8"/>
        <v>-3867.0400396017426</v>
      </c>
      <c r="AL141" s="8">
        <f t="shared" si="8"/>
        <v>-3955.3322021674194</v>
      </c>
      <c r="AM141" s="8">
        <f t="shared" si="8"/>
        <v>-4045.723671847642</v>
      </c>
      <c r="AN141" s="8">
        <f t="shared" si="8"/>
        <v>-4138.26509194355</v>
      </c>
      <c r="AO141" s="8">
        <f t="shared" si="8"/>
        <v>-4233.0083351938156</v>
      </c>
      <c r="AP141" s="8">
        <f t="shared" si="8"/>
        <v>-4330.006533732816</v>
      </c>
      <c r="AQ141" s="8">
        <f t="shared" si="8"/>
        <v>-4429.314109780883</v>
      </c>
      <c r="AR141" s="8">
        <f t="shared" si="8"/>
        <v>-4530.9868070845678</v>
      </c>
      <c r="AS141" s="8">
        <f t="shared" si="8"/>
        <v>-2317.5408615626452</v>
      </c>
    </row>
    <row r="142" spans="2:45" x14ac:dyDescent="0.25">
      <c r="C142" s="6" t="s">
        <v>129</v>
      </c>
      <c r="D142" s="2" t="s">
        <v>79</v>
      </c>
      <c r="H142" s="8">
        <f>SUM(J142:AS142)</f>
        <v>281317.26146064978</v>
      </c>
      <c r="J142" s="8">
        <f t="shared" ref="J142:AS142" si="9">J275</f>
        <v>0</v>
      </c>
      <c r="K142" s="8">
        <f t="shared" si="9"/>
        <v>0</v>
      </c>
      <c r="L142" s="8">
        <f t="shared" si="9"/>
        <v>0</v>
      </c>
      <c r="M142" s="8">
        <f t="shared" si="9"/>
        <v>0</v>
      </c>
      <c r="N142" s="8">
        <f t="shared" si="9"/>
        <v>0</v>
      </c>
      <c r="O142" s="8">
        <f t="shared" si="9"/>
        <v>4533.2181719999999</v>
      </c>
      <c r="P142" s="8">
        <f t="shared" si="9"/>
        <v>9125.245702440001</v>
      </c>
      <c r="Q142" s="8">
        <f t="shared" si="9"/>
        <v>9151.7033511107547</v>
      </c>
      <c r="R142" s="8">
        <f t="shared" si="9"/>
        <v>9177.4482068473662</v>
      </c>
      <c r="S142" s="8">
        <f t="shared" si="9"/>
        <v>9202.453560519416</v>
      </c>
      <c r="T142" s="8">
        <f t="shared" si="9"/>
        <v>9226.6919884183953</v>
      </c>
      <c r="U142" s="8">
        <f t="shared" si="9"/>
        <v>9250.1353343979499</v>
      </c>
      <c r="V142" s="8">
        <f t="shared" si="9"/>
        <v>9272.7546915749299</v>
      </c>
      <c r="W142" s="8">
        <f t="shared" si="9"/>
        <v>9294.520383580526</v>
      </c>
      <c r="X142" s="8">
        <f t="shared" si="9"/>
        <v>9315.4019453503151</v>
      </c>
      <c r="Y142" s="8">
        <f t="shared" si="9"/>
        <v>9335.368103442077</v>
      </c>
      <c r="Z142" s="8">
        <f t="shared" si="9"/>
        <v>9354.386755869682</v>
      </c>
      <c r="AA142" s="8">
        <f t="shared" si="9"/>
        <v>9372.4249514412422</v>
      </c>
      <c r="AB142" s="8">
        <f t="shared" si="9"/>
        <v>9389.4488685893157</v>
      </c>
      <c r="AC142" s="8">
        <f t="shared" si="9"/>
        <v>9405.4237936807895</v>
      </c>
      <c r="AD142" s="8">
        <f t="shared" si="9"/>
        <v>9420.3140987935913</v>
      </c>
      <c r="AE142" s="8">
        <f t="shared" si="9"/>
        <v>9434.0832189472239</v>
      </c>
      <c r="AF142" s="8">
        <f t="shared" si="9"/>
        <v>9446.6936287736462</v>
      </c>
      <c r="AG142" s="8">
        <f t="shared" si="9"/>
        <v>9458.1068186148987</v>
      </c>
      <c r="AH142" s="8">
        <f t="shared" si="9"/>
        <v>9468.2832700332729</v>
      </c>
      <c r="AI142" s="8">
        <f t="shared" si="9"/>
        <v>9477.1824307197239</v>
      </c>
      <c r="AJ142" s="8">
        <f t="shared" si="9"/>
        <v>9484.7626887856968</v>
      </c>
      <c r="AK142" s="8">
        <f t="shared" si="9"/>
        <v>9490.981346423283</v>
      </c>
      <c r="AL142" s="8">
        <f t="shared" si="9"/>
        <v>9495.7945929182024</v>
      </c>
      <c r="AM142" s="8">
        <f t="shared" si="9"/>
        <v>9499.1574769997278</v>
      </c>
      <c r="AN142" s="8">
        <f t="shared" si="9"/>
        <v>9501.0238785112888</v>
      </c>
      <c r="AO142" s="8">
        <f t="shared" si="9"/>
        <v>9501.3464793850908</v>
      </c>
      <c r="AP142" s="8">
        <f t="shared" si="9"/>
        <v>9500.0767339037029</v>
      </c>
      <c r="AQ142" s="8">
        <f t="shared" si="9"/>
        <v>9497.1648382310632</v>
      </c>
      <c r="AR142" s="8">
        <f t="shared" si="9"/>
        <v>9492.5596991950206</v>
      </c>
      <c r="AS142" s="8">
        <f t="shared" si="9"/>
        <v>4743.1044511515356</v>
      </c>
    </row>
    <row r="143" spans="2:45" x14ac:dyDescent="0.25">
      <c r="C143" s="1" t="s">
        <v>130</v>
      </c>
      <c r="D143" s="2" t="s">
        <v>79</v>
      </c>
      <c r="H143" s="14">
        <f>SUM(J143:AS143)</f>
        <v>215089.9402222936</v>
      </c>
      <c r="J143" s="14">
        <f t="shared" ref="J143:AS143" si="10">J276</f>
        <v>-496.71232876712327</v>
      </c>
      <c r="K143" s="14">
        <f t="shared" si="10"/>
        <v>-2954.8809589041093</v>
      </c>
      <c r="L143" s="14">
        <f t="shared" si="10"/>
        <v>-10089.693704109588</v>
      </c>
      <c r="M143" s="14">
        <f t="shared" si="10"/>
        <v>-13407.125</v>
      </c>
      <c r="N143" s="14">
        <f t="shared" si="10"/>
        <v>-26814.25</v>
      </c>
      <c r="O143" s="14">
        <f t="shared" si="10"/>
        <v>-9873.9068279999992</v>
      </c>
      <c r="P143" s="14">
        <f t="shared" si="10"/>
        <v>9125.245702440001</v>
      </c>
      <c r="Q143" s="14">
        <f t="shared" si="10"/>
        <v>11094.169104535413</v>
      </c>
      <c r="R143" s="14">
        <f t="shared" si="10"/>
        <v>9177.4482068473662</v>
      </c>
      <c r="S143" s="14">
        <f t="shared" si="10"/>
        <v>9202.453560519416</v>
      </c>
      <c r="T143" s="14">
        <f t="shared" si="10"/>
        <v>9226.6919884183953</v>
      </c>
      <c r="U143" s="14">
        <f t="shared" si="10"/>
        <v>9250.1353343979499</v>
      </c>
      <c r="V143" s="14">
        <f t="shared" si="10"/>
        <v>9272.7546915749299</v>
      </c>
      <c r="W143" s="14">
        <f t="shared" si="10"/>
        <v>9294.520383580526</v>
      </c>
      <c r="X143" s="14">
        <f t="shared" si="10"/>
        <v>9315.4019453503151</v>
      </c>
      <c r="Y143" s="14">
        <f t="shared" si="10"/>
        <v>9335.368103442077</v>
      </c>
      <c r="Z143" s="14">
        <f t="shared" si="10"/>
        <v>9354.386755869682</v>
      </c>
      <c r="AA143" s="14">
        <f t="shared" si="10"/>
        <v>9372.4249514412422</v>
      </c>
      <c r="AB143" s="14">
        <f t="shared" si="10"/>
        <v>9389.4488685893157</v>
      </c>
      <c r="AC143" s="14">
        <f t="shared" si="10"/>
        <v>9405.4237936807895</v>
      </c>
      <c r="AD143" s="14">
        <f t="shared" si="10"/>
        <v>9420.3140987935913</v>
      </c>
      <c r="AE143" s="14">
        <f t="shared" si="10"/>
        <v>9434.0832189472239</v>
      </c>
      <c r="AF143" s="14">
        <f t="shared" si="10"/>
        <v>9446.6936287736462</v>
      </c>
      <c r="AG143" s="14">
        <f t="shared" si="10"/>
        <v>9458.1068186148987</v>
      </c>
      <c r="AH143" s="14">
        <f t="shared" si="10"/>
        <v>9468.2832700332729</v>
      </c>
      <c r="AI143" s="14">
        <f t="shared" si="10"/>
        <v>9477.1824307197239</v>
      </c>
      <c r="AJ143" s="14">
        <f t="shared" si="10"/>
        <v>9484.7626887856968</v>
      </c>
      <c r="AK143" s="14">
        <f t="shared" si="10"/>
        <v>9490.981346423283</v>
      </c>
      <c r="AL143" s="14">
        <f t="shared" si="10"/>
        <v>9495.7945929182024</v>
      </c>
      <c r="AM143" s="14">
        <f t="shared" si="10"/>
        <v>9499.1574769997278</v>
      </c>
      <c r="AN143" s="14">
        <f t="shared" si="10"/>
        <v>9501.0238785112888</v>
      </c>
      <c r="AO143" s="14">
        <f t="shared" si="10"/>
        <v>9501.3464793850908</v>
      </c>
      <c r="AP143" s="14">
        <f t="shared" si="10"/>
        <v>9500.0767339037029</v>
      </c>
      <c r="AQ143" s="14">
        <f t="shared" si="10"/>
        <v>9497.1648382310632</v>
      </c>
      <c r="AR143" s="14">
        <f t="shared" si="10"/>
        <v>9492.5596991950206</v>
      </c>
      <c r="AS143" s="14">
        <f t="shared" si="10"/>
        <v>4743.1044511515356</v>
      </c>
    </row>
    <row r="144" spans="2:45" x14ac:dyDescent="0.25">
      <c r="C144" s="6" t="s">
        <v>131</v>
      </c>
      <c r="D144" s="2" t="s">
        <v>79</v>
      </c>
      <c r="J144" s="8">
        <f>SUM($J143:J143)</f>
        <v>-496.71232876712327</v>
      </c>
      <c r="K144" s="8">
        <f>SUM($J143:K143)</f>
        <v>-3451.5932876712327</v>
      </c>
      <c r="L144" s="8">
        <f>SUM($J143:L143)</f>
        <v>-13541.28699178082</v>
      </c>
      <c r="M144" s="8">
        <f>SUM($J143:M143)</f>
        <v>-26948.41199178082</v>
      </c>
      <c r="N144" s="8">
        <f>SUM($J143:N143)</f>
        <v>-53762.66199178082</v>
      </c>
      <c r="O144" s="8">
        <f>SUM($J143:O143)</f>
        <v>-63636.568819780819</v>
      </c>
      <c r="P144" s="8">
        <f>SUM($J143:P143)</f>
        <v>-54511.32311734082</v>
      </c>
      <c r="Q144" s="8">
        <f>SUM($J143:Q143)</f>
        <v>-43417.154012805404</v>
      </c>
      <c r="R144" s="8">
        <f>SUM($J143:R143)</f>
        <v>-34239.705805958038</v>
      </c>
      <c r="S144" s="8">
        <f>SUM($J143:S143)</f>
        <v>-25037.25224543862</v>
      </c>
      <c r="T144" s="8">
        <f>SUM($J143:T143)</f>
        <v>-15810.560257020225</v>
      </c>
      <c r="U144" s="8">
        <f>SUM($J143:U143)</f>
        <v>-6560.4249226222746</v>
      </c>
      <c r="V144" s="8">
        <f>SUM($J143:V143)</f>
        <v>2712.3297689526553</v>
      </c>
      <c r="W144" s="8">
        <f>SUM($J143:W143)</f>
        <v>12006.850152533181</v>
      </c>
      <c r="X144" s="8">
        <f>SUM($J143:X143)</f>
        <v>21322.252097883495</v>
      </c>
      <c r="Y144" s="8">
        <f>SUM($J143:Y143)</f>
        <v>30657.620201325572</v>
      </c>
      <c r="Z144" s="8">
        <f>SUM($J143:Z143)</f>
        <v>40012.006957195255</v>
      </c>
      <c r="AA144" s="8">
        <f>SUM($J143:AA143)</f>
        <v>49384.431908636499</v>
      </c>
      <c r="AB144" s="8">
        <f>SUM($J143:AB143)</f>
        <v>58773.880777225815</v>
      </c>
      <c r="AC144" s="8">
        <f>SUM($J143:AC143)</f>
        <v>68179.304570906606</v>
      </c>
      <c r="AD144" s="8">
        <f>SUM($J143:AD143)</f>
        <v>77599.618669700198</v>
      </c>
      <c r="AE144" s="8">
        <f>SUM($J143:AE143)</f>
        <v>87033.701888647425</v>
      </c>
      <c r="AF144" s="8">
        <f>SUM($J143:AF143)</f>
        <v>96480.395517421071</v>
      </c>
      <c r="AG144" s="8">
        <f>SUM($J143:AG143)</f>
        <v>105938.50233603598</v>
      </c>
      <c r="AH144" s="8">
        <f>SUM($J143:AH143)</f>
        <v>115406.78560606926</v>
      </c>
      <c r="AI144" s="8">
        <f>SUM($J143:AI143)</f>
        <v>124883.96803678898</v>
      </c>
      <c r="AJ144" s="8">
        <f>SUM($J143:AJ143)</f>
        <v>134368.73072557469</v>
      </c>
      <c r="AK144" s="8">
        <f>SUM($J143:AK143)</f>
        <v>143859.71207199796</v>
      </c>
      <c r="AL144" s="8">
        <f>SUM($J143:AL143)</f>
        <v>153355.50666491617</v>
      </c>
      <c r="AM144" s="8">
        <f>SUM($J143:AM143)</f>
        <v>162854.66414191591</v>
      </c>
      <c r="AN144" s="8">
        <f>SUM($J143:AN143)</f>
        <v>172355.68802042719</v>
      </c>
      <c r="AO144" s="8">
        <f>SUM($J143:AO143)</f>
        <v>181857.03449981229</v>
      </c>
      <c r="AP144" s="8">
        <f>SUM($J143:AP143)</f>
        <v>191357.11123371599</v>
      </c>
      <c r="AQ144" s="8">
        <f>SUM($J143:AQ143)</f>
        <v>200854.27607194704</v>
      </c>
      <c r="AR144" s="8">
        <f>SUM($J143:AR143)</f>
        <v>210346.83577114207</v>
      </c>
      <c r="AS144" s="8">
        <f>SUM($J143:AS143)</f>
        <v>215089.9402222936</v>
      </c>
    </row>
    <row r="146" spans="3:45" x14ac:dyDescent="0.25">
      <c r="C146" s="20" t="s">
        <v>5</v>
      </c>
      <c r="D146" s="20"/>
      <c r="E146" s="21"/>
      <c r="F146" s="21"/>
      <c r="G146" s="21"/>
      <c r="H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</row>
    <row r="147" spans="3:45" x14ac:dyDescent="0.25">
      <c r="C147" s="6" t="s">
        <v>126</v>
      </c>
      <c r="D147" s="2" t="s">
        <v>79</v>
      </c>
      <c r="H147" s="8">
        <f>SUM(J147:AS147)</f>
        <v>-71342.72671232876</v>
      </c>
      <c r="J147" s="8">
        <f t="shared" ref="J147:AS147" si="11">J292</f>
        <v>-657.1232876712329</v>
      </c>
      <c r="K147" s="8">
        <f t="shared" si="11"/>
        <v>-3612.0547945205481</v>
      </c>
      <c r="L147" s="8">
        <f t="shared" si="11"/>
        <v>-3359.8191780821917</v>
      </c>
      <c r="M147" s="8">
        <f t="shared" si="11"/>
        <v>-15927.0625</v>
      </c>
      <c r="N147" s="8">
        <f t="shared" si="11"/>
        <v>-31854.125</v>
      </c>
      <c r="O147" s="8">
        <f t="shared" si="11"/>
        <v>-18427.0625</v>
      </c>
      <c r="P147" s="8">
        <f t="shared" si="11"/>
        <v>0</v>
      </c>
      <c r="Q147" s="8">
        <f t="shared" si="11"/>
        <v>2494.5205479452052</v>
      </c>
      <c r="R147" s="8">
        <f t="shared" si="11"/>
        <v>0</v>
      </c>
      <c r="S147" s="8">
        <f t="shared" si="11"/>
        <v>0</v>
      </c>
      <c r="T147" s="8">
        <f t="shared" si="11"/>
        <v>0</v>
      </c>
      <c r="U147" s="8">
        <f t="shared" si="11"/>
        <v>0</v>
      </c>
      <c r="V147" s="8">
        <f t="shared" si="11"/>
        <v>0</v>
      </c>
      <c r="W147" s="8">
        <f t="shared" si="11"/>
        <v>0</v>
      </c>
      <c r="X147" s="8">
        <f t="shared" si="11"/>
        <v>0</v>
      </c>
      <c r="Y147" s="8">
        <f t="shared" si="11"/>
        <v>0</v>
      </c>
      <c r="Z147" s="8">
        <f t="shared" si="11"/>
        <v>0</v>
      </c>
      <c r="AA147" s="8">
        <f t="shared" si="11"/>
        <v>0</v>
      </c>
      <c r="AB147" s="8">
        <f t="shared" si="11"/>
        <v>0</v>
      </c>
      <c r="AC147" s="8">
        <f t="shared" si="11"/>
        <v>0</v>
      </c>
      <c r="AD147" s="8">
        <f t="shared" si="11"/>
        <v>0</v>
      </c>
      <c r="AE147" s="8">
        <f t="shared" si="11"/>
        <v>0</v>
      </c>
      <c r="AF147" s="8">
        <f t="shared" si="11"/>
        <v>0</v>
      </c>
      <c r="AG147" s="8">
        <f t="shared" si="11"/>
        <v>0</v>
      </c>
      <c r="AH147" s="8">
        <f t="shared" si="11"/>
        <v>0</v>
      </c>
      <c r="AI147" s="8">
        <f t="shared" si="11"/>
        <v>0</v>
      </c>
      <c r="AJ147" s="8">
        <f t="shared" si="11"/>
        <v>0</v>
      </c>
      <c r="AK147" s="8">
        <f t="shared" si="11"/>
        <v>0</v>
      </c>
      <c r="AL147" s="8">
        <f t="shared" si="11"/>
        <v>0</v>
      </c>
      <c r="AM147" s="8">
        <f t="shared" si="11"/>
        <v>0</v>
      </c>
      <c r="AN147" s="8">
        <f t="shared" si="11"/>
        <v>0</v>
      </c>
      <c r="AO147" s="8">
        <f t="shared" si="11"/>
        <v>0</v>
      </c>
      <c r="AP147" s="8">
        <f t="shared" si="11"/>
        <v>0</v>
      </c>
      <c r="AQ147" s="8">
        <f t="shared" si="11"/>
        <v>0</v>
      </c>
      <c r="AR147" s="8">
        <f t="shared" si="11"/>
        <v>0</v>
      </c>
      <c r="AS147" s="8">
        <f t="shared" si="11"/>
        <v>0</v>
      </c>
    </row>
    <row r="148" spans="3:45" x14ac:dyDescent="0.25">
      <c r="C148" s="6" t="s">
        <v>127</v>
      </c>
      <c r="D148" s="2" t="s">
        <v>79</v>
      </c>
      <c r="H148" s="8">
        <f>SUM(J148:AS148)</f>
        <v>446130.68572945433</v>
      </c>
      <c r="J148" s="8">
        <f t="shared" ref="J148:AS148" si="12">J296</f>
        <v>0</v>
      </c>
      <c r="K148" s="8">
        <f t="shared" si="12"/>
        <v>0</v>
      </c>
      <c r="L148" s="8">
        <f t="shared" si="12"/>
        <v>0</v>
      </c>
      <c r="M148" s="8">
        <f t="shared" si="12"/>
        <v>0</v>
      </c>
      <c r="N148" s="8">
        <f t="shared" si="12"/>
        <v>0</v>
      </c>
      <c r="O148" s="8">
        <f t="shared" si="12"/>
        <v>6667.9199999999992</v>
      </c>
      <c r="P148" s="8">
        <f t="shared" si="12"/>
        <v>13469.198399999999</v>
      </c>
      <c r="Q148" s="8">
        <f t="shared" si="12"/>
        <v>13563.078712847999</v>
      </c>
      <c r="R148" s="8">
        <f t="shared" si="12"/>
        <v>13657.613371476547</v>
      </c>
      <c r="S148" s="8">
        <f t="shared" si="12"/>
        <v>13752.806936675741</v>
      </c>
      <c r="T148" s="8">
        <f t="shared" si="12"/>
        <v>13848.664001024374</v>
      </c>
      <c r="U148" s="8">
        <f t="shared" si="12"/>
        <v>13945.189189111516</v>
      </c>
      <c r="V148" s="8">
        <f t="shared" si="12"/>
        <v>14042.387157759618</v>
      </c>
      <c r="W148" s="8">
        <f t="shared" si="12"/>
        <v>14140.262596249206</v>
      </c>
      <c r="X148" s="8">
        <f t="shared" si="12"/>
        <v>14238.820226545064</v>
      </c>
      <c r="Y148" s="8">
        <f t="shared" si="12"/>
        <v>14338.064803524083</v>
      </c>
      <c r="Z148" s="8">
        <f t="shared" si="12"/>
        <v>14438.001115204645</v>
      </c>
      <c r="AA148" s="8">
        <f t="shared" si="12"/>
        <v>14538.633982977623</v>
      </c>
      <c r="AB148" s="8">
        <f t="shared" si="12"/>
        <v>14639.968261838976</v>
      </c>
      <c r="AC148" s="8">
        <f t="shared" si="12"/>
        <v>14742.008840623994</v>
      </c>
      <c r="AD148" s="8">
        <f t="shared" si="12"/>
        <v>14844.760642243142</v>
      </c>
      <c r="AE148" s="8">
        <f t="shared" si="12"/>
        <v>14948.228623919576</v>
      </c>
      <c r="AF148" s="8">
        <f t="shared" si="12"/>
        <v>15052.417777428302</v>
      </c>
      <c r="AG148" s="8">
        <f t="shared" si="12"/>
        <v>15157.333129336976</v>
      </c>
      <c r="AH148" s="8">
        <f t="shared" si="12"/>
        <v>15262.979741248453</v>
      </c>
      <c r="AI148" s="8">
        <f t="shared" si="12"/>
        <v>15369.362710044956</v>
      </c>
      <c r="AJ148" s="8">
        <f t="shared" si="12"/>
        <v>15476.487168133966</v>
      </c>
      <c r="AK148" s="8">
        <f t="shared" si="12"/>
        <v>15584.358283695865</v>
      </c>
      <c r="AL148" s="8">
        <f t="shared" si="12"/>
        <v>15692.981260933226</v>
      </c>
      <c r="AM148" s="8">
        <f t="shared" si="12"/>
        <v>15802.36134032193</v>
      </c>
      <c r="AN148" s="8">
        <f t="shared" si="12"/>
        <v>15912.503798863978</v>
      </c>
      <c r="AO148" s="8">
        <f t="shared" si="12"/>
        <v>16023.413950342057</v>
      </c>
      <c r="AP148" s="8">
        <f t="shared" si="12"/>
        <v>16135.097145575935</v>
      </c>
      <c r="AQ148" s="8">
        <f t="shared" si="12"/>
        <v>16247.558772680604</v>
      </c>
      <c r="AR148" s="8">
        <f t="shared" si="12"/>
        <v>16360.804257326188</v>
      </c>
      <c r="AS148" s="8">
        <f t="shared" si="12"/>
        <v>8237.419531499876</v>
      </c>
    </row>
    <row r="149" spans="3:45" x14ac:dyDescent="0.25">
      <c r="C149" s="6" t="s">
        <v>128</v>
      </c>
      <c r="D149" s="2" t="s">
        <v>79</v>
      </c>
      <c r="H149" s="8">
        <f>SUM(J149:AS149)</f>
        <v>-130425.69762342949</v>
      </c>
      <c r="J149" s="8">
        <f t="shared" ref="J149:AS149" si="13">J305</f>
        <v>0</v>
      </c>
      <c r="K149" s="8">
        <f t="shared" si="13"/>
        <v>0</v>
      </c>
      <c r="L149" s="8">
        <f t="shared" si="13"/>
        <v>0</v>
      </c>
      <c r="M149" s="8">
        <f t="shared" si="13"/>
        <v>0</v>
      </c>
      <c r="N149" s="8">
        <f t="shared" si="13"/>
        <v>0</v>
      </c>
      <c r="O149" s="8">
        <f t="shared" si="13"/>
        <v>-1598.148216</v>
      </c>
      <c r="P149" s="8">
        <f t="shared" si="13"/>
        <v>-3260.8798513199995</v>
      </c>
      <c r="Q149" s="8">
        <f t="shared" si="13"/>
        <v>-3322.39115932295</v>
      </c>
      <c r="R149" s="8">
        <f t="shared" si="13"/>
        <v>-3385.3882015133945</v>
      </c>
      <c r="S149" s="8">
        <f t="shared" si="13"/>
        <v>-3449.9065822287721</v>
      </c>
      <c r="T149" s="8">
        <f t="shared" si="13"/>
        <v>-3515.98276867813</v>
      </c>
      <c r="U149" s="8">
        <f t="shared" si="13"/>
        <v>-3583.6541119342505</v>
      </c>
      <c r="V149" s="8">
        <f t="shared" si="13"/>
        <v>-3652.9588684380865</v>
      </c>
      <c r="W149" s="8">
        <f t="shared" si="13"/>
        <v>-3723.9362220280277</v>
      </c>
      <c r="X149" s="8">
        <f t="shared" si="13"/>
        <v>-3796.626306506846</v>
      </c>
      <c r="Y149" s="8">
        <f t="shared" si="13"/>
        <v>-3871.0702287594695</v>
      </c>
      <c r="Z149" s="8">
        <f t="shared" si="13"/>
        <v>-3947.3100924350747</v>
      </c>
      <c r="AA149" s="8">
        <f t="shared" si="13"/>
        <v>-4025.3890222072937</v>
      </c>
      <c r="AB149" s="8">
        <f t="shared" si="13"/>
        <v>-4105.351188626707</v>
      </c>
      <c r="AC149" s="8">
        <f t="shared" si="13"/>
        <v>-4187.2418335800867</v>
      </c>
      <c r="AD149" s="8">
        <f t="shared" si="13"/>
        <v>-4271.1072963712768</v>
      </c>
      <c r="AE149" s="8">
        <f t="shared" si="13"/>
        <v>-4356.9950404388892</v>
      </c>
      <c r="AF149" s="8">
        <f t="shared" si="13"/>
        <v>-4444.9536807264467</v>
      </c>
      <c r="AG149" s="8">
        <f t="shared" si="13"/>
        <v>-4535.0330117209023</v>
      </c>
      <c r="AH149" s="8">
        <f t="shared" si="13"/>
        <v>-4627.2840361759263</v>
      </c>
      <c r="AI149" s="8">
        <f t="shared" si="13"/>
        <v>-4721.7589945367235</v>
      </c>
      <c r="AJ149" s="8">
        <f t="shared" si="13"/>
        <v>-4818.5113950835375</v>
      </c>
      <c r="AK149" s="8">
        <f t="shared" si="13"/>
        <v>-4917.5960448114747</v>
      </c>
      <c r="AL149" s="8">
        <f t="shared" si="13"/>
        <v>-5019.0690810646302</v>
      </c>
      <c r="AM149" s="8">
        <f t="shared" si="13"/>
        <v>-5122.9880039430363</v>
      </c>
      <c r="AN149" s="8">
        <f t="shared" si="13"/>
        <v>-5229.4117095013307</v>
      </c>
      <c r="AO149" s="8">
        <f t="shared" si="13"/>
        <v>-5338.400523758537</v>
      </c>
      <c r="AP149" s="8">
        <f t="shared" si="13"/>
        <v>-5450.01623753884</v>
      </c>
      <c r="AQ149" s="8">
        <f t="shared" si="13"/>
        <v>-5564.3221421636708</v>
      </c>
      <c r="AR149" s="8">
        <f t="shared" si="13"/>
        <v>-5681.3830660160138</v>
      </c>
      <c r="AS149" s="8">
        <f t="shared" si="13"/>
        <v>-2900.6327059991249</v>
      </c>
    </row>
    <row r="150" spans="3:45" x14ac:dyDescent="0.25">
      <c r="C150" s="6" t="s">
        <v>129</v>
      </c>
      <c r="D150" s="2" t="s">
        <v>79</v>
      </c>
      <c r="H150" s="8">
        <f>SUM(J150:AS150)</f>
        <v>315704.98810602498</v>
      </c>
      <c r="J150" s="8">
        <f t="shared" ref="J150:AS150" si="14">J306</f>
        <v>0</v>
      </c>
      <c r="K150" s="8">
        <f t="shared" si="14"/>
        <v>0</v>
      </c>
      <c r="L150" s="8">
        <f t="shared" si="14"/>
        <v>0</v>
      </c>
      <c r="M150" s="8">
        <f t="shared" si="14"/>
        <v>0</v>
      </c>
      <c r="N150" s="8">
        <f t="shared" si="14"/>
        <v>0</v>
      </c>
      <c r="O150" s="8">
        <f t="shared" si="14"/>
        <v>5069.7717839999987</v>
      </c>
      <c r="P150" s="8">
        <f t="shared" si="14"/>
        <v>10208.318548679999</v>
      </c>
      <c r="Q150" s="8">
        <f t="shared" si="14"/>
        <v>10240.687553525049</v>
      </c>
      <c r="R150" s="8">
        <f t="shared" si="14"/>
        <v>10272.225169963152</v>
      </c>
      <c r="S150" s="8">
        <f t="shared" si="14"/>
        <v>10302.900354446969</v>
      </c>
      <c r="T150" s="8">
        <f t="shared" si="14"/>
        <v>10332.681232346244</v>
      </c>
      <c r="U150" s="8">
        <f t="shared" si="14"/>
        <v>10361.535077177265</v>
      </c>
      <c r="V150" s="8">
        <f t="shared" si="14"/>
        <v>10389.428289321531</v>
      </c>
      <c r="W150" s="8">
        <f t="shared" si="14"/>
        <v>10416.326374221178</v>
      </c>
      <c r="X150" s="8">
        <f t="shared" si="14"/>
        <v>10442.193920038218</v>
      </c>
      <c r="Y150" s="8">
        <f t="shared" si="14"/>
        <v>10466.994574764612</v>
      </c>
      <c r="Z150" s="8">
        <f t="shared" si="14"/>
        <v>10490.69102276957</v>
      </c>
      <c r="AA150" s="8">
        <f t="shared" si="14"/>
        <v>10513.244960770329</v>
      </c>
      <c r="AB150" s="8">
        <f t="shared" si="14"/>
        <v>10534.61707321227</v>
      </c>
      <c r="AC150" s="8">
        <f t="shared" si="14"/>
        <v>10554.767007043907</v>
      </c>
      <c r="AD150" s="8">
        <f t="shared" si="14"/>
        <v>10573.653345871866</v>
      </c>
      <c r="AE150" s="8">
        <f t="shared" si="14"/>
        <v>10591.233583480687</v>
      </c>
      <c r="AF150" s="8">
        <f t="shared" si="14"/>
        <v>10607.464096701855</v>
      </c>
      <c r="AG150" s="8">
        <f t="shared" si="14"/>
        <v>10622.300117616072</v>
      </c>
      <c r="AH150" s="8">
        <f t="shared" si="14"/>
        <v>10635.695705072527</v>
      </c>
      <c r="AI150" s="8">
        <f t="shared" si="14"/>
        <v>10647.603715508232</v>
      </c>
      <c r="AJ150" s="8">
        <f t="shared" si="14"/>
        <v>10657.975773050428</v>
      </c>
      <c r="AK150" s="8">
        <f t="shared" si="14"/>
        <v>10666.76223888439</v>
      </c>
      <c r="AL150" s="8">
        <f t="shared" si="14"/>
        <v>10673.912179868596</v>
      </c>
      <c r="AM150" s="8">
        <f t="shared" si="14"/>
        <v>10679.373336378892</v>
      </c>
      <c r="AN150" s="8">
        <f t="shared" si="14"/>
        <v>10683.092089362646</v>
      </c>
      <c r="AO150" s="8">
        <f t="shared" si="14"/>
        <v>10685.01342658352</v>
      </c>
      <c r="AP150" s="8">
        <f t="shared" si="14"/>
        <v>10685.080908037096</v>
      </c>
      <c r="AQ150" s="8">
        <f t="shared" si="14"/>
        <v>10683.236630516934</v>
      </c>
      <c r="AR150" s="8">
        <f t="shared" si="14"/>
        <v>10679.421191310175</v>
      </c>
      <c r="AS150" s="8">
        <f t="shared" si="14"/>
        <v>5336.7868255007506</v>
      </c>
    </row>
    <row r="151" spans="3:45" x14ac:dyDescent="0.25">
      <c r="C151" s="1" t="s">
        <v>130</v>
      </c>
      <c r="D151" s="2" t="s">
        <v>79</v>
      </c>
      <c r="H151" s="14">
        <f>SUM(J151:AS151)</f>
        <v>244362.26139369622</v>
      </c>
      <c r="J151" s="14">
        <f t="shared" ref="J151:AS151" si="15">J307</f>
        <v>-657.1232876712329</v>
      </c>
      <c r="K151" s="14">
        <f t="shared" si="15"/>
        <v>-3612.0547945205481</v>
      </c>
      <c r="L151" s="14">
        <f t="shared" si="15"/>
        <v>-3359.8191780821917</v>
      </c>
      <c r="M151" s="14">
        <f t="shared" si="15"/>
        <v>-15927.0625</v>
      </c>
      <c r="N151" s="14">
        <f t="shared" si="15"/>
        <v>-31854.125</v>
      </c>
      <c r="O151" s="14">
        <f t="shared" si="15"/>
        <v>-13357.290716000001</v>
      </c>
      <c r="P151" s="14">
        <f t="shared" si="15"/>
        <v>10208.318548679999</v>
      </c>
      <c r="Q151" s="14">
        <f t="shared" si="15"/>
        <v>12735.208101470254</v>
      </c>
      <c r="R151" s="14">
        <f t="shared" si="15"/>
        <v>10272.225169963152</v>
      </c>
      <c r="S151" s="14">
        <f t="shared" si="15"/>
        <v>10302.900354446969</v>
      </c>
      <c r="T151" s="14">
        <f t="shared" si="15"/>
        <v>10332.681232346244</v>
      </c>
      <c r="U151" s="14">
        <f t="shared" si="15"/>
        <v>10361.535077177265</v>
      </c>
      <c r="V151" s="14">
        <f t="shared" si="15"/>
        <v>10389.428289321531</v>
      </c>
      <c r="W151" s="14">
        <f t="shared" si="15"/>
        <v>10416.326374221178</v>
      </c>
      <c r="X151" s="14">
        <f t="shared" si="15"/>
        <v>10442.193920038218</v>
      </c>
      <c r="Y151" s="14">
        <f t="shared" si="15"/>
        <v>10466.994574764612</v>
      </c>
      <c r="Z151" s="14">
        <f t="shared" si="15"/>
        <v>10490.69102276957</v>
      </c>
      <c r="AA151" s="14">
        <f t="shared" si="15"/>
        <v>10513.244960770329</v>
      </c>
      <c r="AB151" s="14">
        <f t="shared" si="15"/>
        <v>10534.61707321227</v>
      </c>
      <c r="AC151" s="14">
        <f t="shared" si="15"/>
        <v>10554.767007043907</v>
      </c>
      <c r="AD151" s="14">
        <f t="shared" si="15"/>
        <v>10573.653345871866</v>
      </c>
      <c r="AE151" s="14">
        <f t="shared" si="15"/>
        <v>10591.233583480687</v>
      </c>
      <c r="AF151" s="14">
        <f t="shared" si="15"/>
        <v>10607.464096701855</v>
      </c>
      <c r="AG151" s="14">
        <f t="shared" si="15"/>
        <v>10622.300117616072</v>
      </c>
      <c r="AH151" s="14">
        <f t="shared" si="15"/>
        <v>10635.695705072527</v>
      </c>
      <c r="AI151" s="14">
        <f t="shared" si="15"/>
        <v>10647.603715508232</v>
      </c>
      <c r="AJ151" s="14">
        <f t="shared" si="15"/>
        <v>10657.975773050428</v>
      </c>
      <c r="AK151" s="14">
        <f t="shared" si="15"/>
        <v>10666.76223888439</v>
      </c>
      <c r="AL151" s="14">
        <f t="shared" si="15"/>
        <v>10673.912179868596</v>
      </c>
      <c r="AM151" s="14">
        <f t="shared" si="15"/>
        <v>10679.373336378892</v>
      </c>
      <c r="AN151" s="14">
        <f t="shared" si="15"/>
        <v>10683.092089362646</v>
      </c>
      <c r="AO151" s="14">
        <f t="shared" si="15"/>
        <v>10685.01342658352</v>
      </c>
      <c r="AP151" s="14">
        <f t="shared" si="15"/>
        <v>10685.080908037096</v>
      </c>
      <c r="AQ151" s="14">
        <f t="shared" si="15"/>
        <v>10683.236630516934</v>
      </c>
      <c r="AR151" s="14">
        <f t="shared" si="15"/>
        <v>10679.421191310175</v>
      </c>
      <c r="AS151" s="14">
        <f t="shared" si="15"/>
        <v>5336.7868255007506</v>
      </c>
    </row>
    <row r="152" spans="3:45" x14ac:dyDescent="0.25">
      <c r="C152" s="6" t="s">
        <v>131</v>
      </c>
      <c r="D152" s="2" t="s">
        <v>79</v>
      </c>
      <c r="J152" s="8">
        <f>SUM($J151:J151)</f>
        <v>-657.1232876712329</v>
      </c>
      <c r="K152" s="8">
        <f>SUM($J151:K151)</f>
        <v>-4269.178082191781</v>
      </c>
      <c r="L152" s="8">
        <f>SUM($J151:L151)</f>
        <v>-7628.9972602739726</v>
      </c>
      <c r="M152" s="8">
        <f>SUM($J151:M151)</f>
        <v>-23556.059760273973</v>
      </c>
      <c r="N152" s="8">
        <f>SUM($J151:N151)</f>
        <v>-55410.184760273973</v>
      </c>
      <c r="O152" s="8">
        <f>SUM($J151:O151)</f>
        <v>-68767.475476273976</v>
      </c>
      <c r="P152" s="8">
        <f>SUM($J151:P151)</f>
        <v>-58559.156927593976</v>
      </c>
      <c r="Q152" s="8">
        <f>SUM($J151:Q151)</f>
        <v>-45823.94882612372</v>
      </c>
      <c r="R152" s="8">
        <f>SUM($J151:R151)</f>
        <v>-35551.723656160568</v>
      </c>
      <c r="S152" s="8">
        <f>SUM($J151:S151)</f>
        <v>-25248.823301713601</v>
      </c>
      <c r="T152" s="8">
        <f>SUM($J151:T151)</f>
        <v>-14916.142069367357</v>
      </c>
      <c r="U152" s="8">
        <f>SUM($J151:U151)</f>
        <v>-4554.6069921900926</v>
      </c>
      <c r="V152" s="8">
        <f>SUM($J151:V151)</f>
        <v>5834.8212971314388</v>
      </c>
      <c r="W152" s="8">
        <f>SUM($J151:W151)</f>
        <v>16251.147671352617</v>
      </c>
      <c r="X152" s="8">
        <f>SUM($J151:X151)</f>
        <v>26693.341591390836</v>
      </c>
      <c r="Y152" s="8">
        <f>SUM($J151:Y151)</f>
        <v>37160.336166155452</v>
      </c>
      <c r="Z152" s="8">
        <f>SUM($J151:Z151)</f>
        <v>47651.027188925022</v>
      </c>
      <c r="AA152" s="8">
        <f>SUM($J151:AA151)</f>
        <v>58164.272149695353</v>
      </c>
      <c r="AB152" s="8">
        <f>SUM($J151:AB151)</f>
        <v>68698.88922290763</v>
      </c>
      <c r="AC152" s="8">
        <f>SUM($J151:AC151)</f>
        <v>79253.656229951535</v>
      </c>
      <c r="AD152" s="8">
        <f>SUM($J151:AD151)</f>
        <v>89827.309575823398</v>
      </c>
      <c r="AE152" s="8">
        <f>SUM($J151:AE151)</f>
        <v>100418.54315930408</v>
      </c>
      <c r="AF152" s="8">
        <f>SUM($J151:AF151)</f>
        <v>111026.00725600593</v>
      </c>
      <c r="AG152" s="8">
        <f>SUM($J151:AG151)</f>
        <v>121648.30737362201</v>
      </c>
      <c r="AH152" s="8">
        <f>SUM($J151:AH151)</f>
        <v>132284.00307869454</v>
      </c>
      <c r="AI152" s="8">
        <f>SUM($J151:AI151)</f>
        <v>142931.60679420279</v>
      </c>
      <c r="AJ152" s="8">
        <f>SUM($J151:AJ151)</f>
        <v>153589.58256725321</v>
      </c>
      <c r="AK152" s="8">
        <f>SUM($J151:AK151)</f>
        <v>164256.34480613761</v>
      </c>
      <c r="AL152" s="8">
        <f>SUM($J151:AL151)</f>
        <v>174930.25698600622</v>
      </c>
      <c r="AM152" s="8">
        <f>SUM($J151:AM151)</f>
        <v>185609.63032238511</v>
      </c>
      <c r="AN152" s="8">
        <f>SUM($J151:AN151)</f>
        <v>196292.72241174776</v>
      </c>
      <c r="AO152" s="8">
        <f>SUM($J151:AO151)</f>
        <v>206977.73583833128</v>
      </c>
      <c r="AP152" s="8">
        <f>SUM($J151:AP151)</f>
        <v>217662.81674636836</v>
      </c>
      <c r="AQ152" s="8">
        <f>SUM($J151:AQ151)</f>
        <v>228346.05337688531</v>
      </c>
      <c r="AR152" s="8">
        <f>SUM($J151:AR151)</f>
        <v>239025.47456819547</v>
      </c>
      <c r="AS152" s="8">
        <f>SUM($J151:AS151)</f>
        <v>244362.26139369622</v>
      </c>
    </row>
    <row r="154" spans="3:45" x14ac:dyDescent="0.25">
      <c r="C154" s="20" t="s">
        <v>6</v>
      </c>
      <c r="D154" s="20"/>
      <c r="E154" s="21"/>
      <c r="F154" s="21"/>
      <c r="G154" s="21"/>
      <c r="H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</row>
    <row r="155" spans="3:45" x14ac:dyDescent="0.25">
      <c r="C155" s="6" t="s">
        <v>126</v>
      </c>
      <c r="D155" s="2" t="s">
        <v>79</v>
      </c>
      <c r="H155" s="8">
        <f>SUM(J155:AS155)</f>
        <v>-71342.72671232876</v>
      </c>
      <c r="J155" s="8">
        <f t="shared" ref="J155:AS155" si="16">J323</f>
        <v>-657.1232876712329</v>
      </c>
      <c r="K155" s="8">
        <f t="shared" si="16"/>
        <v>-3612.0547945205481</v>
      </c>
      <c r="L155" s="8">
        <f t="shared" si="16"/>
        <v>-3359.8191780821917</v>
      </c>
      <c r="M155" s="8">
        <f t="shared" si="16"/>
        <v>-15927.0625</v>
      </c>
      <c r="N155" s="8">
        <f t="shared" si="16"/>
        <v>-31854.125</v>
      </c>
      <c r="O155" s="8">
        <f t="shared" si="16"/>
        <v>-18427.0625</v>
      </c>
      <c r="P155" s="8">
        <f t="shared" si="16"/>
        <v>0</v>
      </c>
      <c r="Q155" s="8">
        <f t="shared" si="16"/>
        <v>2494.5205479452052</v>
      </c>
      <c r="R155" s="8">
        <f t="shared" si="16"/>
        <v>0</v>
      </c>
      <c r="S155" s="8">
        <f t="shared" si="16"/>
        <v>0</v>
      </c>
      <c r="T155" s="8">
        <f t="shared" si="16"/>
        <v>0</v>
      </c>
      <c r="U155" s="8">
        <f t="shared" si="16"/>
        <v>0</v>
      </c>
      <c r="V155" s="8">
        <f t="shared" si="16"/>
        <v>0</v>
      </c>
      <c r="W155" s="8">
        <f t="shared" si="16"/>
        <v>0</v>
      </c>
      <c r="X155" s="8">
        <f t="shared" si="16"/>
        <v>0</v>
      </c>
      <c r="Y155" s="8">
        <f t="shared" si="16"/>
        <v>0</v>
      </c>
      <c r="Z155" s="8">
        <f t="shared" si="16"/>
        <v>0</v>
      </c>
      <c r="AA155" s="8">
        <f t="shared" si="16"/>
        <v>0</v>
      </c>
      <c r="AB155" s="8">
        <f t="shared" si="16"/>
        <v>0</v>
      </c>
      <c r="AC155" s="8">
        <f t="shared" si="16"/>
        <v>0</v>
      </c>
      <c r="AD155" s="8">
        <f t="shared" si="16"/>
        <v>0</v>
      </c>
      <c r="AE155" s="8">
        <f t="shared" si="16"/>
        <v>0</v>
      </c>
      <c r="AF155" s="8">
        <f t="shared" si="16"/>
        <v>0</v>
      </c>
      <c r="AG155" s="8">
        <f t="shared" si="16"/>
        <v>0</v>
      </c>
      <c r="AH155" s="8">
        <f t="shared" si="16"/>
        <v>0</v>
      </c>
      <c r="AI155" s="8">
        <f t="shared" si="16"/>
        <v>0</v>
      </c>
      <c r="AJ155" s="8">
        <f t="shared" si="16"/>
        <v>0</v>
      </c>
      <c r="AK155" s="8">
        <f t="shared" si="16"/>
        <v>0</v>
      </c>
      <c r="AL155" s="8">
        <f t="shared" si="16"/>
        <v>0</v>
      </c>
      <c r="AM155" s="8">
        <f t="shared" si="16"/>
        <v>0</v>
      </c>
      <c r="AN155" s="8">
        <f t="shared" si="16"/>
        <v>0</v>
      </c>
      <c r="AO155" s="8">
        <f t="shared" si="16"/>
        <v>0</v>
      </c>
      <c r="AP155" s="8">
        <f t="shared" si="16"/>
        <v>0</v>
      </c>
      <c r="AQ155" s="8">
        <f t="shared" si="16"/>
        <v>0</v>
      </c>
      <c r="AR155" s="8">
        <f t="shared" si="16"/>
        <v>0</v>
      </c>
      <c r="AS155" s="8">
        <f t="shared" si="16"/>
        <v>0</v>
      </c>
    </row>
    <row r="156" spans="3:45" x14ac:dyDescent="0.25">
      <c r="C156" s="6" t="s">
        <v>127</v>
      </c>
      <c r="D156" s="2" t="s">
        <v>79</v>
      </c>
      <c r="H156" s="8">
        <f>SUM(J156:AS156)</f>
        <v>446130.68572945433</v>
      </c>
      <c r="J156" s="8">
        <f t="shared" ref="J156:AS156" si="17">J327</f>
        <v>0</v>
      </c>
      <c r="K156" s="8">
        <f t="shared" si="17"/>
        <v>0</v>
      </c>
      <c r="L156" s="8">
        <f t="shared" si="17"/>
        <v>0</v>
      </c>
      <c r="M156" s="8">
        <f t="shared" si="17"/>
        <v>0</v>
      </c>
      <c r="N156" s="8">
        <f t="shared" si="17"/>
        <v>0</v>
      </c>
      <c r="O156" s="8">
        <f t="shared" si="17"/>
        <v>6667.9199999999992</v>
      </c>
      <c r="P156" s="8">
        <f t="shared" si="17"/>
        <v>13469.198399999999</v>
      </c>
      <c r="Q156" s="8">
        <f t="shared" si="17"/>
        <v>13563.078712847999</v>
      </c>
      <c r="R156" s="8">
        <f t="shared" si="17"/>
        <v>13657.613371476547</v>
      </c>
      <c r="S156" s="8">
        <f t="shared" si="17"/>
        <v>13752.806936675741</v>
      </c>
      <c r="T156" s="8">
        <f t="shared" si="17"/>
        <v>13848.664001024374</v>
      </c>
      <c r="U156" s="8">
        <f t="shared" si="17"/>
        <v>13945.189189111516</v>
      </c>
      <c r="V156" s="8">
        <f t="shared" si="17"/>
        <v>14042.387157759618</v>
      </c>
      <c r="W156" s="8">
        <f t="shared" si="17"/>
        <v>14140.262596249206</v>
      </c>
      <c r="X156" s="8">
        <f t="shared" si="17"/>
        <v>14238.820226545064</v>
      </c>
      <c r="Y156" s="8">
        <f t="shared" si="17"/>
        <v>14338.064803524083</v>
      </c>
      <c r="Z156" s="8">
        <f t="shared" si="17"/>
        <v>14438.001115204645</v>
      </c>
      <c r="AA156" s="8">
        <f t="shared" si="17"/>
        <v>14538.633982977623</v>
      </c>
      <c r="AB156" s="8">
        <f t="shared" si="17"/>
        <v>14639.968261838976</v>
      </c>
      <c r="AC156" s="8">
        <f t="shared" si="17"/>
        <v>14742.008840623994</v>
      </c>
      <c r="AD156" s="8">
        <f t="shared" si="17"/>
        <v>14844.760642243142</v>
      </c>
      <c r="AE156" s="8">
        <f t="shared" si="17"/>
        <v>14948.228623919576</v>
      </c>
      <c r="AF156" s="8">
        <f t="shared" si="17"/>
        <v>15052.417777428302</v>
      </c>
      <c r="AG156" s="8">
        <f t="shared" si="17"/>
        <v>15157.333129336976</v>
      </c>
      <c r="AH156" s="8">
        <f t="shared" si="17"/>
        <v>15262.979741248453</v>
      </c>
      <c r="AI156" s="8">
        <f t="shared" si="17"/>
        <v>15369.362710044956</v>
      </c>
      <c r="AJ156" s="8">
        <f t="shared" si="17"/>
        <v>15476.487168133966</v>
      </c>
      <c r="AK156" s="8">
        <f t="shared" si="17"/>
        <v>15584.358283695865</v>
      </c>
      <c r="AL156" s="8">
        <f t="shared" si="17"/>
        <v>15692.981260933226</v>
      </c>
      <c r="AM156" s="8">
        <f t="shared" si="17"/>
        <v>15802.36134032193</v>
      </c>
      <c r="AN156" s="8">
        <f t="shared" si="17"/>
        <v>15912.503798863978</v>
      </c>
      <c r="AO156" s="8">
        <f t="shared" si="17"/>
        <v>16023.413950342057</v>
      </c>
      <c r="AP156" s="8">
        <f t="shared" si="17"/>
        <v>16135.097145575935</v>
      </c>
      <c r="AQ156" s="8">
        <f t="shared" si="17"/>
        <v>16247.558772680604</v>
      </c>
      <c r="AR156" s="8">
        <f t="shared" si="17"/>
        <v>16360.804257326188</v>
      </c>
      <c r="AS156" s="8">
        <f t="shared" si="17"/>
        <v>8237.419531499876</v>
      </c>
    </row>
    <row r="157" spans="3:45" x14ac:dyDescent="0.25">
      <c r="C157" s="6" t="s">
        <v>128</v>
      </c>
      <c r="D157" s="2" t="s">
        <v>79</v>
      </c>
      <c r="H157" s="8">
        <f>SUM(J157:AS157)</f>
        <v>-130425.69762342949</v>
      </c>
      <c r="J157" s="8">
        <f t="shared" ref="J157:AS157" si="18">J336</f>
        <v>0</v>
      </c>
      <c r="K157" s="8">
        <f t="shared" si="18"/>
        <v>0</v>
      </c>
      <c r="L157" s="8">
        <f t="shared" si="18"/>
        <v>0</v>
      </c>
      <c r="M157" s="8">
        <f t="shared" si="18"/>
        <v>0</v>
      </c>
      <c r="N157" s="8">
        <f t="shared" si="18"/>
        <v>0</v>
      </c>
      <c r="O157" s="8">
        <f t="shared" si="18"/>
        <v>-1598.148216</v>
      </c>
      <c r="P157" s="8">
        <f t="shared" si="18"/>
        <v>-3260.8798513199995</v>
      </c>
      <c r="Q157" s="8">
        <f t="shared" si="18"/>
        <v>-3322.39115932295</v>
      </c>
      <c r="R157" s="8">
        <f t="shared" si="18"/>
        <v>-3385.3882015133945</v>
      </c>
      <c r="S157" s="8">
        <f t="shared" si="18"/>
        <v>-3449.9065822287721</v>
      </c>
      <c r="T157" s="8">
        <f t="shared" si="18"/>
        <v>-3515.98276867813</v>
      </c>
      <c r="U157" s="8">
        <f t="shared" si="18"/>
        <v>-3583.6541119342505</v>
      </c>
      <c r="V157" s="8">
        <f t="shared" si="18"/>
        <v>-3652.9588684380865</v>
      </c>
      <c r="W157" s="8">
        <f t="shared" si="18"/>
        <v>-3723.9362220280277</v>
      </c>
      <c r="X157" s="8">
        <f t="shared" si="18"/>
        <v>-3796.626306506846</v>
      </c>
      <c r="Y157" s="8">
        <f t="shared" si="18"/>
        <v>-3871.0702287594695</v>
      </c>
      <c r="Z157" s="8">
        <f t="shared" si="18"/>
        <v>-3947.3100924350747</v>
      </c>
      <c r="AA157" s="8">
        <f t="shared" si="18"/>
        <v>-4025.3890222072937</v>
      </c>
      <c r="AB157" s="8">
        <f t="shared" si="18"/>
        <v>-4105.351188626707</v>
      </c>
      <c r="AC157" s="8">
        <f t="shared" si="18"/>
        <v>-4187.2418335800867</v>
      </c>
      <c r="AD157" s="8">
        <f t="shared" si="18"/>
        <v>-4271.1072963712768</v>
      </c>
      <c r="AE157" s="8">
        <f t="shared" si="18"/>
        <v>-4356.9950404388892</v>
      </c>
      <c r="AF157" s="8">
        <f t="shared" si="18"/>
        <v>-4444.9536807264467</v>
      </c>
      <c r="AG157" s="8">
        <f t="shared" si="18"/>
        <v>-4535.0330117209023</v>
      </c>
      <c r="AH157" s="8">
        <f t="shared" si="18"/>
        <v>-4627.2840361759263</v>
      </c>
      <c r="AI157" s="8">
        <f t="shared" si="18"/>
        <v>-4721.7589945367235</v>
      </c>
      <c r="AJ157" s="8">
        <f t="shared" si="18"/>
        <v>-4818.5113950835375</v>
      </c>
      <c r="AK157" s="8">
        <f t="shared" si="18"/>
        <v>-4917.5960448114747</v>
      </c>
      <c r="AL157" s="8">
        <f t="shared" si="18"/>
        <v>-5019.0690810646302</v>
      </c>
      <c r="AM157" s="8">
        <f t="shared" si="18"/>
        <v>-5122.9880039430363</v>
      </c>
      <c r="AN157" s="8">
        <f t="shared" si="18"/>
        <v>-5229.4117095013307</v>
      </c>
      <c r="AO157" s="8">
        <f t="shared" si="18"/>
        <v>-5338.400523758537</v>
      </c>
      <c r="AP157" s="8">
        <f t="shared" si="18"/>
        <v>-5450.01623753884</v>
      </c>
      <c r="AQ157" s="8">
        <f t="shared" si="18"/>
        <v>-5564.3221421636708</v>
      </c>
      <c r="AR157" s="8">
        <f t="shared" si="18"/>
        <v>-5681.3830660160138</v>
      </c>
      <c r="AS157" s="8">
        <f t="shared" si="18"/>
        <v>-2900.6327059991249</v>
      </c>
    </row>
    <row r="158" spans="3:45" x14ac:dyDescent="0.25">
      <c r="C158" s="6" t="s">
        <v>129</v>
      </c>
      <c r="D158" s="2" t="s">
        <v>79</v>
      </c>
      <c r="H158" s="8">
        <f>SUM(J158:AS158)</f>
        <v>315704.98810602498</v>
      </c>
      <c r="J158" s="8">
        <f t="shared" ref="J158:AS158" si="19">J337</f>
        <v>0</v>
      </c>
      <c r="K158" s="8">
        <f t="shared" si="19"/>
        <v>0</v>
      </c>
      <c r="L158" s="8">
        <f t="shared" si="19"/>
        <v>0</v>
      </c>
      <c r="M158" s="8">
        <f t="shared" si="19"/>
        <v>0</v>
      </c>
      <c r="N158" s="8">
        <f t="shared" si="19"/>
        <v>0</v>
      </c>
      <c r="O158" s="8">
        <f t="shared" si="19"/>
        <v>5069.7717839999987</v>
      </c>
      <c r="P158" s="8">
        <f t="shared" si="19"/>
        <v>10208.318548679999</v>
      </c>
      <c r="Q158" s="8">
        <f t="shared" si="19"/>
        <v>10240.687553525049</v>
      </c>
      <c r="R158" s="8">
        <f t="shared" si="19"/>
        <v>10272.225169963152</v>
      </c>
      <c r="S158" s="8">
        <f t="shared" si="19"/>
        <v>10302.900354446969</v>
      </c>
      <c r="T158" s="8">
        <f t="shared" si="19"/>
        <v>10332.681232346244</v>
      </c>
      <c r="U158" s="8">
        <f t="shared" si="19"/>
        <v>10361.535077177265</v>
      </c>
      <c r="V158" s="8">
        <f t="shared" si="19"/>
        <v>10389.428289321531</v>
      </c>
      <c r="W158" s="8">
        <f t="shared" si="19"/>
        <v>10416.326374221178</v>
      </c>
      <c r="X158" s="8">
        <f t="shared" si="19"/>
        <v>10442.193920038218</v>
      </c>
      <c r="Y158" s="8">
        <f t="shared" si="19"/>
        <v>10466.994574764612</v>
      </c>
      <c r="Z158" s="8">
        <f t="shared" si="19"/>
        <v>10490.69102276957</v>
      </c>
      <c r="AA158" s="8">
        <f t="shared" si="19"/>
        <v>10513.244960770329</v>
      </c>
      <c r="AB158" s="8">
        <f t="shared" si="19"/>
        <v>10534.61707321227</v>
      </c>
      <c r="AC158" s="8">
        <f t="shared" si="19"/>
        <v>10554.767007043907</v>
      </c>
      <c r="AD158" s="8">
        <f t="shared" si="19"/>
        <v>10573.653345871866</v>
      </c>
      <c r="AE158" s="8">
        <f t="shared" si="19"/>
        <v>10591.233583480687</v>
      </c>
      <c r="AF158" s="8">
        <f t="shared" si="19"/>
        <v>10607.464096701855</v>
      </c>
      <c r="AG158" s="8">
        <f t="shared" si="19"/>
        <v>10622.300117616072</v>
      </c>
      <c r="AH158" s="8">
        <f t="shared" si="19"/>
        <v>10635.695705072527</v>
      </c>
      <c r="AI158" s="8">
        <f t="shared" si="19"/>
        <v>10647.603715508232</v>
      </c>
      <c r="AJ158" s="8">
        <f t="shared" si="19"/>
        <v>10657.975773050428</v>
      </c>
      <c r="AK158" s="8">
        <f t="shared" si="19"/>
        <v>10666.76223888439</v>
      </c>
      <c r="AL158" s="8">
        <f t="shared" si="19"/>
        <v>10673.912179868596</v>
      </c>
      <c r="AM158" s="8">
        <f t="shared" si="19"/>
        <v>10679.373336378892</v>
      </c>
      <c r="AN158" s="8">
        <f t="shared" si="19"/>
        <v>10683.092089362646</v>
      </c>
      <c r="AO158" s="8">
        <f t="shared" si="19"/>
        <v>10685.01342658352</v>
      </c>
      <c r="AP158" s="8">
        <f t="shared" si="19"/>
        <v>10685.080908037096</v>
      </c>
      <c r="AQ158" s="8">
        <f t="shared" si="19"/>
        <v>10683.236630516934</v>
      </c>
      <c r="AR158" s="8">
        <f t="shared" si="19"/>
        <v>10679.421191310175</v>
      </c>
      <c r="AS158" s="8">
        <f t="shared" si="19"/>
        <v>5336.7868255007506</v>
      </c>
    </row>
    <row r="159" spans="3:45" x14ac:dyDescent="0.25">
      <c r="C159" s="1" t="s">
        <v>130</v>
      </c>
      <c r="D159" s="2" t="s">
        <v>79</v>
      </c>
      <c r="H159" s="14">
        <f>SUM(J159:AS159)</f>
        <v>244362.26139369622</v>
      </c>
      <c r="J159" s="14">
        <f t="shared" ref="J159:AS159" si="20">J338</f>
        <v>-657.1232876712329</v>
      </c>
      <c r="K159" s="14">
        <f t="shared" si="20"/>
        <v>-3612.0547945205481</v>
      </c>
      <c r="L159" s="14">
        <f t="shared" si="20"/>
        <v>-3359.8191780821917</v>
      </c>
      <c r="M159" s="14">
        <f t="shared" si="20"/>
        <v>-15927.0625</v>
      </c>
      <c r="N159" s="14">
        <f t="shared" si="20"/>
        <v>-31854.125</v>
      </c>
      <c r="O159" s="14">
        <f t="shared" si="20"/>
        <v>-13357.290716000001</v>
      </c>
      <c r="P159" s="14">
        <f t="shared" si="20"/>
        <v>10208.318548679999</v>
      </c>
      <c r="Q159" s="14">
        <f t="shared" si="20"/>
        <v>12735.208101470254</v>
      </c>
      <c r="R159" s="14">
        <f t="shared" si="20"/>
        <v>10272.225169963152</v>
      </c>
      <c r="S159" s="14">
        <f t="shared" si="20"/>
        <v>10302.900354446969</v>
      </c>
      <c r="T159" s="14">
        <f t="shared" si="20"/>
        <v>10332.681232346244</v>
      </c>
      <c r="U159" s="14">
        <f t="shared" si="20"/>
        <v>10361.535077177265</v>
      </c>
      <c r="V159" s="14">
        <f t="shared" si="20"/>
        <v>10389.428289321531</v>
      </c>
      <c r="W159" s="14">
        <f t="shared" si="20"/>
        <v>10416.326374221178</v>
      </c>
      <c r="X159" s="14">
        <f t="shared" si="20"/>
        <v>10442.193920038218</v>
      </c>
      <c r="Y159" s="14">
        <f t="shared" si="20"/>
        <v>10466.994574764612</v>
      </c>
      <c r="Z159" s="14">
        <f t="shared" si="20"/>
        <v>10490.69102276957</v>
      </c>
      <c r="AA159" s="14">
        <f t="shared" si="20"/>
        <v>10513.244960770329</v>
      </c>
      <c r="AB159" s="14">
        <f t="shared" si="20"/>
        <v>10534.61707321227</v>
      </c>
      <c r="AC159" s="14">
        <f t="shared" si="20"/>
        <v>10554.767007043907</v>
      </c>
      <c r="AD159" s="14">
        <f t="shared" si="20"/>
        <v>10573.653345871866</v>
      </c>
      <c r="AE159" s="14">
        <f t="shared" si="20"/>
        <v>10591.233583480687</v>
      </c>
      <c r="AF159" s="14">
        <f t="shared" si="20"/>
        <v>10607.464096701855</v>
      </c>
      <c r="AG159" s="14">
        <f t="shared" si="20"/>
        <v>10622.300117616072</v>
      </c>
      <c r="AH159" s="14">
        <f t="shared" si="20"/>
        <v>10635.695705072527</v>
      </c>
      <c r="AI159" s="14">
        <f t="shared" si="20"/>
        <v>10647.603715508232</v>
      </c>
      <c r="AJ159" s="14">
        <f t="shared" si="20"/>
        <v>10657.975773050428</v>
      </c>
      <c r="AK159" s="14">
        <f t="shared" si="20"/>
        <v>10666.76223888439</v>
      </c>
      <c r="AL159" s="14">
        <f t="shared" si="20"/>
        <v>10673.912179868596</v>
      </c>
      <c r="AM159" s="14">
        <f t="shared" si="20"/>
        <v>10679.373336378892</v>
      </c>
      <c r="AN159" s="14">
        <f t="shared" si="20"/>
        <v>10683.092089362646</v>
      </c>
      <c r="AO159" s="14">
        <f t="shared" si="20"/>
        <v>10685.01342658352</v>
      </c>
      <c r="AP159" s="14">
        <f t="shared" si="20"/>
        <v>10685.080908037096</v>
      </c>
      <c r="AQ159" s="14">
        <f t="shared" si="20"/>
        <v>10683.236630516934</v>
      </c>
      <c r="AR159" s="14">
        <f t="shared" si="20"/>
        <v>10679.421191310175</v>
      </c>
      <c r="AS159" s="14">
        <f t="shared" si="20"/>
        <v>5336.7868255007506</v>
      </c>
    </row>
    <row r="160" spans="3:45" x14ac:dyDescent="0.25">
      <c r="C160" s="6" t="s">
        <v>131</v>
      </c>
      <c r="D160" s="2" t="s">
        <v>79</v>
      </c>
      <c r="J160" s="8">
        <f>SUM($J159:J159)</f>
        <v>-657.1232876712329</v>
      </c>
      <c r="K160" s="8">
        <f>SUM($J159:K159)</f>
        <v>-4269.178082191781</v>
      </c>
      <c r="L160" s="8">
        <f>SUM($J159:L159)</f>
        <v>-7628.9972602739726</v>
      </c>
      <c r="M160" s="8">
        <f>SUM($J159:M159)</f>
        <v>-23556.059760273973</v>
      </c>
      <c r="N160" s="8">
        <f>SUM($J159:N159)</f>
        <v>-55410.184760273973</v>
      </c>
      <c r="O160" s="8">
        <f>SUM($J159:O159)</f>
        <v>-68767.475476273976</v>
      </c>
      <c r="P160" s="8">
        <f>SUM($J159:P159)</f>
        <v>-58559.156927593976</v>
      </c>
      <c r="Q160" s="8">
        <f>SUM($J159:Q159)</f>
        <v>-45823.94882612372</v>
      </c>
      <c r="R160" s="8">
        <f>SUM($J159:R159)</f>
        <v>-35551.723656160568</v>
      </c>
      <c r="S160" s="8">
        <f>SUM($J159:S159)</f>
        <v>-25248.823301713601</v>
      </c>
      <c r="T160" s="8">
        <f>SUM($J159:T159)</f>
        <v>-14916.142069367357</v>
      </c>
      <c r="U160" s="8">
        <f>SUM($J159:U159)</f>
        <v>-4554.6069921900926</v>
      </c>
      <c r="V160" s="8">
        <f>SUM($J159:V159)</f>
        <v>5834.8212971314388</v>
      </c>
      <c r="W160" s="8">
        <f>SUM($J159:W159)</f>
        <v>16251.147671352617</v>
      </c>
      <c r="X160" s="8">
        <f>SUM($J159:X159)</f>
        <v>26693.341591390836</v>
      </c>
      <c r="Y160" s="8">
        <f>SUM($J159:Y159)</f>
        <v>37160.336166155452</v>
      </c>
      <c r="Z160" s="8">
        <f>SUM($J159:Z159)</f>
        <v>47651.027188925022</v>
      </c>
      <c r="AA160" s="8">
        <f>SUM($J159:AA159)</f>
        <v>58164.272149695353</v>
      </c>
      <c r="AB160" s="8">
        <f>SUM($J159:AB159)</f>
        <v>68698.88922290763</v>
      </c>
      <c r="AC160" s="8">
        <f>SUM($J159:AC159)</f>
        <v>79253.656229951535</v>
      </c>
      <c r="AD160" s="8">
        <f>SUM($J159:AD159)</f>
        <v>89827.309575823398</v>
      </c>
      <c r="AE160" s="8">
        <f>SUM($J159:AE159)</f>
        <v>100418.54315930408</v>
      </c>
      <c r="AF160" s="8">
        <f>SUM($J159:AF159)</f>
        <v>111026.00725600593</v>
      </c>
      <c r="AG160" s="8">
        <f>SUM($J159:AG159)</f>
        <v>121648.30737362201</v>
      </c>
      <c r="AH160" s="8">
        <f>SUM($J159:AH159)</f>
        <v>132284.00307869454</v>
      </c>
      <c r="AI160" s="8">
        <f>SUM($J159:AI159)</f>
        <v>142931.60679420279</v>
      </c>
      <c r="AJ160" s="8">
        <f>SUM($J159:AJ159)</f>
        <v>153589.58256725321</v>
      </c>
      <c r="AK160" s="8">
        <f>SUM($J159:AK159)</f>
        <v>164256.34480613761</v>
      </c>
      <c r="AL160" s="8">
        <f>SUM($J159:AL159)</f>
        <v>174930.25698600622</v>
      </c>
      <c r="AM160" s="8">
        <f>SUM($J159:AM159)</f>
        <v>185609.63032238511</v>
      </c>
      <c r="AN160" s="8">
        <f>SUM($J159:AN159)</f>
        <v>196292.72241174776</v>
      </c>
      <c r="AO160" s="8">
        <f>SUM($J159:AO159)</f>
        <v>206977.73583833128</v>
      </c>
      <c r="AP160" s="8">
        <f>SUM($J159:AP159)</f>
        <v>217662.81674636836</v>
      </c>
      <c r="AQ160" s="8">
        <f>SUM($J159:AQ159)</f>
        <v>228346.05337688531</v>
      </c>
      <c r="AR160" s="8">
        <f>SUM($J159:AR159)</f>
        <v>239025.47456819547</v>
      </c>
      <c r="AS160" s="8">
        <f>SUM($J159:AS159)</f>
        <v>244362.26139369622</v>
      </c>
    </row>
    <row r="162" spans="2:8" x14ac:dyDescent="0.25">
      <c r="B162" s="4" t="s">
        <v>2</v>
      </c>
      <c r="C162" s="4" t="s">
        <v>132</v>
      </c>
      <c r="D162" s="4"/>
      <c r="E162" s="5" t="s">
        <v>4</v>
      </c>
      <c r="F162" s="5" t="s">
        <v>5</v>
      </c>
      <c r="G162" s="5" t="s">
        <v>6</v>
      </c>
      <c r="H162" s="5" t="s">
        <v>7</v>
      </c>
    </row>
    <row r="163" spans="2:8" hidden="1" outlineLevel="1" x14ac:dyDescent="0.25"/>
    <row r="164" spans="2:8" hidden="1" outlineLevel="1" x14ac:dyDescent="0.25">
      <c r="B164" s="4" t="s">
        <v>2</v>
      </c>
      <c r="C164" s="4" t="s">
        <v>133</v>
      </c>
      <c r="D164" s="4"/>
      <c r="E164" s="5" t="s">
        <v>4</v>
      </c>
      <c r="F164" s="5" t="s">
        <v>5</v>
      </c>
      <c r="G164" s="5" t="s">
        <v>6</v>
      </c>
      <c r="H164" s="5" t="s">
        <v>7</v>
      </c>
    </row>
    <row r="165" spans="2:8" hidden="1" outlineLevel="1" x14ac:dyDescent="0.25">
      <c r="C165" s="6" t="s">
        <v>134</v>
      </c>
      <c r="D165" s="2" t="s">
        <v>135</v>
      </c>
      <c r="E165" s="18">
        <f>MIN(Freeze_Date,Sale_Date)</f>
        <v>47299</v>
      </c>
      <c r="F165" s="18">
        <f>MIN(Freeze_Date,Sale_Date)</f>
        <v>47299</v>
      </c>
      <c r="G165" s="18">
        <f>MIN(Freeze_Date,Sale_Date)</f>
        <v>47299</v>
      </c>
    </row>
    <row r="166" spans="2:8" hidden="1" outlineLevel="1" x14ac:dyDescent="0.25">
      <c r="C166" s="6" t="s">
        <v>136</v>
      </c>
      <c r="D166" s="2" t="s">
        <v>2</v>
      </c>
      <c r="E166" s="26">
        <f>1+Rate_Cash*(E165-DATE(YEAR(E165),1,1)+1)/Days_In_Year</f>
        <v>1.0595068493150686</v>
      </c>
      <c r="F166" s="26">
        <f>1+Rate_Cash*(F165-DATE(YEAR(F165),1,1)+1)/Days_In_Year</f>
        <v>1.0595068493150686</v>
      </c>
      <c r="G166" s="26">
        <f>1+Rate_Cash*(G165-DATE(YEAR(G165),1,1)+1)/Days_In_Year</f>
        <v>1.0595068493150686</v>
      </c>
    </row>
    <row r="167" spans="2:8" hidden="1" outlineLevel="1" x14ac:dyDescent="0.25">
      <c r="C167" s="6" t="s">
        <v>137</v>
      </c>
      <c r="D167" s="2" t="s">
        <v>2</v>
      </c>
      <c r="E167" s="26">
        <f>1+Rate_Devex*(E165-DATE(YEAR(E165),1,1)+1)/Days_In_Year</f>
        <v>1.0991780821917809</v>
      </c>
      <c r="F167" s="26">
        <f>1+Rate_Devex*(F165-DATE(YEAR(F165),1,1)+1)/Days_In_Year</f>
        <v>1.0991780821917809</v>
      </c>
      <c r="G167" s="26">
        <f>1+Rate_Devex*(G165-DATE(YEAR(G165),1,1)+1)/Days_In_Year</f>
        <v>1.0991780821917809</v>
      </c>
    </row>
    <row r="168" spans="2:8" hidden="1" outlineLevel="1" x14ac:dyDescent="0.25">
      <c r="C168" s="6" t="s">
        <v>138</v>
      </c>
      <c r="D168" s="2" t="s">
        <v>139</v>
      </c>
      <c r="E168" s="27">
        <f>DATE(YEAR(Inputs!E$27)+1,1,1)-Inputs!E$27</f>
        <v>63</v>
      </c>
      <c r="F168" s="27">
        <f>DATE(YEAR(Inputs!F$27)+1,1,1)-Inputs!F$27</f>
        <v>63</v>
      </c>
      <c r="G168" s="27">
        <f>DATE(YEAR(Inputs!G$27)+1,1,1)-Inputs!G$27</f>
        <v>63</v>
      </c>
    </row>
    <row r="169" spans="2:8" hidden="1" outlineLevel="1" x14ac:dyDescent="0.25">
      <c r="C169" s="6" t="s">
        <v>140</v>
      </c>
      <c r="D169" s="2" t="s">
        <v>2</v>
      </c>
      <c r="E169" s="26">
        <f>(1+Rate_Cash*E168/Days_In_Year)*(1+Rate_Cash)^(YEAR(E165)-YEAR(Inputs!E$27)-1)*E166</f>
        <v>1.3565730168818169</v>
      </c>
      <c r="F169" s="26">
        <f>(1+Rate_Cash*F168/Days_In_Year)*(1+Rate_Cash)^(YEAR(F165)-YEAR(Inputs!F$27)-1)*F166</f>
        <v>1.3565730168818169</v>
      </c>
      <c r="G169" s="26">
        <f>(1+Rate_Cash*G168/Days_In_Year)*(1+Rate_Cash)^(YEAR(G165)-YEAR(Inputs!G$27)-1)*G166</f>
        <v>1.3565730168818169</v>
      </c>
    </row>
    <row r="170" spans="2:8" hidden="1" outlineLevel="1" x14ac:dyDescent="0.25">
      <c r="C170" s="6" t="s">
        <v>141</v>
      </c>
      <c r="D170" s="2" t="s">
        <v>139</v>
      </c>
      <c r="E170" s="27">
        <f>DATE(YEAR(Inputs!E$28)+1,1,1)-Inputs!E$28</f>
        <v>351</v>
      </c>
      <c r="F170" s="27">
        <f>DATE(YEAR(Inputs!F$28)+1,1,1)-Inputs!F$28</f>
        <v>351</v>
      </c>
      <c r="G170" s="27">
        <f>DATE(YEAR(Inputs!G$28)+1,1,1)-Inputs!G$28</f>
        <v>351</v>
      </c>
    </row>
    <row r="171" spans="2:8" hidden="1" outlineLevel="1" x14ac:dyDescent="0.25">
      <c r="C171" s="6" t="s">
        <v>142</v>
      </c>
      <c r="D171" s="2" t="s">
        <v>2</v>
      </c>
      <c r="E171" s="26">
        <f>(1+Rate_Cash*E170/Days_In_Year)*(1+Rate_Cash)^(YEAR(E165)-YEAR(Inputs!E$28)-1)*E166</f>
        <v>1.3235835614036406</v>
      </c>
      <c r="F171" s="26">
        <f>(1+Rate_Cash*F170/Days_In_Year)*(1+Rate_Cash)^(YEAR(F165)-YEAR(Inputs!F$28)-1)*F166</f>
        <v>1.3235835614036406</v>
      </c>
      <c r="G171" s="26">
        <f>(1+Rate_Cash*G170/Days_In_Year)*(1+Rate_Cash)^(YEAR(G165)-YEAR(Inputs!G$28)-1)*G166</f>
        <v>1.3235835614036406</v>
      </c>
    </row>
    <row r="172" spans="2:8" hidden="1" outlineLevel="1" x14ac:dyDescent="0.25">
      <c r="C172" s="6" t="s">
        <v>143</v>
      </c>
      <c r="D172" s="2" t="s">
        <v>139</v>
      </c>
      <c r="E172" s="27">
        <f>DATE(YEAR(Inputs!E$29)+1,1,1)-Inputs!E$29</f>
        <v>351</v>
      </c>
      <c r="F172" s="27">
        <f>DATE(YEAR(Inputs!F$29)+1,1,1)-Inputs!F$29</f>
        <v>351</v>
      </c>
      <c r="G172" s="27">
        <f>DATE(YEAR(Inputs!G$29)+1,1,1)-Inputs!G$29</f>
        <v>351</v>
      </c>
    </row>
    <row r="173" spans="2:8" hidden="1" outlineLevel="1" x14ac:dyDescent="0.25">
      <c r="C173" s="6" t="s">
        <v>144</v>
      </c>
      <c r="D173" s="2" t="s">
        <v>2</v>
      </c>
      <c r="E173" s="26">
        <f>(1+Rate_Cash*E172/Days_In_Year)*(1+Rate_Cash)^(YEAR(E165)-YEAR(Inputs!E$29)-1)*E166</f>
        <v>1.3235835614036406</v>
      </c>
      <c r="F173" s="26">
        <f>(1+Rate_Cash*F172/Days_In_Year)*(1+Rate_Cash)^(YEAR(F165)-YEAR(Inputs!F$29)-1)*F166</f>
        <v>1.3235835614036406</v>
      </c>
      <c r="G173" s="26">
        <f>(1+Rate_Cash*G172/Days_In_Year)*(1+Rate_Cash)^(YEAR(G165)-YEAR(Inputs!G$29)-1)*G166</f>
        <v>1.3235835614036406</v>
      </c>
    </row>
    <row r="174" spans="2:8" hidden="1" outlineLevel="1" x14ac:dyDescent="0.25">
      <c r="C174" s="6" t="s">
        <v>145</v>
      </c>
      <c r="D174" s="2" t="s">
        <v>139</v>
      </c>
      <c r="E174" s="27">
        <f>DATE(YEAR(Inputs!E$30)+1,1,1)-Inputs!E$30</f>
        <v>92</v>
      </c>
      <c r="F174" s="27">
        <f>DATE(YEAR(Inputs!F$30)+1,1,1)-Inputs!F$30</f>
        <v>92</v>
      </c>
      <c r="G174" s="27">
        <f>DATE(YEAR(Inputs!G$30)+1,1,1)-Inputs!G$30</f>
        <v>92</v>
      </c>
    </row>
    <row r="175" spans="2:8" hidden="1" outlineLevel="1" x14ac:dyDescent="0.25">
      <c r="C175" s="6" t="s">
        <v>146</v>
      </c>
      <c r="D175" s="2" t="s">
        <v>2</v>
      </c>
      <c r="E175" s="26">
        <f>(1+Rate_Cash*E174/Days_In_Year)*(1+Rate_Cash)^(YEAR(E165)-YEAR(Inputs!E$30)-1)*E166</f>
        <v>1.0915533030587352</v>
      </c>
      <c r="F175" s="26">
        <f>(1+Rate_Cash*F174/Days_In_Year)*(1+Rate_Cash)^(YEAR(F165)-YEAR(Inputs!F$30)-1)*F166</f>
        <v>1.0915533030587352</v>
      </c>
      <c r="G175" s="26">
        <f>(1+Rate_Cash*G174/Days_In_Year)*(1+Rate_Cash)^(YEAR(G165)-YEAR(Inputs!G$30)-1)*G166</f>
        <v>1.0915533030587352</v>
      </c>
    </row>
    <row r="176" spans="2:8" hidden="1" outlineLevel="1" x14ac:dyDescent="0.25">
      <c r="C176" s="6" t="s">
        <v>147</v>
      </c>
      <c r="D176" s="2" t="s">
        <v>139</v>
      </c>
      <c r="E176" s="27">
        <f>DATE(YEAR(Inputs!E$31)+1,1,1)-Inputs!E$31</f>
        <v>1</v>
      </c>
      <c r="F176" s="27">
        <f>DATE(YEAR(Inputs!F$31)+1,1,1)-Inputs!F$31</f>
        <v>1</v>
      </c>
      <c r="G176" s="27">
        <f>DATE(YEAR(Inputs!G$31)+1,1,1)-Inputs!G$31</f>
        <v>1</v>
      </c>
    </row>
    <row r="177" spans="2:8" hidden="1" outlineLevel="1" x14ac:dyDescent="0.25">
      <c r="C177" s="6" t="s">
        <v>148</v>
      </c>
      <c r="D177" s="2" t="s">
        <v>2</v>
      </c>
      <c r="E177" s="26">
        <f>(1+Rate_Devex*E176/Days_In_Year)*(1+Rate_Devex)^(YEAR(E165)-YEAR(Inputs!E$31)-1)*E167</f>
        <v>1.3197364458622631</v>
      </c>
      <c r="F177" s="26">
        <f>(1+Rate_Devex*F176/Days_In_Year)*(1+Rate_Devex)^(YEAR(F165)-YEAR(Inputs!F$31)-1)*F167</f>
        <v>1.3197364458622631</v>
      </c>
      <c r="G177" s="26">
        <f>(1+Rate_Devex*G176/Days_In_Year)*(1+Rate_Devex)^(YEAR(G165)-YEAR(Inputs!G$31)-1)*G167</f>
        <v>1.3197364458622631</v>
      </c>
    </row>
    <row r="178" spans="2:8" hidden="1" outlineLevel="1" x14ac:dyDescent="0.25">
      <c r="C178" s="6" t="s">
        <v>149</v>
      </c>
      <c r="D178" s="2" t="s">
        <v>79</v>
      </c>
      <c r="E178" s="16">
        <f>E58*(E169-1)</f>
        <v>2.9307371250560288</v>
      </c>
      <c r="F178" s="16">
        <f>F58*(F169-1)</f>
        <v>2.9307371250560288</v>
      </c>
      <c r="G178" s="16">
        <f>G58*(G169-1)</f>
        <v>2.9307371250560288</v>
      </c>
      <c r="H178" s="16">
        <f t="shared" ref="H178:H186" si="21">SUM(E178:G178)</f>
        <v>8.7922113751680868</v>
      </c>
    </row>
    <row r="179" spans="2:8" hidden="1" outlineLevel="1" x14ac:dyDescent="0.25">
      <c r="C179" s="6" t="s">
        <v>150</v>
      </c>
      <c r="D179" s="2" t="s">
        <v>79</v>
      </c>
      <c r="E179" s="8">
        <f>E59*(E169-1)</f>
        <v>138.52617477764829</v>
      </c>
      <c r="F179" s="8">
        <f>F59*(F169-1)</f>
        <v>177.89574349090094</v>
      </c>
      <c r="G179" s="8">
        <f>G59*(G169-1)</f>
        <v>177.89574349090094</v>
      </c>
      <c r="H179" s="8">
        <f t="shared" si="21"/>
        <v>494.31766175945017</v>
      </c>
    </row>
    <row r="180" spans="2:8" hidden="1" outlineLevel="1" x14ac:dyDescent="0.25">
      <c r="C180" s="6" t="s">
        <v>151</v>
      </c>
      <c r="D180" s="2" t="s">
        <v>79</v>
      </c>
      <c r="E180" s="8">
        <f>E60*(E171-1)</f>
        <v>502.83998911820538</v>
      </c>
      <c r="F180" s="8">
        <f>F60*(F171-1)</f>
        <v>645.74867431893654</v>
      </c>
      <c r="G180" s="8">
        <f>G60*(G171-1)</f>
        <v>645.74867431893654</v>
      </c>
      <c r="H180" s="8">
        <f t="shared" si="21"/>
        <v>1794.3373377560783</v>
      </c>
    </row>
    <row r="181" spans="2:8" hidden="1" outlineLevel="1" x14ac:dyDescent="0.25">
      <c r="C181" s="6" t="s">
        <v>152</v>
      </c>
      <c r="D181" s="2" t="s">
        <v>79</v>
      </c>
      <c r="E181" s="8">
        <f>E61*(E173-1)</f>
        <v>199.46931867347709</v>
      </c>
      <c r="F181" s="8">
        <f>F61*(F173-1)</f>
        <v>199.46931867347709</v>
      </c>
      <c r="G181" s="8">
        <f>G61*(G173-1)</f>
        <v>199.46931867347709</v>
      </c>
      <c r="H181" s="8">
        <f t="shared" si="21"/>
        <v>598.40795602043124</v>
      </c>
    </row>
    <row r="182" spans="2:8" hidden="1" outlineLevel="1" x14ac:dyDescent="0.25">
      <c r="C182" s="6" t="s">
        <v>153</v>
      </c>
      <c r="D182" s="2" t="s">
        <v>79</v>
      </c>
      <c r="E182" s="8">
        <f>E62*(E175-1)</f>
        <v>63.754434866093717</v>
      </c>
      <c r="F182" s="8">
        <f>F62*(F175-1)</f>
        <v>115.38224495073477</v>
      </c>
      <c r="G182" s="8">
        <f>G62*(G175-1)</f>
        <v>115.38224495073477</v>
      </c>
      <c r="H182" s="8">
        <f t="shared" si="21"/>
        <v>294.51892476756325</v>
      </c>
    </row>
    <row r="183" spans="2:8" hidden="1" outlineLevel="1" x14ac:dyDescent="0.25">
      <c r="C183" s="6" t="s">
        <v>154</v>
      </c>
      <c r="D183" s="2" t="s">
        <v>79</v>
      </c>
      <c r="E183" s="8">
        <f>E63*(E175-1)</f>
        <v>859.9903505960641</v>
      </c>
      <c r="F183" s="8">
        <f>F63*(F175-1)</f>
        <v>192.22029848277475</v>
      </c>
      <c r="G183" s="8">
        <f>G63*(G175-1)</f>
        <v>192.22029848277475</v>
      </c>
      <c r="H183" s="8">
        <f t="shared" si="21"/>
        <v>1244.4309475616135</v>
      </c>
    </row>
    <row r="184" spans="2:8" hidden="1" outlineLevel="1" x14ac:dyDescent="0.25">
      <c r="C184" s="6" t="s">
        <v>155</v>
      </c>
      <c r="D184" s="2" t="s">
        <v>79</v>
      </c>
      <c r="E184" s="8">
        <f>E64*MAX(E177-1,Devex_Floor-1)</f>
        <v>784.47</v>
      </c>
      <c r="F184" s="8">
        <f>F64*MAX(F177-1,Devex_Floor-1)</f>
        <v>1000.0000000000001</v>
      </c>
      <c r="G184" s="8">
        <f>G64*MAX(G177-1,Devex_Floor-1)</f>
        <v>1000.0000000000001</v>
      </c>
      <c r="H184" s="8">
        <f t="shared" si="21"/>
        <v>2784.4700000000003</v>
      </c>
    </row>
    <row r="185" spans="2:8" hidden="1" outlineLevel="1" x14ac:dyDescent="0.25">
      <c r="C185" s="1" t="s">
        <v>156</v>
      </c>
      <c r="D185" s="2" t="s">
        <v>79</v>
      </c>
      <c r="E185" s="19">
        <f>SUM(E178:E184)</f>
        <v>2551.9810051565446</v>
      </c>
      <c r="F185" s="19">
        <f>SUM(F178:F184)</f>
        <v>2333.6470170418802</v>
      </c>
      <c r="G185" s="19">
        <f>SUM(G178:G184)</f>
        <v>2333.6470170418802</v>
      </c>
      <c r="H185" s="19">
        <f t="shared" si="21"/>
        <v>7219.275039240305</v>
      </c>
    </row>
    <row r="186" spans="2:8" hidden="1" outlineLevel="1" x14ac:dyDescent="0.25">
      <c r="C186" s="6" t="s">
        <v>157</v>
      </c>
      <c r="D186" s="2" t="s">
        <v>79</v>
      </c>
      <c r="E186" s="8">
        <f>E20*MIN(DSA_Rate*YEARFRAC(Inputs!E$35,Sale_Date),DSA_Cap)*E42</f>
        <v>437.49999999999994</v>
      </c>
      <c r="F186" s="8">
        <f>F20*MIN(DSA_Rate*YEARFRAC(Inputs!F$35,Sale_Date),DSA_Cap)*F42</f>
        <v>0</v>
      </c>
      <c r="G186" s="8">
        <f>G20*MIN(DSA_Rate*YEARFRAC(Inputs!G$35,Sale_Date),DSA_Cap)*G42</f>
        <v>0</v>
      </c>
      <c r="H186" s="8">
        <f t="shared" si="21"/>
        <v>437.49999999999994</v>
      </c>
    </row>
    <row r="187" spans="2:8" hidden="1" outlineLevel="1" x14ac:dyDescent="0.25"/>
    <row r="188" spans="2:8" hidden="1" outlineLevel="1" x14ac:dyDescent="0.25">
      <c r="B188" s="4" t="s">
        <v>2</v>
      </c>
      <c r="C188" s="4" t="s">
        <v>158</v>
      </c>
      <c r="D188" s="4"/>
      <c r="E188" s="5" t="s">
        <v>4</v>
      </c>
      <c r="F188" s="5" t="s">
        <v>5</v>
      </c>
      <c r="G188" s="5" t="s">
        <v>6</v>
      </c>
      <c r="H188" s="5" t="s">
        <v>7</v>
      </c>
    </row>
    <row r="189" spans="2:8" hidden="1" outlineLevel="1" x14ac:dyDescent="0.25">
      <c r="C189" s="6" t="s">
        <v>27</v>
      </c>
      <c r="D189" s="2" t="s">
        <v>79</v>
      </c>
      <c r="E189" s="8">
        <f>E18*E6</f>
        <v>7500</v>
      </c>
      <c r="F189" s="8">
        <f>F18*F6</f>
        <v>7500</v>
      </c>
      <c r="G189" s="8">
        <f>G18*G6</f>
        <v>7500</v>
      </c>
      <c r="H189" s="8">
        <f t="shared" ref="H189:H199" si="22">SUM(E189:G189)</f>
        <v>22500</v>
      </c>
    </row>
    <row r="190" spans="2:8" hidden="1" outlineLevel="1" x14ac:dyDescent="0.25">
      <c r="C190" s="6" t="s">
        <v>159</v>
      </c>
      <c r="D190" s="2" t="s">
        <v>79</v>
      </c>
      <c r="E190" s="8">
        <f>SUM(E59:E63)</f>
        <v>12648.59781369863</v>
      </c>
      <c r="F190" s="8">
        <f>SUM(F59:F63)</f>
        <v>6470.7780821917804</v>
      </c>
      <c r="G190" s="8">
        <f>SUM(G59:G63)</f>
        <v>6470.7780821917804</v>
      </c>
      <c r="H190" s="8">
        <f t="shared" si="22"/>
        <v>25590.153978082191</v>
      </c>
    </row>
    <row r="191" spans="2:8" hidden="1" outlineLevel="1" x14ac:dyDescent="0.25">
      <c r="C191" s="1" t="s">
        <v>160</v>
      </c>
      <c r="D191" s="2" t="s">
        <v>79</v>
      </c>
      <c r="E191" s="14">
        <f>E189+E190</f>
        <v>20148.59781369863</v>
      </c>
      <c r="F191" s="14">
        <f>F189+F190</f>
        <v>13970.77808219178</v>
      </c>
      <c r="G191" s="14">
        <f>G189+G190</f>
        <v>13970.77808219178</v>
      </c>
      <c r="H191" s="14">
        <f t="shared" si="22"/>
        <v>48090.153978082191</v>
      </c>
    </row>
    <row r="192" spans="2:8" hidden="1" outlineLevel="1" x14ac:dyDescent="0.25">
      <c r="C192" s="6" t="s">
        <v>161</v>
      </c>
      <c r="D192" s="2" t="s">
        <v>79</v>
      </c>
      <c r="E192" s="8">
        <f>-MIN(E191,Sale_Costs)</f>
        <v>-250</v>
      </c>
      <c r="F192" s="8">
        <f>-MIN(F191,Sale_Costs)</f>
        <v>-250</v>
      </c>
      <c r="G192" s="8">
        <f>-MIN(G191,Sale_Costs)</f>
        <v>-250</v>
      </c>
      <c r="H192" s="8">
        <f t="shared" si="22"/>
        <v>-750</v>
      </c>
    </row>
    <row r="193" spans="3:12" hidden="1" outlineLevel="1" x14ac:dyDescent="0.25">
      <c r="C193" s="6" t="s">
        <v>162</v>
      </c>
      <c r="D193" s="2" t="s">
        <v>79</v>
      </c>
      <c r="E193" s="8">
        <f>-MIN(SUM(E191:E192),E190)</f>
        <v>-12648.59781369863</v>
      </c>
      <c r="F193" s="8">
        <f>-MIN(SUM(F191:F192),F190)</f>
        <v>-6470.7780821917804</v>
      </c>
      <c r="G193" s="8">
        <f>-MIN(SUM(G191:G192),G190)</f>
        <v>-6470.7780821917804</v>
      </c>
      <c r="H193" s="8">
        <f t="shared" si="22"/>
        <v>-25590.153978082191</v>
      </c>
    </row>
    <row r="194" spans="3:12" hidden="1" outlineLevel="1" x14ac:dyDescent="0.25">
      <c r="C194" s="6" t="s">
        <v>163</v>
      </c>
      <c r="D194" s="2" t="s">
        <v>79</v>
      </c>
      <c r="E194" s="8">
        <f>-MIN(SUM(E191:E193),SUM(E178:E183))</f>
        <v>-1767.5110051565446</v>
      </c>
      <c r="F194" s="8">
        <f>-MIN(SUM(F191:F193),SUM(F178:F183))</f>
        <v>-1333.64701704188</v>
      </c>
      <c r="G194" s="8">
        <f>-MIN(SUM(G191:G193),SUM(G178:G183))</f>
        <v>-1333.64701704188</v>
      </c>
      <c r="H194" s="8">
        <f t="shared" si="22"/>
        <v>-4434.8050392403047</v>
      </c>
    </row>
    <row r="195" spans="3:12" hidden="1" outlineLevel="1" x14ac:dyDescent="0.25">
      <c r="C195" s="6" t="s">
        <v>164</v>
      </c>
      <c r="D195" s="2" t="s">
        <v>79</v>
      </c>
      <c r="E195" s="8">
        <f>-MIN(SUM(E191:E194),E184)</f>
        <v>-784.47</v>
      </c>
      <c r="F195" s="8">
        <f>-MIN(SUM(F191:F194),F184)</f>
        <v>-1000.0000000000001</v>
      </c>
      <c r="G195" s="8">
        <f>-MIN(SUM(G191:G194),G184)</f>
        <v>-1000.0000000000001</v>
      </c>
      <c r="H195" s="8">
        <f t="shared" si="22"/>
        <v>-2784.4700000000003</v>
      </c>
    </row>
    <row r="196" spans="3:12" hidden="1" outlineLevel="1" x14ac:dyDescent="0.25">
      <c r="C196" s="6" t="s">
        <v>165</v>
      </c>
      <c r="D196" s="2" t="s">
        <v>79</v>
      </c>
      <c r="E196" s="8">
        <f>-MIN(SUM(E191:E195),E186)</f>
        <v>-437.49999999999994</v>
      </c>
      <c r="F196" s="8">
        <f>-MIN(SUM(F191:F195),F186)</f>
        <v>0</v>
      </c>
      <c r="G196" s="8">
        <f>-MIN(SUM(G191:G195),G186)</f>
        <v>0</v>
      </c>
      <c r="H196" s="8">
        <f t="shared" si="22"/>
        <v>-437.49999999999994</v>
      </c>
    </row>
    <row r="197" spans="3:12" hidden="1" outlineLevel="1" x14ac:dyDescent="0.25">
      <c r="C197" s="1" t="s">
        <v>166</v>
      </c>
      <c r="D197" s="2" t="s">
        <v>79</v>
      </c>
      <c r="E197" s="19">
        <f>SUM(E191:E196)</f>
        <v>4260.5189948434554</v>
      </c>
      <c r="F197" s="19">
        <f>SUM(F191:F196)</f>
        <v>4916.3529829581203</v>
      </c>
      <c r="G197" s="19">
        <f>SUM(G191:G196)</f>
        <v>4916.3529829581203</v>
      </c>
      <c r="H197" s="19">
        <f t="shared" si="22"/>
        <v>14093.224960759697</v>
      </c>
    </row>
    <row r="198" spans="3:12" hidden="1" outlineLevel="1" x14ac:dyDescent="0.25">
      <c r="C198" s="6" t="s">
        <v>167</v>
      </c>
      <c r="D198" s="2" t="s">
        <v>79</v>
      </c>
      <c r="E198" s="8">
        <f>E197*E19</f>
        <v>2982.3632963904188</v>
      </c>
      <c r="F198" s="8">
        <f>F197*F19</f>
        <v>4916.3529829581203</v>
      </c>
      <c r="G198" s="8">
        <f>G197*G19</f>
        <v>4916.3529829581203</v>
      </c>
      <c r="H198" s="8">
        <f t="shared" si="22"/>
        <v>12815.069262306659</v>
      </c>
    </row>
    <row r="199" spans="3:12" hidden="1" outlineLevel="1" x14ac:dyDescent="0.25">
      <c r="C199" s="6" t="s">
        <v>168</v>
      </c>
      <c r="D199" s="2" t="s">
        <v>79</v>
      </c>
      <c r="E199" s="8">
        <f>E197-E198</f>
        <v>1278.1556984530366</v>
      </c>
      <c r="F199" s="8">
        <f>F197-F198</f>
        <v>0</v>
      </c>
      <c r="G199" s="8">
        <f>G197-G198</f>
        <v>0</v>
      </c>
      <c r="H199" s="8">
        <f t="shared" si="22"/>
        <v>1278.1556984530366</v>
      </c>
    </row>
    <row r="200" spans="3:12" hidden="1" outlineLevel="1" x14ac:dyDescent="0.25"/>
    <row r="201" spans="3:12" hidden="1" outlineLevel="1" x14ac:dyDescent="0.25">
      <c r="C201" s="20" t="s">
        <v>169</v>
      </c>
      <c r="D201" s="20"/>
      <c r="E201" s="21" t="s">
        <v>4</v>
      </c>
      <c r="F201" s="21" t="s">
        <v>5</v>
      </c>
      <c r="G201" s="21" t="s">
        <v>6</v>
      </c>
      <c r="H201" s="21" t="s">
        <v>7</v>
      </c>
      <c r="J201" s="21" t="s">
        <v>69</v>
      </c>
      <c r="K201" s="21" t="s">
        <v>5</v>
      </c>
      <c r="L201" s="21" t="s">
        <v>6</v>
      </c>
    </row>
    <row r="202" spans="3:12" hidden="1" outlineLevel="1" x14ac:dyDescent="0.25">
      <c r="C202" s="6" t="s">
        <v>81</v>
      </c>
      <c r="D202" s="2" t="s">
        <v>79</v>
      </c>
      <c r="E202" s="8">
        <f>-E65</f>
        <v>-100</v>
      </c>
      <c r="F202" s="8">
        <f>-F65</f>
        <v>-150</v>
      </c>
      <c r="G202" s="8">
        <f>-G65</f>
        <v>-150</v>
      </c>
      <c r="H202" s="8">
        <f t="shared" ref="H202:H213" si="23">SUM(E202:G202)</f>
        <v>-400</v>
      </c>
      <c r="J202" s="18">
        <f>Inputs!E$26</f>
        <v>46234</v>
      </c>
      <c r="K202" s="18">
        <f>Inputs!F$26</f>
        <v>46234</v>
      </c>
      <c r="L202" s="18">
        <f>Inputs!G$26</f>
        <v>46234</v>
      </c>
    </row>
    <row r="203" spans="3:12" hidden="1" outlineLevel="1" x14ac:dyDescent="0.25">
      <c r="C203" s="6" t="s">
        <v>70</v>
      </c>
      <c r="D203" s="2" t="s">
        <v>79</v>
      </c>
      <c r="E203" s="16">
        <f>-E58</f>
        <v>-8.2191780821917799</v>
      </c>
      <c r="F203" s="16">
        <f>-F58</f>
        <v>-8.2191780821917799</v>
      </c>
      <c r="G203" s="16">
        <f>-G58</f>
        <v>-8.2191780821917799</v>
      </c>
      <c r="H203" s="16">
        <f t="shared" si="23"/>
        <v>-24.657534246575338</v>
      </c>
      <c r="J203" s="18">
        <f>Inputs!E$27</f>
        <v>46325</v>
      </c>
      <c r="K203" s="18">
        <f>Inputs!F$27</f>
        <v>46325</v>
      </c>
      <c r="L203" s="18">
        <f>Inputs!G$27</f>
        <v>46325</v>
      </c>
    </row>
    <row r="204" spans="3:12" hidden="1" outlineLevel="1" x14ac:dyDescent="0.25">
      <c r="C204" s="6" t="s">
        <v>72</v>
      </c>
      <c r="D204" s="2" t="s">
        <v>79</v>
      </c>
      <c r="E204" s="8">
        <f>-E59</f>
        <v>-388.49315068493149</v>
      </c>
      <c r="F204" s="8">
        <f>-F59</f>
        <v>-498.90410958904107</v>
      </c>
      <c r="G204" s="8">
        <f>-G59</f>
        <v>-498.90410958904107</v>
      </c>
      <c r="H204" s="8">
        <f t="shared" si="23"/>
        <v>-1386.3013698630136</v>
      </c>
      <c r="J204" s="18">
        <f>Inputs!E$27</f>
        <v>46325</v>
      </c>
      <c r="K204" s="18">
        <f>Inputs!F$27</f>
        <v>46325</v>
      </c>
      <c r="L204" s="18">
        <f>Inputs!G$27</f>
        <v>46325</v>
      </c>
    </row>
    <row r="205" spans="3:12" hidden="1" outlineLevel="1" x14ac:dyDescent="0.25">
      <c r="C205" s="6" t="s">
        <v>170</v>
      </c>
      <c r="D205" s="2" t="s">
        <v>79</v>
      </c>
      <c r="E205" s="8">
        <f>-E60</f>
        <v>-1553.972602739726</v>
      </c>
      <c r="F205" s="8">
        <f>-F60</f>
        <v>-1995.6164383561643</v>
      </c>
      <c r="G205" s="8">
        <f>-G60</f>
        <v>-1995.6164383561643</v>
      </c>
      <c r="H205" s="8">
        <f t="shared" si="23"/>
        <v>-5545.2054794520545</v>
      </c>
      <c r="J205" s="18">
        <f>Inputs!E$28</f>
        <v>46402</v>
      </c>
      <c r="K205" s="18">
        <f>Inputs!F$28</f>
        <v>46402</v>
      </c>
      <c r="L205" s="18">
        <f>Inputs!G$28</f>
        <v>46402</v>
      </c>
    </row>
    <row r="206" spans="3:12" hidden="1" outlineLevel="1" x14ac:dyDescent="0.25">
      <c r="C206" s="6" t="s">
        <v>74</v>
      </c>
      <c r="D206" s="2" t="s">
        <v>79</v>
      </c>
      <c r="E206" s="8">
        <f>-E61</f>
        <v>-616.43835616438355</v>
      </c>
      <c r="F206" s="8">
        <f>-F61</f>
        <v>-616.43835616438355</v>
      </c>
      <c r="G206" s="8">
        <f>-G61</f>
        <v>-616.43835616438355</v>
      </c>
      <c r="H206" s="8">
        <f t="shared" si="23"/>
        <v>-1849.3150684931506</v>
      </c>
      <c r="J206" s="18">
        <f>Inputs!E$29</f>
        <v>46402</v>
      </c>
      <c r="K206" s="18">
        <f>Inputs!F$29</f>
        <v>46402</v>
      </c>
      <c r="L206" s="18">
        <f>Inputs!G$29</f>
        <v>46402</v>
      </c>
    </row>
    <row r="207" spans="3:12" hidden="1" outlineLevel="1" x14ac:dyDescent="0.25">
      <c r="C207" s="6" t="s">
        <v>80</v>
      </c>
      <c r="D207" s="2" t="s">
        <v>79</v>
      </c>
      <c r="E207" s="8">
        <f>-E62</f>
        <v>-696.36411506849322</v>
      </c>
      <c r="F207" s="8">
        <f>-F62</f>
        <v>-1260.2739726027396</v>
      </c>
      <c r="G207" s="8">
        <f>-G62</f>
        <v>-1260.2739726027396</v>
      </c>
      <c r="H207" s="8">
        <f t="shared" si="23"/>
        <v>-3216.9120602739722</v>
      </c>
      <c r="J207" s="18">
        <f>Inputs!E$30</f>
        <v>47027</v>
      </c>
      <c r="K207" s="18">
        <f>Inputs!F$30</f>
        <v>47027</v>
      </c>
      <c r="L207" s="18">
        <f>Inputs!G$30</f>
        <v>47027</v>
      </c>
    </row>
    <row r="208" spans="3:12" hidden="1" outlineLevel="1" x14ac:dyDescent="0.25">
      <c r="C208" s="6" t="s">
        <v>171</v>
      </c>
      <c r="D208" s="2" t="s">
        <v>79</v>
      </c>
      <c r="E208" s="8">
        <f>-E63</f>
        <v>-9393.3295890410955</v>
      </c>
      <c r="F208" s="8">
        <f>-F63</f>
        <v>-2099.5452054794519</v>
      </c>
      <c r="G208" s="8">
        <f>-G63</f>
        <v>-2099.5452054794519</v>
      </c>
      <c r="H208" s="8">
        <f t="shared" si="23"/>
        <v>-13592.419999999998</v>
      </c>
      <c r="J208" s="18">
        <f>Inputs!E$30</f>
        <v>47027</v>
      </c>
      <c r="K208" s="18">
        <f>Inputs!F$30</f>
        <v>47027</v>
      </c>
      <c r="L208" s="18">
        <f>Inputs!G$30</f>
        <v>47027</v>
      </c>
    </row>
    <row r="209" spans="2:12" hidden="1" outlineLevel="1" x14ac:dyDescent="0.25">
      <c r="C209" s="6" t="s">
        <v>172</v>
      </c>
      <c r="D209" s="2" t="s">
        <v>79</v>
      </c>
      <c r="E209" s="8">
        <f>-E64</f>
        <v>-784.47</v>
      </c>
      <c r="F209" s="8">
        <f>-F64</f>
        <v>-1000.0000000000001</v>
      </c>
      <c r="G209" s="8">
        <f>-G64</f>
        <v>-1000.0000000000001</v>
      </c>
      <c r="H209" s="8">
        <f t="shared" si="23"/>
        <v>-2784.4700000000003</v>
      </c>
      <c r="J209" s="18">
        <f>Inputs!E$31</f>
        <v>46752</v>
      </c>
      <c r="K209" s="18">
        <f>Inputs!F$31</f>
        <v>46752</v>
      </c>
      <c r="L209" s="18">
        <f>Inputs!G$31</f>
        <v>46752</v>
      </c>
    </row>
    <row r="210" spans="2:12" hidden="1" outlineLevel="1" x14ac:dyDescent="0.25">
      <c r="C210" s="1" t="s">
        <v>173</v>
      </c>
      <c r="D210" s="2" t="s">
        <v>79</v>
      </c>
      <c r="E210" s="14">
        <f>E198-SUM(E193:E195)</f>
        <v>18182.942115245594</v>
      </c>
      <c r="F210" s="14">
        <f>F198-SUM(F193:F195)</f>
        <v>13720.77808219178</v>
      </c>
      <c r="G210" s="14">
        <f>G198-SUM(G193:G195)</f>
        <v>13720.77808219178</v>
      </c>
      <c r="H210" s="14">
        <f t="shared" si="23"/>
        <v>45624.498279629159</v>
      </c>
      <c r="J210" s="18">
        <f>Sale_Date</f>
        <v>47391</v>
      </c>
      <c r="K210" s="18">
        <f>Sale_Date</f>
        <v>47391</v>
      </c>
      <c r="L210" s="18">
        <f>Sale_Date</f>
        <v>47391</v>
      </c>
    </row>
    <row r="211" spans="2:12" hidden="1" outlineLevel="1" x14ac:dyDescent="0.25">
      <c r="C211" s="1" t="s">
        <v>111</v>
      </c>
      <c r="D211" s="2" t="s">
        <v>79</v>
      </c>
      <c r="E211" s="19">
        <f>SUM(E202:E210)</f>
        <v>4641.6551234647723</v>
      </c>
      <c r="F211" s="19">
        <f>SUM(F202:F210)</f>
        <v>6091.7808219178078</v>
      </c>
      <c r="G211" s="19">
        <f>SUM(G202:G210)</f>
        <v>6091.7808219178078</v>
      </c>
      <c r="H211" s="19">
        <f t="shared" si="23"/>
        <v>16825.216767300386</v>
      </c>
    </row>
    <row r="212" spans="2:12" hidden="1" outlineLevel="1" x14ac:dyDescent="0.25">
      <c r="C212" s="6" t="s">
        <v>174</v>
      </c>
      <c r="D212" s="2" t="s">
        <v>79</v>
      </c>
      <c r="E212" s="8">
        <f>-MAX(0,E211)*CIT_Rate</f>
        <v>-417.74896111182949</v>
      </c>
      <c r="F212" s="8">
        <f>-MAX(0,F211)*CIT_Rate</f>
        <v>-548.2602739726027</v>
      </c>
      <c r="G212" s="8">
        <f>-MAX(0,G211)*CIT_Rate</f>
        <v>-548.2602739726027</v>
      </c>
      <c r="H212" s="8">
        <f t="shared" si="23"/>
        <v>-1514.2695090570351</v>
      </c>
    </row>
    <row r="213" spans="2:12" hidden="1" outlineLevel="1" x14ac:dyDescent="0.25">
      <c r="C213" s="1" t="s">
        <v>112</v>
      </c>
      <c r="D213" s="2" t="s">
        <v>79</v>
      </c>
      <c r="E213" s="14">
        <f>E211+E212</f>
        <v>4223.9061623529424</v>
      </c>
      <c r="F213" s="14">
        <f>F211+F212</f>
        <v>5543.5205479452052</v>
      </c>
      <c r="G213" s="14">
        <f>G211+G212</f>
        <v>5543.5205479452052</v>
      </c>
      <c r="H213" s="14">
        <f t="shared" si="23"/>
        <v>15310.947258243352</v>
      </c>
    </row>
    <row r="214" spans="2:12" hidden="1" outlineLevel="1" x14ac:dyDescent="0.25"/>
    <row r="215" spans="2:12" outlineLevel="1" x14ac:dyDescent="0.25">
      <c r="B215" s="4" t="s">
        <v>2</v>
      </c>
      <c r="C215" s="4" t="s">
        <v>395</v>
      </c>
      <c r="D215" s="4"/>
      <c r="E215" s="5" t="s">
        <v>4</v>
      </c>
      <c r="F215" s="5" t="s">
        <v>5</v>
      </c>
      <c r="G215" s="5" t="s">
        <v>6</v>
      </c>
      <c r="H215" s="5" t="s">
        <v>7</v>
      </c>
    </row>
    <row r="216" spans="2:12" outlineLevel="1" x14ac:dyDescent="0.25">
      <c r="C216" s="6" t="s">
        <v>396</v>
      </c>
      <c r="D216" s="2" t="s">
        <v>79</v>
      </c>
      <c r="E216" s="8">
        <f>E62+E63</f>
        <v>10089.693704109588</v>
      </c>
      <c r="F216" s="8">
        <f>F62+F63</f>
        <v>3359.8191780821917</v>
      </c>
      <c r="G216" s="8">
        <f>G62+G63</f>
        <v>3359.8191780821917</v>
      </c>
      <c r="H216" s="8">
        <f>SUM(E216:G216)</f>
        <v>16809.33206027397</v>
      </c>
    </row>
    <row r="217" spans="2:12" outlineLevel="1" x14ac:dyDescent="0.25">
      <c r="C217" s="6" t="s">
        <v>397</v>
      </c>
      <c r="D217" s="2" t="s">
        <v>79</v>
      </c>
      <c r="E217" s="8">
        <f>E66-E216</f>
        <v>3451.5932876712341</v>
      </c>
      <c r="F217" s="8">
        <f>F66-F216</f>
        <v>4269.178082191781</v>
      </c>
      <c r="G217" s="8">
        <f>G66-G216</f>
        <v>4269.178082191781</v>
      </c>
      <c r="H217" s="8">
        <f>SUM(E217:G217)</f>
        <v>11989.949452054796</v>
      </c>
    </row>
    <row r="218" spans="2:12" outlineLevel="1" x14ac:dyDescent="0.25">
      <c r="C218" s="6" t="s">
        <v>398</v>
      </c>
      <c r="D218" s="2" t="s">
        <v>79</v>
      </c>
      <c r="E218" s="8">
        <f>E185-E182-E183</f>
        <v>1628.2362196943868</v>
      </c>
      <c r="F218" s="8">
        <f t="shared" ref="F218:G218" si="24">F185-F182-F183</f>
        <v>2026.0444736083707</v>
      </c>
      <c r="G218" s="8">
        <f t="shared" si="24"/>
        <v>2026.0444736083707</v>
      </c>
      <c r="H218" s="8">
        <f>SUM(E218:G218)</f>
        <v>5680.3251669111287</v>
      </c>
    </row>
    <row r="219" spans="2:12" outlineLevel="1" x14ac:dyDescent="0.25">
      <c r="C219" s="48" t="s">
        <v>399</v>
      </c>
      <c r="D219" s="20"/>
      <c r="E219" s="21"/>
      <c r="F219" s="21"/>
      <c r="G219" s="21"/>
      <c r="H219" s="21"/>
    </row>
    <row r="220" spans="2:12" outlineLevel="1" x14ac:dyDescent="0.25">
      <c r="C220" s="6" t="s">
        <v>27</v>
      </c>
      <c r="D220" s="2" t="s">
        <v>79</v>
      </c>
      <c r="E220" s="8">
        <f>E189</f>
        <v>7500</v>
      </c>
      <c r="F220" s="8">
        <f t="shared" ref="F220:G220" si="25">F189</f>
        <v>7500</v>
      </c>
      <c r="G220" s="8">
        <f t="shared" si="25"/>
        <v>7500</v>
      </c>
      <c r="H220" s="8">
        <f>SUM(E220:G220)</f>
        <v>22500</v>
      </c>
    </row>
    <row r="221" spans="2:12" outlineLevel="1" x14ac:dyDescent="0.25">
      <c r="C221" s="6" t="s">
        <v>400</v>
      </c>
      <c r="D221" s="2" t="s">
        <v>79</v>
      </c>
      <c r="E221" s="8">
        <f>SUM(E59:E61)</f>
        <v>2558.9041095890411</v>
      </c>
      <c r="F221" s="8">
        <f>SUM(F59:F61)</f>
        <v>3110.9589041095887</v>
      </c>
      <c r="G221" s="8">
        <f>SUM(G59:G61)</f>
        <v>3110.9589041095887</v>
      </c>
      <c r="H221" s="8">
        <f>SUM(E221:G221)</f>
        <v>8780.8219178082181</v>
      </c>
    </row>
    <row r="222" spans="2:12" outlineLevel="1" x14ac:dyDescent="0.25">
      <c r="C222" s="6" t="s">
        <v>160</v>
      </c>
      <c r="D222" s="2" t="s">
        <v>79</v>
      </c>
      <c r="E222" s="8">
        <f>E220+E221</f>
        <v>10058.904109589041</v>
      </c>
      <c r="F222" s="8">
        <f t="shared" ref="F222:G222" si="26">F220+F221</f>
        <v>10610.95890410959</v>
      </c>
      <c r="G222" s="8">
        <f t="shared" si="26"/>
        <v>10610.95890410959</v>
      </c>
      <c r="H222" s="8">
        <f>SUM(E222:G222)</f>
        <v>31280.821917808222</v>
      </c>
    </row>
    <row r="223" spans="2:12" outlineLevel="1" x14ac:dyDescent="0.25">
      <c r="C223" s="6" t="s">
        <v>161</v>
      </c>
      <c r="D223" s="2" t="s">
        <v>79</v>
      </c>
      <c r="E223" s="8">
        <f>-MIN(E222,Sale_Costs)</f>
        <v>-250</v>
      </c>
      <c r="F223" s="8">
        <f>-MIN(F222,Sale_Costs)</f>
        <v>-250</v>
      </c>
      <c r="G223" s="8">
        <f>-MIN(G222,Sale_Costs)</f>
        <v>-250</v>
      </c>
      <c r="H223" s="8">
        <f>SUM(E223:G223)</f>
        <v>-750</v>
      </c>
    </row>
    <row r="224" spans="2:12" outlineLevel="1" x14ac:dyDescent="0.25">
      <c r="C224" s="6" t="s">
        <v>401</v>
      </c>
      <c r="D224" s="2" t="s">
        <v>79</v>
      </c>
      <c r="E224" s="8">
        <f>-MIN(SUM(E222:E223),E221)</f>
        <v>-2558.9041095890411</v>
      </c>
      <c r="F224" s="8">
        <f t="shared" ref="F224:G224" si="27">-MIN(SUM(F222:F223),F221)</f>
        <v>-3110.9589041095887</v>
      </c>
      <c r="G224" s="8">
        <f t="shared" si="27"/>
        <v>-3110.9589041095887</v>
      </c>
      <c r="H224" s="8">
        <f>SUM(E224:G224)</f>
        <v>-8780.8219178082181</v>
      </c>
    </row>
    <row r="225" spans="3:12" outlineLevel="1" x14ac:dyDescent="0.25">
      <c r="C225" s="6" t="s">
        <v>163</v>
      </c>
      <c r="D225" s="2" t="s">
        <v>79</v>
      </c>
      <c r="E225" s="8">
        <f>-MIN(SUM(E222:E224),SUM(E178:E181))</f>
        <v>-843.76621969438679</v>
      </c>
      <c r="F225" s="8">
        <f t="shared" ref="F225:G225" si="28">-MIN(SUM(F222:F224),SUM(F178:F181))</f>
        <v>-1026.0444736083705</v>
      </c>
      <c r="G225" s="8">
        <f t="shared" si="28"/>
        <v>-1026.0444736083705</v>
      </c>
      <c r="H225" s="8">
        <f>SUM(E225:G225)</f>
        <v>-2895.8551669111275</v>
      </c>
    </row>
    <row r="226" spans="3:12" outlineLevel="1" x14ac:dyDescent="0.25">
      <c r="C226" s="6" t="s">
        <v>164</v>
      </c>
      <c r="D226" s="2" t="s">
        <v>79</v>
      </c>
      <c r="E226" s="8">
        <f>-MIN(SUM(E222:E225),E184)</f>
        <v>-784.47</v>
      </c>
      <c r="F226" s="8">
        <f t="shared" ref="F226:G226" si="29">-MIN(SUM(F222:F225),F184)</f>
        <v>-1000.0000000000001</v>
      </c>
      <c r="G226" s="8">
        <f t="shared" si="29"/>
        <v>-1000.0000000000001</v>
      </c>
      <c r="H226" s="8">
        <f>SUM(E226:G226)</f>
        <v>-2784.4700000000003</v>
      </c>
    </row>
    <row r="227" spans="3:12" outlineLevel="1" x14ac:dyDescent="0.25">
      <c r="C227" s="6" t="s">
        <v>165</v>
      </c>
      <c r="D227" s="2" t="s">
        <v>79</v>
      </c>
      <c r="E227" s="8">
        <f>-MIN(SUM(E222:E226),E186)</f>
        <v>-437.49999999999994</v>
      </c>
      <c r="F227" s="8">
        <f t="shared" ref="F227:G227" si="30">-MIN(SUM(F222:F226),F186)</f>
        <v>0</v>
      </c>
      <c r="G227" s="8">
        <f t="shared" si="30"/>
        <v>0</v>
      </c>
      <c r="H227" s="8">
        <f>SUM(E227:G227)</f>
        <v>-437.49999999999994</v>
      </c>
    </row>
    <row r="228" spans="3:12" outlineLevel="1" x14ac:dyDescent="0.25">
      <c r="C228" s="6" t="s">
        <v>166</v>
      </c>
      <c r="D228" s="2" t="s">
        <v>79</v>
      </c>
      <c r="E228" s="8">
        <f>SUM(E222:E227)</f>
        <v>5184.2637803056132</v>
      </c>
      <c r="F228" s="8">
        <f t="shared" ref="F228:G228" si="31">SUM(F222:F227)</f>
        <v>5223.95552639163</v>
      </c>
      <c r="G228" s="8">
        <f t="shared" si="31"/>
        <v>5223.95552639163</v>
      </c>
      <c r="H228" s="8">
        <f>SUM(E228:G228)</f>
        <v>15632.174833088873</v>
      </c>
    </row>
    <row r="229" spans="3:12" outlineLevel="1" x14ac:dyDescent="0.25">
      <c r="C229" s="6" t="s">
        <v>167</v>
      </c>
      <c r="D229" s="2" t="s">
        <v>79</v>
      </c>
      <c r="E229" s="8">
        <f>E228*E19</f>
        <v>3628.984646213929</v>
      </c>
      <c r="F229" s="8">
        <f>F228*F19</f>
        <v>5223.95552639163</v>
      </c>
      <c r="G229" s="8">
        <f>G228*G19</f>
        <v>5223.95552639163</v>
      </c>
      <c r="H229" s="8">
        <f>SUM(E229:G229)</f>
        <v>14076.895698997188</v>
      </c>
    </row>
    <row r="230" spans="3:12" outlineLevel="1" x14ac:dyDescent="0.25">
      <c r="C230" s="6" t="s">
        <v>168</v>
      </c>
      <c r="D230" s="2" t="s">
        <v>79</v>
      </c>
      <c r="E230" s="8">
        <f>E228-E229</f>
        <v>1555.2791340916842</v>
      </c>
      <c r="F230" s="8">
        <f t="shared" ref="F230:G230" si="32">F228-F229</f>
        <v>0</v>
      </c>
      <c r="G230" s="8">
        <f t="shared" si="32"/>
        <v>0</v>
      </c>
      <c r="H230" s="8">
        <f>SUM(E230:G230)</f>
        <v>1555.2791340916842</v>
      </c>
    </row>
    <row r="231" spans="3:12" outlineLevel="1" x14ac:dyDescent="0.25">
      <c r="C231" s="20" t="s">
        <v>402</v>
      </c>
      <c r="D231" s="20"/>
      <c r="E231" s="21" t="s">
        <v>4</v>
      </c>
      <c r="F231" s="21" t="s">
        <v>5</v>
      </c>
      <c r="G231" s="21" t="s">
        <v>6</v>
      </c>
      <c r="H231" s="21" t="s">
        <v>7</v>
      </c>
      <c r="J231" s="21" t="s">
        <v>69</v>
      </c>
      <c r="K231" s="21" t="s">
        <v>5</v>
      </c>
      <c r="L231" s="21" t="s">
        <v>6</v>
      </c>
    </row>
    <row r="232" spans="3:12" outlineLevel="1" x14ac:dyDescent="0.25">
      <c r="C232" s="6" t="s">
        <v>81</v>
      </c>
      <c r="D232" s="2" t="s">
        <v>79</v>
      </c>
      <c r="E232" s="8">
        <f>-E65</f>
        <v>-100</v>
      </c>
      <c r="F232" s="8">
        <f>-F65</f>
        <v>-150</v>
      </c>
      <c r="G232" s="8">
        <f>-G65</f>
        <v>-150</v>
      </c>
      <c r="H232" s="8">
        <f>SUM(E232:G232)</f>
        <v>-400</v>
      </c>
      <c r="J232" s="18">
        <f>Inputs!E$26</f>
        <v>46234</v>
      </c>
      <c r="K232" s="18">
        <f>Inputs!F$26</f>
        <v>46234</v>
      </c>
      <c r="L232" s="18">
        <f>Inputs!G$26</f>
        <v>46234</v>
      </c>
    </row>
    <row r="233" spans="3:12" outlineLevel="1" x14ac:dyDescent="0.25">
      <c r="C233" s="6" t="s">
        <v>70</v>
      </c>
      <c r="D233" s="2" t="s">
        <v>79</v>
      </c>
      <c r="E233" s="8">
        <f>-E58</f>
        <v>-8.2191780821917799</v>
      </c>
      <c r="F233" s="8">
        <f>-F58</f>
        <v>-8.2191780821917799</v>
      </c>
      <c r="G233" s="8">
        <f>-G58</f>
        <v>-8.2191780821917799</v>
      </c>
      <c r="H233" s="8">
        <f>SUM(E233:G233)</f>
        <v>-24.657534246575338</v>
      </c>
      <c r="J233" s="18">
        <f>Inputs!E$27</f>
        <v>46325</v>
      </c>
      <c r="K233" s="18">
        <f>Inputs!F$27</f>
        <v>46325</v>
      </c>
      <c r="L233" s="18">
        <f>Inputs!G$27</f>
        <v>46325</v>
      </c>
    </row>
    <row r="234" spans="3:12" outlineLevel="1" x14ac:dyDescent="0.25">
      <c r="C234" s="6" t="s">
        <v>72</v>
      </c>
      <c r="D234" s="2" t="s">
        <v>79</v>
      </c>
      <c r="E234" s="8">
        <f>-E59</f>
        <v>-388.49315068493149</v>
      </c>
      <c r="F234" s="8">
        <f>-F59</f>
        <v>-498.90410958904107</v>
      </c>
      <c r="G234" s="8">
        <f>-G59</f>
        <v>-498.90410958904107</v>
      </c>
      <c r="H234" s="8">
        <f>SUM(E234:G234)</f>
        <v>-1386.3013698630136</v>
      </c>
      <c r="J234" s="18">
        <f>Inputs!E$27</f>
        <v>46325</v>
      </c>
      <c r="K234" s="18">
        <f>Inputs!F$27</f>
        <v>46325</v>
      </c>
      <c r="L234" s="18">
        <f>Inputs!G$27</f>
        <v>46325</v>
      </c>
    </row>
    <row r="235" spans="3:12" outlineLevel="1" x14ac:dyDescent="0.25">
      <c r="C235" s="6" t="s">
        <v>170</v>
      </c>
      <c r="D235" s="2" t="s">
        <v>79</v>
      </c>
      <c r="E235" s="8">
        <f>-E60</f>
        <v>-1553.972602739726</v>
      </c>
      <c r="F235" s="8">
        <f>-F60</f>
        <v>-1995.6164383561643</v>
      </c>
      <c r="G235" s="8">
        <f>-G60</f>
        <v>-1995.6164383561643</v>
      </c>
      <c r="H235" s="8">
        <f>SUM(E235:G235)</f>
        <v>-5545.2054794520545</v>
      </c>
      <c r="J235" s="18">
        <f>Inputs!E$28</f>
        <v>46402</v>
      </c>
      <c r="K235" s="18">
        <f>Inputs!F$28</f>
        <v>46402</v>
      </c>
      <c r="L235" s="18">
        <f>Inputs!G$28</f>
        <v>46402</v>
      </c>
    </row>
    <row r="236" spans="3:12" outlineLevel="1" x14ac:dyDescent="0.25">
      <c r="C236" s="6" t="s">
        <v>74</v>
      </c>
      <c r="D236" s="2" t="s">
        <v>79</v>
      </c>
      <c r="E236" s="8">
        <f>-E61</f>
        <v>-616.43835616438355</v>
      </c>
      <c r="F236" s="8">
        <f>-F61</f>
        <v>-616.43835616438355</v>
      </c>
      <c r="G236" s="8">
        <f>-G61</f>
        <v>-616.43835616438355</v>
      </c>
      <c r="H236" s="8">
        <f>SUM(E236:G236)</f>
        <v>-1849.3150684931506</v>
      </c>
      <c r="J236" s="18">
        <f>Inputs!E$29</f>
        <v>46402</v>
      </c>
      <c r="K236" s="18">
        <f>Inputs!F$29</f>
        <v>46402</v>
      </c>
      <c r="L236" s="18">
        <f>Inputs!G$29</f>
        <v>46402</v>
      </c>
    </row>
    <row r="237" spans="3:12" outlineLevel="1" x14ac:dyDescent="0.25">
      <c r="C237" s="6" t="s">
        <v>172</v>
      </c>
      <c r="D237" s="2" t="s">
        <v>79</v>
      </c>
      <c r="E237" s="8">
        <f>-E64</f>
        <v>-784.47</v>
      </c>
      <c r="F237" s="8">
        <f>-F64</f>
        <v>-1000.0000000000001</v>
      </c>
      <c r="G237" s="8">
        <f>-G64</f>
        <v>-1000.0000000000001</v>
      </c>
      <c r="H237" s="8">
        <f>SUM(E237:G237)</f>
        <v>-2784.4700000000003</v>
      </c>
      <c r="J237" s="18">
        <f>Inputs!E$31</f>
        <v>46752</v>
      </c>
      <c r="K237" s="18">
        <f>Inputs!F$31</f>
        <v>46752</v>
      </c>
      <c r="L237" s="18">
        <f>Inputs!G$31</f>
        <v>46752</v>
      </c>
    </row>
    <row r="238" spans="3:12" outlineLevel="1" x14ac:dyDescent="0.25">
      <c r="C238" s="6" t="s">
        <v>173</v>
      </c>
      <c r="D238" s="2" t="s">
        <v>79</v>
      </c>
      <c r="E238" s="8">
        <f>E229-SUM(E224:E226)</f>
        <v>7816.1249754973578</v>
      </c>
      <c r="F238" s="8">
        <f t="shared" ref="F238:G238" si="33">F229-SUM(F224:F226)</f>
        <v>10360.95890410959</v>
      </c>
      <c r="G238" s="8">
        <f t="shared" si="33"/>
        <v>10360.95890410959</v>
      </c>
      <c r="H238" s="8">
        <f>SUM(E238:G238)</f>
        <v>28538.042783716537</v>
      </c>
      <c r="J238" s="18">
        <f>Sale_Date</f>
        <v>47391</v>
      </c>
      <c r="K238" s="18">
        <f>Sale_Date</f>
        <v>47391</v>
      </c>
      <c r="L238" s="18">
        <f>Sale_Date</f>
        <v>47391</v>
      </c>
    </row>
    <row r="239" spans="3:12" outlineLevel="1" x14ac:dyDescent="0.25">
      <c r="C239" s="44" t="s">
        <v>111</v>
      </c>
      <c r="D239" s="45" t="s">
        <v>79</v>
      </c>
      <c r="E239" s="52">
        <f>SUM(E232:E238)</f>
        <v>4364.5316878261247</v>
      </c>
      <c r="F239" s="52">
        <f t="shared" ref="F239:G239" si="34">SUM(F232:F238)</f>
        <v>6091.7808219178087</v>
      </c>
      <c r="G239" s="52">
        <f t="shared" si="34"/>
        <v>6091.7808219178087</v>
      </c>
      <c r="H239" s="52">
        <f>SUM(E239:G239)</f>
        <v>16548.093331661741</v>
      </c>
    </row>
    <row r="240" spans="3:12" outlineLevel="1" x14ac:dyDescent="0.25">
      <c r="C240" s="1" t="s">
        <v>174</v>
      </c>
      <c r="D240" s="2" t="s">
        <v>79</v>
      </c>
      <c r="E240" s="19">
        <f>-MAX(0,E239)*CIT_Rate</f>
        <v>-392.8078519043512</v>
      </c>
      <c r="F240" s="19">
        <f>-MAX(0,F239)*CIT_Rate</f>
        <v>-548.26027397260282</v>
      </c>
      <c r="G240" s="19">
        <f>-MAX(0,G239)*CIT_Rate</f>
        <v>-548.26027397260282</v>
      </c>
      <c r="H240" s="19">
        <f>SUM(E240:G240)</f>
        <v>-1489.3283998495567</v>
      </c>
    </row>
    <row r="241" spans="2:45" outlineLevel="1" x14ac:dyDescent="0.25">
      <c r="C241" s="44" t="s">
        <v>112</v>
      </c>
      <c r="D241" s="45" t="s">
        <v>79</v>
      </c>
      <c r="E241" s="52">
        <f>E239+E240</f>
        <v>3971.7238359217736</v>
      </c>
      <c r="F241" s="52">
        <f t="shared" ref="F241:G241" si="35">F239+F240</f>
        <v>5543.5205479452061</v>
      </c>
      <c r="G241" s="52">
        <f t="shared" si="35"/>
        <v>5543.5205479452061</v>
      </c>
      <c r="H241" s="52">
        <f>SUM(E241:G241)</f>
        <v>15058.764931812184</v>
      </c>
    </row>
    <row r="242" spans="2:45" outlineLevel="1" x14ac:dyDescent="0.25">
      <c r="C242" s="6" t="s">
        <v>113</v>
      </c>
      <c r="D242" s="2" t="s">
        <v>2</v>
      </c>
      <c r="E242" s="22">
        <f>SUMIF(E232:E238,"&gt;0")/-SUMIF(E232:E238,"&lt;0")</f>
        <v>2.264497675150726</v>
      </c>
      <c r="F242" s="22">
        <f t="shared" ref="F242:G242" si="36">SUMIF(F232:F238,"&gt;0")/-SUMIF(F232:F238,"&lt;0")</f>
        <v>2.4269212257339965</v>
      </c>
      <c r="G242" s="22">
        <f t="shared" si="36"/>
        <v>2.4269212257339965</v>
      </c>
      <c r="H242" s="22">
        <f>SUMIF(H232:H238,"&gt;0")/-SUMIF(H232:H238,"&lt;0")</f>
        <v>2.3801637277816701</v>
      </c>
    </row>
    <row r="243" spans="2:45" outlineLevel="1" x14ac:dyDescent="0.25">
      <c r="C243" s="6" t="s">
        <v>114</v>
      </c>
      <c r="D243" s="2" t="s">
        <v>11</v>
      </c>
      <c r="E243" s="23">
        <f>XIRR(E232:E238,J232:J238)</f>
        <v>0.37652974724769595</v>
      </c>
      <c r="F243" s="23">
        <f t="shared" ref="F243:G243" si="37">XIRR(F232:F238,K232:K238)</f>
        <v>0.41424058079719539</v>
      </c>
      <c r="G243" s="23">
        <f t="shared" si="37"/>
        <v>0.41424058079719539</v>
      </c>
    </row>
    <row r="244" spans="2:45" outlineLevel="1" x14ac:dyDescent="0.25">
      <c r="C244" s="53" t="s">
        <v>403</v>
      </c>
      <c r="D244" s="54" t="s">
        <v>79</v>
      </c>
      <c r="E244" s="8">
        <f>E239-E211</f>
        <v>-277.12343563864761</v>
      </c>
      <c r="F244" s="8">
        <f t="shared" ref="F244:G244" si="38">F239-F211</f>
        <v>0</v>
      </c>
      <c r="G244" s="8">
        <f t="shared" si="38"/>
        <v>0</v>
      </c>
      <c r="H244" s="8">
        <f>SUM(E244:G244)</f>
        <v>-277.12343563864761</v>
      </c>
    </row>
    <row r="245" spans="2:45" outlineLevel="1" x14ac:dyDescent="0.25"/>
    <row r="246" spans="2:45" hidden="1" outlineLevel="1" x14ac:dyDescent="0.25">
      <c r="B246" s="4" t="s">
        <v>2</v>
      </c>
      <c r="C246" s="4" t="s">
        <v>175</v>
      </c>
      <c r="D246" s="4"/>
      <c r="E246" s="5"/>
      <c r="F246" s="5"/>
      <c r="G246" s="5"/>
      <c r="H246" s="5" t="s">
        <v>7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</row>
    <row r="247" spans="2:45" hidden="1" outlineLevel="1" x14ac:dyDescent="0.25">
      <c r="C247" s="6" t="s">
        <v>124</v>
      </c>
      <c r="D247" s="2" t="s">
        <v>125</v>
      </c>
      <c r="J247" s="27">
        <f t="shared" ref="J247:AS247" si="39">First_Year+COLUMN()-COLUMN($J$1)</f>
        <v>2026</v>
      </c>
      <c r="K247" s="27">
        <f t="shared" si="39"/>
        <v>2027</v>
      </c>
      <c r="L247" s="27">
        <f t="shared" si="39"/>
        <v>2028</v>
      </c>
      <c r="M247" s="27">
        <f t="shared" si="39"/>
        <v>2029</v>
      </c>
      <c r="N247" s="27">
        <f t="shared" si="39"/>
        <v>2030</v>
      </c>
      <c r="O247" s="27">
        <f t="shared" si="39"/>
        <v>2031</v>
      </c>
      <c r="P247" s="27">
        <f t="shared" si="39"/>
        <v>2032</v>
      </c>
      <c r="Q247" s="27">
        <f t="shared" si="39"/>
        <v>2033</v>
      </c>
      <c r="R247" s="27">
        <f t="shared" si="39"/>
        <v>2034</v>
      </c>
      <c r="S247" s="27">
        <f t="shared" si="39"/>
        <v>2035</v>
      </c>
      <c r="T247" s="27">
        <f t="shared" si="39"/>
        <v>2036</v>
      </c>
      <c r="U247" s="27">
        <f t="shared" si="39"/>
        <v>2037</v>
      </c>
      <c r="V247" s="27">
        <f t="shared" si="39"/>
        <v>2038</v>
      </c>
      <c r="W247" s="27">
        <f t="shared" si="39"/>
        <v>2039</v>
      </c>
      <c r="X247" s="27">
        <f t="shared" si="39"/>
        <v>2040</v>
      </c>
      <c r="Y247" s="27">
        <f t="shared" si="39"/>
        <v>2041</v>
      </c>
      <c r="Z247" s="27">
        <f t="shared" si="39"/>
        <v>2042</v>
      </c>
      <c r="AA247" s="27">
        <f t="shared" si="39"/>
        <v>2043</v>
      </c>
      <c r="AB247" s="27">
        <f t="shared" si="39"/>
        <v>2044</v>
      </c>
      <c r="AC247" s="27">
        <f t="shared" si="39"/>
        <v>2045</v>
      </c>
      <c r="AD247" s="27">
        <f t="shared" si="39"/>
        <v>2046</v>
      </c>
      <c r="AE247" s="27">
        <f t="shared" si="39"/>
        <v>2047</v>
      </c>
      <c r="AF247" s="27">
        <f t="shared" si="39"/>
        <v>2048</v>
      </c>
      <c r="AG247" s="27">
        <f t="shared" si="39"/>
        <v>2049</v>
      </c>
      <c r="AH247" s="27">
        <f t="shared" si="39"/>
        <v>2050</v>
      </c>
      <c r="AI247" s="27">
        <f t="shared" si="39"/>
        <v>2051</v>
      </c>
      <c r="AJ247" s="27">
        <f t="shared" si="39"/>
        <v>2052</v>
      </c>
      <c r="AK247" s="27">
        <f t="shared" si="39"/>
        <v>2053</v>
      </c>
      <c r="AL247" s="27">
        <f t="shared" si="39"/>
        <v>2054</v>
      </c>
      <c r="AM247" s="27">
        <f t="shared" si="39"/>
        <v>2055</v>
      </c>
      <c r="AN247" s="27">
        <f t="shared" si="39"/>
        <v>2056</v>
      </c>
      <c r="AO247" s="27">
        <f t="shared" si="39"/>
        <v>2057</v>
      </c>
      <c r="AP247" s="27">
        <f t="shared" si="39"/>
        <v>2058</v>
      </c>
      <c r="AQ247" s="27">
        <f t="shared" si="39"/>
        <v>2059</v>
      </c>
      <c r="AR247" s="27">
        <f t="shared" si="39"/>
        <v>2060</v>
      </c>
      <c r="AS247" s="27">
        <f t="shared" si="39"/>
        <v>2061</v>
      </c>
    </row>
    <row r="248" spans="2:45" hidden="1" outlineLevel="1" x14ac:dyDescent="0.25">
      <c r="C248" s="6" t="s">
        <v>176</v>
      </c>
      <c r="D248" s="2" t="s">
        <v>135</v>
      </c>
      <c r="J248" s="18">
        <f t="shared" ref="J248:AS248" si="40">DATE(J247+1,1,1)-1</f>
        <v>46387</v>
      </c>
      <c r="K248" s="18">
        <f t="shared" si="40"/>
        <v>46752</v>
      </c>
      <c r="L248" s="18">
        <f t="shared" si="40"/>
        <v>47118</v>
      </c>
      <c r="M248" s="18">
        <f t="shared" si="40"/>
        <v>47483</v>
      </c>
      <c r="N248" s="18">
        <f t="shared" si="40"/>
        <v>47848</v>
      </c>
      <c r="O248" s="18">
        <f t="shared" si="40"/>
        <v>48213</v>
      </c>
      <c r="P248" s="18">
        <f t="shared" si="40"/>
        <v>48579</v>
      </c>
      <c r="Q248" s="18">
        <f t="shared" si="40"/>
        <v>48944</v>
      </c>
      <c r="R248" s="18">
        <f t="shared" si="40"/>
        <v>49309</v>
      </c>
      <c r="S248" s="18">
        <f t="shared" si="40"/>
        <v>49674</v>
      </c>
      <c r="T248" s="18">
        <f t="shared" si="40"/>
        <v>50040</v>
      </c>
      <c r="U248" s="18">
        <f t="shared" si="40"/>
        <v>50405</v>
      </c>
      <c r="V248" s="18">
        <f t="shared" si="40"/>
        <v>50770</v>
      </c>
      <c r="W248" s="18">
        <f t="shared" si="40"/>
        <v>51135</v>
      </c>
      <c r="X248" s="18">
        <f t="shared" si="40"/>
        <v>51501</v>
      </c>
      <c r="Y248" s="18">
        <f t="shared" si="40"/>
        <v>51866</v>
      </c>
      <c r="Z248" s="18">
        <f t="shared" si="40"/>
        <v>52231</v>
      </c>
      <c r="AA248" s="18">
        <f t="shared" si="40"/>
        <v>52596</v>
      </c>
      <c r="AB248" s="18">
        <f t="shared" si="40"/>
        <v>52962</v>
      </c>
      <c r="AC248" s="18">
        <f t="shared" si="40"/>
        <v>53327</v>
      </c>
      <c r="AD248" s="18">
        <f t="shared" si="40"/>
        <v>53692</v>
      </c>
      <c r="AE248" s="18">
        <f t="shared" si="40"/>
        <v>54057</v>
      </c>
      <c r="AF248" s="18">
        <f t="shared" si="40"/>
        <v>54423</v>
      </c>
      <c r="AG248" s="18">
        <f t="shared" si="40"/>
        <v>54788</v>
      </c>
      <c r="AH248" s="18">
        <f t="shared" si="40"/>
        <v>55153</v>
      </c>
      <c r="AI248" s="18">
        <f t="shared" si="40"/>
        <v>55518</v>
      </c>
      <c r="AJ248" s="18">
        <f t="shared" si="40"/>
        <v>55884</v>
      </c>
      <c r="AK248" s="18">
        <f t="shared" si="40"/>
        <v>56249</v>
      </c>
      <c r="AL248" s="18">
        <f t="shared" si="40"/>
        <v>56614</v>
      </c>
      <c r="AM248" s="18">
        <f t="shared" si="40"/>
        <v>56979</v>
      </c>
      <c r="AN248" s="18">
        <f t="shared" si="40"/>
        <v>57345</v>
      </c>
      <c r="AO248" s="18">
        <f t="shared" si="40"/>
        <v>57710</v>
      </c>
      <c r="AP248" s="18">
        <f t="shared" si="40"/>
        <v>58075</v>
      </c>
      <c r="AQ248" s="18">
        <f t="shared" si="40"/>
        <v>58440</v>
      </c>
      <c r="AR248" s="18">
        <f t="shared" si="40"/>
        <v>58806</v>
      </c>
      <c r="AS248" s="18">
        <f t="shared" si="40"/>
        <v>59171</v>
      </c>
    </row>
    <row r="249" spans="2:45" hidden="1" outlineLevel="1" x14ac:dyDescent="0.25"/>
    <row r="250" spans="2:45" hidden="1" outlineLevel="1" x14ac:dyDescent="0.25">
      <c r="B250" s="4" t="s">
        <v>2</v>
      </c>
      <c r="C250" s="4" t="s">
        <v>177</v>
      </c>
      <c r="D250" s="4"/>
      <c r="E250" s="5" t="s">
        <v>178</v>
      </c>
      <c r="F250" s="5"/>
      <c r="G250" s="5"/>
      <c r="H250" s="5" t="s">
        <v>7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</row>
    <row r="251" spans="2:45" hidden="1" outlineLevel="1" x14ac:dyDescent="0.25">
      <c r="C251" s="6" t="s">
        <v>179</v>
      </c>
      <c r="D251" s="2" t="s">
        <v>180</v>
      </c>
      <c r="J251" s="27">
        <f>J$247-YEAR(Inputs!$E$33)</f>
        <v>-5</v>
      </c>
      <c r="K251" s="27">
        <f>K$247-YEAR(Inputs!$E$33)</f>
        <v>-4</v>
      </c>
      <c r="L251" s="27">
        <f>L$247-YEAR(Inputs!$E$33)</f>
        <v>-3</v>
      </c>
      <c r="M251" s="27">
        <f>M$247-YEAR(Inputs!$E$33)</f>
        <v>-2</v>
      </c>
      <c r="N251" s="27">
        <f>N$247-YEAR(Inputs!$E$33)</f>
        <v>-1</v>
      </c>
      <c r="O251" s="27">
        <f>O$247-YEAR(Inputs!$E$33)</f>
        <v>0</v>
      </c>
      <c r="P251" s="27">
        <f>P$247-YEAR(Inputs!$E$33)</f>
        <v>1</v>
      </c>
      <c r="Q251" s="27">
        <f>Q$247-YEAR(Inputs!$E$33)</f>
        <v>2</v>
      </c>
      <c r="R251" s="27">
        <f>R$247-YEAR(Inputs!$E$33)</f>
        <v>3</v>
      </c>
      <c r="S251" s="27">
        <f>S$247-YEAR(Inputs!$E$33)</f>
        <v>4</v>
      </c>
      <c r="T251" s="27">
        <f>T$247-YEAR(Inputs!$E$33)</f>
        <v>5</v>
      </c>
      <c r="U251" s="27">
        <f>U$247-YEAR(Inputs!$E$33)</f>
        <v>6</v>
      </c>
      <c r="V251" s="27">
        <f>V$247-YEAR(Inputs!$E$33)</f>
        <v>7</v>
      </c>
      <c r="W251" s="27">
        <f>W$247-YEAR(Inputs!$E$33)</f>
        <v>8</v>
      </c>
      <c r="X251" s="27">
        <f>X$247-YEAR(Inputs!$E$33)</f>
        <v>9</v>
      </c>
      <c r="Y251" s="27">
        <f>Y$247-YEAR(Inputs!$E$33)</f>
        <v>10</v>
      </c>
      <c r="Z251" s="27">
        <f>Z$247-YEAR(Inputs!$E$33)</f>
        <v>11</v>
      </c>
      <c r="AA251" s="27">
        <f>AA$247-YEAR(Inputs!$E$33)</f>
        <v>12</v>
      </c>
      <c r="AB251" s="27">
        <f>AB$247-YEAR(Inputs!$E$33)</f>
        <v>13</v>
      </c>
      <c r="AC251" s="27">
        <f>AC$247-YEAR(Inputs!$E$33)</f>
        <v>14</v>
      </c>
      <c r="AD251" s="27">
        <f>AD$247-YEAR(Inputs!$E$33)</f>
        <v>15</v>
      </c>
      <c r="AE251" s="27">
        <f>AE$247-YEAR(Inputs!$E$33)</f>
        <v>16</v>
      </c>
      <c r="AF251" s="27">
        <f>AF$247-YEAR(Inputs!$E$33)</f>
        <v>17</v>
      </c>
      <c r="AG251" s="27">
        <f>AG$247-YEAR(Inputs!$E$33)</f>
        <v>18</v>
      </c>
      <c r="AH251" s="27">
        <f>AH$247-YEAR(Inputs!$E$33)</f>
        <v>19</v>
      </c>
      <c r="AI251" s="27">
        <f>AI$247-YEAR(Inputs!$E$33)</f>
        <v>20</v>
      </c>
      <c r="AJ251" s="27">
        <f>AJ$247-YEAR(Inputs!$E$33)</f>
        <v>21</v>
      </c>
      <c r="AK251" s="27">
        <f>AK$247-YEAR(Inputs!$E$33)</f>
        <v>22</v>
      </c>
      <c r="AL251" s="27">
        <f>AL$247-YEAR(Inputs!$E$33)</f>
        <v>23</v>
      </c>
      <c r="AM251" s="27">
        <f>AM$247-YEAR(Inputs!$E$33)</f>
        <v>24</v>
      </c>
      <c r="AN251" s="27">
        <f>AN$247-YEAR(Inputs!$E$33)</f>
        <v>25</v>
      </c>
      <c r="AO251" s="27">
        <f>AO$247-YEAR(Inputs!$E$33)</f>
        <v>26</v>
      </c>
      <c r="AP251" s="27">
        <f>AP$247-YEAR(Inputs!$E$33)</f>
        <v>27</v>
      </c>
      <c r="AQ251" s="27">
        <f>AQ$247-YEAR(Inputs!$E$33)</f>
        <v>28</v>
      </c>
      <c r="AR251" s="27">
        <f>AR$247-YEAR(Inputs!$E$33)</f>
        <v>29</v>
      </c>
      <c r="AS251" s="27">
        <f>AS$247-YEAR(Inputs!$E$33)</f>
        <v>30</v>
      </c>
    </row>
    <row r="252" spans="2:45" hidden="1" outlineLevel="1" x14ac:dyDescent="0.25">
      <c r="C252" s="6" t="s">
        <v>181</v>
      </c>
      <c r="D252" s="2" t="s">
        <v>182</v>
      </c>
      <c r="E252" s="27">
        <f>DATEDIF(Inputs!$E$32,Inputs!$E$33,"m")</f>
        <v>24</v>
      </c>
      <c r="J252" s="27">
        <f>(J$247+1-YEAR(Inputs!$E$32))*Months_In_Year-MONTH(Inputs!$E$32)</f>
        <v>-30</v>
      </c>
      <c r="K252" s="27">
        <f>(K$247+1-YEAR(Inputs!$E$32))*Months_In_Year-MONTH(Inputs!$E$32)</f>
        <v>-18</v>
      </c>
      <c r="L252" s="27">
        <f>(L$247+1-YEAR(Inputs!$E$32))*Months_In_Year-MONTH(Inputs!$E$32)</f>
        <v>-6</v>
      </c>
      <c r="M252" s="27">
        <f>(M$247+1-YEAR(Inputs!$E$32))*Months_In_Year-MONTH(Inputs!$E$32)</f>
        <v>6</v>
      </c>
      <c r="N252" s="27">
        <f>(N$247+1-YEAR(Inputs!$E$32))*Months_In_Year-MONTH(Inputs!$E$32)</f>
        <v>18</v>
      </c>
      <c r="O252" s="27">
        <f>(O$247+1-YEAR(Inputs!$E$32))*Months_In_Year-MONTH(Inputs!$E$32)</f>
        <v>30</v>
      </c>
      <c r="P252" s="27">
        <f>(P$247+1-YEAR(Inputs!$E$32))*Months_In_Year-MONTH(Inputs!$E$32)</f>
        <v>42</v>
      </c>
      <c r="Q252" s="27">
        <f>(Q$247+1-YEAR(Inputs!$E$32))*Months_In_Year-MONTH(Inputs!$E$32)</f>
        <v>54</v>
      </c>
      <c r="R252" s="27">
        <f>(R$247+1-YEAR(Inputs!$E$32))*Months_In_Year-MONTH(Inputs!$E$32)</f>
        <v>66</v>
      </c>
      <c r="S252" s="27">
        <f>(S$247+1-YEAR(Inputs!$E$32))*Months_In_Year-MONTH(Inputs!$E$32)</f>
        <v>78</v>
      </c>
      <c r="T252" s="27">
        <f>(T$247+1-YEAR(Inputs!$E$32))*Months_In_Year-MONTH(Inputs!$E$32)</f>
        <v>90</v>
      </c>
      <c r="U252" s="27">
        <f>(U$247+1-YEAR(Inputs!$E$32))*Months_In_Year-MONTH(Inputs!$E$32)</f>
        <v>102</v>
      </c>
      <c r="V252" s="27">
        <f>(V$247+1-YEAR(Inputs!$E$32))*Months_In_Year-MONTH(Inputs!$E$32)</f>
        <v>114</v>
      </c>
      <c r="W252" s="27">
        <f>(W$247+1-YEAR(Inputs!$E$32))*Months_In_Year-MONTH(Inputs!$E$32)</f>
        <v>126</v>
      </c>
      <c r="X252" s="27">
        <f>(X$247+1-YEAR(Inputs!$E$32))*Months_In_Year-MONTH(Inputs!$E$32)</f>
        <v>138</v>
      </c>
      <c r="Y252" s="27">
        <f>(Y$247+1-YEAR(Inputs!$E$32))*Months_In_Year-MONTH(Inputs!$E$32)</f>
        <v>150</v>
      </c>
      <c r="Z252" s="27">
        <f>(Z$247+1-YEAR(Inputs!$E$32))*Months_In_Year-MONTH(Inputs!$E$32)</f>
        <v>162</v>
      </c>
      <c r="AA252" s="27">
        <f>(AA$247+1-YEAR(Inputs!$E$32))*Months_In_Year-MONTH(Inputs!$E$32)</f>
        <v>174</v>
      </c>
      <c r="AB252" s="27">
        <f>(AB$247+1-YEAR(Inputs!$E$32))*Months_In_Year-MONTH(Inputs!$E$32)</f>
        <v>186</v>
      </c>
      <c r="AC252" s="27">
        <f>(AC$247+1-YEAR(Inputs!$E$32))*Months_In_Year-MONTH(Inputs!$E$32)</f>
        <v>198</v>
      </c>
      <c r="AD252" s="27">
        <f>(AD$247+1-YEAR(Inputs!$E$32))*Months_In_Year-MONTH(Inputs!$E$32)</f>
        <v>210</v>
      </c>
      <c r="AE252" s="27">
        <f>(AE$247+1-YEAR(Inputs!$E$32))*Months_In_Year-MONTH(Inputs!$E$32)</f>
        <v>222</v>
      </c>
      <c r="AF252" s="27">
        <f>(AF$247+1-YEAR(Inputs!$E$32))*Months_In_Year-MONTH(Inputs!$E$32)</f>
        <v>234</v>
      </c>
      <c r="AG252" s="27">
        <f>(AG$247+1-YEAR(Inputs!$E$32))*Months_In_Year-MONTH(Inputs!$E$32)</f>
        <v>246</v>
      </c>
      <c r="AH252" s="27">
        <f>(AH$247+1-YEAR(Inputs!$E$32))*Months_In_Year-MONTH(Inputs!$E$32)</f>
        <v>258</v>
      </c>
      <c r="AI252" s="27">
        <f>(AI$247+1-YEAR(Inputs!$E$32))*Months_In_Year-MONTH(Inputs!$E$32)</f>
        <v>270</v>
      </c>
      <c r="AJ252" s="27">
        <f>(AJ$247+1-YEAR(Inputs!$E$32))*Months_In_Year-MONTH(Inputs!$E$32)</f>
        <v>282</v>
      </c>
      <c r="AK252" s="27">
        <f>(AK$247+1-YEAR(Inputs!$E$32))*Months_In_Year-MONTH(Inputs!$E$32)</f>
        <v>294</v>
      </c>
      <c r="AL252" s="27">
        <f>(AL$247+1-YEAR(Inputs!$E$32))*Months_In_Year-MONTH(Inputs!$E$32)</f>
        <v>306</v>
      </c>
      <c r="AM252" s="27">
        <f>(AM$247+1-YEAR(Inputs!$E$32))*Months_In_Year-MONTH(Inputs!$E$32)</f>
        <v>318</v>
      </c>
      <c r="AN252" s="27">
        <f>(AN$247+1-YEAR(Inputs!$E$32))*Months_In_Year-MONTH(Inputs!$E$32)</f>
        <v>330</v>
      </c>
      <c r="AO252" s="27">
        <f>(AO$247+1-YEAR(Inputs!$E$32))*Months_In_Year-MONTH(Inputs!$E$32)</f>
        <v>342</v>
      </c>
      <c r="AP252" s="27">
        <f>(AP$247+1-YEAR(Inputs!$E$32))*Months_In_Year-MONTH(Inputs!$E$32)</f>
        <v>354</v>
      </c>
      <c r="AQ252" s="27">
        <f>(AQ$247+1-YEAR(Inputs!$E$32))*Months_In_Year-MONTH(Inputs!$E$32)</f>
        <v>366</v>
      </c>
      <c r="AR252" s="27">
        <f>(AR$247+1-YEAR(Inputs!$E$32))*Months_In_Year-MONTH(Inputs!$E$32)</f>
        <v>378</v>
      </c>
      <c r="AS252" s="27">
        <f>(AS$247+1-YEAR(Inputs!$E$32))*Months_In_Year-MONTH(Inputs!$E$32)</f>
        <v>390</v>
      </c>
    </row>
    <row r="253" spans="2:45" hidden="1" outlineLevel="1" x14ac:dyDescent="0.25">
      <c r="C253" s="6" t="s">
        <v>183</v>
      </c>
      <c r="D253" s="2" t="s">
        <v>11</v>
      </c>
      <c r="H253" s="28">
        <f>SUM(J253:AS253)</f>
        <v>1</v>
      </c>
      <c r="J253" s="23">
        <f t="shared" ref="J253:AS253" si="41">MAX(0,MIN(J252,$E252)-MAX(J252-Months_In_Year,0))/$E252</f>
        <v>0</v>
      </c>
      <c r="K253" s="23">
        <f t="shared" si="41"/>
        <v>0</v>
      </c>
      <c r="L253" s="23">
        <f t="shared" si="41"/>
        <v>0</v>
      </c>
      <c r="M253" s="23">
        <f t="shared" si="41"/>
        <v>0.25</v>
      </c>
      <c r="N253" s="23">
        <f t="shared" si="41"/>
        <v>0.5</v>
      </c>
      <c r="O253" s="23">
        <f t="shared" si="41"/>
        <v>0.25</v>
      </c>
      <c r="P253" s="23">
        <f t="shared" si="41"/>
        <v>0</v>
      </c>
      <c r="Q253" s="23">
        <f t="shared" si="41"/>
        <v>0</v>
      </c>
      <c r="R253" s="23">
        <f t="shared" si="41"/>
        <v>0</v>
      </c>
      <c r="S253" s="23">
        <f t="shared" si="41"/>
        <v>0</v>
      </c>
      <c r="T253" s="23">
        <f t="shared" si="41"/>
        <v>0</v>
      </c>
      <c r="U253" s="23">
        <f t="shared" si="41"/>
        <v>0</v>
      </c>
      <c r="V253" s="23">
        <f t="shared" si="41"/>
        <v>0</v>
      </c>
      <c r="W253" s="23">
        <f t="shared" si="41"/>
        <v>0</v>
      </c>
      <c r="X253" s="23">
        <f t="shared" si="41"/>
        <v>0</v>
      </c>
      <c r="Y253" s="23">
        <f t="shared" si="41"/>
        <v>0</v>
      </c>
      <c r="Z253" s="23">
        <f t="shared" si="41"/>
        <v>0</v>
      </c>
      <c r="AA253" s="23">
        <f t="shared" si="41"/>
        <v>0</v>
      </c>
      <c r="AB253" s="23">
        <f t="shared" si="41"/>
        <v>0</v>
      </c>
      <c r="AC253" s="23">
        <f t="shared" si="41"/>
        <v>0</v>
      </c>
      <c r="AD253" s="23">
        <f t="shared" si="41"/>
        <v>0</v>
      </c>
      <c r="AE253" s="23">
        <f t="shared" si="41"/>
        <v>0</v>
      </c>
      <c r="AF253" s="23">
        <f t="shared" si="41"/>
        <v>0</v>
      </c>
      <c r="AG253" s="23">
        <f t="shared" si="41"/>
        <v>0</v>
      </c>
      <c r="AH253" s="23">
        <f t="shared" si="41"/>
        <v>0</v>
      </c>
      <c r="AI253" s="23">
        <f t="shared" si="41"/>
        <v>0</v>
      </c>
      <c r="AJ253" s="23">
        <f t="shared" si="41"/>
        <v>0</v>
      </c>
      <c r="AK253" s="23">
        <f t="shared" si="41"/>
        <v>0</v>
      </c>
      <c r="AL253" s="23">
        <f t="shared" si="41"/>
        <v>0</v>
      </c>
      <c r="AM253" s="23">
        <f t="shared" si="41"/>
        <v>0</v>
      </c>
      <c r="AN253" s="23">
        <f t="shared" si="41"/>
        <v>0</v>
      </c>
      <c r="AO253" s="23">
        <f t="shared" si="41"/>
        <v>0</v>
      </c>
      <c r="AP253" s="23">
        <f t="shared" si="41"/>
        <v>0</v>
      </c>
      <c r="AQ253" s="23">
        <f t="shared" si="41"/>
        <v>0</v>
      </c>
      <c r="AR253" s="23">
        <f t="shared" si="41"/>
        <v>0</v>
      </c>
      <c r="AS253" s="23">
        <f t="shared" si="41"/>
        <v>0</v>
      </c>
    </row>
    <row r="254" spans="2:45" hidden="1" outlineLevel="1" x14ac:dyDescent="0.25">
      <c r="C254" s="6" t="s">
        <v>184</v>
      </c>
      <c r="D254" s="2" t="s">
        <v>182</v>
      </c>
      <c r="E254" s="27">
        <f>Life*Months_In_Year</f>
        <v>360</v>
      </c>
      <c r="J254" s="27">
        <f>(J$247+1-YEAR(Inputs!$E$33))*Months_In_Year-MONTH(Inputs!$E$33)</f>
        <v>-54</v>
      </c>
      <c r="K254" s="27">
        <f>(K$247+1-YEAR(Inputs!$E$33))*Months_In_Year-MONTH(Inputs!$E$33)</f>
        <v>-42</v>
      </c>
      <c r="L254" s="27">
        <f>(L$247+1-YEAR(Inputs!$E$33))*Months_In_Year-MONTH(Inputs!$E$33)</f>
        <v>-30</v>
      </c>
      <c r="M254" s="27">
        <f>(M$247+1-YEAR(Inputs!$E$33))*Months_In_Year-MONTH(Inputs!$E$33)</f>
        <v>-18</v>
      </c>
      <c r="N254" s="27">
        <f>(N$247+1-YEAR(Inputs!$E$33))*Months_In_Year-MONTH(Inputs!$E$33)</f>
        <v>-6</v>
      </c>
      <c r="O254" s="27">
        <f>(O$247+1-YEAR(Inputs!$E$33))*Months_In_Year-MONTH(Inputs!$E$33)</f>
        <v>6</v>
      </c>
      <c r="P254" s="27">
        <f>(P$247+1-YEAR(Inputs!$E$33))*Months_In_Year-MONTH(Inputs!$E$33)</f>
        <v>18</v>
      </c>
      <c r="Q254" s="27">
        <f>(Q$247+1-YEAR(Inputs!$E$33))*Months_In_Year-MONTH(Inputs!$E$33)</f>
        <v>30</v>
      </c>
      <c r="R254" s="27">
        <f>(R$247+1-YEAR(Inputs!$E$33))*Months_In_Year-MONTH(Inputs!$E$33)</f>
        <v>42</v>
      </c>
      <c r="S254" s="27">
        <f>(S$247+1-YEAR(Inputs!$E$33))*Months_In_Year-MONTH(Inputs!$E$33)</f>
        <v>54</v>
      </c>
      <c r="T254" s="27">
        <f>(T$247+1-YEAR(Inputs!$E$33))*Months_In_Year-MONTH(Inputs!$E$33)</f>
        <v>66</v>
      </c>
      <c r="U254" s="27">
        <f>(U$247+1-YEAR(Inputs!$E$33))*Months_In_Year-MONTH(Inputs!$E$33)</f>
        <v>78</v>
      </c>
      <c r="V254" s="27">
        <f>(V$247+1-YEAR(Inputs!$E$33))*Months_In_Year-MONTH(Inputs!$E$33)</f>
        <v>90</v>
      </c>
      <c r="W254" s="27">
        <f>(W$247+1-YEAR(Inputs!$E$33))*Months_In_Year-MONTH(Inputs!$E$33)</f>
        <v>102</v>
      </c>
      <c r="X254" s="27">
        <f>(X$247+1-YEAR(Inputs!$E$33))*Months_In_Year-MONTH(Inputs!$E$33)</f>
        <v>114</v>
      </c>
      <c r="Y254" s="27">
        <f>(Y$247+1-YEAR(Inputs!$E$33))*Months_In_Year-MONTH(Inputs!$E$33)</f>
        <v>126</v>
      </c>
      <c r="Z254" s="27">
        <f>(Z$247+1-YEAR(Inputs!$E$33))*Months_In_Year-MONTH(Inputs!$E$33)</f>
        <v>138</v>
      </c>
      <c r="AA254" s="27">
        <f>(AA$247+1-YEAR(Inputs!$E$33))*Months_In_Year-MONTH(Inputs!$E$33)</f>
        <v>150</v>
      </c>
      <c r="AB254" s="27">
        <f>(AB$247+1-YEAR(Inputs!$E$33))*Months_In_Year-MONTH(Inputs!$E$33)</f>
        <v>162</v>
      </c>
      <c r="AC254" s="27">
        <f>(AC$247+1-YEAR(Inputs!$E$33))*Months_In_Year-MONTH(Inputs!$E$33)</f>
        <v>174</v>
      </c>
      <c r="AD254" s="27">
        <f>(AD$247+1-YEAR(Inputs!$E$33))*Months_In_Year-MONTH(Inputs!$E$33)</f>
        <v>186</v>
      </c>
      <c r="AE254" s="27">
        <f>(AE$247+1-YEAR(Inputs!$E$33))*Months_In_Year-MONTH(Inputs!$E$33)</f>
        <v>198</v>
      </c>
      <c r="AF254" s="27">
        <f>(AF$247+1-YEAR(Inputs!$E$33))*Months_In_Year-MONTH(Inputs!$E$33)</f>
        <v>210</v>
      </c>
      <c r="AG254" s="27">
        <f>(AG$247+1-YEAR(Inputs!$E$33))*Months_In_Year-MONTH(Inputs!$E$33)</f>
        <v>222</v>
      </c>
      <c r="AH254" s="27">
        <f>(AH$247+1-YEAR(Inputs!$E$33))*Months_In_Year-MONTH(Inputs!$E$33)</f>
        <v>234</v>
      </c>
      <c r="AI254" s="27">
        <f>(AI$247+1-YEAR(Inputs!$E$33))*Months_In_Year-MONTH(Inputs!$E$33)</f>
        <v>246</v>
      </c>
      <c r="AJ254" s="27">
        <f>(AJ$247+1-YEAR(Inputs!$E$33))*Months_In_Year-MONTH(Inputs!$E$33)</f>
        <v>258</v>
      </c>
      <c r="AK254" s="27">
        <f>(AK$247+1-YEAR(Inputs!$E$33))*Months_In_Year-MONTH(Inputs!$E$33)</f>
        <v>270</v>
      </c>
      <c r="AL254" s="27">
        <f>(AL$247+1-YEAR(Inputs!$E$33))*Months_In_Year-MONTH(Inputs!$E$33)</f>
        <v>282</v>
      </c>
      <c r="AM254" s="27">
        <f>(AM$247+1-YEAR(Inputs!$E$33))*Months_In_Year-MONTH(Inputs!$E$33)</f>
        <v>294</v>
      </c>
      <c r="AN254" s="27">
        <f>(AN$247+1-YEAR(Inputs!$E$33))*Months_In_Year-MONTH(Inputs!$E$33)</f>
        <v>306</v>
      </c>
      <c r="AO254" s="27">
        <f>(AO$247+1-YEAR(Inputs!$E$33))*Months_In_Year-MONTH(Inputs!$E$33)</f>
        <v>318</v>
      </c>
      <c r="AP254" s="27">
        <f>(AP$247+1-YEAR(Inputs!$E$33))*Months_In_Year-MONTH(Inputs!$E$33)</f>
        <v>330</v>
      </c>
      <c r="AQ254" s="27">
        <f>(AQ$247+1-YEAR(Inputs!$E$33))*Months_In_Year-MONTH(Inputs!$E$33)</f>
        <v>342</v>
      </c>
      <c r="AR254" s="27">
        <f>(AR$247+1-YEAR(Inputs!$E$33))*Months_In_Year-MONTH(Inputs!$E$33)</f>
        <v>354</v>
      </c>
      <c r="AS254" s="27">
        <f>(AS$247+1-YEAR(Inputs!$E$33))*Months_In_Year-MONTH(Inputs!$E$33)</f>
        <v>366</v>
      </c>
    </row>
    <row r="255" spans="2:45" hidden="1" outlineLevel="1" x14ac:dyDescent="0.25">
      <c r="C255" s="6" t="s">
        <v>185</v>
      </c>
      <c r="D255" s="2" t="s">
        <v>11</v>
      </c>
      <c r="H255" s="28">
        <f>SUM(J255:AS255)</f>
        <v>30</v>
      </c>
      <c r="J255" s="23">
        <f t="shared" ref="J255:AS255" si="42">MAX(0,MIN(J254,$E254)-MAX(J254-Months_In_Year,0))/Months_In_Year</f>
        <v>0</v>
      </c>
      <c r="K255" s="23">
        <f t="shared" si="42"/>
        <v>0</v>
      </c>
      <c r="L255" s="23">
        <f t="shared" si="42"/>
        <v>0</v>
      </c>
      <c r="M255" s="23">
        <f t="shared" si="42"/>
        <v>0</v>
      </c>
      <c r="N255" s="23">
        <f t="shared" si="42"/>
        <v>0</v>
      </c>
      <c r="O255" s="23">
        <f t="shared" si="42"/>
        <v>0.5</v>
      </c>
      <c r="P255" s="23">
        <f t="shared" si="42"/>
        <v>1</v>
      </c>
      <c r="Q255" s="23">
        <f t="shared" si="42"/>
        <v>1</v>
      </c>
      <c r="R255" s="23">
        <f t="shared" si="42"/>
        <v>1</v>
      </c>
      <c r="S255" s="23">
        <f t="shared" si="42"/>
        <v>1</v>
      </c>
      <c r="T255" s="23">
        <f t="shared" si="42"/>
        <v>1</v>
      </c>
      <c r="U255" s="23">
        <f t="shared" si="42"/>
        <v>1</v>
      </c>
      <c r="V255" s="23">
        <f t="shared" si="42"/>
        <v>1</v>
      </c>
      <c r="W255" s="23">
        <f t="shared" si="42"/>
        <v>1</v>
      </c>
      <c r="X255" s="23">
        <f t="shared" si="42"/>
        <v>1</v>
      </c>
      <c r="Y255" s="23">
        <f t="shared" si="42"/>
        <v>1</v>
      </c>
      <c r="Z255" s="23">
        <f t="shared" si="42"/>
        <v>1</v>
      </c>
      <c r="AA255" s="23">
        <f t="shared" si="42"/>
        <v>1</v>
      </c>
      <c r="AB255" s="23">
        <f t="shared" si="42"/>
        <v>1</v>
      </c>
      <c r="AC255" s="23">
        <f t="shared" si="42"/>
        <v>1</v>
      </c>
      <c r="AD255" s="23">
        <f t="shared" si="42"/>
        <v>1</v>
      </c>
      <c r="AE255" s="23">
        <f t="shared" si="42"/>
        <v>1</v>
      </c>
      <c r="AF255" s="23">
        <f t="shared" si="42"/>
        <v>1</v>
      </c>
      <c r="AG255" s="23">
        <f t="shared" si="42"/>
        <v>1</v>
      </c>
      <c r="AH255" s="23">
        <f t="shared" si="42"/>
        <v>1</v>
      </c>
      <c r="AI255" s="23">
        <f t="shared" si="42"/>
        <v>1</v>
      </c>
      <c r="AJ255" s="23">
        <f t="shared" si="42"/>
        <v>1</v>
      </c>
      <c r="AK255" s="23">
        <f t="shared" si="42"/>
        <v>1</v>
      </c>
      <c r="AL255" s="23">
        <f t="shared" si="42"/>
        <v>1</v>
      </c>
      <c r="AM255" s="23">
        <f t="shared" si="42"/>
        <v>1</v>
      </c>
      <c r="AN255" s="23">
        <f t="shared" si="42"/>
        <v>1</v>
      </c>
      <c r="AO255" s="23">
        <f t="shared" si="42"/>
        <v>1</v>
      </c>
      <c r="AP255" s="23">
        <f t="shared" si="42"/>
        <v>1</v>
      </c>
      <c r="AQ255" s="23">
        <f t="shared" si="42"/>
        <v>1</v>
      </c>
      <c r="AR255" s="23">
        <f t="shared" si="42"/>
        <v>1</v>
      </c>
      <c r="AS255" s="23">
        <f t="shared" si="42"/>
        <v>0.5</v>
      </c>
    </row>
    <row r="256" spans="2:45" hidden="1" outlineLevel="1" x14ac:dyDescent="0.25">
      <c r="C256" s="6" t="s">
        <v>186</v>
      </c>
      <c r="D256" s="2" t="s">
        <v>1</v>
      </c>
      <c r="J256" s="29">
        <f t="shared" ref="J256:AS256" si="43">N(J251=0)</f>
        <v>0</v>
      </c>
      <c r="K256" s="29">
        <f t="shared" si="43"/>
        <v>0</v>
      </c>
      <c r="L256" s="29">
        <f t="shared" si="43"/>
        <v>0</v>
      </c>
      <c r="M256" s="29">
        <f t="shared" si="43"/>
        <v>0</v>
      </c>
      <c r="N256" s="29">
        <f t="shared" si="43"/>
        <v>0</v>
      </c>
      <c r="O256" s="29">
        <f t="shared" si="43"/>
        <v>1</v>
      </c>
      <c r="P256" s="29">
        <f t="shared" si="43"/>
        <v>0</v>
      </c>
      <c r="Q256" s="29">
        <f t="shared" si="43"/>
        <v>0</v>
      </c>
      <c r="R256" s="29">
        <f t="shared" si="43"/>
        <v>0</v>
      </c>
      <c r="S256" s="29">
        <f t="shared" si="43"/>
        <v>0</v>
      </c>
      <c r="T256" s="29">
        <f t="shared" si="43"/>
        <v>0</v>
      </c>
      <c r="U256" s="29">
        <f t="shared" si="43"/>
        <v>0</v>
      </c>
      <c r="V256" s="29">
        <f t="shared" si="43"/>
        <v>0</v>
      </c>
      <c r="W256" s="29">
        <f t="shared" si="43"/>
        <v>0</v>
      </c>
      <c r="X256" s="29">
        <f t="shared" si="43"/>
        <v>0</v>
      </c>
      <c r="Y256" s="29">
        <f t="shared" si="43"/>
        <v>0</v>
      </c>
      <c r="Z256" s="29">
        <f t="shared" si="43"/>
        <v>0</v>
      </c>
      <c r="AA256" s="29">
        <f t="shared" si="43"/>
        <v>0</v>
      </c>
      <c r="AB256" s="29">
        <f t="shared" si="43"/>
        <v>0</v>
      </c>
      <c r="AC256" s="29">
        <f t="shared" si="43"/>
        <v>0</v>
      </c>
      <c r="AD256" s="29">
        <f t="shared" si="43"/>
        <v>0</v>
      </c>
      <c r="AE256" s="29">
        <f t="shared" si="43"/>
        <v>0</v>
      </c>
      <c r="AF256" s="29">
        <f t="shared" si="43"/>
        <v>0</v>
      </c>
      <c r="AG256" s="29">
        <f t="shared" si="43"/>
        <v>0</v>
      </c>
      <c r="AH256" s="29">
        <f t="shared" si="43"/>
        <v>0</v>
      </c>
      <c r="AI256" s="29">
        <f t="shared" si="43"/>
        <v>0</v>
      </c>
      <c r="AJ256" s="29">
        <f t="shared" si="43"/>
        <v>0</v>
      </c>
      <c r="AK256" s="29">
        <f t="shared" si="43"/>
        <v>0</v>
      </c>
      <c r="AL256" s="29">
        <f t="shared" si="43"/>
        <v>0</v>
      </c>
      <c r="AM256" s="29">
        <f t="shared" si="43"/>
        <v>0</v>
      </c>
      <c r="AN256" s="29">
        <f t="shared" si="43"/>
        <v>0</v>
      </c>
      <c r="AO256" s="29">
        <f t="shared" si="43"/>
        <v>0</v>
      </c>
      <c r="AP256" s="29">
        <f t="shared" si="43"/>
        <v>0</v>
      </c>
      <c r="AQ256" s="29">
        <f t="shared" si="43"/>
        <v>0</v>
      </c>
      <c r="AR256" s="29">
        <f t="shared" si="43"/>
        <v>0</v>
      </c>
      <c r="AS256" s="29">
        <f t="shared" si="43"/>
        <v>0</v>
      </c>
    </row>
    <row r="257" spans="3:45" hidden="1" outlineLevel="1" x14ac:dyDescent="0.25">
      <c r="C257" s="6" t="s">
        <v>187</v>
      </c>
      <c r="D257" s="2" t="s">
        <v>79</v>
      </c>
      <c r="H257" s="8">
        <f>SUM(J257:AS257)</f>
        <v>-13541.28699178082</v>
      </c>
      <c r="J257" s="8">
        <f t="shared" ref="J257:AS257" si="44">SUMPRODUCT((YEAR($J$202:$J$209)=J$247)*$E$202:$E$209)</f>
        <v>-496.71232876712327</v>
      </c>
      <c r="K257" s="8">
        <f t="shared" si="44"/>
        <v>-2954.8809589041093</v>
      </c>
      <c r="L257" s="8">
        <f t="shared" si="44"/>
        <v>-10089.693704109588</v>
      </c>
      <c r="M257" s="8">
        <f t="shared" si="44"/>
        <v>0</v>
      </c>
      <c r="N257" s="8">
        <f t="shared" si="44"/>
        <v>0</v>
      </c>
      <c r="O257" s="8">
        <f t="shared" si="44"/>
        <v>0</v>
      </c>
      <c r="P257" s="8">
        <f t="shared" si="44"/>
        <v>0</v>
      </c>
      <c r="Q257" s="8">
        <f t="shared" si="44"/>
        <v>0</v>
      </c>
      <c r="R257" s="8">
        <f t="shared" si="44"/>
        <v>0</v>
      </c>
      <c r="S257" s="8">
        <f t="shared" si="44"/>
        <v>0</v>
      </c>
      <c r="T257" s="8">
        <f t="shared" si="44"/>
        <v>0</v>
      </c>
      <c r="U257" s="8">
        <f t="shared" si="44"/>
        <v>0</v>
      </c>
      <c r="V257" s="8">
        <f t="shared" si="44"/>
        <v>0</v>
      </c>
      <c r="W257" s="8">
        <f t="shared" si="44"/>
        <v>0</v>
      </c>
      <c r="X257" s="8">
        <f t="shared" si="44"/>
        <v>0</v>
      </c>
      <c r="Y257" s="8">
        <f t="shared" si="44"/>
        <v>0</v>
      </c>
      <c r="Z257" s="8">
        <f t="shared" si="44"/>
        <v>0</v>
      </c>
      <c r="AA257" s="8">
        <f t="shared" si="44"/>
        <v>0</v>
      </c>
      <c r="AB257" s="8">
        <f t="shared" si="44"/>
        <v>0</v>
      </c>
      <c r="AC257" s="8">
        <f t="shared" si="44"/>
        <v>0</v>
      </c>
      <c r="AD257" s="8">
        <f t="shared" si="44"/>
        <v>0</v>
      </c>
      <c r="AE257" s="8">
        <f t="shared" si="44"/>
        <v>0</v>
      </c>
      <c r="AF257" s="8">
        <f t="shared" si="44"/>
        <v>0</v>
      </c>
      <c r="AG257" s="8">
        <f t="shared" si="44"/>
        <v>0</v>
      </c>
      <c r="AH257" s="8">
        <f t="shared" si="44"/>
        <v>0</v>
      </c>
      <c r="AI257" s="8">
        <f t="shared" si="44"/>
        <v>0</v>
      </c>
      <c r="AJ257" s="8">
        <f t="shared" si="44"/>
        <v>0</v>
      </c>
      <c r="AK257" s="8">
        <f t="shared" si="44"/>
        <v>0</v>
      </c>
      <c r="AL257" s="8">
        <f t="shared" si="44"/>
        <v>0</v>
      </c>
      <c r="AM257" s="8">
        <f t="shared" si="44"/>
        <v>0</v>
      </c>
      <c r="AN257" s="8">
        <f t="shared" si="44"/>
        <v>0</v>
      </c>
      <c r="AO257" s="8">
        <f t="shared" si="44"/>
        <v>0</v>
      </c>
      <c r="AP257" s="8">
        <f t="shared" si="44"/>
        <v>0</v>
      </c>
      <c r="AQ257" s="8">
        <f t="shared" si="44"/>
        <v>0</v>
      </c>
      <c r="AR257" s="8">
        <f t="shared" si="44"/>
        <v>0</v>
      </c>
      <c r="AS257" s="8">
        <f t="shared" si="44"/>
        <v>0</v>
      </c>
    </row>
    <row r="258" spans="3:45" hidden="1" outlineLevel="1" x14ac:dyDescent="0.25">
      <c r="C258" s="6" t="s">
        <v>188</v>
      </c>
      <c r="D258" s="2" t="s">
        <v>79</v>
      </c>
      <c r="H258" s="8">
        <f>SUM(J258:AS258)</f>
        <v>1942.4657534246576</v>
      </c>
      <c r="J258" s="8">
        <f>($E$59+$E$60)*(J$247=YEAR(Inputs!$E$34))</f>
        <v>0</v>
      </c>
      <c r="K258" s="8">
        <f>($E$59+$E$60)*(K$247=YEAR(Inputs!$E$34))</f>
        <v>0</v>
      </c>
      <c r="L258" s="8">
        <f>($E$59+$E$60)*(L$247=YEAR(Inputs!$E$34))</f>
        <v>0</v>
      </c>
      <c r="M258" s="8">
        <f>($E$59+$E$60)*(M$247=YEAR(Inputs!$E$34))</f>
        <v>0</v>
      </c>
      <c r="N258" s="8">
        <f>($E$59+$E$60)*(N$247=YEAR(Inputs!$E$34))</f>
        <v>0</v>
      </c>
      <c r="O258" s="8">
        <f>($E$59+$E$60)*(O$247=YEAR(Inputs!$E$34))</f>
        <v>0</v>
      </c>
      <c r="P258" s="8">
        <f>($E$59+$E$60)*(P$247=YEAR(Inputs!$E$34))</f>
        <v>0</v>
      </c>
      <c r="Q258" s="8">
        <f>($E$59+$E$60)*(Q$247=YEAR(Inputs!$E$34))</f>
        <v>1942.4657534246576</v>
      </c>
      <c r="R258" s="8">
        <f>($E$59+$E$60)*(R$247=YEAR(Inputs!$E$34))</f>
        <v>0</v>
      </c>
      <c r="S258" s="8">
        <f>($E$59+$E$60)*(S$247=YEAR(Inputs!$E$34))</f>
        <v>0</v>
      </c>
      <c r="T258" s="8">
        <f>($E$59+$E$60)*(T$247=YEAR(Inputs!$E$34))</f>
        <v>0</v>
      </c>
      <c r="U258" s="8">
        <f>($E$59+$E$60)*(U$247=YEAR(Inputs!$E$34))</f>
        <v>0</v>
      </c>
      <c r="V258" s="8">
        <f>($E$59+$E$60)*(V$247=YEAR(Inputs!$E$34))</f>
        <v>0</v>
      </c>
      <c r="W258" s="8">
        <f>($E$59+$E$60)*(W$247=YEAR(Inputs!$E$34))</f>
        <v>0</v>
      </c>
      <c r="X258" s="8">
        <f>($E$59+$E$60)*(X$247=YEAR(Inputs!$E$34))</f>
        <v>0</v>
      </c>
      <c r="Y258" s="8">
        <f>($E$59+$E$60)*(Y$247=YEAR(Inputs!$E$34))</f>
        <v>0</v>
      </c>
      <c r="Z258" s="8">
        <f>($E$59+$E$60)*(Z$247=YEAR(Inputs!$E$34))</f>
        <v>0</v>
      </c>
      <c r="AA258" s="8">
        <f>($E$59+$E$60)*(AA$247=YEAR(Inputs!$E$34))</f>
        <v>0</v>
      </c>
      <c r="AB258" s="8">
        <f>($E$59+$E$60)*(AB$247=YEAR(Inputs!$E$34))</f>
        <v>0</v>
      </c>
      <c r="AC258" s="8">
        <f>($E$59+$E$60)*(AC$247=YEAR(Inputs!$E$34))</f>
        <v>0</v>
      </c>
      <c r="AD258" s="8">
        <f>($E$59+$E$60)*(AD$247=YEAR(Inputs!$E$34))</f>
        <v>0</v>
      </c>
      <c r="AE258" s="8">
        <f>($E$59+$E$60)*(AE$247=YEAR(Inputs!$E$34))</f>
        <v>0</v>
      </c>
      <c r="AF258" s="8">
        <f>($E$59+$E$60)*(AF$247=YEAR(Inputs!$E$34))</f>
        <v>0</v>
      </c>
      <c r="AG258" s="8">
        <f>($E$59+$E$60)*(AG$247=YEAR(Inputs!$E$34))</f>
        <v>0</v>
      </c>
      <c r="AH258" s="8">
        <f>($E$59+$E$60)*(AH$247=YEAR(Inputs!$E$34))</f>
        <v>0</v>
      </c>
      <c r="AI258" s="8">
        <f>($E$59+$E$60)*(AI$247=YEAR(Inputs!$E$34))</f>
        <v>0</v>
      </c>
      <c r="AJ258" s="8">
        <f>($E$59+$E$60)*(AJ$247=YEAR(Inputs!$E$34))</f>
        <v>0</v>
      </c>
      <c r="AK258" s="8">
        <f>($E$59+$E$60)*(AK$247=YEAR(Inputs!$E$34))</f>
        <v>0</v>
      </c>
      <c r="AL258" s="8">
        <f>($E$59+$E$60)*(AL$247=YEAR(Inputs!$E$34))</f>
        <v>0</v>
      </c>
      <c r="AM258" s="8">
        <f>($E$59+$E$60)*(AM$247=YEAR(Inputs!$E$34))</f>
        <v>0</v>
      </c>
      <c r="AN258" s="8">
        <f>($E$59+$E$60)*(AN$247=YEAR(Inputs!$E$34))</f>
        <v>0</v>
      </c>
      <c r="AO258" s="8">
        <f>($E$59+$E$60)*(AO$247=YEAR(Inputs!$E$34))</f>
        <v>0</v>
      </c>
      <c r="AP258" s="8">
        <f>($E$59+$E$60)*(AP$247=YEAR(Inputs!$E$34))</f>
        <v>0</v>
      </c>
      <c r="AQ258" s="8">
        <f>($E$59+$E$60)*(AQ$247=YEAR(Inputs!$E$34))</f>
        <v>0</v>
      </c>
      <c r="AR258" s="8">
        <f>($E$59+$E$60)*(AR$247=YEAR(Inputs!$E$34))</f>
        <v>0</v>
      </c>
      <c r="AS258" s="8">
        <f>($E$59+$E$60)*(AS$247=YEAR(Inputs!$E$34))</f>
        <v>0</v>
      </c>
    </row>
    <row r="259" spans="3:45" hidden="1" outlineLevel="1" x14ac:dyDescent="0.25">
      <c r="C259" s="6" t="s">
        <v>189</v>
      </c>
      <c r="D259" s="2" t="s">
        <v>79</v>
      </c>
      <c r="H259" s="8">
        <f>SUM(J259:AS259)</f>
        <v>-53628.5</v>
      </c>
      <c r="J259" s="8">
        <f t="shared" ref="J259:AS259" si="45">-$E$87*J253</f>
        <v>0</v>
      </c>
      <c r="K259" s="8">
        <f t="shared" si="45"/>
        <v>0</v>
      </c>
      <c r="L259" s="8">
        <f t="shared" si="45"/>
        <v>0</v>
      </c>
      <c r="M259" s="8">
        <f t="shared" si="45"/>
        <v>-13407.125</v>
      </c>
      <c r="N259" s="8">
        <f t="shared" si="45"/>
        <v>-26814.25</v>
      </c>
      <c r="O259" s="8">
        <f t="shared" si="45"/>
        <v>-13407.125</v>
      </c>
      <c r="P259" s="8">
        <f t="shared" si="45"/>
        <v>0</v>
      </c>
      <c r="Q259" s="8">
        <f t="shared" si="45"/>
        <v>0</v>
      </c>
      <c r="R259" s="8">
        <f t="shared" si="45"/>
        <v>0</v>
      </c>
      <c r="S259" s="8">
        <f t="shared" si="45"/>
        <v>0</v>
      </c>
      <c r="T259" s="8">
        <f t="shared" si="45"/>
        <v>0</v>
      </c>
      <c r="U259" s="8">
        <f t="shared" si="45"/>
        <v>0</v>
      </c>
      <c r="V259" s="8">
        <f t="shared" si="45"/>
        <v>0</v>
      </c>
      <c r="W259" s="8">
        <f t="shared" si="45"/>
        <v>0</v>
      </c>
      <c r="X259" s="8">
        <f t="shared" si="45"/>
        <v>0</v>
      </c>
      <c r="Y259" s="8">
        <f t="shared" si="45"/>
        <v>0</v>
      </c>
      <c r="Z259" s="8">
        <f t="shared" si="45"/>
        <v>0</v>
      </c>
      <c r="AA259" s="8">
        <f t="shared" si="45"/>
        <v>0</v>
      </c>
      <c r="AB259" s="8">
        <f t="shared" si="45"/>
        <v>0</v>
      </c>
      <c r="AC259" s="8">
        <f t="shared" si="45"/>
        <v>0</v>
      </c>
      <c r="AD259" s="8">
        <f t="shared" si="45"/>
        <v>0</v>
      </c>
      <c r="AE259" s="8">
        <f t="shared" si="45"/>
        <v>0</v>
      </c>
      <c r="AF259" s="8">
        <f t="shared" si="45"/>
        <v>0</v>
      </c>
      <c r="AG259" s="8">
        <f t="shared" si="45"/>
        <v>0</v>
      </c>
      <c r="AH259" s="8">
        <f t="shared" si="45"/>
        <v>0</v>
      </c>
      <c r="AI259" s="8">
        <f t="shared" si="45"/>
        <v>0</v>
      </c>
      <c r="AJ259" s="8">
        <f t="shared" si="45"/>
        <v>0</v>
      </c>
      <c r="AK259" s="8">
        <f t="shared" si="45"/>
        <v>0</v>
      </c>
      <c r="AL259" s="8">
        <f t="shared" si="45"/>
        <v>0</v>
      </c>
      <c r="AM259" s="8">
        <f t="shared" si="45"/>
        <v>0</v>
      </c>
      <c r="AN259" s="8">
        <f t="shared" si="45"/>
        <v>0</v>
      </c>
      <c r="AO259" s="8">
        <f t="shared" si="45"/>
        <v>0</v>
      </c>
      <c r="AP259" s="8">
        <f t="shared" si="45"/>
        <v>0</v>
      </c>
      <c r="AQ259" s="8">
        <f t="shared" si="45"/>
        <v>0</v>
      </c>
      <c r="AR259" s="8">
        <f t="shared" si="45"/>
        <v>0</v>
      </c>
      <c r="AS259" s="8">
        <f t="shared" si="45"/>
        <v>0</v>
      </c>
    </row>
    <row r="260" spans="3:45" hidden="1" outlineLevel="1" x14ac:dyDescent="0.25">
      <c r="C260" s="6" t="s">
        <v>190</v>
      </c>
      <c r="D260" s="2" t="s">
        <v>79</v>
      </c>
      <c r="H260" s="8">
        <f>SUM(J260:AS260)</f>
        <v>-1000</v>
      </c>
      <c r="J260" s="8">
        <f t="shared" ref="J260:AS260" si="46">-$E$89*J256</f>
        <v>0</v>
      </c>
      <c r="K260" s="8">
        <f t="shared" si="46"/>
        <v>0</v>
      </c>
      <c r="L260" s="8">
        <f t="shared" si="46"/>
        <v>0</v>
      </c>
      <c r="M260" s="8">
        <f t="shared" si="46"/>
        <v>0</v>
      </c>
      <c r="N260" s="8">
        <f t="shared" si="46"/>
        <v>0</v>
      </c>
      <c r="O260" s="8">
        <f t="shared" si="46"/>
        <v>-1000</v>
      </c>
      <c r="P260" s="8">
        <f t="shared" si="46"/>
        <v>0</v>
      </c>
      <c r="Q260" s="8">
        <f t="shared" si="46"/>
        <v>0</v>
      </c>
      <c r="R260" s="8">
        <f t="shared" si="46"/>
        <v>0</v>
      </c>
      <c r="S260" s="8">
        <f t="shared" si="46"/>
        <v>0</v>
      </c>
      <c r="T260" s="8">
        <f t="shared" si="46"/>
        <v>0</v>
      </c>
      <c r="U260" s="8">
        <f t="shared" si="46"/>
        <v>0</v>
      </c>
      <c r="V260" s="8">
        <f t="shared" si="46"/>
        <v>0</v>
      </c>
      <c r="W260" s="8">
        <f t="shared" si="46"/>
        <v>0</v>
      </c>
      <c r="X260" s="8">
        <f t="shared" si="46"/>
        <v>0</v>
      </c>
      <c r="Y260" s="8">
        <f t="shared" si="46"/>
        <v>0</v>
      </c>
      <c r="Z260" s="8">
        <f t="shared" si="46"/>
        <v>0</v>
      </c>
      <c r="AA260" s="8">
        <f t="shared" si="46"/>
        <v>0</v>
      </c>
      <c r="AB260" s="8">
        <f t="shared" si="46"/>
        <v>0</v>
      </c>
      <c r="AC260" s="8">
        <f t="shared" si="46"/>
        <v>0</v>
      </c>
      <c r="AD260" s="8">
        <f t="shared" si="46"/>
        <v>0</v>
      </c>
      <c r="AE260" s="8">
        <f t="shared" si="46"/>
        <v>0</v>
      </c>
      <c r="AF260" s="8">
        <f t="shared" si="46"/>
        <v>0</v>
      </c>
      <c r="AG260" s="8">
        <f t="shared" si="46"/>
        <v>0</v>
      </c>
      <c r="AH260" s="8">
        <f t="shared" si="46"/>
        <v>0</v>
      </c>
      <c r="AI260" s="8">
        <f t="shared" si="46"/>
        <v>0</v>
      </c>
      <c r="AJ260" s="8">
        <f t="shared" si="46"/>
        <v>0</v>
      </c>
      <c r="AK260" s="8">
        <f t="shared" si="46"/>
        <v>0</v>
      </c>
      <c r="AL260" s="8">
        <f t="shared" si="46"/>
        <v>0</v>
      </c>
      <c r="AM260" s="8">
        <f t="shared" si="46"/>
        <v>0</v>
      </c>
      <c r="AN260" s="8">
        <f t="shared" si="46"/>
        <v>0</v>
      </c>
      <c r="AO260" s="8">
        <f t="shared" si="46"/>
        <v>0</v>
      </c>
      <c r="AP260" s="8">
        <f t="shared" si="46"/>
        <v>0</v>
      </c>
      <c r="AQ260" s="8">
        <f t="shared" si="46"/>
        <v>0</v>
      </c>
      <c r="AR260" s="8">
        <f t="shared" si="46"/>
        <v>0</v>
      </c>
      <c r="AS260" s="8">
        <f t="shared" si="46"/>
        <v>0</v>
      </c>
    </row>
    <row r="261" spans="3:45" hidden="1" outlineLevel="1" x14ac:dyDescent="0.25">
      <c r="C261" s="1" t="s">
        <v>191</v>
      </c>
      <c r="D261" s="2" t="s">
        <v>79</v>
      </c>
      <c r="H261" s="14">
        <f>SUM(J261:AS261)</f>
        <v>-66227.321238356177</v>
      </c>
      <c r="J261" s="14">
        <f t="shared" ref="J261:AS261" si="47">SUM(J257:J260)</f>
        <v>-496.71232876712327</v>
      </c>
      <c r="K261" s="14">
        <f t="shared" si="47"/>
        <v>-2954.8809589041093</v>
      </c>
      <c r="L261" s="14">
        <f t="shared" si="47"/>
        <v>-10089.693704109588</v>
      </c>
      <c r="M261" s="14">
        <f t="shared" si="47"/>
        <v>-13407.125</v>
      </c>
      <c r="N261" s="14">
        <f t="shared" si="47"/>
        <v>-26814.25</v>
      </c>
      <c r="O261" s="14">
        <f t="shared" si="47"/>
        <v>-14407.125</v>
      </c>
      <c r="P261" s="14">
        <f t="shared" si="47"/>
        <v>0</v>
      </c>
      <c r="Q261" s="14">
        <f t="shared" si="47"/>
        <v>1942.4657534246576</v>
      </c>
      <c r="R261" s="14">
        <f t="shared" si="47"/>
        <v>0</v>
      </c>
      <c r="S261" s="14">
        <f t="shared" si="47"/>
        <v>0</v>
      </c>
      <c r="T261" s="14">
        <f t="shared" si="47"/>
        <v>0</v>
      </c>
      <c r="U261" s="14">
        <f t="shared" si="47"/>
        <v>0</v>
      </c>
      <c r="V261" s="14">
        <f t="shared" si="47"/>
        <v>0</v>
      </c>
      <c r="W261" s="14">
        <f t="shared" si="47"/>
        <v>0</v>
      </c>
      <c r="X261" s="14">
        <f t="shared" si="47"/>
        <v>0</v>
      </c>
      <c r="Y261" s="14">
        <f t="shared" si="47"/>
        <v>0</v>
      </c>
      <c r="Z261" s="14">
        <f t="shared" si="47"/>
        <v>0</v>
      </c>
      <c r="AA261" s="14">
        <f t="shared" si="47"/>
        <v>0</v>
      </c>
      <c r="AB261" s="14">
        <f t="shared" si="47"/>
        <v>0</v>
      </c>
      <c r="AC261" s="14">
        <f t="shared" si="47"/>
        <v>0</v>
      </c>
      <c r="AD261" s="14">
        <f t="shared" si="47"/>
        <v>0</v>
      </c>
      <c r="AE261" s="14">
        <f t="shared" si="47"/>
        <v>0</v>
      </c>
      <c r="AF261" s="14">
        <f t="shared" si="47"/>
        <v>0</v>
      </c>
      <c r="AG261" s="14">
        <f t="shared" si="47"/>
        <v>0</v>
      </c>
      <c r="AH261" s="14">
        <f t="shared" si="47"/>
        <v>0</v>
      </c>
      <c r="AI261" s="14">
        <f t="shared" si="47"/>
        <v>0</v>
      </c>
      <c r="AJ261" s="14">
        <f t="shared" si="47"/>
        <v>0</v>
      </c>
      <c r="AK261" s="14">
        <f t="shared" si="47"/>
        <v>0</v>
      </c>
      <c r="AL261" s="14">
        <f t="shared" si="47"/>
        <v>0</v>
      </c>
      <c r="AM261" s="14">
        <f t="shared" si="47"/>
        <v>0</v>
      </c>
      <c r="AN261" s="14">
        <f t="shared" si="47"/>
        <v>0</v>
      </c>
      <c r="AO261" s="14">
        <f t="shared" si="47"/>
        <v>0</v>
      </c>
      <c r="AP261" s="14">
        <f t="shared" si="47"/>
        <v>0</v>
      </c>
      <c r="AQ261" s="14">
        <f t="shared" si="47"/>
        <v>0</v>
      </c>
      <c r="AR261" s="14">
        <f t="shared" si="47"/>
        <v>0</v>
      </c>
      <c r="AS261" s="14">
        <f t="shared" si="47"/>
        <v>0</v>
      </c>
    </row>
    <row r="262" spans="3:45" hidden="1" outlineLevel="1" x14ac:dyDescent="0.25">
      <c r="C262" s="6" t="s">
        <v>192</v>
      </c>
      <c r="D262" s="2" t="s">
        <v>2</v>
      </c>
      <c r="J262" s="30">
        <f t="shared" ref="J262:AS262" si="48">(1-Degradation)^MAX(J251-1,0)</f>
        <v>1</v>
      </c>
      <c r="K262" s="30">
        <f t="shared" si="48"/>
        <v>1</v>
      </c>
      <c r="L262" s="30">
        <f t="shared" si="48"/>
        <v>1</v>
      </c>
      <c r="M262" s="30">
        <f t="shared" si="48"/>
        <v>1</v>
      </c>
      <c r="N262" s="30">
        <f t="shared" si="48"/>
        <v>1</v>
      </c>
      <c r="O262" s="30">
        <f t="shared" si="48"/>
        <v>1</v>
      </c>
      <c r="P262" s="30">
        <f t="shared" si="48"/>
        <v>1</v>
      </c>
      <c r="Q262" s="30">
        <f t="shared" si="48"/>
        <v>0.997</v>
      </c>
      <c r="R262" s="30">
        <f t="shared" si="48"/>
        <v>0.99400900000000003</v>
      </c>
      <c r="S262" s="30">
        <f t="shared" si="48"/>
        <v>0.99102697299999998</v>
      </c>
      <c r="T262" s="30">
        <f t="shared" si="48"/>
        <v>0.98805389208100003</v>
      </c>
      <c r="U262" s="30">
        <f t="shared" si="48"/>
        <v>0.985089730404757</v>
      </c>
      <c r="V262" s="30">
        <f t="shared" si="48"/>
        <v>0.98213446121354275</v>
      </c>
      <c r="W262" s="30">
        <f t="shared" si="48"/>
        <v>0.97918805782990215</v>
      </c>
      <c r="X262" s="30">
        <f t="shared" si="48"/>
        <v>0.97625049365641248</v>
      </c>
      <c r="Y262" s="30">
        <f t="shared" si="48"/>
        <v>0.97332174217544321</v>
      </c>
      <c r="Z262" s="30">
        <f t="shared" si="48"/>
        <v>0.97040177694891694</v>
      </c>
      <c r="AA262" s="30">
        <f t="shared" si="48"/>
        <v>0.96749057161807017</v>
      </c>
      <c r="AB262" s="30">
        <f t="shared" si="48"/>
        <v>0.96458809990321592</v>
      </c>
      <c r="AC262" s="30">
        <f t="shared" si="48"/>
        <v>0.96169433560350626</v>
      </c>
      <c r="AD262" s="30">
        <f t="shared" si="48"/>
        <v>0.9588092525966958</v>
      </c>
      <c r="AE262" s="30">
        <f t="shared" si="48"/>
        <v>0.95593282483890574</v>
      </c>
      <c r="AF262" s="30">
        <f t="shared" si="48"/>
        <v>0.95306502636438906</v>
      </c>
      <c r="AG262" s="30">
        <f t="shared" si="48"/>
        <v>0.9502058312852959</v>
      </c>
      <c r="AH262" s="30">
        <f t="shared" si="48"/>
        <v>0.94735521379144005</v>
      </c>
      <c r="AI262" s="30">
        <f t="shared" si="48"/>
        <v>0.94451314815006571</v>
      </c>
      <c r="AJ262" s="30">
        <f t="shared" si="48"/>
        <v>0.94167960870561551</v>
      </c>
      <c r="AK262" s="30">
        <f t="shared" si="48"/>
        <v>0.93885456987949867</v>
      </c>
      <c r="AL262" s="30">
        <f t="shared" si="48"/>
        <v>0.93603800616986021</v>
      </c>
      <c r="AM262" s="30">
        <f t="shared" si="48"/>
        <v>0.93322989215135066</v>
      </c>
      <c r="AN262" s="30">
        <f t="shared" si="48"/>
        <v>0.93043020247489661</v>
      </c>
      <c r="AO262" s="30">
        <f t="shared" si="48"/>
        <v>0.92763891186747183</v>
      </c>
      <c r="AP262" s="30">
        <f t="shared" si="48"/>
        <v>0.92485599513186956</v>
      </c>
      <c r="AQ262" s="30">
        <f t="shared" si="48"/>
        <v>0.9220814271464739</v>
      </c>
      <c r="AR262" s="30">
        <f t="shared" si="48"/>
        <v>0.91931518286503444</v>
      </c>
      <c r="AS262" s="30">
        <f t="shared" si="48"/>
        <v>0.91655723731643934</v>
      </c>
    </row>
    <row r="263" spans="3:45" hidden="1" outlineLevel="1" x14ac:dyDescent="0.25">
      <c r="C263" s="6" t="s">
        <v>193</v>
      </c>
      <c r="D263" s="2" t="s">
        <v>194</v>
      </c>
      <c r="H263" s="16">
        <f>SUM(J263:AS263)</f>
        <v>3654.3418517697769</v>
      </c>
      <c r="J263" s="16">
        <f t="shared" ref="J263:AS263" si="49">$E$44*Case_P50*(1-Curtailment)*(1-Clipping)*J255*J262/Thousand</f>
        <v>0</v>
      </c>
      <c r="K263" s="16">
        <f t="shared" si="49"/>
        <v>0</v>
      </c>
      <c r="L263" s="16">
        <f t="shared" si="49"/>
        <v>0</v>
      </c>
      <c r="M263" s="16">
        <f t="shared" si="49"/>
        <v>0</v>
      </c>
      <c r="N263" s="16">
        <f t="shared" si="49"/>
        <v>0</v>
      </c>
      <c r="O263" s="16">
        <f t="shared" si="49"/>
        <v>63.503999999999998</v>
      </c>
      <c r="P263" s="16">
        <f t="shared" si="49"/>
        <v>127.008</v>
      </c>
      <c r="Q263" s="16">
        <f t="shared" si="49"/>
        <v>126.626976</v>
      </c>
      <c r="R263" s="16">
        <f t="shared" si="49"/>
        <v>126.24709507200001</v>
      </c>
      <c r="S263" s="16">
        <f t="shared" si="49"/>
        <v>125.86835378678398</v>
      </c>
      <c r="T263" s="16">
        <f t="shared" si="49"/>
        <v>125.49074872542364</v>
      </c>
      <c r="U263" s="16">
        <f t="shared" si="49"/>
        <v>125.11427647924738</v>
      </c>
      <c r="V263" s="16">
        <f t="shared" si="49"/>
        <v>124.73893364980964</v>
      </c>
      <c r="W263" s="16">
        <f t="shared" si="49"/>
        <v>124.36471684886021</v>
      </c>
      <c r="X263" s="16">
        <f t="shared" si="49"/>
        <v>123.99162269831363</v>
      </c>
      <c r="Y263" s="16">
        <f t="shared" si="49"/>
        <v>123.61964783021868</v>
      </c>
      <c r="Z263" s="16">
        <f t="shared" si="49"/>
        <v>123.24878888672804</v>
      </c>
      <c r="AA263" s="16">
        <f t="shared" si="49"/>
        <v>122.87904252006786</v>
      </c>
      <c r="AB263" s="16">
        <f t="shared" si="49"/>
        <v>122.51040539250765</v>
      </c>
      <c r="AC263" s="16">
        <f t="shared" si="49"/>
        <v>122.14287417633012</v>
      </c>
      <c r="AD263" s="16">
        <f t="shared" si="49"/>
        <v>121.77644555380114</v>
      </c>
      <c r="AE263" s="16">
        <f t="shared" si="49"/>
        <v>121.41111621713975</v>
      </c>
      <c r="AF263" s="16">
        <f t="shared" si="49"/>
        <v>121.04688286848832</v>
      </c>
      <c r="AG263" s="16">
        <f t="shared" si="49"/>
        <v>120.68374221988286</v>
      </c>
      <c r="AH263" s="16">
        <f t="shared" si="49"/>
        <v>120.32169099322323</v>
      </c>
      <c r="AI263" s="16">
        <f t="shared" si="49"/>
        <v>119.96072592024355</v>
      </c>
      <c r="AJ263" s="16">
        <f t="shared" si="49"/>
        <v>119.60084374248281</v>
      </c>
      <c r="AK263" s="16">
        <f t="shared" si="49"/>
        <v>119.24204121125535</v>
      </c>
      <c r="AL263" s="16">
        <f t="shared" si="49"/>
        <v>118.88431508762162</v>
      </c>
      <c r="AM263" s="16">
        <f t="shared" si="49"/>
        <v>118.52766214235875</v>
      </c>
      <c r="AN263" s="16">
        <f t="shared" si="49"/>
        <v>118.17207915593167</v>
      </c>
      <c r="AO263" s="16">
        <f t="shared" si="49"/>
        <v>117.81756291846386</v>
      </c>
      <c r="AP263" s="16">
        <f t="shared" si="49"/>
        <v>117.46411022970848</v>
      </c>
      <c r="AQ263" s="16">
        <f t="shared" si="49"/>
        <v>117.11171789901935</v>
      </c>
      <c r="AR263" s="16">
        <f t="shared" si="49"/>
        <v>116.76038274532229</v>
      </c>
      <c r="AS263" s="16">
        <f t="shared" si="49"/>
        <v>58.205050798543162</v>
      </c>
    </row>
    <row r="264" spans="3:45" hidden="1" outlineLevel="1" x14ac:dyDescent="0.25">
      <c r="C264" s="6" t="s">
        <v>195</v>
      </c>
      <c r="D264" s="2" t="s">
        <v>19</v>
      </c>
      <c r="J264" s="16">
        <f t="shared" ref="J264:AS264" si="50">Case_PPA*(1+PPA_Esc)^J251*(J255&gt;0)</f>
        <v>0</v>
      </c>
      <c r="K264" s="16">
        <f t="shared" si="50"/>
        <v>0</v>
      </c>
      <c r="L264" s="16">
        <f t="shared" si="50"/>
        <v>0</v>
      </c>
      <c r="M264" s="16">
        <f t="shared" si="50"/>
        <v>0</v>
      </c>
      <c r="N264" s="16">
        <f t="shared" si="50"/>
        <v>0</v>
      </c>
      <c r="O264" s="16">
        <f t="shared" si="50"/>
        <v>90</v>
      </c>
      <c r="P264" s="16">
        <f t="shared" si="50"/>
        <v>90.9</v>
      </c>
      <c r="Q264" s="16">
        <f t="shared" si="50"/>
        <v>91.808999999999997</v>
      </c>
      <c r="R264" s="16">
        <f t="shared" si="50"/>
        <v>92.72708999999999</v>
      </c>
      <c r="S264" s="16">
        <f t="shared" si="50"/>
        <v>93.6543609</v>
      </c>
      <c r="T264" s="16">
        <f t="shared" si="50"/>
        <v>94.590904508999998</v>
      </c>
      <c r="U264" s="16">
        <f t="shared" si="50"/>
        <v>95.536813554090017</v>
      </c>
      <c r="V264" s="16">
        <f t="shared" si="50"/>
        <v>96.492181689630883</v>
      </c>
      <c r="W264" s="16">
        <f t="shared" si="50"/>
        <v>97.457103506527218</v>
      </c>
      <c r="X264" s="16">
        <f t="shared" si="50"/>
        <v>98.4316745415925</v>
      </c>
      <c r="Y264" s="16">
        <f t="shared" si="50"/>
        <v>99.415991287008424</v>
      </c>
      <c r="Z264" s="16">
        <f t="shared" si="50"/>
        <v>100.41015119987848</v>
      </c>
      <c r="AA264" s="16">
        <f t="shared" si="50"/>
        <v>101.41425271187728</v>
      </c>
      <c r="AB264" s="16">
        <f t="shared" si="50"/>
        <v>102.42839523899606</v>
      </c>
      <c r="AC264" s="16">
        <f t="shared" si="50"/>
        <v>103.45267919138603</v>
      </c>
      <c r="AD264" s="16">
        <f t="shared" si="50"/>
        <v>104.48720598329986</v>
      </c>
      <c r="AE264" s="16">
        <f t="shared" si="50"/>
        <v>105.53207804313288</v>
      </c>
      <c r="AF264" s="16">
        <f t="shared" si="50"/>
        <v>106.58739882356423</v>
      </c>
      <c r="AG264" s="16">
        <f t="shared" si="50"/>
        <v>107.65327281179987</v>
      </c>
      <c r="AH264" s="16">
        <f t="shared" si="50"/>
        <v>108.72980553991785</v>
      </c>
      <c r="AI264" s="16">
        <f t="shared" si="50"/>
        <v>109.81710359531704</v>
      </c>
      <c r="AJ264" s="16">
        <f t="shared" si="50"/>
        <v>110.91527463127019</v>
      </c>
      <c r="AK264" s="16">
        <f t="shared" si="50"/>
        <v>112.02442737758292</v>
      </c>
      <c r="AL264" s="16">
        <f t="shared" si="50"/>
        <v>113.14467165135873</v>
      </c>
      <c r="AM264" s="16">
        <f t="shared" si="50"/>
        <v>114.27611836787234</v>
      </c>
      <c r="AN264" s="16">
        <f t="shared" si="50"/>
        <v>115.41887955155109</v>
      </c>
      <c r="AO264" s="16">
        <f t="shared" si="50"/>
        <v>116.5730683470666</v>
      </c>
      <c r="AP264" s="16">
        <f t="shared" si="50"/>
        <v>117.73879903053722</v>
      </c>
      <c r="AQ264" s="16">
        <f t="shared" si="50"/>
        <v>118.9161870208426</v>
      </c>
      <c r="AR264" s="16">
        <f t="shared" si="50"/>
        <v>120.10534889105104</v>
      </c>
      <c r="AS264" s="16">
        <f t="shared" si="50"/>
        <v>121.30640237996157</v>
      </c>
    </row>
    <row r="265" spans="3:45" hidden="1" outlineLevel="1" x14ac:dyDescent="0.25">
      <c r="C265" s="1" t="s">
        <v>127</v>
      </c>
      <c r="D265" s="2" t="s">
        <v>79</v>
      </c>
      <c r="H265" s="19">
        <f>SUM(J265:AS265)</f>
        <v>382397.73062524654</v>
      </c>
      <c r="J265" s="19">
        <f t="shared" ref="J265:AS265" si="51">J263*J264</f>
        <v>0</v>
      </c>
      <c r="K265" s="19">
        <f t="shared" si="51"/>
        <v>0</v>
      </c>
      <c r="L265" s="19">
        <f t="shared" si="51"/>
        <v>0</v>
      </c>
      <c r="M265" s="19">
        <f t="shared" si="51"/>
        <v>0</v>
      </c>
      <c r="N265" s="19">
        <f t="shared" si="51"/>
        <v>0</v>
      </c>
      <c r="O265" s="19">
        <f t="shared" si="51"/>
        <v>5715.36</v>
      </c>
      <c r="P265" s="19">
        <f t="shared" si="51"/>
        <v>11545.0272</v>
      </c>
      <c r="Q265" s="19">
        <f t="shared" si="51"/>
        <v>11625.496039583999</v>
      </c>
      <c r="R265" s="19">
        <f t="shared" si="51"/>
        <v>11706.5257469799</v>
      </c>
      <c r="S265" s="19">
        <f t="shared" si="51"/>
        <v>11788.120231436349</v>
      </c>
      <c r="T265" s="19">
        <f t="shared" si="51"/>
        <v>11870.283429449461</v>
      </c>
      <c r="U265" s="19">
        <f t="shared" si="51"/>
        <v>11953.019304952726</v>
      </c>
      <c r="V265" s="19">
        <f t="shared" si="51"/>
        <v>12036.331849508244</v>
      </c>
      <c r="W265" s="19">
        <f t="shared" si="51"/>
        <v>12120.225082499319</v>
      </c>
      <c r="X265" s="19">
        <f t="shared" si="51"/>
        <v>12204.703051324341</v>
      </c>
      <c r="Y265" s="19">
        <f t="shared" si="51"/>
        <v>12289.76983159207</v>
      </c>
      <c r="Z265" s="19">
        <f t="shared" si="51"/>
        <v>12375.429527318265</v>
      </c>
      <c r="AA265" s="19">
        <f t="shared" si="51"/>
        <v>12461.686271123675</v>
      </c>
      <c r="AB265" s="19">
        <f t="shared" si="51"/>
        <v>12548.544224433408</v>
      </c>
      <c r="AC265" s="19">
        <f t="shared" si="51"/>
        <v>12636.007577677708</v>
      </c>
      <c r="AD265" s="19">
        <f t="shared" si="51"/>
        <v>12724.08055049412</v>
      </c>
      <c r="AE265" s="19">
        <f t="shared" si="51"/>
        <v>12812.767391931069</v>
      </c>
      <c r="AF265" s="19">
        <f t="shared" si="51"/>
        <v>12902.072380652829</v>
      </c>
      <c r="AG265" s="19">
        <f t="shared" si="51"/>
        <v>12991.999825145978</v>
      </c>
      <c r="AH265" s="19">
        <f t="shared" si="51"/>
        <v>13082.554063927246</v>
      </c>
      <c r="AI265" s="19">
        <f t="shared" si="51"/>
        <v>13173.739465752818</v>
      </c>
      <c r="AJ265" s="19">
        <f t="shared" si="51"/>
        <v>13265.560429829115</v>
      </c>
      <c r="AK265" s="19">
        <f t="shared" si="51"/>
        <v>13358.021386025026</v>
      </c>
      <c r="AL265" s="19">
        <f t="shared" si="51"/>
        <v>13451.126795085622</v>
      </c>
      <c r="AM265" s="19">
        <f t="shared" si="51"/>
        <v>13544.881148847369</v>
      </c>
      <c r="AN265" s="19">
        <f t="shared" si="51"/>
        <v>13639.288970454838</v>
      </c>
      <c r="AO265" s="19">
        <f t="shared" si="51"/>
        <v>13734.354814578906</v>
      </c>
      <c r="AP265" s="19">
        <f t="shared" si="51"/>
        <v>13830.083267636519</v>
      </c>
      <c r="AQ265" s="19">
        <f t="shared" si="51"/>
        <v>13926.478948011945</v>
      </c>
      <c r="AR265" s="19">
        <f t="shared" si="51"/>
        <v>14023.546506279588</v>
      </c>
      <c r="AS265" s="19">
        <f t="shared" si="51"/>
        <v>7060.6453127141804</v>
      </c>
    </row>
    <row r="266" spans="3:45" hidden="1" outlineLevel="1" x14ac:dyDescent="0.25">
      <c r="C266" s="6" t="s">
        <v>196</v>
      </c>
      <c r="D266" s="2" t="s">
        <v>2</v>
      </c>
      <c r="J266" s="30">
        <f t="shared" ref="J266:AS266" si="52">(1+Opex_Esc)^J251</f>
        <v>0.88385428760951712</v>
      </c>
      <c r="K266" s="30">
        <f t="shared" si="52"/>
        <v>0.90595064479975507</v>
      </c>
      <c r="L266" s="30">
        <f t="shared" si="52"/>
        <v>0.92859941091974885</v>
      </c>
      <c r="M266" s="30">
        <f t="shared" si="52"/>
        <v>0.95181439619274244</v>
      </c>
      <c r="N266" s="30">
        <f t="shared" si="52"/>
        <v>0.97560975609756106</v>
      </c>
      <c r="O266" s="30">
        <f t="shared" si="52"/>
        <v>1</v>
      </c>
      <c r="P266" s="30">
        <f t="shared" si="52"/>
        <v>1.0249999999999999</v>
      </c>
      <c r="Q266" s="30">
        <f t="shared" si="52"/>
        <v>1.0506249999999999</v>
      </c>
      <c r="R266" s="30">
        <f t="shared" si="52"/>
        <v>1.0768906249999999</v>
      </c>
      <c r="S266" s="30">
        <f t="shared" si="52"/>
        <v>1.1038128906249998</v>
      </c>
      <c r="T266" s="30">
        <f t="shared" si="52"/>
        <v>1.1314082128906247</v>
      </c>
      <c r="U266" s="30">
        <f t="shared" si="52"/>
        <v>1.1596934182128902</v>
      </c>
      <c r="V266" s="30">
        <f t="shared" si="52"/>
        <v>1.1886857536682125</v>
      </c>
      <c r="W266" s="30">
        <f t="shared" si="52"/>
        <v>1.2184028975099177</v>
      </c>
      <c r="X266" s="30">
        <f t="shared" si="52"/>
        <v>1.2488629699476654</v>
      </c>
      <c r="Y266" s="30">
        <f t="shared" si="52"/>
        <v>1.2800845441963571</v>
      </c>
      <c r="Z266" s="30">
        <f t="shared" si="52"/>
        <v>1.312086657801266</v>
      </c>
      <c r="AA266" s="30">
        <f t="shared" si="52"/>
        <v>1.3448888242462975</v>
      </c>
      <c r="AB266" s="30">
        <f t="shared" si="52"/>
        <v>1.3785110448524549</v>
      </c>
      <c r="AC266" s="30">
        <f t="shared" si="52"/>
        <v>1.4129738209737661</v>
      </c>
      <c r="AD266" s="30">
        <f t="shared" si="52"/>
        <v>1.4482981664981105</v>
      </c>
      <c r="AE266" s="30">
        <f t="shared" si="52"/>
        <v>1.4845056206605631</v>
      </c>
      <c r="AF266" s="30">
        <f t="shared" si="52"/>
        <v>1.521618261177077</v>
      </c>
      <c r="AG266" s="30">
        <f t="shared" si="52"/>
        <v>1.559658717706504</v>
      </c>
      <c r="AH266" s="30">
        <f t="shared" si="52"/>
        <v>1.5986501856491666</v>
      </c>
      <c r="AI266" s="30">
        <f t="shared" si="52"/>
        <v>1.6386164402903955</v>
      </c>
      <c r="AJ266" s="30">
        <f t="shared" si="52"/>
        <v>1.6795818512976552</v>
      </c>
      <c r="AK266" s="30">
        <f t="shared" si="52"/>
        <v>1.7215713975800966</v>
      </c>
      <c r="AL266" s="30">
        <f t="shared" si="52"/>
        <v>1.7646106825195991</v>
      </c>
      <c r="AM266" s="30">
        <f t="shared" si="52"/>
        <v>1.8087259495825889</v>
      </c>
      <c r="AN266" s="30">
        <f t="shared" si="52"/>
        <v>1.8539440983221533</v>
      </c>
      <c r="AO266" s="30">
        <f t="shared" si="52"/>
        <v>1.9002927007802071</v>
      </c>
      <c r="AP266" s="30">
        <f t="shared" si="52"/>
        <v>1.9478000182997122</v>
      </c>
      <c r="AQ266" s="30">
        <f t="shared" si="52"/>
        <v>1.9964950187572048</v>
      </c>
      <c r="AR266" s="30">
        <f t="shared" si="52"/>
        <v>2.0464073942261352</v>
      </c>
      <c r="AS266" s="30">
        <f t="shared" si="52"/>
        <v>2.097567579081788</v>
      </c>
    </row>
    <row r="267" spans="3:45" hidden="1" outlineLevel="1" x14ac:dyDescent="0.25">
      <c r="C267" s="6" t="s">
        <v>197</v>
      </c>
      <c r="D267" s="2" t="s">
        <v>79</v>
      </c>
      <c r="H267" s="8">
        <f t="shared" ref="H267:H276" si="53">SUM(J267:AS267)</f>
        <v>-60009.507386296886</v>
      </c>
      <c r="J267" s="8">
        <f t="shared" ref="J267:AS267" si="54">-(Case_OM+SUM(Opex_Per_MW))*$E$44*J266*J255</f>
        <v>0</v>
      </c>
      <c r="K267" s="8">
        <f t="shared" si="54"/>
        <v>0</v>
      </c>
      <c r="L267" s="8">
        <f t="shared" si="54"/>
        <v>0</v>
      </c>
      <c r="M267" s="8">
        <f t="shared" si="54"/>
        <v>0</v>
      </c>
      <c r="N267" s="8">
        <f t="shared" si="54"/>
        <v>0</v>
      </c>
      <c r="O267" s="8">
        <f t="shared" si="54"/>
        <v>-675</v>
      </c>
      <c r="P267" s="8">
        <f t="shared" si="54"/>
        <v>-1383.7499999999998</v>
      </c>
      <c r="Q267" s="8">
        <f t="shared" si="54"/>
        <v>-1418.34375</v>
      </c>
      <c r="R267" s="8">
        <f t="shared" si="54"/>
        <v>-1453.8023437499999</v>
      </c>
      <c r="S267" s="8">
        <f t="shared" si="54"/>
        <v>-1490.1474023437497</v>
      </c>
      <c r="T267" s="8">
        <f t="shared" si="54"/>
        <v>-1527.4010874023434</v>
      </c>
      <c r="U267" s="8">
        <f t="shared" si="54"/>
        <v>-1565.5861145874017</v>
      </c>
      <c r="V267" s="8">
        <f t="shared" si="54"/>
        <v>-1604.725767452087</v>
      </c>
      <c r="W267" s="8">
        <f t="shared" si="54"/>
        <v>-1644.8439116383888</v>
      </c>
      <c r="X267" s="8">
        <f t="shared" si="54"/>
        <v>-1685.9650094293484</v>
      </c>
      <c r="Y267" s="8">
        <f t="shared" si="54"/>
        <v>-1728.114134665082</v>
      </c>
      <c r="Z267" s="8">
        <f t="shared" si="54"/>
        <v>-1771.3169880317091</v>
      </c>
      <c r="AA267" s="8">
        <f t="shared" si="54"/>
        <v>-1815.5999127325017</v>
      </c>
      <c r="AB267" s="8">
        <f t="shared" si="54"/>
        <v>-1860.9899105508141</v>
      </c>
      <c r="AC267" s="8">
        <f t="shared" si="54"/>
        <v>-1907.5146583145843</v>
      </c>
      <c r="AD267" s="8">
        <f t="shared" si="54"/>
        <v>-1955.2025247724491</v>
      </c>
      <c r="AE267" s="8">
        <f t="shared" si="54"/>
        <v>-2004.0825878917601</v>
      </c>
      <c r="AF267" s="8">
        <f t="shared" si="54"/>
        <v>-2054.1846525890537</v>
      </c>
      <c r="AG267" s="8">
        <f t="shared" si="54"/>
        <v>-2105.5392689037803</v>
      </c>
      <c r="AH267" s="8">
        <f t="shared" si="54"/>
        <v>-2158.1777506263747</v>
      </c>
      <c r="AI267" s="8">
        <f t="shared" si="54"/>
        <v>-2212.1321943920339</v>
      </c>
      <c r="AJ267" s="8">
        <f t="shared" si="54"/>
        <v>-2267.4354992518347</v>
      </c>
      <c r="AK267" s="8">
        <f t="shared" si="54"/>
        <v>-2324.1213867331303</v>
      </c>
      <c r="AL267" s="8">
        <f t="shared" si="54"/>
        <v>-2382.2244214014586</v>
      </c>
      <c r="AM267" s="8">
        <f t="shared" si="54"/>
        <v>-2441.7800319364951</v>
      </c>
      <c r="AN267" s="8">
        <f t="shared" si="54"/>
        <v>-2502.8245327349068</v>
      </c>
      <c r="AO267" s="8">
        <f t="shared" si="54"/>
        <v>-2565.3951460532794</v>
      </c>
      <c r="AP267" s="8">
        <f t="shared" si="54"/>
        <v>-2629.5300247046116</v>
      </c>
      <c r="AQ267" s="8">
        <f t="shared" si="54"/>
        <v>-2695.2682753222266</v>
      </c>
      <c r="AR267" s="8">
        <f t="shared" si="54"/>
        <v>-2762.6499822052824</v>
      </c>
      <c r="AS267" s="8">
        <f t="shared" si="54"/>
        <v>-1415.8581158802069</v>
      </c>
    </row>
    <row r="268" spans="3:45" hidden="1" outlineLevel="1" x14ac:dyDescent="0.25">
      <c r="C268" s="6" t="s">
        <v>198</v>
      </c>
      <c r="D268" s="2" t="s">
        <v>79</v>
      </c>
      <c r="H268" s="8">
        <f t="shared" si="53"/>
        <v>-1666.9307607304695</v>
      </c>
      <c r="J268" s="8">
        <f t="shared" ref="J268:AS268" si="55">-Opex_Admin*$E$6/Lump_Basis*J266*J255</f>
        <v>0</v>
      </c>
      <c r="K268" s="8">
        <f t="shared" si="55"/>
        <v>0</v>
      </c>
      <c r="L268" s="8">
        <f t="shared" si="55"/>
        <v>0</v>
      </c>
      <c r="M268" s="8">
        <f t="shared" si="55"/>
        <v>0</v>
      </c>
      <c r="N268" s="8">
        <f t="shared" si="55"/>
        <v>0</v>
      </c>
      <c r="O268" s="8">
        <f t="shared" si="55"/>
        <v>-18.75</v>
      </c>
      <c r="P268" s="8">
        <f t="shared" si="55"/>
        <v>-38.4375</v>
      </c>
      <c r="Q268" s="8">
        <f t="shared" si="55"/>
        <v>-39.3984375</v>
      </c>
      <c r="R268" s="8">
        <f t="shared" si="55"/>
        <v>-40.383398437499999</v>
      </c>
      <c r="S268" s="8">
        <f t="shared" si="55"/>
        <v>-41.392983398437494</v>
      </c>
      <c r="T268" s="8">
        <f t="shared" si="55"/>
        <v>-42.427807983398424</v>
      </c>
      <c r="U268" s="8">
        <f t="shared" si="55"/>
        <v>-43.488503182983379</v>
      </c>
      <c r="V268" s="8">
        <f t="shared" si="55"/>
        <v>-44.575715762557969</v>
      </c>
      <c r="W268" s="8">
        <f t="shared" si="55"/>
        <v>-45.690108656621916</v>
      </c>
      <c r="X268" s="8">
        <f t="shared" si="55"/>
        <v>-46.83236137303745</v>
      </c>
      <c r="Y268" s="8">
        <f t="shared" si="55"/>
        <v>-48.003170407363392</v>
      </c>
      <c r="Z268" s="8">
        <f t="shared" si="55"/>
        <v>-49.203249667547475</v>
      </c>
      <c r="AA268" s="8">
        <f t="shared" si="55"/>
        <v>-50.433330909236155</v>
      </c>
      <c r="AB268" s="8">
        <f t="shared" si="55"/>
        <v>-51.694164181967061</v>
      </c>
      <c r="AC268" s="8">
        <f t="shared" si="55"/>
        <v>-52.98651828651623</v>
      </c>
      <c r="AD268" s="8">
        <f t="shared" si="55"/>
        <v>-54.311181243679144</v>
      </c>
      <c r="AE268" s="8">
        <f t="shared" si="55"/>
        <v>-55.668960774771115</v>
      </c>
      <c r="AF268" s="8">
        <f t="shared" si="55"/>
        <v>-57.060684794140386</v>
      </c>
      <c r="AG268" s="8">
        <f t="shared" si="55"/>
        <v>-58.4872019139939</v>
      </c>
      <c r="AH268" s="8">
        <f t="shared" si="55"/>
        <v>-59.949381961843748</v>
      </c>
      <c r="AI268" s="8">
        <f t="shared" si="55"/>
        <v>-61.448116510889832</v>
      </c>
      <c r="AJ268" s="8">
        <f t="shared" si="55"/>
        <v>-62.984319423662072</v>
      </c>
      <c r="AK268" s="8">
        <f t="shared" si="55"/>
        <v>-64.558927409253627</v>
      </c>
      <c r="AL268" s="8">
        <f t="shared" si="55"/>
        <v>-66.172900594484972</v>
      </c>
      <c r="AM268" s="8">
        <f t="shared" si="55"/>
        <v>-67.827223109347088</v>
      </c>
      <c r="AN268" s="8">
        <f t="shared" si="55"/>
        <v>-69.522903687080756</v>
      </c>
      <c r="AO268" s="8">
        <f t="shared" si="55"/>
        <v>-71.260976279257761</v>
      </c>
      <c r="AP268" s="8">
        <f t="shared" si="55"/>
        <v>-73.042500686239208</v>
      </c>
      <c r="AQ268" s="8">
        <f t="shared" si="55"/>
        <v>-74.868563203395183</v>
      </c>
      <c r="AR268" s="8">
        <f t="shared" si="55"/>
        <v>-76.740277283480069</v>
      </c>
      <c r="AS268" s="8">
        <f t="shared" si="55"/>
        <v>-39.329392107783526</v>
      </c>
    </row>
    <row r="269" spans="3:45" hidden="1" outlineLevel="1" x14ac:dyDescent="0.25">
      <c r="C269" s="6" t="s">
        <v>199</v>
      </c>
      <c r="D269" s="2" t="s">
        <v>79</v>
      </c>
      <c r="H269" s="8">
        <f t="shared" si="53"/>
        <v>-26924.511314815936</v>
      </c>
      <c r="J269" s="8">
        <f t="shared" ref="J269:AS269" si="56">-J263*(Balancing+Grid_Charges)*J266</f>
        <v>0</v>
      </c>
      <c r="K269" s="8">
        <f t="shared" si="56"/>
        <v>0</v>
      </c>
      <c r="L269" s="8">
        <f t="shared" si="56"/>
        <v>0</v>
      </c>
      <c r="M269" s="8">
        <f t="shared" si="56"/>
        <v>0</v>
      </c>
      <c r="N269" s="8">
        <f t="shared" si="56"/>
        <v>0</v>
      </c>
      <c r="O269" s="8">
        <f t="shared" si="56"/>
        <v>-317.52</v>
      </c>
      <c r="P269" s="8">
        <f t="shared" si="56"/>
        <v>-650.91599999999994</v>
      </c>
      <c r="Q269" s="8">
        <f t="shared" si="56"/>
        <v>-665.18733329999986</v>
      </c>
      <c r="R269" s="8">
        <f t="shared" si="56"/>
        <v>-679.77156558260242</v>
      </c>
      <c r="S269" s="8">
        <f t="shared" si="56"/>
        <v>-694.67555715800074</v>
      </c>
      <c r="T269" s="8">
        <f t="shared" si="56"/>
        <v>-709.90631874868996</v>
      </c>
      <c r="U269" s="8">
        <f t="shared" si="56"/>
        <v>-725.47101478725506</v>
      </c>
      <c r="V269" s="8">
        <f t="shared" si="56"/>
        <v>-741.37696678646557</v>
      </c>
      <c r="W269" s="8">
        <f t="shared" si="56"/>
        <v>-757.63165678325879</v>
      </c>
      <c r="X269" s="8">
        <f t="shared" si="56"/>
        <v>-774.24273085823165</v>
      </c>
      <c r="Y269" s="8">
        <f t="shared" si="56"/>
        <v>-791.21800273229826</v>
      </c>
      <c r="Z269" s="8">
        <f t="shared" si="56"/>
        <v>-808.56545744220398</v>
      </c>
      <c r="AA269" s="8">
        <f t="shared" si="56"/>
        <v>-826.29325509662431</v>
      </c>
      <c r="AB269" s="8">
        <f t="shared" si="56"/>
        <v>-844.40973471461768</v>
      </c>
      <c r="AC269" s="8">
        <f t="shared" si="56"/>
        <v>-862.92341814823567</v>
      </c>
      <c r="AD269" s="8">
        <f t="shared" si="56"/>
        <v>-881.84301409113584</v>
      </c>
      <c r="AE269" s="8">
        <f t="shared" si="56"/>
        <v>-901.17742217508408</v>
      </c>
      <c r="AF269" s="8">
        <f t="shared" si="56"/>
        <v>-920.93573715627258</v>
      </c>
      <c r="AG269" s="8">
        <f t="shared" si="56"/>
        <v>-941.12725319342383</v>
      </c>
      <c r="AH269" s="8">
        <f t="shared" si="56"/>
        <v>-961.76146821968985</v>
      </c>
      <c r="AI269" s="8">
        <f t="shared" si="56"/>
        <v>-982.84808841040626</v>
      </c>
      <c r="AJ269" s="8">
        <f t="shared" si="56"/>
        <v>-1004.3970327488043</v>
      </c>
      <c r="AK269" s="8">
        <f t="shared" si="56"/>
        <v>-1026.4184376918217</v>
      </c>
      <c r="AL269" s="8">
        <f t="shared" si="56"/>
        <v>-1048.9226619382152</v>
      </c>
      <c r="AM269" s="8">
        <f t="shared" si="56"/>
        <v>-1071.9202913012107</v>
      </c>
      <c r="AN269" s="8">
        <f t="shared" si="56"/>
        <v>-1095.4221436879893</v>
      </c>
      <c r="AO269" s="8">
        <f t="shared" si="56"/>
        <v>-1119.4392741883485</v>
      </c>
      <c r="AP269" s="8">
        <f t="shared" si="56"/>
        <v>-1143.982980274928</v>
      </c>
      <c r="AQ269" s="8">
        <f t="shared" si="56"/>
        <v>-1169.0648071174555</v>
      </c>
      <c r="AR269" s="8">
        <f t="shared" si="56"/>
        <v>-1194.696553013506</v>
      </c>
      <c r="AS269" s="8">
        <f t="shared" si="56"/>
        <v>-610.44513746916334</v>
      </c>
    </row>
    <row r="270" spans="3:45" hidden="1" outlineLevel="1" x14ac:dyDescent="0.25">
      <c r="C270" s="6" t="s">
        <v>200</v>
      </c>
      <c r="D270" s="2" t="s">
        <v>79</v>
      </c>
      <c r="H270" s="8">
        <f t="shared" si="53"/>
        <v>-382.39773062524665</v>
      </c>
      <c r="J270" s="8">
        <f t="shared" ref="J270:AS270" si="57">-J265*MEKH_Fee</f>
        <v>0</v>
      </c>
      <c r="K270" s="8">
        <f t="shared" si="57"/>
        <v>0</v>
      </c>
      <c r="L270" s="8">
        <f t="shared" si="57"/>
        <v>0</v>
      </c>
      <c r="M270" s="8">
        <f t="shared" si="57"/>
        <v>0</v>
      </c>
      <c r="N270" s="8">
        <f t="shared" si="57"/>
        <v>0</v>
      </c>
      <c r="O270" s="8">
        <f t="shared" si="57"/>
        <v>-5.7153599999999996</v>
      </c>
      <c r="P270" s="8">
        <f t="shared" si="57"/>
        <v>-11.5450272</v>
      </c>
      <c r="Q270" s="8">
        <f t="shared" si="57"/>
        <v>-11.625496039583998</v>
      </c>
      <c r="R270" s="8">
        <f t="shared" si="57"/>
        <v>-11.706525746979899</v>
      </c>
      <c r="S270" s="8">
        <f t="shared" si="57"/>
        <v>-11.788120231436348</v>
      </c>
      <c r="T270" s="8">
        <f t="shared" si="57"/>
        <v>-11.870283429449461</v>
      </c>
      <c r="U270" s="8">
        <f t="shared" si="57"/>
        <v>-11.953019304952726</v>
      </c>
      <c r="V270" s="8">
        <f t="shared" si="57"/>
        <v>-12.036331849508244</v>
      </c>
      <c r="W270" s="8">
        <f t="shared" si="57"/>
        <v>-12.120225082499319</v>
      </c>
      <c r="X270" s="8">
        <f t="shared" si="57"/>
        <v>-12.204703051324341</v>
      </c>
      <c r="Y270" s="8">
        <f t="shared" si="57"/>
        <v>-12.28976983159207</v>
      </c>
      <c r="Z270" s="8">
        <f t="shared" si="57"/>
        <v>-12.375429527318266</v>
      </c>
      <c r="AA270" s="8">
        <f t="shared" si="57"/>
        <v>-12.461686271123675</v>
      </c>
      <c r="AB270" s="8">
        <f t="shared" si="57"/>
        <v>-12.548544224433408</v>
      </c>
      <c r="AC270" s="8">
        <f t="shared" si="57"/>
        <v>-12.636007577677709</v>
      </c>
      <c r="AD270" s="8">
        <f t="shared" si="57"/>
        <v>-12.72408055049412</v>
      </c>
      <c r="AE270" s="8">
        <f t="shared" si="57"/>
        <v>-12.81276739193107</v>
      </c>
      <c r="AF270" s="8">
        <f t="shared" si="57"/>
        <v>-12.902072380652831</v>
      </c>
      <c r="AG270" s="8">
        <f t="shared" si="57"/>
        <v>-12.991999825145978</v>
      </c>
      <c r="AH270" s="8">
        <f t="shared" si="57"/>
        <v>-13.082554063927246</v>
      </c>
      <c r="AI270" s="8">
        <f t="shared" si="57"/>
        <v>-13.173739465752819</v>
      </c>
      <c r="AJ270" s="8">
        <f t="shared" si="57"/>
        <v>-13.265560429829115</v>
      </c>
      <c r="AK270" s="8">
        <f t="shared" si="57"/>
        <v>-13.358021386025026</v>
      </c>
      <c r="AL270" s="8">
        <f t="shared" si="57"/>
        <v>-13.451126795085623</v>
      </c>
      <c r="AM270" s="8">
        <f t="shared" si="57"/>
        <v>-13.54488114884737</v>
      </c>
      <c r="AN270" s="8">
        <f t="shared" si="57"/>
        <v>-13.639288970454839</v>
      </c>
      <c r="AO270" s="8">
        <f t="shared" si="57"/>
        <v>-13.734354814578907</v>
      </c>
      <c r="AP270" s="8">
        <f t="shared" si="57"/>
        <v>-13.830083267636519</v>
      </c>
      <c r="AQ270" s="8">
        <f t="shared" si="57"/>
        <v>-13.926478948011946</v>
      </c>
      <c r="AR270" s="8">
        <f t="shared" si="57"/>
        <v>-14.023546506279589</v>
      </c>
      <c r="AS270" s="8">
        <f t="shared" si="57"/>
        <v>-7.0606453127141808</v>
      </c>
    </row>
    <row r="271" spans="3:45" hidden="1" outlineLevel="1" x14ac:dyDescent="0.25">
      <c r="C271" s="6" t="s">
        <v>201</v>
      </c>
      <c r="D271" s="2" t="s">
        <v>79</v>
      </c>
      <c r="H271" s="8">
        <f t="shared" si="53"/>
        <v>-4449.1673596234286</v>
      </c>
      <c r="J271" s="8">
        <f t="shared" ref="J271:AS271" si="58">SUM(J267:J270)*Opex_Cont</f>
        <v>0</v>
      </c>
      <c r="K271" s="8">
        <f t="shared" si="58"/>
        <v>0</v>
      </c>
      <c r="L271" s="8">
        <f t="shared" si="58"/>
        <v>0</v>
      </c>
      <c r="M271" s="8">
        <f t="shared" si="58"/>
        <v>0</v>
      </c>
      <c r="N271" s="8">
        <f t="shared" si="58"/>
        <v>0</v>
      </c>
      <c r="O271" s="8">
        <f t="shared" si="58"/>
        <v>-50.849268000000002</v>
      </c>
      <c r="P271" s="8">
        <f t="shared" si="58"/>
        <v>-104.23242635999998</v>
      </c>
      <c r="Q271" s="8">
        <f t="shared" si="58"/>
        <v>-106.7277508419792</v>
      </c>
      <c r="R271" s="8">
        <f t="shared" si="58"/>
        <v>-109.28319167585413</v>
      </c>
      <c r="S271" s="8">
        <f t="shared" si="58"/>
        <v>-111.90020315658124</v>
      </c>
      <c r="T271" s="8">
        <f t="shared" si="58"/>
        <v>-114.58027487819407</v>
      </c>
      <c r="U271" s="8">
        <f t="shared" si="58"/>
        <v>-117.32493259312965</v>
      </c>
      <c r="V271" s="8">
        <f t="shared" si="58"/>
        <v>-120.13573909253097</v>
      </c>
      <c r="W271" s="8">
        <f t="shared" si="58"/>
        <v>-123.01429510803847</v>
      </c>
      <c r="X271" s="8">
        <f t="shared" si="58"/>
        <v>-125.96224023559711</v>
      </c>
      <c r="Y271" s="8">
        <f t="shared" si="58"/>
        <v>-128.98125388181677</v>
      </c>
      <c r="Z271" s="8">
        <f t="shared" si="58"/>
        <v>-132.07305623343896</v>
      </c>
      <c r="AA271" s="8">
        <f t="shared" si="58"/>
        <v>-135.2394092504743</v>
      </c>
      <c r="AB271" s="8">
        <f t="shared" si="58"/>
        <v>-138.48211768359164</v>
      </c>
      <c r="AC271" s="8">
        <f t="shared" si="58"/>
        <v>-141.80303011635073</v>
      </c>
      <c r="AD271" s="8">
        <f t="shared" si="58"/>
        <v>-145.20404003288792</v>
      </c>
      <c r="AE271" s="8">
        <f t="shared" si="58"/>
        <v>-148.68708691167734</v>
      </c>
      <c r="AF271" s="8">
        <f t="shared" si="58"/>
        <v>-152.254157346006</v>
      </c>
      <c r="AG271" s="8">
        <f t="shared" si="58"/>
        <v>-155.90728619181721</v>
      </c>
      <c r="AH271" s="8">
        <f t="shared" si="58"/>
        <v>-159.64855774359179</v>
      </c>
      <c r="AI271" s="8">
        <f t="shared" si="58"/>
        <v>-163.48010693895418</v>
      </c>
      <c r="AJ271" s="8">
        <f t="shared" si="58"/>
        <v>-167.40412059270651</v>
      </c>
      <c r="AK271" s="8">
        <f t="shared" si="58"/>
        <v>-171.42283866101153</v>
      </c>
      <c r="AL271" s="8">
        <f t="shared" si="58"/>
        <v>-175.53855553646224</v>
      </c>
      <c r="AM271" s="8">
        <f t="shared" si="58"/>
        <v>-179.75362137479499</v>
      </c>
      <c r="AN271" s="8">
        <f t="shared" si="58"/>
        <v>-184.07044345402159</v>
      </c>
      <c r="AO271" s="8">
        <f t="shared" si="58"/>
        <v>-188.49148756677323</v>
      </c>
      <c r="AP271" s="8">
        <f t="shared" si="58"/>
        <v>-193.01927944667077</v>
      </c>
      <c r="AQ271" s="8">
        <f t="shared" si="58"/>
        <v>-197.65640622955448</v>
      </c>
      <c r="AR271" s="8">
        <f t="shared" si="58"/>
        <v>-202.40551795042745</v>
      </c>
      <c r="AS271" s="8">
        <f t="shared" si="58"/>
        <v>-103.63466453849342</v>
      </c>
    </row>
    <row r="272" spans="3:45" hidden="1" outlineLevel="1" x14ac:dyDescent="0.25">
      <c r="C272" s="6" t="s">
        <v>202</v>
      </c>
      <c r="D272" s="2" t="s">
        <v>79</v>
      </c>
      <c r="H272" s="8">
        <f t="shared" si="53"/>
        <v>0</v>
      </c>
      <c r="J272" s="8">
        <f t="shared" ref="J272:AS272" si="59">-J263*$E$12</f>
        <v>0</v>
      </c>
      <c r="K272" s="8">
        <f t="shared" si="59"/>
        <v>0</v>
      </c>
      <c r="L272" s="8">
        <f t="shared" si="59"/>
        <v>0</v>
      </c>
      <c r="M272" s="8">
        <f t="shared" si="59"/>
        <v>0</v>
      </c>
      <c r="N272" s="8">
        <f t="shared" si="59"/>
        <v>0</v>
      </c>
      <c r="O272" s="8">
        <f t="shared" si="59"/>
        <v>0</v>
      </c>
      <c r="P272" s="8">
        <f t="shared" si="59"/>
        <v>0</v>
      </c>
      <c r="Q272" s="8">
        <f t="shared" si="59"/>
        <v>0</v>
      </c>
      <c r="R272" s="8">
        <f t="shared" si="59"/>
        <v>0</v>
      </c>
      <c r="S272" s="8">
        <f t="shared" si="59"/>
        <v>0</v>
      </c>
      <c r="T272" s="8">
        <f t="shared" si="59"/>
        <v>0</v>
      </c>
      <c r="U272" s="8">
        <f t="shared" si="59"/>
        <v>0</v>
      </c>
      <c r="V272" s="8">
        <f t="shared" si="59"/>
        <v>0</v>
      </c>
      <c r="W272" s="8">
        <f t="shared" si="59"/>
        <v>0</v>
      </c>
      <c r="X272" s="8">
        <f t="shared" si="59"/>
        <v>0</v>
      </c>
      <c r="Y272" s="8">
        <f t="shared" si="59"/>
        <v>0</v>
      </c>
      <c r="Z272" s="8">
        <f t="shared" si="59"/>
        <v>0</v>
      </c>
      <c r="AA272" s="8">
        <f t="shared" si="59"/>
        <v>0</v>
      </c>
      <c r="AB272" s="8">
        <f t="shared" si="59"/>
        <v>0</v>
      </c>
      <c r="AC272" s="8">
        <f t="shared" si="59"/>
        <v>0</v>
      </c>
      <c r="AD272" s="8">
        <f t="shared" si="59"/>
        <v>0</v>
      </c>
      <c r="AE272" s="8">
        <f t="shared" si="59"/>
        <v>0</v>
      </c>
      <c r="AF272" s="8">
        <f t="shared" si="59"/>
        <v>0</v>
      </c>
      <c r="AG272" s="8">
        <f t="shared" si="59"/>
        <v>0</v>
      </c>
      <c r="AH272" s="8">
        <f t="shared" si="59"/>
        <v>0</v>
      </c>
      <c r="AI272" s="8">
        <f t="shared" si="59"/>
        <v>0</v>
      </c>
      <c r="AJ272" s="8">
        <f t="shared" si="59"/>
        <v>0</v>
      </c>
      <c r="AK272" s="8">
        <f t="shared" si="59"/>
        <v>0</v>
      </c>
      <c r="AL272" s="8">
        <f t="shared" si="59"/>
        <v>0</v>
      </c>
      <c r="AM272" s="8">
        <f t="shared" si="59"/>
        <v>0</v>
      </c>
      <c r="AN272" s="8">
        <f t="shared" si="59"/>
        <v>0</v>
      </c>
      <c r="AO272" s="8">
        <f t="shared" si="59"/>
        <v>0</v>
      </c>
      <c r="AP272" s="8">
        <f t="shared" si="59"/>
        <v>0</v>
      </c>
      <c r="AQ272" s="8">
        <f t="shared" si="59"/>
        <v>0</v>
      </c>
      <c r="AR272" s="8">
        <f t="shared" si="59"/>
        <v>0</v>
      </c>
      <c r="AS272" s="8">
        <f t="shared" si="59"/>
        <v>0</v>
      </c>
    </row>
    <row r="273" spans="2:45" hidden="1" outlineLevel="1" x14ac:dyDescent="0.25">
      <c r="C273" s="6" t="s">
        <v>203</v>
      </c>
      <c r="D273" s="2" t="s">
        <v>79</v>
      </c>
      <c r="H273" s="8">
        <f t="shared" si="53"/>
        <v>-7647.9546125049319</v>
      </c>
      <c r="J273" s="8">
        <f t="shared" ref="J273:AS273" si="60">-J265*HIPA_Rate</f>
        <v>0</v>
      </c>
      <c r="K273" s="8">
        <f t="shared" si="60"/>
        <v>0</v>
      </c>
      <c r="L273" s="8">
        <f t="shared" si="60"/>
        <v>0</v>
      </c>
      <c r="M273" s="8">
        <f t="shared" si="60"/>
        <v>0</v>
      </c>
      <c r="N273" s="8">
        <f t="shared" si="60"/>
        <v>0</v>
      </c>
      <c r="O273" s="8">
        <f t="shared" si="60"/>
        <v>-114.30719999999999</v>
      </c>
      <c r="P273" s="8">
        <f t="shared" si="60"/>
        <v>-230.90054400000002</v>
      </c>
      <c r="Q273" s="8">
        <f t="shared" si="60"/>
        <v>-232.50992079167997</v>
      </c>
      <c r="R273" s="8">
        <f t="shared" si="60"/>
        <v>-234.13051493959802</v>
      </c>
      <c r="S273" s="8">
        <f t="shared" si="60"/>
        <v>-235.76240462872698</v>
      </c>
      <c r="T273" s="8">
        <f t="shared" si="60"/>
        <v>-237.40566858898922</v>
      </c>
      <c r="U273" s="8">
        <f t="shared" si="60"/>
        <v>-239.06038609905454</v>
      </c>
      <c r="V273" s="8">
        <f t="shared" si="60"/>
        <v>-240.72663699016488</v>
      </c>
      <c r="W273" s="8">
        <f t="shared" si="60"/>
        <v>-242.40450164998637</v>
      </c>
      <c r="X273" s="8">
        <f t="shared" si="60"/>
        <v>-244.09406102648683</v>
      </c>
      <c r="Y273" s="8">
        <f t="shared" si="60"/>
        <v>-245.79539663184141</v>
      </c>
      <c r="Z273" s="8">
        <f t="shared" si="60"/>
        <v>-247.5085905463653</v>
      </c>
      <c r="AA273" s="8">
        <f t="shared" si="60"/>
        <v>-249.23372542247353</v>
      </c>
      <c r="AB273" s="8">
        <f t="shared" si="60"/>
        <v>-250.97088448866816</v>
      </c>
      <c r="AC273" s="8">
        <f t="shared" si="60"/>
        <v>-252.72015155355419</v>
      </c>
      <c r="AD273" s="8">
        <f t="shared" si="60"/>
        <v>-254.48161100988241</v>
      </c>
      <c r="AE273" s="8">
        <f t="shared" si="60"/>
        <v>-256.25534783862139</v>
      </c>
      <c r="AF273" s="8">
        <f t="shared" si="60"/>
        <v>-258.04144761305662</v>
      </c>
      <c r="AG273" s="8">
        <f t="shared" si="60"/>
        <v>-259.83999650291958</v>
      </c>
      <c r="AH273" s="8">
        <f t="shared" si="60"/>
        <v>-261.65108127854489</v>
      </c>
      <c r="AI273" s="8">
        <f t="shared" si="60"/>
        <v>-263.4747893150564</v>
      </c>
      <c r="AJ273" s="8">
        <f t="shared" si="60"/>
        <v>-265.31120859658228</v>
      </c>
      <c r="AK273" s="8">
        <f t="shared" si="60"/>
        <v>-267.16042772050054</v>
      </c>
      <c r="AL273" s="8">
        <f t="shared" si="60"/>
        <v>-269.02253590171244</v>
      </c>
      <c r="AM273" s="8">
        <f t="shared" si="60"/>
        <v>-270.89762297694739</v>
      </c>
      <c r="AN273" s="8">
        <f t="shared" si="60"/>
        <v>-272.78577940909679</v>
      </c>
      <c r="AO273" s="8">
        <f t="shared" si="60"/>
        <v>-274.68709629157814</v>
      </c>
      <c r="AP273" s="8">
        <f t="shared" si="60"/>
        <v>-276.60166535273038</v>
      </c>
      <c r="AQ273" s="8">
        <f t="shared" si="60"/>
        <v>-278.52957896023889</v>
      </c>
      <c r="AR273" s="8">
        <f t="shared" si="60"/>
        <v>-280.47093012559179</v>
      </c>
      <c r="AS273" s="8">
        <f t="shared" si="60"/>
        <v>-141.21290625428361</v>
      </c>
    </row>
    <row r="274" spans="2:45" hidden="1" outlineLevel="1" x14ac:dyDescent="0.25">
      <c r="C274" s="1" t="s">
        <v>204</v>
      </c>
      <c r="D274" s="2" t="s">
        <v>79</v>
      </c>
      <c r="H274" s="19">
        <f t="shared" si="53"/>
        <v>-101080.46916459691</v>
      </c>
      <c r="J274" s="19">
        <f t="shared" ref="J274:AS274" si="61">SUM(J267:J273)</f>
        <v>0</v>
      </c>
      <c r="K274" s="19">
        <f t="shared" si="61"/>
        <v>0</v>
      </c>
      <c r="L274" s="19">
        <f t="shared" si="61"/>
        <v>0</v>
      </c>
      <c r="M274" s="19">
        <f t="shared" si="61"/>
        <v>0</v>
      </c>
      <c r="N274" s="19">
        <f t="shared" si="61"/>
        <v>0</v>
      </c>
      <c r="O274" s="19">
        <f t="shared" si="61"/>
        <v>-1182.141828</v>
      </c>
      <c r="P274" s="19">
        <f t="shared" si="61"/>
        <v>-2419.7814975599995</v>
      </c>
      <c r="Q274" s="19">
        <f t="shared" si="61"/>
        <v>-2473.7926884732433</v>
      </c>
      <c r="R274" s="19">
        <f t="shared" si="61"/>
        <v>-2529.0775401325345</v>
      </c>
      <c r="S274" s="19">
        <f t="shared" si="61"/>
        <v>-2585.6666709169326</v>
      </c>
      <c r="T274" s="19">
        <f t="shared" si="61"/>
        <v>-2643.5914410310643</v>
      </c>
      <c r="U274" s="19">
        <f t="shared" si="61"/>
        <v>-2702.8839705547771</v>
      </c>
      <c r="V274" s="19">
        <f t="shared" si="61"/>
        <v>-2763.577157933315</v>
      </c>
      <c r="W274" s="19">
        <f t="shared" si="61"/>
        <v>-2825.7046989187938</v>
      </c>
      <c r="X274" s="19">
        <f t="shared" si="61"/>
        <v>-2889.3011059740261</v>
      </c>
      <c r="Y274" s="19">
        <f t="shared" si="61"/>
        <v>-2954.4017281499937</v>
      </c>
      <c r="Z274" s="19">
        <f t="shared" si="61"/>
        <v>-3021.0427714485832</v>
      </c>
      <c r="AA274" s="19">
        <f t="shared" si="61"/>
        <v>-3089.2613196824336</v>
      </c>
      <c r="AB274" s="19">
        <f t="shared" si="61"/>
        <v>-3159.0953558440924</v>
      </c>
      <c r="AC274" s="19">
        <f t="shared" si="61"/>
        <v>-3230.5837839969195</v>
      </c>
      <c r="AD274" s="19">
        <f t="shared" si="61"/>
        <v>-3303.7664517005283</v>
      </c>
      <c r="AE274" s="19">
        <f t="shared" si="61"/>
        <v>-3378.6841729838452</v>
      </c>
      <c r="AF274" s="19">
        <f t="shared" si="61"/>
        <v>-3455.3787518791828</v>
      </c>
      <c r="AG274" s="19">
        <f t="shared" si="61"/>
        <v>-3533.8930065310806</v>
      </c>
      <c r="AH274" s="19">
        <f t="shared" si="61"/>
        <v>-3614.2707938939725</v>
      </c>
      <c r="AI274" s="19">
        <f t="shared" si="61"/>
        <v>-3696.5570350330941</v>
      </c>
      <c r="AJ274" s="19">
        <f t="shared" si="61"/>
        <v>-3780.7977410434187</v>
      </c>
      <c r="AK274" s="19">
        <f t="shared" si="61"/>
        <v>-3867.0400396017426</v>
      </c>
      <c r="AL274" s="19">
        <f t="shared" si="61"/>
        <v>-3955.3322021674194</v>
      </c>
      <c r="AM274" s="19">
        <f t="shared" si="61"/>
        <v>-4045.723671847642</v>
      </c>
      <c r="AN274" s="19">
        <f t="shared" si="61"/>
        <v>-4138.26509194355</v>
      </c>
      <c r="AO274" s="19">
        <f t="shared" si="61"/>
        <v>-4233.0083351938156</v>
      </c>
      <c r="AP274" s="19">
        <f t="shared" si="61"/>
        <v>-4330.006533732816</v>
      </c>
      <c r="AQ274" s="19">
        <f t="shared" si="61"/>
        <v>-4429.314109780883</v>
      </c>
      <c r="AR274" s="19">
        <f t="shared" si="61"/>
        <v>-4530.9868070845678</v>
      </c>
      <c r="AS274" s="19">
        <f t="shared" si="61"/>
        <v>-2317.5408615626452</v>
      </c>
    </row>
    <row r="275" spans="2:45" hidden="1" outlineLevel="1" x14ac:dyDescent="0.25">
      <c r="C275" s="1" t="s">
        <v>129</v>
      </c>
      <c r="D275" s="2" t="s">
        <v>79</v>
      </c>
      <c r="H275" s="14">
        <f t="shared" si="53"/>
        <v>281317.26146064978</v>
      </c>
      <c r="J275" s="14">
        <f t="shared" ref="J275:AS275" si="62">J265+J274</f>
        <v>0</v>
      </c>
      <c r="K275" s="14">
        <f t="shared" si="62"/>
        <v>0</v>
      </c>
      <c r="L275" s="14">
        <f t="shared" si="62"/>
        <v>0</v>
      </c>
      <c r="M275" s="14">
        <f t="shared" si="62"/>
        <v>0</v>
      </c>
      <c r="N275" s="14">
        <f t="shared" si="62"/>
        <v>0</v>
      </c>
      <c r="O275" s="14">
        <f t="shared" si="62"/>
        <v>4533.2181719999999</v>
      </c>
      <c r="P275" s="14">
        <f t="shared" si="62"/>
        <v>9125.245702440001</v>
      </c>
      <c r="Q275" s="14">
        <f t="shared" si="62"/>
        <v>9151.7033511107547</v>
      </c>
      <c r="R275" s="14">
        <f t="shared" si="62"/>
        <v>9177.4482068473662</v>
      </c>
      <c r="S275" s="14">
        <f t="shared" si="62"/>
        <v>9202.453560519416</v>
      </c>
      <c r="T275" s="14">
        <f t="shared" si="62"/>
        <v>9226.6919884183953</v>
      </c>
      <c r="U275" s="14">
        <f t="shared" si="62"/>
        <v>9250.1353343979499</v>
      </c>
      <c r="V275" s="14">
        <f t="shared" si="62"/>
        <v>9272.7546915749299</v>
      </c>
      <c r="W275" s="14">
        <f t="shared" si="62"/>
        <v>9294.520383580526</v>
      </c>
      <c r="X275" s="14">
        <f t="shared" si="62"/>
        <v>9315.4019453503151</v>
      </c>
      <c r="Y275" s="14">
        <f t="shared" si="62"/>
        <v>9335.368103442077</v>
      </c>
      <c r="Z275" s="14">
        <f t="shared" si="62"/>
        <v>9354.386755869682</v>
      </c>
      <c r="AA275" s="14">
        <f t="shared" si="62"/>
        <v>9372.4249514412422</v>
      </c>
      <c r="AB275" s="14">
        <f t="shared" si="62"/>
        <v>9389.4488685893157</v>
      </c>
      <c r="AC275" s="14">
        <f t="shared" si="62"/>
        <v>9405.4237936807895</v>
      </c>
      <c r="AD275" s="14">
        <f t="shared" si="62"/>
        <v>9420.3140987935913</v>
      </c>
      <c r="AE275" s="14">
        <f t="shared" si="62"/>
        <v>9434.0832189472239</v>
      </c>
      <c r="AF275" s="14">
        <f t="shared" si="62"/>
        <v>9446.6936287736462</v>
      </c>
      <c r="AG275" s="14">
        <f t="shared" si="62"/>
        <v>9458.1068186148987</v>
      </c>
      <c r="AH275" s="14">
        <f t="shared" si="62"/>
        <v>9468.2832700332729</v>
      </c>
      <c r="AI275" s="14">
        <f t="shared" si="62"/>
        <v>9477.1824307197239</v>
      </c>
      <c r="AJ275" s="14">
        <f t="shared" si="62"/>
        <v>9484.7626887856968</v>
      </c>
      <c r="AK275" s="14">
        <f t="shared" si="62"/>
        <v>9490.981346423283</v>
      </c>
      <c r="AL275" s="14">
        <f t="shared" si="62"/>
        <v>9495.7945929182024</v>
      </c>
      <c r="AM275" s="14">
        <f t="shared" si="62"/>
        <v>9499.1574769997278</v>
      </c>
      <c r="AN275" s="14">
        <f t="shared" si="62"/>
        <v>9501.0238785112888</v>
      </c>
      <c r="AO275" s="14">
        <f t="shared" si="62"/>
        <v>9501.3464793850908</v>
      </c>
      <c r="AP275" s="14">
        <f t="shared" si="62"/>
        <v>9500.0767339037029</v>
      </c>
      <c r="AQ275" s="14">
        <f t="shared" si="62"/>
        <v>9497.1648382310632</v>
      </c>
      <c r="AR275" s="14">
        <f t="shared" si="62"/>
        <v>9492.5596991950206</v>
      </c>
      <c r="AS275" s="14">
        <f t="shared" si="62"/>
        <v>4743.1044511515356</v>
      </c>
    </row>
    <row r="276" spans="2:45" hidden="1" outlineLevel="1" x14ac:dyDescent="0.25">
      <c r="C276" s="1" t="s">
        <v>205</v>
      </c>
      <c r="D276" s="2" t="s">
        <v>79</v>
      </c>
      <c r="H276" s="19">
        <f t="shared" si="53"/>
        <v>215089.9402222936</v>
      </c>
      <c r="J276" s="19">
        <f t="shared" ref="J276:AS276" si="63">J261+J275</f>
        <v>-496.71232876712327</v>
      </c>
      <c r="K276" s="19">
        <f t="shared" si="63"/>
        <v>-2954.8809589041093</v>
      </c>
      <c r="L276" s="19">
        <f t="shared" si="63"/>
        <v>-10089.693704109588</v>
      </c>
      <c r="M276" s="19">
        <f t="shared" si="63"/>
        <v>-13407.125</v>
      </c>
      <c r="N276" s="19">
        <f t="shared" si="63"/>
        <v>-26814.25</v>
      </c>
      <c r="O276" s="19">
        <f t="shared" si="63"/>
        <v>-9873.9068279999992</v>
      </c>
      <c r="P276" s="19">
        <f t="shared" si="63"/>
        <v>9125.245702440001</v>
      </c>
      <c r="Q276" s="19">
        <f t="shared" si="63"/>
        <v>11094.169104535413</v>
      </c>
      <c r="R276" s="19">
        <f t="shared" si="63"/>
        <v>9177.4482068473662</v>
      </c>
      <c r="S276" s="19">
        <f t="shared" si="63"/>
        <v>9202.453560519416</v>
      </c>
      <c r="T276" s="19">
        <f t="shared" si="63"/>
        <v>9226.6919884183953</v>
      </c>
      <c r="U276" s="19">
        <f t="shared" si="63"/>
        <v>9250.1353343979499</v>
      </c>
      <c r="V276" s="19">
        <f t="shared" si="63"/>
        <v>9272.7546915749299</v>
      </c>
      <c r="W276" s="19">
        <f t="shared" si="63"/>
        <v>9294.520383580526</v>
      </c>
      <c r="X276" s="19">
        <f t="shared" si="63"/>
        <v>9315.4019453503151</v>
      </c>
      <c r="Y276" s="19">
        <f t="shared" si="63"/>
        <v>9335.368103442077</v>
      </c>
      <c r="Z276" s="19">
        <f t="shared" si="63"/>
        <v>9354.386755869682</v>
      </c>
      <c r="AA276" s="19">
        <f t="shared" si="63"/>
        <v>9372.4249514412422</v>
      </c>
      <c r="AB276" s="19">
        <f t="shared" si="63"/>
        <v>9389.4488685893157</v>
      </c>
      <c r="AC276" s="19">
        <f t="shared" si="63"/>
        <v>9405.4237936807895</v>
      </c>
      <c r="AD276" s="19">
        <f t="shared" si="63"/>
        <v>9420.3140987935913</v>
      </c>
      <c r="AE276" s="19">
        <f t="shared" si="63"/>
        <v>9434.0832189472239</v>
      </c>
      <c r="AF276" s="19">
        <f t="shared" si="63"/>
        <v>9446.6936287736462</v>
      </c>
      <c r="AG276" s="19">
        <f t="shared" si="63"/>
        <v>9458.1068186148987</v>
      </c>
      <c r="AH276" s="19">
        <f t="shared" si="63"/>
        <v>9468.2832700332729</v>
      </c>
      <c r="AI276" s="19">
        <f t="shared" si="63"/>
        <v>9477.1824307197239</v>
      </c>
      <c r="AJ276" s="19">
        <f t="shared" si="63"/>
        <v>9484.7626887856968</v>
      </c>
      <c r="AK276" s="19">
        <f t="shared" si="63"/>
        <v>9490.981346423283</v>
      </c>
      <c r="AL276" s="19">
        <f t="shared" si="63"/>
        <v>9495.7945929182024</v>
      </c>
      <c r="AM276" s="19">
        <f t="shared" si="63"/>
        <v>9499.1574769997278</v>
      </c>
      <c r="AN276" s="19">
        <f t="shared" si="63"/>
        <v>9501.0238785112888</v>
      </c>
      <c r="AO276" s="19">
        <f t="shared" si="63"/>
        <v>9501.3464793850908</v>
      </c>
      <c r="AP276" s="19">
        <f t="shared" si="63"/>
        <v>9500.0767339037029</v>
      </c>
      <c r="AQ276" s="19">
        <f t="shared" si="63"/>
        <v>9497.1648382310632</v>
      </c>
      <c r="AR276" s="19">
        <f t="shared" si="63"/>
        <v>9492.5596991950206</v>
      </c>
      <c r="AS276" s="19">
        <f t="shared" si="63"/>
        <v>4743.1044511515356</v>
      </c>
    </row>
    <row r="277" spans="2:45" hidden="1" outlineLevel="1" x14ac:dyDescent="0.25">
      <c r="C277" s="6" t="s">
        <v>206</v>
      </c>
      <c r="D277" s="2" t="s">
        <v>2</v>
      </c>
      <c r="J277" s="30">
        <f>(1+Discount_Rate)^((Inputs!$E$33-J$248)/Days_In_Year)</f>
        <v>1.4137125510793771</v>
      </c>
      <c r="K277" s="30">
        <f>(1+Discount_Rate)^((Inputs!$E$33-K$248)/Days_In_Year)</f>
        <v>1.3089931028512751</v>
      </c>
      <c r="L277" s="30">
        <f>(1+Discount_Rate)^((Inputs!$E$33-L$248)/Days_In_Year)</f>
        <v>1.2117751184391485</v>
      </c>
      <c r="M277" s="30">
        <f>(1+Discount_Rate)^((Inputs!$E$33-M$248)/Days_In_Year)</f>
        <v>1.122013998554767</v>
      </c>
      <c r="N277" s="30">
        <f>(1+Discount_Rate)^((Inputs!$E$33-N$248)/Days_In_Year)</f>
        <v>1.0389018505136731</v>
      </c>
      <c r="O277" s="30">
        <f>(1+Discount_Rate)^((Inputs!$E$33-O$248)/Days_In_Year)</f>
        <v>0.96194615788303062</v>
      </c>
      <c r="P277" s="30">
        <f>(1+Discount_Rate)^((Inputs!$E$33-P$248)/Days_In_Year)</f>
        <v>0.8905031026227137</v>
      </c>
      <c r="Q277" s="30">
        <f>(1+Discount_Rate)^((Inputs!$E$33-Q$248)/Days_In_Year)</f>
        <v>0.8245399098358458</v>
      </c>
      <c r="R277" s="30">
        <f>(1+Discount_Rate)^((Inputs!$E$33-R$248)/Days_In_Year)</f>
        <v>0.76346287947763503</v>
      </c>
      <c r="S277" s="30">
        <f>(1+Discount_Rate)^((Inputs!$E$33-S$248)/Days_In_Year)</f>
        <v>0.7069100735904027</v>
      </c>
      <c r="T277" s="30">
        <f>(1+Discount_Rate)^((Inputs!$E$33-T$248)/Days_In_Year)</f>
        <v>0.6544083664649869</v>
      </c>
      <c r="U277" s="30">
        <f>(1+Discount_Rate)^((Inputs!$E$33-U$248)/Days_In_Year)</f>
        <v>0.60593367265276554</v>
      </c>
      <c r="V277" s="30">
        <f>(1+Discount_Rate)^((Inputs!$E$33-V$248)/Days_In_Year)</f>
        <v>0.56104969690070883</v>
      </c>
      <c r="W277" s="30">
        <f>(1+Discount_Rate)^((Inputs!$E$33-W$248)/Days_In_Year)</f>
        <v>0.51949046009324884</v>
      </c>
      <c r="X277" s="30">
        <f>(1+Discount_Rate)^((Inputs!$E$33-X$248)/Days_In_Year)</f>
        <v>0.48090827402856651</v>
      </c>
      <c r="Y277" s="30">
        <f>(1+Discount_Rate)^((Inputs!$E$33-Y$248)/Days_In_Year)</f>
        <v>0.44528543891533923</v>
      </c>
      <c r="Z277" s="30">
        <f>(1+Discount_Rate)^((Inputs!$E$33-Z$248)/Days_In_Year)</f>
        <v>0.41230133232901778</v>
      </c>
      <c r="AA277" s="30">
        <f>(1+Discount_Rate)^((Inputs!$E$33-AA$248)/Days_In_Year)</f>
        <v>0.38176049289723868</v>
      </c>
      <c r="AB277" s="30">
        <f>(1+Discount_Rate)^((Inputs!$E$33-AB$248)/Days_In_Year)</f>
        <v>0.35340741329215369</v>
      </c>
      <c r="AC277" s="30">
        <f>(1+Discount_Rate)^((Inputs!$E$33-AC$248)/Days_In_Year)</f>
        <v>0.32722908638162373</v>
      </c>
      <c r="AD277" s="30">
        <f>(1+Discount_Rate)^((Inputs!$E$33-AD$248)/Days_In_Year)</f>
        <v>0.30298989479779975</v>
      </c>
      <c r="AE277" s="30">
        <f>(1+Discount_Rate)^((Inputs!$E$33-AE$248)/Days_In_Year)</f>
        <v>0.28054619888685151</v>
      </c>
      <c r="AF277" s="30">
        <f>(1+Discount_Rate)^((Inputs!$E$33-AF$248)/Days_In_Year)</f>
        <v>0.25971023273022764</v>
      </c>
      <c r="AG277" s="30">
        <f>(1+Discount_Rate)^((Inputs!$E$33-AG$248)/Days_In_Year)</f>
        <v>0.24047243771317375</v>
      </c>
      <c r="AH277" s="30">
        <f>(1+Discount_Rate)^((Inputs!$E$33-AH$248)/Days_In_Year)</f>
        <v>0.22265966454923491</v>
      </c>
      <c r="AI277" s="30">
        <f>(1+Discount_Rate)^((Inputs!$E$33-AI$248)/Days_In_Year)</f>
        <v>0.20616635606410641</v>
      </c>
      <c r="AJ277" s="30">
        <f>(1+Discount_Rate)^((Inputs!$E$33-AJ$248)/Days_In_Year)</f>
        <v>0.19085452779970458</v>
      </c>
      <c r="AK277" s="30">
        <f>(1+Discount_Rate)^((Inputs!$E$33-AK$248)/Days_In_Year)</f>
        <v>0.17671715537009683</v>
      </c>
      <c r="AL277" s="30">
        <f>(1+Discount_Rate)^((Inputs!$E$33-AL$248)/Days_In_Year)</f>
        <v>0.16362699571305259</v>
      </c>
      <c r="AM277" s="30">
        <f>(1+Discount_Rate)^((Inputs!$E$33-AM$248)/Days_In_Year)</f>
        <v>0.15150647751208571</v>
      </c>
      <c r="AN277" s="30">
        <f>(1+Discount_Rate)^((Inputs!$E$33-AN$248)/Days_In_Year)</f>
        <v>0.14025419945422371</v>
      </c>
      <c r="AO277" s="30">
        <f>(1+Discount_Rate)^((Inputs!$E$33-AO$248)/Days_In_Year)</f>
        <v>0.12986499949465158</v>
      </c>
      <c r="AP277" s="30">
        <f>(1+Discount_Rate)^((Inputs!$E$33-AP$248)/Days_In_Year)</f>
        <v>0.12024536990245513</v>
      </c>
      <c r="AQ277" s="30">
        <f>(1+Discount_Rate)^((Inputs!$E$33-AQ$248)/Days_In_Year)</f>
        <v>0.1113383054652362</v>
      </c>
      <c r="AR277" s="30">
        <f>(1+Discount_Rate)^((Inputs!$E$33-AR$248)/Days_In_Year)</f>
        <v>0.1030692889046335</v>
      </c>
      <c r="AS277" s="30">
        <f>(1+Discount_Rate)^((Inputs!$E$33-AS$248)/Days_In_Year)</f>
        <v>9.5434526763549549E-2</v>
      </c>
    </row>
    <row r="278" spans="2:45" hidden="1" outlineLevel="1" x14ac:dyDescent="0.25">
      <c r="C278" s="6" t="s">
        <v>207</v>
      </c>
      <c r="D278" s="2" t="s">
        <v>79</v>
      </c>
      <c r="H278" s="8">
        <f>SUM(J278:AS278)</f>
        <v>104654.65424661252</v>
      </c>
      <c r="J278" s="8">
        <f t="shared" ref="J278:AS278" si="64">J275*J277</f>
        <v>0</v>
      </c>
      <c r="K278" s="8">
        <f t="shared" si="64"/>
        <v>0</v>
      </c>
      <c r="L278" s="8">
        <f t="shared" si="64"/>
        <v>0</v>
      </c>
      <c r="M278" s="8">
        <f t="shared" si="64"/>
        <v>0</v>
      </c>
      <c r="N278" s="8">
        <f t="shared" si="64"/>
        <v>0</v>
      </c>
      <c r="O278" s="8">
        <f t="shared" si="64"/>
        <v>4360.7118034009354</v>
      </c>
      <c r="P278" s="8">
        <f t="shared" si="64"/>
        <v>8126.059610217405</v>
      </c>
      <c r="Q278" s="8">
        <f t="shared" si="64"/>
        <v>7545.9446559692697</v>
      </c>
      <c r="R278" s="8">
        <f t="shared" si="64"/>
        <v>7006.6410342565487</v>
      </c>
      <c r="S278" s="8">
        <f t="shared" si="64"/>
        <v>6505.3071236790438</v>
      </c>
      <c r="T278" s="8">
        <f t="shared" si="64"/>
        <v>6038.0244320164638</v>
      </c>
      <c r="U278" s="8">
        <f t="shared" si="64"/>
        <v>5604.9684757068671</v>
      </c>
      <c r="V278" s="8">
        <f t="shared" si="64"/>
        <v>5202.4762091427401</v>
      </c>
      <c r="W278" s="8">
        <f t="shared" si="64"/>
        <v>4828.4146704123268</v>
      </c>
      <c r="X278" s="8">
        <f t="shared" si="64"/>
        <v>4479.8538714207707</v>
      </c>
      <c r="Y278" s="8">
        <f t="shared" si="64"/>
        <v>4156.9034833774631</v>
      </c>
      <c r="Z278" s="8">
        <f t="shared" si="64"/>
        <v>3856.826122565988</v>
      </c>
      <c r="AA278" s="8">
        <f t="shared" si="64"/>
        <v>3578.0215691045869</v>
      </c>
      <c r="AB278" s="8">
        <f t="shared" si="64"/>
        <v>3318.3008368870892</v>
      </c>
      <c r="AC278" s="8">
        <f t="shared" si="64"/>
        <v>3077.7282350381502</v>
      </c>
      <c r="AD278" s="8">
        <f t="shared" si="64"/>
        <v>2854.2599777557002</v>
      </c>
      <c r="AE278" s="8">
        <f t="shared" si="64"/>
        <v>2646.6961870578762</v>
      </c>
      <c r="AF278" s="8">
        <f t="shared" si="64"/>
        <v>2453.4030008599625</v>
      </c>
      <c r="AG278" s="8">
        <f t="shared" si="64"/>
        <v>2274.4140028239153</v>
      </c>
      <c r="AH278" s="8">
        <f t="shared" si="64"/>
        <v>2108.2047767627414</v>
      </c>
      <c r="AI278" s="8">
        <f t="shared" si="64"/>
        <v>1953.8761674962561</v>
      </c>
      <c r="AJ278" s="8">
        <f t="shared" si="64"/>
        <v>1810.2099042604505</v>
      </c>
      <c r="AK278" s="8">
        <f t="shared" si="64"/>
        <v>1677.219225210574</v>
      </c>
      <c r="AL278" s="8">
        <f t="shared" si="64"/>
        <v>1553.7683411474545</v>
      </c>
      <c r="AM278" s="8">
        <f t="shared" si="64"/>
        <v>1439.1838886728201</v>
      </c>
      <c r="AN278" s="8">
        <f t="shared" si="64"/>
        <v>1332.5584980760646</v>
      </c>
      <c r="AO278" s="8">
        <f t="shared" si="64"/>
        <v>1233.8923557438543</v>
      </c>
      <c r="AP278" s="8">
        <f t="shared" si="64"/>
        <v>1142.3402409699586</v>
      </c>
      <c r="AQ278" s="8">
        <f t="shared" si="64"/>
        <v>1057.3982398126707</v>
      </c>
      <c r="AR278" s="8">
        <f t="shared" si="64"/>
        <v>978.3913780808125</v>
      </c>
      <c r="AS278" s="8">
        <f t="shared" si="64"/>
        <v>452.65592868573219</v>
      </c>
    </row>
    <row r="279" spans="2:45" hidden="1" outlineLevel="1" x14ac:dyDescent="0.25">
      <c r="C279" s="1" t="s">
        <v>208</v>
      </c>
      <c r="D279" s="2" t="s">
        <v>79</v>
      </c>
      <c r="H279" s="19">
        <f>SUM(J279:AS279)</f>
        <v>38427.333008256355</v>
      </c>
      <c r="J279" s="19">
        <f t="shared" ref="J279:AS279" si="65">J261*(J251&lt;=0)+J256*($H278+$E$59+$E$60)</f>
        <v>-496.71232876712327</v>
      </c>
      <c r="K279" s="19">
        <f t="shared" si="65"/>
        <v>-2954.8809589041093</v>
      </c>
      <c r="L279" s="19">
        <f t="shared" si="65"/>
        <v>-10089.693704109588</v>
      </c>
      <c r="M279" s="19">
        <f t="shared" si="65"/>
        <v>-13407.125</v>
      </c>
      <c r="N279" s="19">
        <f t="shared" si="65"/>
        <v>-26814.25</v>
      </c>
      <c r="O279" s="19">
        <f t="shared" si="65"/>
        <v>92189.995000037175</v>
      </c>
      <c r="P279" s="19">
        <f t="shared" si="65"/>
        <v>0</v>
      </c>
      <c r="Q279" s="19">
        <f t="shared" si="65"/>
        <v>0</v>
      </c>
      <c r="R279" s="19">
        <f t="shared" si="65"/>
        <v>0</v>
      </c>
      <c r="S279" s="19">
        <f t="shared" si="65"/>
        <v>0</v>
      </c>
      <c r="T279" s="19">
        <f t="shared" si="65"/>
        <v>0</v>
      </c>
      <c r="U279" s="19">
        <f t="shared" si="65"/>
        <v>0</v>
      </c>
      <c r="V279" s="19">
        <f t="shared" si="65"/>
        <v>0</v>
      </c>
      <c r="W279" s="19">
        <f t="shared" si="65"/>
        <v>0</v>
      </c>
      <c r="X279" s="19">
        <f t="shared" si="65"/>
        <v>0</v>
      </c>
      <c r="Y279" s="19">
        <f t="shared" si="65"/>
        <v>0</v>
      </c>
      <c r="Z279" s="19">
        <f t="shared" si="65"/>
        <v>0</v>
      </c>
      <c r="AA279" s="19">
        <f t="shared" si="65"/>
        <v>0</v>
      </c>
      <c r="AB279" s="19">
        <f t="shared" si="65"/>
        <v>0</v>
      </c>
      <c r="AC279" s="19">
        <f t="shared" si="65"/>
        <v>0</v>
      </c>
      <c r="AD279" s="19">
        <f t="shared" si="65"/>
        <v>0</v>
      </c>
      <c r="AE279" s="19">
        <f t="shared" si="65"/>
        <v>0</v>
      </c>
      <c r="AF279" s="19">
        <f t="shared" si="65"/>
        <v>0</v>
      </c>
      <c r="AG279" s="19">
        <f t="shared" si="65"/>
        <v>0</v>
      </c>
      <c r="AH279" s="19">
        <f t="shared" si="65"/>
        <v>0</v>
      </c>
      <c r="AI279" s="19">
        <f t="shared" si="65"/>
        <v>0</v>
      </c>
      <c r="AJ279" s="19">
        <f t="shared" si="65"/>
        <v>0</v>
      </c>
      <c r="AK279" s="19">
        <f t="shared" si="65"/>
        <v>0</v>
      </c>
      <c r="AL279" s="19">
        <f t="shared" si="65"/>
        <v>0</v>
      </c>
      <c r="AM279" s="19">
        <f t="shared" si="65"/>
        <v>0</v>
      </c>
      <c r="AN279" s="19">
        <f t="shared" si="65"/>
        <v>0</v>
      </c>
      <c r="AO279" s="19">
        <f t="shared" si="65"/>
        <v>0</v>
      </c>
      <c r="AP279" s="19">
        <f t="shared" si="65"/>
        <v>0</v>
      </c>
      <c r="AQ279" s="19">
        <f t="shared" si="65"/>
        <v>0</v>
      </c>
      <c r="AR279" s="19">
        <f t="shared" si="65"/>
        <v>0</v>
      </c>
      <c r="AS279" s="19">
        <f t="shared" si="65"/>
        <v>0</v>
      </c>
    </row>
    <row r="280" spans="2:45" hidden="1" outlineLevel="1" x14ac:dyDescent="0.25"/>
    <row r="281" spans="2:45" hidden="1" outlineLevel="1" x14ac:dyDescent="0.25">
      <c r="B281" s="4" t="s">
        <v>2</v>
      </c>
      <c r="C281" s="4" t="s">
        <v>209</v>
      </c>
      <c r="D281" s="4"/>
      <c r="E281" s="5"/>
      <c r="F281" s="5" t="s">
        <v>178</v>
      </c>
      <c r="G281" s="5"/>
      <c r="H281" s="5" t="s">
        <v>7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</row>
    <row r="282" spans="2:45" hidden="1" outlineLevel="1" x14ac:dyDescent="0.25">
      <c r="C282" s="6" t="s">
        <v>179</v>
      </c>
      <c r="D282" s="2" t="s">
        <v>180</v>
      </c>
      <c r="J282" s="27">
        <f>J$247-YEAR(Inputs!$F$33)</f>
        <v>-5</v>
      </c>
      <c r="K282" s="27">
        <f>K$247-YEAR(Inputs!$F$33)</f>
        <v>-4</v>
      </c>
      <c r="L282" s="27">
        <f>L$247-YEAR(Inputs!$F$33)</f>
        <v>-3</v>
      </c>
      <c r="M282" s="27">
        <f>M$247-YEAR(Inputs!$F$33)</f>
        <v>-2</v>
      </c>
      <c r="N282" s="27">
        <f>N$247-YEAR(Inputs!$F$33)</f>
        <v>-1</v>
      </c>
      <c r="O282" s="27">
        <f>O$247-YEAR(Inputs!$F$33)</f>
        <v>0</v>
      </c>
      <c r="P282" s="27">
        <f>P$247-YEAR(Inputs!$F$33)</f>
        <v>1</v>
      </c>
      <c r="Q282" s="27">
        <f>Q$247-YEAR(Inputs!$F$33)</f>
        <v>2</v>
      </c>
      <c r="R282" s="27">
        <f>R$247-YEAR(Inputs!$F$33)</f>
        <v>3</v>
      </c>
      <c r="S282" s="27">
        <f>S$247-YEAR(Inputs!$F$33)</f>
        <v>4</v>
      </c>
      <c r="T282" s="27">
        <f>T$247-YEAR(Inputs!$F$33)</f>
        <v>5</v>
      </c>
      <c r="U282" s="27">
        <f>U$247-YEAR(Inputs!$F$33)</f>
        <v>6</v>
      </c>
      <c r="V282" s="27">
        <f>V$247-YEAR(Inputs!$F$33)</f>
        <v>7</v>
      </c>
      <c r="W282" s="27">
        <f>W$247-YEAR(Inputs!$F$33)</f>
        <v>8</v>
      </c>
      <c r="X282" s="27">
        <f>X$247-YEAR(Inputs!$F$33)</f>
        <v>9</v>
      </c>
      <c r="Y282" s="27">
        <f>Y$247-YEAR(Inputs!$F$33)</f>
        <v>10</v>
      </c>
      <c r="Z282" s="27">
        <f>Z$247-YEAR(Inputs!$F$33)</f>
        <v>11</v>
      </c>
      <c r="AA282" s="27">
        <f>AA$247-YEAR(Inputs!$F$33)</f>
        <v>12</v>
      </c>
      <c r="AB282" s="27">
        <f>AB$247-YEAR(Inputs!$F$33)</f>
        <v>13</v>
      </c>
      <c r="AC282" s="27">
        <f>AC$247-YEAR(Inputs!$F$33)</f>
        <v>14</v>
      </c>
      <c r="AD282" s="27">
        <f>AD$247-YEAR(Inputs!$F$33)</f>
        <v>15</v>
      </c>
      <c r="AE282" s="27">
        <f>AE$247-YEAR(Inputs!$F$33)</f>
        <v>16</v>
      </c>
      <c r="AF282" s="27">
        <f>AF$247-YEAR(Inputs!$F$33)</f>
        <v>17</v>
      </c>
      <c r="AG282" s="27">
        <f>AG$247-YEAR(Inputs!$F$33)</f>
        <v>18</v>
      </c>
      <c r="AH282" s="27">
        <f>AH$247-YEAR(Inputs!$F$33)</f>
        <v>19</v>
      </c>
      <c r="AI282" s="27">
        <f>AI$247-YEAR(Inputs!$F$33)</f>
        <v>20</v>
      </c>
      <c r="AJ282" s="27">
        <f>AJ$247-YEAR(Inputs!$F$33)</f>
        <v>21</v>
      </c>
      <c r="AK282" s="27">
        <f>AK$247-YEAR(Inputs!$F$33)</f>
        <v>22</v>
      </c>
      <c r="AL282" s="27">
        <f>AL$247-YEAR(Inputs!$F$33)</f>
        <v>23</v>
      </c>
      <c r="AM282" s="27">
        <f>AM$247-YEAR(Inputs!$F$33)</f>
        <v>24</v>
      </c>
      <c r="AN282" s="27">
        <f>AN$247-YEAR(Inputs!$F$33)</f>
        <v>25</v>
      </c>
      <c r="AO282" s="27">
        <f>AO$247-YEAR(Inputs!$F$33)</f>
        <v>26</v>
      </c>
      <c r="AP282" s="27">
        <f>AP$247-YEAR(Inputs!$F$33)</f>
        <v>27</v>
      </c>
      <c r="AQ282" s="27">
        <f>AQ$247-YEAR(Inputs!$F$33)</f>
        <v>28</v>
      </c>
      <c r="AR282" s="27">
        <f>AR$247-YEAR(Inputs!$F$33)</f>
        <v>29</v>
      </c>
      <c r="AS282" s="27">
        <f>AS$247-YEAR(Inputs!$F$33)</f>
        <v>30</v>
      </c>
    </row>
    <row r="283" spans="2:45" hidden="1" outlineLevel="1" x14ac:dyDescent="0.25">
      <c r="C283" s="6" t="s">
        <v>181</v>
      </c>
      <c r="D283" s="2" t="s">
        <v>182</v>
      </c>
      <c r="F283" s="27">
        <f>DATEDIF(Inputs!$F$32,Inputs!$F$33,"m")</f>
        <v>24</v>
      </c>
      <c r="J283" s="27">
        <f>(J$247+1-YEAR(Inputs!$F$32))*Months_In_Year-MONTH(Inputs!$F$32)</f>
        <v>-30</v>
      </c>
      <c r="K283" s="27">
        <f>(K$247+1-YEAR(Inputs!$F$32))*Months_In_Year-MONTH(Inputs!$F$32)</f>
        <v>-18</v>
      </c>
      <c r="L283" s="27">
        <f>(L$247+1-YEAR(Inputs!$F$32))*Months_In_Year-MONTH(Inputs!$F$32)</f>
        <v>-6</v>
      </c>
      <c r="M283" s="27">
        <f>(M$247+1-YEAR(Inputs!$F$32))*Months_In_Year-MONTH(Inputs!$F$32)</f>
        <v>6</v>
      </c>
      <c r="N283" s="27">
        <f>(N$247+1-YEAR(Inputs!$F$32))*Months_In_Year-MONTH(Inputs!$F$32)</f>
        <v>18</v>
      </c>
      <c r="O283" s="27">
        <f>(O$247+1-YEAR(Inputs!$F$32))*Months_In_Year-MONTH(Inputs!$F$32)</f>
        <v>30</v>
      </c>
      <c r="P283" s="27">
        <f>(P$247+1-YEAR(Inputs!$F$32))*Months_In_Year-MONTH(Inputs!$F$32)</f>
        <v>42</v>
      </c>
      <c r="Q283" s="27">
        <f>(Q$247+1-YEAR(Inputs!$F$32))*Months_In_Year-MONTH(Inputs!$F$32)</f>
        <v>54</v>
      </c>
      <c r="R283" s="27">
        <f>(R$247+1-YEAR(Inputs!$F$32))*Months_In_Year-MONTH(Inputs!$F$32)</f>
        <v>66</v>
      </c>
      <c r="S283" s="27">
        <f>(S$247+1-YEAR(Inputs!$F$32))*Months_In_Year-MONTH(Inputs!$F$32)</f>
        <v>78</v>
      </c>
      <c r="T283" s="27">
        <f>(T$247+1-YEAR(Inputs!$F$32))*Months_In_Year-MONTH(Inputs!$F$32)</f>
        <v>90</v>
      </c>
      <c r="U283" s="27">
        <f>(U$247+1-YEAR(Inputs!$F$32))*Months_In_Year-MONTH(Inputs!$F$32)</f>
        <v>102</v>
      </c>
      <c r="V283" s="27">
        <f>(V$247+1-YEAR(Inputs!$F$32))*Months_In_Year-MONTH(Inputs!$F$32)</f>
        <v>114</v>
      </c>
      <c r="W283" s="27">
        <f>(W$247+1-YEAR(Inputs!$F$32))*Months_In_Year-MONTH(Inputs!$F$32)</f>
        <v>126</v>
      </c>
      <c r="X283" s="27">
        <f>(X$247+1-YEAR(Inputs!$F$32))*Months_In_Year-MONTH(Inputs!$F$32)</f>
        <v>138</v>
      </c>
      <c r="Y283" s="27">
        <f>(Y$247+1-YEAR(Inputs!$F$32))*Months_In_Year-MONTH(Inputs!$F$32)</f>
        <v>150</v>
      </c>
      <c r="Z283" s="27">
        <f>(Z$247+1-YEAR(Inputs!$F$32))*Months_In_Year-MONTH(Inputs!$F$32)</f>
        <v>162</v>
      </c>
      <c r="AA283" s="27">
        <f>(AA$247+1-YEAR(Inputs!$F$32))*Months_In_Year-MONTH(Inputs!$F$32)</f>
        <v>174</v>
      </c>
      <c r="AB283" s="27">
        <f>(AB$247+1-YEAR(Inputs!$F$32))*Months_In_Year-MONTH(Inputs!$F$32)</f>
        <v>186</v>
      </c>
      <c r="AC283" s="27">
        <f>(AC$247+1-YEAR(Inputs!$F$32))*Months_In_Year-MONTH(Inputs!$F$32)</f>
        <v>198</v>
      </c>
      <c r="AD283" s="27">
        <f>(AD$247+1-YEAR(Inputs!$F$32))*Months_In_Year-MONTH(Inputs!$F$32)</f>
        <v>210</v>
      </c>
      <c r="AE283" s="27">
        <f>(AE$247+1-YEAR(Inputs!$F$32))*Months_In_Year-MONTH(Inputs!$F$32)</f>
        <v>222</v>
      </c>
      <c r="AF283" s="27">
        <f>(AF$247+1-YEAR(Inputs!$F$32))*Months_In_Year-MONTH(Inputs!$F$32)</f>
        <v>234</v>
      </c>
      <c r="AG283" s="27">
        <f>(AG$247+1-YEAR(Inputs!$F$32))*Months_In_Year-MONTH(Inputs!$F$32)</f>
        <v>246</v>
      </c>
      <c r="AH283" s="27">
        <f>(AH$247+1-YEAR(Inputs!$F$32))*Months_In_Year-MONTH(Inputs!$F$32)</f>
        <v>258</v>
      </c>
      <c r="AI283" s="27">
        <f>(AI$247+1-YEAR(Inputs!$F$32))*Months_In_Year-MONTH(Inputs!$F$32)</f>
        <v>270</v>
      </c>
      <c r="AJ283" s="27">
        <f>(AJ$247+1-YEAR(Inputs!$F$32))*Months_In_Year-MONTH(Inputs!$F$32)</f>
        <v>282</v>
      </c>
      <c r="AK283" s="27">
        <f>(AK$247+1-YEAR(Inputs!$F$32))*Months_In_Year-MONTH(Inputs!$F$32)</f>
        <v>294</v>
      </c>
      <c r="AL283" s="27">
        <f>(AL$247+1-YEAR(Inputs!$F$32))*Months_In_Year-MONTH(Inputs!$F$32)</f>
        <v>306</v>
      </c>
      <c r="AM283" s="27">
        <f>(AM$247+1-YEAR(Inputs!$F$32))*Months_In_Year-MONTH(Inputs!$F$32)</f>
        <v>318</v>
      </c>
      <c r="AN283" s="27">
        <f>(AN$247+1-YEAR(Inputs!$F$32))*Months_In_Year-MONTH(Inputs!$F$32)</f>
        <v>330</v>
      </c>
      <c r="AO283" s="27">
        <f>(AO$247+1-YEAR(Inputs!$F$32))*Months_In_Year-MONTH(Inputs!$F$32)</f>
        <v>342</v>
      </c>
      <c r="AP283" s="27">
        <f>(AP$247+1-YEAR(Inputs!$F$32))*Months_In_Year-MONTH(Inputs!$F$32)</f>
        <v>354</v>
      </c>
      <c r="AQ283" s="27">
        <f>(AQ$247+1-YEAR(Inputs!$F$32))*Months_In_Year-MONTH(Inputs!$F$32)</f>
        <v>366</v>
      </c>
      <c r="AR283" s="27">
        <f>(AR$247+1-YEAR(Inputs!$F$32))*Months_In_Year-MONTH(Inputs!$F$32)</f>
        <v>378</v>
      </c>
      <c r="AS283" s="27">
        <f>(AS$247+1-YEAR(Inputs!$F$32))*Months_In_Year-MONTH(Inputs!$F$32)</f>
        <v>390</v>
      </c>
    </row>
    <row r="284" spans="2:45" hidden="1" outlineLevel="1" x14ac:dyDescent="0.25">
      <c r="C284" s="6" t="s">
        <v>183</v>
      </c>
      <c r="D284" s="2" t="s">
        <v>11</v>
      </c>
      <c r="H284" s="28">
        <f>SUM(J284:AS284)</f>
        <v>1</v>
      </c>
      <c r="J284" s="23">
        <f t="shared" ref="J284:AS284" si="66">MAX(0,MIN(J283,$F283)-MAX(J283-Months_In_Year,0))/$F283</f>
        <v>0</v>
      </c>
      <c r="K284" s="23">
        <f t="shared" si="66"/>
        <v>0</v>
      </c>
      <c r="L284" s="23">
        <f t="shared" si="66"/>
        <v>0</v>
      </c>
      <c r="M284" s="23">
        <f t="shared" si="66"/>
        <v>0.25</v>
      </c>
      <c r="N284" s="23">
        <f t="shared" si="66"/>
        <v>0.5</v>
      </c>
      <c r="O284" s="23">
        <f t="shared" si="66"/>
        <v>0.25</v>
      </c>
      <c r="P284" s="23">
        <f t="shared" si="66"/>
        <v>0</v>
      </c>
      <c r="Q284" s="23">
        <f t="shared" si="66"/>
        <v>0</v>
      </c>
      <c r="R284" s="23">
        <f t="shared" si="66"/>
        <v>0</v>
      </c>
      <c r="S284" s="23">
        <f t="shared" si="66"/>
        <v>0</v>
      </c>
      <c r="T284" s="23">
        <f t="shared" si="66"/>
        <v>0</v>
      </c>
      <c r="U284" s="23">
        <f t="shared" si="66"/>
        <v>0</v>
      </c>
      <c r="V284" s="23">
        <f t="shared" si="66"/>
        <v>0</v>
      </c>
      <c r="W284" s="23">
        <f t="shared" si="66"/>
        <v>0</v>
      </c>
      <c r="X284" s="23">
        <f t="shared" si="66"/>
        <v>0</v>
      </c>
      <c r="Y284" s="23">
        <f t="shared" si="66"/>
        <v>0</v>
      </c>
      <c r="Z284" s="23">
        <f t="shared" si="66"/>
        <v>0</v>
      </c>
      <c r="AA284" s="23">
        <f t="shared" si="66"/>
        <v>0</v>
      </c>
      <c r="AB284" s="23">
        <f t="shared" si="66"/>
        <v>0</v>
      </c>
      <c r="AC284" s="23">
        <f t="shared" si="66"/>
        <v>0</v>
      </c>
      <c r="AD284" s="23">
        <f t="shared" si="66"/>
        <v>0</v>
      </c>
      <c r="AE284" s="23">
        <f t="shared" si="66"/>
        <v>0</v>
      </c>
      <c r="AF284" s="23">
        <f t="shared" si="66"/>
        <v>0</v>
      </c>
      <c r="AG284" s="23">
        <f t="shared" si="66"/>
        <v>0</v>
      </c>
      <c r="AH284" s="23">
        <f t="shared" si="66"/>
        <v>0</v>
      </c>
      <c r="AI284" s="23">
        <f t="shared" si="66"/>
        <v>0</v>
      </c>
      <c r="AJ284" s="23">
        <f t="shared" si="66"/>
        <v>0</v>
      </c>
      <c r="AK284" s="23">
        <f t="shared" si="66"/>
        <v>0</v>
      </c>
      <c r="AL284" s="23">
        <f t="shared" si="66"/>
        <v>0</v>
      </c>
      <c r="AM284" s="23">
        <f t="shared" si="66"/>
        <v>0</v>
      </c>
      <c r="AN284" s="23">
        <f t="shared" si="66"/>
        <v>0</v>
      </c>
      <c r="AO284" s="23">
        <f t="shared" si="66"/>
        <v>0</v>
      </c>
      <c r="AP284" s="23">
        <f t="shared" si="66"/>
        <v>0</v>
      </c>
      <c r="AQ284" s="23">
        <f t="shared" si="66"/>
        <v>0</v>
      </c>
      <c r="AR284" s="23">
        <f t="shared" si="66"/>
        <v>0</v>
      </c>
      <c r="AS284" s="23">
        <f t="shared" si="66"/>
        <v>0</v>
      </c>
    </row>
    <row r="285" spans="2:45" hidden="1" outlineLevel="1" x14ac:dyDescent="0.25">
      <c r="C285" s="6" t="s">
        <v>184</v>
      </c>
      <c r="D285" s="2" t="s">
        <v>182</v>
      </c>
      <c r="F285" s="27">
        <f>Life*Months_In_Year</f>
        <v>360</v>
      </c>
      <c r="J285" s="27">
        <f>(J$247+1-YEAR(Inputs!$F$33))*Months_In_Year-MONTH(Inputs!$F$33)</f>
        <v>-54</v>
      </c>
      <c r="K285" s="27">
        <f>(K$247+1-YEAR(Inputs!$F$33))*Months_In_Year-MONTH(Inputs!$F$33)</f>
        <v>-42</v>
      </c>
      <c r="L285" s="27">
        <f>(L$247+1-YEAR(Inputs!$F$33))*Months_In_Year-MONTH(Inputs!$F$33)</f>
        <v>-30</v>
      </c>
      <c r="M285" s="27">
        <f>(M$247+1-YEAR(Inputs!$F$33))*Months_In_Year-MONTH(Inputs!$F$33)</f>
        <v>-18</v>
      </c>
      <c r="N285" s="27">
        <f>(N$247+1-YEAR(Inputs!$F$33))*Months_In_Year-MONTH(Inputs!$F$33)</f>
        <v>-6</v>
      </c>
      <c r="O285" s="27">
        <f>(O$247+1-YEAR(Inputs!$F$33))*Months_In_Year-MONTH(Inputs!$F$33)</f>
        <v>6</v>
      </c>
      <c r="P285" s="27">
        <f>(P$247+1-YEAR(Inputs!$F$33))*Months_In_Year-MONTH(Inputs!$F$33)</f>
        <v>18</v>
      </c>
      <c r="Q285" s="27">
        <f>(Q$247+1-YEAR(Inputs!$F$33))*Months_In_Year-MONTH(Inputs!$F$33)</f>
        <v>30</v>
      </c>
      <c r="R285" s="27">
        <f>(R$247+1-YEAR(Inputs!$F$33))*Months_In_Year-MONTH(Inputs!$F$33)</f>
        <v>42</v>
      </c>
      <c r="S285" s="27">
        <f>(S$247+1-YEAR(Inputs!$F$33))*Months_In_Year-MONTH(Inputs!$F$33)</f>
        <v>54</v>
      </c>
      <c r="T285" s="27">
        <f>(T$247+1-YEAR(Inputs!$F$33))*Months_In_Year-MONTH(Inputs!$F$33)</f>
        <v>66</v>
      </c>
      <c r="U285" s="27">
        <f>(U$247+1-YEAR(Inputs!$F$33))*Months_In_Year-MONTH(Inputs!$F$33)</f>
        <v>78</v>
      </c>
      <c r="V285" s="27">
        <f>(V$247+1-YEAR(Inputs!$F$33))*Months_In_Year-MONTH(Inputs!$F$33)</f>
        <v>90</v>
      </c>
      <c r="W285" s="27">
        <f>(W$247+1-YEAR(Inputs!$F$33))*Months_In_Year-MONTH(Inputs!$F$33)</f>
        <v>102</v>
      </c>
      <c r="X285" s="27">
        <f>(X$247+1-YEAR(Inputs!$F$33))*Months_In_Year-MONTH(Inputs!$F$33)</f>
        <v>114</v>
      </c>
      <c r="Y285" s="27">
        <f>(Y$247+1-YEAR(Inputs!$F$33))*Months_In_Year-MONTH(Inputs!$F$33)</f>
        <v>126</v>
      </c>
      <c r="Z285" s="27">
        <f>(Z$247+1-YEAR(Inputs!$F$33))*Months_In_Year-MONTH(Inputs!$F$33)</f>
        <v>138</v>
      </c>
      <c r="AA285" s="27">
        <f>(AA$247+1-YEAR(Inputs!$F$33))*Months_In_Year-MONTH(Inputs!$F$33)</f>
        <v>150</v>
      </c>
      <c r="AB285" s="27">
        <f>(AB$247+1-YEAR(Inputs!$F$33))*Months_In_Year-MONTH(Inputs!$F$33)</f>
        <v>162</v>
      </c>
      <c r="AC285" s="27">
        <f>(AC$247+1-YEAR(Inputs!$F$33))*Months_In_Year-MONTH(Inputs!$F$33)</f>
        <v>174</v>
      </c>
      <c r="AD285" s="27">
        <f>(AD$247+1-YEAR(Inputs!$F$33))*Months_In_Year-MONTH(Inputs!$F$33)</f>
        <v>186</v>
      </c>
      <c r="AE285" s="27">
        <f>(AE$247+1-YEAR(Inputs!$F$33))*Months_In_Year-MONTH(Inputs!$F$33)</f>
        <v>198</v>
      </c>
      <c r="AF285" s="27">
        <f>(AF$247+1-YEAR(Inputs!$F$33))*Months_In_Year-MONTH(Inputs!$F$33)</f>
        <v>210</v>
      </c>
      <c r="AG285" s="27">
        <f>(AG$247+1-YEAR(Inputs!$F$33))*Months_In_Year-MONTH(Inputs!$F$33)</f>
        <v>222</v>
      </c>
      <c r="AH285" s="27">
        <f>(AH$247+1-YEAR(Inputs!$F$33))*Months_In_Year-MONTH(Inputs!$F$33)</f>
        <v>234</v>
      </c>
      <c r="AI285" s="27">
        <f>(AI$247+1-YEAR(Inputs!$F$33))*Months_In_Year-MONTH(Inputs!$F$33)</f>
        <v>246</v>
      </c>
      <c r="AJ285" s="27">
        <f>(AJ$247+1-YEAR(Inputs!$F$33))*Months_In_Year-MONTH(Inputs!$F$33)</f>
        <v>258</v>
      </c>
      <c r="AK285" s="27">
        <f>(AK$247+1-YEAR(Inputs!$F$33))*Months_In_Year-MONTH(Inputs!$F$33)</f>
        <v>270</v>
      </c>
      <c r="AL285" s="27">
        <f>(AL$247+1-YEAR(Inputs!$F$33))*Months_In_Year-MONTH(Inputs!$F$33)</f>
        <v>282</v>
      </c>
      <c r="AM285" s="27">
        <f>(AM$247+1-YEAR(Inputs!$F$33))*Months_In_Year-MONTH(Inputs!$F$33)</f>
        <v>294</v>
      </c>
      <c r="AN285" s="27">
        <f>(AN$247+1-YEAR(Inputs!$F$33))*Months_In_Year-MONTH(Inputs!$F$33)</f>
        <v>306</v>
      </c>
      <c r="AO285" s="27">
        <f>(AO$247+1-YEAR(Inputs!$F$33))*Months_In_Year-MONTH(Inputs!$F$33)</f>
        <v>318</v>
      </c>
      <c r="AP285" s="27">
        <f>(AP$247+1-YEAR(Inputs!$F$33))*Months_In_Year-MONTH(Inputs!$F$33)</f>
        <v>330</v>
      </c>
      <c r="AQ285" s="27">
        <f>(AQ$247+1-YEAR(Inputs!$F$33))*Months_In_Year-MONTH(Inputs!$F$33)</f>
        <v>342</v>
      </c>
      <c r="AR285" s="27">
        <f>(AR$247+1-YEAR(Inputs!$F$33))*Months_In_Year-MONTH(Inputs!$F$33)</f>
        <v>354</v>
      </c>
      <c r="AS285" s="27">
        <f>(AS$247+1-YEAR(Inputs!$F$33))*Months_In_Year-MONTH(Inputs!$F$33)</f>
        <v>366</v>
      </c>
    </row>
    <row r="286" spans="2:45" hidden="1" outlineLevel="1" x14ac:dyDescent="0.25">
      <c r="C286" s="6" t="s">
        <v>185</v>
      </c>
      <c r="D286" s="2" t="s">
        <v>11</v>
      </c>
      <c r="H286" s="28">
        <f>SUM(J286:AS286)</f>
        <v>30</v>
      </c>
      <c r="J286" s="23">
        <f t="shared" ref="J286:AS286" si="67">MAX(0,MIN(J285,$F285)-MAX(J285-Months_In_Year,0))/Months_In_Year</f>
        <v>0</v>
      </c>
      <c r="K286" s="23">
        <f t="shared" si="67"/>
        <v>0</v>
      </c>
      <c r="L286" s="23">
        <f t="shared" si="67"/>
        <v>0</v>
      </c>
      <c r="M286" s="23">
        <f t="shared" si="67"/>
        <v>0</v>
      </c>
      <c r="N286" s="23">
        <f t="shared" si="67"/>
        <v>0</v>
      </c>
      <c r="O286" s="23">
        <f t="shared" si="67"/>
        <v>0.5</v>
      </c>
      <c r="P286" s="23">
        <f t="shared" si="67"/>
        <v>1</v>
      </c>
      <c r="Q286" s="23">
        <f t="shared" si="67"/>
        <v>1</v>
      </c>
      <c r="R286" s="23">
        <f t="shared" si="67"/>
        <v>1</v>
      </c>
      <c r="S286" s="23">
        <f t="shared" si="67"/>
        <v>1</v>
      </c>
      <c r="T286" s="23">
        <f t="shared" si="67"/>
        <v>1</v>
      </c>
      <c r="U286" s="23">
        <f t="shared" si="67"/>
        <v>1</v>
      </c>
      <c r="V286" s="23">
        <f t="shared" si="67"/>
        <v>1</v>
      </c>
      <c r="W286" s="23">
        <f t="shared" si="67"/>
        <v>1</v>
      </c>
      <c r="X286" s="23">
        <f t="shared" si="67"/>
        <v>1</v>
      </c>
      <c r="Y286" s="23">
        <f t="shared" si="67"/>
        <v>1</v>
      </c>
      <c r="Z286" s="23">
        <f t="shared" si="67"/>
        <v>1</v>
      </c>
      <c r="AA286" s="23">
        <f t="shared" si="67"/>
        <v>1</v>
      </c>
      <c r="AB286" s="23">
        <f t="shared" si="67"/>
        <v>1</v>
      </c>
      <c r="AC286" s="23">
        <f t="shared" si="67"/>
        <v>1</v>
      </c>
      <c r="AD286" s="23">
        <f t="shared" si="67"/>
        <v>1</v>
      </c>
      <c r="AE286" s="23">
        <f t="shared" si="67"/>
        <v>1</v>
      </c>
      <c r="AF286" s="23">
        <f t="shared" si="67"/>
        <v>1</v>
      </c>
      <c r="AG286" s="23">
        <f t="shared" si="67"/>
        <v>1</v>
      </c>
      <c r="AH286" s="23">
        <f t="shared" si="67"/>
        <v>1</v>
      </c>
      <c r="AI286" s="23">
        <f t="shared" si="67"/>
        <v>1</v>
      </c>
      <c r="AJ286" s="23">
        <f t="shared" si="67"/>
        <v>1</v>
      </c>
      <c r="AK286" s="23">
        <f t="shared" si="67"/>
        <v>1</v>
      </c>
      <c r="AL286" s="23">
        <f t="shared" si="67"/>
        <v>1</v>
      </c>
      <c r="AM286" s="23">
        <f t="shared" si="67"/>
        <v>1</v>
      </c>
      <c r="AN286" s="23">
        <f t="shared" si="67"/>
        <v>1</v>
      </c>
      <c r="AO286" s="23">
        <f t="shared" si="67"/>
        <v>1</v>
      </c>
      <c r="AP286" s="23">
        <f t="shared" si="67"/>
        <v>1</v>
      </c>
      <c r="AQ286" s="23">
        <f t="shared" si="67"/>
        <v>1</v>
      </c>
      <c r="AR286" s="23">
        <f t="shared" si="67"/>
        <v>1</v>
      </c>
      <c r="AS286" s="23">
        <f t="shared" si="67"/>
        <v>0.5</v>
      </c>
    </row>
    <row r="287" spans="2:45" hidden="1" outlineLevel="1" x14ac:dyDescent="0.25">
      <c r="C287" s="6" t="s">
        <v>186</v>
      </c>
      <c r="D287" s="2" t="s">
        <v>1</v>
      </c>
      <c r="J287" s="29">
        <f t="shared" ref="J287:AS287" si="68">N(J282=0)</f>
        <v>0</v>
      </c>
      <c r="K287" s="29">
        <f t="shared" si="68"/>
        <v>0</v>
      </c>
      <c r="L287" s="29">
        <f t="shared" si="68"/>
        <v>0</v>
      </c>
      <c r="M287" s="29">
        <f t="shared" si="68"/>
        <v>0</v>
      </c>
      <c r="N287" s="29">
        <f t="shared" si="68"/>
        <v>0</v>
      </c>
      <c r="O287" s="29">
        <f t="shared" si="68"/>
        <v>1</v>
      </c>
      <c r="P287" s="29">
        <f t="shared" si="68"/>
        <v>0</v>
      </c>
      <c r="Q287" s="29">
        <f t="shared" si="68"/>
        <v>0</v>
      </c>
      <c r="R287" s="29">
        <f t="shared" si="68"/>
        <v>0</v>
      </c>
      <c r="S287" s="29">
        <f t="shared" si="68"/>
        <v>0</v>
      </c>
      <c r="T287" s="29">
        <f t="shared" si="68"/>
        <v>0</v>
      </c>
      <c r="U287" s="29">
        <f t="shared" si="68"/>
        <v>0</v>
      </c>
      <c r="V287" s="29">
        <f t="shared" si="68"/>
        <v>0</v>
      </c>
      <c r="W287" s="29">
        <f t="shared" si="68"/>
        <v>0</v>
      </c>
      <c r="X287" s="29">
        <f t="shared" si="68"/>
        <v>0</v>
      </c>
      <c r="Y287" s="29">
        <f t="shared" si="68"/>
        <v>0</v>
      </c>
      <c r="Z287" s="29">
        <f t="shared" si="68"/>
        <v>0</v>
      </c>
      <c r="AA287" s="29">
        <f t="shared" si="68"/>
        <v>0</v>
      </c>
      <c r="AB287" s="29">
        <f t="shared" si="68"/>
        <v>0</v>
      </c>
      <c r="AC287" s="29">
        <f t="shared" si="68"/>
        <v>0</v>
      </c>
      <c r="AD287" s="29">
        <f t="shared" si="68"/>
        <v>0</v>
      </c>
      <c r="AE287" s="29">
        <f t="shared" si="68"/>
        <v>0</v>
      </c>
      <c r="AF287" s="29">
        <f t="shared" si="68"/>
        <v>0</v>
      </c>
      <c r="AG287" s="29">
        <f t="shared" si="68"/>
        <v>0</v>
      </c>
      <c r="AH287" s="29">
        <f t="shared" si="68"/>
        <v>0</v>
      </c>
      <c r="AI287" s="29">
        <f t="shared" si="68"/>
        <v>0</v>
      </c>
      <c r="AJ287" s="29">
        <f t="shared" si="68"/>
        <v>0</v>
      </c>
      <c r="AK287" s="29">
        <f t="shared" si="68"/>
        <v>0</v>
      </c>
      <c r="AL287" s="29">
        <f t="shared" si="68"/>
        <v>0</v>
      </c>
      <c r="AM287" s="29">
        <f t="shared" si="68"/>
        <v>0</v>
      </c>
      <c r="AN287" s="29">
        <f t="shared" si="68"/>
        <v>0</v>
      </c>
      <c r="AO287" s="29">
        <f t="shared" si="68"/>
        <v>0</v>
      </c>
      <c r="AP287" s="29">
        <f t="shared" si="68"/>
        <v>0</v>
      </c>
      <c r="AQ287" s="29">
        <f t="shared" si="68"/>
        <v>0</v>
      </c>
      <c r="AR287" s="29">
        <f t="shared" si="68"/>
        <v>0</v>
      </c>
      <c r="AS287" s="29">
        <f t="shared" si="68"/>
        <v>0</v>
      </c>
    </row>
    <row r="288" spans="2:45" hidden="1" outlineLevel="1" x14ac:dyDescent="0.25">
      <c r="C288" s="6" t="s">
        <v>187</v>
      </c>
      <c r="D288" s="2" t="s">
        <v>79</v>
      </c>
      <c r="H288" s="8">
        <f>SUM(J288:AS288)</f>
        <v>-7628.9972602739726</v>
      </c>
      <c r="J288" s="8">
        <f t="shared" ref="J288:AS288" si="69">SUMPRODUCT((YEAR($K$202:$K$209)=J$247)*$F$202:$F$209)</f>
        <v>-657.1232876712329</v>
      </c>
      <c r="K288" s="8">
        <f t="shared" si="69"/>
        <v>-3612.0547945205481</v>
      </c>
      <c r="L288" s="8">
        <f t="shared" si="69"/>
        <v>-3359.8191780821917</v>
      </c>
      <c r="M288" s="8">
        <f t="shared" si="69"/>
        <v>0</v>
      </c>
      <c r="N288" s="8">
        <f t="shared" si="69"/>
        <v>0</v>
      </c>
      <c r="O288" s="8">
        <f t="shared" si="69"/>
        <v>0</v>
      </c>
      <c r="P288" s="8">
        <f t="shared" si="69"/>
        <v>0</v>
      </c>
      <c r="Q288" s="8">
        <f t="shared" si="69"/>
        <v>0</v>
      </c>
      <c r="R288" s="8">
        <f t="shared" si="69"/>
        <v>0</v>
      </c>
      <c r="S288" s="8">
        <f t="shared" si="69"/>
        <v>0</v>
      </c>
      <c r="T288" s="8">
        <f t="shared" si="69"/>
        <v>0</v>
      </c>
      <c r="U288" s="8">
        <f t="shared" si="69"/>
        <v>0</v>
      </c>
      <c r="V288" s="8">
        <f t="shared" si="69"/>
        <v>0</v>
      </c>
      <c r="W288" s="8">
        <f t="shared" si="69"/>
        <v>0</v>
      </c>
      <c r="X288" s="8">
        <f t="shared" si="69"/>
        <v>0</v>
      </c>
      <c r="Y288" s="8">
        <f t="shared" si="69"/>
        <v>0</v>
      </c>
      <c r="Z288" s="8">
        <f t="shared" si="69"/>
        <v>0</v>
      </c>
      <c r="AA288" s="8">
        <f t="shared" si="69"/>
        <v>0</v>
      </c>
      <c r="AB288" s="8">
        <f t="shared" si="69"/>
        <v>0</v>
      </c>
      <c r="AC288" s="8">
        <f t="shared" si="69"/>
        <v>0</v>
      </c>
      <c r="AD288" s="8">
        <f t="shared" si="69"/>
        <v>0</v>
      </c>
      <c r="AE288" s="8">
        <f t="shared" si="69"/>
        <v>0</v>
      </c>
      <c r="AF288" s="8">
        <f t="shared" si="69"/>
        <v>0</v>
      </c>
      <c r="AG288" s="8">
        <f t="shared" si="69"/>
        <v>0</v>
      </c>
      <c r="AH288" s="8">
        <f t="shared" si="69"/>
        <v>0</v>
      </c>
      <c r="AI288" s="8">
        <f t="shared" si="69"/>
        <v>0</v>
      </c>
      <c r="AJ288" s="8">
        <f t="shared" si="69"/>
        <v>0</v>
      </c>
      <c r="AK288" s="8">
        <f t="shared" si="69"/>
        <v>0</v>
      </c>
      <c r="AL288" s="8">
        <f t="shared" si="69"/>
        <v>0</v>
      </c>
      <c r="AM288" s="8">
        <f t="shared" si="69"/>
        <v>0</v>
      </c>
      <c r="AN288" s="8">
        <f t="shared" si="69"/>
        <v>0</v>
      </c>
      <c r="AO288" s="8">
        <f t="shared" si="69"/>
        <v>0</v>
      </c>
      <c r="AP288" s="8">
        <f t="shared" si="69"/>
        <v>0</v>
      </c>
      <c r="AQ288" s="8">
        <f t="shared" si="69"/>
        <v>0</v>
      </c>
      <c r="AR288" s="8">
        <f t="shared" si="69"/>
        <v>0</v>
      </c>
      <c r="AS288" s="8">
        <f t="shared" si="69"/>
        <v>0</v>
      </c>
    </row>
    <row r="289" spans="3:45" hidden="1" outlineLevel="1" x14ac:dyDescent="0.25">
      <c r="C289" s="6" t="s">
        <v>188</v>
      </c>
      <c r="D289" s="2" t="s">
        <v>79</v>
      </c>
      <c r="H289" s="8">
        <f>SUM(J289:AS289)</f>
        <v>2494.5205479452052</v>
      </c>
      <c r="J289" s="8">
        <f>($F$59+$F$60)*(J$247=YEAR(Inputs!$F$34))</f>
        <v>0</v>
      </c>
      <c r="K289" s="8">
        <f>($F$59+$F$60)*(K$247=YEAR(Inputs!$F$34))</f>
        <v>0</v>
      </c>
      <c r="L289" s="8">
        <f>($F$59+$F$60)*(L$247=YEAR(Inputs!$F$34))</f>
        <v>0</v>
      </c>
      <c r="M289" s="8">
        <f>($F$59+$F$60)*(M$247=YEAR(Inputs!$F$34))</f>
        <v>0</v>
      </c>
      <c r="N289" s="8">
        <f>($F$59+$F$60)*(N$247=YEAR(Inputs!$F$34))</f>
        <v>0</v>
      </c>
      <c r="O289" s="8">
        <f>($F$59+$F$60)*(O$247=YEAR(Inputs!$F$34))</f>
        <v>0</v>
      </c>
      <c r="P289" s="8">
        <f>($F$59+$F$60)*(P$247=YEAR(Inputs!$F$34))</f>
        <v>0</v>
      </c>
      <c r="Q289" s="8">
        <f>($F$59+$F$60)*(Q$247=YEAR(Inputs!$F$34))</f>
        <v>2494.5205479452052</v>
      </c>
      <c r="R289" s="8">
        <f>($F$59+$F$60)*(R$247=YEAR(Inputs!$F$34))</f>
        <v>0</v>
      </c>
      <c r="S289" s="8">
        <f>($F$59+$F$60)*(S$247=YEAR(Inputs!$F$34))</f>
        <v>0</v>
      </c>
      <c r="T289" s="8">
        <f>($F$59+$F$60)*(T$247=YEAR(Inputs!$F$34))</f>
        <v>0</v>
      </c>
      <c r="U289" s="8">
        <f>($F$59+$F$60)*(U$247=YEAR(Inputs!$F$34))</f>
        <v>0</v>
      </c>
      <c r="V289" s="8">
        <f>($F$59+$F$60)*(V$247=YEAR(Inputs!$F$34))</f>
        <v>0</v>
      </c>
      <c r="W289" s="8">
        <f>($F$59+$F$60)*(W$247=YEAR(Inputs!$F$34))</f>
        <v>0</v>
      </c>
      <c r="X289" s="8">
        <f>($F$59+$F$60)*(X$247=YEAR(Inputs!$F$34))</f>
        <v>0</v>
      </c>
      <c r="Y289" s="8">
        <f>($F$59+$F$60)*(Y$247=YEAR(Inputs!$F$34))</f>
        <v>0</v>
      </c>
      <c r="Z289" s="8">
        <f>($F$59+$F$60)*(Z$247=YEAR(Inputs!$F$34))</f>
        <v>0</v>
      </c>
      <c r="AA289" s="8">
        <f>($F$59+$F$60)*(AA$247=YEAR(Inputs!$F$34))</f>
        <v>0</v>
      </c>
      <c r="AB289" s="8">
        <f>($F$59+$F$60)*(AB$247=YEAR(Inputs!$F$34))</f>
        <v>0</v>
      </c>
      <c r="AC289" s="8">
        <f>($F$59+$F$60)*(AC$247=YEAR(Inputs!$F$34))</f>
        <v>0</v>
      </c>
      <c r="AD289" s="8">
        <f>($F$59+$F$60)*(AD$247=YEAR(Inputs!$F$34))</f>
        <v>0</v>
      </c>
      <c r="AE289" s="8">
        <f>($F$59+$F$60)*(AE$247=YEAR(Inputs!$F$34))</f>
        <v>0</v>
      </c>
      <c r="AF289" s="8">
        <f>($F$59+$F$60)*(AF$247=YEAR(Inputs!$F$34))</f>
        <v>0</v>
      </c>
      <c r="AG289" s="8">
        <f>($F$59+$F$60)*(AG$247=YEAR(Inputs!$F$34))</f>
        <v>0</v>
      </c>
      <c r="AH289" s="8">
        <f>($F$59+$F$60)*(AH$247=YEAR(Inputs!$F$34))</f>
        <v>0</v>
      </c>
      <c r="AI289" s="8">
        <f>($F$59+$F$60)*(AI$247=YEAR(Inputs!$F$34))</f>
        <v>0</v>
      </c>
      <c r="AJ289" s="8">
        <f>($F$59+$F$60)*(AJ$247=YEAR(Inputs!$F$34))</f>
        <v>0</v>
      </c>
      <c r="AK289" s="8">
        <f>($F$59+$F$60)*(AK$247=YEAR(Inputs!$F$34))</f>
        <v>0</v>
      </c>
      <c r="AL289" s="8">
        <f>($F$59+$F$60)*(AL$247=YEAR(Inputs!$F$34))</f>
        <v>0</v>
      </c>
      <c r="AM289" s="8">
        <f>($F$59+$F$60)*(AM$247=YEAR(Inputs!$F$34))</f>
        <v>0</v>
      </c>
      <c r="AN289" s="8">
        <f>($F$59+$F$60)*(AN$247=YEAR(Inputs!$F$34))</f>
        <v>0</v>
      </c>
      <c r="AO289" s="8">
        <f>($F$59+$F$60)*(AO$247=YEAR(Inputs!$F$34))</f>
        <v>0</v>
      </c>
      <c r="AP289" s="8">
        <f>($F$59+$F$60)*(AP$247=YEAR(Inputs!$F$34))</f>
        <v>0</v>
      </c>
      <c r="AQ289" s="8">
        <f>($F$59+$F$60)*(AQ$247=YEAR(Inputs!$F$34))</f>
        <v>0</v>
      </c>
      <c r="AR289" s="8">
        <f>($F$59+$F$60)*(AR$247=YEAR(Inputs!$F$34))</f>
        <v>0</v>
      </c>
      <c r="AS289" s="8">
        <f>($F$59+$F$60)*(AS$247=YEAR(Inputs!$F$34))</f>
        <v>0</v>
      </c>
    </row>
    <row r="290" spans="3:45" hidden="1" outlineLevel="1" x14ac:dyDescent="0.25">
      <c r="C290" s="6" t="s">
        <v>189</v>
      </c>
      <c r="D290" s="2" t="s">
        <v>79</v>
      </c>
      <c r="H290" s="8">
        <f>SUM(J290:AS290)</f>
        <v>-63708.25</v>
      </c>
      <c r="J290" s="8">
        <f t="shared" ref="J290:AS290" si="70">-$F$87*J284</f>
        <v>0</v>
      </c>
      <c r="K290" s="8">
        <f t="shared" si="70"/>
        <v>0</v>
      </c>
      <c r="L290" s="8">
        <f t="shared" si="70"/>
        <v>0</v>
      </c>
      <c r="M290" s="8">
        <f t="shared" si="70"/>
        <v>-15927.0625</v>
      </c>
      <c r="N290" s="8">
        <f t="shared" si="70"/>
        <v>-31854.125</v>
      </c>
      <c r="O290" s="8">
        <f t="shared" si="70"/>
        <v>-15927.0625</v>
      </c>
      <c r="P290" s="8">
        <f t="shared" si="70"/>
        <v>0</v>
      </c>
      <c r="Q290" s="8">
        <f t="shared" si="70"/>
        <v>0</v>
      </c>
      <c r="R290" s="8">
        <f t="shared" si="70"/>
        <v>0</v>
      </c>
      <c r="S290" s="8">
        <f t="shared" si="70"/>
        <v>0</v>
      </c>
      <c r="T290" s="8">
        <f t="shared" si="70"/>
        <v>0</v>
      </c>
      <c r="U290" s="8">
        <f t="shared" si="70"/>
        <v>0</v>
      </c>
      <c r="V290" s="8">
        <f t="shared" si="70"/>
        <v>0</v>
      </c>
      <c r="W290" s="8">
        <f t="shared" si="70"/>
        <v>0</v>
      </c>
      <c r="X290" s="8">
        <f t="shared" si="70"/>
        <v>0</v>
      </c>
      <c r="Y290" s="8">
        <f t="shared" si="70"/>
        <v>0</v>
      </c>
      <c r="Z290" s="8">
        <f t="shared" si="70"/>
        <v>0</v>
      </c>
      <c r="AA290" s="8">
        <f t="shared" si="70"/>
        <v>0</v>
      </c>
      <c r="AB290" s="8">
        <f t="shared" si="70"/>
        <v>0</v>
      </c>
      <c r="AC290" s="8">
        <f t="shared" si="70"/>
        <v>0</v>
      </c>
      <c r="AD290" s="8">
        <f t="shared" si="70"/>
        <v>0</v>
      </c>
      <c r="AE290" s="8">
        <f t="shared" si="70"/>
        <v>0</v>
      </c>
      <c r="AF290" s="8">
        <f t="shared" si="70"/>
        <v>0</v>
      </c>
      <c r="AG290" s="8">
        <f t="shared" si="70"/>
        <v>0</v>
      </c>
      <c r="AH290" s="8">
        <f t="shared" si="70"/>
        <v>0</v>
      </c>
      <c r="AI290" s="8">
        <f t="shared" si="70"/>
        <v>0</v>
      </c>
      <c r="AJ290" s="8">
        <f t="shared" si="70"/>
        <v>0</v>
      </c>
      <c r="AK290" s="8">
        <f t="shared" si="70"/>
        <v>0</v>
      </c>
      <c r="AL290" s="8">
        <f t="shared" si="70"/>
        <v>0</v>
      </c>
      <c r="AM290" s="8">
        <f t="shared" si="70"/>
        <v>0</v>
      </c>
      <c r="AN290" s="8">
        <f t="shared" si="70"/>
        <v>0</v>
      </c>
      <c r="AO290" s="8">
        <f t="shared" si="70"/>
        <v>0</v>
      </c>
      <c r="AP290" s="8">
        <f t="shared" si="70"/>
        <v>0</v>
      </c>
      <c r="AQ290" s="8">
        <f t="shared" si="70"/>
        <v>0</v>
      </c>
      <c r="AR290" s="8">
        <f t="shared" si="70"/>
        <v>0</v>
      </c>
      <c r="AS290" s="8">
        <f t="shared" si="70"/>
        <v>0</v>
      </c>
    </row>
    <row r="291" spans="3:45" hidden="1" outlineLevel="1" x14ac:dyDescent="0.25">
      <c r="C291" s="6" t="s">
        <v>190</v>
      </c>
      <c r="D291" s="2" t="s">
        <v>79</v>
      </c>
      <c r="H291" s="8">
        <f>SUM(J291:AS291)</f>
        <v>-2500</v>
      </c>
      <c r="J291" s="8">
        <f t="shared" ref="J291:AS291" si="71">-$F$89*J287</f>
        <v>0</v>
      </c>
      <c r="K291" s="8">
        <f t="shared" si="71"/>
        <v>0</v>
      </c>
      <c r="L291" s="8">
        <f t="shared" si="71"/>
        <v>0</v>
      </c>
      <c r="M291" s="8">
        <f t="shared" si="71"/>
        <v>0</v>
      </c>
      <c r="N291" s="8">
        <f t="shared" si="71"/>
        <v>0</v>
      </c>
      <c r="O291" s="8">
        <f t="shared" si="71"/>
        <v>-2500</v>
      </c>
      <c r="P291" s="8">
        <f t="shared" si="71"/>
        <v>0</v>
      </c>
      <c r="Q291" s="8">
        <f t="shared" si="71"/>
        <v>0</v>
      </c>
      <c r="R291" s="8">
        <f t="shared" si="71"/>
        <v>0</v>
      </c>
      <c r="S291" s="8">
        <f t="shared" si="71"/>
        <v>0</v>
      </c>
      <c r="T291" s="8">
        <f t="shared" si="71"/>
        <v>0</v>
      </c>
      <c r="U291" s="8">
        <f t="shared" si="71"/>
        <v>0</v>
      </c>
      <c r="V291" s="8">
        <f t="shared" si="71"/>
        <v>0</v>
      </c>
      <c r="W291" s="8">
        <f t="shared" si="71"/>
        <v>0</v>
      </c>
      <c r="X291" s="8">
        <f t="shared" si="71"/>
        <v>0</v>
      </c>
      <c r="Y291" s="8">
        <f t="shared" si="71"/>
        <v>0</v>
      </c>
      <c r="Z291" s="8">
        <f t="shared" si="71"/>
        <v>0</v>
      </c>
      <c r="AA291" s="8">
        <f t="shared" si="71"/>
        <v>0</v>
      </c>
      <c r="AB291" s="8">
        <f t="shared" si="71"/>
        <v>0</v>
      </c>
      <c r="AC291" s="8">
        <f t="shared" si="71"/>
        <v>0</v>
      </c>
      <c r="AD291" s="8">
        <f t="shared" si="71"/>
        <v>0</v>
      </c>
      <c r="AE291" s="8">
        <f t="shared" si="71"/>
        <v>0</v>
      </c>
      <c r="AF291" s="8">
        <f t="shared" si="71"/>
        <v>0</v>
      </c>
      <c r="AG291" s="8">
        <f t="shared" si="71"/>
        <v>0</v>
      </c>
      <c r="AH291" s="8">
        <f t="shared" si="71"/>
        <v>0</v>
      </c>
      <c r="AI291" s="8">
        <f t="shared" si="71"/>
        <v>0</v>
      </c>
      <c r="AJ291" s="8">
        <f t="shared" si="71"/>
        <v>0</v>
      </c>
      <c r="AK291" s="8">
        <f t="shared" si="71"/>
        <v>0</v>
      </c>
      <c r="AL291" s="8">
        <f t="shared" si="71"/>
        <v>0</v>
      </c>
      <c r="AM291" s="8">
        <f t="shared" si="71"/>
        <v>0</v>
      </c>
      <c r="AN291" s="8">
        <f t="shared" si="71"/>
        <v>0</v>
      </c>
      <c r="AO291" s="8">
        <f t="shared" si="71"/>
        <v>0</v>
      </c>
      <c r="AP291" s="8">
        <f t="shared" si="71"/>
        <v>0</v>
      </c>
      <c r="AQ291" s="8">
        <f t="shared" si="71"/>
        <v>0</v>
      </c>
      <c r="AR291" s="8">
        <f t="shared" si="71"/>
        <v>0</v>
      </c>
      <c r="AS291" s="8">
        <f t="shared" si="71"/>
        <v>0</v>
      </c>
    </row>
    <row r="292" spans="3:45" hidden="1" outlineLevel="1" x14ac:dyDescent="0.25">
      <c r="C292" s="1" t="s">
        <v>191</v>
      </c>
      <c r="D292" s="2" t="s">
        <v>79</v>
      </c>
      <c r="H292" s="14">
        <f>SUM(J292:AS292)</f>
        <v>-71342.72671232876</v>
      </c>
      <c r="J292" s="14">
        <f t="shared" ref="J292:AS292" si="72">SUM(J288:J291)</f>
        <v>-657.1232876712329</v>
      </c>
      <c r="K292" s="14">
        <f t="shared" si="72"/>
        <v>-3612.0547945205481</v>
      </c>
      <c r="L292" s="14">
        <f t="shared" si="72"/>
        <v>-3359.8191780821917</v>
      </c>
      <c r="M292" s="14">
        <f t="shared" si="72"/>
        <v>-15927.0625</v>
      </c>
      <c r="N292" s="14">
        <f t="shared" si="72"/>
        <v>-31854.125</v>
      </c>
      <c r="O292" s="14">
        <f t="shared" si="72"/>
        <v>-18427.0625</v>
      </c>
      <c r="P292" s="14">
        <f t="shared" si="72"/>
        <v>0</v>
      </c>
      <c r="Q292" s="14">
        <f t="shared" si="72"/>
        <v>2494.5205479452052</v>
      </c>
      <c r="R292" s="14">
        <f t="shared" si="72"/>
        <v>0</v>
      </c>
      <c r="S292" s="14">
        <f t="shared" si="72"/>
        <v>0</v>
      </c>
      <c r="T292" s="14">
        <f t="shared" si="72"/>
        <v>0</v>
      </c>
      <c r="U292" s="14">
        <f t="shared" si="72"/>
        <v>0</v>
      </c>
      <c r="V292" s="14">
        <f t="shared" si="72"/>
        <v>0</v>
      </c>
      <c r="W292" s="14">
        <f t="shared" si="72"/>
        <v>0</v>
      </c>
      <c r="X292" s="14">
        <f t="shared" si="72"/>
        <v>0</v>
      </c>
      <c r="Y292" s="14">
        <f t="shared" si="72"/>
        <v>0</v>
      </c>
      <c r="Z292" s="14">
        <f t="shared" si="72"/>
        <v>0</v>
      </c>
      <c r="AA292" s="14">
        <f t="shared" si="72"/>
        <v>0</v>
      </c>
      <c r="AB292" s="14">
        <f t="shared" si="72"/>
        <v>0</v>
      </c>
      <c r="AC292" s="14">
        <f t="shared" si="72"/>
        <v>0</v>
      </c>
      <c r="AD292" s="14">
        <f t="shared" si="72"/>
        <v>0</v>
      </c>
      <c r="AE292" s="14">
        <f t="shared" si="72"/>
        <v>0</v>
      </c>
      <c r="AF292" s="14">
        <f t="shared" si="72"/>
        <v>0</v>
      </c>
      <c r="AG292" s="14">
        <f t="shared" si="72"/>
        <v>0</v>
      </c>
      <c r="AH292" s="14">
        <f t="shared" si="72"/>
        <v>0</v>
      </c>
      <c r="AI292" s="14">
        <f t="shared" si="72"/>
        <v>0</v>
      </c>
      <c r="AJ292" s="14">
        <f t="shared" si="72"/>
        <v>0</v>
      </c>
      <c r="AK292" s="14">
        <f t="shared" si="72"/>
        <v>0</v>
      </c>
      <c r="AL292" s="14">
        <f t="shared" si="72"/>
        <v>0</v>
      </c>
      <c r="AM292" s="14">
        <f t="shared" si="72"/>
        <v>0</v>
      </c>
      <c r="AN292" s="14">
        <f t="shared" si="72"/>
        <v>0</v>
      </c>
      <c r="AO292" s="14">
        <f t="shared" si="72"/>
        <v>0</v>
      </c>
      <c r="AP292" s="14">
        <f t="shared" si="72"/>
        <v>0</v>
      </c>
      <c r="AQ292" s="14">
        <f t="shared" si="72"/>
        <v>0</v>
      </c>
      <c r="AR292" s="14">
        <f t="shared" si="72"/>
        <v>0</v>
      </c>
      <c r="AS292" s="14">
        <f t="shared" si="72"/>
        <v>0</v>
      </c>
    </row>
    <row r="293" spans="3:45" hidden="1" outlineLevel="1" x14ac:dyDescent="0.25">
      <c r="C293" s="6" t="s">
        <v>192</v>
      </c>
      <c r="D293" s="2" t="s">
        <v>2</v>
      </c>
      <c r="J293" s="30">
        <f t="shared" ref="J293:AS293" si="73">(1-Degradation)^MAX(J282-1,0)</f>
        <v>1</v>
      </c>
      <c r="K293" s="30">
        <f t="shared" si="73"/>
        <v>1</v>
      </c>
      <c r="L293" s="30">
        <f t="shared" si="73"/>
        <v>1</v>
      </c>
      <c r="M293" s="30">
        <f t="shared" si="73"/>
        <v>1</v>
      </c>
      <c r="N293" s="30">
        <f t="shared" si="73"/>
        <v>1</v>
      </c>
      <c r="O293" s="30">
        <f t="shared" si="73"/>
        <v>1</v>
      </c>
      <c r="P293" s="30">
        <f t="shared" si="73"/>
        <v>1</v>
      </c>
      <c r="Q293" s="30">
        <f t="shared" si="73"/>
        <v>0.997</v>
      </c>
      <c r="R293" s="30">
        <f t="shared" si="73"/>
        <v>0.99400900000000003</v>
      </c>
      <c r="S293" s="30">
        <f t="shared" si="73"/>
        <v>0.99102697299999998</v>
      </c>
      <c r="T293" s="30">
        <f t="shared" si="73"/>
        <v>0.98805389208100003</v>
      </c>
      <c r="U293" s="30">
        <f t="shared" si="73"/>
        <v>0.985089730404757</v>
      </c>
      <c r="V293" s="30">
        <f t="shared" si="73"/>
        <v>0.98213446121354275</v>
      </c>
      <c r="W293" s="30">
        <f t="shared" si="73"/>
        <v>0.97918805782990215</v>
      </c>
      <c r="X293" s="30">
        <f t="shared" si="73"/>
        <v>0.97625049365641248</v>
      </c>
      <c r="Y293" s="30">
        <f t="shared" si="73"/>
        <v>0.97332174217544321</v>
      </c>
      <c r="Z293" s="30">
        <f t="shared" si="73"/>
        <v>0.97040177694891694</v>
      </c>
      <c r="AA293" s="30">
        <f t="shared" si="73"/>
        <v>0.96749057161807017</v>
      </c>
      <c r="AB293" s="30">
        <f t="shared" si="73"/>
        <v>0.96458809990321592</v>
      </c>
      <c r="AC293" s="30">
        <f t="shared" si="73"/>
        <v>0.96169433560350626</v>
      </c>
      <c r="AD293" s="30">
        <f t="shared" si="73"/>
        <v>0.9588092525966958</v>
      </c>
      <c r="AE293" s="30">
        <f t="shared" si="73"/>
        <v>0.95593282483890574</v>
      </c>
      <c r="AF293" s="30">
        <f t="shared" si="73"/>
        <v>0.95306502636438906</v>
      </c>
      <c r="AG293" s="30">
        <f t="shared" si="73"/>
        <v>0.9502058312852959</v>
      </c>
      <c r="AH293" s="30">
        <f t="shared" si="73"/>
        <v>0.94735521379144005</v>
      </c>
      <c r="AI293" s="30">
        <f t="shared" si="73"/>
        <v>0.94451314815006571</v>
      </c>
      <c r="AJ293" s="30">
        <f t="shared" si="73"/>
        <v>0.94167960870561551</v>
      </c>
      <c r="AK293" s="30">
        <f t="shared" si="73"/>
        <v>0.93885456987949867</v>
      </c>
      <c r="AL293" s="30">
        <f t="shared" si="73"/>
        <v>0.93603800616986021</v>
      </c>
      <c r="AM293" s="30">
        <f t="shared" si="73"/>
        <v>0.93322989215135066</v>
      </c>
      <c r="AN293" s="30">
        <f t="shared" si="73"/>
        <v>0.93043020247489661</v>
      </c>
      <c r="AO293" s="30">
        <f t="shared" si="73"/>
        <v>0.92763891186747183</v>
      </c>
      <c r="AP293" s="30">
        <f t="shared" si="73"/>
        <v>0.92485599513186956</v>
      </c>
      <c r="AQ293" s="30">
        <f t="shared" si="73"/>
        <v>0.9220814271464739</v>
      </c>
      <c r="AR293" s="30">
        <f t="shared" si="73"/>
        <v>0.91931518286503444</v>
      </c>
      <c r="AS293" s="30">
        <f t="shared" si="73"/>
        <v>0.91655723731643934</v>
      </c>
    </row>
    <row r="294" spans="3:45" hidden="1" outlineLevel="1" x14ac:dyDescent="0.25">
      <c r="C294" s="6" t="s">
        <v>193</v>
      </c>
      <c r="D294" s="2" t="s">
        <v>194</v>
      </c>
      <c r="H294" s="16">
        <f>SUM(J294:AS294)</f>
        <v>4263.3988270647396</v>
      </c>
      <c r="J294" s="16">
        <f t="shared" ref="J294:AS294" si="74">$F$44*Case_P50*(1-Curtailment)*(1-Clipping)*J286*J293/Thousand</f>
        <v>0</v>
      </c>
      <c r="K294" s="16">
        <f t="shared" si="74"/>
        <v>0</v>
      </c>
      <c r="L294" s="16">
        <f t="shared" si="74"/>
        <v>0</v>
      </c>
      <c r="M294" s="16">
        <f t="shared" si="74"/>
        <v>0</v>
      </c>
      <c r="N294" s="16">
        <f t="shared" si="74"/>
        <v>0</v>
      </c>
      <c r="O294" s="16">
        <f t="shared" si="74"/>
        <v>74.087999999999994</v>
      </c>
      <c r="P294" s="16">
        <f t="shared" si="74"/>
        <v>148.17599999999999</v>
      </c>
      <c r="Q294" s="16">
        <f t="shared" si="74"/>
        <v>147.731472</v>
      </c>
      <c r="R294" s="16">
        <f t="shared" si="74"/>
        <v>147.28827758399999</v>
      </c>
      <c r="S294" s="16">
        <f t="shared" si="74"/>
        <v>146.84641275124798</v>
      </c>
      <c r="T294" s="16">
        <f t="shared" si="74"/>
        <v>146.40587351299428</v>
      </c>
      <c r="U294" s="16">
        <f t="shared" si="74"/>
        <v>145.96665589245529</v>
      </c>
      <c r="V294" s="16">
        <f t="shared" si="74"/>
        <v>145.52875592477793</v>
      </c>
      <c r="W294" s="16">
        <f t="shared" si="74"/>
        <v>145.09216965700358</v>
      </c>
      <c r="X294" s="16">
        <f t="shared" si="74"/>
        <v>144.65689314803257</v>
      </c>
      <c r="Y294" s="16">
        <f t="shared" si="74"/>
        <v>144.22292246858848</v>
      </c>
      <c r="Z294" s="16">
        <f t="shared" si="74"/>
        <v>143.79025370118273</v>
      </c>
      <c r="AA294" s="16">
        <f t="shared" si="74"/>
        <v>143.35888294007918</v>
      </c>
      <c r="AB294" s="16">
        <f t="shared" si="74"/>
        <v>142.92880629125892</v>
      </c>
      <c r="AC294" s="16">
        <f t="shared" si="74"/>
        <v>142.50001987238514</v>
      </c>
      <c r="AD294" s="16">
        <f t="shared" si="74"/>
        <v>142.07251981276801</v>
      </c>
      <c r="AE294" s="16">
        <f t="shared" si="74"/>
        <v>141.64630225332968</v>
      </c>
      <c r="AF294" s="16">
        <f t="shared" si="74"/>
        <v>141.22136334656972</v>
      </c>
      <c r="AG294" s="16">
        <f t="shared" si="74"/>
        <v>140.79769925653</v>
      </c>
      <c r="AH294" s="16">
        <f t="shared" si="74"/>
        <v>140.37530615876042</v>
      </c>
      <c r="AI294" s="16">
        <f t="shared" si="74"/>
        <v>139.95418024028413</v>
      </c>
      <c r="AJ294" s="16">
        <f t="shared" si="74"/>
        <v>139.53431769956327</v>
      </c>
      <c r="AK294" s="16">
        <f t="shared" si="74"/>
        <v>139.11571474646459</v>
      </c>
      <c r="AL294" s="16">
        <f t="shared" si="74"/>
        <v>138.69836760222523</v>
      </c>
      <c r="AM294" s="16">
        <f t="shared" si="74"/>
        <v>138.28227249941853</v>
      </c>
      <c r="AN294" s="16">
        <f t="shared" si="74"/>
        <v>137.86742568192028</v>
      </c>
      <c r="AO294" s="16">
        <f t="shared" si="74"/>
        <v>137.4538234048745</v>
      </c>
      <c r="AP294" s="16">
        <f t="shared" si="74"/>
        <v>137.04146193465988</v>
      </c>
      <c r="AQ294" s="16">
        <f t="shared" si="74"/>
        <v>136.63033754885592</v>
      </c>
      <c r="AR294" s="16">
        <f t="shared" si="74"/>
        <v>136.22044653620935</v>
      </c>
      <c r="AS294" s="16">
        <f t="shared" si="74"/>
        <v>67.905892598300355</v>
      </c>
    </row>
    <row r="295" spans="3:45" hidden="1" outlineLevel="1" x14ac:dyDescent="0.25">
      <c r="C295" s="6" t="s">
        <v>195</v>
      </c>
      <c r="D295" s="2" t="s">
        <v>19</v>
      </c>
      <c r="J295" s="16">
        <f t="shared" ref="J295:AS295" si="75">Case_PPA*(1+PPA_Esc)^J282*(J286&gt;0)</f>
        <v>0</v>
      </c>
      <c r="K295" s="16">
        <f t="shared" si="75"/>
        <v>0</v>
      </c>
      <c r="L295" s="16">
        <f t="shared" si="75"/>
        <v>0</v>
      </c>
      <c r="M295" s="16">
        <f t="shared" si="75"/>
        <v>0</v>
      </c>
      <c r="N295" s="16">
        <f t="shared" si="75"/>
        <v>0</v>
      </c>
      <c r="O295" s="16">
        <f t="shared" si="75"/>
        <v>90</v>
      </c>
      <c r="P295" s="16">
        <f t="shared" si="75"/>
        <v>90.9</v>
      </c>
      <c r="Q295" s="16">
        <f t="shared" si="75"/>
        <v>91.808999999999997</v>
      </c>
      <c r="R295" s="16">
        <f t="shared" si="75"/>
        <v>92.72708999999999</v>
      </c>
      <c r="S295" s="16">
        <f t="shared" si="75"/>
        <v>93.6543609</v>
      </c>
      <c r="T295" s="16">
        <f t="shared" si="75"/>
        <v>94.590904508999998</v>
      </c>
      <c r="U295" s="16">
        <f t="shared" si="75"/>
        <v>95.536813554090017</v>
      </c>
      <c r="V295" s="16">
        <f t="shared" si="75"/>
        <v>96.492181689630883</v>
      </c>
      <c r="W295" s="16">
        <f t="shared" si="75"/>
        <v>97.457103506527218</v>
      </c>
      <c r="X295" s="16">
        <f t="shared" si="75"/>
        <v>98.4316745415925</v>
      </c>
      <c r="Y295" s="16">
        <f t="shared" si="75"/>
        <v>99.415991287008424</v>
      </c>
      <c r="Z295" s="16">
        <f t="shared" si="75"/>
        <v>100.41015119987848</v>
      </c>
      <c r="AA295" s="16">
        <f t="shared" si="75"/>
        <v>101.41425271187728</v>
      </c>
      <c r="AB295" s="16">
        <f t="shared" si="75"/>
        <v>102.42839523899606</v>
      </c>
      <c r="AC295" s="16">
        <f t="shared" si="75"/>
        <v>103.45267919138603</v>
      </c>
      <c r="AD295" s="16">
        <f t="shared" si="75"/>
        <v>104.48720598329986</v>
      </c>
      <c r="AE295" s="16">
        <f t="shared" si="75"/>
        <v>105.53207804313288</v>
      </c>
      <c r="AF295" s="16">
        <f t="shared" si="75"/>
        <v>106.58739882356423</v>
      </c>
      <c r="AG295" s="16">
        <f t="shared" si="75"/>
        <v>107.65327281179987</v>
      </c>
      <c r="AH295" s="16">
        <f t="shared" si="75"/>
        <v>108.72980553991785</v>
      </c>
      <c r="AI295" s="16">
        <f t="shared" si="75"/>
        <v>109.81710359531704</v>
      </c>
      <c r="AJ295" s="16">
        <f t="shared" si="75"/>
        <v>110.91527463127019</v>
      </c>
      <c r="AK295" s="16">
        <f t="shared" si="75"/>
        <v>112.02442737758292</v>
      </c>
      <c r="AL295" s="16">
        <f t="shared" si="75"/>
        <v>113.14467165135873</v>
      </c>
      <c r="AM295" s="16">
        <f t="shared" si="75"/>
        <v>114.27611836787234</v>
      </c>
      <c r="AN295" s="16">
        <f t="shared" si="75"/>
        <v>115.41887955155109</v>
      </c>
      <c r="AO295" s="16">
        <f t="shared" si="75"/>
        <v>116.5730683470666</v>
      </c>
      <c r="AP295" s="16">
        <f t="shared" si="75"/>
        <v>117.73879903053722</v>
      </c>
      <c r="AQ295" s="16">
        <f t="shared" si="75"/>
        <v>118.9161870208426</v>
      </c>
      <c r="AR295" s="16">
        <f t="shared" si="75"/>
        <v>120.10534889105104</v>
      </c>
      <c r="AS295" s="16">
        <f t="shared" si="75"/>
        <v>121.30640237996157</v>
      </c>
    </row>
    <row r="296" spans="3:45" hidden="1" outlineLevel="1" x14ac:dyDescent="0.25">
      <c r="C296" s="1" t="s">
        <v>127</v>
      </c>
      <c r="D296" s="2" t="s">
        <v>79</v>
      </c>
      <c r="H296" s="19">
        <f>SUM(J296:AS296)</f>
        <v>446130.68572945433</v>
      </c>
      <c r="J296" s="19">
        <f t="shared" ref="J296:AS296" si="76">J294*J295</f>
        <v>0</v>
      </c>
      <c r="K296" s="19">
        <f t="shared" si="76"/>
        <v>0</v>
      </c>
      <c r="L296" s="19">
        <f t="shared" si="76"/>
        <v>0</v>
      </c>
      <c r="M296" s="19">
        <f t="shared" si="76"/>
        <v>0</v>
      </c>
      <c r="N296" s="19">
        <f t="shared" si="76"/>
        <v>0</v>
      </c>
      <c r="O296" s="19">
        <f t="shared" si="76"/>
        <v>6667.9199999999992</v>
      </c>
      <c r="P296" s="19">
        <f t="shared" si="76"/>
        <v>13469.198399999999</v>
      </c>
      <c r="Q296" s="19">
        <f t="shared" si="76"/>
        <v>13563.078712847999</v>
      </c>
      <c r="R296" s="19">
        <f t="shared" si="76"/>
        <v>13657.613371476547</v>
      </c>
      <c r="S296" s="19">
        <f t="shared" si="76"/>
        <v>13752.806936675741</v>
      </c>
      <c r="T296" s="19">
        <f t="shared" si="76"/>
        <v>13848.664001024374</v>
      </c>
      <c r="U296" s="19">
        <f t="shared" si="76"/>
        <v>13945.189189111516</v>
      </c>
      <c r="V296" s="19">
        <f t="shared" si="76"/>
        <v>14042.387157759618</v>
      </c>
      <c r="W296" s="19">
        <f t="shared" si="76"/>
        <v>14140.262596249206</v>
      </c>
      <c r="X296" s="19">
        <f t="shared" si="76"/>
        <v>14238.820226545064</v>
      </c>
      <c r="Y296" s="19">
        <f t="shared" si="76"/>
        <v>14338.064803524083</v>
      </c>
      <c r="Z296" s="19">
        <f t="shared" si="76"/>
        <v>14438.001115204645</v>
      </c>
      <c r="AA296" s="19">
        <f t="shared" si="76"/>
        <v>14538.633982977623</v>
      </c>
      <c r="AB296" s="19">
        <f t="shared" si="76"/>
        <v>14639.968261838976</v>
      </c>
      <c r="AC296" s="19">
        <f t="shared" si="76"/>
        <v>14742.008840623994</v>
      </c>
      <c r="AD296" s="19">
        <f t="shared" si="76"/>
        <v>14844.760642243142</v>
      </c>
      <c r="AE296" s="19">
        <f t="shared" si="76"/>
        <v>14948.228623919576</v>
      </c>
      <c r="AF296" s="19">
        <f t="shared" si="76"/>
        <v>15052.417777428302</v>
      </c>
      <c r="AG296" s="19">
        <f t="shared" si="76"/>
        <v>15157.333129336976</v>
      </c>
      <c r="AH296" s="19">
        <f t="shared" si="76"/>
        <v>15262.979741248453</v>
      </c>
      <c r="AI296" s="19">
        <f t="shared" si="76"/>
        <v>15369.362710044956</v>
      </c>
      <c r="AJ296" s="19">
        <f t="shared" si="76"/>
        <v>15476.487168133966</v>
      </c>
      <c r="AK296" s="19">
        <f t="shared" si="76"/>
        <v>15584.358283695865</v>
      </c>
      <c r="AL296" s="19">
        <f t="shared" si="76"/>
        <v>15692.981260933226</v>
      </c>
      <c r="AM296" s="19">
        <f t="shared" si="76"/>
        <v>15802.36134032193</v>
      </c>
      <c r="AN296" s="19">
        <f t="shared" si="76"/>
        <v>15912.503798863978</v>
      </c>
      <c r="AO296" s="19">
        <f t="shared" si="76"/>
        <v>16023.413950342057</v>
      </c>
      <c r="AP296" s="19">
        <f t="shared" si="76"/>
        <v>16135.097145575935</v>
      </c>
      <c r="AQ296" s="19">
        <f t="shared" si="76"/>
        <v>16247.558772680604</v>
      </c>
      <c r="AR296" s="19">
        <f t="shared" si="76"/>
        <v>16360.804257326188</v>
      </c>
      <c r="AS296" s="19">
        <f t="shared" si="76"/>
        <v>8237.419531499876</v>
      </c>
    </row>
    <row r="297" spans="3:45" hidden="1" outlineLevel="1" x14ac:dyDescent="0.25">
      <c r="C297" s="6" t="s">
        <v>196</v>
      </c>
      <c r="D297" s="2" t="s">
        <v>2</v>
      </c>
      <c r="J297" s="30">
        <f t="shared" ref="J297:AS297" si="77">(1+Opex_Esc)^J282</f>
        <v>0.88385428760951712</v>
      </c>
      <c r="K297" s="30">
        <f t="shared" si="77"/>
        <v>0.90595064479975507</v>
      </c>
      <c r="L297" s="30">
        <f t="shared" si="77"/>
        <v>0.92859941091974885</v>
      </c>
      <c r="M297" s="30">
        <f t="shared" si="77"/>
        <v>0.95181439619274244</v>
      </c>
      <c r="N297" s="30">
        <f t="shared" si="77"/>
        <v>0.97560975609756106</v>
      </c>
      <c r="O297" s="30">
        <f t="shared" si="77"/>
        <v>1</v>
      </c>
      <c r="P297" s="30">
        <f t="shared" si="77"/>
        <v>1.0249999999999999</v>
      </c>
      <c r="Q297" s="30">
        <f t="shared" si="77"/>
        <v>1.0506249999999999</v>
      </c>
      <c r="R297" s="30">
        <f t="shared" si="77"/>
        <v>1.0768906249999999</v>
      </c>
      <c r="S297" s="30">
        <f t="shared" si="77"/>
        <v>1.1038128906249998</v>
      </c>
      <c r="T297" s="30">
        <f t="shared" si="77"/>
        <v>1.1314082128906247</v>
      </c>
      <c r="U297" s="30">
        <f t="shared" si="77"/>
        <v>1.1596934182128902</v>
      </c>
      <c r="V297" s="30">
        <f t="shared" si="77"/>
        <v>1.1886857536682125</v>
      </c>
      <c r="W297" s="30">
        <f t="shared" si="77"/>
        <v>1.2184028975099177</v>
      </c>
      <c r="X297" s="30">
        <f t="shared" si="77"/>
        <v>1.2488629699476654</v>
      </c>
      <c r="Y297" s="30">
        <f t="shared" si="77"/>
        <v>1.2800845441963571</v>
      </c>
      <c r="Z297" s="30">
        <f t="shared" si="77"/>
        <v>1.312086657801266</v>
      </c>
      <c r="AA297" s="30">
        <f t="shared" si="77"/>
        <v>1.3448888242462975</v>
      </c>
      <c r="AB297" s="30">
        <f t="shared" si="77"/>
        <v>1.3785110448524549</v>
      </c>
      <c r="AC297" s="30">
        <f t="shared" si="77"/>
        <v>1.4129738209737661</v>
      </c>
      <c r="AD297" s="30">
        <f t="shared" si="77"/>
        <v>1.4482981664981105</v>
      </c>
      <c r="AE297" s="30">
        <f t="shared" si="77"/>
        <v>1.4845056206605631</v>
      </c>
      <c r="AF297" s="30">
        <f t="shared" si="77"/>
        <v>1.521618261177077</v>
      </c>
      <c r="AG297" s="30">
        <f t="shared" si="77"/>
        <v>1.559658717706504</v>
      </c>
      <c r="AH297" s="30">
        <f t="shared" si="77"/>
        <v>1.5986501856491666</v>
      </c>
      <c r="AI297" s="30">
        <f t="shared" si="77"/>
        <v>1.6386164402903955</v>
      </c>
      <c r="AJ297" s="30">
        <f t="shared" si="77"/>
        <v>1.6795818512976552</v>
      </c>
      <c r="AK297" s="30">
        <f t="shared" si="77"/>
        <v>1.7215713975800966</v>
      </c>
      <c r="AL297" s="30">
        <f t="shared" si="77"/>
        <v>1.7646106825195991</v>
      </c>
      <c r="AM297" s="30">
        <f t="shared" si="77"/>
        <v>1.8087259495825889</v>
      </c>
      <c r="AN297" s="30">
        <f t="shared" si="77"/>
        <v>1.8539440983221533</v>
      </c>
      <c r="AO297" s="30">
        <f t="shared" si="77"/>
        <v>1.9002927007802071</v>
      </c>
      <c r="AP297" s="30">
        <f t="shared" si="77"/>
        <v>1.9478000182997122</v>
      </c>
      <c r="AQ297" s="30">
        <f t="shared" si="77"/>
        <v>1.9964950187572048</v>
      </c>
      <c r="AR297" s="30">
        <f t="shared" si="77"/>
        <v>2.0464073942261352</v>
      </c>
      <c r="AS297" s="30">
        <f t="shared" si="77"/>
        <v>2.097567579081788</v>
      </c>
    </row>
    <row r="298" spans="3:45" hidden="1" outlineLevel="1" x14ac:dyDescent="0.25">
      <c r="C298" s="6" t="s">
        <v>197</v>
      </c>
      <c r="D298" s="2" t="s">
        <v>79</v>
      </c>
      <c r="H298" s="8">
        <f t="shared" ref="H298:H307" si="78">SUM(J298:AS298)</f>
        <v>-70011.091950679722</v>
      </c>
      <c r="J298" s="8">
        <f t="shared" ref="J298:AS298" si="79">-(Case_OM+SUM(Opex_Per_MW))*$F$44*J297*J286</f>
        <v>0</v>
      </c>
      <c r="K298" s="8">
        <f t="shared" si="79"/>
        <v>0</v>
      </c>
      <c r="L298" s="8">
        <f t="shared" si="79"/>
        <v>0</v>
      </c>
      <c r="M298" s="8">
        <f t="shared" si="79"/>
        <v>0</v>
      </c>
      <c r="N298" s="8">
        <f t="shared" si="79"/>
        <v>0</v>
      </c>
      <c r="O298" s="8">
        <f t="shared" si="79"/>
        <v>-787.5</v>
      </c>
      <c r="P298" s="8">
        <f t="shared" si="79"/>
        <v>-1614.3749999999998</v>
      </c>
      <c r="Q298" s="8">
        <f t="shared" si="79"/>
        <v>-1654.7343749999998</v>
      </c>
      <c r="R298" s="8">
        <f t="shared" si="79"/>
        <v>-1696.1027343749997</v>
      </c>
      <c r="S298" s="8">
        <f t="shared" si="79"/>
        <v>-1738.5053027343747</v>
      </c>
      <c r="T298" s="8">
        <f t="shared" si="79"/>
        <v>-1781.9679353027338</v>
      </c>
      <c r="U298" s="8">
        <f t="shared" si="79"/>
        <v>-1826.517133685302</v>
      </c>
      <c r="V298" s="8">
        <f t="shared" si="79"/>
        <v>-1872.1800620274346</v>
      </c>
      <c r="W298" s="8">
        <f t="shared" si="79"/>
        <v>-1918.9845635781203</v>
      </c>
      <c r="X298" s="8">
        <f t="shared" si="79"/>
        <v>-1966.9591776675732</v>
      </c>
      <c r="Y298" s="8">
        <f t="shared" si="79"/>
        <v>-2016.1331571092624</v>
      </c>
      <c r="Z298" s="8">
        <f t="shared" si="79"/>
        <v>-2066.5364860369941</v>
      </c>
      <c r="AA298" s="8">
        <f t="shared" si="79"/>
        <v>-2118.1998981879187</v>
      </c>
      <c r="AB298" s="8">
        <f t="shared" si="79"/>
        <v>-2171.1548956426163</v>
      </c>
      <c r="AC298" s="8">
        <f t="shared" si="79"/>
        <v>-2225.4337680336816</v>
      </c>
      <c r="AD298" s="8">
        <f t="shared" si="79"/>
        <v>-2281.0696122345239</v>
      </c>
      <c r="AE298" s="8">
        <f t="shared" si="79"/>
        <v>-2338.0963525403868</v>
      </c>
      <c r="AF298" s="8">
        <f t="shared" si="79"/>
        <v>-2396.5487613538962</v>
      </c>
      <c r="AG298" s="8">
        <f t="shared" si="79"/>
        <v>-2456.4624803877437</v>
      </c>
      <c r="AH298" s="8">
        <f t="shared" si="79"/>
        <v>-2517.8740423974373</v>
      </c>
      <c r="AI298" s="8">
        <f t="shared" si="79"/>
        <v>-2580.8208934573731</v>
      </c>
      <c r="AJ298" s="8">
        <f t="shared" si="79"/>
        <v>-2645.3414157938068</v>
      </c>
      <c r="AK298" s="8">
        <f t="shared" si="79"/>
        <v>-2711.4749511886521</v>
      </c>
      <c r="AL298" s="8">
        <f t="shared" si="79"/>
        <v>-2779.2618249683687</v>
      </c>
      <c r="AM298" s="8">
        <f t="shared" si="79"/>
        <v>-2848.7433705925778</v>
      </c>
      <c r="AN298" s="8">
        <f t="shared" si="79"/>
        <v>-2919.9619548573914</v>
      </c>
      <c r="AO298" s="8">
        <f t="shared" si="79"/>
        <v>-2992.9610037288262</v>
      </c>
      <c r="AP298" s="8">
        <f t="shared" si="79"/>
        <v>-3067.7850288220466</v>
      </c>
      <c r="AQ298" s="8">
        <f t="shared" si="79"/>
        <v>-3144.4796545425975</v>
      </c>
      <c r="AR298" s="8">
        <f t="shared" si="79"/>
        <v>-3223.0916459061627</v>
      </c>
      <c r="AS298" s="8">
        <f t="shared" si="79"/>
        <v>-1651.834468526908</v>
      </c>
    </row>
    <row r="299" spans="3:45" hidden="1" outlineLevel="1" x14ac:dyDescent="0.25">
      <c r="C299" s="6" t="s">
        <v>198</v>
      </c>
      <c r="D299" s="2" t="s">
        <v>79</v>
      </c>
      <c r="H299" s="8">
        <f t="shared" si="78"/>
        <v>-1666.9307607304695</v>
      </c>
      <c r="J299" s="8">
        <f t="shared" ref="J299:AS299" si="80">-Opex_Admin*$F$6/Lump_Basis*J297*J286</f>
        <v>0</v>
      </c>
      <c r="K299" s="8">
        <f t="shared" si="80"/>
        <v>0</v>
      </c>
      <c r="L299" s="8">
        <f t="shared" si="80"/>
        <v>0</v>
      </c>
      <c r="M299" s="8">
        <f t="shared" si="80"/>
        <v>0</v>
      </c>
      <c r="N299" s="8">
        <f t="shared" si="80"/>
        <v>0</v>
      </c>
      <c r="O299" s="8">
        <f t="shared" si="80"/>
        <v>-18.75</v>
      </c>
      <c r="P299" s="8">
        <f t="shared" si="80"/>
        <v>-38.4375</v>
      </c>
      <c r="Q299" s="8">
        <f t="shared" si="80"/>
        <v>-39.3984375</v>
      </c>
      <c r="R299" s="8">
        <f t="shared" si="80"/>
        <v>-40.383398437499999</v>
      </c>
      <c r="S299" s="8">
        <f t="shared" si="80"/>
        <v>-41.392983398437494</v>
      </c>
      <c r="T299" s="8">
        <f t="shared" si="80"/>
        <v>-42.427807983398424</v>
      </c>
      <c r="U299" s="8">
        <f t="shared" si="80"/>
        <v>-43.488503182983379</v>
      </c>
      <c r="V299" s="8">
        <f t="shared" si="80"/>
        <v>-44.575715762557969</v>
      </c>
      <c r="W299" s="8">
        <f t="shared" si="80"/>
        <v>-45.690108656621916</v>
      </c>
      <c r="X299" s="8">
        <f t="shared" si="80"/>
        <v>-46.83236137303745</v>
      </c>
      <c r="Y299" s="8">
        <f t="shared" si="80"/>
        <v>-48.003170407363392</v>
      </c>
      <c r="Z299" s="8">
        <f t="shared" si="80"/>
        <v>-49.203249667547475</v>
      </c>
      <c r="AA299" s="8">
        <f t="shared" si="80"/>
        <v>-50.433330909236155</v>
      </c>
      <c r="AB299" s="8">
        <f t="shared" si="80"/>
        <v>-51.694164181967061</v>
      </c>
      <c r="AC299" s="8">
        <f t="shared" si="80"/>
        <v>-52.98651828651623</v>
      </c>
      <c r="AD299" s="8">
        <f t="shared" si="80"/>
        <v>-54.311181243679144</v>
      </c>
      <c r="AE299" s="8">
        <f t="shared" si="80"/>
        <v>-55.668960774771115</v>
      </c>
      <c r="AF299" s="8">
        <f t="shared" si="80"/>
        <v>-57.060684794140386</v>
      </c>
      <c r="AG299" s="8">
        <f t="shared" si="80"/>
        <v>-58.4872019139939</v>
      </c>
      <c r="AH299" s="8">
        <f t="shared" si="80"/>
        <v>-59.949381961843748</v>
      </c>
      <c r="AI299" s="8">
        <f t="shared" si="80"/>
        <v>-61.448116510889832</v>
      </c>
      <c r="AJ299" s="8">
        <f t="shared" si="80"/>
        <v>-62.984319423662072</v>
      </c>
      <c r="AK299" s="8">
        <f t="shared" si="80"/>
        <v>-64.558927409253627</v>
      </c>
      <c r="AL299" s="8">
        <f t="shared" si="80"/>
        <v>-66.172900594484972</v>
      </c>
      <c r="AM299" s="8">
        <f t="shared" si="80"/>
        <v>-67.827223109347088</v>
      </c>
      <c r="AN299" s="8">
        <f t="shared" si="80"/>
        <v>-69.522903687080756</v>
      </c>
      <c r="AO299" s="8">
        <f t="shared" si="80"/>
        <v>-71.260976279257761</v>
      </c>
      <c r="AP299" s="8">
        <f t="shared" si="80"/>
        <v>-73.042500686239208</v>
      </c>
      <c r="AQ299" s="8">
        <f t="shared" si="80"/>
        <v>-74.868563203395183</v>
      </c>
      <c r="AR299" s="8">
        <f t="shared" si="80"/>
        <v>-76.740277283480069</v>
      </c>
      <c r="AS299" s="8">
        <f t="shared" si="80"/>
        <v>-39.329392107783526</v>
      </c>
    </row>
    <row r="300" spans="3:45" hidden="1" outlineLevel="1" x14ac:dyDescent="0.25">
      <c r="C300" s="6" t="s">
        <v>199</v>
      </c>
      <c r="D300" s="2" t="s">
        <v>79</v>
      </c>
      <c r="H300" s="8">
        <f t="shared" si="78"/>
        <v>-31411.929867285264</v>
      </c>
      <c r="J300" s="8">
        <f t="shared" ref="J300:AS300" si="81">-J294*(Balancing+Grid_Charges)*J297</f>
        <v>0</v>
      </c>
      <c r="K300" s="8">
        <f t="shared" si="81"/>
        <v>0</v>
      </c>
      <c r="L300" s="8">
        <f t="shared" si="81"/>
        <v>0</v>
      </c>
      <c r="M300" s="8">
        <f t="shared" si="81"/>
        <v>0</v>
      </c>
      <c r="N300" s="8">
        <f t="shared" si="81"/>
        <v>0</v>
      </c>
      <c r="O300" s="8">
        <f t="shared" si="81"/>
        <v>-370.43999999999994</v>
      </c>
      <c r="P300" s="8">
        <f t="shared" si="81"/>
        <v>-759.40199999999982</v>
      </c>
      <c r="Q300" s="8">
        <f t="shared" si="81"/>
        <v>-776.05188884999984</v>
      </c>
      <c r="R300" s="8">
        <f t="shared" si="81"/>
        <v>-793.06682651303606</v>
      </c>
      <c r="S300" s="8">
        <f t="shared" si="81"/>
        <v>-810.45481668433422</v>
      </c>
      <c r="T300" s="8">
        <f t="shared" si="81"/>
        <v>-828.22403854013851</v>
      </c>
      <c r="U300" s="8">
        <f t="shared" si="81"/>
        <v>-846.38285058513088</v>
      </c>
      <c r="V300" s="8">
        <f t="shared" si="81"/>
        <v>-864.93979458420995</v>
      </c>
      <c r="W300" s="8">
        <f t="shared" si="81"/>
        <v>-883.90359958046861</v>
      </c>
      <c r="X300" s="8">
        <f t="shared" si="81"/>
        <v>-903.28318600127034</v>
      </c>
      <c r="Y300" s="8">
        <f t="shared" si="81"/>
        <v>-923.08766985434806</v>
      </c>
      <c r="Z300" s="8">
        <f t="shared" si="81"/>
        <v>-943.32636701590491</v>
      </c>
      <c r="AA300" s="8">
        <f t="shared" si="81"/>
        <v>-964.00879761272847</v>
      </c>
      <c r="AB300" s="8">
        <f t="shared" si="81"/>
        <v>-985.14469050038747</v>
      </c>
      <c r="AC300" s="8">
        <f t="shared" si="81"/>
        <v>-1006.7439878396082</v>
      </c>
      <c r="AD300" s="8">
        <f t="shared" si="81"/>
        <v>-1028.8168497729919</v>
      </c>
      <c r="AE300" s="8">
        <f t="shared" si="81"/>
        <v>-1051.3736592042644</v>
      </c>
      <c r="AF300" s="8">
        <f t="shared" si="81"/>
        <v>-1074.425026682318</v>
      </c>
      <c r="AG300" s="8">
        <f t="shared" si="81"/>
        <v>-1097.9817953923277</v>
      </c>
      <c r="AH300" s="8">
        <f t="shared" si="81"/>
        <v>-1122.0550462563046</v>
      </c>
      <c r="AI300" s="8">
        <f t="shared" si="81"/>
        <v>-1146.6561031454739</v>
      </c>
      <c r="AJ300" s="8">
        <f t="shared" si="81"/>
        <v>-1171.7965382069383</v>
      </c>
      <c r="AK300" s="8">
        <f t="shared" si="81"/>
        <v>-1197.4881773071256</v>
      </c>
      <c r="AL300" s="8">
        <f t="shared" si="81"/>
        <v>-1223.7431055945847</v>
      </c>
      <c r="AM300" s="8">
        <f t="shared" si="81"/>
        <v>-1250.5736731847453</v>
      </c>
      <c r="AN300" s="8">
        <f t="shared" si="81"/>
        <v>-1277.9925009693209</v>
      </c>
      <c r="AO300" s="8">
        <f t="shared" si="81"/>
        <v>-1306.0124865530729</v>
      </c>
      <c r="AP300" s="8">
        <f t="shared" si="81"/>
        <v>-1334.6468103207492</v>
      </c>
      <c r="AQ300" s="8">
        <f t="shared" si="81"/>
        <v>-1363.9089416370316</v>
      </c>
      <c r="AR300" s="8">
        <f t="shared" si="81"/>
        <v>-1393.8126451824237</v>
      </c>
      <c r="AS300" s="8">
        <f t="shared" si="81"/>
        <v>-712.18599371402388</v>
      </c>
    </row>
    <row r="301" spans="3:45" hidden="1" outlineLevel="1" x14ac:dyDescent="0.25">
      <c r="C301" s="6" t="s">
        <v>200</v>
      </c>
      <c r="D301" s="2" t="s">
        <v>79</v>
      </c>
      <c r="H301" s="8">
        <f t="shared" si="78"/>
        <v>-446.1306857294544</v>
      </c>
      <c r="J301" s="8">
        <f t="shared" ref="J301:AS301" si="82">-J296*MEKH_Fee</f>
        <v>0</v>
      </c>
      <c r="K301" s="8">
        <f t="shared" si="82"/>
        <v>0</v>
      </c>
      <c r="L301" s="8">
        <f t="shared" si="82"/>
        <v>0</v>
      </c>
      <c r="M301" s="8">
        <f t="shared" si="82"/>
        <v>0</v>
      </c>
      <c r="N301" s="8">
        <f t="shared" si="82"/>
        <v>0</v>
      </c>
      <c r="O301" s="8">
        <f t="shared" si="82"/>
        <v>-6.6679199999999996</v>
      </c>
      <c r="P301" s="8">
        <f t="shared" si="82"/>
        <v>-13.4691984</v>
      </c>
      <c r="Q301" s="8">
        <f t="shared" si="82"/>
        <v>-13.563078712847998</v>
      </c>
      <c r="R301" s="8">
        <f t="shared" si="82"/>
        <v>-13.657613371476547</v>
      </c>
      <c r="S301" s="8">
        <f t="shared" si="82"/>
        <v>-13.752806936675741</v>
      </c>
      <c r="T301" s="8">
        <f t="shared" si="82"/>
        <v>-13.848664001024375</v>
      </c>
      <c r="U301" s="8">
        <f t="shared" si="82"/>
        <v>-13.945189189111517</v>
      </c>
      <c r="V301" s="8">
        <f t="shared" si="82"/>
        <v>-14.042387157759618</v>
      </c>
      <c r="W301" s="8">
        <f t="shared" si="82"/>
        <v>-14.140262596249206</v>
      </c>
      <c r="X301" s="8">
        <f t="shared" si="82"/>
        <v>-14.238820226545064</v>
      </c>
      <c r="Y301" s="8">
        <f t="shared" si="82"/>
        <v>-14.338064803524084</v>
      </c>
      <c r="Z301" s="8">
        <f t="shared" si="82"/>
        <v>-14.438001115204646</v>
      </c>
      <c r="AA301" s="8">
        <f t="shared" si="82"/>
        <v>-14.538633982977624</v>
      </c>
      <c r="AB301" s="8">
        <f t="shared" si="82"/>
        <v>-14.639968261838977</v>
      </c>
      <c r="AC301" s="8">
        <f t="shared" si="82"/>
        <v>-14.742008840623994</v>
      </c>
      <c r="AD301" s="8">
        <f t="shared" si="82"/>
        <v>-14.844760642243141</v>
      </c>
      <c r="AE301" s="8">
        <f t="shared" si="82"/>
        <v>-14.948228623919576</v>
      </c>
      <c r="AF301" s="8">
        <f t="shared" si="82"/>
        <v>-15.052417777428301</v>
      </c>
      <c r="AG301" s="8">
        <f t="shared" si="82"/>
        <v>-15.157333129336976</v>
      </c>
      <c r="AH301" s="8">
        <f t="shared" si="82"/>
        <v>-15.262979741248454</v>
      </c>
      <c r="AI301" s="8">
        <f t="shared" si="82"/>
        <v>-15.369362710044957</v>
      </c>
      <c r="AJ301" s="8">
        <f t="shared" si="82"/>
        <v>-15.476487168133966</v>
      </c>
      <c r="AK301" s="8">
        <f t="shared" si="82"/>
        <v>-15.584358283695865</v>
      </c>
      <c r="AL301" s="8">
        <f t="shared" si="82"/>
        <v>-15.692981260933227</v>
      </c>
      <c r="AM301" s="8">
        <f t="shared" si="82"/>
        <v>-15.80236134032193</v>
      </c>
      <c r="AN301" s="8">
        <f t="shared" si="82"/>
        <v>-15.912503798863979</v>
      </c>
      <c r="AO301" s="8">
        <f t="shared" si="82"/>
        <v>-16.023413950342057</v>
      </c>
      <c r="AP301" s="8">
        <f t="shared" si="82"/>
        <v>-16.135097145575937</v>
      </c>
      <c r="AQ301" s="8">
        <f t="shared" si="82"/>
        <v>-16.247558772680605</v>
      </c>
      <c r="AR301" s="8">
        <f t="shared" si="82"/>
        <v>-16.360804257326187</v>
      </c>
      <c r="AS301" s="8">
        <f t="shared" si="82"/>
        <v>-8.2374195314998762</v>
      </c>
    </row>
    <row r="302" spans="3:45" hidden="1" outlineLevel="1" x14ac:dyDescent="0.25">
      <c r="C302" s="6" t="s">
        <v>201</v>
      </c>
      <c r="D302" s="2" t="s">
        <v>79</v>
      </c>
      <c r="H302" s="8">
        <f t="shared" si="78"/>
        <v>-5176.8041632212435</v>
      </c>
      <c r="J302" s="8">
        <f t="shared" ref="J302:AS302" si="83">SUM(J298:J301)*Opex_Cont</f>
        <v>0</v>
      </c>
      <c r="K302" s="8">
        <f t="shared" si="83"/>
        <v>0</v>
      </c>
      <c r="L302" s="8">
        <f t="shared" si="83"/>
        <v>0</v>
      </c>
      <c r="M302" s="8">
        <f t="shared" si="83"/>
        <v>0</v>
      </c>
      <c r="N302" s="8">
        <f t="shared" si="83"/>
        <v>0</v>
      </c>
      <c r="O302" s="8">
        <f t="shared" si="83"/>
        <v>-59.167896000000013</v>
      </c>
      <c r="P302" s="8">
        <f t="shared" si="83"/>
        <v>-121.28418491999999</v>
      </c>
      <c r="Q302" s="8">
        <f t="shared" si="83"/>
        <v>-124.18738900314239</v>
      </c>
      <c r="R302" s="8">
        <f t="shared" si="83"/>
        <v>-127.16052863485064</v>
      </c>
      <c r="S302" s="8">
        <f t="shared" si="83"/>
        <v>-130.20529548769113</v>
      </c>
      <c r="T302" s="8">
        <f t="shared" si="83"/>
        <v>-133.32342229136475</v>
      </c>
      <c r="U302" s="8">
        <f t="shared" si="83"/>
        <v>-136.5166838321264</v>
      </c>
      <c r="V302" s="8">
        <f t="shared" si="83"/>
        <v>-139.78689797659811</v>
      </c>
      <c r="W302" s="8">
        <f t="shared" si="83"/>
        <v>-143.135926720573</v>
      </c>
      <c r="X302" s="8">
        <f t="shared" si="83"/>
        <v>-146.56567726342129</v>
      </c>
      <c r="Y302" s="8">
        <f t="shared" si="83"/>
        <v>-150.07810310872489</v>
      </c>
      <c r="Z302" s="8">
        <f t="shared" si="83"/>
        <v>-153.67520519178257</v>
      </c>
      <c r="AA302" s="8">
        <f t="shared" si="83"/>
        <v>-157.35903303464306</v>
      </c>
      <c r="AB302" s="8">
        <f t="shared" si="83"/>
        <v>-161.13168592934051</v>
      </c>
      <c r="AC302" s="8">
        <f t="shared" si="83"/>
        <v>-164.9953141500215</v>
      </c>
      <c r="AD302" s="8">
        <f t="shared" si="83"/>
        <v>-168.95212019467192</v>
      </c>
      <c r="AE302" s="8">
        <f t="shared" si="83"/>
        <v>-173.0043600571671</v>
      </c>
      <c r="AF302" s="8">
        <f t="shared" si="83"/>
        <v>-177.15434453038915</v>
      </c>
      <c r="AG302" s="8">
        <f t="shared" si="83"/>
        <v>-181.40444054117015</v>
      </c>
      <c r="AH302" s="8">
        <f t="shared" si="83"/>
        <v>-185.75707251784172</v>
      </c>
      <c r="AI302" s="8">
        <f t="shared" si="83"/>
        <v>-190.21472379118913</v>
      </c>
      <c r="AJ302" s="8">
        <f t="shared" si="83"/>
        <v>-194.77993802962706</v>
      </c>
      <c r="AK302" s="8">
        <f t="shared" si="83"/>
        <v>-199.45532070943636</v>
      </c>
      <c r="AL302" s="8">
        <f t="shared" si="83"/>
        <v>-204.24354062091857</v>
      </c>
      <c r="AM302" s="8">
        <f t="shared" si="83"/>
        <v>-209.14733141134963</v>
      </c>
      <c r="AN302" s="8">
        <f t="shared" si="83"/>
        <v>-214.16949316563287</v>
      </c>
      <c r="AO302" s="8">
        <f t="shared" si="83"/>
        <v>-219.31289402557491</v>
      </c>
      <c r="AP302" s="8">
        <f t="shared" si="83"/>
        <v>-224.58047184873055</v>
      </c>
      <c r="AQ302" s="8">
        <f t="shared" si="83"/>
        <v>-229.97523590778525</v>
      </c>
      <c r="AR302" s="8">
        <f t="shared" si="83"/>
        <v>-235.50026863146965</v>
      </c>
      <c r="AS302" s="8">
        <f t="shared" si="83"/>
        <v>-120.57936369401078</v>
      </c>
    </row>
    <row r="303" spans="3:45" hidden="1" outlineLevel="1" x14ac:dyDescent="0.25">
      <c r="C303" s="6" t="s">
        <v>202</v>
      </c>
      <c r="D303" s="2" t="s">
        <v>79</v>
      </c>
      <c r="H303" s="8">
        <f t="shared" si="78"/>
        <v>-12790.19648119422</v>
      </c>
      <c r="J303" s="8">
        <f t="shared" ref="J303:AS303" si="84">-J294*$F$12</f>
        <v>0</v>
      </c>
      <c r="K303" s="8">
        <f t="shared" si="84"/>
        <v>0</v>
      </c>
      <c r="L303" s="8">
        <f t="shared" si="84"/>
        <v>0</v>
      </c>
      <c r="M303" s="8">
        <f t="shared" si="84"/>
        <v>0</v>
      </c>
      <c r="N303" s="8">
        <f t="shared" si="84"/>
        <v>0</v>
      </c>
      <c r="O303" s="8">
        <f t="shared" si="84"/>
        <v>-222.26399999999998</v>
      </c>
      <c r="P303" s="8">
        <f t="shared" si="84"/>
        <v>-444.52799999999996</v>
      </c>
      <c r="Q303" s="8">
        <f t="shared" si="84"/>
        <v>-443.19441599999999</v>
      </c>
      <c r="R303" s="8">
        <f t="shared" si="84"/>
        <v>-441.86483275199998</v>
      </c>
      <c r="S303" s="8">
        <f t="shared" si="84"/>
        <v>-440.53923825374397</v>
      </c>
      <c r="T303" s="8">
        <f t="shared" si="84"/>
        <v>-439.21762053898283</v>
      </c>
      <c r="U303" s="8">
        <f t="shared" si="84"/>
        <v>-437.89996767736591</v>
      </c>
      <c r="V303" s="8">
        <f t="shared" si="84"/>
        <v>-436.58626777433381</v>
      </c>
      <c r="W303" s="8">
        <f t="shared" si="84"/>
        <v>-435.27650897101074</v>
      </c>
      <c r="X303" s="8">
        <f t="shared" si="84"/>
        <v>-433.9706794440977</v>
      </c>
      <c r="Y303" s="8">
        <f t="shared" si="84"/>
        <v>-432.66876740576544</v>
      </c>
      <c r="Z303" s="8">
        <f t="shared" si="84"/>
        <v>-431.3707611035482</v>
      </c>
      <c r="AA303" s="8">
        <f t="shared" si="84"/>
        <v>-430.07664882023755</v>
      </c>
      <c r="AB303" s="8">
        <f t="shared" si="84"/>
        <v>-428.78641887377677</v>
      </c>
      <c r="AC303" s="8">
        <f t="shared" si="84"/>
        <v>-427.50005961715544</v>
      </c>
      <c r="AD303" s="8">
        <f t="shared" si="84"/>
        <v>-426.21755943830402</v>
      </c>
      <c r="AE303" s="8">
        <f t="shared" si="84"/>
        <v>-424.93890675998904</v>
      </c>
      <c r="AF303" s="8">
        <f t="shared" si="84"/>
        <v>-423.66409003970915</v>
      </c>
      <c r="AG303" s="8">
        <f t="shared" si="84"/>
        <v>-422.39309776958999</v>
      </c>
      <c r="AH303" s="8">
        <f t="shared" si="84"/>
        <v>-421.1259184762813</v>
      </c>
      <c r="AI303" s="8">
        <f t="shared" si="84"/>
        <v>-419.86254072085239</v>
      </c>
      <c r="AJ303" s="8">
        <f t="shared" si="84"/>
        <v>-418.6029530986898</v>
      </c>
      <c r="AK303" s="8">
        <f t="shared" si="84"/>
        <v>-417.34714423939374</v>
      </c>
      <c r="AL303" s="8">
        <f t="shared" si="84"/>
        <v>-416.0951028066757</v>
      </c>
      <c r="AM303" s="8">
        <f t="shared" si="84"/>
        <v>-414.84681749825558</v>
      </c>
      <c r="AN303" s="8">
        <f t="shared" si="84"/>
        <v>-413.60227704576084</v>
      </c>
      <c r="AO303" s="8">
        <f t="shared" si="84"/>
        <v>-412.36147021462352</v>
      </c>
      <c r="AP303" s="8">
        <f t="shared" si="84"/>
        <v>-411.12438580397964</v>
      </c>
      <c r="AQ303" s="8">
        <f t="shared" si="84"/>
        <v>-409.89101264656779</v>
      </c>
      <c r="AR303" s="8">
        <f t="shared" si="84"/>
        <v>-408.66133960862805</v>
      </c>
      <c r="AS303" s="8">
        <f t="shared" si="84"/>
        <v>-203.71767779490108</v>
      </c>
    </row>
    <row r="304" spans="3:45" hidden="1" outlineLevel="1" x14ac:dyDescent="0.25">
      <c r="C304" s="6" t="s">
        <v>203</v>
      </c>
      <c r="D304" s="2" t="s">
        <v>79</v>
      </c>
      <c r="H304" s="8">
        <f t="shared" si="78"/>
        <v>-8922.613714589088</v>
      </c>
      <c r="J304" s="8">
        <f t="shared" ref="J304:AS304" si="85">-J296*HIPA_Rate</f>
        <v>0</v>
      </c>
      <c r="K304" s="8">
        <f t="shared" si="85"/>
        <v>0</v>
      </c>
      <c r="L304" s="8">
        <f t="shared" si="85"/>
        <v>0</v>
      </c>
      <c r="M304" s="8">
        <f t="shared" si="85"/>
        <v>0</v>
      </c>
      <c r="N304" s="8">
        <f t="shared" si="85"/>
        <v>0</v>
      </c>
      <c r="O304" s="8">
        <f t="shared" si="85"/>
        <v>-133.35839999999999</v>
      </c>
      <c r="P304" s="8">
        <f t="shared" si="85"/>
        <v>-269.38396799999998</v>
      </c>
      <c r="Q304" s="8">
        <f t="shared" si="85"/>
        <v>-271.26157425695999</v>
      </c>
      <c r="R304" s="8">
        <f t="shared" si="85"/>
        <v>-273.15226742953098</v>
      </c>
      <c r="S304" s="8">
        <f t="shared" si="85"/>
        <v>-275.05613873351484</v>
      </c>
      <c r="T304" s="8">
        <f t="shared" si="85"/>
        <v>-276.97328002048749</v>
      </c>
      <c r="U304" s="8">
        <f t="shared" si="85"/>
        <v>-278.90378378223033</v>
      </c>
      <c r="V304" s="8">
        <f t="shared" si="85"/>
        <v>-280.84774315519235</v>
      </c>
      <c r="W304" s="8">
        <f t="shared" si="85"/>
        <v>-282.80525192498413</v>
      </c>
      <c r="X304" s="8">
        <f t="shared" si="85"/>
        <v>-284.77640453090129</v>
      </c>
      <c r="Y304" s="8">
        <f t="shared" si="85"/>
        <v>-286.76129607048165</v>
      </c>
      <c r="Z304" s="8">
        <f t="shared" si="85"/>
        <v>-288.7600223040929</v>
      </c>
      <c r="AA304" s="8">
        <f t="shared" si="85"/>
        <v>-290.77267965955247</v>
      </c>
      <c r="AB304" s="8">
        <f t="shared" si="85"/>
        <v>-292.79936523677952</v>
      </c>
      <c r="AC304" s="8">
        <f t="shared" si="85"/>
        <v>-294.84017681247991</v>
      </c>
      <c r="AD304" s="8">
        <f t="shared" si="85"/>
        <v>-296.89521284486284</v>
      </c>
      <c r="AE304" s="8">
        <f t="shared" si="85"/>
        <v>-298.96457247839152</v>
      </c>
      <c r="AF304" s="8">
        <f t="shared" si="85"/>
        <v>-301.04835554856606</v>
      </c>
      <c r="AG304" s="8">
        <f t="shared" si="85"/>
        <v>-303.14666258673952</v>
      </c>
      <c r="AH304" s="8">
        <f t="shared" si="85"/>
        <v>-305.25959482496904</v>
      </c>
      <c r="AI304" s="8">
        <f t="shared" si="85"/>
        <v>-307.38725420089912</v>
      </c>
      <c r="AJ304" s="8">
        <f t="shared" si="85"/>
        <v>-309.52974336267931</v>
      </c>
      <c r="AK304" s="8">
        <f t="shared" si="85"/>
        <v>-311.68716567391732</v>
      </c>
      <c r="AL304" s="8">
        <f t="shared" si="85"/>
        <v>-313.85962521866452</v>
      </c>
      <c r="AM304" s="8">
        <f t="shared" si="85"/>
        <v>-316.04722680643857</v>
      </c>
      <c r="AN304" s="8">
        <f t="shared" si="85"/>
        <v>-318.25007597727955</v>
      </c>
      <c r="AO304" s="8">
        <f t="shared" si="85"/>
        <v>-320.46827900684116</v>
      </c>
      <c r="AP304" s="8">
        <f t="shared" si="85"/>
        <v>-322.7019429115187</v>
      </c>
      <c r="AQ304" s="8">
        <f t="shared" si="85"/>
        <v>-324.95117545361211</v>
      </c>
      <c r="AR304" s="8">
        <f t="shared" si="85"/>
        <v>-327.21608514652377</v>
      </c>
      <c r="AS304" s="8">
        <f t="shared" si="85"/>
        <v>-164.74839062999752</v>
      </c>
    </row>
    <row r="305" spans="2:45" hidden="1" outlineLevel="1" x14ac:dyDescent="0.25">
      <c r="C305" s="1" t="s">
        <v>204</v>
      </c>
      <c r="D305" s="2" t="s">
        <v>79</v>
      </c>
      <c r="H305" s="19">
        <f t="shared" si="78"/>
        <v>-130425.69762342949</v>
      </c>
      <c r="J305" s="19">
        <f t="shared" ref="J305:AS305" si="86">SUM(J298:J304)</f>
        <v>0</v>
      </c>
      <c r="K305" s="19">
        <f t="shared" si="86"/>
        <v>0</v>
      </c>
      <c r="L305" s="19">
        <f t="shared" si="86"/>
        <v>0</v>
      </c>
      <c r="M305" s="19">
        <f t="shared" si="86"/>
        <v>0</v>
      </c>
      <c r="N305" s="19">
        <f t="shared" si="86"/>
        <v>0</v>
      </c>
      <c r="O305" s="19">
        <f t="shared" si="86"/>
        <v>-1598.148216</v>
      </c>
      <c r="P305" s="19">
        <f t="shared" si="86"/>
        <v>-3260.8798513199995</v>
      </c>
      <c r="Q305" s="19">
        <f t="shared" si="86"/>
        <v>-3322.39115932295</v>
      </c>
      <c r="R305" s="19">
        <f t="shared" si="86"/>
        <v>-3385.3882015133945</v>
      </c>
      <c r="S305" s="19">
        <f t="shared" si="86"/>
        <v>-3449.9065822287721</v>
      </c>
      <c r="T305" s="19">
        <f t="shared" si="86"/>
        <v>-3515.98276867813</v>
      </c>
      <c r="U305" s="19">
        <f t="shared" si="86"/>
        <v>-3583.6541119342505</v>
      </c>
      <c r="V305" s="19">
        <f t="shared" si="86"/>
        <v>-3652.9588684380865</v>
      </c>
      <c r="W305" s="19">
        <f t="shared" si="86"/>
        <v>-3723.9362220280277</v>
      </c>
      <c r="X305" s="19">
        <f t="shared" si="86"/>
        <v>-3796.626306506846</v>
      </c>
      <c r="Y305" s="19">
        <f t="shared" si="86"/>
        <v>-3871.0702287594695</v>
      </c>
      <c r="Z305" s="19">
        <f t="shared" si="86"/>
        <v>-3947.3100924350747</v>
      </c>
      <c r="AA305" s="19">
        <f t="shared" si="86"/>
        <v>-4025.3890222072937</v>
      </c>
      <c r="AB305" s="19">
        <f t="shared" si="86"/>
        <v>-4105.351188626707</v>
      </c>
      <c r="AC305" s="19">
        <f t="shared" si="86"/>
        <v>-4187.2418335800867</v>
      </c>
      <c r="AD305" s="19">
        <f t="shared" si="86"/>
        <v>-4271.1072963712768</v>
      </c>
      <c r="AE305" s="19">
        <f t="shared" si="86"/>
        <v>-4356.9950404388892</v>
      </c>
      <c r="AF305" s="19">
        <f t="shared" si="86"/>
        <v>-4444.9536807264467</v>
      </c>
      <c r="AG305" s="19">
        <f t="shared" si="86"/>
        <v>-4535.0330117209023</v>
      </c>
      <c r="AH305" s="19">
        <f t="shared" si="86"/>
        <v>-4627.2840361759263</v>
      </c>
      <c r="AI305" s="19">
        <f t="shared" si="86"/>
        <v>-4721.7589945367235</v>
      </c>
      <c r="AJ305" s="19">
        <f t="shared" si="86"/>
        <v>-4818.5113950835375</v>
      </c>
      <c r="AK305" s="19">
        <f t="shared" si="86"/>
        <v>-4917.5960448114747</v>
      </c>
      <c r="AL305" s="19">
        <f t="shared" si="86"/>
        <v>-5019.0690810646302</v>
      </c>
      <c r="AM305" s="19">
        <f t="shared" si="86"/>
        <v>-5122.9880039430363</v>
      </c>
      <c r="AN305" s="19">
        <f t="shared" si="86"/>
        <v>-5229.4117095013307</v>
      </c>
      <c r="AO305" s="19">
        <f t="shared" si="86"/>
        <v>-5338.400523758537</v>
      </c>
      <c r="AP305" s="19">
        <f t="shared" si="86"/>
        <v>-5450.01623753884</v>
      </c>
      <c r="AQ305" s="19">
        <f t="shared" si="86"/>
        <v>-5564.3221421636708</v>
      </c>
      <c r="AR305" s="19">
        <f t="shared" si="86"/>
        <v>-5681.3830660160138</v>
      </c>
      <c r="AS305" s="19">
        <f t="shared" si="86"/>
        <v>-2900.6327059991249</v>
      </c>
    </row>
    <row r="306" spans="2:45" hidden="1" outlineLevel="1" x14ac:dyDescent="0.25">
      <c r="C306" s="1" t="s">
        <v>129</v>
      </c>
      <c r="D306" s="2" t="s">
        <v>79</v>
      </c>
      <c r="H306" s="14">
        <f t="shared" si="78"/>
        <v>315704.98810602498</v>
      </c>
      <c r="J306" s="14">
        <f t="shared" ref="J306:AS306" si="87">J296+J305</f>
        <v>0</v>
      </c>
      <c r="K306" s="14">
        <f t="shared" si="87"/>
        <v>0</v>
      </c>
      <c r="L306" s="14">
        <f t="shared" si="87"/>
        <v>0</v>
      </c>
      <c r="M306" s="14">
        <f t="shared" si="87"/>
        <v>0</v>
      </c>
      <c r="N306" s="14">
        <f t="shared" si="87"/>
        <v>0</v>
      </c>
      <c r="O306" s="14">
        <f t="shared" si="87"/>
        <v>5069.7717839999987</v>
      </c>
      <c r="P306" s="14">
        <f t="shared" si="87"/>
        <v>10208.318548679999</v>
      </c>
      <c r="Q306" s="14">
        <f t="shared" si="87"/>
        <v>10240.687553525049</v>
      </c>
      <c r="R306" s="14">
        <f t="shared" si="87"/>
        <v>10272.225169963152</v>
      </c>
      <c r="S306" s="14">
        <f t="shared" si="87"/>
        <v>10302.900354446969</v>
      </c>
      <c r="T306" s="14">
        <f t="shared" si="87"/>
        <v>10332.681232346244</v>
      </c>
      <c r="U306" s="14">
        <f t="shared" si="87"/>
        <v>10361.535077177265</v>
      </c>
      <c r="V306" s="14">
        <f t="shared" si="87"/>
        <v>10389.428289321531</v>
      </c>
      <c r="W306" s="14">
        <f t="shared" si="87"/>
        <v>10416.326374221178</v>
      </c>
      <c r="X306" s="14">
        <f t="shared" si="87"/>
        <v>10442.193920038218</v>
      </c>
      <c r="Y306" s="14">
        <f t="shared" si="87"/>
        <v>10466.994574764612</v>
      </c>
      <c r="Z306" s="14">
        <f t="shared" si="87"/>
        <v>10490.69102276957</v>
      </c>
      <c r="AA306" s="14">
        <f t="shared" si="87"/>
        <v>10513.244960770329</v>
      </c>
      <c r="AB306" s="14">
        <f t="shared" si="87"/>
        <v>10534.61707321227</v>
      </c>
      <c r="AC306" s="14">
        <f t="shared" si="87"/>
        <v>10554.767007043907</v>
      </c>
      <c r="AD306" s="14">
        <f t="shared" si="87"/>
        <v>10573.653345871866</v>
      </c>
      <c r="AE306" s="14">
        <f t="shared" si="87"/>
        <v>10591.233583480687</v>
      </c>
      <c r="AF306" s="14">
        <f t="shared" si="87"/>
        <v>10607.464096701855</v>
      </c>
      <c r="AG306" s="14">
        <f t="shared" si="87"/>
        <v>10622.300117616072</v>
      </c>
      <c r="AH306" s="14">
        <f t="shared" si="87"/>
        <v>10635.695705072527</v>
      </c>
      <c r="AI306" s="14">
        <f t="shared" si="87"/>
        <v>10647.603715508232</v>
      </c>
      <c r="AJ306" s="14">
        <f t="shared" si="87"/>
        <v>10657.975773050428</v>
      </c>
      <c r="AK306" s="14">
        <f t="shared" si="87"/>
        <v>10666.76223888439</v>
      </c>
      <c r="AL306" s="14">
        <f t="shared" si="87"/>
        <v>10673.912179868596</v>
      </c>
      <c r="AM306" s="14">
        <f t="shared" si="87"/>
        <v>10679.373336378892</v>
      </c>
      <c r="AN306" s="14">
        <f t="shared" si="87"/>
        <v>10683.092089362646</v>
      </c>
      <c r="AO306" s="14">
        <f t="shared" si="87"/>
        <v>10685.01342658352</v>
      </c>
      <c r="AP306" s="14">
        <f t="shared" si="87"/>
        <v>10685.080908037096</v>
      </c>
      <c r="AQ306" s="14">
        <f t="shared" si="87"/>
        <v>10683.236630516934</v>
      </c>
      <c r="AR306" s="14">
        <f t="shared" si="87"/>
        <v>10679.421191310175</v>
      </c>
      <c r="AS306" s="14">
        <f t="shared" si="87"/>
        <v>5336.7868255007506</v>
      </c>
    </row>
    <row r="307" spans="2:45" hidden="1" outlineLevel="1" x14ac:dyDescent="0.25">
      <c r="C307" s="1" t="s">
        <v>205</v>
      </c>
      <c r="D307" s="2" t="s">
        <v>79</v>
      </c>
      <c r="H307" s="19">
        <f t="shared" si="78"/>
        <v>244362.26139369622</v>
      </c>
      <c r="J307" s="19">
        <f t="shared" ref="J307:AS307" si="88">J292+J306</f>
        <v>-657.1232876712329</v>
      </c>
      <c r="K307" s="19">
        <f t="shared" si="88"/>
        <v>-3612.0547945205481</v>
      </c>
      <c r="L307" s="19">
        <f t="shared" si="88"/>
        <v>-3359.8191780821917</v>
      </c>
      <c r="M307" s="19">
        <f t="shared" si="88"/>
        <v>-15927.0625</v>
      </c>
      <c r="N307" s="19">
        <f t="shared" si="88"/>
        <v>-31854.125</v>
      </c>
      <c r="O307" s="19">
        <f t="shared" si="88"/>
        <v>-13357.290716000001</v>
      </c>
      <c r="P307" s="19">
        <f t="shared" si="88"/>
        <v>10208.318548679999</v>
      </c>
      <c r="Q307" s="19">
        <f t="shared" si="88"/>
        <v>12735.208101470254</v>
      </c>
      <c r="R307" s="19">
        <f t="shared" si="88"/>
        <v>10272.225169963152</v>
      </c>
      <c r="S307" s="19">
        <f t="shared" si="88"/>
        <v>10302.900354446969</v>
      </c>
      <c r="T307" s="19">
        <f t="shared" si="88"/>
        <v>10332.681232346244</v>
      </c>
      <c r="U307" s="19">
        <f t="shared" si="88"/>
        <v>10361.535077177265</v>
      </c>
      <c r="V307" s="19">
        <f t="shared" si="88"/>
        <v>10389.428289321531</v>
      </c>
      <c r="W307" s="19">
        <f t="shared" si="88"/>
        <v>10416.326374221178</v>
      </c>
      <c r="X307" s="19">
        <f t="shared" si="88"/>
        <v>10442.193920038218</v>
      </c>
      <c r="Y307" s="19">
        <f t="shared" si="88"/>
        <v>10466.994574764612</v>
      </c>
      <c r="Z307" s="19">
        <f t="shared" si="88"/>
        <v>10490.69102276957</v>
      </c>
      <c r="AA307" s="19">
        <f t="shared" si="88"/>
        <v>10513.244960770329</v>
      </c>
      <c r="AB307" s="19">
        <f t="shared" si="88"/>
        <v>10534.61707321227</v>
      </c>
      <c r="AC307" s="19">
        <f t="shared" si="88"/>
        <v>10554.767007043907</v>
      </c>
      <c r="AD307" s="19">
        <f t="shared" si="88"/>
        <v>10573.653345871866</v>
      </c>
      <c r="AE307" s="19">
        <f t="shared" si="88"/>
        <v>10591.233583480687</v>
      </c>
      <c r="AF307" s="19">
        <f t="shared" si="88"/>
        <v>10607.464096701855</v>
      </c>
      <c r="AG307" s="19">
        <f t="shared" si="88"/>
        <v>10622.300117616072</v>
      </c>
      <c r="AH307" s="19">
        <f t="shared" si="88"/>
        <v>10635.695705072527</v>
      </c>
      <c r="AI307" s="19">
        <f t="shared" si="88"/>
        <v>10647.603715508232</v>
      </c>
      <c r="AJ307" s="19">
        <f t="shared" si="88"/>
        <v>10657.975773050428</v>
      </c>
      <c r="AK307" s="19">
        <f t="shared" si="88"/>
        <v>10666.76223888439</v>
      </c>
      <c r="AL307" s="19">
        <f t="shared" si="88"/>
        <v>10673.912179868596</v>
      </c>
      <c r="AM307" s="19">
        <f t="shared" si="88"/>
        <v>10679.373336378892</v>
      </c>
      <c r="AN307" s="19">
        <f t="shared" si="88"/>
        <v>10683.092089362646</v>
      </c>
      <c r="AO307" s="19">
        <f t="shared" si="88"/>
        <v>10685.01342658352</v>
      </c>
      <c r="AP307" s="19">
        <f t="shared" si="88"/>
        <v>10685.080908037096</v>
      </c>
      <c r="AQ307" s="19">
        <f t="shared" si="88"/>
        <v>10683.236630516934</v>
      </c>
      <c r="AR307" s="19">
        <f t="shared" si="88"/>
        <v>10679.421191310175</v>
      </c>
      <c r="AS307" s="19">
        <f t="shared" si="88"/>
        <v>5336.7868255007506</v>
      </c>
    </row>
    <row r="308" spans="2:45" hidden="1" outlineLevel="1" x14ac:dyDescent="0.25">
      <c r="C308" s="6" t="s">
        <v>206</v>
      </c>
      <c r="D308" s="2" t="s">
        <v>2</v>
      </c>
      <c r="J308" s="30">
        <f>(1+Discount_Rate)^((Inputs!$F$33-J$248)/Days_In_Year)</f>
        <v>1.4137125510793771</v>
      </c>
      <c r="K308" s="30">
        <f>(1+Discount_Rate)^((Inputs!$F$33-K$248)/Days_In_Year)</f>
        <v>1.3089931028512751</v>
      </c>
      <c r="L308" s="30">
        <f>(1+Discount_Rate)^((Inputs!$F$33-L$248)/Days_In_Year)</f>
        <v>1.2117751184391485</v>
      </c>
      <c r="M308" s="30">
        <f>(1+Discount_Rate)^((Inputs!$F$33-M$248)/Days_In_Year)</f>
        <v>1.122013998554767</v>
      </c>
      <c r="N308" s="30">
        <f>(1+Discount_Rate)^((Inputs!$F$33-N$248)/Days_In_Year)</f>
        <v>1.0389018505136731</v>
      </c>
      <c r="O308" s="30">
        <f>(1+Discount_Rate)^((Inputs!$F$33-O$248)/Days_In_Year)</f>
        <v>0.96194615788303062</v>
      </c>
      <c r="P308" s="30">
        <f>(1+Discount_Rate)^((Inputs!$F$33-P$248)/Days_In_Year)</f>
        <v>0.8905031026227137</v>
      </c>
      <c r="Q308" s="30">
        <f>(1+Discount_Rate)^((Inputs!$F$33-Q$248)/Days_In_Year)</f>
        <v>0.8245399098358458</v>
      </c>
      <c r="R308" s="30">
        <f>(1+Discount_Rate)^((Inputs!$F$33-R$248)/Days_In_Year)</f>
        <v>0.76346287947763503</v>
      </c>
      <c r="S308" s="30">
        <f>(1+Discount_Rate)^((Inputs!$F$33-S$248)/Days_In_Year)</f>
        <v>0.7069100735904027</v>
      </c>
      <c r="T308" s="30">
        <f>(1+Discount_Rate)^((Inputs!$F$33-T$248)/Days_In_Year)</f>
        <v>0.6544083664649869</v>
      </c>
      <c r="U308" s="30">
        <f>(1+Discount_Rate)^((Inputs!$F$33-U$248)/Days_In_Year)</f>
        <v>0.60593367265276554</v>
      </c>
      <c r="V308" s="30">
        <f>(1+Discount_Rate)^((Inputs!$F$33-V$248)/Days_In_Year)</f>
        <v>0.56104969690070883</v>
      </c>
      <c r="W308" s="30">
        <f>(1+Discount_Rate)^((Inputs!$F$33-W$248)/Days_In_Year)</f>
        <v>0.51949046009324884</v>
      </c>
      <c r="X308" s="30">
        <f>(1+Discount_Rate)^((Inputs!$F$33-X$248)/Days_In_Year)</f>
        <v>0.48090827402856651</v>
      </c>
      <c r="Y308" s="30">
        <f>(1+Discount_Rate)^((Inputs!$F$33-Y$248)/Days_In_Year)</f>
        <v>0.44528543891533923</v>
      </c>
      <c r="Z308" s="30">
        <f>(1+Discount_Rate)^((Inputs!$F$33-Z$248)/Days_In_Year)</f>
        <v>0.41230133232901778</v>
      </c>
      <c r="AA308" s="30">
        <f>(1+Discount_Rate)^((Inputs!$F$33-AA$248)/Days_In_Year)</f>
        <v>0.38176049289723868</v>
      </c>
      <c r="AB308" s="30">
        <f>(1+Discount_Rate)^((Inputs!$F$33-AB$248)/Days_In_Year)</f>
        <v>0.35340741329215369</v>
      </c>
      <c r="AC308" s="30">
        <f>(1+Discount_Rate)^((Inputs!$F$33-AC$248)/Days_In_Year)</f>
        <v>0.32722908638162373</v>
      </c>
      <c r="AD308" s="30">
        <f>(1+Discount_Rate)^((Inputs!$F$33-AD$248)/Days_In_Year)</f>
        <v>0.30298989479779975</v>
      </c>
      <c r="AE308" s="30">
        <f>(1+Discount_Rate)^((Inputs!$F$33-AE$248)/Days_In_Year)</f>
        <v>0.28054619888685151</v>
      </c>
      <c r="AF308" s="30">
        <f>(1+Discount_Rate)^((Inputs!$F$33-AF$248)/Days_In_Year)</f>
        <v>0.25971023273022764</v>
      </c>
      <c r="AG308" s="30">
        <f>(1+Discount_Rate)^((Inputs!$F$33-AG$248)/Days_In_Year)</f>
        <v>0.24047243771317375</v>
      </c>
      <c r="AH308" s="30">
        <f>(1+Discount_Rate)^((Inputs!$F$33-AH$248)/Days_In_Year)</f>
        <v>0.22265966454923491</v>
      </c>
      <c r="AI308" s="30">
        <f>(1+Discount_Rate)^((Inputs!$F$33-AI$248)/Days_In_Year)</f>
        <v>0.20616635606410641</v>
      </c>
      <c r="AJ308" s="30">
        <f>(1+Discount_Rate)^((Inputs!$F$33-AJ$248)/Days_In_Year)</f>
        <v>0.19085452779970458</v>
      </c>
      <c r="AK308" s="30">
        <f>(1+Discount_Rate)^((Inputs!$F$33-AK$248)/Days_In_Year)</f>
        <v>0.17671715537009683</v>
      </c>
      <c r="AL308" s="30">
        <f>(1+Discount_Rate)^((Inputs!$F$33-AL$248)/Days_In_Year)</f>
        <v>0.16362699571305259</v>
      </c>
      <c r="AM308" s="30">
        <f>(1+Discount_Rate)^((Inputs!$F$33-AM$248)/Days_In_Year)</f>
        <v>0.15150647751208571</v>
      </c>
      <c r="AN308" s="30">
        <f>(1+Discount_Rate)^((Inputs!$F$33-AN$248)/Days_In_Year)</f>
        <v>0.14025419945422371</v>
      </c>
      <c r="AO308" s="30">
        <f>(1+Discount_Rate)^((Inputs!$F$33-AO$248)/Days_In_Year)</f>
        <v>0.12986499949465158</v>
      </c>
      <c r="AP308" s="30">
        <f>(1+Discount_Rate)^((Inputs!$F$33-AP$248)/Days_In_Year)</f>
        <v>0.12024536990245513</v>
      </c>
      <c r="AQ308" s="30">
        <f>(1+Discount_Rate)^((Inputs!$F$33-AQ$248)/Days_In_Year)</f>
        <v>0.1113383054652362</v>
      </c>
      <c r="AR308" s="30">
        <f>(1+Discount_Rate)^((Inputs!$F$33-AR$248)/Days_In_Year)</f>
        <v>0.1030692889046335</v>
      </c>
      <c r="AS308" s="30">
        <f>(1+Discount_Rate)^((Inputs!$F$33-AS$248)/Days_In_Year)</f>
        <v>9.5434526763549549E-2</v>
      </c>
    </row>
    <row r="309" spans="2:45" hidden="1" outlineLevel="1" x14ac:dyDescent="0.25">
      <c r="C309" s="6" t="s">
        <v>207</v>
      </c>
      <c r="D309" s="2" t="s">
        <v>79</v>
      </c>
      <c r="H309" s="8">
        <f>SUM(J309:AS309)</f>
        <v>117317.066600666</v>
      </c>
      <c r="J309" s="8">
        <f t="shared" ref="J309:AS309" si="89">J306*J308</f>
        <v>0</v>
      </c>
      <c r="K309" s="8">
        <f t="shared" si="89"/>
        <v>0</v>
      </c>
      <c r="L309" s="8">
        <f t="shared" si="89"/>
        <v>0</v>
      </c>
      <c r="M309" s="8">
        <f t="shared" si="89"/>
        <v>0</v>
      </c>
      <c r="N309" s="8">
        <f t="shared" si="89"/>
        <v>0</v>
      </c>
      <c r="O309" s="8">
        <f t="shared" si="89"/>
        <v>4876.8474889625968</v>
      </c>
      <c r="P309" s="8">
        <f t="shared" si="89"/>
        <v>9090.5393401605379</v>
      </c>
      <c r="Q309" s="8">
        <f t="shared" si="89"/>
        <v>8443.8555920406125</v>
      </c>
      <c r="R309" s="8">
        <f t="shared" si="89"/>
        <v>7842.4626069027072</v>
      </c>
      <c r="S309" s="8">
        <f t="shared" si="89"/>
        <v>7283.2240477566929</v>
      </c>
      <c r="T309" s="8">
        <f t="shared" si="89"/>
        <v>6761.7930464631327</v>
      </c>
      <c r="U309" s="8">
        <f t="shared" si="89"/>
        <v>6278.4030036344766</v>
      </c>
      <c r="V309" s="8">
        <f t="shared" si="89"/>
        <v>5828.9855926954951</v>
      </c>
      <c r="W309" s="8">
        <f t="shared" si="89"/>
        <v>5411.1821806256021</v>
      </c>
      <c r="X309" s="8">
        <f t="shared" si="89"/>
        <v>5021.7374551571711</v>
      </c>
      <c r="Y309" s="8">
        <f t="shared" si="89"/>
        <v>4660.8002733485346</v>
      </c>
      <c r="Z309" s="8">
        <f t="shared" si="89"/>
        <v>4325.3258857399596</v>
      </c>
      <c r="AA309" s="8">
        <f t="shared" si="89"/>
        <v>4013.5415781730917</v>
      </c>
      <c r="AB309" s="8">
        <f t="shared" si="89"/>
        <v>3723.0117698673071</v>
      </c>
      <c r="AC309" s="8">
        <f t="shared" si="89"/>
        <v>3453.8267646858831</v>
      </c>
      <c r="AD309" s="8">
        <f t="shared" si="89"/>
        <v>3203.7101148941201</v>
      </c>
      <c r="AE309" s="8">
        <f t="shared" si="89"/>
        <v>2971.3303233682736</v>
      </c>
      <c r="AF309" s="8">
        <f t="shared" si="89"/>
        <v>2754.8669692319727</v>
      </c>
      <c r="AG309" s="8">
        <f t="shared" si="89"/>
        <v>2554.3704034040693</v>
      </c>
      <c r="AH309" s="8">
        <f t="shared" si="89"/>
        <v>2368.1404379391874</v>
      </c>
      <c r="AI309" s="8">
        <f t="shared" si="89"/>
        <v>2195.1776588409725</v>
      </c>
      <c r="AJ309" s="8">
        <f t="shared" si="89"/>
        <v>2034.1229334662307</v>
      </c>
      <c r="AK309" s="8">
        <f t="shared" si="89"/>
        <v>1884.9998798648146</v>
      </c>
      <c r="AL309" s="8">
        <f t="shared" si="89"/>
        <v>1746.5401824968585</v>
      </c>
      <c r="AM309" s="8">
        <f t="shared" si="89"/>
        <v>1617.9942362312563</v>
      </c>
      <c r="AN309" s="8">
        <f t="shared" si="89"/>
        <v>1498.3485286893081</v>
      </c>
      <c r="AO309" s="8">
        <f t="shared" si="89"/>
        <v>1387.6092632436141</v>
      </c>
      <c r="AP309" s="8">
        <f t="shared" si="89"/>
        <v>1284.8315062245817</v>
      </c>
      <c r="AQ309" s="8">
        <f t="shared" si="89"/>
        <v>1189.4534633258952</v>
      </c>
      <c r="AR309" s="8">
        <f t="shared" si="89"/>
        <v>1100.7203481014137</v>
      </c>
      <c r="AS309" s="8">
        <f t="shared" si="89"/>
        <v>509.31372512961002</v>
      </c>
    </row>
    <row r="310" spans="2:45" hidden="1" outlineLevel="1" x14ac:dyDescent="0.25">
      <c r="C310" s="1" t="s">
        <v>208</v>
      </c>
      <c r="D310" s="2" t="s">
        <v>79</v>
      </c>
      <c r="H310" s="19">
        <f>SUM(J310:AS310)</f>
        <v>45974.339888337243</v>
      </c>
      <c r="J310" s="19">
        <f t="shared" ref="J310:AS310" si="90">J292*(J282&lt;=0)+J287*($H309+$F$59+$F$60)</f>
        <v>-657.1232876712329</v>
      </c>
      <c r="K310" s="19">
        <f t="shared" si="90"/>
        <v>-3612.0547945205481</v>
      </c>
      <c r="L310" s="19">
        <f t="shared" si="90"/>
        <v>-3359.8191780821917</v>
      </c>
      <c r="M310" s="19">
        <f t="shared" si="90"/>
        <v>-15927.0625</v>
      </c>
      <c r="N310" s="19">
        <f t="shared" si="90"/>
        <v>-31854.125</v>
      </c>
      <c r="O310" s="19">
        <f t="shared" si="90"/>
        <v>101384.52464861122</v>
      </c>
      <c r="P310" s="19">
        <f t="shared" si="90"/>
        <v>0</v>
      </c>
      <c r="Q310" s="19">
        <f t="shared" si="90"/>
        <v>0</v>
      </c>
      <c r="R310" s="19">
        <f t="shared" si="90"/>
        <v>0</v>
      </c>
      <c r="S310" s="19">
        <f t="shared" si="90"/>
        <v>0</v>
      </c>
      <c r="T310" s="19">
        <f t="shared" si="90"/>
        <v>0</v>
      </c>
      <c r="U310" s="19">
        <f t="shared" si="90"/>
        <v>0</v>
      </c>
      <c r="V310" s="19">
        <f t="shared" si="90"/>
        <v>0</v>
      </c>
      <c r="W310" s="19">
        <f t="shared" si="90"/>
        <v>0</v>
      </c>
      <c r="X310" s="19">
        <f t="shared" si="90"/>
        <v>0</v>
      </c>
      <c r="Y310" s="19">
        <f t="shared" si="90"/>
        <v>0</v>
      </c>
      <c r="Z310" s="19">
        <f t="shared" si="90"/>
        <v>0</v>
      </c>
      <c r="AA310" s="19">
        <f t="shared" si="90"/>
        <v>0</v>
      </c>
      <c r="AB310" s="19">
        <f t="shared" si="90"/>
        <v>0</v>
      </c>
      <c r="AC310" s="19">
        <f t="shared" si="90"/>
        <v>0</v>
      </c>
      <c r="AD310" s="19">
        <f t="shared" si="90"/>
        <v>0</v>
      </c>
      <c r="AE310" s="19">
        <f t="shared" si="90"/>
        <v>0</v>
      </c>
      <c r="AF310" s="19">
        <f t="shared" si="90"/>
        <v>0</v>
      </c>
      <c r="AG310" s="19">
        <f t="shared" si="90"/>
        <v>0</v>
      </c>
      <c r="AH310" s="19">
        <f t="shared" si="90"/>
        <v>0</v>
      </c>
      <c r="AI310" s="19">
        <f t="shared" si="90"/>
        <v>0</v>
      </c>
      <c r="AJ310" s="19">
        <f t="shared" si="90"/>
        <v>0</v>
      </c>
      <c r="AK310" s="19">
        <f t="shared" si="90"/>
        <v>0</v>
      </c>
      <c r="AL310" s="19">
        <f t="shared" si="90"/>
        <v>0</v>
      </c>
      <c r="AM310" s="19">
        <f t="shared" si="90"/>
        <v>0</v>
      </c>
      <c r="AN310" s="19">
        <f t="shared" si="90"/>
        <v>0</v>
      </c>
      <c r="AO310" s="19">
        <f t="shared" si="90"/>
        <v>0</v>
      </c>
      <c r="AP310" s="19">
        <f t="shared" si="90"/>
        <v>0</v>
      </c>
      <c r="AQ310" s="19">
        <f t="shared" si="90"/>
        <v>0</v>
      </c>
      <c r="AR310" s="19">
        <f t="shared" si="90"/>
        <v>0</v>
      </c>
      <c r="AS310" s="19">
        <f t="shared" si="90"/>
        <v>0</v>
      </c>
    </row>
    <row r="311" spans="2:45" hidden="1" outlineLevel="1" x14ac:dyDescent="0.25"/>
    <row r="312" spans="2:45" hidden="1" outlineLevel="1" x14ac:dyDescent="0.25">
      <c r="B312" s="4" t="s">
        <v>2</v>
      </c>
      <c r="C312" s="4" t="s">
        <v>210</v>
      </c>
      <c r="D312" s="4"/>
      <c r="E312" s="5"/>
      <c r="F312" s="5"/>
      <c r="G312" s="5" t="s">
        <v>178</v>
      </c>
      <c r="H312" s="5" t="s">
        <v>7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</row>
    <row r="313" spans="2:45" hidden="1" outlineLevel="1" x14ac:dyDescent="0.25">
      <c r="C313" s="6" t="s">
        <v>179</v>
      </c>
      <c r="D313" s="2" t="s">
        <v>180</v>
      </c>
      <c r="J313" s="27">
        <f>J$247-YEAR(Inputs!$G$33)</f>
        <v>-5</v>
      </c>
      <c r="K313" s="27">
        <f>K$247-YEAR(Inputs!$G$33)</f>
        <v>-4</v>
      </c>
      <c r="L313" s="27">
        <f>L$247-YEAR(Inputs!$G$33)</f>
        <v>-3</v>
      </c>
      <c r="M313" s="27">
        <f>M$247-YEAR(Inputs!$G$33)</f>
        <v>-2</v>
      </c>
      <c r="N313" s="27">
        <f>N$247-YEAR(Inputs!$G$33)</f>
        <v>-1</v>
      </c>
      <c r="O313" s="27">
        <f>O$247-YEAR(Inputs!$G$33)</f>
        <v>0</v>
      </c>
      <c r="P313" s="27">
        <f>P$247-YEAR(Inputs!$G$33)</f>
        <v>1</v>
      </c>
      <c r="Q313" s="27">
        <f>Q$247-YEAR(Inputs!$G$33)</f>
        <v>2</v>
      </c>
      <c r="R313" s="27">
        <f>R$247-YEAR(Inputs!$G$33)</f>
        <v>3</v>
      </c>
      <c r="S313" s="27">
        <f>S$247-YEAR(Inputs!$G$33)</f>
        <v>4</v>
      </c>
      <c r="T313" s="27">
        <f>T$247-YEAR(Inputs!$G$33)</f>
        <v>5</v>
      </c>
      <c r="U313" s="27">
        <f>U$247-YEAR(Inputs!$G$33)</f>
        <v>6</v>
      </c>
      <c r="V313" s="27">
        <f>V$247-YEAR(Inputs!$G$33)</f>
        <v>7</v>
      </c>
      <c r="W313" s="27">
        <f>W$247-YEAR(Inputs!$G$33)</f>
        <v>8</v>
      </c>
      <c r="X313" s="27">
        <f>X$247-YEAR(Inputs!$G$33)</f>
        <v>9</v>
      </c>
      <c r="Y313" s="27">
        <f>Y$247-YEAR(Inputs!$G$33)</f>
        <v>10</v>
      </c>
      <c r="Z313" s="27">
        <f>Z$247-YEAR(Inputs!$G$33)</f>
        <v>11</v>
      </c>
      <c r="AA313" s="27">
        <f>AA$247-YEAR(Inputs!$G$33)</f>
        <v>12</v>
      </c>
      <c r="AB313" s="27">
        <f>AB$247-YEAR(Inputs!$G$33)</f>
        <v>13</v>
      </c>
      <c r="AC313" s="27">
        <f>AC$247-YEAR(Inputs!$G$33)</f>
        <v>14</v>
      </c>
      <c r="AD313" s="27">
        <f>AD$247-YEAR(Inputs!$G$33)</f>
        <v>15</v>
      </c>
      <c r="AE313" s="27">
        <f>AE$247-YEAR(Inputs!$G$33)</f>
        <v>16</v>
      </c>
      <c r="AF313" s="27">
        <f>AF$247-YEAR(Inputs!$G$33)</f>
        <v>17</v>
      </c>
      <c r="AG313" s="27">
        <f>AG$247-YEAR(Inputs!$G$33)</f>
        <v>18</v>
      </c>
      <c r="AH313" s="27">
        <f>AH$247-YEAR(Inputs!$G$33)</f>
        <v>19</v>
      </c>
      <c r="AI313" s="27">
        <f>AI$247-YEAR(Inputs!$G$33)</f>
        <v>20</v>
      </c>
      <c r="AJ313" s="27">
        <f>AJ$247-YEAR(Inputs!$G$33)</f>
        <v>21</v>
      </c>
      <c r="AK313" s="27">
        <f>AK$247-YEAR(Inputs!$G$33)</f>
        <v>22</v>
      </c>
      <c r="AL313" s="27">
        <f>AL$247-YEAR(Inputs!$G$33)</f>
        <v>23</v>
      </c>
      <c r="AM313" s="27">
        <f>AM$247-YEAR(Inputs!$G$33)</f>
        <v>24</v>
      </c>
      <c r="AN313" s="27">
        <f>AN$247-YEAR(Inputs!$G$33)</f>
        <v>25</v>
      </c>
      <c r="AO313" s="27">
        <f>AO$247-YEAR(Inputs!$G$33)</f>
        <v>26</v>
      </c>
      <c r="AP313" s="27">
        <f>AP$247-YEAR(Inputs!$G$33)</f>
        <v>27</v>
      </c>
      <c r="AQ313" s="27">
        <f>AQ$247-YEAR(Inputs!$G$33)</f>
        <v>28</v>
      </c>
      <c r="AR313" s="27">
        <f>AR$247-YEAR(Inputs!$G$33)</f>
        <v>29</v>
      </c>
      <c r="AS313" s="27">
        <f>AS$247-YEAR(Inputs!$G$33)</f>
        <v>30</v>
      </c>
    </row>
    <row r="314" spans="2:45" hidden="1" outlineLevel="1" x14ac:dyDescent="0.25">
      <c r="C314" s="6" t="s">
        <v>181</v>
      </c>
      <c r="D314" s="2" t="s">
        <v>182</v>
      </c>
      <c r="G314" s="27">
        <f>DATEDIF(Inputs!$G$32,Inputs!$G$33,"m")</f>
        <v>24</v>
      </c>
      <c r="J314" s="27">
        <f>(J$247+1-YEAR(Inputs!$G$32))*Months_In_Year-MONTH(Inputs!$G$32)</f>
        <v>-30</v>
      </c>
      <c r="K314" s="27">
        <f>(K$247+1-YEAR(Inputs!$G$32))*Months_In_Year-MONTH(Inputs!$G$32)</f>
        <v>-18</v>
      </c>
      <c r="L314" s="27">
        <f>(L$247+1-YEAR(Inputs!$G$32))*Months_In_Year-MONTH(Inputs!$G$32)</f>
        <v>-6</v>
      </c>
      <c r="M314" s="27">
        <f>(M$247+1-YEAR(Inputs!$G$32))*Months_In_Year-MONTH(Inputs!$G$32)</f>
        <v>6</v>
      </c>
      <c r="N314" s="27">
        <f>(N$247+1-YEAR(Inputs!$G$32))*Months_In_Year-MONTH(Inputs!$G$32)</f>
        <v>18</v>
      </c>
      <c r="O314" s="27">
        <f>(O$247+1-YEAR(Inputs!$G$32))*Months_In_Year-MONTH(Inputs!$G$32)</f>
        <v>30</v>
      </c>
      <c r="P314" s="27">
        <f>(P$247+1-YEAR(Inputs!$G$32))*Months_In_Year-MONTH(Inputs!$G$32)</f>
        <v>42</v>
      </c>
      <c r="Q314" s="27">
        <f>(Q$247+1-YEAR(Inputs!$G$32))*Months_In_Year-MONTH(Inputs!$G$32)</f>
        <v>54</v>
      </c>
      <c r="R314" s="27">
        <f>(R$247+1-YEAR(Inputs!$G$32))*Months_In_Year-MONTH(Inputs!$G$32)</f>
        <v>66</v>
      </c>
      <c r="S314" s="27">
        <f>(S$247+1-YEAR(Inputs!$G$32))*Months_In_Year-MONTH(Inputs!$G$32)</f>
        <v>78</v>
      </c>
      <c r="T314" s="27">
        <f>(T$247+1-YEAR(Inputs!$G$32))*Months_In_Year-MONTH(Inputs!$G$32)</f>
        <v>90</v>
      </c>
      <c r="U314" s="27">
        <f>(U$247+1-YEAR(Inputs!$G$32))*Months_In_Year-MONTH(Inputs!$G$32)</f>
        <v>102</v>
      </c>
      <c r="V314" s="27">
        <f>(V$247+1-YEAR(Inputs!$G$32))*Months_In_Year-MONTH(Inputs!$G$32)</f>
        <v>114</v>
      </c>
      <c r="W314" s="27">
        <f>(W$247+1-YEAR(Inputs!$G$32))*Months_In_Year-MONTH(Inputs!$G$32)</f>
        <v>126</v>
      </c>
      <c r="X314" s="27">
        <f>(X$247+1-YEAR(Inputs!$G$32))*Months_In_Year-MONTH(Inputs!$G$32)</f>
        <v>138</v>
      </c>
      <c r="Y314" s="27">
        <f>(Y$247+1-YEAR(Inputs!$G$32))*Months_In_Year-MONTH(Inputs!$G$32)</f>
        <v>150</v>
      </c>
      <c r="Z314" s="27">
        <f>(Z$247+1-YEAR(Inputs!$G$32))*Months_In_Year-MONTH(Inputs!$G$32)</f>
        <v>162</v>
      </c>
      <c r="AA314" s="27">
        <f>(AA$247+1-YEAR(Inputs!$G$32))*Months_In_Year-MONTH(Inputs!$G$32)</f>
        <v>174</v>
      </c>
      <c r="AB314" s="27">
        <f>(AB$247+1-YEAR(Inputs!$G$32))*Months_In_Year-MONTH(Inputs!$G$32)</f>
        <v>186</v>
      </c>
      <c r="AC314" s="27">
        <f>(AC$247+1-YEAR(Inputs!$G$32))*Months_In_Year-MONTH(Inputs!$G$32)</f>
        <v>198</v>
      </c>
      <c r="AD314" s="27">
        <f>(AD$247+1-YEAR(Inputs!$G$32))*Months_In_Year-MONTH(Inputs!$G$32)</f>
        <v>210</v>
      </c>
      <c r="AE314" s="27">
        <f>(AE$247+1-YEAR(Inputs!$G$32))*Months_In_Year-MONTH(Inputs!$G$32)</f>
        <v>222</v>
      </c>
      <c r="AF314" s="27">
        <f>(AF$247+1-YEAR(Inputs!$G$32))*Months_In_Year-MONTH(Inputs!$G$32)</f>
        <v>234</v>
      </c>
      <c r="AG314" s="27">
        <f>(AG$247+1-YEAR(Inputs!$G$32))*Months_In_Year-MONTH(Inputs!$G$32)</f>
        <v>246</v>
      </c>
      <c r="AH314" s="27">
        <f>(AH$247+1-YEAR(Inputs!$G$32))*Months_In_Year-MONTH(Inputs!$G$32)</f>
        <v>258</v>
      </c>
      <c r="AI314" s="27">
        <f>(AI$247+1-YEAR(Inputs!$G$32))*Months_In_Year-MONTH(Inputs!$G$32)</f>
        <v>270</v>
      </c>
      <c r="AJ314" s="27">
        <f>(AJ$247+1-YEAR(Inputs!$G$32))*Months_In_Year-MONTH(Inputs!$G$32)</f>
        <v>282</v>
      </c>
      <c r="AK314" s="27">
        <f>(AK$247+1-YEAR(Inputs!$G$32))*Months_In_Year-MONTH(Inputs!$G$32)</f>
        <v>294</v>
      </c>
      <c r="AL314" s="27">
        <f>(AL$247+1-YEAR(Inputs!$G$32))*Months_In_Year-MONTH(Inputs!$G$32)</f>
        <v>306</v>
      </c>
      <c r="AM314" s="27">
        <f>(AM$247+1-YEAR(Inputs!$G$32))*Months_In_Year-MONTH(Inputs!$G$32)</f>
        <v>318</v>
      </c>
      <c r="AN314" s="27">
        <f>(AN$247+1-YEAR(Inputs!$G$32))*Months_In_Year-MONTH(Inputs!$G$32)</f>
        <v>330</v>
      </c>
      <c r="AO314" s="27">
        <f>(AO$247+1-YEAR(Inputs!$G$32))*Months_In_Year-MONTH(Inputs!$G$32)</f>
        <v>342</v>
      </c>
      <c r="AP314" s="27">
        <f>(AP$247+1-YEAR(Inputs!$G$32))*Months_In_Year-MONTH(Inputs!$G$32)</f>
        <v>354</v>
      </c>
      <c r="AQ314" s="27">
        <f>(AQ$247+1-YEAR(Inputs!$G$32))*Months_In_Year-MONTH(Inputs!$G$32)</f>
        <v>366</v>
      </c>
      <c r="AR314" s="27">
        <f>(AR$247+1-YEAR(Inputs!$G$32))*Months_In_Year-MONTH(Inputs!$G$32)</f>
        <v>378</v>
      </c>
      <c r="AS314" s="27">
        <f>(AS$247+1-YEAR(Inputs!$G$32))*Months_In_Year-MONTH(Inputs!$G$32)</f>
        <v>390</v>
      </c>
    </row>
    <row r="315" spans="2:45" hidden="1" outlineLevel="1" x14ac:dyDescent="0.25">
      <c r="C315" s="6" t="s">
        <v>183</v>
      </c>
      <c r="D315" s="2" t="s">
        <v>11</v>
      </c>
      <c r="H315" s="28">
        <f>SUM(J315:AS315)</f>
        <v>1</v>
      </c>
      <c r="J315" s="23">
        <f t="shared" ref="J315:AS315" si="91">MAX(0,MIN(J314,$G314)-MAX(J314-Months_In_Year,0))/$G314</f>
        <v>0</v>
      </c>
      <c r="K315" s="23">
        <f t="shared" si="91"/>
        <v>0</v>
      </c>
      <c r="L315" s="23">
        <f t="shared" si="91"/>
        <v>0</v>
      </c>
      <c r="M315" s="23">
        <f t="shared" si="91"/>
        <v>0.25</v>
      </c>
      <c r="N315" s="23">
        <f t="shared" si="91"/>
        <v>0.5</v>
      </c>
      <c r="O315" s="23">
        <f t="shared" si="91"/>
        <v>0.25</v>
      </c>
      <c r="P315" s="23">
        <f t="shared" si="91"/>
        <v>0</v>
      </c>
      <c r="Q315" s="23">
        <f t="shared" si="91"/>
        <v>0</v>
      </c>
      <c r="R315" s="23">
        <f t="shared" si="91"/>
        <v>0</v>
      </c>
      <c r="S315" s="23">
        <f t="shared" si="91"/>
        <v>0</v>
      </c>
      <c r="T315" s="23">
        <f t="shared" si="91"/>
        <v>0</v>
      </c>
      <c r="U315" s="23">
        <f t="shared" si="91"/>
        <v>0</v>
      </c>
      <c r="V315" s="23">
        <f t="shared" si="91"/>
        <v>0</v>
      </c>
      <c r="W315" s="23">
        <f t="shared" si="91"/>
        <v>0</v>
      </c>
      <c r="X315" s="23">
        <f t="shared" si="91"/>
        <v>0</v>
      </c>
      <c r="Y315" s="23">
        <f t="shared" si="91"/>
        <v>0</v>
      </c>
      <c r="Z315" s="23">
        <f t="shared" si="91"/>
        <v>0</v>
      </c>
      <c r="AA315" s="23">
        <f t="shared" si="91"/>
        <v>0</v>
      </c>
      <c r="AB315" s="23">
        <f t="shared" si="91"/>
        <v>0</v>
      </c>
      <c r="AC315" s="23">
        <f t="shared" si="91"/>
        <v>0</v>
      </c>
      <c r="AD315" s="23">
        <f t="shared" si="91"/>
        <v>0</v>
      </c>
      <c r="AE315" s="23">
        <f t="shared" si="91"/>
        <v>0</v>
      </c>
      <c r="AF315" s="23">
        <f t="shared" si="91"/>
        <v>0</v>
      </c>
      <c r="AG315" s="23">
        <f t="shared" si="91"/>
        <v>0</v>
      </c>
      <c r="AH315" s="23">
        <f t="shared" si="91"/>
        <v>0</v>
      </c>
      <c r="AI315" s="23">
        <f t="shared" si="91"/>
        <v>0</v>
      </c>
      <c r="AJ315" s="23">
        <f t="shared" si="91"/>
        <v>0</v>
      </c>
      <c r="AK315" s="23">
        <f t="shared" si="91"/>
        <v>0</v>
      </c>
      <c r="AL315" s="23">
        <f t="shared" si="91"/>
        <v>0</v>
      </c>
      <c r="AM315" s="23">
        <f t="shared" si="91"/>
        <v>0</v>
      </c>
      <c r="AN315" s="23">
        <f t="shared" si="91"/>
        <v>0</v>
      </c>
      <c r="AO315" s="23">
        <f t="shared" si="91"/>
        <v>0</v>
      </c>
      <c r="AP315" s="23">
        <f t="shared" si="91"/>
        <v>0</v>
      </c>
      <c r="AQ315" s="23">
        <f t="shared" si="91"/>
        <v>0</v>
      </c>
      <c r="AR315" s="23">
        <f t="shared" si="91"/>
        <v>0</v>
      </c>
      <c r="AS315" s="23">
        <f t="shared" si="91"/>
        <v>0</v>
      </c>
    </row>
    <row r="316" spans="2:45" hidden="1" outlineLevel="1" x14ac:dyDescent="0.25">
      <c r="C316" s="6" t="s">
        <v>184</v>
      </c>
      <c r="D316" s="2" t="s">
        <v>182</v>
      </c>
      <c r="G316" s="27">
        <f>Life*Months_In_Year</f>
        <v>360</v>
      </c>
      <c r="J316" s="27">
        <f>(J$247+1-YEAR(Inputs!$G$33))*Months_In_Year-MONTH(Inputs!$G$33)</f>
        <v>-54</v>
      </c>
      <c r="K316" s="27">
        <f>(K$247+1-YEAR(Inputs!$G$33))*Months_In_Year-MONTH(Inputs!$G$33)</f>
        <v>-42</v>
      </c>
      <c r="L316" s="27">
        <f>(L$247+1-YEAR(Inputs!$G$33))*Months_In_Year-MONTH(Inputs!$G$33)</f>
        <v>-30</v>
      </c>
      <c r="M316" s="27">
        <f>(M$247+1-YEAR(Inputs!$G$33))*Months_In_Year-MONTH(Inputs!$G$33)</f>
        <v>-18</v>
      </c>
      <c r="N316" s="27">
        <f>(N$247+1-YEAR(Inputs!$G$33))*Months_In_Year-MONTH(Inputs!$G$33)</f>
        <v>-6</v>
      </c>
      <c r="O316" s="27">
        <f>(O$247+1-YEAR(Inputs!$G$33))*Months_In_Year-MONTH(Inputs!$G$33)</f>
        <v>6</v>
      </c>
      <c r="P316" s="27">
        <f>(P$247+1-YEAR(Inputs!$G$33))*Months_In_Year-MONTH(Inputs!$G$33)</f>
        <v>18</v>
      </c>
      <c r="Q316" s="27">
        <f>(Q$247+1-YEAR(Inputs!$G$33))*Months_In_Year-MONTH(Inputs!$G$33)</f>
        <v>30</v>
      </c>
      <c r="R316" s="27">
        <f>(R$247+1-YEAR(Inputs!$G$33))*Months_In_Year-MONTH(Inputs!$G$33)</f>
        <v>42</v>
      </c>
      <c r="S316" s="27">
        <f>(S$247+1-YEAR(Inputs!$G$33))*Months_In_Year-MONTH(Inputs!$G$33)</f>
        <v>54</v>
      </c>
      <c r="T316" s="27">
        <f>(T$247+1-YEAR(Inputs!$G$33))*Months_In_Year-MONTH(Inputs!$G$33)</f>
        <v>66</v>
      </c>
      <c r="U316" s="27">
        <f>(U$247+1-YEAR(Inputs!$G$33))*Months_In_Year-MONTH(Inputs!$G$33)</f>
        <v>78</v>
      </c>
      <c r="V316" s="27">
        <f>(V$247+1-YEAR(Inputs!$G$33))*Months_In_Year-MONTH(Inputs!$G$33)</f>
        <v>90</v>
      </c>
      <c r="W316" s="27">
        <f>(W$247+1-YEAR(Inputs!$G$33))*Months_In_Year-MONTH(Inputs!$G$33)</f>
        <v>102</v>
      </c>
      <c r="X316" s="27">
        <f>(X$247+1-YEAR(Inputs!$G$33))*Months_In_Year-MONTH(Inputs!$G$33)</f>
        <v>114</v>
      </c>
      <c r="Y316" s="27">
        <f>(Y$247+1-YEAR(Inputs!$G$33))*Months_In_Year-MONTH(Inputs!$G$33)</f>
        <v>126</v>
      </c>
      <c r="Z316" s="27">
        <f>(Z$247+1-YEAR(Inputs!$G$33))*Months_In_Year-MONTH(Inputs!$G$33)</f>
        <v>138</v>
      </c>
      <c r="AA316" s="27">
        <f>(AA$247+1-YEAR(Inputs!$G$33))*Months_In_Year-MONTH(Inputs!$G$33)</f>
        <v>150</v>
      </c>
      <c r="AB316" s="27">
        <f>(AB$247+1-YEAR(Inputs!$G$33))*Months_In_Year-MONTH(Inputs!$G$33)</f>
        <v>162</v>
      </c>
      <c r="AC316" s="27">
        <f>(AC$247+1-YEAR(Inputs!$G$33))*Months_In_Year-MONTH(Inputs!$G$33)</f>
        <v>174</v>
      </c>
      <c r="AD316" s="27">
        <f>(AD$247+1-YEAR(Inputs!$G$33))*Months_In_Year-MONTH(Inputs!$G$33)</f>
        <v>186</v>
      </c>
      <c r="AE316" s="27">
        <f>(AE$247+1-YEAR(Inputs!$G$33))*Months_In_Year-MONTH(Inputs!$G$33)</f>
        <v>198</v>
      </c>
      <c r="AF316" s="27">
        <f>(AF$247+1-YEAR(Inputs!$G$33))*Months_In_Year-MONTH(Inputs!$G$33)</f>
        <v>210</v>
      </c>
      <c r="AG316" s="27">
        <f>(AG$247+1-YEAR(Inputs!$G$33))*Months_In_Year-MONTH(Inputs!$G$33)</f>
        <v>222</v>
      </c>
      <c r="AH316" s="27">
        <f>(AH$247+1-YEAR(Inputs!$G$33))*Months_In_Year-MONTH(Inputs!$G$33)</f>
        <v>234</v>
      </c>
      <c r="AI316" s="27">
        <f>(AI$247+1-YEAR(Inputs!$G$33))*Months_In_Year-MONTH(Inputs!$G$33)</f>
        <v>246</v>
      </c>
      <c r="AJ316" s="27">
        <f>(AJ$247+1-YEAR(Inputs!$G$33))*Months_In_Year-MONTH(Inputs!$G$33)</f>
        <v>258</v>
      </c>
      <c r="AK316" s="27">
        <f>(AK$247+1-YEAR(Inputs!$G$33))*Months_In_Year-MONTH(Inputs!$G$33)</f>
        <v>270</v>
      </c>
      <c r="AL316" s="27">
        <f>(AL$247+1-YEAR(Inputs!$G$33))*Months_In_Year-MONTH(Inputs!$G$33)</f>
        <v>282</v>
      </c>
      <c r="AM316" s="27">
        <f>(AM$247+1-YEAR(Inputs!$G$33))*Months_In_Year-MONTH(Inputs!$G$33)</f>
        <v>294</v>
      </c>
      <c r="AN316" s="27">
        <f>(AN$247+1-YEAR(Inputs!$G$33))*Months_In_Year-MONTH(Inputs!$G$33)</f>
        <v>306</v>
      </c>
      <c r="AO316" s="27">
        <f>(AO$247+1-YEAR(Inputs!$G$33))*Months_In_Year-MONTH(Inputs!$G$33)</f>
        <v>318</v>
      </c>
      <c r="AP316" s="27">
        <f>(AP$247+1-YEAR(Inputs!$G$33))*Months_In_Year-MONTH(Inputs!$G$33)</f>
        <v>330</v>
      </c>
      <c r="AQ316" s="27">
        <f>(AQ$247+1-YEAR(Inputs!$G$33))*Months_In_Year-MONTH(Inputs!$G$33)</f>
        <v>342</v>
      </c>
      <c r="AR316" s="27">
        <f>(AR$247+1-YEAR(Inputs!$G$33))*Months_In_Year-MONTH(Inputs!$G$33)</f>
        <v>354</v>
      </c>
      <c r="AS316" s="27">
        <f>(AS$247+1-YEAR(Inputs!$G$33))*Months_In_Year-MONTH(Inputs!$G$33)</f>
        <v>366</v>
      </c>
    </row>
    <row r="317" spans="2:45" hidden="1" outlineLevel="1" x14ac:dyDescent="0.25">
      <c r="C317" s="6" t="s">
        <v>185</v>
      </c>
      <c r="D317" s="2" t="s">
        <v>11</v>
      </c>
      <c r="H317" s="28">
        <f>SUM(J317:AS317)</f>
        <v>30</v>
      </c>
      <c r="J317" s="23">
        <f t="shared" ref="J317:AS317" si="92">MAX(0,MIN(J316,$G316)-MAX(J316-Months_In_Year,0))/Months_In_Year</f>
        <v>0</v>
      </c>
      <c r="K317" s="23">
        <f t="shared" si="92"/>
        <v>0</v>
      </c>
      <c r="L317" s="23">
        <f t="shared" si="92"/>
        <v>0</v>
      </c>
      <c r="M317" s="23">
        <f t="shared" si="92"/>
        <v>0</v>
      </c>
      <c r="N317" s="23">
        <f t="shared" si="92"/>
        <v>0</v>
      </c>
      <c r="O317" s="23">
        <f t="shared" si="92"/>
        <v>0.5</v>
      </c>
      <c r="P317" s="23">
        <f t="shared" si="92"/>
        <v>1</v>
      </c>
      <c r="Q317" s="23">
        <f t="shared" si="92"/>
        <v>1</v>
      </c>
      <c r="R317" s="23">
        <f t="shared" si="92"/>
        <v>1</v>
      </c>
      <c r="S317" s="23">
        <f t="shared" si="92"/>
        <v>1</v>
      </c>
      <c r="T317" s="23">
        <f t="shared" si="92"/>
        <v>1</v>
      </c>
      <c r="U317" s="23">
        <f t="shared" si="92"/>
        <v>1</v>
      </c>
      <c r="V317" s="23">
        <f t="shared" si="92"/>
        <v>1</v>
      </c>
      <c r="W317" s="23">
        <f t="shared" si="92"/>
        <v>1</v>
      </c>
      <c r="X317" s="23">
        <f t="shared" si="92"/>
        <v>1</v>
      </c>
      <c r="Y317" s="23">
        <f t="shared" si="92"/>
        <v>1</v>
      </c>
      <c r="Z317" s="23">
        <f t="shared" si="92"/>
        <v>1</v>
      </c>
      <c r="AA317" s="23">
        <f t="shared" si="92"/>
        <v>1</v>
      </c>
      <c r="AB317" s="23">
        <f t="shared" si="92"/>
        <v>1</v>
      </c>
      <c r="AC317" s="23">
        <f t="shared" si="92"/>
        <v>1</v>
      </c>
      <c r="AD317" s="23">
        <f t="shared" si="92"/>
        <v>1</v>
      </c>
      <c r="AE317" s="23">
        <f t="shared" si="92"/>
        <v>1</v>
      </c>
      <c r="AF317" s="23">
        <f t="shared" si="92"/>
        <v>1</v>
      </c>
      <c r="AG317" s="23">
        <f t="shared" si="92"/>
        <v>1</v>
      </c>
      <c r="AH317" s="23">
        <f t="shared" si="92"/>
        <v>1</v>
      </c>
      <c r="AI317" s="23">
        <f t="shared" si="92"/>
        <v>1</v>
      </c>
      <c r="AJ317" s="23">
        <f t="shared" si="92"/>
        <v>1</v>
      </c>
      <c r="AK317" s="23">
        <f t="shared" si="92"/>
        <v>1</v>
      </c>
      <c r="AL317" s="23">
        <f t="shared" si="92"/>
        <v>1</v>
      </c>
      <c r="AM317" s="23">
        <f t="shared" si="92"/>
        <v>1</v>
      </c>
      <c r="AN317" s="23">
        <f t="shared" si="92"/>
        <v>1</v>
      </c>
      <c r="AO317" s="23">
        <f t="shared" si="92"/>
        <v>1</v>
      </c>
      <c r="AP317" s="23">
        <f t="shared" si="92"/>
        <v>1</v>
      </c>
      <c r="AQ317" s="23">
        <f t="shared" si="92"/>
        <v>1</v>
      </c>
      <c r="AR317" s="23">
        <f t="shared" si="92"/>
        <v>1</v>
      </c>
      <c r="AS317" s="23">
        <f t="shared" si="92"/>
        <v>0.5</v>
      </c>
    </row>
    <row r="318" spans="2:45" hidden="1" outlineLevel="1" x14ac:dyDescent="0.25">
      <c r="C318" s="6" t="s">
        <v>186</v>
      </c>
      <c r="D318" s="2" t="s">
        <v>1</v>
      </c>
      <c r="J318" s="29">
        <f t="shared" ref="J318:AS318" si="93">N(J313=0)</f>
        <v>0</v>
      </c>
      <c r="K318" s="29">
        <f t="shared" si="93"/>
        <v>0</v>
      </c>
      <c r="L318" s="29">
        <f t="shared" si="93"/>
        <v>0</v>
      </c>
      <c r="M318" s="29">
        <f t="shared" si="93"/>
        <v>0</v>
      </c>
      <c r="N318" s="29">
        <f t="shared" si="93"/>
        <v>0</v>
      </c>
      <c r="O318" s="29">
        <f t="shared" si="93"/>
        <v>1</v>
      </c>
      <c r="P318" s="29">
        <f t="shared" si="93"/>
        <v>0</v>
      </c>
      <c r="Q318" s="29">
        <f t="shared" si="93"/>
        <v>0</v>
      </c>
      <c r="R318" s="29">
        <f t="shared" si="93"/>
        <v>0</v>
      </c>
      <c r="S318" s="29">
        <f t="shared" si="93"/>
        <v>0</v>
      </c>
      <c r="T318" s="29">
        <f t="shared" si="93"/>
        <v>0</v>
      </c>
      <c r="U318" s="29">
        <f t="shared" si="93"/>
        <v>0</v>
      </c>
      <c r="V318" s="29">
        <f t="shared" si="93"/>
        <v>0</v>
      </c>
      <c r="W318" s="29">
        <f t="shared" si="93"/>
        <v>0</v>
      </c>
      <c r="X318" s="29">
        <f t="shared" si="93"/>
        <v>0</v>
      </c>
      <c r="Y318" s="29">
        <f t="shared" si="93"/>
        <v>0</v>
      </c>
      <c r="Z318" s="29">
        <f t="shared" si="93"/>
        <v>0</v>
      </c>
      <c r="AA318" s="29">
        <f t="shared" si="93"/>
        <v>0</v>
      </c>
      <c r="AB318" s="29">
        <f t="shared" si="93"/>
        <v>0</v>
      </c>
      <c r="AC318" s="29">
        <f t="shared" si="93"/>
        <v>0</v>
      </c>
      <c r="AD318" s="29">
        <f t="shared" si="93"/>
        <v>0</v>
      </c>
      <c r="AE318" s="29">
        <f t="shared" si="93"/>
        <v>0</v>
      </c>
      <c r="AF318" s="29">
        <f t="shared" si="93"/>
        <v>0</v>
      </c>
      <c r="AG318" s="29">
        <f t="shared" si="93"/>
        <v>0</v>
      </c>
      <c r="AH318" s="29">
        <f t="shared" si="93"/>
        <v>0</v>
      </c>
      <c r="AI318" s="29">
        <f t="shared" si="93"/>
        <v>0</v>
      </c>
      <c r="AJ318" s="29">
        <f t="shared" si="93"/>
        <v>0</v>
      </c>
      <c r="AK318" s="29">
        <f t="shared" si="93"/>
        <v>0</v>
      </c>
      <c r="AL318" s="29">
        <f t="shared" si="93"/>
        <v>0</v>
      </c>
      <c r="AM318" s="29">
        <f t="shared" si="93"/>
        <v>0</v>
      </c>
      <c r="AN318" s="29">
        <f t="shared" si="93"/>
        <v>0</v>
      </c>
      <c r="AO318" s="29">
        <f t="shared" si="93"/>
        <v>0</v>
      </c>
      <c r="AP318" s="29">
        <f t="shared" si="93"/>
        <v>0</v>
      </c>
      <c r="AQ318" s="29">
        <f t="shared" si="93"/>
        <v>0</v>
      </c>
      <c r="AR318" s="29">
        <f t="shared" si="93"/>
        <v>0</v>
      </c>
      <c r="AS318" s="29">
        <f t="shared" si="93"/>
        <v>0</v>
      </c>
    </row>
    <row r="319" spans="2:45" hidden="1" outlineLevel="1" x14ac:dyDescent="0.25">
      <c r="C319" s="6" t="s">
        <v>187</v>
      </c>
      <c r="D319" s="2" t="s">
        <v>79</v>
      </c>
      <c r="H319" s="8">
        <f>SUM(J319:AS319)</f>
        <v>-7628.9972602739726</v>
      </c>
      <c r="J319" s="8">
        <f t="shared" ref="J319:AS319" si="94">SUMPRODUCT((YEAR($L$202:$L$209)=J$247)*$G$202:$G$209)</f>
        <v>-657.1232876712329</v>
      </c>
      <c r="K319" s="8">
        <f t="shared" si="94"/>
        <v>-3612.0547945205481</v>
      </c>
      <c r="L319" s="8">
        <f t="shared" si="94"/>
        <v>-3359.8191780821917</v>
      </c>
      <c r="M319" s="8">
        <f t="shared" si="94"/>
        <v>0</v>
      </c>
      <c r="N319" s="8">
        <f t="shared" si="94"/>
        <v>0</v>
      </c>
      <c r="O319" s="8">
        <f t="shared" si="94"/>
        <v>0</v>
      </c>
      <c r="P319" s="8">
        <f t="shared" si="94"/>
        <v>0</v>
      </c>
      <c r="Q319" s="8">
        <f t="shared" si="94"/>
        <v>0</v>
      </c>
      <c r="R319" s="8">
        <f t="shared" si="94"/>
        <v>0</v>
      </c>
      <c r="S319" s="8">
        <f t="shared" si="94"/>
        <v>0</v>
      </c>
      <c r="T319" s="8">
        <f t="shared" si="94"/>
        <v>0</v>
      </c>
      <c r="U319" s="8">
        <f t="shared" si="94"/>
        <v>0</v>
      </c>
      <c r="V319" s="8">
        <f t="shared" si="94"/>
        <v>0</v>
      </c>
      <c r="W319" s="8">
        <f t="shared" si="94"/>
        <v>0</v>
      </c>
      <c r="X319" s="8">
        <f t="shared" si="94"/>
        <v>0</v>
      </c>
      <c r="Y319" s="8">
        <f t="shared" si="94"/>
        <v>0</v>
      </c>
      <c r="Z319" s="8">
        <f t="shared" si="94"/>
        <v>0</v>
      </c>
      <c r="AA319" s="8">
        <f t="shared" si="94"/>
        <v>0</v>
      </c>
      <c r="AB319" s="8">
        <f t="shared" si="94"/>
        <v>0</v>
      </c>
      <c r="AC319" s="8">
        <f t="shared" si="94"/>
        <v>0</v>
      </c>
      <c r="AD319" s="8">
        <f t="shared" si="94"/>
        <v>0</v>
      </c>
      <c r="AE319" s="8">
        <f t="shared" si="94"/>
        <v>0</v>
      </c>
      <c r="AF319" s="8">
        <f t="shared" si="94"/>
        <v>0</v>
      </c>
      <c r="AG319" s="8">
        <f t="shared" si="94"/>
        <v>0</v>
      </c>
      <c r="AH319" s="8">
        <f t="shared" si="94"/>
        <v>0</v>
      </c>
      <c r="AI319" s="8">
        <f t="shared" si="94"/>
        <v>0</v>
      </c>
      <c r="AJ319" s="8">
        <f t="shared" si="94"/>
        <v>0</v>
      </c>
      <c r="AK319" s="8">
        <f t="shared" si="94"/>
        <v>0</v>
      </c>
      <c r="AL319" s="8">
        <f t="shared" si="94"/>
        <v>0</v>
      </c>
      <c r="AM319" s="8">
        <f t="shared" si="94"/>
        <v>0</v>
      </c>
      <c r="AN319" s="8">
        <f t="shared" si="94"/>
        <v>0</v>
      </c>
      <c r="AO319" s="8">
        <f t="shared" si="94"/>
        <v>0</v>
      </c>
      <c r="AP319" s="8">
        <f t="shared" si="94"/>
        <v>0</v>
      </c>
      <c r="AQ319" s="8">
        <f t="shared" si="94"/>
        <v>0</v>
      </c>
      <c r="AR319" s="8">
        <f t="shared" si="94"/>
        <v>0</v>
      </c>
      <c r="AS319" s="8">
        <f t="shared" si="94"/>
        <v>0</v>
      </c>
    </row>
    <row r="320" spans="2:45" hidden="1" outlineLevel="1" x14ac:dyDescent="0.25">
      <c r="C320" s="6" t="s">
        <v>188</v>
      </c>
      <c r="D320" s="2" t="s">
        <v>79</v>
      </c>
      <c r="H320" s="8">
        <f>SUM(J320:AS320)</f>
        <v>2494.5205479452052</v>
      </c>
      <c r="J320" s="8">
        <f>($G$59+$G$60)*(J$247=YEAR(Inputs!$G$34))</f>
        <v>0</v>
      </c>
      <c r="K320" s="8">
        <f>($G$59+$G$60)*(K$247=YEAR(Inputs!$G$34))</f>
        <v>0</v>
      </c>
      <c r="L320" s="8">
        <f>($G$59+$G$60)*(L$247=YEAR(Inputs!$G$34))</f>
        <v>0</v>
      </c>
      <c r="M320" s="8">
        <f>($G$59+$G$60)*(M$247=YEAR(Inputs!$G$34))</f>
        <v>0</v>
      </c>
      <c r="N320" s="8">
        <f>($G$59+$G$60)*(N$247=YEAR(Inputs!$G$34))</f>
        <v>0</v>
      </c>
      <c r="O320" s="8">
        <f>($G$59+$G$60)*(O$247=YEAR(Inputs!$G$34))</f>
        <v>0</v>
      </c>
      <c r="P320" s="8">
        <f>($G$59+$G$60)*(P$247=YEAR(Inputs!$G$34))</f>
        <v>0</v>
      </c>
      <c r="Q320" s="8">
        <f>($G$59+$G$60)*(Q$247=YEAR(Inputs!$G$34))</f>
        <v>2494.5205479452052</v>
      </c>
      <c r="R320" s="8">
        <f>($G$59+$G$60)*(R$247=YEAR(Inputs!$G$34))</f>
        <v>0</v>
      </c>
      <c r="S320" s="8">
        <f>($G$59+$G$60)*(S$247=YEAR(Inputs!$G$34))</f>
        <v>0</v>
      </c>
      <c r="T320" s="8">
        <f>($G$59+$G$60)*(T$247=YEAR(Inputs!$G$34))</f>
        <v>0</v>
      </c>
      <c r="U320" s="8">
        <f>($G$59+$G$60)*(U$247=YEAR(Inputs!$G$34))</f>
        <v>0</v>
      </c>
      <c r="V320" s="8">
        <f>($G$59+$G$60)*(V$247=YEAR(Inputs!$G$34))</f>
        <v>0</v>
      </c>
      <c r="W320" s="8">
        <f>($G$59+$G$60)*(W$247=YEAR(Inputs!$G$34))</f>
        <v>0</v>
      </c>
      <c r="X320" s="8">
        <f>($G$59+$G$60)*(X$247=YEAR(Inputs!$G$34))</f>
        <v>0</v>
      </c>
      <c r="Y320" s="8">
        <f>($G$59+$G$60)*(Y$247=YEAR(Inputs!$G$34))</f>
        <v>0</v>
      </c>
      <c r="Z320" s="8">
        <f>($G$59+$G$60)*(Z$247=YEAR(Inputs!$G$34))</f>
        <v>0</v>
      </c>
      <c r="AA320" s="8">
        <f>($G$59+$G$60)*(AA$247=YEAR(Inputs!$G$34))</f>
        <v>0</v>
      </c>
      <c r="AB320" s="8">
        <f>($G$59+$G$60)*(AB$247=YEAR(Inputs!$G$34))</f>
        <v>0</v>
      </c>
      <c r="AC320" s="8">
        <f>($G$59+$G$60)*(AC$247=YEAR(Inputs!$G$34))</f>
        <v>0</v>
      </c>
      <c r="AD320" s="8">
        <f>($G$59+$G$60)*(AD$247=YEAR(Inputs!$G$34))</f>
        <v>0</v>
      </c>
      <c r="AE320" s="8">
        <f>($G$59+$G$60)*(AE$247=YEAR(Inputs!$G$34))</f>
        <v>0</v>
      </c>
      <c r="AF320" s="8">
        <f>($G$59+$G$60)*(AF$247=YEAR(Inputs!$G$34))</f>
        <v>0</v>
      </c>
      <c r="AG320" s="8">
        <f>($G$59+$G$60)*(AG$247=YEAR(Inputs!$G$34))</f>
        <v>0</v>
      </c>
      <c r="AH320" s="8">
        <f>($G$59+$G$60)*(AH$247=YEAR(Inputs!$G$34))</f>
        <v>0</v>
      </c>
      <c r="AI320" s="8">
        <f>($G$59+$G$60)*(AI$247=YEAR(Inputs!$G$34))</f>
        <v>0</v>
      </c>
      <c r="AJ320" s="8">
        <f>($G$59+$G$60)*(AJ$247=YEAR(Inputs!$G$34))</f>
        <v>0</v>
      </c>
      <c r="AK320" s="8">
        <f>($G$59+$G$60)*(AK$247=YEAR(Inputs!$G$34))</f>
        <v>0</v>
      </c>
      <c r="AL320" s="8">
        <f>($G$59+$G$60)*(AL$247=YEAR(Inputs!$G$34))</f>
        <v>0</v>
      </c>
      <c r="AM320" s="8">
        <f>($G$59+$G$60)*(AM$247=YEAR(Inputs!$G$34))</f>
        <v>0</v>
      </c>
      <c r="AN320" s="8">
        <f>($G$59+$G$60)*(AN$247=YEAR(Inputs!$G$34))</f>
        <v>0</v>
      </c>
      <c r="AO320" s="8">
        <f>($G$59+$G$60)*(AO$247=YEAR(Inputs!$G$34))</f>
        <v>0</v>
      </c>
      <c r="AP320" s="8">
        <f>($G$59+$G$60)*(AP$247=YEAR(Inputs!$G$34))</f>
        <v>0</v>
      </c>
      <c r="AQ320" s="8">
        <f>($G$59+$G$60)*(AQ$247=YEAR(Inputs!$G$34))</f>
        <v>0</v>
      </c>
      <c r="AR320" s="8">
        <f>($G$59+$G$60)*(AR$247=YEAR(Inputs!$G$34))</f>
        <v>0</v>
      </c>
      <c r="AS320" s="8">
        <f>($G$59+$G$60)*(AS$247=YEAR(Inputs!$G$34))</f>
        <v>0</v>
      </c>
    </row>
    <row r="321" spans="3:45" hidden="1" outlineLevel="1" x14ac:dyDescent="0.25">
      <c r="C321" s="6" t="s">
        <v>189</v>
      </c>
      <c r="D321" s="2" t="s">
        <v>79</v>
      </c>
      <c r="H321" s="8">
        <f>SUM(J321:AS321)</f>
        <v>-63708.25</v>
      </c>
      <c r="J321" s="8">
        <f t="shared" ref="J321:AS321" si="95">-$G$87*J315</f>
        <v>0</v>
      </c>
      <c r="K321" s="8">
        <f t="shared" si="95"/>
        <v>0</v>
      </c>
      <c r="L321" s="8">
        <f t="shared" si="95"/>
        <v>0</v>
      </c>
      <c r="M321" s="8">
        <f t="shared" si="95"/>
        <v>-15927.0625</v>
      </c>
      <c r="N321" s="8">
        <f t="shared" si="95"/>
        <v>-31854.125</v>
      </c>
      <c r="O321" s="8">
        <f t="shared" si="95"/>
        <v>-15927.0625</v>
      </c>
      <c r="P321" s="8">
        <f t="shared" si="95"/>
        <v>0</v>
      </c>
      <c r="Q321" s="8">
        <f t="shared" si="95"/>
        <v>0</v>
      </c>
      <c r="R321" s="8">
        <f t="shared" si="95"/>
        <v>0</v>
      </c>
      <c r="S321" s="8">
        <f t="shared" si="95"/>
        <v>0</v>
      </c>
      <c r="T321" s="8">
        <f t="shared" si="95"/>
        <v>0</v>
      </c>
      <c r="U321" s="8">
        <f t="shared" si="95"/>
        <v>0</v>
      </c>
      <c r="V321" s="8">
        <f t="shared" si="95"/>
        <v>0</v>
      </c>
      <c r="W321" s="8">
        <f t="shared" si="95"/>
        <v>0</v>
      </c>
      <c r="X321" s="8">
        <f t="shared" si="95"/>
        <v>0</v>
      </c>
      <c r="Y321" s="8">
        <f t="shared" si="95"/>
        <v>0</v>
      </c>
      <c r="Z321" s="8">
        <f t="shared" si="95"/>
        <v>0</v>
      </c>
      <c r="AA321" s="8">
        <f t="shared" si="95"/>
        <v>0</v>
      </c>
      <c r="AB321" s="8">
        <f t="shared" si="95"/>
        <v>0</v>
      </c>
      <c r="AC321" s="8">
        <f t="shared" si="95"/>
        <v>0</v>
      </c>
      <c r="AD321" s="8">
        <f t="shared" si="95"/>
        <v>0</v>
      </c>
      <c r="AE321" s="8">
        <f t="shared" si="95"/>
        <v>0</v>
      </c>
      <c r="AF321" s="8">
        <f t="shared" si="95"/>
        <v>0</v>
      </c>
      <c r="AG321" s="8">
        <f t="shared" si="95"/>
        <v>0</v>
      </c>
      <c r="AH321" s="8">
        <f t="shared" si="95"/>
        <v>0</v>
      </c>
      <c r="AI321" s="8">
        <f t="shared" si="95"/>
        <v>0</v>
      </c>
      <c r="AJ321" s="8">
        <f t="shared" si="95"/>
        <v>0</v>
      </c>
      <c r="AK321" s="8">
        <f t="shared" si="95"/>
        <v>0</v>
      </c>
      <c r="AL321" s="8">
        <f t="shared" si="95"/>
        <v>0</v>
      </c>
      <c r="AM321" s="8">
        <f t="shared" si="95"/>
        <v>0</v>
      </c>
      <c r="AN321" s="8">
        <f t="shared" si="95"/>
        <v>0</v>
      </c>
      <c r="AO321" s="8">
        <f t="shared" si="95"/>
        <v>0</v>
      </c>
      <c r="AP321" s="8">
        <f t="shared" si="95"/>
        <v>0</v>
      </c>
      <c r="AQ321" s="8">
        <f t="shared" si="95"/>
        <v>0</v>
      </c>
      <c r="AR321" s="8">
        <f t="shared" si="95"/>
        <v>0</v>
      </c>
      <c r="AS321" s="8">
        <f t="shared" si="95"/>
        <v>0</v>
      </c>
    </row>
    <row r="322" spans="3:45" hidden="1" outlineLevel="1" x14ac:dyDescent="0.25">
      <c r="C322" s="6" t="s">
        <v>190</v>
      </c>
      <c r="D322" s="2" t="s">
        <v>79</v>
      </c>
      <c r="H322" s="8">
        <f>SUM(J322:AS322)</f>
        <v>-2500</v>
      </c>
      <c r="J322" s="8">
        <f t="shared" ref="J322:AS322" si="96">-$G$89*J318</f>
        <v>0</v>
      </c>
      <c r="K322" s="8">
        <f t="shared" si="96"/>
        <v>0</v>
      </c>
      <c r="L322" s="8">
        <f t="shared" si="96"/>
        <v>0</v>
      </c>
      <c r="M322" s="8">
        <f t="shared" si="96"/>
        <v>0</v>
      </c>
      <c r="N322" s="8">
        <f t="shared" si="96"/>
        <v>0</v>
      </c>
      <c r="O322" s="8">
        <f t="shared" si="96"/>
        <v>-2500</v>
      </c>
      <c r="P322" s="8">
        <f t="shared" si="96"/>
        <v>0</v>
      </c>
      <c r="Q322" s="8">
        <f t="shared" si="96"/>
        <v>0</v>
      </c>
      <c r="R322" s="8">
        <f t="shared" si="96"/>
        <v>0</v>
      </c>
      <c r="S322" s="8">
        <f t="shared" si="96"/>
        <v>0</v>
      </c>
      <c r="T322" s="8">
        <f t="shared" si="96"/>
        <v>0</v>
      </c>
      <c r="U322" s="8">
        <f t="shared" si="96"/>
        <v>0</v>
      </c>
      <c r="V322" s="8">
        <f t="shared" si="96"/>
        <v>0</v>
      </c>
      <c r="W322" s="8">
        <f t="shared" si="96"/>
        <v>0</v>
      </c>
      <c r="X322" s="8">
        <f t="shared" si="96"/>
        <v>0</v>
      </c>
      <c r="Y322" s="8">
        <f t="shared" si="96"/>
        <v>0</v>
      </c>
      <c r="Z322" s="8">
        <f t="shared" si="96"/>
        <v>0</v>
      </c>
      <c r="AA322" s="8">
        <f t="shared" si="96"/>
        <v>0</v>
      </c>
      <c r="AB322" s="8">
        <f t="shared" si="96"/>
        <v>0</v>
      </c>
      <c r="AC322" s="8">
        <f t="shared" si="96"/>
        <v>0</v>
      </c>
      <c r="AD322" s="8">
        <f t="shared" si="96"/>
        <v>0</v>
      </c>
      <c r="AE322" s="8">
        <f t="shared" si="96"/>
        <v>0</v>
      </c>
      <c r="AF322" s="8">
        <f t="shared" si="96"/>
        <v>0</v>
      </c>
      <c r="AG322" s="8">
        <f t="shared" si="96"/>
        <v>0</v>
      </c>
      <c r="AH322" s="8">
        <f t="shared" si="96"/>
        <v>0</v>
      </c>
      <c r="AI322" s="8">
        <f t="shared" si="96"/>
        <v>0</v>
      </c>
      <c r="AJ322" s="8">
        <f t="shared" si="96"/>
        <v>0</v>
      </c>
      <c r="AK322" s="8">
        <f t="shared" si="96"/>
        <v>0</v>
      </c>
      <c r="AL322" s="8">
        <f t="shared" si="96"/>
        <v>0</v>
      </c>
      <c r="AM322" s="8">
        <f t="shared" si="96"/>
        <v>0</v>
      </c>
      <c r="AN322" s="8">
        <f t="shared" si="96"/>
        <v>0</v>
      </c>
      <c r="AO322" s="8">
        <f t="shared" si="96"/>
        <v>0</v>
      </c>
      <c r="AP322" s="8">
        <f t="shared" si="96"/>
        <v>0</v>
      </c>
      <c r="AQ322" s="8">
        <f t="shared" si="96"/>
        <v>0</v>
      </c>
      <c r="AR322" s="8">
        <f t="shared" si="96"/>
        <v>0</v>
      </c>
      <c r="AS322" s="8">
        <f t="shared" si="96"/>
        <v>0</v>
      </c>
    </row>
    <row r="323" spans="3:45" hidden="1" outlineLevel="1" x14ac:dyDescent="0.25">
      <c r="C323" s="1" t="s">
        <v>191</v>
      </c>
      <c r="D323" s="2" t="s">
        <v>79</v>
      </c>
      <c r="H323" s="14">
        <f>SUM(J323:AS323)</f>
        <v>-71342.72671232876</v>
      </c>
      <c r="J323" s="14">
        <f t="shared" ref="J323:AS323" si="97">SUM(J319:J322)</f>
        <v>-657.1232876712329</v>
      </c>
      <c r="K323" s="14">
        <f t="shared" si="97"/>
        <v>-3612.0547945205481</v>
      </c>
      <c r="L323" s="14">
        <f t="shared" si="97"/>
        <v>-3359.8191780821917</v>
      </c>
      <c r="M323" s="14">
        <f t="shared" si="97"/>
        <v>-15927.0625</v>
      </c>
      <c r="N323" s="14">
        <f t="shared" si="97"/>
        <v>-31854.125</v>
      </c>
      <c r="O323" s="14">
        <f t="shared" si="97"/>
        <v>-18427.0625</v>
      </c>
      <c r="P323" s="14">
        <f t="shared" si="97"/>
        <v>0</v>
      </c>
      <c r="Q323" s="14">
        <f t="shared" si="97"/>
        <v>2494.5205479452052</v>
      </c>
      <c r="R323" s="14">
        <f t="shared" si="97"/>
        <v>0</v>
      </c>
      <c r="S323" s="14">
        <f t="shared" si="97"/>
        <v>0</v>
      </c>
      <c r="T323" s="14">
        <f t="shared" si="97"/>
        <v>0</v>
      </c>
      <c r="U323" s="14">
        <f t="shared" si="97"/>
        <v>0</v>
      </c>
      <c r="V323" s="14">
        <f t="shared" si="97"/>
        <v>0</v>
      </c>
      <c r="W323" s="14">
        <f t="shared" si="97"/>
        <v>0</v>
      </c>
      <c r="X323" s="14">
        <f t="shared" si="97"/>
        <v>0</v>
      </c>
      <c r="Y323" s="14">
        <f t="shared" si="97"/>
        <v>0</v>
      </c>
      <c r="Z323" s="14">
        <f t="shared" si="97"/>
        <v>0</v>
      </c>
      <c r="AA323" s="14">
        <f t="shared" si="97"/>
        <v>0</v>
      </c>
      <c r="AB323" s="14">
        <f t="shared" si="97"/>
        <v>0</v>
      </c>
      <c r="AC323" s="14">
        <f t="shared" si="97"/>
        <v>0</v>
      </c>
      <c r="AD323" s="14">
        <f t="shared" si="97"/>
        <v>0</v>
      </c>
      <c r="AE323" s="14">
        <f t="shared" si="97"/>
        <v>0</v>
      </c>
      <c r="AF323" s="14">
        <f t="shared" si="97"/>
        <v>0</v>
      </c>
      <c r="AG323" s="14">
        <f t="shared" si="97"/>
        <v>0</v>
      </c>
      <c r="AH323" s="14">
        <f t="shared" si="97"/>
        <v>0</v>
      </c>
      <c r="AI323" s="14">
        <f t="shared" si="97"/>
        <v>0</v>
      </c>
      <c r="AJ323" s="14">
        <f t="shared" si="97"/>
        <v>0</v>
      </c>
      <c r="AK323" s="14">
        <f t="shared" si="97"/>
        <v>0</v>
      </c>
      <c r="AL323" s="14">
        <f t="shared" si="97"/>
        <v>0</v>
      </c>
      <c r="AM323" s="14">
        <f t="shared" si="97"/>
        <v>0</v>
      </c>
      <c r="AN323" s="14">
        <f t="shared" si="97"/>
        <v>0</v>
      </c>
      <c r="AO323" s="14">
        <f t="shared" si="97"/>
        <v>0</v>
      </c>
      <c r="AP323" s="14">
        <f t="shared" si="97"/>
        <v>0</v>
      </c>
      <c r="AQ323" s="14">
        <f t="shared" si="97"/>
        <v>0</v>
      </c>
      <c r="AR323" s="14">
        <f t="shared" si="97"/>
        <v>0</v>
      </c>
      <c r="AS323" s="14">
        <f t="shared" si="97"/>
        <v>0</v>
      </c>
    </row>
    <row r="324" spans="3:45" hidden="1" outlineLevel="1" x14ac:dyDescent="0.25">
      <c r="C324" s="6" t="s">
        <v>192</v>
      </c>
      <c r="D324" s="2" t="s">
        <v>2</v>
      </c>
      <c r="J324" s="30">
        <f t="shared" ref="J324:AS324" si="98">(1-Degradation)^MAX(J313-1,0)</f>
        <v>1</v>
      </c>
      <c r="K324" s="30">
        <f t="shared" si="98"/>
        <v>1</v>
      </c>
      <c r="L324" s="30">
        <f t="shared" si="98"/>
        <v>1</v>
      </c>
      <c r="M324" s="30">
        <f t="shared" si="98"/>
        <v>1</v>
      </c>
      <c r="N324" s="30">
        <f t="shared" si="98"/>
        <v>1</v>
      </c>
      <c r="O324" s="30">
        <f t="shared" si="98"/>
        <v>1</v>
      </c>
      <c r="P324" s="30">
        <f t="shared" si="98"/>
        <v>1</v>
      </c>
      <c r="Q324" s="30">
        <f t="shared" si="98"/>
        <v>0.997</v>
      </c>
      <c r="R324" s="30">
        <f t="shared" si="98"/>
        <v>0.99400900000000003</v>
      </c>
      <c r="S324" s="30">
        <f t="shared" si="98"/>
        <v>0.99102697299999998</v>
      </c>
      <c r="T324" s="30">
        <f t="shared" si="98"/>
        <v>0.98805389208100003</v>
      </c>
      <c r="U324" s="30">
        <f t="shared" si="98"/>
        <v>0.985089730404757</v>
      </c>
      <c r="V324" s="30">
        <f t="shared" si="98"/>
        <v>0.98213446121354275</v>
      </c>
      <c r="W324" s="30">
        <f t="shared" si="98"/>
        <v>0.97918805782990215</v>
      </c>
      <c r="X324" s="30">
        <f t="shared" si="98"/>
        <v>0.97625049365641248</v>
      </c>
      <c r="Y324" s="30">
        <f t="shared" si="98"/>
        <v>0.97332174217544321</v>
      </c>
      <c r="Z324" s="30">
        <f t="shared" si="98"/>
        <v>0.97040177694891694</v>
      </c>
      <c r="AA324" s="30">
        <f t="shared" si="98"/>
        <v>0.96749057161807017</v>
      </c>
      <c r="AB324" s="30">
        <f t="shared" si="98"/>
        <v>0.96458809990321592</v>
      </c>
      <c r="AC324" s="30">
        <f t="shared" si="98"/>
        <v>0.96169433560350626</v>
      </c>
      <c r="AD324" s="30">
        <f t="shared" si="98"/>
        <v>0.9588092525966958</v>
      </c>
      <c r="AE324" s="30">
        <f t="shared" si="98"/>
        <v>0.95593282483890574</v>
      </c>
      <c r="AF324" s="30">
        <f t="shared" si="98"/>
        <v>0.95306502636438906</v>
      </c>
      <c r="AG324" s="30">
        <f t="shared" si="98"/>
        <v>0.9502058312852959</v>
      </c>
      <c r="AH324" s="30">
        <f t="shared" si="98"/>
        <v>0.94735521379144005</v>
      </c>
      <c r="AI324" s="30">
        <f t="shared" si="98"/>
        <v>0.94451314815006571</v>
      </c>
      <c r="AJ324" s="30">
        <f t="shared" si="98"/>
        <v>0.94167960870561551</v>
      </c>
      <c r="AK324" s="30">
        <f t="shared" si="98"/>
        <v>0.93885456987949867</v>
      </c>
      <c r="AL324" s="30">
        <f t="shared" si="98"/>
        <v>0.93603800616986021</v>
      </c>
      <c r="AM324" s="30">
        <f t="shared" si="98"/>
        <v>0.93322989215135066</v>
      </c>
      <c r="AN324" s="30">
        <f t="shared" si="98"/>
        <v>0.93043020247489661</v>
      </c>
      <c r="AO324" s="30">
        <f t="shared" si="98"/>
        <v>0.92763891186747183</v>
      </c>
      <c r="AP324" s="30">
        <f t="shared" si="98"/>
        <v>0.92485599513186956</v>
      </c>
      <c r="AQ324" s="30">
        <f t="shared" si="98"/>
        <v>0.9220814271464739</v>
      </c>
      <c r="AR324" s="30">
        <f t="shared" si="98"/>
        <v>0.91931518286503444</v>
      </c>
      <c r="AS324" s="30">
        <f t="shared" si="98"/>
        <v>0.91655723731643934</v>
      </c>
    </row>
    <row r="325" spans="3:45" hidden="1" outlineLevel="1" x14ac:dyDescent="0.25">
      <c r="C325" s="6" t="s">
        <v>193</v>
      </c>
      <c r="D325" s="2" t="s">
        <v>194</v>
      </c>
      <c r="H325" s="16">
        <f>SUM(J325:AS325)</f>
        <v>4263.3988270647396</v>
      </c>
      <c r="J325" s="16">
        <f t="shared" ref="J325:AS325" si="99">$G$44*Case_P50*(1-Curtailment)*(1-Clipping)*J317*J324/Thousand</f>
        <v>0</v>
      </c>
      <c r="K325" s="16">
        <f t="shared" si="99"/>
        <v>0</v>
      </c>
      <c r="L325" s="16">
        <f t="shared" si="99"/>
        <v>0</v>
      </c>
      <c r="M325" s="16">
        <f t="shared" si="99"/>
        <v>0</v>
      </c>
      <c r="N325" s="16">
        <f t="shared" si="99"/>
        <v>0</v>
      </c>
      <c r="O325" s="16">
        <f t="shared" si="99"/>
        <v>74.087999999999994</v>
      </c>
      <c r="P325" s="16">
        <f t="shared" si="99"/>
        <v>148.17599999999999</v>
      </c>
      <c r="Q325" s="16">
        <f t="shared" si="99"/>
        <v>147.731472</v>
      </c>
      <c r="R325" s="16">
        <f t="shared" si="99"/>
        <v>147.28827758399999</v>
      </c>
      <c r="S325" s="16">
        <f t="shared" si="99"/>
        <v>146.84641275124798</v>
      </c>
      <c r="T325" s="16">
        <f t="shared" si="99"/>
        <v>146.40587351299428</v>
      </c>
      <c r="U325" s="16">
        <f t="shared" si="99"/>
        <v>145.96665589245529</v>
      </c>
      <c r="V325" s="16">
        <f t="shared" si="99"/>
        <v>145.52875592477793</v>
      </c>
      <c r="W325" s="16">
        <f t="shared" si="99"/>
        <v>145.09216965700358</v>
      </c>
      <c r="X325" s="16">
        <f t="shared" si="99"/>
        <v>144.65689314803257</v>
      </c>
      <c r="Y325" s="16">
        <f t="shared" si="99"/>
        <v>144.22292246858848</v>
      </c>
      <c r="Z325" s="16">
        <f t="shared" si="99"/>
        <v>143.79025370118273</v>
      </c>
      <c r="AA325" s="16">
        <f t="shared" si="99"/>
        <v>143.35888294007918</v>
      </c>
      <c r="AB325" s="16">
        <f t="shared" si="99"/>
        <v>142.92880629125892</v>
      </c>
      <c r="AC325" s="16">
        <f t="shared" si="99"/>
        <v>142.50001987238514</v>
      </c>
      <c r="AD325" s="16">
        <f t="shared" si="99"/>
        <v>142.07251981276801</v>
      </c>
      <c r="AE325" s="16">
        <f t="shared" si="99"/>
        <v>141.64630225332968</v>
      </c>
      <c r="AF325" s="16">
        <f t="shared" si="99"/>
        <v>141.22136334656972</v>
      </c>
      <c r="AG325" s="16">
        <f t="shared" si="99"/>
        <v>140.79769925653</v>
      </c>
      <c r="AH325" s="16">
        <f t="shared" si="99"/>
        <v>140.37530615876042</v>
      </c>
      <c r="AI325" s="16">
        <f t="shared" si="99"/>
        <v>139.95418024028413</v>
      </c>
      <c r="AJ325" s="16">
        <f t="shared" si="99"/>
        <v>139.53431769956327</v>
      </c>
      <c r="AK325" s="16">
        <f t="shared" si="99"/>
        <v>139.11571474646459</v>
      </c>
      <c r="AL325" s="16">
        <f t="shared" si="99"/>
        <v>138.69836760222523</v>
      </c>
      <c r="AM325" s="16">
        <f t="shared" si="99"/>
        <v>138.28227249941853</v>
      </c>
      <c r="AN325" s="16">
        <f t="shared" si="99"/>
        <v>137.86742568192028</v>
      </c>
      <c r="AO325" s="16">
        <f t="shared" si="99"/>
        <v>137.4538234048745</v>
      </c>
      <c r="AP325" s="16">
        <f t="shared" si="99"/>
        <v>137.04146193465988</v>
      </c>
      <c r="AQ325" s="16">
        <f t="shared" si="99"/>
        <v>136.63033754885592</v>
      </c>
      <c r="AR325" s="16">
        <f t="shared" si="99"/>
        <v>136.22044653620935</v>
      </c>
      <c r="AS325" s="16">
        <f t="shared" si="99"/>
        <v>67.905892598300355</v>
      </c>
    </row>
    <row r="326" spans="3:45" hidden="1" outlineLevel="1" x14ac:dyDescent="0.25">
      <c r="C326" s="6" t="s">
        <v>195</v>
      </c>
      <c r="D326" s="2" t="s">
        <v>19</v>
      </c>
      <c r="J326" s="16">
        <f t="shared" ref="J326:AS326" si="100">Case_PPA*(1+PPA_Esc)^J313*(J317&gt;0)</f>
        <v>0</v>
      </c>
      <c r="K326" s="16">
        <f t="shared" si="100"/>
        <v>0</v>
      </c>
      <c r="L326" s="16">
        <f t="shared" si="100"/>
        <v>0</v>
      </c>
      <c r="M326" s="16">
        <f t="shared" si="100"/>
        <v>0</v>
      </c>
      <c r="N326" s="16">
        <f t="shared" si="100"/>
        <v>0</v>
      </c>
      <c r="O326" s="16">
        <f t="shared" si="100"/>
        <v>90</v>
      </c>
      <c r="P326" s="16">
        <f t="shared" si="100"/>
        <v>90.9</v>
      </c>
      <c r="Q326" s="16">
        <f t="shared" si="100"/>
        <v>91.808999999999997</v>
      </c>
      <c r="R326" s="16">
        <f t="shared" si="100"/>
        <v>92.72708999999999</v>
      </c>
      <c r="S326" s="16">
        <f t="shared" si="100"/>
        <v>93.6543609</v>
      </c>
      <c r="T326" s="16">
        <f t="shared" si="100"/>
        <v>94.590904508999998</v>
      </c>
      <c r="U326" s="16">
        <f t="shared" si="100"/>
        <v>95.536813554090017</v>
      </c>
      <c r="V326" s="16">
        <f t="shared" si="100"/>
        <v>96.492181689630883</v>
      </c>
      <c r="W326" s="16">
        <f t="shared" si="100"/>
        <v>97.457103506527218</v>
      </c>
      <c r="X326" s="16">
        <f t="shared" si="100"/>
        <v>98.4316745415925</v>
      </c>
      <c r="Y326" s="16">
        <f t="shared" si="100"/>
        <v>99.415991287008424</v>
      </c>
      <c r="Z326" s="16">
        <f t="shared" si="100"/>
        <v>100.41015119987848</v>
      </c>
      <c r="AA326" s="16">
        <f t="shared" si="100"/>
        <v>101.41425271187728</v>
      </c>
      <c r="AB326" s="16">
        <f t="shared" si="100"/>
        <v>102.42839523899606</v>
      </c>
      <c r="AC326" s="16">
        <f t="shared" si="100"/>
        <v>103.45267919138603</v>
      </c>
      <c r="AD326" s="16">
        <f t="shared" si="100"/>
        <v>104.48720598329986</v>
      </c>
      <c r="AE326" s="16">
        <f t="shared" si="100"/>
        <v>105.53207804313288</v>
      </c>
      <c r="AF326" s="16">
        <f t="shared" si="100"/>
        <v>106.58739882356423</v>
      </c>
      <c r="AG326" s="16">
        <f t="shared" si="100"/>
        <v>107.65327281179987</v>
      </c>
      <c r="AH326" s="16">
        <f t="shared" si="100"/>
        <v>108.72980553991785</v>
      </c>
      <c r="AI326" s="16">
        <f t="shared" si="100"/>
        <v>109.81710359531704</v>
      </c>
      <c r="AJ326" s="16">
        <f t="shared" si="100"/>
        <v>110.91527463127019</v>
      </c>
      <c r="AK326" s="16">
        <f t="shared" si="100"/>
        <v>112.02442737758292</v>
      </c>
      <c r="AL326" s="16">
        <f t="shared" si="100"/>
        <v>113.14467165135873</v>
      </c>
      <c r="AM326" s="16">
        <f t="shared" si="100"/>
        <v>114.27611836787234</v>
      </c>
      <c r="AN326" s="16">
        <f t="shared" si="100"/>
        <v>115.41887955155109</v>
      </c>
      <c r="AO326" s="16">
        <f t="shared" si="100"/>
        <v>116.5730683470666</v>
      </c>
      <c r="AP326" s="16">
        <f t="shared" si="100"/>
        <v>117.73879903053722</v>
      </c>
      <c r="AQ326" s="16">
        <f t="shared" si="100"/>
        <v>118.9161870208426</v>
      </c>
      <c r="AR326" s="16">
        <f t="shared" si="100"/>
        <v>120.10534889105104</v>
      </c>
      <c r="AS326" s="16">
        <f t="shared" si="100"/>
        <v>121.30640237996157</v>
      </c>
    </row>
    <row r="327" spans="3:45" hidden="1" outlineLevel="1" x14ac:dyDescent="0.25">
      <c r="C327" s="1" t="s">
        <v>127</v>
      </c>
      <c r="D327" s="2" t="s">
        <v>79</v>
      </c>
      <c r="H327" s="19">
        <f>SUM(J327:AS327)</f>
        <v>446130.68572945433</v>
      </c>
      <c r="J327" s="19">
        <f t="shared" ref="J327:AS327" si="101">J325*J326</f>
        <v>0</v>
      </c>
      <c r="K327" s="19">
        <f t="shared" si="101"/>
        <v>0</v>
      </c>
      <c r="L327" s="19">
        <f t="shared" si="101"/>
        <v>0</v>
      </c>
      <c r="M327" s="19">
        <f t="shared" si="101"/>
        <v>0</v>
      </c>
      <c r="N327" s="19">
        <f t="shared" si="101"/>
        <v>0</v>
      </c>
      <c r="O327" s="19">
        <f t="shared" si="101"/>
        <v>6667.9199999999992</v>
      </c>
      <c r="P327" s="19">
        <f t="shared" si="101"/>
        <v>13469.198399999999</v>
      </c>
      <c r="Q327" s="19">
        <f t="shared" si="101"/>
        <v>13563.078712847999</v>
      </c>
      <c r="R327" s="19">
        <f t="shared" si="101"/>
        <v>13657.613371476547</v>
      </c>
      <c r="S327" s="19">
        <f t="shared" si="101"/>
        <v>13752.806936675741</v>
      </c>
      <c r="T327" s="19">
        <f t="shared" si="101"/>
        <v>13848.664001024374</v>
      </c>
      <c r="U327" s="19">
        <f t="shared" si="101"/>
        <v>13945.189189111516</v>
      </c>
      <c r="V327" s="19">
        <f t="shared" si="101"/>
        <v>14042.387157759618</v>
      </c>
      <c r="W327" s="19">
        <f t="shared" si="101"/>
        <v>14140.262596249206</v>
      </c>
      <c r="X327" s="19">
        <f t="shared" si="101"/>
        <v>14238.820226545064</v>
      </c>
      <c r="Y327" s="19">
        <f t="shared" si="101"/>
        <v>14338.064803524083</v>
      </c>
      <c r="Z327" s="19">
        <f t="shared" si="101"/>
        <v>14438.001115204645</v>
      </c>
      <c r="AA327" s="19">
        <f t="shared" si="101"/>
        <v>14538.633982977623</v>
      </c>
      <c r="AB327" s="19">
        <f t="shared" si="101"/>
        <v>14639.968261838976</v>
      </c>
      <c r="AC327" s="19">
        <f t="shared" si="101"/>
        <v>14742.008840623994</v>
      </c>
      <c r="AD327" s="19">
        <f t="shared" si="101"/>
        <v>14844.760642243142</v>
      </c>
      <c r="AE327" s="19">
        <f t="shared" si="101"/>
        <v>14948.228623919576</v>
      </c>
      <c r="AF327" s="19">
        <f t="shared" si="101"/>
        <v>15052.417777428302</v>
      </c>
      <c r="AG327" s="19">
        <f t="shared" si="101"/>
        <v>15157.333129336976</v>
      </c>
      <c r="AH327" s="19">
        <f t="shared" si="101"/>
        <v>15262.979741248453</v>
      </c>
      <c r="AI327" s="19">
        <f t="shared" si="101"/>
        <v>15369.362710044956</v>
      </c>
      <c r="AJ327" s="19">
        <f t="shared" si="101"/>
        <v>15476.487168133966</v>
      </c>
      <c r="AK327" s="19">
        <f t="shared" si="101"/>
        <v>15584.358283695865</v>
      </c>
      <c r="AL327" s="19">
        <f t="shared" si="101"/>
        <v>15692.981260933226</v>
      </c>
      <c r="AM327" s="19">
        <f t="shared" si="101"/>
        <v>15802.36134032193</v>
      </c>
      <c r="AN327" s="19">
        <f t="shared" si="101"/>
        <v>15912.503798863978</v>
      </c>
      <c r="AO327" s="19">
        <f t="shared" si="101"/>
        <v>16023.413950342057</v>
      </c>
      <c r="AP327" s="19">
        <f t="shared" si="101"/>
        <v>16135.097145575935</v>
      </c>
      <c r="AQ327" s="19">
        <f t="shared" si="101"/>
        <v>16247.558772680604</v>
      </c>
      <c r="AR327" s="19">
        <f t="shared" si="101"/>
        <v>16360.804257326188</v>
      </c>
      <c r="AS327" s="19">
        <f t="shared" si="101"/>
        <v>8237.419531499876</v>
      </c>
    </row>
    <row r="328" spans="3:45" hidden="1" outlineLevel="1" x14ac:dyDescent="0.25">
      <c r="C328" s="6" t="s">
        <v>196</v>
      </c>
      <c r="D328" s="2" t="s">
        <v>2</v>
      </c>
      <c r="J328" s="30">
        <f t="shared" ref="J328:AS328" si="102">(1+Opex_Esc)^J313</f>
        <v>0.88385428760951712</v>
      </c>
      <c r="K328" s="30">
        <f t="shared" si="102"/>
        <v>0.90595064479975507</v>
      </c>
      <c r="L328" s="30">
        <f t="shared" si="102"/>
        <v>0.92859941091974885</v>
      </c>
      <c r="M328" s="30">
        <f t="shared" si="102"/>
        <v>0.95181439619274244</v>
      </c>
      <c r="N328" s="30">
        <f t="shared" si="102"/>
        <v>0.97560975609756106</v>
      </c>
      <c r="O328" s="30">
        <f t="shared" si="102"/>
        <v>1</v>
      </c>
      <c r="P328" s="30">
        <f t="shared" si="102"/>
        <v>1.0249999999999999</v>
      </c>
      <c r="Q328" s="30">
        <f t="shared" si="102"/>
        <v>1.0506249999999999</v>
      </c>
      <c r="R328" s="30">
        <f t="shared" si="102"/>
        <v>1.0768906249999999</v>
      </c>
      <c r="S328" s="30">
        <f t="shared" si="102"/>
        <v>1.1038128906249998</v>
      </c>
      <c r="T328" s="30">
        <f t="shared" si="102"/>
        <v>1.1314082128906247</v>
      </c>
      <c r="U328" s="30">
        <f t="shared" si="102"/>
        <v>1.1596934182128902</v>
      </c>
      <c r="V328" s="30">
        <f t="shared" si="102"/>
        <v>1.1886857536682125</v>
      </c>
      <c r="W328" s="30">
        <f t="shared" si="102"/>
        <v>1.2184028975099177</v>
      </c>
      <c r="X328" s="30">
        <f t="shared" si="102"/>
        <v>1.2488629699476654</v>
      </c>
      <c r="Y328" s="30">
        <f t="shared" si="102"/>
        <v>1.2800845441963571</v>
      </c>
      <c r="Z328" s="30">
        <f t="shared" si="102"/>
        <v>1.312086657801266</v>
      </c>
      <c r="AA328" s="30">
        <f t="shared" si="102"/>
        <v>1.3448888242462975</v>
      </c>
      <c r="AB328" s="30">
        <f t="shared" si="102"/>
        <v>1.3785110448524549</v>
      </c>
      <c r="AC328" s="30">
        <f t="shared" si="102"/>
        <v>1.4129738209737661</v>
      </c>
      <c r="AD328" s="30">
        <f t="shared" si="102"/>
        <v>1.4482981664981105</v>
      </c>
      <c r="AE328" s="30">
        <f t="shared" si="102"/>
        <v>1.4845056206605631</v>
      </c>
      <c r="AF328" s="30">
        <f t="shared" si="102"/>
        <v>1.521618261177077</v>
      </c>
      <c r="AG328" s="30">
        <f t="shared" si="102"/>
        <v>1.559658717706504</v>
      </c>
      <c r="AH328" s="30">
        <f t="shared" si="102"/>
        <v>1.5986501856491666</v>
      </c>
      <c r="AI328" s="30">
        <f t="shared" si="102"/>
        <v>1.6386164402903955</v>
      </c>
      <c r="AJ328" s="30">
        <f t="shared" si="102"/>
        <v>1.6795818512976552</v>
      </c>
      <c r="AK328" s="30">
        <f t="shared" si="102"/>
        <v>1.7215713975800966</v>
      </c>
      <c r="AL328" s="30">
        <f t="shared" si="102"/>
        <v>1.7646106825195991</v>
      </c>
      <c r="AM328" s="30">
        <f t="shared" si="102"/>
        <v>1.8087259495825889</v>
      </c>
      <c r="AN328" s="30">
        <f t="shared" si="102"/>
        <v>1.8539440983221533</v>
      </c>
      <c r="AO328" s="30">
        <f t="shared" si="102"/>
        <v>1.9002927007802071</v>
      </c>
      <c r="AP328" s="30">
        <f t="shared" si="102"/>
        <v>1.9478000182997122</v>
      </c>
      <c r="AQ328" s="30">
        <f t="shared" si="102"/>
        <v>1.9964950187572048</v>
      </c>
      <c r="AR328" s="30">
        <f t="shared" si="102"/>
        <v>2.0464073942261352</v>
      </c>
      <c r="AS328" s="30">
        <f t="shared" si="102"/>
        <v>2.097567579081788</v>
      </c>
    </row>
    <row r="329" spans="3:45" hidden="1" outlineLevel="1" x14ac:dyDescent="0.25">
      <c r="C329" s="6" t="s">
        <v>197</v>
      </c>
      <c r="D329" s="2" t="s">
        <v>79</v>
      </c>
      <c r="H329" s="8">
        <f t="shared" ref="H329:H338" si="103">SUM(J329:AS329)</f>
        <v>-70011.091950679722</v>
      </c>
      <c r="J329" s="8">
        <f t="shared" ref="J329:AS329" si="104">-(Case_OM+SUM(Opex_Per_MW))*$G$44*J328*J317</f>
        <v>0</v>
      </c>
      <c r="K329" s="8">
        <f t="shared" si="104"/>
        <v>0</v>
      </c>
      <c r="L329" s="8">
        <f t="shared" si="104"/>
        <v>0</v>
      </c>
      <c r="M329" s="8">
        <f t="shared" si="104"/>
        <v>0</v>
      </c>
      <c r="N329" s="8">
        <f t="shared" si="104"/>
        <v>0</v>
      </c>
      <c r="O329" s="8">
        <f t="shared" si="104"/>
        <v>-787.5</v>
      </c>
      <c r="P329" s="8">
        <f t="shared" si="104"/>
        <v>-1614.3749999999998</v>
      </c>
      <c r="Q329" s="8">
        <f t="shared" si="104"/>
        <v>-1654.7343749999998</v>
      </c>
      <c r="R329" s="8">
        <f t="shared" si="104"/>
        <v>-1696.1027343749997</v>
      </c>
      <c r="S329" s="8">
        <f t="shared" si="104"/>
        <v>-1738.5053027343747</v>
      </c>
      <c r="T329" s="8">
        <f t="shared" si="104"/>
        <v>-1781.9679353027338</v>
      </c>
      <c r="U329" s="8">
        <f t="shared" si="104"/>
        <v>-1826.517133685302</v>
      </c>
      <c r="V329" s="8">
        <f t="shared" si="104"/>
        <v>-1872.1800620274346</v>
      </c>
      <c r="W329" s="8">
        <f t="shared" si="104"/>
        <v>-1918.9845635781203</v>
      </c>
      <c r="X329" s="8">
        <f t="shared" si="104"/>
        <v>-1966.9591776675732</v>
      </c>
      <c r="Y329" s="8">
        <f t="shared" si="104"/>
        <v>-2016.1331571092624</v>
      </c>
      <c r="Z329" s="8">
        <f t="shared" si="104"/>
        <v>-2066.5364860369941</v>
      </c>
      <c r="AA329" s="8">
        <f t="shared" si="104"/>
        <v>-2118.1998981879187</v>
      </c>
      <c r="AB329" s="8">
        <f t="shared" si="104"/>
        <v>-2171.1548956426163</v>
      </c>
      <c r="AC329" s="8">
        <f t="shared" si="104"/>
        <v>-2225.4337680336816</v>
      </c>
      <c r="AD329" s="8">
        <f t="shared" si="104"/>
        <v>-2281.0696122345239</v>
      </c>
      <c r="AE329" s="8">
        <f t="shared" si="104"/>
        <v>-2338.0963525403868</v>
      </c>
      <c r="AF329" s="8">
        <f t="shared" si="104"/>
        <v>-2396.5487613538962</v>
      </c>
      <c r="AG329" s="8">
        <f t="shared" si="104"/>
        <v>-2456.4624803877437</v>
      </c>
      <c r="AH329" s="8">
        <f t="shared" si="104"/>
        <v>-2517.8740423974373</v>
      </c>
      <c r="AI329" s="8">
        <f t="shared" si="104"/>
        <v>-2580.8208934573731</v>
      </c>
      <c r="AJ329" s="8">
        <f t="shared" si="104"/>
        <v>-2645.3414157938068</v>
      </c>
      <c r="AK329" s="8">
        <f t="shared" si="104"/>
        <v>-2711.4749511886521</v>
      </c>
      <c r="AL329" s="8">
        <f t="shared" si="104"/>
        <v>-2779.2618249683687</v>
      </c>
      <c r="AM329" s="8">
        <f t="shared" si="104"/>
        <v>-2848.7433705925778</v>
      </c>
      <c r="AN329" s="8">
        <f t="shared" si="104"/>
        <v>-2919.9619548573914</v>
      </c>
      <c r="AO329" s="8">
        <f t="shared" si="104"/>
        <v>-2992.9610037288262</v>
      </c>
      <c r="AP329" s="8">
        <f t="shared" si="104"/>
        <v>-3067.7850288220466</v>
      </c>
      <c r="AQ329" s="8">
        <f t="shared" si="104"/>
        <v>-3144.4796545425975</v>
      </c>
      <c r="AR329" s="8">
        <f t="shared" si="104"/>
        <v>-3223.0916459061627</v>
      </c>
      <c r="AS329" s="8">
        <f t="shared" si="104"/>
        <v>-1651.834468526908</v>
      </c>
    </row>
    <row r="330" spans="3:45" hidden="1" outlineLevel="1" x14ac:dyDescent="0.25">
      <c r="C330" s="6" t="s">
        <v>198</v>
      </c>
      <c r="D330" s="2" t="s">
        <v>79</v>
      </c>
      <c r="H330" s="8">
        <f t="shared" si="103"/>
        <v>-1666.9307607304695</v>
      </c>
      <c r="J330" s="8">
        <f t="shared" ref="J330:AS330" si="105">-Opex_Admin*$G$6/Lump_Basis*J328*J317</f>
        <v>0</v>
      </c>
      <c r="K330" s="8">
        <f t="shared" si="105"/>
        <v>0</v>
      </c>
      <c r="L330" s="8">
        <f t="shared" si="105"/>
        <v>0</v>
      </c>
      <c r="M330" s="8">
        <f t="shared" si="105"/>
        <v>0</v>
      </c>
      <c r="N330" s="8">
        <f t="shared" si="105"/>
        <v>0</v>
      </c>
      <c r="O330" s="8">
        <f t="shared" si="105"/>
        <v>-18.75</v>
      </c>
      <c r="P330" s="8">
        <f t="shared" si="105"/>
        <v>-38.4375</v>
      </c>
      <c r="Q330" s="8">
        <f t="shared" si="105"/>
        <v>-39.3984375</v>
      </c>
      <c r="R330" s="8">
        <f t="shared" si="105"/>
        <v>-40.383398437499999</v>
      </c>
      <c r="S330" s="8">
        <f t="shared" si="105"/>
        <v>-41.392983398437494</v>
      </c>
      <c r="T330" s="8">
        <f t="shared" si="105"/>
        <v>-42.427807983398424</v>
      </c>
      <c r="U330" s="8">
        <f t="shared" si="105"/>
        <v>-43.488503182983379</v>
      </c>
      <c r="V330" s="8">
        <f t="shared" si="105"/>
        <v>-44.575715762557969</v>
      </c>
      <c r="W330" s="8">
        <f t="shared" si="105"/>
        <v>-45.690108656621916</v>
      </c>
      <c r="X330" s="8">
        <f t="shared" si="105"/>
        <v>-46.83236137303745</v>
      </c>
      <c r="Y330" s="8">
        <f t="shared" si="105"/>
        <v>-48.003170407363392</v>
      </c>
      <c r="Z330" s="8">
        <f t="shared" si="105"/>
        <v>-49.203249667547475</v>
      </c>
      <c r="AA330" s="8">
        <f t="shared" si="105"/>
        <v>-50.433330909236155</v>
      </c>
      <c r="AB330" s="8">
        <f t="shared" si="105"/>
        <v>-51.694164181967061</v>
      </c>
      <c r="AC330" s="8">
        <f t="shared" si="105"/>
        <v>-52.98651828651623</v>
      </c>
      <c r="AD330" s="8">
        <f t="shared" si="105"/>
        <v>-54.311181243679144</v>
      </c>
      <c r="AE330" s="8">
        <f t="shared" si="105"/>
        <v>-55.668960774771115</v>
      </c>
      <c r="AF330" s="8">
        <f t="shared" si="105"/>
        <v>-57.060684794140386</v>
      </c>
      <c r="AG330" s="8">
        <f t="shared" si="105"/>
        <v>-58.4872019139939</v>
      </c>
      <c r="AH330" s="8">
        <f t="shared" si="105"/>
        <v>-59.949381961843748</v>
      </c>
      <c r="AI330" s="8">
        <f t="shared" si="105"/>
        <v>-61.448116510889832</v>
      </c>
      <c r="AJ330" s="8">
        <f t="shared" si="105"/>
        <v>-62.984319423662072</v>
      </c>
      <c r="AK330" s="8">
        <f t="shared" si="105"/>
        <v>-64.558927409253627</v>
      </c>
      <c r="AL330" s="8">
        <f t="shared" si="105"/>
        <v>-66.172900594484972</v>
      </c>
      <c r="AM330" s="8">
        <f t="shared" si="105"/>
        <v>-67.827223109347088</v>
      </c>
      <c r="AN330" s="8">
        <f t="shared" si="105"/>
        <v>-69.522903687080756</v>
      </c>
      <c r="AO330" s="8">
        <f t="shared" si="105"/>
        <v>-71.260976279257761</v>
      </c>
      <c r="AP330" s="8">
        <f t="shared" si="105"/>
        <v>-73.042500686239208</v>
      </c>
      <c r="AQ330" s="8">
        <f t="shared" si="105"/>
        <v>-74.868563203395183</v>
      </c>
      <c r="AR330" s="8">
        <f t="shared" si="105"/>
        <v>-76.740277283480069</v>
      </c>
      <c r="AS330" s="8">
        <f t="shared" si="105"/>
        <v>-39.329392107783526</v>
      </c>
    </row>
    <row r="331" spans="3:45" hidden="1" outlineLevel="1" x14ac:dyDescent="0.25">
      <c r="C331" s="6" t="s">
        <v>199</v>
      </c>
      <c r="D331" s="2" t="s">
        <v>79</v>
      </c>
      <c r="H331" s="8">
        <f t="shared" si="103"/>
        <v>-31411.929867285264</v>
      </c>
      <c r="J331" s="8">
        <f t="shared" ref="J331:AS331" si="106">-J325*(Balancing+Grid_Charges)*J328</f>
        <v>0</v>
      </c>
      <c r="K331" s="8">
        <f t="shared" si="106"/>
        <v>0</v>
      </c>
      <c r="L331" s="8">
        <f t="shared" si="106"/>
        <v>0</v>
      </c>
      <c r="M331" s="8">
        <f t="shared" si="106"/>
        <v>0</v>
      </c>
      <c r="N331" s="8">
        <f t="shared" si="106"/>
        <v>0</v>
      </c>
      <c r="O331" s="8">
        <f t="shared" si="106"/>
        <v>-370.43999999999994</v>
      </c>
      <c r="P331" s="8">
        <f t="shared" si="106"/>
        <v>-759.40199999999982</v>
      </c>
      <c r="Q331" s="8">
        <f t="shared" si="106"/>
        <v>-776.05188884999984</v>
      </c>
      <c r="R331" s="8">
        <f t="shared" si="106"/>
        <v>-793.06682651303606</v>
      </c>
      <c r="S331" s="8">
        <f t="shared" si="106"/>
        <v>-810.45481668433422</v>
      </c>
      <c r="T331" s="8">
        <f t="shared" si="106"/>
        <v>-828.22403854013851</v>
      </c>
      <c r="U331" s="8">
        <f t="shared" si="106"/>
        <v>-846.38285058513088</v>
      </c>
      <c r="V331" s="8">
        <f t="shared" si="106"/>
        <v>-864.93979458420995</v>
      </c>
      <c r="W331" s="8">
        <f t="shared" si="106"/>
        <v>-883.90359958046861</v>
      </c>
      <c r="X331" s="8">
        <f t="shared" si="106"/>
        <v>-903.28318600127034</v>
      </c>
      <c r="Y331" s="8">
        <f t="shared" si="106"/>
        <v>-923.08766985434806</v>
      </c>
      <c r="Z331" s="8">
        <f t="shared" si="106"/>
        <v>-943.32636701590491</v>
      </c>
      <c r="AA331" s="8">
        <f t="shared" si="106"/>
        <v>-964.00879761272847</v>
      </c>
      <c r="AB331" s="8">
        <f t="shared" si="106"/>
        <v>-985.14469050038747</v>
      </c>
      <c r="AC331" s="8">
        <f t="shared" si="106"/>
        <v>-1006.7439878396082</v>
      </c>
      <c r="AD331" s="8">
        <f t="shared" si="106"/>
        <v>-1028.8168497729919</v>
      </c>
      <c r="AE331" s="8">
        <f t="shared" si="106"/>
        <v>-1051.3736592042644</v>
      </c>
      <c r="AF331" s="8">
        <f t="shared" si="106"/>
        <v>-1074.425026682318</v>
      </c>
      <c r="AG331" s="8">
        <f t="shared" si="106"/>
        <v>-1097.9817953923277</v>
      </c>
      <c r="AH331" s="8">
        <f t="shared" si="106"/>
        <v>-1122.0550462563046</v>
      </c>
      <c r="AI331" s="8">
        <f t="shared" si="106"/>
        <v>-1146.6561031454739</v>
      </c>
      <c r="AJ331" s="8">
        <f t="shared" si="106"/>
        <v>-1171.7965382069383</v>
      </c>
      <c r="AK331" s="8">
        <f t="shared" si="106"/>
        <v>-1197.4881773071256</v>
      </c>
      <c r="AL331" s="8">
        <f t="shared" si="106"/>
        <v>-1223.7431055945847</v>
      </c>
      <c r="AM331" s="8">
        <f t="shared" si="106"/>
        <v>-1250.5736731847453</v>
      </c>
      <c r="AN331" s="8">
        <f t="shared" si="106"/>
        <v>-1277.9925009693209</v>
      </c>
      <c r="AO331" s="8">
        <f t="shared" si="106"/>
        <v>-1306.0124865530729</v>
      </c>
      <c r="AP331" s="8">
        <f t="shared" si="106"/>
        <v>-1334.6468103207492</v>
      </c>
      <c r="AQ331" s="8">
        <f t="shared" si="106"/>
        <v>-1363.9089416370316</v>
      </c>
      <c r="AR331" s="8">
        <f t="shared" si="106"/>
        <v>-1393.8126451824237</v>
      </c>
      <c r="AS331" s="8">
        <f t="shared" si="106"/>
        <v>-712.18599371402388</v>
      </c>
    </row>
    <row r="332" spans="3:45" hidden="1" outlineLevel="1" x14ac:dyDescent="0.25">
      <c r="C332" s="6" t="s">
        <v>200</v>
      </c>
      <c r="D332" s="2" t="s">
        <v>79</v>
      </c>
      <c r="H332" s="8">
        <f t="shared" si="103"/>
        <v>-446.1306857294544</v>
      </c>
      <c r="J332" s="8">
        <f t="shared" ref="J332:AS332" si="107">-J327*MEKH_Fee</f>
        <v>0</v>
      </c>
      <c r="K332" s="8">
        <f t="shared" si="107"/>
        <v>0</v>
      </c>
      <c r="L332" s="8">
        <f t="shared" si="107"/>
        <v>0</v>
      </c>
      <c r="M332" s="8">
        <f t="shared" si="107"/>
        <v>0</v>
      </c>
      <c r="N332" s="8">
        <f t="shared" si="107"/>
        <v>0</v>
      </c>
      <c r="O332" s="8">
        <f t="shared" si="107"/>
        <v>-6.6679199999999996</v>
      </c>
      <c r="P332" s="8">
        <f t="shared" si="107"/>
        <v>-13.4691984</v>
      </c>
      <c r="Q332" s="8">
        <f t="shared" si="107"/>
        <v>-13.563078712847998</v>
      </c>
      <c r="R332" s="8">
        <f t="shared" si="107"/>
        <v>-13.657613371476547</v>
      </c>
      <c r="S332" s="8">
        <f t="shared" si="107"/>
        <v>-13.752806936675741</v>
      </c>
      <c r="T332" s="8">
        <f t="shared" si="107"/>
        <v>-13.848664001024375</v>
      </c>
      <c r="U332" s="8">
        <f t="shared" si="107"/>
        <v>-13.945189189111517</v>
      </c>
      <c r="V332" s="8">
        <f t="shared" si="107"/>
        <v>-14.042387157759618</v>
      </c>
      <c r="W332" s="8">
        <f t="shared" si="107"/>
        <v>-14.140262596249206</v>
      </c>
      <c r="X332" s="8">
        <f t="shared" si="107"/>
        <v>-14.238820226545064</v>
      </c>
      <c r="Y332" s="8">
        <f t="shared" si="107"/>
        <v>-14.338064803524084</v>
      </c>
      <c r="Z332" s="8">
        <f t="shared" si="107"/>
        <v>-14.438001115204646</v>
      </c>
      <c r="AA332" s="8">
        <f t="shared" si="107"/>
        <v>-14.538633982977624</v>
      </c>
      <c r="AB332" s="8">
        <f t="shared" si="107"/>
        <v>-14.639968261838977</v>
      </c>
      <c r="AC332" s="8">
        <f t="shared" si="107"/>
        <v>-14.742008840623994</v>
      </c>
      <c r="AD332" s="8">
        <f t="shared" si="107"/>
        <v>-14.844760642243141</v>
      </c>
      <c r="AE332" s="8">
        <f t="shared" si="107"/>
        <v>-14.948228623919576</v>
      </c>
      <c r="AF332" s="8">
        <f t="shared" si="107"/>
        <v>-15.052417777428301</v>
      </c>
      <c r="AG332" s="8">
        <f t="shared" si="107"/>
        <v>-15.157333129336976</v>
      </c>
      <c r="AH332" s="8">
        <f t="shared" si="107"/>
        <v>-15.262979741248454</v>
      </c>
      <c r="AI332" s="8">
        <f t="shared" si="107"/>
        <v>-15.369362710044957</v>
      </c>
      <c r="AJ332" s="8">
        <f t="shared" si="107"/>
        <v>-15.476487168133966</v>
      </c>
      <c r="AK332" s="8">
        <f t="shared" si="107"/>
        <v>-15.584358283695865</v>
      </c>
      <c r="AL332" s="8">
        <f t="shared" si="107"/>
        <v>-15.692981260933227</v>
      </c>
      <c r="AM332" s="8">
        <f t="shared" si="107"/>
        <v>-15.80236134032193</v>
      </c>
      <c r="AN332" s="8">
        <f t="shared" si="107"/>
        <v>-15.912503798863979</v>
      </c>
      <c r="AO332" s="8">
        <f t="shared" si="107"/>
        <v>-16.023413950342057</v>
      </c>
      <c r="AP332" s="8">
        <f t="shared" si="107"/>
        <v>-16.135097145575937</v>
      </c>
      <c r="AQ332" s="8">
        <f t="shared" si="107"/>
        <v>-16.247558772680605</v>
      </c>
      <c r="AR332" s="8">
        <f t="shared" si="107"/>
        <v>-16.360804257326187</v>
      </c>
      <c r="AS332" s="8">
        <f t="shared" si="107"/>
        <v>-8.2374195314998762</v>
      </c>
    </row>
    <row r="333" spans="3:45" hidden="1" outlineLevel="1" x14ac:dyDescent="0.25">
      <c r="C333" s="6" t="s">
        <v>201</v>
      </c>
      <c r="D333" s="2" t="s">
        <v>79</v>
      </c>
      <c r="H333" s="8">
        <f t="shared" si="103"/>
        <v>-5176.8041632212435</v>
      </c>
      <c r="J333" s="8">
        <f t="shared" ref="J333:AS333" si="108">SUM(J329:J332)*Opex_Cont</f>
        <v>0</v>
      </c>
      <c r="K333" s="8">
        <f t="shared" si="108"/>
        <v>0</v>
      </c>
      <c r="L333" s="8">
        <f t="shared" si="108"/>
        <v>0</v>
      </c>
      <c r="M333" s="8">
        <f t="shared" si="108"/>
        <v>0</v>
      </c>
      <c r="N333" s="8">
        <f t="shared" si="108"/>
        <v>0</v>
      </c>
      <c r="O333" s="8">
        <f t="shared" si="108"/>
        <v>-59.167896000000013</v>
      </c>
      <c r="P333" s="8">
        <f t="shared" si="108"/>
        <v>-121.28418491999999</v>
      </c>
      <c r="Q333" s="8">
        <f t="shared" si="108"/>
        <v>-124.18738900314239</v>
      </c>
      <c r="R333" s="8">
        <f t="shared" si="108"/>
        <v>-127.16052863485064</v>
      </c>
      <c r="S333" s="8">
        <f t="shared" si="108"/>
        <v>-130.20529548769113</v>
      </c>
      <c r="T333" s="8">
        <f t="shared" si="108"/>
        <v>-133.32342229136475</v>
      </c>
      <c r="U333" s="8">
        <f t="shared" si="108"/>
        <v>-136.5166838321264</v>
      </c>
      <c r="V333" s="8">
        <f t="shared" si="108"/>
        <v>-139.78689797659811</v>
      </c>
      <c r="W333" s="8">
        <f t="shared" si="108"/>
        <v>-143.135926720573</v>
      </c>
      <c r="X333" s="8">
        <f t="shared" si="108"/>
        <v>-146.56567726342129</v>
      </c>
      <c r="Y333" s="8">
        <f t="shared" si="108"/>
        <v>-150.07810310872489</v>
      </c>
      <c r="Z333" s="8">
        <f t="shared" si="108"/>
        <v>-153.67520519178257</v>
      </c>
      <c r="AA333" s="8">
        <f t="shared" si="108"/>
        <v>-157.35903303464306</v>
      </c>
      <c r="AB333" s="8">
        <f t="shared" si="108"/>
        <v>-161.13168592934051</v>
      </c>
      <c r="AC333" s="8">
        <f t="shared" si="108"/>
        <v>-164.9953141500215</v>
      </c>
      <c r="AD333" s="8">
        <f t="shared" si="108"/>
        <v>-168.95212019467192</v>
      </c>
      <c r="AE333" s="8">
        <f t="shared" si="108"/>
        <v>-173.0043600571671</v>
      </c>
      <c r="AF333" s="8">
        <f t="shared" si="108"/>
        <v>-177.15434453038915</v>
      </c>
      <c r="AG333" s="8">
        <f t="shared" si="108"/>
        <v>-181.40444054117015</v>
      </c>
      <c r="AH333" s="8">
        <f t="shared" si="108"/>
        <v>-185.75707251784172</v>
      </c>
      <c r="AI333" s="8">
        <f t="shared" si="108"/>
        <v>-190.21472379118913</v>
      </c>
      <c r="AJ333" s="8">
        <f t="shared" si="108"/>
        <v>-194.77993802962706</v>
      </c>
      <c r="AK333" s="8">
        <f t="shared" si="108"/>
        <v>-199.45532070943636</v>
      </c>
      <c r="AL333" s="8">
        <f t="shared" si="108"/>
        <v>-204.24354062091857</v>
      </c>
      <c r="AM333" s="8">
        <f t="shared" si="108"/>
        <v>-209.14733141134963</v>
      </c>
      <c r="AN333" s="8">
        <f t="shared" si="108"/>
        <v>-214.16949316563287</v>
      </c>
      <c r="AO333" s="8">
        <f t="shared" si="108"/>
        <v>-219.31289402557491</v>
      </c>
      <c r="AP333" s="8">
        <f t="shared" si="108"/>
        <v>-224.58047184873055</v>
      </c>
      <c r="AQ333" s="8">
        <f t="shared" si="108"/>
        <v>-229.97523590778525</v>
      </c>
      <c r="AR333" s="8">
        <f t="shared" si="108"/>
        <v>-235.50026863146965</v>
      </c>
      <c r="AS333" s="8">
        <f t="shared" si="108"/>
        <v>-120.57936369401078</v>
      </c>
    </row>
    <row r="334" spans="3:45" hidden="1" outlineLevel="1" x14ac:dyDescent="0.25">
      <c r="C334" s="6" t="s">
        <v>202</v>
      </c>
      <c r="D334" s="2" t="s">
        <v>79</v>
      </c>
      <c r="H334" s="8">
        <f t="shared" si="103"/>
        <v>-12790.19648119422</v>
      </c>
      <c r="J334" s="8">
        <f t="shared" ref="J334:AS334" si="109">-J325*$G$12</f>
        <v>0</v>
      </c>
      <c r="K334" s="8">
        <f t="shared" si="109"/>
        <v>0</v>
      </c>
      <c r="L334" s="8">
        <f t="shared" si="109"/>
        <v>0</v>
      </c>
      <c r="M334" s="8">
        <f t="shared" si="109"/>
        <v>0</v>
      </c>
      <c r="N334" s="8">
        <f t="shared" si="109"/>
        <v>0</v>
      </c>
      <c r="O334" s="8">
        <f t="shared" si="109"/>
        <v>-222.26399999999998</v>
      </c>
      <c r="P334" s="8">
        <f t="shared" si="109"/>
        <v>-444.52799999999996</v>
      </c>
      <c r="Q334" s="8">
        <f t="shared" si="109"/>
        <v>-443.19441599999999</v>
      </c>
      <c r="R334" s="8">
        <f t="shared" si="109"/>
        <v>-441.86483275199998</v>
      </c>
      <c r="S334" s="8">
        <f t="shared" si="109"/>
        <v>-440.53923825374397</v>
      </c>
      <c r="T334" s="8">
        <f t="shared" si="109"/>
        <v>-439.21762053898283</v>
      </c>
      <c r="U334" s="8">
        <f t="shared" si="109"/>
        <v>-437.89996767736591</v>
      </c>
      <c r="V334" s="8">
        <f t="shared" si="109"/>
        <v>-436.58626777433381</v>
      </c>
      <c r="W334" s="8">
        <f t="shared" si="109"/>
        <v>-435.27650897101074</v>
      </c>
      <c r="X334" s="8">
        <f t="shared" si="109"/>
        <v>-433.9706794440977</v>
      </c>
      <c r="Y334" s="8">
        <f t="shared" si="109"/>
        <v>-432.66876740576544</v>
      </c>
      <c r="Z334" s="8">
        <f t="shared" si="109"/>
        <v>-431.3707611035482</v>
      </c>
      <c r="AA334" s="8">
        <f t="shared" si="109"/>
        <v>-430.07664882023755</v>
      </c>
      <c r="AB334" s="8">
        <f t="shared" si="109"/>
        <v>-428.78641887377677</v>
      </c>
      <c r="AC334" s="8">
        <f t="shared" si="109"/>
        <v>-427.50005961715544</v>
      </c>
      <c r="AD334" s="8">
        <f t="shared" si="109"/>
        <v>-426.21755943830402</v>
      </c>
      <c r="AE334" s="8">
        <f t="shared" si="109"/>
        <v>-424.93890675998904</v>
      </c>
      <c r="AF334" s="8">
        <f t="shared" si="109"/>
        <v>-423.66409003970915</v>
      </c>
      <c r="AG334" s="8">
        <f t="shared" si="109"/>
        <v>-422.39309776958999</v>
      </c>
      <c r="AH334" s="8">
        <f t="shared" si="109"/>
        <v>-421.1259184762813</v>
      </c>
      <c r="AI334" s="8">
        <f t="shared" si="109"/>
        <v>-419.86254072085239</v>
      </c>
      <c r="AJ334" s="8">
        <f t="shared" si="109"/>
        <v>-418.6029530986898</v>
      </c>
      <c r="AK334" s="8">
        <f t="shared" si="109"/>
        <v>-417.34714423939374</v>
      </c>
      <c r="AL334" s="8">
        <f t="shared" si="109"/>
        <v>-416.0951028066757</v>
      </c>
      <c r="AM334" s="8">
        <f t="shared" si="109"/>
        <v>-414.84681749825558</v>
      </c>
      <c r="AN334" s="8">
        <f t="shared" si="109"/>
        <v>-413.60227704576084</v>
      </c>
      <c r="AO334" s="8">
        <f t="shared" si="109"/>
        <v>-412.36147021462352</v>
      </c>
      <c r="AP334" s="8">
        <f t="shared" si="109"/>
        <v>-411.12438580397964</v>
      </c>
      <c r="AQ334" s="8">
        <f t="shared" si="109"/>
        <v>-409.89101264656779</v>
      </c>
      <c r="AR334" s="8">
        <f t="shared" si="109"/>
        <v>-408.66133960862805</v>
      </c>
      <c r="AS334" s="8">
        <f t="shared" si="109"/>
        <v>-203.71767779490108</v>
      </c>
    </row>
    <row r="335" spans="3:45" hidden="1" outlineLevel="1" x14ac:dyDescent="0.25">
      <c r="C335" s="6" t="s">
        <v>203</v>
      </c>
      <c r="D335" s="2" t="s">
        <v>79</v>
      </c>
      <c r="H335" s="8">
        <f t="shared" si="103"/>
        <v>-8922.613714589088</v>
      </c>
      <c r="J335" s="8">
        <f t="shared" ref="J335:AS335" si="110">-J327*HIPA_Rate</f>
        <v>0</v>
      </c>
      <c r="K335" s="8">
        <f t="shared" si="110"/>
        <v>0</v>
      </c>
      <c r="L335" s="8">
        <f t="shared" si="110"/>
        <v>0</v>
      </c>
      <c r="M335" s="8">
        <f t="shared" si="110"/>
        <v>0</v>
      </c>
      <c r="N335" s="8">
        <f t="shared" si="110"/>
        <v>0</v>
      </c>
      <c r="O335" s="8">
        <f t="shared" si="110"/>
        <v>-133.35839999999999</v>
      </c>
      <c r="P335" s="8">
        <f t="shared" si="110"/>
        <v>-269.38396799999998</v>
      </c>
      <c r="Q335" s="8">
        <f t="shared" si="110"/>
        <v>-271.26157425695999</v>
      </c>
      <c r="R335" s="8">
        <f t="shared" si="110"/>
        <v>-273.15226742953098</v>
      </c>
      <c r="S335" s="8">
        <f t="shared" si="110"/>
        <v>-275.05613873351484</v>
      </c>
      <c r="T335" s="8">
        <f t="shared" si="110"/>
        <v>-276.97328002048749</v>
      </c>
      <c r="U335" s="8">
        <f t="shared" si="110"/>
        <v>-278.90378378223033</v>
      </c>
      <c r="V335" s="8">
        <f t="shared" si="110"/>
        <v>-280.84774315519235</v>
      </c>
      <c r="W335" s="8">
        <f t="shared" si="110"/>
        <v>-282.80525192498413</v>
      </c>
      <c r="X335" s="8">
        <f t="shared" si="110"/>
        <v>-284.77640453090129</v>
      </c>
      <c r="Y335" s="8">
        <f t="shared" si="110"/>
        <v>-286.76129607048165</v>
      </c>
      <c r="Z335" s="8">
        <f t="shared" si="110"/>
        <v>-288.7600223040929</v>
      </c>
      <c r="AA335" s="8">
        <f t="shared" si="110"/>
        <v>-290.77267965955247</v>
      </c>
      <c r="AB335" s="8">
        <f t="shared" si="110"/>
        <v>-292.79936523677952</v>
      </c>
      <c r="AC335" s="8">
        <f t="shared" si="110"/>
        <v>-294.84017681247991</v>
      </c>
      <c r="AD335" s="8">
        <f t="shared" si="110"/>
        <v>-296.89521284486284</v>
      </c>
      <c r="AE335" s="8">
        <f t="shared" si="110"/>
        <v>-298.96457247839152</v>
      </c>
      <c r="AF335" s="8">
        <f t="shared" si="110"/>
        <v>-301.04835554856606</v>
      </c>
      <c r="AG335" s="8">
        <f t="shared" si="110"/>
        <v>-303.14666258673952</v>
      </c>
      <c r="AH335" s="8">
        <f t="shared" si="110"/>
        <v>-305.25959482496904</v>
      </c>
      <c r="AI335" s="8">
        <f t="shared" si="110"/>
        <v>-307.38725420089912</v>
      </c>
      <c r="AJ335" s="8">
        <f t="shared" si="110"/>
        <v>-309.52974336267931</v>
      </c>
      <c r="AK335" s="8">
        <f t="shared" si="110"/>
        <v>-311.68716567391732</v>
      </c>
      <c r="AL335" s="8">
        <f t="shared" si="110"/>
        <v>-313.85962521866452</v>
      </c>
      <c r="AM335" s="8">
        <f t="shared" si="110"/>
        <v>-316.04722680643857</v>
      </c>
      <c r="AN335" s="8">
        <f t="shared" si="110"/>
        <v>-318.25007597727955</v>
      </c>
      <c r="AO335" s="8">
        <f t="shared" si="110"/>
        <v>-320.46827900684116</v>
      </c>
      <c r="AP335" s="8">
        <f t="shared" si="110"/>
        <v>-322.7019429115187</v>
      </c>
      <c r="AQ335" s="8">
        <f t="shared" si="110"/>
        <v>-324.95117545361211</v>
      </c>
      <c r="AR335" s="8">
        <f t="shared" si="110"/>
        <v>-327.21608514652377</v>
      </c>
      <c r="AS335" s="8">
        <f t="shared" si="110"/>
        <v>-164.74839062999752</v>
      </c>
    </row>
    <row r="336" spans="3:45" hidden="1" outlineLevel="1" x14ac:dyDescent="0.25">
      <c r="C336" s="1" t="s">
        <v>204</v>
      </c>
      <c r="D336" s="2" t="s">
        <v>79</v>
      </c>
      <c r="H336" s="19">
        <f t="shared" si="103"/>
        <v>-130425.69762342949</v>
      </c>
      <c r="J336" s="19">
        <f t="shared" ref="J336:AS336" si="111">SUM(J329:J335)</f>
        <v>0</v>
      </c>
      <c r="K336" s="19">
        <f t="shared" si="111"/>
        <v>0</v>
      </c>
      <c r="L336" s="19">
        <f t="shared" si="111"/>
        <v>0</v>
      </c>
      <c r="M336" s="19">
        <f t="shared" si="111"/>
        <v>0</v>
      </c>
      <c r="N336" s="19">
        <f t="shared" si="111"/>
        <v>0</v>
      </c>
      <c r="O336" s="19">
        <f t="shared" si="111"/>
        <v>-1598.148216</v>
      </c>
      <c r="P336" s="19">
        <f t="shared" si="111"/>
        <v>-3260.8798513199995</v>
      </c>
      <c r="Q336" s="19">
        <f t="shared" si="111"/>
        <v>-3322.39115932295</v>
      </c>
      <c r="R336" s="19">
        <f t="shared" si="111"/>
        <v>-3385.3882015133945</v>
      </c>
      <c r="S336" s="19">
        <f t="shared" si="111"/>
        <v>-3449.9065822287721</v>
      </c>
      <c r="T336" s="19">
        <f t="shared" si="111"/>
        <v>-3515.98276867813</v>
      </c>
      <c r="U336" s="19">
        <f t="shared" si="111"/>
        <v>-3583.6541119342505</v>
      </c>
      <c r="V336" s="19">
        <f t="shared" si="111"/>
        <v>-3652.9588684380865</v>
      </c>
      <c r="W336" s="19">
        <f t="shared" si="111"/>
        <v>-3723.9362220280277</v>
      </c>
      <c r="X336" s="19">
        <f t="shared" si="111"/>
        <v>-3796.626306506846</v>
      </c>
      <c r="Y336" s="19">
        <f t="shared" si="111"/>
        <v>-3871.0702287594695</v>
      </c>
      <c r="Z336" s="19">
        <f t="shared" si="111"/>
        <v>-3947.3100924350747</v>
      </c>
      <c r="AA336" s="19">
        <f t="shared" si="111"/>
        <v>-4025.3890222072937</v>
      </c>
      <c r="AB336" s="19">
        <f t="shared" si="111"/>
        <v>-4105.351188626707</v>
      </c>
      <c r="AC336" s="19">
        <f t="shared" si="111"/>
        <v>-4187.2418335800867</v>
      </c>
      <c r="AD336" s="19">
        <f t="shared" si="111"/>
        <v>-4271.1072963712768</v>
      </c>
      <c r="AE336" s="19">
        <f t="shared" si="111"/>
        <v>-4356.9950404388892</v>
      </c>
      <c r="AF336" s="19">
        <f t="shared" si="111"/>
        <v>-4444.9536807264467</v>
      </c>
      <c r="AG336" s="19">
        <f t="shared" si="111"/>
        <v>-4535.0330117209023</v>
      </c>
      <c r="AH336" s="19">
        <f t="shared" si="111"/>
        <v>-4627.2840361759263</v>
      </c>
      <c r="AI336" s="19">
        <f t="shared" si="111"/>
        <v>-4721.7589945367235</v>
      </c>
      <c r="AJ336" s="19">
        <f t="shared" si="111"/>
        <v>-4818.5113950835375</v>
      </c>
      <c r="AK336" s="19">
        <f t="shared" si="111"/>
        <v>-4917.5960448114747</v>
      </c>
      <c r="AL336" s="19">
        <f t="shared" si="111"/>
        <v>-5019.0690810646302</v>
      </c>
      <c r="AM336" s="19">
        <f t="shared" si="111"/>
        <v>-5122.9880039430363</v>
      </c>
      <c r="AN336" s="19">
        <f t="shared" si="111"/>
        <v>-5229.4117095013307</v>
      </c>
      <c r="AO336" s="19">
        <f t="shared" si="111"/>
        <v>-5338.400523758537</v>
      </c>
      <c r="AP336" s="19">
        <f t="shared" si="111"/>
        <v>-5450.01623753884</v>
      </c>
      <c r="AQ336" s="19">
        <f t="shared" si="111"/>
        <v>-5564.3221421636708</v>
      </c>
      <c r="AR336" s="19">
        <f t="shared" si="111"/>
        <v>-5681.3830660160138</v>
      </c>
      <c r="AS336" s="19">
        <f t="shared" si="111"/>
        <v>-2900.6327059991249</v>
      </c>
    </row>
    <row r="337" spans="2:45" hidden="1" outlineLevel="1" x14ac:dyDescent="0.25">
      <c r="C337" s="1" t="s">
        <v>129</v>
      </c>
      <c r="D337" s="2" t="s">
        <v>79</v>
      </c>
      <c r="H337" s="14">
        <f t="shared" si="103"/>
        <v>315704.98810602498</v>
      </c>
      <c r="J337" s="14">
        <f t="shared" ref="J337:AS337" si="112">J327+J336</f>
        <v>0</v>
      </c>
      <c r="K337" s="14">
        <f t="shared" si="112"/>
        <v>0</v>
      </c>
      <c r="L337" s="14">
        <f t="shared" si="112"/>
        <v>0</v>
      </c>
      <c r="M337" s="14">
        <f t="shared" si="112"/>
        <v>0</v>
      </c>
      <c r="N337" s="14">
        <f t="shared" si="112"/>
        <v>0</v>
      </c>
      <c r="O337" s="14">
        <f t="shared" si="112"/>
        <v>5069.7717839999987</v>
      </c>
      <c r="P337" s="14">
        <f t="shared" si="112"/>
        <v>10208.318548679999</v>
      </c>
      <c r="Q337" s="14">
        <f t="shared" si="112"/>
        <v>10240.687553525049</v>
      </c>
      <c r="R337" s="14">
        <f t="shared" si="112"/>
        <v>10272.225169963152</v>
      </c>
      <c r="S337" s="14">
        <f t="shared" si="112"/>
        <v>10302.900354446969</v>
      </c>
      <c r="T337" s="14">
        <f t="shared" si="112"/>
        <v>10332.681232346244</v>
      </c>
      <c r="U337" s="14">
        <f t="shared" si="112"/>
        <v>10361.535077177265</v>
      </c>
      <c r="V337" s="14">
        <f t="shared" si="112"/>
        <v>10389.428289321531</v>
      </c>
      <c r="W337" s="14">
        <f t="shared" si="112"/>
        <v>10416.326374221178</v>
      </c>
      <c r="X337" s="14">
        <f t="shared" si="112"/>
        <v>10442.193920038218</v>
      </c>
      <c r="Y337" s="14">
        <f t="shared" si="112"/>
        <v>10466.994574764612</v>
      </c>
      <c r="Z337" s="14">
        <f t="shared" si="112"/>
        <v>10490.69102276957</v>
      </c>
      <c r="AA337" s="14">
        <f t="shared" si="112"/>
        <v>10513.244960770329</v>
      </c>
      <c r="AB337" s="14">
        <f t="shared" si="112"/>
        <v>10534.61707321227</v>
      </c>
      <c r="AC337" s="14">
        <f t="shared" si="112"/>
        <v>10554.767007043907</v>
      </c>
      <c r="AD337" s="14">
        <f t="shared" si="112"/>
        <v>10573.653345871866</v>
      </c>
      <c r="AE337" s="14">
        <f t="shared" si="112"/>
        <v>10591.233583480687</v>
      </c>
      <c r="AF337" s="14">
        <f t="shared" si="112"/>
        <v>10607.464096701855</v>
      </c>
      <c r="AG337" s="14">
        <f t="shared" si="112"/>
        <v>10622.300117616072</v>
      </c>
      <c r="AH337" s="14">
        <f t="shared" si="112"/>
        <v>10635.695705072527</v>
      </c>
      <c r="AI337" s="14">
        <f t="shared" si="112"/>
        <v>10647.603715508232</v>
      </c>
      <c r="AJ337" s="14">
        <f t="shared" si="112"/>
        <v>10657.975773050428</v>
      </c>
      <c r="AK337" s="14">
        <f t="shared" si="112"/>
        <v>10666.76223888439</v>
      </c>
      <c r="AL337" s="14">
        <f t="shared" si="112"/>
        <v>10673.912179868596</v>
      </c>
      <c r="AM337" s="14">
        <f t="shared" si="112"/>
        <v>10679.373336378892</v>
      </c>
      <c r="AN337" s="14">
        <f t="shared" si="112"/>
        <v>10683.092089362646</v>
      </c>
      <c r="AO337" s="14">
        <f t="shared" si="112"/>
        <v>10685.01342658352</v>
      </c>
      <c r="AP337" s="14">
        <f t="shared" si="112"/>
        <v>10685.080908037096</v>
      </c>
      <c r="AQ337" s="14">
        <f t="shared" si="112"/>
        <v>10683.236630516934</v>
      </c>
      <c r="AR337" s="14">
        <f t="shared" si="112"/>
        <v>10679.421191310175</v>
      </c>
      <c r="AS337" s="14">
        <f t="shared" si="112"/>
        <v>5336.7868255007506</v>
      </c>
    </row>
    <row r="338" spans="2:45" hidden="1" outlineLevel="1" x14ac:dyDescent="0.25">
      <c r="C338" s="1" t="s">
        <v>205</v>
      </c>
      <c r="D338" s="2" t="s">
        <v>79</v>
      </c>
      <c r="H338" s="19">
        <f t="shared" si="103"/>
        <v>244362.26139369622</v>
      </c>
      <c r="J338" s="19">
        <f t="shared" ref="J338:AS338" si="113">J323+J337</f>
        <v>-657.1232876712329</v>
      </c>
      <c r="K338" s="19">
        <f t="shared" si="113"/>
        <v>-3612.0547945205481</v>
      </c>
      <c r="L338" s="19">
        <f t="shared" si="113"/>
        <v>-3359.8191780821917</v>
      </c>
      <c r="M338" s="19">
        <f t="shared" si="113"/>
        <v>-15927.0625</v>
      </c>
      <c r="N338" s="19">
        <f t="shared" si="113"/>
        <v>-31854.125</v>
      </c>
      <c r="O338" s="19">
        <f t="shared" si="113"/>
        <v>-13357.290716000001</v>
      </c>
      <c r="P338" s="19">
        <f t="shared" si="113"/>
        <v>10208.318548679999</v>
      </c>
      <c r="Q338" s="19">
        <f t="shared" si="113"/>
        <v>12735.208101470254</v>
      </c>
      <c r="R338" s="19">
        <f t="shared" si="113"/>
        <v>10272.225169963152</v>
      </c>
      <c r="S338" s="19">
        <f t="shared" si="113"/>
        <v>10302.900354446969</v>
      </c>
      <c r="T338" s="19">
        <f t="shared" si="113"/>
        <v>10332.681232346244</v>
      </c>
      <c r="U338" s="19">
        <f t="shared" si="113"/>
        <v>10361.535077177265</v>
      </c>
      <c r="V338" s="19">
        <f t="shared" si="113"/>
        <v>10389.428289321531</v>
      </c>
      <c r="W338" s="19">
        <f t="shared" si="113"/>
        <v>10416.326374221178</v>
      </c>
      <c r="X338" s="19">
        <f t="shared" si="113"/>
        <v>10442.193920038218</v>
      </c>
      <c r="Y338" s="19">
        <f t="shared" si="113"/>
        <v>10466.994574764612</v>
      </c>
      <c r="Z338" s="19">
        <f t="shared" si="113"/>
        <v>10490.69102276957</v>
      </c>
      <c r="AA338" s="19">
        <f t="shared" si="113"/>
        <v>10513.244960770329</v>
      </c>
      <c r="AB338" s="19">
        <f t="shared" si="113"/>
        <v>10534.61707321227</v>
      </c>
      <c r="AC338" s="19">
        <f t="shared" si="113"/>
        <v>10554.767007043907</v>
      </c>
      <c r="AD338" s="19">
        <f t="shared" si="113"/>
        <v>10573.653345871866</v>
      </c>
      <c r="AE338" s="19">
        <f t="shared" si="113"/>
        <v>10591.233583480687</v>
      </c>
      <c r="AF338" s="19">
        <f t="shared" si="113"/>
        <v>10607.464096701855</v>
      </c>
      <c r="AG338" s="19">
        <f t="shared" si="113"/>
        <v>10622.300117616072</v>
      </c>
      <c r="AH338" s="19">
        <f t="shared" si="113"/>
        <v>10635.695705072527</v>
      </c>
      <c r="AI338" s="19">
        <f t="shared" si="113"/>
        <v>10647.603715508232</v>
      </c>
      <c r="AJ338" s="19">
        <f t="shared" si="113"/>
        <v>10657.975773050428</v>
      </c>
      <c r="AK338" s="19">
        <f t="shared" si="113"/>
        <v>10666.76223888439</v>
      </c>
      <c r="AL338" s="19">
        <f t="shared" si="113"/>
        <v>10673.912179868596</v>
      </c>
      <c r="AM338" s="19">
        <f t="shared" si="113"/>
        <v>10679.373336378892</v>
      </c>
      <c r="AN338" s="19">
        <f t="shared" si="113"/>
        <v>10683.092089362646</v>
      </c>
      <c r="AO338" s="19">
        <f t="shared" si="113"/>
        <v>10685.01342658352</v>
      </c>
      <c r="AP338" s="19">
        <f t="shared" si="113"/>
        <v>10685.080908037096</v>
      </c>
      <c r="AQ338" s="19">
        <f t="shared" si="113"/>
        <v>10683.236630516934</v>
      </c>
      <c r="AR338" s="19">
        <f t="shared" si="113"/>
        <v>10679.421191310175</v>
      </c>
      <c r="AS338" s="19">
        <f t="shared" si="113"/>
        <v>5336.7868255007506</v>
      </c>
    </row>
    <row r="339" spans="2:45" hidden="1" outlineLevel="1" x14ac:dyDescent="0.25">
      <c r="C339" s="6" t="s">
        <v>206</v>
      </c>
      <c r="D339" s="2" t="s">
        <v>2</v>
      </c>
      <c r="J339" s="30">
        <f>(1+Discount_Rate)^((Inputs!$G$33-J$248)/Days_In_Year)</f>
        <v>1.4137125510793771</v>
      </c>
      <c r="K339" s="30">
        <f>(1+Discount_Rate)^((Inputs!$G$33-K$248)/Days_In_Year)</f>
        <v>1.3089931028512751</v>
      </c>
      <c r="L339" s="30">
        <f>(1+Discount_Rate)^((Inputs!$G$33-L$248)/Days_In_Year)</f>
        <v>1.2117751184391485</v>
      </c>
      <c r="M339" s="30">
        <f>(1+Discount_Rate)^((Inputs!$G$33-M$248)/Days_In_Year)</f>
        <v>1.122013998554767</v>
      </c>
      <c r="N339" s="30">
        <f>(1+Discount_Rate)^((Inputs!$G$33-N$248)/Days_In_Year)</f>
        <v>1.0389018505136731</v>
      </c>
      <c r="O339" s="30">
        <f>(1+Discount_Rate)^((Inputs!$G$33-O$248)/Days_In_Year)</f>
        <v>0.96194615788303062</v>
      </c>
      <c r="P339" s="30">
        <f>(1+Discount_Rate)^((Inputs!$G$33-P$248)/Days_In_Year)</f>
        <v>0.8905031026227137</v>
      </c>
      <c r="Q339" s="30">
        <f>(1+Discount_Rate)^((Inputs!$G$33-Q$248)/Days_In_Year)</f>
        <v>0.8245399098358458</v>
      </c>
      <c r="R339" s="30">
        <f>(1+Discount_Rate)^((Inputs!$G$33-R$248)/Days_In_Year)</f>
        <v>0.76346287947763503</v>
      </c>
      <c r="S339" s="30">
        <f>(1+Discount_Rate)^((Inputs!$G$33-S$248)/Days_In_Year)</f>
        <v>0.7069100735904027</v>
      </c>
      <c r="T339" s="30">
        <f>(1+Discount_Rate)^((Inputs!$G$33-T$248)/Days_In_Year)</f>
        <v>0.6544083664649869</v>
      </c>
      <c r="U339" s="30">
        <f>(1+Discount_Rate)^((Inputs!$G$33-U$248)/Days_In_Year)</f>
        <v>0.60593367265276554</v>
      </c>
      <c r="V339" s="30">
        <f>(1+Discount_Rate)^((Inputs!$G$33-V$248)/Days_In_Year)</f>
        <v>0.56104969690070883</v>
      </c>
      <c r="W339" s="30">
        <f>(1+Discount_Rate)^((Inputs!$G$33-W$248)/Days_In_Year)</f>
        <v>0.51949046009324884</v>
      </c>
      <c r="X339" s="30">
        <f>(1+Discount_Rate)^((Inputs!$G$33-X$248)/Days_In_Year)</f>
        <v>0.48090827402856651</v>
      </c>
      <c r="Y339" s="30">
        <f>(1+Discount_Rate)^((Inputs!$G$33-Y$248)/Days_In_Year)</f>
        <v>0.44528543891533923</v>
      </c>
      <c r="Z339" s="30">
        <f>(1+Discount_Rate)^((Inputs!$G$33-Z$248)/Days_In_Year)</f>
        <v>0.41230133232901778</v>
      </c>
      <c r="AA339" s="30">
        <f>(1+Discount_Rate)^((Inputs!$G$33-AA$248)/Days_In_Year)</f>
        <v>0.38176049289723868</v>
      </c>
      <c r="AB339" s="30">
        <f>(1+Discount_Rate)^((Inputs!$G$33-AB$248)/Days_In_Year)</f>
        <v>0.35340741329215369</v>
      </c>
      <c r="AC339" s="30">
        <f>(1+Discount_Rate)^((Inputs!$G$33-AC$248)/Days_In_Year)</f>
        <v>0.32722908638162373</v>
      </c>
      <c r="AD339" s="30">
        <f>(1+Discount_Rate)^((Inputs!$G$33-AD$248)/Days_In_Year)</f>
        <v>0.30298989479779975</v>
      </c>
      <c r="AE339" s="30">
        <f>(1+Discount_Rate)^((Inputs!$G$33-AE$248)/Days_In_Year)</f>
        <v>0.28054619888685151</v>
      </c>
      <c r="AF339" s="30">
        <f>(1+Discount_Rate)^((Inputs!$G$33-AF$248)/Days_In_Year)</f>
        <v>0.25971023273022764</v>
      </c>
      <c r="AG339" s="30">
        <f>(1+Discount_Rate)^((Inputs!$G$33-AG$248)/Days_In_Year)</f>
        <v>0.24047243771317375</v>
      </c>
      <c r="AH339" s="30">
        <f>(1+Discount_Rate)^((Inputs!$G$33-AH$248)/Days_In_Year)</f>
        <v>0.22265966454923491</v>
      </c>
      <c r="AI339" s="30">
        <f>(1+Discount_Rate)^((Inputs!$G$33-AI$248)/Days_In_Year)</f>
        <v>0.20616635606410641</v>
      </c>
      <c r="AJ339" s="30">
        <f>(1+Discount_Rate)^((Inputs!$G$33-AJ$248)/Days_In_Year)</f>
        <v>0.19085452779970458</v>
      </c>
      <c r="AK339" s="30">
        <f>(1+Discount_Rate)^((Inputs!$G$33-AK$248)/Days_In_Year)</f>
        <v>0.17671715537009683</v>
      </c>
      <c r="AL339" s="30">
        <f>(1+Discount_Rate)^((Inputs!$G$33-AL$248)/Days_In_Year)</f>
        <v>0.16362699571305259</v>
      </c>
      <c r="AM339" s="30">
        <f>(1+Discount_Rate)^((Inputs!$G$33-AM$248)/Days_In_Year)</f>
        <v>0.15150647751208571</v>
      </c>
      <c r="AN339" s="30">
        <f>(1+Discount_Rate)^((Inputs!$G$33-AN$248)/Days_In_Year)</f>
        <v>0.14025419945422371</v>
      </c>
      <c r="AO339" s="30">
        <f>(1+Discount_Rate)^((Inputs!$G$33-AO$248)/Days_In_Year)</f>
        <v>0.12986499949465158</v>
      </c>
      <c r="AP339" s="30">
        <f>(1+Discount_Rate)^((Inputs!$G$33-AP$248)/Days_In_Year)</f>
        <v>0.12024536990245513</v>
      </c>
      <c r="AQ339" s="30">
        <f>(1+Discount_Rate)^((Inputs!$G$33-AQ$248)/Days_In_Year)</f>
        <v>0.1113383054652362</v>
      </c>
      <c r="AR339" s="30">
        <f>(1+Discount_Rate)^((Inputs!$G$33-AR$248)/Days_In_Year)</f>
        <v>0.1030692889046335</v>
      </c>
      <c r="AS339" s="30">
        <f>(1+Discount_Rate)^((Inputs!$G$33-AS$248)/Days_In_Year)</f>
        <v>9.5434526763549549E-2</v>
      </c>
    </row>
    <row r="340" spans="2:45" hidden="1" outlineLevel="1" x14ac:dyDescent="0.25">
      <c r="C340" s="6" t="s">
        <v>207</v>
      </c>
      <c r="D340" s="2" t="s">
        <v>79</v>
      </c>
      <c r="H340" s="8">
        <f>SUM(J340:AS340)</f>
        <v>117317.066600666</v>
      </c>
      <c r="J340" s="8">
        <f t="shared" ref="J340:AS340" si="114">J337*J339</f>
        <v>0</v>
      </c>
      <c r="K340" s="8">
        <f t="shared" si="114"/>
        <v>0</v>
      </c>
      <c r="L340" s="8">
        <f t="shared" si="114"/>
        <v>0</v>
      </c>
      <c r="M340" s="8">
        <f t="shared" si="114"/>
        <v>0</v>
      </c>
      <c r="N340" s="8">
        <f t="shared" si="114"/>
        <v>0</v>
      </c>
      <c r="O340" s="8">
        <f t="shared" si="114"/>
        <v>4876.8474889625968</v>
      </c>
      <c r="P340" s="8">
        <f t="shared" si="114"/>
        <v>9090.5393401605379</v>
      </c>
      <c r="Q340" s="8">
        <f t="shared" si="114"/>
        <v>8443.8555920406125</v>
      </c>
      <c r="R340" s="8">
        <f t="shared" si="114"/>
        <v>7842.4626069027072</v>
      </c>
      <c r="S340" s="8">
        <f t="shared" si="114"/>
        <v>7283.2240477566929</v>
      </c>
      <c r="T340" s="8">
        <f t="shared" si="114"/>
        <v>6761.7930464631327</v>
      </c>
      <c r="U340" s="8">
        <f t="shared" si="114"/>
        <v>6278.4030036344766</v>
      </c>
      <c r="V340" s="8">
        <f t="shared" si="114"/>
        <v>5828.9855926954951</v>
      </c>
      <c r="W340" s="8">
        <f t="shared" si="114"/>
        <v>5411.1821806256021</v>
      </c>
      <c r="X340" s="8">
        <f t="shared" si="114"/>
        <v>5021.7374551571711</v>
      </c>
      <c r="Y340" s="8">
        <f t="shared" si="114"/>
        <v>4660.8002733485346</v>
      </c>
      <c r="Z340" s="8">
        <f t="shared" si="114"/>
        <v>4325.3258857399596</v>
      </c>
      <c r="AA340" s="8">
        <f t="shared" si="114"/>
        <v>4013.5415781730917</v>
      </c>
      <c r="AB340" s="8">
        <f t="shared" si="114"/>
        <v>3723.0117698673071</v>
      </c>
      <c r="AC340" s="8">
        <f t="shared" si="114"/>
        <v>3453.8267646858831</v>
      </c>
      <c r="AD340" s="8">
        <f t="shared" si="114"/>
        <v>3203.7101148941201</v>
      </c>
      <c r="AE340" s="8">
        <f t="shared" si="114"/>
        <v>2971.3303233682736</v>
      </c>
      <c r="AF340" s="8">
        <f t="shared" si="114"/>
        <v>2754.8669692319727</v>
      </c>
      <c r="AG340" s="8">
        <f t="shared" si="114"/>
        <v>2554.3704034040693</v>
      </c>
      <c r="AH340" s="8">
        <f t="shared" si="114"/>
        <v>2368.1404379391874</v>
      </c>
      <c r="AI340" s="8">
        <f t="shared" si="114"/>
        <v>2195.1776588409725</v>
      </c>
      <c r="AJ340" s="8">
        <f t="shared" si="114"/>
        <v>2034.1229334662307</v>
      </c>
      <c r="AK340" s="8">
        <f t="shared" si="114"/>
        <v>1884.9998798648146</v>
      </c>
      <c r="AL340" s="8">
        <f t="shared" si="114"/>
        <v>1746.5401824968585</v>
      </c>
      <c r="AM340" s="8">
        <f t="shared" si="114"/>
        <v>1617.9942362312563</v>
      </c>
      <c r="AN340" s="8">
        <f t="shared" si="114"/>
        <v>1498.3485286893081</v>
      </c>
      <c r="AO340" s="8">
        <f t="shared" si="114"/>
        <v>1387.6092632436141</v>
      </c>
      <c r="AP340" s="8">
        <f t="shared" si="114"/>
        <v>1284.8315062245817</v>
      </c>
      <c r="AQ340" s="8">
        <f t="shared" si="114"/>
        <v>1189.4534633258952</v>
      </c>
      <c r="AR340" s="8">
        <f t="shared" si="114"/>
        <v>1100.7203481014137</v>
      </c>
      <c r="AS340" s="8">
        <f t="shared" si="114"/>
        <v>509.31372512961002</v>
      </c>
    </row>
    <row r="341" spans="2:45" hidden="1" outlineLevel="1" x14ac:dyDescent="0.25">
      <c r="C341" s="1" t="s">
        <v>208</v>
      </c>
      <c r="D341" s="2" t="s">
        <v>79</v>
      </c>
      <c r="H341" s="19">
        <f>SUM(J341:AS341)</f>
        <v>45974.339888337243</v>
      </c>
      <c r="J341" s="19">
        <f t="shared" ref="J341:AS341" si="115">J323*(J313&lt;=0)+J318*($H340+$G$59+$G$60)</f>
        <v>-657.1232876712329</v>
      </c>
      <c r="K341" s="19">
        <f t="shared" si="115"/>
        <v>-3612.0547945205481</v>
      </c>
      <c r="L341" s="19">
        <f t="shared" si="115"/>
        <v>-3359.8191780821917</v>
      </c>
      <c r="M341" s="19">
        <f t="shared" si="115"/>
        <v>-15927.0625</v>
      </c>
      <c r="N341" s="19">
        <f t="shared" si="115"/>
        <v>-31854.125</v>
      </c>
      <c r="O341" s="19">
        <f t="shared" si="115"/>
        <v>101384.52464861122</v>
      </c>
      <c r="P341" s="19">
        <f t="shared" si="115"/>
        <v>0</v>
      </c>
      <c r="Q341" s="19">
        <f t="shared" si="115"/>
        <v>0</v>
      </c>
      <c r="R341" s="19">
        <f t="shared" si="115"/>
        <v>0</v>
      </c>
      <c r="S341" s="19">
        <f t="shared" si="115"/>
        <v>0</v>
      </c>
      <c r="T341" s="19">
        <f t="shared" si="115"/>
        <v>0</v>
      </c>
      <c r="U341" s="19">
        <f t="shared" si="115"/>
        <v>0</v>
      </c>
      <c r="V341" s="19">
        <f t="shared" si="115"/>
        <v>0</v>
      </c>
      <c r="W341" s="19">
        <f t="shared" si="115"/>
        <v>0</v>
      </c>
      <c r="X341" s="19">
        <f t="shared" si="115"/>
        <v>0</v>
      </c>
      <c r="Y341" s="19">
        <f t="shared" si="115"/>
        <v>0</v>
      </c>
      <c r="Z341" s="19">
        <f t="shared" si="115"/>
        <v>0</v>
      </c>
      <c r="AA341" s="19">
        <f t="shared" si="115"/>
        <v>0</v>
      </c>
      <c r="AB341" s="19">
        <f t="shared" si="115"/>
        <v>0</v>
      </c>
      <c r="AC341" s="19">
        <f t="shared" si="115"/>
        <v>0</v>
      </c>
      <c r="AD341" s="19">
        <f t="shared" si="115"/>
        <v>0</v>
      </c>
      <c r="AE341" s="19">
        <f t="shared" si="115"/>
        <v>0</v>
      </c>
      <c r="AF341" s="19">
        <f t="shared" si="115"/>
        <v>0</v>
      </c>
      <c r="AG341" s="19">
        <f t="shared" si="115"/>
        <v>0</v>
      </c>
      <c r="AH341" s="19">
        <f t="shared" si="115"/>
        <v>0</v>
      </c>
      <c r="AI341" s="19">
        <f t="shared" si="115"/>
        <v>0</v>
      </c>
      <c r="AJ341" s="19">
        <f t="shared" si="115"/>
        <v>0</v>
      </c>
      <c r="AK341" s="19">
        <f t="shared" si="115"/>
        <v>0</v>
      </c>
      <c r="AL341" s="19">
        <f t="shared" si="115"/>
        <v>0</v>
      </c>
      <c r="AM341" s="19">
        <f t="shared" si="115"/>
        <v>0</v>
      </c>
      <c r="AN341" s="19">
        <f t="shared" si="115"/>
        <v>0</v>
      </c>
      <c r="AO341" s="19">
        <f t="shared" si="115"/>
        <v>0</v>
      </c>
      <c r="AP341" s="19">
        <f t="shared" si="115"/>
        <v>0</v>
      </c>
      <c r="AQ341" s="19">
        <f t="shared" si="115"/>
        <v>0</v>
      </c>
      <c r="AR341" s="19">
        <f t="shared" si="115"/>
        <v>0</v>
      </c>
      <c r="AS341" s="19">
        <f t="shared" si="115"/>
        <v>0</v>
      </c>
    </row>
    <row r="342" spans="2:45" hidden="1" outlineLevel="1" x14ac:dyDescent="0.25"/>
    <row r="343" spans="2:45" hidden="1" outlineLevel="1" x14ac:dyDescent="0.25">
      <c r="B343" s="4" t="s">
        <v>2</v>
      </c>
      <c r="C343" s="4" t="s">
        <v>211</v>
      </c>
      <c r="D343" s="4"/>
      <c r="E343" s="5" t="s">
        <v>4</v>
      </c>
      <c r="F343" s="5" t="s">
        <v>5</v>
      </c>
      <c r="G343" s="5" t="s">
        <v>6</v>
      </c>
      <c r="H343" s="5" t="s">
        <v>7</v>
      </c>
    </row>
    <row r="344" spans="2:45" hidden="1" outlineLevel="1" x14ac:dyDescent="0.25">
      <c r="C344" s="6" t="s">
        <v>174</v>
      </c>
      <c r="D344" s="2" t="s">
        <v>79</v>
      </c>
      <c r="E344" s="8">
        <f>-MAX(0,$H$279)*CIT_Rate</f>
        <v>-3458.4599707430721</v>
      </c>
      <c r="F344" s="8">
        <f>-MAX(0,$H$310)*CIT_Rate</f>
        <v>-4137.6905899503518</v>
      </c>
      <c r="G344" s="8">
        <f>-MAX(0,$H$341)*CIT_Rate</f>
        <v>-4137.6905899503518</v>
      </c>
      <c r="H344" s="8">
        <f>SUM(E344:G344)</f>
        <v>-11733.841150643777</v>
      </c>
    </row>
    <row r="345" spans="2:45" hidden="1" outlineLevel="1" x14ac:dyDescent="0.25">
      <c r="C345" s="1" t="s">
        <v>112</v>
      </c>
      <c r="D345" s="2" t="s">
        <v>79</v>
      </c>
      <c r="E345" s="14">
        <f>$H$279+E344</f>
        <v>34968.87303751328</v>
      </c>
      <c r="F345" s="14">
        <f>$H$310+F344</f>
        <v>41836.649298386888</v>
      </c>
      <c r="G345" s="14">
        <f>$H$341+G344</f>
        <v>41836.649298386888</v>
      </c>
      <c r="H345" s="14">
        <f>SUM(E345:G345)</f>
        <v>118642.17163428705</v>
      </c>
    </row>
    <row r="346" spans="2:45" hidden="1" outlineLevel="1" x14ac:dyDescent="0.25"/>
    <row r="347" spans="2:45" hidden="1" outlineLevel="1" x14ac:dyDescent="0.25">
      <c r="B347" s="4" t="s">
        <v>2</v>
      </c>
      <c r="C347" s="4" t="s">
        <v>212</v>
      </c>
      <c r="D347" s="4"/>
      <c r="E347" s="5" t="s">
        <v>4</v>
      </c>
      <c r="F347" s="5" t="s">
        <v>5</v>
      </c>
      <c r="G347" s="5" t="s">
        <v>6</v>
      </c>
      <c r="H347" s="5" t="s">
        <v>7</v>
      </c>
    </row>
    <row r="348" spans="2:45" hidden="1" outlineLevel="1" x14ac:dyDescent="0.25">
      <c r="C348" s="6" t="s">
        <v>213</v>
      </c>
      <c r="D348" s="2" t="s">
        <v>1</v>
      </c>
      <c r="E348" s="29">
        <f>N(ABS(E191+E192+E196-E199-E210)&gt;Tolerance)</f>
        <v>0</v>
      </c>
      <c r="F348" s="29">
        <f>N(ABS(F191+F192+F196-F199-F210)&gt;Tolerance)</f>
        <v>0</v>
      </c>
      <c r="G348" s="29">
        <f>N(ABS(G191+G192+G196-G199-G210)&gt;Tolerance)</f>
        <v>0</v>
      </c>
      <c r="H348" s="29">
        <f t="shared" ref="H348:H354" si="116">SUM(E348:G348)</f>
        <v>0</v>
      </c>
    </row>
    <row r="349" spans="2:45" hidden="1" outlineLevel="1" x14ac:dyDescent="0.25">
      <c r="C349" s="6" t="s">
        <v>214</v>
      </c>
      <c r="D349" s="2" t="s">
        <v>1</v>
      </c>
      <c r="E349" s="29">
        <f>SUMPRODUCT(--(YEAR(J203:J209)&gt;=YEAR(E165)))</f>
        <v>0</v>
      </c>
      <c r="F349" s="29">
        <f>SUMPRODUCT(--(YEAR(K203:K209)&gt;=YEAR(F165)))</f>
        <v>0</v>
      </c>
      <c r="G349" s="29">
        <f>SUMPRODUCT(--(YEAR(L203:L209)&gt;=YEAR(G165)))</f>
        <v>0</v>
      </c>
      <c r="H349" s="29">
        <f t="shared" si="116"/>
        <v>0</v>
      </c>
    </row>
    <row r="350" spans="2:45" hidden="1" outlineLevel="1" x14ac:dyDescent="0.25">
      <c r="C350" s="6" t="s">
        <v>215</v>
      </c>
      <c r="D350" s="2" t="s">
        <v>1</v>
      </c>
      <c r="E350" s="29">
        <f>N(AND(E17&lt;&gt;"EU",E17&lt;&gt;"CN"))</f>
        <v>0</v>
      </c>
      <c r="F350" s="29">
        <f>N(AND(F17&lt;&gt;"EU",F17&lt;&gt;"CN"))</f>
        <v>0</v>
      </c>
      <c r="G350" s="29">
        <f>N(AND(G17&lt;&gt;"EU",G17&lt;&gt;"CN"))</f>
        <v>0</v>
      </c>
      <c r="H350" s="29">
        <f t="shared" si="116"/>
        <v>0</v>
      </c>
    </row>
    <row r="351" spans="2:45" hidden="1" outlineLevel="1" x14ac:dyDescent="0.25">
      <c r="C351" s="6" t="s">
        <v>216</v>
      </c>
      <c r="D351" s="2" t="s">
        <v>1</v>
      </c>
      <c r="E351" s="29">
        <f>N(ABS(E102-E64)&gt;Tolerance)</f>
        <v>0</v>
      </c>
      <c r="F351" s="29">
        <f>N(ABS(F102-F64)&gt;Tolerance)</f>
        <v>0</v>
      </c>
      <c r="G351" s="29">
        <f>N(ABS(G102-G64)&gt;Tolerance)</f>
        <v>0</v>
      </c>
      <c r="H351" s="29">
        <f t="shared" si="116"/>
        <v>0</v>
      </c>
    </row>
    <row r="352" spans="2:45" hidden="1" outlineLevel="1" x14ac:dyDescent="0.25">
      <c r="C352" s="6" t="s">
        <v>217</v>
      </c>
      <c r="D352" s="2" t="s">
        <v>1</v>
      </c>
      <c r="E352" s="29">
        <f>N(ABS(E87+$H$259)&gt;Tolerance)</f>
        <v>0</v>
      </c>
      <c r="F352" s="29">
        <f>N(ABS(F87+$H$290)&gt;Tolerance)</f>
        <v>0</v>
      </c>
      <c r="G352" s="29">
        <f>N(ABS(G87+$H$321)&gt;Tolerance)</f>
        <v>0</v>
      </c>
      <c r="H352" s="29">
        <f t="shared" si="116"/>
        <v>0</v>
      </c>
    </row>
    <row r="353" spans="3:8" hidden="1" outlineLevel="1" x14ac:dyDescent="0.25">
      <c r="C353" s="6" t="s">
        <v>218</v>
      </c>
      <c r="D353" s="2" t="s">
        <v>1</v>
      </c>
      <c r="E353" s="29">
        <f>N(ABS(E91+$H$261)&gt;Tolerance)</f>
        <v>0</v>
      </c>
      <c r="F353" s="29">
        <f>N(ABS(F91+$H$292)&gt;Tolerance)</f>
        <v>0</v>
      </c>
      <c r="G353" s="29">
        <f>N(ABS(G91+$H$323)&gt;Tolerance)</f>
        <v>0</v>
      </c>
      <c r="H353" s="29">
        <f t="shared" si="116"/>
        <v>0</v>
      </c>
    </row>
    <row r="354" spans="3:8" hidden="1" outlineLevel="1" x14ac:dyDescent="0.25">
      <c r="C354" s="6" t="s">
        <v>219</v>
      </c>
      <c r="D354" s="2" t="s">
        <v>1</v>
      </c>
      <c r="E354" s="29">
        <f>N(ABS($H$255-Life)&gt;Tolerance)</f>
        <v>0</v>
      </c>
      <c r="F354" s="29">
        <f>N(ABS($H$286-Life)&gt;Tolerance)</f>
        <v>0</v>
      </c>
      <c r="G354" s="29">
        <f>N(ABS($H$317-Life)&gt;Tolerance)</f>
        <v>0</v>
      </c>
      <c r="H354" s="29">
        <f t="shared" si="116"/>
        <v>0</v>
      </c>
    </row>
    <row r="355" spans="3:8" outlineLevel="1" x14ac:dyDescent="0.25">
      <c r="C355" s="6" t="s">
        <v>404</v>
      </c>
      <c r="D355" s="2" t="s">
        <v>1</v>
      </c>
      <c r="E355" s="29">
        <f>N(ABS(E222+E223+E227-E230-E238)&gt;Tolerance)</f>
        <v>0</v>
      </c>
      <c r="F355" s="29">
        <f>N(ABS(F222+F223+F227-F230-F238)&gt;Tolerance)</f>
        <v>0</v>
      </c>
      <c r="G355" s="29">
        <f>N(ABS(G222+G223+G227-G230-G238)&gt;Tolerance)</f>
        <v>0</v>
      </c>
      <c r="H355" s="29">
        <f>SUM(E355:G355)</f>
        <v>0</v>
      </c>
    </row>
    <row r="356" spans="3:8" hidden="1" outlineLevel="1" x14ac:dyDescent="0.25">
      <c r="C356" s="1" t="s">
        <v>220</v>
      </c>
      <c r="D356" s="2" t="s">
        <v>1</v>
      </c>
      <c r="H356" s="31">
        <f>SUM(H348:H355)</f>
        <v>0</v>
      </c>
    </row>
    <row r="357" spans="3:8" hidden="1" outlineLevel="1" x14ac:dyDescent="0.25"/>
    <row r="358" spans="3:8" hidden="1" outlineLevel="1" x14ac:dyDescent="0.25">
      <c r="C358" s="32" t="s">
        <v>221</v>
      </c>
    </row>
  </sheetData>
  <conditionalFormatting sqref="H3">
    <cfRule type="cellIs" dxfId="3" priority="1" operator="equal">
      <formula>0</formula>
    </cfRule>
    <cfRule type="cellIs" dxfId="2" priority="3" operator="notEqual">
      <formula>0</formula>
    </cfRule>
  </conditionalFormatting>
  <conditionalFormatting sqref="H356">
    <cfRule type="cellIs" dxfId="1" priority="4" operator="equal">
      <formula>0</formula>
    </cfRule>
    <cfRule type="cellIs" dxfId="0" priority="4" operator="notEqual">
      <formula>0</formula>
    </cfRule>
  </conditionalFormatting>
  <dataValidations count="1">
    <dataValidation type="list" sqref="H23" xr:uid="{00000000-0002-0000-0000-000000000000}">
      <formula1>"Base,Low,High"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2:P11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G37" sqref="G37"/>
    </sheetView>
  </sheetViews>
  <sheetFormatPr defaultRowHeight="15" outlineLevelRow="1" x14ac:dyDescent="0.25"/>
  <cols>
    <col min="1" max="2" width="2" customWidth="1"/>
    <col min="3" max="3" width="54" customWidth="1"/>
    <col min="4" max="4" width="11" customWidth="1"/>
    <col min="5" max="7" width="13" customWidth="1"/>
    <col min="8" max="8" width="50" customWidth="1"/>
  </cols>
  <sheetData>
    <row r="2" spans="2:8" x14ac:dyDescent="0.25">
      <c r="C2" s="1" t="s">
        <v>222</v>
      </c>
    </row>
    <row r="4" spans="2:8" x14ac:dyDescent="0.25">
      <c r="B4" s="4" t="s">
        <v>2</v>
      </c>
      <c r="C4" s="4" t="s">
        <v>223</v>
      </c>
      <c r="D4" s="4"/>
      <c r="E4" s="5" t="s">
        <v>4</v>
      </c>
      <c r="F4" s="5" t="s">
        <v>5</v>
      </c>
      <c r="G4" s="5" t="s">
        <v>6</v>
      </c>
      <c r="H4" s="4" t="s">
        <v>224</v>
      </c>
    </row>
    <row r="5" spans="2:8" x14ac:dyDescent="0.25">
      <c r="C5" s="20" t="s">
        <v>225</v>
      </c>
      <c r="D5" s="20"/>
      <c r="E5" s="21"/>
      <c r="F5" s="21"/>
      <c r="G5" s="21"/>
      <c r="H5" s="21"/>
    </row>
    <row r="6" spans="2:8" x14ac:dyDescent="0.25">
      <c r="C6" s="6" t="s">
        <v>226</v>
      </c>
      <c r="D6" s="2" t="s">
        <v>227</v>
      </c>
      <c r="E6" s="7">
        <v>365</v>
      </c>
      <c r="H6" s="2" t="s">
        <v>228</v>
      </c>
    </row>
    <row r="7" spans="2:8" x14ac:dyDescent="0.25">
      <c r="C7" s="6" t="s">
        <v>229</v>
      </c>
      <c r="D7" s="2" t="s">
        <v>230</v>
      </c>
      <c r="E7" s="7">
        <v>406000000</v>
      </c>
      <c r="H7" s="2" t="s">
        <v>231</v>
      </c>
    </row>
    <row r="8" spans="2:8" x14ac:dyDescent="0.25">
      <c r="C8" s="6" t="s">
        <v>232</v>
      </c>
      <c r="D8" s="2" t="s">
        <v>233</v>
      </c>
      <c r="E8" s="7">
        <v>200000000</v>
      </c>
      <c r="H8" s="2" t="s">
        <v>234</v>
      </c>
    </row>
    <row r="9" spans="2:8" x14ac:dyDescent="0.25">
      <c r="C9" s="6" t="s">
        <v>235</v>
      </c>
      <c r="D9" s="2" t="s">
        <v>11</v>
      </c>
      <c r="E9" s="9">
        <v>5.0000000000000001E-3</v>
      </c>
      <c r="H9" s="2" t="s">
        <v>236</v>
      </c>
    </row>
    <row r="10" spans="2:8" x14ac:dyDescent="0.25">
      <c r="C10" s="6" t="s">
        <v>237</v>
      </c>
      <c r="D10" s="2" t="s">
        <v>11</v>
      </c>
      <c r="E10" s="9">
        <v>2.5000000000000001E-2</v>
      </c>
      <c r="H10" s="2" t="s">
        <v>238</v>
      </c>
    </row>
    <row r="11" spans="2:8" x14ac:dyDescent="0.25">
      <c r="C11" s="6" t="s">
        <v>239</v>
      </c>
      <c r="D11" s="2" t="s">
        <v>71</v>
      </c>
      <c r="E11" s="7">
        <v>3000000</v>
      </c>
      <c r="H11" s="2" t="s">
        <v>240</v>
      </c>
    </row>
    <row r="12" spans="2:8" x14ac:dyDescent="0.25">
      <c r="C12" s="6" t="s">
        <v>74</v>
      </c>
      <c r="D12" s="2" t="s">
        <v>241</v>
      </c>
      <c r="E12" s="7">
        <v>4500000</v>
      </c>
      <c r="H12" s="2" t="s">
        <v>242</v>
      </c>
    </row>
    <row r="13" spans="2:8" x14ac:dyDescent="0.25">
      <c r="C13" s="20" t="s">
        <v>243</v>
      </c>
      <c r="D13" s="20"/>
      <c r="E13" s="21"/>
      <c r="F13" s="21"/>
      <c r="G13" s="21"/>
      <c r="H13" s="21"/>
    </row>
    <row r="14" spans="2:8" x14ac:dyDescent="0.25">
      <c r="C14" s="6" t="s">
        <v>244</v>
      </c>
      <c r="D14" s="2" t="s">
        <v>241</v>
      </c>
      <c r="E14" s="7">
        <v>73071306</v>
      </c>
      <c r="F14" s="7">
        <v>19826680</v>
      </c>
      <c r="G14" s="7">
        <v>19826680</v>
      </c>
      <c r="H14" s="2" t="s">
        <v>245</v>
      </c>
    </row>
    <row r="15" spans="2:8" x14ac:dyDescent="0.25">
      <c r="C15" s="6" t="s">
        <v>246</v>
      </c>
      <c r="D15" s="2" t="s">
        <v>71</v>
      </c>
      <c r="E15" s="7">
        <v>508345804</v>
      </c>
      <c r="F15" s="7">
        <v>460000000</v>
      </c>
      <c r="G15" s="7">
        <v>460000000</v>
      </c>
      <c r="H15" s="2" t="s">
        <v>247</v>
      </c>
    </row>
    <row r="16" spans="2:8" x14ac:dyDescent="0.25">
      <c r="C16" s="6" t="s">
        <v>248</v>
      </c>
      <c r="D16" s="2" t="s">
        <v>249</v>
      </c>
      <c r="E16" s="11">
        <v>2</v>
      </c>
      <c r="F16" s="11">
        <v>1</v>
      </c>
      <c r="G16" s="11">
        <v>1</v>
      </c>
      <c r="H16" s="2" t="s">
        <v>250</v>
      </c>
    </row>
    <row r="17" spans="3:8" x14ac:dyDescent="0.25">
      <c r="C17" s="6" t="s">
        <v>81</v>
      </c>
      <c r="D17" s="2" t="s">
        <v>79</v>
      </c>
      <c r="E17" s="7">
        <v>100</v>
      </c>
      <c r="F17" s="7">
        <v>150</v>
      </c>
      <c r="G17" s="7">
        <v>150</v>
      </c>
      <c r="H17" s="2" t="s">
        <v>251</v>
      </c>
    </row>
    <row r="18" spans="3:8" x14ac:dyDescent="0.25">
      <c r="C18" s="6" t="s">
        <v>252</v>
      </c>
      <c r="D18" s="2" t="s">
        <v>79</v>
      </c>
      <c r="E18" s="10">
        <v>40.47</v>
      </c>
      <c r="F18" s="59">
        <f>$E18/SUM($E$18:$E$23)*F$24</f>
        <v>51.588970897548663</v>
      </c>
      <c r="G18" s="59">
        <f>$E18/SUM($E$18:$E$23)*G$24</f>
        <v>51.588970897548663</v>
      </c>
      <c r="H18" s="2" t="s">
        <v>421</v>
      </c>
    </row>
    <row r="19" spans="3:8" x14ac:dyDescent="0.25">
      <c r="C19" s="6" t="s">
        <v>253</v>
      </c>
      <c r="D19" s="2" t="s">
        <v>79</v>
      </c>
      <c r="E19" s="10">
        <v>150.66</v>
      </c>
      <c r="F19" s="59">
        <f>$E19/SUM($E$18:$E$23)*F$24</f>
        <v>192.05323339324642</v>
      </c>
      <c r="G19" s="59">
        <f>$E19/SUM($E$18:$E$23)*G$24</f>
        <v>192.05323339324642</v>
      </c>
      <c r="H19" s="2" t="s">
        <v>421</v>
      </c>
    </row>
    <row r="20" spans="3:8" x14ac:dyDescent="0.25">
      <c r="C20" s="6" t="s">
        <v>254</v>
      </c>
      <c r="D20" s="2" t="s">
        <v>79</v>
      </c>
      <c r="E20" s="10">
        <v>333.93</v>
      </c>
      <c r="F20" s="59">
        <f>$E20/SUM($E$18:$E$23)*F$24</f>
        <v>425.67593407013658</v>
      </c>
      <c r="G20" s="59">
        <f>$E20/SUM($E$18:$E$23)*G$24</f>
        <v>425.67593407013658</v>
      </c>
      <c r="H20" s="2" t="s">
        <v>421</v>
      </c>
    </row>
    <row r="21" spans="3:8" x14ac:dyDescent="0.25">
      <c r="C21" s="6" t="s">
        <v>255</v>
      </c>
      <c r="D21" s="2" t="s">
        <v>79</v>
      </c>
      <c r="E21" s="10">
        <v>151.36000000000001</v>
      </c>
      <c r="F21" s="59">
        <f>$E21/SUM($E$18:$E$23)*F$24</f>
        <v>192.94555559804712</v>
      </c>
      <c r="G21" s="59">
        <f>$E21/SUM($E$18:$E$23)*G$24</f>
        <v>192.94555559804712</v>
      </c>
      <c r="H21" s="2" t="s">
        <v>421</v>
      </c>
    </row>
    <row r="22" spans="3:8" x14ac:dyDescent="0.25">
      <c r="C22" s="6" t="s">
        <v>256</v>
      </c>
      <c r="D22" s="2" t="s">
        <v>79</v>
      </c>
      <c r="E22" s="10">
        <v>37.5</v>
      </c>
      <c r="F22" s="59">
        <f>$E22/SUM($E$18:$E$23)*F$24</f>
        <v>47.802975257180009</v>
      </c>
      <c r="G22" s="59">
        <f>$E22/SUM($E$18:$E$23)*G$24</f>
        <v>47.802975257180009</v>
      </c>
      <c r="H22" s="2" t="s">
        <v>421</v>
      </c>
    </row>
    <row r="23" spans="3:8" x14ac:dyDescent="0.25">
      <c r="C23" s="6" t="s">
        <v>257</v>
      </c>
      <c r="D23" s="2" t="s">
        <v>79</v>
      </c>
      <c r="E23" s="10">
        <v>70.55</v>
      </c>
      <c r="F23" s="58">
        <f>$E23/SUM($E$18:$E$23)*F$24</f>
        <v>89.933330783841328</v>
      </c>
      <c r="G23" s="58">
        <f>$E23/SUM($E$18:$E$23)*G$24</f>
        <v>89.933330783841328</v>
      </c>
      <c r="H23" s="2" t="s">
        <v>421</v>
      </c>
    </row>
    <row r="24" spans="3:8" x14ac:dyDescent="0.25">
      <c r="C24" s="6" t="s">
        <v>419</v>
      </c>
      <c r="D24" s="2" t="s">
        <v>79</v>
      </c>
      <c r="E24" s="10"/>
      <c r="F24" s="10">
        <v>1000</v>
      </c>
      <c r="G24" s="10">
        <v>1000</v>
      </c>
      <c r="H24" s="2" t="s">
        <v>420</v>
      </c>
    </row>
    <row r="25" spans="3:8" x14ac:dyDescent="0.25">
      <c r="C25" s="6" t="s">
        <v>258</v>
      </c>
      <c r="D25" s="2" t="s">
        <v>1</v>
      </c>
      <c r="E25" s="11">
        <v>0</v>
      </c>
      <c r="F25" s="11">
        <v>0</v>
      </c>
      <c r="G25" s="11">
        <v>0</v>
      </c>
      <c r="H25" s="2" t="s">
        <v>259</v>
      </c>
    </row>
    <row r="26" spans="3:8" x14ac:dyDescent="0.25">
      <c r="C26" s="6" t="s">
        <v>260</v>
      </c>
      <c r="D26" s="2" t="s">
        <v>135</v>
      </c>
      <c r="E26" s="33">
        <v>46234</v>
      </c>
      <c r="F26" s="33">
        <v>46234</v>
      </c>
      <c r="G26" s="33">
        <v>46234</v>
      </c>
      <c r="H26" s="2" t="s">
        <v>261</v>
      </c>
    </row>
    <row r="27" spans="3:8" x14ac:dyDescent="0.25">
      <c r="C27" s="6" t="s">
        <v>262</v>
      </c>
      <c r="D27" s="2" t="s">
        <v>135</v>
      </c>
      <c r="E27" s="33">
        <v>46325</v>
      </c>
      <c r="F27" s="33">
        <v>46325</v>
      </c>
      <c r="G27" s="33">
        <v>46325</v>
      </c>
      <c r="H27" s="2" t="s">
        <v>263</v>
      </c>
    </row>
    <row r="28" spans="3:8" x14ac:dyDescent="0.25">
      <c r="C28" s="6" t="s">
        <v>264</v>
      </c>
      <c r="D28" s="2" t="s">
        <v>135</v>
      </c>
      <c r="E28" s="33">
        <v>46402</v>
      </c>
      <c r="F28" s="33">
        <v>46402</v>
      </c>
      <c r="G28" s="33">
        <v>46402</v>
      </c>
      <c r="H28" s="2" t="s">
        <v>265</v>
      </c>
    </row>
    <row r="29" spans="3:8" x14ac:dyDescent="0.25">
      <c r="C29" s="6" t="s">
        <v>266</v>
      </c>
      <c r="D29" s="2" t="s">
        <v>135</v>
      </c>
      <c r="E29" s="33">
        <v>46402</v>
      </c>
      <c r="F29" s="33">
        <v>46402</v>
      </c>
      <c r="G29" s="33">
        <v>46402</v>
      </c>
      <c r="H29" s="2" t="s">
        <v>267</v>
      </c>
    </row>
    <row r="30" spans="3:8" x14ac:dyDescent="0.25">
      <c r="C30" s="6" t="s">
        <v>268</v>
      </c>
      <c r="D30" s="2" t="s">
        <v>135</v>
      </c>
      <c r="E30" s="33">
        <v>47027</v>
      </c>
      <c r="F30" s="33">
        <v>47027</v>
      </c>
      <c r="G30" s="33">
        <v>47027</v>
      </c>
      <c r="H30" s="2" t="s">
        <v>269</v>
      </c>
    </row>
    <row r="31" spans="3:8" x14ac:dyDescent="0.25">
      <c r="C31" s="6" t="s">
        <v>270</v>
      </c>
      <c r="D31" s="2" t="s">
        <v>135</v>
      </c>
      <c r="E31" s="33">
        <v>46752</v>
      </c>
      <c r="F31" s="33">
        <v>46752</v>
      </c>
      <c r="G31" s="33">
        <v>46752</v>
      </c>
      <c r="H31" s="2" t="s">
        <v>271</v>
      </c>
    </row>
    <row r="32" spans="3:8" x14ac:dyDescent="0.25">
      <c r="C32" s="6" t="s">
        <v>272</v>
      </c>
      <c r="D32" s="2" t="s">
        <v>135</v>
      </c>
      <c r="E32" s="33">
        <v>47299</v>
      </c>
      <c r="F32" s="33">
        <v>47299</v>
      </c>
      <c r="G32" s="33">
        <v>47299</v>
      </c>
      <c r="H32" s="2" t="s">
        <v>273</v>
      </c>
    </row>
    <row r="33" spans="3:8" x14ac:dyDescent="0.25">
      <c r="C33" s="6" t="s">
        <v>274</v>
      </c>
      <c r="D33" s="2" t="s">
        <v>135</v>
      </c>
      <c r="E33" s="33">
        <v>48029</v>
      </c>
      <c r="F33" s="33">
        <v>48029</v>
      </c>
      <c r="G33" s="33">
        <v>48029</v>
      </c>
      <c r="H33" s="2" t="s">
        <v>275</v>
      </c>
    </row>
    <row r="34" spans="3:8" x14ac:dyDescent="0.25">
      <c r="C34" s="6" t="s">
        <v>276</v>
      </c>
      <c r="D34" s="2" t="s">
        <v>135</v>
      </c>
      <c r="E34" s="33">
        <v>48669</v>
      </c>
      <c r="F34" s="33">
        <v>48669</v>
      </c>
      <c r="G34" s="33">
        <v>48669</v>
      </c>
      <c r="H34" s="2" t="s">
        <v>277</v>
      </c>
    </row>
    <row r="35" spans="3:8" x14ac:dyDescent="0.25">
      <c r="C35" s="6" t="s">
        <v>278</v>
      </c>
      <c r="D35" s="2" t="s">
        <v>135</v>
      </c>
      <c r="E35" s="33">
        <v>46325</v>
      </c>
      <c r="F35" s="33">
        <v>46325</v>
      </c>
      <c r="G35" s="33">
        <v>46325</v>
      </c>
      <c r="H35" s="2" t="s">
        <v>279</v>
      </c>
    </row>
    <row r="36" spans="3:8" x14ac:dyDescent="0.25">
      <c r="C36" s="20" t="s">
        <v>280</v>
      </c>
      <c r="D36" s="20"/>
      <c r="E36" s="21"/>
      <c r="F36" s="21"/>
      <c r="G36" s="21"/>
      <c r="H36" s="21"/>
    </row>
    <row r="37" spans="3:8" x14ac:dyDescent="0.25">
      <c r="C37" s="6" t="s">
        <v>281</v>
      </c>
      <c r="D37" s="2" t="s">
        <v>11</v>
      </c>
      <c r="E37" s="9">
        <v>0.12</v>
      </c>
      <c r="H37" s="2" t="s">
        <v>282</v>
      </c>
    </row>
    <row r="38" spans="3:8" x14ac:dyDescent="0.25">
      <c r="C38" s="6" t="s">
        <v>283</v>
      </c>
      <c r="D38" s="2" t="s">
        <v>11</v>
      </c>
      <c r="E38" s="9">
        <v>0.2</v>
      </c>
      <c r="H38" s="2" t="s">
        <v>284</v>
      </c>
    </row>
    <row r="39" spans="3:8" x14ac:dyDescent="0.25">
      <c r="C39" s="6" t="s">
        <v>285</v>
      </c>
      <c r="D39" s="2" t="s">
        <v>2</v>
      </c>
      <c r="E39" s="12">
        <v>2</v>
      </c>
      <c r="H39" s="2" t="s">
        <v>286</v>
      </c>
    </row>
    <row r="40" spans="3:8" x14ac:dyDescent="0.25">
      <c r="C40" s="6" t="s">
        <v>287</v>
      </c>
      <c r="D40" s="2" t="s">
        <v>135</v>
      </c>
      <c r="E40" s="33">
        <v>47299</v>
      </c>
      <c r="H40" s="2" t="s">
        <v>288</v>
      </c>
    </row>
    <row r="41" spans="3:8" x14ac:dyDescent="0.25">
      <c r="C41" s="6" t="s">
        <v>289</v>
      </c>
      <c r="D41" s="2" t="s">
        <v>135</v>
      </c>
      <c r="E41" s="33">
        <v>47391</v>
      </c>
      <c r="H41" s="2" t="s">
        <v>290</v>
      </c>
    </row>
    <row r="42" spans="3:8" x14ac:dyDescent="0.25">
      <c r="C42" s="6" t="s">
        <v>291</v>
      </c>
      <c r="D42" s="2" t="s">
        <v>79</v>
      </c>
      <c r="E42" s="7">
        <v>250</v>
      </c>
      <c r="H42" s="2" t="s">
        <v>292</v>
      </c>
    </row>
    <row r="43" spans="3:8" x14ac:dyDescent="0.25">
      <c r="C43" s="6" t="s">
        <v>293</v>
      </c>
      <c r="D43" s="2" t="s">
        <v>48</v>
      </c>
      <c r="E43" s="10">
        <v>2.5</v>
      </c>
      <c r="H43" s="2" t="s">
        <v>294</v>
      </c>
    </row>
    <row r="44" spans="3:8" x14ac:dyDescent="0.25">
      <c r="C44" s="6" t="s">
        <v>295</v>
      </c>
      <c r="D44" s="2" t="s">
        <v>38</v>
      </c>
      <c r="E44" s="10">
        <v>10</v>
      </c>
      <c r="H44" s="2" t="s">
        <v>296</v>
      </c>
    </row>
    <row r="45" spans="3:8" x14ac:dyDescent="0.25">
      <c r="C45" s="6" t="s">
        <v>297</v>
      </c>
      <c r="D45" s="2" t="s">
        <v>11</v>
      </c>
      <c r="E45" s="9">
        <v>0.09</v>
      </c>
      <c r="H45" s="2" t="s">
        <v>298</v>
      </c>
    </row>
    <row r="46" spans="3:8" x14ac:dyDescent="0.25">
      <c r="C46" s="20" t="s">
        <v>299</v>
      </c>
      <c r="D46" s="20"/>
      <c r="E46" s="21"/>
      <c r="F46" s="21"/>
      <c r="G46" s="21"/>
      <c r="H46" s="21"/>
    </row>
    <row r="47" spans="3:8" x14ac:dyDescent="0.25">
      <c r="C47" s="6" t="s">
        <v>300</v>
      </c>
      <c r="D47" s="2" t="s">
        <v>38</v>
      </c>
      <c r="E47" s="7">
        <v>80</v>
      </c>
      <c r="H47" s="2" t="s">
        <v>301</v>
      </c>
    </row>
    <row r="48" spans="3:8" x14ac:dyDescent="0.25">
      <c r="C48" s="6" t="s">
        <v>86</v>
      </c>
      <c r="D48" s="2" t="s">
        <v>38</v>
      </c>
      <c r="E48" s="7">
        <v>90</v>
      </c>
      <c r="H48" s="2" t="s">
        <v>302</v>
      </c>
    </row>
    <row r="49" spans="3:8" x14ac:dyDescent="0.25">
      <c r="C49" s="6" t="s">
        <v>87</v>
      </c>
      <c r="D49" s="2" t="s">
        <v>38</v>
      </c>
      <c r="E49" s="7">
        <v>70</v>
      </c>
      <c r="H49" s="2" t="s">
        <v>303</v>
      </c>
    </row>
    <row r="50" spans="3:8" x14ac:dyDescent="0.25">
      <c r="C50" s="6" t="s">
        <v>88</v>
      </c>
      <c r="D50" s="2" t="s">
        <v>38</v>
      </c>
      <c r="E50" s="7">
        <v>60</v>
      </c>
      <c r="H50" s="2" t="s">
        <v>304</v>
      </c>
    </row>
    <row r="51" spans="3:8" x14ac:dyDescent="0.25">
      <c r="C51" s="6" t="s">
        <v>89</v>
      </c>
      <c r="D51" s="2" t="s">
        <v>38</v>
      </c>
      <c r="E51" s="7">
        <v>40</v>
      </c>
      <c r="H51" s="2" t="s">
        <v>305</v>
      </c>
    </row>
    <row r="52" spans="3:8" x14ac:dyDescent="0.25">
      <c r="C52" s="6" t="s">
        <v>90</v>
      </c>
      <c r="D52" s="2" t="s">
        <v>38</v>
      </c>
      <c r="E52" s="7">
        <v>15</v>
      </c>
      <c r="H52" s="2" t="s">
        <v>306</v>
      </c>
    </row>
    <row r="53" spans="3:8" x14ac:dyDescent="0.25">
      <c r="C53" s="6" t="s">
        <v>307</v>
      </c>
      <c r="D53" s="2" t="s">
        <v>79</v>
      </c>
      <c r="E53" s="7">
        <v>12000</v>
      </c>
      <c r="H53" s="2" t="s">
        <v>308</v>
      </c>
    </row>
    <row r="54" spans="3:8" x14ac:dyDescent="0.25">
      <c r="C54" s="6" t="s">
        <v>309</v>
      </c>
      <c r="D54" s="2" t="s">
        <v>9</v>
      </c>
      <c r="E54" s="7">
        <v>200</v>
      </c>
      <c r="H54" s="2" t="s">
        <v>310</v>
      </c>
    </row>
    <row r="55" spans="3:8" x14ac:dyDescent="0.25">
      <c r="C55" s="6" t="s">
        <v>311</v>
      </c>
      <c r="D55" s="2" t="s">
        <v>11</v>
      </c>
      <c r="E55" s="9">
        <v>0.05</v>
      </c>
      <c r="H55" s="2" t="s">
        <v>312</v>
      </c>
    </row>
    <row r="56" spans="3:8" x14ac:dyDescent="0.25">
      <c r="C56" s="6" t="s">
        <v>313</v>
      </c>
      <c r="D56" s="2" t="s">
        <v>314</v>
      </c>
      <c r="E56" s="7">
        <v>100</v>
      </c>
      <c r="H56" s="2" t="s">
        <v>315</v>
      </c>
    </row>
    <row r="57" spans="3:8" x14ac:dyDescent="0.25">
      <c r="C57" s="20" t="s">
        <v>316</v>
      </c>
      <c r="D57" s="20"/>
      <c r="E57" s="21"/>
      <c r="F57" s="21"/>
      <c r="G57" s="21"/>
      <c r="H57" s="21"/>
    </row>
    <row r="58" spans="3:8" x14ac:dyDescent="0.25">
      <c r="C58" s="6" t="s">
        <v>317</v>
      </c>
      <c r="D58" s="2" t="s">
        <v>11</v>
      </c>
      <c r="E58" s="9">
        <v>0.02</v>
      </c>
      <c r="H58" s="2" t="s">
        <v>318</v>
      </c>
    </row>
    <row r="59" spans="3:8" x14ac:dyDescent="0.25">
      <c r="C59" s="6" t="s">
        <v>319</v>
      </c>
      <c r="D59" s="2" t="s">
        <v>11</v>
      </c>
      <c r="E59" s="9">
        <v>0.04</v>
      </c>
      <c r="H59" s="2" t="s">
        <v>320</v>
      </c>
    </row>
    <row r="60" spans="3:8" x14ac:dyDescent="0.25">
      <c r="C60" s="6" t="s">
        <v>321</v>
      </c>
      <c r="D60" s="2" t="s">
        <v>322</v>
      </c>
      <c r="E60" s="9">
        <v>3.0000000000000001E-3</v>
      </c>
      <c r="H60" s="2" t="s">
        <v>323</v>
      </c>
    </row>
    <row r="61" spans="3:8" x14ac:dyDescent="0.25">
      <c r="C61" s="6" t="s">
        <v>324</v>
      </c>
      <c r="D61" s="2" t="s">
        <v>322</v>
      </c>
      <c r="E61" s="9">
        <v>0.01</v>
      </c>
      <c r="H61" s="2" t="s">
        <v>325</v>
      </c>
    </row>
    <row r="62" spans="3:8" x14ac:dyDescent="0.25">
      <c r="C62" s="20" t="s">
        <v>326</v>
      </c>
      <c r="D62" s="20"/>
      <c r="E62" s="21"/>
      <c r="F62" s="21"/>
      <c r="G62" s="21"/>
      <c r="H62" s="21"/>
    </row>
    <row r="63" spans="3:8" x14ac:dyDescent="0.25">
      <c r="C63" s="6" t="s">
        <v>327</v>
      </c>
      <c r="D63" s="2" t="s">
        <v>48</v>
      </c>
      <c r="E63" s="10">
        <v>3</v>
      </c>
      <c r="H63" s="2" t="s">
        <v>328</v>
      </c>
    </row>
    <row r="64" spans="3:8" x14ac:dyDescent="0.25">
      <c r="C64" s="6" t="s">
        <v>329</v>
      </c>
      <c r="D64" s="2" t="s">
        <v>48</v>
      </c>
      <c r="E64" s="10">
        <v>3</v>
      </c>
      <c r="H64" s="2" t="s">
        <v>330</v>
      </c>
    </row>
    <row r="65" spans="3:8" x14ac:dyDescent="0.25">
      <c r="C65" s="6" t="s">
        <v>331</v>
      </c>
      <c r="D65" s="2" t="s">
        <v>48</v>
      </c>
      <c r="E65" s="10">
        <v>2.5</v>
      </c>
      <c r="H65" s="2" t="s">
        <v>332</v>
      </c>
    </row>
    <row r="66" spans="3:8" x14ac:dyDescent="0.25">
      <c r="C66" s="6" t="s">
        <v>333</v>
      </c>
      <c r="D66" s="2" t="s">
        <v>48</v>
      </c>
      <c r="E66" s="10">
        <v>1.5</v>
      </c>
      <c r="H66" s="2" t="s">
        <v>334</v>
      </c>
    </row>
    <row r="67" spans="3:8" x14ac:dyDescent="0.25">
      <c r="C67" s="6" t="s">
        <v>335</v>
      </c>
      <c r="D67" s="2" t="s">
        <v>48</v>
      </c>
      <c r="E67" s="10">
        <v>3</v>
      </c>
      <c r="H67" s="2" t="s">
        <v>336</v>
      </c>
    </row>
    <row r="68" spans="3:8" x14ac:dyDescent="0.25">
      <c r="C68" s="6" t="s">
        <v>337</v>
      </c>
      <c r="D68" s="2" t="s">
        <v>338</v>
      </c>
      <c r="E68" s="7">
        <v>150</v>
      </c>
      <c r="H68" s="2" t="s">
        <v>339</v>
      </c>
    </row>
    <row r="69" spans="3:8" x14ac:dyDescent="0.25">
      <c r="C69" s="6" t="s">
        <v>340</v>
      </c>
      <c r="D69" s="2" t="s">
        <v>19</v>
      </c>
      <c r="E69" s="10">
        <v>4</v>
      </c>
      <c r="H69" s="2" t="s">
        <v>341</v>
      </c>
    </row>
    <row r="70" spans="3:8" x14ac:dyDescent="0.25">
      <c r="C70" s="6" t="s">
        <v>342</v>
      </c>
      <c r="D70" s="2" t="s">
        <v>19</v>
      </c>
      <c r="E70" s="10">
        <v>1</v>
      </c>
      <c r="H70" s="2" t="s">
        <v>343</v>
      </c>
    </row>
    <row r="71" spans="3:8" x14ac:dyDescent="0.25">
      <c r="C71" s="6" t="s">
        <v>200</v>
      </c>
      <c r="D71" s="2" t="s">
        <v>344</v>
      </c>
      <c r="E71" s="9">
        <v>1E-3</v>
      </c>
      <c r="H71" s="2" t="s">
        <v>345</v>
      </c>
    </row>
    <row r="72" spans="3:8" x14ac:dyDescent="0.25">
      <c r="C72" s="6" t="s">
        <v>203</v>
      </c>
      <c r="D72" s="2" t="s">
        <v>344</v>
      </c>
      <c r="E72" s="9">
        <v>0.02</v>
      </c>
      <c r="H72" s="2" t="s">
        <v>346</v>
      </c>
    </row>
    <row r="73" spans="3:8" x14ac:dyDescent="0.25">
      <c r="C73" s="6" t="s">
        <v>347</v>
      </c>
      <c r="D73" s="2" t="s">
        <v>11</v>
      </c>
      <c r="E73" s="9">
        <v>0.05</v>
      </c>
      <c r="H73" s="2" t="s">
        <v>348</v>
      </c>
    </row>
    <row r="74" spans="3:8" x14ac:dyDescent="0.25">
      <c r="C74" s="6" t="s">
        <v>349</v>
      </c>
      <c r="D74" s="2" t="s">
        <v>322</v>
      </c>
      <c r="E74" s="9">
        <v>2.5000000000000001E-2</v>
      </c>
      <c r="H74" s="2" t="s">
        <v>350</v>
      </c>
    </row>
    <row r="75" spans="3:8" x14ac:dyDescent="0.25">
      <c r="C75" s="20" t="s">
        <v>351</v>
      </c>
      <c r="D75" s="20"/>
      <c r="E75" s="21"/>
      <c r="F75" s="21"/>
      <c r="G75" s="21"/>
      <c r="H75" s="21"/>
    </row>
    <row r="76" spans="3:8" x14ac:dyDescent="0.25">
      <c r="C76" s="6" t="s">
        <v>352</v>
      </c>
      <c r="D76" s="2" t="s">
        <v>180</v>
      </c>
      <c r="E76" s="11">
        <v>30</v>
      </c>
      <c r="H76" s="2" t="s">
        <v>353</v>
      </c>
    </row>
    <row r="77" spans="3:8" x14ac:dyDescent="0.25">
      <c r="C77" s="6" t="s">
        <v>354</v>
      </c>
      <c r="D77" s="2" t="s">
        <v>11</v>
      </c>
      <c r="E77" s="9">
        <v>0.08</v>
      </c>
      <c r="H77" s="2" t="s">
        <v>355</v>
      </c>
    </row>
    <row r="78" spans="3:8" x14ac:dyDescent="0.25">
      <c r="C78" s="6" t="s">
        <v>356</v>
      </c>
      <c r="D78" s="2" t="s">
        <v>125</v>
      </c>
      <c r="E78" s="11">
        <v>2026</v>
      </c>
      <c r="H78" s="2" t="s">
        <v>357</v>
      </c>
    </row>
    <row r="79" spans="3:8" x14ac:dyDescent="0.25">
      <c r="C79" s="6" t="s">
        <v>358</v>
      </c>
      <c r="D79" s="2" t="s">
        <v>2</v>
      </c>
      <c r="E79" s="7">
        <v>1000</v>
      </c>
      <c r="H79" s="2" t="s">
        <v>359</v>
      </c>
    </row>
    <row r="80" spans="3:8" x14ac:dyDescent="0.25">
      <c r="C80" s="6" t="s">
        <v>360</v>
      </c>
      <c r="D80" s="2" t="s">
        <v>139</v>
      </c>
      <c r="E80" s="11">
        <v>365</v>
      </c>
      <c r="H80" s="2" t="s">
        <v>359</v>
      </c>
    </row>
    <row r="81" spans="2:16" x14ac:dyDescent="0.25">
      <c r="C81" s="6" t="s">
        <v>361</v>
      </c>
      <c r="D81" s="2" t="s">
        <v>182</v>
      </c>
      <c r="E81" s="11">
        <v>12</v>
      </c>
      <c r="H81" s="2" t="s">
        <v>359</v>
      </c>
    </row>
    <row r="82" spans="2:16" x14ac:dyDescent="0.25">
      <c r="C82" s="6" t="s">
        <v>362</v>
      </c>
      <c r="D82" s="2" t="s">
        <v>79</v>
      </c>
      <c r="E82" s="34">
        <v>1E-3</v>
      </c>
      <c r="H82" s="2" t="s">
        <v>359</v>
      </c>
    </row>
    <row r="84" spans="2:16" collapsed="1" x14ac:dyDescent="0.25">
      <c r="B84" s="4" t="s">
        <v>2</v>
      </c>
      <c r="C84" s="4" t="s">
        <v>363</v>
      </c>
      <c r="D84" s="4"/>
      <c r="E84" s="5" t="s">
        <v>364</v>
      </c>
      <c r="F84" s="5"/>
      <c r="G84" s="5"/>
      <c r="H84" s="5"/>
    </row>
    <row r="85" spans="2:16" hidden="1" outlineLevel="1" x14ac:dyDescent="0.25">
      <c r="C85" s="6" t="s">
        <v>365</v>
      </c>
      <c r="E85" s="13">
        <v>10</v>
      </c>
      <c r="F85" s="13">
        <v>15</v>
      </c>
      <c r="G85" s="13">
        <v>20</v>
      </c>
      <c r="H85" s="13">
        <v>25</v>
      </c>
      <c r="I85" s="13">
        <v>30</v>
      </c>
      <c r="J85" s="13">
        <v>35</v>
      </c>
      <c r="K85" s="13">
        <v>40</v>
      </c>
      <c r="L85" s="13">
        <v>45</v>
      </c>
      <c r="M85" s="13">
        <v>50</v>
      </c>
    </row>
    <row r="86" spans="2:16" hidden="1" outlineLevel="1" x14ac:dyDescent="0.25">
      <c r="C86" s="6" t="s">
        <v>366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1</v>
      </c>
    </row>
    <row r="87" spans="2:16" hidden="1" outlineLevel="1" x14ac:dyDescent="0.25">
      <c r="C87" s="6" t="s">
        <v>367</v>
      </c>
      <c r="E87" s="13">
        <v>0</v>
      </c>
      <c r="F87" s="13">
        <v>10</v>
      </c>
      <c r="G87" s="13">
        <v>20</v>
      </c>
      <c r="H87" s="13">
        <v>30</v>
      </c>
      <c r="I87" s="13">
        <v>40</v>
      </c>
      <c r="J87" s="13">
        <v>55</v>
      </c>
      <c r="K87" s="13">
        <v>70</v>
      </c>
      <c r="L87" s="13">
        <v>80</v>
      </c>
      <c r="M87" s="13">
        <v>90</v>
      </c>
      <c r="N87" s="13">
        <v>100</v>
      </c>
    </row>
    <row r="88" spans="2:16" hidden="1" outlineLevel="1" x14ac:dyDescent="0.25">
      <c r="C88" s="6" t="s">
        <v>368</v>
      </c>
      <c r="E88" s="13">
        <v>2</v>
      </c>
      <c r="F88" s="13">
        <v>2.1</v>
      </c>
      <c r="G88" s="13">
        <v>2.2000000000000002</v>
      </c>
      <c r="H88" s="13">
        <v>2.2999999999999998</v>
      </c>
      <c r="I88" s="13">
        <v>2.4</v>
      </c>
      <c r="J88" s="13">
        <v>2.5</v>
      </c>
      <c r="K88" s="13">
        <v>2.6</v>
      </c>
      <c r="L88" s="13">
        <v>2.7</v>
      </c>
      <c r="M88" s="13">
        <v>2.8</v>
      </c>
      <c r="N88" s="13">
        <v>2.9</v>
      </c>
      <c r="O88" s="13">
        <v>3</v>
      </c>
    </row>
    <row r="89" spans="2:16" hidden="1" outlineLevel="1" x14ac:dyDescent="0.25">
      <c r="C89" s="6" t="s">
        <v>369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1</v>
      </c>
    </row>
    <row r="90" spans="2:16" hidden="1" outlineLevel="1" x14ac:dyDescent="0.25">
      <c r="C90" s="6" t="s">
        <v>370</v>
      </c>
      <c r="E90" s="13">
        <v>0</v>
      </c>
      <c r="F90" s="13">
        <v>5</v>
      </c>
      <c r="G90" s="13">
        <v>10</v>
      </c>
      <c r="H90" s="13">
        <v>20</v>
      </c>
      <c r="I90" s="13">
        <v>30</v>
      </c>
      <c r="J90" s="13">
        <v>40</v>
      </c>
      <c r="K90" s="13">
        <v>50</v>
      </c>
      <c r="L90" s="13">
        <v>60</v>
      </c>
      <c r="M90" s="13">
        <v>70</v>
      </c>
      <c r="N90" s="13">
        <v>80</v>
      </c>
      <c r="O90" s="13">
        <v>90</v>
      </c>
      <c r="P90" s="13">
        <v>100</v>
      </c>
    </row>
    <row r="91" spans="2:16" hidden="1" outlineLevel="1" x14ac:dyDescent="0.25">
      <c r="C91" s="6" t="s">
        <v>371</v>
      </c>
      <c r="E91" s="13">
        <v>0.02</v>
      </c>
      <c r="F91" s="13">
        <v>0.05</v>
      </c>
      <c r="G91" s="13">
        <v>0.1</v>
      </c>
      <c r="H91" s="13">
        <v>0.15</v>
      </c>
      <c r="I91" s="13">
        <v>0.2</v>
      </c>
      <c r="J91" s="13">
        <v>0.25</v>
      </c>
      <c r="K91" s="13">
        <v>0.3</v>
      </c>
      <c r="L91" s="13">
        <v>0.35</v>
      </c>
      <c r="M91" s="13">
        <v>0.4</v>
      </c>
      <c r="N91" s="13">
        <v>0.5</v>
      </c>
    </row>
    <row r="92" spans="2:16" hidden="1" outlineLevel="1" x14ac:dyDescent="0.25">
      <c r="C92" s="6" t="s">
        <v>372</v>
      </c>
      <c r="E92" s="13">
        <v>0</v>
      </c>
      <c r="F92" s="13">
        <v>1</v>
      </c>
      <c r="G92" s="13">
        <v>1</v>
      </c>
      <c r="H92" s="13">
        <v>1</v>
      </c>
      <c r="I92" s="13">
        <v>1</v>
      </c>
      <c r="J92" s="13">
        <v>1</v>
      </c>
      <c r="K92" s="13">
        <v>1</v>
      </c>
      <c r="L92" s="13">
        <v>1</v>
      </c>
      <c r="M92" s="13">
        <v>1</v>
      </c>
      <c r="N92" s="13">
        <v>0</v>
      </c>
    </row>
    <row r="93" spans="2:16" hidden="1" outlineLevel="1" x14ac:dyDescent="0.25">
      <c r="C93" s="6" t="s">
        <v>373</v>
      </c>
      <c r="E93" s="13">
        <v>0</v>
      </c>
      <c r="F93" s="13">
        <v>10</v>
      </c>
      <c r="G93" s="13">
        <v>20</v>
      </c>
      <c r="H93" s="13">
        <v>30</v>
      </c>
      <c r="I93" s="13">
        <v>40</v>
      </c>
      <c r="J93" s="13">
        <v>50</v>
      </c>
      <c r="K93" s="13">
        <v>60</v>
      </c>
      <c r="L93" s="13">
        <v>70</v>
      </c>
      <c r="M93" s="13">
        <v>80</v>
      </c>
      <c r="N93" s="13">
        <v>90</v>
      </c>
      <c r="O93" s="13">
        <v>100</v>
      </c>
    </row>
    <row r="94" spans="2:16" hidden="1" outlineLevel="1" x14ac:dyDescent="0.25">
      <c r="C94" s="6" t="s">
        <v>374</v>
      </c>
      <c r="E94" s="13">
        <v>1</v>
      </c>
      <c r="F94" s="13">
        <v>1.2</v>
      </c>
      <c r="G94" s="13">
        <v>1.3</v>
      </c>
      <c r="H94" s="13">
        <v>1.4</v>
      </c>
      <c r="I94" s="13">
        <v>1.5</v>
      </c>
      <c r="J94" s="13">
        <v>1.6</v>
      </c>
      <c r="K94" s="13">
        <v>1.7</v>
      </c>
      <c r="L94" s="13">
        <v>1.8</v>
      </c>
      <c r="M94" s="13">
        <v>1.9</v>
      </c>
      <c r="N94" s="13">
        <v>2</v>
      </c>
    </row>
    <row r="95" spans="2:16" hidden="1" outlineLevel="1" x14ac:dyDescent="0.25">
      <c r="C95" s="6" t="s">
        <v>375</v>
      </c>
      <c r="E95" s="13">
        <v>0</v>
      </c>
      <c r="F95" s="13">
        <v>1</v>
      </c>
      <c r="G95" s="13">
        <v>1</v>
      </c>
      <c r="H95" s="13">
        <v>1</v>
      </c>
      <c r="I95" s="13">
        <v>1</v>
      </c>
      <c r="J95" s="13">
        <v>1</v>
      </c>
      <c r="K95" s="13">
        <v>1</v>
      </c>
      <c r="L95" s="13">
        <v>1</v>
      </c>
      <c r="M95" s="13">
        <v>1</v>
      </c>
      <c r="N95" s="13">
        <v>1</v>
      </c>
    </row>
    <row r="96" spans="2:16" hidden="1" outlineLevel="1" x14ac:dyDescent="0.25">
      <c r="C96" s="6" t="s">
        <v>376</v>
      </c>
      <c r="E96" s="13">
        <v>0</v>
      </c>
      <c r="F96" s="13">
        <v>10</v>
      </c>
      <c r="G96" s="13">
        <v>20</v>
      </c>
      <c r="H96" s="13">
        <v>30</v>
      </c>
      <c r="I96" s="13">
        <v>40</v>
      </c>
      <c r="J96" s="13">
        <v>50</v>
      </c>
      <c r="K96" s="13">
        <v>60</v>
      </c>
      <c r="L96" s="13">
        <v>70</v>
      </c>
      <c r="M96" s="13">
        <v>80</v>
      </c>
      <c r="N96" s="13">
        <v>90</v>
      </c>
      <c r="O96" s="13">
        <v>100</v>
      </c>
    </row>
    <row r="97" spans="3:5" hidden="1" outlineLevel="1" x14ac:dyDescent="0.25">
      <c r="C97" s="6" t="s">
        <v>377</v>
      </c>
      <c r="E97" s="13">
        <v>100</v>
      </c>
    </row>
    <row r="98" spans="3:5" hidden="1" outlineLevel="1" x14ac:dyDescent="0.25">
      <c r="C98" s="6" t="s">
        <v>378</v>
      </c>
      <c r="E98" s="13">
        <v>100</v>
      </c>
    </row>
    <row r="99" spans="3:5" hidden="1" outlineLevel="1" x14ac:dyDescent="0.25">
      <c r="C99" s="6" t="s">
        <v>379</v>
      </c>
      <c r="E99" s="13">
        <v>100</v>
      </c>
    </row>
    <row r="100" spans="3:5" hidden="1" outlineLevel="1" x14ac:dyDescent="0.25">
      <c r="C100" s="6" t="s">
        <v>380</v>
      </c>
      <c r="E100" s="13">
        <v>80</v>
      </c>
    </row>
    <row r="101" spans="3:5" hidden="1" outlineLevel="1" x14ac:dyDescent="0.25">
      <c r="C101" s="6" t="s">
        <v>381</v>
      </c>
      <c r="E101" s="13">
        <v>20</v>
      </c>
    </row>
    <row r="102" spans="3:5" hidden="1" outlineLevel="1" x14ac:dyDescent="0.25">
      <c r="C102" s="6" t="s">
        <v>382</v>
      </c>
      <c r="E102" s="13">
        <v>0.2</v>
      </c>
    </row>
    <row r="103" spans="3:5" hidden="1" outlineLevel="1" x14ac:dyDescent="0.25">
      <c r="C103" s="6" t="s">
        <v>383</v>
      </c>
      <c r="E103" s="13">
        <v>0.15</v>
      </c>
    </row>
    <row r="104" spans="3:5" hidden="1" outlineLevel="1" x14ac:dyDescent="0.25">
      <c r="C104" s="6" t="s">
        <v>384</v>
      </c>
      <c r="E104" s="13">
        <v>0.1</v>
      </c>
    </row>
    <row r="105" spans="3:5" hidden="1" outlineLevel="1" x14ac:dyDescent="0.25">
      <c r="C105" s="6" t="s">
        <v>385</v>
      </c>
      <c r="E105" s="13">
        <v>0.15</v>
      </c>
    </row>
    <row r="106" spans="3:5" hidden="1" outlineLevel="1" x14ac:dyDescent="0.25">
      <c r="C106" s="6" t="s">
        <v>386</v>
      </c>
      <c r="E106" s="13">
        <v>0.05</v>
      </c>
    </row>
    <row r="107" spans="3:5" hidden="1" outlineLevel="1" x14ac:dyDescent="0.25">
      <c r="C107" s="6" t="s">
        <v>387</v>
      </c>
      <c r="E107" s="13">
        <v>0.05</v>
      </c>
    </row>
    <row r="108" spans="3:5" hidden="1" outlineLevel="1" x14ac:dyDescent="0.25">
      <c r="C108" s="6" t="s">
        <v>388</v>
      </c>
      <c r="E108" s="13">
        <v>0.1</v>
      </c>
    </row>
    <row r="109" spans="3:5" hidden="1" outlineLevel="1" x14ac:dyDescent="0.25">
      <c r="C109" s="6" t="s">
        <v>389</v>
      </c>
      <c r="E109" s="13">
        <v>0.05</v>
      </c>
    </row>
    <row r="110" spans="3:5" hidden="1" outlineLevel="1" x14ac:dyDescent="0.25">
      <c r="C110" s="6" t="s">
        <v>390</v>
      </c>
      <c r="E110" s="13">
        <v>0.15</v>
      </c>
    </row>
    <row r="112" spans="3:5" x14ac:dyDescent="0.25">
      <c r="C112" s="32" t="s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103</vt:i4>
      </vt:variant>
    </vt:vector>
  </HeadingPairs>
  <TitlesOfParts>
    <vt:vector size="105" baseType="lpstr">
      <vt:lpstr>Dashboard</vt:lpstr>
      <vt:lpstr>Inputs</vt:lpstr>
      <vt:lpstr>Balancing</vt:lpstr>
      <vt:lpstr>Bench_BESS</vt:lpstr>
      <vt:lpstr>Bench_Wind</vt:lpstr>
      <vt:lpstr>BESS_Capex</vt:lpstr>
      <vt:lpstr>Bid_Sec_Rate</vt:lpstr>
      <vt:lpstr>Capex_Civil</vt:lpstr>
      <vt:lpstr>Capex_Cont</vt:lpstr>
      <vt:lpstr>Capex_Elec</vt:lpstr>
      <vt:lpstr>Capex_Fdn</vt:lpstr>
      <vt:lpstr>Capex_Install</vt:lpstr>
      <vt:lpstr>Capex_Land</vt:lpstr>
      <vt:lpstr>Capex_Owner</vt:lpstr>
      <vt:lpstr>Case_CN</vt:lpstr>
      <vt:lpstr>Case_EU</vt:lpstr>
      <vt:lpstr>Case_OM</vt:lpstr>
      <vt:lpstr>Case_P50</vt:lpstr>
      <vt:lpstr>Case_PPA</vt:lpstr>
      <vt:lpstr>CIT_Rate</vt:lpstr>
      <vt:lpstr>Clipping</vt:lpstr>
      <vt:lpstr>Curtailment</vt:lpstr>
      <vt:lpstr>Dash_BESS_Share</vt:lpstr>
      <vt:lpstr>Dash_Brownfield</vt:lpstr>
      <vt:lpstr>Dash_Case</vt:lpstr>
      <vt:lpstr>Dash_Case_CN</vt:lpstr>
      <vt:lpstr>Dash_Case_EU</vt:lpstr>
      <vt:lpstr>Dash_Case_OM</vt:lpstr>
      <vt:lpstr>Dash_Case_P50</vt:lpstr>
      <vt:lpstr>Dash_Case_PPA</vt:lpstr>
      <vt:lpstr>Dash_Community</vt:lpstr>
      <vt:lpstr>Dash_DSA</vt:lpstr>
      <vt:lpstr>Dash_FEP_Share</vt:lpstr>
      <vt:lpstr>Dash_Hours</vt:lpstr>
      <vt:lpstr>Dash_Municipal</vt:lpstr>
      <vt:lpstr>Dash_MVA</vt:lpstr>
      <vt:lpstr>Dash_Overbuild</vt:lpstr>
      <vt:lpstr>Dash_Partial</vt:lpstr>
      <vt:lpstr>Dash_PB_Mult</vt:lpstr>
      <vt:lpstr>Dash_Premium</vt:lpstr>
      <vt:lpstr>Dash_Shared</vt:lpstr>
      <vt:lpstr>Dash_Shortfall</vt:lpstr>
      <vt:lpstr>Dash_Turbine</vt:lpstr>
      <vt:lpstr>Days_In_Year</vt:lpstr>
      <vt:lpstr>Degradation</vt:lpstr>
      <vt:lpstr>Devex_Floor</vt:lpstr>
      <vt:lpstr>Discount_Rate</vt:lpstr>
      <vt:lpstr>DSA_Cap</vt:lpstr>
      <vt:lpstr>DSA_Rate</vt:lpstr>
      <vt:lpstr>First_Year</vt:lpstr>
      <vt:lpstr>Freeze_Date</vt:lpstr>
      <vt:lpstr>FX</vt:lpstr>
      <vt:lpstr>Grid_Charges</vt:lpstr>
      <vt:lpstr>HIPA_Rate</vt:lpstr>
      <vt:lpstr>Life</vt:lpstr>
      <vt:lpstr>Lump_Basis</vt:lpstr>
      <vt:lpstr>Master_Check</vt:lpstr>
      <vt:lpstr>MEKH_Fee</vt:lpstr>
      <vt:lpstr>Months_In_Year</vt:lpstr>
      <vt:lpstr>Opex_Admin</vt:lpstr>
      <vt:lpstr>Opex_BoP</vt:lpstr>
      <vt:lpstr>Opex_Cont</vt:lpstr>
      <vt:lpstr>Opex_Esc</vt:lpstr>
      <vt:lpstr>Opex_Ins</vt:lpstr>
      <vt:lpstr>Opex_Lease</vt:lpstr>
      <vt:lpstr>Opex_Mgmt</vt:lpstr>
      <vt:lpstr>Opex_Per_MW</vt:lpstr>
      <vt:lpstr>Opex_PropTax</vt:lpstr>
      <vt:lpstr>Osz1_Incl</vt:lpstr>
      <vt:lpstr>Osz1_LB</vt:lpstr>
      <vt:lpstr>Osz1_Pts</vt:lpstr>
      <vt:lpstr>Osz1_W</vt:lpstr>
      <vt:lpstr>Osz2_Incl</vt:lpstr>
      <vt:lpstr>Osz2_LB</vt:lpstr>
      <vt:lpstr>Osz2_Pts</vt:lpstr>
      <vt:lpstr>Osz2_W</vt:lpstr>
      <vt:lpstr>Osz3_Incl</vt:lpstr>
      <vt:lpstr>Osz3_LB</vt:lpstr>
      <vt:lpstr>Osz3_Pts</vt:lpstr>
      <vt:lpstr>Osz3_W</vt:lpstr>
      <vt:lpstr>Osz4_W</vt:lpstr>
      <vt:lpstr>Osz5_Pts</vt:lpstr>
      <vt:lpstr>Osz5_W</vt:lpstr>
      <vt:lpstr>Osz6_Incl</vt:lpstr>
      <vt:lpstr>Osz6_LB</vt:lpstr>
      <vt:lpstr>Osz6_Pts</vt:lpstr>
      <vt:lpstr>Osz6_W</vt:lpstr>
      <vt:lpstr>Osz7_Pts</vt:lpstr>
      <vt:lpstr>Osz7_W</vt:lpstr>
      <vt:lpstr>Osz8_Pts</vt:lpstr>
      <vt:lpstr>Osz8_W</vt:lpstr>
      <vt:lpstr>Osz9_W</vt:lpstr>
      <vt:lpstr>Osz9a_Pts</vt:lpstr>
      <vt:lpstr>Osz9b_Pts</vt:lpstr>
      <vt:lpstr>Part_Fee</vt:lpstr>
      <vt:lpstr>PB_Rate</vt:lpstr>
      <vt:lpstr>PPA_Esc</vt:lpstr>
      <vt:lpstr>Rate_Cash</vt:lpstr>
      <vt:lpstr>Rate_Devex</vt:lpstr>
      <vt:lpstr>Sale_Costs</vt:lpstr>
      <vt:lpstr>Sale_Date</vt:lpstr>
      <vt:lpstr>Subs_Lump</vt:lpstr>
      <vt:lpstr>Thousand</vt:lpstr>
      <vt:lpstr>Tolerance</vt:lpstr>
      <vt:lpstr>TSO_Rate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Zádeczki Zalán</cp:lastModifiedBy>
  <dcterms:created xsi:type="dcterms:W3CDTF">2026-10-27T15:34:29Z</dcterms:created>
  <dcterms:modified xsi:type="dcterms:W3CDTF">2026-10-28T05:44:48Z</dcterms:modified>
</cp:coreProperties>
</file>