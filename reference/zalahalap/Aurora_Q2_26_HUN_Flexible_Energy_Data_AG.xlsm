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mc:AlternateContent xmlns:mc="http://schemas.openxmlformats.org/markup-compatibility/2006">
    <mc:Choice Requires="x15">
      <x15ac:absPath xmlns:x15ac="http://schemas.microsoft.com/office/spreadsheetml/2010/11/ac" url="https://futurealhu.sharepoint.com/sites/Energy/Shared Documents/FEP/04_MATERIALS/!Market data/Hungary/"/>
    </mc:Choice>
  </mc:AlternateContent>
  <xr:revisionPtr revIDLastSave="56" documentId="8_{FB8BE832-4D8B-4FEE-8D3C-4625CCC4F813}" xr6:coauthVersionLast="47" xr6:coauthVersionMax="47" xr10:uidLastSave="{B61EF579-D0AD-4018-82B7-1D5E9F4AD386}"/>
  <bookViews>
    <workbookView xWindow="14895" yWindow="-16320" windowWidth="29040" windowHeight="15720" tabRatio="716" firstSheet="6" activeTab="7" xr2:uid="{00000000-000D-0000-FFFF-FFFF00000000}"/>
  </bookViews>
  <sheets>
    <sheet name="Disclaimer" sheetId="117" r:id="rId1"/>
    <sheet name="Intro" sheetId="8" r:id="rId2"/>
    <sheet name="Guide" sheetId="122" r:id="rId3"/>
    <sheet name="Common Assumptions" sheetId="120" r:id="rId4"/>
    <sheet name="Central prices" sheetId="111" r:id="rId5"/>
    <sheet name="Inputs" sheetId="12" r:id="rId6"/>
    <sheet name="Costs assumptions" sheetId="17" r:id="rId7"/>
    <sheet name="Undegraded batteries" sheetId="18" r:id="rId8"/>
    <sheet name="Degraded batteries" sheetId="13" r:id="rId9"/>
    <sheet name="NPV calculation" sheetId="15" r:id="rId10"/>
    <sheet name="_undeg_revenues_scenario_list" sheetId="91" state="hidden" r:id="rId11"/>
    <sheet name="_revenues_scenario_list" sheetId="90" state="hidden" r:id="rId12"/>
    <sheet name="Summary table" sheetId="11" r:id="rId13"/>
    <sheet name="Control" sheetId="113" state="hidden" r:id="rId14"/>
  </sheets>
  <functionGroups builtInGroupCount="19"/>
  <externalReferences>
    <externalReference r:id="rId15"/>
    <externalReference r:id="rId16"/>
    <externalReference r:id="rId17"/>
    <externalReference r:id="rId18"/>
  </externalReferences>
  <definedNames>
    <definedName name="_kesdf" localSheetId="13" hidden="1">#REF!</definedName>
    <definedName name="_kesdf" localSheetId="0" hidden="1">#REF!</definedName>
    <definedName name="_kesdf" hidden="1">#REF!</definedName>
    <definedName name="_Key1" localSheetId="4" hidden="1">#REF!</definedName>
    <definedName name="_Key1" localSheetId="13" hidden="1">#REF!</definedName>
    <definedName name="_Key1" localSheetId="0" hidden="1">#REF!</definedName>
    <definedName name="_Key1" hidden="1">#REF!</definedName>
    <definedName name="_Key2" localSheetId="4" hidden="1">#REF!</definedName>
    <definedName name="_Key2" localSheetId="13" hidden="1">#REF!</definedName>
    <definedName name="_Key2" localSheetId="0" hidden="1">#REF!</definedName>
    <definedName name="_Key2" hidden="1">#REF!</definedName>
    <definedName name="_key20" localSheetId="13" hidden="1">#REF!</definedName>
    <definedName name="_key20" localSheetId="0" hidden="1">#REF!</definedName>
    <definedName name="_key20" hidden="1">#REF!</definedName>
    <definedName name="_Order1" hidden="1">255</definedName>
    <definedName name="_Order2" hidden="1">255</definedName>
    <definedName name="_Sort" localSheetId="4" hidden="1">#REF!</definedName>
    <definedName name="_Sort" localSheetId="13" hidden="1">#REF!</definedName>
    <definedName name="_Sort" localSheetId="0" hidden="1">#REF!</definedName>
    <definedName name="_Sort" hidden="1">#REF!</definedName>
    <definedName name="_xleta.AVERAGE" hidden="1" xlm="1">#NAME?</definedName>
    <definedName name="_xleta.COUNTIF" hidden="1" xlm="1">#NAME?</definedName>
    <definedName name="_xleta.IFERROR" hidden="1" xlm="1">#NAME?</definedName>
    <definedName name="_xleta.MATCH" hidden="1" xlm="1">#NAME?</definedName>
    <definedName name="_xleta.MOD" hidden="1" xlm="1">#NAME?</definedName>
    <definedName name="_xleta.ROUND" hidden="1" xlm="1">#NAME?</definedName>
    <definedName name="_xleta.SEARCH" hidden="1" xlm="1">#NAME?</definedName>
    <definedName name="_xleta.SUM" hidden="1" xlm="1">#NAME?</definedName>
    <definedName name="abc" localSheetId="2">#REF!</definedName>
    <definedName name="abc">[1]Control!$D$65</definedName>
    <definedName name="abcd" localSheetId="2">#REF!</definedName>
    <definedName name="abcd">[1]Control!$D$65</definedName>
    <definedName name="battery_lifetime">#REF!</definedName>
    <definedName name="Central_id">#REF!</definedName>
    <definedName name="CurrencyList">#REF!</definedName>
    <definedName name="CurrencyLookup">#REF!</definedName>
    <definedName name="curtailment_option" localSheetId="2">#REF!</definedName>
    <definedName name="curtailment_option">[2]Control!$D$36</definedName>
    <definedName name="DecimalPlaces" localSheetId="2">#REF!</definedName>
    <definedName name="DecimalPlaces">[3]Control!$D$46</definedName>
    <definedName name="Demand">#REF!</definedName>
    <definedName name="DemZone">#REF!</definedName>
    <definedName name="disclaimer_answer">#REF!</definedName>
    <definedName name="EndYear" localSheetId="2">#REF!</definedName>
    <definedName name="EndYear">[3]Control!$D$42</definedName>
    <definedName name="EUA_DELTAS">#REF!</definedName>
    <definedName name="ExportDir" localSheetId="2">#REF!</definedName>
    <definedName name="ExportDir">[2]Control!$D$53</definedName>
    <definedName name="ExportFilename" localSheetId="2">#REF!</definedName>
    <definedName name="ExportFilename">[2]Control!$D$49</definedName>
    <definedName name="Final_values_1h_central">#REF!</definedName>
    <definedName name="Final_values_1h_rows">#REF!</definedName>
    <definedName name="Final_values_years">#REF!</definedName>
    <definedName name="Interconnectorimport15_16">#REF!</definedName>
    <definedName name="Interconnectornode">#REF!</definedName>
    <definedName name="IQ_CH" hidden="1">110000</definedName>
    <definedName name="IQ_CQ" hidden="1">5000</definedName>
    <definedName name="IQ_CY" hidden="1">10000</definedName>
    <definedName name="IQ_DAILY" hidden="1">500000</definedName>
    <definedName name="IQ_DNTM" hidden="1">700000</definedName>
    <definedName name="IQ_EXPENSE_CODE_" hidden="1">"sda"</definedName>
    <definedName name="IQ_FH" hidden="1">100000</definedName>
    <definedName name="IQ_FQ" hidden="1">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 hidden="1">1000</definedName>
    <definedName name="IQ_LATESTK" hidden="1">1000</definedName>
    <definedName name="IQ_LATESTQ" hidden="1">500</definedName>
    <definedName name="IQ_LTM" hidden="1">2000</definedName>
    <definedName name="IQ_LTMMONTH" hidden="1">120000</definedName>
    <definedName name="IQ_MONTH" hidden="1">15000</definedName>
    <definedName name="IQ_MTD" hidden="1">800000</definedName>
    <definedName name="IQ_NAMES_REVISION_DATE_" hidden="1">"03/21/2014 10:29:22"</definedName>
    <definedName name="IQ_NTM" hidden="1">6000</definedName>
    <definedName name="IQ_QTD" hidden="1">750000</definedName>
    <definedName name="IQ_TODAY" hidden="1">0</definedName>
    <definedName name="IQ_WEEK" hidden="1">50000</definedName>
    <definedName name="IQ_YTD" hidden="1">3000</definedName>
    <definedName name="IQ_YTDMONTH" hidden="1">130000</definedName>
    <definedName name="Local_Cct_LU">#REF!</definedName>
    <definedName name="MacroPivotFunction">#REF!</definedName>
    <definedName name="meta_data_data" localSheetId="13">#REF!</definedName>
    <definedName name="meta_data_data" localSheetId="0">[4]meta_data!$B$2:$EB$1000</definedName>
    <definedName name="meta_data_data" localSheetId="2">#REF!</definedName>
    <definedName name="meta_data_data">#REF!</definedName>
    <definedName name="meta_data_facts" localSheetId="13">#REF!</definedName>
    <definedName name="meta_data_facts" localSheetId="0">[4]meta_data!$B$1:$EB$1</definedName>
    <definedName name="meta_data_facts" localSheetId="2">#REF!</definedName>
    <definedName name="meta_data_facts">#REF!</definedName>
    <definedName name="meta_data_id" localSheetId="13">#REF!:#REF!</definedName>
    <definedName name="meta_data_id" localSheetId="0">[4]meta_data!$A$2:$A$1000:'[4]meta_data'!$A$1000</definedName>
    <definedName name="meta_data_id" localSheetId="2">#REF!:#REF!</definedName>
    <definedName name="meta_data_id">#REF!</definedName>
    <definedName name="MMBTURange">#REF!</definedName>
    <definedName name="newname" localSheetId="13" hidden="1">#REF!</definedName>
    <definedName name="newname" localSheetId="0" hidden="1">#REF!</definedName>
    <definedName name="newname" hidden="1">#REF!</definedName>
    <definedName name="newname2" localSheetId="13" hidden="1">#REF!</definedName>
    <definedName name="newname2" localSheetId="0" hidden="1">#REF!</definedName>
    <definedName name="newname2" hidden="1">#REF!</definedName>
    <definedName name="newname3" localSheetId="13" hidden="1">#REF!</definedName>
    <definedName name="newname3" localSheetId="0" hidden="1">#REF!</definedName>
    <definedName name="newname3" hidden="1">#REF!</definedName>
    <definedName name="node1">#REF!</definedName>
    <definedName name="Node2">#REF!</definedName>
    <definedName name="Node3">#REF!</definedName>
    <definedName name="NodeDemand1516">#REF!</definedName>
    <definedName name="peakload_price_toggle" localSheetId="2">#REF!</definedName>
    <definedName name="peakload_price_toggle">[2]Control!$D$38</definedName>
    <definedName name="RegionalDisplaySetting">#REF!</definedName>
    <definedName name="RNG_SourceShortName">#REF!</definedName>
    <definedName name="ScenarioCompYesNo" localSheetId="2">#REF!</definedName>
    <definedName name="ScenarioCompYesNo">[2]Control!$R$10:$R$19</definedName>
    <definedName name="ScenarioList">#REF!</definedName>
    <definedName name="Small_Gens_LU">#REF!</definedName>
    <definedName name="SmoothVal">#REF!</definedName>
    <definedName name="SourceShortName">#REF!</definedName>
    <definedName name="StartYear" localSheetId="2">#REF!</definedName>
    <definedName name="StartYear">[3]Control!$D$41</definedName>
    <definedName name="TEC_Log">#REF!</definedName>
    <definedName name="technologies_in_use" localSheetId="2">#REF!</definedName>
    <definedName name="technologies_in_use">[2]TechCodes!$D$3:$D$27</definedName>
    <definedName name="technology_group_min_GW" localSheetId="2">#REF!</definedName>
    <definedName name="technology_group_min_GW">[2]Control!$D$106</definedName>
    <definedName name="Wider_Tariff_LU">#REF!</definedName>
    <definedName name="yap_data">#REF!</definedName>
    <definedName name="yap_data_header">#REF!</definedName>
    <definedName name="yap_datetime">#REF!</definedName>
    <definedName name="yap_int_asset_name">#REF!</definedName>
    <definedName name="yap_scenario_hash">#REF!</definedName>
    <definedName name="yat_buy_sell">#REF!</definedName>
    <definedName name="yat_churn_physical">#REF!</definedName>
    <definedName name="yat_data">#REF!</definedName>
    <definedName name="yat_data_header">#REF!</definedName>
    <definedName name="yat_datetime">#REF!</definedName>
    <definedName name="yat_int_asset_name">#REF!</definedName>
    <definedName name="yat_market">#REF!</definedName>
    <definedName name="yat_scenario_hash">#REF!</definedName>
    <definedName name="yearly_data" localSheetId="13">#REF!</definedName>
    <definedName name="yearly_data" localSheetId="0">[4]yearly!$B$2:$IQ$2701</definedName>
    <definedName name="yearly_data" localSheetId="2">#REF!</definedName>
    <definedName name="yearly_data">#REF!</definedName>
    <definedName name="yearly_facts" localSheetId="13">#REF!</definedName>
    <definedName name="yearly_facts" localSheetId="0">[4]yearly!$B$1:$GM$1</definedName>
    <definedName name="yearly_facts" localSheetId="2">#REF!</definedName>
    <definedName name="yearly_facts">#REF!</definedName>
    <definedName name="yearly_sim_id_and_timestamp" localSheetId="13">#REF!</definedName>
    <definedName name="yearly_sim_id_and_timestamp" localSheetId="0">[4]yearly!$A$2:$A$2701</definedName>
    <definedName name="yearly_sim_id_and_timestamp" localSheetId="2">#REF!</definedName>
    <definedName name="yearly_sim_id_and_timestamp">#REF!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47" i="15" l="1"/>
  <c r="C46" i="15"/>
  <c r="C47" i="15" s="1"/>
  <c r="B48" i="15"/>
  <c r="B45" i="15"/>
  <c r="B42" i="15"/>
  <c r="B43" i="15"/>
  <c r="B44" i="15"/>
  <c r="B41" i="15"/>
  <c r="F60" i="17"/>
  <c r="F30" i="17"/>
  <c r="F22" i="17"/>
  <c r="A9" i="18"/>
  <c r="A8" i="18" s="1"/>
  <c r="F8" i="18" s="1" a="1"/>
  <c r="F8" i="18" s="1"/>
  <c r="F42" i="17" l="1"/>
  <c r="F51" i="17"/>
  <c r="F14" i="17"/>
  <c r="AM42" i="17"/>
  <c r="E30" i="15" l="1"/>
  <c r="D1" i="11"/>
  <c r="D1" i="15"/>
  <c r="D1" i="13"/>
  <c r="D1" i="18"/>
  <c r="E1" i="17"/>
  <c r="D1" i="12"/>
  <c r="D1" i="111"/>
  <c r="D1" i="120"/>
  <c r="I46" i="18" l="1" a="1"/>
  <c r="I46" i="18" s="1"/>
  <c r="AD44" i="18" a="1"/>
  <c r="AD44" i="18" s="1"/>
  <c r="Q43" i="18" a="1"/>
  <c r="Q43" i="18" s="1"/>
  <c r="AK41" i="18" a="1"/>
  <c r="AK41" i="18" s="1"/>
  <c r="AC40" i="18" a="1"/>
  <c r="AC40" i="18" s="1"/>
  <c r="T39" i="18" a="1"/>
  <c r="T39" i="18" s="1"/>
  <c r="J38" i="18" a="1"/>
  <c r="J38" i="18" s="1"/>
  <c r="AM36" i="18" a="1"/>
  <c r="AM36" i="18" s="1"/>
  <c r="AH36" i="18" a="1"/>
  <c r="AH36" i="18" s="1"/>
  <c r="AB35" i="18" a="1"/>
  <c r="AB35" i="18" s="1"/>
  <c r="P34" i="18" a="1"/>
  <c r="P34" i="18" s="1"/>
  <c r="F33" i="18" a="1"/>
  <c r="F33" i="18" s="1"/>
  <c r="AI31" i="18" a="1"/>
  <c r="AI31" i="18" s="1"/>
  <c r="AD31" i="18" a="1"/>
  <c r="AD31" i="18" s="1"/>
  <c r="Y30" i="18" a="1"/>
  <c r="Y30" i="18" s="1"/>
  <c r="Q29" i="18" a="1"/>
  <c r="Q29" i="18" s="1"/>
  <c r="G28" i="18" a="1"/>
  <c r="G28" i="18" s="1"/>
  <c r="AM26" i="18" a="1"/>
  <c r="AM26" i="18" s="1"/>
  <c r="AD25" i="18" a="1"/>
  <c r="AD25" i="18" s="1"/>
  <c r="W24" i="18" a="1"/>
  <c r="W24" i="18" s="1"/>
  <c r="V24" i="18" a="1"/>
  <c r="V24" i="18" s="1"/>
  <c r="N23" i="18" a="1"/>
  <c r="N23" i="18" s="1"/>
  <c r="AN21" i="18" a="1"/>
  <c r="AN21" i="18" s="1"/>
  <c r="AN20" i="18" a="1"/>
  <c r="AN20" i="18" s="1"/>
  <c r="AI18" i="18" a="1"/>
  <c r="AI18" i="18" s="1"/>
  <c r="AH18" i="18" a="1"/>
  <c r="AH18" i="18" s="1"/>
  <c r="AK17" i="18" a="1"/>
  <c r="AK17" i="18" s="1"/>
  <c r="AJ16" i="18" a="1"/>
  <c r="AJ16" i="18" s="1"/>
  <c r="AI15" i="18" a="1"/>
  <c r="AI15" i="18" s="1"/>
  <c r="AK14" i="18" a="1"/>
  <c r="AK14" i="18" s="1"/>
  <c r="AK13" i="18" a="1"/>
  <c r="AK13" i="18" s="1"/>
  <c r="AM12" i="18" a="1"/>
  <c r="AM12" i="18" s="1"/>
  <c r="AL11" i="18" a="1"/>
  <c r="AL11" i="18" s="1"/>
  <c r="AK11" i="18" a="1"/>
  <c r="AK11" i="18" s="1"/>
  <c r="AN9" i="18" a="1"/>
  <c r="AN9" i="18" s="1"/>
  <c r="L29" i="18" a="1"/>
  <c r="L29" i="18" s="1"/>
  <c r="AN8" i="18" a="1"/>
  <c r="AN8" i="18" s="1"/>
  <c r="G8" i="18" a="1"/>
  <c r="G8" i="18" s="1"/>
  <c r="AE40" i="18" l="1" a="1"/>
  <c r="AE40" i="18" s="1"/>
  <c r="J42" i="18" a="1"/>
  <c r="J42" i="18" s="1"/>
  <c r="J46" i="18" a="1"/>
  <c r="J46" i="18" s="1"/>
  <c r="H8" i="18" a="1"/>
  <c r="H8" i="18" s="1"/>
  <c r="AL14" i="18" a="1"/>
  <c r="AL14" i="18" s="1"/>
  <c r="AJ15" i="18" a="1"/>
  <c r="AJ15" i="18" s="1"/>
  <c r="AL17" i="18" a="1"/>
  <c r="AL17" i="18" s="1"/>
  <c r="AM19" i="18" a="1"/>
  <c r="AM19" i="18" s="1"/>
  <c r="F21" i="18" a="1"/>
  <c r="F21" i="18" s="1"/>
  <c r="K22" i="18" a="1"/>
  <c r="K22" i="18" s="1"/>
  <c r="O23" i="18" a="1"/>
  <c r="O23" i="18" s="1"/>
  <c r="AE25" i="18" a="1"/>
  <c r="AE25" i="18" s="1"/>
  <c r="H28" i="18" a="1"/>
  <c r="H28" i="18" s="1"/>
  <c r="R29" i="18" a="1"/>
  <c r="R29" i="18" s="1"/>
  <c r="Q34" i="18" a="1"/>
  <c r="Q34" i="18" s="1"/>
  <c r="AC35" i="18" a="1"/>
  <c r="AC35" i="18" s="1"/>
  <c r="AN36" i="18" a="1"/>
  <c r="AN36" i="18" s="1"/>
  <c r="U39" i="18" a="1"/>
  <c r="U39" i="18" s="1"/>
  <c r="AF40" i="18" a="1"/>
  <c r="AF40" i="18" s="1"/>
  <c r="R43" i="18" a="1"/>
  <c r="R43" i="18" s="1"/>
  <c r="AE44" i="18" a="1"/>
  <c r="AE44" i="18" s="1"/>
  <c r="X46" i="18" a="1"/>
  <c r="X46" i="18" s="1"/>
  <c r="F10" i="18" a="1"/>
  <c r="F10" i="18" s="1"/>
  <c r="AK16" i="18" a="1"/>
  <c r="AK16" i="18" s="1"/>
  <c r="G21" i="18" a="1"/>
  <c r="G21" i="18" s="1"/>
  <c r="AJ31" i="18" a="1"/>
  <c r="AJ31" i="18" s="1"/>
  <c r="K38" i="18" a="1"/>
  <c r="K38" i="18" s="1"/>
  <c r="I8" i="18" a="1"/>
  <c r="I8" i="18" s="1"/>
  <c r="F12" i="18" a="1"/>
  <c r="F12" i="18" s="1"/>
  <c r="AM17" i="18" a="1"/>
  <c r="AM17" i="18" s="1"/>
  <c r="H21" i="18" a="1"/>
  <c r="H21" i="18" s="1"/>
  <c r="P23" i="18" a="1"/>
  <c r="P23" i="18" s="1"/>
  <c r="G27" i="18" a="1"/>
  <c r="G27" i="18" s="1"/>
  <c r="AI40" i="18" a="1"/>
  <c r="AI40" i="18" s="1"/>
  <c r="S43" i="18" a="1"/>
  <c r="S43" i="18" s="1"/>
  <c r="AA46" i="18" a="1"/>
  <c r="AA46" i="18" s="1"/>
  <c r="AM13" i="18" a="1"/>
  <c r="AM13" i="18" s="1"/>
  <c r="AL16" i="18" a="1"/>
  <c r="AL16" i="18" s="1"/>
  <c r="Y24" i="18" a="1"/>
  <c r="Y24" i="18" s="1"/>
  <c r="AA30" i="18" a="1"/>
  <c r="AA30" i="18" s="1"/>
  <c r="O33" i="18" a="1"/>
  <c r="O33" i="18" s="1"/>
  <c r="AE35" i="18" a="1"/>
  <c r="AE35" i="18" s="1"/>
  <c r="N45" i="18" a="1"/>
  <c r="N45" i="18" s="1"/>
  <c r="R10" i="18" a="1"/>
  <c r="R10" i="18" s="1"/>
  <c r="O15" i="18" a="1"/>
  <c r="O15" i="18" s="1"/>
  <c r="M16" i="18" a="1"/>
  <c r="M16" i="18" s="1"/>
  <c r="T27" i="18" a="1"/>
  <c r="T27" i="18" s="1"/>
  <c r="P32" i="18" a="1"/>
  <c r="P32" i="18" s="1"/>
  <c r="Z38" i="18" a="1"/>
  <c r="Z38" i="18" s="1"/>
  <c r="AC46" i="18" a="1"/>
  <c r="AC46" i="18" s="1"/>
  <c r="Q11" i="18" a="1"/>
  <c r="Q11" i="18" s="1"/>
  <c r="O19" i="18" a="1"/>
  <c r="O19" i="18" s="1"/>
  <c r="AL24" i="18" a="1"/>
  <c r="AL24" i="18" s="1"/>
  <c r="AN30" i="18" a="1"/>
  <c r="AN30" i="18" s="1"/>
  <c r="W33" i="18" a="1"/>
  <c r="W33" i="18" s="1"/>
  <c r="J36" i="18" a="1"/>
  <c r="J36" i="18" s="1"/>
  <c r="N41" i="18" a="1"/>
  <c r="N41" i="18" s="1"/>
  <c r="O45" i="18" a="1"/>
  <c r="O45" i="18" s="1"/>
  <c r="R12" i="18" a="1"/>
  <c r="R12" i="18" s="1"/>
  <c r="N16" i="18" a="1"/>
  <c r="N16" i="18" s="1"/>
  <c r="AD23" i="18" a="1"/>
  <c r="AD23" i="18" s="1"/>
  <c r="Q32" i="18" a="1"/>
  <c r="Q32" i="18" s="1"/>
  <c r="AE46" i="18" a="1"/>
  <c r="AE46" i="18" s="1"/>
  <c r="S13" i="18" a="1"/>
  <c r="S13" i="18" s="1"/>
  <c r="Q18" i="18" a="1"/>
  <c r="Q18" i="18" s="1"/>
  <c r="R20" i="18" a="1"/>
  <c r="R20" i="18" s="1"/>
  <c r="AA22" i="18" a="1"/>
  <c r="AA22" i="18" s="1"/>
  <c r="AK34" i="18" a="1"/>
  <c r="AK34" i="18" s="1"/>
  <c r="P45" i="18" a="1"/>
  <c r="P45" i="18" s="1"/>
  <c r="S9" i="18" a="1"/>
  <c r="S9" i="18" s="1"/>
  <c r="U11" i="18" a="1"/>
  <c r="U11" i="18" s="1"/>
  <c r="S12" i="18" a="1"/>
  <c r="S12" i="18" s="1"/>
  <c r="Q15" i="18" a="1"/>
  <c r="Q15" i="18" s="1"/>
  <c r="AJ23" i="18" a="1"/>
  <c r="AJ23" i="18" s="1"/>
  <c r="U32" i="18" a="1"/>
  <c r="U32" i="18" s="1"/>
  <c r="V37" i="18" a="1"/>
  <c r="V37" i="18" s="1"/>
  <c r="AB42" i="18" a="1"/>
  <c r="AB42" i="18" s="1"/>
  <c r="T9" i="18" a="1"/>
  <c r="T9" i="18" s="1"/>
  <c r="T13" i="18" a="1"/>
  <c r="T13" i="18" s="1"/>
  <c r="S16" i="18" a="1"/>
  <c r="S16" i="18" s="1"/>
  <c r="T19" i="18" a="1"/>
  <c r="T19" i="18" s="1"/>
  <c r="V21" i="18" a="1"/>
  <c r="V21" i="18" s="1"/>
  <c r="AL34" i="18" a="1"/>
  <c r="AL34" i="18" s="1"/>
  <c r="Q45" i="18" a="1"/>
  <c r="Q45" i="18" s="1"/>
  <c r="V11" i="18" a="1"/>
  <c r="V11" i="18" s="1"/>
  <c r="R15" i="18" a="1"/>
  <c r="R15" i="18" s="1"/>
  <c r="P26" i="18" a="1"/>
  <c r="P26" i="18" s="1"/>
  <c r="J31" i="18" a="1"/>
  <c r="J31" i="18" s="1"/>
  <c r="N36" i="18" a="1"/>
  <c r="N36" i="18" s="1"/>
  <c r="L47" i="18" a="1"/>
  <c r="L47" i="18" s="1"/>
  <c r="V10" i="18" a="1"/>
  <c r="V10" i="18" s="1"/>
  <c r="U13" i="18" a="1"/>
  <c r="U13" i="18" s="1"/>
  <c r="T16" i="18" a="1"/>
  <c r="T16" i="18" s="1"/>
  <c r="R17" i="18" a="1"/>
  <c r="R17" i="18" s="1"/>
  <c r="U19" i="18" a="1"/>
  <c r="U19" i="18" s="1"/>
  <c r="F25" i="18" a="1"/>
  <c r="F25" i="18" s="1"/>
  <c r="AF28" i="18" a="1"/>
  <c r="AF28" i="18" s="1"/>
  <c r="H40" i="18" a="1"/>
  <c r="H40" i="18" s="1"/>
  <c r="AD42" i="18" a="1"/>
  <c r="AD42" i="18" s="1"/>
  <c r="U12" i="18" a="1"/>
  <c r="U12" i="18" s="1"/>
  <c r="W32" i="18" a="1"/>
  <c r="W32" i="18" s="1"/>
  <c r="V13" i="18" a="1"/>
  <c r="V13" i="18" s="1"/>
  <c r="S17" i="18" a="1"/>
  <c r="S17" i="18" s="1"/>
  <c r="T18" i="18" a="1"/>
  <c r="T18" i="18" s="1"/>
  <c r="Y20" i="18" a="1"/>
  <c r="Y20" i="18" s="1"/>
  <c r="AN23" i="18" a="1"/>
  <c r="AN23" i="18" s="1"/>
  <c r="AG28" i="18" a="1"/>
  <c r="AG28" i="18" s="1"/>
  <c r="AH33" i="18" a="1"/>
  <c r="AH33" i="18" s="1"/>
  <c r="R41" i="18" a="1"/>
  <c r="R41" i="18" s="1"/>
  <c r="AI45" i="18" a="1"/>
  <c r="AI45" i="18" s="1"/>
  <c r="Y12" i="18" a="1"/>
  <c r="Y12" i="18" s="1"/>
  <c r="X14" i="18" a="1"/>
  <c r="X14" i="18" s="1"/>
  <c r="AA27" i="18" a="1"/>
  <c r="AA27" i="18" s="1"/>
  <c r="X32" i="18" a="1"/>
  <c r="X32" i="18" s="1"/>
  <c r="I35" i="18" a="1"/>
  <c r="I35" i="18" s="1"/>
  <c r="AC37" i="18" a="1"/>
  <c r="AC37" i="18" s="1"/>
  <c r="AA44" i="18" a="1"/>
  <c r="AA44" i="18" s="1"/>
  <c r="P47" i="18" a="1"/>
  <c r="P47" i="18" s="1"/>
  <c r="AK8" i="18" a="1"/>
  <c r="AK8" i="18" s="1"/>
  <c r="AH10" i="18" a="1"/>
  <c r="AH10" i="18" s="1"/>
  <c r="AG13" i="18" a="1"/>
  <c r="AG13" i="18" s="1"/>
  <c r="AD17" i="18" a="1"/>
  <c r="AD17" i="18" s="1"/>
  <c r="AK21" i="18" a="1"/>
  <c r="AK21" i="18" s="1"/>
  <c r="R24" i="18" a="1"/>
  <c r="R24" i="18" s="1"/>
  <c r="AN47" i="18" a="1"/>
  <c r="AN47" i="18" s="1"/>
  <c r="X44" i="18" a="1"/>
  <c r="X44" i="18" s="1"/>
  <c r="H41" i="18" a="1"/>
  <c r="H41" i="18" s="1"/>
  <c r="AA37" i="18" a="1"/>
  <c r="AA37" i="18" s="1"/>
  <c r="K34" i="18" a="1"/>
  <c r="K34" i="18" s="1"/>
  <c r="AD30" i="18" a="1"/>
  <c r="AD30" i="18" s="1"/>
  <c r="N27" i="18" a="1"/>
  <c r="N27" i="18" s="1"/>
  <c r="AG23" i="18" a="1"/>
  <c r="AG23" i="18" s="1"/>
  <c r="AH8" i="18" a="1"/>
  <c r="AH8" i="18" s="1"/>
  <c r="W8" i="18" a="1"/>
  <c r="W8" i="18" s="1"/>
  <c r="L8" i="18" a="1"/>
  <c r="L8" i="18" s="1"/>
  <c r="AM47" i="18" a="1"/>
  <c r="AM47" i="18" s="1"/>
  <c r="AA47" i="18" a="1"/>
  <c r="AA47" i="18" s="1"/>
  <c r="O47" i="18" a="1"/>
  <c r="O47" i="18" s="1"/>
  <c r="AL46" i="18" a="1"/>
  <c r="AL46" i="18" s="1"/>
  <c r="Z46" i="18" a="1"/>
  <c r="Z46" i="18" s="1"/>
  <c r="N46" i="18" a="1"/>
  <c r="N46" i="18" s="1"/>
  <c r="AK45" i="18" a="1"/>
  <c r="AK45" i="18" s="1"/>
  <c r="Y45" i="18" a="1"/>
  <c r="Y45" i="18" s="1"/>
  <c r="M45" i="18" a="1"/>
  <c r="M45" i="18" s="1"/>
  <c r="AJ44" i="18" a="1"/>
  <c r="AJ44" i="18" s="1"/>
  <c r="W44" i="18" a="1"/>
  <c r="W44" i="18" s="1"/>
  <c r="K44" i="18" a="1"/>
  <c r="K44" i="18" s="1"/>
  <c r="AH43" i="18" a="1"/>
  <c r="AH43" i="18" s="1"/>
  <c r="V43" i="18" a="1"/>
  <c r="V43" i="18" s="1"/>
  <c r="J43" i="18" a="1"/>
  <c r="J43" i="18" s="1"/>
  <c r="AG42" i="18" a="1"/>
  <c r="AG42" i="18" s="1"/>
  <c r="U42" i="18" a="1"/>
  <c r="U42" i="18" s="1"/>
  <c r="I42" i="18" a="1"/>
  <c r="I42" i="18" s="1"/>
  <c r="AF41" i="18" a="1"/>
  <c r="AF41" i="18" s="1"/>
  <c r="T41" i="18" a="1"/>
  <c r="T41" i="18" s="1"/>
  <c r="G41" i="18" a="1"/>
  <c r="G41" i="18" s="1"/>
  <c r="AD40" i="18" a="1"/>
  <c r="AD40" i="18" s="1"/>
  <c r="R40" i="18" a="1"/>
  <c r="R40" i="18" s="1"/>
  <c r="F40" i="18" a="1"/>
  <c r="F40" i="18" s="1"/>
  <c r="AC39" i="18" a="1"/>
  <c r="AC39" i="18" s="1"/>
  <c r="Q39" i="18" a="1"/>
  <c r="Q39" i="18" s="1"/>
  <c r="AN38" i="18" a="1"/>
  <c r="AN38" i="18" s="1"/>
  <c r="AB38" i="18" a="1"/>
  <c r="AB38" i="18" s="1"/>
  <c r="P38" i="18" a="1"/>
  <c r="P38" i="18" s="1"/>
  <c r="AM37" i="18" a="1"/>
  <c r="AM37" i="18" s="1"/>
  <c r="Z37" i="18" a="1"/>
  <c r="Z37" i="18" s="1"/>
  <c r="N37" i="18" a="1"/>
  <c r="N37" i="18" s="1"/>
  <c r="AK36" i="18" a="1"/>
  <c r="AK36" i="18" s="1"/>
  <c r="Y36" i="18" a="1"/>
  <c r="Y36" i="18" s="1"/>
  <c r="M36" i="18" a="1"/>
  <c r="M36" i="18" s="1"/>
  <c r="AJ35" i="18" a="1"/>
  <c r="AJ35" i="18" s="1"/>
  <c r="X35" i="18" a="1"/>
  <c r="X35" i="18" s="1"/>
  <c r="L35" i="18" a="1"/>
  <c r="L35" i="18" s="1"/>
  <c r="AI34" i="18" a="1"/>
  <c r="AI34" i="18" s="1"/>
  <c r="W34" i="18" a="1"/>
  <c r="W34" i="18" s="1"/>
  <c r="J34" i="18" a="1"/>
  <c r="J34" i="18" s="1"/>
  <c r="AG33" i="18" a="1"/>
  <c r="AG33" i="18" s="1"/>
  <c r="U33" i="18" a="1"/>
  <c r="U33" i="18" s="1"/>
  <c r="I33" i="18" a="1"/>
  <c r="I33" i="18" s="1"/>
  <c r="AF32" i="18" a="1"/>
  <c r="AF32" i="18" s="1"/>
  <c r="T32" i="18" a="1"/>
  <c r="T32" i="18" s="1"/>
  <c r="H32" i="18" a="1"/>
  <c r="H32" i="18" s="1"/>
  <c r="AE31" i="18" a="1"/>
  <c r="AE31" i="18" s="1"/>
  <c r="S31" i="18" a="1"/>
  <c r="S31" i="18" s="1"/>
  <c r="G31" i="18" a="1"/>
  <c r="G31" i="18" s="1"/>
  <c r="AI44" i="18" a="1"/>
  <c r="AI44" i="18" s="1"/>
  <c r="S41" i="18" a="1"/>
  <c r="S41" i="18" s="1"/>
  <c r="AL37" i="18" a="1"/>
  <c r="AL37" i="18" s="1"/>
  <c r="V34" i="18" a="1"/>
  <c r="V34" i="18" s="1"/>
  <c r="F31" i="18" a="1"/>
  <c r="F31" i="18" s="1"/>
  <c r="Y27" i="18" a="1"/>
  <c r="Y27" i="18" s="1"/>
  <c r="I24" i="18" a="1"/>
  <c r="I24" i="18" s="1"/>
  <c r="AG8" i="18" a="1"/>
  <c r="AG8" i="18" s="1"/>
  <c r="V8" i="18" a="1"/>
  <c r="V8" i="18" s="1"/>
  <c r="K8" i="18" a="1"/>
  <c r="K8" i="18" s="1"/>
  <c r="AL47" i="18" a="1"/>
  <c r="AL47" i="18" s="1"/>
  <c r="Z47" i="18" a="1"/>
  <c r="Z47" i="18" s="1"/>
  <c r="N47" i="18" a="1"/>
  <c r="N47" i="18" s="1"/>
  <c r="AK46" i="18" a="1"/>
  <c r="AK46" i="18" s="1"/>
  <c r="Y46" i="18" a="1"/>
  <c r="Y46" i="18" s="1"/>
  <c r="M46" i="18" a="1"/>
  <c r="M46" i="18" s="1"/>
  <c r="AJ45" i="18" a="1"/>
  <c r="AJ45" i="18" s="1"/>
  <c r="X45" i="18" a="1"/>
  <c r="X45" i="18" s="1"/>
  <c r="L45" i="18" a="1"/>
  <c r="L45" i="18" s="1"/>
  <c r="AH44" i="18" a="1"/>
  <c r="AH44" i="18" s="1"/>
  <c r="V44" i="18" a="1"/>
  <c r="V44" i="18" s="1"/>
  <c r="J44" i="18" a="1"/>
  <c r="J44" i="18" s="1"/>
  <c r="AG43" i="18" a="1"/>
  <c r="AG43" i="18" s="1"/>
  <c r="U43" i="18" a="1"/>
  <c r="U43" i="18" s="1"/>
  <c r="I43" i="18" a="1"/>
  <c r="I43" i="18" s="1"/>
  <c r="AF42" i="18" a="1"/>
  <c r="AF42" i="18" s="1"/>
  <c r="T42" i="18" a="1"/>
  <c r="T42" i="18" s="1"/>
  <c r="H42" i="18" a="1"/>
  <c r="H42" i="18" s="1"/>
  <c r="AE41" i="18" a="1"/>
  <c r="AE41" i="18" s="1"/>
  <c r="F42" i="18" a="1"/>
  <c r="F42" i="18" s="1"/>
  <c r="M41" i="18" a="1"/>
  <c r="M41" i="18" s="1"/>
  <c r="T40" i="18" a="1"/>
  <c r="T40" i="18" s="1"/>
  <c r="AN39" i="18" a="1"/>
  <c r="AN39" i="18" s="1"/>
  <c r="M39" i="18" a="1"/>
  <c r="M39" i="18" s="1"/>
  <c r="T38" i="18" a="1"/>
  <c r="T38" i="18" s="1"/>
  <c r="AB37" i="18" a="1"/>
  <c r="AB37" i="18" s="1"/>
  <c r="L37" i="18" a="1"/>
  <c r="L37" i="18" s="1"/>
  <c r="T36" i="18" a="1"/>
  <c r="T36" i="18" s="1"/>
  <c r="AA35" i="18" a="1"/>
  <c r="AA35" i="18" s="1"/>
  <c r="AG34" i="18" a="1"/>
  <c r="AG34" i="18" s="1"/>
  <c r="S34" i="18" a="1"/>
  <c r="S34" i="18" s="1"/>
  <c r="AA33" i="18" a="1"/>
  <c r="AA33" i="18" s="1"/>
  <c r="M33" i="18" a="1"/>
  <c r="M33" i="18" s="1"/>
  <c r="AH32" i="18" a="1"/>
  <c r="AH32" i="18" s="1"/>
  <c r="S32" i="18" a="1"/>
  <c r="S32" i="18" s="1"/>
  <c r="Z31" i="18" a="1"/>
  <c r="Z31" i="18" s="1"/>
  <c r="AH30" i="18" a="1"/>
  <c r="AH30" i="18" s="1"/>
  <c r="U30" i="18" a="1"/>
  <c r="U30" i="18" s="1"/>
  <c r="G30" i="18" a="1"/>
  <c r="G30" i="18" s="1"/>
  <c r="AC29" i="18" a="1"/>
  <c r="AC29" i="18" s="1"/>
  <c r="O29" i="18" a="1"/>
  <c r="O29" i="18" s="1"/>
  <c r="AK28" i="18" a="1"/>
  <c r="AK28" i="18" s="1"/>
  <c r="X28" i="18" a="1"/>
  <c r="X28" i="18" s="1"/>
  <c r="J28" i="18" a="1"/>
  <c r="J28" i="18" s="1"/>
  <c r="AF27" i="18" a="1"/>
  <c r="AF27" i="18" s="1"/>
  <c r="S27" i="18" a="1"/>
  <c r="S27" i="18" s="1"/>
  <c r="F27" i="18" a="1"/>
  <c r="F27" i="18" s="1"/>
  <c r="AB26" i="18" a="1"/>
  <c r="AB26" i="18" s="1"/>
  <c r="N26" i="18" a="1"/>
  <c r="N26" i="18" s="1"/>
  <c r="AJ25" i="18" a="1"/>
  <c r="AJ25" i="18" s="1"/>
  <c r="V25" i="18" a="1"/>
  <c r="V25" i="18" s="1"/>
  <c r="I25" i="18" a="1"/>
  <c r="I25" i="18" s="1"/>
  <c r="AD24" i="18" a="1"/>
  <c r="AD24" i="18" s="1"/>
  <c r="Q24" i="18" a="1"/>
  <c r="Q24" i="18" s="1"/>
  <c r="AM23" i="18" a="1"/>
  <c r="AM23" i="18" s="1"/>
  <c r="Z23" i="18" a="1"/>
  <c r="Z23" i="18" s="1"/>
  <c r="M23" i="18" a="1"/>
  <c r="M23" i="18" s="1"/>
  <c r="AH22" i="18" a="1"/>
  <c r="AH22" i="18" s="1"/>
  <c r="U22" i="18" a="1"/>
  <c r="U22" i="18" s="1"/>
  <c r="H22" i="18" a="1"/>
  <c r="H22" i="18" s="1"/>
  <c r="AC21" i="18" a="1"/>
  <c r="AC21" i="18" s="1"/>
  <c r="P21" i="18" a="1"/>
  <c r="P21" i="18" s="1"/>
  <c r="AM20" i="18" a="1"/>
  <c r="AM20" i="18" s="1"/>
  <c r="AA20" i="18" a="1"/>
  <c r="AA20" i="18" s="1"/>
  <c r="O20" i="18" a="1"/>
  <c r="O20" i="18" s="1"/>
  <c r="AL19" i="18" a="1"/>
  <c r="AL19" i="18" s="1"/>
  <c r="Z19" i="18" a="1"/>
  <c r="Z19" i="18" s="1"/>
  <c r="N19" i="18" a="1"/>
  <c r="N19" i="18" s="1"/>
  <c r="AK18" i="18" a="1"/>
  <c r="AK18" i="18" s="1"/>
  <c r="Y18" i="18" a="1"/>
  <c r="Y18" i="18" s="1"/>
  <c r="L18" i="18" a="1"/>
  <c r="L18" i="18" s="1"/>
  <c r="AI17" i="18" a="1"/>
  <c r="AI17" i="18" s="1"/>
  <c r="W17" i="18" a="1"/>
  <c r="W17" i="18" s="1"/>
  <c r="K17" i="18" a="1"/>
  <c r="K17" i="18" s="1"/>
  <c r="AH16" i="18" a="1"/>
  <c r="AH16" i="18" s="1"/>
  <c r="V16" i="18" a="1"/>
  <c r="V16" i="18" s="1"/>
  <c r="J16" i="18" a="1"/>
  <c r="J16" i="18" s="1"/>
  <c r="AG15" i="18" a="1"/>
  <c r="AG15" i="18" s="1"/>
  <c r="U15" i="18" a="1"/>
  <c r="U15" i="18" s="1"/>
  <c r="I15" i="18" a="1"/>
  <c r="I15" i="18" s="1"/>
  <c r="AE14" i="18" a="1"/>
  <c r="AE14" i="18" s="1"/>
  <c r="S14" i="18" a="1"/>
  <c r="S14" i="18" s="1"/>
  <c r="G14" i="18" a="1"/>
  <c r="G14" i="18" s="1"/>
  <c r="AD13" i="18" a="1"/>
  <c r="AD13" i="18" s="1"/>
  <c r="R13" i="18" a="1"/>
  <c r="R13" i="18" s="1"/>
  <c r="F13" i="18" a="1"/>
  <c r="F13" i="18" s="1"/>
  <c r="AC12" i="18" a="1"/>
  <c r="AC12" i="18" s="1"/>
  <c r="Q12" i="18" a="1"/>
  <c r="Q12" i="18" s="1"/>
  <c r="AN11" i="18" a="1"/>
  <c r="AN11" i="18" s="1"/>
  <c r="AB11" i="18" a="1"/>
  <c r="AB11" i="18" s="1"/>
  <c r="O11" i="18" a="1"/>
  <c r="O11" i="18" s="1"/>
  <c r="AL10" i="18" a="1"/>
  <c r="AL10" i="18" s="1"/>
  <c r="Z10" i="18" a="1"/>
  <c r="Z10" i="18" s="1"/>
  <c r="N10" i="18" a="1"/>
  <c r="N10" i="18" s="1"/>
  <c r="AK9" i="18" a="1"/>
  <c r="AK9" i="18" s="1"/>
  <c r="Y9" i="18" a="1"/>
  <c r="Y9" i="18" s="1"/>
  <c r="M9" i="18" a="1"/>
  <c r="M9" i="18" s="1"/>
  <c r="AG45" i="18" a="1"/>
  <c r="AG45" i="18" s="1"/>
  <c r="O43" i="18" a="1"/>
  <c r="O43" i="18" s="1"/>
  <c r="L41" i="18" a="1"/>
  <c r="L41" i="18" s="1"/>
  <c r="S40" i="18" a="1"/>
  <c r="S40" i="18" s="1"/>
  <c r="AM39" i="18" a="1"/>
  <c r="AM39" i="18" s="1"/>
  <c r="K39" i="18" a="1"/>
  <c r="K39" i="18" s="1"/>
  <c r="S38" i="18" a="1"/>
  <c r="S38" i="18" s="1"/>
  <c r="K37" i="18" a="1"/>
  <c r="K37" i="18" s="1"/>
  <c r="S36" i="18" a="1"/>
  <c r="S36" i="18" s="1"/>
  <c r="Z35" i="18" a="1"/>
  <c r="Z35" i="18" s="1"/>
  <c r="K35" i="18" a="1"/>
  <c r="K35" i="18" s="1"/>
  <c r="R34" i="18" a="1"/>
  <c r="R34" i="18" s="1"/>
  <c r="Z33" i="18" a="1"/>
  <c r="Z33" i="18" s="1"/>
  <c r="AG32" i="18" a="1"/>
  <c r="AG32" i="18" s="1"/>
  <c r="R32" i="18" a="1"/>
  <c r="R32" i="18" s="1"/>
  <c r="AM31" i="18" a="1"/>
  <c r="AM31" i="18" s="1"/>
  <c r="Y31" i="18" a="1"/>
  <c r="Y31" i="18" s="1"/>
  <c r="AG30" i="18" a="1"/>
  <c r="AG30" i="18" s="1"/>
  <c r="T30" i="18" a="1"/>
  <c r="T30" i="18" s="1"/>
  <c r="F30" i="18" a="1"/>
  <c r="F30" i="18" s="1"/>
  <c r="AA29" i="18" a="1"/>
  <c r="AA29" i="18" s="1"/>
  <c r="N29" i="18" a="1"/>
  <c r="N29" i="18" s="1"/>
  <c r="AJ28" i="18" a="1"/>
  <c r="AJ28" i="18" s="1"/>
  <c r="V28" i="18" a="1"/>
  <c r="V28" i="18" s="1"/>
  <c r="I28" i="18" a="1"/>
  <c r="I28" i="18" s="1"/>
  <c r="AE27" i="18" a="1"/>
  <c r="AE27" i="18" s="1"/>
  <c r="R27" i="18" a="1"/>
  <c r="R27" i="18" s="1"/>
  <c r="AN26" i="18" a="1"/>
  <c r="AN26" i="18" s="1"/>
  <c r="Z26" i="18" a="1"/>
  <c r="Z26" i="18" s="1"/>
  <c r="M26" i="18" a="1"/>
  <c r="M26" i="18" s="1"/>
  <c r="AH25" i="18" a="1"/>
  <c r="AH25" i="18" s="1"/>
  <c r="U25" i="18" a="1"/>
  <c r="U25" i="18" s="1"/>
  <c r="H25" i="18" a="1"/>
  <c r="H25" i="18" s="1"/>
  <c r="AC24" i="18" a="1"/>
  <c r="AC24" i="18" s="1"/>
  <c r="P24" i="18" a="1"/>
  <c r="P24" i="18" s="1"/>
  <c r="AL23" i="18" a="1"/>
  <c r="AL23" i="18" s="1"/>
  <c r="Y23" i="18" a="1"/>
  <c r="Y23" i="18" s="1"/>
  <c r="L23" i="18" a="1"/>
  <c r="L23" i="18" s="1"/>
  <c r="AG22" i="18" a="1"/>
  <c r="AG22" i="18" s="1"/>
  <c r="T22" i="18" a="1"/>
  <c r="T22" i="18" s="1"/>
  <c r="F22" i="18" a="1"/>
  <c r="F22" i="18" s="1"/>
  <c r="AB21" i="18" a="1"/>
  <c r="AB21" i="18" s="1"/>
  <c r="O21" i="18" a="1"/>
  <c r="O21" i="18" s="1"/>
  <c r="AL20" i="18" a="1"/>
  <c r="AL20" i="18" s="1"/>
  <c r="Z20" i="18" a="1"/>
  <c r="Z20" i="18" s="1"/>
  <c r="N20" i="18" a="1"/>
  <c r="N20" i="18" s="1"/>
  <c r="AK19" i="18" a="1"/>
  <c r="AK19" i="18" s="1"/>
  <c r="Y19" i="18" a="1"/>
  <c r="Y19" i="18" s="1"/>
  <c r="M19" i="18" a="1"/>
  <c r="M19" i="18" s="1"/>
  <c r="AJ18" i="18" a="1"/>
  <c r="AJ18" i="18" s="1"/>
  <c r="W18" i="18" a="1"/>
  <c r="W18" i="18" s="1"/>
  <c r="K18" i="18" a="1"/>
  <c r="K18" i="18" s="1"/>
  <c r="AH17" i="18" a="1"/>
  <c r="AH17" i="18" s="1"/>
  <c r="V17" i="18" a="1"/>
  <c r="V17" i="18" s="1"/>
  <c r="J17" i="18" a="1"/>
  <c r="J17" i="18" s="1"/>
  <c r="AG16" i="18" a="1"/>
  <c r="AG16" i="18" s="1"/>
  <c r="U16" i="18" a="1"/>
  <c r="U16" i="18" s="1"/>
  <c r="I16" i="18" a="1"/>
  <c r="I16" i="18" s="1"/>
  <c r="AF15" i="18" a="1"/>
  <c r="AF15" i="18" s="1"/>
  <c r="T15" i="18" a="1"/>
  <c r="T15" i="18" s="1"/>
  <c r="G15" i="18" a="1"/>
  <c r="G15" i="18" s="1"/>
  <c r="AD14" i="18" a="1"/>
  <c r="AD14" i="18" s="1"/>
  <c r="R14" i="18" a="1"/>
  <c r="R14" i="18" s="1"/>
  <c r="F14" i="18" a="1"/>
  <c r="F14" i="18" s="1"/>
  <c r="AC13" i="18" a="1"/>
  <c r="AC13" i="18" s="1"/>
  <c r="Q13" i="18" a="1"/>
  <c r="Q13" i="18" s="1"/>
  <c r="AN12" i="18" a="1"/>
  <c r="AN12" i="18" s="1"/>
  <c r="AB12" i="18" a="1"/>
  <c r="AB12" i="18" s="1"/>
  <c r="P12" i="18" a="1"/>
  <c r="P12" i="18" s="1"/>
  <c r="AM11" i="18" a="1"/>
  <c r="AM11" i="18" s="1"/>
  <c r="Z11" i="18" a="1"/>
  <c r="Z11" i="18" s="1"/>
  <c r="N11" i="18" a="1"/>
  <c r="N11" i="18" s="1"/>
  <c r="AK10" i="18" a="1"/>
  <c r="AK10" i="18" s="1"/>
  <c r="Y10" i="18" a="1"/>
  <c r="Y10" i="18" s="1"/>
  <c r="M10" i="18" a="1"/>
  <c r="M10" i="18" s="1"/>
  <c r="AJ9" i="18" a="1"/>
  <c r="AJ9" i="18" s="1"/>
  <c r="X9" i="18" a="1"/>
  <c r="X9" i="18" s="1"/>
  <c r="L9" i="18" a="1"/>
  <c r="L9" i="18" s="1"/>
  <c r="AJ47" i="18" a="1"/>
  <c r="AJ47" i="18" s="1"/>
  <c r="V47" i="18" a="1"/>
  <c r="V47" i="18" s="1"/>
  <c r="H47" i="18" a="1"/>
  <c r="H47" i="18" s="1"/>
  <c r="AB46" i="18" a="1"/>
  <c r="AB46" i="18" s="1"/>
  <c r="L46" i="18" a="1"/>
  <c r="L46" i="18" s="1"/>
  <c r="AF45" i="18" a="1"/>
  <c r="AF45" i="18" s="1"/>
  <c r="R45" i="18" a="1"/>
  <c r="R45" i="18" s="1"/>
  <c r="AM44" i="18" a="1"/>
  <c r="AM44" i="18" s="1"/>
  <c r="Y44" i="18" a="1"/>
  <c r="Y44" i="18" s="1"/>
  <c r="H44" i="18" a="1"/>
  <c r="H44" i="18" s="1"/>
  <c r="AC43" i="18" a="1"/>
  <c r="AC43" i="18" s="1"/>
  <c r="N43" i="18" a="1"/>
  <c r="N43" i="18" s="1"/>
  <c r="AI42" i="18" a="1"/>
  <c r="AI42" i="18" s="1"/>
  <c r="S42" i="18" a="1"/>
  <c r="S42" i="18" s="1"/>
  <c r="AM41" i="18" a="1"/>
  <c r="AM41" i="18" s="1"/>
  <c r="Y41" i="18" a="1"/>
  <c r="Y41" i="18" s="1"/>
  <c r="AG40" i="18" a="1"/>
  <c r="AG40" i="18" s="1"/>
  <c r="Q40" i="18" a="1"/>
  <c r="Q40" i="18" s="1"/>
  <c r="Y39" i="18" a="1"/>
  <c r="Y39" i="18" s="1"/>
  <c r="AF38" i="18" a="1"/>
  <c r="AF38" i="18" s="1"/>
  <c r="AN37" i="18" a="1"/>
  <c r="AN37" i="18" s="1"/>
  <c r="X37" i="18" a="1"/>
  <c r="X37" i="18" s="1"/>
  <c r="AF36" i="18" a="1"/>
  <c r="AF36" i="18" s="1"/>
  <c r="R36" i="18" a="1"/>
  <c r="R36" i="18" s="1"/>
  <c r="AM35" i="18" a="1"/>
  <c r="AM35" i="18" s="1"/>
  <c r="AE34" i="18" a="1"/>
  <c r="AE34" i="18" s="1"/>
  <c r="AM33" i="18" a="1"/>
  <c r="AM33" i="18" s="1"/>
  <c r="K33" i="18" a="1"/>
  <c r="K33" i="18" s="1"/>
  <c r="AE32" i="18" a="1"/>
  <c r="AE32" i="18" s="1"/>
  <c r="AL31" i="18" a="1"/>
  <c r="AL31" i="18" s="1"/>
  <c r="K31" i="18" a="1"/>
  <c r="K31" i="18" s="1"/>
  <c r="S30" i="18" a="1"/>
  <c r="S30" i="18" s="1"/>
  <c r="AN29" i="18" a="1"/>
  <c r="AN29" i="18" s="1"/>
  <c r="L26" i="18" a="1"/>
  <c r="L26" i="18" s="1"/>
  <c r="G25" i="18" a="1"/>
  <c r="G25" i="18" s="1"/>
  <c r="K23" i="18" a="1"/>
  <c r="K23" i="18" s="1"/>
  <c r="AK47" i="18" a="1"/>
  <c r="AK47" i="18" s="1"/>
  <c r="AM46" i="18" a="1"/>
  <c r="AM46" i="18" s="1"/>
  <c r="AN45" i="18" a="1"/>
  <c r="AN45" i="18" s="1"/>
  <c r="V45" i="18" a="1"/>
  <c r="V45" i="18" s="1"/>
  <c r="F45" i="18" a="1"/>
  <c r="F45" i="18" s="1"/>
  <c r="U44" i="18" a="1"/>
  <c r="U44" i="18" s="1"/>
  <c r="X43" i="18" a="1"/>
  <c r="X43" i="18" s="1"/>
  <c r="Y42" i="18" a="1"/>
  <c r="Y42" i="18" s="1"/>
  <c r="AA40" i="18" a="1"/>
  <c r="AA40" i="18" s="1"/>
  <c r="L40" i="18" a="1"/>
  <c r="L40" i="18" s="1"/>
  <c r="AE39" i="18" a="1"/>
  <c r="AE39" i="18" s="1"/>
  <c r="AG38" i="18" a="1"/>
  <c r="AG38" i="18" s="1"/>
  <c r="Q38" i="18" a="1"/>
  <c r="Q38" i="18" s="1"/>
  <c r="V36" i="18" a="1"/>
  <c r="V36" i="18" s="1"/>
  <c r="F36" i="18" a="1"/>
  <c r="F36" i="18" s="1"/>
  <c r="W35" i="18" a="1"/>
  <c r="W35" i="18" s="1"/>
  <c r="G35" i="18" a="1"/>
  <c r="G35" i="18" s="1"/>
  <c r="AA34" i="18" a="1"/>
  <c r="AA34" i="18" s="1"/>
  <c r="L34" i="18" a="1"/>
  <c r="L34" i="18" s="1"/>
  <c r="O32" i="18" a="1"/>
  <c r="O32" i="18" s="1"/>
  <c r="R31" i="18" a="1"/>
  <c r="R31" i="18" s="1"/>
  <c r="AK30" i="18" a="1"/>
  <c r="AK30" i="18" s="1"/>
  <c r="Y29" i="18" a="1"/>
  <c r="Y29" i="18" s="1"/>
  <c r="J29" i="18" a="1"/>
  <c r="J29" i="18" s="1"/>
  <c r="AD28" i="18" a="1"/>
  <c r="AD28" i="18" s="1"/>
  <c r="O28" i="18" a="1"/>
  <c r="O28" i="18" s="1"/>
  <c r="AH27" i="18" a="1"/>
  <c r="AH27" i="18" s="1"/>
  <c r="AL26" i="18" a="1"/>
  <c r="AL26" i="18" s="1"/>
  <c r="V26" i="18" a="1"/>
  <c r="V26" i="18" s="1"/>
  <c r="AA25" i="18" a="1"/>
  <c r="AA25" i="18" s="1"/>
  <c r="AF24" i="18" a="1"/>
  <c r="AF24" i="18" s="1"/>
  <c r="O24" i="18" a="1"/>
  <c r="O24" i="18" s="1"/>
  <c r="S23" i="18" a="1"/>
  <c r="S23" i="18" s="1"/>
  <c r="Y22" i="18" a="1"/>
  <c r="Y22" i="18" s="1"/>
  <c r="J22" i="18" a="1"/>
  <c r="J22" i="18" s="1"/>
  <c r="AE21" i="18" a="1"/>
  <c r="AE21" i="18" s="1"/>
  <c r="AK20" i="18" a="1"/>
  <c r="AK20" i="18" s="1"/>
  <c r="X20" i="18" a="1"/>
  <c r="X20" i="18" s="1"/>
  <c r="K20" i="18" a="1"/>
  <c r="K20" i="18" s="1"/>
  <c r="AF19" i="18" a="1"/>
  <c r="AF19" i="18" s="1"/>
  <c r="S19" i="18" a="1"/>
  <c r="S19" i="18" s="1"/>
  <c r="F19" i="18" a="1"/>
  <c r="F19" i="18" s="1"/>
  <c r="AB18" i="18" a="1"/>
  <c r="AB18" i="18" s="1"/>
  <c r="O18" i="18" a="1"/>
  <c r="O18" i="18" s="1"/>
  <c r="AJ17" i="18" a="1"/>
  <c r="AJ17" i="18" s="1"/>
  <c r="I17" i="18" a="1"/>
  <c r="I17" i="18" s="1"/>
  <c r="AE16" i="18" a="1"/>
  <c r="AE16" i="18" s="1"/>
  <c r="R16" i="18" a="1"/>
  <c r="R16" i="18" s="1"/>
  <c r="AM15" i="18" a="1"/>
  <c r="AM15" i="18" s="1"/>
  <c r="Z15" i="18" a="1"/>
  <c r="Z15" i="18" s="1"/>
  <c r="M15" i="18" a="1"/>
  <c r="M15" i="18" s="1"/>
  <c r="AI14" i="18" a="1"/>
  <c r="AI14" i="18" s="1"/>
  <c r="V14" i="18" a="1"/>
  <c r="V14" i="18" s="1"/>
  <c r="H14" i="18" a="1"/>
  <c r="H14" i="18" s="1"/>
  <c r="P13" i="18" a="1"/>
  <c r="P13" i="18" s="1"/>
  <c r="AL12" i="18" a="1"/>
  <c r="AL12" i="18" s="1"/>
  <c r="X12" i="18" a="1"/>
  <c r="X12" i="18" s="1"/>
  <c r="K12" i="18" a="1"/>
  <c r="K12" i="18" s="1"/>
  <c r="AG11" i="18" a="1"/>
  <c r="AG11" i="18" s="1"/>
  <c r="T11" i="18" a="1"/>
  <c r="T11" i="18" s="1"/>
  <c r="G11" i="18" a="1"/>
  <c r="G11" i="18" s="1"/>
  <c r="AB10" i="18" a="1"/>
  <c r="AB10" i="18" s="1"/>
  <c r="O10" i="18" a="1"/>
  <c r="O10" i="18" s="1"/>
  <c r="W9" i="18" a="1"/>
  <c r="W9" i="18" s="1"/>
  <c r="J9" i="18" a="1"/>
  <c r="J9" i="18" s="1"/>
  <c r="T47" i="18" a="1"/>
  <c r="T47" i="18" s="1"/>
  <c r="U46" i="18" a="1"/>
  <c r="U46" i="18" s="1"/>
  <c r="U45" i="18" a="1"/>
  <c r="U45" i="18" s="1"/>
  <c r="AN44" i="18" a="1"/>
  <c r="AN44" i="18" s="1"/>
  <c r="AN43" i="18" a="1"/>
  <c r="AN43" i="18" s="1"/>
  <c r="F43" i="18" a="1"/>
  <c r="F43" i="18" s="1"/>
  <c r="G42" i="18" a="1"/>
  <c r="G42" i="18" s="1"/>
  <c r="X41" i="18" a="1"/>
  <c r="X41" i="18" s="1"/>
  <c r="I41" i="18" a="1"/>
  <c r="I41" i="18" s="1"/>
  <c r="N39" i="18" a="1"/>
  <c r="N39" i="18" s="1"/>
  <c r="O38" i="18" a="1"/>
  <c r="O38" i="18" s="1"/>
  <c r="AH37" i="18" a="1"/>
  <c r="AH37" i="18" s="1"/>
  <c r="S37" i="18" a="1"/>
  <c r="S37" i="18" s="1"/>
  <c r="AL36" i="18" a="1"/>
  <c r="AL36" i="18" s="1"/>
  <c r="AN35" i="18" a="1"/>
  <c r="AN35" i="18" s="1"/>
  <c r="I34" i="18" a="1"/>
  <c r="I34" i="18" s="1"/>
  <c r="AC33" i="18" a="1"/>
  <c r="AC33" i="18" s="1"/>
  <c r="N33" i="18" a="1"/>
  <c r="N33" i="18" s="1"/>
  <c r="AD32" i="18" a="1"/>
  <c r="AD32" i="18" s="1"/>
  <c r="N32" i="18" a="1"/>
  <c r="N32" i="18" s="1"/>
  <c r="AH31" i="18" a="1"/>
  <c r="AH31" i="18" s="1"/>
  <c r="Q31" i="18" a="1"/>
  <c r="Q31" i="18" s="1"/>
  <c r="V30" i="18" a="1"/>
  <c r="V30" i="18" s="1"/>
  <c r="AM29" i="18" a="1"/>
  <c r="AM29" i="18" s="1"/>
  <c r="I29" i="18" a="1"/>
  <c r="I29" i="18" s="1"/>
  <c r="N28" i="18" a="1"/>
  <c r="N28" i="18" s="1"/>
  <c r="AK26" i="18" a="1"/>
  <c r="AK26" i="18" s="1"/>
  <c r="G26" i="18" a="1"/>
  <c r="G26" i="18" s="1"/>
  <c r="L25" i="18" a="1"/>
  <c r="L25" i="18" s="1"/>
  <c r="AE24" i="18" a="1"/>
  <c r="AE24" i="18" s="1"/>
  <c r="AI23" i="18" a="1"/>
  <c r="AI23" i="18" s="1"/>
  <c r="AM22" i="18" a="1"/>
  <c r="AM22" i="18" s="1"/>
  <c r="X22" i="18" a="1"/>
  <c r="X22" i="18" s="1"/>
  <c r="AD21" i="18" a="1"/>
  <c r="AD21" i="18" s="1"/>
  <c r="Q16" i="18" a="1"/>
  <c r="Q16" i="18" s="1"/>
  <c r="U14" i="18" a="1"/>
  <c r="U14" i="18" s="1"/>
  <c r="I9" i="18" a="1"/>
  <c r="I9" i="18" s="1"/>
  <c r="AE8" i="18" a="1"/>
  <c r="AE8" i="18" s="1"/>
  <c r="R8" i="18" a="1"/>
  <c r="R8" i="18" s="1"/>
  <c r="S47" i="18" a="1"/>
  <c r="S47" i="18" s="1"/>
  <c r="AB33" i="18" a="1"/>
  <c r="AB33" i="18" s="1"/>
  <c r="AI26" i="18" a="1"/>
  <c r="AI26" i="18" s="1"/>
  <c r="F26" i="18" a="1"/>
  <c r="F26" i="18" s="1"/>
  <c r="AB24" i="18" a="1"/>
  <c r="AB24" i="18" s="1"/>
  <c r="I20" i="18" a="1"/>
  <c r="I20" i="18" s="1"/>
  <c r="M18" i="18" a="1"/>
  <c r="M18" i="18" s="1"/>
  <c r="AJ12" i="18" a="1"/>
  <c r="AJ12" i="18" s="1"/>
  <c r="AN10" i="18" a="1"/>
  <c r="AN10" i="18" s="1"/>
  <c r="AD8" i="18" a="1"/>
  <c r="AD8" i="18" s="1"/>
  <c r="AH47" i="18" a="1"/>
  <c r="AH47" i="18" s="1"/>
  <c r="AI46" i="18" a="1"/>
  <c r="AI46" i="18" s="1"/>
  <c r="AL45" i="18" a="1"/>
  <c r="AL45" i="18" s="1"/>
  <c r="S45" i="18" a="1"/>
  <c r="S45" i="18" s="1"/>
  <c r="S44" i="18" a="1"/>
  <c r="S44" i="18" s="1"/>
  <c r="T43" i="18" a="1"/>
  <c r="T43" i="18" s="1"/>
  <c r="AM42" i="18" a="1"/>
  <c r="AM42" i="18" s="1"/>
  <c r="W42" i="18" a="1"/>
  <c r="W42" i="18" s="1"/>
  <c r="AL41" i="18" a="1"/>
  <c r="AL41" i="18" s="1"/>
  <c r="AN40" i="18" a="1"/>
  <c r="AN40" i="18" s="1"/>
  <c r="Y40" i="18" a="1"/>
  <c r="Y40" i="18" s="1"/>
  <c r="I40" i="18" a="1"/>
  <c r="I40" i="18" s="1"/>
  <c r="J39" i="18" a="1"/>
  <c r="J39" i="18" s="1"/>
  <c r="AD38" i="18" a="1"/>
  <c r="AD38" i="18" s="1"/>
  <c r="AI36" i="18" a="1"/>
  <c r="AI36" i="18" s="1"/>
  <c r="U35" i="18" a="1"/>
  <c r="U35" i="18" s="1"/>
  <c r="AN34" i="18" a="1"/>
  <c r="AN34" i="18" s="1"/>
  <c r="J33" i="18" a="1"/>
  <c r="J33" i="18" s="1"/>
  <c r="O31" i="18" a="1"/>
  <c r="O31" i="18" s="1"/>
  <c r="AI30" i="18" a="1"/>
  <c r="AI30" i="18" s="1"/>
  <c r="W29" i="18" a="1"/>
  <c r="W29" i="18" s="1"/>
  <c r="L28" i="18" a="1"/>
  <c r="L28" i="18" s="1"/>
  <c r="P27" i="18" a="1"/>
  <c r="P27" i="18" s="1"/>
  <c r="AN25" i="18" a="1"/>
  <c r="AN25" i="18" s="1"/>
  <c r="Y25" i="18" a="1"/>
  <c r="Y25" i="18" s="1"/>
  <c r="AF23" i="18" a="1"/>
  <c r="AF23" i="18" s="1"/>
  <c r="Q23" i="18" a="1"/>
  <c r="Q23" i="18" s="1"/>
  <c r="V22" i="18" a="1"/>
  <c r="V22" i="18" s="1"/>
  <c r="G22" i="18" a="1"/>
  <c r="G22" i="18" s="1"/>
  <c r="M21" i="18" a="1"/>
  <c r="M21" i="18" s="1"/>
  <c r="AI20" i="18" a="1"/>
  <c r="AI20" i="18" s="1"/>
  <c r="H20" i="18" a="1"/>
  <c r="H20" i="18" s="1"/>
  <c r="AD19" i="18" a="1"/>
  <c r="AD19" i="18" s="1"/>
  <c r="AM18" i="18" a="1"/>
  <c r="AM18" i="18" s="1"/>
  <c r="Z18" i="18" a="1"/>
  <c r="Z18" i="18" s="1"/>
  <c r="AG17" i="18" a="1"/>
  <c r="AG17" i="18" s="1"/>
  <c r="G17" i="18" a="1"/>
  <c r="G17" i="18" s="1"/>
  <c r="O16" i="18" a="1"/>
  <c r="O16" i="18" s="1"/>
  <c r="AK15" i="18" a="1"/>
  <c r="AK15" i="18" s="1"/>
  <c r="K15" i="18" a="1"/>
  <c r="K15" i="18" s="1"/>
  <c r="AN13" i="18" a="1"/>
  <c r="AN13" i="18" s="1"/>
  <c r="N13" i="18" a="1"/>
  <c r="N13" i="18" s="1"/>
  <c r="AI12" i="18" a="1"/>
  <c r="AI12" i="18" s="1"/>
  <c r="I12" i="18" a="1"/>
  <c r="I12" i="18" s="1"/>
  <c r="AE11" i="18" a="1"/>
  <c r="AE11" i="18" s="1"/>
  <c r="AM10" i="18" a="1"/>
  <c r="AM10" i="18" s="1"/>
  <c r="L10" i="18" a="1"/>
  <c r="L10" i="18" s="1"/>
  <c r="U9" i="18" a="1"/>
  <c r="U9" i="18" s="1"/>
  <c r="R46" i="18" a="1"/>
  <c r="R46" i="18" s="1"/>
  <c r="AK44" i="18" a="1"/>
  <c r="AK44" i="18" s="1"/>
  <c r="V42" i="18" a="1"/>
  <c r="V42" i="18" s="1"/>
  <c r="AA39" i="18" a="1"/>
  <c r="AA39" i="18" s="1"/>
  <c r="L38" i="18" a="1"/>
  <c r="L38" i="18" s="1"/>
  <c r="Q37" i="18" a="1"/>
  <c r="Q37" i="18" s="1"/>
  <c r="AK35" i="18" a="1"/>
  <c r="AK35" i="18" s="1"/>
  <c r="H33" i="18" a="1"/>
  <c r="H33" i="18" s="1"/>
  <c r="AB32" i="18" a="1"/>
  <c r="AB32" i="18" s="1"/>
  <c r="AF31" i="18" a="1"/>
  <c r="AF31" i="18" s="1"/>
  <c r="AK29" i="18" a="1"/>
  <c r="AK29" i="18" s="1"/>
  <c r="G29" i="18" a="1"/>
  <c r="G29" i="18" s="1"/>
  <c r="K28" i="18" a="1"/>
  <c r="K28" i="18" s="1"/>
  <c r="AH26" i="18" a="1"/>
  <c r="AH26" i="18" s="1"/>
  <c r="AM25" i="18" a="1"/>
  <c r="AM25" i="18" s="1"/>
  <c r="AE23" i="18" a="1"/>
  <c r="AE23" i="18" s="1"/>
  <c r="AK22" i="18" a="1"/>
  <c r="AK22" i="18" s="1"/>
  <c r="AI47" i="18" a="1"/>
  <c r="AI47" i="18" s="1"/>
  <c r="AJ46" i="18" a="1"/>
  <c r="AJ46" i="18" s="1"/>
  <c r="T46" i="18" a="1"/>
  <c r="T46" i="18" s="1"/>
  <c r="AM45" i="18" a="1"/>
  <c r="AM45" i="18" s="1"/>
  <c r="T44" i="18" a="1"/>
  <c r="T44" i="18" s="1"/>
  <c r="W43" i="18" a="1"/>
  <c r="W43" i="18" s="1"/>
  <c r="X42" i="18" a="1"/>
  <c r="X42" i="18" s="1"/>
  <c r="AN41" i="18" a="1"/>
  <c r="AN41" i="18" s="1"/>
  <c r="F41" i="18" a="1"/>
  <c r="F41" i="18" s="1"/>
  <c r="Z40" i="18" a="1"/>
  <c r="Z40" i="18" s="1"/>
  <c r="K40" i="18" a="1"/>
  <c r="K40" i="18" s="1"/>
  <c r="AD39" i="18" a="1"/>
  <c r="AD39" i="18" s="1"/>
  <c r="AE38" i="18" a="1"/>
  <c r="AE38" i="18" s="1"/>
  <c r="N38" i="18" a="1"/>
  <c r="N38" i="18" s="1"/>
  <c r="AJ36" i="18" a="1"/>
  <c r="AJ36" i="18" s="1"/>
  <c r="U36" i="18" a="1"/>
  <c r="U36" i="18" s="1"/>
  <c r="V35" i="18" a="1"/>
  <c r="V35" i="18" s="1"/>
  <c r="F35" i="18" a="1"/>
  <c r="F35" i="18" s="1"/>
  <c r="Z34" i="18" a="1"/>
  <c r="Z34" i="18" s="1"/>
  <c r="L33" i="18" a="1"/>
  <c r="L33" i="18" s="1"/>
  <c r="P31" i="18" a="1"/>
  <c r="P31" i="18" s="1"/>
  <c r="AJ30" i="18" a="1"/>
  <c r="AJ30" i="18" s="1"/>
  <c r="X29" i="18" a="1"/>
  <c r="X29" i="18" s="1"/>
  <c r="AC28" i="18" a="1"/>
  <c r="AC28" i="18" s="1"/>
  <c r="AG27" i="18" a="1"/>
  <c r="AG27" i="18" s="1"/>
  <c r="Q27" i="18" a="1"/>
  <c r="Q27" i="18" s="1"/>
  <c r="AJ26" i="18" a="1"/>
  <c r="AJ26" i="18" s="1"/>
  <c r="U26" i="18" a="1"/>
  <c r="U26" i="18" s="1"/>
  <c r="Z25" i="18" a="1"/>
  <c r="Z25" i="18" s="1"/>
  <c r="K25" i="18" a="1"/>
  <c r="K25" i="18" s="1"/>
  <c r="N24" i="18" a="1"/>
  <c r="N24" i="18" s="1"/>
  <c r="R23" i="18" a="1"/>
  <c r="R23" i="18" s="1"/>
  <c r="W22" i="18" a="1"/>
  <c r="W22" i="18" s="1"/>
  <c r="I22" i="18" a="1"/>
  <c r="I22" i="18" s="1"/>
  <c r="N21" i="18" a="1"/>
  <c r="N21" i="18" s="1"/>
  <c r="AJ20" i="18" a="1"/>
  <c r="AJ20" i="18" s="1"/>
  <c r="W20" i="18" a="1"/>
  <c r="W20" i="18" s="1"/>
  <c r="J20" i="18" a="1"/>
  <c r="J20" i="18" s="1"/>
  <c r="AE19" i="18" a="1"/>
  <c r="AE19" i="18" s="1"/>
  <c r="R19" i="18" a="1"/>
  <c r="R19" i="18" s="1"/>
  <c r="AN18" i="18" a="1"/>
  <c r="AN18" i="18" s="1"/>
  <c r="AA18" i="18" a="1"/>
  <c r="AA18" i="18" s="1"/>
  <c r="N18" i="18" a="1"/>
  <c r="N18" i="18" s="1"/>
  <c r="U17" i="18" a="1"/>
  <c r="U17" i="18" s="1"/>
  <c r="H17" i="18" a="1"/>
  <c r="H17" i="18" s="1"/>
  <c r="AD16" i="18" a="1"/>
  <c r="AD16" i="18" s="1"/>
  <c r="P16" i="18" a="1"/>
  <c r="P16" i="18" s="1"/>
  <c r="AL15" i="18" a="1"/>
  <c r="AL15" i="18" s="1"/>
  <c r="Y15" i="18" a="1"/>
  <c r="Y15" i="18" s="1"/>
  <c r="L15" i="18" a="1"/>
  <c r="L15" i="18" s="1"/>
  <c r="AH14" i="18" a="1"/>
  <c r="AH14" i="18" s="1"/>
  <c r="T14" i="18" a="1"/>
  <c r="T14" i="18" s="1"/>
  <c r="AB13" i="18" a="1"/>
  <c r="AB13" i="18" s="1"/>
  <c r="O13" i="18" a="1"/>
  <c r="O13" i="18" s="1"/>
  <c r="AK12" i="18" a="1"/>
  <c r="AK12" i="18" s="1"/>
  <c r="W12" i="18" a="1"/>
  <c r="W12" i="18" s="1"/>
  <c r="J12" i="18" a="1"/>
  <c r="J12" i="18" s="1"/>
  <c r="AF11" i="18" a="1"/>
  <c r="AF11" i="18" s="1"/>
  <c r="S11" i="18" a="1"/>
  <c r="S11" i="18" s="1"/>
  <c r="F11" i="18" a="1"/>
  <c r="F11" i="18" s="1"/>
  <c r="AA10" i="18" a="1"/>
  <c r="AA10" i="18" s="1"/>
  <c r="AI9" i="18" a="1"/>
  <c r="AI9" i="18" s="1"/>
  <c r="V9" i="18" a="1"/>
  <c r="V9" i="18" s="1"/>
  <c r="H9" i="18" a="1"/>
  <c r="H9" i="18" s="1"/>
  <c r="S46" i="18" a="1"/>
  <c r="S46" i="18" s="1"/>
  <c r="T45" i="18" a="1"/>
  <c r="T45" i="18" s="1"/>
  <c r="AL44" i="18" a="1"/>
  <c r="AL44" i="18" s="1"/>
  <c r="AM43" i="18" a="1"/>
  <c r="AM43" i="18" s="1"/>
  <c r="AN42" i="18" a="1"/>
  <c r="AN42" i="18" s="1"/>
  <c r="W41" i="18" a="1"/>
  <c r="W41" i="18" s="1"/>
  <c r="J40" i="18" a="1"/>
  <c r="J40" i="18" s="1"/>
  <c r="AB39" i="18" a="1"/>
  <c r="AB39" i="18" s="1"/>
  <c r="L39" i="18" a="1"/>
  <c r="L39" i="18" s="1"/>
  <c r="M38" i="18" a="1"/>
  <c r="M38" i="18" s="1"/>
  <c r="AG37" i="18" a="1"/>
  <c r="AG37" i="18" s="1"/>
  <c r="R37" i="18" a="1"/>
  <c r="R37" i="18" s="1"/>
  <c r="AL35" i="18" a="1"/>
  <c r="AL35" i="18" s="1"/>
  <c r="H34" i="18" a="1"/>
  <c r="H34" i="18" s="1"/>
  <c r="AC32" i="18" a="1"/>
  <c r="AC32" i="18" s="1"/>
  <c r="M32" i="18" a="1"/>
  <c r="M32" i="18" s="1"/>
  <c r="AG31" i="18" a="1"/>
  <c r="AG31" i="18" s="1"/>
  <c r="AL29" i="18" a="1"/>
  <c r="AL29" i="18" s="1"/>
  <c r="H29" i="18" a="1"/>
  <c r="H29" i="18" s="1"/>
  <c r="M28" i="18" a="1"/>
  <c r="M28" i="18" s="1"/>
  <c r="J25" i="18" a="1"/>
  <c r="J25" i="18" s="1"/>
  <c r="AH23" i="18" a="1"/>
  <c r="AH23" i="18" s="1"/>
  <c r="AL22" i="18" a="1"/>
  <c r="AL22" i="18" s="1"/>
  <c r="Q8" i="18" a="1"/>
  <c r="Q8" i="18" s="1"/>
  <c r="R47" i="18" a="1"/>
  <c r="R47" i="18" s="1"/>
  <c r="Y34" i="18" a="1"/>
  <c r="Y34" i="18" s="1"/>
  <c r="R30" i="18" a="1"/>
  <c r="R30" i="18" s="1"/>
  <c r="AB28" i="18" a="1"/>
  <c r="AB28" i="18" s="1"/>
  <c r="T26" i="18" a="1"/>
  <c r="T26" i="18" s="1"/>
  <c r="M24" i="18" a="1"/>
  <c r="M24" i="18" s="1"/>
  <c r="AA21" i="18" a="1"/>
  <c r="AA21" i="18" s="1"/>
  <c r="V20" i="18" a="1"/>
  <c r="V20" i="18" s="1"/>
  <c r="Q19" i="18" a="1"/>
  <c r="Q19" i="18" s="1"/>
  <c r="T17" i="18" a="1"/>
  <c r="T17" i="18" s="1"/>
  <c r="AC16" i="18" a="1"/>
  <c r="AC16" i="18" s="1"/>
  <c r="X15" i="18" a="1"/>
  <c r="X15" i="18" s="1"/>
  <c r="AG14" i="18" a="1"/>
  <c r="AG14" i="18" s="1"/>
  <c r="AA13" i="18" a="1"/>
  <c r="AA13" i="18" s="1"/>
  <c r="V12" i="18" a="1"/>
  <c r="V12" i="18" s="1"/>
  <c r="R11" i="18" a="1"/>
  <c r="R11" i="18" s="1"/>
  <c r="AH9" i="18" a="1"/>
  <c r="AH9" i="18" s="1"/>
  <c r="G9" i="18" a="1"/>
  <c r="G9" i="18" s="1"/>
  <c r="Q47" i="18" a="1"/>
  <c r="Q47" i="18" s="1"/>
  <c r="AL43" i="18" a="1"/>
  <c r="AL43" i="18" s="1"/>
  <c r="AL42" i="18" a="1"/>
  <c r="AL42" i="18" s="1"/>
  <c r="V41" i="18" a="1"/>
  <c r="V41" i="18" s="1"/>
  <c r="AF37" i="18" a="1"/>
  <c r="AF37" i="18" s="1"/>
  <c r="Q36" i="18" a="1"/>
  <c r="Q36" i="18" s="1"/>
  <c r="T35" i="18" a="1"/>
  <c r="T35" i="18" s="1"/>
  <c r="G34" i="18" a="1"/>
  <c r="G34" i="18" s="1"/>
  <c r="L32" i="18" a="1"/>
  <c r="L32" i="18" s="1"/>
  <c r="Q30" i="18" a="1"/>
  <c r="Q30" i="18" s="1"/>
  <c r="AA28" i="18" a="1"/>
  <c r="AA28" i="18" s="1"/>
  <c r="AD27" i="18" a="1"/>
  <c r="AD27" i="18" s="1"/>
  <c r="AA24" i="18" a="1"/>
  <c r="AA24" i="18" s="1"/>
  <c r="Z21" i="18" a="1"/>
  <c r="Z21" i="18" s="1"/>
  <c r="AG47" i="18" a="1"/>
  <c r="AG47" i="18" s="1"/>
  <c r="J45" i="18" a="1"/>
  <c r="J45" i="18" s="1"/>
  <c r="Z44" i="18" a="1"/>
  <c r="Z44" i="18" s="1"/>
  <c r="AH41" i="18" a="1"/>
  <c r="AH41" i="18" s="1"/>
  <c r="W40" i="18" a="1"/>
  <c r="W40" i="18" s="1"/>
  <c r="AJ39" i="18" a="1"/>
  <c r="AJ39" i="18" s="1"/>
  <c r="Y38" i="18" a="1"/>
  <c r="Y38" i="18" s="1"/>
  <c r="F38" i="18" a="1"/>
  <c r="F38" i="18" s="1"/>
  <c r="P37" i="18" a="1"/>
  <c r="P37" i="18" s="1"/>
  <c r="AC36" i="18" a="1"/>
  <c r="AC36" i="18" s="1"/>
  <c r="I36" i="18" a="1"/>
  <c r="I36" i="18" s="1"/>
  <c r="R35" i="18" a="1"/>
  <c r="R35" i="18" s="1"/>
  <c r="AF34" i="18" a="1"/>
  <c r="AF34" i="18" s="1"/>
  <c r="M34" i="18" a="1"/>
  <c r="M34" i="18" s="1"/>
  <c r="V33" i="18" a="1"/>
  <c r="V33" i="18" s="1"/>
  <c r="AK32" i="18" a="1"/>
  <c r="AK32" i="18" s="1"/>
  <c r="AM30" i="18" a="1"/>
  <c r="AM30" i="18" s="1"/>
  <c r="O30" i="18" a="1"/>
  <c r="O30" i="18" s="1"/>
  <c r="AF29" i="18" a="1"/>
  <c r="AF29" i="18" s="1"/>
  <c r="W28" i="18" a="1"/>
  <c r="W28" i="18" s="1"/>
  <c r="AM27" i="18" a="1"/>
  <c r="AM27" i="18" s="1"/>
  <c r="O27" i="18" a="1"/>
  <c r="O27" i="18" s="1"/>
  <c r="AK24" i="18" a="1"/>
  <c r="AK24" i="18" s="1"/>
  <c r="H23" i="18" a="1"/>
  <c r="H23" i="18" s="1"/>
  <c r="AJ21" i="18" a="1"/>
  <c r="AJ21" i="18" s="1"/>
  <c r="S21" i="18" a="1"/>
  <c r="S21" i="18" s="1"/>
  <c r="AG20" i="18" a="1"/>
  <c r="AG20" i="18" s="1"/>
  <c r="P20" i="18" a="1"/>
  <c r="P20" i="18" s="1"/>
  <c r="AH19" i="18" a="1"/>
  <c r="AH19" i="18" s="1"/>
  <c r="AE18" i="18" a="1"/>
  <c r="AE18" i="18" s="1"/>
  <c r="J18" i="18" a="1"/>
  <c r="J18" i="18" s="1"/>
  <c r="M17" i="18" a="1"/>
  <c r="M17" i="18" s="1"/>
  <c r="AE15" i="18" a="1"/>
  <c r="AE15" i="18" s="1"/>
  <c r="N14" i="18" a="1"/>
  <c r="N14" i="18" s="1"/>
  <c r="AF12" i="18" a="1"/>
  <c r="AF12" i="18" s="1"/>
  <c r="AH11" i="18" a="1"/>
  <c r="AH11" i="18" s="1"/>
  <c r="Q10" i="18" a="1"/>
  <c r="Q10" i="18" s="1"/>
  <c r="AG9" i="18" a="1"/>
  <c r="AG9" i="18" s="1"/>
  <c r="AJ8" i="18" a="1"/>
  <c r="AJ8" i="18" s="1"/>
  <c r="S8" i="18" a="1"/>
  <c r="S8" i="18" s="1"/>
  <c r="K47" i="18" a="1"/>
  <c r="K47" i="18" s="1"/>
  <c r="W46" i="18" a="1"/>
  <c r="W46" i="18" s="1"/>
  <c r="AE45" i="18" a="1"/>
  <c r="AE45" i="18" s="1"/>
  <c r="AF43" i="18" a="1"/>
  <c r="AF43" i="18" s="1"/>
  <c r="K43" i="18" a="1"/>
  <c r="K43" i="18" s="1"/>
  <c r="R42" i="18" a="1"/>
  <c r="R42" i="18" s="1"/>
  <c r="K41" i="18" a="1"/>
  <c r="K41" i="18" s="1"/>
  <c r="O39" i="18" a="1"/>
  <c r="O39" i="18" s="1"/>
  <c r="X38" i="18" a="1"/>
  <c r="X38" i="18" s="1"/>
  <c r="AK37" i="18" a="1"/>
  <c r="AK37" i="18" s="1"/>
  <c r="O37" i="18" a="1"/>
  <c r="O37" i="18" s="1"/>
  <c r="AB36" i="18" a="1"/>
  <c r="AB36" i="18" s="1"/>
  <c r="T33" i="18" a="1"/>
  <c r="T33" i="18" s="1"/>
  <c r="AJ32" i="18" a="1"/>
  <c r="AJ32" i="18" s="1"/>
  <c r="K32" i="18" a="1"/>
  <c r="K32" i="18" s="1"/>
  <c r="X31" i="18" a="1"/>
  <c r="X31" i="18" s="1"/>
  <c r="AE29" i="18" a="1"/>
  <c r="AE29" i="18" s="1"/>
  <c r="K29" i="18" a="1"/>
  <c r="K29" i="18" s="1"/>
  <c r="U28" i="18" a="1"/>
  <c r="U28" i="18" s="1"/>
  <c r="AL27" i="18" a="1"/>
  <c r="AL27" i="18" s="1"/>
  <c r="M27" i="18" a="1"/>
  <c r="M27" i="18" s="1"/>
  <c r="AD26" i="18" a="1"/>
  <c r="AD26" i="18" s="1"/>
  <c r="I26" i="18" a="1"/>
  <c r="I26" i="18" s="1"/>
  <c r="T25" i="18" a="1"/>
  <c r="T25" i="18" s="1"/>
  <c r="AB23" i="18" a="1"/>
  <c r="AB23" i="18" s="1"/>
  <c r="G23" i="18" a="1"/>
  <c r="G23" i="18" s="1"/>
  <c r="S22" i="18" a="1"/>
  <c r="S22" i="18" s="1"/>
  <c r="R21" i="18" a="1"/>
  <c r="R21" i="18" s="1"/>
  <c r="AG19" i="18" a="1"/>
  <c r="AG19" i="18" s="1"/>
  <c r="AC17" i="18" a="1"/>
  <c r="AC17" i="18" s="1"/>
  <c r="AB16" i="18" a="1"/>
  <c r="AB16" i="18" s="1"/>
  <c r="L16" i="18" a="1"/>
  <c r="L16" i="18" s="1"/>
  <c r="AD15" i="18" a="1"/>
  <c r="AD15" i="18" s="1"/>
  <c r="N15" i="18" a="1"/>
  <c r="N15" i="18" s="1"/>
  <c r="AC14" i="18" a="1"/>
  <c r="AC14" i="18" s="1"/>
  <c r="AF13" i="18" a="1"/>
  <c r="AF13" i="18" s="1"/>
  <c r="M13" i="18" a="1"/>
  <c r="M13" i="18" s="1"/>
  <c r="O12" i="18" a="1"/>
  <c r="O12" i="18" s="1"/>
  <c r="AG10" i="18" a="1"/>
  <c r="AG10" i="18" s="1"/>
  <c r="P9" i="18" a="1"/>
  <c r="P9" i="18" s="1"/>
  <c r="AI8" i="18" a="1"/>
  <c r="AI8" i="18" s="1"/>
  <c r="P8" i="18" a="1"/>
  <c r="P8" i="18" s="1"/>
  <c r="AA23" i="18" a="1"/>
  <c r="AA23" i="18" s="1"/>
  <c r="AB17" i="18" a="1"/>
  <c r="AB17" i="18" s="1"/>
  <c r="K16" i="18" a="1"/>
  <c r="K16" i="18" s="1"/>
  <c r="AB14" i="18" a="1"/>
  <c r="AB14" i="18" s="1"/>
  <c r="K13" i="18" a="1"/>
  <c r="K13" i="18" s="1"/>
  <c r="M12" i="18" a="1"/>
  <c r="M12" i="18" s="1"/>
  <c r="AF10" i="18" a="1"/>
  <c r="AF10" i="18" s="1"/>
  <c r="AE9" i="18" a="1"/>
  <c r="AE9" i="18" s="1"/>
  <c r="O8" i="18" a="1"/>
  <c r="O8" i="18" s="1"/>
  <c r="AE47" i="18" a="1"/>
  <c r="AE47" i="18" s="1"/>
  <c r="H45" i="18" a="1"/>
  <c r="H45" i="18" s="1"/>
  <c r="Q44" i="18" a="1"/>
  <c r="Q44" i="18" s="1"/>
  <c r="AC41" i="18" a="1"/>
  <c r="AC41" i="18" s="1"/>
  <c r="AG39" i="18" a="1"/>
  <c r="AG39" i="18" s="1"/>
  <c r="P35" i="18" a="1"/>
  <c r="P35" i="18" s="1"/>
  <c r="AC34" i="18" a="1"/>
  <c r="AC34" i="18" s="1"/>
  <c r="M30" i="18" a="1"/>
  <c r="M30" i="18" s="1"/>
  <c r="AI27" i="18" a="1"/>
  <c r="AI27" i="18" s="1"/>
  <c r="K27" i="18" a="1"/>
  <c r="K27" i="18" s="1"/>
  <c r="R25" i="18" a="1"/>
  <c r="R25" i="18" s="1"/>
  <c r="AI24" i="18" a="1"/>
  <c r="AI24" i="18" s="1"/>
  <c r="K24" i="18" a="1"/>
  <c r="K24" i="18" s="1"/>
  <c r="Q22" i="18" a="1"/>
  <c r="Q22" i="18" s="1"/>
  <c r="L21" i="18" a="1"/>
  <c r="L21" i="18" s="1"/>
  <c r="M20" i="18" a="1"/>
  <c r="M20" i="18" s="1"/>
  <c r="AB19" i="18" a="1"/>
  <c r="AB19" i="18" s="1"/>
  <c r="J19" i="18" a="1"/>
  <c r="J19" i="18" s="1"/>
  <c r="AC18" i="18" a="1"/>
  <c r="AC18" i="18" s="1"/>
  <c r="H18" i="18" a="1"/>
  <c r="H18" i="18" s="1"/>
  <c r="Z16" i="18" a="1"/>
  <c r="Z16" i="18" s="1"/>
  <c r="AB15" i="18" a="1"/>
  <c r="AB15" i="18" s="1"/>
  <c r="L14" i="18" a="1"/>
  <c r="L14" i="18" s="1"/>
  <c r="AD12" i="18" a="1"/>
  <c r="AD12" i="18" s="1"/>
  <c r="L11" i="18" a="1"/>
  <c r="L11" i="18" s="1"/>
  <c r="Q46" i="18" a="1"/>
  <c r="Q46" i="18" s="1"/>
  <c r="AC45" i="18" a="1"/>
  <c r="AC45" i="18" s="1"/>
  <c r="O42" i="18" a="1"/>
  <c r="O42" i="18" s="1"/>
  <c r="V38" i="18" a="1"/>
  <c r="V38" i="18" s="1"/>
  <c r="AI37" i="18" a="1"/>
  <c r="AI37" i="18" s="1"/>
  <c r="Z36" i="18" a="1"/>
  <c r="Z36" i="18" s="1"/>
  <c r="R33" i="18" a="1"/>
  <c r="R33" i="18" s="1"/>
  <c r="V31" i="18" a="1"/>
  <c r="V31" i="18" s="1"/>
  <c r="AF30" i="18" a="1"/>
  <c r="AF30" i="18" s="1"/>
  <c r="AN28" i="18" a="1"/>
  <c r="AN28" i="18" s="1"/>
  <c r="S28" i="18" a="1"/>
  <c r="S28" i="18" s="1"/>
  <c r="AA26" i="18" a="1"/>
  <c r="AA26" i="18" s="1"/>
  <c r="Q25" i="18" a="1"/>
  <c r="Q25" i="18" s="1"/>
  <c r="J24" i="18" a="1"/>
  <c r="J24" i="18" s="1"/>
  <c r="AA17" i="18" a="1"/>
  <c r="AA17" i="18" s="1"/>
  <c r="AA14" i="18" a="1"/>
  <c r="AA14" i="18" s="1"/>
  <c r="L12" i="18" a="1"/>
  <c r="L12" i="18" s="1"/>
  <c r="AE10" i="18" a="1"/>
  <c r="AE10" i="18" s="1"/>
  <c r="K10" i="18" a="1"/>
  <c r="K10" i="18" s="1"/>
  <c r="N9" i="18" a="1"/>
  <c r="N9" i="18" s="1"/>
  <c r="N8" i="18" a="1"/>
  <c r="N8" i="18" s="1"/>
  <c r="AD47" i="18" a="1"/>
  <c r="AD47" i="18" s="1"/>
  <c r="G45" i="18" a="1"/>
  <c r="G45" i="18" s="1"/>
  <c r="AB43" i="18" a="1"/>
  <c r="AB43" i="18" s="1"/>
  <c r="AB41" i="18" a="1"/>
  <c r="AB41" i="18" s="1"/>
  <c r="P40" i="18" a="1"/>
  <c r="P40" i="18" s="1"/>
  <c r="AF39" i="18" a="1"/>
  <c r="AF39" i="18" s="1"/>
  <c r="X36" i="18" a="1"/>
  <c r="X36" i="18" s="1"/>
  <c r="O35" i="18" a="1"/>
  <c r="O35" i="18" s="1"/>
  <c r="AB34" i="18" a="1"/>
  <c r="AB34" i="18" s="1"/>
  <c r="G32" i="18" a="1"/>
  <c r="G32" i="18" s="1"/>
  <c r="L30" i="18" a="1"/>
  <c r="L30" i="18" s="1"/>
  <c r="AM28" i="18" a="1"/>
  <c r="AM28" i="18" s="1"/>
  <c r="J27" i="18" a="1"/>
  <c r="J27" i="18" s="1"/>
  <c r="H24" i="18" a="1"/>
  <c r="H24" i="18" s="1"/>
  <c r="P22" i="18" a="1"/>
  <c r="P22" i="18" s="1"/>
  <c r="K21" i="18" a="1"/>
  <c r="K21" i="18" s="1"/>
  <c r="L20" i="18" a="1"/>
  <c r="L20" i="18" s="1"/>
  <c r="I19" i="18" a="1"/>
  <c r="I19" i="18" s="1"/>
  <c r="X18" i="18" a="1"/>
  <c r="X18" i="18" s="1"/>
  <c r="Z17" i="18" a="1"/>
  <c r="Z17" i="18" s="1"/>
  <c r="Y16" i="18" a="1"/>
  <c r="Y16" i="18" s="1"/>
  <c r="H15" i="18" a="1"/>
  <c r="H15" i="18" s="1"/>
  <c r="K14" i="18" a="1"/>
  <c r="K14" i="18" s="1"/>
  <c r="K11" i="18" a="1"/>
  <c r="K11" i="18" s="1"/>
  <c r="AC9" i="18" a="1"/>
  <c r="AC9" i="18" s="1"/>
  <c r="AC47" i="18" a="1"/>
  <c r="AC47" i="18" s="1"/>
  <c r="P46" i="18" a="1"/>
  <c r="P46" i="18" s="1"/>
  <c r="AB45" i="18" a="1"/>
  <c r="AB45" i="18" s="1"/>
  <c r="AK42" i="18" a="1"/>
  <c r="AK42" i="18" s="1"/>
  <c r="U38" i="18" a="1"/>
  <c r="U38" i="18" s="1"/>
  <c r="I37" i="18" a="1"/>
  <c r="I37" i="18" s="1"/>
  <c r="Q33" i="18" a="1"/>
  <c r="Q33" i="18" s="1"/>
  <c r="AE30" i="18" a="1"/>
  <c r="AE30" i="18" s="1"/>
  <c r="R28" i="18" a="1"/>
  <c r="R28" i="18" s="1"/>
  <c r="AC27" i="18" a="1"/>
  <c r="AC27" i="18" s="1"/>
  <c r="X26" i="18" a="1"/>
  <c r="X26" i="18" s="1"/>
  <c r="P25" i="18" a="1"/>
  <c r="P25" i="18" s="1"/>
  <c r="Y17" i="18" a="1"/>
  <c r="Y17" i="18" s="1"/>
  <c r="H16" i="18" a="1"/>
  <c r="H16" i="18" s="1"/>
  <c r="Z14" i="18" a="1"/>
  <c r="Z14" i="18" s="1"/>
  <c r="I13" i="18" a="1"/>
  <c r="I13" i="18" s="1"/>
  <c r="AA11" i="18" a="1"/>
  <c r="AA11" i="18" s="1"/>
  <c r="J10" i="18" a="1"/>
  <c r="J10" i="18" s="1"/>
  <c r="M8" i="18" a="1"/>
  <c r="M8" i="18" s="1"/>
  <c r="AN46" i="18" a="1"/>
  <c r="AN46" i="18" s="1"/>
  <c r="Z43" i="18" a="1"/>
  <c r="Z43" i="18" s="1"/>
  <c r="AN31" i="18" a="1"/>
  <c r="AN31" i="18" s="1"/>
  <c r="Q28" i="18" a="1"/>
  <c r="Q28" i="18" s="1"/>
  <c r="AI25" i="18" a="1"/>
  <c r="AI25" i="18" s="1"/>
  <c r="Z24" i="18" a="1"/>
  <c r="Z24" i="18" s="1"/>
  <c r="V23" i="18" a="1"/>
  <c r="V23" i="18" s="1"/>
  <c r="X17" i="18" a="1"/>
  <c r="X17" i="18" s="1"/>
  <c r="AN16" i="18" a="1"/>
  <c r="AN16" i="18" s="1"/>
  <c r="G16" i="18" a="1"/>
  <c r="G16" i="18" s="1"/>
  <c r="Y14" i="18" a="1"/>
  <c r="Y14" i="18" s="1"/>
  <c r="H13" i="18" a="1"/>
  <c r="H13" i="18" s="1"/>
  <c r="Y11" i="18" a="1"/>
  <c r="Y11" i="18" s="1"/>
  <c r="I10" i="18" a="1"/>
  <c r="I10" i="18" s="1"/>
  <c r="K9" i="18" a="1"/>
  <c r="K9" i="18" s="1"/>
  <c r="Y47" i="18" a="1"/>
  <c r="Y47" i="18" s="1"/>
  <c r="K46" i="18" a="1"/>
  <c r="K46" i="18" s="1"/>
  <c r="N44" i="18" a="1"/>
  <c r="N44" i="18" s="1"/>
  <c r="Y43" i="18" a="1"/>
  <c r="Y43" i="18" s="1"/>
  <c r="AH42" i="18" a="1"/>
  <c r="AH42" i="18" s="1"/>
  <c r="AJ40" i="18" a="1"/>
  <c r="AJ40" i="18" s="1"/>
  <c r="X39" i="18" a="1"/>
  <c r="X39" i="18" s="1"/>
  <c r="R38" i="18" a="1"/>
  <c r="R38" i="18" s="1"/>
  <c r="AF35" i="18" a="1"/>
  <c r="AF35" i="18" s="1"/>
  <c r="AJ33" i="18" a="1"/>
  <c r="AJ33" i="18" s="1"/>
  <c r="J30" i="18" a="1"/>
  <c r="J30" i="18" s="1"/>
  <c r="AI28" i="18" a="1"/>
  <c r="AI28" i="18" s="1"/>
  <c r="H27" i="18" a="1"/>
  <c r="H27" i="18" s="1"/>
  <c r="AG25" i="18" a="1"/>
  <c r="AG25" i="18" s="1"/>
  <c r="U23" i="18" a="1"/>
  <c r="U23" i="18" s="1"/>
  <c r="N22" i="18" a="1"/>
  <c r="N22" i="18" s="1"/>
  <c r="Y21" i="18" a="1"/>
  <c r="Y21" i="18" s="1"/>
  <c r="F20" i="18" a="1"/>
  <c r="F20" i="18" s="1"/>
  <c r="X19" i="18" a="1"/>
  <c r="X19" i="18" s="1"/>
  <c r="U18" i="18" a="1"/>
  <c r="U18" i="18" s="1"/>
  <c r="AN17" i="18" a="1"/>
  <c r="AN17" i="18" s="1"/>
  <c r="AM16" i="18" a="1"/>
  <c r="AM16" i="18" s="1"/>
  <c r="F16" i="18" a="1"/>
  <c r="F16" i="18" s="1"/>
  <c r="X13" i="18" a="1"/>
  <c r="X13" i="18" s="1"/>
  <c r="Z12" i="18" a="1"/>
  <c r="Z12" i="18" s="1"/>
  <c r="X10" i="18" a="1"/>
  <c r="X10" i="18" s="1"/>
  <c r="AA8" i="18" a="1"/>
  <c r="AA8" i="18" s="1"/>
  <c r="Z45" i="18" a="1"/>
  <c r="Z45" i="18" s="1"/>
  <c r="AF44" i="18" a="1"/>
  <c r="AF44" i="18" s="1"/>
  <c r="M44" i="18" a="1"/>
  <c r="M44" i="18" s="1"/>
  <c r="AF47" i="18" a="1"/>
  <c r="AF47" i="18" s="1"/>
  <c r="I45" i="18" a="1"/>
  <c r="I45" i="18" s="1"/>
  <c r="R44" i="18" a="1"/>
  <c r="R44" i="18" s="1"/>
  <c r="Q42" i="18" a="1"/>
  <c r="Q42" i="18" s="1"/>
  <c r="AG41" i="18" a="1"/>
  <c r="AG41" i="18" s="1"/>
  <c r="V40" i="18" a="1"/>
  <c r="V40" i="18" s="1"/>
  <c r="AI39" i="18" a="1"/>
  <c r="AI39" i="18" s="1"/>
  <c r="I39" i="18" a="1"/>
  <c r="I39" i="18" s="1"/>
  <c r="M37" i="18" a="1"/>
  <c r="M37" i="18" s="1"/>
  <c r="H36" i="18" a="1"/>
  <c r="H36" i="18" s="1"/>
  <c r="Q35" i="18" a="1"/>
  <c r="Q35" i="18" s="1"/>
  <c r="AD34" i="18" a="1"/>
  <c r="AD34" i="18" s="1"/>
  <c r="AL30" i="18" a="1"/>
  <c r="AL30" i="18" s="1"/>
  <c r="N30" i="18" a="1"/>
  <c r="N30" i="18" s="1"/>
  <c r="AK27" i="18" a="1"/>
  <c r="AK27" i="18" s="1"/>
  <c r="L27" i="18" a="1"/>
  <c r="L27" i="18" s="1"/>
  <c r="AJ24" i="18" a="1"/>
  <c r="AJ24" i="18" s="1"/>
  <c r="L24" i="18" a="1"/>
  <c r="L24" i="18" s="1"/>
  <c r="R22" i="18" a="1"/>
  <c r="R22" i="18" s="1"/>
  <c r="AI21" i="18" a="1"/>
  <c r="AI21" i="18" s="1"/>
  <c r="Q21" i="18" a="1"/>
  <c r="Q21" i="18" s="1"/>
  <c r="AF20" i="18" a="1"/>
  <c r="AF20" i="18" s="1"/>
  <c r="AC19" i="18" a="1"/>
  <c r="AC19" i="18" s="1"/>
  <c r="L19" i="18" a="1"/>
  <c r="L19" i="18" s="1"/>
  <c r="AD18" i="18" a="1"/>
  <c r="AD18" i="18" s="1"/>
  <c r="I18" i="18" a="1"/>
  <c r="I18" i="18" s="1"/>
  <c r="L17" i="18" a="1"/>
  <c r="L17" i="18" s="1"/>
  <c r="AA16" i="18" a="1"/>
  <c r="AA16" i="18" s="1"/>
  <c r="AC15" i="18" a="1"/>
  <c r="AC15" i="18" s="1"/>
  <c r="M14" i="18" a="1"/>
  <c r="M14" i="18" s="1"/>
  <c r="L13" i="18" a="1"/>
  <c r="L13" i="18" s="1"/>
  <c r="AE12" i="18" a="1"/>
  <c r="AE12" i="18" s="1"/>
  <c r="N12" i="18" a="1"/>
  <c r="N12" i="18" s="1"/>
  <c r="M11" i="18" a="1"/>
  <c r="M11" i="18" s="1"/>
  <c r="P10" i="18" a="1"/>
  <c r="P10" i="18" s="1"/>
  <c r="AF9" i="18" a="1"/>
  <c r="AF9" i="18" s="1"/>
  <c r="J47" i="18" a="1"/>
  <c r="J47" i="18" s="1"/>
  <c r="V46" i="18" a="1"/>
  <c r="V46" i="18" s="1"/>
  <c r="AD45" i="18" a="1"/>
  <c r="AD45" i="18" s="1"/>
  <c r="AE43" i="18" a="1"/>
  <c r="AE43" i="18" s="1"/>
  <c r="H43" i="18" a="1"/>
  <c r="H43" i="18" s="1"/>
  <c r="P42" i="18" a="1"/>
  <c r="P42" i="18" s="1"/>
  <c r="AD41" i="18" a="1"/>
  <c r="AD41" i="18" s="1"/>
  <c r="J41" i="18" a="1"/>
  <c r="J41" i="18" s="1"/>
  <c r="U40" i="18" a="1"/>
  <c r="U40" i="18" s="1"/>
  <c r="AH39" i="18" a="1"/>
  <c r="AH39" i="18" s="1"/>
  <c r="W38" i="18" a="1"/>
  <c r="W38" i="18" s="1"/>
  <c r="AJ37" i="18" a="1"/>
  <c r="AJ37" i="18" s="1"/>
  <c r="AA36" i="18" a="1"/>
  <c r="AA36" i="18" s="1"/>
  <c r="G36" i="18" a="1"/>
  <c r="G36" i="18" s="1"/>
  <c r="F34" i="18" a="1"/>
  <c r="F34" i="18" s="1"/>
  <c r="S33" i="18" a="1"/>
  <c r="S33" i="18" s="1"/>
  <c r="AI32" i="18" a="1"/>
  <c r="AI32" i="18" s="1"/>
  <c r="J32" i="18" a="1"/>
  <c r="J32" i="18" s="1"/>
  <c r="W31" i="18" a="1"/>
  <c r="W31" i="18" s="1"/>
  <c r="AD29" i="18" a="1"/>
  <c r="AD29" i="18" s="1"/>
  <c r="F29" i="18" a="1"/>
  <c r="F29" i="18" s="1"/>
  <c r="T28" i="18" a="1"/>
  <c r="T28" i="18" s="1"/>
  <c r="AJ27" i="18" a="1"/>
  <c r="AJ27" i="18" s="1"/>
  <c r="AC26" i="18" a="1"/>
  <c r="AC26" i="18" s="1"/>
  <c r="H26" i="18" a="1"/>
  <c r="H26" i="18" s="1"/>
  <c r="S25" i="18" a="1"/>
  <c r="S25" i="18" s="1"/>
  <c r="F23" i="18" a="1"/>
  <c r="F23" i="18" s="1"/>
  <c r="AE20" i="18" a="1"/>
  <c r="AE20" i="18" s="1"/>
  <c r="K19" i="18" a="1"/>
  <c r="K19" i="18" s="1"/>
  <c r="AE13" i="18" a="1"/>
  <c r="AE13" i="18" s="1"/>
  <c r="AD11" i="18" a="1"/>
  <c r="AD11" i="18" s="1"/>
  <c r="O9" i="18" a="1"/>
  <c r="O9" i="18" s="1"/>
  <c r="I47" i="18" a="1"/>
  <c r="I47" i="18" s="1"/>
  <c r="AD43" i="18" a="1"/>
  <c r="AD43" i="18" s="1"/>
  <c r="AM40" i="18" a="1"/>
  <c r="AM40" i="18" s="1"/>
  <c r="H39" i="18" a="1"/>
  <c r="H39" i="18" s="1"/>
  <c r="AI35" i="18" a="1"/>
  <c r="AI35" i="18" s="1"/>
  <c r="AN33" i="18" a="1"/>
  <c r="AN33" i="18" s="1"/>
  <c r="AH21" i="18" a="1"/>
  <c r="AH21" i="18" s="1"/>
  <c r="AD20" i="18" a="1"/>
  <c r="AD20" i="18" s="1"/>
  <c r="J15" i="18" a="1"/>
  <c r="J15" i="18" s="1"/>
  <c r="AD9" i="18" a="1"/>
  <c r="AD9" i="18" s="1"/>
  <c r="G47" i="18" a="1"/>
  <c r="G47" i="18" s="1"/>
  <c r="G43" i="18" a="1"/>
  <c r="G43" i="18" s="1"/>
  <c r="J37" i="18" a="1"/>
  <c r="J37" i="18" s="1"/>
  <c r="I32" i="18" a="1"/>
  <c r="I32" i="18" s="1"/>
  <c r="AB29" i="18" a="1"/>
  <c r="AB29" i="18" s="1"/>
  <c r="AL25" i="18" a="1"/>
  <c r="AL25" i="18" s="1"/>
  <c r="AH24" i="18" a="1"/>
  <c r="AH24" i="18" s="1"/>
  <c r="AN22" i="18" a="1"/>
  <c r="AN22" i="18" s="1"/>
  <c r="J13" i="18" a="1"/>
  <c r="J13" i="18" s="1"/>
  <c r="AC11" i="18" a="1"/>
  <c r="AC11" i="18" s="1"/>
  <c r="AF8" i="18" a="1"/>
  <c r="AF8" i="18" s="1"/>
  <c r="F47" i="18" a="1"/>
  <c r="F47" i="18" s="1"/>
  <c r="P44" i="18" a="1"/>
  <c r="P44" i="18" s="1"/>
  <c r="AL40" i="18" a="1"/>
  <c r="AL40" i="18" s="1"/>
  <c r="G39" i="18" a="1"/>
  <c r="G39" i="18" s="1"/>
  <c r="AH35" i="18" a="1"/>
  <c r="AH35" i="18" s="1"/>
  <c r="AL33" i="18" a="1"/>
  <c r="AL33" i="18" s="1"/>
  <c r="Z29" i="18" a="1"/>
  <c r="Z29" i="18" s="1"/>
  <c r="Y26" i="18" a="1"/>
  <c r="Y26" i="18" s="1"/>
  <c r="AG24" i="18" a="1"/>
  <c r="AG24" i="18" s="1"/>
  <c r="X23" i="18" a="1"/>
  <c r="X23" i="18" s="1"/>
  <c r="AG21" i="18" a="1"/>
  <c r="AG21" i="18" s="1"/>
  <c r="AC20" i="18" a="1"/>
  <c r="AC20" i="18" s="1"/>
  <c r="AA19" i="18" a="1"/>
  <c r="AA19" i="18" s="1"/>
  <c r="G18" i="18" a="1"/>
  <c r="G18" i="18" s="1"/>
  <c r="AA15" i="18" a="1"/>
  <c r="AA15" i="18" s="1"/>
  <c r="Z13" i="18" a="1"/>
  <c r="Z13" i="18" s="1"/>
  <c r="AC8" i="18" a="1"/>
  <c r="AC8" i="18" s="1"/>
  <c r="N42" i="18" a="1"/>
  <c r="N42" i="18" s="1"/>
  <c r="AE37" i="18" a="1"/>
  <c r="AE37" i="18" s="1"/>
  <c r="AA32" i="18" a="1"/>
  <c r="AA32" i="18" s="1"/>
  <c r="U31" i="18" a="1"/>
  <c r="U31" i="18" s="1"/>
  <c r="AL28" i="18" a="1"/>
  <c r="AL28" i="18" s="1"/>
  <c r="AK25" i="18" a="1"/>
  <c r="AK25" i="18" s="1"/>
  <c r="AJ22" i="18" a="1"/>
  <c r="AJ22" i="18" s="1"/>
  <c r="F17" i="18" a="1"/>
  <c r="F17" i="18" s="1"/>
  <c r="J14" i="18" a="1"/>
  <c r="J14" i="18" s="1"/>
  <c r="AD10" i="18" a="1"/>
  <c r="AD10" i="18" s="1"/>
  <c r="AB47" i="18" a="1"/>
  <c r="AB47" i="18" s="1"/>
  <c r="O46" i="18" a="1"/>
  <c r="O46" i="18" s="1"/>
  <c r="O44" i="18" a="1"/>
  <c r="O44" i="18" s="1"/>
  <c r="AA43" i="18" a="1"/>
  <c r="AA43" i="18" s="1"/>
  <c r="AJ42" i="18" a="1"/>
  <c r="AJ42" i="18" s="1"/>
  <c r="AA41" i="18" a="1"/>
  <c r="AA41" i="18" s="1"/>
  <c r="AK40" i="18" a="1"/>
  <c r="AK40" i="18" s="1"/>
  <c r="O40" i="18" a="1"/>
  <c r="O40" i="18" s="1"/>
  <c r="Z39" i="18" a="1"/>
  <c r="Z39" i="18" s="1"/>
  <c r="F39" i="18" a="1"/>
  <c r="F39" i="18" s="1"/>
  <c r="W36" i="18" a="1"/>
  <c r="W36" i="18" s="1"/>
  <c r="AG35" i="18" a="1"/>
  <c r="AG35" i="18" s="1"/>
  <c r="N35" i="18" a="1"/>
  <c r="N35" i="18" s="1"/>
  <c r="X34" i="18" a="1"/>
  <c r="X34" i="18" s="1"/>
  <c r="AK33" i="18" a="1"/>
  <c r="AK33" i="18" s="1"/>
  <c r="Z32" i="18" a="1"/>
  <c r="Z32" i="18" s="1"/>
  <c r="F32" i="18" a="1"/>
  <c r="F32" i="18" s="1"/>
  <c r="AC30" i="18" a="1"/>
  <c r="AC30" i="18" s="1"/>
  <c r="K30" i="18" a="1"/>
  <c r="K30" i="18" s="1"/>
  <c r="V29" i="18" a="1"/>
  <c r="V29" i="18" s="1"/>
  <c r="I27" i="18" a="1"/>
  <c r="I27" i="18" s="1"/>
  <c r="W26" i="18" a="1"/>
  <c r="W26" i="18" s="1"/>
  <c r="G24" i="18" a="1"/>
  <c r="G24" i="18" s="1"/>
  <c r="W23" i="18" a="1"/>
  <c r="W23" i="18" s="1"/>
  <c r="AI22" i="18" a="1"/>
  <c r="AI22" i="18" s="1"/>
  <c r="O22" i="18" a="1"/>
  <c r="O22" i="18" s="1"/>
  <c r="AF21" i="18" a="1"/>
  <c r="AF21" i="18" s="1"/>
  <c r="J21" i="18" a="1"/>
  <c r="J21" i="18" s="1"/>
  <c r="AB20" i="18" a="1"/>
  <c r="AB20" i="18" s="1"/>
  <c r="G20" i="18" a="1"/>
  <c r="G20" i="18" s="1"/>
  <c r="H19" i="18" a="1"/>
  <c r="H19" i="18" s="1"/>
  <c r="V18" i="18" a="1"/>
  <c r="V18" i="18" s="1"/>
  <c r="F18" i="18" a="1"/>
  <c r="F18" i="18" s="1"/>
  <c r="X16" i="18" a="1"/>
  <c r="X16" i="18" s="1"/>
  <c r="F15" i="18" a="1"/>
  <c r="F15" i="18" s="1"/>
  <c r="I14" i="18" a="1"/>
  <c r="I14" i="18" s="1"/>
  <c r="Y13" i="18" a="1"/>
  <c r="Y13" i="18" s="1"/>
  <c r="AA12" i="18" a="1"/>
  <c r="AA12" i="18" s="1"/>
  <c r="H12" i="18" a="1"/>
  <c r="H12" i="18" s="1"/>
  <c r="J11" i="18" a="1"/>
  <c r="J11" i="18" s="1"/>
  <c r="AC10" i="18" a="1"/>
  <c r="AC10" i="18" s="1"/>
  <c r="AB9" i="18" a="1"/>
  <c r="AB9" i="18" s="1"/>
  <c r="AB8" i="18" a="1"/>
  <c r="AB8" i="18" s="1"/>
  <c r="AA45" i="18" a="1"/>
  <c r="AA45" i="18" s="1"/>
  <c r="AG44" i="18" a="1"/>
  <c r="AG44" i="18" s="1"/>
  <c r="M42" i="18" a="1"/>
  <c r="M42" i="18" s="1"/>
  <c r="Z41" i="18" a="1"/>
  <c r="Z41" i="18" s="1"/>
  <c r="AM38" i="18" a="1"/>
  <c r="AM38" i="18" s="1"/>
  <c r="AD37" i="18" a="1"/>
  <c r="AD37" i="18" s="1"/>
  <c r="H37" i="18" a="1"/>
  <c r="H37" i="18" s="1"/>
  <c r="M35" i="18" a="1"/>
  <c r="M35" i="18" s="1"/>
  <c r="U34" i="18" a="1"/>
  <c r="U34" i="18" s="1"/>
  <c r="P33" i="18" a="1"/>
  <c r="P33" i="18" s="1"/>
  <c r="Y32" i="18" a="1"/>
  <c r="Y32" i="18" s="1"/>
  <c r="T31" i="18" a="1"/>
  <c r="T31" i="18" s="1"/>
  <c r="AB30" i="18" a="1"/>
  <c r="AB30" i="18" s="1"/>
  <c r="U29" i="18" a="1"/>
  <c r="U29" i="18" s="1"/>
  <c r="AB27" i="18" a="1"/>
  <c r="AB27" i="18" s="1"/>
  <c r="O25" i="18" a="1"/>
  <c r="O25" i="18" s="1"/>
  <c r="W15" i="18" a="1"/>
  <c r="W15" i="18" s="1"/>
  <c r="AH46" i="18" a="1"/>
  <c r="AH46" i="18" s="1"/>
  <c r="N40" i="18" a="1"/>
  <c r="N40" i="18" s="1"/>
  <c r="J35" i="18" a="1"/>
  <c r="J35" i="18" s="1"/>
  <c r="N31" i="18" a="1"/>
  <c r="N31" i="18" s="1"/>
  <c r="T29" i="18" a="1"/>
  <c r="T29" i="18" s="1"/>
  <c r="S26" i="18" a="1"/>
  <c r="S26" i="18" s="1"/>
  <c r="F24" i="18" a="1"/>
  <c r="F24" i="18" s="1"/>
  <c r="AF22" i="18" a="1"/>
  <c r="AF22" i="18" s="1"/>
  <c r="I21" i="18" a="1"/>
  <c r="I21" i="18" s="1"/>
  <c r="G19" i="18" a="1"/>
  <c r="G19" i="18" s="1"/>
  <c r="W16" i="18" a="1"/>
  <c r="W16" i="18" s="1"/>
  <c r="AN14" i="18" a="1"/>
  <c r="AN14" i="18" s="1"/>
  <c r="G12" i="18" a="1"/>
  <c r="G12" i="18" s="1"/>
  <c r="I11" i="18" a="1"/>
  <c r="I11" i="18" s="1"/>
  <c r="AA9" i="18" a="1"/>
  <c r="AA9" i="18" s="1"/>
  <c r="J8" i="18" a="1"/>
  <c r="J8" i="18" s="1"/>
  <c r="AL13" i="18" a="1"/>
  <c r="AL13" i="18" s="1"/>
  <c r="X24" i="18" a="1"/>
  <c r="X24" i="18" s="1"/>
  <c r="Z30" i="18" a="1"/>
  <c r="Z30" i="18" s="1"/>
  <c r="G33" i="18" a="1"/>
  <c r="G33" i="18" s="1"/>
  <c r="F37" i="18" a="1"/>
  <c r="F37" i="18" s="1"/>
  <c r="AH40" i="18" a="1"/>
  <c r="AH40" i="18" s="1"/>
  <c r="K42" i="18" a="1"/>
  <c r="K42" i="18" s="1"/>
  <c r="F9" i="18" a="1"/>
  <c r="F9" i="18" s="1"/>
  <c r="G10" i="18" a="1"/>
  <c r="G10" i="18" s="1"/>
  <c r="H11" i="18" a="1"/>
  <c r="H11" i="18" s="1"/>
  <c r="AM14" i="18" a="1"/>
  <c r="AM14" i="18" s="1"/>
  <c r="AL18" i="18" a="1"/>
  <c r="AL18" i="18" s="1"/>
  <c r="AN19" i="18" a="1"/>
  <c r="AN19" i="18" s="1"/>
  <c r="L22" i="18" a="1"/>
  <c r="L22" i="18" s="1"/>
  <c r="AF25" i="18" a="1"/>
  <c r="AF25" i="18" s="1"/>
  <c r="S29" i="18" a="1"/>
  <c r="S29" i="18" s="1"/>
  <c r="AD35" i="18" a="1"/>
  <c r="AD35" i="18" s="1"/>
  <c r="V39" i="18" a="1"/>
  <c r="V39" i="18" s="1"/>
  <c r="K45" i="18" a="1"/>
  <c r="K45" i="18" s="1"/>
  <c r="H10" i="18" a="1"/>
  <c r="H10" i="18" s="1"/>
  <c r="G13" i="18" a="1"/>
  <c r="G13" i="18" s="1"/>
  <c r="AN15" i="18" a="1"/>
  <c r="AN15" i="18" s="1"/>
  <c r="M22" i="18" a="1"/>
  <c r="M22" i="18" s="1"/>
  <c r="T23" i="18" a="1"/>
  <c r="T23" i="18" s="1"/>
  <c r="P28" i="18" a="1"/>
  <c r="P28" i="18" s="1"/>
  <c r="AK31" i="18" a="1"/>
  <c r="AK31" i="18" s="1"/>
  <c r="T34" i="18" a="1"/>
  <c r="T34" i="18" s="1"/>
  <c r="G37" i="18" a="1"/>
  <c r="G37" i="18" s="1"/>
  <c r="W39" i="18" a="1"/>
  <c r="W39" i="18" s="1"/>
  <c r="L42" i="18" a="1"/>
  <c r="L42" i="18" s="1"/>
  <c r="Q9" i="18" a="1"/>
  <c r="Q9" i="18" s="1"/>
  <c r="P11" i="18" a="1"/>
  <c r="P11" i="18" s="1"/>
  <c r="AC23" i="18" a="1"/>
  <c r="AC23" i="18" s="1"/>
  <c r="J26" i="18" a="1"/>
  <c r="J26" i="18" s="1"/>
  <c r="AG29" i="18" a="1"/>
  <c r="AG29" i="18" s="1"/>
  <c r="AH34" i="18" a="1"/>
  <c r="AH34" i="18" s="1"/>
  <c r="T37" i="18" a="1"/>
  <c r="T37" i="18" s="1"/>
  <c r="AI43" i="18" a="1"/>
  <c r="AI43" i="18" s="1"/>
  <c r="T8" i="18" a="1"/>
  <c r="T8" i="18" s="1"/>
  <c r="S10" i="18" a="1"/>
  <c r="S10" i="18" s="1"/>
  <c r="O14" i="18" a="1"/>
  <c r="O14" i="18" s="1"/>
  <c r="N17" i="18" a="1"/>
  <c r="N17" i="18" s="1"/>
  <c r="P18" i="18" a="1"/>
  <c r="P18" i="18" s="1"/>
  <c r="Q20" i="18" a="1"/>
  <c r="Q20" i="18" s="1"/>
  <c r="T21" i="18" a="1"/>
  <c r="T21" i="18" s="1"/>
  <c r="Z22" i="18" a="1"/>
  <c r="Z22" i="18" s="1"/>
  <c r="Y28" i="18" a="1"/>
  <c r="Y28" i="18" s="1"/>
  <c r="AJ34" i="18" a="1"/>
  <c r="AJ34" i="18" s="1"/>
  <c r="AK39" i="18" a="1"/>
  <c r="AK39" i="18" s="1"/>
  <c r="Z42" i="18" a="1"/>
  <c r="Z42" i="18" s="1"/>
  <c r="AD46" i="18" a="1"/>
  <c r="AD46" i="18" s="1"/>
  <c r="R9" i="18" a="1"/>
  <c r="R9" i="18" s="1"/>
  <c r="P15" i="18" a="1"/>
  <c r="P15" i="18" s="1"/>
  <c r="O17" i="18" a="1"/>
  <c r="O17" i="18" s="1"/>
  <c r="K26" i="18" a="1"/>
  <c r="K26" i="18" s="1"/>
  <c r="U27" i="18" a="1"/>
  <c r="U27" i="18" s="1"/>
  <c r="AH29" i="18" a="1"/>
  <c r="AH29" i="18" s="1"/>
  <c r="H31" i="18" a="1"/>
  <c r="H31" i="18" s="1"/>
  <c r="X33" i="18" a="1"/>
  <c r="X33" i="18" s="1"/>
  <c r="U37" i="18" a="1"/>
  <c r="U37" i="18" s="1"/>
  <c r="AA38" i="18" a="1"/>
  <c r="AA38" i="18" s="1"/>
  <c r="AJ43" i="18" a="1"/>
  <c r="AJ43" i="18" s="1"/>
  <c r="U8" i="18" a="1"/>
  <c r="U8" i="18" s="1"/>
  <c r="T10" i="18" a="1"/>
  <c r="T10" i="18" s="1"/>
  <c r="P14" i="18" a="1"/>
  <c r="P14" i="18" s="1"/>
  <c r="P17" i="18" a="1"/>
  <c r="P17" i="18" s="1"/>
  <c r="P19" i="18" a="1"/>
  <c r="P19" i="18" s="1"/>
  <c r="U21" i="18" a="1"/>
  <c r="U21" i="18" s="1"/>
  <c r="AM24" i="18" a="1"/>
  <c r="AM24" i="18" s="1"/>
  <c r="Z28" i="18" a="1"/>
  <c r="Z28" i="18" s="1"/>
  <c r="Y33" i="18" a="1"/>
  <c r="Y33" i="18" s="1"/>
  <c r="K36" i="18" a="1"/>
  <c r="K36" i="18" s="1"/>
  <c r="AC38" i="18" a="1"/>
  <c r="AC38" i="18" s="1"/>
  <c r="AL39" i="18" a="1"/>
  <c r="AL39" i="18" s="1"/>
  <c r="O41" i="18" a="1"/>
  <c r="O41" i="18" s="1"/>
  <c r="AA42" i="18" a="1"/>
  <c r="AA42" i="18" s="1"/>
  <c r="AK43" i="18" a="1"/>
  <c r="AK43" i="18" s="1"/>
  <c r="AF46" i="18" a="1"/>
  <c r="AF46" i="18" s="1"/>
  <c r="V27" i="18" a="1"/>
  <c r="V27" i="18" s="1"/>
  <c r="AI29" i="18" a="1"/>
  <c r="AI29" i="18" s="1"/>
  <c r="I31" i="18" a="1"/>
  <c r="I31" i="18" s="1"/>
  <c r="AD33" i="18" a="1"/>
  <c r="AD33" i="18" s="1"/>
  <c r="AH38" i="18" a="1"/>
  <c r="AH38" i="18" s="1"/>
  <c r="F44" i="18" a="1"/>
  <c r="F44" i="18" s="1"/>
  <c r="U10" i="18" a="1"/>
  <c r="U10" i="18" s="1"/>
  <c r="Q14" i="18" a="1"/>
  <c r="Q14" i="18" s="1"/>
  <c r="Q17" i="18" a="1"/>
  <c r="Q17" i="18" s="1"/>
  <c r="R18" i="18" a="1"/>
  <c r="R18" i="18" s="1"/>
  <c r="S20" i="18" a="1"/>
  <c r="S20" i="18" s="1"/>
  <c r="AB22" i="18" a="1"/>
  <c r="AB22" i="18" s="1"/>
  <c r="AN24" i="18" a="1"/>
  <c r="AN24" i="18" s="1"/>
  <c r="O26" i="18" a="1"/>
  <c r="O26" i="18" s="1"/>
  <c r="AE28" i="18" a="1"/>
  <c r="AE28" i="18" s="1"/>
  <c r="L36" i="18" a="1"/>
  <c r="L36" i="18" s="1"/>
  <c r="G40" i="18" a="1"/>
  <c r="G40" i="18" s="1"/>
  <c r="P41" i="18" a="1"/>
  <c r="P41" i="18" s="1"/>
  <c r="AC42" i="18" a="1"/>
  <c r="AC42" i="18" s="1"/>
  <c r="AG46" i="18" a="1"/>
  <c r="AG46" i="18" s="1"/>
  <c r="X8" i="18" a="1"/>
  <c r="X8" i="18" s="1"/>
  <c r="T12" i="18" a="1"/>
  <c r="T12" i="18" s="1"/>
  <c r="T20" i="18" a="1"/>
  <c r="T20" i="18" s="1"/>
  <c r="AK23" i="18" a="1"/>
  <c r="AK23" i="18" s="1"/>
  <c r="W27" i="18" a="1"/>
  <c r="W27" i="18" s="1"/>
  <c r="AJ29" i="18" a="1"/>
  <c r="AJ29" i="18" s="1"/>
  <c r="V32" i="18" a="1"/>
  <c r="V32" i="18" s="1"/>
  <c r="AE33" i="18" a="1"/>
  <c r="AE33" i="18" s="1"/>
  <c r="W37" i="18" a="1"/>
  <c r="W37" i="18" s="1"/>
  <c r="AI38" i="18" a="1"/>
  <c r="AI38" i="18" s="1"/>
  <c r="G44" i="18" a="1"/>
  <c r="G44" i="18" s="1"/>
  <c r="W45" i="18" a="1"/>
  <c r="W45" i="18" s="1"/>
  <c r="Y8" i="18" a="1"/>
  <c r="Y8" i="18" s="1"/>
  <c r="S15" i="18" a="1"/>
  <c r="S15" i="18" s="1"/>
  <c r="S18" i="18" a="1"/>
  <c r="S18" i="18" s="1"/>
  <c r="U20" i="18" a="1"/>
  <c r="U20" i="18" s="1"/>
  <c r="W21" i="18" a="1"/>
  <c r="W21" i="18" s="1"/>
  <c r="AC22" i="18" a="1"/>
  <c r="AC22" i="18" s="1"/>
  <c r="Q26" i="18" a="1"/>
  <c r="Q26" i="18" s="1"/>
  <c r="AM34" i="18" a="1"/>
  <c r="AM34" i="18" s="1"/>
  <c r="AJ38" i="18" a="1"/>
  <c r="AJ38" i="18" s="1"/>
  <c r="Q41" i="18" a="1"/>
  <c r="Q41" i="18" s="1"/>
  <c r="W11" i="18" a="1"/>
  <c r="W11" i="18" s="1"/>
  <c r="W14" i="18" a="1"/>
  <c r="W14" i="18" s="1"/>
  <c r="V19" i="18" a="1"/>
  <c r="V19" i="18" s="1"/>
  <c r="M25" i="18" a="1"/>
  <c r="M25" i="18" s="1"/>
  <c r="X27" i="18" a="1"/>
  <c r="X27" i="18" s="1"/>
  <c r="H30" i="18" a="1"/>
  <c r="H30" i="18" s="1"/>
  <c r="L31" i="18" a="1"/>
  <c r="L31" i="18" s="1"/>
  <c r="AF33" i="18" a="1"/>
  <c r="AF33" i="18" s="1"/>
  <c r="O36" i="18" a="1"/>
  <c r="O36" i="18" s="1"/>
  <c r="Y37" i="18" a="1"/>
  <c r="Y37" i="18" s="1"/>
  <c r="AK38" i="18" a="1"/>
  <c r="AK38" i="18" s="1"/>
  <c r="I44" i="18" a="1"/>
  <c r="I44" i="18" s="1"/>
  <c r="AH45" i="18" a="1"/>
  <c r="AH45" i="18" s="1"/>
  <c r="M47" i="18" a="1"/>
  <c r="M47" i="18" s="1"/>
  <c r="Z8" i="18" a="1"/>
  <c r="Z8" i="18" s="1"/>
  <c r="Z9" i="18" a="1"/>
  <c r="Z9" i="18" s="1"/>
  <c r="W10" i="18" a="1"/>
  <c r="W10" i="18" s="1"/>
  <c r="W19" i="18" a="1"/>
  <c r="W19" i="18" s="1"/>
  <c r="X21" i="18" a="1"/>
  <c r="X21" i="18" s="1"/>
  <c r="AD22" i="18" a="1"/>
  <c r="AD22" i="18" s="1"/>
  <c r="R26" i="18" a="1"/>
  <c r="R26" i="18" s="1"/>
  <c r="Z27" i="18" a="1"/>
  <c r="Z27" i="18" s="1"/>
  <c r="I30" i="18" a="1"/>
  <c r="I30" i="18" s="1"/>
  <c r="M31" i="18" a="1"/>
  <c r="M31" i="18" s="1"/>
  <c r="H35" i="18" a="1"/>
  <c r="H35" i="18" s="1"/>
  <c r="M40" i="18" a="1"/>
  <c r="M40" i="18" s="1"/>
  <c r="AE42" i="18" a="1"/>
  <c r="AE42" i="18" s="1"/>
  <c r="L44" i="18" a="1"/>
  <c r="L44" i="18" s="1"/>
  <c r="X11" i="18" a="1"/>
  <c r="X11" i="18" s="1"/>
  <c r="W13" i="18" a="1"/>
  <c r="W13" i="18" s="1"/>
  <c r="V15" i="18" a="1"/>
  <c r="V15" i="18" s="1"/>
  <c r="AE22" i="18" a="1"/>
  <c r="AE22" i="18" s="1"/>
  <c r="N25" i="18" a="1"/>
  <c r="N25" i="18" s="1"/>
  <c r="AH28" i="18" a="1"/>
  <c r="AH28" i="18" s="1"/>
  <c r="AI33" i="18" a="1"/>
  <c r="AI33" i="18" s="1"/>
  <c r="P36" i="18" a="1"/>
  <c r="P36" i="18" s="1"/>
  <c r="AL38" i="18" a="1"/>
  <c r="AL38" i="18" s="1"/>
  <c r="U41" i="18" a="1"/>
  <c r="U41" i="18" s="1"/>
  <c r="AF16" i="18" a="1"/>
  <c r="AF16" i="18" s="1"/>
  <c r="I23" i="18" a="1"/>
  <c r="I23" i="18" s="1"/>
  <c r="W25" i="18" a="1"/>
  <c r="W25" i="18" s="1"/>
  <c r="AE26" i="18" a="1"/>
  <c r="AE26" i="18" s="1"/>
  <c r="AL32" i="18" a="1"/>
  <c r="AL32" i="18" s="1"/>
  <c r="AD36" i="18" a="1"/>
  <c r="AD36" i="18" s="1"/>
  <c r="G38" i="18" a="1"/>
  <c r="G38" i="18" s="1"/>
  <c r="P39" i="18" a="1"/>
  <c r="P39" i="18" s="1"/>
  <c r="L43" i="18" a="1"/>
  <c r="L43" i="18" s="1"/>
  <c r="F46" i="18" a="1"/>
  <c r="F46" i="18" s="1"/>
  <c r="AI11" i="18" a="1"/>
  <c r="AI11" i="18" s="1"/>
  <c r="AG12" i="18" a="1"/>
  <c r="AG12" i="18" s="1"/>
  <c r="AH13" i="18" a="1"/>
  <c r="AH13" i="18" s="1"/>
  <c r="AF14" i="18" a="1"/>
  <c r="AF14" i="18" s="1"/>
  <c r="AF18" i="18" a="1"/>
  <c r="AF18" i="18" s="1"/>
  <c r="AI19" i="18" a="1"/>
  <c r="AI19" i="18" s="1"/>
  <c r="AH20" i="18" a="1"/>
  <c r="AH20" i="18" s="1"/>
  <c r="AL21" i="18" a="1"/>
  <c r="AL21" i="18" s="1"/>
  <c r="X25" i="18" a="1"/>
  <c r="X25" i="18" s="1"/>
  <c r="AN27" i="18" a="1"/>
  <c r="AN27" i="18" s="1"/>
  <c r="P30" i="18" a="1"/>
  <c r="P30" i="18" s="1"/>
  <c r="AA31" i="18" a="1"/>
  <c r="AA31" i="18" s="1"/>
  <c r="N34" i="18" a="1"/>
  <c r="N34" i="18" s="1"/>
  <c r="S35" i="18" a="1"/>
  <c r="S35" i="18" s="1"/>
  <c r="R39" i="18" a="1"/>
  <c r="R39" i="18" s="1"/>
  <c r="X40" i="18" a="1"/>
  <c r="X40" i="18" s="1"/>
  <c r="AI41" i="18" a="1"/>
  <c r="AI41" i="18" s="1"/>
  <c r="AB44" i="18" a="1"/>
  <c r="AB44" i="18" s="1"/>
  <c r="U47" i="18" a="1"/>
  <c r="U47" i="18" s="1"/>
  <c r="AL8" i="18" a="1"/>
  <c r="AL8" i="18" s="1"/>
  <c r="AL9" i="18" a="1"/>
  <c r="AL9" i="18" s="1"/>
  <c r="AI10" i="18" a="1"/>
  <c r="AI10" i="18" s="1"/>
  <c r="AI13" i="18" a="1"/>
  <c r="AI13" i="18" s="1"/>
  <c r="AE17" i="18" a="1"/>
  <c r="AE17" i="18" s="1"/>
  <c r="J23" i="18" a="1"/>
  <c r="J23" i="18" s="1"/>
  <c r="S24" i="18" a="1"/>
  <c r="S24" i="18" s="1"/>
  <c r="AF26" i="18" a="1"/>
  <c r="AF26" i="18" s="1"/>
  <c r="M29" i="18" a="1"/>
  <c r="M29" i="18" s="1"/>
  <c r="W30" i="18" a="1"/>
  <c r="W30" i="18" s="1"/>
  <c r="AB31" i="18" a="1"/>
  <c r="AB31" i="18" s="1"/>
  <c r="AM32" i="18" a="1"/>
  <c r="AM32" i="18" s="1"/>
  <c r="Y35" i="18" a="1"/>
  <c r="Y35" i="18" s="1"/>
  <c r="AE36" i="18" a="1"/>
  <c r="AE36" i="18" s="1"/>
  <c r="H38" i="18" a="1"/>
  <c r="H38" i="18" s="1"/>
  <c r="M43" i="18" a="1"/>
  <c r="M43" i="18" s="1"/>
  <c r="G46" i="18" a="1"/>
  <c r="G46" i="18" s="1"/>
  <c r="AJ11" i="18" a="1"/>
  <c r="AJ11" i="18" s="1"/>
  <c r="AH12" i="18" a="1"/>
  <c r="AH12" i="18" s="1"/>
  <c r="AJ14" i="18" a="1"/>
  <c r="AJ14" i="18" s="1"/>
  <c r="AH15" i="18" a="1"/>
  <c r="AH15" i="18" s="1"/>
  <c r="AG18" i="18" a="1"/>
  <c r="AG18" i="18" s="1"/>
  <c r="AJ19" i="18" a="1"/>
  <c r="AJ19" i="18" s="1"/>
  <c r="AM21" i="18" a="1"/>
  <c r="AM21" i="18" s="1"/>
  <c r="T24" i="18" a="1"/>
  <c r="T24" i="18" s="1"/>
  <c r="AB25" i="18" a="1"/>
  <c r="AB25" i="18" s="1"/>
  <c r="F28" i="18" a="1"/>
  <c r="F28" i="18" s="1"/>
  <c r="AC31" i="18" a="1"/>
  <c r="AC31" i="18" s="1"/>
  <c r="O34" i="18" a="1"/>
  <c r="O34" i="18" s="1"/>
  <c r="S39" i="18" a="1"/>
  <c r="S39" i="18" s="1"/>
  <c r="AB40" i="18" a="1"/>
  <c r="AB40" i="18" s="1"/>
  <c r="AJ41" i="18" a="1"/>
  <c r="AJ41" i="18" s="1"/>
  <c r="AC44" i="18" a="1"/>
  <c r="AC44" i="18" s="1"/>
  <c r="W47" i="18" a="1"/>
  <c r="W47" i="18" s="1"/>
  <c r="AM8" i="18" a="1"/>
  <c r="AM8" i="18" s="1"/>
  <c r="AM9" i="18" a="1"/>
  <c r="AM9" i="18" s="1"/>
  <c r="AJ10" i="18" a="1"/>
  <c r="AJ10" i="18" s="1"/>
  <c r="AJ13" i="18" a="1"/>
  <c r="AJ13" i="18" s="1"/>
  <c r="AI16" i="18" a="1"/>
  <c r="AI16" i="18" s="1"/>
  <c r="AF17" i="18" a="1"/>
  <c r="AF17" i="18" s="1"/>
  <c r="U24" i="18" a="1"/>
  <c r="U24" i="18" s="1"/>
  <c r="AC25" i="18" a="1"/>
  <c r="AC25" i="18" s="1"/>
  <c r="AG26" i="18" a="1"/>
  <c r="AG26" i="18" s="1"/>
  <c r="P29" i="18" a="1"/>
  <c r="P29" i="18" s="1"/>
  <c r="X30" i="18" a="1"/>
  <c r="X30" i="18" s="1"/>
  <c r="AN32" i="18" a="1"/>
  <c r="AN32" i="18" s="1"/>
  <c r="AG36" i="18" a="1"/>
  <c r="AG36" i="18" s="1"/>
  <c r="I38" i="18" a="1"/>
  <c r="I38" i="18" s="1"/>
  <c r="P43" i="18" a="1"/>
  <c r="P43" i="18" s="1"/>
  <c r="H46" i="18" a="1"/>
  <c r="H46" i="18" s="1"/>
  <c r="X47" i="18" a="1"/>
  <c r="X47" i="18" s="1"/>
  <c r="A9" i="13" l="1"/>
  <c r="A8" i="13" s="1"/>
  <c r="F8" i="13" s="1" a="1"/>
  <c r="F8" i="13" s="1"/>
  <c r="G44" i="13" l="1" a="1"/>
  <c r="G44" i="13" s="1"/>
  <c r="T44" i="13" a="1"/>
  <c r="T44" i="13" s="1"/>
  <c r="L45" i="13" a="1"/>
  <c r="L45" i="13" s="1"/>
  <c r="Y45" i="13" a="1"/>
  <c r="Y45" i="13" s="1"/>
  <c r="Q46" i="13" a="1"/>
  <c r="Q46" i="13" s="1"/>
  <c r="AD46" i="13" a="1"/>
  <c r="AD46" i="13" s="1"/>
  <c r="AL45" i="13" a="1"/>
  <c r="AL45" i="13" s="1"/>
  <c r="AE46" i="13" a="1"/>
  <c r="AE46" i="13" s="1"/>
  <c r="R46" i="13" a="1"/>
  <c r="R46" i="13" s="1"/>
  <c r="AG46" i="13" a="1"/>
  <c r="AG46" i="13" s="1"/>
  <c r="K44" i="13" a="1"/>
  <c r="K44" i="13" s="1"/>
  <c r="AH46" i="13" a="1"/>
  <c r="AH46" i="13" s="1"/>
  <c r="X44" i="13" a="1"/>
  <c r="X44" i="13" s="1"/>
  <c r="AC45" i="13" a="1"/>
  <c r="AC45" i="13" s="1"/>
  <c r="Y44" i="13" a="1"/>
  <c r="Y44" i="13" s="1"/>
  <c r="AD45" i="13" a="1"/>
  <c r="AD45" i="13" s="1"/>
  <c r="M44" i="13" a="1"/>
  <c r="M44" i="13" s="1"/>
  <c r="R45" i="13" a="1"/>
  <c r="R45" i="13" s="1"/>
  <c r="AJ46" i="13" a="1"/>
  <c r="AJ46" i="13" s="1"/>
  <c r="AE45" i="13" a="1"/>
  <c r="AE45" i="13" s="1"/>
  <c r="AF45" i="13" a="1"/>
  <c r="AF45" i="13" s="1"/>
  <c r="AK46" i="13" a="1"/>
  <c r="AK46" i="13" s="1"/>
  <c r="AB44" i="13" a="1"/>
  <c r="AB44" i="13" s="1"/>
  <c r="AG45" i="13" a="1"/>
  <c r="AG45" i="13" s="1"/>
  <c r="Y46" i="13" a="1"/>
  <c r="Y46" i="13" s="1"/>
  <c r="H45" i="13" a="1"/>
  <c r="H45" i="13" s="1"/>
  <c r="Z46" i="13" a="1"/>
  <c r="Z46" i="13" s="1"/>
  <c r="AH45" i="13" a="1"/>
  <c r="AH45" i="13" s="1"/>
  <c r="Q44" i="13" a="1"/>
  <c r="Q44" i="13" s="1"/>
  <c r="J45" i="13" a="1"/>
  <c r="J45" i="13" s="1"/>
  <c r="R44" i="13" a="1"/>
  <c r="R44" i="13" s="1"/>
  <c r="S44" i="13" a="1"/>
  <c r="S44" i="13" s="1"/>
  <c r="AK45" i="13" a="1"/>
  <c r="AK45" i="13" s="1"/>
  <c r="H44" i="13" a="1"/>
  <c r="H44" i="13" s="1"/>
  <c r="AH44" i="13" a="1"/>
  <c r="AH44" i="13" s="1"/>
  <c r="M45" i="13" a="1"/>
  <c r="M45" i="13" s="1"/>
  <c r="I46" i="13" a="1"/>
  <c r="I46" i="13" s="1"/>
  <c r="W46" i="13" a="1"/>
  <c r="W46" i="13" s="1"/>
  <c r="AA44" i="13" a="1"/>
  <c r="AA44" i="13" s="1"/>
  <c r="AL46" i="13" a="1"/>
  <c r="AL46" i="13" s="1"/>
  <c r="AM46" i="13" a="1"/>
  <c r="AM46" i="13" s="1"/>
  <c r="V45" i="13" a="1"/>
  <c r="V45" i="13" s="1"/>
  <c r="O46" i="13" a="1"/>
  <c r="O46" i="13" s="1"/>
  <c r="AC46" i="13" a="1"/>
  <c r="AC46" i="13" s="1"/>
  <c r="U44" i="13" a="1"/>
  <c r="U44" i="13" s="1"/>
  <c r="Z45" i="13" a="1"/>
  <c r="Z45" i="13" s="1"/>
  <c r="AB45" i="13" a="1"/>
  <c r="AB45" i="13" s="1"/>
  <c r="U46" i="13" a="1"/>
  <c r="U46" i="13" s="1"/>
  <c r="H46" i="13" a="1"/>
  <c r="H46" i="13" s="1"/>
  <c r="Z44" i="13" a="1"/>
  <c r="Z44" i="13" s="1"/>
  <c r="AN44" i="13" a="1"/>
  <c r="AN44" i="13" s="1"/>
  <c r="G45" i="13" a="1"/>
  <c r="G45" i="13" s="1"/>
  <c r="P44" i="13" a="1"/>
  <c r="P44" i="13" s="1"/>
  <c r="AN46" i="13" a="1"/>
  <c r="AN46" i="13" s="1"/>
  <c r="AF44" i="13" a="1"/>
  <c r="AF44" i="13" s="1"/>
  <c r="I44" i="13" a="1"/>
  <c r="I44" i="13" s="1"/>
  <c r="V44" i="13" a="1"/>
  <c r="V44" i="13" s="1"/>
  <c r="AI44" i="13" a="1"/>
  <c r="AI44" i="13" s="1"/>
  <c r="N45" i="13" a="1"/>
  <c r="N45" i="13" s="1"/>
  <c r="AM45" i="13" a="1"/>
  <c r="AM45" i="13" s="1"/>
  <c r="AF46" i="13" a="1"/>
  <c r="AF46" i="13" s="1"/>
  <c r="AJ44" i="13" a="1"/>
  <c r="AJ44" i="13" s="1"/>
  <c r="AA45" i="13" a="1"/>
  <c r="AA45" i="13" s="1"/>
  <c r="AN45" i="13" a="1"/>
  <c r="AN45" i="13" s="1"/>
  <c r="S46" i="13" a="1"/>
  <c r="S46" i="13" s="1"/>
  <c r="J44" i="13" a="1"/>
  <c r="J44" i="13" s="1"/>
  <c r="W44" i="13" a="1"/>
  <c r="W44" i="13" s="1"/>
  <c r="O45" i="13" a="1"/>
  <c r="O45" i="13" s="1"/>
  <c r="T46" i="13" a="1"/>
  <c r="T46" i="13" s="1"/>
  <c r="AK44" i="13" a="1"/>
  <c r="AK44" i="13" s="1"/>
  <c r="G46" i="13" a="1"/>
  <c r="G46" i="13" s="1"/>
  <c r="P45" i="13" a="1"/>
  <c r="P45" i="13" s="1"/>
  <c r="L44" i="13" a="1"/>
  <c r="L44" i="13" s="1"/>
  <c r="AL44" i="13" a="1"/>
  <c r="AL44" i="13" s="1"/>
  <c r="AI46" i="13" a="1"/>
  <c r="AI46" i="13" s="1"/>
  <c r="Q45" i="13" a="1"/>
  <c r="Q45" i="13" s="1"/>
  <c r="V46" i="13" a="1"/>
  <c r="V46" i="13" s="1"/>
  <c r="AM44" i="13" a="1"/>
  <c r="AM44" i="13" s="1"/>
  <c r="N44" i="13" a="1"/>
  <c r="N44" i="13" s="1"/>
  <c r="S45" i="13" a="1"/>
  <c r="S45" i="13" s="1"/>
  <c r="X46" i="13" a="1"/>
  <c r="X46" i="13" s="1"/>
  <c r="O44" i="13" a="1"/>
  <c r="O44" i="13" s="1"/>
  <c r="K46" i="13" a="1"/>
  <c r="K46" i="13" s="1"/>
  <c r="T45" i="13" a="1"/>
  <c r="T45" i="13" s="1"/>
  <c r="L46" i="13" a="1"/>
  <c r="L46" i="13" s="1"/>
  <c r="AC44" i="13" a="1"/>
  <c r="AC44" i="13" s="1"/>
  <c r="M46" i="13" a="1"/>
  <c r="M46" i="13" s="1"/>
  <c r="AI45" i="13" a="1"/>
  <c r="AI45" i="13" s="1"/>
  <c r="AE44" i="13" a="1"/>
  <c r="AE44" i="13" s="1"/>
  <c r="N46" i="13" a="1"/>
  <c r="N46" i="13" s="1"/>
  <c r="W45" i="13" a="1"/>
  <c r="W45" i="13" s="1"/>
  <c r="F45" i="13" a="1"/>
  <c r="F45" i="13" s="1"/>
  <c r="X45" i="13" a="1"/>
  <c r="X45" i="13" s="1"/>
  <c r="F46" i="13" a="1"/>
  <c r="F46" i="13" s="1"/>
  <c r="P46" i="13" a="1"/>
  <c r="P46" i="13" s="1"/>
  <c r="J46" i="13" a="1"/>
  <c r="J46" i="13" s="1"/>
  <c r="U45" i="13" a="1"/>
  <c r="U45" i="13" s="1"/>
  <c r="AD44" i="13" a="1"/>
  <c r="AD44" i="13" s="1"/>
  <c r="I45" i="13" a="1"/>
  <c r="I45" i="13" s="1"/>
  <c r="AA46" i="13" a="1"/>
  <c r="AA46" i="13" s="1"/>
  <c r="AB46" i="13" a="1"/>
  <c r="AB46" i="13" s="1"/>
  <c r="AJ45" i="13" a="1"/>
  <c r="AJ45" i="13" s="1"/>
  <c r="K45" i="13" a="1"/>
  <c r="K45" i="13" s="1"/>
  <c r="AG44" i="13" a="1"/>
  <c r="AG44" i="13" s="1"/>
  <c r="AM31" i="13" a="1"/>
  <c r="AM31" i="13" s="1"/>
  <c r="W31" i="13" a="1"/>
  <c r="W31" i="13" s="1"/>
  <c r="G31" i="13" a="1"/>
  <c r="G31" i="13" s="1"/>
  <c r="U31" i="13" a="1"/>
  <c r="U31" i="13" s="1"/>
  <c r="AJ31" i="13" a="1"/>
  <c r="AJ31" i="13" s="1"/>
  <c r="S31" i="13" a="1"/>
  <c r="S31" i="13" s="1"/>
  <c r="AH31" i="13" a="1"/>
  <c r="AH31" i="13" s="1"/>
  <c r="Q31" i="13" a="1"/>
  <c r="Q31" i="13" s="1"/>
  <c r="AF31" i="13" a="1"/>
  <c r="AF31" i="13" s="1"/>
  <c r="P31" i="13" a="1"/>
  <c r="P31" i="13" s="1"/>
  <c r="AE31" i="13" a="1"/>
  <c r="AE31" i="13" s="1"/>
  <c r="O31" i="13" a="1"/>
  <c r="O31" i="13" s="1"/>
  <c r="AD31" i="13" a="1"/>
  <c r="AD31" i="13" s="1"/>
  <c r="N31" i="13" a="1"/>
  <c r="N31" i="13" s="1"/>
  <c r="AC31" i="13" a="1"/>
  <c r="AC31" i="13" s="1"/>
  <c r="M31" i="13" a="1"/>
  <c r="M31" i="13" s="1"/>
  <c r="AB31" i="13" a="1"/>
  <c r="AB31" i="13" s="1"/>
  <c r="L31" i="13" a="1"/>
  <c r="L31" i="13" s="1"/>
  <c r="AA31" i="13" a="1"/>
  <c r="AA31" i="13" s="1"/>
  <c r="K31" i="13" a="1"/>
  <c r="K31" i="13" s="1"/>
  <c r="Z31" i="13" a="1"/>
  <c r="Z31" i="13" s="1"/>
  <c r="J31" i="13" a="1"/>
  <c r="J31" i="13" s="1"/>
  <c r="Y31" i="13" a="1"/>
  <c r="Y31" i="13" s="1"/>
  <c r="I31" i="13" a="1"/>
  <c r="I31" i="13" s="1"/>
  <c r="AN31" i="13" a="1"/>
  <c r="AN31" i="13" s="1"/>
  <c r="X31" i="13" a="1"/>
  <c r="X31" i="13" s="1"/>
  <c r="H31" i="13" a="1"/>
  <c r="H31" i="13" s="1"/>
  <c r="AL31" i="13" a="1"/>
  <c r="AL31" i="13" s="1"/>
  <c r="V31" i="13" a="1"/>
  <c r="V31" i="13" s="1"/>
  <c r="F31" i="13" a="1"/>
  <c r="F31" i="13" s="1"/>
  <c r="AK31" i="13" a="1"/>
  <c r="AK31" i="13" s="1"/>
  <c r="T31" i="13" a="1"/>
  <c r="T31" i="13" s="1"/>
  <c r="AI31" i="13" a="1"/>
  <c r="AI31" i="13" s="1"/>
  <c r="R31" i="13" a="1"/>
  <c r="R31" i="13" s="1"/>
  <c r="AG31" i="13" a="1"/>
  <c r="AG31" i="13" s="1"/>
  <c r="F14" i="13" a="1"/>
  <c r="F14" i="13" s="1"/>
  <c r="F20" i="13" a="1"/>
  <c r="F20" i="13" s="1"/>
  <c r="F26" i="13" a="1"/>
  <c r="F26" i="13" s="1"/>
  <c r="F32" i="13" a="1"/>
  <c r="F32" i="13" s="1"/>
  <c r="F38" i="13" a="1"/>
  <c r="F38" i="13" s="1"/>
  <c r="F44" i="13" a="1"/>
  <c r="F44" i="13" s="1"/>
  <c r="F17" i="13" a="1"/>
  <c r="F17" i="13" s="1"/>
  <c r="F29" i="13" a="1"/>
  <c r="F29" i="13" s="1"/>
  <c r="F41" i="13" a="1"/>
  <c r="F41" i="13" s="1"/>
  <c r="F18" i="13" a="1"/>
  <c r="F18" i="13" s="1"/>
  <c r="F42" i="13" a="1"/>
  <c r="F42" i="13" s="1"/>
  <c r="F19" i="13" a="1"/>
  <c r="F19" i="13" s="1"/>
  <c r="F43" i="13" a="1"/>
  <c r="F43" i="13" s="1"/>
  <c r="F9" i="13" a="1"/>
  <c r="F9" i="13" s="1"/>
  <c r="F15" i="13" a="1"/>
  <c r="F15" i="13" s="1"/>
  <c r="F21" i="13" a="1"/>
  <c r="F21" i="13" s="1"/>
  <c r="F27" i="13" a="1"/>
  <c r="F27" i="13" s="1"/>
  <c r="F33" i="13" a="1"/>
  <c r="F33" i="13" s="1"/>
  <c r="F39" i="13" a="1"/>
  <c r="F39" i="13" s="1"/>
  <c r="F10" i="13" a="1"/>
  <c r="F10" i="13" s="1"/>
  <c r="F16" i="13" a="1"/>
  <c r="F16" i="13" s="1"/>
  <c r="F22" i="13" a="1"/>
  <c r="F22" i="13" s="1"/>
  <c r="F28" i="13" a="1"/>
  <c r="F28" i="13" s="1"/>
  <c r="F34" i="13" a="1"/>
  <c r="F34" i="13" s="1"/>
  <c r="F40" i="13" a="1"/>
  <c r="F40" i="13" s="1"/>
  <c r="F11" i="13" a="1"/>
  <c r="F11" i="13" s="1"/>
  <c r="F23" i="13" a="1"/>
  <c r="F23" i="13" s="1"/>
  <c r="F35" i="13" a="1"/>
  <c r="F35" i="13" s="1"/>
  <c r="F12" i="13" a="1"/>
  <c r="F12" i="13" s="1"/>
  <c r="F24" i="13" a="1"/>
  <c r="F24" i="13" s="1"/>
  <c r="F36" i="13" a="1"/>
  <c r="F36" i="13" s="1"/>
  <c r="F13" i="13" a="1"/>
  <c r="F13" i="13" s="1"/>
  <c r="F25" i="13" a="1"/>
  <c r="F25" i="13" s="1"/>
  <c r="F30" i="13" a="1"/>
  <c r="F30" i="13" s="1"/>
  <c r="F37" i="13" a="1"/>
  <c r="F37" i="13" s="1"/>
  <c r="K10" i="15" l="1"/>
  <c r="F47" i="13" a="1"/>
  <c r="F47" i="13" s="1"/>
  <c r="C22" i="15" l="1"/>
  <c r="H30" i="17" l="1"/>
  <c r="I30" i="17"/>
  <c r="J30" i="17"/>
  <c r="K30" i="17"/>
  <c r="L30" i="17"/>
  <c r="M30" i="17"/>
  <c r="N30" i="17"/>
  <c r="O30" i="17"/>
  <c r="P30" i="17"/>
  <c r="Q30" i="17"/>
  <c r="R30" i="17"/>
  <c r="S30" i="17"/>
  <c r="T30" i="17"/>
  <c r="U30" i="17"/>
  <c r="V30" i="17"/>
  <c r="W30" i="17"/>
  <c r="X30" i="17"/>
  <c r="Y30" i="17"/>
  <c r="Z30" i="17"/>
  <c r="AA30" i="17"/>
  <c r="AB30" i="17"/>
  <c r="AC30" i="17"/>
  <c r="AD30" i="17"/>
  <c r="AE30" i="17"/>
  <c r="AF30" i="17"/>
  <c r="AG30" i="17"/>
  <c r="AH30" i="17"/>
  <c r="AI30" i="17"/>
  <c r="AJ30" i="17"/>
  <c r="AK30" i="17"/>
  <c r="AL30" i="17"/>
  <c r="AM30" i="17"/>
  <c r="AN30" i="17"/>
  <c r="G30" i="17"/>
  <c r="H22" i="17"/>
  <c r="I22" i="17"/>
  <c r="J22" i="17"/>
  <c r="K22" i="17"/>
  <c r="L22" i="17"/>
  <c r="M22" i="17"/>
  <c r="N22" i="17"/>
  <c r="O22" i="17"/>
  <c r="P22" i="17"/>
  <c r="Q22" i="17"/>
  <c r="R22" i="17"/>
  <c r="S22" i="17"/>
  <c r="T22" i="17"/>
  <c r="U22" i="17"/>
  <c r="V22" i="17"/>
  <c r="W22" i="17"/>
  <c r="X22" i="17"/>
  <c r="Y22" i="17"/>
  <c r="Z22" i="17"/>
  <c r="AA22" i="17"/>
  <c r="AB22" i="17"/>
  <c r="AC22" i="17"/>
  <c r="AD22" i="17"/>
  <c r="AE22" i="17"/>
  <c r="AF22" i="17"/>
  <c r="AG22" i="17"/>
  <c r="AH22" i="17"/>
  <c r="AI22" i="17"/>
  <c r="AJ22" i="17"/>
  <c r="AK22" i="17"/>
  <c r="AL22" i="17"/>
  <c r="AM22" i="17"/>
  <c r="AN22" i="17"/>
  <c r="G22" i="17"/>
  <c r="H14" i="17"/>
  <c r="I14" i="17"/>
  <c r="J14" i="17"/>
  <c r="K14" i="17"/>
  <c r="L14" i="17"/>
  <c r="M14" i="17"/>
  <c r="N14" i="17"/>
  <c r="O14" i="17"/>
  <c r="P14" i="17"/>
  <c r="Q14" i="17"/>
  <c r="R14" i="17"/>
  <c r="S14" i="17"/>
  <c r="T14" i="17"/>
  <c r="U14" i="17"/>
  <c r="V14" i="17"/>
  <c r="W14" i="17"/>
  <c r="X14" i="17"/>
  <c r="Y14" i="17"/>
  <c r="Z14" i="17"/>
  <c r="AA14" i="17"/>
  <c r="AB14" i="17"/>
  <c r="AC14" i="17"/>
  <c r="AD14" i="17"/>
  <c r="AE14" i="17"/>
  <c r="AF14" i="17"/>
  <c r="AG14" i="17"/>
  <c r="AH14" i="17"/>
  <c r="AI14" i="17"/>
  <c r="AJ14" i="17"/>
  <c r="AK14" i="17"/>
  <c r="AL14" i="17"/>
  <c r="AM14" i="17"/>
  <c r="AN14" i="17"/>
  <c r="G14" i="17"/>
  <c r="D2" i="15" l="1"/>
  <c r="D2" i="11"/>
  <c r="D2" i="18"/>
  <c r="E2" i="17"/>
  <c r="C27" i="15"/>
  <c r="C26" i="15"/>
  <c r="C25" i="15"/>
  <c r="C24" i="15"/>
  <c r="C23" i="15"/>
  <c r="C21" i="15"/>
  <c r="C20" i="15"/>
  <c r="C19" i="15"/>
  <c r="C18" i="15"/>
  <c r="C41" i="15" s="1"/>
  <c r="C42" i="15" s="1"/>
  <c r="C43" i="15" s="1"/>
  <c r="C44" i="15" s="1"/>
  <c r="C45" i="15" s="1"/>
  <c r="C48" i="15" s="1"/>
  <c r="G7" i="18"/>
  <c r="H7" i="18" s="1"/>
  <c r="I7" i="18" s="1"/>
  <c r="J7" i="18" s="1"/>
  <c r="K7" i="18" s="1"/>
  <c r="L7" i="18" s="1"/>
  <c r="M7" i="18" s="1"/>
  <c r="N7" i="18" s="1"/>
  <c r="O7" i="18" s="1"/>
  <c r="P7" i="18" s="1"/>
  <c r="Q7" i="18" s="1"/>
  <c r="R7" i="18" s="1"/>
  <c r="S7" i="18" s="1"/>
  <c r="T7" i="18" s="1"/>
  <c r="U7" i="18" s="1"/>
  <c r="V7" i="18" s="1"/>
  <c r="W7" i="18" s="1"/>
  <c r="X7" i="18" s="1"/>
  <c r="Y7" i="18" s="1"/>
  <c r="Z7" i="18" s="1"/>
  <c r="AA7" i="18" s="1"/>
  <c r="AB7" i="18" s="1"/>
  <c r="AC7" i="18" s="1"/>
  <c r="AD7" i="18" s="1"/>
  <c r="AE7" i="18" s="1"/>
  <c r="AF7" i="18" s="1"/>
  <c r="AG7" i="18" s="1"/>
  <c r="AH7" i="18" s="1"/>
  <c r="AI7" i="18" s="1"/>
  <c r="AJ7" i="18" s="1"/>
  <c r="AK7" i="18" s="1"/>
  <c r="AL7" i="18" s="1"/>
  <c r="AM7" i="18" s="1"/>
  <c r="AN7" i="18" s="1"/>
  <c r="AN60" i="17"/>
  <c r="AM60" i="17"/>
  <c r="AL60" i="17"/>
  <c r="AK60" i="17"/>
  <c r="AJ60" i="17"/>
  <c r="AI60" i="17"/>
  <c r="AH60" i="17"/>
  <c r="AG60" i="17"/>
  <c r="AF60" i="17"/>
  <c r="AE60" i="17"/>
  <c r="AD60" i="17"/>
  <c r="AC60" i="17"/>
  <c r="AB60" i="17"/>
  <c r="AA60" i="17"/>
  <c r="Z60" i="17"/>
  <c r="Y60" i="17"/>
  <c r="X60" i="17"/>
  <c r="W60" i="17"/>
  <c r="V60" i="17"/>
  <c r="U60" i="17"/>
  <c r="T60" i="17"/>
  <c r="S60" i="17"/>
  <c r="R60" i="17"/>
  <c r="Q60" i="17"/>
  <c r="P60" i="17"/>
  <c r="O60" i="17"/>
  <c r="N60" i="17"/>
  <c r="M60" i="17"/>
  <c r="L60" i="17"/>
  <c r="K60" i="17"/>
  <c r="J60" i="17"/>
  <c r="I60" i="17"/>
  <c r="H60" i="17"/>
  <c r="G60" i="17"/>
  <c r="AN51" i="17"/>
  <c r="AM51" i="17"/>
  <c r="AL51" i="17"/>
  <c r="AK51" i="17"/>
  <c r="AJ51" i="17"/>
  <c r="AI51" i="17"/>
  <c r="AH51" i="17"/>
  <c r="AG51" i="17"/>
  <c r="AF51" i="17"/>
  <c r="AE51" i="17"/>
  <c r="AD51" i="17"/>
  <c r="AC51" i="17"/>
  <c r="AB51" i="17"/>
  <c r="AA51" i="17"/>
  <c r="Z51" i="17"/>
  <c r="Y51" i="17"/>
  <c r="X51" i="17"/>
  <c r="W51" i="17"/>
  <c r="V51" i="17"/>
  <c r="U51" i="17"/>
  <c r="T51" i="17"/>
  <c r="S51" i="17"/>
  <c r="R51" i="17"/>
  <c r="Q51" i="17"/>
  <c r="P51" i="17"/>
  <c r="O51" i="17"/>
  <c r="N51" i="17"/>
  <c r="M51" i="17"/>
  <c r="L51" i="17"/>
  <c r="K51" i="17"/>
  <c r="J51" i="17"/>
  <c r="I51" i="17"/>
  <c r="H51" i="17"/>
  <c r="G51" i="17"/>
  <c r="AN42" i="17"/>
  <c r="AL42" i="17"/>
  <c r="AK42" i="17"/>
  <c r="AJ42" i="17"/>
  <c r="AI42" i="17"/>
  <c r="AH42" i="17"/>
  <c r="AG42" i="17"/>
  <c r="AF42" i="17"/>
  <c r="AE42" i="17"/>
  <c r="AD42" i="17"/>
  <c r="AC42" i="17"/>
  <c r="AB42" i="17"/>
  <c r="AA42" i="17"/>
  <c r="Z42" i="17"/>
  <c r="Y42" i="17"/>
  <c r="X42" i="17"/>
  <c r="W42" i="17"/>
  <c r="V42" i="17"/>
  <c r="U42" i="17"/>
  <c r="T42" i="17"/>
  <c r="S42" i="17"/>
  <c r="R42" i="17"/>
  <c r="Q42" i="17"/>
  <c r="P42" i="17"/>
  <c r="O42" i="17"/>
  <c r="N42" i="17"/>
  <c r="M42" i="17"/>
  <c r="L42" i="17"/>
  <c r="K42" i="17"/>
  <c r="J42" i="17"/>
  <c r="I42" i="17"/>
  <c r="H42" i="17"/>
  <c r="G42" i="17"/>
  <c r="D2" i="13"/>
  <c r="D2" i="12"/>
  <c r="A8" i="15" l="1"/>
  <c r="F12" i="15" l="1" a="1"/>
  <c r="F12" i="15" s="1"/>
  <c r="F11" i="15" a="1"/>
  <c r="F11" i="15" s="1"/>
  <c r="F10" i="15" a="1"/>
  <c r="F10" i="15" s="1"/>
  <c r="F8" i="15" a="1"/>
  <c r="F8" i="15" s="1"/>
  <c r="F9" i="15" a="1"/>
  <c r="F9" i="15" s="1"/>
  <c r="AJ43" i="13" a="1"/>
  <c r="AJ43" i="13" s="1"/>
  <c r="V43" i="13" a="1"/>
  <c r="V43" i="13" s="1"/>
  <c r="G43" i="13" a="1"/>
  <c r="G43" i="13" s="1"/>
  <c r="AE42" i="13" a="1"/>
  <c r="AE42" i="13" s="1"/>
  <c r="AM41" i="13" a="1"/>
  <c r="AM41" i="13" s="1"/>
  <c r="X41" i="13" a="1"/>
  <c r="X41" i="13" s="1"/>
  <c r="K41" i="13" a="1"/>
  <c r="K41" i="13" s="1"/>
  <c r="AH40" i="13" a="1"/>
  <c r="AH40" i="13" s="1"/>
  <c r="U40" i="13" a="1"/>
  <c r="U40" i="13" s="1"/>
  <c r="AC39" i="13" a="1"/>
  <c r="AC39" i="13" s="1"/>
  <c r="O39" i="13" a="1"/>
  <c r="O39" i="13" s="1"/>
  <c r="AN38" i="13" a="1"/>
  <c r="AN38" i="13" s="1"/>
  <c r="Z38" i="13" a="1"/>
  <c r="Z38" i="13" s="1"/>
  <c r="L38" i="13" a="1"/>
  <c r="L38" i="13" s="1"/>
  <c r="AH37" i="13" a="1"/>
  <c r="AH37" i="13" s="1"/>
  <c r="V37" i="13" a="1"/>
  <c r="V37" i="13" s="1"/>
  <c r="H37" i="13" a="1"/>
  <c r="H37" i="13" s="1"/>
  <c r="AE36" i="13" a="1"/>
  <c r="AE36" i="13" s="1"/>
  <c r="R36" i="13" a="1"/>
  <c r="R36" i="13" s="1"/>
  <c r="AA35" i="13" a="1"/>
  <c r="AA35" i="13" s="1"/>
  <c r="N35" i="13" a="1"/>
  <c r="N35" i="13" s="1"/>
  <c r="AI34" i="13" a="1"/>
  <c r="AI34" i="13" s="1"/>
  <c r="S34" i="13" a="1"/>
  <c r="S34" i="13" s="1"/>
  <c r="G34" i="13" a="1"/>
  <c r="G34" i="13" s="1"/>
  <c r="AF33" i="13" a="1"/>
  <c r="AF33" i="13" s="1"/>
  <c r="AI43" i="13" a="1"/>
  <c r="AI43" i="13" s="1"/>
  <c r="U43" i="13" a="1"/>
  <c r="U43" i="13" s="1"/>
  <c r="AD42" i="13" a="1"/>
  <c r="AD42" i="13" s="1"/>
  <c r="P42" i="13" a="1"/>
  <c r="P42" i="13" s="1"/>
  <c r="AL41" i="13" a="1"/>
  <c r="AL41" i="13" s="1"/>
  <c r="J41" i="13" a="1"/>
  <c r="J41" i="13" s="1"/>
  <c r="AG40" i="13" a="1"/>
  <c r="AG40" i="13" s="1"/>
  <c r="T40" i="13" a="1"/>
  <c r="T40" i="13" s="1"/>
  <c r="AB39" i="13" a="1"/>
  <c r="AB39" i="13" s="1"/>
  <c r="AM38" i="13" a="1"/>
  <c r="AM38" i="13" s="1"/>
  <c r="Y38" i="13" a="1"/>
  <c r="Y38" i="13" s="1"/>
  <c r="K38" i="13" a="1"/>
  <c r="K38" i="13" s="1"/>
  <c r="U37" i="13" a="1"/>
  <c r="U37" i="13" s="1"/>
  <c r="AD36" i="13" a="1"/>
  <c r="AD36" i="13" s="1"/>
  <c r="Q36" i="13" a="1"/>
  <c r="Q36" i="13" s="1"/>
  <c r="AN35" i="13" a="1"/>
  <c r="AN35" i="13" s="1"/>
  <c r="M35" i="13" a="1"/>
  <c r="M35" i="13" s="1"/>
  <c r="AH34" i="13" a="1"/>
  <c r="AH34" i="13" s="1"/>
  <c r="AH43" i="13" a="1"/>
  <c r="AH43" i="13" s="1"/>
  <c r="T43" i="13" a="1"/>
  <c r="T43" i="13" s="1"/>
  <c r="AC42" i="13" a="1"/>
  <c r="AC42" i="13" s="1"/>
  <c r="O42" i="13" a="1"/>
  <c r="O42" i="13" s="1"/>
  <c r="AK41" i="13" a="1"/>
  <c r="AK41" i="13" s="1"/>
  <c r="W41" i="13" a="1"/>
  <c r="W41" i="13" s="1"/>
  <c r="I41" i="13" a="1"/>
  <c r="I41" i="13" s="1"/>
  <c r="S40" i="13" a="1"/>
  <c r="S40" i="13" s="1"/>
  <c r="AA39" i="13" a="1"/>
  <c r="AA39" i="13" s="1"/>
  <c r="N39" i="13" a="1"/>
  <c r="N39" i="13" s="1"/>
  <c r="AL38" i="13" a="1"/>
  <c r="AL38" i="13" s="1"/>
  <c r="X38" i="13" a="1"/>
  <c r="X38" i="13" s="1"/>
  <c r="J38" i="13" a="1"/>
  <c r="J38" i="13" s="1"/>
  <c r="AG37" i="13" a="1"/>
  <c r="AG37" i="13" s="1"/>
  <c r="T37" i="13" a="1"/>
  <c r="T37" i="13" s="1"/>
  <c r="G37" i="13" a="1"/>
  <c r="G37" i="13" s="1"/>
  <c r="AC36" i="13" a="1"/>
  <c r="AC36" i="13" s="1"/>
  <c r="P36" i="13" a="1"/>
  <c r="P36" i="13" s="1"/>
  <c r="AM35" i="13" a="1"/>
  <c r="AM35" i="13" s="1"/>
  <c r="Z35" i="13" a="1"/>
  <c r="Z35" i="13" s="1"/>
  <c r="L35" i="13" a="1"/>
  <c r="L35" i="13" s="1"/>
  <c r="AG34" i="13" a="1"/>
  <c r="AG34" i="13" s="1"/>
  <c r="R34" i="13" a="1"/>
  <c r="R34" i="13" s="1"/>
  <c r="AD33" i="13" a="1"/>
  <c r="AD33" i="13" s="1"/>
  <c r="Q33" i="13" a="1"/>
  <c r="Q33" i="13" s="1"/>
  <c r="AN32" i="13" a="1"/>
  <c r="AN32" i="13" s="1"/>
  <c r="N32" i="13" a="1"/>
  <c r="N32" i="13" s="1"/>
  <c r="X30" i="13" a="1"/>
  <c r="X30" i="13" s="1"/>
  <c r="K30" i="13" a="1"/>
  <c r="K30" i="13" s="1"/>
  <c r="AD29" i="13" a="1"/>
  <c r="AD29" i="13" s="1"/>
  <c r="N29" i="13" a="1"/>
  <c r="N29" i="13" s="1"/>
  <c r="AJ28" i="13" a="1"/>
  <c r="AJ28" i="13" s="1"/>
  <c r="V28" i="13" a="1"/>
  <c r="V28" i="13" s="1"/>
  <c r="G28" i="13" a="1"/>
  <c r="G28" i="13" s="1"/>
  <c r="AB27" i="13" a="1"/>
  <c r="AB27" i="13" s="1"/>
  <c r="M27" i="13" a="1"/>
  <c r="M27" i="13" s="1"/>
  <c r="W26" i="13" a="1"/>
  <c r="W26" i="13" s="1"/>
  <c r="G26" i="13" a="1"/>
  <c r="G26" i="13" s="1"/>
  <c r="N25" i="13" a="1"/>
  <c r="N25" i="13" s="1"/>
  <c r="AI24" i="13" a="1"/>
  <c r="AI24" i="13" s="1"/>
  <c r="S24" i="13" a="1"/>
  <c r="S24" i="13" s="1"/>
  <c r="Z23" i="13" a="1"/>
  <c r="Z23" i="13" s="1"/>
  <c r="K23" i="13" a="1"/>
  <c r="K23" i="13" s="1"/>
  <c r="AG43" i="13" a="1"/>
  <c r="AG43" i="13" s="1"/>
  <c r="S43" i="13" a="1"/>
  <c r="S43" i="13" s="1"/>
  <c r="AB42" i="13" a="1"/>
  <c r="AB42" i="13" s="1"/>
  <c r="N42" i="13" a="1"/>
  <c r="N42" i="13" s="1"/>
  <c r="AJ41" i="13" a="1"/>
  <c r="AJ41" i="13" s="1"/>
  <c r="H41" i="13" a="1"/>
  <c r="H41" i="13" s="1"/>
  <c r="AF40" i="13" a="1"/>
  <c r="AF40" i="13" s="1"/>
  <c r="R40" i="13" a="1"/>
  <c r="R40" i="13" s="1"/>
  <c r="Z39" i="13" a="1"/>
  <c r="Z39" i="13" s="1"/>
  <c r="AF43" i="13" a="1"/>
  <c r="AF43" i="13" s="1"/>
  <c r="R43" i="13" a="1"/>
  <c r="R43" i="13" s="1"/>
  <c r="AN42" i="13" a="1"/>
  <c r="AN42" i="13" s="1"/>
  <c r="AA42" i="13" a="1"/>
  <c r="AA42" i="13" s="1"/>
  <c r="AI41" i="13" a="1"/>
  <c r="AI41" i="13" s="1"/>
  <c r="V41" i="13" a="1"/>
  <c r="V41" i="13" s="1"/>
  <c r="G41" i="13" a="1"/>
  <c r="G41" i="13" s="1"/>
  <c r="AE40" i="13" a="1"/>
  <c r="AE40" i="13" s="1"/>
  <c r="Q40" i="13" a="1"/>
  <c r="Q40" i="13" s="1"/>
  <c r="Y39" i="13" a="1"/>
  <c r="Y39" i="13" s="1"/>
  <c r="L39" i="13" a="1"/>
  <c r="L39" i="13" s="1"/>
  <c r="AJ38" i="13" a="1"/>
  <c r="AJ38" i="13" s="1"/>
  <c r="V38" i="13" a="1"/>
  <c r="V38" i="13" s="1"/>
  <c r="H38" i="13" a="1"/>
  <c r="H38" i="13" s="1"/>
  <c r="AE37" i="13" a="1"/>
  <c r="AE37" i="13" s="1"/>
  <c r="R37" i="13" a="1"/>
  <c r="R37" i="13" s="1"/>
  <c r="N36" i="13" a="1"/>
  <c r="N36" i="13" s="1"/>
  <c r="AK35" i="13" a="1"/>
  <c r="AK35" i="13" s="1"/>
  <c r="Y35" i="13" a="1"/>
  <c r="Y35" i="13" s="1"/>
  <c r="J35" i="13" a="1"/>
  <c r="J35" i="13" s="1"/>
  <c r="AE34" i="13" a="1"/>
  <c r="AE34" i="13" s="1"/>
  <c r="Q34" i="13" a="1"/>
  <c r="Q34" i="13" s="1"/>
  <c r="AN33" i="13" a="1"/>
  <c r="AN33" i="13" s="1"/>
  <c r="AC33" i="13" a="1"/>
  <c r="AC33" i="13" s="1"/>
  <c r="O33" i="13" a="1"/>
  <c r="O33" i="13" s="1"/>
  <c r="AM32" i="13" a="1"/>
  <c r="AM32" i="13" s="1"/>
  <c r="Y32" i="13" a="1"/>
  <c r="Y32" i="13" s="1"/>
  <c r="L32" i="13" a="1"/>
  <c r="L32" i="13" s="1"/>
  <c r="AK30" i="13" a="1"/>
  <c r="AK30" i="13" s="1"/>
  <c r="V30" i="13" a="1"/>
  <c r="V30" i="13" s="1"/>
  <c r="I30" i="13" a="1"/>
  <c r="I30" i="13" s="1"/>
  <c r="AB29" i="13" a="1"/>
  <c r="AB29" i="13" s="1"/>
  <c r="L29" i="13" a="1"/>
  <c r="L29" i="13" s="1"/>
  <c r="AH28" i="13" a="1"/>
  <c r="AH28" i="13" s="1"/>
  <c r="T28" i="13" a="1"/>
  <c r="T28" i="13" s="1"/>
  <c r="Z27" i="13" a="1"/>
  <c r="Z27" i="13" s="1"/>
  <c r="K27" i="13" a="1"/>
  <c r="K27" i="13" s="1"/>
  <c r="AJ26" i="13" a="1"/>
  <c r="AJ26" i="13" s="1"/>
  <c r="U26" i="13" a="1"/>
  <c r="U26" i="13" s="1"/>
  <c r="AB25" i="13" a="1"/>
  <c r="AB25" i="13" s="1"/>
  <c r="L25" i="13" a="1"/>
  <c r="L25" i="13" s="1"/>
  <c r="AG24" i="13" a="1"/>
  <c r="AG24" i="13" s="1"/>
  <c r="Q24" i="13" a="1"/>
  <c r="Q24" i="13" s="1"/>
  <c r="X23" i="13" a="1"/>
  <c r="X23" i="13" s="1"/>
  <c r="I23" i="13" a="1"/>
  <c r="I23" i="13" s="1"/>
  <c r="AE43" i="13" a="1"/>
  <c r="AE43" i="13" s="1"/>
  <c r="Q43" i="13" a="1"/>
  <c r="Q43" i="13" s="1"/>
  <c r="Z42" i="13" a="1"/>
  <c r="Z42" i="13" s="1"/>
  <c r="M42" i="13" a="1"/>
  <c r="M42" i="13" s="1"/>
  <c r="AH41" i="13" a="1"/>
  <c r="AH41" i="13" s="1"/>
  <c r="U41" i="13" a="1"/>
  <c r="U41" i="13" s="1"/>
  <c r="AD40" i="13" a="1"/>
  <c r="AD40" i="13" s="1"/>
  <c r="AN39" i="13" a="1"/>
  <c r="AN39" i="13" s="1"/>
  <c r="K39" i="13" a="1"/>
  <c r="K39" i="13" s="1"/>
  <c r="U38" i="13" a="1"/>
  <c r="U38" i="13" s="1"/>
  <c r="G38" i="13" a="1"/>
  <c r="G38" i="13" s="1"/>
  <c r="AD37" i="13" a="1"/>
  <c r="AD37" i="13" s="1"/>
  <c r="AA36" i="13" a="1"/>
  <c r="AA36" i="13" s="1"/>
  <c r="M36" i="13" a="1"/>
  <c r="M36" i="13" s="1"/>
  <c r="X35" i="13" a="1"/>
  <c r="X35" i="13" s="1"/>
  <c r="I35" i="13" a="1"/>
  <c r="I35" i="13" s="1"/>
  <c r="AD34" i="13" a="1"/>
  <c r="AD34" i="13" s="1"/>
  <c r="P34" i="13" a="1"/>
  <c r="P34" i="13" s="1"/>
  <c r="AM33" i="13" a="1"/>
  <c r="AM33" i="13" s="1"/>
  <c r="AB33" i="13" a="1"/>
  <c r="AB33" i="13" s="1"/>
  <c r="N33" i="13" a="1"/>
  <c r="N33" i="13" s="1"/>
  <c r="AL32" i="13" a="1"/>
  <c r="AL32" i="13" s="1"/>
  <c r="X32" i="13" a="1"/>
  <c r="X32" i="13" s="1"/>
  <c r="AJ30" i="13" a="1"/>
  <c r="AJ30" i="13" s="1"/>
  <c r="H30" i="13" a="1"/>
  <c r="H30" i="13" s="1"/>
  <c r="AA29" i="13" a="1"/>
  <c r="AA29" i="13" s="1"/>
  <c r="K29" i="13" a="1"/>
  <c r="K29" i="13" s="1"/>
  <c r="AG28" i="13" a="1"/>
  <c r="AG28" i="13" s="1"/>
  <c r="Y27" i="13" a="1"/>
  <c r="Y27" i="13" s="1"/>
  <c r="J27" i="13" a="1"/>
  <c r="J27" i="13" s="1"/>
  <c r="AI26" i="13" a="1"/>
  <c r="AI26" i="13" s="1"/>
  <c r="T26" i="13" a="1"/>
  <c r="T26" i="13" s="1"/>
  <c r="AA25" i="13" a="1"/>
  <c r="AA25" i="13" s="1"/>
  <c r="K25" i="13" a="1"/>
  <c r="K25" i="13" s="1"/>
  <c r="AF24" i="13" a="1"/>
  <c r="AF24" i="13" s="1"/>
  <c r="P24" i="13" a="1"/>
  <c r="P24" i="13" s="1"/>
  <c r="AM23" i="13" a="1"/>
  <c r="AM23" i="13" s="1"/>
  <c r="W23" i="13" a="1"/>
  <c r="W23" i="13" s="1"/>
  <c r="H23" i="13" a="1"/>
  <c r="H23" i="13" s="1"/>
  <c r="AC22" i="13" a="1"/>
  <c r="AC22" i="13" s="1"/>
  <c r="N22" i="13" a="1"/>
  <c r="N22" i="13" s="1"/>
  <c r="AJ21" i="13" a="1"/>
  <c r="AJ21" i="13" s="1"/>
  <c r="T21" i="13" a="1"/>
  <c r="T21" i="13" s="1"/>
  <c r="Z20" i="13" a="1"/>
  <c r="Z20" i="13" s="1"/>
  <c r="K20" i="13" a="1"/>
  <c r="K20" i="13" s="1"/>
  <c r="AG19" i="13" a="1"/>
  <c r="AG19" i="13" s="1"/>
  <c r="Q19" i="13" a="1"/>
  <c r="Q19" i="13" s="1"/>
  <c r="AM18" i="13" a="1"/>
  <c r="AM18" i="13" s="1"/>
  <c r="X18" i="13" a="1"/>
  <c r="X18" i="13" s="1"/>
  <c r="H18" i="13" a="1"/>
  <c r="H18" i="13" s="1"/>
  <c r="AC17" i="13" a="1"/>
  <c r="AC17" i="13" s="1"/>
  <c r="N17" i="13" a="1"/>
  <c r="N17" i="13" s="1"/>
  <c r="AJ16" i="13" a="1"/>
  <c r="AJ16" i="13" s="1"/>
  <c r="T16" i="13" a="1"/>
  <c r="T16" i="13" s="1"/>
  <c r="AA15" i="13" a="1"/>
  <c r="AA15" i="13" s="1"/>
  <c r="L15" i="13" a="1"/>
  <c r="L15" i="13" s="1"/>
  <c r="AG14" i="13" a="1"/>
  <c r="AG14" i="13" s="1"/>
  <c r="Q14" i="13" a="1"/>
  <c r="Q14" i="13" s="1"/>
  <c r="AL13" i="13" a="1"/>
  <c r="AL13" i="13" s="1"/>
  <c r="X13" i="13" a="1"/>
  <c r="X13" i="13" s="1"/>
  <c r="H13" i="13" a="1"/>
  <c r="H13" i="13" s="1"/>
  <c r="AD12" i="13" a="1"/>
  <c r="AD12" i="13" s="1"/>
  <c r="N12" i="13" a="1"/>
  <c r="N12" i="13" s="1"/>
  <c r="AJ11" i="13" a="1"/>
  <c r="AJ11" i="13" s="1"/>
  <c r="AD43" i="13" a="1"/>
  <c r="AD43" i="13" s="1"/>
  <c r="P43" i="13" a="1"/>
  <c r="P43" i="13" s="1"/>
  <c r="AM42" i="13" a="1"/>
  <c r="AM42" i="13" s="1"/>
  <c r="Y42" i="13" a="1"/>
  <c r="Y42" i="13" s="1"/>
  <c r="L42" i="13" a="1"/>
  <c r="L42" i="13" s="1"/>
  <c r="AG41" i="13" a="1"/>
  <c r="AG41" i="13" s="1"/>
  <c r="T41" i="13" a="1"/>
  <c r="T41" i="13" s="1"/>
  <c r="AC40" i="13" a="1"/>
  <c r="AC40" i="13" s="1"/>
  <c r="P40" i="13" a="1"/>
  <c r="P40" i="13" s="1"/>
  <c r="AM39" i="13" a="1"/>
  <c r="AM39" i="13" s="1"/>
  <c r="X39" i="13" a="1"/>
  <c r="X39" i="13" s="1"/>
  <c r="J39" i="13" a="1"/>
  <c r="J39" i="13" s="1"/>
  <c r="AI38" i="13" a="1"/>
  <c r="AI38" i="13" s="1"/>
  <c r="T38" i="13" a="1"/>
  <c r="T38" i="13" s="1"/>
  <c r="AC37" i="13" a="1"/>
  <c r="AC37" i="13" s="1"/>
  <c r="Q37" i="13" a="1"/>
  <c r="Q37" i="13" s="1"/>
  <c r="Z36" i="13" a="1"/>
  <c r="Z36" i="13" s="1"/>
  <c r="L36" i="13" a="1"/>
  <c r="L36" i="13" s="1"/>
  <c r="AJ35" i="13" a="1"/>
  <c r="AJ35" i="13" s="1"/>
  <c r="W35" i="13" a="1"/>
  <c r="W35" i="13" s="1"/>
  <c r="H35" i="13" a="1"/>
  <c r="H35" i="13" s="1"/>
  <c r="AC34" i="13" a="1"/>
  <c r="AC34" i="13" s="1"/>
  <c r="O34" i="13" a="1"/>
  <c r="O34" i="13" s="1"/>
  <c r="AL33" i="13" a="1"/>
  <c r="AL33" i="13" s="1"/>
  <c r="M33" i="13" a="1"/>
  <c r="M33" i="13" s="1"/>
  <c r="AK32" i="13" a="1"/>
  <c r="AK32" i="13" s="1"/>
  <c r="W32" i="13" a="1"/>
  <c r="W32" i="13" s="1"/>
  <c r="K32" i="13" a="1"/>
  <c r="K32" i="13" s="1"/>
  <c r="AI30" i="13" a="1"/>
  <c r="AI30" i="13" s="1"/>
  <c r="U30" i="13" a="1"/>
  <c r="U30" i="13" s="1"/>
  <c r="G30" i="13" a="1"/>
  <c r="G30" i="13" s="1"/>
  <c r="Z29" i="13" a="1"/>
  <c r="Z29" i="13" s="1"/>
  <c r="J29" i="13" a="1"/>
  <c r="J29" i="13" s="1"/>
  <c r="AF28" i="13" a="1"/>
  <c r="AF28" i="13" s="1"/>
  <c r="S28" i="13" a="1"/>
  <c r="S28" i="13" s="1"/>
  <c r="AN27" i="13" a="1"/>
  <c r="AN27" i="13" s="1"/>
  <c r="I27" i="13" a="1"/>
  <c r="I27" i="13" s="1"/>
  <c r="AH26" i="13" a="1"/>
  <c r="AH26" i="13" s="1"/>
  <c r="S26" i="13" a="1"/>
  <c r="S26" i="13" s="1"/>
  <c r="Z25" i="13" a="1"/>
  <c r="Z25" i="13" s="1"/>
  <c r="J25" i="13" a="1"/>
  <c r="J25" i="13" s="1"/>
  <c r="AE24" i="13" a="1"/>
  <c r="AE24" i="13" s="1"/>
  <c r="O24" i="13" a="1"/>
  <c r="O24" i="13" s="1"/>
  <c r="AL23" i="13" a="1"/>
  <c r="AL23" i="13" s="1"/>
  <c r="V23" i="13" a="1"/>
  <c r="V23" i="13" s="1"/>
  <c r="G23" i="13" a="1"/>
  <c r="G23" i="13" s="1"/>
  <c r="AB22" i="13" a="1"/>
  <c r="AB22" i="13" s="1"/>
  <c r="M22" i="13" a="1"/>
  <c r="M22" i="13" s="1"/>
  <c r="AI21" i="13" a="1"/>
  <c r="AI21" i="13" s="1"/>
  <c r="S21" i="13" a="1"/>
  <c r="S21" i="13" s="1"/>
  <c r="AN20" i="13" a="1"/>
  <c r="AN20" i="13" s="1"/>
  <c r="Y20" i="13" a="1"/>
  <c r="Y20" i="13" s="1"/>
  <c r="J20" i="13" a="1"/>
  <c r="J20" i="13" s="1"/>
  <c r="AF19" i="13" a="1"/>
  <c r="AF19" i="13" s="1"/>
  <c r="P19" i="13" a="1"/>
  <c r="P19" i="13" s="1"/>
  <c r="AL18" i="13" a="1"/>
  <c r="AL18" i="13" s="1"/>
  <c r="W18" i="13" a="1"/>
  <c r="W18" i="13" s="1"/>
  <c r="AJ42" i="13" a="1"/>
  <c r="AJ42" i="13" s="1"/>
  <c r="K42" i="13" a="1"/>
  <c r="K42" i="13" s="1"/>
  <c r="Z41" i="13" a="1"/>
  <c r="Z41" i="13" s="1"/>
  <c r="AK40" i="13" a="1"/>
  <c r="AK40" i="13" s="1"/>
  <c r="L40" i="13" a="1"/>
  <c r="L40" i="13" s="1"/>
  <c r="V39" i="13" a="1"/>
  <c r="V39" i="13" s="1"/>
  <c r="Q38" i="13" a="1"/>
  <c r="Q38" i="13" s="1"/>
  <c r="AF37" i="13" a="1"/>
  <c r="AF37" i="13" s="1"/>
  <c r="L37" i="13" a="1"/>
  <c r="L37" i="13" s="1"/>
  <c r="S35" i="13" a="1"/>
  <c r="S35" i="13" s="1"/>
  <c r="AF34" i="13" a="1"/>
  <c r="AF34" i="13" s="1"/>
  <c r="I34" i="13" a="1"/>
  <c r="I34" i="13" s="1"/>
  <c r="AA33" i="13" a="1"/>
  <c r="AA33" i="13" s="1"/>
  <c r="I33" i="13" a="1"/>
  <c r="I33" i="13" s="1"/>
  <c r="AB32" i="13" a="1"/>
  <c r="AB32" i="13" s="1"/>
  <c r="AD30" i="13" a="1"/>
  <c r="AD30" i="13" s="1"/>
  <c r="N30" i="13" a="1"/>
  <c r="N30" i="13" s="1"/>
  <c r="AF29" i="13" a="1"/>
  <c r="AF29" i="13" s="1"/>
  <c r="I29" i="13" a="1"/>
  <c r="I29" i="13" s="1"/>
  <c r="AC28" i="13" a="1"/>
  <c r="AC28" i="13" s="1"/>
  <c r="J28" i="13" a="1"/>
  <c r="J28" i="13" s="1"/>
  <c r="X27" i="13" a="1"/>
  <c r="X27" i="13" s="1"/>
  <c r="Z26" i="13" a="1"/>
  <c r="Z26" i="13" s="1"/>
  <c r="AN25" i="13" a="1"/>
  <c r="AN25" i="13" s="1"/>
  <c r="U25" i="13" a="1"/>
  <c r="U25" i="13" s="1"/>
  <c r="AL24" i="13" a="1"/>
  <c r="AL24" i="13" s="1"/>
  <c r="AG23" i="13" a="1"/>
  <c r="AG23" i="13" s="1"/>
  <c r="N23" i="13" a="1"/>
  <c r="N23" i="13" s="1"/>
  <c r="AE22" i="13" a="1"/>
  <c r="AE22" i="13" s="1"/>
  <c r="AF21" i="13" a="1"/>
  <c r="AF21" i="13" s="1"/>
  <c r="N21" i="13" a="1"/>
  <c r="N21" i="13" s="1"/>
  <c r="AH20" i="13" a="1"/>
  <c r="AH20" i="13" s="1"/>
  <c r="Q20" i="13" a="1"/>
  <c r="Q20" i="13" s="1"/>
  <c r="AJ19" i="13" a="1"/>
  <c r="AJ19" i="13" s="1"/>
  <c r="S19" i="13" a="1"/>
  <c r="S19" i="13" s="1"/>
  <c r="AK18" i="13" a="1"/>
  <c r="AK18" i="13" s="1"/>
  <c r="T18" i="13" a="1"/>
  <c r="T18" i="13" s="1"/>
  <c r="AN17" i="13" a="1"/>
  <c r="AN17" i="13" s="1"/>
  <c r="W17" i="13" a="1"/>
  <c r="W17" i="13" s="1"/>
  <c r="G17" i="13" a="1"/>
  <c r="G17" i="13" s="1"/>
  <c r="AB16" i="13" a="1"/>
  <c r="AB16" i="13" s="1"/>
  <c r="L16" i="13" a="1"/>
  <c r="L16" i="13" s="1"/>
  <c r="AF15" i="13" a="1"/>
  <c r="AF15" i="13" s="1"/>
  <c r="P15" i="13" a="1"/>
  <c r="P15" i="13" s="1"/>
  <c r="AK14" i="13" a="1"/>
  <c r="AK14" i="13" s="1"/>
  <c r="T14" i="13" a="1"/>
  <c r="T14" i="13" s="1"/>
  <c r="AN13" i="13" a="1"/>
  <c r="AN13" i="13" s="1"/>
  <c r="Y13" i="13" a="1"/>
  <c r="Y13" i="13" s="1"/>
  <c r="G13" i="13" a="1"/>
  <c r="G13" i="13" s="1"/>
  <c r="AB12" i="13" a="1"/>
  <c r="AB12" i="13" s="1"/>
  <c r="K12" i="13" a="1"/>
  <c r="K12" i="13" s="1"/>
  <c r="AG11" i="13" a="1"/>
  <c r="AG11" i="13" s="1"/>
  <c r="Q11" i="13" a="1"/>
  <c r="Q11" i="13" s="1"/>
  <c r="AL10" i="13" a="1"/>
  <c r="AL10" i="13" s="1"/>
  <c r="V10" i="13" a="1"/>
  <c r="V10" i="13" s="1"/>
  <c r="H10" i="13" a="1"/>
  <c r="H10" i="13" s="1"/>
  <c r="AC9" i="13" a="1"/>
  <c r="AC9" i="13" s="1"/>
  <c r="N9" i="13" a="1"/>
  <c r="N9" i="13" s="1"/>
  <c r="AI8" i="13" a="1"/>
  <c r="AI8" i="13" s="1"/>
  <c r="T8" i="13" a="1"/>
  <c r="T8" i="13" s="1"/>
  <c r="AM36" i="13" a="1"/>
  <c r="AM36" i="13" s="1"/>
  <c r="AL26" i="13" a="1"/>
  <c r="AL26" i="13" s="1"/>
  <c r="X22" i="13" a="1"/>
  <c r="X22" i="13" s="1"/>
  <c r="N18" i="13" a="1"/>
  <c r="N18" i="13" s="1"/>
  <c r="Z43" i="13" a="1"/>
  <c r="Z43" i="13" s="1"/>
  <c r="AI42" i="13" a="1"/>
  <c r="AI42" i="13" s="1"/>
  <c r="J42" i="13" a="1"/>
  <c r="J42" i="13" s="1"/>
  <c r="Y41" i="13" a="1"/>
  <c r="Y41" i="13" s="1"/>
  <c r="AJ40" i="13" a="1"/>
  <c r="AJ40" i="13" s="1"/>
  <c r="K40" i="13" a="1"/>
  <c r="K40" i="13" s="1"/>
  <c r="U39" i="13" a="1"/>
  <c r="U39" i="13" s="1"/>
  <c r="P38" i="13" a="1"/>
  <c r="P38" i="13" s="1"/>
  <c r="AB37" i="13" a="1"/>
  <c r="AB37" i="13" s="1"/>
  <c r="K37" i="13" a="1"/>
  <c r="K37" i="13" s="1"/>
  <c r="X36" i="13" a="1"/>
  <c r="X36" i="13" s="1"/>
  <c r="R35" i="13" a="1"/>
  <c r="R35" i="13" s="1"/>
  <c r="AB34" i="13" a="1"/>
  <c r="AB34" i="13" s="1"/>
  <c r="H33" i="13" a="1"/>
  <c r="H33" i="13" s="1"/>
  <c r="J32" i="13" a="1"/>
  <c r="J32" i="13" s="1"/>
  <c r="AC30" i="13" a="1"/>
  <c r="AC30" i="13" s="1"/>
  <c r="M30" i="13" a="1"/>
  <c r="M30" i="13" s="1"/>
  <c r="AE29" i="13" a="1"/>
  <c r="AE29" i="13" s="1"/>
  <c r="H29" i="13" a="1"/>
  <c r="H29" i="13" s="1"/>
  <c r="AB28" i="13" a="1"/>
  <c r="AB28" i="13" s="1"/>
  <c r="I28" i="13" a="1"/>
  <c r="I28" i="13" s="1"/>
  <c r="W27" i="13" a="1"/>
  <c r="W27" i="13" s="1"/>
  <c r="Y26" i="13" a="1"/>
  <c r="Y26" i="13" s="1"/>
  <c r="AM25" i="13" a="1"/>
  <c r="AM25" i="13" s="1"/>
  <c r="T25" i="13" a="1"/>
  <c r="T25" i="13" s="1"/>
  <c r="AK24" i="13" a="1"/>
  <c r="AK24" i="13" s="1"/>
  <c r="N24" i="13" a="1"/>
  <c r="N24" i="13" s="1"/>
  <c r="AF23" i="13" a="1"/>
  <c r="AF23" i="13" s="1"/>
  <c r="M23" i="13" a="1"/>
  <c r="M23" i="13" s="1"/>
  <c r="AD22" i="13" a="1"/>
  <c r="AD22" i="13" s="1"/>
  <c r="L22" i="13" a="1"/>
  <c r="L22" i="13" s="1"/>
  <c r="AE21" i="13" a="1"/>
  <c r="AE21" i="13" s="1"/>
  <c r="M21" i="13" a="1"/>
  <c r="M21" i="13" s="1"/>
  <c r="AG20" i="13" a="1"/>
  <c r="AG20" i="13" s="1"/>
  <c r="P20" i="13" a="1"/>
  <c r="P20" i="13" s="1"/>
  <c r="AI19" i="13" a="1"/>
  <c r="AI19" i="13" s="1"/>
  <c r="R19" i="13" a="1"/>
  <c r="R19" i="13" s="1"/>
  <c r="AJ18" i="13" a="1"/>
  <c r="AJ18" i="13" s="1"/>
  <c r="S18" i="13" a="1"/>
  <c r="S18" i="13" s="1"/>
  <c r="AM17" i="13" a="1"/>
  <c r="AM17" i="13" s="1"/>
  <c r="V17" i="13" a="1"/>
  <c r="V17" i="13" s="1"/>
  <c r="AA16" i="13" a="1"/>
  <c r="AA16" i="13" s="1"/>
  <c r="K16" i="13" a="1"/>
  <c r="K16" i="13" s="1"/>
  <c r="AE15" i="13" a="1"/>
  <c r="AE15" i="13" s="1"/>
  <c r="AJ14" i="13" a="1"/>
  <c r="AJ14" i="13" s="1"/>
  <c r="S14" i="13" a="1"/>
  <c r="S14" i="13" s="1"/>
  <c r="AM13" i="13" a="1"/>
  <c r="AM13" i="13" s="1"/>
  <c r="W13" i="13" a="1"/>
  <c r="W13" i="13" s="1"/>
  <c r="AA12" i="13" a="1"/>
  <c r="AA12" i="13" s="1"/>
  <c r="AF11" i="13" a="1"/>
  <c r="AF11" i="13" s="1"/>
  <c r="P11" i="13" a="1"/>
  <c r="P11" i="13" s="1"/>
  <c r="AK10" i="13" a="1"/>
  <c r="AK10" i="13" s="1"/>
  <c r="U10" i="13" a="1"/>
  <c r="U10" i="13" s="1"/>
  <c r="G10" i="13" a="1"/>
  <c r="G10" i="13" s="1"/>
  <c r="AB9" i="13" a="1"/>
  <c r="AB9" i="13" s="1"/>
  <c r="M9" i="13" a="1"/>
  <c r="M9" i="13" s="1"/>
  <c r="AH8" i="13" a="1"/>
  <c r="AH8" i="13" s="1"/>
  <c r="S8" i="13" a="1"/>
  <c r="S8" i="13" s="1"/>
  <c r="V33" i="13" a="1"/>
  <c r="V33" i="13" s="1"/>
  <c r="P26" i="13" a="1"/>
  <c r="P26" i="13" s="1"/>
  <c r="G22" i="13" a="1"/>
  <c r="G22" i="13" s="1"/>
  <c r="AH17" i="13" a="1"/>
  <c r="AH17" i="13" s="1"/>
  <c r="Y43" i="13" a="1"/>
  <c r="Y43" i="13" s="1"/>
  <c r="AH42" i="13" a="1"/>
  <c r="AH42" i="13" s="1"/>
  <c r="I42" i="13" a="1"/>
  <c r="I42" i="13" s="1"/>
  <c r="S41" i="13" a="1"/>
  <c r="S41" i="13" s="1"/>
  <c r="J40" i="13" a="1"/>
  <c r="J40" i="13" s="1"/>
  <c r="T39" i="13" a="1"/>
  <c r="T39" i="13" s="1"/>
  <c r="AK38" i="13" a="1"/>
  <c r="AK38" i="13" s="1"/>
  <c r="O38" i="13" a="1"/>
  <c r="O38" i="13" s="1"/>
  <c r="J37" i="13" a="1"/>
  <c r="J37" i="13" s="1"/>
  <c r="AL35" i="13" a="1"/>
  <c r="AL35" i="13" s="1"/>
  <c r="Q35" i="13" a="1"/>
  <c r="Q35" i="13" s="1"/>
  <c r="AA34" i="13" a="1"/>
  <c r="AA34" i="13" s="1"/>
  <c r="H34" i="13" a="1"/>
  <c r="H34" i="13" s="1"/>
  <c r="Z33" i="13" a="1"/>
  <c r="Z33" i="13" s="1"/>
  <c r="AA32" i="13" a="1"/>
  <c r="AA32" i="13" s="1"/>
  <c r="I32" i="13" a="1"/>
  <c r="I32" i="13" s="1"/>
  <c r="L30" i="13" a="1"/>
  <c r="L30" i="13" s="1"/>
  <c r="G29" i="13" a="1"/>
  <c r="G29" i="13" s="1"/>
  <c r="AA28" i="13" a="1"/>
  <c r="AA28" i="13" s="1"/>
  <c r="H28" i="13" a="1"/>
  <c r="H28" i="13" s="1"/>
  <c r="V27" i="13" a="1"/>
  <c r="V27" i="13" s="1"/>
  <c r="X26" i="13" a="1"/>
  <c r="X26" i="13" s="1"/>
  <c r="AL25" i="13" a="1"/>
  <c r="AL25" i="13" s="1"/>
  <c r="S25" i="13" a="1"/>
  <c r="S25" i="13" s="1"/>
  <c r="AJ24" i="13" a="1"/>
  <c r="AJ24" i="13" s="1"/>
  <c r="M24" i="13" a="1"/>
  <c r="M24" i="13" s="1"/>
  <c r="AE23" i="13" a="1"/>
  <c r="AE23" i="13" s="1"/>
  <c r="L23" i="13" a="1"/>
  <c r="L23" i="13" s="1"/>
  <c r="AA22" i="13" a="1"/>
  <c r="AA22" i="13" s="1"/>
  <c r="K22" i="13" a="1"/>
  <c r="K22" i="13" s="1"/>
  <c r="AD21" i="13" a="1"/>
  <c r="AD21" i="13" s="1"/>
  <c r="L21" i="13" a="1"/>
  <c r="L21" i="13" s="1"/>
  <c r="AF20" i="13" a="1"/>
  <c r="AF20" i="13" s="1"/>
  <c r="O20" i="13" a="1"/>
  <c r="O20" i="13" s="1"/>
  <c r="O19" i="13" a="1"/>
  <c r="O19" i="13" s="1"/>
  <c r="AI18" i="13" a="1"/>
  <c r="AI18" i="13" s="1"/>
  <c r="R18" i="13" a="1"/>
  <c r="R18" i="13" s="1"/>
  <c r="AL17" i="13" a="1"/>
  <c r="AL17" i="13" s="1"/>
  <c r="U17" i="13" a="1"/>
  <c r="U17" i="13" s="1"/>
  <c r="Z16" i="13" a="1"/>
  <c r="Z16" i="13" s="1"/>
  <c r="J16" i="13" a="1"/>
  <c r="J16" i="13" s="1"/>
  <c r="AD15" i="13" a="1"/>
  <c r="AD15" i="13" s="1"/>
  <c r="O15" i="13" a="1"/>
  <c r="O15" i="13" s="1"/>
  <c r="AI14" i="13" a="1"/>
  <c r="AI14" i="13" s="1"/>
  <c r="R14" i="13" a="1"/>
  <c r="R14" i="13" s="1"/>
  <c r="V13" i="13" a="1"/>
  <c r="V13" i="13" s="1"/>
  <c r="Z12" i="13" a="1"/>
  <c r="Z12" i="13" s="1"/>
  <c r="J12" i="13" a="1"/>
  <c r="J12" i="13" s="1"/>
  <c r="AE11" i="13" a="1"/>
  <c r="AE11" i="13" s="1"/>
  <c r="O11" i="13" a="1"/>
  <c r="O11" i="13" s="1"/>
  <c r="AJ10" i="13" a="1"/>
  <c r="AJ10" i="13" s="1"/>
  <c r="AA9" i="13" a="1"/>
  <c r="AA9" i="13" s="1"/>
  <c r="L9" i="13" a="1"/>
  <c r="L9" i="13" s="1"/>
  <c r="AG8" i="13" a="1"/>
  <c r="AG8" i="13" s="1"/>
  <c r="Q39" i="13" a="1"/>
  <c r="Q39" i="13" s="1"/>
  <c r="I38" i="13" a="1"/>
  <c r="I38" i="13" s="1"/>
  <c r="K35" i="13" a="1"/>
  <c r="K35" i="13" s="1"/>
  <c r="W28" i="13" a="1"/>
  <c r="W28" i="13" s="1"/>
  <c r="I24" i="13" a="1"/>
  <c r="I24" i="13" s="1"/>
  <c r="I20" i="13" a="1"/>
  <c r="I20" i="13" s="1"/>
  <c r="X43" i="13" a="1"/>
  <c r="X43" i="13" s="1"/>
  <c r="H42" i="13" a="1"/>
  <c r="H42" i="13" s="1"/>
  <c r="R41" i="13" a="1"/>
  <c r="R41" i="13" s="1"/>
  <c r="AI40" i="13" a="1"/>
  <c r="AI40" i="13" s="1"/>
  <c r="I40" i="13" a="1"/>
  <c r="I40" i="13" s="1"/>
  <c r="S39" i="13" a="1"/>
  <c r="S39" i="13" s="1"/>
  <c r="N38" i="13" a="1"/>
  <c r="N38" i="13" s="1"/>
  <c r="AA37" i="13" a="1"/>
  <c r="AA37" i="13" s="1"/>
  <c r="I37" i="13" a="1"/>
  <c r="I37" i="13" s="1"/>
  <c r="W36" i="13" a="1"/>
  <c r="W36" i="13" s="1"/>
  <c r="Z34" i="13" a="1"/>
  <c r="Z34" i="13" s="1"/>
  <c r="Y33" i="13" a="1"/>
  <c r="Y33" i="13" s="1"/>
  <c r="G33" i="13" a="1"/>
  <c r="G33" i="13" s="1"/>
  <c r="Z32" i="13" a="1"/>
  <c r="Z32" i="13" s="1"/>
  <c r="H32" i="13" a="1"/>
  <c r="H32" i="13" s="1"/>
  <c r="AB30" i="13" a="1"/>
  <c r="AB30" i="13" s="1"/>
  <c r="J30" i="13" a="1"/>
  <c r="J30" i="13" s="1"/>
  <c r="AC29" i="13" a="1"/>
  <c r="AC29" i="13" s="1"/>
  <c r="Z28" i="13" a="1"/>
  <c r="Z28" i="13" s="1"/>
  <c r="U27" i="13" a="1"/>
  <c r="U27" i="13" s="1"/>
  <c r="AN26" i="13" a="1"/>
  <c r="AN26" i="13" s="1"/>
  <c r="V26" i="13" a="1"/>
  <c r="V26" i="13" s="1"/>
  <c r="AK25" i="13" a="1"/>
  <c r="AK25" i="13" s="1"/>
  <c r="R25" i="13" a="1"/>
  <c r="R25" i="13" s="1"/>
  <c r="AH24" i="13" a="1"/>
  <c r="AH24" i="13" s="1"/>
  <c r="L24" i="13" a="1"/>
  <c r="L24" i="13" s="1"/>
  <c r="AD23" i="13" a="1"/>
  <c r="AD23" i="13" s="1"/>
  <c r="J23" i="13" a="1"/>
  <c r="J23" i="13" s="1"/>
  <c r="Z22" i="13" a="1"/>
  <c r="Z22" i="13" s="1"/>
  <c r="J22" i="13" a="1"/>
  <c r="J22" i="13" s="1"/>
  <c r="AC21" i="13" a="1"/>
  <c r="AC21" i="13" s="1"/>
  <c r="K21" i="13" a="1"/>
  <c r="K21" i="13" s="1"/>
  <c r="AE20" i="13" a="1"/>
  <c r="AE20" i="13" s="1"/>
  <c r="N20" i="13" a="1"/>
  <c r="N20" i="13" s="1"/>
  <c r="AH19" i="13" a="1"/>
  <c r="AH19" i="13" s="1"/>
  <c r="N19" i="13" a="1"/>
  <c r="N19" i="13" s="1"/>
  <c r="AH18" i="13" a="1"/>
  <c r="AH18" i="13" s="1"/>
  <c r="Q18" i="13" a="1"/>
  <c r="Q18" i="13" s="1"/>
  <c r="AK17" i="13" a="1"/>
  <c r="AK17" i="13" s="1"/>
  <c r="T17" i="13" a="1"/>
  <c r="T17" i="13" s="1"/>
  <c r="Y16" i="13" a="1"/>
  <c r="Y16" i="13" s="1"/>
  <c r="I16" i="13" a="1"/>
  <c r="I16" i="13" s="1"/>
  <c r="AC15" i="13" a="1"/>
  <c r="AC15" i="13" s="1"/>
  <c r="N15" i="13" a="1"/>
  <c r="N15" i="13" s="1"/>
  <c r="AH14" i="13" a="1"/>
  <c r="AH14" i="13" s="1"/>
  <c r="P14" i="13" a="1"/>
  <c r="P14" i="13" s="1"/>
  <c r="AK13" i="13" a="1"/>
  <c r="AK13" i="13" s="1"/>
  <c r="U13" i="13" a="1"/>
  <c r="U13" i="13" s="1"/>
  <c r="Y12" i="13" a="1"/>
  <c r="Y12" i="13" s="1"/>
  <c r="I12" i="13" a="1"/>
  <c r="I12" i="13" s="1"/>
  <c r="AD11" i="13" a="1"/>
  <c r="AD11" i="13" s="1"/>
  <c r="N11" i="13" a="1"/>
  <c r="N11" i="13" s="1"/>
  <c r="AI10" i="13" a="1"/>
  <c r="AI10" i="13" s="1"/>
  <c r="T10" i="13" a="1"/>
  <c r="T10" i="13" s="1"/>
  <c r="Z9" i="13" a="1"/>
  <c r="Z9" i="13" s="1"/>
  <c r="K9" i="13" a="1"/>
  <c r="K9" i="13" s="1"/>
  <c r="AF8" i="13" a="1"/>
  <c r="AF8" i="13" s="1"/>
  <c r="R8" i="13" a="1"/>
  <c r="R8" i="13" s="1"/>
  <c r="T36" i="13" a="1"/>
  <c r="T36" i="13" s="1"/>
  <c r="AK27" i="13" a="1"/>
  <c r="AK27" i="13" s="1"/>
  <c r="O25" i="13" a="1"/>
  <c r="O25" i="13" s="1"/>
  <c r="AB20" i="13" a="1"/>
  <c r="AB20" i="13" s="1"/>
  <c r="K19" i="13" a="1"/>
  <c r="K19" i="13" s="1"/>
  <c r="Z15" i="13" a="1"/>
  <c r="Z15" i="13" s="1"/>
  <c r="AD14" i="13" a="1"/>
  <c r="AD14" i="13" s="1"/>
  <c r="AH13" i="13" a="1"/>
  <c r="AH13" i="13" s="1"/>
  <c r="W43" i="13" a="1"/>
  <c r="W43" i="13" s="1"/>
  <c r="AG42" i="13" a="1"/>
  <c r="AG42" i="13" s="1"/>
  <c r="G42" i="13" a="1"/>
  <c r="G42" i="13" s="1"/>
  <c r="Q41" i="13" a="1"/>
  <c r="Q41" i="13" s="1"/>
  <c r="AB40" i="13" a="1"/>
  <c r="AB40" i="13" s="1"/>
  <c r="H40" i="13" a="1"/>
  <c r="H40" i="13" s="1"/>
  <c r="R39" i="13" a="1"/>
  <c r="R39" i="13" s="1"/>
  <c r="AH38" i="13" a="1"/>
  <c r="AH38" i="13" s="1"/>
  <c r="V36" i="13" a="1"/>
  <c r="V36" i="13" s="1"/>
  <c r="AI35" i="13" a="1"/>
  <c r="AI35" i="13" s="1"/>
  <c r="P35" i="13" a="1"/>
  <c r="P35" i="13" s="1"/>
  <c r="Y34" i="13" a="1"/>
  <c r="Y34" i="13" s="1"/>
  <c r="X33" i="13" a="1"/>
  <c r="X33" i="13" s="1"/>
  <c r="V32" i="13" a="1"/>
  <c r="V32" i="13" s="1"/>
  <c r="AA30" i="13" a="1"/>
  <c r="AA30" i="13" s="1"/>
  <c r="Y29" i="13" a="1"/>
  <c r="Y29" i="13" s="1"/>
  <c r="Y28" i="13" a="1"/>
  <c r="Y28" i="13" s="1"/>
  <c r="AM27" i="13" a="1"/>
  <c r="AM27" i="13" s="1"/>
  <c r="T27" i="13" a="1"/>
  <c r="T27" i="13" s="1"/>
  <c r="AM26" i="13" a="1"/>
  <c r="AM26" i="13" s="1"/>
  <c r="R26" i="13" a="1"/>
  <c r="R26" i="13" s="1"/>
  <c r="AJ25" i="13" a="1"/>
  <c r="AJ25" i="13" s="1"/>
  <c r="Q25" i="13" a="1"/>
  <c r="Q25" i="13" s="1"/>
  <c r="AD24" i="13" a="1"/>
  <c r="AD24" i="13" s="1"/>
  <c r="K24" i="13" a="1"/>
  <c r="K24" i="13" s="1"/>
  <c r="AC23" i="13" a="1"/>
  <c r="AC23" i="13" s="1"/>
  <c r="Y22" i="13" a="1"/>
  <c r="Y22" i="13" s="1"/>
  <c r="I22" i="13" a="1"/>
  <c r="I22" i="13" s="1"/>
  <c r="AB21" i="13" a="1"/>
  <c r="AB21" i="13" s="1"/>
  <c r="J21" i="13" a="1"/>
  <c r="J21" i="13" s="1"/>
  <c r="AD20" i="13" a="1"/>
  <c r="AD20" i="13" s="1"/>
  <c r="M20" i="13" a="1"/>
  <c r="M20" i="13" s="1"/>
  <c r="AE19" i="13" a="1"/>
  <c r="AE19" i="13" s="1"/>
  <c r="M19" i="13" a="1"/>
  <c r="M19" i="13" s="1"/>
  <c r="AG18" i="13" a="1"/>
  <c r="AG18" i="13" s="1"/>
  <c r="P18" i="13" a="1"/>
  <c r="P18" i="13" s="1"/>
  <c r="AJ17" i="13" a="1"/>
  <c r="AJ17" i="13" s="1"/>
  <c r="S17" i="13" a="1"/>
  <c r="S17" i="13" s="1"/>
  <c r="X16" i="13" a="1"/>
  <c r="X16" i="13" s="1"/>
  <c r="H16" i="13" a="1"/>
  <c r="H16" i="13" s="1"/>
  <c r="AB15" i="13" a="1"/>
  <c r="AB15" i="13" s="1"/>
  <c r="M15" i="13" a="1"/>
  <c r="M15" i="13" s="1"/>
  <c r="AF14" i="13" a="1"/>
  <c r="AF14" i="13" s="1"/>
  <c r="O14" i="13" a="1"/>
  <c r="O14" i="13" s="1"/>
  <c r="AJ13" i="13" a="1"/>
  <c r="AJ13" i="13" s="1"/>
  <c r="T13" i="13" a="1"/>
  <c r="T13" i="13" s="1"/>
  <c r="AN12" i="13" a="1"/>
  <c r="AN12" i="13" s="1"/>
  <c r="X12" i="13" a="1"/>
  <c r="X12" i="13" s="1"/>
  <c r="H12" i="13" a="1"/>
  <c r="H12" i="13" s="1"/>
  <c r="AC11" i="13" a="1"/>
  <c r="AC11" i="13" s="1"/>
  <c r="M11" i="13" a="1"/>
  <c r="M11" i="13" s="1"/>
  <c r="AH10" i="13" a="1"/>
  <c r="AH10" i="13" s="1"/>
  <c r="S10" i="13" a="1"/>
  <c r="S10" i="13" s="1"/>
  <c r="Y9" i="13" a="1"/>
  <c r="Y9" i="13" s="1"/>
  <c r="J9" i="13" a="1"/>
  <c r="J9" i="13" s="1"/>
  <c r="AE8" i="13" a="1"/>
  <c r="AE8" i="13" s="1"/>
  <c r="Q8" i="13" a="1"/>
  <c r="Q8" i="13" s="1"/>
  <c r="N43" i="13" a="1"/>
  <c r="N43" i="13" s="1"/>
  <c r="AF38" i="13" a="1"/>
  <c r="AF38" i="13" s="1"/>
  <c r="W34" i="13" a="1"/>
  <c r="W34" i="13" s="1"/>
  <c r="AH25" i="13" a="1"/>
  <c r="AH25" i="13" s="1"/>
  <c r="H21" i="13" a="1"/>
  <c r="H21" i="13" s="1"/>
  <c r="AM16" i="13" a="1"/>
  <c r="AM16" i="13" s="1"/>
  <c r="R13" i="13" a="1"/>
  <c r="R13" i="13" s="1"/>
  <c r="O43" i="13" a="1"/>
  <c r="O43" i="13" s="1"/>
  <c r="AF42" i="13" a="1"/>
  <c r="AF42" i="13" s="1"/>
  <c r="P41" i="13" a="1"/>
  <c r="P41" i="13" s="1"/>
  <c r="AA40" i="13" a="1"/>
  <c r="AA40" i="13" s="1"/>
  <c r="G40" i="13" a="1"/>
  <c r="G40" i="13" s="1"/>
  <c r="AG38" i="13" a="1"/>
  <c r="AG38" i="13" s="1"/>
  <c r="M38" i="13" a="1"/>
  <c r="M38" i="13" s="1"/>
  <c r="Z37" i="13" a="1"/>
  <c r="Z37" i="13" s="1"/>
  <c r="AN36" i="13" a="1"/>
  <c r="AN36" i="13" s="1"/>
  <c r="U36" i="13" a="1"/>
  <c r="U36" i="13" s="1"/>
  <c r="AH35" i="13" a="1"/>
  <c r="AH35" i="13" s="1"/>
  <c r="O35" i="13" a="1"/>
  <c r="O35" i="13" s="1"/>
  <c r="X34" i="13" a="1"/>
  <c r="X34" i="13" s="1"/>
  <c r="W33" i="13" a="1"/>
  <c r="W33" i="13" s="1"/>
  <c r="U32" i="13" a="1"/>
  <c r="U32" i="13" s="1"/>
  <c r="G32" i="13" a="1"/>
  <c r="G32" i="13" s="1"/>
  <c r="Z30" i="13" a="1"/>
  <c r="Z30" i="13" s="1"/>
  <c r="X29" i="13" a="1"/>
  <c r="X29" i="13" s="1"/>
  <c r="X28" i="13" a="1"/>
  <c r="X28" i="13" s="1"/>
  <c r="AL27" i="13" a="1"/>
  <c r="AL27" i="13" s="1"/>
  <c r="S27" i="13" a="1"/>
  <c r="S27" i="13" s="1"/>
  <c r="Q26" i="13" a="1"/>
  <c r="Q26" i="13" s="1"/>
  <c r="AI25" i="13" a="1"/>
  <c r="AI25" i="13" s="1"/>
  <c r="P25" i="13" a="1"/>
  <c r="P25" i="13" s="1"/>
  <c r="AC24" i="13" a="1"/>
  <c r="AC24" i="13" s="1"/>
  <c r="J24" i="13" a="1"/>
  <c r="J24" i="13" s="1"/>
  <c r="AB23" i="13" a="1"/>
  <c r="AB23" i="13" s="1"/>
  <c r="H22" i="13" a="1"/>
  <c r="H22" i="13" s="1"/>
  <c r="AA21" i="13" a="1"/>
  <c r="AA21" i="13" s="1"/>
  <c r="I21" i="13" a="1"/>
  <c r="I21" i="13" s="1"/>
  <c r="AC20" i="13" a="1"/>
  <c r="AC20" i="13" s="1"/>
  <c r="L20" i="13" a="1"/>
  <c r="L20" i="13" s="1"/>
  <c r="AD19" i="13" a="1"/>
  <c r="AD19" i="13" s="1"/>
  <c r="L19" i="13" a="1"/>
  <c r="L19" i="13" s="1"/>
  <c r="O18" i="13" a="1"/>
  <c r="O18" i="13" s="1"/>
  <c r="AI17" i="13" a="1"/>
  <c r="AI17" i="13" s="1"/>
  <c r="R17" i="13" a="1"/>
  <c r="R17" i="13" s="1"/>
  <c r="AN16" i="13" a="1"/>
  <c r="AN16" i="13" s="1"/>
  <c r="W16" i="13" a="1"/>
  <c r="W16" i="13" s="1"/>
  <c r="G16" i="13" a="1"/>
  <c r="G16" i="13" s="1"/>
  <c r="K15" i="13" a="1"/>
  <c r="K15" i="13" s="1"/>
  <c r="AE14" i="13" a="1"/>
  <c r="AE14" i="13" s="1"/>
  <c r="N14" i="13" a="1"/>
  <c r="N14" i="13" s="1"/>
  <c r="AI13" i="13" a="1"/>
  <c r="AI13" i="13" s="1"/>
  <c r="S13" i="13" a="1"/>
  <c r="S13" i="13" s="1"/>
  <c r="AM12" i="13" a="1"/>
  <c r="AM12" i="13" s="1"/>
  <c r="W12" i="13" a="1"/>
  <c r="W12" i="13" s="1"/>
  <c r="G12" i="13" a="1"/>
  <c r="G12" i="13" s="1"/>
  <c r="AB11" i="13" a="1"/>
  <c r="AB11" i="13" s="1"/>
  <c r="L11" i="13" a="1"/>
  <c r="L11" i="13" s="1"/>
  <c r="AG10" i="13" a="1"/>
  <c r="AG10" i="13" s="1"/>
  <c r="R10" i="13" a="1"/>
  <c r="R10" i="13" s="1"/>
  <c r="AN9" i="13" a="1"/>
  <c r="AN9" i="13" s="1"/>
  <c r="X9" i="13" a="1"/>
  <c r="X9" i="13" s="1"/>
  <c r="I9" i="13" a="1"/>
  <c r="I9" i="13" s="1"/>
  <c r="P8" i="13" a="1"/>
  <c r="P8" i="13" s="1"/>
  <c r="AL39" i="13" a="1"/>
  <c r="AL39" i="13" s="1"/>
  <c r="Y37" i="13" a="1"/>
  <c r="Y37" i="13" s="1"/>
  <c r="AG35" i="13" a="1"/>
  <c r="AG35" i="13" s="1"/>
  <c r="AK33" i="13" a="1"/>
  <c r="AK33" i="13" s="1"/>
  <c r="Y30" i="13" a="1"/>
  <c r="Y30" i="13" s="1"/>
  <c r="W29" i="13" a="1"/>
  <c r="W29" i="13" s="1"/>
  <c r="R27" i="13" a="1"/>
  <c r="R27" i="13" s="1"/>
  <c r="AB24" i="13" a="1"/>
  <c r="AB24" i="13" s="1"/>
  <c r="AA23" i="13" a="1"/>
  <c r="AA23" i="13" s="1"/>
  <c r="Z21" i="13" a="1"/>
  <c r="Z21" i="13" s="1"/>
  <c r="AC19" i="13" a="1"/>
  <c r="AC19" i="13" s="1"/>
  <c r="AF18" i="13" a="1"/>
  <c r="AF18" i="13" s="1"/>
  <c r="V16" i="13" a="1"/>
  <c r="V16" i="13" s="1"/>
  <c r="J15" i="13" a="1"/>
  <c r="J15" i="13" s="1"/>
  <c r="M14" i="13" a="1"/>
  <c r="M14" i="13" s="1"/>
  <c r="AA11" i="13" a="1"/>
  <c r="AA11" i="13" s="1"/>
  <c r="U42" i="13" a="1"/>
  <c r="U42" i="13" s="1"/>
  <c r="M41" i="13" a="1"/>
  <c r="M41" i="13" s="1"/>
  <c r="AK39" i="13" a="1"/>
  <c r="AK39" i="13" s="1"/>
  <c r="AL37" i="13" a="1"/>
  <c r="AL37" i="13" s="1"/>
  <c r="AI36" i="13" a="1"/>
  <c r="AI36" i="13" s="1"/>
  <c r="AE35" i="13" a="1"/>
  <c r="AE35" i="13" s="1"/>
  <c r="AJ34" i="13" a="1"/>
  <c r="AJ34" i="13" s="1"/>
  <c r="AG33" i="13" a="1"/>
  <c r="AG33" i="13" s="1"/>
  <c r="AG32" i="13" a="1"/>
  <c r="AG32" i="13" s="1"/>
  <c r="AN30" i="13" a="1"/>
  <c r="AN30" i="13" s="1"/>
  <c r="Q29" i="13" a="1"/>
  <c r="Q29" i="13" s="1"/>
  <c r="P28" i="13" a="1"/>
  <c r="P28" i="13" s="1"/>
  <c r="P27" i="13" a="1"/>
  <c r="P27" i="13" s="1"/>
  <c r="AA26" i="13" a="1"/>
  <c r="AA26" i="13" s="1"/>
  <c r="X25" i="13" a="1"/>
  <c r="X25" i="13" s="1"/>
  <c r="W24" i="13" a="1"/>
  <c r="W24" i="13" s="1"/>
  <c r="T23" i="13" a="1"/>
  <c r="T23" i="13" s="1"/>
  <c r="W22" i="13" a="1"/>
  <c r="W22" i="13" s="1"/>
  <c r="AH21" i="13" a="1"/>
  <c r="AH21" i="13" s="1"/>
  <c r="AK20" i="13" a="1"/>
  <c r="AK20" i="13" s="1"/>
  <c r="I19" i="13" a="1"/>
  <c r="I19" i="13" s="1"/>
  <c r="U18" i="13" a="1"/>
  <c r="U18" i="13" s="1"/>
  <c r="Z17" i="13" a="1"/>
  <c r="Z17" i="13" s="1"/>
  <c r="AG16" i="13" a="1"/>
  <c r="AG16" i="13" s="1"/>
  <c r="AM15" i="13" a="1"/>
  <c r="AM15" i="13" s="1"/>
  <c r="I15" i="13" a="1"/>
  <c r="I15" i="13" s="1"/>
  <c r="V14" i="13" a="1"/>
  <c r="V14" i="13" s="1"/>
  <c r="AB13" i="13" a="1"/>
  <c r="AB13" i="13" s="1"/>
  <c r="AJ12" i="13" a="1"/>
  <c r="AJ12" i="13" s="1"/>
  <c r="L12" i="13" a="1"/>
  <c r="L12" i="13" s="1"/>
  <c r="T11" i="13" a="1"/>
  <c r="T11" i="13" s="1"/>
  <c r="AC10" i="13" a="1"/>
  <c r="AC10" i="13" s="1"/>
  <c r="S9" i="13" a="1"/>
  <c r="S9" i="13" s="1"/>
  <c r="AC8" i="13" a="1"/>
  <c r="AC8" i="13" s="1"/>
  <c r="H8" i="13" a="1"/>
  <c r="H8" i="13" s="1"/>
  <c r="H15" i="13" a="1"/>
  <c r="H15" i="13" s="1"/>
  <c r="AM9" i="13" a="1"/>
  <c r="AM9" i="13" s="1"/>
  <c r="AB8" i="13" a="1"/>
  <c r="AB8" i="13" s="1"/>
  <c r="W8" i="13" a="1"/>
  <c r="W8" i="13" s="1"/>
  <c r="J43" i="13" a="1"/>
  <c r="J43" i="13" s="1"/>
  <c r="W30" i="13" a="1"/>
  <c r="W30" i="13" s="1"/>
  <c r="AK28" i="13" a="1"/>
  <c r="AK28" i="13" s="1"/>
  <c r="P22" i="13" a="1"/>
  <c r="P22" i="13" s="1"/>
  <c r="AA19" i="13" a="1"/>
  <c r="AA19" i="13" s="1"/>
  <c r="R16" i="13" a="1"/>
  <c r="R16" i="13" s="1"/>
  <c r="AM14" i="13" a="1"/>
  <c r="AM14" i="13" s="1"/>
  <c r="N13" i="13" a="1"/>
  <c r="N13" i="13" s="1"/>
  <c r="Q10" i="13" a="1"/>
  <c r="Q10" i="13" s="1"/>
  <c r="V8" i="13" a="1"/>
  <c r="V8" i="13" s="1"/>
  <c r="I43" i="13" a="1"/>
  <c r="I43" i="13" s="1"/>
  <c r="G35" i="13" a="1"/>
  <c r="G35" i="13" s="1"/>
  <c r="L33" i="13" a="1"/>
  <c r="L33" i="13" s="1"/>
  <c r="AI28" i="13" a="1"/>
  <c r="AI28" i="13" s="1"/>
  <c r="AK26" i="13" a="1"/>
  <c r="AK26" i="13" s="1"/>
  <c r="AM22" i="13" a="1"/>
  <c r="AM22" i="13" s="1"/>
  <c r="Q21" i="13" a="1"/>
  <c r="Q21" i="13" s="1"/>
  <c r="Z19" i="13" a="1"/>
  <c r="Z19" i="13" s="1"/>
  <c r="AE18" i="13" a="1"/>
  <c r="AE18" i="13" s="1"/>
  <c r="K17" i="13" a="1"/>
  <c r="K17" i="13" s="1"/>
  <c r="X15" i="13" a="1"/>
  <c r="X15" i="13" s="1"/>
  <c r="AI11" i="13" a="1"/>
  <c r="AI11" i="13" s="1"/>
  <c r="P10" i="13" a="1"/>
  <c r="P10" i="13" s="1"/>
  <c r="H43" i="13" a="1"/>
  <c r="H43" i="13" s="1"/>
  <c r="P37" i="13" a="1"/>
  <c r="P37" i="13" s="1"/>
  <c r="Q32" i="13" a="1"/>
  <c r="Q32" i="13" s="1"/>
  <c r="AB43" i="13" a="1"/>
  <c r="AB43" i="13" s="1"/>
  <c r="T42" i="13" a="1"/>
  <c r="T42" i="13" s="1"/>
  <c r="L41" i="13" a="1"/>
  <c r="L41" i="13" s="1"/>
  <c r="AJ39" i="13" a="1"/>
  <c r="AJ39" i="13" s="1"/>
  <c r="AK37" i="13" a="1"/>
  <c r="AK37" i="13" s="1"/>
  <c r="AH36" i="13" a="1"/>
  <c r="AH36" i="13" s="1"/>
  <c r="AD35" i="13" a="1"/>
  <c r="AD35" i="13" s="1"/>
  <c r="V34" i="13" a="1"/>
  <c r="V34" i="13" s="1"/>
  <c r="AE33" i="13" a="1"/>
  <c r="AE33" i="13" s="1"/>
  <c r="AF32" i="13" a="1"/>
  <c r="AF32" i="13" s="1"/>
  <c r="AM30" i="13" a="1"/>
  <c r="AM30" i="13" s="1"/>
  <c r="P29" i="13" a="1"/>
  <c r="P29" i="13" s="1"/>
  <c r="O28" i="13" a="1"/>
  <c r="O28" i="13" s="1"/>
  <c r="O27" i="13" a="1"/>
  <c r="O27" i="13" s="1"/>
  <c r="O26" i="13" a="1"/>
  <c r="O26" i="13" s="1"/>
  <c r="W25" i="13" a="1"/>
  <c r="W25" i="13" s="1"/>
  <c r="V24" i="13" a="1"/>
  <c r="V24" i="13" s="1"/>
  <c r="S23" i="13" a="1"/>
  <c r="S23" i="13" s="1"/>
  <c r="V22" i="13" a="1"/>
  <c r="V22" i="13" s="1"/>
  <c r="AG21" i="13" a="1"/>
  <c r="AG21" i="13" s="1"/>
  <c r="AJ20" i="13" a="1"/>
  <c r="AJ20" i="13" s="1"/>
  <c r="H19" i="13" a="1"/>
  <c r="H19" i="13" s="1"/>
  <c r="M18" i="13" a="1"/>
  <c r="M18" i="13" s="1"/>
  <c r="Y17" i="13" a="1"/>
  <c r="Y17" i="13" s="1"/>
  <c r="AF16" i="13" a="1"/>
  <c r="AF16" i="13" s="1"/>
  <c r="AL15" i="13" a="1"/>
  <c r="AL15" i="13" s="1"/>
  <c r="U14" i="13" a="1"/>
  <c r="U14" i="13" s="1"/>
  <c r="AA13" i="13" a="1"/>
  <c r="AA13" i="13" s="1"/>
  <c r="AI12" i="13" a="1"/>
  <c r="AI12" i="13" s="1"/>
  <c r="S11" i="13" a="1"/>
  <c r="S11" i="13" s="1"/>
  <c r="AB10" i="13" a="1"/>
  <c r="AB10" i="13" s="1"/>
  <c r="R9" i="13" a="1"/>
  <c r="R9" i="13" s="1"/>
  <c r="G8" i="13" a="1"/>
  <c r="G8" i="13" s="1"/>
  <c r="U21" i="13" a="1"/>
  <c r="U21" i="13" s="1"/>
  <c r="W38" i="13" a="1"/>
  <c r="W38" i="13" s="1"/>
  <c r="W39" i="13" a="1"/>
  <c r="W39" i="13" s="1"/>
  <c r="AA43" i="13" a="1"/>
  <c r="AA43" i="13" s="1"/>
  <c r="S42" i="13" a="1"/>
  <c r="S42" i="13" s="1"/>
  <c r="AI39" i="13" a="1"/>
  <c r="AI39" i="13" s="1"/>
  <c r="AE38" i="13" a="1"/>
  <c r="AE38" i="13" s="1"/>
  <c r="AJ37" i="13" a="1"/>
  <c r="AJ37" i="13" s="1"/>
  <c r="AG36" i="13" a="1"/>
  <c r="AG36" i="13" s="1"/>
  <c r="AC35" i="13" a="1"/>
  <c r="AC35" i="13" s="1"/>
  <c r="U34" i="13" a="1"/>
  <c r="U34" i="13" s="1"/>
  <c r="AE32" i="13" a="1"/>
  <c r="AE32" i="13" s="1"/>
  <c r="AL30" i="13" a="1"/>
  <c r="AL30" i="13" s="1"/>
  <c r="O29" i="13" a="1"/>
  <c r="O29" i="13" s="1"/>
  <c r="N28" i="13" a="1"/>
  <c r="N28" i="13" s="1"/>
  <c r="N27" i="13" a="1"/>
  <c r="N27" i="13" s="1"/>
  <c r="N26" i="13" a="1"/>
  <c r="N26" i="13" s="1"/>
  <c r="V25" i="13" a="1"/>
  <c r="V25" i="13" s="1"/>
  <c r="U24" i="13" a="1"/>
  <c r="U24" i="13" s="1"/>
  <c r="R23" i="13" a="1"/>
  <c r="R23" i="13" s="1"/>
  <c r="U22" i="13" a="1"/>
  <c r="U22" i="13" s="1"/>
  <c r="Y21" i="13" a="1"/>
  <c r="Y21" i="13" s="1"/>
  <c r="AI20" i="13" a="1"/>
  <c r="AI20" i="13" s="1"/>
  <c r="AN19" i="13" a="1"/>
  <c r="AN19" i="13" s="1"/>
  <c r="L18" i="13" a="1"/>
  <c r="L18" i="13" s="1"/>
  <c r="X17" i="13" a="1"/>
  <c r="X17" i="13" s="1"/>
  <c r="AE16" i="13" a="1"/>
  <c r="AE16" i="13" s="1"/>
  <c r="AK15" i="13" a="1"/>
  <c r="AK15" i="13" s="1"/>
  <c r="G15" i="13" a="1"/>
  <c r="G15" i="13" s="1"/>
  <c r="L14" i="13" a="1"/>
  <c r="L14" i="13" s="1"/>
  <c r="Z13" i="13" a="1"/>
  <c r="Z13" i="13" s="1"/>
  <c r="AH12" i="13" a="1"/>
  <c r="AH12" i="13" s="1"/>
  <c r="R11" i="13" a="1"/>
  <c r="R11" i="13" s="1"/>
  <c r="AA10" i="13" a="1"/>
  <c r="AA10" i="13" s="1"/>
  <c r="AL9" i="13" a="1"/>
  <c r="AL9" i="13" s="1"/>
  <c r="Q9" i="13" a="1"/>
  <c r="Q9" i="13" s="1"/>
  <c r="AA8" i="13" a="1"/>
  <c r="AA8" i="13" s="1"/>
  <c r="J26" i="13" a="1"/>
  <c r="J26" i="13" s="1"/>
  <c r="AF41" i="13" a="1"/>
  <c r="AF41" i="13" s="1"/>
  <c r="AG9" i="13" a="1"/>
  <c r="AG9" i="13" s="1"/>
  <c r="R42" i="13" a="1"/>
  <c r="R42" i="13" s="1"/>
  <c r="AH39" i="13" a="1"/>
  <c r="AH39" i="13" s="1"/>
  <c r="AD38" i="13" a="1"/>
  <c r="AD38" i="13" s="1"/>
  <c r="AI37" i="13" a="1"/>
  <c r="AI37" i="13" s="1"/>
  <c r="AF36" i="13" a="1"/>
  <c r="AF36" i="13" s="1"/>
  <c r="AB35" i="13" a="1"/>
  <c r="AB35" i="13" s="1"/>
  <c r="T34" i="13" a="1"/>
  <c r="T34" i="13" s="1"/>
  <c r="U33" i="13" a="1"/>
  <c r="U33" i="13" s="1"/>
  <c r="AD32" i="13" a="1"/>
  <c r="AD32" i="13" s="1"/>
  <c r="AH30" i="13" a="1"/>
  <c r="AH30" i="13" s="1"/>
  <c r="AN29" i="13" a="1"/>
  <c r="AN29" i="13" s="1"/>
  <c r="M29" i="13" a="1"/>
  <c r="M29" i="13" s="1"/>
  <c r="M28" i="13" a="1"/>
  <c r="M28" i="13" s="1"/>
  <c r="L27" i="13" a="1"/>
  <c r="L27" i="13" s="1"/>
  <c r="M26" i="13" a="1"/>
  <c r="M26" i="13" s="1"/>
  <c r="M25" i="13" a="1"/>
  <c r="M25" i="13" s="1"/>
  <c r="T24" i="13" a="1"/>
  <c r="T24" i="13" s="1"/>
  <c r="Q23" i="13" a="1"/>
  <c r="Q23" i="13" s="1"/>
  <c r="T22" i="13" a="1"/>
  <c r="T22" i="13" s="1"/>
  <c r="X21" i="13" a="1"/>
  <c r="X21" i="13" s="1"/>
  <c r="AM19" i="13" a="1"/>
  <c r="AM19" i="13" s="1"/>
  <c r="G19" i="13" a="1"/>
  <c r="G19" i="13" s="1"/>
  <c r="K18" i="13" a="1"/>
  <c r="K18" i="13" s="1"/>
  <c r="Q17" i="13" a="1"/>
  <c r="Q17" i="13" s="1"/>
  <c r="AD16" i="13" a="1"/>
  <c r="AD16" i="13" s="1"/>
  <c r="AJ15" i="13" a="1"/>
  <c r="AJ15" i="13" s="1"/>
  <c r="K14" i="13" a="1"/>
  <c r="K14" i="13" s="1"/>
  <c r="AG12" i="13" a="1"/>
  <c r="AG12" i="13" s="1"/>
  <c r="AN11" i="13" a="1"/>
  <c r="AN11" i="13" s="1"/>
  <c r="K11" i="13" a="1"/>
  <c r="K11" i="13" s="1"/>
  <c r="Z10" i="13" a="1"/>
  <c r="Z10" i="13" s="1"/>
  <c r="AK9" i="13" a="1"/>
  <c r="AK9" i="13" s="1"/>
  <c r="P9" i="13" a="1"/>
  <c r="P9" i="13" s="1"/>
  <c r="Z8" i="13" a="1"/>
  <c r="Z8" i="13" s="1"/>
  <c r="AD39" i="13" a="1"/>
  <c r="AD39" i="13" s="1"/>
  <c r="S38" i="13" a="1"/>
  <c r="S38" i="13" s="1"/>
  <c r="M43" i="13" a="1"/>
  <c r="M43" i="13" s="1"/>
  <c r="Q42" i="13" a="1"/>
  <c r="Q42" i="13" s="1"/>
  <c r="AN40" i="13" a="1"/>
  <c r="AN40" i="13" s="1"/>
  <c r="AG39" i="13" a="1"/>
  <c r="AG39" i="13" s="1"/>
  <c r="AC38" i="13" a="1"/>
  <c r="AC38" i="13" s="1"/>
  <c r="X37" i="13" a="1"/>
  <c r="X37" i="13" s="1"/>
  <c r="AB36" i="13" a="1"/>
  <c r="AB36" i="13" s="1"/>
  <c r="T33" i="13" a="1"/>
  <c r="T33" i="13" s="1"/>
  <c r="AC32" i="13" a="1"/>
  <c r="AC32" i="13" s="1"/>
  <c r="AG30" i="13" a="1"/>
  <c r="AG30" i="13" s="1"/>
  <c r="AM29" i="13" a="1"/>
  <c r="AM29" i="13" s="1"/>
  <c r="AN28" i="13" a="1"/>
  <c r="AN28" i="13" s="1"/>
  <c r="L28" i="13" a="1"/>
  <c r="L28" i="13" s="1"/>
  <c r="H27" i="13" a="1"/>
  <c r="H27" i="13" s="1"/>
  <c r="L26" i="13" a="1"/>
  <c r="L26" i="13" s="1"/>
  <c r="I25" i="13" a="1"/>
  <c r="I25" i="13" s="1"/>
  <c r="R24" i="13" a="1"/>
  <c r="R24" i="13" s="1"/>
  <c r="P23" i="13" a="1"/>
  <c r="P23" i="13" s="1"/>
  <c r="S22" i="13" a="1"/>
  <c r="S22" i="13" s="1"/>
  <c r="W21" i="13" a="1"/>
  <c r="W21" i="13" s="1"/>
  <c r="AA20" i="13" a="1"/>
  <c r="AA20" i="13" s="1"/>
  <c r="AL19" i="13" a="1"/>
  <c r="AL19" i="13" s="1"/>
  <c r="J18" i="13" a="1"/>
  <c r="J18" i="13" s="1"/>
  <c r="P17" i="13" a="1"/>
  <c r="P17" i="13" s="1"/>
  <c r="AC16" i="13" a="1"/>
  <c r="AC16" i="13" s="1"/>
  <c r="AI15" i="13" a="1"/>
  <c r="AI15" i="13" s="1"/>
  <c r="J14" i="13" a="1"/>
  <c r="J14" i="13" s="1"/>
  <c r="Q13" i="13" a="1"/>
  <c r="Q13" i="13" s="1"/>
  <c r="AF12" i="13" a="1"/>
  <c r="AF12" i="13" s="1"/>
  <c r="AM11" i="13" a="1"/>
  <c r="AM11" i="13" s="1"/>
  <c r="J11" i="13" a="1"/>
  <c r="J11" i="13" s="1"/>
  <c r="Y10" i="13" a="1"/>
  <c r="Y10" i="13" s="1"/>
  <c r="AJ9" i="13" a="1"/>
  <c r="AJ9" i="13" s="1"/>
  <c r="O9" i="13" a="1"/>
  <c r="O9" i="13" s="1"/>
  <c r="Y8" i="13" a="1"/>
  <c r="Y8" i="13" s="1"/>
  <c r="AL28" i="13" a="1"/>
  <c r="AL28" i="13" s="1"/>
  <c r="Z40" i="13" a="1"/>
  <c r="Z40" i="13" s="1"/>
  <c r="G11" i="13" a="1"/>
  <c r="G11" i="13" s="1"/>
  <c r="L43" i="13" a="1"/>
  <c r="L43" i="13" s="1"/>
  <c r="AM40" i="13" a="1"/>
  <c r="AM40" i="13" s="1"/>
  <c r="AF39" i="13" a="1"/>
  <c r="AF39" i="13" s="1"/>
  <c r="AB38" i="13" a="1"/>
  <c r="AB38" i="13" s="1"/>
  <c r="Y36" i="13" a="1"/>
  <c r="Y36" i="13" s="1"/>
  <c r="V35" i="13" a="1"/>
  <c r="V35" i="13" s="1"/>
  <c r="N34" i="13" a="1"/>
  <c r="N34" i="13" s="1"/>
  <c r="S33" i="13" a="1"/>
  <c r="S33" i="13" s="1"/>
  <c r="T32" i="13" a="1"/>
  <c r="T32" i="13" s="1"/>
  <c r="AF30" i="13" a="1"/>
  <c r="AF30" i="13" s="1"/>
  <c r="AL29" i="13" a="1"/>
  <c r="AL29" i="13" s="1"/>
  <c r="AM28" i="13" a="1"/>
  <c r="AM28" i="13" s="1"/>
  <c r="K28" i="13" a="1"/>
  <c r="K28" i="13" s="1"/>
  <c r="G27" i="13" a="1"/>
  <c r="G27" i="13" s="1"/>
  <c r="K26" i="13" a="1"/>
  <c r="K26" i="13" s="1"/>
  <c r="H25" i="13" a="1"/>
  <c r="H25" i="13" s="1"/>
  <c r="H24" i="13" a="1"/>
  <c r="H24" i="13" s="1"/>
  <c r="O23" i="13" a="1"/>
  <c r="O23" i="13" s="1"/>
  <c r="R22" i="13" a="1"/>
  <c r="R22" i="13" s="1"/>
  <c r="V21" i="13" a="1"/>
  <c r="V21" i="13" s="1"/>
  <c r="X20" i="13" a="1"/>
  <c r="X20" i="13" s="1"/>
  <c r="AK19" i="13" a="1"/>
  <c r="AK19" i="13" s="1"/>
  <c r="I18" i="13" a="1"/>
  <c r="I18" i="13" s="1"/>
  <c r="O17" i="13" a="1"/>
  <c r="O17" i="13" s="1"/>
  <c r="U16" i="13" a="1"/>
  <c r="U16" i="13" s="1"/>
  <c r="AH15" i="13" a="1"/>
  <c r="AH15" i="13" s="1"/>
  <c r="I14" i="13" a="1"/>
  <c r="I14" i="13" s="1"/>
  <c r="P13" i="13" a="1"/>
  <c r="P13" i="13" s="1"/>
  <c r="AE12" i="13" a="1"/>
  <c r="AE12" i="13" s="1"/>
  <c r="AL11" i="13" a="1"/>
  <c r="AL11" i="13" s="1"/>
  <c r="I11" i="13" a="1"/>
  <c r="I11" i="13" s="1"/>
  <c r="X10" i="13" a="1"/>
  <c r="X10" i="13" s="1"/>
  <c r="AI9" i="13" a="1"/>
  <c r="AI9" i="13" s="1"/>
  <c r="H9" i="13" a="1"/>
  <c r="H9" i="13" s="1"/>
  <c r="X8" i="13" a="1"/>
  <c r="X8" i="13" s="1"/>
  <c r="K43" i="13" a="1"/>
  <c r="K43" i="13" s="1"/>
  <c r="AN41" i="13" a="1"/>
  <c r="AN41" i="13" s="1"/>
  <c r="AL40" i="13" a="1"/>
  <c r="AL40" i="13" s="1"/>
  <c r="AE39" i="13" a="1"/>
  <c r="AE39" i="13" s="1"/>
  <c r="AA38" i="13" a="1"/>
  <c r="AA38" i="13" s="1"/>
  <c r="W37" i="13" a="1"/>
  <c r="W37" i="13" s="1"/>
  <c r="S36" i="13" a="1"/>
  <c r="S36" i="13" s="1"/>
  <c r="U35" i="13" a="1"/>
  <c r="U35" i="13" s="1"/>
  <c r="M34" i="13" a="1"/>
  <c r="M34" i="13" s="1"/>
  <c r="R33" i="13" a="1"/>
  <c r="R33" i="13" s="1"/>
  <c r="S32" i="13" a="1"/>
  <c r="S32" i="13" s="1"/>
  <c r="AE30" i="13" a="1"/>
  <c r="AE30" i="13" s="1"/>
  <c r="AK29" i="13" a="1"/>
  <c r="AK29" i="13" s="1"/>
  <c r="AJ27" i="13" a="1"/>
  <c r="AJ27" i="13" s="1"/>
  <c r="G25" i="13" a="1"/>
  <c r="G25" i="13" s="1"/>
  <c r="G24" i="13" a="1"/>
  <c r="G24" i="13" s="1"/>
  <c r="Q22" i="13" a="1"/>
  <c r="Q22" i="13" s="1"/>
  <c r="W20" i="13" a="1"/>
  <c r="W20" i="13" s="1"/>
  <c r="AB19" i="13" a="1"/>
  <c r="AB19" i="13" s="1"/>
  <c r="G18" i="13" a="1"/>
  <c r="G18" i="13" s="1"/>
  <c r="M17" i="13" a="1"/>
  <c r="M17" i="13" s="1"/>
  <c r="S16" i="13" a="1"/>
  <c r="S16" i="13" s="1"/>
  <c r="AG15" i="13" a="1"/>
  <c r="AG15" i="13" s="1"/>
  <c r="AN14" i="13" a="1"/>
  <c r="AN14" i="13" s="1"/>
  <c r="H14" i="13" a="1"/>
  <c r="H14" i="13" s="1"/>
  <c r="O13" i="13" a="1"/>
  <c r="O13" i="13" s="1"/>
  <c r="AC12" i="13" a="1"/>
  <c r="AC12" i="13" s="1"/>
  <c r="AK11" i="13" a="1"/>
  <c r="AK11" i="13" s="1"/>
  <c r="H11" i="13" a="1"/>
  <c r="H11" i="13" s="1"/>
  <c r="W10" i="13" a="1"/>
  <c r="W10" i="13" s="1"/>
  <c r="AH9" i="13" a="1"/>
  <c r="AH9" i="13" s="1"/>
  <c r="G9" i="13" a="1"/>
  <c r="G9" i="13" s="1"/>
  <c r="S37" i="13" a="1"/>
  <c r="S37" i="13" s="1"/>
  <c r="O36" i="13" a="1"/>
  <c r="O36" i="13" s="1"/>
  <c r="T35" i="13" a="1"/>
  <c r="T35" i="13" s="1"/>
  <c r="L34" i="13" a="1"/>
  <c r="L34" i="13" s="1"/>
  <c r="P33" i="13" a="1"/>
  <c r="P33" i="13" s="1"/>
  <c r="R32" i="13" a="1"/>
  <c r="R32" i="13" s="1"/>
  <c r="AJ29" i="13" a="1"/>
  <c r="AJ29" i="13" s="1"/>
  <c r="AI27" i="13" a="1"/>
  <c r="AI27" i="13" s="1"/>
  <c r="I26" i="13" a="1"/>
  <c r="I26" i="13" s="1"/>
  <c r="AN22" i="13" a="1"/>
  <c r="AN22" i="13" s="1"/>
  <c r="R21" i="13" a="1"/>
  <c r="R21" i="13" s="1"/>
  <c r="AN18" i="13" a="1"/>
  <c r="AN18" i="13" s="1"/>
  <c r="L17" i="13" a="1"/>
  <c r="L17" i="13" s="1"/>
  <c r="Y15" i="13" a="1"/>
  <c r="Y15" i="13" s="1"/>
  <c r="G14" i="13" a="1"/>
  <c r="G14" i="13" s="1"/>
  <c r="V12" i="13" a="1"/>
  <c r="V12" i="13" s="1"/>
  <c r="K36" i="13" a="1"/>
  <c r="K36" i="13" s="1"/>
  <c r="K34" i="13" a="1"/>
  <c r="K34" i="13" s="1"/>
  <c r="AI29" i="13" a="1"/>
  <c r="AI29" i="13" s="1"/>
  <c r="AH27" i="13" a="1"/>
  <c r="AH27" i="13" s="1"/>
  <c r="H26" i="13" a="1"/>
  <c r="H26" i="13" s="1"/>
  <c r="O22" i="13" a="1"/>
  <c r="O22" i="13" s="1"/>
  <c r="V20" i="13" a="1"/>
  <c r="V20" i="13" s="1"/>
  <c r="AL14" i="13" a="1"/>
  <c r="AL14" i="13" s="1"/>
  <c r="M13" i="13" a="1"/>
  <c r="M13" i="13" s="1"/>
  <c r="U12" i="13" a="1"/>
  <c r="U12" i="13" s="1"/>
  <c r="AF9" i="13" a="1"/>
  <c r="AF9" i="13" s="1"/>
  <c r="U8" i="13" a="1"/>
  <c r="U8" i="13" s="1"/>
  <c r="J36" i="13" a="1"/>
  <c r="J36" i="13" s="1"/>
  <c r="J34" i="13" a="1"/>
  <c r="J34" i="13" s="1"/>
  <c r="T30" i="13" a="1"/>
  <c r="T30" i="13" s="1"/>
  <c r="AB41" i="13" a="1"/>
  <c r="AB41" i="13" s="1"/>
  <c r="AH33" i="13" a="1"/>
  <c r="AH33" i="13" s="1"/>
  <c r="R29" i="13" a="1"/>
  <c r="R29" i="13" s="1"/>
  <c r="AF26" i="13" a="1"/>
  <c r="AF26" i="13" s="1"/>
  <c r="AA24" i="13" a="1"/>
  <c r="AA24" i="13" s="1"/>
  <c r="AG22" i="13" a="1"/>
  <c r="AG22" i="13" s="1"/>
  <c r="U20" i="13" a="1"/>
  <c r="U20" i="13" s="1"/>
  <c r="AB18" i="13" a="1"/>
  <c r="AB18" i="13" s="1"/>
  <c r="AK16" i="13" a="1"/>
  <c r="AK16" i="13" s="1"/>
  <c r="Q15" i="13" a="1"/>
  <c r="Q15" i="13" s="1"/>
  <c r="K13" i="13" a="1"/>
  <c r="K13" i="13" s="1"/>
  <c r="X11" i="13" a="1"/>
  <c r="X11" i="13" s="1"/>
  <c r="J10" i="13" a="1"/>
  <c r="J10" i="13" s="1"/>
  <c r="O8" i="13" a="1"/>
  <c r="O8" i="13" s="1"/>
  <c r="X40" i="13" a="1"/>
  <c r="X40" i="13" s="1"/>
  <c r="AB26" i="13" a="1"/>
  <c r="AB26" i="13" s="1"/>
  <c r="G20" i="13" a="1"/>
  <c r="G20" i="13" s="1"/>
  <c r="Y14" i="13" a="1"/>
  <c r="Y14" i="13" s="1"/>
  <c r="V9" i="13" a="1"/>
  <c r="V9" i="13" s="1"/>
  <c r="AC43" i="13" a="1"/>
  <c r="AC43" i="13" s="1"/>
  <c r="R28" i="13" a="1"/>
  <c r="R28" i="13" s="1"/>
  <c r="AM21" i="13" a="1"/>
  <c r="AM21" i="13" s="1"/>
  <c r="N16" i="13" a="1"/>
  <c r="N16" i="13" s="1"/>
  <c r="AN10" i="13" a="1"/>
  <c r="AN10" i="13" s="1"/>
  <c r="V40" i="13" a="1"/>
  <c r="V40" i="13" s="1"/>
  <c r="Q28" i="13" a="1"/>
  <c r="Q28" i="13" s="1"/>
  <c r="AL21" i="13" a="1"/>
  <c r="AL21" i="13" s="1"/>
  <c r="AF17" i="13" a="1"/>
  <c r="AF17" i="13" s="1"/>
  <c r="S12" i="13" a="1"/>
  <c r="S12" i="13" s="1"/>
  <c r="M32" i="13" a="1"/>
  <c r="M32" i="13" s="1"/>
  <c r="AD25" i="13" a="1"/>
  <c r="AD25" i="13" s="1"/>
  <c r="AB17" i="13" a="1"/>
  <c r="AB17" i="13" s="1"/>
  <c r="P12" i="13" a="1"/>
  <c r="P12" i="13" s="1"/>
  <c r="W42" i="13" a="1"/>
  <c r="W42" i="13" s="1"/>
  <c r="AD27" i="13" a="1"/>
  <c r="AD27" i="13" s="1"/>
  <c r="G21" i="13" a="1"/>
  <c r="G21" i="13" s="1"/>
  <c r="AA17" i="13" a="1"/>
  <c r="AA17" i="13" s="1"/>
  <c r="AF13" i="13" a="1"/>
  <c r="AF13" i="13" s="1"/>
  <c r="AM8" i="13" a="1"/>
  <c r="AM8" i="13" s="1"/>
  <c r="AL36" i="13" a="1"/>
  <c r="AL36" i="13" s="1"/>
  <c r="Y25" i="13" a="1"/>
  <c r="Y25" i="13" s="1"/>
  <c r="U15" i="13" a="1"/>
  <c r="U15" i="13" s="1"/>
  <c r="N10" i="13" a="1"/>
  <c r="N10" i="13" s="1"/>
  <c r="AA41" i="13" a="1"/>
  <c r="AA41" i="13" s="1"/>
  <c r="G39" i="13" a="1"/>
  <c r="G39" i="13" s="1"/>
  <c r="H36" i="13" a="1"/>
  <c r="H36" i="13" s="1"/>
  <c r="K33" i="13" a="1"/>
  <c r="K33" i="13" s="1"/>
  <c r="P30" i="13" a="1"/>
  <c r="P30" i="13" s="1"/>
  <c r="AE28" i="13" a="1"/>
  <c r="AE28" i="13" s="1"/>
  <c r="Z24" i="13" a="1"/>
  <c r="Z24" i="13" s="1"/>
  <c r="AF22" i="13" a="1"/>
  <c r="AF22" i="13" s="1"/>
  <c r="T20" i="13" a="1"/>
  <c r="T20" i="13" s="1"/>
  <c r="AA18" i="13" a="1"/>
  <c r="AA18" i="13" s="1"/>
  <c r="AI16" i="13" a="1"/>
  <c r="AI16" i="13" s="1"/>
  <c r="AC14" i="13" a="1"/>
  <c r="AC14" i="13" s="1"/>
  <c r="J13" i="13" a="1"/>
  <c r="J13" i="13" s="1"/>
  <c r="W11" i="13" a="1"/>
  <c r="W11" i="13" s="1"/>
  <c r="I10" i="13" a="1"/>
  <c r="I10" i="13" s="1"/>
  <c r="N8" i="13" a="1"/>
  <c r="N8" i="13" s="1"/>
  <c r="AK43" i="13" a="1"/>
  <c r="AK43" i="13" s="1"/>
  <c r="AN21" i="13" a="1"/>
  <c r="AN21" i="13" s="1"/>
  <c r="O16" i="13" a="1"/>
  <c r="O16" i="13" s="1"/>
  <c r="J8" i="13" a="1"/>
  <c r="J8" i="13" s="1"/>
  <c r="AH32" i="13" a="1"/>
  <c r="AH32" i="13" s="1"/>
  <c r="AJ23" i="13" a="1"/>
  <c r="AJ23" i="13" s="1"/>
  <c r="T12" i="13" a="1"/>
  <c r="T12" i="13" s="1"/>
  <c r="I8" i="13" a="1"/>
  <c r="I8" i="13" s="1"/>
  <c r="AL42" i="13" a="1"/>
  <c r="AL42" i="13" s="1"/>
  <c r="AG25" i="13" a="1"/>
  <c r="AG25" i="13" s="1"/>
  <c r="Y19" i="13" a="1"/>
  <c r="Y19" i="13" s="1"/>
  <c r="W14" i="13" a="1"/>
  <c r="W14" i="13" s="1"/>
  <c r="N37" i="13" a="1"/>
  <c r="N37" i="13" s="1"/>
  <c r="AE27" i="13" a="1"/>
  <c r="AE27" i="13" s="1"/>
  <c r="O21" i="13" a="1"/>
  <c r="O21" i="13" s="1"/>
  <c r="W15" i="13" a="1"/>
  <c r="W15" i="13" s="1"/>
  <c r="AD10" i="13" a="1"/>
  <c r="AD10" i="13" s="1"/>
  <c r="M37" i="13" a="1"/>
  <c r="M37" i="13" s="1"/>
  <c r="AL22" i="13" a="1"/>
  <c r="AL22" i="13" s="1"/>
  <c r="O12" i="13" a="1"/>
  <c r="O12" i="13" s="1"/>
  <c r="M39" i="13" a="1"/>
  <c r="M39" i="13" s="1"/>
  <c r="V29" i="13" a="1"/>
  <c r="V29" i="13" s="1"/>
  <c r="AK22" i="13" a="1"/>
  <c r="AK22" i="13" s="1"/>
  <c r="J17" i="13" a="1"/>
  <c r="J17" i="13" s="1"/>
  <c r="AE13" i="13" a="1"/>
  <c r="AE13" i="13" s="1"/>
  <c r="AL8" i="13" a="1"/>
  <c r="AL8" i="13" s="1"/>
  <c r="AN43" i="13" a="1"/>
  <c r="AN43" i="13" s="1"/>
  <c r="O41" i="13" a="1"/>
  <c r="O41" i="13" s="1"/>
  <c r="G36" i="13" a="1"/>
  <c r="G36" i="13" s="1"/>
  <c r="J33" i="13" a="1"/>
  <c r="J33" i="13" s="1"/>
  <c r="O30" i="13" a="1"/>
  <c r="O30" i="13" s="1"/>
  <c r="AE26" i="13" a="1"/>
  <c r="AE26" i="13" s="1"/>
  <c r="Y24" i="13" a="1"/>
  <c r="Y24" i="13" s="1"/>
  <c r="S20" i="13" a="1"/>
  <c r="S20" i="13" s="1"/>
  <c r="Z18" i="13" a="1"/>
  <c r="Z18" i="13" s="1"/>
  <c r="AH16" i="13" a="1"/>
  <c r="AH16" i="13" s="1"/>
  <c r="AB14" i="13" a="1"/>
  <c r="AB14" i="13" s="1"/>
  <c r="I13" i="13" a="1"/>
  <c r="I13" i="13" s="1"/>
  <c r="V11" i="13" a="1"/>
  <c r="V11" i="13" s="1"/>
  <c r="AE9" i="13" a="1"/>
  <c r="AE9" i="13" s="1"/>
  <c r="M8" i="13" a="1"/>
  <c r="M8" i="13" s="1"/>
  <c r="M40" i="13" a="1"/>
  <c r="M40" i="13" s="1"/>
  <c r="AM43" i="13" a="1"/>
  <c r="AM43" i="13" s="1"/>
  <c r="N41" i="13" a="1"/>
  <c r="N41" i="13" s="1"/>
  <c r="R38" i="13" a="1"/>
  <c r="R38" i="13" s="1"/>
  <c r="AD28" i="13" a="1"/>
  <c r="AD28" i="13" s="1"/>
  <c r="AD26" i="13" a="1"/>
  <c r="AD26" i="13" s="1"/>
  <c r="X24" i="13" a="1"/>
  <c r="X24" i="13" s="1"/>
  <c r="R20" i="13" a="1"/>
  <c r="R20" i="13" s="1"/>
  <c r="Y18" i="13" a="1"/>
  <c r="Y18" i="13" s="1"/>
  <c r="Q16" i="13" a="1"/>
  <c r="Q16" i="13" s="1"/>
  <c r="AA14" i="13" a="1"/>
  <c r="AA14" i="13" s="1"/>
  <c r="AL12" i="13" a="1"/>
  <c r="AL12" i="13" s="1"/>
  <c r="U11" i="13" a="1"/>
  <c r="U11" i="13" s="1"/>
  <c r="AD9" i="13" a="1"/>
  <c r="AD9" i="13" s="1"/>
  <c r="L8" i="13" a="1"/>
  <c r="L8" i="13" s="1"/>
  <c r="Y40" i="13" a="1"/>
  <c r="Y40" i="13" s="1"/>
  <c r="AJ32" i="13" a="1"/>
  <c r="AJ32" i="13" s="1"/>
  <c r="AC26" i="13" a="1"/>
  <c r="AC26" i="13" s="1"/>
  <c r="AN23" i="13" a="1"/>
  <c r="AN23" i="13" s="1"/>
  <c r="H20" i="13" a="1"/>
  <c r="H20" i="13" s="1"/>
  <c r="V18" i="13" a="1"/>
  <c r="V18" i="13" s="1"/>
  <c r="P16" i="13" a="1"/>
  <c r="P16" i="13" s="1"/>
  <c r="Z14" i="13" a="1"/>
  <c r="Z14" i="13" s="1"/>
  <c r="W9" i="13" a="1"/>
  <c r="W9" i="13" s="1"/>
  <c r="K8" i="13" a="1"/>
  <c r="K8" i="13" s="1"/>
  <c r="AI32" i="13" a="1"/>
  <c r="AI32" i="13" s="1"/>
  <c r="U28" i="13" a="1"/>
  <c r="U28" i="13" s="1"/>
  <c r="AK23" i="13" a="1"/>
  <c r="AK23" i="13" s="1"/>
  <c r="AK12" i="13" a="1"/>
  <c r="AK12" i="13" s="1"/>
  <c r="W40" i="13" a="1"/>
  <c r="W40" i="13" s="1"/>
  <c r="AG17" i="13" a="1"/>
  <c r="AG17" i="13" s="1"/>
  <c r="U9" i="13" a="1"/>
  <c r="U9" i="13" s="1"/>
  <c r="AN37" i="13" a="1"/>
  <c r="AN37" i="13" s="1"/>
  <c r="AN34" i="13" a="1"/>
  <c r="AN34" i="13" s="1"/>
  <c r="AI23" i="13" a="1"/>
  <c r="AI23" i="13" s="1"/>
  <c r="M16" i="13" a="1"/>
  <c r="M16" i="13" s="1"/>
  <c r="AM10" i="13" a="1"/>
  <c r="AM10" i="13" s="1"/>
  <c r="AK34" i="13" a="1"/>
  <c r="AK34" i="13" s="1"/>
  <c r="U23" i="13" a="1"/>
  <c r="U23" i="13" s="1"/>
  <c r="V19" i="13" a="1"/>
  <c r="V19" i="13" s="1"/>
  <c r="AG13" i="13" a="1"/>
  <c r="AG13" i="13" s="1"/>
  <c r="AN8" i="13" a="1"/>
  <c r="AN8" i="13" s="1"/>
  <c r="P39" i="13" a="1"/>
  <c r="P39" i="13" s="1"/>
  <c r="AC25" i="13" a="1"/>
  <c r="AC25" i="13" s="1"/>
  <c r="U19" i="13" a="1"/>
  <c r="U19" i="13" s="1"/>
  <c r="V15" i="13" a="1"/>
  <c r="V15" i="13" s="1"/>
  <c r="O10" i="13" a="1"/>
  <c r="O10" i="13" s="1"/>
  <c r="V42" i="13" a="1"/>
  <c r="V42" i="13" s="1"/>
  <c r="AC27" i="13" a="1"/>
  <c r="AC27" i="13" s="1"/>
  <c r="T19" i="13" a="1"/>
  <c r="T19" i="13" s="1"/>
  <c r="M12" i="13" a="1"/>
  <c r="M12" i="13" s="1"/>
  <c r="AL43" i="13" a="1"/>
  <c r="AL43" i="13" s="1"/>
  <c r="AF35" i="13" a="1"/>
  <c r="AF35" i="13" s="1"/>
  <c r="X14" i="13" a="1"/>
  <c r="X14" i="13" s="1"/>
  <c r="AJ33" i="13" a="1"/>
  <c r="AJ33" i="13" s="1"/>
  <c r="AK42" i="13" a="1"/>
  <c r="AK42" i="13" s="1"/>
  <c r="O40" i="13" a="1"/>
  <c r="O40" i="13" s="1"/>
  <c r="AM37" i="13" a="1"/>
  <c r="AM37" i="13" s="1"/>
  <c r="AM34" i="13" a="1"/>
  <c r="AM34" i="13" s="1"/>
  <c r="P32" i="13" a="1"/>
  <c r="P32" i="13" s="1"/>
  <c r="AG27" i="13" a="1"/>
  <c r="AG27" i="13" s="1"/>
  <c r="AF25" i="13" a="1"/>
  <c r="AF25" i="13" s="1"/>
  <c r="AH23" i="13" a="1"/>
  <c r="AH23" i="13" s="1"/>
  <c r="AK21" i="13" a="1"/>
  <c r="AK21" i="13" s="1"/>
  <c r="X19" i="13" a="1"/>
  <c r="X19" i="13" s="1"/>
  <c r="AE17" i="13" a="1"/>
  <c r="AE17" i="13" s="1"/>
  <c r="R12" i="13" a="1"/>
  <c r="R12" i="13" s="1"/>
  <c r="AF10" i="13" a="1"/>
  <c r="AF10" i="13" s="1"/>
  <c r="T9" i="13" a="1"/>
  <c r="T9" i="13" s="1"/>
  <c r="X42" i="13" a="1"/>
  <c r="X42" i="13" s="1"/>
  <c r="N40" i="13" a="1"/>
  <c r="N40" i="13" s="1"/>
  <c r="O37" i="13" a="1"/>
  <c r="O37" i="13" s="1"/>
  <c r="AL34" i="13" a="1"/>
  <c r="AL34" i="13" s="1"/>
  <c r="O32" i="13" a="1"/>
  <c r="O32" i="13" s="1"/>
  <c r="AF27" i="13" a="1"/>
  <c r="AF27" i="13" s="1"/>
  <c r="AE25" i="13" a="1"/>
  <c r="AE25" i="13" s="1"/>
  <c r="Y23" i="13" a="1"/>
  <c r="Y23" i="13" s="1"/>
  <c r="P21" i="13" a="1"/>
  <c r="P21" i="13" s="1"/>
  <c r="W19" i="13" a="1"/>
  <c r="W19" i="13" s="1"/>
  <c r="AD17" i="13" a="1"/>
  <c r="AD17" i="13" s="1"/>
  <c r="AN15" i="13" a="1"/>
  <c r="AN15" i="13" s="1"/>
  <c r="Q12" i="13" a="1"/>
  <c r="Q12" i="13" s="1"/>
  <c r="AE10" i="13" a="1"/>
  <c r="AE10" i="13" s="1"/>
  <c r="AH29" i="13" a="1"/>
  <c r="AH29" i="13" s="1"/>
  <c r="AG29" i="13" a="1"/>
  <c r="AG29" i="13" s="1"/>
  <c r="AE41" i="13" a="1"/>
  <c r="AE41" i="13" s="1"/>
  <c r="I39" i="13" a="1"/>
  <c r="I39" i="13" s="1"/>
  <c r="AK36" i="13" a="1"/>
  <c r="AK36" i="13" s="1"/>
  <c r="S30" i="13" a="1"/>
  <c r="S30" i="13" s="1"/>
  <c r="U29" i="13" a="1"/>
  <c r="U29" i="13" s="1"/>
  <c r="AA27" i="13" a="1"/>
  <c r="AA27" i="13" s="1"/>
  <c r="AJ22" i="13" a="1"/>
  <c r="AJ22" i="13" s="1"/>
  <c r="J19" i="13" a="1"/>
  <c r="J19" i="13" s="1"/>
  <c r="I17" i="13" a="1"/>
  <c r="I17" i="13" s="1"/>
  <c r="T15" i="13" a="1"/>
  <c r="T15" i="13" s="1"/>
  <c r="AD13" i="13" a="1"/>
  <c r="AD13" i="13" s="1"/>
  <c r="AH11" i="13" a="1"/>
  <c r="AH11" i="13" s="1"/>
  <c r="M10" i="13" a="1"/>
  <c r="M10" i="13" s="1"/>
  <c r="AK8" i="13" a="1"/>
  <c r="AK8" i="13" s="1"/>
  <c r="AD41" i="13" a="1"/>
  <c r="AD41" i="13" s="1"/>
  <c r="AJ36" i="13" a="1"/>
  <c r="AJ36" i="13" s="1"/>
  <c r="AI33" i="13" a="1"/>
  <c r="AI33" i="13" s="1"/>
  <c r="R30" i="13" a="1"/>
  <c r="R30" i="13" s="1"/>
  <c r="T29" i="13" a="1"/>
  <c r="T29" i="13" s="1"/>
  <c r="Q27" i="13" a="1"/>
  <c r="Q27" i="13" s="1"/>
  <c r="AN24" i="13" a="1"/>
  <c r="AN24" i="13" s="1"/>
  <c r="AI22" i="13" a="1"/>
  <c r="AI22" i="13" s="1"/>
  <c r="AM20" i="13" a="1"/>
  <c r="AM20" i="13" s="1"/>
  <c r="AD18" i="13" a="1"/>
  <c r="AD18" i="13" s="1"/>
  <c r="H17" i="13" a="1"/>
  <c r="H17" i="13" s="1"/>
  <c r="S15" i="13" a="1"/>
  <c r="S15" i="13" s="1"/>
  <c r="AC13" i="13" a="1"/>
  <c r="AC13" i="13" s="1"/>
  <c r="Z11" i="13" a="1"/>
  <c r="Z11" i="13" s="1"/>
  <c r="L10" i="13" a="1"/>
  <c r="L10" i="13" s="1"/>
  <c r="AJ8" i="13" a="1"/>
  <c r="AJ8" i="13" s="1"/>
  <c r="AC41" i="13" a="1"/>
  <c r="AC41" i="13" s="1"/>
  <c r="H39" i="13" a="1"/>
  <c r="H39" i="13" s="1"/>
  <c r="I36" i="13" a="1"/>
  <c r="I36" i="13" s="1"/>
  <c r="Q30" i="13" a="1"/>
  <c r="Q30" i="13" s="1"/>
  <c r="S29" i="13" a="1"/>
  <c r="S29" i="13" s="1"/>
  <c r="AG26" i="13" a="1"/>
  <c r="AG26" i="13" s="1"/>
  <c r="AM24" i="13" a="1"/>
  <c r="AM24" i="13" s="1"/>
  <c r="AH22" i="13" a="1"/>
  <c r="AH22" i="13" s="1"/>
  <c r="AL20" i="13" a="1"/>
  <c r="AL20" i="13" s="1"/>
  <c r="AC18" i="13" a="1"/>
  <c r="AC18" i="13" s="1"/>
  <c r="AL16" i="13" a="1"/>
  <c r="AL16" i="13" s="1"/>
  <c r="R15" i="13" a="1"/>
  <c r="R15" i="13" s="1"/>
  <c r="L13" i="13" a="1"/>
  <c r="L13" i="13" s="1"/>
  <c r="Y11" i="13" a="1"/>
  <c r="Y11" i="13" s="1"/>
  <c r="K10" i="13" a="1"/>
  <c r="K10" i="13" s="1"/>
  <c r="AD8" i="13" a="1"/>
  <c r="AD8" i="13" s="1"/>
  <c r="X26" i="15" l="1"/>
  <c r="Y26" i="15"/>
  <c r="AA26" i="15"/>
  <c r="AB26" i="15"/>
  <c r="G26" i="15"/>
  <c r="G46" i="15" s="1"/>
  <c r="AC26" i="15"/>
  <c r="H26" i="15"/>
  <c r="H46" i="15" s="1"/>
  <c r="AD26" i="15"/>
  <c r="I26" i="15"/>
  <c r="I46" i="15" s="1"/>
  <c r="AE26" i="15"/>
  <c r="J26" i="15"/>
  <c r="J46" i="15" s="1"/>
  <c r="AF26" i="15"/>
  <c r="K26" i="15"/>
  <c r="K46" i="15" s="1"/>
  <c r="AG26" i="15"/>
  <c r="L26" i="15"/>
  <c r="L46" i="15" s="1"/>
  <c r="AH26" i="15"/>
  <c r="M26" i="15"/>
  <c r="M46" i="15" s="1"/>
  <c r="AI26" i="15"/>
  <c r="N26" i="15"/>
  <c r="N46" i="15" s="1"/>
  <c r="AJ26" i="15"/>
  <c r="O26" i="15"/>
  <c r="O46" i="15" s="1"/>
  <c r="AK26" i="15"/>
  <c r="P26" i="15"/>
  <c r="P46" i="15" s="1"/>
  <c r="AL26" i="15"/>
  <c r="Q26" i="15"/>
  <c r="Q46" i="15" s="1"/>
  <c r="AM26" i="15"/>
  <c r="R26" i="15"/>
  <c r="R46" i="15" s="1"/>
  <c r="AN26" i="15"/>
  <c r="S26" i="15"/>
  <c r="S46" i="15" s="1"/>
  <c r="T26" i="15"/>
  <c r="T46" i="15" s="1"/>
  <c r="U26" i="15"/>
  <c r="U46" i="15" s="1"/>
  <c r="V26" i="15"/>
  <c r="V46" i="15" s="1"/>
  <c r="Z26" i="15"/>
  <c r="W26" i="15"/>
  <c r="F13" i="15"/>
  <c r="F22" i="15" s="1"/>
  <c r="F45" i="15" s="1"/>
  <c r="K8" i="15"/>
  <c r="F14" i="15"/>
  <c r="K9" i="15"/>
  <c r="F23" i="15" s="1"/>
  <c r="AF47" i="13" a="1"/>
  <c r="AF47" i="13" s="1"/>
  <c r="I47" i="13" a="1"/>
  <c r="I47" i="13" s="1"/>
  <c r="U47" i="13" a="1"/>
  <c r="U47" i="13" s="1"/>
  <c r="P47" i="13" a="1"/>
  <c r="P47" i="13" s="1"/>
  <c r="L47" i="13" a="1"/>
  <c r="L47" i="13" s="1"/>
  <c r="AH47" i="13" a="1"/>
  <c r="AH47" i="13" s="1"/>
  <c r="AL47" i="13" a="1"/>
  <c r="AL47" i="13" s="1"/>
  <c r="AI47" i="13" a="1"/>
  <c r="AI47" i="13" s="1"/>
  <c r="AN47" i="13" a="1"/>
  <c r="AN47" i="13" s="1"/>
  <c r="Q47" i="13" a="1"/>
  <c r="Q47" i="13" s="1"/>
  <c r="AG47" i="13" a="1"/>
  <c r="AG47" i="13" s="1"/>
  <c r="S47" i="13" a="1"/>
  <c r="S47" i="13" s="1"/>
  <c r="AM47" i="13" a="1"/>
  <c r="AM47" i="13" s="1"/>
  <c r="AD47" i="13" a="1"/>
  <c r="AD47" i="13" s="1"/>
  <c r="T47" i="13" a="1"/>
  <c r="T47" i="13" s="1"/>
  <c r="AA47" i="13" a="1"/>
  <c r="AA47" i="13" s="1"/>
  <c r="O47" i="13" a="1"/>
  <c r="O47" i="13" s="1"/>
  <c r="G47" i="13" a="1"/>
  <c r="G47" i="13" s="1"/>
  <c r="Y47" i="13" a="1"/>
  <c r="Y47" i="13" s="1"/>
  <c r="AJ47" i="13" a="1"/>
  <c r="AJ47" i="13" s="1"/>
  <c r="M47" i="13" a="1"/>
  <c r="M47" i="13" s="1"/>
  <c r="X47" i="13" a="1"/>
  <c r="X47" i="13" s="1"/>
  <c r="AE47" i="13" a="1"/>
  <c r="AE47" i="13" s="1"/>
  <c r="AB47" i="13" a="1"/>
  <c r="AB47" i="13" s="1"/>
  <c r="H47" i="13" a="1"/>
  <c r="H47" i="13" s="1"/>
  <c r="K47" i="13" a="1"/>
  <c r="K47" i="13" s="1"/>
  <c r="AK47" i="13" a="1"/>
  <c r="AK47" i="13" s="1"/>
  <c r="AC47" i="13" a="1"/>
  <c r="AC47" i="13" s="1"/>
  <c r="R47" i="13" a="1"/>
  <c r="R47" i="13" s="1"/>
  <c r="Z47" i="13" a="1"/>
  <c r="Z47" i="13" s="1"/>
  <c r="J47" i="13" a="1"/>
  <c r="J47" i="13" s="1"/>
  <c r="N47" i="13" a="1"/>
  <c r="N47" i="13" s="1"/>
  <c r="V47" i="13" a="1"/>
  <c r="V47" i="13" s="1"/>
  <c r="W47" i="13" a="1"/>
  <c r="W47" i="13" s="1"/>
  <c r="AK22" i="15" l="1"/>
  <c r="K22" i="15"/>
  <c r="K45" i="15" s="1"/>
  <c r="Y22" i="15"/>
  <c r="J22" i="15"/>
  <c r="J45" i="15" s="1"/>
  <c r="AJ22" i="15"/>
  <c r="R22" i="15"/>
  <c r="R45" i="15" s="1"/>
  <c r="AF22" i="15"/>
  <c r="X22" i="15"/>
  <c r="Q22" i="15"/>
  <c r="Q45" i="15" s="1"/>
  <c r="T22" i="15"/>
  <c r="T45" i="15" s="1"/>
  <c r="AI22" i="15"/>
  <c r="L22" i="15"/>
  <c r="L45" i="15" s="1"/>
  <c r="AC22" i="15"/>
  <c r="AE22" i="15"/>
  <c r="W22" i="15"/>
  <c r="AH22" i="15"/>
  <c r="V22" i="15"/>
  <c r="V45" i="15" s="1"/>
  <c r="Z22" i="15"/>
  <c r="AN22" i="15"/>
  <c r="AB22" i="15"/>
  <c r="AD22" i="15"/>
  <c r="P22" i="15"/>
  <c r="P45" i="15" s="1"/>
  <c r="AM22" i="15"/>
  <c r="AG22" i="15"/>
  <c r="S22" i="15"/>
  <c r="S45" i="15" s="1"/>
  <c r="O22" i="15"/>
  <c r="O45" i="15" s="1"/>
  <c r="U22" i="15"/>
  <c r="U45" i="15" s="1"/>
  <c r="M22" i="15"/>
  <c r="M45" i="15" s="1"/>
  <c r="AA22" i="15"/>
  <c r="N22" i="15"/>
  <c r="N45" i="15" s="1"/>
  <c r="AL22" i="15"/>
  <c r="I22" i="15"/>
  <c r="I45" i="15" s="1"/>
  <c r="H22" i="15"/>
  <c r="H45" i="15" s="1"/>
  <c r="G22" i="15"/>
  <c r="G45" i="15" s="1"/>
  <c r="AI21" i="15" a="1"/>
  <c r="AI21" i="15" s="1"/>
  <c r="N21" i="15" a="1"/>
  <c r="N21" i="15" s="1"/>
  <c r="N44" i="15" s="1"/>
  <c r="F25" i="15" a="1"/>
  <c r="F25" i="15" s="1"/>
  <c r="J21" i="15" a="1"/>
  <c r="J21" i="15" s="1"/>
  <c r="J44" i="15" s="1"/>
  <c r="L21" i="15" a="1"/>
  <c r="L21" i="15" s="1"/>
  <c r="L44" i="15" s="1"/>
  <c r="AG21" i="15" a="1"/>
  <c r="AG21" i="15" s="1"/>
  <c r="AH21" i="15" a="1"/>
  <c r="AH21" i="15" s="1"/>
  <c r="S21" i="15" a="1"/>
  <c r="S21" i="15" s="1"/>
  <c r="S44" i="15" s="1"/>
  <c r="H21" i="15" a="1"/>
  <c r="H21" i="15" s="1"/>
  <c r="H44" i="15" s="1"/>
  <c r="AF21" i="15" a="1"/>
  <c r="AF21" i="15" s="1"/>
  <c r="O21" i="15" a="1"/>
  <c r="O21" i="15" s="1"/>
  <c r="O44" i="15" s="1"/>
  <c r="I21" i="15" a="1"/>
  <c r="I21" i="15" s="1"/>
  <c r="I44" i="15" s="1"/>
  <c r="AB21" i="15" a="1"/>
  <c r="AB21" i="15" s="1"/>
  <c r="U21" i="15" a="1"/>
  <c r="U21" i="15" s="1"/>
  <c r="U44" i="15" s="1"/>
  <c r="Q21" i="15" a="1"/>
  <c r="Q21" i="15" s="1"/>
  <c r="Q44" i="15" s="1"/>
  <c r="T21" i="15" a="1"/>
  <c r="T21" i="15" s="1"/>
  <c r="T44" i="15" s="1"/>
  <c r="AC21" i="15" a="1"/>
  <c r="AC21" i="15" s="1"/>
  <c r="AA21" i="15" a="1"/>
  <c r="AA21" i="15" s="1"/>
  <c r="AJ21" i="15" a="1"/>
  <c r="AJ21" i="15" s="1"/>
  <c r="M21" i="15" a="1"/>
  <c r="M21" i="15" s="1"/>
  <c r="M44" i="15" s="1"/>
  <c r="R21" i="15" a="1"/>
  <c r="R21" i="15" s="1"/>
  <c r="R44" i="15" s="1"/>
  <c r="F21" i="15" a="1"/>
  <c r="F21" i="15" s="1"/>
  <c r="F44" i="15" s="1"/>
  <c r="AE21" i="15" a="1"/>
  <c r="AE21" i="15" s="1"/>
  <c r="W21" i="15" a="1"/>
  <c r="W21" i="15" s="1"/>
  <c r="AM21" i="15" a="1"/>
  <c r="AM21" i="15" s="1"/>
  <c r="AN21" i="15" a="1"/>
  <c r="AN21" i="15" s="1"/>
  <c r="X21" i="15" a="1"/>
  <c r="X21" i="15" s="1"/>
  <c r="V21" i="15" a="1"/>
  <c r="V21" i="15" s="1"/>
  <c r="V44" i="15" s="1"/>
  <c r="Y21" i="15" a="1"/>
  <c r="Y21" i="15" s="1"/>
  <c r="Z21" i="15" a="1"/>
  <c r="Z21" i="15" s="1"/>
  <c r="AL21" i="15" a="1"/>
  <c r="AL21" i="15" s="1"/>
  <c r="K21" i="15" a="1"/>
  <c r="K21" i="15" s="1"/>
  <c r="K44" i="15" s="1"/>
  <c r="Y24" i="15"/>
  <c r="AG24" i="15"/>
  <c r="Z24" i="15"/>
  <c r="K24" i="15"/>
  <c r="AH24" i="15"/>
  <c r="AA24" i="15"/>
  <c r="L24" i="15"/>
  <c r="AB24" i="15"/>
  <c r="G24" i="15"/>
  <c r="AC24" i="15"/>
  <c r="H24" i="15"/>
  <c r="AD24" i="15"/>
  <c r="I24" i="15"/>
  <c r="AE24" i="15"/>
  <c r="J24" i="15"/>
  <c r="AF24" i="15"/>
  <c r="M24" i="15"/>
  <c r="AI24" i="15"/>
  <c r="N24" i="15"/>
  <c r="AJ24" i="15"/>
  <c r="O24" i="15"/>
  <c r="AK24" i="15"/>
  <c r="P24" i="15"/>
  <c r="AL24" i="15"/>
  <c r="Q24" i="15"/>
  <c r="R24" i="15"/>
  <c r="S24" i="15"/>
  <c r="T24" i="15"/>
  <c r="U24" i="15"/>
  <c r="V24" i="15"/>
  <c r="AN24" i="15"/>
  <c r="W24" i="15"/>
  <c r="AM24" i="15"/>
  <c r="X24" i="15"/>
  <c r="P21" i="15" a="1"/>
  <c r="P21" i="15" s="1"/>
  <c r="P44" i="15" s="1"/>
  <c r="AK21" i="15" a="1"/>
  <c r="AK21" i="15" s="1"/>
  <c r="O23" i="15"/>
  <c r="AK23" i="15"/>
  <c r="P23" i="15"/>
  <c r="AL23" i="15"/>
  <c r="W23" i="15"/>
  <c r="X23" i="15"/>
  <c r="Q23" i="15"/>
  <c r="AM23" i="15"/>
  <c r="R23" i="15"/>
  <c r="AN23" i="15"/>
  <c r="S23" i="15"/>
  <c r="T23" i="15"/>
  <c r="U23" i="15"/>
  <c r="V23" i="15"/>
  <c r="Y23" i="15"/>
  <c r="Z23" i="15"/>
  <c r="AA23" i="15"/>
  <c r="AB23" i="15"/>
  <c r="AH23" i="15"/>
  <c r="J23" i="15"/>
  <c r="AC23" i="15"/>
  <c r="AE23" i="15"/>
  <c r="AG23" i="15"/>
  <c r="AI23" i="15"/>
  <c r="G23" i="15"/>
  <c r="AD23" i="15"/>
  <c r="AF23" i="15"/>
  <c r="AJ23" i="15"/>
  <c r="H23" i="15"/>
  <c r="I23" i="15"/>
  <c r="K23" i="15"/>
  <c r="L23" i="15"/>
  <c r="M23" i="15"/>
  <c r="N23" i="15"/>
  <c r="AF25" i="15" a="1"/>
  <c r="AF25" i="15" s="1"/>
  <c r="AD25" i="15" a="1"/>
  <c r="AD25" i="15" s="1"/>
  <c r="I25" i="15" a="1"/>
  <c r="I25" i="15" s="1"/>
  <c r="J25" i="15" a="1"/>
  <c r="J25" i="15" s="1"/>
  <c r="AE25" i="15" a="1"/>
  <c r="AE25" i="15" s="1"/>
  <c r="O25" i="15" a="1"/>
  <c r="O25" i="15" s="1"/>
  <c r="R25" i="15" a="1"/>
  <c r="R25" i="15" s="1"/>
  <c r="U25" i="15" a="1"/>
  <c r="U25" i="15" s="1"/>
  <c r="S25" i="15" a="1"/>
  <c r="S25" i="15" s="1"/>
  <c r="AJ25" i="15" a="1"/>
  <c r="AJ25" i="15" s="1"/>
  <c r="M25" i="15" a="1"/>
  <c r="M25" i="15" s="1"/>
  <c r="AI25" i="15" a="1"/>
  <c r="AI25" i="15" s="1"/>
  <c r="AM25" i="15" a="1"/>
  <c r="AM25" i="15" s="1"/>
  <c r="L25" i="15" a="1"/>
  <c r="L25" i="15" s="1"/>
  <c r="Q25" i="15" a="1"/>
  <c r="Q25" i="15" s="1"/>
  <c r="AN25" i="15" a="1"/>
  <c r="AN25" i="15" s="1"/>
  <c r="AC25" i="15" a="1"/>
  <c r="AC25" i="15" s="1"/>
  <c r="H25" i="15" a="1"/>
  <c r="H25" i="15" s="1"/>
  <c r="V25" i="15" a="1"/>
  <c r="V25" i="15" s="1"/>
  <c r="N25" i="15" a="1"/>
  <c r="N25" i="15" s="1"/>
  <c r="W25" i="15" a="1"/>
  <c r="W25" i="15" s="1"/>
  <c r="AL25" i="15" a="1"/>
  <c r="AL25" i="15" s="1"/>
  <c r="AH25" i="15" a="1"/>
  <c r="AH25" i="15" s="1"/>
  <c r="X25" i="15" a="1"/>
  <c r="X25" i="15" s="1"/>
  <c r="Y25" i="15" a="1"/>
  <c r="Y25" i="15" s="1"/>
  <c r="P25" i="15" a="1"/>
  <c r="P25" i="15" s="1"/>
  <c r="K25" i="15" a="1"/>
  <c r="K25" i="15" s="1"/>
  <c r="AB25" i="15" a="1"/>
  <c r="AB25" i="15" s="1"/>
  <c r="T25" i="15" a="1"/>
  <c r="T25" i="15" s="1"/>
  <c r="AA25" i="15" a="1"/>
  <c r="AA25" i="15" s="1"/>
  <c r="AK25" i="15" a="1"/>
  <c r="AK25" i="15" s="1"/>
  <c r="G25" i="15" a="1"/>
  <c r="G25" i="15" s="1"/>
  <c r="Z25" i="15" a="1"/>
  <c r="Z25" i="15" s="1"/>
  <c r="AG25" i="15" a="1"/>
  <c r="AG25" i="15" s="1"/>
  <c r="G18" i="15" a="1"/>
  <c r="G18" i="15" s="1"/>
  <c r="G41" i="15" s="1"/>
  <c r="O18" i="15" a="1"/>
  <c r="O18" i="15" s="1"/>
  <c r="O41" i="15" s="1"/>
  <c r="AA18" i="15" a="1"/>
  <c r="AA18" i="15" s="1"/>
  <c r="AM18" i="15" a="1"/>
  <c r="AM18" i="15" s="1"/>
  <c r="S18" i="15" a="1"/>
  <c r="S18" i="15" s="1"/>
  <c r="S41" i="15" s="1"/>
  <c r="AE18" i="15" a="1"/>
  <c r="AE18" i="15" s="1"/>
  <c r="P18" i="15" a="1"/>
  <c r="P18" i="15" s="1"/>
  <c r="P41" i="15" s="1"/>
  <c r="AB18" i="15" a="1"/>
  <c r="AB18" i="15" s="1"/>
  <c r="AN18" i="15" a="1"/>
  <c r="AN18" i="15" s="1"/>
  <c r="Q18" i="15" a="1"/>
  <c r="Q18" i="15" s="1"/>
  <c r="Q41" i="15" s="1"/>
  <c r="AC18" i="15" a="1"/>
  <c r="AC18" i="15" s="1"/>
  <c r="AD18" i="15" a="1"/>
  <c r="AD18" i="15" s="1"/>
  <c r="R18" i="15" a="1"/>
  <c r="R18" i="15" s="1"/>
  <c r="R41" i="15" s="1"/>
  <c r="H18" i="15" a="1"/>
  <c r="H18" i="15" s="1"/>
  <c r="H41" i="15" s="1"/>
  <c r="T18" i="15" a="1"/>
  <c r="T18" i="15" s="1"/>
  <c r="T41" i="15" s="1"/>
  <c r="AF18" i="15" a="1"/>
  <c r="AF18" i="15" s="1"/>
  <c r="AG18" i="15" a="1"/>
  <c r="AG18" i="15" s="1"/>
  <c r="I18" i="15" a="1"/>
  <c r="I18" i="15" s="1"/>
  <c r="I41" i="15" s="1"/>
  <c r="U18" i="15" a="1"/>
  <c r="U18" i="15" s="1"/>
  <c r="U41" i="15" s="1"/>
  <c r="V18" i="15" a="1"/>
  <c r="V18" i="15" s="1"/>
  <c r="V41" i="15" s="1"/>
  <c r="AH18" i="15" a="1"/>
  <c r="AH18" i="15" s="1"/>
  <c r="W18" i="15" a="1"/>
  <c r="W18" i="15" s="1"/>
  <c r="X18" i="15" a="1"/>
  <c r="X18" i="15" s="1"/>
  <c r="L18" i="15" a="1"/>
  <c r="L18" i="15" s="1"/>
  <c r="L41" i="15" s="1"/>
  <c r="Y18" i="15" a="1"/>
  <c r="Y18" i="15" s="1"/>
  <c r="J18" i="15" a="1"/>
  <c r="J18" i="15" s="1"/>
  <c r="J41" i="15" s="1"/>
  <c r="M18" i="15" a="1"/>
  <c r="M18" i="15" s="1"/>
  <c r="M41" i="15" s="1"/>
  <c r="AI18" i="15" a="1"/>
  <c r="AI18" i="15" s="1"/>
  <c r="AL18" i="15" a="1"/>
  <c r="AL18" i="15" s="1"/>
  <c r="N18" i="15" a="1"/>
  <c r="N18" i="15" s="1"/>
  <c r="N41" i="15" s="1"/>
  <c r="Z18" i="15" a="1"/>
  <c r="Z18" i="15" s="1"/>
  <c r="K18" i="15" a="1"/>
  <c r="K18" i="15" s="1"/>
  <c r="K41" i="15" s="1"/>
  <c r="AJ18" i="15" a="1"/>
  <c r="AJ18" i="15" s="1"/>
  <c r="AK18" i="15" a="1"/>
  <c r="AK18" i="15" s="1"/>
  <c r="F24" i="15"/>
  <c r="G21" i="15" a="1"/>
  <c r="G21" i="15" s="1"/>
  <c r="G44" i="15" s="1"/>
  <c r="Y19" i="15"/>
  <c r="M20" i="15"/>
  <c r="M43" i="15" s="1"/>
  <c r="AI20" i="15"/>
  <c r="V20" i="15"/>
  <c r="V43" i="15" s="1"/>
  <c r="Z19" i="15"/>
  <c r="N20" i="15"/>
  <c r="N43" i="15" s="1"/>
  <c r="AJ20" i="15"/>
  <c r="K19" i="15"/>
  <c r="K42" i="15" s="1"/>
  <c r="U20" i="15"/>
  <c r="U43" i="15" s="1"/>
  <c r="AH19" i="15"/>
  <c r="AA19" i="15"/>
  <c r="O20" i="15"/>
  <c r="O43" i="15" s="1"/>
  <c r="AK20" i="15"/>
  <c r="AG19" i="15"/>
  <c r="L19" i="15"/>
  <c r="L42" i="15" s="1"/>
  <c r="AB19" i="15"/>
  <c r="P20" i="15"/>
  <c r="P43" i="15" s="1"/>
  <c r="AL20" i="15"/>
  <c r="G19" i="15"/>
  <c r="G42" i="15" s="1"/>
  <c r="AC19" i="15"/>
  <c r="Q20" i="15"/>
  <c r="Q43" i="15" s="1"/>
  <c r="AM20" i="15"/>
  <c r="H19" i="15"/>
  <c r="H42" i="15" s="1"/>
  <c r="AD19" i="15"/>
  <c r="R20" i="15"/>
  <c r="R43" i="15" s="1"/>
  <c r="AN20" i="15"/>
  <c r="I19" i="15"/>
  <c r="I42" i="15" s="1"/>
  <c r="AE19" i="15"/>
  <c r="S20" i="15"/>
  <c r="S43" i="15" s="1"/>
  <c r="J19" i="15"/>
  <c r="J42" i="15" s="1"/>
  <c r="AF19" i="15"/>
  <c r="T20" i="15"/>
  <c r="T43" i="15" s="1"/>
  <c r="M19" i="15"/>
  <c r="M42" i="15" s="1"/>
  <c r="AI19" i="15"/>
  <c r="W20" i="15"/>
  <c r="N19" i="15"/>
  <c r="N42" i="15" s="1"/>
  <c r="AJ19" i="15"/>
  <c r="X20" i="15"/>
  <c r="O19" i="15"/>
  <c r="O42" i="15" s="1"/>
  <c r="AK19" i="15"/>
  <c r="Y20" i="15"/>
  <c r="P19" i="15"/>
  <c r="P42" i="15" s="1"/>
  <c r="AL19" i="15"/>
  <c r="Z20" i="15"/>
  <c r="W19" i="15"/>
  <c r="X19" i="15"/>
  <c r="AM19" i="15"/>
  <c r="AN19" i="15"/>
  <c r="G20" i="15"/>
  <c r="G43" i="15" s="1"/>
  <c r="H20" i="15"/>
  <c r="H43" i="15" s="1"/>
  <c r="L20" i="15"/>
  <c r="L43" i="15" s="1"/>
  <c r="AE20" i="15"/>
  <c r="AF20" i="15"/>
  <c r="Q19" i="15"/>
  <c r="Q42" i="15" s="1"/>
  <c r="AG20" i="15"/>
  <c r="R19" i="15"/>
  <c r="R42" i="15" s="1"/>
  <c r="S19" i="15"/>
  <c r="S42" i="15" s="1"/>
  <c r="V19" i="15"/>
  <c r="V42" i="15" s="1"/>
  <c r="I20" i="15"/>
  <c r="I43" i="15" s="1"/>
  <c r="K20" i="15"/>
  <c r="K43" i="15" s="1"/>
  <c r="AH20" i="15"/>
  <c r="T19" i="15"/>
  <c r="T42" i="15" s="1"/>
  <c r="U19" i="15"/>
  <c r="U42" i="15" s="1"/>
  <c r="J20" i="15"/>
  <c r="J43" i="15" s="1"/>
  <c r="AA20" i="15"/>
  <c r="AB20" i="15"/>
  <c r="AC20" i="15"/>
  <c r="AD20" i="15"/>
  <c r="AD21" i="15" a="1"/>
  <c r="AD21" i="15" s="1"/>
  <c r="E45" i="15" l="1"/>
  <c r="E44" i="15"/>
  <c r="AF27" i="15"/>
  <c r="AF28" i="15" s="1"/>
  <c r="J27" i="15"/>
  <c r="AB27" i="15"/>
  <c r="AB28" i="15" s="1"/>
  <c r="Z27" i="15"/>
  <c r="Z28" i="15" s="1"/>
  <c r="Y27" i="15"/>
  <c r="Y28" i="15" s="1"/>
  <c r="W27" i="15"/>
  <c r="W28" i="15" s="1"/>
  <c r="AL27" i="15"/>
  <c r="AL28" i="15" s="1"/>
  <c r="L27" i="15"/>
  <c r="V27" i="15"/>
  <c r="R27" i="15"/>
  <c r="AG27" i="15"/>
  <c r="AG28" i="15" s="1"/>
  <c r="P27" i="15"/>
  <c r="AD27" i="15"/>
  <c r="AD28" i="15" s="1"/>
  <c r="S27" i="15"/>
  <c r="Q27" i="15"/>
  <c r="H27" i="15"/>
  <c r="U27" i="15"/>
  <c r="AI27" i="15"/>
  <c r="AI28" i="15" s="1"/>
  <c r="AC27" i="15"/>
  <c r="AC28" i="15" s="1"/>
  <c r="T27" i="15"/>
  <c r="X27" i="15"/>
  <c r="X28" i="15" s="1"/>
  <c r="M27" i="15"/>
  <c r="G27" i="15"/>
  <c r="AE27" i="15"/>
  <c r="AE28" i="15" s="1"/>
  <c r="AH27" i="15"/>
  <c r="AH28" i="15" s="1"/>
  <c r="AN27" i="15"/>
  <c r="AN28" i="15" s="1"/>
  <c r="K27" i="15"/>
  <c r="I27" i="15"/>
  <c r="AK27" i="15"/>
  <c r="AK28" i="15" s="1"/>
  <c r="O27" i="15"/>
  <c r="AA27" i="15"/>
  <c r="AA28" i="15" s="1"/>
  <c r="AJ27" i="15"/>
  <c r="AJ28" i="15" s="1"/>
  <c r="N27" i="15"/>
  <c r="AM27" i="15"/>
  <c r="AM28" i="15" s="1"/>
  <c r="F26" i="15"/>
  <c r="F46" i="15" s="1"/>
  <c r="E46" i="15" s="1"/>
  <c r="F20" i="15"/>
  <c r="F43" i="15" s="1"/>
  <c r="E43" i="15" s="1"/>
  <c r="F18" i="15" a="1"/>
  <c r="F18" i="15" s="1"/>
  <c r="F41" i="15" s="1"/>
  <c r="F19" i="15"/>
  <c r="F42" i="15" s="1"/>
  <c r="E42" i="15" s="1"/>
  <c r="I28" i="15" l="1"/>
  <c r="I47" i="15"/>
  <c r="I48" i="15" s="1"/>
  <c r="K28" i="15"/>
  <c r="K47" i="15"/>
  <c r="K48" i="15" s="1"/>
  <c r="J28" i="15"/>
  <c r="J47" i="15"/>
  <c r="J48" i="15" s="1"/>
  <c r="G28" i="15"/>
  <c r="G47" i="15"/>
  <c r="G48" i="15" s="1"/>
  <c r="M28" i="15"/>
  <c r="M47" i="15"/>
  <c r="M48" i="15" s="1"/>
  <c r="T28" i="15"/>
  <c r="T47" i="15"/>
  <c r="T48" i="15" s="1"/>
  <c r="U28" i="15"/>
  <c r="U47" i="15"/>
  <c r="U48" i="15" s="1"/>
  <c r="H28" i="15"/>
  <c r="H47" i="15"/>
  <c r="H48" i="15" s="1"/>
  <c r="Q28" i="15"/>
  <c r="Q47" i="15"/>
  <c r="Q48" i="15" s="1"/>
  <c r="S28" i="15"/>
  <c r="S47" i="15"/>
  <c r="S48" i="15" s="1"/>
  <c r="P28" i="15"/>
  <c r="P47" i="15"/>
  <c r="P48" i="15" s="1"/>
  <c r="N28" i="15"/>
  <c r="N47" i="15"/>
  <c r="N48" i="15" s="1"/>
  <c r="R28" i="15"/>
  <c r="R47" i="15"/>
  <c r="R48" i="15" s="1"/>
  <c r="V28" i="15"/>
  <c r="V47" i="15"/>
  <c r="V48" i="15" s="1"/>
  <c r="O28" i="15"/>
  <c r="O47" i="15"/>
  <c r="O48" i="15" s="1"/>
  <c r="L28" i="15"/>
  <c r="L47" i="15"/>
  <c r="L48" i="15" s="1"/>
  <c r="E41" i="15"/>
  <c r="F27" i="15"/>
  <c r="F47" i="15" s="1"/>
  <c r="F48" i="15" s="1"/>
  <c r="E48" i="15" l="1"/>
  <c r="C50" i="15" s="1"/>
  <c r="E47" i="15"/>
  <c r="F28" i="15"/>
  <c r="F29" i="15" l="1"/>
  <c r="E34" i="15"/>
  <c r="G29" i="15" l="1"/>
  <c r="H29" i="15" s="1"/>
  <c r="H30" i="15" s="1"/>
  <c r="E26" i="15" a="1"/>
  <c r="E26" i="15" s="1"/>
  <c r="F30" i="15"/>
  <c r="G30" i="15" l="1"/>
  <c r="I29" i="15"/>
  <c r="I30" i="15" s="1"/>
  <c r="E22" i="15" l="1" a="1"/>
  <c r="E22" i="15" s="1"/>
  <c r="J29" i="15"/>
  <c r="J30" i="15" s="1"/>
  <c r="K29" i="15" l="1"/>
  <c r="K30" i="15" s="1"/>
  <c r="L29" i="15" l="1"/>
  <c r="L30" i="15" s="1"/>
  <c r="M29" i="15" l="1"/>
  <c r="M30" i="15" s="1"/>
  <c r="N29" i="15" l="1"/>
  <c r="N30" i="15" s="1"/>
  <c r="O29" i="15" l="1"/>
  <c r="O30" i="15" s="1"/>
  <c r="P29" i="15" l="1"/>
  <c r="P30" i="15" s="1"/>
  <c r="Q29" i="15" l="1"/>
  <c r="Q30" i="15" s="1"/>
  <c r="R29" i="15" l="1"/>
  <c r="R30" i="15" s="1"/>
  <c r="S29" i="15" l="1"/>
  <c r="S30" i="15" s="1"/>
  <c r="T29" i="15" l="1"/>
  <c r="T30" i="15" s="1"/>
  <c r="U29" i="15" l="1"/>
  <c r="U30" i="15" s="1"/>
  <c r="V29" i="15" l="1"/>
  <c r="V30" i="15" s="1"/>
  <c r="W29" i="15" l="1"/>
  <c r="W30" i="15" s="1"/>
  <c r="X29" i="15" l="1"/>
  <c r="X30" i="15" s="1"/>
  <c r="Y29" i="15" l="1"/>
  <c r="Y30" i="15" s="1"/>
  <c r="Z29" i="15" l="1"/>
  <c r="Z30" i="15" s="1"/>
  <c r="AA29" i="15" l="1"/>
  <c r="AA30" i="15" s="1"/>
  <c r="AB29" i="15" l="1"/>
  <c r="AB30" i="15" s="1"/>
  <c r="AC29" i="15" l="1"/>
  <c r="AC30" i="15" s="1"/>
  <c r="AD29" i="15" l="1"/>
  <c r="AD30" i="15" s="1"/>
  <c r="AE29" i="15" l="1"/>
  <c r="AE30" i="15" s="1"/>
  <c r="AF29" i="15" l="1"/>
  <c r="AF30" i="15" s="1"/>
  <c r="AG29" i="15" l="1"/>
  <c r="AG30" i="15" s="1"/>
  <c r="AH29" i="15" l="1"/>
  <c r="AH30" i="15" s="1"/>
  <c r="AI29" i="15" l="1"/>
  <c r="AI30" i="15" s="1"/>
  <c r="AJ29" i="15" l="1"/>
  <c r="AJ30" i="15" s="1"/>
  <c r="AK29" i="15" l="1"/>
  <c r="AK30" i="15" s="1"/>
  <c r="AL29" i="15" l="1"/>
  <c r="AL30" i="15" s="1"/>
  <c r="AM29" i="15" l="1"/>
  <c r="AM30" i="15" s="1"/>
  <c r="AN29" i="15" l="1"/>
  <c r="AN30" i="15" s="1"/>
  <c r="E27" i="15" l="1" a="1"/>
  <c r="E27" i="15" s="1"/>
  <c r="E35" i="15" a="1"/>
  <c r="E35" i="15" s="1"/>
  <c r="E19" i="15" a="1"/>
  <c r="E19" i="15" s="1"/>
  <c r="E25" i="15" a="1"/>
  <c r="E25" i="15" s="1"/>
  <c r="E21" i="15" a="1"/>
  <c r="E21" i="15" s="1"/>
  <c r="E23" i="15" a="1"/>
  <c r="E23" i="15" s="1"/>
  <c r="E24" i="15" a="1"/>
  <c r="E24" i="15" s="1"/>
  <c r="E20" i="15" a="1"/>
  <c r="E20" i="15" s="1"/>
  <c r="E18" i="15" a="1"/>
  <c r="E18" i="15" s="1"/>
  <c r="E33" i="15" l="1"/>
  <c r="E36" i="15"/>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<sst xmlns="http://schemas.openxmlformats.org/spreadsheetml/2006/main" count="2332" uniqueCount="484">
  <si>
    <t>Copyright and Confidentiality</t>
  </si>
  <si>
    <t>General Disclaimer</t>
  </si>
  <si>
    <t>By selecting "I ACCEPT" below, you hereby confirm that you have read and agree to comply with this Excel Notice and Disclaimer.</t>
  </si>
  <si>
    <t>Version control</t>
  </si>
  <si>
    <t>Version</t>
  </si>
  <si>
    <t>Release date</t>
  </si>
  <si>
    <t>Prepared by</t>
  </si>
  <si>
    <t>Approved by</t>
  </si>
  <si>
    <t>Geography</t>
  </si>
  <si>
    <t>Hungary</t>
  </si>
  <si>
    <t>Currency</t>
  </si>
  <si>
    <t>€</t>
  </si>
  <si>
    <t>Base year for real values</t>
  </si>
  <si>
    <t>Contents</t>
  </si>
  <si>
    <t>Sheet</t>
  </si>
  <si>
    <t>Description</t>
  </si>
  <si>
    <t>Intro</t>
  </si>
  <si>
    <t>Overview of this spreadsheet, version control and disclaimer</t>
  </si>
  <si>
    <t>Guide</t>
  </si>
  <si>
    <t>Guide on how to use this spreadsheet, glossary and abbreviations</t>
  </si>
  <si>
    <t>Common assumptions</t>
  </si>
  <si>
    <t>Common assumptions across all Aurora scenarios</t>
  </si>
  <si>
    <t>Inputs</t>
  </si>
  <si>
    <t>Overview of main assumptions, with the possibility to change some parameters to bespoke values</t>
  </si>
  <si>
    <t>Costs assumptions</t>
  </si>
  <si>
    <t>Aurora's CAPEX and OPEX assumptions</t>
  </si>
  <si>
    <t>Undegraded batteries</t>
  </si>
  <si>
    <t>Scenario selection and display of annual cashflows for undegraded simulations</t>
  </si>
  <si>
    <t>Degraded batteries</t>
  </si>
  <si>
    <t>NPV calculation</t>
  </si>
  <si>
    <t>NPV calculation for the selected scenario</t>
  </si>
  <si>
    <t>Summary table</t>
  </si>
  <si>
    <t>Overview of all scenario results: IRR, NPV and payback period</t>
  </si>
  <si>
    <t>Version history</t>
  </si>
  <si>
    <t>Release Date</t>
  </si>
  <si>
    <t xml:space="preserve">First release </t>
  </si>
  <si>
    <t>Abbreviations</t>
  </si>
  <si>
    <t>Value</t>
  </si>
  <si>
    <t>GW</t>
  </si>
  <si>
    <t>IRR</t>
  </si>
  <si>
    <t>Internal Rate of Return</t>
  </si>
  <si>
    <t>MWh</t>
  </si>
  <si>
    <t>Megawatt-hour</t>
  </si>
  <si>
    <t>NPV</t>
  </si>
  <si>
    <t>Net Present Value</t>
  </si>
  <si>
    <t>PV</t>
  </si>
  <si>
    <t>Present Value</t>
  </si>
  <si>
    <t>TWh</t>
  </si>
  <si>
    <t>Definitions</t>
  </si>
  <si>
    <t>Percentage of initial duration remaining</t>
  </si>
  <si>
    <t>Total energy trading cashflow</t>
  </si>
  <si>
    <t>Total capacity-based ancillary services cashflow</t>
  </si>
  <si>
    <t>Capacity Market cashflow</t>
  </si>
  <si>
    <t>Total project cashflow</t>
  </si>
  <si>
    <t>Title</t>
  </si>
  <si>
    <t>Data only available on acceptance of conditions in Disclaimer tab</t>
  </si>
  <si>
    <t>Scenario</t>
  </si>
  <si>
    <t>All</t>
  </si>
  <si>
    <t>Input assumptions</t>
  </si>
  <si>
    <t>Variable</t>
  </si>
  <si>
    <t>Units</t>
  </si>
  <si>
    <t>FX rates</t>
  </si>
  <si>
    <t>£ to €</t>
  </si>
  <si>
    <t>€ per £</t>
  </si>
  <si>
    <t>€ to $</t>
  </si>
  <si>
    <t>$ per €</t>
  </si>
  <si>
    <t>€ to Ft</t>
  </si>
  <si>
    <t>Ft per €</t>
  </si>
  <si>
    <t>Inflation</t>
  </si>
  <si>
    <t>Euro Inflation</t>
  </si>
  <si>
    <t>Example of how to apply inflation to create nominal price series:</t>
  </si>
  <si>
    <t>These can be converted to a nominal price series by multiplying by the inflation index above.</t>
  </si>
  <si>
    <t>Baseload price series (example)</t>
  </si>
  <si>
    <t>Real prices</t>
  </si>
  <si>
    <t>€/MWh</t>
  </si>
  <si>
    <t>Nominal prices</t>
  </si>
  <si>
    <t>END</t>
  </si>
  <si>
    <t>Central</t>
  </si>
  <si>
    <t>Commodity prices</t>
  </si>
  <si>
    <t>Gas price</t>
  </si>
  <si>
    <t>Carbon price</t>
  </si>
  <si>
    <t>€/tonne</t>
  </si>
  <si>
    <t>Electricity demand</t>
  </si>
  <si>
    <t xml:space="preserve">  of which Base demand</t>
  </si>
  <si>
    <t xml:space="preserve">  of which Electric Vehicles</t>
  </si>
  <si>
    <t xml:space="preserve">  of which Electric Heating</t>
  </si>
  <si>
    <t xml:space="preserve">  of which Electrolysis</t>
  </si>
  <si>
    <t>Peak demand</t>
  </si>
  <si>
    <t>Results - wholesale market</t>
  </si>
  <si>
    <t>Wholesale price</t>
  </si>
  <si>
    <t>Baseload</t>
  </si>
  <si>
    <t>Intraday price</t>
  </si>
  <si>
    <t>Wholesale price distribution</t>
  </si>
  <si>
    <t>&gt;100 €/MWh</t>
  </si>
  <si>
    <t>% hours</t>
  </si>
  <si>
    <t>80 - 100 €/MWh</t>
  </si>
  <si>
    <t>60 - 80 €/MWh</t>
  </si>
  <si>
    <t>40 - 60 €/MWh</t>
  </si>
  <si>
    <t>20 - 40 €/MWh</t>
  </si>
  <si>
    <t>0 - 20 €/MWh</t>
  </si>
  <si>
    <t>&lt;0 €/MWh</t>
  </si>
  <si>
    <t>5th percentile</t>
  </si>
  <si>
    <t>10th percentile</t>
  </si>
  <si>
    <t>90th percentile</t>
  </si>
  <si>
    <t>95th percentile</t>
  </si>
  <si>
    <t>Standard deviation</t>
  </si>
  <si>
    <t>Results - wholesale average daily spreads</t>
  </si>
  <si>
    <t>Region</t>
  </si>
  <si>
    <t>Average DAM daily spreads</t>
  </si>
  <si>
    <t>Average ID daily spreads</t>
  </si>
  <si>
    <t>Notes: average daily spreads defined as the yearly average difference between the most expensive hour and the cheapest hour in a day</t>
  </si>
  <si>
    <t>Results - ancillary services market</t>
  </si>
  <si>
    <t>FCR</t>
  </si>
  <si>
    <t>€/MW</t>
  </si>
  <si>
    <t>aFRR energy up</t>
  </si>
  <si>
    <t>aFRR energy down</t>
  </si>
  <si>
    <t>aFRR capacity up</t>
  </si>
  <si>
    <t xml:space="preserve">aFRR capacity down </t>
  </si>
  <si>
    <t>Instructions</t>
  </si>
  <si>
    <t>Orange cells can be updated to change input assumptions</t>
  </si>
  <si>
    <t>Storage system parameters</t>
  </si>
  <si>
    <t>State of health triggering storage retirement or repowering</t>
  </si>
  <si>
    <t>-</t>
  </si>
  <si>
    <t>Storage nameplate capacity</t>
  </si>
  <si>
    <t>MW</t>
  </si>
  <si>
    <t># cycles/day - 2h</t>
  </si>
  <si>
    <t>Cycles</t>
  </si>
  <si>
    <t># cycles/day - 4h</t>
  </si>
  <si>
    <t>Round-trip efficiency</t>
  </si>
  <si>
    <t>Availability</t>
  </si>
  <si>
    <t>Entry years</t>
  </si>
  <si>
    <t>Storage degradation</t>
  </si>
  <si>
    <t>Duration</t>
  </si>
  <si>
    <t>Cumulative discharge throughput</t>
  </si>
  <si>
    <t>2h-1.5cy</t>
  </si>
  <si>
    <t>Storage capacity remaining</t>
  </si>
  <si>
    <t>%</t>
  </si>
  <si>
    <t>2h-2.0cy</t>
  </si>
  <si>
    <t>4h-1.0cy</t>
  </si>
  <si>
    <t>Notes: Cumulative discharge throughput is the total energy exported normalised by the nameplate energy capacity (i.e. rated power capacity x duration) of the storage system.</t>
  </si>
  <si>
    <t>Storage cost assumptions</t>
  </si>
  <si>
    <t>CAPEX</t>
  </si>
  <si>
    <t>1h</t>
  </si>
  <si>
    <t>2h</t>
  </si>
  <si>
    <t>4h</t>
  </si>
  <si>
    <t>Notes: Batteries pay CAPEX one year before entering the market, e.g. for a battery entering the market in 2027, the 2026 CAPEX value is used.</t>
  </si>
  <si>
    <t>OPEX</t>
  </si>
  <si>
    <t>Notes: The OPEX is fixed for the whole life of a battery to the entry year value.</t>
  </si>
  <si>
    <t>Storage system cost - cost of repowering</t>
  </si>
  <si>
    <t>Notes: The repowering cost is equal to the battery system cost in the year of repowering.</t>
  </si>
  <si>
    <t>End of life value</t>
  </si>
  <si>
    <t>Notes: The End of life value is calculated as a percentage of the CAPEX value in the last year of operation.</t>
  </si>
  <si>
    <t>Renewable asset cost assumptions</t>
  </si>
  <si>
    <t>Technology</t>
  </si>
  <si>
    <t>Lifetime</t>
  </si>
  <si>
    <t>Solar</t>
  </si>
  <si>
    <t>year</t>
  </si>
  <si>
    <t>Wind</t>
  </si>
  <si>
    <t>Solar and wind</t>
  </si>
  <si>
    <t>technology</t>
  </si>
  <si>
    <t>Notes: Costruction time is estimated at one year for both batteries and solar assets and two years for wind assets.</t>
  </si>
  <si>
    <t>Co-location savings assumptions</t>
  </si>
  <si>
    <t>CAPEX savings - Co-location with Solar AC</t>
  </si>
  <si>
    <t>CAPEX savings - Co-location with Solar DC</t>
  </si>
  <si>
    <t>CAPEX savings - Co-location with Wind AC</t>
  </si>
  <si>
    <t xml:space="preserve">CAPEX savings - Co-location with Solar and wind </t>
  </si>
  <si>
    <t>OPEX savings</t>
  </si>
  <si>
    <t>% of OPEX</t>
  </si>
  <si>
    <t>Capacity Market assumptions</t>
  </si>
  <si>
    <t>Capacity Market price for new capacity</t>
  </si>
  <si>
    <t>€/kW/y, nominal</t>
  </si>
  <si>
    <t>Derating factor</t>
  </si>
  <si>
    <t>Discount rate assumptions</t>
  </si>
  <si>
    <t>Discount rate for merchant revenues</t>
  </si>
  <si>
    <t>pre-tax, real</t>
  </si>
  <si>
    <t>CAPEX assumptions - lithium ion battery of project size 50 MW</t>
  </si>
  <si>
    <t>Battery system</t>
  </si>
  <si>
    <t>Inverter</t>
  </si>
  <si>
    <t>Balance of system</t>
  </si>
  <si>
    <t>Development</t>
  </si>
  <si>
    <t>Grid connection</t>
  </si>
  <si>
    <t>EPC soft costs</t>
  </si>
  <si>
    <t>Total</t>
  </si>
  <si>
    <t>notes: The costs are representative of a 50MW BESS. The storage capacity refers to the AC-rated export capacity, measured at the inverter's AC output.</t>
  </si>
  <si>
    <t>OPEX assumptions - lithium ion battery of project size 50 MW</t>
  </si>
  <si>
    <t>Fixed O&amp;M</t>
  </si>
  <si>
    <t>Insurance</t>
  </si>
  <si>
    <t>Business rates</t>
  </si>
  <si>
    <t>Trading &amp; optimisation fees</t>
  </si>
  <si>
    <t>Grid charges</t>
  </si>
  <si>
    <t>Land lease</t>
  </si>
  <si>
    <t>Other</t>
  </si>
  <si>
    <t>2023 - Sardinia - 2h</t>
  </si>
  <si>
    <t>2023 - Sardinia - 4h</t>
  </si>
  <si>
    <t>2025 - North - 1h</t>
  </si>
  <si>
    <t>2025 - North - 2h</t>
  </si>
  <si>
    <t>2025 - C. North - 1h</t>
  </si>
  <si>
    <t>2025 - C. North - 2h</t>
  </si>
  <si>
    <t>2025 - C. North - 4h</t>
  </si>
  <si>
    <t>2025 - C. South - 1h</t>
  </si>
  <si>
    <t>2025 - C. South - 2h</t>
  </si>
  <si>
    <t>2025 - C. South - 4h</t>
  </si>
  <si>
    <t>2025 - South - 1h</t>
  </si>
  <si>
    <t>2025 - South - 2h</t>
  </si>
  <si>
    <t>2025 - South - 4h</t>
  </si>
  <si>
    <t>2025 - Calabria - 1h</t>
  </si>
  <si>
    <t>2025 - Calabria - 2h</t>
  </si>
  <si>
    <t>2025 - Calabria - 4h</t>
  </si>
  <si>
    <t>2025 - Sicily - 1h</t>
  </si>
  <si>
    <t>2025 - Sicily - 2h</t>
  </si>
  <si>
    <t>2025 - Sicily - 4h</t>
  </si>
  <si>
    <t>2025 - Sardinia - 1h</t>
  </si>
  <si>
    <t>2025 - Sardinia - 2h</t>
  </si>
  <si>
    <t>2025 - Sardinia - 4h</t>
  </si>
  <si>
    <t>Selected scenario - battery degradation NOT included</t>
  </si>
  <si>
    <t>Repower count</t>
  </si>
  <si>
    <t>Achieved daily cycles</t>
  </si>
  <si>
    <t>MWh/MW storage</t>
  </si>
  <si>
    <t>Select a scenario here</t>
  </si>
  <si>
    <t>€/kW storage</t>
  </si>
  <si>
    <t>Storage-from-RES cashflow</t>
  </si>
  <si>
    <t>MWh/MW RES</t>
  </si>
  <si>
    <t>RES Day-Ahead cashflow</t>
  </si>
  <si>
    <t>€/kW RES</t>
  </si>
  <si>
    <t>RES Intraday cashflow</t>
  </si>
  <si>
    <t>RES-to-storage cashflow</t>
  </si>
  <si>
    <t>€/kW grid</t>
  </si>
  <si>
    <t>Raw data - storage degradation included</t>
  </si>
  <si>
    <t>2025 - North - 4h</t>
  </si>
  <si>
    <t>Selected scenario - storage degradation included</t>
  </si>
  <si>
    <t xml:space="preserve">  </t>
  </si>
  <si>
    <t>Unit</t>
  </si>
  <si>
    <t xml:space="preserve">All </t>
  </si>
  <si>
    <t>Selected scenario</t>
  </si>
  <si>
    <t>Entry year</t>
  </si>
  <si>
    <t>Business model</t>
  </si>
  <si>
    <t>Daily cycle target</t>
  </si>
  <si>
    <t>Storage lifetime</t>
  </si>
  <si>
    <t>RES asset lifetime</t>
  </si>
  <si>
    <t>Financial Model</t>
  </si>
  <si>
    <t>Discount rate (real)</t>
  </si>
  <si>
    <t>Storage</t>
  </si>
  <si>
    <t>€/kW of grid</t>
  </si>
  <si>
    <t>RES</t>
  </si>
  <si>
    <t>Project</t>
  </si>
  <si>
    <t>Co-location CAPEX savings</t>
  </si>
  <si>
    <t>Co-location OPEX savings</t>
  </si>
  <si>
    <t>Net cashflow</t>
  </si>
  <si>
    <t>Cumulative cashflow</t>
  </si>
  <si>
    <t>Fraction of cashflow</t>
  </si>
  <si>
    <t>Overview</t>
  </si>
  <si>
    <t>Payback period</t>
  </si>
  <si>
    <t>years</t>
  </si>
  <si>
    <t>PV of revenues</t>
  </si>
  <si>
    <t>Summary table - live</t>
  </si>
  <si>
    <t>Summary table - Aurora's assumptions</t>
  </si>
  <si>
    <t>Configuration</t>
  </si>
  <si>
    <t>Cycle target</t>
  </si>
  <si>
    <t>€/kW</t>
  </si>
  <si>
    <t xml:space="preserve">Parameteres needed for the automation. Please hide this tab before publishing. </t>
  </si>
  <si>
    <t>Parameter Name</t>
  </si>
  <si>
    <t>Processing Tab</t>
  </si>
  <si>
    <t>p_val_top_row</t>
  </si>
  <si>
    <t>Top row of results block including date row</t>
  </si>
  <si>
    <t>p_val_left_col</t>
  </si>
  <si>
    <t>Column of results section (every column on the right willl be copied)</t>
  </si>
  <si>
    <t>p_form_top_row</t>
  </si>
  <si>
    <t>Top row where formulas wanted, must be &lt;= p_last_row</t>
  </si>
  <si>
    <t>p_last_row</t>
  </si>
  <si>
    <t>Last row of results block</t>
  </si>
  <si>
    <t>Meta Data Tab</t>
  </si>
  <si>
    <t>prep_left_col</t>
  </si>
  <si>
    <t>Left column of prep table</t>
  </si>
  <si>
    <t>prep_data_top_row</t>
  </si>
  <si>
    <t>Top row of DATA in prep table</t>
  </si>
  <si>
    <t>prep_use_deg_col</t>
  </si>
  <si>
    <t>Column number of "use_degradation"</t>
  </si>
  <si>
    <t>prep_databook_sim_name_col</t>
  </si>
  <si>
    <t>Column number of "databook_sim_name"</t>
  </si>
  <si>
    <t>NPV calculation tab</t>
  </si>
  <si>
    <t>npv_num_facts</t>
  </si>
  <si>
    <t>Number of NPV summary facts</t>
  </si>
  <si>
    <t>npv_first_row</t>
  </si>
  <si>
    <t>Row of "NPV" summary fact under the "Overview" banner</t>
  </si>
  <si>
    <t>npv_col</t>
  </si>
  <si>
    <t>Column of "Overview" NPV values</t>
  </si>
  <si>
    <t>npv_meta_data_row</t>
  </si>
  <si>
    <t>Row for meta data for summary table</t>
  </si>
  <si>
    <t>npv_meta_data_col</t>
  </si>
  <si>
    <t>Column for meta data for summary table</t>
  </si>
  <si>
    <t>Summary Table Tab</t>
  </si>
  <si>
    <t>st_num_prep_facts</t>
  </si>
  <si>
    <t>Number of prep facts included in Summary Table</t>
  </si>
  <si>
    <t>st_data_left_col</t>
  </si>
  <si>
    <t>calculated</t>
  </si>
  <si>
    <t>Left column of NPV summary facts on NPV Calculation tab</t>
  </si>
  <si>
    <t>st_data_first_row</t>
  </si>
  <si>
    <t>First row of data in Summary Table</t>
  </si>
  <si>
    <t>st_prep_left_col</t>
  </si>
  <si>
    <t>Column where prep_facts start in Summary Table</t>
  </si>
  <si>
    <t>Revenue(s) Tab</t>
  </si>
  <si>
    <t>r_top_row</t>
  </si>
  <si>
    <t>First row where results are pasted</t>
  </si>
  <si>
    <t>r_num_blank_rows</t>
  </si>
  <si>
    <t>Number of blank rows between each set of results</t>
  </si>
  <si>
    <t>r_stack_top_row</t>
  </si>
  <si>
    <t>Top row of stack data (excluding date row)</t>
  </si>
  <si>
    <t>r_stack_last_row</t>
  </si>
  <si>
    <t>Bottom row of stack data</t>
  </si>
  <si>
    <r>
      <t>•  This document is provided "as is" for your information only and no representation or warranty, express or implied, is given by Aurora or any of their directors, employees agents or affiliates as to its accuracy, reliability, completeness or suitability for any purpose.
•  Aurora accepts no responsibility and shall have no liability in contract, tort or otherwise to you or any other third party in relation to the contents of the Data Book or any other information, documents or explanations we may choose to provide in connection with the Data Book.
•  Any use you make of the Data Book is entirely at your own risk. The Data Book is not to be relied upon for any purpose or used in substitution for your own independent investigations and sound judgment.
•  You hereby waive and release any and all rights, claims and causes of action you may have at any time against Aurora based on the Data Book or arising out of your access to the Data Book.
•  The information contained in this Data Book may reflect assumptions, intentions and expectations as of the date of the Data Book. Aurora assumes no obligation, and does not intend, to update this information.
•  If you are a client of Aurora and have an agreed service contract with Aurora (“</t>
    </r>
    <r>
      <rPr>
        <b/>
        <sz val="10"/>
        <color rgb="FF3C3C3B"/>
        <rFont val="Arial"/>
        <family val="2"/>
      </rPr>
      <t>Service Contract</t>
    </r>
    <r>
      <rPr>
        <sz val="10"/>
        <color rgb="FF3C3C3B"/>
        <rFont val="Arial"/>
        <family val="2"/>
      </rPr>
      <t>”), or have received the Data Book subject to a release, reliance or other agreement with Aurora (“</t>
    </r>
    <r>
      <rPr>
        <b/>
        <sz val="10"/>
        <color rgb="FF3C3C3B"/>
        <rFont val="Arial"/>
        <family val="2"/>
      </rPr>
      <t>Alternative Agreement</t>
    </r>
    <r>
      <rPr>
        <sz val="10"/>
        <color rgb="FF3C3C3B"/>
        <rFont val="Arial"/>
        <family val="2"/>
      </rPr>
      <t>”), your access to the Data Book is also subject to the terms, exclusions and limitations in the applicable Service Contract or Alternative Agreement between you and Aurora.
•  This Notice and Disclaimer must not be removed from this Data Book and must appear on all authorized copied, reproduced or distributed versions.
•  If there is an inconsistency or conflict between this Notice and Disclaimer and your Service Contract or Alternative Agreement (if applicable), your Service Contract or Alternative Agreement shall prevail.</t>
    </r>
  </si>
  <si>
    <r>
      <rPr>
        <b/>
        <sz val="8"/>
        <color rgb="FF3C3C3B"/>
        <rFont val="Arial"/>
        <family val="2"/>
      </rPr>
      <t>General Disclaimer</t>
    </r>
    <r>
      <rPr>
        <sz val="8"/>
        <color rgb="FF3C3C3B"/>
        <rFont val="Arial"/>
        <family val="2"/>
      </rPr>
      <t xml:space="preserve">
This document is provided “as is” for your information only and no representation or warranty, express or implied, is given by Aurora Energy Research Limited (“Aurora”), its directors, employees, agents or affiliates (together its “Associates”) as to its accuracy, reliability or completeness.  Aurora and its Associates assume no responsibility, and accept no liability for, any loss arising out of your use of this document.  This document is not to be relied upon for any purpose or used in substitution for your own independent investigations and sound judgment.  The information contained in this document reflects our beliefs, assumptions, intentions and expectations as of the date of this document and is subject to change. Aurora assumes no obligation, and does not intend, to update this information.</t>
    </r>
  </si>
  <si>
    <r>
      <rPr>
        <b/>
        <sz val="8"/>
        <color rgb="FF3C3C3B"/>
        <rFont val="Arial"/>
        <family val="2"/>
      </rPr>
      <t>Forward looking statements</t>
    </r>
    <r>
      <rPr>
        <sz val="8"/>
        <color rgb="FF3C3C3B"/>
        <rFont val="Arial"/>
        <family val="2"/>
      </rPr>
      <t xml:space="preserve">
This document contains forward-looking statements and information, which reflect Aurora’s current view with respect to future events and financial performance. When used in this document, the words "believes", "expects", "plans", "may", "will", "would", "could", "should", "anticipates", "estimates", "project", "intend" or "outlook" or other variations of these words or other similar expressions are intended to identify forward-looking statements and information. Actual results may differ materially from the expectations expressed or implied in the forward-looking statements as a result of known and unknown risks and uncertainties. Known risks and uncertainties include but are not limited to: risks associated with political events in Europe and elsewhere, contractual risks, creditworthiness of customers, performance of suppliers and management of plant and personnel; risk associated with financial factors such as volatility in exchange rates, increases in interest rates, restrictions on access to capital, and swings in global financial markets; risks associated with domestic and foreign government regulation, including export controls and economic sanctions; and other risks, including litigation. The foregoing list of important factors is not exhaustive. </t>
    </r>
  </si>
  <si>
    <r>
      <rPr>
        <b/>
        <sz val="8"/>
        <color rgb="FF3C3C3B"/>
        <rFont val="Arial"/>
        <family val="2"/>
      </rPr>
      <t>Copyright</t>
    </r>
    <r>
      <rPr>
        <sz val="8"/>
        <color rgb="FF3C3C3B"/>
        <rFont val="Arial"/>
        <family val="2"/>
      </rPr>
      <t xml:space="preserve">
This document and its content (including, but not limited to, the text, images, graphics and illustrations) is the copyright material of Aurora[, unless otherwise stated]. No part of this document may be copied, reproduced, distributed or in any way used for commercial purposes without the prior written consent of Aurora.</t>
    </r>
  </si>
  <si>
    <t>Overview of market prices and key price drivers from Aurora's Central scenario, representing Aurora’s best view of how electricity prices and the market will develop within the forecast time horizon. This considers:
- Current policies alongside long-term policy direction
- Our internally consistent central view of technological change and commodity prices
The projections supplied are not to be regarded as firm predictions of the future, but rather as illustrations of outcomes consistent with Aurora’s Central view</t>
  </si>
  <si>
    <t>€/kW of storage</t>
  </si>
  <si>
    <t>€/kW  of RES asset</t>
  </si>
  <si>
    <t>MWh/MWinitial/h</t>
  </si>
  <si>
    <t>€/kW of storage/year</t>
  </si>
  <si>
    <r>
      <rPr>
        <vertAlign val="superscript"/>
        <sz val="10"/>
        <color theme="1"/>
        <rFont val="Arial"/>
        <family val="2"/>
      </rPr>
      <t>1</t>
    </r>
    <r>
      <rPr>
        <sz val="10"/>
        <color theme="1"/>
        <rFont val="Arial"/>
        <family val="2"/>
      </rPr>
      <t xml:space="preserve"> It refers to BESS charging fees.</t>
    </r>
  </si>
  <si>
    <r>
      <t>Include revenues from capacity markets</t>
    </r>
    <r>
      <rPr>
        <b/>
        <i/>
        <vertAlign val="superscript"/>
        <sz val="10"/>
        <color theme="1"/>
        <rFont val="Arial"/>
        <family val="2"/>
      </rPr>
      <t>2,3</t>
    </r>
  </si>
  <si>
    <r>
      <rPr>
        <i/>
        <vertAlign val="superscript"/>
        <sz val="10"/>
        <color theme="1"/>
        <rFont val="Arial"/>
        <family val="2"/>
      </rPr>
      <t>2</t>
    </r>
    <r>
      <rPr>
        <i/>
        <sz val="10"/>
        <color theme="1"/>
        <rFont val="Arial"/>
        <family val="2"/>
      </rPr>
      <t xml:space="preserve"> Type 1 to include, 0 to exclude; only valide for 2, and 4h assets</t>
    </r>
  </si>
  <si>
    <t>Stavros Skarlis</t>
  </si>
  <si>
    <t>Storage AC capacity</t>
  </si>
  <si>
    <t>Storage repower count</t>
  </si>
  <si>
    <t>Storage achieved daily cycles</t>
  </si>
  <si>
    <t>Storage energy retention after degradation</t>
  </si>
  <si>
    <t>fraction</t>
  </si>
  <si>
    <t>Storage duration remaining after degradation</t>
  </si>
  <si>
    <t>Storage Day-Ahead discharge volume</t>
  </si>
  <si>
    <t>Storage Day-Ahead charge volume</t>
  </si>
  <si>
    <t>Storage Intraday discharge volume</t>
  </si>
  <si>
    <t>Storage Intraday charge volume</t>
  </si>
  <si>
    <t>Storage aFRR energy discharge volume</t>
  </si>
  <si>
    <t>Storage aFRR energy charge volume</t>
  </si>
  <si>
    <t>Storage total discharge volume</t>
  </si>
  <si>
    <t>Storage total charge-from-grid volume</t>
  </si>
  <si>
    <t>Storage charge-from-RES volume (at storage output)</t>
  </si>
  <si>
    <t>Parameters</t>
  </si>
  <si>
    <t>Volumes</t>
  </si>
  <si>
    <t>Cashflow</t>
  </si>
  <si>
    <t>Storage Day-Ahead discharge cashflow</t>
  </si>
  <si>
    <t>Storage Day-Ahead charge cashflow</t>
  </si>
  <si>
    <t>Storage Intraday discharge cashflow</t>
  </si>
  <si>
    <t>Storage Intraday charge cashflow</t>
  </si>
  <si>
    <t>Storage aFRR energy discharge cashflow</t>
  </si>
  <si>
    <t>Storage aFRR energy charge cashflow</t>
  </si>
  <si>
    <t>Storage total energy-based cashflow</t>
  </si>
  <si>
    <t>Storage aFRR capacity up cashflow</t>
  </si>
  <si>
    <t>Storage aFRR capacity down cashflow</t>
  </si>
  <si>
    <t>Storage FCR capacity cashflow</t>
  </si>
  <si>
    <t>Storage total ancillary services capacity cashflow</t>
  </si>
  <si>
    <t>Storage volume-related network charges</t>
  </si>
  <si>
    <t>Storage total cashflow</t>
  </si>
  <si>
    <t>RES clipping losses (at RES output)</t>
  </si>
  <si>
    <t>RES capacity</t>
  </si>
  <si>
    <t>RES total cashflow</t>
  </si>
  <si>
    <t>Grid export capacity</t>
  </si>
  <si>
    <t>Project total cashflow</t>
  </si>
  <si>
    <t>RES curtailment volume (at RES output)</t>
  </si>
  <si>
    <t>RES-to-grid volume (at RES output)</t>
  </si>
  <si>
    <t>RES-to-storage volume (at RES output)</t>
  </si>
  <si>
    <t>RES available volume (at RES output)</t>
  </si>
  <si>
    <t>Capital Expenditure</t>
  </si>
  <si>
    <t>kW</t>
  </si>
  <si>
    <t>Kilowatt</t>
  </si>
  <si>
    <t>Megawatt</t>
  </si>
  <si>
    <t>Operating Expenditure</t>
  </si>
  <si>
    <t>Renewable Energy System</t>
  </si>
  <si>
    <t>…/kW grid</t>
  </si>
  <si>
    <t>Per kW of grid export capacity</t>
  </si>
  <si>
    <t>…/kW RES</t>
  </si>
  <si>
    <t>Per kW of RES asset peak export capacity</t>
  </si>
  <si>
    <t>…/kW storage</t>
  </si>
  <si>
    <t>Per kW of battery export capacity (measured at the inverter AC output)</t>
  </si>
  <si>
    <t>Inputs sheet</t>
  </si>
  <si>
    <t>Target number of cycles that the storage system performs in a day on average, evaluated on a yearly basis.</t>
  </si>
  <si>
    <t>Efficiency of the storage system from inverter AC input to inverter AC output.</t>
  </si>
  <si>
    <t>Percentage of time during which your storage project can operate at rated conditions, unaffected by outage.</t>
  </si>
  <si>
    <t>Aurora models the impact of degradation on the storage asset's energy capacity (MWh) due to cycling.</t>
  </si>
  <si>
    <t>Period for which your storage project could discharge at its rated AC capacity.</t>
  </si>
  <si>
    <t>Remaining value of storage asset that can be recovered after the end of the asset's lifecycle.</t>
  </si>
  <si>
    <t>Co-location</t>
  </si>
  <si>
    <t>Physical siting and integration of storage and RES assets sharing a grid connection, solar PV unless specified.</t>
  </si>
  <si>
    <t>Percentage of a storage asset's nominal capacity considered eligible to meet capacity market requirements and receive remuneration. Regulators set these factors to reflect each generator's expected availability and reliability during peak demand.</t>
  </si>
  <si>
    <t>Discount rate</t>
  </si>
  <si>
    <t>Rate at which project's total cashflow is discounted to calculate its net present value.</t>
  </si>
  <si>
    <t>Cost assumptions sheet</t>
  </si>
  <si>
    <t>Containerised battery storage systems; main components include: cells, modules, and battery, thermal and energy management systems.</t>
  </si>
  <si>
    <t>Cost of inverter used to switch from AC to DC during charging and DC to AC during discharge.</t>
  </si>
  <si>
    <t>Cost of system components excluding battery system and inverter; including control, monitoring and protection components, other electrical balance of system and structural elements of site.</t>
  </si>
  <si>
    <t>Cost of project development including: project origination and acquisition; connection and planning studies and applications; land acquisition and control and developer overhead and profit.</t>
  </si>
  <si>
    <t>Cost of establishing a grid connection to the distribution or transmission network.</t>
  </si>
  <si>
    <t>Costs of designing and constructing a storage system site, including specialised workforce, construction labour and overhead and profits for construction contractors.</t>
  </si>
  <si>
    <t>Cost of operation and maintenance, includes costs such as scheduled maintenance, performance monitoring, warranty extension, and extended performance guarantees.</t>
  </si>
  <si>
    <t>Cost of insurance, can include liability, environmental, property, and other insurances such as cyber security.</t>
  </si>
  <si>
    <t>Cost of taxes paid on properties used for non-domestic purposes.</t>
  </si>
  <si>
    <t xml:space="preserve">Charges for electricity trading as well as optimisation fees for use of software or external providers managing optimised battery use. </t>
  </si>
  <si>
    <t>Cost of network charges, can vary significantly depending on site and in case local upgrades to distribution grids are required. Typically paid either as annual capacity charge or per kWh exchanged with the grid.</t>
  </si>
  <si>
    <t>Agreement allowing use of land in exchange for rent.</t>
  </si>
  <si>
    <t>Covers cost such as auxiliary load, admin, communication and other small costs.</t>
  </si>
  <si>
    <t>Note: More details can be found in the report.</t>
  </si>
  <si>
    <t>Degraded/undegraded batteries sheet</t>
  </si>
  <si>
    <t>The repowering phase the asset is in. Repower Count will start at 0 and equal 1 after the 1st repowering.</t>
  </si>
  <si>
    <t>Average number of charge-discharge cycles achieved per day, where each cycle represents a full charge and discharge of the asset (though not necessarily consecutive), calculated based on the asset's current capacity.</t>
  </si>
  <si>
    <t>Percentage of initial storage duration remaining at the end of the time period due to degradation.</t>
  </si>
  <si>
    <t>Total storage charge/discharge volume</t>
  </si>
  <si>
    <t>Volume of energy charged to the storage asset from the grid / discharged from the grid, measured at the grid connection. Represents contractual value, therefore when relevant churn actions are included in this fact.</t>
  </si>
  <si>
    <t>'Market_name' discharge/charge cashflow</t>
  </si>
  <si>
    <t>Revenue obtained and costs incurred by the storage system through the export / import of power in 'Market_name'.</t>
  </si>
  <si>
    <t>Total revenues obtained by exporting power minus the cost for importing power in energy trading markets.</t>
  </si>
  <si>
    <t>Total cashflow for storage asset from payments for both availability and utilisation (if remunerated) across all ancillary service markets.</t>
  </si>
  <si>
    <t>Revenue obtained in Capacity Market auctions.</t>
  </si>
  <si>
    <t>Storage-from-RES / RES-to-storage cashflow</t>
  </si>
  <si>
    <t>Cost attributed to the battery asset for charging energy from the RES asset. This cashflow financially accounts for the opportunity cost for the battery asset of not charging from the grid but instead receiving it from the RES asset. Storage-from-RES cashflow = - RES-to-storage cashflow</t>
  </si>
  <si>
    <t>(RES output)</t>
  </si>
  <si>
    <t>Indicates that an output is measured at the RES DC output for a solar asset and the RES AC output for a wind asset, rather than at the grid connection point.</t>
  </si>
  <si>
    <t>RES-to-grid volume</t>
  </si>
  <si>
    <t>Volume of energy discharged to the grid from the RES.</t>
  </si>
  <si>
    <t>RES clipping losses</t>
  </si>
  <si>
    <t>Volume of clipped RES generation measured at the RES output. Clipping occurs when the RES inverter and/or grid export capacity is lower than the RES peak capacity and therefore some proportion of energy produced is not exported to grid or storage.</t>
  </si>
  <si>
    <t>RES grid curtailment volume</t>
  </si>
  <si>
    <t>Volume of RES generation lost due to grid curtailment. Grid curtailment occurs when the asset's generation is not exported due to restrictions imposed by the TSO.</t>
  </si>
  <si>
    <t>RES economic curtailment volume</t>
  </si>
  <si>
    <t>Volume of RES generation curtailed economicaly when RES exporting to grid would lead to negative revenue.</t>
  </si>
  <si>
    <t>RES available volume</t>
  </si>
  <si>
    <t>RES available generation volume measured at the RES DC output for a solar asset and the RES AC output for a wind asset. When the solar DC peak capacity is oversized relative to the solar inverter capacity, this fact represents the virtual/theoritical generation which would happen if the solar was not clipped by the inverter.</t>
  </si>
  <si>
    <t>RES Imbalance cashflow</t>
  </si>
  <si>
    <t>Cashflow adjustment resulting from discrepancies between the planned and actual energy output of a RES asset.</t>
  </si>
  <si>
    <t>Volume related network charges</t>
  </si>
  <si>
    <t>Total volume related charges associated with using the network. Note that some "network charges" can be a benefit.</t>
  </si>
  <si>
    <t>Total gross margin for the entire site, including adjustment cashflows for storage asset inability to meet planned commitments and RES contribution for co-located sites if applicable.</t>
  </si>
  <si>
    <t>Markets, tariffs and services</t>
  </si>
  <si>
    <t>Day-ahead market</t>
  </si>
  <si>
    <t>Wholesale market where commitments to generate or consume electricity are traded one day prior to delivery.</t>
  </si>
  <si>
    <t>Intraday market</t>
  </si>
  <si>
    <t>Wholesale spot market where commitments to generate or consume electricity are traded up to few minutes before delivery, adjusting for real-time demand and supply.</t>
  </si>
  <si>
    <t>aFRR market</t>
  </si>
  <si>
    <t>Automatic Frequency Restoration Reserve, secondary reserve market for several countries in Continental Europe. Includes a capacity-based and an energy-based components procured in separate tenders, response time is 5min.</t>
  </si>
  <si>
    <t>FCR market</t>
  </si>
  <si>
    <t>Frequency Containment Reserve, primary reserve market for initial containment of frequency deviations, capacity-based, response time is 30sec.</t>
  </si>
  <si>
    <t xml:space="preserve">Storage energy retention after degradation </t>
  </si>
  <si>
    <t>Fraction of initial storage energy capacity volume remaining at the end of the time period due to degradation. It determines when repowering is triggered. This is not affected by efficiency degradation, see “Storage duration remaining after degradation“ for the combination of both degradation types.</t>
  </si>
  <si>
    <t>Fraction of initial storage duration remaining at the end of the time period due to degradation. Storage duration at a fixed power level is affected by both energy capacity volume degradation, see "Storage energy retention after degradation", and DC-DC roundtrip efficiency degradation (if enabled). This fact captures the combined impact of these effects on usable storage duration.</t>
  </si>
  <si>
    <t>2027, 2030</t>
  </si>
  <si>
    <t>1.0cy</t>
  </si>
  <si>
    <t>€, real 2025 - calendar year average</t>
  </si>
  <si>
    <t>Storage Parameters</t>
  </si>
  <si>
    <t>Storage Volumes</t>
  </si>
  <si>
    <t>Storage Cashflow</t>
  </si>
  <si>
    <t>RES Volumes</t>
  </si>
  <si>
    <t>RES Cashflow</t>
  </si>
  <si>
    <t>Project Cashflow</t>
  </si>
  <si>
    <r>
      <t>•  This document (the “</t>
    </r>
    <r>
      <rPr>
        <b/>
        <sz val="10"/>
        <color rgb="FF3C3C3B"/>
        <rFont val="Arial"/>
        <family val="2"/>
      </rPr>
      <t>Data Book</t>
    </r>
    <r>
      <rPr>
        <sz val="10"/>
        <color rgb="FF3C3C3B"/>
        <rFont val="Arial"/>
        <family val="2"/>
      </rPr>
      <t>”) and its content (including, but not limited to, the text, images, graphics and illustrations) is the copyrighted material of Aurora Energy Research Limited, one or more of its subsidiary companies and/or such other subsidiary or affiliate of Aurora Energy Research Limited as may be incorporated from time to time) (together “</t>
    </r>
    <r>
      <rPr>
        <b/>
        <sz val="10"/>
        <color rgb="FF3C3C3B"/>
        <rFont val="Arial"/>
        <family val="2"/>
      </rPr>
      <t>Aurora</t>
    </r>
    <r>
      <rPr>
        <sz val="10"/>
        <color rgb="FF3C3C3B"/>
        <rFont val="Arial"/>
        <family val="2"/>
      </rPr>
      <t xml:space="preserve">”), unless otherwise stated.
•  This Data Book, the inputs, assumptions, parameters, data, figures or other information accessible provided by Aurora in the Software Solution used to generate this Data Book, or which are otherwise accessible in this Data Book are the confidential information of Aurora.
</t>
    </r>
    <r>
      <rPr>
        <b/>
        <sz val="10"/>
        <color rgb="FF3C3C3B"/>
        <rFont val="Arial"/>
        <family val="2"/>
      </rPr>
      <t>•  It is prohibited to:
    o disclose Aurora’s hourly and/or sub-hourly forecast data, including disclosure of such data to professional advisors; and
    o use Aurora’s hourly and/or sub-hourly forecast data in third-party power analytics software – including but not limited to asset-dispatch or 
       valuation tools, 
    without the prior written consent of Aurora.</t>
    </r>
  </si>
  <si>
    <t>Index relative to 2025</t>
  </si>
  <si>
    <t>Aurora's price forecasts are provided in real 2025 (calendar year average) prices.</t>
  </si>
  <si>
    <t>In order to convert prices from calendar year average 2025 to January 2025, multiply by 0.984833.</t>
  </si>
  <si>
    <t>standalone</t>
  </si>
  <si>
    <t>Aurora’s Hungarian Flexible Energy Market Forecast - Q2 2026</t>
  </si>
  <si>
    <t>This workbook accompanies Aurora’s Hungarian Flexible Energy Market Report for Q2 2026. For more information, please see the report available on Aurora's EOS platform.</t>
  </si>
  <si>
    <t>This file contains Aurora's assumptions and results as presented in Aurora’s Hungarian Flexible Energy Market Report for Q2 2026. Assumptions regarding CAPEX, OPEX, End of life value, Fast Reserve payment, CM payment and discount rates can be customized under the tab "Input". Under the tab "Revenues", the scenario of interest can be selected for easy inspection at the top of the page. The tab "NPV calculation" will then show the financial model and KPIs of the selected scenario. The tab "Summary table" can be updated to reflect any changes made to the "Input" tab assumptions; the results under Aurora's assumptions will be displayed alongside for comparison.</t>
  </si>
  <si>
    <t>Volume of energy charged to the storage asset from RES, measured at the storage DC output before entering the battery asset.</t>
  </si>
  <si>
    <t>2027 - Central - solar dc - 1.5cy - 2h</t>
  </si>
  <si>
    <t>Co-located with solar (DC)</t>
  </si>
  <si>
    <t>1.5cy</t>
  </si>
  <si>
    <t>2027 - Central - solar dc - 1.0cy - 2h</t>
  </si>
  <si>
    <t>2027 - Central - solar dc - 1.0cy - 4h</t>
  </si>
  <si>
    <t>2027 - Central -  standalone - 1.0cy - 2h</t>
  </si>
  <si>
    <t>2030 - Central - solar dc - 1.5cy - 2h</t>
  </si>
  <si>
    <t>2030 - Central - solar dc - 1.0cy - 4h</t>
  </si>
  <si>
    <t>2027 - Central - solar dc - 1.5cy - 2h- undegraded</t>
  </si>
  <si>
    <t>2027 - Central - solar dc - 1.0cy - 2h- undegraded</t>
  </si>
  <si>
    <t>2027 - Central - solar dc - 1.0cy - 4h- undegraded</t>
  </si>
  <si>
    <t>2027 - Central -  standalone - 1.0cy - 2h- undegraded</t>
  </si>
  <si>
    <r>
      <rPr>
        <i/>
        <vertAlign val="superscript"/>
        <sz val="10"/>
        <color theme="1"/>
        <rFont val="Arial"/>
        <family val="2"/>
      </rPr>
      <t>3</t>
    </r>
    <r>
      <rPr>
        <i/>
        <sz val="10"/>
        <color theme="1"/>
        <rFont val="Arial"/>
        <family val="2"/>
      </rPr>
      <t xml:space="preserve"> Capacity market revenues available for BESS entering the market in 2030</t>
    </r>
  </si>
  <si>
    <t>Notes: For currency conversion, nominal exchange rates are applied based on 2025 values. Aurora does not forecast future exchange rates; instead, the 2025 nominal FX rate is used consistently for all subsequent years.</t>
  </si>
  <si>
    <t>Ft Inflation</t>
  </si>
  <si>
    <t>Sources: IMF - World Economic Outlook (WEO) October 2025, Hungarian National Bank for Ft</t>
  </si>
  <si>
    <t>Notes: IMF - World Economic Outlook (WEO) October 2025 provides a forecast for inflation rates up to 2030 for Euro, from then we assume a constant 2% growth.</t>
  </si>
  <si>
    <t>Ioanna Karani, Vivian Kourentzi, Dimitris Choutzoumis, Louiza Moutafi</t>
  </si>
  <si>
    <t>66 - 68.67%</t>
  </si>
  <si>
    <t>I ACCEPT</t>
  </si>
  <si>
    <t>BESS only, no refresh</t>
  </si>
  <si>
    <t>50% of co-location CAPEX savings</t>
  </si>
  <si>
    <t>50% of co-location OPEX savings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</si>
</sst>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3">
    <numFmt numFmtId="8" formatCode="&quot;£&quot;#,##0.00;[Red]\-&quot;£&quot;#,##0.00"/>
    <numFmt numFmtId="43" formatCode="_-* #,##0.00_-;\-* #,##0.00_-;_-* &quot;-&quot;??_-;_-@_-"/>
    <numFmt numFmtId="164" formatCode="&quot;$&quot;#,##0.00_);[Red]\(&quot;$&quot;#,##0.00\)"/>
    <numFmt numFmtId="165" formatCode="0.0%"/>
    <numFmt numFmtId="166" formatCode="0.0"/>
    <numFmt numFmtId="167" formatCode="0.0_ ;\-0.0\ "/>
    <numFmt numFmtId="168" formatCode="#,##0.0"/>
    <numFmt numFmtId="169" formatCode="#,##0.0;\(#,##0.0\);\-"/>
    <numFmt numFmtId="170" formatCode="#,##0.0;\(#,##0.0\)"/>
    <numFmt numFmtId="171" formatCode="#,##0.00;\(#,##0.00\)"/>
    <numFmt numFmtId="172" formatCode="#,##0.00%;\(#,##0.00%\)"/>
    <numFmt numFmtId="173" formatCode="[$$-C09]#,##0.0"/>
    <numFmt numFmtId="174" formatCode="mm/dd/yyyy"/>
  </numFmts>
  <fonts count="106" x14ac:knownFonts="1">
    <font>
      <sz val="11"/>
      <color theme="1"/>
      <name val="Calibri"/>
      <family val="2"/>
      <scheme val="minor"/>
    </font>
    <font>
      <sz val="10"/>
      <color theme="1"/>
      <name val="Lato"/>
      <family val="2"/>
    </font>
    <font>
      <sz val="10"/>
      <color theme="1"/>
      <name val="Lato"/>
      <family val="2"/>
    </font>
    <font>
      <sz val="10"/>
      <color theme="1"/>
      <name val="Lato"/>
      <family val="2"/>
    </font>
    <font>
      <sz val="10"/>
      <color theme="1"/>
      <name val="Lato"/>
      <family val="2"/>
    </font>
    <font>
      <sz val="10"/>
      <color theme="1"/>
      <name val="Lato"/>
      <family val="2"/>
    </font>
    <font>
      <sz val="10"/>
      <color theme="1"/>
      <name val="Lato"/>
      <family val="2"/>
    </font>
    <font>
      <b/>
      <sz val="11"/>
      <color theme="1"/>
      <name val="Calibri"/>
      <family val="2"/>
      <scheme val="minor"/>
    </font>
    <font>
      <sz val="11"/>
      <color theme="1"/>
      <name val="Calibri"/>
      <family val="2"/>
      <scheme val="minor"/>
    </font>
    <font>
      <u/>
      <sz val="11"/>
      <color theme="10"/>
      <name val="Calibri"/>
      <family val="2"/>
      <scheme val="minor"/>
    </font>
    <font>
      <sz val="11"/>
      <name val="Calibri"/>
      <family val="2"/>
      <scheme val="minor"/>
    </font>
    <font>
      <sz val="11"/>
      <color theme="1"/>
      <name val="Lato"/>
      <family val="2"/>
    </font>
    <font>
      <sz val="10"/>
      <color theme="8"/>
      <name val="Calibri"/>
      <family val="2"/>
      <scheme val="minor"/>
    </font>
    <font>
      <sz val="11"/>
      <color rgb="FFFF0000"/>
      <name val="Calibri"/>
      <family val="2"/>
      <scheme val="minor"/>
    </font>
    <font>
      <sz val="11"/>
      <color theme="0"/>
      <name val="Calibri"/>
      <family val="2"/>
      <scheme val="minor"/>
    </font>
    <font>
      <b/>
      <sz val="11"/>
      <color theme="7"/>
      <name val="Calibri"/>
      <family val="2"/>
      <scheme val="minor"/>
    </font>
    <font>
      <sz val="11"/>
      <color theme="7"/>
      <name val="Calibri"/>
      <family val="2"/>
      <scheme val="minor"/>
    </font>
    <font>
      <sz val="8"/>
      <name val="Calibri"/>
      <family val="2"/>
      <scheme val="minor"/>
    </font>
    <font>
      <sz val="18"/>
      <color theme="3"/>
      <name val="Calibri Light"/>
      <family val="2"/>
      <scheme val="major"/>
    </font>
    <font>
      <sz val="11"/>
      <color rgb="FF3F3F76"/>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i/>
      <sz val="11"/>
      <color rgb="FF7F7F7F"/>
      <name val="Calibri"/>
      <family val="2"/>
      <scheme val="minor"/>
    </font>
    <font>
      <sz val="11"/>
      <color rgb="FF000000"/>
      <name val="Calibri"/>
      <family val="2"/>
      <scheme val="minor"/>
    </font>
    <font>
      <b/>
      <sz val="11"/>
      <color rgb="FF000000"/>
      <name val="Calibri"/>
      <family val="2"/>
      <scheme val="minor"/>
    </font>
    <font>
      <u/>
      <sz val="11"/>
      <color rgb="FF000000"/>
      <name val="Calibri"/>
      <family val="2"/>
      <scheme val="minor"/>
    </font>
    <font>
      <b/>
      <sz val="15"/>
      <color theme="3"/>
      <name val="Lato"/>
      <family val="2"/>
    </font>
    <font>
      <b/>
      <sz val="13"/>
      <color theme="3"/>
      <name val="Lato"/>
      <family val="2"/>
    </font>
    <font>
      <b/>
      <sz val="11"/>
      <color theme="3"/>
      <name val="Lato"/>
      <family val="2"/>
    </font>
    <font>
      <sz val="10"/>
      <color rgb="FF006100"/>
      <name val="Lato"/>
      <family val="2"/>
    </font>
    <font>
      <sz val="10"/>
      <color rgb="FF9C0006"/>
      <name val="Lato"/>
      <family val="2"/>
    </font>
    <font>
      <sz val="10"/>
      <color rgb="FF9C5700"/>
      <name val="Lato"/>
      <family val="2"/>
    </font>
    <font>
      <sz val="10"/>
      <color rgb="FF3F3F76"/>
      <name val="Lato"/>
      <family val="2"/>
    </font>
    <font>
      <b/>
      <sz val="10"/>
      <color rgb="FF3F3F3F"/>
      <name val="Lato"/>
      <family val="2"/>
    </font>
    <font>
      <b/>
      <sz val="10"/>
      <color rgb="FFFA7D00"/>
      <name val="Lato"/>
      <family val="2"/>
    </font>
    <font>
      <sz val="10"/>
      <color rgb="FFFA7D00"/>
      <name val="Lato"/>
      <family val="2"/>
    </font>
    <font>
      <b/>
      <sz val="10"/>
      <color theme="0"/>
      <name val="Lato"/>
      <family val="2"/>
    </font>
    <font>
      <sz val="10"/>
      <color rgb="FFFF0000"/>
      <name val="Lato"/>
      <family val="2"/>
    </font>
    <font>
      <i/>
      <sz val="10"/>
      <color rgb="FF7F7F7F"/>
      <name val="Lato"/>
      <family val="2"/>
    </font>
    <font>
      <b/>
      <sz val="10"/>
      <color theme="1"/>
      <name val="Lato"/>
      <family val="2"/>
    </font>
    <font>
      <sz val="10"/>
      <color theme="0"/>
      <name val="Lato"/>
      <family val="2"/>
    </font>
    <font>
      <sz val="11"/>
      <color rgb="FF3C3C3B"/>
      <name val="Lato"/>
      <family val="2"/>
    </font>
    <font>
      <sz val="10"/>
      <name val="Arial"/>
      <family val="2"/>
    </font>
    <font>
      <sz val="10"/>
      <color theme="1"/>
      <name val="Arial"/>
      <family val="2"/>
    </font>
    <font>
      <b/>
      <sz val="10"/>
      <color theme="1"/>
      <name val="Arial"/>
      <family val="2"/>
    </font>
    <font>
      <u/>
      <sz val="10"/>
      <color theme="10"/>
      <name val="Arial"/>
      <family val="2"/>
    </font>
    <font>
      <b/>
      <sz val="10"/>
      <color theme="4"/>
      <name val="Arial"/>
      <family val="2"/>
    </font>
    <font>
      <sz val="11"/>
      <name val="Calibri"/>
      <family val="2"/>
    </font>
    <font>
      <sz val="10"/>
      <color indexed="8"/>
      <name val="Arial"/>
      <family val="2"/>
    </font>
    <font>
      <u/>
      <sz val="10"/>
      <color indexed="12"/>
      <name val="Arial"/>
      <family val="2"/>
    </font>
    <font>
      <b/>
      <sz val="9"/>
      <name val="Times New Roman"/>
      <family val="1"/>
    </font>
    <font>
      <sz val="9"/>
      <name val="Times New Roman"/>
      <family val="1"/>
    </font>
    <font>
      <b/>
      <sz val="11"/>
      <color theme="1"/>
      <name val="Arial"/>
      <family val="2"/>
    </font>
    <font>
      <sz val="11"/>
      <color theme="1"/>
      <name val="Calibri"/>
      <family val="2"/>
      <charset val="161"/>
      <scheme val="minor"/>
    </font>
    <font>
      <b/>
      <sz val="11"/>
      <color rgb="FF000000"/>
      <name val="Calibri"/>
      <family val="2"/>
    </font>
    <font>
      <sz val="11"/>
      <color rgb="FF000000"/>
      <name val="Calibri"/>
      <family val="2"/>
    </font>
    <font>
      <sz val="10"/>
      <color theme="1"/>
      <name val="Calibri"/>
      <family val="2"/>
      <scheme val="minor"/>
    </font>
    <font>
      <sz val="11"/>
      <color theme="1" tint="0.499984740745262"/>
      <name val="Lato"/>
      <family val="2"/>
    </font>
    <font>
      <b/>
      <sz val="16"/>
      <color theme="1"/>
      <name val="Calibri"/>
      <family val="2"/>
      <scheme val="minor"/>
    </font>
    <font>
      <sz val="16"/>
      <color theme="1"/>
      <name val="Calibri"/>
      <family val="2"/>
      <scheme val="minor"/>
    </font>
    <font>
      <sz val="11"/>
      <color theme="1" tint="0.499984740745262"/>
      <name val="Calibri"/>
      <family val="2"/>
      <scheme val="minor"/>
    </font>
    <font>
      <sz val="10"/>
      <color rgb="FF3C3C3B"/>
      <name val="Arial"/>
      <family val="2"/>
    </font>
    <font>
      <b/>
      <sz val="10"/>
      <color rgb="FF3C3C3B"/>
      <name val="Arial"/>
      <family val="2"/>
    </font>
    <font>
      <sz val="11"/>
      <color theme="1"/>
      <name val="Arial"/>
      <family val="2"/>
    </font>
    <font>
      <sz val="11"/>
      <name val="Arial"/>
      <family val="2"/>
    </font>
    <font>
      <b/>
      <sz val="16"/>
      <name val="Arial"/>
      <family val="2"/>
    </font>
    <font>
      <sz val="16"/>
      <name val="Arial"/>
      <family val="2"/>
    </font>
    <font>
      <b/>
      <sz val="10"/>
      <name val="Arial"/>
      <family val="2"/>
    </font>
    <font>
      <u/>
      <sz val="10"/>
      <color theme="1"/>
      <name val="Arial"/>
      <family val="2"/>
    </font>
    <font>
      <b/>
      <sz val="11"/>
      <color rgb="FF3C3C3B"/>
      <name val="Arial"/>
      <family val="2"/>
    </font>
    <font>
      <sz val="11"/>
      <color rgb="FF3C3C3B"/>
      <name val="Arial"/>
      <family val="2"/>
    </font>
    <font>
      <sz val="8"/>
      <color rgb="FF3C3C3B"/>
      <name val="Arial"/>
      <family val="2"/>
    </font>
    <font>
      <b/>
      <sz val="8"/>
      <color rgb="FF3C3C3B"/>
      <name val="Arial"/>
      <family val="2"/>
    </font>
    <font>
      <sz val="10"/>
      <color theme="8"/>
      <name val="Arial"/>
      <family val="2"/>
    </font>
    <font>
      <sz val="10"/>
      <color rgb="FFFF0000"/>
      <name val="Arial"/>
      <family val="2"/>
    </font>
    <font>
      <i/>
      <sz val="10"/>
      <color rgb="FF838383"/>
      <name val="Arial"/>
      <family val="2"/>
    </font>
    <font>
      <sz val="10"/>
      <color rgb="FF838383"/>
      <name val="Arial"/>
      <family val="2"/>
    </font>
    <font>
      <sz val="10"/>
      <color theme="0" tint="-0.499984740745262"/>
      <name val="Arial"/>
      <family val="2"/>
    </font>
    <font>
      <sz val="10"/>
      <color rgb="FF000000"/>
      <name val="Arial"/>
      <family val="2"/>
    </font>
    <font>
      <b/>
      <sz val="10"/>
      <color theme="7"/>
      <name val="Arial"/>
      <family val="2"/>
    </font>
    <font>
      <sz val="10"/>
      <color theme="0"/>
      <name val="Arial"/>
      <family val="2"/>
    </font>
    <font>
      <b/>
      <sz val="10"/>
      <color rgb="FF000000"/>
      <name val="Arial"/>
      <family val="2"/>
    </font>
    <font>
      <vertAlign val="superscript"/>
      <sz val="10"/>
      <color theme="1"/>
      <name val="Arial"/>
      <family val="2"/>
    </font>
    <font>
      <b/>
      <i/>
      <sz val="10"/>
      <color theme="1"/>
      <name val="Arial"/>
      <family val="2"/>
    </font>
    <font>
      <b/>
      <i/>
      <vertAlign val="superscript"/>
      <sz val="10"/>
      <color theme="1"/>
      <name val="Arial"/>
      <family val="2"/>
    </font>
    <font>
      <i/>
      <sz val="10"/>
      <color theme="1"/>
      <name val="Arial"/>
      <family val="2"/>
    </font>
    <font>
      <i/>
      <vertAlign val="superscript"/>
      <sz val="10"/>
      <color theme="1"/>
      <name val="Arial"/>
      <family val="2"/>
    </font>
    <font>
      <b/>
      <sz val="10"/>
      <color rgb="FFFF0000"/>
      <name val="Arial"/>
      <family val="2"/>
    </font>
    <font>
      <i/>
      <sz val="10"/>
      <color theme="3"/>
      <name val="Arial"/>
      <family val="2"/>
    </font>
    <font>
      <sz val="10"/>
      <color theme="3"/>
      <name val="Arial"/>
      <family val="2"/>
    </font>
    <font>
      <sz val="10"/>
      <color theme="1" tint="0.499984740745262"/>
      <name val="Arial"/>
      <family val="2"/>
    </font>
    <font>
      <b/>
      <sz val="11"/>
      <name val="Calibri"/>
      <family val="2"/>
      <scheme val="minor"/>
    </font>
    <font>
      <b/>
      <sz val="11"/>
      <color rgb="FFFF0000"/>
      <name val="Calibri"/>
      <family val="2"/>
      <scheme val="minor"/>
    </font>
    <font>
      <b/>
      <sz val="10"/>
      <color rgb="FF000000"/>
      <name val="Lato"/>
      <family val="2"/>
    </font>
    <font>
      <i/>
      <sz val="10"/>
      <color theme="6"/>
      <name val="Arial"/>
      <family val="2"/>
    </font>
    <font>
      <b/>
      <sz val="26"/>
      <color theme="1"/>
      <name val="Arial"/>
      <family val="2"/>
    </font>
    <font>
      <sz val="11"/>
      <color rgb="FFFF0000"/>
      <name val="Arial"/>
      <family val="2"/>
    </font>
    <font>
      <sz val="10"/>
      <color rgb="FF3C3C3B"/>
      <name val="Lato"/>
      <family val="2"/>
    </font>
  </fonts>
  <fills count="60">
    <fill>
      <patternFill patternType="none"/>
    </fill>
    <fill>
      <patternFill patternType="gray125"/>
    </fill>
    <fill>
      <patternFill patternType="solid">
        <fgColor theme="0"/>
        <bgColor indexed="64"/>
      </patternFill>
    </fill>
    <fill>
      <patternFill patternType="solid">
        <fgColor theme="2" tint="-0.499984740745262"/>
        <bgColor indexed="64"/>
      </patternFill>
    </fill>
    <fill>
      <patternFill patternType="solid">
        <fgColor rgb="FFFFCC00"/>
        <bgColor indexed="64"/>
      </patternFill>
    </fill>
    <fill>
      <patternFill patternType="solid">
        <fgColor theme="2"/>
        <bgColor indexed="64"/>
      </patternFill>
    </fill>
    <fill>
      <patternFill patternType="solid">
        <fgColor theme="5" tint="0.39997558519241921"/>
        <bgColor indexed="64"/>
      </patternFill>
    </fill>
    <fill>
      <patternFill patternType="solid">
        <fgColor theme="7"/>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DDEBF7"/>
        <bgColor rgb="FF000000"/>
      </patternFill>
    </fill>
    <fill>
      <patternFill patternType="solid">
        <fgColor rgb="FFE2EFDA"/>
        <bgColor rgb="FF000000"/>
      </patternFill>
    </fill>
    <fill>
      <patternFill patternType="solid">
        <fgColor rgb="FFFFF2CC"/>
        <bgColor rgb="FF000000"/>
      </patternFill>
    </fill>
    <fill>
      <patternFill patternType="solid">
        <fgColor theme="7" tint="0.79998168889431442"/>
        <bgColor indexed="64"/>
      </patternFill>
    </fill>
    <fill>
      <patternFill patternType="solid">
        <fgColor theme="5" tint="0.59999389629810485"/>
        <bgColor indexed="64"/>
      </patternFill>
    </fill>
    <fill>
      <patternFill patternType="solid">
        <fgColor rgb="FFFFC000"/>
        <bgColor indexed="64"/>
      </patternFill>
    </fill>
    <fill>
      <patternFill patternType="solid">
        <fgColor theme="4" tint="0.59996337778862885"/>
        <bgColor indexed="64"/>
      </patternFill>
    </fill>
    <fill>
      <patternFill patternType="solid">
        <fgColor theme="8" tint="0.79998168889431442"/>
        <bgColor indexed="64"/>
      </patternFill>
    </fill>
    <fill>
      <patternFill patternType="solid">
        <fgColor indexed="13"/>
        <bgColor indexed="64"/>
      </patternFill>
    </fill>
    <fill>
      <patternFill patternType="solid">
        <fgColor indexed="13"/>
        <bgColor indexed="34"/>
      </patternFill>
    </fill>
    <fill>
      <patternFill patternType="solid">
        <fgColor theme="0" tint="-0.14999847407452621"/>
        <bgColor indexed="64"/>
      </patternFill>
    </fill>
    <fill>
      <patternFill patternType="solid">
        <fgColor rgb="FFFFFFFF"/>
        <bgColor rgb="FF000000"/>
      </patternFill>
    </fill>
    <fill>
      <patternFill patternType="solid">
        <fgColor rgb="FFFFCC00"/>
        <bgColor rgb="FF000000"/>
      </patternFill>
    </fill>
    <fill>
      <patternFill patternType="solid">
        <fgColor theme="0" tint="-0.34998626667073579"/>
        <bgColor indexed="64"/>
      </patternFill>
    </fill>
    <fill>
      <patternFill patternType="solid">
        <fgColor rgb="FF757171"/>
        <bgColor rgb="FF000000"/>
      </patternFill>
    </fill>
    <fill>
      <patternFill patternType="solid">
        <fgColor rgb="FFFFFFFF"/>
        <bgColor rgb="FFFFFFFF"/>
      </patternFill>
    </fill>
    <fill>
      <patternFill patternType="solid">
        <fgColor rgb="FFFFCC00"/>
        <bgColor rgb="FFFFCC00"/>
      </patternFill>
    </fill>
    <fill>
      <patternFill patternType="solid">
        <fgColor rgb="FFE7E7E7"/>
        <bgColor rgb="FFE7E7E7"/>
      </patternFill>
    </fill>
    <fill>
      <patternFill patternType="solid">
        <fgColor theme="0"/>
        <bgColor rgb="FF000000"/>
      </patternFill>
    </fill>
    <fill>
      <patternFill patternType="solid">
        <fgColor theme="0"/>
      </patternFill>
    </fill>
    <fill>
      <patternFill patternType="solid">
        <fgColor rgb="FFFFFF00"/>
        <bgColor indexed="64"/>
      </patternFill>
    </fill>
  </fills>
  <borders count="50">
    <border>
      <left/>
      <right/>
      <top/>
      <bottom/>
      <diagonal/>
    </border>
    <border>
      <left style="thin">
        <color indexed="64"/>
      </left>
      <right style="thin">
        <color indexed="64"/>
      </right>
      <top style="thin">
        <color indexed="64"/>
      </top>
      <bottom style="thin">
        <color indexed="64"/>
      </bottom>
      <diagonal/>
    </border>
    <border>
      <left style="medium">
        <color theme="8" tint="-0.499984740745262"/>
      </left>
      <right/>
      <top style="medium">
        <color theme="8" tint="-0.499984740745262"/>
      </top>
      <bottom/>
      <diagonal/>
    </border>
    <border>
      <left/>
      <right/>
      <top style="medium">
        <color theme="8" tint="-0.499984740745262"/>
      </top>
      <bottom/>
      <diagonal/>
    </border>
    <border>
      <left/>
      <right style="medium">
        <color theme="8" tint="-0.499984740745262"/>
      </right>
      <top style="medium">
        <color theme="8" tint="-0.499984740745262"/>
      </top>
      <bottom/>
      <diagonal/>
    </border>
    <border>
      <left style="medium">
        <color theme="8" tint="-0.499984740745262"/>
      </left>
      <right/>
      <top/>
      <bottom/>
      <diagonal/>
    </border>
    <border>
      <left/>
      <right style="medium">
        <color theme="8" tint="-0.499984740745262"/>
      </right>
      <top/>
      <bottom/>
      <diagonal/>
    </border>
    <border>
      <left style="thin">
        <color rgb="FFFFCC00"/>
      </left>
      <right style="thin">
        <color rgb="FFFFCC00"/>
      </right>
      <top style="thin">
        <color rgb="FFFFCC00"/>
      </top>
      <bottom/>
      <diagonal/>
    </border>
    <border>
      <left style="thin">
        <color rgb="FFFFCC00"/>
      </left>
      <right/>
      <top style="thin">
        <color rgb="FFFFCC00"/>
      </top>
      <bottom style="thin">
        <color rgb="FFFFCC00"/>
      </bottom>
      <diagonal/>
    </border>
    <border>
      <left/>
      <right style="thin">
        <color rgb="FFFFCC00"/>
      </right>
      <top style="thin">
        <color rgb="FFFFCC00"/>
      </top>
      <bottom style="thin">
        <color rgb="FFFFCC00"/>
      </bottom>
      <diagonal/>
    </border>
    <border>
      <left style="thin">
        <color rgb="FFFFCC00"/>
      </left>
      <right style="thin">
        <color rgb="FFFFCC00"/>
      </right>
      <top style="thin">
        <color rgb="FFFFCC00"/>
      </top>
      <bottom style="thin">
        <color rgb="FFFFCC00"/>
      </bottom>
      <diagonal/>
    </border>
    <border>
      <left/>
      <right/>
      <top style="thin">
        <color rgb="FFFFCC00"/>
      </top>
      <bottom style="thin">
        <color rgb="FFFFCC00"/>
      </bottom>
      <diagonal/>
    </border>
    <border>
      <left/>
      <right/>
      <top/>
      <bottom style="thin">
        <color rgb="FFFFCC00"/>
      </bottom>
      <diagonal/>
    </border>
    <border>
      <left/>
      <right/>
      <top style="thin">
        <color rgb="FFFFC000"/>
      </top>
      <bottom style="thin">
        <color rgb="FFFFC000"/>
      </bottom>
      <diagonal/>
    </border>
    <border>
      <left style="thin">
        <color theme="7"/>
      </left>
      <right style="thin">
        <color theme="7"/>
      </right>
      <top/>
      <bottom style="thin">
        <color theme="7"/>
      </bottom>
      <diagonal/>
    </border>
    <border>
      <left style="thin">
        <color theme="7"/>
      </left>
      <right/>
      <top/>
      <bottom style="thin">
        <color theme="7"/>
      </bottom>
      <diagonal/>
    </border>
    <border>
      <left/>
      <right style="thin">
        <color theme="7"/>
      </right>
      <top/>
      <bottom style="thin">
        <color theme="7"/>
      </bottom>
      <diagonal/>
    </border>
    <border>
      <left/>
      <right/>
      <top style="thin">
        <color theme="7"/>
      </top>
      <bottom style="thin">
        <color rgb="FFFFCC00"/>
      </bottom>
      <diagonal/>
    </border>
    <border>
      <left style="medium">
        <color theme="8" tint="-0.499984740745262"/>
      </left>
      <right/>
      <top/>
      <bottom style="medium">
        <color theme="8" tint="-0.499984740745262"/>
      </bottom>
      <diagonal/>
    </border>
    <border>
      <left/>
      <right/>
      <top/>
      <bottom style="medium">
        <color theme="8" tint="-0.499984740745262"/>
      </bottom>
      <diagonal/>
    </border>
    <border>
      <left/>
      <right style="medium">
        <color theme="8" tint="-0.499984740745262"/>
      </right>
      <top/>
      <bottom style="medium">
        <color theme="8" tint="-0.499984740745262"/>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thin">
        <color indexed="64"/>
      </top>
      <bottom/>
      <diagonal/>
    </border>
    <border>
      <left style="dotted">
        <color indexed="64"/>
      </left>
      <right style="dotted">
        <color indexed="64"/>
      </right>
      <top style="dotted">
        <color indexed="64"/>
      </top>
      <bottom style="dotted">
        <color indexed="64"/>
      </bottom>
      <diagonal/>
    </border>
    <border>
      <left/>
      <right/>
      <top style="thin">
        <color indexed="64"/>
      </top>
      <bottom style="thin">
        <color indexed="64"/>
      </bottom>
      <diagonal/>
    </border>
    <border>
      <left/>
      <right/>
      <top/>
      <bottom style="thin">
        <color indexed="64"/>
      </bottom>
      <diagonal/>
    </border>
    <border>
      <left/>
      <right/>
      <top style="hair">
        <color auto="1"/>
      </top>
      <bottom style="hair">
        <color auto="1"/>
      </bottom>
      <diagonal/>
    </border>
    <border>
      <left/>
      <right/>
      <top/>
      <bottom style="thin">
        <color rgb="FF000000"/>
      </bottom>
      <diagonal/>
    </border>
    <border>
      <left/>
      <right/>
      <top style="thin">
        <color rgb="FF000000"/>
      </top>
      <bottom style="thin">
        <color rgb="FF000000"/>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rgb="FF000000"/>
      </top>
      <bottom/>
      <diagonal/>
    </border>
    <border>
      <left/>
      <right/>
      <top style="thin">
        <color rgb="FFFFCC00"/>
      </top>
      <bottom/>
      <diagonal/>
    </border>
    <border>
      <left/>
      <right style="thin">
        <color rgb="FFFFCC00"/>
      </right>
      <top/>
      <bottom style="thin">
        <color rgb="FFFFCC00"/>
      </bottom>
      <diagonal/>
    </border>
    <border>
      <left/>
      <right/>
      <top style="thin">
        <color rgb="FF000000"/>
      </top>
      <bottom style="thin">
        <color indexed="64"/>
      </bottom>
      <diagonal/>
    </border>
    <border>
      <left/>
      <right/>
      <top/>
      <bottom style="dotted">
        <color indexed="64"/>
      </bottom>
      <diagonal/>
    </border>
  </borders>
  <cellStyleXfs count="264">
    <xf numFmtId="0" fontId="0" fillId="0" borderId="0"/>
    <xf numFmtId="0" fontId="9" fillId="0" borderId="0" applyNumberFormat="0" applyFill="0" applyBorder="0" applyAlignment="0" applyProtection="0"/>
    <xf numFmtId="0" fontId="8" fillId="0" borderId="0"/>
    <xf numFmtId="43" fontId="8" fillId="0" borderId="0" applyFont="0" applyFill="0" applyBorder="0" applyAlignment="0" applyProtection="0"/>
    <xf numFmtId="9" fontId="8" fillId="0" borderId="0" applyFont="0" applyFill="0" applyBorder="0" applyAlignment="0" applyProtection="0"/>
    <xf numFmtId="43" fontId="8" fillId="0" borderId="0" applyFont="0" applyFill="0" applyBorder="0" applyAlignment="0" applyProtection="0"/>
    <xf numFmtId="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0" fontId="18" fillId="0" borderId="0" applyNumberFormat="0" applyFill="0" applyBorder="0" applyAlignment="0" applyProtection="0"/>
    <xf numFmtId="0" fontId="8" fillId="14" borderId="28" applyNumberFormat="0" applyFont="0" applyAlignment="0" applyProtection="0"/>
    <xf numFmtId="43" fontId="8" fillId="0" borderId="0" applyFont="0" applyFill="0" applyBorder="0" applyAlignment="0" applyProtection="0"/>
    <xf numFmtId="43" fontId="8" fillId="0" borderId="0" applyFont="0" applyFill="0" applyBorder="0" applyAlignment="0" applyProtection="0"/>
    <xf numFmtId="0" fontId="19" fillId="11" borderId="24" applyNumberFormat="0" applyAlignment="0" applyProtection="0"/>
    <xf numFmtId="43" fontId="8" fillId="0" borderId="0" applyFont="0" applyFill="0" applyBorder="0" applyAlignment="0" applyProtection="0"/>
    <xf numFmtId="0" fontId="20" fillId="0" borderId="21" applyNumberFormat="0" applyFill="0" applyAlignment="0" applyProtection="0"/>
    <xf numFmtId="0" fontId="21" fillId="0" borderId="22" applyNumberFormat="0" applyFill="0" applyAlignment="0" applyProtection="0"/>
    <xf numFmtId="0" fontId="22" fillId="0" borderId="23" applyNumberFormat="0" applyFill="0" applyAlignment="0" applyProtection="0"/>
    <xf numFmtId="0" fontId="22" fillId="0" borderId="0" applyNumberFormat="0" applyFill="0" applyBorder="0" applyAlignment="0" applyProtection="0"/>
    <xf numFmtId="0" fontId="23" fillId="8" borderId="0" applyNumberFormat="0" applyBorder="0" applyAlignment="0" applyProtection="0"/>
    <xf numFmtId="0" fontId="24" fillId="9" borderId="0" applyNumberFormat="0" applyBorder="0" applyAlignment="0" applyProtection="0"/>
    <xf numFmtId="0" fontId="25" fillId="10" borderId="0" applyNumberFormat="0" applyBorder="0" applyAlignment="0" applyProtection="0"/>
    <xf numFmtId="0" fontId="26" fillId="12" borderId="25" applyNumberFormat="0" applyAlignment="0" applyProtection="0"/>
    <xf numFmtId="0" fontId="27" fillId="12" borderId="24" applyNumberFormat="0" applyAlignment="0" applyProtection="0"/>
    <xf numFmtId="0" fontId="28" fillId="0" borderId="26" applyNumberFormat="0" applyFill="0" applyAlignment="0" applyProtection="0"/>
    <xf numFmtId="0" fontId="29" fillId="13" borderId="27" applyNumberFormat="0" applyAlignment="0" applyProtection="0"/>
    <xf numFmtId="0" fontId="13" fillId="0" borderId="0" applyNumberFormat="0" applyFill="0" applyBorder="0" applyAlignment="0" applyProtection="0"/>
    <xf numFmtId="0" fontId="30" fillId="0" borderId="0" applyNumberFormat="0" applyFill="0" applyBorder="0" applyAlignment="0" applyProtection="0"/>
    <xf numFmtId="0" fontId="7" fillId="0" borderId="29" applyNumberFormat="0" applyFill="0" applyAlignment="0" applyProtection="0"/>
    <xf numFmtId="0" fontId="14" fillId="15" borderId="0" applyNumberFormat="0" applyBorder="0" applyAlignment="0" applyProtection="0"/>
    <xf numFmtId="0" fontId="8" fillId="16"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14" fillId="19" borderId="0" applyNumberFormat="0" applyBorder="0" applyAlignment="0" applyProtection="0"/>
    <xf numFmtId="0" fontId="8" fillId="20"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14" fillId="23" borderId="0" applyNumberFormat="0" applyBorder="0" applyAlignment="0" applyProtection="0"/>
    <xf numFmtId="0" fontId="8" fillId="24"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14" fillId="27" borderId="0" applyNumberFormat="0" applyBorder="0" applyAlignment="0" applyProtection="0"/>
    <xf numFmtId="0" fontId="8" fillId="28"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14" fillId="31" borderId="0" applyNumberFormat="0" applyBorder="0" applyAlignment="0" applyProtection="0"/>
    <xf numFmtId="0" fontId="8" fillId="32"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14" fillId="35" borderId="0" applyNumberFormat="0" applyBorder="0" applyAlignment="0" applyProtection="0"/>
    <xf numFmtId="0" fontId="8" fillId="36" borderId="0" applyNumberFormat="0" applyBorder="0" applyAlignment="0" applyProtection="0"/>
    <xf numFmtId="0" fontId="8" fillId="37" borderId="0" applyNumberFormat="0" applyBorder="0" applyAlignment="0" applyProtection="0"/>
    <xf numFmtId="0" fontId="8" fillId="38" borderId="0" applyNumberFormat="0" applyBorder="0" applyAlignment="0" applyProtection="0"/>
    <xf numFmtId="0" fontId="6"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0" fontId="5" fillId="0" borderId="0"/>
    <xf numFmtId="0" fontId="34" fillId="0" borderId="21" applyNumberFormat="0" applyFill="0" applyAlignment="0" applyProtection="0"/>
    <xf numFmtId="0" fontId="35" fillId="0" borderId="22" applyNumberFormat="0" applyFill="0" applyAlignment="0" applyProtection="0"/>
    <xf numFmtId="0" fontId="36" fillId="0" borderId="23" applyNumberFormat="0" applyFill="0" applyAlignment="0" applyProtection="0"/>
    <xf numFmtId="0" fontId="36" fillId="0" borderId="0" applyNumberFormat="0" applyFill="0" applyBorder="0" applyAlignment="0" applyProtection="0"/>
    <xf numFmtId="0" fontId="37" fillId="8" borderId="0" applyNumberFormat="0" applyBorder="0" applyAlignment="0" applyProtection="0"/>
    <xf numFmtId="0" fontId="38" fillId="9" borderId="0" applyNumberFormat="0" applyBorder="0" applyAlignment="0" applyProtection="0"/>
    <xf numFmtId="0" fontId="39" fillId="10" borderId="0" applyNumberFormat="0" applyBorder="0" applyAlignment="0" applyProtection="0"/>
    <xf numFmtId="0" fontId="40" fillId="11" borderId="24" applyNumberFormat="0" applyAlignment="0" applyProtection="0"/>
    <xf numFmtId="0" fontId="41" fillId="12" borderId="25" applyNumberFormat="0" applyAlignment="0" applyProtection="0"/>
    <xf numFmtId="0" fontId="42" fillId="12" borderId="24" applyNumberFormat="0" applyAlignment="0" applyProtection="0"/>
    <xf numFmtId="0" fontId="43" fillId="0" borderId="26" applyNumberFormat="0" applyFill="0" applyAlignment="0" applyProtection="0"/>
    <xf numFmtId="0" fontId="44" fillId="13" borderId="27" applyNumberFormat="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7" fillId="0" borderId="29" applyNumberFormat="0" applyFill="0" applyAlignment="0" applyProtection="0"/>
    <xf numFmtId="0" fontId="48"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18" borderId="0" applyNumberFormat="0" applyBorder="0" applyAlignment="0" applyProtection="0"/>
    <xf numFmtId="0" fontId="48" fillId="19" borderId="0" applyNumberFormat="0" applyBorder="0" applyAlignment="0" applyProtection="0"/>
    <xf numFmtId="0" fontId="4" fillId="20" borderId="0" applyNumberFormat="0" applyBorder="0" applyAlignment="0" applyProtection="0"/>
    <xf numFmtId="0" fontId="4" fillId="21" borderId="0" applyNumberFormat="0" applyBorder="0" applyAlignment="0" applyProtection="0"/>
    <xf numFmtId="0" fontId="4" fillId="22" borderId="0" applyNumberFormat="0" applyBorder="0" applyAlignment="0" applyProtection="0"/>
    <xf numFmtId="0" fontId="48" fillId="23" borderId="0" applyNumberFormat="0" applyBorder="0" applyAlignment="0" applyProtection="0"/>
    <xf numFmtId="0" fontId="4" fillId="24" borderId="0" applyNumberFormat="0" applyBorder="0" applyAlignment="0" applyProtection="0"/>
    <xf numFmtId="0" fontId="4" fillId="25" borderId="0" applyNumberFormat="0" applyBorder="0" applyAlignment="0" applyProtection="0"/>
    <xf numFmtId="0" fontId="4" fillId="26" borderId="0" applyNumberFormat="0" applyBorder="0" applyAlignment="0" applyProtection="0"/>
    <xf numFmtId="0" fontId="48" fillId="27" borderId="0" applyNumberFormat="0" applyBorder="0" applyAlignment="0" applyProtection="0"/>
    <xf numFmtId="0" fontId="4" fillId="28" borderId="0" applyNumberFormat="0" applyBorder="0" applyAlignment="0" applyProtection="0"/>
    <xf numFmtId="0" fontId="4" fillId="29" borderId="0" applyNumberFormat="0" applyBorder="0" applyAlignment="0" applyProtection="0"/>
    <xf numFmtId="0" fontId="4" fillId="30" borderId="0" applyNumberFormat="0" applyBorder="0" applyAlignment="0" applyProtection="0"/>
    <xf numFmtId="0" fontId="48" fillId="31" borderId="0" applyNumberFormat="0" applyBorder="0" applyAlignment="0" applyProtection="0"/>
    <xf numFmtId="0" fontId="4" fillId="32" borderId="0" applyNumberFormat="0" applyBorder="0" applyAlignment="0" applyProtection="0"/>
    <xf numFmtId="0" fontId="4" fillId="33" borderId="0" applyNumberFormat="0" applyBorder="0" applyAlignment="0" applyProtection="0"/>
    <xf numFmtId="0" fontId="4" fillId="34" borderId="0" applyNumberFormat="0" applyBorder="0" applyAlignment="0" applyProtection="0"/>
    <xf numFmtId="0" fontId="48" fillId="35" borderId="0" applyNumberFormat="0" applyBorder="0" applyAlignment="0" applyProtection="0"/>
    <xf numFmtId="0" fontId="4" fillId="36" borderId="0" applyNumberFormat="0" applyBorder="0" applyAlignment="0" applyProtection="0"/>
    <xf numFmtId="0" fontId="4" fillId="37" borderId="0" applyNumberFormat="0" applyBorder="0" applyAlignment="0" applyProtection="0"/>
    <xf numFmtId="0" fontId="4" fillId="38" borderId="0" applyNumberFormat="0" applyBorder="0" applyAlignment="0" applyProtection="0"/>
    <xf numFmtId="0" fontId="4" fillId="0" borderId="0"/>
    <xf numFmtId="0" fontId="4" fillId="14" borderId="28" applyNumberFormat="0" applyFont="0" applyAlignment="0" applyProtection="0"/>
    <xf numFmtId="9" fontId="8" fillId="0" borderId="0" applyFont="0" applyFill="0" applyBorder="0" applyAlignment="0" applyProtection="0"/>
    <xf numFmtId="0" fontId="50" fillId="0" borderId="0"/>
    <xf numFmtId="43" fontId="8" fillId="0" borderId="0" applyFont="0" applyFill="0" applyBorder="0" applyAlignment="0" applyProtection="0"/>
    <xf numFmtId="169" fontId="51" fillId="0" borderId="0"/>
    <xf numFmtId="170" fontId="51" fillId="0" borderId="0"/>
    <xf numFmtId="0" fontId="52" fillId="45" borderId="0"/>
    <xf numFmtId="0" fontId="52" fillId="44" borderId="0"/>
    <xf numFmtId="170" fontId="53" fillId="0" borderId="0" applyNumberFormat="0" applyFill="0" applyBorder="0" applyAlignment="0" applyProtection="0"/>
    <xf numFmtId="171" fontId="54" fillId="46" borderId="0">
      <alignment horizontal="right"/>
    </xf>
    <xf numFmtId="172" fontId="54" fillId="46" borderId="0">
      <alignment horizontal="center"/>
    </xf>
    <xf numFmtId="173" fontId="51" fillId="0" borderId="0"/>
    <xf numFmtId="0" fontId="8" fillId="0" borderId="0"/>
    <xf numFmtId="0" fontId="55" fillId="0" borderId="0"/>
    <xf numFmtId="0" fontId="50" fillId="0" borderId="0"/>
    <xf numFmtId="0" fontId="50" fillId="0" borderId="0"/>
    <xf numFmtId="0" fontId="55" fillId="0" borderId="0"/>
    <xf numFmtId="0" fontId="51" fillId="0" borderId="0"/>
    <xf numFmtId="0" fontId="8" fillId="0" borderId="0"/>
    <xf numFmtId="0" fontId="50" fillId="0" borderId="0"/>
    <xf numFmtId="0" fontId="50" fillId="0" borderId="0"/>
    <xf numFmtId="0" fontId="51" fillId="0" borderId="0"/>
    <xf numFmtId="0" fontId="50" fillId="0" borderId="0"/>
    <xf numFmtId="0" fontId="50" fillId="0" borderId="0"/>
    <xf numFmtId="0" fontId="8" fillId="0" borderId="0"/>
    <xf numFmtId="0" fontId="8" fillId="0" borderId="0"/>
    <xf numFmtId="43" fontId="8" fillId="0" borderId="0" applyFont="0" applyFill="0" applyBorder="0" applyAlignment="0" applyProtection="0"/>
    <xf numFmtId="0" fontId="50" fillId="0" borderId="0"/>
    <xf numFmtId="0" fontId="50" fillId="0" borderId="0"/>
    <xf numFmtId="0" fontId="50" fillId="0" borderId="0"/>
    <xf numFmtId="9" fontId="8" fillId="0" borderId="0" applyFont="0" applyFill="0" applyBorder="0" applyAlignment="0" applyProtection="0"/>
    <xf numFmtId="43" fontId="8" fillId="0" borderId="0" applyFont="0" applyFill="0" applyBorder="0" applyAlignment="0" applyProtection="0"/>
    <xf numFmtId="0" fontId="50" fillId="0" borderId="0"/>
    <xf numFmtId="0" fontId="50" fillId="0" borderId="0"/>
    <xf numFmtId="0" fontId="51" fillId="0" borderId="0"/>
    <xf numFmtId="0" fontId="8" fillId="0" borderId="0"/>
    <xf numFmtId="0" fontId="51" fillId="0" borderId="0"/>
    <xf numFmtId="0" fontId="8" fillId="0" borderId="0"/>
    <xf numFmtId="0" fontId="8" fillId="0" borderId="0"/>
    <xf numFmtId="0" fontId="50" fillId="0" borderId="0"/>
    <xf numFmtId="43" fontId="8" fillId="0" borderId="0" applyFont="0" applyFill="0" applyBorder="0" applyAlignment="0" applyProtection="0"/>
    <xf numFmtId="9" fontId="50" fillId="0" borderId="0" applyFont="0" applyFill="0" applyBorder="0" applyAlignment="0" applyProtection="0"/>
    <xf numFmtId="9" fontId="50" fillId="0" borderId="0" applyFont="0" applyFill="0" applyBorder="0" applyAlignment="0" applyProtection="0"/>
    <xf numFmtId="0" fontId="50" fillId="0" borderId="0"/>
    <xf numFmtId="0" fontId="55" fillId="0" borderId="0"/>
    <xf numFmtId="0" fontId="50" fillId="0" borderId="0"/>
    <xf numFmtId="0" fontId="8" fillId="0" borderId="0"/>
    <xf numFmtId="0" fontId="50" fillId="0" borderId="0"/>
    <xf numFmtId="43" fontId="8" fillId="0" borderId="0" applyFont="0" applyFill="0" applyBorder="0" applyAlignment="0" applyProtection="0"/>
    <xf numFmtId="43" fontId="8" fillId="0" borderId="0" applyFont="0" applyFill="0" applyBorder="0" applyAlignment="0" applyProtection="0"/>
    <xf numFmtId="0" fontId="51" fillId="0" borderId="0"/>
    <xf numFmtId="0" fontId="50" fillId="0" borderId="0"/>
    <xf numFmtId="0" fontId="50" fillId="0" borderId="0"/>
    <xf numFmtId="0" fontId="50" fillId="0" borderId="0"/>
    <xf numFmtId="0" fontId="50" fillId="0" borderId="0"/>
    <xf numFmtId="0" fontId="50" fillId="0" borderId="0"/>
    <xf numFmtId="0" fontId="50" fillId="0" borderId="0"/>
    <xf numFmtId="43" fontId="50" fillId="0" borderId="0" applyFont="0" applyFill="0" applyBorder="0" applyAlignment="0" applyProtection="0"/>
    <xf numFmtId="43" fontId="50" fillId="0" borderId="0" applyFon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alignment vertical="top"/>
      <protection locked="0"/>
    </xf>
    <xf numFmtId="0" fontId="57" fillId="0" borderId="0" applyNumberFormat="0" applyFill="0" applyBorder="0" applyAlignment="0" applyProtection="0"/>
    <xf numFmtId="173" fontId="51" fillId="0" borderId="0"/>
    <xf numFmtId="173" fontId="56" fillId="0" borderId="0"/>
    <xf numFmtId="0" fontId="51" fillId="0" borderId="0"/>
    <xf numFmtId="0" fontId="56" fillId="0" borderId="0"/>
    <xf numFmtId="0" fontId="51" fillId="0" borderId="0"/>
    <xf numFmtId="0" fontId="51" fillId="0" borderId="0"/>
    <xf numFmtId="0" fontId="56" fillId="0" borderId="0"/>
    <xf numFmtId="0" fontId="56" fillId="0" borderId="0"/>
    <xf numFmtId="0" fontId="58" fillId="0" borderId="0" applyNumberFormat="0" applyFill="0" applyBorder="0" applyProtection="0">
      <alignment horizontal="left" vertical="center"/>
    </xf>
    <xf numFmtId="0" fontId="50" fillId="47" borderId="0" applyNumberFormat="0" applyFont="0" applyBorder="0" applyAlignment="0" applyProtection="0"/>
    <xf numFmtId="0" fontId="50" fillId="47" borderId="0" applyNumberFormat="0" applyFont="0" applyBorder="0" applyAlignment="0" applyProtection="0"/>
    <xf numFmtId="0" fontId="56" fillId="48" borderId="0" applyNumberFormat="0" applyBorder="0" applyAlignment="0" applyProtection="0"/>
    <xf numFmtId="0" fontId="59" fillId="0" borderId="0"/>
    <xf numFmtId="0" fontId="50" fillId="0" borderId="0"/>
    <xf numFmtId="0" fontId="50" fillId="0" borderId="0"/>
    <xf numFmtId="43" fontId="8" fillId="0" borderId="0" applyFont="0" applyFill="0" applyBorder="0" applyAlignment="0" applyProtection="0"/>
    <xf numFmtId="43" fontId="8" fillId="0" borderId="0" applyFont="0" applyFill="0" applyBorder="0" applyAlignment="0" applyProtection="0"/>
    <xf numFmtId="0" fontId="50" fillId="0" borderId="0"/>
    <xf numFmtId="43" fontId="51" fillId="0" borderId="0" applyFont="0" applyFill="0" applyBorder="0" applyAlignment="0" applyProtection="0"/>
    <xf numFmtId="170" fontId="51" fillId="0" borderId="0"/>
    <xf numFmtId="170" fontId="53" fillId="0" borderId="0" applyNumberFormat="0" applyFill="0" applyBorder="0" applyAlignment="0" applyProtection="0"/>
    <xf numFmtId="0" fontId="8" fillId="0" borderId="0"/>
    <xf numFmtId="0" fontId="50" fillId="49" borderId="32"/>
    <xf numFmtId="0" fontId="60" fillId="44" borderId="32"/>
    <xf numFmtId="0" fontId="50" fillId="0" borderId="0"/>
    <xf numFmtId="0" fontId="8" fillId="0" borderId="34"/>
    <xf numFmtId="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50" fillId="0" borderId="0" applyFont="0" applyFill="0" applyBorder="0" applyAlignment="0" applyProtection="0"/>
    <xf numFmtId="43" fontId="50"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51" fillId="0" borderId="0" applyFont="0" applyFill="0" applyBorder="0" applyAlignment="0" applyProtection="0"/>
    <xf numFmtId="0" fontId="50" fillId="0" borderId="0" applyNumberFormat="0" applyFont="0" applyFill="0" applyBorder="0" applyAlignment="0" applyProtection="0"/>
    <xf numFmtId="0" fontId="3" fillId="0" borderId="0"/>
    <xf numFmtId="0" fontId="3" fillId="14" borderId="28" applyNumberFormat="0" applyFont="0" applyAlignment="0" applyProtection="0"/>
    <xf numFmtId="0" fontId="3" fillId="16" borderId="0" applyNumberFormat="0" applyBorder="0" applyAlignment="0" applyProtection="0"/>
    <xf numFmtId="0" fontId="3" fillId="17" borderId="0" applyNumberFormat="0" applyBorder="0" applyAlignment="0" applyProtection="0"/>
    <xf numFmtId="0" fontId="3" fillId="18" borderId="0" applyNumberFormat="0" applyBorder="0" applyAlignment="0" applyProtection="0"/>
    <xf numFmtId="0" fontId="3" fillId="20" borderId="0" applyNumberFormat="0" applyBorder="0" applyAlignment="0" applyProtection="0"/>
    <xf numFmtId="0" fontId="3" fillId="21" borderId="0" applyNumberFormat="0" applyBorder="0" applyAlignment="0" applyProtection="0"/>
    <xf numFmtId="0" fontId="3" fillId="22" borderId="0" applyNumberFormat="0" applyBorder="0" applyAlignment="0" applyProtection="0"/>
    <xf numFmtId="0" fontId="3" fillId="24" borderId="0" applyNumberFormat="0" applyBorder="0" applyAlignment="0" applyProtection="0"/>
    <xf numFmtId="0" fontId="3" fillId="25" borderId="0" applyNumberFormat="0" applyBorder="0" applyAlignment="0" applyProtection="0"/>
    <xf numFmtId="0" fontId="3" fillId="26" borderId="0" applyNumberFormat="0" applyBorder="0" applyAlignment="0" applyProtection="0"/>
    <xf numFmtId="0" fontId="3" fillId="28" borderId="0" applyNumberFormat="0" applyBorder="0" applyAlignment="0" applyProtection="0"/>
    <xf numFmtId="0" fontId="3" fillId="29" borderId="0" applyNumberFormat="0" applyBorder="0" applyAlignment="0" applyProtection="0"/>
    <xf numFmtId="0" fontId="3" fillId="30" borderId="0" applyNumberFormat="0" applyBorder="0" applyAlignment="0" applyProtection="0"/>
    <xf numFmtId="0" fontId="3" fillId="32" borderId="0" applyNumberFormat="0" applyBorder="0" applyAlignment="0" applyProtection="0"/>
    <xf numFmtId="0" fontId="3" fillId="33" borderId="0" applyNumberFormat="0" applyBorder="0" applyAlignment="0" applyProtection="0"/>
    <xf numFmtId="0" fontId="3" fillId="34" borderId="0" applyNumberFormat="0" applyBorder="0" applyAlignment="0" applyProtection="0"/>
    <xf numFmtId="0" fontId="3" fillId="36" borderId="0" applyNumberFormat="0" applyBorder="0" applyAlignment="0" applyProtection="0"/>
    <xf numFmtId="0" fontId="3" fillId="37" borderId="0" applyNumberFormat="0" applyBorder="0" applyAlignment="0" applyProtection="0"/>
    <xf numFmtId="0" fontId="3" fillId="38" borderId="0" applyNumberFormat="0" applyBorder="0" applyAlignment="0" applyProtection="0"/>
    <xf numFmtId="0" fontId="61" fillId="0" borderId="0"/>
    <xf numFmtId="9" fontId="61" fillId="0" borderId="0" applyFont="0" applyFill="0" applyBorder="0" applyAlignment="0" applyProtection="0"/>
    <xf numFmtId="0" fontId="8" fillId="0" borderId="0"/>
    <xf numFmtId="43" fontId="2" fillId="0" borderId="0" applyFont="0" applyFill="0" applyBorder="0" applyAlignment="0" applyProtection="0"/>
    <xf numFmtId="0" fontId="8" fillId="0" borderId="0"/>
    <xf numFmtId="0" fontId="50" fillId="0" borderId="0" applyNumberFormat="0" applyFont="0" applyFill="0" applyBorder="0" applyAlignment="0" applyProtection="0"/>
    <xf numFmtId="0" fontId="50" fillId="0" borderId="0"/>
    <xf numFmtId="43" fontId="2" fillId="0" borderId="0" applyFont="0" applyFill="0" applyBorder="0" applyAlignment="0" applyProtection="0"/>
    <xf numFmtId="0" fontId="8" fillId="0" borderId="0"/>
    <xf numFmtId="0" fontId="8" fillId="0" borderId="0"/>
    <xf numFmtId="0" fontId="8" fillId="0" borderId="0"/>
    <xf numFmtId="0" fontId="1" fillId="0" borderId="0"/>
    <xf numFmtId="0" fontId="1" fillId="14" borderId="28" applyNumberFormat="0" applyFont="0" applyAlignment="0" applyProtection="0"/>
    <xf numFmtId="0" fontId="1" fillId="16" borderId="0" applyNumberFormat="0" applyBorder="0" applyAlignment="0" applyProtection="0"/>
    <xf numFmtId="0" fontId="1" fillId="17" borderId="0" applyNumberFormat="0" applyBorder="0" applyAlignment="0" applyProtection="0"/>
    <xf numFmtId="0" fontId="1" fillId="18" borderId="0" applyNumberFormat="0" applyBorder="0" applyAlignment="0" applyProtection="0"/>
    <xf numFmtId="0" fontId="1" fillId="20" borderId="0" applyNumberFormat="0" applyBorder="0" applyAlignment="0" applyProtection="0"/>
    <xf numFmtId="0" fontId="1" fillId="21" borderId="0" applyNumberFormat="0" applyBorder="0" applyAlignment="0" applyProtection="0"/>
    <xf numFmtId="0" fontId="1" fillId="22" borderId="0" applyNumberFormat="0" applyBorder="0" applyAlignment="0" applyProtection="0"/>
    <xf numFmtId="0" fontId="1" fillId="24"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1" fillId="36" borderId="0" applyNumberFormat="0" applyBorder="0" applyAlignment="0" applyProtection="0"/>
    <xf numFmtId="0" fontId="1" fillId="37" borderId="0" applyNumberFormat="0" applyBorder="0" applyAlignment="0" applyProtection="0"/>
    <xf numFmtId="0" fontId="1" fillId="38" borderId="0" applyNumberFormat="0" applyBorder="0" applyAlignment="0" applyProtection="0"/>
    <xf numFmtId="0" fontId="10" fillId="0" borderId="0"/>
    <xf numFmtId="0" fontId="1" fillId="0" borderId="0"/>
    <xf numFmtId="0" fontId="1" fillId="0" borderId="0"/>
    <xf numFmtId="165" fontId="8" fillId="0" borderId="0" applyFont="0" applyFill="0" applyBorder="0" applyAlignment="0" applyProtection="0"/>
  </cellStyleXfs>
  <cellXfs count="361">
    <xf numFmtId="0" fontId="0" fillId="0" borderId="0" xfId="0"/>
    <xf numFmtId="0" fontId="0" fillId="2" borderId="0" xfId="0" applyFill="1"/>
    <xf numFmtId="0" fontId="7" fillId="2" borderId="0" xfId="0" applyFont="1" applyFill="1"/>
    <xf numFmtId="0" fontId="11" fillId="2" borderId="6" xfId="0" applyFont="1" applyFill="1" applyBorder="1"/>
    <xf numFmtId="0" fontId="0" fillId="2" borderId="0" xfId="0" applyFill="1" applyAlignment="1">
      <alignment vertical="top"/>
    </xf>
    <xf numFmtId="166" fontId="0" fillId="0" borderId="0" xfId="0" applyNumberFormat="1"/>
    <xf numFmtId="0" fontId="14" fillId="0" borderId="0" xfId="0" applyFont="1"/>
    <xf numFmtId="0" fontId="0" fillId="0" borderId="0" xfId="0" applyAlignment="1">
      <alignment horizontal="right"/>
    </xf>
    <xf numFmtId="0" fontId="0" fillId="0" borderId="0" xfId="0" applyAlignment="1">
      <alignment wrapText="1"/>
    </xf>
    <xf numFmtId="0" fontId="0" fillId="0" borderId="0" xfId="0" applyAlignment="1">
      <alignment horizontal="left"/>
    </xf>
    <xf numFmtId="0" fontId="15" fillId="2" borderId="0" xfId="0" applyFont="1" applyFill="1" applyAlignment="1">
      <alignment horizontal="left"/>
    </xf>
    <xf numFmtId="0" fontId="16" fillId="2" borderId="0" xfId="0" applyFont="1" applyFill="1" applyAlignment="1">
      <alignment horizontal="left"/>
    </xf>
    <xf numFmtId="0" fontId="7" fillId="7" borderId="0" xfId="0" applyFont="1" applyFill="1"/>
    <xf numFmtId="0" fontId="0" fillId="7" borderId="0" xfId="0" applyFill="1"/>
    <xf numFmtId="0" fontId="7" fillId="0" borderId="0" xfId="0" applyFont="1"/>
    <xf numFmtId="1" fontId="0" fillId="0" borderId="0" xfId="0" applyNumberFormat="1" applyAlignment="1">
      <alignment horizontal="left"/>
    </xf>
    <xf numFmtId="166" fontId="0" fillId="0" borderId="0" xfId="0" applyNumberFormat="1" applyAlignment="1">
      <alignment horizontal="right"/>
    </xf>
    <xf numFmtId="168" fontId="0" fillId="0" borderId="0" xfId="0" applyNumberFormat="1" applyAlignment="1">
      <alignment horizontal="right"/>
    </xf>
    <xf numFmtId="0" fontId="0" fillId="0" borderId="30" xfId="0" applyBorder="1"/>
    <xf numFmtId="0" fontId="31" fillId="39" borderId="0" xfId="0" applyFont="1" applyFill="1"/>
    <xf numFmtId="0" fontId="32" fillId="39" borderId="0" xfId="0" applyFont="1" applyFill="1"/>
    <xf numFmtId="0" fontId="31" fillId="40" borderId="0" xfId="0" applyFont="1" applyFill="1"/>
    <xf numFmtId="0" fontId="31" fillId="41" borderId="0" xfId="0" applyFont="1" applyFill="1"/>
    <xf numFmtId="168" fontId="0" fillId="0" borderId="0" xfId="0" applyNumberFormat="1"/>
    <xf numFmtId="168" fontId="8" fillId="16" borderId="0" xfId="32" applyNumberFormat="1"/>
    <xf numFmtId="168" fontId="8" fillId="36" borderId="0" xfId="52" applyNumberFormat="1"/>
    <xf numFmtId="168" fontId="8" fillId="28" borderId="0" xfId="44" applyNumberFormat="1"/>
    <xf numFmtId="0" fontId="33" fillId="39" borderId="0" xfId="0" applyFont="1" applyFill="1"/>
    <xf numFmtId="168" fontId="8" fillId="0" borderId="0" xfId="44" applyNumberFormat="1" applyFill="1"/>
    <xf numFmtId="168" fontId="8" fillId="0" borderId="0" xfId="52" applyNumberFormat="1" applyFill="1"/>
    <xf numFmtId="9" fontId="8" fillId="0" borderId="0" xfId="32" applyNumberFormat="1" applyFill="1" applyBorder="1"/>
    <xf numFmtId="1" fontId="8" fillId="0" borderId="0" xfId="32" applyNumberFormat="1" applyFill="1"/>
    <xf numFmtId="168" fontId="8" fillId="0" borderId="0" xfId="32" applyNumberFormat="1" applyFill="1"/>
    <xf numFmtId="0" fontId="31" fillId="39" borderId="33" xfId="0" applyFont="1" applyFill="1" applyBorder="1"/>
    <xf numFmtId="0" fontId="64" fillId="2" borderId="0" xfId="0" applyFont="1" applyFill="1" applyAlignment="1">
      <alignment vertical="top" wrapText="1"/>
    </xf>
    <xf numFmtId="166" fontId="8" fillId="16" borderId="0" xfId="32" applyNumberFormat="1"/>
    <xf numFmtId="0" fontId="32" fillId="40" borderId="35" xfId="0" applyFont="1" applyFill="1" applyBorder="1"/>
    <xf numFmtId="0" fontId="32" fillId="39" borderId="33" xfId="0" applyFont="1" applyFill="1" applyBorder="1"/>
    <xf numFmtId="0" fontId="32" fillId="0" borderId="32" xfId="0" applyFont="1" applyBorder="1"/>
    <xf numFmtId="0" fontId="1" fillId="2" borderId="0" xfId="0" applyFont="1" applyFill="1"/>
    <xf numFmtId="0" fontId="31" fillId="39" borderId="35" xfId="0" applyFont="1" applyFill="1" applyBorder="1"/>
    <xf numFmtId="0" fontId="32" fillId="40" borderId="36" xfId="0" applyFont="1" applyFill="1" applyBorder="1"/>
    <xf numFmtId="0" fontId="31" fillId="40" borderId="36" xfId="0" applyFont="1" applyFill="1" applyBorder="1"/>
    <xf numFmtId="0" fontId="31" fillId="40" borderId="35" xfId="0" applyFont="1" applyFill="1" applyBorder="1"/>
    <xf numFmtId="0" fontId="32" fillId="41" borderId="36" xfId="0" applyFont="1" applyFill="1" applyBorder="1"/>
    <xf numFmtId="0" fontId="49" fillId="53" borderId="0" xfId="0" applyFont="1" applyFill="1"/>
    <xf numFmtId="0" fontId="64" fillId="2" borderId="0" xfId="0" applyFont="1" applyFill="1" applyAlignment="1">
      <alignment vertical="top"/>
    </xf>
    <xf numFmtId="0" fontId="64" fillId="2" borderId="0" xfId="0" quotePrefix="1" applyFont="1" applyFill="1" applyAlignment="1">
      <alignment vertical="top"/>
    </xf>
    <xf numFmtId="0" fontId="64" fillId="2" borderId="0" xfId="0" applyFont="1" applyFill="1" applyAlignment="1">
      <alignment horizontal="left" vertical="top"/>
    </xf>
    <xf numFmtId="0" fontId="0" fillId="0" borderId="0" xfId="231" applyFont="1"/>
    <xf numFmtId="0" fontId="0" fillId="2" borderId="0" xfId="231" applyFont="1" applyFill="1"/>
    <xf numFmtId="0" fontId="1" fillId="54" borderId="0" xfId="0" applyFont="1" applyFill="1"/>
    <xf numFmtId="0" fontId="47" fillId="2" borderId="0" xfId="0" applyFont="1" applyFill="1"/>
    <xf numFmtId="0" fontId="65" fillId="3" borderId="0" xfId="0" applyFont="1" applyFill="1"/>
    <xf numFmtId="0" fontId="11" fillId="3" borderId="0" xfId="0" applyFont="1" applyFill="1"/>
    <xf numFmtId="0" fontId="11" fillId="2" borderId="2" xfId="0" applyFont="1" applyFill="1" applyBorder="1"/>
    <xf numFmtId="0" fontId="11" fillId="2" borderId="3" xfId="0" applyFont="1" applyFill="1" applyBorder="1"/>
    <xf numFmtId="0" fontId="11" fillId="2" borderId="4" xfId="0" applyFont="1" applyFill="1" applyBorder="1"/>
    <xf numFmtId="0" fontId="11" fillId="2" borderId="5" xfId="0" applyFont="1" applyFill="1" applyBorder="1"/>
    <xf numFmtId="0" fontId="66" fillId="2" borderId="0" xfId="0" applyFont="1" applyFill="1"/>
    <xf numFmtId="0" fontId="67" fillId="2" borderId="0" xfId="0" applyFont="1" applyFill="1"/>
    <xf numFmtId="0" fontId="12" fillId="2" borderId="0" xfId="0" applyFont="1" applyFill="1"/>
    <xf numFmtId="0" fontId="11" fillId="3" borderId="0" xfId="0" applyFont="1" applyFill="1" applyAlignment="1">
      <alignment wrapText="1"/>
    </xf>
    <xf numFmtId="0" fontId="11" fillId="2" borderId="5" xfId="0" applyFont="1" applyFill="1" applyBorder="1" applyAlignment="1">
      <alignment wrapText="1"/>
    </xf>
    <xf numFmtId="0" fontId="11" fillId="2" borderId="18" xfId="0" applyFont="1" applyFill="1" applyBorder="1"/>
    <xf numFmtId="0" fontId="68" fillId="3" borderId="0" xfId="0" applyFont="1" applyFill="1"/>
    <xf numFmtId="0" fontId="0" fillId="3" borderId="0" xfId="0" applyFill="1"/>
    <xf numFmtId="0" fontId="69" fillId="2" borderId="0" xfId="0" applyFont="1" applyFill="1" applyAlignment="1">
      <alignment horizontal="left" vertical="top" wrapText="1"/>
    </xf>
    <xf numFmtId="0" fontId="51" fillId="2" borderId="0" xfId="0" applyFont="1" applyFill="1" applyAlignment="1">
      <alignment horizontal="left" vertical="top"/>
    </xf>
    <xf numFmtId="0" fontId="72" fillId="3" borderId="0" xfId="0" applyFont="1" applyFill="1"/>
    <xf numFmtId="0" fontId="72" fillId="0" borderId="0" xfId="0" applyFont="1"/>
    <xf numFmtId="0" fontId="72" fillId="2" borderId="2" xfId="0" applyFont="1" applyFill="1" applyBorder="1"/>
    <xf numFmtId="0" fontId="72" fillId="2" borderId="3" xfId="0" applyFont="1" applyFill="1" applyBorder="1"/>
    <xf numFmtId="0" fontId="72" fillId="2" borderId="4" xfId="0" applyFont="1" applyFill="1" applyBorder="1"/>
    <xf numFmtId="0" fontId="72" fillId="2" borderId="5" xfId="0" applyFont="1" applyFill="1" applyBorder="1"/>
    <xf numFmtId="0" fontId="73" fillId="2" borderId="0" xfId="0" applyFont="1" applyFill="1"/>
    <xf numFmtId="0" fontId="74" fillId="2" borderId="0" xfId="0" applyFont="1" applyFill="1"/>
    <xf numFmtId="0" fontId="72" fillId="2" borderId="0" xfId="0" applyFont="1" applyFill="1"/>
    <xf numFmtId="0" fontId="72" fillId="2" borderId="6" xfId="0" applyFont="1" applyFill="1" applyBorder="1"/>
    <xf numFmtId="0" fontId="50" fillId="2" borderId="0" xfId="0" applyFont="1" applyFill="1"/>
    <xf numFmtId="0" fontId="69" fillId="2" borderId="0" xfId="0" applyFont="1" applyFill="1"/>
    <xf numFmtId="0" fontId="70" fillId="2" borderId="0" xfId="0" applyFont="1" applyFill="1"/>
    <xf numFmtId="0" fontId="75" fillId="2" borderId="0" xfId="0" applyFont="1" applyFill="1"/>
    <xf numFmtId="0" fontId="50" fillId="2" borderId="0" xfId="0" applyFont="1" applyFill="1" applyAlignment="1">
      <alignment horizontal="left" vertical="top" wrapText="1"/>
    </xf>
    <xf numFmtId="0" fontId="69" fillId="2" borderId="0" xfId="0" applyFont="1" applyFill="1" applyAlignment="1">
      <alignment vertical="top"/>
    </xf>
    <xf numFmtId="0" fontId="70" fillId="4" borderId="7" xfId="0" applyFont="1" applyFill="1" applyBorder="1"/>
    <xf numFmtId="0" fontId="70" fillId="4" borderId="8" xfId="0" applyFont="1" applyFill="1" applyBorder="1"/>
    <xf numFmtId="0" fontId="70" fillId="4" borderId="9" xfId="0" applyFont="1" applyFill="1" applyBorder="1"/>
    <xf numFmtId="0" fontId="70" fillId="4" borderId="10" xfId="0" applyFont="1" applyFill="1" applyBorder="1"/>
    <xf numFmtId="0" fontId="53" fillId="2" borderId="11" xfId="1" applyFont="1" applyFill="1" applyBorder="1" applyAlignment="1">
      <alignment vertical="top"/>
    </xf>
    <xf numFmtId="0" fontId="69" fillId="2" borderId="11" xfId="0" applyFont="1" applyFill="1" applyBorder="1" applyAlignment="1">
      <alignment horizontal="left" vertical="top" wrapText="1"/>
    </xf>
    <xf numFmtId="0" fontId="50" fillId="0" borderId="11" xfId="0" applyFont="1" applyBorder="1"/>
    <xf numFmtId="0" fontId="69" fillId="2" borderId="11" xfId="0" applyFont="1" applyFill="1" applyBorder="1" applyAlignment="1">
      <alignment vertical="top" wrapText="1"/>
    </xf>
    <xf numFmtId="0" fontId="50" fillId="2" borderId="0" xfId="0" applyFont="1" applyFill="1" applyAlignment="1">
      <alignment vertical="top"/>
    </xf>
    <xf numFmtId="0" fontId="69" fillId="2" borderId="13" xfId="0" applyFont="1" applyFill="1" applyBorder="1" applyAlignment="1">
      <alignment vertical="top" wrapText="1"/>
    </xf>
    <xf numFmtId="0" fontId="50" fillId="2" borderId="11" xfId="0" applyFont="1" applyFill="1" applyBorder="1" applyAlignment="1">
      <alignment horizontal="left" vertical="top" wrapText="1"/>
    </xf>
    <xf numFmtId="0" fontId="69" fillId="2" borderId="0" xfId="0" applyFont="1" applyFill="1" applyAlignment="1">
      <alignment vertical="top" wrapText="1"/>
    </xf>
    <xf numFmtId="0" fontId="76" fillId="2" borderId="11" xfId="1" applyFont="1" applyFill="1" applyBorder="1" applyAlignment="1">
      <alignment vertical="top"/>
    </xf>
    <xf numFmtId="0" fontId="76" fillId="2" borderId="12" xfId="1" applyFont="1" applyFill="1" applyBorder="1" applyAlignment="1">
      <alignment vertical="top"/>
    </xf>
    <xf numFmtId="0" fontId="69" fillId="2" borderId="12" xfId="0" applyFont="1" applyFill="1" applyBorder="1" applyAlignment="1">
      <alignment horizontal="left" vertical="top" wrapText="1"/>
    </xf>
    <xf numFmtId="0" fontId="76" fillId="2" borderId="0" xfId="1" applyFont="1" applyFill="1" applyBorder="1" applyAlignment="1">
      <alignment vertical="top"/>
    </xf>
    <xf numFmtId="0" fontId="77" fillId="2" borderId="0" xfId="0" applyFont="1" applyFill="1"/>
    <xf numFmtId="0" fontId="78" fillId="2" borderId="0" xfId="0" applyFont="1" applyFill="1"/>
    <xf numFmtId="0" fontId="71" fillId="2" borderId="6" xfId="0" applyFont="1" applyFill="1" applyBorder="1"/>
    <xf numFmtId="0" fontId="77" fillId="4" borderId="14" xfId="0" applyFont="1" applyFill="1" applyBorder="1"/>
    <xf numFmtId="0" fontId="72" fillId="2" borderId="18" xfId="0" applyFont="1" applyFill="1" applyBorder="1"/>
    <xf numFmtId="0" fontId="72" fillId="2" borderId="19" xfId="0" applyFont="1" applyFill="1" applyBorder="1"/>
    <xf numFmtId="0" fontId="72" fillId="2" borderId="20" xfId="0" applyFont="1" applyFill="1" applyBorder="1"/>
    <xf numFmtId="0" fontId="69" fillId="2" borderId="12" xfId="0" applyFont="1" applyFill="1" applyBorder="1" applyAlignment="1">
      <alignment vertical="top"/>
    </xf>
    <xf numFmtId="0" fontId="69" fillId="2" borderId="12" xfId="0" applyFont="1" applyFill="1" applyBorder="1" applyAlignment="1">
      <alignment horizontal="left" vertical="top"/>
    </xf>
    <xf numFmtId="0" fontId="69" fillId="2" borderId="12" xfId="0" applyFont="1" applyFill="1" applyBorder="1" applyAlignment="1">
      <alignment vertical="top" wrapText="1"/>
    </xf>
    <xf numFmtId="0" fontId="51" fillId="2" borderId="6" xfId="0" applyFont="1" applyFill="1" applyBorder="1"/>
    <xf numFmtId="0" fontId="51" fillId="3" borderId="0" xfId="0" applyFont="1" applyFill="1"/>
    <xf numFmtId="0" fontId="81" fillId="2" borderId="0" xfId="0" applyFont="1" applyFill="1" applyAlignment="1">
      <alignment wrapText="1"/>
    </xf>
    <xf numFmtId="0" fontId="51" fillId="2" borderId="6" xfId="0" applyFont="1" applyFill="1" applyBorder="1" applyAlignment="1">
      <alignment wrapText="1"/>
    </xf>
    <xf numFmtId="0" fontId="51" fillId="3" borderId="0" xfId="0" applyFont="1" applyFill="1" applyAlignment="1">
      <alignment wrapText="1"/>
    </xf>
    <xf numFmtId="0" fontId="81" fillId="2" borderId="0" xfId="0" applyFont="1" applyFill="1"/>
    <xf numFmtId="0" fontId="51" fillId="2" borderId="0" xfId="0" applyFont="1" applyFill="1"/>
    <xf numFmtId="0" fontId="70" fillId="4" borderId="11" xfId="0" applyFont="1" applyFill="1" applyBorder="1"/>
    <xf numFmtId="0" fontId="69" fillId="4" borderId="11" xfId="0" applyFont="1" applyFill="1" applyBorder="1"/>
    <xf numFmtId="0" fontId="69" fillId="4" borderId="9" xfId="0" applyFont="1" applyFill="1" applyBorder="1"/>
    <xf numFmtId="0" fontId="81" fillId="2" borderId="0" xfId="0" applyFont="1" applyFill="1" applyAlignment="1">
      <alignment horizontal="left" vertical="top"/>
    </xf>
    <xf numFmtId="0" fontId="81" fillId="2" borderId="0" xfId="0" applyFont="1" applyFill="1" applyAlignment="1">
      <alignment vertical="top"/>
    </xf>
    <xf numFmtId="0" fontId="69" fillId="2" borderId="12" xfId="0" quotePrefix="1" applyFont="1" applyFill="1" applyBorder="1" applyAlignment="1">
      <alignment vertical="top"/>
    </xf>
    <xf numFmtId="0" fontId="51" fillId="2" borderId="19" xfId="0" applyFont="1" applyFill="1" applyBorder="1"/>
    <xf numFmtId="0" fontId="51" fillId="2" borderId="20" xfId="0" applyFont="1" applyFill="1" applyBorder="1"/>
    <xf numFmtId="0" fontId="52" fillId="4" borderId="0" xfId="0" applyFont="1" applyFill="1"/>
    <xf numFmtId="0" fontId="51" fillId="0" borderId="0" xfId="0" applyFont="1"/>
    <xf numFmtId="0" fontId="82" fillId="0" borderId="0" xfId="0" applyFont="1"/>
    <xf numFmtId="0" fontId="52" fillId="5" borderId="0" xfId="0" applyFont="1" applyFill="1"/>
    <xf numFmtId="0" fontId="52" fillId="2" borderId="0" xfId="0" applyFont="1" applyFill="1"/>
    <xf numFmtId="0" fontId="83" fillId="2" borderId="0" xfId="0" applyFont="1" applyFill="1"/>
    <xf numFmtId="0" fontId="51" fillId="2" borderId="0" xfId="0" applyFont="1" applyFill="1" applyAlignment="1">
      <alignment wrapText="1"/>
    </xf>
    <xf numFmtId="0" fontId="51" fillId="2" borderId="0" xfId="0" applyFont="1" applyFill="1" applyAlignment="1">
      <alignment horizontal="right"/>
    </xf>
    <xf numFmtId="0" fontId="51" fillId="0" borderId="0" xfId="0" applyFont="1" applyAlignment="1">
      <alignment wrapText="1"/>
    </xf>
    <xf numFmtId="0" fontId="52" fillId="0" borderId="0" xfId="0" applyFont="1"/>
    <xf numFmtId="0" fontId="51" fillId="0" borderId="0" xfId="2" applyFont="1" applyAlignment="1">
      <alignment vertical="top"/>
    </xf>
    <xf numFmtId="0" fontId="51" fillId="2" borderId="0" xfId="0" applyFont="1" applyFill="1" applyAlignment="1">
      <alignment horizontal="left"/>
    </xf>
    <xf numFmtId="0" fontId="51" fillId="4" borderId="0" xfId="0" applyFont="1" applyFill="1"/>
    <xf numFmtId="0" fontId="52" fillId="5" borderId="0" xfId="0" applyFont="1" applyFill="1" applyAlignment="1">
      <alignment horizontal="center"/>
    </xf>
    <xf numFmtId="9" fontId="51" fillId="0" borderId="0" xfId="0" applyNumberFormat="1" applyFont="1" applyAlignment="1">
      <alignment horizontal="right"/>
    </xf>
    <xf numFmtId="0" fontId="84" fillId="2" borderId="0" xfId="0" applyFont="1" applyFill="1"/>
    <xf numFmtId="0" fontId="51" fillId="0" borderId="0" xfId="0" applyFont="1" applyAlignment="1">
      <alignment horizontal="right"/>
    </xf>
    <xf numFmtId="0" fontId="84" fillId="0" borderId="0" xfId="0" applyFont="1"/>
    <xf numFmtId="9" fontId="51" fillId="0" borderId="0" xfId="4" applyFont="1" applyFill="1" applyAlignment="1">
      <alignment horizontal="right"/>
    </xf>
    <xf numFmtId="9" fontId="51" fillId="0" borderId="0" xfId="0" applyNumberFormat="1" applyFont="1"/>
    <xf numFmtId="9" fontId="51" fillId="0" borderId="0" xfId="4" applyFont="1" applyAlignment="1">
      <alignment horizontal="right"/>
    </xf>
    <xf numFmtId="0" fontId="52" fillId="5" borderId="0" xfId="0" applyFont="1" applyFill="1" applyAlignment="1">
      <alignment horizontal="left"/>
    </xf>
    <xf numFmtId="0" fontId="85" fillId="0" borderId="0" xfId="0" applyFont="1" applyAlignment="1">
      <alignment horizontal="left"/>
    </xf>
    <xf numFmtId="1" fontId="51" fillId="0" borderId="0" xfId="0" applyNumberFormat="1" applyFont="1"/>
    <xf numFmtId="0" fontId="51" fillId="0" borderId="0" xfId="55" applyFont="1"/>
    <xf numFmtId="0" fontId="84" fillId="0" borderId="0" xfId="0" applyFont="1" applyAlignment="1">
      <alignment horizontal="left"/>
    </xf>
    <xf numFmtId="165" fontId="51" fillId="0" borderId="0" xfId="4" applyNumberFormat="1" applyFont="1"/>
    <xf numFmtId="165" fontId="51" fillId="0" borderId="0" xfId="55" applyNumberFormat="1" applyFont="1"/>
    <xf numFmtId="165" fontId="51" fillId="2" borderId="0" xfId="0" applyNumberFormat="1" applyFont="1" applyFill="1" applyAlignment="1">
      <alignment horizontal="right"/>
    </xf>
    <xf numFmtId="166" fontId="51" fillId="2" borderId="0" xfId="0" applyNumberFormat="1" applyFont="1" applyFill="1" applyAlignment="1">
      <alignment horizontal="right"/>
    </xf>
    <xf numFmtId="166" fontId="51" fillId="0" borderId="0" xfId="0" applyNumberFormat="1" applyFont="1" applyAlignment="1">
      <alignment horizontal="center"/>
    </xf>
    <xf numFmtId="166" fontId="51" fillId="0" borderId="0" xfId="0" applyNumberFormat="1" applyFont="1"/>
    <xf numFmtId="168" fontId="86" fillId="6" borderId="0" xfId="0" applyNumberFormat="1" applyFont="1" applyFill="1"/>
    <xf numFmtId="168" fontId="86" fillId="0" borderId="0" xfId="0" applyNumberFormat="1" applyFont="1"/>
    <xf numFmtId="166" fontId="86" fillId="0" borderId="0" xfId="0" applyNumberFormat="1" applyFont="1"/>
    <xf numFmtId="166" fontId="86" fillId="6" borderId="0" xfId="0" applyNumberFormat="1" applyFont="1" applyFill="1"/>
    <xf numFmtId="168" fontId="51" fillId="0" borderId="0" xfId="0" applyNumberFormat="1" applyFont="1" applyAlignment="1">
      <alignment horizontal="left"/>
    </xf>
    <xf numFmtId="168" fontId="51" fillId="6" borderId="0" xfId="5" applyNumberFormat="1" applyFont="1" applyFill="1"/>
    <xf numFmtId="0" fontId="51" fillId="0" borderId="0" xfId="0" applyFont="1" applyAlignment="1">
      <alignment horizontal="left"/>
    </xf>
    <xf numFmtId="3" fontId="51" fillId="2" borderId="0" xfId="0" applyNumberFormat="1" applyFont="1" applyFill="1" applyAlignment="1">
      <alignment horizontal="right"/>
    </xf>
    <xf numFmtId="168" fontId="51" fillId="2" borderId="0" xfId="0" applyNumberFormat="1" applyFont="1" applyFill="1" applyAlignment="1">
      <alignment horizontal="right"/>
    </xf>
    <xf numFmtId="166" fontId="51" fillId="0" borderId="0" xfId="0" applyNumberFormat="1" applyFont="1" applyAlignment="1">
      <alignment horizontal="right"/>
    </xf>
    <xf numFmtId="168" fontId="51" fillId="0" borderId="0" xfId="0" applyNumberFormat="1" applyFont="1" applyAlignment="1">
      <alignment horizontal="right"/>
    </xf>
    <xf numFmtId="166" fontId="51" fillId="6" borderId="0" xfId="0" applyNumberFormat="1" applyFont="1" applyFill="1"/>
    <xf numFmtId="9" fontId="51" fillId="6" borderId="0" xfId="0" applyNumberFormat="1" applyFont="1" applyFill="1"/>
    <xf numFmtId="166" fontId="51" fillId="6" borderId="0" xfId="4" applyNumberFormat="1" applyFont="1" applyFill="1" applyAlignment="1">
      <alignment horizontal="right"/>
    </xf>
    <xf numFmtId="0" fontId="52" fillId="0" borderId="0" xfId="0" applyFont="1" applyAlignment="1">
      <alignment horizontal="center"/>
    </xf>
    <xf numFmtId="0" fontId="84" fillId="2" borderId="0" xfId="0" applyFont="1" applyFill="1" applyAlignment="1">
      <alignment horizontal="left"/>
    </xf>
    <xf numFmtId="165" fontId="51" fillId="6" borderId="0" xfId="0" applyNumberFormat="1" applyFont="1" applyFill="1" applyAlignment="1">
      <alignment horizontal="right"/>
    </xf>
    <xf numFmtId="0" fontId="86" fillId="0" borderId="0" xfId="0" applyFont="1"/>
    <xf numFmtId="0" fontId="51" fillId="0" borderId="0" xfId="2" applyFont="1" applyAlignment="1">
      <alignment horizontal="left" vertical="top"/>
    </xf>
    <xf numFmtId="168" fontId="51" fillId="0" borderId="0" xfId="5" applyNumberFormat="1" applyFont="1"/>
    <xf numFmtId="168" fontId="51" fillId="0" borderId="0" xfId="0" applyNumberFormat="1" applyFont="1" applyAlignment="1">
      <alignment horizontal="right" vertical="center"/>
    </xf>
    <xf numFmtId="168" fontId="51" fillId="0" borderId="0" xfId="5" applyNumberFormat="1" applyFont="1" applyAlignment="1">
      <alignment horizontal="right"/>
    </xf>
    <xf numFmtId="166" fontId="51" fillId="2" borderId="0" xfId="0" applyNumberFormat="1" applyFont="1" applyFill="1" applyAlignment="1">
      <alignment horizontal="center"/>
    </xf>
    <xf numFmtId="0" fontId="52" fillId="4" borderId="0" xfId="0" applyFont="1" applyFill="1" applyAlignment="1">
      <alignment horizontal="left"/>
    </xf>
    <xf numFmtId="0" fontId="87" fillId="5" borderId="0" xfId="0" applyFont="1" applyFill="1" applyAlignment="1">
      <alignment horizontal="left"/>
    </xf>
    <xf numFmtId="0" fontId="51" fillId="6" borderId="0" xfId="0" applyFont="1" applyFill="1"/>
    <xf numFmtId="0" fontId="88" fillId="0" borderId="0" xfId="0" applyFont="1"/>
    <xf numFmtId="0" fontId="51" fillId="4" borderId="0" xfId="0" applyFont="1" applyFill="1" applyAlignment="1">
      <alignment horizontal="right"/>
    </xf>
    <xf numFmtId="0" fontId="51" fillId="0" borderId="1" xfId="0" applyFont="1" applyBorder="1"/>
    <xf numFmtId="0" fontId="91" fillId="43" borderId="0" xfId="0" applyFont="1" applyFill="1"/>
    <xf numFmtId="0" fontId="93" fillId="0" borderId="0" xfId="0" applyFont="1"/>
    <xf numFmtId="0" fontId="51" fillId="24" borderId="0" xfId="40" applyFont="1"/>
    <xf numFmtId="0" fontId="51" fillId="0" borderId="30" xfId="0" applyFont="1" applyBorder="1"/>
    <xf numFmtId="0" fontId="52" fillId="5" borderId="0" xfId="0" applyFont="1" applyFill="1" applyAlignment="1">
      <alignment horizontal="right"/>
    </xf>
    <xf numFmtId="0" fontId="85" fillId="0" borderId="0" xfId="0" applyFont="1"/>
    <xf numFmtId="4" fontId="85" fillId="0" borderId="0" xfId="0" quotePrefix="1" applyNumberFormat="1" applyFont="1"/>
    <xf numFmtId="0" fontId="91" fillId="43" borderId="0" xfId="0" applyFont="1" applyFill="1" applyAlignment="1">
      <alignment horizontal="center"/>
    </xf>
    <xf numFmtId="2" fontId="51" fillId="0" borderId="0" xfId="0" applyNumberFormat="1" applyFont="1"/>
    <xf numFmtId="1" fontId="50" fillId="2" borderId="0" xfId="0" applyNumberFormat="1" applyFont="1" applyFill="1" applyAlignment="1">
      <alignment horizontal="right"/>
    </xf>
    <xf numFmtId="0" fontId="51" fillId="5" borderId="0" xfId="0" applyFont="1" applyFill="1" applyAlignment="1">
      <alignment horizontal="center"/>
    </xf>
    <xf numFmtId="0" fontId="51" fillId="16" borderId="0" xfId="32" applyFont="1"/>
    <xf numFmtId="165" fontId="51" fillId="2" borderId="0" xfId="4" applyNumberFormat="1" applyFont="1" applyFill="1" applyBorder="1" applyAlignment="1">
      <alignment horizontal="center"/>
    </xf>
    <xf numFmtId="165" fontId="51" fillId="2" borderId="0" xfId="4" applyNumberFormat="1" applyFont="1" applyFill="1" applyAlignment="1">
      <alignment horizontal="center"/>
    </xf>
    <xf numFmtId="0" fontId="51" fillId="36" borderId="30" xfId="52" applyFont="1" applyBorder="1"/>
    <xf numFmtId="165" fontId="51" fillId="2" borderId="30" xfId="4" applyNumberFormat="1" applyFont="1" applyFill="1" applyBorder="1" applyAlignment="1">
      <alignment horizontal="center"/>
    </xf>
    <xf numFmtId="0" fontId="85" fillId="0" borderId="30" xfId="0" applyFont="1" applyBorder="1"/>
    <xf numFmtId="166" fontId="51" fillId="2" borderId="30" xfId="0" applyNumberFormat="1" applyFont="1" applyFill="1" applyBorder="1" applyAlignment="1">
      <alignment horizontal="right"/>
    </xf>
    <xf numFmtId="168" fontId="51" fillId="0" borderId="30" xfId="0" applyNumberFormat="1" applyFont="1" applyBorder="1" applyAlignment="1">
      <alignment horizontal="right"/>
    </xf>
    <xf numFmtId="0" fontId="51" fillId="36" borderId="0" xfId="52" applyFont="1"/>
    <xf numFmtId="0" fontId="51" fillId="24" borderId="30" xfId="40" applyFont="1" applyBorder="1"/>
    <xf numFmtId="0" fontId="51" fillId="24" borderId="0" xfId="40" applyFont="1" applyBorder="1"/>
    <xf numFmtId="0" fontId="51" fillId="42" borderId="0" xfId="0" applyFont="1" applyFill="1"/>
    <xf numFmtId="0" fontId="85" fillId="2" borderId="0" xfId="0" applyFont="1" applyFill="1"/>
    <xf numFmtId="164" fontId="51" fillId="0" borderId="0" xfId="0" applyNumberFormat="1" applyFont="1"/>
    <xf numFmtId="168" fontId="75" fillId="2" borderId="0" xfId="0" applyNumberFormat="1" applyFont="1" applyFill="1" applyAlignment="1">
      <alignment horizontal="center"/>
    </xf>
    <xf numFmtId="0" fontId="85" fillId="2" borderId="0" xfId="0" applyFont="1" applyFill="1" applyAlignment="1">
      <alignment horizontal="center"/>
    </xf>
    <xf numFmtId="166" fontId="75" fillId="2" borderId="0" xfId="0" applyNumberFormat="1" applyFont="1" applyFill="1" applyAlignment="1">
      <alignment horizontal="center"/>
    </xf>
    <xf numFmtId="165" fontId="75" fillId="2" borderId="0" xfId="0" applyNumberFormat="1" applyFont="1" applyFill="1" applyAlignment="1">
      <alignment horizontal="center"/>
    </xf>
    <xf numFmtId="166" fontId="52" fillId="2" borderId="0" xfId="0" applyNumberFormat="1" applyFont="1" applyFill="1" applyAlignment="1">
      <alignment horizontal="center"/>
    </xf>
    <xf numFmtId="0" fontId="52" fillId="2" borderId="0" xfId="0" applyFont="1" applyFill="1" applyAlignment="1">
      <alignment horizontal="right"/>
    </xf>
    <xf numFmtId="0" fontId="51" fillId="2" borderId="0" xfId="0" applyFont="1" applyFill="1" applyAlignment="1">
      <alignment horizontal="center"/>
    </xf>
    <xf numFmtId="0" fontId="51" fillId="4" borderId="0" xfId="0" applyFont="1" applyFill="1" applyAlignment="1">
      <alignment horizontal="left"/>
    </xf>
    <xf numFmtId="0" fontId="51" fillId="4" borderId="0" xfId="0" applyFont="1" applyFill="1" applyAlignment="1">
      <alignment horizontal="center"/>
    </xf>
    <xf numFmtId="0" fontId="51" fillId="0" borderId="0" xfId="0" applyFont="1" applyAlignment="1">
      <alignment horizontal="center"/>
    </xf>
    <xf numFmtId="0" fontId="51" fillId="4" borderId="0" xfId="0" applyFont="1" applyFill="1" applyAlignment="1">
      <alignment horizontal="center" vertical="center" wrapText="1"/>
    </xf>
    <xf numFmtId="0" fontId="84" fillId="4" borderId="0" xfId="0" applyFont="1" applyFill="1" applyAlignment="1">
      <alignment horizontal="center"/>
    </xf>
    <xf numFmtId="0" fontId="85" fillId="4" borderId="0" xfId="0" applyFont="1" applyFill="1" applyAlignment="1">
      <alignment horizontal="center" vertical="center" wrapText="1"/>
    </xf>
    <xf numFmtId="0" fontId="70" fillId="55" borderId="0" xfId="0" applyFont="1" applyFill="1"/>
    <xf numFmtId="0" fontId="51" fillId="55" borderId="0" xfId="0" applyFont="1" applyFill="1"/>
    <xf numFmtId="0" fontId="70" fillId="56" borderId="0" xfId="0" applyFont="1" applyFill="1"/>
    <xf numFmtId="0" fontId="51" fillId="54" borderId="0" xfId="0" applyFont="1" applyFill="1"/>
    <xf numFmtId="0" fontId="70" fillId="54" borderId="0" xfId="0" applyFont="1" applyFill="1"/>
    <xf numFmtId="0" fontId="83" fillId="54" borderId="0" xfId="0" applyFont="1" applyFill="1"/>
    <xf numFmtId="0" fontId="69" fillId="54" borderId="0" xfId="0" applyFont="1" applyFill="1"/>
    <xf numFmtId="0" fontId="95" fillId="54" borderId="0" xfId="0" applyFont="1" applyFill="1"/>
    <xf numFmtId="0" fontId="84" fillId="54" borderId="0" xfId="0" applyFont="1" applyFill="1"/>
    <xf numFmtId="2" fontId="69" fillId="54" borderId="0" xfId="0" applyNumberFormat="1" applyFont="1" applyFill="1" applyAlignment="1">
      <alignment horizontal="right"/>
    </xf>
    <xf numFmtId="0" fontId="93" fillId="2" borderId="0" xfId="0" applyFont="1" applyFill="1"/>
    <xf numFmtId="0" fontId="96" fillId="2" borderId="0" xfId="0" applyFont="1" applyFill="1"/>
    <xf numFmtId="0" fontId="89" fillId="50" borderId="0" xfId="0" applyFont="1" applyFill="1"/>
    <xf numFmtId="0" fontId="51" fillId="50" borderId="0" xfId="0" applyFont="1" applyFill="1"/>
    <xf numFmtId="166" fontId="51" fillId="2" borderId="0" xfId="0" applyNumberFormat="1" applyFont="1" applyFill="1" applyAlignment="1">
      <alignment horizontal="left"/>
    </xf>
    <xf numFmtId="0" fontId="52" fillId="2" borderId="0" xfId="0" applyFont="1" applyFill="1" applyAlignment="1">
      <alignment horizontal="center"/>
    </xf>
    <xf numFmtId="0" fontId="97" fillId="2" borderId="0" xfId="0" applyFont="1" applyFill="1"/>
    <xf numFmtId="0" fontId="51" fillId="2" borderId="0" xfId="0" applyFont="1" applyFill="1" applyAlignment="1">
      <alignment horizontal="left" indent="1"/>
    </xf>
    <xf numFmtId="166" fontId="50" fillId="2" borderId="0" xfId="0" applyNumberFormat="1" applyFont="1" applyFill="1" applyAlignment="1">
      <alignment horizontal="center" vertical="center"/>
    </xf>
    <xf numFmtId="2" fontId="51" fillId="2" borderId="0" xfId="0" applyNumberFormat="1" applyFont="1" applyFill="1" applyAlignment="1">
      <alignment horizontal="center"/>
    </xf>
    <xf numFmtId="0" fontId="98" fillId="2" borderId="0" xfId="0" applyFont="1" applyFill="1"/>
    <xf numFmtId="166" fontId="51" fillId="2" borderId="0" xfId="0" applyNumberFormat="1" applyFont="1" applyFill="1"/>
    <xf numFmtId="0" fontId="51" fillId="0" borderId="0" xfId="0" quotePrefix="1" applyFont="1"/>
    <xf numFmtId="0" fontId="86" fillId="50" borderId="0" xfId="0" applyFont="1" applyFill="1"/>
    <xf numFmtId="0" fontId="84" fillId="50" borderId="0" xfId="0" applyFont="1" applyFill="1"/>
    <xf numFmtId="0" fontId="86" fillId="50" borderId="0" xfId="0" applyFont="1" applyFill="1" applyAlignment="1">
      <alignment horizontal="center"/>
    </xf>
    <xf numFmtId="0" fontId="86" fillId="0" borderId="0" xfId="0" quotePrefix="1" applyFont="1"/>
    <xf numFmtId="0" fontId="50" fillId="50" borderId="0" xfId="0" applyFont="1" applyFill="1" applyAlignment="1">
      <alignment horizontal="center"/>
    </xf>
    <xf numFmtId="0" fontId="86" fillId="0" borderId="0" xfId="0" applyFont="1" applyAlignment="1">
      <alignment horizontal="center"/>
    </xf>
    <xf numFmtId="0" fontId="86" fillId="51" borderId="0" xfId="0" applyFont="1" applyFill="1"/>
    <xf numFmtId="2" fontId="51" fillId="2" borderId="0" xfId="0" applyNumberFormat="1" applyFont="1" applyFill="1"/>
    <xf numFmtId="2" fontId="51" fillId="0" borderId="0" xfId="0" applyNumberFormat="1" applyFont="1" applyAlignment="1">
      <alignment horizontal="center"/>
    </xf>
    <xf numFmtId="2" fontId="86" fillId="50" borderId="0" xfId="0" applyNumberFormat="1" applyFont="1" applyFill="1" applyAlignment="1">
      <alignment horizontal="center"/>
    </xf>
    <xf numFmtId="166" fontId="0" fillId="16" borderId="0" xfId="32" applyNumberFormat="1" applyFont="1"/>
    <xf numFmtId="0" fontId="31" fillId="41" borderId="32" xfId="0" applyFont="1" applyFill="1" applyBorder="1"/>
    <xf numFmtId="168" fontId="8" fillId="28" borderId="32" xfId="44" applyNumberFormat="1" applyBorder="1"/>
    <xf numFmtId="168" fontId="8" fillId="36" borderId="33" xfId="52" applyNumberFormat="1" applyBorder="1"/>
    <xf numFmtId="168" fontId="8" fillId="36" borderId="32" xfId="52" applyNumberFormat="1" applyBorder="1"/>
    <xf numFmtId="166" fontId="0" fillId="16" borderId="33" xfId="32" applyNumberFormat="1" applyFont="1" applyBorder="1"/>
    <xf numFmtId="165" fontId="0" fillId="16" borderId="33" xfId="32" applyNumberFormat="1" applyFont="1" applyBorder="1"/>
    <xf numFmtId="165" fontId="0" fillId="0" borderId="0" xfId="0" applyNumberFormat="1"/>
    <xf numFmtId="0" fontId="99" fillId="39" borderId="0" xfId="0" applyFont="1" applyFill="1"/>
    <xf numFmtId="0" fontId="10" fillId="39" borderId="0" xfId="0" applyFont="1" applyFill="1"/>
    <xf numFmtId="0" fontId="31" fillId="40" borderId="30" xfId="0" applyFont="1" applyFill="1" applyBorder="1"/>
    <xf numFmtId="168" fontId="8" fillId="0" borderId="30" xfId="52" applyNumberFormat="1" applyFill="1" applyBorder="1"/>
    <xf numFmtId="0" fontId="31" fillId="39" borderId="32" xfId="0" applyFont="1" applyFill="1" applyBorder="1"/>
    <xf numFmtId="166" fontId="0" fillId="16" borderId="32" xfId="32" applyNumberFormat="1" applyFont="1" applyBorder="1"/>
    <xf numFmtId="0" fontId="101" fillId="40" borderId="0" xfId="0" applyFont="1" applyFill="1"/>
    <xf numFmtId="0" fontId="32" fillId="41" borderId="45" xfId="0" applyFont="1" applyFill="1" applyBorder="1"/>
    <xf numFmtId="0" fontId="32" fillId="39" borderId="32" xfId="0" applyFont="1" applyFill="1" applyBorder="1"/>
    <xf numFmtId="165" fontId="0" fillId="16" borderId="0" xfId="32" applyNumberFormat="1" applyFont="1" applyBorder="1"/>
    <xf numFmtId="0" fontId="100" fillId="3" borderId="0" xfId="0" applyFont="1" applyFill="1"/>
    <xf numFmtId="0" fontId="69" fillId="0" borderId="12" xfId="0" applyFont="1" applyBorder="1" applyAlignment="1">
      <alignment vertical="top"/>
    </xf>
    <xf numFmtId="0" fontId="69" fillId="50" borderId="12" xfId="0" applyFont="1" applyFill="1" applyBorder="1" applyAlignment="1">
      <alignment vertical="top"/>
    </xf>
    <xf numFmtId="0" fontId="69" fillId="0" borderId="12" xfId="0" applyFont="1" applyBorder="1" applyAlignment="1">
      <alignment vertical="top" wrapText="1"/>
    </xf>
    <xf numFmtId="0" fontId="69" fillId="2" borderId="11" xfId="0" applyFont="1" applyFill="1" applyBorder="1" applyAlignment="1">
      <alignment vertical="top"/>
    </xf>
    <xf numFmtId="0" fontId="69" fillId="57" borderId="12" xfId="0" applyFont="1" applyFill="1" applyBorder="1" applyAlignment="1">
      <alignment vertical="top"/>
    </xf>
    <xf numFmtId="0" fontId="102" fillId="2" borderId="0" xfId="0" applyFont="1" applyFill="1"/>
    <xf numFmtId="0" fontId="69" fillId="2" borderId="46" xfId="0" applyFont="1" applyFill="1" applyBorder="1" applyAlignment="1">
      <alignment vertical="top"/>
    </xf>
    <xf numFmtId="166" fontId="82" fillId="0" borderId="0" xfId="0" applyNumberFormat="1" applyFont="1"/>
    <xf numFmtId="0" fontId="32" fillId="2" borderId="0" xfId="0" applyFont="1" applyFill="1"/>
    <xf numFmtId="0" fontId="32" fillId="57" borderId="0" xfId="0" applyFont="1" applyFill="1"/>
    <xf numFmtId="0" fontId="31" fillId="57" borderId="0" xfId="0" applyFont="1" applyFill="1"/>
    <xf numFmtId="168" fontId="8" fillId="58" borderId="0" xfId="44" applyNumberFormat="1" applyFill="1"/>
    <xf numFmtId="0" fontId="0" fillId="0" borderId="31" xfId="0" applyBorder="1"/>
    <xf numFmtId="168" fontId="50" fillId="2" borderId="0" xfId="0" applyNumberFormat="1" applyFont="1" applyFill="1" applyAlignment="1">
      <alignment horizontal="right"/>
    </xf>
    <xf numFmtId="0" fontId="104" fillId="2" borderId="5" xfId="0" applyFont="1" applyFill="1" applyBorder="1"/>
    <xf numFmtId="0" fontId="31" fillId="0" borderId="0" xfId="0" applyFont="1"/>
    <xf numFmtId="0" fontId="0" fillId="2" borderId="0" xfId="0" applyFill="1" applyAlignment="1">
      <alignment horizontal="left" vertical="top"/>
    </xf>
    <xf numFmtId="165" fontId="50" fillId="6" borderId="0" xfId="0" applyNumberFormat="1" applyFont="1" applyFill="1" applyAlignment="1">
      <alignment horizontal="right"/>
    </xf>
    <xf numFmtId="0" fontId="62" fillId="0" borderId="30" xfId="127" applyFont="1" applyBorder="1"/>
    <xf numFmtId="0" fontId="62" fillId="0" borderId="45" xfId="127" applyFont="1" applyBorder="1"/>
    <xf numFmtId="0" fontId="63" fillId="0" borderId="45" xfId="127" applyFont="1" applyBorder="1"/>
    <xf numFmtId="0" fontId="62" fillId="0" borderId="48" xfId="127" applyFont="1" applyBorder="1"/>
    <xf numFmtId="0" fontId="8" fillId="0" borderId="0" xfId="231"/>
    <xf numFmtId="0" fontId="8" fillId="52" borderId="0" xfId="231" applyFill="1"/>
    <xf numFmtId="0" fontId="11" fillId="2" borderId="37" xfId="231" applyFont="1" applyFill="1" applyBorder="1"/>
    <xf numFmtId="0" fontId="11" fillId="2" borderId="38" xfId="231" applyFont="1" applyFill="1" applyBorder="1"/>
    <xf numFmtId="0" fontId="11" fillId="2" borderId="39" xfId="231" applyFont="1" applyFill="1" applyBorder="1"/>
    <xf numFmtId="0" fontId="11" fillId="2" borderId="40" xfId="231" applyFont="1" applyFill="1" applyBorder="1"/>
    <xf numFmtId="0" fontId="12" fillId="2" borderId="0" xfId="231" applyFont="1" applyFill="1"/>
    <xf numFmtId="0" fontId="8" fillId="2" borderId="0" xfId="231" applyFill="1"/>
    <xf numFmtId="0" fontId="11" fillId="2" borderId="41" xfId="231" applyFont="1" applyFill="1" applyBorder="1"/>
    <xf numFmtId="0" fontId="7" fillId="2" borderId="0" xfId="231" applyFont="1" applyFill="1"/>
    <xf numFmtId="0" fontId="11" fillId="2" borderId="40" xfId="231" applyFont="1" applyFill="1" applyBorder="1" applyAlignment="1">
      <alignment wrapText="1"/>
    </xf>
    <xf numFmtId="0" fontId="7" fillId="2" borderId="0" xfId="231" applyFont="1" applyFill="1" applyAlignment="1">
      <alignment wrapText="1"/>
    </xf>
    <xf numFmtId="0" fontId="7" fillId="2" borderId="41" xfId="231" applyFont="1" applyFill="1" applyBorder="1"/>
    <xf numFmtId="0" fontId="11" fillId="2" borderId="42" xfId="231" applyFont="1" applyFill="1" applyBorder="1"/>
    <xf numFmtId="0" fontId="7" fillId="2" borderId="43" xfId="231" applyFont="1" applyFill="1" applyBorder="1"/>
    <xf numFmtId="0" fontId="7" fillId="2" borderId="44" xfId="231" applyFont="1" applyFill="1" applyBorder="1"/>
    <xf numFmtId="0" fontId="103" fillId="2" borderId="0" xfId="231" applyFont="1" applyFill="1" applyAlignment="1">
      <alignment horizontal="center"/>
    </xf>
    <xf numFmtId="0" fontId="51" fillId="2" borderId="0" xfId="127" applyFill="1" applyAlignment="1">
      <alignment horizontal="left"/>
    </xf>
    <xf numFmtId="0" fontId="50" fillId="0" borderId="0" xfId="0" applyFont="1"/>
    <xf numFmtId="0" fontId="50" fillId="2" borderId="0" xfId="0" applyFont="1" applyFill="1" applyAlignment="1">
      <alignment horizontal="left" indent="1"/>
    </xf>
    <xf numFmtId="0" fontId="75" fillId="2" borderId="0" xfId="2" applyFont="1" applyFill="1" applyAlignment="1">
      <alignment vertical="top"/>
    </xf>
    <xf numFmtId="0" fontId="50" fillId="54" borderId="0" xfId="0" applyFont="1" applyFill="1"/>
    <xf numFmtId="0" fontId="50" fillId="0" borderId="0" xfId="2" applyFont="1" applyAlignment="1">
      <alignment vertical="top"/>
    </xf>
    <xf numFmtId="0" fontId="50" fillId="0" borderId="0" xfId="2" applyFont="1" applyAlignment="1">
      <alignment horizontal="left" vertical="top"/>
    </xf>
    <xf numFmtId="0" fontId="70" fillId="56" borderId="0" xfId="0" applyFont="1" applyFill="1" applyAlignment="1">
      <alignment horizontal="right"/>
    </xf>
    <xf numFmtId="174" fontId="105" fillId="0" borderId="17" xfId="0" applyNumberFormat="1" applyFont="1" applyBorder="1" applyAlignment="1">
      <alignment horizontal="left" vertical="top" wrapText="1"/>
    </xf>
    <xf numFmtId="167" fontId="69" fillId="2" borderId="17" xfId="3" applyNumberFormat="1" applyFont="1" applyFill="1" applyBorder="1" applyAlignment="1">
      <alignment horizontal="left" vertical="top" wrapText="1"/>
    </xf>
    <xf numFmtId="0" fontId="69" fillId="0" borderId="0" xfId="4" applyNumberFormat="1" applyFont="1" applyAlignment="1">
      <alignment horizontal="right"/>
    </xf>
    <xf numFmtId="0" fontId="69" fillId="0" borderId="0" xfId="2" applyFont="1" applyAlignment="1">
      <alignment vertical="top"/>
    </xf>
    <xf numFmtId="0" fontId="14" fillId="0" borderId="30" xfId="0" applyFont="1" applyBorder="1"/>
    <xf numFmtId="0" fontId="95" fillId="2" borderId="0" xfId="0" applyFont="1" applyFill="1"/>
    <xf numFmtId="0" fontId="95" fillId="0" borderId="0" xfId="0" applyFont="1"/>
    <xf numFmtId="8" fontId="51" fillId="0" borderId="0" xfId="0" applyNumberFormat="1" applyFont="1"/>
    <xf numFmtId="0" fontId="52" fillId="59" borderId="0" xfId="0" applyFont="1" applyFill="1"/>
    <xf numFmtId="165" fontId="51" fillId="0" borderId="0" xfId="0" applyNumberFormat="1" applyFont="1"/>
    <xf numFmtId="168" fontId="51" fillId="0" borderId="0" xfId="0" applyNumberFormat="1" applyFont="1"/>
    <xf numFmtId="0" fontId="7" fillId="0" borderId="0" xfId="0" applyFont="1" applyAlignment="1">
      <alignment horizontal="left"/>
    </xf>
    <xf numFmtId="0" fontId="52" fillId="2" borderId="0" xfId="0" applyFont="1" applyFill="1" applyAlignment="1">
      <alignment horizontal="left" vertical="top"/>
    </xf>
    <xf numFmtId="0" fontId="69" fillId="2" borderId="0" xfId="0" applyFont="1" applyFill="1" applyAlignment="1">
      <alignment horizontal="left" vertical="top" wrapText="1"/>
    </xf>
    <xf numFmtId="0" fontId="52" fillId="2" borderId="0" xfId="0" applyFont="1" applyFill="1" applyAlignment="1">
      <alignment horizontal="left" vertical="center"/>
    </xf>
    <xf numFmtId="0" fontId="69" fillId="2" borderId="11" xfId="0" applyFont="1" applyFill="1" applyBorder="1" applyAlignment="1">
      <alignment horizontal="left" vertical="top" wrapText="1"/>
    </xf>
    <xf numFmtId="0" fontId="105" fillId="2" borderId="0" xfId="0" applyFont="1" applyFill="1" applyAlignment="1">
      <alignment horizontal="left" vertical="top" wrapText="1"/>
    </xf>
    <xf numFmtId="0" fontId="50" fillId="2" borderId="0" xfId="0" applyFont="1" applyFill="1" applyAlignment="1">
      <alignment horizontal="left" vertical="top" wrapText="1"/>
    </xf>
    <xf numFmtId="166" fontId="105" fillId="2" borderId="0" xfId="0" applyNumberFormat="1" applyFont="1" applyFill="1" applyAlignment="1">
      <alignment horizontal="left" vertical="top" wrapText="1"/>
    </xf>
    <xf numFmtId="174" fontId="105" fillId="2" borderId="0" xfId="0" applyNumberFormat="1" applyFont="1" applyFill="1" applyAlignment="1">
      <alignment horizontal="left" vertical="top" wrapText="1"/>
    </xf>
    <xf numFmtId="0" fontId="105" fillId="0" borderId="0" xfId="0" applyFont="1" applyAlignment="1">
      <alignment horizontal="left" vertical="top" wrapText="1"/>
    </xf>
    <xf numFmtId="0" fontId="79" fillId="2" borderId="0" xfId="0" applyFont="1" applyFill="1" applyAlignment="1">
      <alignment horizontal="left" vertical="top" wrapText="1"/>
    </xf>
    <xf numFmtId="0" fontId="77" fillId="4" borderId="15" xfId="0" applyFont="1" applyFill="1" applyBorder="1"/>
    <xf numFmtId="0" fontId="77" fillId="4" borderId="16" xfId="0" applyFont="1" applyFill="1" applyBorder="1"/>
    <xf numFmtId="14" fontId="69" fillId="2" borderId="17" xfId="0" applyNumberFormat="1" applyFont="1" applyFill="1" applyBorder="1" applyAlignment="1">
      <alignment horizontal="left" vertical="top" wrapText="1"/>
    </xf>
    <xf numFmtId="0" fontId="69" fillId="2" borderId="17" xfId="0" applyFont="1" applyFill="1" applyBorder="1" applyAlignment="1">
      <alignment horizontal="left" vertical="top" wrapText="1"/>
    </xf>
    <xf numFmtId="0" fontId="69" fillId="2" borderId="11" xfId="0" applyFont="1" applyFill="1" applyBorder="1" applyAlignment="1">
      <alignment vertical="top" wrapText="1"/>
    </xf>
    <xf numFmtId="0" fontId="69" fillId="2" borderId="11" xfId="0" applyFont="1" applyFill="1" applyBorder="1" applyAlignment="1">
      <alignment vertical="top"/>
    </xf>
    <xf numFmtId="0" fontId="70" fillId="4" borderId="11" xfId="0" applyFont="1" applyFill="1" applyBorder="1"/>
    <xf numFmtId="0" fontId="70" fillId="4" borderId="9" xfId="0" applyFont="1" applyFill="1" applyBorder="1"/>
    <xf numFmtId="0" fontId="70" fillId="4" borderId="12" xfId="0" applyFont="1" applyFill="1" applyBorder="1"/>
    <xf numFmtId="0" fontId="70" fillId="4" borderId="47" xfId="0" applyFont="1" applyFill="1" applyBorder="1"/>
    <xf numFmtId="0" fontId="89" fillId="50" borderId="0" xfId="0" applyFont="1" applyFill="1"/>
    <xf numFmtId="0" fontId="89" fillId="51" borderId="0" xfId="0" applyFont="1" applyFill="1"/>
    <xf numFmtId="0" fontId="51" fillId="4" borderId="0" xfId="0" applyFont="1" applyFill="1" applyAlignment="1">
      <alignment horizontal="center" vertical="center"/>
    </xf>
    <xf numFmtId="0" fontId="51" fillId="4" borderId="49" xfId="0" applyFont="1" applyFill="1" applyBorder="1" applyAlignment="1">
      <alignment horizontal="center" vertical="center"/>
    </xf>
    <xf numFmtId="0" fontId="0" fillId="0" borderId="31" xfId="0" applyBorder="1" applyAlignment="1">
      <alignment vertical="center"/>
    </xf>
  </cellXfs>
  <cellStyles count="264">
    <cellStyle name="20% - Accent1" xfId="82" builtinId="30" customBuiltin="1"/>
    <cellStyle name="20% - Accent1 2" xfId="32" xr:uid="{B7583C62-44D3-4174-B33F-DDEE1F61AD0B}"/>
    <cellStyle name="20% - Accent1 3" xfId="211" xr:uid="{7A4D2497-50AD-47FD-8265-700CEA6CC68B}"/>
    <cellStyle name="20% - Accent1 4" xfId="242" xr:uid="{D66A69A8-F960-4CDC-A906-6DC4B6B2A7A8}"/>
    <cellStyle name="20% - Accent2" xfId="86" builtinId="34" customBuiltin="1"/>
    <cellStyle name="20% - Accent2 2" xfId="36" xr:uid="{4896D68A-EDDC-423C-A6ED-0BF17D2A4EFB}"/>
    <cellStyle name="20% - Accent2 3" xfId="214" xr:uid="{CB306930-5C12-4696-8A6A-6F24FFDC4B8F}"/>
    <cellStyle name="20% - Accent2 4" xfId="245" xr:uid="{1B162223-5293-41FE-8AD8-0FDDD8A86CDF}"/>
    <cellStyle name="20% - Accent3" xfId="90" builtinId="38" customBuiltin="1"/>
    <cellStyle name="20% - Accent3 2" xfId="40" xr:uid="{AA984700-196B-4874-B99A-41EEC0602878}"/>
    <cellStyle name="20% - Accent3 3" xfId="217" xr:uid="{04C4C9C1-2E2C-4BC5-BE10-7C26D9F3E9EE}"/>
    <cellStyle name="20% - Accent3 4" xfId="248" xr:uid="{CC77AC4F-68FD-4063-8655-DDEFD0571F2B}"/>
    <cellStyle name="20% - Accent4" xfId="94" builtinId="42" customBuiltin="1"/>
    <cellStyle name="20% - Accent4 2" xfId="44" xr:uid="{DB20D7A3-0B52-4BD9-BB3D-947B2F3603BB}"/>
    <cellStyle name="20% - Accent4 3" xfId="220" xr:uid="{6BF899F0-3949-44A2-B0AB-D8CE9F5A9C78}"/>
    <cellStyle name="20% - Accent4 4" xfId="251" xr:uid="{50D61BE2-18EB-471D-AB05-57CA2C34F275}"/>
    <cellStyle name="20% - Accent5" xfId="98" builtinId="46" customBuiltin="1"/>
    <cellStyle name="20% - Accent5 2" xfId="48" xr:uid="{F3920DE5-4EAC-4631-BA4F-C5763E8125D0}"/>
    <cellStyle name="20% - Accent5 3" xfId="223" xr:uid="{DA7C9FC2-52A7-4D26-9A80-A72F58456A42}"/>
    <cellStyle name="20% - Accent5 4" xfId="254" xr:uid="{42B8623B-1CB6-46AE-8DC4-EA258D50D43B}"/>
    <cellStyle name="20% - Accent6" xfId="102" builtinId="50" customBuiltin="1"/>
    <cellStyle name="20% - Accent6 2" xfId="52" xr:uid="{064C31D0-3E4E-4D4B-9406-918A1A4A4DD4}"/>
    <cellStyle name="20% - Accent6 3" xfId="226" xr:uid="{F9C5E6D7-019E-4BD2-B77F-7C78B229B767}"/>
    <cellStyle name="20% - Accent6 4" xfId="257" xr:uid="{39B30EB3-0FDE-4263-8D47-05365DD743FE}"/>
    <cellStyle name="40% - Accent1" xfId="83" builtinId="31" customBuiltin="1"/>
    <cellStyle name="40% - Accent1 2" xfId="33" xr:uid="{9DD9AA8C-3624-4F92-A2E3-3D6FA7133A5C}"/>
    <cellStyle name="40% - Accent1 3" xfId="212" xr:uid="{75F60C07-AB12-4871-A5BB-1A28AA6689CF}"/>
    <cellStyle name="40% - Accent1 4" xfId="243" xr:uid="{AFE2BC97-1F3D-48D1-AB29-84BA6549A7AC}"/>
    <cellStyle name="40% - Accent2" xfId="87" builtinId="35" customBuiltin="1"/>
    <cellStyle name="40% - Accent2 2" xfId="37" xr:uid="{457E6AE2-DBA1-428C-A450-8D44D9B87E5A}"/>
    <cellStyle name="40% - Accent2 3" xfId="215" xr:uid="{F069714D-2CE6-4047-83F7-05FBAA835762}"/>
    <cellStyle name="40% - Accent2 4" xfId="246" xr:uid="{76C2C444-8878-43DB-8407-5DD24A8A1192}"/>
    <cellStyle name="40% - Accent3" xfId="91" builtinId="39" customBuiltin="1"/>
    <cellStyle name="40% - Accent3 2" xfId="41" xr:uid="{563BA6CD-5397-4C8D-8BC4-B49A98C13332}"/>
    <cellStyle name="40% - Accent3 3" xfId="218" xr:uid="{AC420D4D-B7EB-4284-AB36-F3D254C42425}"/>
    <cellStyle name="40% - Accent3 4" xfId="249" xr:uid="{9799DBC7-A9CC-4FE9-9E3A-4067E969B366}"/>
    <cellStyle name="40% - Accent4" xfId="95" builtinId="43" customBuiltin="1"/>
    <cellStyle name="40% - Accent4 2" xfId="45" xr:uid="{8A9AB731-D696-4002-A65C-6272C9C30B51}"/>
    <cellStyle name="40% - Accent4 3" xfId="221" xr:uid="{3DBE132F-2754-4A89-BECE-301725131E21}"/>
    <cellStyle name="40% - Accent4 4" xfId="252" xr:uid="{F7A464FE-F67E-4B7E-BB28-8212EAEFD70C}"/>
    <cellStyle name="40% - Accent5" xfId="99" builtinId="47" customBuiltin="1"/>
    <cellStyle name="40% - Accent5 2" xfId="49" xr:uid="{99F99855-3828-442B-AA2F-FD12D981AF9D}"/>
    <cellStyle name="40% - Accent5 3" xfId="224" xr:uid="{BDFFD4BF-C38E-4933-9910-DC6133660245}"/>
    <cellStyle name="40% - Accent5 4" xfId="255" xr:uid="{5F857676-1FCC-406F-9867-5B80674004A4}"/>
    <cellStyle name="40% - Accent6" xfId="103" builtinId="51" customBuiltin="1"/>
    <cellStyle name="40% - Accent6 2" xfId="53" xr:uid="{AF146A06-7E2C-4D95-85A2-B995ABB13900}"/>
    <cellStyle name="40% - Accent6 3" xfId="227" xr:uid="{5EA55895-8137-4FCF-A2A1-06CEF20D1559}"/>
    <cellStyle name="40% - Accent6 4" xfId="258" xr:uid="{2ACB8D34-5053-442E-8604-3616FEF32645}"/>
    <cellStyle name="60% - Accent1" xfId="84" builtinId="32" customBuiltin="1"/>
    <cellStyle name="60% - Accent1 2" xfId="34" xr:uid="{FA29AE88-6893-488E-9724-4D34952EE72F}"/>
    <cellStyle name="60% - Accent1 3" xfId="213" xr:uid="{287B12F2-8903-4A73-B29F-329D3008A6C0}"/>
    <cellStyle name="60% - Accent1 4" xfId="244" xr:uid="{4D76EA1B-389A-4D7B-A2E0-400ADBC6DDE7}"/>
    <cellStyle name="60% - Accent2" xfId="88" builtinId="36" customBuiltin="1"/>
    <cellStyle name="60% - Accent2 2" xfId="38" xr:uid="{268EF889-21AF-4380-81F8-3D0CFA07F2EF}"/>
    <cellStyle name="60% - Accent2 3" xfId="216" xr:uid="{41E8EEE2-4A6B-4371-864A-A12FFA21A579}"/>
    <cellStyle name="60% - Accent2 4" xfId="247" xr:uid="{FA456D8D-29AD-44DA-B875-8A3CE9A02BE3}"/>
    <cellStyle name="60% - Accent3" xfId="92" builtinId="40" customBuiltin="1"/>
    <cellStyle name="60% - Accent3 2" xfId="42" xr:uid="{44282A98-7A2B-4095-BDDC-B1886F208037}"/>
    <cellStyle name="60% - Accent3 3" xfId="219" xr:uid="{0FA3CCE3-4993-4CE6-A730-613BB648818B}"/>
    <cellStyle name="60% - Accent3 4" xfId="250" xr:uid="{8D5A5EB7-CD13-4FEA-99B4-AEFE84001CD0}"/>
    <cellStyle name="60% - Accent4" xfId="96" builtinId="44" customBuiltin="1"/>
    <cellStyle name="60% - Accent4 2" xfId="46" xr:uid="{5579C983-ED47-442B-9B2C-5566A4D73E5E}"/>
    <cellStyle name="60% - Accent4 3" xfId="222" xr:uid="{69A66B9E-D2A7-49EE-8829-E1FA37BFE0D0}"/>
    <cellStyle name="60% - Accent4 4" xfId="253" xr:uid="{7AF0FE80-AC25-4606-AB88-FAB9E306890C}"/>
    <cellStyle name="60% - Accent5" xfId="100" builtinId="48" customBuiltin="1"/>
    <cellStyle name="60% - Accent5 2" xfId="50" xr:uid="{7458676F-E25E-45B4-9FF5-70391043F13F}"/>
    <cellStyle name="60% - Accent5 3" xfId="225" xr:uid="{E31A7F82-2B18-4F74-8884-07D6C3A43767}"/>
    <cellStyle name="60% - Accent5 4" xfId="256" xr:uid="{1F7766BC-0198-4A68-8E00-36D0875F0FC2}"/>
    <cellStyle name="60% - Accent6" xfId="104" builtinId="52" customBuiltin="1"/>
    <cellStyle name="60% - Accent6 2" xfId="54" xr:uid="{E1CD6FCB-C088-4236-A7D1-EC65E81D67E6}"/>
    <cellStyle name="60% - Accent6 3" xfId="228" xr:uid="{52A156C6-B2C6-40E0-BA7E-03B08288841C}"/>
    <cellStyle name="60% - Accent6 4" xfId="259" xr:uid="{064BC711-2F6A-471A-9ECD-AB47383F8C91}"/>
    <cellStyle name="Accent1" xfId="81" builtinId="29" customBuiltin="1"/>
    <cellStyle name="Accent1 2" xfId="31" xr:uid="{4A58CE1C-DEB2-469A-B307-F9EE2F746B41}"/>
    <cellStyle name="Accent2" xfId="85" builtinId="33" customBuiltin="1"/>
    <cellStyle name="Accent2 2" xfId="35" xr:uid="{9AA74696-4AB9-4EFA-99C1-9E77A2FFCA17}"/>
    <cellStyle name="Accent3" xfId="89" builtinId="37" customBuiltin="1"/>
    <cellStyle name="Accent3 2" xfId="39" xr:uid="{F5E94DDD-A8AE-4AAD-8E11-68ACC03FF7F9}"/>
    <cellStyle name="Accent4" xfId="93" builtinId="41" customBuiltin="1"/>
    <cellStyle name="Accent4 2" xfId="43" xr:uid="{5D21FAA9-CFDF-468C-911A-1D1697ABBF57}"/>
    <cellStyle name="Accent5" xfId="97" builtinId="45" customBuiltin="1"/>
    <cellStyle name="Accent5 2" xfId="47" xr:uid="{CE98D3DA-C0BC-4FED-812B-C323A4C51CBB}"/>
    <cellStyle name="Accent6" xfId="101" builtinId="49" customBuiltin="1"/>
    <cellStyle name="Accent6 2" xfId="51" xr:uid="{1F8DC151-BE74-4F5A-8F5E-7A453D5DBC1B}"/>
    <cellStyle name="Bad" xfId="71" builtinId="27" customBuiltin="1"/>
    <cellStyle name="Bad 2" xfId="22" xr:uid="{1D945DCA-FFEF-4CDB-9C41-CB5CD404AD3F}"/>
    <cellStyle name="Blank cells" xfId="192" xr:uid="{C9ED894D-A2D4-4AC1-97E1-401A693F7004}"/>
    <cellStyle name="Calculation" xfId="75" builtinId="22" customBuiltin="1"/>
    <cellStyle name="Calculation 2" xfId="25" xr:uid="{3DDF19BE-35E3-45E7-A852-F543BDB40949}"/>
    <cellStyle name="Check Cell" xfId="77" builtinId="23" customBuiltin="1"/>
    <cellStyle name="Check Cell 2" xfId="27" xr:uid="{222C776F-EBEF-435F-98CF-5F389E62736E}"/>
    <cellStyle name="Comma" xfId="5" builtinId="3"/>
    <cellStyle name="Comma 2" xfId="7" xr:uid="{02280D7F-ADCE-4294-9DDF-E5A22180D8B5}"/>
    <cellStyle name="Comma 2 2" xfId="10" xr:uid="{5AEE659E-4458-4247-B188-EEF7B06A5175}"/>
    <cellStyle name="Comma 2 2 2" xfId="61" xr:uid="{6A187CCD-E258-44A9-B6D0-BCBD3A86917A}"/>
    <cellStyle name="Comma 2 3" xfId="16" xr:uid="{09BB9953-4890-4A4A-A594-07B624E46C2B}"/>
    <cellStyle name="Comma 2 3 2" xfId="64" xr:uid="{1DF2781C-5A22-4DBB-903B-900F9E979893}"/>
    <cellStyle name="Comma 2 4" xfId="58" xr:uid="{F6E6EC00-DC9F-4D41-A443-19730B81D839}"/>
    <cellStyle name="Comma 2 4 2" xfId="203" xr:uid="{7CEBC3AB-3E7D-43E3-A932-B6DE2AA33DA8}"/>
    <cellStyle name="Comma 2 4 3" xfId="163" xr:uid="{E305BC50-C3C9-469D-B24A-6B5E1C0A4DC1}"/>
    <cellStyle name="Comma 2 5" xfId="183" xr:uid="{ACF2DCAA-4F5A-4C34-90A3-6B9CB636F73C}"/>
    <cellStyle name="Comma 2 5 2" xfId="205" xr:uid="{2BD7945B-2D4D-4250-8F5C-A90437CF55ED}"/>
    <cellStyle name="Comma 2 6" xfId="186" xr:uid="{0D594A88-5261-4627-8F66-E463541279BF}"/>
    <cellStyle name="Comma 2 6 2" xfId="207" xr:uid="{A881D125-6ADB-4A25-AD14-3796D38A31FD}"/>
    <cellStyle name="Comma 2 7" xfId="146" xr:uid="{82EEBF38-A3BE-4A99-9F2F-D53BE53B6C54}"/>
    <cellStyle name="Comma 2 7 2" xfId="200" xr:uid="{ECFA1BFE-A79A-4E50-92AB-FDF992A72609}"/>
    <cellStyle name="Comma 2 8" xfId="232" xr:uid="{F03078CE-E29C-46C0-B1B3-36427E43F8DB}"/>
    <cellStyle name="Comma 3" xfId="14" xr:uid="{EA6CBC5F-CABF-47D0-8D94-7B5B9AE87036}"/>
    <cellStyle name="Comma 3 2" xfId="63" xr:uid="{FEA6E7AD-5BFC-4D55-ABA3-B84913B7C0A2}"/>
    <cellStyle name="Comma 3 2 2" xfId="155" xr:uid="{A1F5A77B-24A8-47FB-845B-BBE3C3BB0C64}"/>
    <cellStyle name="Comma 3 2 2 2" xfId="202" xr:uid="{CDFF4B4D-7801-45EC-B366-C0D0DCF1DFC5}"/>
    <cellStyle name="Comma 3 2 3" xfId="199" xr:uid="{E5C7DEB0-A882-431D-8CD4-EADB8A55D367}"/>
    <cellStyle name="Comma 3 3" xfId="154" xr:uid="{A39580E4-F136-4A06-93F8-2C59BB2E27D6}"/>
    <cellStyle name="Comma 3 3 2" xfId="201" xr:uid="{5A9EBD1E-5D7F-4054-952F-6B9D6D986646}"/>
    <cellStyle name="Comma 3 4" xfId="132" xr:uid="{5D132377-A5BF-459F-A95A-15C26AB3545B}"/>
    <cellStyle name="Comma 3 4 2" xfId="195" xr:uid="{8DE56CCF-F0B4-4056-B2DC-9D038F079C8E}"/>
    <cellStyle name="Comma 3 5" xfId="164" xr:uid="{40368E0E-145F-40B9-A612-7A10FA1DB3EE}"/>
    <cellStyle name="Comma 3 5 2" xfId="204" xr:uid="{49B3FC99-FB5E-4965-8969-47191AE00C07}"/>
    <cellStyle name="Comma 3 6" xfId="196" xr:uid="{372BF794-36AF-4591-B88D-D1D3CF5510F0}"/>
    <cellStyle name="Comma 4" xfId="57" xr:uid="{220F3470-73CD-4BAC-9512-B327B5C09E8C}"/>
    <cellStyle name="Comma 4 2" xfId="198" xr:uid="{20CF1A9A-1A21-4ED8-BB4D-8DE4802D2C83}"/>
    <cellStyle name="Comma 5" xfId="137" xr:uid="{86BE714D-E827-4EAF-BD4F-C3F61E74382B}"/>
    <cellStyle name="Comma 5 2" xfId="197" xr:uid="{A0FB4C3A-57B3-427C-823E-41E842704830}"/>
    <cellStyle name="Comma 5 3" xfId="236" xr:uid="{A00064FC-C3C1-4E79-A064-60FE9E253FE6}"/>
    <cellStyle name="Comma 6" xfId="184" xr:uid="{30521F6D-AB57-4E77-8EA4-614B3BFC275C}"/>
    <cellStyle name="Comma 6 2" xfId="206" xr:uid="{A3AE7C31-9189-4573-B3F5-37B5E0FE2B54}"/>
    <cellStyle name="Comma 7" xfId="109" xr:uid="{B2A95EB9-AD01-4C62-BD5A-D33AD8616B37}"/>
    <cellStyle name="Comma 8" xfId="3" xr:uid="{C4842EB1-B6E4-414F-B4FF-610E7D9A3182}"/>
    <cellStyle name="Comma 8 2" xfId="8" xr:uid="{AE8FADCD-2D0A-4466-A092-C7A2D6F3147A}"/>
    <cellStyle name="Comma 8 2 2" xfId="59" xr:uid="{DF74AA31-79B0-4918-B905-274C992DB45A}"/>
    <cellStyle name="Comma 8 3" xfId="13" xr:uid="{864CCA78-FFCF-4399-B239-B7E7262D5B3B}"/>
    <cellStyle name="Comma 8 3 2" xfId="62" xr:uid="{6061200D-750E-4125-9731-AE5BF9A5ECED}"/>
    <cellStyle name="Comma 8 4" xfId="56" xr:uid="{86CBD54D-B895-4F0F-9E4D-8CCAB5FF1EC6}"/>
    <cellStyle name="Data" xfId="193" xr:uid="{8C2434CD-B48B-4653-955B-BA23ADD6DDBD}"/>
    <cellStyle name="Data series name" xfId="190" xr:uid="{6FA648C2-A1A0-4388-B483-FFCB6CB0D65F}"/>
    <cellStyle name="Explanatory Text" xfId="79" builtinId="53" customBuiltin="1"/>
    <cellStyle name="Explanatory Text 2" xfId="29" xr:uid="{6C5FD938-D793-4C8C-B06D-87C076945629}"/>
    <cellStyle name="Good" xfId="70" builtinId="26" customBuiltin="1"/>
    <cellStyle name="Good 2" xfId="21" xr:uid="{869D63F3-E655-4AE7-B06B-2A09A92192C0}"/>
    <cellStyle name="Heading" xfId="191" xr:uid="{E516A4DC-5D11-4D58-BD05-234BE355959D}"/>
    <cellStyle name="Heading 1" xfId="66" builtinId="16" customBuiltin="1"/>
    <cellStyle name="Heading 1 2" xfId="17" xr:uid="{C8B0B4E4-3734-41A8-BCDB-D7F0FB17E162}"/>
    <cellStyle name="Heading 2" xfId="67" builtinId="17" customBuiltin="1"/>
    <cellStyle name="Heading 2 2" xfId="18" xr:uid="{B5C8BF77-5A7B-4CFA-8AF1-EECB4A2420CF}"/>
    <cellStyle name="Heading 3" xfId="68" builtinId="18" customBuiltin="1"/>
    <cellStyle name="Heading 3 2" xfId="19" xr:uid="{3747FD92-5D28-42AD-97E9-01CCD17FB38F}"/>
    <cellStyle name="Heading 4" xfId="69" builtinId="19" customBuiltin="1"/>
    <cellStyle name="Heading 4 2" xfId="20" xr:uid="{8CD6659F-45EE-4EB6-A193-07D2A7B67789}"/>
    <cellStyle name="Heading A" xfId="112" xr:uid="{0260DBFE-53EF-4DC9-8E66-DB2249F0AA19}"/>
    <cellStyle name="Heading B" xfId="113" xr:uid="{4BCD1CBF-8185-4F29-9189-16C8D04278C2}"/>
    <cellStyle name="Hyperlink" xfId="1" builtinId="8"/>
    <cellStyle name="Hyperlink 2" xfId="114" xr:uid="{FD0871E6-1963-4645-A3D1-9E27D236A6E1}"/>
    <cellStyle name="Hyperlink 2 2" xfId="166" xr:uid="{C35BA0F7-EAFD-4977-B98A-A350588B3E68}"/>
    <cellStyle name="Hyperlink 2 3" xfId="188" xr:uid="{BE3DFBF8-0834-4754-B59E-39307888CD24}"/>
    <cellStyle name="Hyperlink 2 4" xfId="165" xr:uid="{19159FAE-55E7-4B06-8C57-C8F8483E9BC7}"/>
    <cellStyle name="Hyperlink 3" xfId="167" xr:uid="{064CB969-B941-434B-8AAB-1BDF952C057E}"/>
    <cellStyle name="Input" xfId="73" builtinId="20" customBuiltin="1"/>
    <cellStyle name="Input 2" xfId="15" xr:uid="{DC7510B5-C24B-4643-BD0E-C54111E9B917}"/>
    <cellStyle name="Input value" xfId="115" xr:uid="{6D3F7797-EDDD-49FF-BBD8-405602D3364E}"/>
    <cellStyle name="Input value %" xfId="116" xr:uid="{C3594C23-CEBD-4A88-9F69-80969CB7F07D}"/>
    <cellStyle name="Komma 2" xfId="9" xr:uid="{BF1A15CA-39C7-417A-AA06-8D3C58EFE881}"/>
    <cellStyle name="Komma 2 2" xfId="60" xr:uid="{E98FEDC6-C873-4249-B4CA-9B90244DFB10}"/>
    <cellStyle name="Linked Cell" xfId="76" builtinId="24" customBuiltin="1"/>
    <cellStyle name="Linked Cell 2" xfId="26" xr:uid="{4CD2F21F-388F-4C93-AB23-6641EB33DB84}"/>
    <cellStyle name="Neutral" xfId="72" builtinId="28" customBuiltin="1"/>
    <cellStyle name="Neutral 2" xfId="23" xr:uid="{1945D1EB-E464-49A5-B345-B1949A805824}"/>
    <cellStyle name="Normal" xfId="0" builtinId="0"/>
    <cellStyle name="Normal 10" xfId="182" xr:uid="{07E64AF2-1A23-4D4E-8DD1-BF1970FD2E1C}"/>
    <cellStyle name="Normal 10 2 2 2" xfId="237" xr:uid="{0DBCF2FE-F776-4B20-A717-293F25F08461}"/>
    <cellStyle name="Normal 11" xfId="121" xr:uid="{02764A66-BC32-4A0C-BCD7-C9C35D0961DB}"/>
    <cellStyle name="Normal 12" xfId="185" xr:uid="{223A3440-AE02-4AE3-8003-818B7D2E7827}"/>
    <cellStyle name="Normal 12 3" xfId="194" xr:uid="{2BB78ABD-65E6-40BD-891B-8C04380E282D}"/>
    <cellStyle name="Normal 13" xfId="117" xr:uid="{8A0CF9C3-C8B4-4A1A-8D9B-15AAC7803281}"/>
    <cellStyle name="Normal 13 2" xfId="168" xr:uid="{F7638490-645A-49AB-8007-DB5943E508E8}"/>
    <cellStyle name="Normal 13 3" xfId="169" xr:uid="{D716BCED-4E47-4747-8AEF-EB67EF9F1AD3}"/>
    <cellStyle name="Normal 14" xfId="208" xr:uid="{2EE5F495-8FCC-4BA4-B660-4459AFD3F2A5}"/>
    <cellStyle name="Normal 15" xfId="209" xr:uid="{CF7913A3-F54B-4ECD-8509-B6B9F6148A9E}"/>
    <cellStyle name="Normal 16" xfId="229" xr:uid="{B57F2934-BF13-4992-9E51-1B560E8DBEF0}"/>
    <cellStyle name="Normal 17" xfId="240" xr:uid="{6EB11D7D-9194-4E33-B49B-822DABDB295C}"/>
    <cellStyle name="Normal 17 2 2" xfId="127" xr:uid="{A78E01B2-13FF-41CA-93DC-3C3DDCA294C0}"/>
    <cellStyle name="Normal 17 2 2 2" xfId="170" xr:uid="{C80BD6E2-83FD-4F4A-B4E0-78C8DDAD7D69}"/>
    <cellStyle name="Normal 17 2 2 3" xfId="171" xr:uid="{4AF22CCF-86DE-4FB0-BE57-E4215B60811C}"/>
    <cellStyle name="Normal 18" xfId="260" xr:uid="{D8459694-CA3F-473E-9230-FFC0B0560F57}"/>
    <cellStyle name="Normal 2" xfId="55" xr:uid="{F7F03DAD-2D68-4F50-BB0D-9BD08BA178C8}"/>
    <cellStyle name="Normal 2 2" xfId="65" xr:uid="{96F86DE6-AF8A-401B-931C-A6E3A5A5FED8}"/>
    <cellStyle name="Normal 2 2 2" xfId="122" xr:uid="{6089851F-C1EB-4712-B0D4-00A7CA76232A}"/>
    <cellStyle name="Normal 2 2 2 2" xfId="173" xr:uid="{7E45A1F7-1768-4779-8D6B-806168AC1CCD}"/>
    <cellStyle name="Normal 2 2 2 2 2" xfId="231" xr:uid="{DACD4880-2A71-4076-8BF6-F81C50C063F8}"/>
    <cellStyle name="Normal 2 2 2 3" xfId="234" xr:uid="{68635BB1-5BC1-4B51-A8B9-D6FF66557CD9}"/>
    <cellStyle name="Normal 2 2 3" xfId="128" xr:uid="{72329C37-BFE0-4D03-8C25-BC9696BF23D5}"/>
    <cellStyle name="Normal 2 2 4" xfId="144" xr:uid="{EAE037D2-5C8D-4A4C-9CA4-F87A47695A22}"/>
    <cellStyle name="Normal 2 2 5" xfId="262" xr:uid="{7A13E124-5810-4DAA-8AC0-6C45C49FB20B}"/>
    <cellStyle name="Normal 2 3" xfId="120" xr:uid="{47218CA7-42E4-4AF6-A733-A1B72E088F7D}"/>
    <cellStyle name="Normal 2 3 2" xfId="174" xr:uid="{ED5C9112-9725-4A98-B080-28BAC4717936}"/>
    <cellStyle name="Normal 2 4" xfId="172" xr:uid="{A55F2457-9857-44C7-98CB-D58A6BFC4D8D}"/>
    <cellStyle name="Normal 2 5" xfId="181" xr:uid="{46BF6613-F354-4163-8E08-15AB4E4F4B6A}"/>
    <cellStyle name="Normal 2 6" xfId="108" xr:uid="{4E28845E-41BF-493C-AF74-400B23CDC27F}"/>
    <cellStyle name="Normal 2 7" xfId="261" xr:uid="{37E2B868-B98C-4F79-86D5-B25371D03D5C}"/>
    <cellStyle name="Normal 28" xfId="2" xr:uid="{D6B6D005-6155-46A3-8B49-0A424DF8FCEE}"/>
    <cellStyle name="Normal 3" xfId="105" xr:uid="{A74DDB86-FA8D-4FAB-B22E-C98E168ED0CE}"/>
    <cellStyle name="Normal 3 2" xfId="119" xr:uid="{799B3E75-C0CD-491F-B2E1-AEA4659B397C}"/>
    <cellStyle name="Normal 3 2 2" xfId="139" xr:uid="{40FE1920-58EA-4CCC-98BE-4DABF9E42E32}"/>
    <cellStyle name="Normal 3 2 2 2" xfId="160" xr:uid="{9EC89A1F-3C04-4FB6-90B3-1B4C6F572908}"/>
    <cellStyle name="Normal 3 2 3" xfId="140" xr:uid="{FAAAF9DE-CF1A-42D3-A12E-42095C697DC8}"/>
    <cellStyle name="Normal 3 3" xfId="123" xr:uid="{A509094E-B78B-41D4-84E4-8BA036580050}"/>
    <cellStyle name="Normal 3 3 2" xfId="130" xr:uid="{553F1312-2850-435D-AF82-47E1D0E3C83E}"/>
    <cellStyle name="Normal 3 4" xfId="141" xr:uid="{09D66822-08DF-41F1-A1A6-7C347772D4AE}"/>
    <cellStyle name="Normal 3 4 2" xfId="150" xr:uid="{DE31ECAA-1D6F-4F17-BE88-6795A239845B}"/>
    <cellStyle name="Normal 3 5" xfId="125" xr:uid="{C05C41EB-3826-4E0F-A61F-B2386CBB27AA}"/>
    <cellStyle name="Normal 3 6" xfId="187" xr:uid="{EE7A8A94-DAF6-4E19-A93E-A90EF357711B}"/>
    <cellStyle name="Normal 3 7" xfId="129" xr:uid="{3C002140-AF4E-415D-9F22-FCDEE18BB5D4}"/>
    <cellStyle name="Normal 3 8" xfId="111" xr:uid="{33462CEE-CFB6-4389-AF27-57A98199F516}"/>
    <cellStyle name="Normal 4" xfId="118" xr:uid="{74B9DFD8-7AA9-4ABD-BB6C-E24E3389D1C9}"/>
    <cellStyle name="Normal 4 2" xfId="126" xr:uid="{998EE1F6-5AB0-4204-87B5-174671669715}"/>
    <cellStyle name="Normal 4 2 2" xfId="131" xr:uid="{58B9E1C3-FBF6-40CA-B505-4ED4C4679404}"/>
    <cellStyle name="Normal 4 2 3" xfId="158" xr:uid="{48131FE6-0D95-4397-BBBE-7B5F9C6F26FE}"/>
    <cellStyle name="Normal 4 3" xfId="145" xr:uid="{AAA43200-E633-419D-A074-A908D93AAE79}"/>
    <cellStyle name="Normal 4 3 2" xfId="159" xr:uid="{31240696-C9DA-4AE7-8E23-4BB99156FB75}"/>
    <cellStyle name="Normal 42" xfId="189" xr:uid="{72674B5F-6C08-4934-8148-9ABE987CB962}"/>
    <cellStyle name="Normal 5" xfId="124" xr:uid="{3C22F160-385A-437E-A579-223FE739312F}"/>
    <cellStyle name="Normal 5 2" xfId="134" xr:uid="{D41F72E9-0DCD-4572-AE0A-569AD41749EC}"/>
    <cellStyle name="Normal 5 2 2" xfId="157" xr:uid="{302067B2-3731-4548-B259-A99AE8ED5719}"/>
    <cellStyle name="Normal 5 3" xfId="142" xr:uid="{40B46B6B-8A77-4619-94F5-011537E43891}"/>
    <cellStyle name="Normal 5 3 2" xfId="152" xr:uid="{91E436B5-9F1F-42B5-9155-6CE967D97AEB}"/>
    <cellStyle name="Normal 5 3 3" xfId="156" xr:uid="{B6AD09CF-D6CD-4533-B7E9-5816D93882A8}"/>
    <cellStyle name="Normal 5 4" xfId="153" xr:uid="{E5D28FA2-EC1B-41C2-A40A-DC52165BF035}"/>
    <cellStyle name="Normal 5 5" xfId="175" xr:uid="{6048BE0D-ACE2-4B76-B269-5E671CEDB9D6}"/>
    <cellStyle name="Normal 6" xfId="6" xr:uid="{D33C8A0E-005D-4F67-B44A-26DC809B103D}"/>
    <cellStyle name="Normal 6 2" xfId="143" xr:uid="{07648C44-989A-4E67-A80E-2420C56838BD}"/>
    <cellStyle name="Normal 6 2 2" xfId="161" xr:uid="{04ECCA0E-09A4-4F21-A21F-2747C91195CC}"/>
    <cellStyle name="Normal 6 2 3" xfId="151" xr:uid="{D3D0995D-57AD-4C58-897E-439857CE6EE2}"/>
    <cellStyle name="Normal 6 3" xfId="133" xr:uid="{A0E72D65-1327-4193-A33A-0B2DCF994869}"/>
    <cellStyle name="Normal 6 4" xfId="135" xr:uid="{E436DD72-22DD-409D-B921-233106585D49}"/>
    <cellStyle name="Normal 7" xfId="149" xr:uid="{24395596-9127-4D3F-B71F-729C65FBA3B5}"/>
    <cellStyle name="Normal 8" xfId="138" xr:uid="{DD9DBF19-BE48-42B0-9C8D-0A14F09F2685}"/>
    <cellStyle name="Normal 9" xfId="162" xr:uid="{A234A620-DA79-420D-A7E5-69027E87AF76}"/>
    <cellStyle name="Normal 9 2" xfId="233" xr:uid="{7EBBFC26-28A2-4BD6-BA71-9B5ACB858F9D}"/>
    <cellStyle name="Normal GHG Textfiels Bold" xfId="176" xr:uid="{82D0B75F-EBC0-456C-88BC-2555E216358B}"/>
    <cellStyle name="Note" xfId="12" builtinId="10" customBuiltin="1"/>
    <cellStyle name="Note 2" xfId="106" xr:uid="{171AB4D1-FDEB-4B82-8F62-2DD23F4C198D}"/>
    <cellStyle name="Note 3" xfId="210" xr:uid="{C71C5FD3-35D1-4957-A7CA-41FB0371FC24}"/>
    <cellStyle name="Note 4" xfId="241" xr:uid="{FA19C3AE-22FC-4C29-8954-35AE732CEBF8}"/>
    <cellStyle name="Number 0.0 ; (0.0)" xfId="110" xr:uid="{453D6043-8D8B-493C-BD6D-CF4996E9CC1E}"/>
    <cellStyle name="Output" xfId="74" builtinId="21" customBuiltin="1"/>
    <cellStyle name="Output 2" xfId="24" xr:uid="{DC9ADA52-01A6-466B-8698-BC2D28C4B0B0}"/>
    <cellStyle name="Percent" xfId="4" builtinId="5"/>
    <cellStyle name="Percent 2" xfId="107" xr:uid="{F9C44167-7755-48AF-A31A-F2A3AF6C8BE9}"/>
    <cellStyle name="Percent 2 2" xfId="136" xr:uid="{46ACC4D9-9C63-4974-8667-FF34B5B3A608}"/>
    <cellStyle name="Percent 2 3" xfId="147" xr:uid="{B4FE9024-A33D-4F07-A0EE-35AEB1D2F72A}"/>
    <cellStyle name="Percent 3" xfId="148" xr:uid="{26468CAB-865F-4176-BD7F-CBEEC0C873B9}"/>
    <cellStyle name="Percent 4" xfId="230" xr:uid="{A0059CB6-CD28-43C7-ABCE-FCA26742455A}"/>
    <cellStyle name="Percent 5" xfId="263" xr:uid="{742BEFDF-2565-4A90-B8B8-16EFAE9A176D}"/>
    <cellStyle name="Standard 2" xfId="238" xr:uid="{2837A2B9-C7E1-40B2-A018-6908DA9B73B0}"/>
    <cellStyle name="Standard 2 2" xfId="235" xr:uid="{D900AF41-C4EC-4BD6-8825-54BE8A6E112E}"/>
    <cellStyle name="Standard 4" xfId="239" xr:uid="{7A3FD2BF-25C3-430A-9585-86B9AC798E55}"/>
    <cellStyle name="Title" xfId="11" builtinId="15" customBuiltin="1"/>
    <cellStyle name="Total" xfId="80" builtinId="25" customBuiltin="1"/>
    <cellStyle name="Total 2" xfId="30" xr:uid="{4C7B69F9-BA5A-4442-AA31-392D1113126B}"/>
    <cellStyle name="User Input" xfId="177" xr:uid="{159F5EB5-B2D9-4342-9EE3-9A7AC38270AF}"/>
    <cellStyle name="User Input 2" xfId="178" xr:uid="{BED00519-55D3-426C-A066-06B4DAEE32BE}"/>
    <cellStyle name="User Input 3" xfId="179" xr:uid="{2EC6E98F-8FC0-4932-B980-C38768180E63}"/>
    <cellStyle name="Warning Text" xfId="78" builtinId="11" customBuiltin="1"/>
    <cellStyle name="Warning Text 2" xfId="28" xr:uid="{8732784E-0A61-495D-9C6A-43E54320F8C0}"/>
    <cellStyle name="Обычный_CRF2002 (1)" xfId="180" xr:uid="{4D0433EB-202A-4806-A11F-F331EA34C4C6}"/>
  </cellStyles>
  <dxfs count="60">
    <dxf>
      <numFmt numFmtId="175" formatCode=";;;"/>
    </dxf>
    <dxf>
      <numFmt numFmtId="175" formatCode=";;;"/>
    </dxf>
    <dxf>
      <numFmt numFmtId="175" formatCode=";;;"/>
    </dxf>
    <dxf>
      <numFmt numFmtId="175" formatCode=";;;"/>
    </dxf>
    <dxf>
      <numFmt numFmtId="175" formatCode=";;;"/>
    </dxf>
    <dxf>
      <numFmt numFmtId="175" formatCode=";;;"/>
    </dxf>
    <dxf>
      <numFmt numFmtId="175" formatCode=";;;"/>
    </dxf>
    <dxf>
      <numFmt numFmtId="175" formatCode=";;;"/>
    </dxf>
    <dxf>
      <numFmt numFmtId="175" formatCode=";;;"/>
    </dxf>
    <dxf>
      <numFmt numFmtId="175" formatCode=";;;"/>
    </dxf>
    <dxf>
      <numFmt numFmtId="175" formatCode=";;;"/>
    </dxf>
    <dxf>
      <numFmt numFmtId="175" formatCode=";;;"/>
    </dxf>
    <dxf>
      <numFmt numFmtId="175" formatCode=";;;"/>
    </dxf>
    <dxf>
      <numFmt numFmtId="175" formatCode=";;;"/>
    </dxf>
    <dxf>
      <numFmt numFmtId="175" formatCode=";;;"/>
    </dxf>
    <dxf>
      <numFmt numFmtId="175" formatCode=";;;"/>
    </dxf>
    <dxf>
      <numFmt numFmtId="175" formatCode=";;;"/>
    </dxf>
    <dxf>
      <numFmt numFmtId="175" formatCode=";;;"/>
    </dxf>
    <dxf>
      <numFmt numFmtId="175" formatCode=";;;"/>
    </dxf>
    <dxf>
      <numFmt numFmtId="175" formatCode=";;;"/>
    </dxf>
    <dxf>
      <numFmt numFmtId="175" formatCode=";;;"/>
    </dxf>
    <dxf>
      <numFmt numFmtId="175" formatCode=";;;"/>
    </dxf>
    <dxf>
      <numFmt numFmtId="175" formatCode=";;;"/>
    </dxf>
    <dxf>
      <numFmt numFmtId="175" formatCode=";;;"/>
    </dxf>
    <dxf>
      <numFmt numFmtId="175" formatCode=";;;"/>
    </dxf>
    <dxf>
      <fill>
        <patternFill patternType="solid">
          <fgColor rgb="FFDDEBF7"/>
          <bgColor rgb="FFDDEBF7"/>
        </patternFill>
      </fill>
      <border>
        <bottom style="thin">
          <color rgb="FF9BC2E6"/>
        </bottom>
      </border>
    </dxf>
    <dxf>
      <fill>
        <patternFill patternType="solid">
          <fgColor rgb="FFDDEBF7"/>
          <bgColor rgb="FFDDEBF7"/>
        </patternFill>
      </fill>
      <border>
        <bottom style="thin">
          <color rgb="FF9BC2E6"/>
        </bottom>
      </border>
    </dxf>
    <dxf>
      <font>
        <b/>
        <color rgb="FF000000"/>
      </font>
    </dxf>
    <dxf>
      <font>
        <b/>
        <color rgb="FF000000"/>
      </font>
      <border>
        <bottom style="thin">
          <color rgb="FF9BC2E6"/>
        </bottom>
      </border>
    </dxf>
    <dxf>
      <font>
        <b/>
        <color rgb="FF000000"/>
      </font>
    </dxf>
    <dxf>
      <font>
        <b/>
        <color rgb="FF000000"/>
      </font>
      <border>
        <top style="thin">
          <color rgb="FF5B9BD5"/>
        </top>
        <bottom style="thin">
          <color rgb="FF5B9BD5"/>
        </bottom>
      </border>
    </dxf>
    <dxf>
      <fill>
        <patternFill patternType="solid">
          <fgColor rgb="FFD9D9D9"/>
          <bgColor rgb="FFD9D9D9"/>
        </patternFill>
      </fill>
    </dxf>
    <dxf>
      <fill>
        <patternFill patternType="solid">
          <fgColor rgb="FFD9D9D9"/>
          <bgColor rgb="FFD9D9D9"/>
        </patternFill>
      </fill>
      <border>
        <left style="thin">
          <color rgb="FFBFBFBF"/>
        </left>
        <right style="thin">
          <color rgb="FFBFBFBF"/>
        </right>
      </border>
    </dxf>
    <dxf>
      <fill>
        <patternFill patternType="solid">
          <fgColor rgb="FFD9D9D9"/>
          <bgColor rgb="FFD9D9D9"/>
        </patternFill>
      </fill>
    </dxf>
    <dxf>
      <font>
        <b/>
        <color rgb="FF000000"/>
      </font>
      <fill>
        <patternFill patternType="solid">
          <fgColor rgb="FFDDEBF7"/>
          <bgColor rgb="FFDDEBF7"/>
        </patternFill>
      </fill>
      <border>
        <top style="thin">
          <color rgb="FF9BC2E6"/>
        </top>
      </border>
    </dxf>
    <dxf>
      <font>
        <b/>
        <color rgb="FF000000"/>
      </font>
      <fill>
        <patternFill patternType="solid">
          <fgColor rgb="FFDDEBF7"/>
          <bgColor rgb="FFDDEBF7"/>
        </patternFill>
      </fill>
      <border>
        <bottom style="thin">
          <color rgb="FF9BC2E6"/>
        </bottom>
      </border>
    </dxf>
    <dxf>
      <fill>
        <patternFill patternType="solid">
          <fgColor rgb="FFDDEBF7"/>
          <bgColor rgb="FFDDEBF7"/>
        </patternFill>
      </fill>
      <border>
        <bottom style="thin">
          <color rgb="FF9BC2E6"/>
        </bottom>
      </border>
    </dxf>
    <dxf>
      <fill>
        <patternFill patternType="solid">
          <fgColor rgb="FFDDEBF7"/>
          <bgColor rgb="FFDDEBF7"/>
        </patternFill>
      </fill>
      <border>
        <bottom style="thin">
          <color rgb="FF9BC2E6"/>
        </bottom>
      </border>
    </dxf>
    <dxf>
      <font>
        <b/>
        <color rgb="FF000000"/>
      </font>
    </dxf>
    <dxf>
      <font>
        <b/>
        <color rgb="FF000000"/>
      </font>
      <border>
        <bottom style="thin">
          <color rgb="FF9BC2E6"/>
        </bottom>
      </border>
    </dxf>
    <dxf>
      <font>
        <b/>
        <color rgb="FF000000"/>
      </font>
    </dxf>
    <dxf>
      <font>
        <b/>
        <color rgb="FF000000"/>
      </font>
      <border>
        <top style="thin">
          <color rgb="FF5B9BD5"/>
        </top>
        <bottom style="thin">
          <color rgb="FF5B9BD5"/>
        </bottom>
      </border>
    </dxf>
    <dxf>
      <fill>
        <patternFill patternType="solid">
          <fgColor rgb="FFD9D9D9"/>
          <bgColor rgb="FFD9D9D9"/>
        </patternFill>
      </fill>
    </dxf>
    <dxf>
      <fill>
        <patternFill patternType="solid">
          <fgColor rgb="FFD9D9D9"/>
          <bgColor rgb="FFD9D9D9"/>
        </patternFill>
      </fill>
      <border>
        <left style="thin">
          <color rgb="FFBFBFBF"/>
        </left>
        <right style="thin">
          <color rgb="FFBFBFBF"/>
        </right>
      </border>
    </dxf>
    <dxf>
      <fill>
        <patternFill patternType="solid">
          <fgColor rgb="FFD9D9D9"/>
          <bgColor rgb="FFD9D9D9"/>
        </patternFill>
      </fill>
    </dxf>
    <dxf>
      <font>
        <b/>
        <color rgb="FF000000"/>
      </font>
      <fill>
        <patternFill patternType="solid">
          <fgColor rgb="FFDDEBF7"/>
          <bgColor rgb="FFDDEBF7"/>
        </patternFill>
      </fill>
      <border>
        <top style="thin">
          <color rgb="FF9BC2E6"/>
        </top>
      </border>
    </dxf>
    <dxf>
      <font>
        <b/>
        <color rgb="FF000000"/>
      </font>
      <fill>
        <patternFill patternType="solid">
          <fgColor rgb="FFDDEBF7"/>
          <bgColor rgb="FFDDEBF7"/>
        </patternFill>
      </fill>
      <border>
        <bottom style="thin">
          <color rgb="FF9BC2E6"/>
        </bottom>
      </border>
    </dxf>
    <dxf>
      <fill>
        <patternFill patternType="solid">
          <fgColor rgb="FFDDEBF7"/>
          <bgColor rgb="FFDDEBF7"/>
        </patternFill>
      </fill>
      <border>
        <bottom style="thin">
          <color rgb="FF9BC2E6"/>
        </bottom>
      </border>
    </dxf>
    <dxf>
      <fill>
        <patternFill patternType="solid">
          <fgColor rgb="FFDDEBF7"/>
          <bgColor rgb="FFDDEBF7"/>
        </patternFill>
      </fill>
      <border>
        <bottom style="thin">
          <color rgb="FF9BC2E6"/>
        </bottom>
      </border>
    </dxf>
    <dxf>
      <font>
        <b/>
        <color rgb="FF000000"/>
      </font>
    </dxf>
    <dxf>
      <font>
        <b/>
        <color rgb="FF000000"/>
      </font>
      <border>
        <bottom style="thin">
          <color rgb="FF9BC2E6"/>
        </bottom>
      </border>
    </dxf>
    <dxf>
      <font>
        <b/>
        <color rgb="FF000000"/>
      </font>
    </dxf>
    <dxf>
      <font>
        <b/>
        <color rgb="FF000000"/>
      </font>
      <border>
        <top style="thin">
          <color rgb="FF5B9BD5"/>
        </top>
        <bottom style="thin">
          <color rgb="FF5B9BD5"/>
        </bottom>
      </border>
    </dxf>
    <dxf>
      <fill>
        <patternFill patternType="solid">
          <fgColor rgb="FFD9D9D9"/>
          <bgColor rgb="FFD9D9D9"/>
        </patternFill>
      </fill>
    </dxf>
    <dxf>
      <fill>
        <patternFill patternType="solid">
          <fgColor rgb="FFD9D9D9"/>
          <bgColor rgb="FFD9D9D9"/>
        </patternFill>
      </fill>
      <border>
        <left style="thin">
          <color rgb="FFBFBFBF"/>
        </left>
        <right style="thin">
          <color rgb="FFBFBFBF"/>
        </right>
      </border>
    </dxf>
    <dxf>
      <fill>
        <patternFill patternType="solid">
          <fgColor rgb="FFD9D9D9"/>
          <bgColor rgb="FFD9D9D9"/>
        </patternFill>
      </fill>
    </dxf>
    <dxf>
      <font>
        <b/>
        <color rgb="FF000000"/>
      </font>
      <fill>
        <patternFill patternType="solid">
          <fgColor rgb="FFDDEBF7"/>
          <bgColor rgb="FFDDEBF7"/>
        </patternFill>
      </fill>
      <border>
        <top style="thin">
          <color rgb="FF9BC2E6"/>
        </top>
      </border>
    </dxf>
    <dxf>
      <font>
        <b/>
        <color rgb="FF000000"/>
      </font>
      <fill>
        <patternFill patternType="solid">
          <fgColor rgb="FFDDEBF7"/>
          <bgColor rgb="FFDDEBF7"/>
        </patternFill>
      </fill>
      <border>
        <bottom style="thin">
          <color rgb="FF9BC2E6"/>
        </bottom>
      </border>
    </dxf>
    <dxf>
      <font>
        <b/>
        <color theme="1"/>
      </font>
      <border>
        <bottom style="thin">
          <color theme="4"/>
        </bottom>
        <vertical/>
        <horizontal/>
      </border>
    </dxf>
    <dxf>
      <font>
        <color theme="1"/>
        <name val="Lato"/>
        <family val="2"/>
        <scheme val="major"/>
      </font>
      <border>
        <left style="thin">
          <color theme="4"/>
        </left>
        <right style="thin">
          <color theme="4"/>
        </right>
        <top style="thin">
          <color theme="4"/>
        </top>
        <bottom style="thin">
          <color theme="4"/>
        </bottom>
        <vertical/>
        <horizontal/>
      </border>
    </dxf>
  </dxfs>
  <tableStyles count="4" defaultTableStyle="TableStyleMedium2" defaultPivotStyle="PivotStyleLight16">
    <tableStyle name="Custom LatoDark" pivot="0" table="0" count="2" xr9:uid="{DAE3C4D8-6E82-4C03-AC02-3D4826A6A6DB}">
      <tableStyleElement type="wholeTable" dxfId="59"/>
      <tableStyleElement type="headerRow" dxfId="58"/>
    </tableStyle>
    <tableStyle name="PivotStyleLight16 2" table="0" count="11" xr9:uid="{1502BF6A-11AC-43D0-8CEC-712F43981CC5}">
      <tableStyleElement type="headerRow" dxfId="57"/>
      <tableStyleElement type="totalRow" dxfId="56"/>
      <tableStyleElement type="firstRowStripe" dxfId="55"/>
      <tableStyleElement type="firstColumnStripe" dxfId="54"/>
      <tableStyleElement type="firstSubtotalColumn" dxfId="53"/>
      <tableStyleElement type="firstSubtotalRow" dxfId="52"/>
      <tableStyleElement type="secondSubtotalRow" dxfId="51"/>
      <tableStyleElement type="firstRowSubheading" dxfId="50"/>
      <tableStyleElement type="secondRowSubheading" dxfId="49"/>
      <tableStyleElement type="pageFieldLabels" dxfId="48"/>
      <tableStyleElement type="pageFieldValues" dxfId="47"/>
    </tableStyle>
    <tableStyle name="PivotStyleLight16 3" table="0" count="11" xr9:uid="{D9F5AD80-4CD2-44F1-A423-44DD307A3AEE}">
      <tableStyleElement type="headerRow" dxfId="46"/>
      <tableStyleElement type="totalRow" dxfId="45"/>
      <tableStyleElement type="firstRowStripe" dxfId="44"/>
      <tableStyleElement type="firstColumnStripe" dxfId="43"/>
      <tableStyleElement type="firstSubtotalColumn" dxfId="42"/>
      <tableStyleElement type="firstSubtotalRow" dxfId="41"/>
      <tableStyleElement type="secondSubtotalRow" dxfId="40"/>
      <tableStyleElement type="firstRowSubheading" dxfId="39"/>
      <tableStyleElement type="secondRowSubheading" dxfId="38"/>
      <tableStyleElement type="pageFieldLabels" dxfId="37"/>
      <tableStyleElement type="pageFieldValues" dxfId="36"/>
    </tableStyle>
    <tableStyle name="PivotStyleLight16 4" table="0" count="11" xr9:uid="{481EEA40-4F33-456F-B1F6-1BA8D34A3B04}">
      <tableStyleElement type="headerRow" dxfId="35"/>
      <tableStyleElement type="totalRow" dxfId="34"/>
      <tableStyleElement type="firstRowStripe" dxfId="33"/>
      <tableStyleElement type="firstColumnStripe" dxfId="32"/>
      <tableStyleElement type="firstSubtotalColumn" dxfId="31"/>
      <tableStyleElement type="firstSubtotalRow" dxfId="30"/>
      <tableStyleElement type="secondSubtotalRow" dxfId="29"/>
      <tableStyleElement type="firstRowSubheading" dxfId="28"/>
      <tableStyleElement type="secondRowSubheading" dxfId="27"/>
      <tableStyleElement type="pageFieldLabels" dxfId="26"/>
      <tableStyleElement type="pageFieldValues" dxfId="25"/>
    </tableStyle>
  </tableStyles>
  <colors>
    <mruColors>
      <color rgb="FFFFCC00"/>
      <color rgb="FF838383"/>
      <color rgb="FF3C3C3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4.xml"/><Relationship Id="rId26" Type="http://schemas.openxmlformats.org/officeDocument/2006/relationships/customXml" Target="../customXml/item3.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3.xml"/><Relationship Id="rId25"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externalLink" Target="externalLinks/externalLink2.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externalLink" Target="externalLinks/externalLink1.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3.jpeg"/></Relationships>
</file>

<file path=xl/drawings/_rels/drawing5.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6</xdr:col>
      <xdr:colOff>642731</xdr:colOff>
      <xdr:row>2</xdr:row>
      <xdr:rowOff>6626</xdr:rowOff>
    </xdr:from>
    <xdr:to>
      <xdr:col>6</xdr:col>
      <xdr:colOff>2651286</xdr:colOff>
      <xdr:row>4</xdr:row>
      <xdr:rowOff>116317</xdr:rowOff>
    </xdr:to>
    <xdr:pic>
      <xdr:nvPicPr>
        <xdr:cNvPr id="3" name="Graphic 24">
          <a:extLst>
            <a:ext uri="{FF2B5EF4-FFF2-40B4-BE49-F238E27FC236}">
              <a16:creationId xmlns:a16="http://schemas.microsoft.com/office/drawing/2014/main" id="{2A065DE0-43EA-4F72-8BD9-4B1E0D045ACB}"/>
            </a:ext>
          </a:extLst>
        </xdr:cNvPr>
        <xdr:cNvPicPr>
          <a:picLocks/>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7615031" y="378101"/>
          <a:ext cx="2008555" cy="490691"/>
        </a:xfrm>
        <a:prstGeom prst="rect">
          <a:avLst/>
        </a:prstGeom>
      </xdr:spPr>
    </xdr:pic>
    <xdr:clientData/>
  </xdr:twoCellAnchor>
  <xdr:twoCellAnchor>
    <xdr:from>
      <xdr:col>6</xdr:col>
      <xdr:colOff>642731</xdr:colOff>
      <xdr:row>2</xdr:row>
      <xdr:rowOff>6626</xdr:rowOff>
    </xdr:from>
    <xdr:to>
      <xdr:col>6</xdr:col>
      <xdr:colOff>2651286</xdr:colOff>
      <xdr:row>4</xdr:row>
      <xdr:rowOff>116317</xdr:rowOff>
    </xdr:to>
    <xdr:pic>
      <xdr:nvPicPr>
        <xdr:cNvPr id="4" name="Graphic 24">
          <a:extLst>
            <a:ext uri="{FF2B5EF4-FFF2-40B4-BE49-F238E27FC236}">
              <a16:creationId xmlns:a16="http://schemas.microsoft.com/office/drawing/2014/main" id="{76893C51-0D76-4FAE-B852-2CB8B547DC2E}"/>
            </a:ext>
          </a:extLst>
        </xdr:cNvPr>
        <xdr:cNvPicPr>
          <a:picLocks/>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7945231" y="368576"/>
          <a:ext cx="2008555" cy="47799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6</xdr:col>
      <xdr:colOff>314325</xdr:colOff>
      <xdr:row>2</xdr:row>
      <xdr:rowOff>19049</xdr:rowOff>
    </xdr:from>
    <xdr:to>
      <xdr:col>7</xdr:col>
      <xdr:colOff>28942</xdr:colOff>
      <xdr:row>4</xdr:row>
      <xdr:rowOff>44859</xdr:rowOff>
    </xdr:to>
    <xdr:pic>
      <xdr:nvPicPr>
        <xdr:cNvPr id="2" name="Graphic 24">
          <a:extLst>
            <a:ext uri="{FF2B5EF4-FFF2-40B4-BE49-F238E27FC236}">
              <a16:creationId xmlns:a16="http://schemas.microsoft.com/office/drawing/2014/main" id="{00000000-0008-0000-0000-000002000000}"/>
            </a:ext>
          </a:extLst>
        </xdr:cNvPr>
        <xdr:cNvPicPr>
          <a:picLocks/>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6711950" y="390524"/>
          <a:ext cx="2029192" cy="468630"/>
        </a:xfrm>
        <a:prstGeom prst="rect">
          <a:avLst/>
        </a:prstGeom>
      </xdr:spPr>
    </xdr:pic>
    <xdr:clientData/>
  </xdr:twoCellAnchor>
  <xdr:twoCellAnchor editAs="oneCell">
    <xdr:from>
      <xdr:col>6</xdr:col>
      <xdr:colOff>314325</xdr:colOff>
      <xdr:row>2</xdr:row>
      <xdr:rowOff>19049</xdr:rowOff>
    </xdr:from>
    <xdr:to>
      <xdr:col>7</xdr:col>
      <xdr:colOff>27672</xdr:colOff>
      <xdr:row>4</xdr:row>
      <xdr:rowOff>67084</xdr:rowOff>
    </xdr:to>
    <xdr:pic>
      <xdr:nvPicPr>
        <xdr:cNvPr id="3" name="Graphic 24">
          <a:extLst>
            <a:ext uri="{FF2B5EF4-FFF2-40B4-BE49-F238E27FC236}">
              <a16:creationId xmlns:a16="http://schemas.microsoft.com/office/drawing/2014/main" id="{00000000-0008-0000-0000-000003000000}"/>
            </a:ext>
          </a:extLst>
        </xdr:cNvPr>
        <xdr:cNvPicPr>
          <a:picLocks/>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6708775" y="393699"/>
          <a:ext cx="2050147" cy="47180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6</xdr:col>
      <xdr:colOff>47625</xdr:colOff>
      <xdr:row>1</xdr:row>
      <xdr:rowOff>142875</xdr:rowOff>
    </xdr:from>
    <xdr:to>
      <xdr:col>6</xdr:col>
      <xdr:colOff>2056180</xdr:colOff>
      <xdr:row>3</xdr:row>
      <xdr:rowOff>173355</xdr:rowOff>
    </xdr:to>
    <xdr:pic>
      <xdr:nvPicPr>
        <xdr:cNvPr id="2" name="Graphic 24">
          <a:extLst>
            <a:ext uri="{FF2B5EF4-FFF2-40B4-BE49-F238E27FC236}">
              <a16:creationId xmlns:a16="http://schemas.microsoft.com/office/drawing/2014/main" id="{8D8243C9-496A-4DB7-8573-4B7C66F95A47}"/>
            </a:ext>
          </a:extLst>
        </xdr:cNvPr>
        <xdr:cNvPicPr>
          <a:picLocks/>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6610350" y="342900"/>
          <a:ext cx="2008555" cy="487680"/>
        </a:xfrm>
        <a:prstGeom prst="rect">
          <a:avLst/>
        </a:prstGeom>
      </xdr:spPr>
    </xdr:pic>
    <xdr:clientData/>
  </xdr:twoCellAnchor>
  <xdr:twoCellAnchor>
    <xdr:from>
      <xdr:col>6</xdr:col>
      <xdr:colOff>47625</xdr:colOff>
      <xdr:row>1</xdr:row>
      <xdr:rowOff>142875</xdr:rowOff>
    </xdr:from>
    <xdr:to>
      <xdr:col>6</xdr:col>
      <xdr:colOff>2056180</xdr:colOff>
      <xdr:row>3</xdr:row>
      <xdr:rowOff>173355</xdr:rowOff>
    </xdr:to>
    <xdr:pic>
      <xdr:nvPicPr>
        <xdr:cNvPr id="3" name="Graphic 24">
          <a:extLst>
            <a:ext uri="{FF2B5EF4-FFF2-40B4-BE49-F238E27FC236}">
              <a16:creationId xmlns:a16="http://schemas.microsoft.com/office/drawing/2014/main" id="{011E75BB-C013-41AE-B919-C55276881E03}"/>
            </a:ext>
          </a:extLst>
        </xdr:cNvPr>
        <xdr:cNvPicPr>
          <a:picLocks/>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6924675" y="333375"/>
          <a:ext cx="2008555" cy="48133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oneCellAnchor>
    <xdr:from>
      <xdr:col>1</xdr:col>
      <xdr:colOff>-182951</xdr:colOff>
      <xdr:row>1</xdr:row>
      <xdr:rowOff>0</xdr:rowOff>
    </xdr:from>
    <xdr:ext cx="2038350" cy="466725"/>
    <xdr:pic>
      <xdr:nvPicPr>
        <xdr:cNvPr id="2" name="Image 1" descr="Picture">
          <a:extLst>
            <a:ext uri="{FF2B5EF4-FFF2-40B4-BE49-F238E27FC236}">
              <a16:creationId xmlns:a16="http://schemas.microsoft.com/office/drawing/2014/main" id="{98E013F0-D900-46F3-BFB5-D8DC714258A3}"/>
            </a:ext>
          </a:extLst>
        </xdr:cNvPr>
        <xdr:cNvPicPr/>
      </xdr:nvPicPr>
      <xdr:blipFill>
        <a:blip xmlns:r="http://schemas.openxmlformats.org/officeDocument/2006/relationships" r:embed="rId1" cstate="print"/>
        <a:stretch>
          <a:fillRect/>
        </a:stretch>
      </xdr:blipFill>
      <xdr:spPr>
        <a:xfrm>
          <a:off x="172649" y="161925"/>
          <a:ext cx="2038350" cy="466725"/>
        </a:xfrm>
        <a:prstGeom prst="rect">
          <a:avLst/>
        </a:prstGeom>
      </xdr:spPr>
    </xdr:pic>
    <xdr:clientData/>
  </xdr:oneCellAnchor>
</xdr:wsDr>
</file>

<file path=xl/drawings/drawing5.xml><?xml version="1.0" encoding="utf-8"?>
<xdr:wsDr xmlns:xdr="http://schemas.openxmlformats.org/drawingml/2006/spreadsheetDrawing" xmlns:a="http://schemas.openxmlformats.org/drawingml/2006/main">
  <xdr:twoCellAnchor>
    <xdr:from>
      <xdr:col>0</xdr:col>
      <xdr:colOff>198120</xdr:colOff>
      <xdr:row>1</xdr:row>
      <xdr:rowOff>0</xdr:rowOff>
    </xdr:from>
    <xdr:to>
      <xdr:col>1</xdr:col>
      <xdr:colOff>1839962</xdr:colOff>
      <xdr:row>3</xdr:row>
      <xdr:rowOff>106680</xdr:rowOff>
    </xdr:to>
    <xdr:pic>
      <xdr:nvPicPr>
        <xdr:cNvPr id="2" name="Graphic 24">
          <a:extLst>
            <a:ext uri="{FF2B5EF4-FFF2-40B4-BE49-F238E27FC236}">
              <a16:creationId xmlns:a16="http://schemas.microsoft.com/office/drawing/2014/main" id="{12EFDC36-F65C-4633-ABFC-06276DF041B2}"/>
            </a:ext>
          </a:extLst>
        </xdr:cNvPr>
        <xdr:cNvPicPr>
          <a:picLocks/>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201295" y="180975"/>
          <a:ext cx="2026017" cy="465455"/>
        </a:xfrm>
        <a:prstGeom prst="rect">
          <a:avLst/>
        </a:prstGeom>
      </xdr:spPr>
    </xdr:pic>
    <xdr:clientData/>
  </xdr:twoCellAnchor>
  <xdr:twoCellAnchor>
    <xdr:from>
      <xdr:col>0</xdr:col>
      <xdr:colOff>198120</xdr:colOff>
      <xdr:row>1</xdr:row>
      <xdr:rowOff>0</xdr:rowOff>
    </xdr:from>
    <xdr:to>
      <xdr:col>1</xdr:col>
      <xdr:colOff>1839962</xdr:colOff>
      <xdr:row>3</xdr:row>
      <xdr:rowOff>106680</xdr:rowOff>
    </xdr:to>
    <xdr:pic>
      <xdr:nvPicPr>
        <xdr:cNvPr id="3" name="Graphic 24">
          <a:extLst>
            <a:ext uri="{FF2B5EF4-FFF2-40B4-BE49-F238E27FC236}">
              <a16:creationId xmlns:a16="http://schemas.microsoft.com/office/drawing/2014/main" id="{661F6089-9B3F-48FC-99DB-EE47212F93CF}"/>
            </a:ext>
          </a:extLst>
        </xdr:cNvPr>
        <xdr:cNvPicPr>
          <a:picLocks/>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98120" y="158750"/>
          <a:ext cx="2029192" cy="42418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198120</xdr:colOff>
      <xdr:row>1</xdr:row>
      <xdr:rowOff>0</xdr:rowOff>
    </xdr:from>
    <xdr:to>
      <xdr:col>1</xdr:col>
      <xdr:colOff>1839962</xdr:colOff>
      <xdr:row>3</xdr:row>
      <xdr:rowOff>106680</xdr:rowOff>
    </xdr:to>
    <xdr:pic>
      <xdr:nvPicPr>
        <xdr:cNvPr id="2" name="Graphic 24">
          <a:extLst>
            <a:ext uri="{FF2B5EF4-FFF2-40B4-BE49-F238E27FC236}">
              <a16:creationId xmlns:a16="http://schemas.microsoft.com/office/drawing/2014/main" id="{00000000-0008-0000-0300-000002000000}"/>
            </a:ext>
          </a:extLst>
        </xdr:cNvPr>
        <xdr:cNvPicPr>
          <a:picLocks/>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201295" y="180975"/>
          <a:ext cx="2026017" cy="46545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0</xdr:col>
      <xdr:colOff>160020</xdr:colOff>
      <xdr:row>0</xdr:row>
      <xdr:rowOff>167640</xdr:rowOff>
    </xdr:from>
    <xdr:to>
      <xdr:col>2</xdr:col>
      <xdr:colOff>818882</xdr:colOff>
      <xdr:row>3</xdr:row>
      <xdr:rowOff>91440</xdr:rowOff>
    </xdr:to>
    <xdr:pic>
      <xdr:nvPicPr>
        <xdr:cNvPr id="2" name="Graphic 24">
          <a:extLst>
            <a:ext uri="{FF2B5EF4-FFF2-40B4-BE49-F238E27FC236}">
              <a16:creationId xmlns:a16="http://schemas.microsoft.com/office/drawing/2014/main" id="{00000000-0008-0000-0400-000002000000}"/>
            </a:ext>
          </a:extLst>
        </xdr:cNvPr>
        <xdr:cNvPicPr>
          <a:picLocks/>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60020" y="167640"/>
          <a:ext cx="2022842" cy="47244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0</xdr:col>
      <xdr:colOff>198120</xdr:colOff>
      <xdr:row>1</xdr:row>
      <xdr:rowOff>0</xdr:rowOff>
    </xdr:from>
    <xdr:to>
      <xdr:col>1</xdr:col>
      <xdr:colOff>1839962</xdr:colOff>
      <xdr:row>3</xdr:row>
      <xdr:rowOff>106680</xdr:rowOff>
    </xdr:to>
    <xdr:pic>
      <xdr:nvPicPr>
        <xdr:cNvPr id="2" name="Graphic 24">
          <a:extLst>
            <a:ext uri="{FF2B5EF4-FFF2-40B4-BE49-F238E27FC236}">
              <a16:creationId xmlns:a16="http://schemas.microsoft.com/office/drawing/2014/main" id="{00000000-0008-0000-0500-000002000000}"/>
            </a:ext>
          </a:extLst>
        </xdr:cNvPr>
        <xdr:cNvPicPr>
          <a:picLocks/>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98120" y="182880"/>
          <a:ext cx="2022842" cy="472440"/>
        </a:xfrm>
        <a:prstGeom prst="rect">
          <a:avLst/>
        </a:prstGeom>
      </xdr:spPr>
    </xdr:pic>
    <xdr:clientData/>
  </xdr:twoCellAnchor>
  <xdr:twoCellAnchor>
    <xdr:from>
      <xdr:col>1</xdr:col>
      <xdr:colOff>1566718</xdr:colOff>
      <xdr:row>8</xdr:row>
      <xdr:rowOff>44450</xdr:rowOff>
    </xdr:from>
    <xdr:to>
      <xdr:col>1</xdr:col>
      <xdr:colOff>1577181</xdr:colOff>
      <xdr:row>13</xdr:row>
      <xdr:rowOff>115455</xdr:rowOff>
    </xdr:to>
    <xdr:cxnSp macro="">
      <xdr:nvCxnSpPr>
        <xdr:cNvPr id="8" name="Straight Arrow Connector 7">
          <a:extLst>
            <a:ext uri="{FF2B5EF4-FFF2-40B4-BE49-F238E27FC236}">
              <a16:creationId xmlns:a16="http://schemas.microsoft.com/office/drawing/2014/main" id="{00000000-0008-0000-0500-000008000000}"/>
            </a:ext>
          </a:extLst>
        </xdr:cNvPr>
        <xdr:cNvCxnSpPr/>
      </xdr:nvCxnSpPr>
      <xdr:spPr>
        <a:xfrm flipV="1">
          <a:off x="1960418" y="1495425"/>
          <a:ext cx="4113" cy="972705"/>
        </a:xfrm>
        <a:prstGeom prst="straightConnector1">
          <a:avLst/>
        </a:prstGeom>
        <a:ln w="1905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1566718</xdr:colOff>
      <xdr:row>8</xdr:row>
      <xdr:rowOff>44450</xdr:rowOff>
    </xdr:from>
    <xdr:to>
      <xdr:col>1</xdr:col>
      <xdr:colOff>1577181</xdr:colOff>
      <xdr:row>13</xdr:row>
      <xdr:rowOff>115455</xdr:rowOff>
    </xdr:to>
    <xdr:cxnSp macro="">
      <xdr:nvCxnSpPr>
        <xdr:cNvPr id="10" name="Straight Arrow Connector 9">
          <a:extLst>
            <a:ext uri="{FF2B5EF4-FFF2-40B4-BE49-F238E27FC236}">
              <a16:creationId xmlns:a16="http://schemas.microsoft.com/office/drawing/2014/main" id="{00000000-0008-0000-0500-00000A000000}"/>
            </a:ext>
          </a:extLst>
        </xdr:cNvPr>
        <xdr:cNvCxnSpPr/>
      </xdr:nvCxnSpPr>
      <xdr:spPr>
        <a:xfrm flipV="1">
          <a:off x="1960418" y="1533525"/>
          <a:ext cx="4113" cy="972705"/>
        </a:xfrm>
        <a:prstGeom prst="straightConnector1">
          <a:avLst/>
        </a:prstGeom>
        <a:ln w="1905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1566718</xdr:colOff>
      <xdr:row>8</xdr:row>
      <xdr:rowOff>44450</xdr:rowOff>
    </xdr:from>
    <xdr:to>
      <xdr:col>1</xdr:col>
      <xdr:colOff>1577181</xdr:colOff>
      <xdr:row>13</xdr:row>
      <xdr:rowOff>115455</xdr:rowOff>
    </xdr:to>
    <xdr:cxnSp macro="">
      <xdr:nvCxnSpPr>
        <xdr:cNvPr id="11" name="Straight Arrow Connector 10">
          <a:extLst>
            <a:ext uri="{FF2B5EF4-FFF2-40B4-BE49-F238E27FC236}">
              <a16:creationId xmlns:a16="http://schemas.microsoft.com/office/drawing/2014/main" id="{00000000-0008-0000-0500-00000B000000}"/>
            </a:ext>
          </a:extLst>
        </xdr:cNvPr>
        <xdr:cNvCxnSpPr/>
      </xdr:nvCxnSpPr>
      <xdr:spPr>
        <a:xfrm flipV="1">
          <a:off x="1954068" y="1555750"/>
          <a:ext cx="10463" cy="991755"/>
        </a:xfrm>
        <a:prstGeom prst="straightConnector1">
          <a:avLst/>
        </a:prstGeom>
        <a:ln w="1905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1566718</xdr:colOff>
      <xdr:row>8</xdr:row>
      <xdr:rowOff>44450</xdr:rowOff>
    </xdr:from>
    <xdr:to>
      <xdr:col>1</xdr:col>
      <xdr:colOff>1577181</xdr:colOff>
      <xdr:row>13</xdr:row>
      <xdr:rowOff>115455</xdr:rowOff>
    </xdr:to>
    <xdr:cxnSp macro="">
      <xdr:nvCxnSpPr>
        <xdr:cNvPr id="13" name="Straight Arrow Connector 12">
          <a:extLst>
            <a:ext uri="{FF2B5EF4-FFF2-40B4-BE49-F238E27FC236}">
              <a16:creationId xmlns:a16="http://schemas.microsoft.com/office/drawing/2014/main" id="{00000000-0008-0000-0500-00000D000000}"/>
            </a:ext>
          </a:extLst>
        </xdr:cNvPr>
        <xdr:cNvCxnSpPr/>
      </xdr:nvCxnSpPr>
      <xdr:spPr>
        <a:xfrm flipV="1">
          <a:off x="1954068" y="1555750"/>
          <a:ext cx="10463" cy="991755"/>
        </a:xfrm>
        <a:prstGeom prst="straightConnector1">
          <a:avLst/>
        </a:prstGeom>
        <a:ln w="1905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1566718</xdr:colOff>
      <xdr:row>8</xdr:row>
      <xdr:rowOff>44450</xdr:rowOff>
    </xdr:from>
    <xdr:to>
      <xdr:col>1</xdr:col>
      <xdr:colOff>1577181</xdr:colOff>
      <xdr:row>13</xdr:row>
      <xdr:rowOff>115455</xdr:rowOff>
    </xdr:to>
    <xdr:cxnSp macro="">
      <xdr:nvCxnSpPr>
        <xdr:cNvPr id="14" name="Straight Arrow Connector 13">
          <a:extLst>
            <a:ext uri="{FF2B5EF4-FFF2-40B4-BE49-F238E27FC236}">
              <a16:creationId xmlns:a16="http://schemas.microsoft.com/office/drawing/2014/main" id="{FEA26DE7-1086-40D5-B9F2-91B9E9820B2C}"/>
            </a:ext>
          </a:extLst>
        </xdr:cNvPr>
        <xdr:cNvCxnSpPr/>
      </xdr:nvCxnSpPr>
      <xdr:spPr>
        <a:xfrm flipV="1">
          <a:off x="2125518" y="1536700"/>
          <a:ext cx="10463" cy="991755"/>
        </a:xfrm>
        <a:prstGeom prst="straightConnector1">
          <a:avLst/>
        </a:prstGeom>
        <a:ln w="1905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1566718</xdr:colOff>
      <xdr:row>8</xdr:row>
      <xdr:rowOff>44450</xdr:rowOff>
    </xdr:from>
    <xdr:to>
      <xdr:col>1</xdr:col>
      <xdr:colOff>1577181</xdr:colOff>
      <xdr:row>13</xdr:row>
      <xdr:rowOff>115455</xdr:rowOff>
    </xdr:to>
    <xdr:cxnSp macro="">
      <xdr:nvCxnSpPr>
        <xdr:cNvPr id="15" name="Straight Arrow Connector 14">
          <a:extLst>
            <a:ext uri="{FF2B5EF4-FFF2-40B4-BE49-F238E27FC236}">
              <a16:creationId xmlns:a16="http://schemas.microsoft.com/office/drawing/2014/main" id="{DB1D9BFC-C34C-4BC4-8A76-B914ABA2957B}"/>
            </a:ext>
          </a:extLst>
        </xdr:cNvPr>
        <xdr:cNvCxnSpPr/>
      </xdr:nvCxnSpPr>
      <xdr:spPr>
        <a:xfrm flipV="1">
          <a:off x="2125518" y="1536700"/>
          <a:ext cx="10463" cy="991755"/>
        </a:xfrm>
        <a:prstGeom prst="straightConnector1">
          <a:avLst/>
        </a:prstGeom>
        <a:ln w="1905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198120</xdr:colOff>
      <xdr:row>1</xdr:row>
      <xdr:rowOff>0</xdr:rowOff>
    </xdr:from>
    <xdr:to>
      <xdr:col>1</xdr:col>
      <xdr:colOff>1839962</xdr:colOff>
      <xdr:row>3</xdr:row>
      <xdr:rowOff>106680</xdr:rowOff>
    </xdr:to>
    <xdr:pic>
      <xdr:nvPicPr>
        <xdr:cNvPr id="2" name="Graphic 24">
          <a:extLst>
            <a:ext uri="{FF2B5EF4-FFF2-40B4-BE49-F238E27FC236}">
              <a16:creationId xmlns:a16="http://schemas.microsoft.com/office/drawing/2014/main" id="{00000000-0008-0000-0600-000002000000}"/>
            </a:ext>
          </a:extLst>
        </xdr:cNvPr>
        <xdr:cNvPicPr>
          <a:picLocks/>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201295" y="180975"/>
          <a:ext cx="2026017" cy="465455"/>
        </a:xfrm>
        <a:prstGeom prst="rect">
          <a:avLst/>
        </a:prstGeom>
      </xdr:spPr>
    </xdr:pic>
    <xdr:clientData/>
  </xdr:twoCellAnchor>
  <xdr:twoCellAnchor>
    <xdr:from>
      <xdr:col>1</xdr:col>
      <xdr:colOff>1566718</xdr:colOff>
      <xdr:row>8</xdr:row>
      <xdr:rowOff>44450</xdr:rowOff>
    </xdr:from>
    <xdr:to>
      <xdr:col>1</xdr:col>
      <xdr:colOff>1577181</xdr:colOff>
      <xdr:row>13</xdr:row>
      <xdr:rowOff>115455</xdr:rowOff>
    </xdr:to>
    <xdr:cxnSp macro="">
      <xdr:nvCxnSpPr>
        <xdr:cNvPr id="3" name="Straight Arrow Connector 2">
          <a:extLst>
            <a:ext uri="{FF2B5EF4-FFF2-40B4-BE49-F238E27FC236}">
              <a16:creationId xmlns:a16="http://schemas.microsoft.com/office/drawing/2014/main" id="{00000000-0008-0000-0600-000003000000}"/>
            </a:ext>
          </a:extLst>
        </xdr:cNvPr>
        <xdr:cNvCxnSpPr/>
      </xdr:nvCxnSpPr>
      <xdr:spPr>
        <a:xfrm flipV="1">
          <a:off x="1947718" y="1466850"/>
          <a:ext cx="10463" cy="960005"/>
        </a:xfrm>
        <a:prstGeom prst="straightConnector1">
          <a:avLst/>
        </a:prstGeom>
        <a:ln w="1905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1566718</xdr:colOff>
      <xdr:row>8</xdr:row>
      <xdr:rowOff>44450</xdr:rowOff>
    </xdr:from>
    <xdr:to>
      <xdr:col>1</xdr:col>
      <xdr:colOff>1577181</xdr:colOff>
      <xdr:row>13</xdr:row>
      <xdr:rowOff>115455</xdr:rowOff>
    </xdr:to>
    <xdr:cxnSp macro="">
      <xdr:nvCxnSpPr>
        <xdr:cNvPr id="5" name="Straight Arrow Connector 4">
          <a:extLst>
            <a:ext uri="{FF2B5EF4-FFF2-40B4-BE49-F238E27FC236}">
              <a16:creationId xmlns:a16="http://schemas.microsoft.com/office/drawing/2014/main" id="{00000000-0008-0000-0600-000005000000}"/>
            </a:ext>
          </a:extLst>
        </xdr:cNvPr>
        <xdr:cNvCxnSpPr/>
      </xdr:nvCxnSpPr>
      <xdr:spPr>
        <a:xfrm flipV="1">
          <a:off x="1954068" y="1555750"/>
          <a:ext cx="10463" cy="991755"/>
        </a:xfrm>
        <a:prstGeom prst="straightConnector1">
          <a:avLst/>
        </a:prstGeom>
        <a:ln w="1905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137160</xdr:colOff>
      <xdr:row>0</xdr:row>
      <xdr:rowOff>160020</xdr:rowOff>
    </xdr:from>
    <xdr:to>
      <xdr:col>0</xdr:col>
      <xdr:colOff>2371725</xdr:colOff>
      <xdr:row>3</xdr:row>
      <xdr:rowOff>88849</xdr:rowOff>
    </xdr:to>
    <xdr:pic>
      <xdr:nvPicPr>
        <xdr:cNvPr id="3" name="Graphic 24">
          <a:extLst>
            <a:ext uri="{FF2B5EF4-FFF2-40B4-BE49-F238E27FC236}">
              <a16:creationId xmlns:a16="http://schemas.microsoft.com/office/drawing/2014/main" id="{00000000-0008-0000-0700-000003000000}"/>
            </a:ext>
          </a:extLst>
        </xdr:cNvPr>
        <xdr:cNvPicPr>
          <a:picLocks/>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37160" y="160020"/>
          <a:ext cx="2234565" cy="500329"/>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1098550</xdr:colOff>
          <xdr:row>0</xdr:row>
          <xdr:rowOff>114300</xdr:rowOff>
        </xdr:from>
        <xdr:to>
          <xdr:col>15</xdr:col>
          <xdr:colOff>114300</xdr:colOff>
          <xdr:row>4</xdr:row>
          <xdr:rowOff>95250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C00-000002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1" i="0" u="none" strike="noStrike" baseline="0">
                  <a:solidFill>
                    <a:srgbClr val="000000"/>
                  </a:solidFill>
                  <a:latin typeface="Calibri"/>
                  <a:ea typeface="Calibri"/>
                  <a:cs typeface="Calibri"/>
                </a:rPr>
                <a:t>Populate summary table - live</a:t>
              </a:r>
            </a:p>
          </xdr:txBody>
        </xdr:sp>
        <xdr:clientData fPrintsWithSheet="0"/>
      </xdr:twoCellAnchor>
    </mc:Choice>
    <mc:Fallback/>
  </mc:AlternateContent>
  <xdr:twoCellAnchor>
    <xdr:from>
      <xdr:col>0</xdr:col>
      <xdr:colOff>100853</xdr:colOff>
      <xdr:row>0</xdr:row>
      <xdr:rowOff>168088</xdr:rowOff>
    </xdr:from>
    <xdr:to>
      <xdr:col>1</xdr:col>
      <xdr:colOff>948758</xdr:colOff>
      <xdr:row>3</xdr:row>
      <xdr:rowOff>95474</xdr:rowOff>
    </xdr:to>
    <xdr:pic>
      <xdr:nvPicPr>
        <xdr:cNvPr id="2" name="Graphic 24">
          <a:extLst>
            <a:ext uri="{FF2B5EF4-FFF2-40B4-BE49-F238E27FC236}">
              <a16:creationId xmlns:a16="http://schemas.microsoft.com/office/drawing/2014/main" id="{2998EABB-D4C7-4FCA-ACDD-6D8024334157}"/>
            </a:ext>
          </a:extLst>
        </xdr:cNvPr>
        <xdr:cNvPicPr>
          <a:picLocks/>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00853" y="168088"/>
          <a:ext cx="2192611" cy="465268"/>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Users/Max%20Fydrich/Documents/Autosheet/Autosheet%20v0.77_DEU_RES_Apr22_PRMF.xlsm" TargetMode="External"/><Relationship Id="rId1" Type="http://schemas.openxmlformats.org/officeDocument/2006/relationships/externalLinkPath" Target="/Users/Max%20Fydrich/Documents/Autosheet/Autosheet%20v0.77_DEU_RES_Apr22_PRMF.xlsm"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Research%20Team/1.%20RP%20Products/08.%20Germany/1.%20PRMF%20and%20PMF%20reports/2023/2023Q1_January/6.%20Final/Final%20Deliverables/PRMF/Autosheet%20v0.90.xlsm" TargetMode="External"/><Relationship Id="rId1" Type="http://schemas.openxmlformats.org/officeDocument/2006/relationships/externalLinkPath" Target="/Research%20Team/1.%20RP%20Products/08.%20Germany/1.%20PRMF%20and%20PMF%20reports/2023/2023Q1_January/6.%20Final/Final%20Deliverables/PRMF/Autosheet%20v0.90.xlsm" TargetMode="External"/></Relationships>
</file>

<file path=xl/externalLinks/_rels/externalLink3.xml.rels><?xml version="1.0" encoding="UTF-8" standalone="yes"?>
<Relationships xmlns="http://schemas.openxmlformats.org/package/2006/relationships"><Relationship Id="rId2" Type="http://schemas.openxmlformats.org/officeDocument/2006/relationships/externalLinkPath" Target="../../../../../../../Users/Michele%20Scolaro/Desktop/MonthlyAutosheet%20v1.02_MS.xlsm" TargetMode="External"/><Relationship Id="rId1" Type="http://schemas.openxmlformats.org/officeDocument/2006/relationships/externalLinkPath" Target="/Users/Michele%20Scolaro/Desktop/MonthlyAutosheet%20v1.02_MS.xlsm" TargetMode="External"/></Relationships>
</file>

<file path=xl/externalLinks/_rels/externalLink4.xml.rels><?xml version="1.0" encoding="UTF-8" standalone="yes"?>
<Relationships xmlns="http://schemas.openxmlformats.org/package/2006/relationships"><Relationship Id="rId2" Type="http://schemas.openxmlformats.org/officeDocument/2006/relationships/externalLinkPath" Target="file:///C:\Users\DanielKoronka\Downloads\Colocation_aligned_flex_investment_case%20v2.xlsm" TargetMode="External"/><Relationship Id="rId1" Type="http://schemas.openxmlformats.org/officeDocument/2006/relationships/externalLinkPath" Target="Colocation_aligned_flex_investment_case%20v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Control"/>
      <sheetName val="Overview"/>
      <sheetName val="Lookup"/>
      <sheetName val="Scenarios"/>
      <sheetName val="Intro"/>
      <sheetName val="Common assumptions"/>
      <sheetName val="S1"/>
      <sheetName val="S2"/>
      <sheetName val="S3"/>
      <sheetName val="S4"/>
      <sheetName val="COMP"/>
      <sheetName val="won"/>
      <sheetName val="wof"/>
      <sheetName val="sol"/>
      <sheetName val="Exhibits"/>
      <sheetName val="Glossary"/>
      <sheetName val="DWHQueries"/>
      <sheetName val="yearlyregion"/>
      <sheetName val="yearlytech"/>
      <sheetName val="yearlyfuel"/>
      <sheetName val="yearlytech_subregion"/>
      <sheetName val="yearlyplant"/>
      <sheetName val="marginaltech"/>
      <sheetName val="marginalcost"/>
      <sheetName val="yearlyspkspreadbins"/>
      <sheetName val="yearlydrkspreadbins"/>
      <sheetName val="BMdist"/>
      <sheetName val="WMdist"/>
      <sheetName val="WMbins"/>
      <sheetName val="Regions"/>
      <sheetName val="Plants"/>
      <sheetName val="AppliedExchangeRates"/>
      <sheetName val="chosenreg"/>
      <sheetName val="chosenscen"/>
      <sheetName val="chosenPlant"/>
    </sheetNames>
    <sheetDataSet>
      <sheetData sheetId="0">
        <row r="65">
          <cell r="D65">
            <v>2</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sheetData sheetId="18" refreshError="1"/>
      <sheetData sheetId="19" refreshError="1"/>
      <sheetData sheetId="20"/>
      <sheetData sheetId="2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Overview"/>
      <sheetName val="Control"/>
      <sheetName val="TechCodes"/>
      <sheetName val="Intro"/>
      <sheetName val="Common assumptions"/>
      <sheetName val="S1"/>
      <sheetName val="S2"/>
      <sheetName val="S3"/>
      <sheetName val="S4"/>
      <sheetName val="S5"/>
      <sheetName val="S6"/>
      <sheetName val="S7"/>
      <sheetName val="S8"/>
      <sheetName val="S9"/>
      <sheetName val="S10"/>
      <sheetName val="COMP"/>
      <sheetName val="Exhibits"/>
      <sheetName val="Glossary"/>
      <sheetName val="DWHQueries"/>
      <sheetName val="Scenarios"/>
      <sheetName val="yearlyregion"/>
      <sheetName val="capacity_details"/>
      <sheetName val="yearlytech_RES"/>
      <sheetName val="yearlytech"/>
      <sheetName val="yearlyfuel"/>
      <sheetName val="chosenPlantname"/>
      <sheetName val="yearlyplant"/>
      <sheetName val="technology_grouping"/>
      <sheetName val="marginaltech"/>
      <sheetName val="marginalcost"/>
      <sheetName val="yearlyspkspreadbins"/>
      <sheetName val="yearlydrkspreadbins"/>
      <sheetName val="BMdist"/>
      <sheetName val="WMdist"/>
      <sheetName val="WMbins"/>
      <sheetName val="Regions"/>
      <sheetName val="Plants"/>
      <sheetName val="chosenreg"/>
      <sheetName val="chosenscen"/>
      <sheetName val="chosenPlan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Overview"/>
      <sheetName val="Control"/>
      <sheetName val="Scenarios"/>
      <sheetName val="Intro"/>
      <sheetName val="Common assumptions"/>
      <sheetName val="S1"/>
      <sheetName val="S2"/>
      <sheetName val="S3"/>
      <sheetName val="S4"/>
      <sheetName val="Glossary"/>
      <sheetName val="DWHQueries"/>
      <sheetName val="baseyearly"/>
      <sheetName val="basemonthly"/>
      <sheetName val="basequarterly"/>
      <sheetName val="resmonthly"/>
      <sheetName val="Regions"/>
      <sheetName val="AppliedExchangeRates"/>
      <sheetName val="chosenreg"/>
      <sheetName val="chosenscen"/>
    </sheetNames>
    <sheetDataSet>
      <sheetData sheetId="0" refreshError="1"/>
      <sheetData sheetId="1">
        <row r="41">
          <cell r="D41">
            <v>2021</v>
          </cell>
        </row>
        <row r="42">
          <cell r="D42">
            <v>2050</v>
          </cell>
        </row>
        <row r="46">
          <cell r="D46">
            <v>2</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isclaimer"/>
      <sheetName val="Intro"/>
      <sheetName val="Guide"/>
      <sheetName val="Common assumptions"/>
      <sheetName val="Central-Spain"/>
      <sheetName val="Central-Portugal"/>
      <sheetName val="Inputs"/>
      <sheetName val="Costs assumptions"/>
      <sheetName val="Undegraded batteries"/>
      <sheetName val="Degraded batteries"/>
      <sheetName val="NPV calculation"/>
      <sheetName val="Summary table"/>
      <sheetName val="yearly"/>
      <sheetName val="meta_data"/>
      <sheetName val="fact_options"/>
      <sheetName val="processing"/>
      <sheetName val="Control"/>
      <sheetName val="_revenues_scenario_list"/>
      <sheetName val="_undeg_revenues_scenario_list"/>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sheetData sheetId="13"/>
      <sheetData sheetId="14" refreshError="1"/>
      <sheetData sheetId="15" refreshError="1"/>
      <sheetData sheetId="16" refreshError="1"/>
      <sheetData sheetId="17" refreshError="1"/>
      <sheetData sheetId="18"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1.xml"/><Relationship Id="rId1" Type="http://schemas.openxmlformats.org/officeDocument/2006/relationships/printerSettings" Target="../printerSettings/printerSettings8.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A40556-99D8-4107-ACF8-21411A310B6D}">
  <sheetPr codeName="Sheet44"/>
  <dimension ref="A1:I21"/>
  <sheetViews>
    <sheetView zoomScale="85" zoomScaleNormal="85" workbookViewId="0">
      <selection activeCell="F18" sqref="F18"/>
    </sheetView>
  </sheetViews>
  <sheetFormatPr defaultColWidth="0" defaultRowHeight="0" customHeight="1" zeroHeight="1" x14ac:dyDescent="0.35"/>
  <cols>
    <col min="1" max="1" width="3" style="300" customWidth="1"/>
    <col min="2" max="4" width="3" style="299" customWidth="1"/>
    <col min="5" max="7" width="46.26953125" style="299" customWidth="1"/>
    <col min="8" max="8" width="3" style="299" customWidth="1"/>
    <col min="9" max="9" width="3.1796875" style="300" customWidth="1"/>
    <col min="10" max="16384" width="6" style="299" hidden="1"/>
  </cols>
  <sheetData>
    <row r="1" spans="2:8" s="45" customFormat="1" ht="18.5" thickBot="1" x14ac:dyDescent="0.6"/>
    <row r="2" spans="2:8" s="45" customFormat="1" ht="18" x14ac:dyDescent="0.55000000000000004">
      <c r="B2" s="301"/>
      <c r="C2" s="302"/>
      <c r="D2" s="302"/>
      <c r="E2" s="302"/>
      <c r="F2" s="302"/>
      <c r="G2" s="302"/>
      <c r="H2" s="303"/>
    </row>
    <row r="3" spans="2:8" s="45" customFormat="1" ht="18" x14ac:dyDescent="0.55000000000000004">
      <c r="B3" s="304"/>
      <c r="C3" s="305"/>
      <c r="D3" s="306"/>
      <c r="E3" s="306"/>
      <c r="F3" s="306"/>
      <c r="G3" s="306"/>
      <c r="H3" s="307"/>
    </row>
    <row r="4" spans="2:8" s="45" customFormat="1" ht="18" x14ac:dyDescent="0.55000000000000004">
      <c r="B4" s="304"/>
      <c r="C4" s="305"/>
      <c r="D4" s="306"/>
      <c r="E4" s="306"/>
      <c r="F4" s="306"/>
      <c r="G4" s="306"/>
      <c r="H4" s="307"/>
    </row>
    <row r="5" spans="2:8" s="45" customFormat="1" ht="16.899999999999999" customHeight="1" x14ac:dyDescent="0.55000000000000004">
      <c r="B5" s="304"/>
      <c r="C5" s="2"/>
      <c r="D5" s="46"/>
      <c r="E5" s="336" t="s">
        <v>0</v>
      </c>
      <c r="F5" s="336"/>
      <c r="G5" s="336"/>
      <c r="H5" s="307"/>
    </row>
    <row r="6" spans="2:8" s="45" customFormat="1" ht="138.75" customHeight="1" x14ac:dyDescent="0.55000000000000004">
      <c r="B6" s="304"/>
      <c r="C6" s="34"/>
      <c r="D6" s="46"/>
      <c r="E6" s="337" t="s">
        <v>452</v>
      </c>
      <c r="F6" s="337"/>
      <c r="G6" s="337"/>
      <c r="H6" s="307"/>
    </row>
    <row r="7" spans="2:8" s="45" customFormat="1" ht="18" customHeight="1" x14ac:dyDescent="0.55000000000000004">
      <c r="B7" s="304"/>
      <c r="C7" s="308"/>
      <c r="D7" s="46"/>
      <c r="E7" s="338" t="s">
        <v>1</v>
      </c>
      <c r="F7" s="338"/>
      <c r="G7" s="338"/>
      <c r="H7" s="307"/>
    </row>
    <row r="8" spans="2:8" s="45" customFormat="1" ht="25.5" customHeight="1" x14ac:dyDescent="0.55000000000000004">
      <c r="B8" s="304"/>
      <c r="C8" s="308"/>
      <c r="D8" s="47"/>
      <c r="E8" s="337" t="s">
        <v>309</v>
      </c>
      <c r="F8" s="337"/>
      <c r="G8" s="337"/>
      <c r="H8" s="307"/>
    </row>
    <row r="9" spans="2:8" s="45" customFormat="1" ht="16.899999999999999" customHeight="1" x14ac:dyDescent="0.55000000000000004">
      <c r="B9" s="304"/>
      <c r="C9" s="308"/>
      <c r="D9" s="47"/>
      <c r="E9" s="337"/>
      <c r="F9" s="337"/>
      <c r="G9" s="337"/>
      <c r="H9" s="307"/>
    </row>
    <row r="10" spans="2:8" s="45" customFormat="1" ht="28.5" customHeight="1" x14ac:dyDescent="0.55000000000000004">
      <c r="B10" s="304"/>
      <c r="C10" s="308"/>
      <c r="D10" s="47"/>
      <c r="E10" s="337"/>
      <c r="F10" s="337"/>
      <c r="G10" s="337"/>
      <c r="H10" s="307"/>
    </row>
    <row r="11" spans="2:8" s="45" customFormat="1" ht="18" x14ac:dyDescent="0.55000000000000004">
      <c r="B11" s="304"/>
      <c r="C11" s="308"/>
      <c r="D11" s="47"/>
      <c r="E11" s="337"/>
      <c r="F11" s="337"/>
      <c r="G11" s="337"/>
      <c r="H11" s="307"/>
    </row>
    <row r="12" spans="2:8" s="45" customFormat="1" ht="18" x14ac:dyDescent="0.55000000000000004">
      <c r="B12" s="304"/>
      <c r="C12" s="308"/>
      <c r="D12" s="47"/>
      <c r="E12" s="337"/>
      <c r="F12" s="337"/>
      <c r="G12" s="337"/>
      <c r="H12" s="307"/>
    </row>
    <row r="13" spans="2:8" s="45" customFormat="1" ht="18" x14ac:dyDescent="0.55000000000000004">
      <c r="B13" s="304"/>
      <c r="C13" s="308"/>
      <c r="D13" s="46"/>
      <c r="E13" s="337"/>
      <c r="F13" s="337"/>
      <c r="G13" s="337"/>
      <c r="H13" s="307"/>
    </row>
    <row r="14" spans="2:8" s="45" customFormat="1" ht="86.25" customHeight="1" x14ac:dyDescent="0.55000000000000004">
      <c r="B14" s="304"/>
      <c r="C14" s="308"/>
      <c r="D14" s="46"/>
      <c r="E14" s="337"/>
      <c r="F14" s="337"/>
      <c r="G14" s="337"/>
      <c r="H14" s="307"/>
    </row>
    <row r="15" spans="2:8" s="45" customFormat="1" ht="33.65" customHeight="1" x14ac:dyDescent="0.55000000000000004">
      <c r="B15" s="309"/>
      <c r="C15" s="310"/>
      <c r="D15" s="46"/>
      <c r="E15" s="337"/>
      <c r="F15" s="337"/>
      <c r="G15" s="337"/>
      <c r="H15" s="307"/>
    </row>
    <row r="16" spans="2:8" s="45" customFormat="1" ht="19.5" customHeight="1" x14ac:dyDescent="0.55000000000000004">
      <c r="B16" s="309"/>
      <c r="C16" s="310"/>
      <c r="D16" s="48"/>
      <c r="E16" s="68" t="s">
        <v>2</v>
      </c>
      <c r="F16" s="293"/>
      <c r="G16" s="293"/>
      <c r="H16" s="307"/>
    </row>
    <row r="17" spans="1:9" s="45" customFormat="1" ht="18" x14ac:dyDescent="0.55000000000000004">
      <c r="B17" s="304"/>
      <c r="C17" s="308"/>
      <c r="D17" s="46"/>
      <c r="E17" s="4"/>
      <c r="F17" s="4"/>
      <c r="G17" s="4"/>
      <c r="H17" s="311"/>
    </row>
    <row r="18" spans="1:9" s="45" customFormat="1" ht="34.5" customHeight="1" x14ac:dyDescent="0.65">
      <c r="B18" s="304"/>
      <c r="C18" s="308"/>
      <c r="D18" s="308"/>
      <c r="E18" s="49"/>
      <c r="F18" s="315" t="s">
        <v>480</v>
      </c>
      <c r="G18" s="50"/>
      <c r="H18" s="311"/>
    </row>
    <row r="19" spans="1:9" s="45" customFormat="1" ht="18.5" thickBot="1" x14ac:dyDescent="0.6">
      <c r="B19" s="312"/>
      <c r="C19" s="313"/>
      <c r="D19" s="313"/>
      <c r="E19" s="313"/>
      <c r="F19" s="313"/>
      <c r="G19" s="313"/>
      <c r="H19" s="314"/>
    </row>
    <row r="20" spans="1:9" ht="13.5" customHeight="1" x14ac:dyDescent="0.55000000000000004">
      <c r="A20" s="45"/>
      <c r="B20" s="45"/>
      <c r="C20" s="45"/>
      <c r="D20" s="45"/>
      <c r="E20" s="45"/>
      <c r="F20" s="45"/>
      <c r="G20" s="45"/>
      <c r="H20" s="45"/>
      <c r="I20" s="45"/>
    </row>
    <row r="21" spans="1:9" ht="0.75" customHeight="1" x14ac:dyDescent="0.35"/>
  </sheetData>
  <mergeCells count="4">
    <mergeCell ref="E5:G5"/>
    <mergeCell ref="E6:G6"/>
    <mergeCell ref="E7:G7"/>
    <mergeCell ref="E8:G15"/>
  </mergeCells>
  <dataValidations count="1">
    <dataValidation type="list" allowBlank="1" showInputMessage="1" showErrorMessage="1" sqref="F18" xr:uid="{FD64D78D-1DEA-43F1-A1AB-9234032BB623}">
      <formula1>"Please Select,I ACCEPT, DECLINED"</formula1>
    </dataValidation>
  </dataValidation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37A1EF-28D2-4134-A635-3DAB2218B81C}">
  <sheetPr codeName="Sheet1"/>
  <dimension ref="A1:I54"/>
  <sheetViews>
    <sheetView zoomScale="85" zoomScaleNormal="85" workbookViewId="0"/>
  </sheetViews>
  <sheetFormatPr defaultColWidth="0" defaultRowHeight="0" customHeight="1" zeroHeight="1" x14ac:dyDescent="0.3"/>
  <cols>
    <col min="1" max="2" width="2.54296875" style="70" customWidth="1"/>
    <col min="3" max="3" width="4" style="70" customWidth="1"/>
    <col min="4" max="4" width="25.26953125" style="70" customWidth="1"/>
    <col min="5" max="5" width="23.453125" style="70" customWidth="1"/>
    <col min="6" max="6" width="33.7265625" style="70" customWidth="1"/>
    <col min="7" max="7" width="33.453125" style="70" customWidth="1"/>
    <col min="8" max="9" width="2.54296875" style="70" customWidth="1"/>
    <col min="10" max="16384" width="8.54296875" style="70" hidden="1"/>
  </cols>
  <sheetData>
    <row r="1" spans="1:9" ht="14.5" thickBot="1" x14ac:dyDescent="0.35">
      <c r="A1" s="69"/>
      <c r="B1" s="69"/>
      <c r="C1" s="69"/>
      <c r="D1" s="69"/>
      <c r="E1" s="69"/>
      <c r="F1" s="69"/>
      <c r="G1" s="69"/>
      <c r="H1" s="69"/>
      <c r="I1" s="69"/>
    </row>
    <row r="2" spans="1:9" ht="14" x14ac:dyDescent="0.3">
      <c r="A2" s="69"/>
      <c r="B2" s="71"/>
      <c r="C2" s="72"/>
      <c r="D2" s="72"/>
      <c r="E2" s="72"/>
      <c r="F2" s="72"/>
      <c r="G2" s="72"/>
      <c r="H2" s="73"/>
      <c r="I2" s="69"/>
    </row>
    <row r="3" spans="1:9" ht="20" x14ac:dyDescent="0.4">
      <c r="A3" s="69"/>
      <c r="B3" s="74"/>
      <c r="C3" s="75"/>
      <c r="D3" s="76"/>
      <c r="E3" s="76"/>
      <c r="F3" s="77"/>
      <c r="G3" s="77"/>
      <c r="H3" s="78"/>
      <c r="I3" s="69"/>
    </row>
    <row r="4" spans="1:9" ht="14" x14ac:dyDescent="0.3">
      <c r="A4" s="69"/>
      <c r="B4" s="74"/>
      <c r="C4" s="79"/>
      <c r="D4" s="77"/>
      <c r="E4" s="77"/>
      <c r="F4" s="77"/>
      <c r="G4" s="77"/>
      <c r="H4" s="78"/>
      <c r="I4" s="69"/>
    </row>
    <row r="5" spans="1:9" ht="14" x14ac:dyDescent="0.3">
      <c r="A5" s="69"/>
      <c r="B5" s="291"/>
      <c r="C5" s="319" t="s">
        <v>457</v>
      </c>
      <c r="D5" s="80"/>
      <c r="E5" s="80"/>
      <c r="F5" s="80"/>
      <c r="G5" s="80"/>
      <c r="H5" s="78"/>
      <c r="I5" s="69"/>
    </row>
    <row r="6" spans="1:9" ht="29.15" customHeight="1" x14ac:dyDescent="0.3">
      <c r="A6" s="69"/>
      <c r="B6" s="74"/>
      <c r="C6" s="81"/>
      <c r="D6" s="341" t="s">
        <v>458</v>
      </c>
      <c r="E6" s="341"/>
      <c r="F6" s="341"/>
      <c r="G6" s="341"/>
      <c r="H6" s="78"/>
      <c r="I6" s="69"/>
    </row>
    <row r="7" spans="1:9" ht="14" x14ac:dyDescent="0.3">
      <c r="A7" s="69"/>
      <c r="B7" s="74"/>
      <c r="C7" s="82"/>
      <c r="D7" s="83"/>
      <c r="E7" s="83"/>
      <c r="F7" s="83"/>
      <c r="G7" s="83"/>
      <c r="H7" s="78"/>
      <c r="I7" s="69"/>
    </row>
    <row r="8" spans="1:9" ht="14" x14ac:dyDescent="0.3">
      <c r="A8" s="69"/>
      <c r="B8" s="74"/>
      <c r="C8" s="82" t="s">
        <v>3</v>
      </c>
      <c r="D8" s="67"/>
      <c r="E8" s="67"/>
      <c r="F8" s="67"/>
      <c r="G8" s="67"/>
      <c r="H8" s="78"/>
      <c r="I8" s="69"/>
    </row>
    <row r="9" spans="1:9" ht="15.5" x14ac:dyDescent="0.3">
      <c r="A9" s="69"/>
      <c r="B9" s="74"/>
      <c r="C9" s="82"/>
      <c r="D9" s="84" t="s">
        <v>4</v>
      </c>
      <c r="E9" s="342">
        <v>1</v>
      </c>
      <c r="F9" s="342"/>
      <c r="G9" s="342"/>
      <c r="H9" s="78"/>
      <c r="I9" s="69"/>
    </row>
    <row r="10" spans="1:9" ht="15.5" x14ac:dyDescent="0.3">
      <c r="A10" s="69"/>
      <c r="B10" s="74"/>
      <c r="C10" s="82"/>
      <c r="D10" s="84" t="s">
        <v>5</v>
      </c>
      <c r="E10" s="343">
        <v>46148</v>
      </c>
      <c r="F10" s="343"/>
      <c r="G10" s="343"/>
      <c r="H10" s="78"/>
      <c r="I10" s="69"/>
    </row>
    <row r="11" spans="1:9" ht="15" customHeight="1" x14ac:dyDescent="0.3">
      <c r="A11" s="69"/>
      <c r="B11" s="74"/>
      <c r="C11" s="82"/>
      <c r="D11" s="84" t="s">
        <v>6</v>
      </c>
      <c r="E11" s="337" t="s">
        <v>478</v>
      </c>
      <c r="F11" s="337"/>
      <c r="G11" s="337"/>
      <c r="H11" s="78"/>
      <c r="I11" s="69"/>
    </row>
    <row r="12" spans="1:9" ht="15" customHeight="1" x14ac:dyDescent="0.3">
      <c r="A12" s="69"/>
      <c r="B12" s="74"/>
      <c r="C12" s="82"/>
      <c r="D12" s="84" t="s">
        <v>7</v>
      </c>
      <c r="E12" s="344" t="s">
        <v>321</v>
      </c>
      <c r="F12" s="344"/>
      <c r="G12" s="344"/>
      <c r="H12" s="78"/>
      <c r="I12" s="69"/>
    </row>
    <row r="13" spans="1:9" ht="15.5" x14ac:dyDescent="0.3">
      <c r="A13" s="69"/>
      <c r="B13" s="74"/>
      <c r="C13" s="82"/>
      <c r="D13" s="84" t="s">
        <v>8</v>
      </c>
      <c r="E13" s="340" t="s">
        <v>9</v>
      </c>
      <c r="F13" s="340"/>
      <c r="G13" s="340"/>
      <c r="H13" s="78"/>
      <c r="I13" s="69"/>
    </row>
    <row r="14" spans="1:9" ht="14" x14ac:dyDescent="0.3">
      <c r="A14" s="69"/>
      <c r="B14" s="74"/>
      <c r="C14" s="82"/>
      <c r="D14" s="84" t="s">
        <v>10</v>
      </c>
      <c r="E14" s="337" t="s">
        <v>11</v>
      </c>
      <c r="F14" s="337"/>
      <c r="G14" s="337"/>
      <c r="H14" s="78"/>
      <c r="I14" s="69"/>
    </row>
    <row r="15" spans="1:9" ht="14" x14ac:dyDescent="0.3">
      <c r="A15" s="69"/>
      <c r="B15" s="74"/>
      <c r="C15" s="82"/>
      <c r="D15" s="84" t="s">
        <v>12</v>
      </c>
      <c r="E15" s="341">
        <v>2025</v>
      </c>
      <c r="F15" s="341"/>
      <c r="G15" s="341"/>
      <c r="H15" s="78"/>
      <c r="I15" s="69"/>
    </row>
    <row r="16" spans="1:9" ht="14" x14ac:dyDescent="0.3">
      <c r="A16" s="69"/>
      <c r="B16" s="74"/>
      <c r="C16" s="79"/>
      <c r="D16" s="79"/>
      <c r="E16" s="79"/>
      <c r="F16" s="79"/>
      <c r="G16" s="79"/>
      <c r="H16" s="78"/>
      <c r="I16" s="69"/>
    </row>
    <row r="17" spans="1:9" ht="14" x14ac:dyDescent="0.3">
      <c r="A17" s="69"/>
      <c r="B17" s="74"/>
      <c r="C17" s="81" t="s">
        <v>13</v>
      </c>
      <c r="D17" s="80"/>
      <c r="E17" s="80"/>
      <c r="F17" s="80"/>
      <c r="G17" s="80"/>
      <c r="H17" s="78"/>
      <c r="I17" s="69"/>
    </row>
    <row r="18" spans="1:9" ht="14" x14ac:dyDescent="0.3">
      <c r="A18" s="69"/>
      <c r="B18" s="74"/>
      <c r="C18" s="80"/>
      <c r="D18" s="85" t="s">
        <v>14</v>
      </c>
      <c r="E18" s="86" t="s">
        <v>15</v>
      </c>
      <c r="F18" s="87"/>
      <c r="G18" s="88"/>
      <c r="H18" s="78"/>
      <c r="I18" s="69"/>
    </row>
    <row r="19" spans="1:9" ht="14.65" customHeight="1" x14ac:dyDescent="0.3">
      <c r="A19" s="69"/>
      <c r="B19" s="74"/>
      <c r="C19" s="80"/>
      <c r="D19" s="89" t="s">
        <v>16</v>
      </c>
      <c r="E19" s="339" t="s">
        <v>17</v>
      </c>
      <c r="F19" s="339"/>
      <c r="G19" s="339"/>
      <c r="H19" s="78"/>
      <c r="I19" s="69"/>
    </row>
    <row r="20" spans="1:9" ht="14" x14ac:dyDescent="0.3">
      <c r="A20" s="69"/>
      <c r="B20" s="74"/>
      <c r="C20" s="80"/>
      <c r="D20" s="91"/>
      <c r="E20" s="92"/>
      <c r="F20" s="92"/>
      <c r="G20" s="92"/>
      <c r="H20" s="78"/>
      <c r="I20" s="69"/>
    </row>
    <row r="21" spans="1:9" ht="14.65" customHeight="1" x14ac:dyDescent="0.3">
      <c r="A21" s="69"/>
      <c r="B21" s="74"/>
      <c r="C21" s="80"/>
      <c r="D21" s="89" t="s">
        <v>18</v>
      </c>
      <c r="E21" s="339" t="s">
        <v>19</v>
      </c>
      <c r="F21" s="339"/>
      <c r="G21" s="339"/>
      <c r="H21" s="78"/>
      <c r="I21" s="69"/>
    </row>
    <row r="22" spans="1:9" ht="14.9" customHeight="1" x14ac:dyDescent="0.3">
      <c r="A22" s="69"/>
      <c r="B22" s="74"/>
      <c r="C22" s="80"/>
      <c r="D22" s="93"/>
      <c r="E22" s="67"/>
      <c r="F22" s="67"/>
      <c r="G22" s="94"/>
      <c r="H22" s="78"/>
      <c r="I22" s="69"/>
    </row>
    <row r="23" spans="1:9" ht="14.9" customHeight="1" x14ac:dyDescent="0.3">
      <c r="A23" s="69"/>
      <c r="B23" s="74"/>
      <c r="C23" s="80"/>
      <c r="D23" s="89" t="s">
        <v>20</v>
      </c>
      <c r="E23" s="339" t="s">
        <v>21</v>
      </c>
      <c r="F23" s="339"/>
      <c r="G23" s="339"/>
      <c r="H23" s="78"/>
      <c r="I23" s="69"/>
    </row>
    <row r="24" spans="1:9" ht="14" x14ac:dyDescent="0.3">
      <c r="A24" s="69"/>
      <c r="B24" s="74"/>
      <c r="C24" s="80"/>
      <c r="D24" s="95"/>
      <c r="E24" s="92"/>
      <c r="F24" s="92"/>
      <c r="G24" s="90"/>
      <c r="H24" s="78"/>
      <c r="I24" s="69"/>
    </row>
    <row r="25" spans="1:9" ht="82.5" customHeight="1" x14ac:dyDescent="0.3">
      <c r="A25" s="69"/>
      <c r="B25" s="74"/>
      <c r="C25" s="80"/>
      <c r="D25" s="89" t="s">
        <v>77</v>
      </c>
      <c r="E25" s="339" t="s">
        <v>313</v>
      </c>
      <c r="F25" s="339"/>
      <c r="G25" s="339"/>
      <c r="H25" s="78"/>
      <c r="I25" s="69"/>
    </row>
    <row r="26" spans="1:9" ht="14" x14ac:dyDescent="0.3">
      <c r="A26" s="69"/>
      <c r="B26" s="74"/>
      <c r="C26" s="80"/>
      <c r="D26" s="95"/>
      <c r="E26" s="92"/>
      <c r="F26" s="92"/>
      <c r="G26" s="90"/>
      <c r="H26" s="78"/>
      <c r="I26" s="69"/>
    </row>
    <row r="27" spans="1:9" ht="14.65" customHeight="1" x14ac:dyDescent="0.3">
      <c r="A27" s="69"/>
      <c r="B27" s="74"/>
      <c r="C27" s="80"/>
      <c r="D27" s="89" t="s">
        <v>22</v>
      </c>
      <c r="E27" s="339" t="s">
        <v>23</v>
      </c>
      <c r="F27" s="339"/>
      <c r="G27" s="339"/>
      <c r="H27" s="78"/>
      <c r="I27" s="69"/>
    </row>
    <row r="28" spans="1:9" ht="14" x14ac:dyDescent="0.3">
      <c r="A28" s="69"/>
      <c r="B28" s="74"/>
      <c r="C28" s="80"/>
      <c r="D28" s="95"/>
      <c r="E28" s="96"/>
      <c r="F28" s="96"/>
      <c r="G28" s="90"/>
      <c r="H28" s="78"/>
      <c r="I28" s="69"/>
    </row>
    <row r="29" spans="1:9" ht="14.65" customHeight="1" x14ac:dyDescent="0.3">
      <c r="A29" s="69"/>
      <c r="B29" s="74"/>
      <c r="C29" s="80"/>
      <c r="D29" s="89" t="s">
        <v>24</v>
      </c>
      <c r="E29" s="339" t="s">
        <v>25</v>
      </c>
      <c r="F29" s="339"/>
      <c r="G29" s="339"/>
      <c r="H29" s="78"/>
      <c r="I29" s="69"/>
    </row>
    <row r="30" spans="1:9" ht="14" x14ac:dyDescent="0.3">
      <c r="A30" s="69"/>
      <c r="B30" s="74"/>
      <c r="C30" s="80"/>
      <c r="D30" s="97"/>
      <c r="E30" s="339"/>
      <c r="F30" s="339"/>
      <c r="G30" s="339"/>
      <c r="H30" s="78"/>
      <c r="I30" s="69"/>
    </row>
    <row r="31" spans="1:9" ht="14" x14ac:dyDescent="0.3">
      <c r="A31" s="69"/>
      <c r="B31" s="74"/>
      <c r="C31" s="80"/>
      <c r="D31" s="89" t="s">
        <v>26</v>
      </c>
      <c r="E31" s="339" t="s">
        <v>27</v>
      </c>
      <c r="F31" s="339"/>
      <c r="G31" s="339"/>
      <c r="H31" s="78"/>
      <c r="I31" s="69"/>
    </row>
    <row r="32" spans="1:9" ht="14" x14ac:dyDescent="0.3">
      <c r="A32" s="69"/>
      <c r="B32" s="74"/>
      <c r="C32" s="80"/>
      <c r="D32" s="97"/>
      <c r="E32" s="339"/>
      <c r="F32" s="339"/>
      <c r="G32" s="339"/>
      <c r="H32" s="78"/>
      <c r="I32" s="69"/>
    </row>
    <row r="33" spans="1:9" ht="14.65" customHeight="1" x14ac:dyDescent="0.3">
      <c r="A33" s="69"/>
      <c r="B33" s="74"/>
      <c r="C33" s="80"/>
      <c r="D33" s="89" t="s">
        <v>28</v>
      </c>
      <c r="E33" s="339" t="s">
        <v>27</v>
      </c>
      <c r="F33" s="339"/>
      <c r="G33" s="339"/>
      <c r="H33" s="78"/>
      <c r="I33" s="69"/>
    </row>
    <row r="34" spans="1:9" ht="14" x14ac:dyDescent="0.3">
      <c r="A34" s="69"/>
      <c r="B34" s="74"/>
      <c r="C34" s="80"/>
      <c r="D34" s="95"/>
      <c r="E34" s="96"/>
      <c r="F34" s="96"/>
      <c r="G34" s="90"/>
      <c r="H34" s="78"/>
      <c r="I34" s="69"/>
    </row>
    <row r="35" spans="1:9" ht="14" x14ac:dyDescent="0.3">
      <c r="A35" s="69"/>
      <c r="B35" s="74"/>
      <c r="C35" s="80"/>
      <c r="D35" s="89" t="s">
        <v>29</v>
      </c>
      <c r="E35" s="339" t="s">
        <v>30</v>
      </c>
      <c r="F35" s="339"/>
      <c r="G35" s="339"/>
      <c r="H35" s="78"/>
      <c r="I35" s="69"/>
    </row>
    <row r="36" spans="1:9" ht="14" x14ac:dyDescent="0.3">
      <c r="A36" s="69"/>
      <c r="B36" s="74"/>
      <c r="C36" s="80"/>
      <c r="D36" s="97"/>
      <c r="E36" s="90"/>
      <c r="F36" s="90"/>
      <c r="G36" s="90"/>
      <c r="H36" s="78"/>
      <c r="I36" s="69"/>
    </row>
    <row r="37" spans="1:9" ht="14.9" customHeight="1" x14ac:dyDescent="0.3">
      <c r="A37" s="69"/>
      <c r="B37" s="74"/>
      <c r="C37" s="80"/>
      <c r="D37" s="89" t="s">
        <v>31</v>
      </c>
      <c r="E37" s="339" t="s">
        <v>32</v>
      </c>
      <c r="F37" s="339"/>
      <c r="G37" s="339"/>
      <c r="H37" s="78"/>
      <c r="I37" s="69"/>
    </row>
    <row r="38" spans="1:9" ht="14.9" customHeight="1" x14ac:dyDescent="0.3">
      <c r="A38" s="69"/>
      <c r="B38" s="74"/>
      <c r="C38" s="80"/>
      <c r="D38" s="98"/>
      <c r="E38" s="99"/>
      <c r="F38" s="99"/>
      <c r="G38" s="99"/>
      <c r="H38" s="78"/>
      <c r="I38" s="69"/>
    </row>
    <row r="39" spans="1:9" ht="14.9" customHeight="1" x14ac:dyDescent="0.3">
      <c r="A39" s="69"/>
      <c r="B39" s="74"/>
      <c r="C39" s="80"/>
      <c r="D39" s="100"/>
      <c r="E39" s="67"/>
      <c r="F39" s="67"/>
      <c r="G39" s="67"/>
      <c r="H39" s="78"/>
      <c r="I39" s="69"/>
    </row>
    <row r="40" spans="1:9" ht="14.9" customHeight="1" x14ac:dyDescent="0.3">
      <c r="A40" s="69"/>
      <c r="B40" s="74"/>
      <c r="C40" s="101" t="s">
        <v>33</v>
      </c>
      <c r="D40" s="102"/>
      <c r="E40" s="102"/>
      <c r="F40" s="102"/>
      <c r="G40" s="102"/>
      <c r="H40" s="103"/>
      <c r="I40" s="69"/>
    </row>
    <row r="41" spans="1:9" ht="14.9" customHeight="1" x14ac:dyDescent="0.3">
      <c r="A41" s="69"/>
      <c r="B41" s="74"/>
      <c r="C41" s="102"/>
      <c r="D41" s="104" t="s">
        <v>4</v>
      </c>
      <c r="E41" s="346" t="s">
        <v>15</v>
      </c>
      <c r="F41" s="347"/>
      <c r="G41" s="104" t="s">
        <v>34</v>
      </c>
      <c r="H41" s="103"/>
      <c r="I41" s="69"/>
    </row>
    <row r="42" spans="1:9" ht="14.9" customHeight="1" x14ac:dyDescent="0.3">
      <c r="A42" s="69"/>
      <c r="B42" s="74"/>
      <c r="C42" s="102"/>
      <c r="D42" s="325">
        <v>1</v>
      </c>
      <c r="E42" s="348" t="s">
        <v>35</v>
      </c>
      <c r="F42" s="349"/>
      <c r="G42" s="324">
        <v>46148</v>
      </c>
      <c r="H42" s="103"/>
      <c r="I42" s="69"/>
    </row>
    <row r="43" spans="1:9" ht="82.5" customHeight="1" x14ac:dyDescent="0.3">
      <c r="A43" s="69"/>
      <c r="B43" s="74"/>
      <c r="C43" s="345" t="s">
        <v>310</v>
      </c>
      <c r="D43" s="345"/>
      <c r="E43" s="345"/>
      <c r="F43" s="345"/>
      <c r="G43" s="345"/>
      <c r="H43" s="78"/>
      <c r="I43" s="69"/>
    </row>
    <row r="44" spans="1:9" ht="116.25" customHeight="1" x14ac:dyDescent="0.3">
      <c r="A44" s="69"/>
      <c r="B44" s="74"/>
      <c r="C44" s="345" t="s">
        <v>311</v>
      </c>
      <c r="D44" s="345"/>
      <c r="E44" s="345"/>
      <c r="F44" s="345"/>
      <c r="G44" s="345"/>
      <c r="H44" s="78"/>
      <c r="I44" s="69"/>
    </row>
    <row r="45" spans="1:9" ht="59.65" customHeight="1" x14ac:dyDescent="0.3">
      <c r="A45" s="69"/>
      <c r="B45" s="74"/>
      <c r="C45" s="345" t="s">
        <v>312</v>
      </c>
      <c r="D45" s="345"/>
      <c r="E45" s="345"/>
      <c r="F45" s="345"/>
      <c r="G45" s="345"/>
      <c r="H45" s="78"/>
      <c r="I45" s="69"/>
    </row>
    <row r="46" spans="1:9" ht="14.5" thickBot="1" x14ac:dyDescent="0.35">
      <c r="A46" s="69"/>
      <c r="B46" s="105"/>
      <c r="C46" s="106"/>
      <c r="D46" s="106"/>
      <c r="E46" s="106"/>
      <c r="F46" s="106"/>
      <c r="G46" s="106"/>
      <c r="H46" s="107"/>
      <c r="I46" s="69"/>
    </row>
    <row r="47" spans="1:9" ht="14" x14ac:dyDescent="0.3">
      <c r="A47" s="69"/>
      <c r="B47" s="69"/>
      <c r="C47" s="69"/>
      <c r="D47" s="69"/>
      <c r="E47" s="69"/>
      <c r="F47" s="69"/>
      <c r="G47" s="69"/>
      <c r="H47" s="69"/>
      <c r="I47" s="69"/>
    </row>
    <row r="48" spans="1:9" ht="14" hidden="1" x14ac:dyDescent="0.3"/>
    <row r="49" ht="14" hidden="1" x14ac:dyDescent="0.3"/>
    <row r="50" ht="14" hidden="1" x14ac:dyDescent="0.3"/>
    <row r="51" ht="14" hidden="1" x14ac:dyDescent="0.3"/>
    <row r="52" ht="14" hidden="1" x14ac:dyDescent="0.3"/>
    <row r="53" ht="14" hidden="1" x14ac:dyDescent="0.3"/>
    <row r="54" ht="14" hidden="1" x14ac:dyDescent="0.3"/>
  </sheetData>
  <mergeCells count="25">
    <mergeCell ref="C45:G45"/>
    <mergeCell ref="C44:G44"/>
    <mergeCell ref="C43:G43"/>
    <mergeCell ref="E37:G37"/>
    <mergeCell ref="E41:F41"/>
    <mergeCell ref="E42:F42"/>
    <mergeCell ref="D6:G6"/>
    <mergeCell ref="E9:G9"/>
    <mergeCell ref="E10:G10"/>
    <mergeCell ref="E11:G11"/>
    <mergeCell ref="E12:G12"/>
    <mergeCell ref="E13:G13"/>
    <mergeCell ref="E14:G14"/>
    <mergeCell ref="E15:G15"/>
    <mergeCell ref="E19:G19"/>
    <mergeCell ref="E21:G21"/>
    <mergeCell ref="E29:G29"/>
    <mergeCell ref="E30:G30"/>
    <mergeCell ref="E23:G23"/>
    <mergeCell ref="E35:G35"/>
    <mergeCell ref="E33:G33"/>
    <mergeCell ref="E27:G27"/>
    <mergeCell ref="E31:G31"/>
    <mergeCell ref="E32:G32"/>
    <mergeCell ref="E25:G25"/>
  </mergeCells>
  <hyperlinks>
    <hyperlink ref="D23" location="'Common assumptions'!A1" display="Common assumptions" xr:uid="{EF06EBF8-536A-4C35-A70E-2356EE09A33C}"/>
    <hyperlink ref="D19" location="Intro!A1" display="Intro" xr:uid="{7018E8B7-A063-4AFD-B816-FEAE2D7BACD6}"/>
    <hyperlink ref="D37" location="'Summary table'!A1" display="Summary table" xr:uid="{31D461AC-3BBD-4623-8B08-D98A585F7167}"/>
    <hyperlink ref="D21" location="Guide!A1" display="Guide" xr:uid="{D17C966B-A187-41C7-B175-DF3CE6CD4190}"/>
    <hyperlink ref="D27" location="Inputs!A1" display="Inputs" xr:uid="{BE1550C1-8E0E-4F25-B69D-F9273FACCC59}"/>
    <hyperlink ref="D35" location="'NPV calculation'!A1" display="NPV calculation" xr:uid="{A433620A-A1F5-4AD1-9EAD-6F4DC934EFC0}"/>
    <hyperlink ref="D33" location="'Degraded batteries'!A1" display="Degraded batteries" xr:uid="{403BF679-BEDC-41EA-AB88-FCA7EE97FAC0}"/>
    <hyperlink ref="D29" location="'Costs assumptions'!A1" display="Costs assumptions" xr:uid="{3708CEFC-A9E9-4E06-BADF-BEBB86286A39}"/>
    <hyperlink ref="D31" location="'Undegraded batteries'!A1" display="Undegraded batteries" xr:uid="{F35E9DF7-D342-48D5-86CF-A430FF8981A1}"/>
    <hyperlink ref="D25" location="'Central prices'!A1" display="Central prices" xr:uid="{9018369C-6F16-48F2-B67E-463A30E2DCB2}"/>
  </hyperlinks>
  <pageMargins left="0.7" right="0.7" top="0.75" bottom="0.75" header="0.3" footer="0.3"/>
  <pageSetup paperSize="9" scale="83"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F533B8-6ECB-40B8-B701-223EBD7FAF69}">
  <sheetPr codeName="Sheet8"/>
  <dimension ref="A1:K81"/>
  <sheetViews>
    <sheetView zoomScale="85" zoomScaleNormal="85" workbookViewId="0"/>
  </sheetViews>
  <sheetFormatPr defaultColWidth="0" defaultRowHeight="15" customHeight="1" zeroHeight="1" x14ac:dyDescent="0.35"/>
  <cols>
    <col min="1" max="1" width="2.54296875" style="66" customWidth="1"/>
    <col min="2" max="2" width="2.54296875" customWidth="1"/>
    <col min="3" max="3" width="4" customWidth="1"/>
    <col min="4" max="4" width="42.453125" customWidth="1"/>
    <col min="5" max="5" width="105.453125" bestFit="1" customWidth="1"/>
    <col min="6" max="6" width="23.453125" customWidth="1"/>
    <col min="7" max="7" width="40.453125" customWidth="1"/>
    <col min="8" max="8" width="3.81640625" customWidth="1"/>
    <col min="9" max="9" width="2.54296875" style="66" customWidth="1"/>
    <col min="10" max="16384" width="8.54296875" hidden="1"/>
  </cols>
  <sheetData>
    <row r="1" spans="1:11" s="65" customFormat="1" ht="18.5" thickBot="1" x14ac:dyDescent="0.6">
      <c r="A1" s="53"/>
      <c r="B1" s="53"/>
      <c r="C1" s="53"/>
      <c r="D1" s="53"/>
      <c r="E1" s="53"/>
      <c r="F1" s="53"/>
      <c r="G1" s="53"/>
      <c r="H1" s="53"/>
      <c r="I1" s="53"/>
      <c r="K1" s="276" t="s">
        <v>55</v>
      </c>
    </row>
    <row r="2" spans="1:11" ht="18" x14ac:dyDescent="0.55000000000000004">
      <c r="A2" s="54"/>
      <c r="B2" s="55"/>
      <c r="C2" s="56"/>
      <c r="D2" s="56"/>
      <c r="E2" s="56"/>
      <c r="F2" s="56"/>
      <c r="G2" s="56"/>
      <c r="H2" s="57"/>
      <c r="I2" s="54"/>
    </row>
    <row r="3" spans="1:11" ht="21.5" x14ac:dyDescent="0.55000000000000004">
      <c r="A3" s="54"/>
      <c r="B3" s="58"/>
      <c r="C3" s="59"/>
      <c r="D3" s="60"/>
      <c r="E3" s="60"/>
      <c r="F3" s="1"/>
      <c r="G3" s="1"/>
      <c r="H3" s="3"/>
      <c r="I3" s="54"/>
    </row>
    <row r="4" spans="1:11" ht="18" x14ac:dyDescent="0.55000000000000004">
      <c r="A4" s="54"/>
      <c r="B4" s="58"/>
      <c r="C4" s="61"/>
      <c r="D4" s="1"/>
      <c r="E4" s="1"/>
      <c r="F4" s="1"/>
      <c r="G4" s="1"/>
      <c r="H4" s="3"/>
      <c r="I4" s="54"/>
    </row>
    <row r="5" spans="1:11" ht="18" x14ac:dyDescent="0.55000000000000004">
      <c r="A5" s="54"/>
      <c r="B5" s="58"/>
      <c r="C5" s="81" t="s">
        <v>18</v>
      </c>
      <c r="D5" s="108"/>
      <c r="E5" s="109"/>
      <c r="F5" s="99"/>
      <c r="G5" s="110"/>
      <c r="H5" s="111"/>
      <c r="I5" s="112"/>
    </row>
    <row r="6" spans="1:11" s="8" customFormat="1" ht="85.5" customHeight="1" x14ac:dyDescent="0.55000000000000004">
      <c r="A6" s="62"/>
      <c r="B6" s="63"/>
      <c r="C6" s="113"/>
      <c r="D6" s="339" t="s">
        <v>459</v>
      </c>
      <c r="E6" s="339"/>
      <c r="F6" s="339"/>
      <c r="G6" s="339"/>
      <c r="H6" s="114"/>
      <c r="I6" s="115"/>
    </row>
    <row r="7" spans="1:11" ht="18" x14ac:dyDescent="0.55000000000000004">
      <c r="A7" s="54"/>
      <c r="B7" s="58"/>
      <c r="C7" s="116"/>
      <c r="D7" s="117"/>
      <c r="E7" s="117"/>
      <c r="F7" s="117"/>
      <c r="G7" s="117"/>
      <c r="H7" s="111"/>
      <c r="I7" s="112"/>
    </row>
    <row r="8" spans="1:11" ht="18" x14ac:dyDescent="0.55000000000000004">
      <c r="A8" s="54"/>
      <c r="B8" s="58"/>
      <c r="C8" s="81" t="s">
        <v>36</v>
      </c>
      <c r="D8" s="80"/>
      <c r="E8" s="80"/>
      <c r="F8" s="80"/>
      <c r="G8" s="80"/>
      <c r="H8" s="111"/>
      <c r="I8" s="112"/>
    </row>
    <row r="9" spans="1:11" ht="18" x14ac:dyDescent="0.55000000000000004">
      <c r="A9" s="54"/>
      <c r="B9" s="58"/>
      <c r="C9" s="80"/>
      <c r="D9" s="86" t="s">
        <v>37</v>
      </c>
      <c r="E9" s="118" t="s">
        <v>15</v>
      </c>
      <c r="F9" s="119"/>
      <c r="G9" s="120"/>
      <c r="H9" s="111"/>
      <c r="I9" s="112"/>
    </row>
    <row r="10" spans="1:11" ht="18" x14ac:dyDescent="0.55000000000000004">
      <c r="A10" s="54"/>
      <c r="B10" s="58"/>
      <c r="C10" s="80"/>
      <c r="D10" s="277" t="s">
        <v>141</v>
      </c>
      <c r="E10" s="109" t="s">
        <v>362</v>
      </c>
      <c r="F10" s="109"/>
      <c r="G10" s="110"/>
      <c r="H10" s="111"/>
      <c r="I10" s="112"/>
    </row>
    <row r="11" spans="1:11" ht="18" x14ac:dyDescent="0.55000000000000004">
      <c r="A11" s="54"/>
      <c r="B11" s="58"/>
      <c r="C11" s="80"/>
      <c r="D11" s="278" t="s">
        <v>39</v>
      </c>
      <c r="E11" s="109" t="s">
        <v>40</v>
      </c>
      <c r="F11" s="109"/>
      <c r="G11" s="109"/>
      <c r="H11" s="111"/>
      <c r="I11" s="112"/>
    </row>
    <row r="12" spans="1:11" ht="18" x14ac:dyDescent="0.55000000000000004">
      <c r="A12" s="54"/>
      <c r="B12" s="58"/>
      <c r="C12" s="80"/>
      <c r="D12" s="279" t="s">
        <v>363</v>
      </c>
      <c r="E12" s="109" t="s">
        <v>364</v>
      </c>
      <c r="F12" s="109"/>
      <c r="G12" s="109"/>
      <c r="H12" s="111"/>
      <c r="I12" s="112"/>
    </row>
    <row r="13" spans="1:11" ht="18" x14ac:dyDescent="0.55000000000000004">
      <c r="A13" s="54"/>
      <c r="B13" s="58"/>
      <c r="C13" s="80"/>
      <c r="D13" s="279" t="s">
        <v>124</v>
      </c>
      <c r="E13" s="109" t="s">
        <v>365</v>
      </c>
      <c r="F13" s="99"/>
      <c r="G13" s="110"/>
      <c r="H13" s="111"/>
      <c r="I13" s="112"/>
    </row>
    <row r="14" spans="1:11" ht="14.9" customHeight="1" x14ac:dyDescent="0.55000000000000004">
      <c r="A14" s="54"/>
      <c r="B14" s="58"/>
      <c r="C14" s="80"/>
      <c r="D14" s="277" t="s">
        <v>41</v>
      </c>
      <c r="E14" s="109" t="s">
        <v>42</v>
      </c>
      <c r="F14" s="99"/>
      <c r="G14" s="110"/>
      <c r="H14" s="111"/>
      <c r="I14" s="112"/>
    </row>
    <row r="15" spans="1:11" ht="14.9" customHeight="1" x14ac:dyDescent="0.55000000000000004">
      <c r="A15" s="54"/>
      <c r="B15" s="58"/>
      <c r="C15" s="117"/>
      <c r="D15" s="278" t="s">
        <v>43</v>
      </c>
      <c r="E15" s="109" t="s">
        <v>44</v>
      </c>
      <c r="F15" s="99"/>
      <c r="G15" s="110"/>
      <c r="H15" s="111"/>
      <c r="I15" s="112"/>
    </row>
    <row r="16" spans="1:11" ht="14.9" customHeight="1" x14ac:dyDescent="0.55000000000000004">
      <c r="A16" s="54"/>
      <c r="B16" s="58"/>
      <c r="C16" s="117"/>
      <c r="D16" s="277" t="s">
        <v>146</v>
      </c>
      <c r="E16" s="109" t="s">
        <v>366</v>
      </c>
      <c r="F16" s="99"/>
      <c r="G16" s="110"/>
      <c r="H16" s="111"/>
      <c r="I16" s="112"/>
    </row>
    <row r="17" spans="1:9" ht="14.9" customHeight="1" x14ac:dyDescent="0.55000000000000004">
      <c r="A17" s="54"/>
      <c r="B17" s="58"/>
      <c r="C17" s="117"/>
      <c r="D17" s="278" t="s">
        <v>45</v>
      </c>
      <c r="E17" s="109" t="s">
        <v>46</v>
      </c>
      <c r="F17" s="99"/>
      <c r="G17" s="110"/>
      <c r="H17" s="111"/>
      <c r="I17" s="112"/>
    </row>
    <row r="18" spans="1:9" ht="14.9" customHeight="1" x14ac:dyDescent="0.55000000000000004">
      <c r="A18" s="54"/>
      <c r="B18" s="58"/>
      <c r="C18" s="117"/>
      <c r="D18" s="108" t="s">
        <v>243</v>
      </c>
      <c r="E18" s="109" t="s">
        <v>367</v>
      </c>
      <c r="F18" s="99"/>
      <c r="G18" s="110"/>
      <c r="H18" s="111"/>
      <c r="I18" s="112"/>
    </row>
    <row r="19" spans="1:9" ht="14.9" customHeight="1" x14ac:dyDescent="0.55000000000000004">
      <c r="A19" s="54"/>
      <c r="B19" s="58"/>
      <c r="C19" s="117"/>
      <c r="D19" s="278" t="s">
        <v>368</v>
      </c>
      <c r="E19" s="109" t="s">
        <v>369</v>
      </c>
      <c r="F19" s="99"/>
      <c r="G19" s="110"/>
      <c r="H19" s="111"/>
      <c r="I19" s="112"/>
    </row>
    <row r="20" spans="1:9" ht="14.9" customHeight="1" x14ac:dyDescent="0.55000000000000004">
      <c r="A20" s="54"/>
      <c r="B20" s="58"/>
      <c r="C20" s="117"/>
      <c r="D20" s="108" t="s">
        <v>370</v>
      </c>
      <c r="E20" s="109" t="s">
        <v>371</v>
      </c>
      <c r="F20" s="99"/>
      <c r="G20" s="110"/>
      <c r="H20" s="111"/>
      <c r="I20" s="112"/>
    </row>
    <row r="21" spans="1:9" ht="14.9" customHeight="1" x14ac:dyDescent="0.55000000000000004">
      <c r="A21" s="54"/>
      <c r="B21" s="58"/>
      <c r="C21" s="117"/>
      <c r="D21" s="278" t="s">
        <v>372</v>
      </c>
      <c r="E21" s="109" t="s">
        <v>373</v>
      </c>
      <c r="F21" s="99"/>
      <c r="G21" s="110"/>
      <c r="H21" s="111"/>
      <c r="I21" s="112"/>
    </row>
    <row r="22" spans="1:9" ht="14.9" customHeight="1" x14ac:dyDescent="0.55000000000000004">
      <c r="A22" s="54"/>
      <c r="B22" s="58"/>
      <c r="C22" s="117"/>
      <c r="D22" s="117"/>
      <c r="E22" s="117"/>
      <c r="F22" s="121"/>
      <c r="G22" s="122"/>
      <c r="H22" s="111"/>
      <c r="I22" s="112"/>
    </row>
    <row r="23" spans="1:9" ht="18" x14ac:dyDescent="0.55000000000000004">
      <c r="A23" s="54"/>
      <c r="B23" s="58"/>
      <c r="C23" s="81" t="s">
        <v>48</v>
      </c>
      <c r="D23" s="80"/>
      <c r="E23" s="80"/>
      <c r="F23" s="80"/>
      <c r="G23" s="80"/>
      <c r="H23" s="111"/>
      <c r="I23" s="112"/>
    </row>
    <row r="24" spans="1:9" ht="18" x14ac:dyDescent="0.55000000000000004">
      <c r="A24" s="54"/>
      <c r="B24" s="58"/>
      <c r="C24" s="80"/>
      <c r="D24" s="86" t="s">
        <v>374</v>
      </c>
      <c r="E24" s="118" t="s">
        <v>15</v>
      </c>
      <c r="F24" s="119"/>
      <c r="G24" s="120"/>
      <c r="H24" s="111"/>
      <c r="I24" s="112"/>
    </row>
    <row r="25" spans="1:9" ht="14.5" customHeight="1" x14ac:dyDescent="0.55000000000000004">
      <c r="A25" s="54"/>
      <c r="B25" s="58"/>
      <c r="C25" s="80"/>
      <c r="D25" s="108" t="s">
        <v>257</v>
      </c>
      <c r="E25" s="350" t="s">
        <v>375</v>
      </c>
      <c r="F25" s="350"/>
      <c r="G25" s="350"/>
      <c r="H25" s="111"/>
      <c r="I25" s="112"/>
    </row>
    <row r="26" spans="1:9" ht="18" x14ac:dyDescent="0.55000000000000004">
      <c r="A26" s="54"/>
      <c r="B26" s="58"/>
      <c r="C26" s="80"/>
      <c r="D26" s="108" t="s">
        <v>128</v>
      </c>
      <c r="E26" s="351" t="s">
        <v>376</v>
      </c>
      <c r="F26" s="351"/>
      <c r="G26" s="351"/>
      <c r="H26" s="111"/>
      <c r="I26" s="112"/>
    </row>
    <row r="27" spans="1:9" ht="18" x14ac:dyDescent="0.55000000000000004">
      <c r="A27" s="54"/>
      <c r="B27" s="58"/>
      <c r="C27" s="80"/>
      <c r="D27" s="108" t="s">
        <v>129</v>
      </c>
      <c r="E27" s="351" t="s">
        <v>377</v>
      </c>
      <c r="F27" s="351"/>
      <c r="G27" s="351"/>
      <c r="H27" s="111"/>
      <c r="I27" s="112"/>
    </row>
    <row r="28" spans="1:9" ht="14.5" customHeight="1" x14ac:dyDescent="0.55000000000000004">
      <c r="A28" s="54"/>
      <c r="B28" s="58"/>
      <c r="C28" s="80"/>
      <c r="D28" s="108" t="s">
        <v>131</v>
      </c>
      <c r="E28" s="350" t="s">
        <v>378</v>
      </c>
      <c r="F28" s="350"/>
      <c r="G28" s="350"/>
      <c r="H28" s="111"/>
      <c r="I28" s="112"/>
    </row>
    <row r="29" spans="1:9" ht="18" x14ac:dyDescent="0.55000000000000004">
      <c r="A29" s="54"/>
      <c r="B29" s="58"/>
      <c r="C29" s="80"/>
      <c r="D29" s="108" t="s">
        <v>132</v>
      </c>
      <c r="E29" s="351" t="s">
        <v>379</v>
      </c>
      <c r="F29" s="351"/>
      <c r="G29" s="351"/>
      <c r="H29" s="111"/>
      <c r="I29" s="112"/>
    </row>
    <row r="30" spans="1:9" ht="18" x14ac:dyDescent="0.55000000000000004">
      <c r="A30" s="54"/>
      <c r="B30" s="58"/>
      <c r="C30" s="80"/>
      <c r="D30" s="108" t="s">
        <v>150</v>
      </c>
      <c r="E30" s="351" t="s">
        <v>380</v>
      </c>
      <c r="F30" s="351"/>
      <c r="G30" s="351"/>
      <c r="H30" s="111"/>
      <c r="I30" s="112"/>
    </row>
    <row r="31" spans="1:9" ht="18" x14ac:dyDescent="0.55000000000000004">
      <c r="A31" s="54"/>
      <c r="B31" s="58"/>
      <c r="C31" s="80"/>
      <c r="D31" s="108" t="s">
        <v>381</v>
      </c>
      <c r="E31" s="351" t="s">
        <v>382</v>
      </c>
      <c r="F31" s="351"/>
      <c r="G31" s="351"/>
      <c r="H31" s="111"/>
      <c r="I31" s="112"/>
    </row>
    <row r="32" spans="1:9" ht="14.5" customHeight="1" x14ac:dyDescent="0.55000000000000004">
      <c r="A32" s="54"/>
      <c r="B32" s="58"/>
      <c r="C32" s="80"/>
      <c r="D32" s="108" t="s">
        <v>171</v>
      </c>
      <c r="E32" s="351" t="s">
        <v>383</v>
      </c>
      <c r="F32" s="351"/>
      <c r="G32" s="351"/>
      <c r="H32" s="111"/>
      <c r="I32" s="112"/>
    </row>
    <row r="33" spans="1:9" ht="18" x14ac:dyDescent="0.55000000000000004">
      <c r="A33" s="54"/>
      <c r="B33" s="58"/>
      <c r="C33" s="80"/>
      <c r="D33" s="108" t="s">
        <v>384</v>
      </c>
      <c r="E33" s="351" t="s">
        <v>385</v>
      </c>
      <c r="F33" s="351"/>
      <c r="G33" s="351"/>
      <c r="H33" s="111"/>
      <c r="I33" s="112"/>
    </row>
    <row r="34" spans="1:9" ht="18" x14ac:dyDescent="0.55000000000000004">
      <c r="A34" s="54"/>
      <c r="B34" s="58"/>
      <c r="C34" s="80"/>
      <c r="D34" s="281"/>
      <c r="E34" s="90"/>
      <c r="F34" s="90"/>
      <c r="G34" s="90"/>
      <c r="H34" s="111"/>
      <c r="I34" s="112"/>
    </row>
    <row r="35" spans="1:9" ht="18" x14ac:dyDescent="0.55000000000000004">
      <c r="A35" s="54"/>
      <c r="B35" s="58"/>
      <c r="C35" s="80"/>
      <c r="D35" s="86" t="s">
        <v>386</v>
      </c>
      <c r="E35" s="352" t="s">
        <v>15</v>
      </c>
      <c r="F35" s="352"/>
      <c r="G35" s="353"/>
      <c r="H35" s="111"/>
      <c r="I35" s="112"/>
    </row>
    <row r="36" spans="1:9" ht="18" x14ac:dyDescent="0.55000000000000004">
      <c r="A36" s="54"/>
      <c r="B36" s="58"/>
      <c r="C36" s="80"/>
      <c r="D36" s="108" t="s">
        <v>176</v>
      </c>
      <c r="E36" s="339" t="s">
        <v>387</v>
      </c>
      <c r="F36" s="339"/>
      <c r="G36" s="339"/>
      <c r="H36" s="111"/>
      <c r="I36" s="112"/>
    </row>
    <row r="37" spans="1:9" ht="18" x14ac:dyDescent="0.55000000000000004">
      <c r="A37" s="54"/>
      <c r="B37" s="58"/>
      <c r="C37" s="80"/>
      <c r="D37" s="108" t="s">
        <v>177</v>
      </c>
      <c r="E37" s="339" t="s">
        <v>388</v>
      </c>
      <c r="F37" s="339"/>
      <c r="G37" s="339"/>
      <c r="H37" s="111"/>
      <c r="I37" s="112"/>
    </row>
    <row r="38" spans="1:9" ht="18" x14ac:dyDescent="0.55000000000000004">
      <c r="A38" s="54"/>
      <c r="B38" s="58"/>
      <c r="C38" s="80"/>
      <c r="D38" s="108" t="s">
        <v>178</v>
      </c>
      <c r="E38" s="339" t="s">
        <v>389</v>
      </c>
      <c r="F38" s="339"/>
      <c r="G38" s="339"/>
      <c r="H38" s="111"/>
      <c r="I38" s="112"/>
    </row>
    <row r="39" spans="1:9" ht="18" x14ac:dyDescent="0.55000000000000004">
      <c r="A39" s="54"/>
      <c r="B39" s="58"/>
      <c r="C39" s="80"/>
      <c r="D39" s="108" t="s">
        <v>179</v>
      </c>
      <c r="E39" s="350" t="s">
        <v>390</v>
      </c>
      <c r="F39" s="350"/>
      <c r="G39" s="350"/>
      <c r="H39" s="111"/>
      <c r="I39" s="112"/>
    </row>
    <row r="40" spans="1:9" ht="18" x14ac:dyDescent="0.55000000000000004">
      <c r="A40" s="54"/>
      <c r="B40" s="58"/>
      <c r="C40" s="80"/>
      <c r="D40" s="108" t="s">
        <v>180</v>
      </c>
      <c r="E40" s="350" t="s">
        <v>391</v>
      </c>
      <c r="F40" s="350"/>
      <c r="G40" s="350"/>
      <c r="H40" s="111"/>
      <c r="I40" s="112"/>
    </row>
    <row r="41" spans="1:9" ht="18" x14ac:dyDescent="0.55000000000000004">
      <c r="A41" s="54"/>
      <c r="B41" s="58"/>
      <c r="C41" s="80"/>
      <c r="D41" s="108" t="s">
        <v>181</v>
      </c>
      <c r="E41" s="350" t="s">
        <v>392</v>
      </c>
      <c r="F41" s="350"/>
      <c r="G41" s="350"/>
      <c r="H41" s="111"/>
      <c r="I41" s="112"/>
    </row>
    <row r="42" spans="1:9" ht="18" x14ac:dyDescent="0.55000000000000004">
      <c r="A42" s="54"/>
      <c r="B42" s="58"/>
      <c r="C42" s="80"/>
      <c r="D42" s="108" t="s">
        <v>185</v>
      </c>
      <c r="E42" s="350" t="s">
        <v>393</v>
      </c>
      <c r="F42" s="350"/>
      <c r="G42" s="350"/>
      <c r="H42" s="111"/>
      <c r="I42" s="112"/>
    </row>
    <row r="43" spans="1:9" ht="18" x14ac:dyDescent="0.55000000000000004">
      <c r="A43" s="54"/>
      <c r="B43" s="58"/>
      <c r="C43" s="80"/>
      <c r="D43" s="108" t="s">
        <v>186</v>
      </c>
      <c r="E43" s="350" t="s">
        <v>394</v>
      </c>
      <c r="F43" s="350"/>
      <c r="G43" s="350"/>
      <c r="H43" s="111"/>
      <c r="I43" s="112"/>
    </row>
    <row r="44" spans="1:9" ht="18" x14ac:dyDescent="0.55000000000000004">
      <c r="A44" s="54"/>
      <c r="B44" s="58"/>
      <c r="C44" s="80"/>
      <c r="D44" s="108" t="s">
        <v>187</v>
      </c>
      <c r="E44" s="350" t="s">
        <v>395</v>
      </c>
      <c r="F44" s="350"/>
      <c r="G44" s="350"/>
      <c r="H44" s="111"/>
      <c r="I44" s="112"/>
    </row>
    <row r="45" spans="1:9" ht="18" x14ac:dyDescent="0.55000000000000004">
      <c r="A45" s="54"/>
      <c r="B45" s="58"/>
      <c r="C45" s="80"/>
      <c r="D45" s="108" t="s">
        <v>188</v>
      </c>
      <c r="E45" s="350" t="s">
        <v>396</v>
      </c>
      <c r="F45" s="350"/>
      <c r="G45" s="350"/>
      <c r="H45" s="111"/>
      <c r="I45" s="112"/>
    </row>
    <row r="46" spans="1:9" ht="18" x14ac:dyDescent="0.55000000000000004">
      <c r="A46" s="54"/>
      <c r="B46" s="58"/>
      <c r="C46" s="80"/>
      <c r="D46" s="108" t="s">
        <v>189</v>
      </c>
      <c r="E46" s="350" t="s">
        <v>397</v>
      </c>
      <c r="F46" s="350"/>
      <c r="G46" s="350"/>
      <c r="H46" s="111"/>
      <c r="I46" s="112"/>
    </row>
    <row r="47" spans="1:9" ht="18" x14ac:dyDescent="0.55000000000000004">
      <c r="A47" s="54"/>
      <c r="B47" s="58"/>
      <c r="C47" s="80"/>
      <c r="D47" s="108" t="s">
        <v>190</v>
      </c>
      <c r="E47" s="350" t="s">
        <v>398</v>
      </c>
      <c r="F47" s="350"/>
      <c r="G47" s="350"/>
      <c r="H47" s="111"/>
      <c r="I47" s="112"/>
    </row>
    <row r="48" spans="1:9" ht="18" x14ac:dyDescent="0.55000000000000004">
      <c r="A48" s="54"/>
      <c r="B48" s="58"/>
      <c r="C48" s="80"/>
      <c r="D48" s="108" t="s">
        <v>191</v>
      </c>
      <c r="E48" s="350" t="s">
        <v>399</v>
      </c>
      <c r="F48" s="350"/>
      <c r="G48" s="350"/>
      <c r="H48" s="111"/>
      <c r="I48" s="112"/>
    </row>
    <row r="49" spans="1:9" ht="18" x14ac:dyDescent="0.55000000000000004">
      <c r="A49" s="54"/>
      <c r="B49" s="58"/>
      <c r="C49" s="80"/>
      <c r="D49" s="282" t="s">
        <v>400</v>
      </c>
      <c r="E49" s="283"/>
      <c r="F49" s="283"/>
      <c r="G49" s="283"/>
      <c r="H49" s="111"/>
      <c r="I49" s="112"/>
    </row>
    <row r="50" spans="1:9" ht="18" x14ac:dyDescent="0.55000000000000004">
      <c r="A50" s="54"/>
      <c r="B50" s="58"/>
      <c r="C50" s="80"/>
      <c r="D50" s="108"/>
      <c r="E50" s="84"/>
      <c r="F50" s="84"/>
      <c r="G50" s="84"/>
      <c r="H50" s="111"/>
      <c r="I50" s="112"/>
    </row>
    <row r="51" spans="1:9" ht="18" x14ac:dyDescent="0.55000000000000004">
      <c r="A51" s="54"/>
      <c r="B51" s="58"/>
      <c r="C51" s="80"/>
      <c r="D51" s="86" t="s">
        <v>401</v>
      </c>
      <c r="E51" s="354" t="s">
        <v>15</v>
      </c>
      <c r="F51" s="354"/>
      <c r="G51" s="355"/>
      <c r="H51" s="111"/>
      <c r="I51" s="112"/>
    </row>
    <row r="52" spans="1:9" ht="18" x14ac:dyDescent="0.55000000000000004">
      <c r="A52" s="54"/>
      <c r="B52" s="58"/>
      <c r="C52" s="80"/>
      <c r="D52" s="108" t="s">
        <v>215</v>
      </c>
      <c r="E52" s="339" t="s">
        <v>402</v>
      </c>
      <c r="F52" s="339"/>
      <c r="G52" s="339"/>
      <c r="H52" s="111"/>
      <c r="I52" s="112"/>
    </row>
    <row r="53" spans="1:9" ht="18" x14ac:dyDescent="0.55000000000000004">
      <c r="A53" s="54"/>
      <c r="B53" s="58"/>
      <c r="C53" s="80"/>
      <c r="D53" s="108" t="s">
        <v>216</v>
      </c>
      <c r="E53" s="339" t="s">
        <v>403</v>
      </c>
      <c r="F53" s="339"/>
      <c r="G53" s="339"/>
      <c r="H53" s="111"/>
      <c r="I53" s="112"/>
    </row>
    <row r="54" spans="1:9" ht="14.5" customHeight="1" x14ac:dyDescent="0.55000000000000004">
      <c r="A54" s="54"/>
      <c r="B54" s="58"/>
      <c r="C54" s="117"/>
      <c r="D54" s="108" t="s">
        <v>49</v>
      </c>
      <c r="E54" s="350" t="s">
        <v>404</v>
      </c>
      <c r="F54" s="350"/>
      <c r="G54" s="350"/>
      <c r="H54" s="111"/>
      <c r="I54" s="112"/>
    </row>
    <row r="55" spans="1:9" ht="14.5" customHeight="1" x14ac:dyDescent="0.55000000000000004">
      <c r="A55" s="54"/>
      <c r="B55" s="58"/>
      <c r="C55" s="117"/>
      <c r="D55" s="108" t="s">
        <v>405</v>
      </c>
      <c r="E55" s="350" t="s">
        <v>406</v>
      </c>
      <c r="F55" s="350"/>
      <c r="G55" s="350"/>
      <c r="H55" s="111"/>
      <c r="I55" s="112"/>
    </row>
    <row r="56" spans="1:9" ht="14.5" customHeight="1" x14ac:dyDescent="0.55000000000000004">
      <c r="A56" s="54"/>
      <c r="B56" s="58"/>
      <c r="C56" s="117"/>
      <c r="D56" s="123" t="s">
        <v>407</v>
      </c>
      <c r="E56" s="350" t="s">
        <v>408</v>
      </c>
      <c r="F56" s="350"/>
      <c r="G56" s="350"/>
      <c r="H56" s="111"/>
      <c r="I56" s="112"/>
    </row>
    <row r="57" spans="1:9" ht="14.5" customHeight="1" x14ac:dyDescent="0.55000000000000004">
      <c r="A57" s="54"/>
      <c r="B57" s="58"/>
      <c r="C57" s="117"/>
      <c r="D57" s="108" t="s">
        <v>50</v>
      </c>
      <c r="E57" s="350" t="s">
        <v>409</v>
      </c>
      <c r="F57" s="350"/>
      <c r="G57" s="350"/>
      <c r="H57" s="111"/>
      <c r="I57" s="112"/>
    </row>
    <row r="58" spans="1:9" ht="14.5" customHeight="1" x14ac:dyDescent="0.55000000000000004">
      <c r="A58" s="54"/>
      <c r="B58" s="58"/>
      <c r="C58" s="117"/>
      <c r="D58" s="108" t="s">
        <v>51</v>
      </c>
      <c r="E58" s="350" t="s">
        <v>410</v>
      </c>
      <c r="F58" s="350"/>
      <c r="G58" s="350"/>
      <c r="H58" s="111"/>
      <c r="I58" s="112"/>
    </row>
    <row r="59" spans="1:9" ht="14.5" customHeight="1" x14ac:dyDescent="0.55000000000000004">
      <c r="A59" s="54"/>
      <c r="B59" s="58"/>
      <c r="C59" s="117"/>
      <c r="D59" s="108" t="s">
        <v>52</v>
      </c>
      <c r="E59" s="350" t="s">
        <v>411</v>
      </c>
      <c r="F59" s="350"/>
      <c r="G59" s="350"/>
      <c r="H59" s="111"/>
      <c r="I59" s="112"/>
    </row>
    <row r="60" spans="1:9" ht="14.5" customHeight="1" x14ac:dyDescent="0.55000000000000004">
      <c r="A60" s="54"/>
      <c r="B60" s="58"/>
      <c r="C60" s="117"/>
      <c r="D60" s="108" t="s">
        <v>412</v>
      </c>
      <c r="E60" s="350" t="s">
        <v>413</v>
      </c>
      <c r="F60" s="350"/>
      <c r="G60" s="350"/>
      <c r="H60" s="111"/>
      <c r="I60" s="112"/>
    </row>
    <row r="61" spans="1:9" ht="14.5" customHeight="1" x14ac:dyDescent="0.55000000000000004">
      <c r="A61" s="54"/>
      <c r="B61" s="58"/>
      <c r="C61" s="117"/>
      <c r="D61" s="108" t="s">
        <v>336</v>
      </c>
      <c r="E61" s="92" t="s">
        <v>460</v>
      </c>
      <c r="F61" s="92"/>
      <c r="G61" s="92"/>
      <c r="H61" s="111"/>
      <c r="I61" s="112"/>
    </row>
    <row r="62" spans="1:9" ht="14.5" customHeight="1" x14ac:dyDescent="0.55000000000000004">
      <c r="A62" s="54"/>
      <c r="B62" s="58"/>
      <c r="C62" s="117"/>
      <c r="D62" s="108" t="s">
        <v>414</v>
      </c>
      <c r="E62" s="350" t="s">
        <v>415</v>
      </c>
      <c r="F62" s="350"/>
      <c r="G62" s="350"/>
      <c r="H62" s="111"/>
      <c r="I62" s="112"/>
    </row>
    <row r="63" spans="1:9" ht="14.5" customHeight="1" x14ac:dyDescent="0.55000000000000004">
      <c r="A63" s="54"/>
      <c r="B63" s="58"/>
      <c r="C63" s="117"/>
      <c r="D63" s="108" t="s">
        <v>416</v>
      </c>
      <c r="E63" s="350" t="s">
        <v>417</v>
      </c>
      <c r="F63" s="350"/>
      <c r="G63" s="350"/>
      <c r="H63" s="111"/>
      <c r="I63" s="112"/>
    </row>
    <row r="64" spans="1:9" ht="14.5" customHeight="1" x14ac:dyDescent="0.55000000000000004">
      <c r="A64" s="54"/>
      <c r="B64" s="58"/>
      <c r="C64" s="117"/>
      <c r="D64" s="108" t="s">
        <v>418</v>
      </c>
      <c r="E64" s="350" t="s">
        <v>419</v>
      </c>
      <c r="F64" s="350"/>
      <c r="G64" s="350"/>
      <c r="H64" s="111"/>
      <c r="I64" s="112"/>
    </row>
    <row r="65" spans="1:9" ht="14.5" customHeight="1" x14ac:dyDescent="0.55000000000000004">
      <c r="A65" s="54"/>
      <c r="B65" s="58"/>
      <c r="C65" s="117"/>
      <c r="D65" s="108" t="s">
        <v>420</v>
      </c>
      <c r="E65" s="350" t="s">
        <v>421</v>
      </c>
      <c r="F65" s="350"/>
      <c r="G65" s="350"/>
      <c r="H65" s="111"/>
      <c r="I65" s="112"/>
    </row>
    <row r="66" spans="1:9" ht="14.5" customHeight="1" x14ac:dyDescent="0.55000000000000004">
      <c r="A66" s="54"/>
      <c r="B66" s="58"/>
      <c r="C66" s="117"/>
      <c r="D66" s="108" t="s">
        <v>422</v>
      </c>
      <c r="E66" s="350" t="s">
        <v>423</v>
      </c>
      <c r="F66" s="350"/>
      <c r="G66" s="350"/>
      <c r="H66" s="111"/>
      <c r="I66" s="112"/>
    </row>
    <row r="67" spans="1:9" ht="14.5" customHeight="1" x14ac:dyDescent="0.55000000000000004">
      <c r="A67" s="54"/>
      <c r="B67" s="58"/>
      <c r="C67" s="117"/>
      <c r="D67" s="108" t="s">
        <v>424</v>
      </c>
      <c r="E67" s="350" t="s">
        <v>425</v>
      </c>
      <c r="F67" s="350"/>
      <c r="G67" s="350"/>
      <c r="H67" s="111"/>
      <c r="I67" s="112"/>
    </row>
    <row r="68" spans="1:9" ht="14.5" customHeight="1" x14ac:dyDescent="0.55000000000000004">
      <c r="A68" s="54"/>
      <c r="B68" s="58"/>
      <c r="C68" s="117"/>
      <c r="D68" s="108" t="s">
        <v>426</v>
      </c>
      <c r="E68" s="350" t="s">
        <v>427</v>
      </c>
      <c r="F68" s="350"/>
      <c r="G68" s="350"/>
      <c r="H68" s="111"/>
      <c r="I68" s="112"/>
    </row>
    <row r="69" spans="1:9" ht="14.5" customHeight="1" x14ac:dyDescent="0.55000000000000004">
      <c r="A69" s="54"/>
      <c r="B69" s="58"/>
      <c r="C69" s="117"/>
      <c r="D69" s="108" t="s">
        <v>428</v>
      </c>
      <c r="E69" s="350" t="s">
        <v>429</v>
      </c>
      <c r="F69" s="350"/>
      <c r="G69" s="350"/>
      <c r="H69" s="111"/>
      <c r="I69" s="112"/>
    </row>
    <row r="70" spans="1:9" ht="14.5" customHeight="1" x14ac:dyDescent="0.55000000000000004">
      <c r="A70" s="54"/>
      <c r="B70" s="58"/>
      <c r="C70" s="117"/>
      <c r="D70" s="108" t="s">
        <v>53</v>
      </c>
      <c r="E70" s="350" t="s">
        <v>430</v>
      </c>
      <c r="F70" s="350"/>
      <c r="G70" s="350"/>
      <c r="H70" s="111"/>
      <c r="I70" s="112"/>
    </row>
    <row r="71" spans="1:9" ht="44.5" customHeight="1" x14ac:dyDescent="0.55000000000000004">
      <c r="A71" s="54"/>
      <c r="B71" s="58"/>
      <c r="C71" s="117"/>
      <c r="D71" s="108" t="s">
        <v>440</v>
      </c>
      <c r="E71" s="350" t="s">
        <v>441</v>
      </c>
      <c r="F71" s="350"/>
      <c r="G71" s="350"/>
      <c r="H71" s="111"/>
      <c r="I71" s="112"/>
    </row>
    <row r="72" spans="1:9" ht="55" customHeight="1" x14ac:dyDescent="0.55000000000000004">
      <c r="A72" s="54"/>
      <c r="B72" s="58"/>
      <c r="C72" s="117"/>
      <c r="D72" s="108" t="s">
        <v>327</v>
      </c>
      <c r="E72" s="350" t="s">
        <v>442</v>
      </c>
      <c r="F72" s="350"/>
      <c r="G72" s="350"/>
      <c r="H72" s="111"/>
      <c r="I72" s="112"/>
    </row>
    <row r="73" spans="1:9" ht="14.5" customHeight="1" x14ac:dyDescent="0.55000000000000004">
      <c r="A73" s="54"/>
      <c r="B73" s="58"/>
      <c r="C73" s="117"/>
      <c r="D73" s="108"/>
      <c r="E73" s="280"/>
      <c r="F73" s="280"/>
      <c r="G73" s="280"/>
      <c r="H73" s="111"/>
      <c r="I73" s="112"/>
    </row>
    <row r="74" spans="1:9" ht="14.5" customHeight="1" x14ac:dyDescent="0.55000000000000004">
      <c r="A74" s="54"/>
      <c r="B74" s="58"/>
      <c r="C74" s="117"/>
      <c r="D74" s="86" t="s">
        <v>431</v>
      </c>
      <c r="E74" s="352" t="s">
        <v>15</v>
      </c>
      <c r="F74" s="352"/>
      <c r="G74" s="353"/>
      <c r="H74" s="111"/>
      <c r="I74" s="112"/>
    </row>
    <row r="75" spans="1:9" ht="14.5" customHeight="1" x14ac:dyDescent="0.55000000000000004">
      <c r="A75" s="54"/>
      <c r="B75" s="58"/>
      <c r="C75" s="117"/>
      <c r="D75" s="108" t="s">
        <v>432</v>
      </c>
      <c r="E75" s="350" t="s">
        <v>433</v>
      </c>
      <c r="F75" s="350"/>
      <c r="G75" s="350"/>
      <c r="H75" s="111"/>
      <c r="I75" s="112"/>
    </row>
    <row r="76" spans="1:9" ht="14.5" customHeight="1" x14ac:dyDescent="0.55000000000000004">
      <c r="A76" s="54"/>
      <c r="B76" s="58"/>
      <c r="C76" s="117"/>
      <c r="D76" s="108" t="s">
        <v>434</v>
      </c>
      <c r="E76" s="350" t="s">
        <v>435</v>
      </c>
      <c r="F76" s="350"/>
      <c r="G76" s="350"/>
      <c r="H76" s="111"/>
      <c r="I76" s="112"/>
    </row>
    <row r="77" spans="1:9" ht="14.5" customHeight="1" x14ac:dyDescent="0.55000000000000004">
      <c r="A77" s="54"/>
      <c r="B77" s="58"/>
      <c r="C77" s="117"/>
      <c r="D77" s="108" t="s">
        <v>436</v>
      </c>
      <c r="E77" s="350" t="s">
        <v>437</v>
      </c>
      <c r="F77" s="350"/>
      <c r="G77" s="350"/>
      <c r="H77" s="111"/>
      <c r="I77" s="112"/>
    </row>
    <row r="78" spans="1:9" ht="14.5" customHeight="1" x14ac:dyDescent="0.55000000000000004">
      <c r="A78" s="54"/>
      <c r="B78" s="58"/>
      <c r="C78" s="117"/>
      <c r="D78" s="108" t="s">
        <v>438</v>
      </c>
      <c r="E78" s="350" t="s">
        <v>439</v>
      </c>
      <c r="F78" s="350"/>
      <c r="G78" s="350"/>
      <c r="H78" s="111"/>
      <c r="I78" s="112"/>
    </row>
    <row r="79" spans="1:9" ht="14.5" customHeight="1" x14ac:dyDescent="0.55000000000000004">
      <c r="A79" s="54"/>
      <c r="B79" s="58"/>
      <c r="C79" s="117"/>
      <c r="D79" s="84"/>
      <c r="E79" s="96"/>
      <c r="F79" s="96"/>
      <c r="G79" s="96"/>
      <c r="H79" s="111"/>
      <c r="I79" s="112"/>
    </row>
    <row r="80" spans="1:9" ht="18.5" thickBot="1" x14ac:dyDescent="0.6">
      <c r="A80" s="54"/>
      <c r="B80" s="64"/>
      <c r="C80" s="124"/>
      <c r="D80" s="124"/>
      <c r="E80" s="124"/>
      <c r="F80" s="124"/>
      <c r="G80" s="124"/>
      <c r="H80" s="125"/>
      <c r="I80" s="112"/>
    </row>
    <row r="81" spans="1:9" s="66" customFormat="1" ht="18" x14ac:dyDescent="0.55000000000000004">
      <c r="A81" s="54"/>
      <c r="B81" s="54"/>
      <c r="C81" s="112"/>
      <c r="D81" s="112"/>
      <c r="E81" s="112"/>
      <c r="F81" s="112"/>
      <c r="G81" s="112"/>
      <c r="H81" s="112"/>
      <c r="I81" s="112"/>
    </row>
  </sheetData>
  <mergeCells count="50">
    <mergeCell ref="E76:G76"/>
    <mergeCell ref="E77:G77"/>
    <mergeCell ref="E78:G78"/>
    <mergeCell ref="E71:G71"/>
    <mergeCell ref="E72:G72"/>
    <mergeCell ref="E68:G68"/>
    <mergeCell ref="E69:G69"/>
    <mergeCell ref="E70:G70"/>
    <mergeCell ref="E74:G74"/>
    <mergeCell ref="E75:G75"/>
    <mergeCell ref="E63:G63"/>
    <mergeCell ref="E64:G64"/>
    <mergeCell ref="E65:G65"/>
    <mergeCell ref="E66:G66"/>
    <mergeCell ref="E67:G67"/>
    <mergeCell ref="E57:G57"/>
    <mergeCell ref="E58:G58"/>
    <mergeCell ref="E59:G59"/>
    <mergeCell ref="E60:G60"/>
    <mergeCell ref="E62:G62"/>
    <mergeCell ref="E52:G52"/>
    <mergeCell ref="E53:G53"/>
    <mergeCell ref="E54:G54"/>
    <mergeCell ref="E55:G55"/>
    <mergeCell ref="E56:G56"/>
    <mergeCell ref="E45:G45"/>
    <mergeCell ref="E46:G46"/>
    <mergeCell ref="E47:G47"/>
    <mergeCell ref="E48:G48"/>
    <mergeCell ref="E51:G51"/>
    <mergeCell ref="E40:G40"/>
    <mergeCell ref="E41:G41"/>
    <mergeCell ref="E42:G42"/>
    <mergeCell ref="E43:G43"/>
    <mergeCell ref="E44:G44"/>
    <mergeCell ref="E35:G35"/>
    <mergeCell ref="E36:G36"/>
    <mergeCell ref="E37:G37"/>
    <mergeCell ref="E38:G38"/>
    <mergeCell ref="E39:G39"/>
    <mergeCell ref="E29:G29"/>
    <mergeCell ref="E30:G30"/>
    <mergeCell ref="E31:G31"/>
    <mergeCell ref="E32:G32"/>
    <mergeCell ref="E33:G33"/>
    <mergeCell ref="D6:G6"/>
    <mergeCell ref="E25:G25"/>
    <mergeCell ref="E26:G26"/>
    <mergeCell ref="E27:G27"/>
    <mergeCell ref="E28:G28"/>
  </mergeCell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expression" priority="2" stopIfTrue="1" id="{78652325-5ACA-4D13-844E-37D6B5F59ED4}">
            <xm:f>Disclaimer!$F$18&lt;&gt;"I ACCEPT"</xm:f>
            <x14:dxf>
              <numFmt numFmtId="175" formatCode=";;;"/>
            </x14:dxf>
          </x14:cfRule>
          <xm:sqref>A2:XFD1048576 A1:J1 L1:XFD1</xm:sqref>
        </x14:conditionalFormatting>
        <x14:conditionalFormatting xmlns:xm="http://schemas.microsoft.com/office/excel/2006/main">
          <x14:cfRule type="expression" priority="1" stopIfTrue="1" id="{69D11535-E8B2-4A3F-9408-315D6843C035}">
            <xm:f>Disclaimer!$F$18="I ACCEPT"</xm:f>
            <x14:dxf>
              <numFmt numFmtId="175" formatCode=";;;"/>
            </x14:dxf>
          </x14:cfRule>
          <xm:sqref>K1</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AB6D83-BF56-427D-A0DA-857C1232E127}">
  <sheetPr codeName="Sheet2"/>
  <dimension ref="A1:AN27"/>
  <sheetViews>
    <sheetView zoomScale="85" zoomScaleNormal="85" workbookViewId="0">
      <selection activeCell="C2" sqref="C2"/>
    </sheetView>
  </sheetViews>
  <sheetFormatPr defaultColWidth="8.7265625" defaultRowHeight="12.65" customHeight="1" zeroHeight="1" x14ac:dyDescent="0.45"/>
  <cols>
    <col min="1" max="1" width="5" style="39" customWidth="1"/>
    <col min="2" max="2" width="31" style="39" customWidth="1"/>
    <col min="3" max="3" width="12.453125" style="39" bestFit="1" customWidth="1"/>
    <col min="4" max="4" width="20.54296875" style="39" customWidth="1"/>
    <col min="5" max="39" width="7.7265625" style="39" customWidth="1"/>
    <col min="40" max="16384" width="8.7265625" style="39"/>
  </cols>
  <sheetData>
    <row r="1" spans="1:40" s="117" customFormat="1" ht="15.5" x14ac:dyDescent="0.45">
      <c r="A1" s="51"/>
      <c r="B1" s="51"/>
      <c r="C1" s="229" t="s">
        <v>54</v>
      </c>
      <c r="D1" s="231" t="str">
        <f>Intro!$C$5</f>
        <v>Aurora’s Hungarian Flexible Energy Market Forecast - Q2 2026</v>
      </c>
      <c r="E1" s="228"/>
      <c r="F1" s="228"/>
      <c r="G1" s="228"/>
      <c r="H1" s="228"/>
      <c r="I1" s="232" t="s">
        <v>55</v>
      </c>
      <c r="J1" s="228"/>
      <c r="K1" s="232" t="s">
        <v>55</v>
      </c>
      <c r="L1" s="228"/>
      <c r="M1" s="228"/>
      <c r="N1" s="228"/>
      <c r="O1" s="228"/>
      <c r="P1" s="228"/>
      <c r="Q1" s="228"/>
      <c r="R1" s="228"/>
      <c r="S1" s="228"/>
      <c r="T1" s="228"/>
      <c r="U1" s="228"/>
      <c r="V1" s="228"/>
      <c r="W1" s="228"/>
      <c r="X1" s="228"/>
      <c r="Y1" s="228"/>
      <c r="Z1" s="228"/>
      <c r="AA1" s="228"/>
      <c r="AB1" s="228"/>
      <c r="AC1" s="228"/>
      <c r="AD1" s="228"/>
      <c r="AE1" s="228"/>
      <c r="AF1" s="228"/>
      <c r="AG1" s="228"/>
      <c r="AH1" s="228"/>
      <c r="AI1" s="228"/>
      <c r="AJ1" s="228"/>
      <c r="AK1" s="228"/>
      <c r="AL1" s="228"/>
      <c r="AM1" s="228"/>
    </row>
    <row r="2" spans="1:40" s="117" customFormat="1" ht="15.5" x14ac:dyDescent="0.45">
      <c r="A2" s="51"/>
      <c r="B2" s="51"/>
      <c r="C2" s="229" t="s">
        <v>8</v>
      </c>
      <c r="D2" s="231" t="s">
        <v>9</v>
      </c>
      <c r="E2" s="228"/>
      <c r="F2" s="228"/>
      <c r="G2" s="228"/>
      <c r="H2" s="228"/>
      <c r="I2" s="228"/>
      <c r="J2" s="228"/>
      <c r="K2" s="228"/>
      <c r="L2" s="228"/>
      <c r="M2" s="228"/>
      <c r="N2" s="228"/>
      <c r="O2" s="228"/>
      <c r="P2" s="228"/>
      <c r="Q2" s="228"/>
      <c r="R2" s="228"/>
      <c r="S2" s="228"/>
      <c r="T2" s="228"/>
      <c r="U2" s="228"/>
      <c r="V2" s="228"/>
      <c r="W2" s="228"/>
      <c r="X2" s="228"/>
      <c r="Y2" s="228"/>
      <c r="Z2" s="228"/>
      <c r="AA2" s="228"/>
      <c r="AB2" s="228"/>
      <c r="AC2" s="228"/>
      <c r="AD2" s="228"/>
      <c r="AE2" s="228"/>
      <c r="AF2" s="228"/>
      <c r="AG2" s="228"/>
      <c r="AH2" s="228"/>
      <c r="AI2" s="228"/>
      <c r="AJ2" s="228"/>
      <c r="AK2" s="228"/>
      <c r="AL2" s="228"/>
      <c r="AM2" s="228"/>
    </row>
    <row r="3" spans="1:40" s="117" customFormat="1" ht="15.5" x14ac:dyDescent="0.45">
      <c r="A3" s="51"/>
      <c r="B3" s="51"/>
      <c r="C3" s="229" t="s">
        <v>10</v>
      </c>
      <c r="D3" s="231" t="s">
        <v>445</v>
      </c>
      <c r="E3" s="228"/>
      <c r="F3" s="228"/>
      <c r="G3" s="228"/>
      <c r="H3" s="228"/>
      <c r="I3" s="228"/>
      <c r="J3" s="228"/>
      <c r="K3" s="228"/>
      <c r="L3" s="228"/>
      <c r="M3" s="228"/>
      <c r="N3" s="228"/>
      <c r="O3" s="228"/>
      <c r="P3" s="228"/>
      <c r="Q3" s="228"/>
      <c r="R3" s="228"/>
      <c r="S3" s="228"/>
      <c r="T3" s="228"/>
      <c r="U3" s="228"/>
      <c r="V3" s="228"/>
      <c r="W3" s="228"/>
      <c r="X3" s="228"/>
      <c r="Y3" s="228"/>
      <c r="Z3" s="228"/>
      <c r="AA3" s="228"/>
      <c r="AB3" s="228"/>
      <c r="AC3" s="228"/>
      <c r="AD3" s="228"/>
      <c r="AE3" s="228"/>
      <c r="AF3" s="228"/>
      <c r="AG3" s="228"/>
      <c r="AH3" s="228"/>
      <c r="AI3" s="228"/>
      <c r="AJ3" s="228"/>
      <c r="AK3" s="228"/>
      <c r="AL3" s="228"/>
      <c r="AM3" s="228"/>
    </row>
    <row r="4" spans="1:40" s="117" customFormat="1" ht="15.5" x14ac:dyDescent="0.45">
      <c r="A4" s="51"/>
      <c r="B4" s="51"/>
      <c r="C4" s="229" t="s">
        <v>56</v>
      </c>
      <c r="D4" s="231" t="s">
        <v>57</v>
      </c>
      <c r="E4" s="228"/>
      <c r="F4" s="228"/>
      <c r="G4" s="228"/>
      <c r="H4" s="228"/>
      <c r="I4" s="228"/>
      <c r="J4" s="228"/>
      <c r="K4" s="228"/>
      <c r="L4" s="228"/>
      <c r="M4" s="228"/>
      <c r="N4" s="228"/>
      <c r="O4" s="228"/>
      <c r="P4" s="228"/>
      <c r="Q4" s="228"/>
      <c r="R4" s="228"/>
      <c r="S4" s="228"/>
      <c r="T4" s="228"/>
      <c r="U4" s="228"/>
      <c r="V4" s="228"/>
      <c r="W4" s="228"/>
      <c r="X4" s="228"/>
      <c r="Y4" s="228"/>
      <c r="Z4" s="228"/>
      <c r="AA4" s="228"/>
      <c r="AB4" s="228"/>
      <c r="AC4" s="228"/>
      <c r="AD4" s="228"/>
      <c r="AE4" s="228"/>
      <c r="AF4" s="228"/>
      <c r="AG4" s="228"/>
      <c r="AH4" s="228"/>
      <c r="AI4" s="228"/>
      <c r="AJ4" s="228"/>
      <c r="AK4" s="228"/>
      <c r="AL4" s="228"/>
      <c r="AM4" s="228"/>
    </row>
    <row r="5" spans="1:40" s="117" customFormat="1" ht="15.5" x14ac:dyDescent="0.45">
      <c r="A5" s="51"/>
      <c r="B5" s="51"/>
      <c r="C5" s="228"/>
      <c r="D5" s="228"/>
      <c r="E5" s="228"/>
      <c r="F5" s="228"/>
      <c r="G5" s="228"/>
      <c r="H5" s="228"/>
      <c r="I5" s="228"/>
      <c r="J5" s="228"/>
      <c r="K5" s="228"/>
      <c r="L5" s="228"/>
      <c r="M5" s="228"/>
      <c r="N5" s="228"/>
      <c r="O5" s="228"/>
      <c r="P5" s="228"/>
      <c r="Q5" s="228"/>
      <c r="R5" s="228"/>
      <c r="S5" s="228"/>
      <c r="T5" s="228"/>
      <c r="U5" s="228"/>
      <c r="V5" s="228"/>
      <c r="W5" s="228"/>
      <c r="X5" s="228"/>
      <c r="Y5" s="228"/>
      <c r="Z5" s="228"/>
      <c r="AA5" s="228"/>
      <c r="AB5" s="228"/>
      <c r="AC5" s="228"/>
      <c r="AD5" s="228"/>
      <c r="AE5" s="228"/>
      <c r="AF5" s="228"/>
      <c r="AG5" s="228"/>
      <c r="AH5" s="228"/>
      <c r="AI5" s="228"/>
      <c r="AJ5" s="228"/>
      <c r="AK5" s="228"/>
      <c r="AL5" s="228"/>
      <c r="AM5" s="228"/>
    </row>
    <row r="6" spans="1:40" customFormat="1" ht="14.5" x14ac:dyDescent="0.35">
      <c r="A6" s="225" t="s">
        <v>58</v>
      </c>
      <c r="B6" s="226"/>
      <c r="C6" s="226"/>
      <c r="D6" s="226"/>
      <c r="E6" s="226"/>
      <c r="F6" s="226"/>
      <c r="G6" s="226"/>
      <c r="H6" s="226"/>
      <c r="I6" s="226"/>
      <c r="J6" s="226"/>
      <c r="K6" s="226"/>
      <c r="L6" s="226"/>
      <c r="M6" s="226"/>
      <c r="N6" s="226"/>
      <c r="O6" s="226"/>
      <c r="P6" s="226"/>
      <c r="Q6" s="226"/>
      <c r="R6" s="226"/>
      <c r="S6" s="226"/>
      <c r="T6" s="226"/>
      <c r="U6" s="226"/>
      <c r="V6" s="226"/>
      <c r="W6" s="226"/>
      <c r="X6" s="226"/>
      <c r="Y6" s="226"/>
      <c r="Z6" s="226"/>
      <c r="AA6" s="226"/>
      <c r="AB6" s="226"/>
      <c r="AC6" s="226"/>
      <c r="AD6" s="226"/>
      <c r="AE6" s="226"/>
      <c r="AF6" s="226"/>
      <c r="AG6" s="226"/>
      <c r="AH6" s="226"/>
      <c r="AI6" s="226"/>
      <c r="AJ6" s="226"/>
      <c r="AK6" s="226"/>
      <c r="AL6" s="226"/>
      <c r="AM6" s="226"/>
      <c r="AN6" s="226"/>
    </row>
    <row r="7" spans="1:40" customFormat="1" ht="14.5" x14ac:dyDescent="0.35">
      <c r="A7" s="227"/>
      <c r="B7" s="227"/>
      <c r="C7" s="227" t="s">
        <v>59</v>
      </c>
      <c r="D7" s="227" t="s">
        <v>60</v>
      </c>
      <c r="E7" s="323">
        <v>2025</v>
      </c>
      <c r="F7" s="323">
        <v>2026</v>
      </c>
      <c r="G7" s="323">
        <v>2027</v>
      </c>
      <c r="H7" s="323">
        <v>2028</v>
      </c>
      <c r="I7" s="323">
        <v>2029</v>
      </c>
      <c r="J7" s="323">
        <v>2030</v>
      </c>
      <c r="K7" s="323">
        <v>2031</v>
      </c>
      <c r="L7" s="323">
        <v>2032</v>
      </c>
      <c r="M7" s="323">
        <v>2033</v>
      </c>
      <c r="N7" s="323">
        <v>2034</v>
      </c>
      <c r="O7" s="323">
        <v>2035</v>
      </c>
      <c r="P7" s="323">
        <v>2036</v>
      </c>
      <c r="Q7" s="323">
        <v>2037</v>
      </c>
      <c r="R7" s="323">
        <v>2038</v>
      </c>
      <c r="S7" s="323">
        <v>2039</v>
      </c>
      <c r="T7" s="323">
        <v>2040</v>
      </c>
      <c r="U7" s="323">
        <v>2041</v>
      </c>
      <c r="V7" s="323">
        <v>2042</v>
      </c>
      <c r="W7" s="323">
        <v>2043</v>
      </c>
      <c r="X7" s="323">
        <v>2044</v>
      </c>
      <c r="Y7" s="323">
        <v>2045</v>
      </c>
      <c r="Z7" s="323">
        <v>2046</v>
      </c>
      <c r="AA7" s="323">
        <v>2047</v>
      </c>
      <c r="AB7" s="323">
        <v>2048</v>
      </c>
      <c r="AC7" s="323">
        <v>2049</v>
      </c>
      <c r="AD7" s="323">
        <v>2050</v>
      </c>
      <c r="AE7" s="323">
        <v>2051</v>
      </c>
      <c r="AF7" s="323">
        <v>2052</v>
      </c>
      <c r="AG7" s="323">
        <v>2053</v>
      </c>
      <c r="AH7" s="323">
        <v>2054</v>
      </c>
      <c r="AI7" s="323">
        <v>2055</v>
      </c>
      <c r="AJ7" s="323">
        <v>2056</v>
      </c>
      <c r="AK7" s="323">
        <v>2057</v>
      </c>
      <c r="AL7" s="323">
        <v>2058</v>
      </c>
      <c r="AM7" s="323">
        <v>2059</v>
      </c>
      <c r="AN7" s="323">
        <v>2060</v>
      </c>
    </row>
    <row r="8" spans="1:40" customFormat="1" ht="14.5" x14ac:dyDescent="0.35">
      <c r="A8" s="228"/>
      <c r="B8" s="229" t="s">
        <v>61</v>
      </c>
      <c r="C8" s="231" t="s">
        <v>62</v>
      </c>
      <c r="D8" s="233" t="s">
        <v>63</v>
      </c>
      <c r="E8" s="234">
        <v>1.1695899999999999</v>
      </c>
      <c r="F8" s="234">
        <v>1.1695899999999999</v>
      </c>
      <c r="G8" s="234">
        <v>1.1695899999999999</v>
      </c>
      <c r="H8" s="234">
        <v>1.1695899999999999</v>
      </c>
      <c r="I8" s="234">
        <v>1.1695899999999999</v>
      </c>
      <c r="J8" s="234">
        <v>1.1695899999999999</v>
      </c>
      <c r="K8" s="234">
        <v>1.1695899999999999</v>
      </c>
      <c r="L8" s="234">
        <v>1.1695899999999999</v>
      </c>
      <c r="M8" s="234">
        <v>1.1695899999999999</v>
      </c>
      <c r="N8" s="234">
        <v>1.1695899999999999</v>
      </c>
      <c r="O8" s="234">
        <v>1.1695899999999999</v>
      </c>
      <c r="P8" s="234">
        <v>1.1695899999999999</v>
      </c>
      <c r="Q8" s="234">
        <v>1.1695899999999999</v>
      </c>
      <c r="R8" s="234">
        <v>1.1695899999999999</v>
      </c>
      <c r="S8" s="234">
        <v>1.1695899999999999</v>
      </c>
      <c r="T8" s="234">
        <v>1.1695899999999999</v>
      </c>
      <c r="U8" s="234">
        <v>1.1695899999999999</v>
      </c>
      <c r="V8" s="234">
        <v>1.1695899999999999</v>
      </c>
      <c r="W8" s="234">
        <v>1.1695899999999999</v>
      </c>
      <c r="X8" s="234">
        <v>1.1695899999999999</v>
      </c>
      <c r="Y8" s="234">
        <v>1.1695899999999999</v>
      </c>
      <c r="Z8" s="234">
        <v>1.1695899999999999</v>
      </c>
      <c r="AA8" s="234">
        <v>1.1695899999999999</v>
      </c>
      <c r="AB8" s="234">
        <v>1.1695899999999999</v>
      </c>
      <c r="AC8" s="234">
        <v>1.1695899999999999</v>
      </c>
      <c r="AD8" s="234">
        <v>1.1695899999999999</v>
      </c>
      <c r="AE8" s="234">
        <v>1.1695899999999999</v>
      </c>
      <c r="AF8" s="234">
        <v>1.1695899999999999</v>
      </c>
      <c r="AG8" s="234">
        <v>1.1695899999999999</v>
      </c>
      <c r="AH8" s="234">
        <v>1.1695899999999999</v>
      </c>
      <c r="AI8" s="234">
        <v>1.1695899999999999</v>
      </c>
      <c r="AJ8" s="234">
        <v>1.1695899999999999</v>
      </c>
      <c r="AK8" s="234">
        <v>1.1695899999999999</v>
      </c>
      <c r="AL8" s="234">
        <v>1.1695899999999999</v>
      </c>
      <c r="AM8" s="234">
        <v>1.1695899999999999</v>
      </c>
      <c r="AN8" s="234">
        <v>1.1695899999999999</v>
      </c>
    </row>
    <row r="9" spans="1:40" customFormat="1" ht="14.5" x14ac:dyDescent="0.35">
      <c r="A9" s="228"/>
      <c r="B9" s="228"/>
      <c r="C9" s="231" t="s">
        <v>64</v>
      </c>
      <c r="D9" s="233" t="s">
        <v>65</v>
      </c>
      <c r="E9" s="234">
        <v>1.0900000000000001</v>
      </c>
      <c r="F9" s="234">
        <v>1.0900000000000001</v>
      </c>
      <c r="G9" s="234">
        <v>1.0900000000000001</v>
      </c>
      <c r="H9" s="234">
        <v>1.0900000000000001</v>
      </c>
      <c r="I9" s="234">
        <v>1.0900000000000001</v>
      </c>
      <c r="J9" s="234">
        <v>1.0900000000000001</v>
      </c>
      <c r="K9" s="234">
        <v>1.0900000000000001</v>
      </c>
      <c r="L9" s="234">
        <v>1.0900000000000001</v>
      </c>
      <c r="M9" s="234">
        <v>1.0900000000000001</v>
      </c>
      <c r="N9" s="234">
        <v>1.0900000000000001</v>
      </c>
      <c r="O9" s="234">
        <v>1.0900000000000001</v>
      </c>
      <c r="P9" s="234">
        <v>1.0900000000000001</v>
      </c>
      <c r="Q9" s="234">
        <v>1.0900000000000001</v>
      </c>
      <c r="R9" s="234">
        <v>1.0900000000000001</v>
      </c>
      <c r="S9" s="234">
        <v>1.0900000000000001</v>
      </c>
      <c r="T9" s="234">
        <v>1.0900000000000001</v>
      </c>
      <c r="U9" s="234">
        <v>1.0900000000000001</v>
      </c>
      <c r="V9" s="234">
        <v>1.0900000000000001</v>
      </c>
      <c r="W9" s="234">
        <v>1.0900000000000001</v>
      </c>
      <c r="X9" s="234">
        <v>1.0900000000000001</v>
      </c>
      <c r="Y9" s="234">
        <v>1.0900000000000001</v>
      </c>
      <c r="Z9" s="234">
        <v>1.0900000000000001</v>
      </c>
      <c r="AA9" s="234">
        <v>1.0900000000000001</v>
      </c>
      <c r="AB9" s="234">
        <v>1.0900000000000001</v>
      </c>
      <c r="AC9" s="234">
        <v>1.0900000000000001</v>
      </c>
      <c r="AD9" s="234">
        <v>1.0900000000000001</v>
      </c>
      <c r="AE9" s="234">
        <v>1.0900000000000001</v>
      </c>
      <c r="AF9" s="234">
        <v>1.0900000000000001</v>
      </c>
      <c r="AG9" s="234">
        <v>1.0900000000000001</v>
      </c>
      <c r="AH9" s="234">
        <v>1.0900000000000001</v>
      </c>
      <c r="AI9" s="234">
        <v>1.0900000000000001</v>
      </c>
      <c r="AJ9" s="234">
        <v>1.0900000000000001</v>
      </c>
      <c r="AK9" s="234">
        <v>1.0900000000000001</v>
      </c>
      <c r="AL9" s="234">
        <v>1.0900000000000001</v>
      </c>
      <c r="AM9" s="234">
        <v>1.0900000000000001</v>
      </c>
      <c r="AN9" s="234">
        <v>1.0900000000000001</v>
      </c>
    </row>
    <row r="10" spans="1:40" customFormat="1" ht="14.5" x14ac:dyDescent="0.35">
      <c r="A10" s="228"/>
      <c r="B10" s="228"/>
      <c r="C10" s="231" t="s">
        <v>66</v>
      </c>
      <c r="D10" s="233" t="s">
        <v>67</v>
      </c>
      <c r="E10" s="234">
        <v>397.77</v>
      </c>
      <c r="F10" s="234">
        <v>397.77</v>
      </c>
      <c r="G10" s="234">
        <v>397.77</v>
      </c>
      <c r="H10" s="234">
        <v>397.77</v>
      </c>
      <c r="I10" s="234">
        <v>397.77</v>
      </c>
      <c r="J10" s="234">
        <v>397.77</v>
      </c>
      <c r="K10" s="234">
        <v>397.77</v>
      </c>
      <c r="L10" s="234">
        <v>397.77</v>
      </c>
      <c r="M10" s="234">
        <v>397.77</v>
      </c>
      <c r="N10" s="234">
        <v>397.77</v>
      </c>
      <c r="O10" s="234">
        <v>397.77</v>
      </c>
      <c r="P10" s="234">
        <v>397.77</v>
      </c>
      <c r="Q10" s="234">
        <v>397.77</v>
      </c>
      <c r="R10" s="234">
        <v>397.77</v>
      </c>
      <c r="S10" s="234">
        <v>397.77</v>
      </c>
      <c r="T10" s="234">
        <v>397.77</v>
      </c>
      <c r="U10" s="234">
        <v>397.77</v>
      </c>
      <c r="V10" s="234">
        <v>397.77</v>
      </c>
      <c r="W10" s="234">
        <v>397.77</v>
      </c>
      <c r="X10" s="234">
        <v>397.77</v>
      </c>
      <c r="Y10" s="234">
        <v>397.77</v>
      </c>
      <c r="Z10" s="234">
        <v>397.77</v>
      </c>
      <c r="AA10" s="234">
        <v>397.77</v>
      </c>
      <c r="AB10" s="234">
        <v>397.77</v>
      </c>
      <c r="AC10" s="234">
        <v>397.77</v>
      </c>
      <c r="AD10" s="234">
        <v>397.77</v>
      </c>
      <c r="AE10" s="234">
        <v>397.77</v>
      </c>
      <c r="AF10" s="234">
        <v>397.77</v>
      </c>
      <c r="AG10" s="234">
        <v>397.77</v>
      </c>
      <c r="AH10" s="234">
        <v>397.77</v>
      </c>
      <c r="AI10" s="234">
        <v>397.77</v>
      </c>
      <c r="AJ10" s="234">
        <v>397.77</v>
      </c>
      <c r="AK10" s="234">
        <v>397.77</v>
      </c>
      <c r="AL10" s="234">
        <v>397.77</v>
      </c>
      <c r="AM10" s="234">
        <v>397.77</v>
      </c>
      <c r="AN10" s="234">
        <v>397.77</v>
      </c>
    </row>
    <row r="11" spans="1:40" customFormat="1" ht="14.5" x14ac:dyDescent="0.35">
      <c r="A11" s="228"/>
      <c r="B11" s="230" t="s">
        <v>474</v>
      </c>
      <c r="C11" s="228"/>
      <c r="D11" s="228"/>
      <c r="E11" s="228"/>
      <c r="F11" s="228"/>
      <c r="G11" s="228"/>
      <c r="H11" s="228"/>
      <c r="I11" s="228"/>
      <c r="J11" s="228"/>
      <c r="K11" s="228"/>
      <c r="L11" s="228"/>
      <c r="M11" s="228"/>
      <c r="N11" s="228"/>
      <c r="O11" s="228"/>
      <c r="P11" s="228"/>
      <c r="Q11" s="228"/>
      <c r="R11" s="228"/>
      <c r="S11" s="228"/>
      <c r="T11" s="228"/>
      <c r="U11" s="228"/>
      <c r="V11" s="228"/>
      <c r="W11" s="228"/>
      <c r="X11" s="228"/>
      <c r="Y11" s="228"/>
      <c r="Z11" s="228"/>
      <c r="AA11" s="228"/>
      <c r="AB11" s="228"/>
      <c r="AC11" s="228"/>
      <c r="AD11" s="228"/>
      <c r="AE11" s="228"/>
      <c r="AF11" s="228"/>
      <c r="AG11" s="228"/>
      <c r="AH11" s="228"/>
      <c r="AI11" s="228"/>
      <c r="AJ11" s="228"/>
      <c r="AK11" s="228"/>
      <c r="AL11" s="228"/>
      <c r="AM11" s="228"/>
      <c r="AN11" s="228"/>
    </row>
    <row r="12" spans="1:40" customFormat="1" ht="14.5" x14ac:dyDescent="0.35">
      <c r="A12" s="228"/>
      <c r="B12" s="230"/>
      <c r="C12" s="228"/>
      <c r="D12" s="228"/>
      <c r="E12" s="228"/>
      <c r="F12" s="228"/>
      <c r="G12" s="228"/>
      <c r="H12" s="228"/>
      <c r="I12" s="228"/>
      <c r="J12" s="228"/>
      <c r="K12" s="228"/>
      <c r="L12" s="228"/>
      <c r="M12" s="228"/>
      <c r="N12" s="228"/>
      <c r="O12" s="228"/>
      <c r="P12" s="228"/>
      <c r="Q12" s="228"/>
      <c r="R12" s="228"/>
      <c r="S12" s="228"/>
      <c r="T12" s="228"/>
      <c r="U12" s="228"/>
      <c r="V12" s="228"/>
      <c r="W12" s="228"/>
      <c r="X12" s="228"/>
      <c r="Y12" s="228"/>
      <c r="Z12" s="228"/>
      <c r="AA12" s="228"/>
      <c r="AB12" s="228"/>
      <c r="AC12" s="228"/>
      <c r="AD12" s="228"/>
      <c r="AE12" s="228"/>
      <c r="AF12" s="228"/>
      <c r="AG12" s="228"/>
      <c r="AH12" s="228"/>
      <c r="AI12" s="228"/>
      <c r="AJ12" s="228"/>
      <c r="AK12" s="228"/>
      <c r="AL12" s="228"/>
      <c r="AM12" s="228"/>
      <c r="AN12" s="228"/>
    </row>
    <row r="13" spans="1:40" customFormat="1" ht="14.5" x14ac:dyDescent="0.35">
      <c r="A13" s="228"/>
      <c r="B13" s="228"/>
      <c r="C13" s="228"/>
      <c r="D13" s="228"/>
      <c r="E13" s="228"/>
      <c r="F13" s="228"/>
      <c r="G13" s="228"/>
      <c r="H13" s="228"/>
      <c r="I13" s="228"/>
      <c r="J13" s="228"/>
      <c r="K13" s="228"/>
      <c r="L13" s="228"/>
      <c r="M13" s="228"/>
      <c r="N13" s="228"/>
      <c r="O13" s="228"/>
      <c r="P13" s="228"/>
      <c r="Q13" s="228"/>
      <c r="R13" s="228"/>
      <c r="S13" s="228"/>
      <c r="T13" s="228"/>
      <c r="U13" s="228"/>
      <c r="V13" s="228"/>
      <c r="W13" s="228"/>
      <c r="X13" s="228"/>
      <c r="Y13" s="228"/>
      <c r="Z13" s="228"/>
      <c r="AA13" s="228"/>
      <c r="AB13" s="228"/>
      <c r="AC13" s="228"/>
      <c r="AD13" s="228"/>
      <c r="AE13" s="228"/>
      <c r="AF13" s="228"/>
      <c r="AG13" s="228"/>
      <c r="AH13" s="228"/>
      <c r="AI13" s="228"/>
      <c r="AJ13" s="228"/>
      <c r="AK13" s="228"/>
      <c r="AL13" s="228"/>
      <c r="AM13" s="228"/>
      <c r="AN13" s="228"/>
    </row>
    <row r="14" spans="1:40" customFormat="1" ht="14.5" x14ac:dyDescent="0.35">
      <c r="A14" s="228"/>
      <c r="B14" s="229" t="s">
        <v>68</v>
      </c>
      <c r="C14" s="231" t="s">
        <v>69</v>
      </c>
      <c r="D14" s="233" t="s">
        <v>453</v>
      </c>
      <c r="E14" s="234">
        <v>1</v>
      </c>
      <c r="F14" s="234">
        <v>1.0189699999999999</v>
      </c>
      <c r="G14" s="234">
        <v>1.0403990000000001</v>
      </c>
      <c r="H14" s="234">
        <v>1.0613630000000001</v>
      </c>
      <c r="I14" s="234">
        <v>1.083026</v>
      </c>
      <c r="J14" s="234">
        <v>1.105173</v>
      </c>
      <c r="K14" s="234">
        <v>1.1272759999999999</v>
      </c>
      <c r="L14" s="234">
        <v>1.1498219999999999</v>
      </c>
      <c r="M14" s="234">
        <v>1.1728179999999999</v>
      </c>
      <c r="N14" s="234">
        <v>1.196275</v>
      </c>
      <c r="O14" s="234">
        <v>1.2202</v>
      </c>
      <c r="P14" s="234">
        <v>1.244604</v>
      </c>
      <c r="Q14" s="234">
        <v>1.269496</v>
      </c>
      <c r="R14" s="234">
        <v>1.294886</v>
      </c>
      <c r="S14" s="234">
        <v>1.320784</v>
      </c>
      <c r="T14" s="234">
        <v>1.3472</v>
      </c>
      <c r="U14" s="234">
        <v>1.374144</v>
      </c>
      <c r="V14" s="234">
        <v>1.401627</v>
      </c>
      <c r="W14" s="234">
        <v>1.429659</v>
      </c>
      <c r="X14" s="234">
        <v>1.4582520000000001</v>
      </c>
      <c r="Y14" s="234">
        <v>1.487417</v>
      </c>
      <c r="Z14" s="234">
        <v>1.517166</v>
      </c>
      <c r="AA14" s="234">
        <v>1.547509</v>
      </c>
      <c r="AB14" s="234">
        <v>1.5784590000000001</v>
      </c>
      <c r="AC14" s="234">
        <v>1.610028</v>
      </c>
      <c r="AD14" s="234">
        <v>1.6422289999999999</v>
      </c>
      <c r="AE14" s="234">
        <v>1.675074</v>
      </c>
      <c r="AF14" s="234">
        <v>1.708575</v>
      </c>
      <c r="AG14" s="234">
        <v>1.7427459999999999</v>
      </c>
      <c r="AH14" s="234">
        <v>1.777601</v>
      </c>
      <c r="AI14" s="234">
        <v>1.813153</v>
      </c>
      <c r="AJ14" s="234">
        <v>1.8494170000000001</v>
      </c>
      <c r="AK14" s="234">
        <v>1.8864050000000001</v>
      </c>
      <c r="AL14" s="234">
        <v>1.9241330000000001</v>
      </c>
      <c r="AM14" s="234">
        <v>1.9626159999999999</v>
      </c>
      <c r="AN14" s="234">
        <v>2.001868</v>
      </c>
    </row>
    <row r="15" spans="1:40" customFormat="1" ht="14.5" x14ac:dyDescent="0.35">
      <c r="A15" s="228"/>
      <c r="B15" s="228"/>
      <c r="C15" s="231" t="s">
        <v>475</v>
      </c>
      <c r="D15" s="233" t="s">
        <v>453</v>
      </c>
      <c r="E15" s="234">
        <v>1</v>
      </c>
      <c r="F15" s="234">
        <v>1.0346599999999999</v>
      </c>
      <c r="G15" s="234">
        <v>1.06599</v>
      </c>
      <c r="H15" s="234">
        <v>1.097969</v>
      </c>
      <c r="I15" s="234">
        <v>1.130908</v>
      </c>
      <c r="J15" s="234">
        <v>1.164836</v>
      </c>
      <c r="K15" s="234">
        <v>1.1939569999999999</v>
      </c>
      <c r="L15" s="234">
        <v>1.2238059999999999</v>
      </c>
      <c r="M15" s="234">
        <v>1.2544010000000001</v>
      </c>
      <c r="N15" s="234">
        <v>1.2857609999999999</v>
      </c>
      <c r="O15" s="234">
        <v>1.3179050000000001</v>
      </c>
      <c r="P15" s="234">
        <v>1.3508530000000001</v>
      </c>
      <c r="Q15" s="234">
        <v>1.3846240000000001</v>
      </c>
      <c r="R15" s="234">
        <v>1.4192400000000001</v>
      </c>
      <c r="S15" s="234">
        <v>1.4547209999999999</v>
      </c>
      <c r="T15" s="234">
        <v>1.4910890000000001</v>
      </c>
      <c r="U15" s="234">
        <v>1.5283659999999999</v>
      </c>
      <c r="V15" s="234">
        <v>1.5665750000000001</v>
      </c>
      <c r="W15" s="234">
        <v>1.605739</v>
      </c>
      <c r="X15" s="234">
        <v>1.645883</v>
      </c>
      <c r="Y15" s="234">
        <v>1.68703</v>
      </c>
      <c r="Z15" s="234">
        <v>1.729206</v>
      </c>
      <c r="AA15" s="234">
        <v>1.7724359999999999</v>
      </c>
      <c r="AB15" s="234">
        <v>1.8167469999999999</v>
      </c>
      <c r="AC15" s="234">
        <v>1.8621650000000001</v>
      </c>
      <c r="AD15" s="234">
        <v>1.9087190000000001</v>
      </c>
      <c r="AE15" s="234">
        <v>1.956437</v>
      </c>
      <c r="AF15" s="234">
        <v>2.0053480000000001</v>
      </c>
      <c r="AG15" s="234">
        <v>2.055482</v>
      </c>
      <c r="AH15" s="234">
        <v>2.1068690000000001</v>
      </c>
      <c r="AI15" s="234">
        <v>2.1595409999999999</v>
      </c>
      <c r="AJ15" s="234">
        <v>2.2135289999999999</v>
      </c>
      <c r="AK15" s="234">
        <v>2.2688679999999999</v>
      </c>
      <c r="AL15" s="234">
        <v>2.3255889999999999</v>
      </c>
      <c r="AM15" s="234">
        <v>2.3837290000000002</v>
      </c>
      <c r="AN15" s="234">
        <v>2.4433220000000002</v>
      </c>
    </row>
    <row r="16" spans="1:40" customFormat="1" ht="14.5" x14ac:dyDescent="0.35">
      <c r="A16" s="228"/>
      <c r="B16" s="230" t="s">
        <v>476</v>
      </c>
      <c r="C16" s="228"/>
      <c r="D16" s="228"/>
      <c r="E16" s="228"/>
      <c r="F16" s="228"/>
      <c r="G16" s="228"/>
      <c r="H16" s="228"/>
      <c r="I16" s="228"/>
      <c r="J16" s="228"/>
      <c r="K16" s="228"/>
      <c r="L16" s="228"/>
      <c r="M16" s="228"/>
      <c r="N16" s="228"/>
      <c r="O16" s="228"/>
      <c r="P16" s="228"/>
      <c r="Q16" s="228"/>
      <c r="R16" s="228"/>
      <c r="S16" s="228"/>
      <c r="T16" s="228"/>
      <c r="U16" s="228"/>
      <c r="V16" s="228"/>
      <c r="W16" s="228"/>
      <c r="X16" s="228"/>
      <c r="Y16" s="228"/>
      <c r="Z16" s="228"/>
      <c r="AA16" s="228"/>
      <c r="AB16" s="228"/>
      <c r="AC16" s="228"/>
      <c r="AD16" s="228"/>
      <c r="AE16" s="228"/>
      <c r="AF16" s="228"/>
      <c r="AG16" s="228"/>
      <c r="AH16" s="228"/>
      <c r="AI16" s="228"/>
      <c r="AJ16" s="228"/>
      <c r="AK16" s="228"/>
      <c r="AL16" s="228"/>
      <c r="AM16" s="228"/>
      <c r="AN16" s="228"/>
    </row>
    <row r="17" spans="1:40" customFormat="1" ht="14.5" x14ac:dyDescent="0.35">
      <c r="A17" s="228"/>
      <c r="B17" s="230" t="s">
        <v>477</v>
      </c>
      <c r="C17" s="228"/>
      <c r="D17" s="228"/>
      <c r="E17" s="228"/>
      <c r="F17" s="228"/>
      <c r="G17" s="228"/>
      <c r="H17" s="228"/>
      <c r="I17" s="228"/>
      <c r="J17" s="228"/>
      <c r="K17" s="228"/>
      <c r="L17" s="228"/>
      <c r="M17" s="228"/>
      <c r="N17" s="228"/>
      <c r="O17" s="228"/>
      <c r="P17" s="228"/>
      <c r="Q17" s="228"/>
      <c r="R17" s="228"/>
      <c r="S17" s="228"/>
      <c r="T17" s="228"/>
      <c r="U17" s="228"/>
      <c r="V17" s="228"/>
      <c r="W17" s="228"/>
      <c r="X17" s="228"/>
      <c r="Y17" s="228"/>
      <c r="Z17" s="228"/>
      <c r="AA17" s="228"/>
      <c r="AB17" s="228"/>
      <c r="AC17" s="228"/>
      <c r="AD17" s="228"/>
      <c r="AE17" s="228"/>
      <c r="AF17" s="228"/>
      <c r="AG17" s="228"/>
      <c r="AH17" s="228"/>
      <c r="AI17" s="228"/>
      <c r="AJ17" s="228"/>
      <c r="AK17" s="228"/>
      <c r="AL17" s="228"/>
      <c r="AM17" s="228"/>
      <c r="AN17" s="228"/>
    </row>
    <row r="18" spans="1:40" customFormat="1" ht="14.5" x14ac:dyDescent="0.35">
      <c r="A18" s="228"/>
      <c r="B18" s="230"/>
      <c r="C18" s="228"/>
      <c r="D18" s="228"/>
      <c r="E18" s="228"/>
      <c r="F18" s="228"/>
      <c r="G18" s="228"/>
      <c r="H18" s="228"/>
      <c r="I18" s="228"/>
      <c r="J18" s="228"/>
      <c r="K18" s="228"/>
      <c r="L18" s="228"/>
      <c r="M18" s="228"/>
      <c r="N18" s="228"/>
      <c r="O18" s="228"/>
      <c r="P18" s="228"/>
      <c r="Q18" s="228"/>
      <c r="R18" s="228"/>
      <c r="S18" s="228"/>
      <c r="T18" s="228"/>
      <c r="U18" s="228"/>
      <c r="V18" s="228"/>
      <c r="W18" s="228"/>
      <c r="X18" s="228"/>
      <c r="Y18" s="228"/>
      <c r="Z18" s="228"/>
      <c r="AA18" s="228"/>
      <c r="AB18" s="228"/>
      <c r="AC18" s="228"/>
      <c r="AD18" s="228"/>
      <c r="AE18" s="228"/>
      <c r="AF18" s="228"/>
      <c r="AG18" s="228"/>
      <c r="AH18" s="228"/>
      <c r="AI18" s="228"/>
      <c r="AJ18" s="228"/>
      <c r="AK18" s="228"/>
      <c r="AL18" s="228"/>
      <c r="AM18" s="228"/>
      <c r="AN18" s="228"/>
    </row>
    <row r="19" spans="1:40" customFormat="1" ht="14.5" x14ac:dyDescent="0.35">
      <c r="A19" s="228"/>
      <c r="B19" s="230" t="s">
        <v>70</v>
      </c>
      <c r="C19" s="228"/>
      <c r="D19" s="228"/>
      <c r="E19" s="228"/>
      <c r="F19" s="228"/>
      <c r="G19" s="228"/>
      <c r="H19" s="228"/>
      <c r="I19" s="228"/>
      <c r="J19" s="228"/>
      <c r="K19" s="228"/>
      <c r="L19" s="228"/>
      <c r="M19" s="228"/>
      <c r="N19" s="228"/>
      <c r="O19" s="228"/>
      <c r="P19" s="228"/>
      <c r="Q19" s="228"/>
      <c r="R19" s="228"/>
      <c r="S19" s="228"/>
      <c r="T19" s="228"/>
      <c r="U19" s="228"/>
      <c r="V19" s="228"/>
      <c r="W19" s="228"/>
      <c r="X19" s="228"/>
      <c r="Y19" s="228"/>
      <c r="Z19" s="228"/>
      <c r="AA19" s="228"/>
      <c r="AB19" s="228"/>
      <c r="AC19" s="228"/>
      <c r="AD19" s="228"/>
      <c r="AE19" s="228"/>
      <c r="AF19" s="228"/>
      <c r="AG19" s="228"/>
      <c r="AH19" s="228"/>
      <c r="AI19" s="228"/>
      <c r="AJ19" s="228"/>
      <c r="AK19" s="228"/>
      <c r="AL19" s="228"/>
      <c r="AM19" s="228"/>
      <c r="AN19" s="228"/>
    </row>
    <row r="20" spans="1:40" customFormat="1" ht="14.5" x14ac:dyDescent="0.35">
      <c r="A20" s="228"/>
      <c r="B20" s="230" t="s">
        <v>454</v>
      </c>
      <c r="C20" s="228"/>
      <c r="D20" s="228"/>
      <c r="E20" s="228"/>
      <c r="F20" s="228"/>
      <c r="G20" s="228"/>
      <c r="H20" s="228"/>
      <c r="I20" s="228"/>
      <c r="J20" s="228"/>
      <c r="K20" s="228"/>
      <c r="L20" s="228"/>
      <c r="M20" s="228"/>
      <c r="N20" s="228"/>
      <c r="O20" s="228"/>
      <c r="P20" s="228"/>
      <c r="Q20" s="228"/>
      <c r="R20" s="228"/>
      <c r="S20" s="228"/>
      <c r="T20" s="228"/>
      <c r="U20" s="228"/>
      <c r="V20" s="228"/>
      <c r="W20" s="228"/>
      <c r="X20" s="228"/>
      <c r="Y20" s="228"/>
      <c r="Z20" s="228"/>
      <c r="AA20" s="228"/>
      <c r="AB20" s="228"/>
      <c r="AC20" s="228"/>
      <c r="AD20" s="228"/>
      <c r="AE20" s="228"/>
      <c r="AF20" s="228"/>
      <c r="AG20" s="228"/>
      <c r="AH20" s="228"/>
      <c r="AI20" s="228"/>
      <c r="AJ20" s="228"/>
      <c r="AK20" s="228"/>
      <c r="AL20" s="228"/>
      <c r="AM20" s="228"/>
      <c r="AN20" s="228"/>
    </row>
    <row r="21" spans="1:40" customFormat="1" ht="14.5" x14ac:dyDescent="0.35">
      <c r="A21" s="228"/>
      <c r="B21" s="230" t="s">
        <v>71</v>
      </c>
      <c r="C21" s="228"/>
      <c r="D21" s="228"/>
      <c r="E21" s="228"/>
      <c r="F21" s="228"/>
      <c r="G21" s="228"/>
      <c r="H21" s="228"/>
      <c r="I21" s="228"/>
      <c r="J21" s="228"/>
      <c r="K21" s="228"/>
      <c r="L21" s="228"/>
      <c r="M21" s="228"/>
      <c r="N21" s="228"/>
      <c r="O21" s="228"/>
      <c r="P21" s="228"/>
      <c r="Q21" s="228"/>
      <c r="R21" s="228"/>
      <c r="S21" s="228"/>
      <c r="T21" s="228"/>
      <c r="U21" s="228"/>
      <c r="V21" s="228"/>
      <c r="W21" s="228"/>
      <c r="X21" s="228"/>
      <c r="Y21" s="228"/>
      <c r="Z21" s="228"/>
      <c r="AA21" s="228"/>
      <c r="AB21" s="228"/>
      <c r="AC21" s="228"/>
      <c r="AD21" s="228"/>
      <c r="AE21" s="228"/>
      <c r="AF21" s="228"/>
      <c r="AG21" s="228"/>
      <c r="AH21" s="228"/>
      <c r="AI21" s="228"/>
      <c r="AJ21" s="228"/>
      <c r="AK21" s="228"/>
      <c r="AL21" s="228"/>
      <c r="AM21" s="228"/>
      <c r="AN21" s="228"/>
    </row>
    <row r="22" spans="1:40" customFormat="1" ht="14.5" x14ac:dyDescent="0.35">
      <c r="A22" s="228"/>
      <c r="B22" s="230" t="s">
        <v>455</v>
      </c>
      <c r="C22" s="228"/>
      <c r="D22" s="228"/>
      <c r="E22" s="228"/>
      <c r="F22" s="228"/>
      <c r="G22" s="228"/>
      <c r="H22" s="228"/>
      <c r="I22" s="228"/>
      <c r="J22" s="228"/>
      <c r="K22" s="228"/>
      <c r="L22" s="228"/>
      <c r="M22" s="228"/>
      <c r="N22" s="228"/>
      <c r="O22" s="228"/>
      <c r="P22" s="228"/>
      <c r="Q22" s="228"/>
      <c r="R22" s="228"/>
      <c r="S22" s="228"/>
      <c r="T22" s="228"/>
      <c r="U22" s="228"/>
      <c r="V22" s="228"/>
      <c r="W22" s="228"/>
      <c r="X22" s="228"/>
      <c r="Y22" s="228"/>
      <c r="Z22" s="228"/>
      <c r="AA22" s="228"/>
      <c r="AB22" s="228"/>
      <c r="AC22" s="228"/>
      <c r="AD22" s="228"/>
      <c r="AE22" s="228"/>
      <c r="AF22" s="228"/>
      <c r="AG22" s="228"/>
      <c r="AH22" s="228"/>
      <c r="AI22" s="228"/>
      <c r="AJ22" s="228"/>
      <c r="AK22" s="228"/>
      <c r="AL22" s="228"/>
      <c r="AM22" s="228"/>
      <c r="AN22" s="228"/>
    </row>
    <row r="23" spans="1:40" customFormat="1" ht="14.5" x14ac:dyDescent="0.35">
      <c r="A23" s="228"/>
      <c r="B23" s="228"/>
      <c r="C23" s="228"/>
      <c r="D23" s="228"/>
      <c r="E23" s="228"/>
      <c r="F23" s="228"/>
      <c r="G23" s="228"/>
      <c r="H23" s="228"/>
      <c r="I23" s="228"/>
      <c r="J23" s="228"/>
      <c r="K23" s="228"/>
      <c r="L23" s="228"/>
      <c r="M23" s="228"/>
      <c r="N23" s="228"/>
      <c r="O23" s="228"/>
      <c r="P23" s="228"/>
      <c r="Q23" s="228"/>
      <c r="R23" s="228"/>
      <c r="S23" s="228"/>
      <c r="T23" s="228"/>
      <c r="U23" s="228"/>
      <c r="V23" s="228"/>
      <c r="W23" s="228"/>
      <c r="X23" s="228"/>
      <c r="Y23" s="228"/>
      <c r="Z23" s="228"/>
      <c r="AA23" s="228"/>
      <c r="AB23" s="228"/>
      <c r="AC23" s="228"/>
      <c r="AD23" s="228"/>
      <c r="AE23" s="228"/>
      <c r="AF23" s="228"/>
      <c r="AG23" s="228"/>
      <c r="AH23" s="228"/>
      <c r="AI23" s="228"/>
      <c r="AJ23" s="228"/>
      <c r="AK23" s="228"/>
      <c r="AL23" s="228"/>
      <c r="AM23" s="228"/>
      <c r="AN23" s="228"/>
    </row>
    <row r="24" spans="1:40" customFormat="1" ht="14.5" x14ac:dyDescent="0.35">
      <c r="A24" s="228"/>
      <c r="B24" s="229" t="s">
        <v>72</v>
      </c>
      <c r="C24" s="231" t="s">
        <v>73</v>
      </c>
      <c r="D24" s="233" t="s">
        <v>74</v>
      </c>
      <c r="E24" s="234">
        <v>100</v>
      </c>
      <c r="F24" s="234">
        <v>120.53</v>
      </c>
      <c r="G24" s="234">
        <v>119.34</v>
      </c>
      <c r="H24" s="234">
        <v>110</v>
      </c>
      <c r="I24" s="234">
        <v>103.08</v>
      </c>
      <c r="J24" s="234">
        <v>94.89</v>
      </c>
      <c r="K24" s="234">
        <v>98.51</v>
      </c>
      <c r="L24" s="234">
        <v>96.1</v>
      </c>
      <c r="M24" s="234">
        <v>96.72</v>
      </c>
      <c r="N24" s="234">
        <v>93.13</v>
      </c>
      <c r="O24" s="234">
        <v>92.97</v>
      </c>
      <c r="P24" s="234">
        <v>93.04</v>
      </c>
      <c r="Q24" s="234">
        <v>96.63</v>
      </c>
      <c r="R24" s="234">
        <v>95.76</v>
      </c>
      <c r="S24" s="234">
        <v>95.26</v>
      </c>
      <c r="T24" s="234">
        <v>93.94</v>
      </c>
      <c r="U24" s="234">
        <v>92.79</v>
      </c>
      <c r="V24" s="234">
        <v>93.62</v>
      </c>
      <c r="W24" s="234">
        <v>93.93</v>
      </c>
      <c r="X24" s="234">
        <v>93.16</v>
      </c>
      <c r="Y24" s="234">
        <v>94.99</v>
      </c>
      <c r="Z24" s="234">
        <v>95.37</v>
      </c>
      <c r="AA24" s="234">
        <v>95.19</v>
      </c>
      <c r="AB24" s="234">
        <v>93.3</v>
      </c>
      <c r="AC24" s="234">
        <v>93.51</v>
      </c>
      <c r="AD24" s="234">
        <v>92.38</v>
      </c>
      <c r="AE24" s="234">
        <v>91.45</v>
      </c>
      <c r="AF24" s="234">
        <v>89.7</v>
      </c>
      <c r="AG24" s="234">
        <v>90.71</v>
      </c>
      <c r="AH24" s="234">
        <v>90.37</v>
      </c>
      <c r="AI24" s="234">
        <v>90.08</v>
      </c>
      <c r="AJ24" s="234">
        <v>88.97</v>
      </c>
      <c r="AK24" s="234">
        <v>89.89</v>
      </c>
      <c r="AL24" s="234">
        <v>92.13</v>
      </c>
      <c r="AM24" s="234">
        <v>93.73</v>
      </c>
      <c r="AN24" s="234">
        <v>92.71</v>
      </c>
    </row>
    <row r="25" spans="1:40" customFormat="1" ht="14.5" x14ac:dyDescent="0.35">
      <c r="A25" s="228"/>
      <c r="B25" s="228"/>
      <c r="C25" s="231" t="s">
        <v>75</v>
      </c>
      <c r="D25" s="233" t="s">
        <v>74</v>
      </c>
      <c r="E25" s="234">
        <v>100</v>
      </c>
      <c r="F25" s="234">
        <v>122.82</v>
      </c>
      <c r="G25" s="234">
        <v>124.16</v>
      </c>
      <c r="H25" s="234">
        <v>116.75</v>
      </c>
      <c r="I25" s="234">
        <v>111.64</v>
      </c>
      <c r="J25" s="234">
        <v>104.87</v>
      </c>
      <c r="K25" s="234">
        <v>111.05</v>
      </c>
      <c r="L25" s="234">
        <v>110.5</v>
      </c>
      <c r="M25" s="234">
        <v>113.43</v>
      </c>
      <c r="N25" s="234">
        <v>111.41</v>
      </c>
      <c r="O25" s="234">
        <v>113.44</v>
      </c>
      <c r="P25" s="234">
        <v>115.8</v>
      </c>
      <c r="Q25" s="234">
        <v>122.67</v>
      </c>
      <c r="R25" s="234">
        <v>124</v>
      </c>
      <c r="S25" s="234">
        <v>125.82</v>
      </c>
      <c r="T25" s="234">
        <v>126.56</v>
      </c>
      <c r="U25" s="234">
        <v>127.51</v>
      </c>
      <c r="V25" s="234">
        <v>131.22</v>
      </c>
      <c r="W25" s="234">
        <v>134.29</v>
      </c>
      <c r="X25" s="234">
        <v>135.85</v>
      </c>
      <c r="Y25" s="234">
        <v>141.29</v>
      </c>
      <c r="Z25" s="234">
        <v>144.69</v>
      </c>
      <c r="AA25" s="234">
        <v>147.31</v>
      </c>
      <c r="AB25" s="234">
        <v>147.27000000000001</v>
      </c>
      <c r="AC25" s="234">
        <v>150.55000000000001</v>
      </c>
      <c r="AD25" s="234">
        <v>151.71</v>
      </c>
      <c r="AE25" s="234">
        <v>153.19</v>
      </c>
      <c r="AF25" s="234">
        <v>153.26</v>
      </c>
      <c r="AG25" s="234">
        <v>158.08000000000001</v>
      </c>
      <c r="AH25" s="234">
        <v>160.63999999999999</v>
      </c>
      <c r="AI25" s="234">
        <v>163.33000000000001</v>
      </c>
      <c r="AJ25" s="234">
        <v>164.54</v>
      </c>
      <c r="AK25" s="234">
        <v>169.57</v>
      </c>
      <c r="AL25" s="234">
        <v>177.27</v>
      </c>
      <c r="AM25" s="234">
        <v>183.96</v>
      </c>
      <c r="AN25" s="234">
        <v>185.59</v>
      </c>
    </row>
    <row r="26" spans="1:40" customFormat="1" ht="14.5" x14ac:dyDescent="0.35">
      <c r="A26" s="228"/>
      <c r="B26" s="228"/>
      <c r="C26" s="228"/>
      <c r="D26" s="228"/>
      <c r="E26" s="228"/>
      <c r="F26" s="228"/>
      <c r="G26" s="228"/>
      <c r="H26" s="228"/>
      <c r="I26" s="228"/>
      <c r="J26" s="228"/>
      <c r="K26" s="228"/>
      <c r="L26" s="228"/>
      <c r="M26" s="228"/>
      <c r="N26" s="228"/>
      <c r="O26" s="228"/>
      <c r="P26" s="228"/>
      <c r="Q26" s="228"/>
      <c r="R26" s="228"/>
      <c r="S26" s="228"/>
      <c r="T26" s="228"/>
      <c r="U26" s="228"/>
      <c r="V26" s="228"/>
      <c r="W26" s="228"/>
      <c r="X26" s="228"/>
      <c r="Y26" s="228"/>
      <c r="Z26" s="228"/>
      <c r="AA26" s="228"/>
      <c r="AB26" s="228"/>
      <c r="AC26" s="228"/>
      <c r="AD26" s="228"/>
      <c r="AE26" s="228"/>
      <c r="AF26" s="228"/>
      <c r="AG26" s="228"/>
      <c r="AH26" s="228"/>
      <c r="AI26" s="228"/>
      <c r="AJ26" s="228"/>
      <c r="AK26" s="228"/>
      <c r="AL26" s="228"/>
      <c r="AM26" s="228"/>
      <c r="AN26" s="228"/>
    </row>
    <row r="27" spans="1:40" customFormat="1" ht="14.5" x14ac:dyDescent="0.35">
      <c r="A27" s="225" t="s">
        <v>76</v>
      </c>
      <c r="B27" s="226"/>
      <c r="C27" s="226"/>
      <c r="D27" s="226"/>
      <c r="E27" s="226"/>
      <c r="F27" s="226"/>
      <c r="G27" s="226"/>
      <c r="H27" s="226"/>
      <c r="I27" s="226"/>
      <c r="J27" s="226"/>
      <c r="K27" s="226"/>
      <c r="L27" s="226"/>
      <c r="M27" s="226"/>
      <c r="N27" s="226"/>
      <c r="O27" s="226"/>
      <c r="P27" s="226"/>
      <c r="Q27" s="226"/>
      <c r="R27" s="226"/>
      <c r="S27" s="226"/>
      <c r="T27" s="226"/>
      <c r="U27" s="226"/>
      <c r="V27" s="226"/>
      <c r="W27" s="226"/>
      <c r="X27" s="226"/>
      <c r="Y27" s="226"/>
      <c r="Z27" s="226"/>
      <c r="AA27" s="226"/>
      <c r="AB27" s="226"/>
      <c r="AC27" s="226"/>
      <c r="AD27" s="226"/>
      <c r="AE27" s="226"/>
      <c r="AF27" s="226"/>
      <c r="AG27" s="226"/>
      <c r="AH27" s="226"/>
      <c r="AI27" s="226"/>
      <c r="AJ27" s="226"/>
      <c r="AK27" s="226"/>
      <c r="AL27" s="226"/>
      <c r="AM27" s="226"/>
      <c r="AN27" s="226"/>
    </row>
  </sheetData>
  <pageMargins left="0.75" right="0.75" top="1" bottom="1" header="0.5" footer="0.5"/>
  <drawing r:id="rId1"/>
  <extLst>
    <ext xmlns:x14="http://schemas.microsoft.com/office/spreadsheetml/2009/9/main" uri="{78C0D931-6437-407d-A8EE-F0AAD7539E65}">
      <x14:conditionalFormattings>
        <x14:conditionalFormatting xmlns:xm="http://schemas.microsoft.com/office/excel/2006/main">
          <x14:cfRule type="expression" priority="2" stopIfTrue="1" id="{84553680-C3CC-4F5D-B107-E35F54B8FE56}">
            <xm:f>Disclaimer!$F$18&lt;&gt;"I ACCEPT"</xm:f>
            <x14:dxf>
              <numFmt numFmtId="175" formatCode=";;;"/>
            </x14:dxf>
          </x14:cfRule>
          <xm:sqref>A2:XFD1048576 A1:J1 L1:XFD1</xm:sqref>
        </x14:conditionalFormatting>
        <x14:conditionalFormatting xmlns:xm="http://schemas.microsoft.com/office/excel/2006/main">
          <x14:cfRule type="expression" priority="1" stopIfTrue="1" id="{6AD1647C-22EC-4766-8AFD-47CCB91ABA8E}">
            <xm:f>Disclaimer!$F$18="I ACCEPT"</xm:f>
            <x14:dxf>
              <numFmt numFmtId="175" formatCode=";;;"/>
            </x14:dxf>
          </x14:cfRule>
          <xm:sqref>K1</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478CBC-17B8-41ED-B97D-782DF20F892A}">
  <sheetPr codeName="Sheet5">
    <pageSetUpPr autoPageBreaks="0"/>
  </sheetPr>
  <dimension ref="A1:BH54"/>
  <sheetViews>
    <sheetView showGridLines="0" zoomScale="85" zoomScaleNormal="85" workbookViewId="0">
      <pane xSplit="5" topLeftCell="F1" activePane="topRight" state="frozen"/>
      <selection pane="topRight"/>
    </sheetView>
  </sheetViews>
  <sheetFormatPr defaultColWidth="0" defaultRowHeight="12.5" zeroHeight="1" x14ac:dyDescent="0.25"/>
  <cols>
    <col min="1" max="1" width="5.54296875" style="127" customWidth="1"/>
    <col min="2" max="2" width="35.453125" style="127" customWidth="1"/>
    <col min="3" max="3" width="28.7265625" style="127" customWidth="1"/>
    <col min="4" max="4" width="10.7265625" style="127" customWidth="1"/>
    <col min="5" max="5" width="12.453125" style="127" customWidth="1"/>
    <col min="6" max="40" width="8.7265625" style="127" customWidth="1"/>
    <col min="41" max="42" width="8.7265625" style="117" hidden="1" customWidth="1"/>
    <col min="43" max="44" width="8.7265625" style="127" hidden="1" customWidth="1"/>
    <col min="45" max="45" width="13.7265625" style="127" hidden="1" customWidth="1"/>
    <col min="46" max="46" width="17.7265625" style="127" hidden="1" customWidth="1"/>
    <col min="47" max="47" width="8.7265625" style="127" hidden="1" customWidth="1"/>
    <col min="48" max="60" width="0" style="127" hidden="1" customWidth="1"/>
    <col min="61" max="16384" width="8.7265625" style="127" hidden="1"/>
  </cols>
  <sheetData>
    <row r="1" spans="1:42" ht="15.5" x14ac:dyDescent="0.45">
      <c r="A1" s="52"/>
      <c r="B1" s="39"/>
      <c r="C1" s="130" t="s">
        <v>54</v>
      </c>
      <c r="D1" s="320" t="str">
        <f>Intro!$C$5</f>
        <v>Aurora’s Hungarian Flexible Energy Market Forecast - Q2 2026</v>
      </c>
      <c r="E1" s="117"/>
      <c r="F1" s="117"/>
      <c r="G1" s="117"/>
      <c r="H1" s="117"/>
      <c r="I1" s="117"/>
      <c r="J1" s="117"/>
      <c r="K1" s="232" t="s">
        <v>55</v>
      </c>
      <c r="L1" s="117"/>
      <c r="M1" s="117"/>
      <c r="N1" s="117"/>
      <c r="O1" s="117"/>
      <c r="P1" s="117"/>
      <c r="Q1" s="117"/>
      <c r="R1" s="117"/>
      <c r="S1" s="117"/>
      <c r="T1" s="117"/>
      <c r="U1" s="117"/>
      <c r="V1" s="117"/>
      <c r="W1" s="117"/>
      <c r="X1" s="117"/>
      <c r="Y1" s="117"/>
      <c r="Z1" s="117"/>
      <c r="AA1" s="117"/>
      <c r="AB1" s="117"/>
      <c r="AC1" s="117"/>
      <c r="AD1" s="117"/>
      <c r="AE1" s="117"/>
      <c r="AF1" s="117"/>
      <c r="AG1" s="117"/>
      <c r="AH1" s="117"/>
      <c r="AI1" s="117"/>
      <c r="AJ1" s="117"/>
      <c r="AK1" s="117"/>
      <c r="AL1" s="117"/>
      <c r="AM1" s="117"/>
      <c r="AN1" s="117"/>
    </row>
    <row r="2" spans="1:42" ht="15.5" x14ac:dyDescent="0.45">
      <c r="A2" s="52"/>
      <c r="B2" s="39"/>
      <c r="C2" s="130" t="s">
        <v>8</v>
      </c>
      <c r="D2" s="136" t="s">
        <v>9</v>
      </c>
      <c r="E2" s="117"/>
      <c r="F2" s="117"/>
      <c r="G2" s="117"/>
      <c r="H2" s="117"/>
      <c r="I2" s="117"/>
      <c r="J2" s="117"/>
      <c r="K2" s="117"/>
      <c r="L2" s="117"/>
      <c r="M2" s="117"/>
      <c r="N2" s="117"/>
      <c r="O2" s="117"/>
      <c r="P2" s="117"/>
      <c r="Q2" s="117"/>
      <c r="R2" s="117"/>
      <c r="S2" s="117"/>
      <c r="T2" s="117"/>
      <c r="U2" s="117"/>
      <c r="V2" s="117"/>
      <c r="W2" s="117"/>
      <c r="X2" s="117"/>
      <c r="Y2" s="117"/>
      <c r="Z2" s="117"/>
      <c r="AA2" s="117"/>
      <c r="AB2" s="117"/>
      <c r="AC2" s="117"/>
      <c r="AD2" s="117"/>
      <c r="AE2" s="117"/>
      <c r="AF2" s="117"/>
      <c r="AG2" s="117"/>
      <c r="AH2" s="117"/>
      <c r="AI2" s="117"/>
      <c r="AJ2" s="117"/>
      <c r="AK2" s="117"/>
      <c r="AL2" s="117"/>
      <c r="AM2" s="117"/>
      <c r="AN2" s="117"/>
    </row>
    <row r="3" spans="1:42" ht="15.5" x14ac:dyDescent="0.45">
      <c r="A3" s="52"/>
      <c r="B3" s="39"/>
      <c r="C3" s="130" t="s">
        <v>10</v>
      </c>
      <c r="D3" s="136" t="s">
        <v>445</v>
      </c>
      <c r="E3" s="117"/>
      <c r="F3" s="117"/>
      <c r="G3" s="117"/>
      <c r="H3" s="117"/>
      <c r="I3" s="117"/>
      <c r="J3" s="117"/>
      <c r="K3" s="117"/>
      <c r="L3" s="117"/>
      <c r="M3" s="117"/>
      <c r="N3" s="117"/>
      <c r="O3" s="117"/>
      <c r="P3" s="117"/>
      <c r="Q3" s="117"/>
      <c r="R3" s="117"/>
      <c r="S3" s="117"/>
      <c r="T3" s="117"/>
      <c r="U3" s="117"/>
      <c r="V3" s="117"/>
      <c r="W3" s="117"/>
      <c r="X3" s="117"/>
      <c r="Y3" s="117"/>
      <c r="Z3" s="117"/>
      <c r="AA3" s="117"/>
      <c r="AB3" s="117"/>
      <c r="AC3" s="117"/>
      <c r="AD3" s="117"/>
      <c r="AE3" s="117"/>
      <c r="AF3" s="117"/>
      <c r="AG3" s="117"/>
      <c r="AH3" s="117"/>
      <c r="AI3" s="117"/>
      <c r="AJ3" s="117"/>
      <c r="AK3" s="117"/>
      <c r="AL3" s="117"/>
      <c r="AM3" s="117"/>
      <c r="AN3" s="117"/>
    </row>
    <row r="4" spans="1:42" ht="15.5" x14ac:dyDescent="0.45">
      <c r="A4" s="39"/>
      <c r="B4" s="39"/>
      <c r="C4" s="130" t="s">
        <v>56</v>
      </c>
      <c r="D4" s="239" t="s">
        <v>77</v>
      </c>
      <c r="E4" s="117"/>
      <c r="F4" s="117"/>
      <c r="G4" s="117"/>
      <c r="H4" s="117"/>
      <c r="I4" s="117"/>
      <c r="J4" s="117"/>
      <c r="K4" s="117"/>
      <c r="L4" s="117"/>
      <c r="M4" s="117"/>
      <c r="N4" s="117"/>
      <c r="O4" s="117"/>
      <c r="P4" s="117"/>
      <c r="Q4" s="117"/>
      <c r="R4" s="117"/>
      <c r="S4" s="117"/>
      <c r="T4" s="117"/>
      <c r="U4" s="117"/>
      <c r="V4" s="117"/>
      <c r="W4" s="117"/>
      <c r="X4" s="117"/>
      <c r="Y4" s="117"/>
      <c r="Z4" s="117"/>
      <c r="AA4" s="117"/>
      <c r="AB4" s="117"/>
      <c r="AC4" s="117"/>
      <c r="AD4" s="117"/>
      <c r="AE4" s="117"/>
      <c r="AF4" s="117"/>
      <c r="AG4" s="117"/>
      <c r="AH4" s="117"/>
      <c r="AI4" s="117"/>
      <c r="AJ4" s="117"/>
      <c r="AK4" s="117"/>
      <c r="AL4" s="117"/>
      <c r="AM4" s="117"/>
      <c r="AN4" s="117"/>
    </row>
    <row r="5" spans="1:42" ht="14.25" customHeight="1" x14ac:dyDescent="0.45">
      <c r="A5" s="52"/>
      <c r="B5" s="52"/>
      <c r="C5" s="117"/>
      <c r="D5" s="117"/>
      <c r="E5" s="117"/>
      <c r="F5" s="117"/>
      <c r="G5" s="117"/>
      <c r="H5" s="117"/>
      <c r="I5" s="117"/>
      <c r="J5" s="117"/>
      <c r="K5" s="117"/>
      <c r="L5" s="117"/>
      <c r="M5" s="117"/>
      <c r="N5" s="117"/>
      <c r="O5" s="117"/>
      <c r="P5" s="117"/>
      <c r="Q5" s="117"/>
      <c r="R5" s="117"/>
      <c r="S5" s="117"/>
      <c r="T5" s="117"/>
      <c r="U5" s="117"/>
      <c r="V5" s="117"/>
      <c r="W5" s="117"/>
      <c r="X5" s="117"/>
      <c r="Y5" s="117"/>
      <c r="Z5" s="117"/>
      <c r="AA5" s="117"/>
      <c r="AB5" s="117"/>
      <c r="AC5" s="117"/>
      <c r="AD5" s="117"/>
      <c r="AE5" s="117"/>
      <c r="AF5" s="117"/>
      <c r="AG5" s="117"/>
      <c r="AH5" s="117"/>
      <c r="AI5" s="117"/>
      <c r="AJ5" s="117"/>
      <c r="AK5" s="117"/>
      <c r="AL5" s="117"/>
      <c r="AM5" s="117"/>
      <c r="AN5" s="117"/>
    </row>
    <row r="6" spans="1:42" ht="13" x14ac:dyDescent="0.3">
      <c r="A6" s="126" t="s">
        <v>58</v>
      </c>
      <c r="B6" s="138"/>
      <c r="C6" s="138"/>
      <c r="D6" s="138"/>
      <c r="E6" s="138"/>
      <c r="F6" s="138"/>
      <c r="G6" s="138"/>
      <c r="H6" s="138"/>
      <c r="I6" s="138"/>
      <c r="J6" s="138"/>
      <c r="K6" s="138"/>
      <c r="L6" s="138"/>
      <c r="M6" s="138"/>
      <c r="N6" s="138"/>
      <c r="O6" s="138"/>
      <c r="P6" s="138"/>
      <c r="Q6" s="138"/>
      <c r="R6" s="138"/>
      <c r="S6" s="138"/>
      <c r="T6" s="138"/>
      <c r="U6" s="138"/>
      <c r="V6" s="138"/>
      <c r="W6" s="138"/>
      <c r="X6" s="138"/>
      <c r="Y6" s="138"/>
      <c r="Z6" s="138"/>
      <c r="AA6" s="138"/>
      <c r="AB6" s="138"/>
      <c r="AC6" s="138"/>
      <c r="AD6" s="138"/>
      <c r="AE6" s="138"/>
      <c r="AF6" s="138"/>
      <c r="AG6" s="138"/>
      <c r="AH6" s="138"/>
      <c r="AI6" s="138"/>
      <c r="AJ6" s="138"/>
      <c r="AK6" s="138"/>
      <c r="AL6" s="138"/>
      <c r="AM6" s="138"/>
      <c r="AN6" s="138"/>
    </row>
    <row r="7" spans="1:42" ht="13" x14ac:dyDescent="0.3">
      <c r="A7" s="129"/>
      <c r="B7" s="129"/>
      <c r="C7" s="129" t="s">
        <v>59</v>
      </c>
      <c r="D7" s="129"/>
      <c r="E7" s="129" t="s">
        <v>60</v>
      </c>
      <c r="F7" s="139">
        <v>2026</v>
      </c>
      <c r="G7" s="139">
        <v>2027</v>
      </c>
      <c r="H7" s="139">
        <v>2028</v>
      </c>
      <c r="I7" s="139">
        <v>2029</v>
      </c>
      <c r="J7" s="139">
        <v>2030</v>
      </c>
      <c r="K7" s="139">
        <v>2031</v>
      </c>
      <c r="L7" s="139">
        <v>2032</v>
      </c>
      <c r="M7" s="139">
        <v>2033</v>
      </c>
      <c r="N7" s="139">
        <v>2034</v>
      </c>
      <c r="O7" s="139">
        <v>2035</v>
      </c>
      <c r="P7" s="139">
        <v>2036</v>
      </c>
      <c r="Q7" s="139">
        <v>2037</v>
      </c>
      <c r="R7" s="139">
        <v>2038</v>
      </c>
      <c r="S7" s="139">
        <v>2039</v>
      </c>
      <c r="T7" s="139">
        <v>2040</v>
      </c>
      <c r="U7" s="139">
        <v>2041</v>
      </c>
      <c r="V7" s="139">
        <v>2042</v>
      </c>
      <c r="W7" s="139">
        <v>2043</v>
      </c>
      <c r="X7" s="139">
        <v>2044</v>
      </c>
      <c r="Y7" s="139">
        <v>2045</v>
      </c>
      <c r="Z7" s="139">
        <v>2046</v>
      </c>
      <c r="AA7" s="139">
        <v>2047</v>
      </c>
      <c r="AB7" s="139">
        <v>2048</v>
      </c>
      <c r="AC7" s="139">
        <v>2049</v>
      </c>
      <c r="AD7" s="139">
        <v>2050</v>
      </c>
      <c r="AE7" s="139">
        <v>2051</v>
      </c>
      <c r="AF7" s="139">
        <v>2052</v>
      </c>
      <c r="AG7" s="139">
        <v>2053</v>
      </c>
      <c r="AH7" s="139">
        <v>2054</v>
      </c>
      <c r="AI7" s="139">
        <v>2055</v>
      </c>
      <c r="AJ7" s="139">
        <v>2056</v>
      </c>
      <c r="AK7" s="139">
        <v>2057</v>
      </c>
      <c r="AL7" s="139">
        <v>2058</v>
      </c>
      <c r="AM7" s="139">
        <v>2059</v>
      </c>
      <c r="AN7" s="139">
        <v>2060</v>
      </c>
      <c r="AO7" s="240"/>
      <c r="AP7" s="127"/>
    </row>
    <row r="8" spans="1:42" ht="13" x14ac:dyDescent="0.3">
      <c r="A8" s="130"/>
      <c r="B8" s="130" t="s">
        <v>78</v>
      </c>
      <c r="C8" s="317" t="s">
        <v>79</v>
      </c>
      <c r="D8" s="117"/>
      <c r="E8" s="141" t="s">
        <v>74</v>
      </c>
      <c r="F8" s="244">
        <v>55.17</v>
      </c>
      <c r="G8" s="244">
        <v>46.93</v>
      </c>
      <c r="H8" s="244">
        <v>38.78</v>
      </c>
      <c r="I8" s="244">
        <v>33.47</v>
      </c>
      <c r="J8" s="244">
        <v>29.09</v>
      </c>
      <c r="K8" s="244">
        <v>30.52</v>
      </c>
      <c r="L8" s="244">
        <v>31.21</v>
      </c>
      <c r="M8" s="244">
        <v>31.58</v>
      </c>
      <c r="N8" s="244">
        <v>31.76</v>
      </c>
      <c r="O8" s="244">
        <v>32.06</v>
      </c>
      <c r="P8" s="244">
        <v>32.29</v>
      </c>
      <c r="Q8" s="244">
        <v>32.51</v>
      </c>
      <c r="R8" s="244">
        <v>32.65</v>
      </c>
      <c r="S8" s="244">
        <v>32.74</v>
      </c>
      <c r="T8" s="244">
        <v>32.85</v>
      </c>
      <c r="U8" s="244">
        <v>33.200000000000003</v>
      </c>
      <c r="V8" s="244">
        <v>33.24</v>
      </c>
      <c r="W8" s="244">
        <v>33.369999999999997</v>
      </c>
      <c r="X8" s="244">
        <v>33.58</v>
      </c>
      <c r="Y8" s="244">
        <v>33.69</v>
      </c>
      <c r="Z8" s="244">
        <v>33.89</v>
      </c>
      <c r="AA8" s="244">
        <v>33.869999999999997</v>
      </c>
      <c r="AB8" s="244">
        <v>34.01</v>
      </c>
      <c r="AC8" s="244">
        <v>34.15</v>
      </c>
      <c r="AD8" s="244">
        <v>34.229999999999997</v>
      </c>
      <c r="AE8" s="244">
        <v>34.32</v>
      </c>
      <c r="AF8" s="244">
        <v>34.49</v>
      </c>
      <c r="AG8" s="244">
        <v>34.47</v>
      </c>
      <c r="AH8" s="244">
        <v>34.64</v>
      </c>
      <c r="AI8" s="244">
        <v>34.67</v>
      </c>
      <c r="AJ8" s="244">
        <v>34.44</v>
      </c>
      <c r="AK8" s="244">
        <v>34.130000000000003</v>
      </c>
      <c r="AL8" s="244">
        <v>33.799999999999997</v>
      </c>
      <c r="AM8" s="244">
        <v>33.49</v>
      </c>
      <c r="AN8" s="244">
        <v>33.299999999999997</v>
      </c>
      <c r="AO8" s="180"/>
      <c r="AP8" s="127"/>
    </row>
    <row r="9" spans="1:42" ht="13" x14ac:dyDescent="0.3">
      <c r="A9" s="130"/>
      <c r="B9" s="130"/>
      <c r="C9" s="317" t="s">
        <v>80</v>
      </c>
      <c r="D9" s="117"/>
      <c r="E9" s="141" t="s">
        <v>81</v>
      </c>
      <c r="F9" s="244">
        <v>70.27</v>
      </c>
      <c r="G9" s="244">
        <v>85.14</v>
      </c>
      <c r="H9" s="244">
        <v>98.27</v>
      </c>
      <c r="I9" s="244">
        <v>110.84</v>
      </c>
      <c r="J9" s="244">
        <v>119.47</v>
      </c>
      <c r="K9" s="244">
        <v>126.85</v>
      </c>
      <c r="L9" s="244">
        <v>132.19</v>
      </c>
      <c r="M9" s="244">
        <v>134.84</v>
      </c>
      <c r="N9" s="244">
        <v>136.47</v>
      </c>
      <c r="O9" s="244">
        <v>138.12</v>
      </c>
      <c r="P9" s="244">
        <v>139.78</v>
      </c>
      <c r="Q9" s="244">
        <v>141.47</v>
      </c>
      <c r="R9" s="244">
        <v>143.18</v>
      </c>
      <c r="S9" s="244">
        <v>144.91</v>
      </c>
      <c r="T9" s="244">
        <v>146.65</v>
      </c>
      <c r="U9" s="244">
        <v>148.41999999999999</v>
      </c>
      <c r="V9" s="244">
        <v>150.21</v>
      </c>
      <c r="W9" s="244">
        <v>152.02000000000001</v>
      </c>
      <c r="X9" s="244">
        <v>153.86000000000001</v>
      </c>
      <c r="Y9" s="244">
        <v>155.71</v>
      </c>
      <c r="Z9" s="244">
        <v>157.59</v>
      </c>
      <c r="AA9" s="244">
        <v>159.49</v>
      </c>
      <c r="AB9" s="244">
        <v>161.41</v>
      </c>
      <c r="AC9" s="244">
        <v>163.36000000000001</v>
      </c>
      <c r="AD9" s="244">
        <v>165.32</v>
      </c>
      <c r="AE9" s="244">
        <v>167.32</v>
      </c>
      <c r="AF9" s="244">
        <v>169.33</v>
      </c>
      <c r="AG9" s="244">
        <v>171.37</v>
      </c>
      <c r="AH9" s="244">
        <v>173.43</v>
      </c>
      <c r="AI9" s="244">
        <v>175.51</v>
      </c>
      <c r="AJ9" s="244">
        <v>177.62</v>
      </c>
      <c r="AK9" s="244">
        <v>179.75</v>
      </c>
      <c r="AL9" s="244">
        <v>181.9</v>
      </c>
      <c r="AM9" s="244">
        <v>184.08</v>
      </c>
      <c r="AN9" s="244">
        <v>186.3</v>
      </c>
      <c r="AO9" s="180"/>
      <c r="AP9" s="127"/>
    </row>
    <row r="10" spans="1:42" ht="13" x14ac:dyDescent="0.3">
      <c r="A10" s="235"/>
      <c r="B10" s="130"/>
      <c r="C10" s="317"/>
      <c r="D10" s="117"/>
      <c r="E10" s="141"/>
      <c r="F10" s="244"/>
      <c r="G10" s="244"/>
      <c r="H10" s="244"/>
      <c r="I10" s="244"/>
      <c r="J10" s="244"/>
      <c r="K10" s="244"/>
      <c r="L10" s="244"/>
      <c r="M10" s="244"/>
      <c r="N10" s="244"/>
      <c r="O10" s="244"/>
      <c r="P10" s="244"/>
      <c r="Q10" s="244"/>
      <c r="R10" s="244"/>
      <c r="S10" s="244"/>
      <c r="T10" s="244"/>
      <c r="U10" s="244"/>
      <c r="V10" s="244"/>
      <c r="W10" s="244"/>
      <c r="X10" s="244"/>
      <c r="Y10" s="244"/>
      <c r="Z10" s="244"/>
      <c r="AA10" s="244"/>
      <c r="AB10" s="244"/>
      <c r="AC10" s="244"/>
      <c r="AD10" s="244"/>
      <c r="AE10" s="244"/>
      <c r="AF10" s="244"/>
      <c r="AG10" s="244"/>
      <c r="AH10" s="244"/>
      <c r="AI10" s="244"/>
      <c r="AJ10" s="244"/>
      <c r="AK10" s="244"/>
      <c r="AL10" s="244"/>
      <c r="AM10" s="244"/>
      <c r="AN10" s="244"/>
      <c r="AO10" s="180"/>
      <c r="AP10" s="127"/>
    </row>
    <row r="11" spans="1:42" ht="13" x14ac:dyDescent="0.3">
      <c r="A11" s="130"/>
      <c r="B11" s="130" t="s">
        <v>82</v>
      </c>
      <c r="C11" s="317" t="s">
        <v>82</v>
      </c>
      <c r="D11" s="117"/>
      <c r="E11" s="241" t="s">
        <v>47</v>
      </c>
      <c r="F11" s="244">
        <v>50.4</v>
      </c>
      <c r="G11" s="244">
        <v>51.1</v>
      </c>
      <c r="H11" s="244">
        <v>51.5</v>
      </c>
      <c r="I11" s="244">
        <v>52.2</v>
      </c>
      <c r="J11" s="244">
        <v>53</v>
      </c>
      <c r="K11" s="244">
        <v>53.4</v>
      </c>
      <c r="L11" s="244">
        <v>53.6</v>
      </c>
      <c r="M11" s="244">
        <v>54</v>
      </c>
      <c r="N11" s="244">
        <v>54.5</v>
      </c>
      <c r="O11" s="244">
        <v>54.8</v>
      </c>
      <c r="P11" s="244">
        <v>55.2</v>
      </c>
      <c r="Q11" s="244">
        <v>55.5</v>
      </c>
      <c r="R11" s="244">
        <v>55.9</v>
      </c>
      <c r="S11" s="244">
        <v>56.4</v>
      </c>
      <c r="T11" s="244">
        <v>57</v>
      </c>
      <c r="U11" s="244">
        <v>57.5</v>
      </c>
      <c r="V11" s="244">
        <v>58</v>
      </c>
      <c r="W11" s="244">
        <v>58.5</v>
      </c>
      <c r="X11" s="244">
        <v>59</v>
      </c>
      <c r="Y11" s="244">
        <v>59.6</v>
      </c>
      <c r="Z11" s="244">
        <v>59.7</v>
      </c>
      <c r="AA11" s="244">
        <v>60.3</v>
      </c>
      <c r="AB11" s="244">
        <v>61</v>
      </c>
      <c r="AC11" s="244">
        <v>61.5</v>
      </c>
      <c r="AD11" s="244">
        <v>62.2</v>
      </c>
      <c r="AE11" s="244">
        <v>62.6</v>
      </c>
      <c r="AF11" s="244">
        <v>63.1</v>
      </c>
      <c r="AG11" s="244">
        <v>63.6</v>
      </c>
      <c r="AH11" s="244">
        <v>64</v>
      </c>
      <c r="AI11" s="244">
        <v>64.5</v>
      </c>
      <c r="AJ11" s="244">
        <v>65</v>
      </c>
      <c r="AK11" s="244">
        <v>65.400000000000006</v>
      </c>
      <c r="AL11" s="244">
        <v>65.8</v>
      </c>
      <c r="AM11" s="244">
        <v>66.2</v>
      </c>
      <c r="AN11" s="244">
        <v>66.599999999999994</v>
      </c>
      <c r="AO11" s="180"/>
      <c r="AP11" s="127"/>
    </row>
    <row r="12" spans="1:42" ht="13" x14ac:dyDescent="0.3">
      <c r="A12" s="130"/>
      <c r="B12" s="130"/>
      <c r="C12" s="317" t="s">
        <v>83</v>
      </c>
      <c r="D12" s="117"/>
      <c r="E12" s="141" t="s">
        <v>47</v>
      </c>
      <c r="F12" s="244">
        <v>48.8</v>
      </c>
      <c r="G12" s="244">
        <v>49.2</v>
      </c>
      <c r="H12" s="244">
        <v>49.2</v>
      </c>
      <c r="I12" s="244">
        <v>49.3</v>
      </c>
      <c r="J12" s="244">
        <v>48.4</v>
      </c>
      <c r="K12" s="244">
        <v>48.9</v>
      </c>
      <c r="L12" s="244">
        <v>48.7</v>
      </c>
      <c r="M12" s="244">
        <v>48.5</v>
      </c>
      <c r="N12" s="244">
        <v>48.3</v>
      </c>
      <c r="O12" s="244">
        <v>48.1</v>
      </c>
      <c r="P12" s="244">
        <v>48</v>
      </c>
      <c r="Q12" s="244">
        <v>47.8</v>
      </c>
      <c r="R12" s="244">
        <v>47.6</v>
      </c>
      <c r="S12" s="244">
        <v>47.4</v>
      </c>
      <c r="T12" s="244">
        <v>47.3</v>
      </c>
      <c r="U12" s="244">
        <v>47.1</v>
      </c>
      <c r="V12" s="244">
        <v>47</v>
      </c>
      <c r="W12" s="244">
        <v>46.8</v>
      </c>
      <c r="X12" s="244">
        <v>46.6</v>
      </c>
      <c r="Y12" s="244">
        <v>46.4</v>
      </c>
      <c r="Z12" s="244">
        <v>46</v>
      </c>
      <c r="AA12" s="244">
        <v>45.8</v>
      </c>
      <c r="AB12" s="244">
        <v>45.7</v>
      </c>
      <c r="AC12" s="244">
        <v>45.6</v>
      </c>
      <c r="AD12" s="244">
        <v>45.6</v>
      </c>
      <c r="AE12" s="244">
        <v>45.4</v>
      </c>
      <c r="AF12" s="244">
        <v>45.3</v>
      </c>
      <c r="AG12" s="244">
        <v>45.2</v>
      </c>
      <c r="AH12" s="244">
        <v>45.1</v>
      </c>
      <c r="AI12" s="244">
        <v>45</v>
      </c>
      <c r="AJ12" s="244">
        <v>44.9</v>
      </c>
      <c r="AK12" s="244">
        <v>44.8</v>
      </c>
      <c r="AL12" s="244">
        <v>44.7</v>
      </c>
      <c r="AM12" s="244">
        <v>44.6</v>
      </c>
      <c r="AN12" s="244">
        <v>44.5</v>
      </c>
      <c r="AO12" s="180"/>
      <c r="AP12" s="127"/>
    </row>
    <row r="13" spans="1:42" ht="13" x14ac:dyDescent="0.3">
      <c r="A13" s="130"/>
      <c r="B13" s="130"/>
      <c r="C13" s="318" t="s">
        <v>84</v>
      </c>
      <c r="D13" s="242"/>
      <c r="E13" s="141" t="s">
        <v>47</v>
      </c>
      <c r="F13" s="244">
        <v>0.5</v>
      </c>
      <c r="G13" s="244">
        <v>0.6</v>
      </c>
      <c r="H13" s="244">
        <v>0.8</v>
      </c>
      <c r="I13" s="244">
        <v>0.9</v>
      </c>
      <c r="J13" s="244">
        <v>1.1000000000000001</v>
      </c>
      <c r="K13" s="244">
        <v>1.4</v>
      </c>
      <c r="L13" s="244">
        <v>1.6</v>
      </c>
      <c r="M13" s="244">
        <v>1.8</v>
      </c>
      <c r="N13" s="244">
        <v>2.1</v>
      </c>
      <c r="O13" s="244">
        <v>2.2999999999999998</v>
      </c>
      <c r="P13" s="244">
        <v>2.6</v>
      </c>
      <c r="Q13" s="244">
        <v>2.9</v>
      </c>
      <c r="R13" s="244">
        <v>3.2</v>
      </c>
      <c r="S13" s="244">
        <v>3.5</v>
      </c>
      <c r="T13" s="244">
        <v>3.9</v>
      </c>
      <c r="U13" s="244">
        <v>4.2</v>
      </c>
      <c r="V13" s="244">
        <v>4.5999999999999996</v>
      </c>
      <c r="W13" s="244">
        <v>4.9000000000000004</v>
      </c>
      <c r="X13" s="244">
        <v>5.3</v>
      </c>
      <c r="Y13" s="244">
        <v>5.6</v>
      </c>
      <c r="Z13" s="244">
        <v>6</v>
      </c>
      <c r="AA13" s="244">
        <v>6.3</v>
      </c>
      <c r="AB13" s="244">
        <v>6.6</v>
      </c>
      <c r="AC13" s="244">
        <v>6.9</v>
      </c>
      <c r="AD13" s="244">
        <v>7.1</v>
      </c>
      <c r="AE13" s="244">
        <v>7.4</v>
      </c>
      <c r="AF13" s="244">
        <v>7.6</v>
      </c>
      <c r="AG13" s="244">
        <v>7.8</v>
      </c>
      <c r="AH13" s="244">
        <v>8</v>
      </c>
      <c r="AI13" s="244">
        <v>8.1999999999999993</v>
      </c>
      <c r="AJ13" s="244">
        <v>8.4</v>
      </c>
      <c r="AK13" s="244">
        <v>8.6</v>
      </c>
      <c r="AL13" s="244">
        <v>8.8000000000000007</v>
      </c>
      <c r="AM13" s="244">
        <v>8.9</v>
      </c>
      <c r="AN13" s="244">
        <v>9.1</v>
      </c>
      <c r="AO13" s="180"/>
      <c r="AP13" s="127"/>
    </row>
    <row r="14" spans="1:42" ht="13" x14ac:dyDescent="0.3">
      <c r="A14" s="130"/>
      <c r="B14" s="130"/>
      <c r="C14" s="318" t="s">
        <v>85</v>
      </c>
      <c r="D14" s="242"/>
      <c r="E14" s="141" t="s">
        <v>47</v>
      </c>
      <c r="F14" s="256">
        <v>1</v>
      </c>
      <c r="G14" s="244">
        <v>1.1000000000000001</v>
      </c>
      <c r="H14" s="244">
        <v>1.3</v>
      </c>
      <c r="I14" s="244">
        <v>1.4</v>
      </c>
      <c r="J14" s="244">
        <v>1.7</v>
      </c>
      <c r="K14" s="244">
        <v>1.9</v>
      </c>
      <c r="L14" s="244">
        <v>2.2000000000000002</v>
      </c>
      <c r="M14" s="244">
        <v>2.4</v>
      </c>
      <c r="N14" s="244">
        <v>2.7</v>
      </c>
      <c r="O14" s="244">
        <v>2.9</v>
      </c>
      <c r="P14" s="244">
        <v>3.2</v>
      </c>
      <c r="Q14" s="244">
        <v>3.4</v>
      </c>
      <c r="R14" s="244">
        <v>3.7</v>
      </c>
      <c r="S14" s="244">
        <v>3.9</v>
      </c>
      <c r="T14" s="244">
        <v>4.2</v>
      </c>
      <c r="U14" s="244">
        <v>4.4000000000000004</v>
      </c>
      <c r="V14" s="244">
        <v>4.5999999999999996</v>
      </c>
      <c r="W14" s="244">
        <v>4.9000000000000004</v>
      </c>
      <c r="X14" s="244">
        <v>5.0999999999999996</v>
      </c>
      <c r="Y14" s="244">
        <v>5.4</v>
      </c>
      <c r="Z14" s="244">
        <v>5.6</v>
      </c>
      <c r="AA14" s="244">
        <v>5.8</v>
      </c>
      <c r="AB14" s="244">
        <v>6.1</v>
      </c>
      <c r="AC14" s="244">
        <v>6.3</v>
      </c>
      <c r="AD14" s="244">
        <v>6.6</v>
      </c>
      <c r="AE14" s="244">
        <v>6.8</v>
      </c>
      <c r="AF14" s="244">
        <v>7.1</v>
      </c>
      <c r="AG14" s="244">
        <v>7.3</v>
      </c>
      <c r="AH14" s="244">
        <v>7.5</v>
      </c>
      <c r="AI14" s="244">
        <v>7.7</v>
      </c>
      <c r="AJ14" s="244">
        <v>8</v>
      </c>
      <c r="AK14" s="244">
        <v>8.1999999999999993</v>
      </c>
      <c r="AL14" s="244">
        <v>8.5</v>
      </c>
      <c r="AM14" s="244">
        <v>8.6999999999999993</v>
      </c>
      <c r="AN14" s="244">
        <v>9</v>
      </c>
      <c r="AO14" s="180"/>
      <c r="AP14" s="127"/>
    </row>
    <row r="15" spans="1:42" ht="13" x14ac:dyDescent="0.3">
      <c r="A15" s="130"/>
      <c r="B15" s="130"/>
      <c r="C15" s="318" t="s">
        <v>86</v>
      </c>
      <c r="D15" s="242"/>
      <c r="E15" s="141" t="s">
        <v>47</v>
      </c>
      <c r="F15" s="256">
        <v>0.2</v>
      </c>
      <c r="G15" s="244">
        <v>0.1</v>
      </c>
      <c r="H15" s="244">
        <v>0.3</v>
      </c>
      <c r="I15" s="244">
        <v>0.6</v>
      </c>
      <c r="J15" s="244">
        <v>1.7</v>
      </c>
      <c r="K15" s="244">
        <v>1.2</v>
      </c>
      <c r="L15" s="244">
        <v>1.2</v>
      </c>
      <c r="M15" s="244">
        <v>1.2</v>
      </c>
      <c r="N15" s="244">
        <v>1.4</v>
      </c>
      <c r="O15" s="244">
        <v>1.4</v>
      </c>
      <c r="P15" s="244">
        <v>1.4</v>
      </c>
      <c r="Q15" s="244">
        <v>1.3</v>
      </c>
      <c r="R15" s="244">
        <v>1.4</v>
      </c>
      <c r="S15" s="244">
        <v>1.5</v>
      </c>
      <c r="T15" s="244">
        <v>1.7</v>
      </c>
      <c r="U15" s="244">
        <v>1.8</v>
      </c>
      <c r="V15" s="244">
        <v>1.9</v>
      </c>
      <c r="W15" s="244">
        <v>1.9</v>
      </c>
      <c r="X15" s="244">
        <v>2</v>
      </c>
      <c r="Y15" s="244">
        <v>2.1</v>
      </c>
      <c r="Z15" s="244">
        <v>2.2000000000000002</v>
      </c>
      <c r="AA15" s="244">
        <v>2.2999999999999998</v>
      </c>
      <c r="AB15" s="244">
        <v>2.5</v>
      </c>
      <c r="AC15" s="244">
        <v>2.7</v>
      </c>
      <c r="AD15" s="244">
        <v>2.9</v>
      </c>
      <c r="AE15" s="244">
        <v>3</v>
      </c>
      <c r="AF15" s="244">
        <v>3.2</v>
      </c>
      <c r="AG15" s="244">
        <v>3.2</v>
      </c>
      <c r="AH15" s="244">
        <v>3.4</v>
      </c>
      <c r="AI15" s="244">
        <v>3.5</v>
      </c>
      <c r="AJ15" s="244">
        <v>3.7</v>
      </c>
      <c r="AK15" s="244">
        <v>3.8</v>
      </c>
      <c r="AL15" s="244">
        <v>3.9</v>
      </c>
      <c r="AM15" s="244">
        <v>4</v>
      </c>
      <c r="AN15" s="244">
        <v>4.0999999999999996</v>
      </c>
      <c r="AO15" s="180"/>
      <c r="AP15" s="127"/>
    </row>
    <row r="16" spans="1:42" ht="13" x14ac:dyDescent="0.3">
      <c r="A16" s="130"/>
      <c r="B16" s="130"/>
      <c r="C16" s="317" t="s">
        <v>87</v>
      </c>
      <c r="D16" s="117"/>
      <c r="E16" s="141" t="s">
        <v>38</v>
      </c>
      <c r="F16" s="244">
        <v>7.6</v>
      </c>
      <c r="G16" s="244">
        <v>7.7</v>
      </c>
      <c r="H16" s="244">
        <v>7.7</v>
      </c>
      <c r="I16" s="244">
        <v>7.8</v>
      </c>
      <c r="J16" s="244">
        <v>7.7</v>
      </c>
      <c r="K16" s="244">
        <v>7.8</v>
      </c>
      <c r="L16" s="244">
        <v>7.8</v>
      </c>
      <c r="M16" s="244">
        <v>7.9</v>
      </c>
      <c r="N16" s="244">
        <v>7.9</v>
      </c>
      <c r="O16" s="244">
        <v>8</v>
      </c>
      <c r="P16" s="244">
        <v>8</v>
      </c>
      <c r="Q16" s="244">
        <v>8</v>
      </c>
      <c r="R16" s="244">
        <v>8.1</v>
      </c>
      <c r="S16" s="244">
        <v>8.1</v>
      </c>
      <c r="T16" s="244">
        <v>8.1</v>
      </c>
      <c r="U16" s="244">
        <v>8.1999999999999993</v>
      </c>
      <c r="V16" s="244">
        <v>8.1999999999999993</v>
      </c>
      <c r="W16" s="244">
        <v>8.3000000000000007</v>
      </c>
      <c r="X16" s="244">
        <v>8.3000000000000007</v>
      </c>
      <c r="Y16" s="244">
        <v>8.4</v>
      </c>
      <c r="Z16" s="244">
        <v>8.4</v>
      </c>
      <c r="AA16" s="244">
        <v>8.5</v>
      </c>
      <c r="AB16" s="244">
        <v>8.5</v>
      </c>
      <c r="AC16" s="244">
        <v>8.6</v>
      </c>
      <c r="AD16" s="244">
        <v>8.6</v>
      </c>
      <c r="AE16" s="244">
        <v>8.6999999999999993</v>
      </c>
      <c r="AF16" s="244">
        <v>8.6999999999999993</v>
      </c>
      <c r="AG16" s="244">
        <v>8.8000000000000007</v>
      </c>
      <c r="AH16" s="244">
        <v>8.9</v>
      </c>
      <c r="AI16" s="244">
        <v>8.9</v>
      </c>
      <c r="AJ16" s="244">
        <v>8.9</v>
      </c>
      <c r="AK16" s="244">
        <v>9</v>
      </c>
      <c r="AL16" s="244">
        <v>9.1</v>
      </c>
      <c r="AM16" s="244">
        <v>9.1</v>
      </c>
      <c r="AN16" s="244">
        <v>9.1</v>
      </c>
      <c r="AO16" s="243"/>
      <c r="AP16" s="127"/>
    </row>
    <row r="17" spans="1:42" ht="13" x14ac:dyDescent="0.3">
      <c r="A17" s="130"/>
      <c r="B17" s="130"/>
      <c r="C17" s="117"/>
      <c r="D17" s="117"/>
      <c r="E17" s="117"/>
      <c r="F17" s="256"/>
      <c r="G17" s="244"/>
      <c r="H17" s="244"/>
      <c r="I17" s="244"/>
      <c r="J17" s="244"/>
      <c r="K17" s="244"/>
      <c r="L17" s="244"/>
      <c r="M17" s="244"/>
      <c r="N17" s="244"/>
      <c r="O17" s="244"/>
      <c r="P17" s="244"/>
      <c r="Q17" s="244"/>
      <c r="R17" s="244"/>
      <c r="S17" s="244"/>
      <c r="T17" s="244"/>
      <c r="U17" s="244"/>
      <c r="V17" s="244"/>
      <c r="W17" s="244"/>
      <c r="X17" s="244"/>
      <c r="Y17" s="244"/>
      <c r="Z17" s="244"/>
      <c r="AA17" s="244"/>
      <c r="AB17" s="244"/>
      <c r="AC17" s="244"/>
      <c r="AD17" s="244"/>
      <c r="AE17" s="244"/>
      <c r="AF17" s="244"/>
      <c r="AG17" s="244"/>
      <c r="AH17" s="244"/>
      <c r="AI17" s="244"/>
      <c r="AJ17" s="244"/>
      <c r="AK17" s="244"/>
      <c r="AL17" s="244"/>
      <c r="AM17" s="244"/>
      <c r="AN17" s="244"/>
      <c r="AO17" s="244"/>
      <c r="AP17" s="244"/>
    </row>
    <row r="18" spans="1:42" ht="13" x14ac:dyDescent="0.3">
      <c r="A18" s="126" t="s">
        <v>88</v>
      </c>
      <c r="B18" s="138"/>
      <c r="C18" s="138"/>
      <c r="D18" s="138"/>
      <c r="E18" s="138"/>
      <c r="F18" s="138"/>
      <c r="G18" s="138"/>
      <c r="H18" s="138"/>
      <c r="I18" s="138"/>
      <c r="J18" s="138"/>
      <c r="K18" s="138"/>
      <c r="L18" s="138"/>
      <c r="M18" s="138"/>
      <c r="N18" s="138"/>
      <c r="O18" s="138"/>
      <c r="P18" s="138"/>
      <c r="Q18" s="138"/>
      <c r="R18" s="138"/>
      <c r="S18" s="138"/>
      <c r="T18" s="138"/>
      <c r="U18" s="138"/>
      <c r="V18" s="138"/>
      <c r="W18" s="138"/>
      <c r="X18" s="138"/>
      <c r="Y18" s="138"/>
      <c r="Z18" s="138"/>
      <c r="AA18" s="138"/>
      <c r="AB18" s="138"/>
      <c r="AC18" s="138"/>
      <c r="AD18" s="138"/>
      <c r="AE18" s="138"/>
      <c r="AF18" s="138"/>
      <c r="AG18" s="138"/>
      <c r="AH18" s="138"/>
      <c r="AI18" s="138"/>
      <c r="AJ18" s="138"/>
      <c r="AK18" s="138"/>
      <c r="AL18" s="138"/>
      <c r="AM18" s="138"/>
      <c r="AN18" s="138"/>
    </row>
    <row r="19" spans="1:42" ht="13" x14ac:dyDescent="0.3">
      <c r="A19" s="129"/>
      <c r="B19" s="129"/>
      <c r="C19" s="129" t="s">
        <v>59</v>
      </c>
      <c r="D19" s="129"/>
      <c r="E19" s="129" t="s">
        <v>60</v>
      </c>
      <c r="F19" s="139">
        <v>2026</v>
      </c>
      <c r="G19" s="139">
        <v>2027</v>
      </c>
      <c r="H19" s="139">
        <v>2028</v>
      </c>
      <c r="I19" s="139">
        <v>2029</v>
      </c>
      <c r="J19" s="139">
        <v>2030</v>
      </c>
      <c r="K19" s="139">
        <v>2031</v>
      </c>
      <c r="L19" s="139">
        <v>2032</v>
      </c>
      <c r="M19" s="139">
        <v>2033</v>
      </c>
      <c r="N19" s="139">
        <v>2034</v>
      </c>
      <c r="O19" s="139">
        <v>2035</v>
      </c>
      <c r="P19" s="139">
        <v>2036</v>
      </c>
      <c r="Q19" s="139">
        <v>2037</v>
      </c>
      <c r="R19" s="139">
        <v>2038</v>
      </c>
      <c r="S19" s="139">
        <v>2039</v>
      </c>
      <c r="T19" s="139">
        <v>2040</v>
      </c>
      <c r="U19" s="139">
        <v>2041</v>
      </c>
      <c r="V19" s="139">
        <v>2042</v>
      </c>
      <c r="W19" s="139">
        <v>2043</v>
      </c>
      <c r="X19" s="139">
        <v>2044</v>
      </c>
      <c r="Y19" s="139">
        <v>2045</v>
      </c>
      <c r="Z19" s="139">
        <v>2046</v>
      </c>
      <c r="AA19" s="139">
        <v>2047</v>
      </c>
      <c r="AB19" s="139">
        <v>2048</v>
      </c>
      <c r="AC19" s="139">
        <v>2049</v>
      </c>
      <c r="AD19" s="139">
        <v>2050</v>
      </c>
      <c r="AE19" s="139">
        <v>2051</v>
      </c>
      <c r="AF19" s="139">
        <v>2052</v>
      </c>
      <c r="AG19" s="139">
        <v>2053</v>
      </c>
      <c r="AH19" s="139">
        <v>2054</v>
      </c>
      <c r="AI19" s="139">
        <v>2055</v>
      </c>
      <c r="AJ19" s="139">
        <v>2056</v>
      </c>
      <c r="AK19" s="139">
        <v>2057</v>
      </c>
      <c r="AL19" s="139">
        <v>2058</v>
      </c>
      <c r="AM19" s="139">
        <v>2059</v>
      </c>
      <c r="AN19" s="139">
        <v>2060</v>
      </c>
      <c r="AO19" s="240"/>
      <c r="AP19" s="127"/>
    </row>
    <row r="20" spans="1:42" ht="13" x14ac:dyDescent="0.3">
      <c r="A20" s="130"/>
      <c r="B20" s="130" t="s">
        <v>89</v>
      </c>
      <c r="C20" s="318" t="s">
        <v>90</v>
      </c>
      <c r="D20" s="117"/>
      <c r="E20" s="141" t="s">
        <v>74</v>
      </c>
      <c r="F20" s="244">
        <v>120.53</v>
      </c>
      <c r="G20" s="244">
        <v>119.34</v>
      </c>
      <c r="H20" s="244">
        <v>110</v>
      </c>
      <c r="I20" s="244">
        <v>103.08</v>
      </c>
      <c r="J20" s="244">
        <v>94.89</v>
      </c>
      <c r="K20" s="244">
        <v>98.51</v>
      </c>
      <c r="L20" s="244">
        <v>96.1</v>
      </c>
      <c r="M20" s="244">
        <v>96.72</v>
      </c>
      <c r="N20" s="244">
        <v>93.13</v>
      </c>
      <c r="O20" s="244">
        <v>92.97</v>
      </c>
      <c r="P20" s="244">
        <v>93.04</v>
      </c>
      <c r="Q20" s="244">
        <v>96.63</v>
      </c>
      <c r="R20" s="244">
        <v>95.76</v>
      </c>
      <c r="S20" s="244">
        <v>95.26</v>
      </c>
      <c r="T20" s="244">
        <v>93.94</v>
      </c>
      <c r="U20" s="244">
        <v>92.79</v>
      </c>
      <c r="V20" s="244">
        <v>93.62</v>
      </c>
      <c r="W20" s="244">
        <v>93.93</v>
      </c>
      <c r="X20" s="244">
        <v>93.16</v>
      </c>
      <c r="Y20" s="244">
        <v>94.99</v>
      </c>
      <c r="Z20" s="244">
        <v>95.37</v>
      </c>
      <c r="AA20" s="244">
        <v>95.19</v>
      </c>
      <c r="AB20" s="244">
        <v>93.3</v>
      </c>
      <c r="AC20" s="244">
        <v>93.51</v>
      </c>
      <c r="AD20" s="244">
        <v>92.38</v>
      </c>
      <c r="AE20" s="244">
        <v>91.45</v>
      </c>
      <c r="AF20" s="244">
        <v>89.7</v>
      </c>
      <c r="AG20" s="244">
        <v>90.71</v>
      </c>
      <c r="AH20" s="244">
        <v>90.37</v>
      </c>
      <c r="AI20" s="244">
        <v>90.08</v>
      </c>
      <c r="AJ20" s="244">
        <v>88.97</v>
      </c>
      <c r="AK20" s="244">
        <v>89.89</v>
      </c>
      <c r="AL20" s="244">
        <v>92.13</v>
      </c>
      <c r="AM20" s="244">
        <v>93.73</v>
      </c>
      <c r="AN20" s="244">
        <v>92.71</v>
      </c>
      <c r="AO20" s="180"/>
      <c r="AP20" s="127"/>
    </row>
    <row r="21" spans="1:42" ht="13" x14ac:dyDescent="0.3">
      <c r="A21" s="130"/>
      <c r="B21" s="130" t="s">
        <v>91</v>
      </c>
      <c r="C21" s="128"/>
      <c r="D21" s="117"/>
      <c r="E21" s="141" t="s">
        <v>74</v>
      </c>
      <c r="F21" s="244">
        <v>120.53</v>
      </c>
      <c r="G21" s="244">
        <v>119.34</v>
      </c>
      <c r="H21" s="244">
        <v>110</v>
      </c>
      <c r="I21" s="244">
        <v>103.08</v>
      </c>
      <c r="J21" s="244">
        <v>94.89</v>
      </c>
      <c r="K21" s="244">
        <v>98.51</v>
      </c>
      <c r="L21" s="244">
        <v>96.1</v>
      </c>
      <c r="M21" s="244">
        <v>96.72</v>
      </c>
      <c r="N21" s="244">
        <v>93.13</v>
      </c>
      <c r="O21" s="244">
        <v>92.97</v>
      </c>
      <c r="P21" s="244">
        <v>93.04</v>
      </c>
      <c r="Q21" s="244">
        <v>96.63</v>
      </c>
      <c r="R21" s="244">
        <v>95.76</v>
      </c>
      <c r="S21" s="244">
        <v>95.26</v>
      </c>
      <c r="T21" s="244">
        <v>93.94</v>
      </c>
      <c r="U21" s="244">
        <v>92.79</v>
      </c>
      <c r="V21" s="244">
        <v>93.62</v>
      </c>
      <c r="W21" s="244">
        <v>93.93</v>
      </c>
      <c r="X21" s="244">
        <v>93.16</v>
      </c>
      <c r="Y21" s="244">
        <v>94.99</v>
      </c>
      <c r="Z21" s="244">
        <v>95.37</v>
      </c>
      <c r="AA21" s="244">
        <v>95.19</v>
      </c>
      <c r="AB21" s="244">
        <v>93.3</v>
      </c>
      <c r="AC21" s="244">
        <v>93.51</v>
      </c>
      <c r="AD21" s="244">
        <v>92.38</v>
      </c>
      <c r="AE21" s="244">
        <v>91.45</v>
      </c>
      <c r="AF21" s="244">
        <v>89.7</v>
      </c>
      <c r="AG21" s="244">
        <v>90.71</v>
      </c>
      <c r="AH21" s="244">
        <v>90.37</v>
      </c>
      <c r="AI21" s="244">
        <v>90.08</v>
      </c>
      <c r="AJ21" s="244">
        <v>88.97</v>
      </c>
      <c r="AK21" s="244">
        <v>89.89</v>
      </c>
      <c r="AL21" s="244">
        <v>92.13</v>
      </c>
      <c r="AM21" s="244">
        <v>93.73</v>
      </c>
      <c r="AN21" s="244">
        <v>92.71</v>
      </c>
      <c r="AO21" s="180"/>
      <c r="AP21" s="127"/>
    </row>
    <row r="22" spans="1:42" ht="13" x14ac:dyDescent="0.3">
      <c r="A22" s="130"/>
      <c r="B22" s="130"/>
      <c r="C22" s="128"/>
      <c r="D22" s="117"/>
      <c r="E22" s="141"/>
      <c r="F22" s="244"/>
      <c r="G22" s="244"/>
      <c r="H22" s="244"/>
      <c r="I22" s="244"/>
      <c r="J22" s="244"/>
      <c r="K22" s="244"/>
      <c r="L22" s="244"/>
      <c r="M22" s="244"/>
      <c r="N22" s="244"/>
      <c r="O22" s="244"/>
      <c r="P22" s="244"/>
      <c r="Q22" s="244"/>
      <c r="R22" s="244"/>
      <c r="S22" s="244"/>
      <c r="T22" s="244"/>
      <c r="U22" s="244"/>
      <c r="V22" s="244"/>
      <c r="W22" s="244"/>
      <c r="X22" s="244"/>
      <c r="Y22" s="244"/>
      <c r="Z22" s="244"/>
      <c r="AA22" s="244"/>
      <c r="AB22" s="244"/>
      <c r="AC22" s="244"/>
      <c r="AD22" s="244"/>
      <c r="AE22" s="244"/>
      <c r="AF22" s="244"/>
      <c r="AG22" s="244"/>
      <c r="AH22" s="244"/>
      <c r="AI22" s="244"/>
      <c r="AJ22" s="244"/>
      <c r="AK22" s="244"/>
      <c r="AL22" s="244"/>
      <c r="AM22" s="244"/>
      <c r="AN22" s="244"/>
      <c r="AO22" s="180"/>
      <c r="AP22" s="127"/>
    </row>
    <row r="23" spans="1:42" ht="13" x14ac:dyDescent="0.3">
      <c r="A23" s="130"/>
      <c r="B23" s="130" t="s">
        <v>92</v>
      </c>
      <c r="C23" s="317" t="s">
        <v>93</v>
      </c>
      <c r="D23" s="117"/>
      <c r="E23" s="141" t="s">
        <v>94</v>
      </c>
      <c r="F23" s="244">
        <v>66.599999999999994</v>
      </c>
      <c r="G23" s="244">
        <v>74.3</v>
      </c>
      <c r="H23" s="244">
        <v>70.7</v>
      </c>
      <c r="I23" s="244">
        <v>67.400000000000006</v>
      </c>
      <c r="J23" s="244">
        <v>58.2</v>
      </c>
      <c r="K23" s="244">
        <v>64.7</v>
      </c>
      <c r="L23" s="244">
        <v>57.7</v>
      </c>
      <c r="M23" s="244">
        <v>59.1</v>
      </c>
      <c r="N23" s="244">
        <v>53.6</v>
      </c>
      <c r="O23" s="244">
        <v>53.6</v>
      </c>
      <c r="P23" s="244">
        <v>54.7</v>
      </c>
      <c r="Q23" s="244">
        <v>58.9</v>
      </c>
      <c r="R23" s="244">
        <v>58</v>
      </c>
      <c r="S23" s="244">
        <v>57.9</v>
      </c>
      <c r="T23" s="244">
        <v>54.9</v>
      </c>
      <c r="U23" s="244">
        <v>54.2</v>
      </c>
      <c r="V23" s="244">
        <v>54.9</v>
      </c>
      <c r="W23" s="244">
        <v>54.4</v>
      </c>
      <c r="X23" s="244">
        <v>54</v>
      </c>
      <c r="Y23" s="244">
        <v>56.2</v>
      </c>
      <c r="Z23" s="244">
        <v>56.4</v>
      </c>
      <c r="AA23" s="244">
        <v>55.8</v>
      </c>
      <c r="AB23" s="244">
        <v>52.8</v>
      </c>
      <c r="AC23" s="244">
        <v>52.7</v>
      </c>
      <c r="AD23" s="244">
        <v>51</v>
      </c>
      <c r="AE23" s="244">
        <v>50.7</v>
      </c>
      <c r="AF23" s="244">
        <v>49.8</v>
      </c>
      <c r="AG23" s="244">
        <v>50.1</v>
      </c>
      <c r="AH23" s="244">
        <v>49.6</v>
      </c>
      <c r="AI23" s="244">
        <v>49</v>
      </c>
      <c r="AJ23" s="244">
        <v>47.8</v>
      </c>
      <c r="AK23" s="244">
        <v>48.8</v>
      </c>
      <c r="AL23" s="244">
        <v>49.5</v>
      </c>
      <c r="AM23" s="244">
        <v>50.1</v>
      </c>
      <c r="AN23" s="244">
        <v>49.9</v>
      </c>
      <c r="AO23" s="180"/>
      <c r="AP23" s="127"/>
    </row>
    <row r="24" spans="1:42" ht="13" x14ac:dyDescent="0.3">
      <c r="A24" s="130"/>
      <c r="B24" s="130"/>
      <c r="C24" s="317" t="s">
        <v>95</v>
      </c>
      <c r="D24" s="117"/>
      <c r="E24" s="245" t="s">
        <v>94</v>
      </c>
      <c r="F24" s="244">
        <v>11.2</v>
      </c>
      <c r="G24" s="244">
        <v>6.2</v>
      </c>
      <c r="H24" s="244">
        <v>7.6</v>
      </c>
      <c r="I24" s="244">
        <v>10.5</v>
      </c>
      <c r="J24" s="244">
        <v>17.600000000000001</v>
      </c>
      <c r="K24" s="244">
        <v>12.9</v>
      </c>
      <c r="L24" s="244">
        <v>19.7</v>
      </c>
      <c r="M24" s="244">
        <v>19.2</v>
      </c>
      <c r="N24" s="244">
        <v>23.8</v>
      </c>
      <c r="O24" s="244">
        <v>23.8</v>
      </c>
      <c r="P24" s="244">
        <v>22.5</v>
      </c>
      <c r="Q24" s="244">
        <v>19.100000000000001</v>
      </c>
      <c r="R24" s="244">
        <v>19.7</v>
      </c>
      <c r="S24" s="244">
        <v>19.5</v>
      </c>
      <c r="T24" s="244">
        <v>21.1</v>
      </c>
      <c r="U24" s="244">
        <v>20.6</v>
      </c>
      <c r="V24" s="244">
        <v>20.2</v>
      </c>
      <c r="W24" s="244">
        <v>20.399999999999999</v>
      </c>
      <c r="X24" s="244">
        <v>20</v>
      </c>
      <c r="Y24" s="244">
        <v>17.600000000000001</v>
      </c>
      <c r="Z24" s="244">
        <v>17</v>
      </c>
      <c r="AA24" s="244">
        <v>16.399999999999999</v>
      </c>
      <c r="AB24" s="244">
        <v>16.8</v>
      </c>
      <c r="AC24" s="244">
        <v>15.4</v>
      </c>
      <c r="AD24" s="244">
        <v>14.7</v>
      </c>
      <c r="AE24" s="244">
        <v>14.4</v>
      </c>
      <c r="AF24" s="244">
        <v>13.9</v>
      </c>
      <c r="AG24" s="244">
        <v>13.7</v>
      </c>
      <c r="AH24" s="244">
        <v>13.4</v>
      </c>
      <c r="AI24" s="244">
        <v>13.1</v>
      </c>
      <c r="AJ24" s="244">
        <v>13.4</v>
      </c>
      <c r="AK24" s="244">
        <v>14.9</v>
      </c>
      <c r="AL24" s="244">
        <v>14.2</v>
      </c>
      <c r="AM24" s="244">
        <v>13.2</v>
      </c>
      <c r="AN24" s="244">
        <v>11.7</v>
      </c>
      <c r="AO24" s="180"/>
      <c r="AP24" s="127"/>
    </row>
    <row r="25" spans="1:42" ht="13" x14ac:dyDescent="0.3">
      <c r="A25" s="130"/>
      <c r="B25" s="130"/>
      <c r="C25" s="317" t="s">
        <v>96</v>
      </c>
      <c r="D25" s="117"/>
      <c r="E25" s="141" t="s">
        <v>94</v>
      </c>
      <c r="F25" s="244">
        <v>6.2</v>
      </c>
      <c r="G25" s="244">
        <v>4.2</v>
      </c>
      <c r="H25" s="244">
        <v>5.8</v>
      </c>
      <c r="I25" s="244">
        <v>7</v>
      </c>
      <c r="J25" s="244">
        <v>7.1</v>
      </c>
      <c r="K25" s="244">
        <v>5.7</v>
      </c>
      <c r="L25" s="244">
        <v>5.2</v>
      </c>
      <c r="M25" s="244">
        <v>5</v>
      </c>
      <c r="N25" s="244">
        <v>5.5</v>
      </c>
      <c r="O25" s="244">
        <v>5.7</v>
      </c>
      <c r="P25" s="244">
        <v>5.7</v>
      </c>
      <c r="Q25" s="244">
        <v>6</v>
      </c>
      <c r="R25" s="244">
        <v>6.4</v>
      </c>
      <c r="S25" s="244">
        <v>6</v>
      </c>
      <c r="T25" s="244">
        <v>6.5</v>
      </c>
      <c r="U25" s="244">
        <v>6.3</v>
      </c>
      <c r="V25" s="244">
        <v>5.8</v>
      </c>
      <c r="W25" s="244">
        <v>5.7</v>
      </c>
      <c r="X25" s="244">
        <v>6</v>
      </c>
      <c r="Y25" s="244">
        <v>6.2</v>
      </c>
      <c r="Z25" s="244">
        <v>6.6</v>
      </c>
      <c r="AA25" s="244">
        <v>7.3</v>
      </c>
      <c r="AB25" s="244">
        <v>9.1999999999999993</v>
      </c>
      <c r="AC25" s="244">
        <v>10.5</v>
      </c>
      <c r="AD25" s="244">
        <v>12.5</v>
      </c>
      <c r="AE25" s="244">
        <v>13</v>
      </c>
      <c r="AF25" s="244">
        <v>14.1</v>
      </c>
      <c r="AG25" s="244">
        <v>13.9</v>
      </c>
      <c r="AH25" s="244">
        <v>14.4</v>
      </c>
      <c r="AI25" s="244">
        <v>14.9</v>
      </c>
      <c r="AJ25" s="244">
        <v>15.7</v>
      </c>
      <c r="AK25" s="244">
        <v>13.3</v>
      </c>
      <c r="AL25" s="244">
        <v>13.3</v>
      </c>
      <c r="AM25" s="244">
        <v>14</v>
      </c>
      <c r="AN25" s="244">
        <v>15.6</v>
      </c>
      <c r="AO25" s="180"/>
      <c r="AP25" s="127"/>
    </row>
    <row r="26" spans="1:42" ht="13" x14ac:dyDescent="0.3">
      <c r="A26" s="130"/>
      <c r="B26" s="130"/>
      <c r="C26" s="317" t="s">
        <v>97</v>
      </c>
      <c r="D26" s="117"/>
      <c r="E26" s="141" t="s">
        <v>94</v>
      </c>
      <c r="F26" s="244">
        <v>3.6</v>
      </c>
      <c r="G26" s="244">
        <v>2.8</v>
      </c>
      <c r="H26" s="244">
        <v>3.3</v>
      </c>
      <c r="I26" s="244">
        <v>2.8</v>
      </c>
      <c r="J26" s="244">
        <v>2.6</v>
      </c>
      <c r="K26" s="244">
        <v>1.9</v>
      </c>
      <c r="L26" s="244">
        <v>2.2000000000000002</v>
      </c>
      <c r="M26" s="244">
        <v>1.9</v>
      </c>
      <c r="N26" s="244">
        <v>1.6</v>
      </c>
      <c r="O26" s="244">
        <v>1.3</v>
      </c>
      <c r="P26" s="244">
        <v>1.5</v>
      </c>
      <c r="Q26" s="244">
        <v>1.1000000000000001</v>
      </c>
      <c r="R26" s="244">
        <v>1.2</v>
      </c>
      <c r="S26" s="244">
        <v>1.8</v>
      </c>
      <c r="T26" s="244">
        <v>1.8</v>
      </c>
      <c r="U26" s="244">
        <v>1.8</v>
      </c>
      <c r="V26" s="244">
        <v>1.5</v>
      </c>
      <c r="W26" s="244">
        <v>1.5</v>
      </c>
      <c r="X26" s="244">
        <v>1.4</v>
      </c>
      <c r="Y26" s="244">
        <v>2</v>
      </c>
      <c r="Z26" s="244">
        <v>2.7</v>
      </c>
      <c r="AA26" s="244">
        <v>3.1</v>
      </c>
      <c r="AB26" s="244">
        <v>2.4</v>
      </c>
      <c r="AC26" s="244">
        <v>2.4</v>
      </c>
      <c r="AD26" s="244">
        <v>2.5</v>
      </c>
      <c r="AE26" s="244">
        <v>2.7</v>
      </c>
      <c r="AF26" s="244">
        <v>2.9</v>
      </c>
      <c r="AG26" s="244">
        <v>2.8</v>
      </c>
      <c r="AH26" s="244">
        <v>2.6</v>
      </c>
      <c r="AI26" s="244">
        <v>2.6</v>
      </c>
      <c r="AJ26" s="244">
        <v>2.4</v>
      </c>
      <c r="AK26" s="244">
        <v>2.6</v>
      </c>
      <c r="AL26" s="244">
        <v>2.2999999999999998</v>
      </c>
      <c r="AM26" s="244">
        <v>2.4</v>
      </c>
      <c r="AN26" s="244">
        <v>2.4</v>
      </c>
      <c r="AO26" s="180"/>
      <c r="AP26" s="127"/>
    </row>
    <row r="27" spans="1:42" ht="13" x14ac:dyDescent="0.3">
      <c r="A27" s="130"/>
      <c r="B27" s="130"/>
      <c r="C27" s="317" t="s">
        <v>98</v>
      </c>
      <c r="D27" s="117"/>
      <c r="E27" s="141" t="s">
        <v>94</v>
      </c>
      <c r="F27" s="244">
        <v>3.3</v>
      </c>
      <c r="G27" s="244">
        <v>2.5</v>
      </c>
      <c r="H27" s="244">
        <v>1.8</v>
      </c>
      <c r="I27" s="244">
        <v>1.1000000000000001</v>
      </c>
      <c r="J27" s="244">
        <v>1.7</v>
      </c>
      <c r="K27" s="244">
        <v>0.9</v>
      </c>
      <c r="L27" s="244">
        <v>1.2</v>
      </c>
      <c r="M27" s="244">
        <v>1.1000000000000001</v>
      </c>
      <c r="N27" s="244">
        <v>0.9</v>
      </c>
      <c r="O27" s="244">
        <v>0.8</v>
      </c>
      <c r="P27" s="244">
        <v>0.5</v>
      </c>
      <c r="Q27" s="244">
        <v>0.7</v>
      </c>
      <c r="R27" s="244">
        <v>0.8</v>
      </c>
      <c r="S27" s="244">
        <v>0.8</v>
      </c>
      <c r="T27" s="244">
        <v>1</v>
      </c>
      <c r="U27" s="244">
        <v>2.1</v>
      </c>
      <c r="V27" s="244">
        <v>2.6</v>
      </c>
      <c r="W27" s="244">
        <v>2.5</v>
      </c>
      <c r="X27" s="244">
        <v>2.5</v>
      </c>
      <c r="Y27" s="244">
        <v>3.2</v>
      </c>
      <c r="Z27" s="244">
        <v>2.4</v>
      </c>
      <c r="AA27" s="244">
        <v>2.2000000000000002</v>
      </c>
      <c r="AB27" s="244">
        <v>2.4</v>
      </c>
      <c r="AC27" s="244">
        <v>2</v>
      </c>
      <c r="AD27" s="244">
        <v>1.9</v>
      </c>
      <c r="AE27" s="244">
        <v>1.9</v>
      </c>
      <c r="AF27" s="244">
        <v>1.4</v>
      </c>
      <c r="AG27" s="244">
        <v>1.6</v>
      </c>
      <c r="AH27" s="244">
        <v>1.7</v>
      </c>
      <c r="AI27" s="244">
        <v>2.1</v>
      </c>
      <c r="AJ27" s="244">
        <v>2.1</v>
      </c>
      <c r="AK27" s="244">
        <v>1.5</v>
      </c>
      <c r="AL27" s="244">
        <v>1.4</v>
      </c>
      <c r="AM27" s="244">
        <v>1.1000000000000001</v>
      </c>
      <c r="AN27" s="244">
        <v>1.1000000000000001</v>
      </c>
      <c r="AO27" s="180"/>
      <c r="AP27" s="127"/>
    </row>
    <row r="28" spans="1:42" ht="13" x14ac:dyDescent="0.3">
      <c r="A28" s="130"/>
      <c r="B28" s="130"/>
      <c r="C28" s="317" t="s">
        <v>99</v>
      </c>
      <c r="D28" s="117"/>
      <c r="E28" s="141" t="s">
        <v>94</v>
      </c>
      <c r="F28" s="244">
        <v>5.7</v>
      </c>
      <c r="G28" s="244">
        <v>5.8</v>
      </c>
      <c r="H28" s="244">
        <v>7.1</v>
      </c>
      <c r="I28" s="244">
        <v>8.1999999999999993</v>
      </c>
      <c r="J28" s="244">
        <v>10.4</v>
      </c>
      <c r="K28" s="244">
        <v>10.8</v>
      </c>
      <c r="L28" s="244">
        <v>12.3</v>
      </c>
      <c r="M28" s="244">
        <v>12</v>
      </c>
      <c r="N28" s="244">
        <v>14</v>
      </c>
      <c r="O28" s="244">
        <v>14.7</v>
      </c>
      <c r="P28" s="244">
        <v>14.9</v>
      </c>
      <c r="Q28" s="244">
        <v>14.1</v>
      </c>
      <c r="R28" s="244">
        <v>13.8</v>
      </c>
      <c r="S28" s="244">
        <v>14</v>
      </c>
      <c r="T28" s="244">
        <v>14.6</v>
      </c>
      <c r="U28" s="244">
        <v>15</v>
      </c>
      <c r="V28" s="244">
        <v>15</v>
      </c>
      <c r="W28" s="244">
        <v>15.4</v>
      </c>
      <c r="X28" s="244">
        <v>16</v>
      </c>
      <c r="Y28" s="244">
        <v>14.8</v>
      </c>
      <c r="Z28" s="244">
        <v>14.9</v>
      </c>
      <c r="AA28" s="244">
        <v>15.2</v>
      </c>
      <c r="AB28" s="244">
        <v>16.5</v>
      </c>
      <c r="AC28" s="244">
        <v>17</v>
      </c>
      <c r="AD28" s="244">
        <v>17.399999999999999</v>
      </c>
      <c r="AE28" s="244">
        <v>17.399999999999999</v>
      </c>
      <c r="AF28" s="244">
        <v>17.899999999999999</v>
      </c>
      <c r="AG28" s="244">
        <v>18</v>
      </c>
      <c r="AH28" s="244">
        <v>18.3</v>
      </c>
      <c r="AI28" s="244">
        <v>18.2</v>
      </c>
      <c r="AJ28" s="244">
        <v>18.7</v>
      </c>
      <c r="AK28" s="244">
        <v>18.8</v>
      </c>
      <c r="AL28" s="244">
        <v>19.3</v>
      </c>
      <c r="AM28" s="244">
        <v>19.2</v>
      </c>
      <c r="AN28" s="244">
        <v>19.3</v>
      </c>
      <c r="AO28" s="180"/>
      <c r="AP28" s="127"/>
    </row>
    <row r="29" spans="1:42" ht="13" x14ac:dyDescent="0.3">
      <c r="A29" s="235"/>
      <c r="B29" s="130"/>
      <c r="C29" s="317" t="s">
        <v>100</v>
      </c>
      <c r="D29" s="117"/>
      <c r="E29" s="141" t="s">
        <v>94</v>
      </c>
      <c r="F29" s="244">
        <v>3.5</v>
      </c>
      <c r="G29" s="244">
        <v>4.3</v>
      </c>
      <c r="H29" s="244">
        <v>3.8</v>
      </c>
      <c r="I29" s="244">
        <v>3</v>
      </c>
      <c r="J29" s="244">
        <v>2.4</v>
      </c>
      <c r="K29" s="244">
        <v>3.1</v>
      </c>
      <c r="L29" s="244">
        <v>1.6</v>
      </c>
      <c r="M29" s="244">
        <v>1.6</v>
      </c>
      <c r="N29" s="244">
        <v>0.5</v>
      </c>
      <c r="O29" s="244">
        <v>0.1</v>
      </c>
      <c r="P29" s="244">
        <v>0.1</v>
      </c>
      <c r="Q29" s="244">
        <v>0</v>
      </c>
      <c r="R29" s="244">
        <v>0</v>
      </c>
      <c r="S29" s="244">
        <v>0.1</v>
      </c>
      <c r="T29" s="244">
        <v>0.1</v>
      </c>
      <c r="U29" s="244">
        <v>0</v>
      </c>
      <c r="V29" s="244">
        <v>0.1</v>
      </c>
      <c r="W29" s="244">
        <v>0.1</v>
      </c>
      <c r="X29" s="244">
        <v>0</v>
      </c>
      <c r="Y29" s="244">
        <v>0</v>
      </c>
      <c r="Z29" s="244">
        <v>0</v>
      </c>
      <c r="AA29" s="244">
        <v>0</v>
      </c>
      <c r="AB29" s="244">
        <v>0</v>
      </c>
      <c r="AC29" s="244">
        <v>0</v>
      </c>
      <c r="AD29" s="244">
        <v>0</v>
      </c>
      <c r="AE29" s="244">
        <v>0</v>
      </c>
      <c r="AF29" s="244">
        <v>0</v>
      </c>
      <c r="AG29" s="244">
        <v>0</v>
      </c>
      <c r="AH29" s="244">
        <v>0</v>
      </c>
      <c r="AI29" s="244">
        <v>0</v>
      </c>
      <c r="AJ29" s="244">
        <v>0</v>
      </c>
      <c r="AK29" s="244">
        <v>0</v>
      </c>
      <c r="AL29" s="244">
        <v>0</v>
      </c>
      <c r="AM29" s="244">
        <v>0</v>
      </c>
      <c r="AN29" s="244">
        <v>0</v>
      </c>
      <c r="AO29" s="180"/>
      <c r="AP29" s="127"/>
    </row>
    <row r="30" spans="1:42" ht="13" x14ac:dyDescent="0.3">
      <c r="A30" s="235"/>
      <c r="B30" s="130"/>
      <c r="C30" s="128"/>
      <c r="D30" s="117"/>
      <c r="E30" s="141"/>
      <c r="F30" s="255"/>
      <c r="G30" s="255"/>
      <c r="H30" s="255"/>
      <c r="I30" s="255"/>
      <c r="J30" s="255"/>
      <c r="K30" s="255"/>
      <c r="L30" s="255"/>
      <c r="M30" s="255"/>
      <c r="N30" s="255"/>
      <c r="O30" s="255"/>
      <c r="P30" s="255"/>
      <c r="Q30" s="255"/>
      <c r="R30" s="255"/>
      <c r="S30" s="255"/>
      <c r="T30" s="255"/>
      <c r="U30" s="255"/>
      <c r="V30" s="255"/>
      <c r="W30" s="255"/>
      <c r="X30" s="255"/>
      <c r="Y30" s="255"/>
      <c r="Z30" s="255"/>
      <c r="AA30" s="255"/>
      <c r="AB30" s="255"/>
      <c r="AC30" s="255"/>
      <c r="AD30" s="255"/>
      <c r="AE30" s="255"/>
      <c r="AF30" s="255"/>
      <c r="AG30" s="255"/>
      <c r="AH30" s="255"/>
      <c r="AI30" s="255"/>
      <c r="AJ30" s="255"/>
      <c r="AK30" s="255"/>
      <c r="AL30" s="255"/>
      <c r="AM30" s="255"/>
      <c r="AN30" s="255"/>
      <c r="AO30" s="180"/>
      <c r="AP30" s="127"/>
    </row>
    <row r="31" spans="1:42" ht="13" x14ac:dyDescent="0.3">
      <c r="A31" s="130"/>
      <c r="B31" s="130"/>
      <c r="C31" s="317" t="s">
        <v>101</v>
      </c>
      <c r="D31" s="117"/>
      <c r="E31" s="141" t="s">
        <v>74</v>
      </c>
      <c r="F31" s="244">
        <v>0.06</v>
      </c>
      <c r="G31" s="244">
        <v>0.01</v>
      </c>
      <c r="H31" s="244">
        <v>0.06</v>
      </c>
      <c r="I31" s="244">
        <v>0.06</v>
      </c>
      <c r="J31" s="244">
        <v>0.06</v>
      </c>
      <c r="K31" s="244">
        <v>0.06</v>
      </c>
      <c r="L31" s="244">
        <v>0.06</v>
      </c>
      <c r="M31" s="244">
        <v>0.06</v>
      </c>
      <c r="N31" s="244">
        <v>0.06</v>
      </c>
      <c r="O31" s="244">
        <v>0.06</v>
      </c>
      <c r="P31" s="244">
        <v>0.06</v>
      </c>
      <c r="Q31" s="244">
        <v>0.2</v>
      </c>
      <c r="R31" s="244">
        <v>0.51</v>
      </c>
      <c r="S31" s="244">
        <v>0.35</v>
      </c>
      <c r="T31" s="244">
        <v>7.0000000000000007E-2</v>
      </c>
      <c r="U31" s="244">
        <v>7.0000000000000007E-2</v>
      </c>
      <c r="V31" s="244">
        <v>7.0000000000000007E-2</v>
      </c>
      <c r="W31" s="244">
        <v>0.34</v>
      </c>
      <c r="X31" s="244">
        <v>0.73</v>
      </c>
      <c r="Y31" s="244">
        <v>0.81</v>
      </c>
      <c r="Z31" s="244">
        <v>0.89</v>
      </c>
      <c r="AA31" s="244">
        <v>0.93</v>
      </c>
      <c r="AB31" s="244">
        <v>0.9</v>
      </c>
      <c r="AC31" s="244">
        <v>0.89</v>
      </c>
      <c r="AD31" s="244">
        <v>0.87</v>
      </c>
      <c r="AE31" s="244">
        <v>0.88</v>
      </c>
      <c r="AF31" s="244">
        <v>0.81</v>
      </c>
      <c r="AG31" s="244">
        <v>0.77</v>
      </c>
      <c r="AH31" s="244">
        <v>0.73</v>
      </c>
      <c r="AI31" s="244">
        <v>0.62</v>
      </c>
      <c r="AJ31" s="244">
        <v>0.54</v>
      </c>
      <c r="AK31" s="244">
        <v>0.52</v>
      </c>
      <c r="AL31" s="244">
        <v>0.34</v>
      </c>
      <c r="AM31" s="244">
        <v>0.55000000000000004</v>
      </c>
      <c r="AN31" s="244">
        <v>0.51</v>
      </c>
      <c r="AO31" s="180"/>
      <c r="AP31" s="127"/>
    </row>
    <row r="32" spans="1:42" ht="13" x14ac:dyDescent="0.3">
      <c r="A32" s="130"/>
      <c r="B32" s="130"/>
      <c r="C32" s="317" t="s">
        <v>102</v>
      </c>
      <c r="D32" s="117"/>
      <c r="E32" s="141" t="s">
        <v>74</v>
      </c>
      <c r="F32" s="244">
        <v>26.17</v>
      </c>
      <c r="G32" s="244">
        <v>19.11</v>
      </c>
      <c r="H32" s="244">
        <v>7.66</v>
      </c>
      <c r="I32" s="244">
        <v>8.26</v>
      </c>
      <c r="J32" s="244">
        <v>6.51</v>
      </c>
      <c r="K32" s="244">
        <v>6.31</v>
      </c>
      <c r="L32" s="244">
        <v>6.3</v>
      </c>
      <c r="M32" s="244">
        <v>6.34</v>
      </c>
      <c r="N32" s="244">
        <v>6.26</v>
      </c>
      <c r="O32" s="244">
        <v>6.26</v>
      </c>
      <c r="P32" s="244">
        <v>6.35</v>
      </c>
      <c r="Q32" s="244">
        <v>6.73</v>
      </c>
      <c r="R32" s="244">
        <v>6.76</v>
      </c>
      <c r="S32" s="244">
        <v>6.72</v>
      </c>
      <c r="T32" s="244">
        <v>6.64</v>
      </c>
      <c r="U32" s="244">
        <v>6.5</v>
      </c>
      <c r="V32" s="244">
        <v>6.58</v>
      </c>
      <c r="W32" s="244">
        <v>6.62</v>
      </c>
      <c r="X32" s="244">
        <v>6.62</v>
      </c>
      <c r="Y32" s="244">
        <v>6.77</v>
      </c>
      <c r="Z32" s="244">
        <v>6.91</v>
      </c>
      <c r="AA32" s="244">
        <v>6.92</v>
      </c>
      <c r="AB32" s="244">
        <v>6.72</v>
      </c>
      <c r="AC32" s="244">
        <v>6.68</v>
      </c>
      <c r="AD32" s="244">
        <v>6.65</v>
      </c>
      <c r="AE32" s="244">
        <v>6.65</v>
      </c>
      <c r="AF32" s="244">
        <v>6.52</v>
      </c>
      <c r="AG32" s="244">
        <v>6.49</v>
      </c>
      <c r="AH32" s="244">
        <v>6.34</v>
      </c>
      <c r="AI32" s="244">
        <v>6.32</v>
      </c>
      <c r="AJ32" s="244">
        <v>6.26</v>
      </c>
      <c r="AK32" s="244">
        <v>6.23</v>
      </c>
      <c r="AL32" s="244">
        <v>6.05</v>
      </c>
      <c r="AM32" s="244">
        <v>5.86</v>
      </c>
      <c r="AN32" s="244">
        <v>4.97</v>
      </c>
      <c r="AO32" s="180"/>
      <c r="AP32" s="127"/>
    </row>
    <row r="33" spans="1:59" ht="13" x14ac:dyDescent="0.3">
      <c r="A33" s="130"/>
      <c r="B33" s="130"/>
      <c r="C33" s="317" t="s">
        <v>103</v>
      </c>
      <c r="D33" s="117"/>
      <c r="E33" s="141" t="s">
        <v>74</v>
      </c>
      <c r="F33" s="244">
        <v>184.61</v>
      </c>
      <c r="G33" s="244">
        <v>175.54</v>
      </c>
      <c r="H33" s="244">
        <v>161.43</v>
      </c>
      <c r="I33" s="244">
        <v>150.1</v>
      </c>
      <c r="J33" s="244">
        <v>140.22999999999999</v>
      </c>
      <c r="K33" s="244">
        <v>146.76</v>
      </c>
      <c r="L33" s="244">
        <v>141.87</v>
      </c>
      <c r="M33" s="244">
        <v>141.84</v>
      </c>
      <c r="N33" s="244">
        <v>136.04</v>
      </c>
      <c r="O33" s="244">
        <v>136.24</v>
      </c>
      <c r="P33" s="244">
        <v>135.63</v>
      </c>
      <c r="Q33" s="244">
        <v>141.31</v>
      </c>
      <c r="R33" s="244">
        <v>139.88</v>
      </c>
      <c r="S33" s="244">
        <v>139.4</v>
      </c>
      <c r="T33" s="244">
        <v>139.44999999999999</v>
      </c>
      <c r="U33" s="244">
        <v>139.46</v>
      </c>
      <c r="V33" s="244">
        <v>141.49</v>
      </c>
      <c r="W33" s="244">
        <v>143.85</v>
      </c>
      <c r="X33" s="244">
        <v>143.66</v>
      </c>
      <c r="Y33" s="244">
        <v>146.65</v>
      </c>
      <c r="Z33" s="244">
        <v>147.24</v>
      </c>
      <c r="AA33" s="244">
        <v>148.03</v>
      </c>
      <c r="AB33" s="244">
        <v>147.77000000000001</v>
      </c>
      <c r="AC33" s="244">
        <v>148.85</v>
      </c>
      <c r="AD33" s="244">
        <v>148.58000000000001</v>
      </c>
      <c r="AE33" s="244">
        <v>147.66999999999999</v>
      </c>
      <c r="AF33" s="244">
        <v>144.54</v>
      </c>
      <c r="AG33" s="244">
        <v>147.97</v>
      </c>
      <c r="AH33" s="244">
        <v>148.6</v>
      </c>
      <c r="AI33" s="244">
        <v>148.66999999999999</v>
      </c>
      <c r="AJ33" s="244">
        <v>147.59</v>
      </c>
      <c r="AK33" s="244">
        <v>147.84</v>
      </c>
      <c r="AL33" s="244">
        <v>153.16</v>
      </c>
      <c r="AM33" s="244">
        <v>153.86000000000001</v>
      </c>
      <c r="AN33" s="244">
        <v>153.16999999999999</v>
      </c>
      <c r="AO33" s="246"/>
      <c r="AP33" s="127"/>
    </row>
    <row r="34" spans="1:59" ht="13" x14ac:dyDescent="0.3">
      <c r="A34" s="130"/>
      <c r="B34" s="130"/>
      <c r="C34" s="317" t="s">
        <v>104</v>
      </c>
      <c r="D34" s="117"/>
      <c r="E34" s="141" t="s">
        <v>74</v>
      </c>
      <c r="F34" s="244">
        <v>225.78</v>
      </c>
      <c r="G34" s="244">
        <v>194.34</v>
      </c>
      <c r="H34" s="244">
        <v>177.84</v>
      </c>
      <c r="I34" s="244">
        <v>162.59</v>
      </c>
      <c r="J34" s="244">
        <v>151.52000000000001</v>
      </c>
      <c r="K34" s="244">
        <v>159.08000000000001</v>
      </c>
      <c r="L34" s="244">
        <v>155.22</v>
      </c>
      <c r="M34" s="244">
        <v>155.53</v>
      </c>
      <c r="N34" s="244">
        <v>148.22999999999999</v>
      </c>
      <c r="O34" s="244">
        <v>149.19999999999999</v>
      </c>
      <c r="P34" s="244">
        <v>148.19999999999999</v>
      </c>
      <c r="Q34" s="244">
        <v>155.61000000000001</v>
      </c>
      <c r="R34" s="244">
        <v>152.25</v>
      </c>
      <c r="S34" s="244">
        <v>151.44999999999999</v>
      </c>
      <c r="T34" s="244">
        <v>152.5</v>
      </c>
      <c r="U34" s="244">
        <v>152.44999999999999</v>
      </c>
      <c r="V34" s="244">
        <v>154.81</v>
      </c>
      <c r="W34" s="244">
        <v>157.27000000000001</v>
      </c>
      <c r="X34" s="244">
        <v>156.19999999999999</v>
      </c>
      <c r="Y34" s="244">
        <v>160.78</v>
      </c>
      <c r="Z34" s="244">
        <v>162.54</v>
      </c>
      <c r="AA34" s="244">
        <v>164.72</v>
      </c>
      <c r="AB34" s="244">
        <v>165.5</v>
      </c>
      <c r="AC34" s="244">
        <v>168.29</v>
      </c>
      <c r="AD34" s="244">
        <v>167.65</v>
      </c>
      <c r="AE34" s="244">
        <v>162.91999999999999</v>
      </c>
      <c r="AF34" s="244">
        <v>155.57</v>
      </c>
      <c r="AG34" s="244">
        <v>162.77000000000001</v>
      </c>
      <c r="AH34" s="244">
        <v>161.86000000000001</v>
      </c>
      <c r="AI34" s="244">
        <v>162.22999999999999</v>
      </c>
      <c r="AJ34" s="244">
        <v>160.97999999999999</v>
      </c>
      <c r="AK34" s="244">
        <v>161.86000000000001</v>
      </c>
      <c r="AL34" s="244">
        <v>180.57</v>
      </c>
      <c r="AM34" s="244">
        <v>192.81</v>
      </c>
      <c r="AN34" s="244">
        <v>189.3</v>
      </c>
      <c r="AO34" s="246"/>
      <c r="AP34" s="127"/>
    </row>
    <row r="35" spans="1:59" ht="13" x14ac:dyDescent="0.3">
      <c r="A35" s="130"/>
      <c r="B35" s="130"/>
      <c r="C35" s="317"/>
      <c r="D35" s="117"/>
      <c r="E35" s="141"/>
      <c r="F35" s="244"/>
      <c r="G35" s="244"/>
      <c r="H35" s="244"/>
      <c r="I35" s="244"/>
      <c r="J35" s="244"/>
      <c r="K35" s="244"/>
      <c r="L35" s="244"/>
      <c r="M35" s="244"/>
      <c r="N35" s="244"/>
      <c r="O35" s="244"/>
      <c r="P35" s="244"/>
      <c r="Q35" s="244"/>
      <c r="R35" s="244"/>
      <c r="S35" s="244"/>
      <c r="T35" s="244"/>
      <c r="U35" s="244"/>
      <c r="V35" s="244"/>
      <c r="W35" s="244"/>
      <c r="X35" s="244"/>
      <c r="Y35" s="244"/>
      <c r="Z35" s="244"/>
      <c r="AA35" s="244"/>
      <c r="AB35" s="244"/>
      <c r="AC35" s="244"/>
      <c r="AD35" s="244"/>
      <c r="AE35" s="244"/>
      <c r="AF35" s="244"/>
      <c r="AG35" s="244"/>
      <c r="AH35" s="244"/>
      <c r="AI35" s="244"/>
      <c r="AJ35" s="244"/>
      <c r="AK35" s="244"/>
      <c r="AL35" s="244"/>
      <c r="AM35" s="244"/>
      <c r="AN35" s="244"/>
      <c r="AO35" s="246"/>
      <c r="AP35" s="127"/>
    </row>
    <row r="36" spans="1:59" ht="13" x14ac:dyDescent="0.3">
      <c r="A36" s="130"/>
      <c r="B36" s="130"/>
      <c r="C36" s="317" t="s">
        <v>105</v>
      </c>
      <c r="D36" s="117"/>
      <c r="E36" s="141" t="s">
        <v>74</v>
      </c>
      <c r="F36" s="244">
        <v>77.44</v>
      </c>
      <c r="G36" s="244">
        <v>64.010000000000005</v>
      </c>
      <c r="H36" s="244">
        <v>59.41</v>
      </c>
      <c r="I36" s="244">
        <v>49.73</v>
      </c>
      <c r="J36" s="244">
        <v>44.69</v>
      </c>
      <c r="K36" s="244">
        <v>47.88</v>
      </c>
      <c r="L36" s="244">
        <v>49.08</v>
      </c>
      <c r="M36" s="244">
        <v>46.96</v>
      </c>
      <c r="N36" s="244">
        <v>45.38</v>
      </c>
      <c r="O36" s="244">
        <v>44.15</v>
      </c>
      <c r="P36" s="244">
        <v>43.62</v>
      </c>
      <c r="Q36" s="244">
        <v>45.17</v>
      </c>
      <c r="R36" s="244">
        <v>43.68</v>
      </c>
      <c r="S36" s="244">
        <v>43.86</v>
      </c>
      <c r="T36" s="244">
        <v>44.86</v>
      </c>
      <c r="U36" s="244">
        <v>45.52</v>
      </c>
      <c r="V36" s="244">
        <v>46.57</v>
      </c>
      <c r="W36" s="244">
        <v>47.45</v>
      </c>
      <c r="X36" s="244">
        <v>47.4</v>
      </c>
      <c r="Y36" s="244">
        <v>48.35</v>
      </c>
      <c r="Z36" s="244">
        <v>48.63</v>
      </c>
      <c r="AA36" s="244">
        <v>49.05</v>
      </c>
      <c r="AB36" s="244">
        <v>49.96</v>
      </c>
      <c r="AC36" s="244">
        <v>50.95</v>
      </c>
      <c r="AD36" s="244">
        <v>51.06</v>
      </c>
      <c r="AE36" s="244">
        <v>49.9</v>
      </c>
      <c r="AF36" s="244">
        <v>48.55</v>
      </c>
      <c r="AG36" s="244">
        <v>50.14</v>
      </c>
      <c r="AH36" s="244">
        <v>50.38</v>
      </c>
      <c r="AI36" s="244">
        <v>50.58</v>
      </c>
      <c r="AJ36" s="244">
        <v>50.27</v>
      </c>
      <c r="AK36" s="244">
        <v>50.62</v>
      </c>
      <c r="AL36" s="244">
        <v>54.41</v>
      </c>
      <c r="AM36" s="244">
        <v>56.8</v>
      </c>
      <c r="AN36" s="244">
        <v>56.18</v>
      </c>
      <c r="AO36" s="246"/>
      <c r="AP36" s="127"/>
      <c r="AT36" s="244"/>
      <c r="AU36" s="244"/>
      <c r="AV36" s="244"/>
      <c r="AW36" s="244"/>
      <c r="AX36" s="244"/>
    </row>
    <row r="37" spans="1:59" ht="13" x14ac:dyDescent="0.3">
      <c r="A37" s="130"/>
      <c r="B37" s="130"/>
      <c r="D37" s="117"/>
      <c r="E37" s="141"/>
      <c r="F37" s="180"/>
      <c r="G37" s="180"/>
      <c r="H37" s="180"/>
      <c r="I37" s="180"/>
      <c r="J37" s="180"/>
      <c r="K37" s="180"/>
      <c r="L37" s="180"/>
      <c r="M37" s="180"/>
      <c r="N37" s="180"/>
      <c r="O37" s="180"/>
      <c r="P37" s="180"/>
      <c r="Q37" s="180"/>
      <c r="R37" s="180"/>
      <c r="S37" s="180"/>
      <c r="T37" s="180"/>
      <c r="U37" s="180"/>
      <c r="V37" s="180"/>
      <c r="W37" s="180"/>
      <c r="X37" s="180"/>
      <c r="Y37" s="180"/>
      <c r="Z37" s="180"/>
      <c r="AA37" s="180"/>
      <c r="AB37" s="180"/>
      <c r="AC37" s="180"/>
      <c r="AD37" s="180"/>
      <c r="AE37" s="180"/>
      <c r="AF37" s="180"/>
      <c r="AG37" s="180"/>
      <c r="AH37" s="180"/>
      <c r="AI37" s="180"/>
      <c r="AJ37" s="180"/>
      <c r="AK37" s="180"/>
      <c r="AL37" s="180"/>
      <c r="AM37" s="180"/>
      <c r="AN37" s="180"/>
      <c r="AO37" s="180"/>
      <c r="AP37" s="180"/>
    </row>
    <row r="38" spans="1:59" ht="13" x14ac:dyDescent="0.3">
      <c r="A38" s="130"/>
      <c r="B38" s="236"/>
      <c r="C38" s="117"/>
      <c r="D38" s="117"/>
      <c r="E38" s="117"/>
      <c r="F38" s="117"/>
      <c r="G38" s="117"/>
      <c r="H38" s="117"/>
      <c r="I38" s="117"/>
      <c r="J38" s="117"/>
      <c r="K38" s="117"/>
      <c r="L38" s="117"/>
      <c r="M38" s="117"/>
      <c r="N38" s="117"/>
      <c r="O38" s="117"/>
      <c r="P38" s="117"/>
      <c r="Q38" s="117"/>
      <c r="R38" s="117"/>
      <c r="S38" s="117"/>
      <c r="T38" s="117"/>
      <c r="U38" s="117"/>
      <c r="V38" s="117"/>
      <c r="W38" s="117"/>
      <c r="X38" s="117"/>
      <c r="Y38" s="117"/>
      <c r="Z38" s="117"/>
      <c r="AA38" s="117"/>
      <c r="AB38" s="117"/>
      <c r="AC38" s="117"/>
      <c r="AD38" s="117"/>
      <c r="AE38" s="117"/>
      <c r="AF38" s="117"/>
      <c r="AG38" s="117"/>
      <c r="AH38" s="117"/>
      <c r="AI38" s="117"/>
      <c r="AJ38" s="117"/>
      <c r="AK38" s="117"/>
      <c r="AL38" s="117"/>
      <c r="AM38" s="117"/>
      <c r="AN38" s="117"/>
      <c r="AU38" s="244"/>
      <c r="AV38" s="244"/>
      <c r="AW38" s="244"/>
      <c r="AX38" s="244"/>
      <c r="AY38" s="244"/>
    </row>
    <row r="39" spans="1:59" ht="13" x14ac:dyDescent="0.3">
      <c r="A39" s="126" t="s">
        <v>106</v>
      </c>
      <c r="B39" s="126"/>
      <c r="C39" s="138"/>
      <c r="D39" s="138"/>
      <c r="E39" s="138"/>
      <c r="F39" s="138"/>
      <c r="G39" s="138"/>
      <c r="H39" s="138"/>
      <c r="I39" s="138"/>
      <c r="J39" s="138"/>
      <c r="K39" s="138"/>
      <c r="L39" s="138"/>
      <c r="M39" s="138"/>
      <c r="N39" s="138"/>
      <c r="O39" s="138"/>
      <c r="P39" s="138"/>
      <c r="Q39" s="138"/>
      <c r="R39" s="138"/>
      <c r="S39" s="138"/>
      <c r="T39" s="138"/>
      <c r="U39" s="138"/>
      <c r="V39" s="138"/>
      <c r="W39" s="138"/>
      <c r="X39" s="138"/>
      <c r="Y39" s="138"/>
      <c r="Z39" s="138"/>
      <c r="AA39" s="138"/>
      <c r="AB39" s="138"/>
      <c r="AC39" s="138"/>
      <c r="AD39" s="138"/>
      <c r="AE39" s="138"/>
      <c r="AF39" s="138"/>
      <c r="AG39" s="138"/>
      <c r="AH39" s="138"/>
      <c r="AI39" s="138"/>
      <c r="AJ39" s="138"/>
      <c r="AK39" s="138"/>
      <c r="AL39" s="138"/>
      <c r="AM39" s="138"/>
      <c r="AN39" s="138"/>
    </row>
    <row r="40" spans="1:59" ht="13" x14ac:dyDescent="0.3">
      <c r="A40" s="129"/>
      <c r="B40" s="129"/>
      <c r="C40" s="129" t="s">
        <v>107</v>
      </c>
      <c r="D40" s="129"/>
      <c r="E40" s="129" t="s">
        <v>60</v>
      </c>
      <c r="F40" s="139">
        <v>2026</v>
      </c>
      <c r="G40" s="139">
        <v>2027</v>
      </c>
      <c r="H40" s="139">
        <v>2028</v>
      </c>
      <c r="I40" s="139">
        <v>2029</v>
      </c>
      <c r="J40" s="139">
        <v>2030</v>
      </c>
      <c r="K40" s="139">
        <v>2031</v>
      </c>
      <c r="L40" s="139">
        <v>2032</v>
      </c>
      <c r="M40" s="139">
        <v>2033</v>
      </c>
      <c r="N40" s="139">
        <v>2034</v>
      </c>
      <c r="O40" s="139">
        <v>2035</v>
      </c>
      <c r="P40" s="139">
        <v>2036</v>
      </c>
      <c r="Q40" s="139">
        <v>2037</v>
      </c>
      <c r="R40" s="139">
        <v>2038</v>
      </c>
      <c r="S40" s="139">
        <v>2039</v>
      </c>
      <c r="T40" s="139">
        <v>2040</v>
      </c>
      <c r="U40" s="139">
        <v>2041</v>
      </c>
      <c r="V40" s="139">
        <v>2042</v>
      </c>
      <c r="W40" s="139">
        <v>2043</v>
      </c>
      <c r="X40" s="139">
        <v>2044</v>
      </c>
      <c r="Y40" s="139">
        <v>2045</v>
      </c>
      <c r="Z40" s="139">
        <v>2046</v>
      </c>
      <c r="AA40" s="139">
        <v>2047</v>
      </c>
      <c r="AB40" s="139">
        <v>2048</v>
      </c>
      <c r="AC40" s="139">
        <v>2049</v>
      </c>
      <c r="AD40" s="139">
        <v>2050</v>
      </c>
      <c r="AE40" s="139">
        <v>2051</v>
      </c>
      <c r="AF40" s="139">
        <v>2052</v>
      </c>
      <c r="AG40" s="139">
        <v>2053</v>
      </c>
      <c r="AH40" s="139">
        <v>2054</v>
      </c>
      <c r="AI40" s="139">
        <v>2055</v>
      </c>
      <c r="AJ40" s="139">
        <v>2056</v>
      </c>
      <c r="AK40" s="139">
        <v>2057</v>
      </c>
      <c r="AL40" s="139">
        <v>2058</v>
      </c>
      <c r="AM40" s="139">
        <v>2059</v>
      </c>
      <c r="AN40" s="139">
        <v>2060</v>
      </c>
      <c r="AO40" s="240"/>
      <c r="AP40" s="127"/>
    </row>
    <row r="41" spans="1:59" ht="13" x14ac:dyDescent="0.3">
      <c r="A41" s="135"/>
      <c r="B41" s="130" t="s">
        <v>108</v>
      </c>
      <c r="C41" s="317" t="s">
        <v>9</v>
      </c>
      <c r="D41" s="117"/>
      <c r="E41" s="141" t="s">
        <v>74</v>
      </c>
      <c r="F41" s="256">
        <v>217.37</v>
      </c>
      <c r="G41" s="256">
        <v>181.26</v>
      </c>
      <c r="H41" s="256">
        <v>168.43</v>
      </c>
      <c r="I41" s="256">
        <v>136.22</v>
      </c>
      <c r="J41" s="256">
        <v>115.85</v>
      </c>
      <c r="K41" s="256">
        <v>115.68</v>
      </c>
      <c r="L41" s="256">
        <v>120.68</v>
      </c>
      <c r="M41" s="256">
        <v>111</v>
      </c>
      <c r="N41" s="256">
        <v>103.22</v>
      </c>
      <c r="O41" s="256">
        <v>95.58</v>
      </c>
      <c r="P41" s="256">
        <v>89.85</v>
      </c>
      <c r="Q41" s="256">
        <v>91.39</v>
      </c>
      <c r="R41" s="256">
        <v>87.37</v>
      </c>
      <c r="S41" s="256">
        <v>86.43</v>
      </c>
      <c r="T41" s="256">
        <v>86.34</v>
      </c>
      <c r="U41" s="256">
        <v>86.17</v>
      </c>
      <c r="V41" s="256">
        <v>85.92</v>
      </c>
      <c r="W41" s="256">
        <v>85.84</v>
      </c>
      <c r="X41" s="256">
        <v>83.84</v>
      </c>
      <c r="Y41" s="256">
        <v>83.02</v>
      </c>
      <c r="Z41" s="256">
        <v>81.88</v>
      </c>
      <c r="AA41" s="256">
        <v>80.89</v>
      </c>
      <c r="AB41" s="256">
        <v>79.94</v>
      </c>
      <c r="AC41" s="256">
        <v>79.680000000000007</v>
      </c>
      <c r="AD41" s="256">
        <v>78.5</v>
      </c>
      <c r="AE41" s="256">
        <v>77.180000000000007</v>
      </c>
      <c r="AF41" s="256">
        <v>75.680000000000007</v>
      </c>
      <c r="AG41" s="256">
        <v>76.739999999999995</v>
      </c>
      <c r="AH41" s="256">
        <v>76.790000000000006</v>
      </c>
      <c r="AI41" s="256">
        <v>76.59</v>
      </c>
      <c r="AJ41" s="256">
        <v>75.91</v>
      </c>
      <c r="AK41" s="256">
        <v>76.7</v>
      </c>
      <c r="AL41" s="256">
        <v>79.39</v>
      </c>
      <c r="AM41" s="256">
        <v>79.45</v>
      </c>
      <c r="AN41" s="256">
        <v>78.28</v>
      </c>
      <c r="AO41" s="240"/>
      <c r="AP41" s="127"/>
    </row>
    <row r="42" spans="1:59" s="117" customFormat="1" ht="13" x14ac:dyDescent="0.3">
      <c r="A42" s="130"/>
      <c r="B42" s="130" t="s">
        <v>109</v>
      </c>
      <c r="C42" s="317" t="s">
        <v>9</v>
      </c>
      <c r="E42" s="141" t="s">
        <v>74</v>
      </c>
      <c r="F42" s="256">
        <v>218.84</v>
      </c>
      <c r="G42" s="256">
        <v>184.75</v>
      </c>
      <c r="H42" s="256">
        <v>174.64</v>
      </c>
      <c r="I42" s="256">
        <v>145.41999999999999</v>
      </c>
      <c r="J42" s="256">
        <v>127.72</v>
      </c>
      <c r="K42" s="256">
        <v>127.51</v>
      </c>
      <c r="L42" s="256">
        <v>131.9</v>
      </c>
      <c r="M42" s="256">
        <v>124.86</v>
      </c>
      <c r="N42" s="256">
        <v>119.19</v>
      </c>
      <c r="O42" s="256">
        <v>112.55</v>
      </c>
      <c r="P42" s="256">
        <v>109.26</v>
      </c>
      <c r="Q42" s="256">
        <v>110.08</v>
      </c>
      <c r="R42" s="256">
        <v>107.05</v>
      </c>
      <c r="S42" s="256">
        <v>106.7</v>
      </c>
      <c r="T42" s="256">
        <v>106.29</v>
      </c>
      <c r="U42" s="256">
        <v>106.71</v>
      </c>
      <c r="V42" s="256">
        <v>106.51</v>
      </c>
      <c r="W42" s="256">
        <v>106.81</v>
      </c>
      <c r="X42" s="256">
        <v>105.52</v>
      </c>
      <c r="Y42" s="256">
        <v>104.8</v>
      </c>
      <c r="Z42" s="256">
        <v>104</v>
      </c>
      <c r="AA42" s="256">
        <v>103.31</v>
      </c>
      <c r="AB42" s="256">
        <v>102.71</v>
      </c>
      <c r="AC42" s="256">
        <v>102.55</v>
      </c>
      <c r="AD42" s="256">
        <v>101.65</v>
      </c>
      <c r="AE42" s="256">
        <v>100.88</v>
      </c>
      <c r="AF42" s="256">
        <v>99.7</v>
      </c>
      <c r="AG42" s="256">
        <v>100.49</v>
      </c>
      <c r="AH42" s="256">
        <v>100.75</v>
      </c>
      <c r="AI42" s="256">
        <v>100.51</v>
      </c>
      <c r="AJ42" s="256">
        <v>100.31</v>
      </c>
      <c r="AK42" s="256">
        <v>101.17</v>
      </c>
      <c r="AL42" s="256">
        <v>103.51</v>
      </c>
      <c r="AM42" s="256">
        <v>103.79</v>
      </c>
      <c r="AN42" s="256">
        <v>102.76</v>
      </c>
      <c r="AO42" s="180"/>
    </row>
    <row r="43" spans="1:59" ht="13" x14ac:dyDescent="0.3">
      <c r="A43" s="130"/>
      <c r="B43" s="131" t="s">
        <v>110</v>
      </c>
      <c r="C43" s="117"/>
      <c r="D43" s="117"/>
      <c r="E43" s="241"/>
      <c r="F43" s="180"/>
      <c r="G43" s="180"/>
      <c r="H43" s="180"/>
      <c r="I43" s="180"/>
      <c r="J43" s="180"/>
      <c r="K43" s="180"/>
      <c r="L43" s="180"/>
      <c r="M43" s="180"/>
      <c r="N43" s="180"/>
      <c r="O43" s="180"/>
      <c r="P43" s="180"/>
      <c r="Q43" s="180"/>
      <c r="R43" s="180"/>
      <c r="S43" s="180"/>
      <c r="T43" s="180"/>
      <c r="U43" s="180"/>
      <c r="V43" s="180"/>
      <c r="W43" s="180"/>
      <c r="X43" s="180"/>
      <c r="Y43" s="180"/>
      <c r="Z43" s="180"/>
      <c r="AA43" s="180"/>
      <c r="AB43" s="180"/>
      <c r="AC43" s="180"/>
      <c r="AD43" s="180"/>
      <c r="AE43" s="180"/>
      <c r="AF43" s="180"/>
      <c r="AG43" s="180"/>
      <c r="AH43" s="180"/>
      <c r="AI43" s="180"/>
      <c r="AJ43" s="180"/>
      <c r="AK43" s="180"/>
      <c r="AL43" s="180"/>
      <c r="AM43" s="180"/>
      <c r="AN43" s="180"/>
      <c r="AO43" s="180"/>
      <c r="AP43" s="180"/>
      <c r="AQ43" s="247"/>
      <c r="AR43" s="247"/>
    </row>
    <row r="44" spans="1:59" ht="13" x14ac:dyDescent="0.3">
      <c r="A44" s="130"/>
      <c r="B44" s="130"/>
      <c r="C44" s="117"/>
      <c r="D44" s="117"/>
      <c r="E44" s="117"/>
      <c r="F44" s="117"/>
      <c r="G44" s="117"/>
      <c r="H44" s="117"/>
      <c r="I44" s="117"/>
      <c r="J44" s="117"/>
      <c r="K44" s="117"/>
      <c r="L44" s="117"/>
      <c r="M44" s="117"/>
      <c r="N44" s="117"/>
      <c r="O44" s="117"/>
      <c r="P44" s="117"/>
      <c r="Q44" s="117"/>
      <c r="R44" s="117"/>
      <c r="S44" s="117"/>
      <c r="T44" s="117"/>
      <c r="U44" s="117"/>
      <c r="V44" s="117"/>
      <c r="W44" s="117"/>
      <c r="X44" s="117"/>
      <c r="Y44" s="117"/>
      <c r="Z44" s="117"/>
      <c r="AA44" s="117"/>
      <c r="AB44" s="117"/>
      <c r="AC44" s="117"/>
      <c r="AD44" s="117"/>
      <c r="AE44" s="117"/>
      <c r="AF44" s="117"/>
      <c r="AG44" s="117"/>
      <c r="AH44" s="117"/>
      <c r="AI44" s="117"/>
      <c r="AJ44" s="117"/>
      <c r="AK44" s="117"/>
      <c r="AL44" s="117"/>
      <c r="AM44" s="117"/>
      <c r="AN44" s="117"/>
      <c r="AS44" s="130"/>
    </row>
    <row r="45" spans="1:59" ht="13" x14ac:dyDescent="0.3">
      <c r="A45" s="126" t="s">
        <v>111</v>
      </c>
      <c r="B45" s="126"/>
      <c r="C45" s="138"/>
      <c r="D45" s="138"/>
      <c r="E45" s="138"/>
      <c r="F45" s="138"/>
      <c r="G45" s="138"/>
      <c r="H45" s="138"/>
      <c r="I45" s="138"/>
      <c r="J45" s="138"/>
      <c r="K45" s="138"/>
      <c r="L45" s="138"/>
      <c r="M45" s="138"/>
      <c r="N45" s="138"/>
      <c r="O45" s="138"/>
      <c r="P45" s="138"/>
      <c r="Q45" s="138"/>
      <c r="R45" s="138"/>
      <c r="S45" s="138"/>
      <c r="T45" s="138"/>
      <c r="U45" s="138"/>
      <c r="V45" s="138"/>
      <c r="W45" s="138"/>
      <c r="X45" s="138"/>
      <c r="Y45" s="138"/>
      <c r="Z45" s="138"/>
      <c r="AA45" s="138"/>
      <c r="AB45" s="138"/>
      <c r="AC45" s="138"/>
      <c r="AD45" s="138"/>
      <c r="AE45" s="138"/>
      <c r="AF45" s="138"/>
      <c r="AG45" s="138"/>
      <c r="AH45" s="138"/>
      <c r="AI45" s="138"/>
      <c r="AJ45" s="138"/>
      <c r="AK45" s="138"/>
      <c r="AL45" s="138"/>
      <c r="AM45" s="138"/>
      <c r="AN45" s="138"/>
    </row>
    <row r="46" spans="1:59" ht="13" x14ac:dyDescent="0.3">
      <c r="A46" s="129"/>
      <c r="B46" s="129"/>
      <c r="C46" s="129" t="s">
        <v>107</v>
      </c>
      <c r="D46" s="129"/>
      <c r="E46" s="129" t="s">
        <v>60</v>
      </c>
      <c r="F46" s="139">
        <v>2026</v>
      </c>
      <c r="G46" s="139">
        <v>2027</v>
      </c>
      <c r="H46" s="139">
        <v>2028</v>
      </c>
      <c r="I46" s="139">
        <v>2029</v>
      </c>
      <c r="J46" s="139">
        <v>2030</v>
      </c>
      <c r="K46" s="139">
        <v>2031</v>
      </c>
      <c r="L46" s="139">
        <v>2032</v>
      </c>
      <c r="M46" s="139">
        <v>2033</v>
      </c>
      <c r="N46" s="139">
        <v>2034</v>
      </c>
      <c r="O46" s="139">
        <v>2035</v>
      </c>
      <c r="P46" s="139">
        <v>2036</v>
      </c>
      <c r="Q46" s="139">
        <v>2037</v>
      </c>
      <c r="R46" s="139">
        <v>2038</v>
      </c>
      <c r="S46" s="139">
        <v>2039</v>
      </c>
      <c r="T46" s="139">
        <v>2040</v>
      </c>
      <c r="U46" s="139">
        <v>2041</v>
      </c>
      <c r="V46" s="139">
        <v>2042</v>
      </c>
      <c r="W46" s="139">
        <v>2043</v>
      </c>
      <c r="X46" s="139">
        <v>2044</v>
      </c>
      <c r="Y46" s="139">
        <v>2045</v>
      </c>
      <c r="Z46" s="139">
        <v>2046</v>
      </c>
      <c r="AA46" s="139">
        <v>2047</v>
      </c>
      <c r="AB46" s="139">
        <v>2048</v>
      </c>
      <c r="AC46" s="139">
        <v>2049</v>
      </c>
      <c r="AD46" s="139">
        <v>2050</v>
      </c>
      <c r="AE46" s="139">
        <v>2051</v>
      </c>
      <c r="AF46" s="139">
        <v>2052</v>
      </c>
      <c r="AG46" s="139">
        <v>2053</v>
      </c>
      <c r="AH46" s="139">
        <v>2054</v>
      </c>
      <c r="AI46" s="139">
        <v>2055</v>
      </c>
      <c r="AJ46" s="139">
        <v>2056</v>
      </c>
      <c r="AK46" s="139">
        <v>2057</v>
      </c>
      <c r="AL46" s="139">
        <v>2058</v>
      </c>
      <c r="AM46" s="139">
        <v>2059</v>
      </c>
      <c r="AN46" s="139">
        <v>2060</v>
      </c>
      <c r="AP46" s="127"/>
    </row>
    <row r="47" spans="1:59" ht="13" x14ac:dyDescent="0.3">
      <c r="A47" s="237"/>
      <c r="B47" s="238" t="s">
        <v>112</v>
      </c>
      <c r="C47" s="317" t="s">
        <v>9</v>
      </c>
      <c r="D47" s="248"/>
      <c r="E47" s="249" t="s">
        <v>113</v>
      </c>
      <c r="F47" s="244">
        <v>12.8</v>
      </c>
      <c r="G47" s="244">
        <v>10.48</v>
      </c>
      <c r="H47" s="244">
        <v>9.4</v>
      </c>
      <c r="I47" s="244">
        <v>8.09</v>
      </c>
      <c r="J47" s="244">
        <v>7.47</v>
      </c>
      <c r="K47" s="244">
        <v>7.31</v>
      </c>
      <c r="L47" s="244">
        <v>7.37</v>
      </c>
      <c r="M47" s="244">
        <v>6.8</v>
      </c>
      <c r="N47" s="244">
        <v>6.41</v>
      </c>
      <c r="O47" s="244">
        <v>7.14</v>
      </c>
      <c r="P47" s="244">
        <v>6.93</v>
      </c>
      <c r="Q47" s="244">
        <v>6.58</v>
      </c>
      <c r="R47" s="244">
        <v>6.91</v>
      </c>
      <c r="S47" s="244">
        <v>6.96</v>
      </c>
      <c r="T47" s="244">
        <v>6.97</v>
      </c>
      <c r="U47" s="244">
        <v>6.91</v>
      </c>
      <c r="V47" s="244">
        <v>7.15</v>
      </c>
      <c r="W47" s="244">
        <v>7.14</v>
      </c>
      <c r="X47" s="244">
        <v>7.24</v>
      </c>
      <c r="Y47" s="244">
        <v>6.77</v>
      </c>
      <c r="Z47" s="244">
        <v>7.13</v>
      </c>
      <c r="AA47" s="244">
        <v>7.15</v>
      </c>
      <c r="AB47" s="244">
        <v>7.15</v>
      </c>
      <c r="AC47" s="244">
        <v>7.18</v>
      </c>
      <c r="AD47" s="244">
        <v>7.24</v>
      </c>
      <c r="AE47" s="244">
        <v>7.34</v>
      </c>
      <c r="AF47" s="244">
        <v>7.29</v>
      </c>
      <c r="AG47" s="244">
        <v>7.29</v>
      </c>
      <c r="AH47" s="244">
        <v>7.18</v>
      </c>
      <c r="AI47" s="244">
        <v>7.1</v>
      </c>
      <c r="AJ47" s="244">
        <v>6.92</v>
      </c>
      <c r="AK47" s="244">
        <v>6.86</v>
      </c>
      <c r="AL47" s="244">
        <v>7.04</v>
      </c>
      <c r="AM47" s="244">
        <v>7.22</v>
      </c>
      <c r="AN47" s="244">
        <v>7.17</v>
      </c>
      <c r="AP47" s="250"/>
      <c r="AQ47" s="175"/>
      <c r="AR47" s="175"/>
      <c r="AS47" s="175"/>
      <c r="AT47" s="175"/>
      <c r="AU47" s="175"/>
      <c r="AV47" s="175"/>
      <c r="AW47" s="175"/>
      <c r="AX47" s="175"/>
      <c r="AY47" s="175"/>
      <c r="AZ47" s="175"/>
      <c r="BA47" s="175"/>
      <c r="BB47" s="175"/>
      <c r="BC47" s="175"/>
      <c r="BD47" s="175"/>
      <c r="BE47" s="175"/>
      <c r="BF47" s="175"/>
      <c r="BG47" s="175"/>
    </row>
    <row r="48" spans="1:59" ht="13" x14ac:dyDescent="0.3">
      <c r="A48" s="356"/>
      <c r="B48" s="356"/>
      <c r="C48" s="128"/>
      <c r="D48" s="248"/>
      <c r="E48" s="249"/>
      <c r="F48" s="257"/>
      <c r="G48" s="257"/>
      <c r="H48" s="257"/>
      <c r="I48" s="257"/>
      <c r="J48" s="257"/>
      <c r="K48" s="257"/>
      <c r="L48" s="257"/>
      <c r="M48" s="257"/>
      <c r="N48" s="257"/>
      <c r="O48" s="257"/>
      <c r="P48" s="257"/>
      <c r="Q48" s="257"/>
      <c r="R48" s="257"/>
      <c r="S48" s="257"/>
      <c r="T48" s="257"/>
      <c r="U48" s="257"/>
      <c r="V48" s="257"/>
      <c r="W48" s="257"/>
      <c r="X48" s="257"/>
      <c r="Y48" s="257"/>
      <c r="Z48" s="257"/>
      <c r="AA48" s="257"/>
      <c r="AB48" s="257"/>
      <c r="AC48" s="257"/>
      <c r="AD48" s="257"/>
      <c r="AE48" s="257"/>
      <c r="AF48" s="257"/>
      <c r="AG48" s="257"/>
      <c r="AH48" s="257"/>
      <c r="AI48" s="257"/>
      <c r="AJ48" s="257"/>
      <c r="AK48" s="257"/>
      <c r="AL48" s="257"/>
      <c r="AM48" s="257"/>
      <c r="AN48" s="257"/>
      <c r="AP48" s="250"/>
      <c r="AQ48" s="251"/>
      <c r="AR48" s="251"/>
      <c r="AS48" s="251"/>
      <c r="AT48" s="251"/>
      <c r="AU48" s="251"/>
      <c r="AV48" s="251"/>
      <c r="AW48" s="251"/>
      <c r="AX48" s="251"/>
      <c r="AY48" s="251"/>
      <c r="AZ48" s="251"/>
      <c r="BA48" s="251"/>
      <c r="BB48" s="251"/>
      <c r="BC48" s="251"/>
      <c r="BD48" s="251"/>
      <c r="BE48" s="251"/>
      <c r="BF48" s="251"/>
      <c r="BG48" s="175"/>
    </row>
    <row r="49" spans="1:59" s="244" customFormat="1" ht="13" x14ac:dyDescent="0.3">
      <c r="A49" s="237"/>
      <c r="B49" s="238" t="s">
        <v>114</v>
      </c>
      <c r="C49" s="317" t="s">
        <v>9</v>
      </c>
      <c r="D49" s="248"/>
      <c r="E49" s="249" t="s">
        <v>74</v>
      </c>
      <c r="F49" s="244">
        <v>165.83</v>
      </c>
      <c r="G49" s="244">
        <v>161.87</v>
      </c>
      <c r="H49" s="244">
        <v>141.78</v>
      </c>
      <c r="I49" s="244">
        <v>132.62</v>
      </c>
      <c r="J49" s="244">
        <v>119.96</v>
      </c>
      <c r="K49" s="244">
        <v>120.69</v>
      </c>
      <c r="L49" s="244">
        <v>121.27</v>
      </c>
      <c r="M49" s="244">
        <v>116.44</v>
      </c>
      <c r="N49" s="244">
        <v>112.02</v>
      </c>
      <c r="O49" s="244">
        <v>114.6</v>
      </c>
      <c r="P49" s="244">
        <v>110.99</v>
      </c>
      <c r="Q49" s="244">
        <v>111.06</v>
      </c>
      <c r="R49" s="244">
        <v>111.89</v>
      </c>
      <c r="S49" s="244">
        <v>111.32</v>
      </c>
      <c r="T49" s="244">
        <v>109.88</v>
      </c>
      <c r="U49" s="244">
        <v>107.47</v>
      </c>
      <c r="V49" s="244">
        <v>108.67</v>
      </c>
      <c r="W49" s="244">
        <v>107.71</v>
      </c>
      <c r="X49" s="244">
        <v>107.67</v>
      </c>
      <c r="Y49" s="244">
        <v>109.64</v>
      </c>
      <c r="Z49" s="244">
        <v>111.11</v>
      </c>
      <c r="AA49" s="244">
        <v>110.03</v>
      </c>
      <c r="AB49" s="244">
        <v>108.12</v>
      </c>
      <c r="AC49" s="244">
        <v>107.67</v>
      </c>
      <c r="AD49" s="244">
        <v>106.39</v>
      </c>
      <c r="AE49" s="244">
        <v>107.01</v>
      </c>
      <c r="AF49" s="244">
        <v>105.95</v>
      </c>
      <c r="AG49" s="244">
        <v>106.19</v>
      </c>
      <c r="AH49" s="244">
        <v>104.54</v>
      </c>
      <c r="AI49" s="244">
        <v>104.02</v>
      </c>
      <c r="AJ49" s="244">
        <v>102.14</v>
      </c>
      <c r="AK49" s="244">
        <v>102.02</v>
      </c>
      <c r="AL49" s="244">
        <v>103.03</v>
      </c>
      <c r="AM49" s="244">
        <v>104.62</v>
      </c>
      <c r="AN49" s="244">
        <v>103.46</v>
      </c>
    </row>
    <row r="50" spans="1:59" ht="13" x14ac:dyDescent="0.3">
      <c r="A50" s="237"/>
      <c r="B50" s="238" t="s">
        <v>115</v>
      </c>
      <c r="C50" s="317" t="s">
        <v>9</v>
      </c>
      <c r="D50" s="248"/>
      <c r="E50" s="249" t="s">
        <v>74</v>
      </c>
      <c r="F50" s="244">
        <v>86.78</v>
      </c>
      <c r="G50" s="244">
        <v>95.26</v>
      </c>
      <c r="H50" s="244">
        <v>90.87</v>
      </c>
      <c r="I50" s="244">
        <v>86.92</v>
      </c>
      <c r="J50" s="244">
        <v>82.87</v>
      </c>
      <c r="K50" s="244">
        <v>85.43</v>
      </c>
      <c r="L50" s="244">
        <v>79.62</v>
      </c>
      <c r="M50" s="244">
        <v>83.4</v>
      </c>
      <c r="N50" s="244">
        <v>82.71</v>
      </c>
      <c r="O50" s="244">
        <v>82.44</v>
      </c>
      <c r="P50" s="244">
        <v>84.02</v>
      </c>
      <c r="Q50" s="244">
        <v>82.1</v>
      </c>
      <c r="R50" s="244">
        <v>84.77</v>
      </c>
      <c r="S50" s="244">
        <v>82.9</v>
      </c>
      <c r="T50" s="244">
        <v>82.55</v>
      </c>
      <c r="U50" s="244">
        <v>81.88</v>
      </c>
      <c r="V50" s="244">
        <v>80.290000000000006</v>
      </c>
      <c r="W50" s="244">
        <v>82.9</v>
      </c>
      <c r="X50" s="244">
        <v>80.819999999999993</v>
      </c>
      <c r="Y50" s="244">
        <v>80.91</v>
      </c>
      <c r="Z50" s="244">
        <v>83.23</v>
      </c>
      <c r="AA50" s="244">
        <v>80.150000000000006</v>
      </c>
      <c r="AB50" s="244">
        <v>76.64</v>
      </c>
      <c r="AC50" s="244">
        <v>77.989999999999995</v>
      </c>
      <c r="AD50" s="244">
        <v>77.03</v>
      </c>
      <c r="AE50" s="244">
        <v>76.290000000000006</v>
      </c>
      <c r="AF50" s="244">
        <v>74.180000000000007</v>
      </c>
      <c r="AG50" s="244">
        <v>76.66</v>
      </c>
      <c r="AH50" s="244">
        <v>75.88</v>
      </c>
      <c r="AI50" s="244">
        <v>74.67</v>
      </c>
      <c r="AJ50" s="244">
        <v>72.22</v>
      </c>
      <c r="AK50" s="244">
        <v>73.37</v>
      </c>
      <c r="AL50" s="244">
        <v>75.650000000000006</v>
      </c>
      <c r="AM50" s="244">
        <v>76.81</v>
      </c>
      <c r="AN50" s="244">
        <v>75.69</v>
      </c>
      <c r="AP50" s="250"/>
      <c r="AQ50" s="251"/>
      <c r="AR50" s="251"/>
      <c r="AS50" s="251"/>
      <c r="AT50" s="251"/>
      <c r="AU50" s="251"/>
      <c r="AV50" s="251"/>
      <c r="AW50" s="251"/>
      <c r="AX50" s="251"/>
      <c r="AY50" s="251"/>
      <c r="AZ50" s="251"/>
      <c r="BA50" s="251"/>
      <c r="BB50" s="251"/>
      <c r="BC50" s="251"/>
      <c r="BD50" s="251"/>
      <c r="BE50" s="251"/>
      <c r="BF50" s="251"/>
      <c r="BG50" s="175"/>
    </row>
    <row r="51" spans="1:59" s="244" customFormat="1" x14ac:dyDescent="0.25">
      <c r="A51" s="175"/>
      <c r="B51" s="238" t="s">
        <v>116</v>
      </c>
      <c r="C51" s="317" t="s">
        <v>9</v>
      </c>
      <c r="D51" s="175"/>
      <c r="E51" s="249" t="s">
        <v>113</v>
      </c>
      <c r="F51" s="244">
        <v>9.66</v>
      </c>
      <c r="G51" s="244">
        <v>7.08</v>
      </c>
      <c r="H51" s="244">
        <v>6.69</v>
      </c>
      <c r="I51" s="244">
        <v>4.91</v>
      </c>
      <c r="J51" s="244">
        <v>4.6100000000000003</v>
      </c>
      <c r="K51" s="244">
        <v>4.07</v>
      </c>
      <c r="L51" s="244">
        <v>4.16</v>
      </c>
      <c r="M51" s="244">
        <v>4.18</v>
      </c>
      <c r="N51" s="244">
        <v>4.18</v>
      </c>
      <c r="O51" s="244">
        <v>4.5599999999999996</v>
      </c>
      <c r="P51" s="244">
        <v>4.46</v>
      </c>
      <c r="Q51" s="244">
        <v>4.49</v>
      </c>
      <c r="R51" s="244">
        <v>4.6100000000000003</v>
      </c>
      <c r="S51" s="244">
        <v>4.66</v>
      </c>
      <c r="T51" s="244">
        <v>4.5999999999999996</v>
      </c>
      <c r="U51" s="244">
        <v>4.54</v>
      </c>
      <c r="V51" s="244">
        <v>4.6399999999999997</v>
      </c>
      <c r="W51" s="244">
        <v>4.5999999999999996</v>
      </c>
      <c r="X51" s="244">
        <v>4.6500000000000004</v>
      </c>
      <c r="Y51" s="244">
        <v>4.75</v>
      </c>
      <c r="Z51" s="244">
        <v>4.92</v>
      </c>
      <c r="AA51" s="244">
        <v>4.93</v>
      </c>
      <c r="AB51" s="244">
        <v>4.8899999999999997</v>
      </c>
      <c r="AC51" s="244">
        <v>4.9000000000000004</v>
      </c>
      <c r="AD51" s="244">
        <v>4.8099999999999996</v>
      </c>
      <c r="AE51" s="244">
        <v>4.84</v>
      </c>
      <c r="AF51" s="244">
        <v>4.8</v>
      </c>
      <c r="AG51" s="244">
        <v>4.84</v>
      </c>
      <c r="AH51" s="244">
        <v>4.79</v>
      </c>
      <c r="AI51" s="244">
        <v>4.78</v>
      </c>
      <c r="AJ51" s="244">
        <v>4.8</v>
      </c>
      <c r="AK51" s="244">
        <v>4.8099999999999996</v>
      </c>
      <c r="AL51" s="244">
        <v>4.9000000000000004</v>
      </c>
      <c r="AM51" s="244">
        <v>4.9800000000000004</v>
      </c>
      <c r="AN51" s="244">
        <v>4.9400000000000004</v>
      </c>
    </row>
    <row r="52" spans="1:59" ht="13" x14ac:dyDescent="0.3">
      <c r="A52" s="237"/>
      <c r="B52" s="238" t="s">
        <v>117</v>
      </c>
      <c r="C52" s="317" t="s">
        <v>9</v>
      </c>
      <c r="D52" s="248"/>
      <c r="E52" s="249" t="s">
        <v>113</v>
      </c>
      <c r="F52" s="244">
        <v>14.5</v>
      </c>
      <c r="G52" s="244">
        <v>11.78</v>
      </c>
      <c r="H52" s="244">
        <v>7.9</v>
      </c>
      <c r="I52" s="244">
        <v>6.77</v>
      </c>
      <c r="J52" s="244">
        <v>6.14</v>
      </c>
      <c r="K52" s="244">
        <v>5.67</v>
      </c>
      <c r="L52" s="244">
        <v>4.9800000000000004</v>
      </c>
      <c r="M52" s="244">
        <v>3.77</v>
      </c>
      <c r="N52" s="244">
        <v>3.93</v>
      </c>
      <c r="O52" s="244">
        <v>4.37</v>
      </c>
      <c r="P52" s="244">
        <v>4.13</v>
      </c>
      <c r="Q52" s="244">
        <v>3.96</v>
      </c>
      <c r="R52" s="244">
        <v>4.09</v>
      </c>
      <c r="S52" s="244">
        <v>4.1399999999999997</v>
      </c>
      <c r="T52" s="244">
        <v>4.1399999999999997</v>
      </c>
      <c r="U52" s="244">
        <v>4.07</v>
      </c>
      <c r="V52" s="244">
        <v>4.1500000000000004</v>
      </c>
      <c r="W52" s="244">
        <v>4.12</v>
      </c>
      <c r="X52" s="244">
        <v>4.16</v>
      </c>
      <c r="Y52" s="244">
        <v>4.24</v>
      </c>
      <c r="Z52" s="244">
        <v>4.3899999999999997</v>
      </c>
      <c r="AA52" s="244">
        <v>4.37</v>
      </c>
      <c r="AB52" s="244">
        <v>4.3499999999999996</v>
      </c>
      <c r="AC52" s="244">
        <v>4.3499999999999996</v>
      </c>
      <c r="AD52" s="244">
        <v>4.32</v>
      </c>
      <c r="AE52" s="244">
        <v>4.37</v>
      </c>
      <c r="AF52" s="244">
        <v>4.3099999999999996</v>
      </c>
      <c r="AG52" s="244">
        <v>4.3600000000000003</v>
      </c>
      <c r="AH52" s="244">
        <v>4.32</v>
      </c>
      <c r="AI52" s="244">
        <v>4.3099999999999996</v>
      </c>
      <c r="AJ52" s="244">
        <v>4.25</v>
      </c>
      <c r="AK52" s="244">
        <v>4.21</v>
      </c>
      <c r="AL52" s="244">
        <v>4.3099999999999996</v>
      </c>
      <c r="AM52" s="244">
        <v>4.38</v>
      </c>
      <c r="AN52" s="244">
        <v>4.3600000000000003</v>
      </c>
      <c r="AP52" s="250"/>
      <c r="AQ52" s="175"/>
      <c r="AR52" s="175"/>
      <c r="AS52" s="175"/>
      <c r="AT52" s="175"/>
      <c r="AU52" s="175"/>
      <c r="AV52" s="175"/>
      <c r="AW52" s="175"/>
      <c r="AX52" s="175"/>
      <c r="AY52" s="175"/>
      <c r="AZ52" s="175"/>
      <c r="BA52" s="175"/>
      <c r="BB52" s="175"/>
      <c r="BC52" s="175"/>
      <c r="BD52" s="175"/>
      <c r="BE52" s="175"/>
      <c r="BF52" s="175"/>
      <c r="BG52" s="175"/>
    </row>
    <row r="53" spans="1:59" ht="13" x14ac:dyDescent="0.3">
      <c r="A53" s="356"/>
      <c r="B53" s="356"/>
      <c r="C53" s="128"/>
      <c r="D53" s="248"/>
      <c r="E53" s="249"/>
      <c r="F53" s="252"/>
      <c r="G53" s="252"/>
      <c r="H53" s="252"/>
      <c r="I53" s="252"/>
      <c r="J53" s="252"/>
      <c r="K53" s="252"/>
      <c r="L53" s="252"/>
      <c r="M53" s="252"/>
      <c r="N53" s="252"/>
      <c r="O53" s="252"/>
      <c r="P53" s="252"/>
      <c r="Q53" s="252"/>
      <c r="R53" s="252"/>
      <c r="S53" s="252"/>
      <c r="T53" s="252"/>
      <c r="U53" s="252"/>
      <c r="V53" s="252"/>
      <c r="W53" s="252"/>
      <c r="X53" s="252"/>
      <c r="Y53" s="252"/>
      <c r="Z53" s="252"/>
      <c r="AA53" s="252"/>
      <c r="AB53" s="252"/>
      <c r="AC53" s="252"/>
      <c r="AD53" s="252"/>
      <c r="AE53" s="252"/>
      <c r="AF53" s="252"/>
      <c r="AG53" s="253"/>
      <c r="AH53" s="253"/>
      <c r="AI53" s="253"/>
      <c r="AJ53" s="253"/>
      <c r="AK53" s="253"/>
      <c r="AL53" s="253"/>
      <c r="AM53" s="253"/>
      <c r="AN53" s="253"/>
      <c r="AP53" s="248"/>
      <c r="AQ53" s="175"/>
      <c r="AR53" s="175"/>
      <c r="AS53" s="175"/>
      <c r="AT53" s="175"/>
      <c r="AU53" s="175"/>
      <c r="AV53" s="175"/>
      <c r="AW53" s="175"/>
      <c r="AX53" s="175"/>
      <c r="AY53" s="175"/>
      <c r="AZ53" s="175"/>
      <c r="BA53" s="175"/>
      <c r="BB53" s="175"/>
      <c r="BC53" s="175"/>
      <c r="BD53" s="175"/>
      <c r="BE53" s="175"/>
      <c r="BF53" s="175"/>
      <c r="BG53" s="175"/>
    </row>
    <row r="54" spans="1:59" ht="13" x14ac:dyDescent="0.3">
      <c r="A54" s="357" t="s">
        <v>76</v>
      </c>
      <c r="B54" s="357"/>
      <c r="C54" s="254"/>
      <c r="D54" s="254"/>
      <c r="E54" s="254"/>
      <c r="F54" s="254"/>
      <c r="G54" s="254"/>
      <c r="H54" s="254"/>
      <c r="I54" s="254"/>
      <c r="J54" s="254"/>
      <c r="K54" s="254"/>
      <c r="L54" s="254"/>
      <c r="M54" s="254"/>
      <c r="N54" s="254"/>
      <c r="O54" s="254"/>
      <c r="P54" s="254"/>
      <c r="Q54" s="254"/>
      <c r="R54" s="254"/>
      <c r="S54" s="254"/>
      <c r="T54" s="254"/>
      <c r="U54" s="254"/>
      <c r="V54" s="254"/>
      <c r="W54" s="254"/>
      <c r="X54" s="254"/>
      <c r="Y54" s="254"/>
      <c r="Z54" s="254"/>
      <c r="AA54" s="254"/>
      <c r="AB54" s="254"/>
      <c r="AC54" s="254"/>
      <c r="AD54" s="254"/>
      <c r="AE54" s="254"/>
      <c r="AF54" s="254"/>
      <c r="AG54" s="254"/>
      <c r="AH54" s="254"/>
      <c r="AI54" s="254"/>
      <c r="AJ54" s="254"/>
      <c r="AK54" s="254"/>
      <c r="AL54" s="254"/>
      <c r="AM54" s="254"/>
      <c r="AN54" s="254"/>
      <c r="AP54" s="248"/>
      <c r="AQ54" s="248"/>
      <c r="AR54" s="175"/>
      <c r="AS54" s="175"/>
      <c r="AT54" s="175"/>
      <c r="AU54" s="175"/>
      <c r="AV54" s="175"/>
      <c r="AW54" s="175"/>
      <c r="AX54" s="175"/>
      <c r="AY54" s="175"/>
      <c r="AZ54" s="175"/>
      <c r="BA54" s="175"/>
      <c r="BB54" s="175"/>
      <c r="BC54" s="175"/>
      <c r="BD54" s="175"/>
      <c r="BE54" s="175"/>
      <c r="BF54" s="175"/>
      <c r="BG54" s="175"/>
    </row>
  </sheetData>
  <mergeCells count="3">
    <mergeCell ref="A48:B48"/>
    <mergeCell ref="A53:B53"/>
    <mergeCell ref="A54:B54"/>
  </mergeCells>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expression" priority="2" stopIfTrue="1" id="{04CF173E-3A8E-4B58-8B07-D4232E8E0C66}">
            <xm:f>Disclaimer!$F$18&lt;&gt;"I ACCEPT"</xm:f>
            <x14:dxf>
              <numFmt numFmtId="175" formatCode=";;;"/>
            </x14:dxf>
          </x14:cfRule>
          <xm:sqref>A2:XFD1048576 A1:J1 L1:XFD1</xm:sqref>
        </x14:conditionalFormatting>
        <x14:conditionalFormatting xmlns:xm="http://schemas.microsoft.com/office/excel/2006/main">
          <x14:cfRule type="expression" priority="1" stopIfTrue="1" id="{90FB35F9-D13C-48B1-9941-8E859E91D6C4}">
            <xm:f>Disclaimer!$F$18="I ACCEPT"</xm:f>
            <x14:dxf>
              <numFmt numFmtId="175" formatCode=";;;"/>
            </x14:dxf>
          </x14:cfRule>
          <xm:sqref>K1</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8F2800-97F5-49DD-8B55-CC37125BFD89}">
  <sheetPr codeName="Sheet4">
    <pageSetUpPr autoPageBreaks="0"/>
  </sheetPr>
  <dimension ref="A1:AM100"/>
  <sheetViews>
    <sheetView showGridLines="0" zoomScale="85" zoomScaleNormal="85" workbookViewId="0">
      <selection activeCell="A3" sqref="A3"/>
    </sheetView>
  </sheetViews>
  <sheetFormatPr defaultColWidth="8.7265625" defaultRowHeight="12.5" x14ac:dyDescent="0.25"/>
  <cols>
    <col min="1" max="1" width="5.54296875" style="127" customWidth="1"/>
    <col min="2" max="2" width="48.453125" style="127" customWidth="1"/>
    <col min="3" max="3" width="14.7265625" style="127" bestFit="1" customWidth="1"/>
    <col min="4" max="4" width="17.7265625" style="127" bestFit="1" customWidth="1"/>
    <col min="5" max="5" width="9.26953125" style="127" customWidth="1"/>
    <col min="6" max="6" width="9" style="127" customWidth="1"/>
    <col min="7" max="27" width="8.7265625" style="127" customWidth="1"/>
    <col min="28" max="39" width="8.26953125" style="127" bestFit="1" customWidth="1"/>
    <col min="40" max="16384" width="8.7265625" style="127"/>
  </cols>
  <sheetData>
    <row r="1" spans="1:39" ht="14.5" x14ac:dyDescent="0.35">
      <c r="A1" s="2"/>
      <c r="B1" s="1"/>
      <c r="C1" s="130" t="s">
        <v>54</v>
      </c>
      <c r="D1" s="321" t="str">
        <f>Intro!$C$5</f>
        <v>Aurora’s Hungarian Flexible Energy Market Forecast - Q2 2026</v>
      </c>
      <c r="F1" s="117"/>
      <c r="G1" s="117"/>
      <c r="H1" s="117"/>
      <c r="I1" s="117"/>
      <c r="J1" s="117"/>
      <c r="K1" s="329" t="s">
        <v>55</v>
      </c>
      <c r="L1" s="117"/>
      <c r="M1" s="117"/>
      <c r="N1" s="117"/>
      <c r="O1" s="117"/>
      <c r="P1" s="117"/>
      <c r="Q1" s="117"/>
      <c r="R1" s="117"/>
      <c r="S1" s="117"/>
      <c r="T1" s="117"/>
      <c r="U1" s="117"/>
      <c r="V1" s="117"/>
      <c r="W1" s="117"/>
      <c r="X1" s="117"/>
      <c r="Y1" s="117"/>
    </row>
    <row r="2" spans="1:39" ht="14.5" x14ac:dyDescent="0.35">
      <c r="A2" s="2"/>
      <c r="B2" s="1"/>
      <c r="C2" s="130" t="s">
        <v>8</v>
      </c>
      <c r="D2" s="137" t="str">
        <f>Intro!$E$13</f>
        <v>Hungary</v>
      </c>
      <c r="F2" s="117"/>
      <c r="G2" s="117"/>
      <c r="H2" s="117"/>
      <c r="I2" s="117"/>
      <c r="J2" s="117"/>
      <c r="K2" s="117"/>
      <c r="L2" s="117"/>
      <c r="M2" s="117"/>
      <c r="N2" s="117"/>
      <c r="O2" s="117"/>
      <c r="P2" s="117"/>
      <c r="Q2" s="117"/>
      <c r="R2" s="117"/>
      <c r="S2" s="117"/>
      <c r="T2" s="117"/>
      <c r="U2" s="117"/>
      <c r="V2" s="117"/>
      <c r="W2" s="117"/>
      <c r="X2" s="117"/>
      <c r="Y2" s="117"/>
    </row>
    <row r="3" spans="1:39" ht="14.5" x14ac:dyDescent="0.35">
      <c r="A3" s="2"/>
      <c r="B3" s="1"/>
      <c r="C3" s="130" t="s">
        <v>10</v>
      </c>
      <c r="D3" s="136" t="s">
        <v>445</v>
      </c>
      <c r="F3" s="117"/>
      <c r="G3" s="117"/>
      <c r="H3" s="117"/>
      <c r="I3" s="117"/>
      <c r="J3" s="117"/>
      <c r="K3" s="117"/>
      <c r="L3" s="117"/>
      <c r="M3" s="117"/>
      <c r="N3" s="117"/>
      <c r="O3" s="117"/>
      <c r="P3" s="117"/>
      <c r="Q3" s="117"/>
      <c r="R3" s="117"/>
      <c r="S3" s="117"/>
      <c r="T3" s="117"/>
      <c r="U3" s="117"/>
      <c r="V3" s="117"/>
      <c r="W3" s="117"/>
      <c r="X3" s="117"/>
      <c r="Y3" s="117"/>
    </row>
    <row r="4" spans="1:39" ht="14.5" x14ac:dyDescent="0.35">
      <c r="A4" s="1"/>
      <c r="B4" s="1"/>
      <c r="C4" s="130" t="s">
        <v>56</v>
      </c>
      <c r="D4" s="137" t="s">
        <v>57</v>
      </c>
      <c r="F4" s="117"/>
      <c r="G4" s="117"/>
      <c r="H4" s="117"/>
      <c r="I4" s="117"/>
      <c r="J4" s="117"/>
      <c r="K4" s="117"/>
      <c r="L4" s="117"/>
      <c r="M4" s="117"/>
      <c r="N4" s="117"/>
      <c r="O4" s="117"/>
      <c r="P4" s="117"/>
      <c r="Q4" s="117"/>
      <c r="R4" s="117"/>
      <c r="S4" s="117"/>
      <c r="T4" s="117"/>
      <c r="U4" s="117"/>
      <c r="V4" s="117"/>
      <c r="W4" s="117"/>
      <c r="X4" s="117"/>
      <c r="Y4" s="117"/>
    </row>
    <row r="5" spans="1:39" ht="14.5" x14ac:dyDescent="0.35">
      <c r="A5" s="2"/>
      <c r="B5" s="2"/>
      <c r="C5" s="117"/>
      <c r="D5" s="117"/>
      <c r="F5" s="117"/>
      <c r="G5" s="117"/>
      <c r="H5" s="117"/>
      <c r="I5" s="117"/>
      <c r="J5" s="117"/>
      <c r="K5" s="117"/>
      <c r="L5" s="117"/>
      <c r="M5" s="117"/>
      <c r="N5" s="117"/>
      <c r="O5" s="117"/>
      <c r="P5" s="117"/>
      <c r="Q5" s="117"/>
      <c r="R5" s="117"/>
      <c r="S5" s="117"/>
      <c r="T5" s="117"/>
      <c r="U5" s="117"/>
      <c r="V5" s="117"/>
      <c r="W5" s="117"/>
      <c r="X5" s="117"/>
      <c r="Y5" s="117"/>
    </row>
    <row r="6" spans="1:39" ht="13" x14ac:dyDescent="0.3">
      <c r="A6" s="126" t="s">
        <v>118</v>
      </c>
      <c r="B6" s="126"/>
      <c r="C6" s="138"/>
      <c r="D6" s="138"/>
      <c r="E6" s="138"/>
      <c r="F6" s="138"/>
      <c r="G6" s="138"/>
      <c r="H6" s="138"/>
      <c r="I6" s="138"/>
      <c r="J6" s="138"/>
      <c r="K6" s="138"/>
      <c r="L6" s="138"/>
      <c r="M6" s="138"/>
      <c r="N6" s="138"/>
      <c r="O6" s="138"/>
      <c r="P6" s="138"/>
      <c r="Q6" s="138"/>
      <c r="R6" s="138"/>
      <c r="S6" s="138"/>
      <c r="T6" s="138"/>
      <c r="U6" s="138"/>
      <c r="V6" s="138"/>
      <c r="W6" s="138"/>
      <c r="X6" s="138"/>
      <c r="Y6" s="138"/>
      <c r="Z6" s="138"/>
      <c r="AA6" s="138"/>
      <c r="AB6" s="138"/>
      <c r="AC6" s="138"/>
      <c r="AD6" s="138"/>
      <c r="AE6" s="138"/>
      <c r="AF6" s="138"/>
      <c r="AG6" s="138"/>
      <c r="AH6" s="138"/>
      <c r="AI6" s="138"/>
      <c r="AJ6" s="138"/>
      <c r="AK6" s="138"/>
      <c r="AL6" s="138"/>
      <c r="AM6" s="138"/>
    </row>
    <row r="8" spans="1:39" x14ac:dyDescent="0.25">
      <c r="B8" s="128" t="s">
        <v>119</v>
      </c>
      <c r="C8" s="128"/>
    </row>
    <row r="10" spans="1:39" ht="13" x14ac:dyDescent="0.3">
      <c r="A10" s="126" t="s">
        <v>120</v>
      </c>
      <c r="B10" s="126"/>
      <c r="C10" s="138"/>
      <c r="D10" s="138"/>
      <c r="E10" s="138"/>
      <c r="F10" s="138"/>
      <c r="G10" s="138"/>
      <c r="H10" s="138"/>
      <c r="I10" s="138"/>
      <c r="J10" s="138"/>
      <c r="K10" s="138"/>
      <c r="L10" s="138"/>
      <c r="M10" s="138"/>
      <c r="N10" s="138"/>
      <c r="O10" s="138"/>
      <c r="P10" s="138"/>
      <c r="Q10" s="138"/>
      <c r="R10" s="138"/>
      <c r="S10" s="138"/>
      <c r="T10" s="138"/>
      <c r="U10" s="138"/>
      <c r="V10" s="138"/>
      <c r="W10" s="138"/>
      <c r="X10" s="138"/>
      <c r="Y10" s="138"/>
      <c r="Z10" s="138"/>
      <c r="AA10" s="138"/>
      <c r="AB10" s="138"/>
      <c r="AC10" s="138"/>
      <c r="AD10" s="138"/>
      <c r="AE10" s="138"/>
      <c r="AF10" s="138"/>
      <c r="AG10" s="138"/>
      <c r="AH10" s="138"/>
      <c r="AI10" s="138"/>
      <c r="AJ10" s="138"/>
      <c r="AK10" s="138"/>
      <c r="AL10" s="138"/>
      <c r="AM10" s="138"/>
    </row>
    <row r="11" spans="1:39" ht="13" x14ac:dyDescent="0.3">
      <c r="A11" s="129"/>
      <c r="B11" s="129" t="s">
        <v>59</v>
      </c>
      <c r="C11" s="139" t="s">
        <v>37</v>
      </c>
      <c r="D11" s="129" t="s">
        <v>60</v>
      </c>
      <c r="E11" s="129"/>
      <c r="F11" s="139"/>
      <c r="G11" s="139"/>
      <c r="H11" s="139"/>
      <c r="I11" s="139"/>
      <c r="J11" s="139"/>
      <c r="K11" s="139"/>
      <c r="L11" s="139"/>
      <c r="M11" s="139"/>
      <c r="N11" s="139"/>
      <c r="O11" s="139"/>
      <c r="P11" s="139"/>
      <c r="Q11" s="139"/>
      <c r="R11" s="139"/>
      <c r="S11" s="139"/>
      <c r="T11" s="139"/>
      <c r="U11" s="139"/>
      <c r="V11" s="139"/>
      <c r="W11" s="139"/>
      <c r="X11" s="139"/>
      <c r="Y11" s="139"/>
      <c r="Z11" s="139"/>
      <c r="AA11" s="139"/>
      <c r="AB11" s="139"/>
      <c r="AC11" s="139"/>
      <c r="AD11" s="139"/>
      <c r="AE11" s="139"/>
      <c r="AF11" s="139"/>
      <c r="AG11" s="139"/>
      <c r="AH11" s="139"/>
      <c r="AI11" s="139"/>
      <c r="AJ11" s="139"/>
      <c r="AK11" s="139"/>
      <c r="AL11" s="139"/>
      <c r="AM11" s="139"/>
    </row>
    <row r="12" spans="1:39" x14ac:dyDescent="0.25">
      <c r="B12" s="127" t="s">
        <v>121</v>
      </c>
      <c r="C12" s="140" t="s">
        <v>479</v>
      </c>
      <c r="D12" s="141" t="s">
        <v>122</v>
      </c>
    </row>
    <row r="13" spans="1:39" x14ac:dyDescent="0.25">
      <c r="B13" s="127" t="s">
        <v>123</v>
      </c>
      <c r="C13" s="142">
        <v>1</v>
      </c>
      <c r="D13" s="141" t="s">
        <v>124</v>
      </c>
    </row>
    <row r="14" spans="1:39" x14ac:dyDescent="0.25">
      <c r="B14" s="127" t="s">
        <v>125</v>
      </c>
      <c r="C14" s="142">
        <v>1.5</v>
      </c>
      <c r="D14" s="143" t="s">
        <v>126</v>
      </c>
    </row>
    <row r="15" spans="1:39" x14ac:dyDescent="0.25">
      <c r="B15" s="127" t="s">
        <v>125</v>
      </c>
      <c r="C15" s="142">
        <v>2</v>
      </c>
      <c r="D15" s="143" t="s">
        <v>126</v>
      </c>
    </row>
    <row r="16" spans="1:39" x14ac:dyDescent="0.25">
      <c r="B16" s="127" t="s">
        <v>127</v>
      </c>
      <c r="C16" s="142">
        <v>1</v>
      </c>
      <c r="D16" s="143" t="s">
        <v>126</v>
      </c>
    </row>
    <row r="17" spans="1:39" x14ac:dyDescent="0.25">
      <c r="B17" s="127" t="s">
        <v>128</v>
      </c>
      <c r="C17" s="144">
        <v>0.86</v>
      </c>
      <c r="D17" s="141" t="s">
        <v>122</v>
      </c>
      <c r="E17" s="145"/>
    </row>
    <row r="18" spans="1:39" x14ac:dyDescent="0.25">
      <c r="B18" s="127" t="s">
        <v>129</v>
      </c>
      <c r="C18" s="146">
        <v>0.98</v>
      </c>
      <c r="D18" s="141" t="s">
        <v>122</v>
      </c>
    </row>
    <row r="19" spans="1:39" x14ac:dyDescent="0.25">
      <c r="B19" s="127" t="s">
        <v>130</v>
      </c>
      <c r="C19" s="326" t="s">
        <v>443</v>
      </c>
      <c r="D19" s="141" t="s">
        <v>122</v>
      </c>
    </row>
    <row r="20" spans="1:39" x14ac:dyDescent="0.25">
      <c r="C20" s="146"/>
      <c r="D20" s="141"/>
    </row>
    <row r="21" spans="1:39" ht="13" x14ac:dyDescent="0.3">
      <c r="A21" s="126" t="s">
        <v>131</v>
      </c>
      <c r="B21" s="126"/>
      <c r="C21" s="138"/>
      <c r="D21" s="138"/>
      <c r="E21" s="138"/>
      <c r="F21" s="138"/>
      <c r="G21" s="138"/>
      <c r="H21" s="138"/>
      <c r="I21" s="138"/>
      <c r="J21" s="138"/>
      <c r="K21" s="138"/>
      <c r="L21" s="138"/>
      <c r="M21" s="138"/>
      <c r="N21" s="138"/>
      <c r="O21" s="138"/>
      <c r="P21" s="138"/>
      <c r="Q21" s="138"/>
      <c r="R21" s="138"/>
      <c r="S21" s="138"/>
      <c r="T21" s="138"/>
      <c r="U21" s="138"/>
      <c r="V21" s="138"/>
      <c r="W21" s="138"/>
      <c r="X21" s="138"/>
      <c r="Y21" s="138"/>
      <c r="Z21" s="138"/>
      <c r="AA21" s="138"/>
      <c r="AB21" s="138"/>
      <c r="AC21" s="138"/>
      <c r="AD21" s="138"/>
      <c r="AE21" s="138"/>
      <c r="AF21" s="138"/>
      <c r="AG21" s="138"/>
      <c r="AH21" s="138"/>
      <c r="AI21" s="138"/>
      <c r="AJ21" s="138"/>
      <c r="AK21" s="138"/>
      <c r="AL21" s="138"/>
      <c r="AM21" s="138"/>
    </row>
    <row r="22" spans="1:39" ht="13" x14ac:dyDescent="0.3">
      <c r="A22" s="129"/>
      <c r="B22" s="129" t="s">
        <v>59</v>
      </c>
      <c r="C22" s="129" t="s">
        <v>132</v>
      </c>
      <c r="D22" s="147" t="s">
        <v>60</v>
      </c>
      <c r="E22" s="139"/>
      <c r="F22" s="139"/>
      <c r="G22" s="139"/>
      <c r="H22" s="139"/>
      <c r="I22" s="139"/>
      <c r="J22" s="139"/>
      <c r="K22" s="139"/>
      <c r="L22" s="139"/>
      <c r="M22" s="139"/>
      <c r="N22" s="139"/>
      <c r="O22" s="139"/>
      <c r="P22" s="139"/>
      <c r="Q22" s="139"/>
      <c r="R22" s="139"/>
      <c r="S22" s="139"/>
      <c r="T22" s="139"/>
      <c r="U22" s="139"/>
      <c r="V22" s="139"/>
      <c r="W22" s="139"/>
      <c r="X22" s="139"/>
      <c r="Y22" s="139"/>
      <c r="Z22" s="139"/>
      <c r="AA22" s="139"/>
      <c r="AB22" s="139"/>
      <c r="AC22" s="139"/>
      <c r="AD22" s="139"/>
      <c r="AE22" s="139"/>
      <c r="AF22" s="139"/>
      <c r="AG22" s="139"/>
      <c r="AH22" s="139"/>
      <c r="AI22" s="139"/>
      <c r="AJ22" s="139"/>
      <c r="AK22" s="139"/>
      <c r="AL22" s="139"/>
      <c r="AM22" s="139"/>
    </row>
    <row r="23" spans="1:39" s="117" customFormat="1" ht="13" x14ac:dyDescent="0.3">
      <c r="A23" s="130"/>
      <c r="B23" s="117" t="s">
        <v>133</v>
      </c>
      <c r="C23" s="127" t="s">
        <v>134</v>
      </c>
      <c r="D23" s="148" t="s">
        <v>316</v>
      </c>
      <c r="E23" s="149">
        <v>0</v>
      </c>
      <c r="F23" s="149">
        <v>701.09177360000001</v>
      </c>
      <c r="G23" s="149">
        <v>1357.426379</v>
      </c>
      <c r="H23" s="149">
        <v>1987.6718880000001</v>
      </c>
      <c r="I23" s="149">
        <v>2597.3800569999999</v>
      </c>
      <c r="J23" s="149">
        <v>3187.5378759999999</v>
      </c>
      <c r="K23" s="149">
        <v>3758.3696500000001</v>
      </c>
      <c r="L23" s="149">
        <v>4310.3681880000004</v>
      </c>
      <c r="M23" s="149">
        <v>4843.9400820000001</v>
      </c>
      <c r="N23" s="149">
        <v>5359.0500190000002</v>
      </c>
      <c r="O23" s="149">
        <v>5855.5950050000001</v>
      </c>
      <c r="P23" s="149">
        <v>6333.5958309999996</v>
      </c>
      <c r="Q23" s="149">
        <v>6793.0469050000002</v>
      </c>
      <c r="R23" s="149">
        <v>7233.9482260000004</v>
      </c>
      <c r="S23" s="149">
        <v>7656.2997969999997</v>
      </c>
      <c r="T23" s="149">
        <v>8060.1016149999996</v>
      </c>
      <c r="U23" s="149">
        <v>8445.3536810000005</v>
      </c>
      <c r="V23" s="149">
        <v>8812.0559959999991</v>
      </c>
      <c r="W23" s="149">
        <v>9160.2085590000006</v>
      </c>
      <c r="X23" s="149">
        <v>9489.8113699999994</v>
      </c>
      <c r="Y23" s="149">
        <v>9800.8644289999993</v>
      </c>
      <c r="Z23" s="149">
        <v>10093.36774</v>
      </c>
      <c r="AA23" s="149">
        <v>10367.32129</v>
      </c>
      <c r="AB23" s="150"/>
      <c r="AC23" s="150"/>
      <c r="AD23" s="150"/>
      <c r="AE23" s="150"/>
      <c r="AF23" s="150"/>
      <c r="AG23" s="150"/>
      <c r="AH23" s="150"/>
      <c r="AI23" s="150"/>
      <c r="AJ23" s="150"/>
      <c r="AK23" s="150"/>
      <c r="AL23" s="150"/>
      <c r="AM23" s="150"/>
    </row>
    <row r="24" spans="1:39" x14ac:dyDescent="0.25">
      <c r="B24" s="117" t="s">
        <v>135</v>
      </c>
      <c r="C24" s="127" t="s">
        <v>134</v>
      </c>
      <c r="D24" s="151" t="s">
        <v>136</v>
      </c>
      <c r="E24" s="152">
        <v>1</v>
      </c>
      <c r="F24" s="152">
        <v>0.91948466399999995</v>
      </c>
      <c r="G24" s="152">
        <v>0.87746155100000001</v>
      </c>
      <c r="H24" s="152">
        <v>0.84805661300000001</v>
      </c>
      <c r="I24" s="152">
        <v>0.82123337799999996</v>
      </c>
      <c r="J24" s="152">
        <v>0.79453067399999999</v>
      </c>
      <c r="K24" s="152">
        <v>0.76832154699999999</v>
      </c>
      <c r="L24" s="152">
        <v>0.74296808400000003</v>
      </c>
      <c r="M24" s="152">
        <v>0.71787214600000004</v>
      </c>
      <c r="N24" s="152">
        <v>0.69242200099999995</v>
      </c>
      <c r="O24" s="152">
        <v>0.66704408100000001</v>
      </c>
      <c r="P24" s="152">
        <v>0.64165085499999996</v>
      </c>
      <c r="Q24" s="152">
        <v>0.61625762900000003</v>
      </c>
      <c r="R24" s="152">
        <v>0.59086440299999998</v>
      </c>
      <c r="S24" s="152">
        <v>0.56547117599999996</v>
      </c>
      <c r="T24" s="152">
        <v>0.54007795000000003</v>
      </c>
      <c r="U24" s="152">
        <v>0.51468472399999998</v>
      </c>
      <c r="V24" s="152">
        <v>0.48929149700000002</v>
      </c>
      <c r="W24" s="152">
        <v>0.46389827099999997</v>
      </c>
      <c r="X24" s="152">
        <v>0.43850504499999998</v>
      </c>
      <c r="Y24" s="152">
        <v>0.41311181800000002</v>
      </c>
      <c r="Z24" s="152">
        <v>0.38771859199999997</v>
      </c>
      <c r="AA24" s="152">
        <v>0.36232536599999998</v>
      </c>
      <c r="AB24" s="153"/>
      <c r="AC24" s="153"/>
      <c r="AD24" s="153"/>
      <c r="AE24" s="153"/>
      <c r="AF24" s="153"/>
      <c r="AG24" s="153"/>
      <c r="AH24" s="153"/>
      <c r="AI24" s="153"/>
      <c r="AJ24" s="154"/>
      <c r="AK24" s="154"/>
      <c r="AL24" s="154"/>
      <c r="AM24" s="154"/>
    </row>
    <row r="25" spans="1:39" x14ac:dyDescent="0.25">
      <c r="C25" s="127" t="s">
        <v>137</v>
      </c>
      <c r="D25" s="148" t="s">
        <v>316</v>
      </c>
      <c r="E25" s="149">
        <v>0</v>
      </c>
      <c r="F25" s="149">
        <v>701.09177360000001</v>
      </c>
      <c r="G25" s="149">
        <v>1357.426379</v>
      </c>
      <c r="H25" s="149">
        <v>1987.6718880000001</v>
      </c>
      <c r="I25" s="149">
        <v>2597.3800569999999</v>
      </c>
      <c r="J25" s="149">
        <v>3187.5378759999999</v>
      </c>
      <c r="K25" s="149">
        <v>3758.3696500000001</v>
      </c>
      <c r="L25" s="149">
        <v>4310.3681880000004</v>
      </c>
      <c r="M25" s="149">
        <v>4843.9400820000001</v>
      </c>
      <c r="N25" s="149">
        <v>5359.0500190000002</v>
      </c>
      <c r="O25" s="149">
        <v>5855.5950050000001</v>
      </c>
      <c r="P25" s="149">
        <v>6333.5958309999996</v>
      </c>
      <c r="Q25" s="149">
        <v>6793.0469050000002</v>
      </c>
      <c r="R25" s="149">
        <v>7233.9482260000004</v>
      </c>
      <c r="S25" s="149">
        <v>7656.2997969999997</v>
      </c>
      <c r="T25" s="149">
        <v>8060.1016149999996</v>
      </c>
      <c r="U25" s="149">
        <v>8445.3536810000005</v>
      </c>
      <c r="V25" s="149">
        <v>8812.0559959999991</v>
      </c>
      <c r="W25" s="149">
        <v>9160.2085590000006</v>
      </c>
      <c r="X25" s="149">
        <v>9489.8113699999994</v>
      </c>
      <c r="Y25" s="149">
        <v>9800.8644289999993</v>
      </c>
      <c r="Z25" s="149">
        <v>10093.36774</v>
      </c>
      <c r="AA25" s="149">
        <v>10367.32129</v>
      </c>
      <c r="AB25" s="150"/>
      <c r="AC25" s="150"/>
      <c r="AD25" s="150"/>
      <c r="AE25" s="150"/>
      <c r="AF25" s="150"/>
      <c r="AG25" s="150"/>
      <c r="AH25" s="150"/>
      <c r="AI25" s="150"/>
      <c r="AJ25" s="150"/>
      <c r="AK25" s="150"/>
      <c r="AL25" s="150"/>
      <c r="AM25" s="150"/>
    </row>
    <row r="26" spans="1:39" x14ac:dyDescent="0.25">
      <c r="C26" s="127" t="s">
        <v>137</v>
      </c>
      <c r="D26" s="151" t="s">
        <v>136</v>
      </c>
      <c r="E26" s="152">
        <v>1</v>
      </c>
      <c r="F26" s="152">
        <v>0.91948466399999995</v>
      </c>
      <c r="G26" s="152">
        <v>0.87746155100000001</v>
      </c>
      <c r="H26" s="152">
        <v>0.84805661300000001</v>
      </c>
      <c r="I26" s="152">
        <v>0.82123337799999996</v>
      </c>
      <c r="J26" s="152">
        <v>0.79453067399999999</v>
      </c>
      <c r="K26" s="152">
        <v>0.76832154699999999</v>
      </c>
      <c r="L26" s="152">
        <v>0.74296808400000003</v>
      </c>
      <c r="M26" s="152">
        <v>0.71787214600000004</v>
      </c>
      <c r="N26" s="152">
        <v>0.69242200099999995</v>
      </c>
      <c r="O26" s="152">
        <v>0.66704408100000001</v>
      </c>
      <c r="P26" s="152">
        <v>0.64165085499999996</v>
      </c>
      <c r="Q26" s="152">
        <v>0.61625762900000003</v>
      </c>
      <c r="R26" s="152">
        <v>0.59086440299999998</v>
      </c>
      <c r="S26" s="152">
        <v>0.56547117599999996</v>
      </c>
      <c r="T26" s="152">
        <v>0.54007795000000003</v>
      </c>
      <c r="U26" s="152">
        <v>0.51468472399999998</v>
      </c>
      <c r="V26" s="152">
        <v>0.48929149700000002</v>
      </c>
      <c r="W26" s="152">
        <v>0.46389827099999997</v>
      </c>
      <c r="X26" s="152">
        <v>0.43850504499999998</v>
      </c>
      <c r="Y26" s="152">
        <v>0.41311181800000002</v>
      </c>
      <c r="Z26" s="152">
        <v>0.38771859199999997</v>
      </c>
      <c r="AA26" s="152">
        <v>0.36232536599999998</v>
      </c>
      <c r="AB26" s="153"/>
      <c r="AC26" s="153"/>
      <c r="AD26" s="153"/>
      <c r="AE26" s="153"/>
      <c r="AF26" s="153"/>
      <c r="AG26" s="153"/>
      <c r="AH26" s="153"/>
      <c r="AI26" s="153"/>
      <c r="AJ26" s="153"/>
      <c r="AK26" s="153"/>
      <c r="AL26" s="153"/>
      <c r="AM26" s="153"/>
    </row>
    <row r="27" spans="1:39" x14ac:dyDescent="0.25">
      <c r="C27" s="127" t="s">
        <v>138</v>
      </c>
      <c r="D27" s="148" t="s">
        <v>316</v>
      </c>
      <c r="E27" s="127">
        <v>0</v>
      </c>
      <c r="F27" s="149">
        <v>357.46589060000002</v>
      </c>
      <c r="G27" s="149">
        <v>701.56969300000003</v>
      </c>
      <c r="H27" s="149">
        <v>1035.766617</v>
      </c>
      <c r="I27" s="149">
        <v>1362.0332430000001</v>
      </c>
      <c r="J27" s="149">
        <v>1681.4890740000001</v>
      </c>
      <c r="K27" s="149">
        <v>1994.7229199999999</v>
      </c>
      <c r="L27" s="149">
        <v>2302.0335289999998</v>
      </c>
      <c r="M27" s="149">
        <v>2603.5958850000002</v>
      </c>
      <c r="N27" s="149">
        <v>2899.5646339999998</v>
      </c>
      <c r="O27" s="149">
        <v>3190.1260689999999</v>
      </c>
      <c r="P27" s="149">
        <v>3475.5101380000001</v>
      </c>
      <c r="Q27" s="149">
        <v>3755.9738980000002</v>
      </c>
      <c r="R27" s="149">
        <v>4031.767879</v>
      </c>
      <c r="S27" s="149">
        <v>4303.0967890000002</v>
      </c>
      <c r="T27" s="149">
        <v>4570.0860169999996</v>
      </c>
      <c r="U27" s="149">
        <v>4832.7653710000004</v>
      </c>
      <c r="V27" s="149">
        <v>5091.081494</v>
      </c>
      <c r="W27" s="149">
        <v>5344.950417</v>
      </c>
      <c r="X27" s="149">
        <v>5594.3616739999998</v>
      </c>
      <c r="Y27" s="149">
        <v>5839.3590400000003</v>
      </c>
      <c r="Z27" s="149">
        <v>6079.955019</v>
      </c>
      <c r="AA27" s="149">
        <v>6316.1480780000002</v>
      </c>
      <c r="AB27" s="149">
        <v>6547.9382180000002</v>
      </c>
      <c r="AC27" s="149">
        <v>6775.3254379999998</v>
      </c>
      <c r="AD27" s="149">
        <v>6998.3097379999999</v>
      </c>
      <c r="AE27" s="149">
        <v>7216.8911179999996</v>
      </c>
      <c r="AF27" s="149">
        <v>7431.069579</v>
      </c>
      <c r="AG27" s="149">
        <v>7640.84512</v>
      </c>
      <c r="AH27" s="149">
        <v>7846.2177419999998</v>
      </c>
      <c r="AI27" s="149">
        <v>8047.1874440000001</v>
      </c>
      <c r="AJ27" s="155"/>
      <c r="AK27" s="155"/>
      <c r="AL27" s="155"/>
      <c r="AM27" s="155"/>
    </row>
    <row r="28" spans="1:39" x14ac:dyDescent="0.25">
      <c r="C28" s="127" t="s">
        <v>138</v>
      </c>
      <c r="D28" s="151" t="s">
        <v>136</v>
      </c>
      <c r="E28" s="152">
        <v>1</v>
      </c>
      <c r="F28" s="152">
        <v>0.95737654000000005</v>
      </c>
      <c r="G28" s="152">
        <v>0.926833193</v>
      </c>
      <c r="H28" s="152">
        <v>0.90312942799999996</v>
      </c>
      <c r="I28" s="152">
        <v>0.883409255</v>
      </c>
      <c r="J28" s="152">
        <v>0.86583553999999996</v>
      </c>
      <c r="K28" s="152">
        <v>0.84933952400000001</v>
      </c>
      <c r="L28" s="152">
        <v>0.83340166100000002</v>
      </c>
      <c r="M28" s="152">
        <v>0.81786380800000003</v>
      </c>
      <c r="N28" s="152">
        <v>0.80277273400000004</v>
      </c>
      <c r="O28" s="152">
        <v>0.78825497499999997</v>
      </c>
      <c r="P28" s="152">
        <v>0.77442302100000004</v>
      </c>
      <c r="Q28" s="152">
        <v>0.76131283199999999</v>
      </c>
      <c r="R28" s="152">
        <v>0.74885270100000001</v>
      </c>
      <c r="S28" s="152">
        <v>0.73686343799999998</v>
      </c>
      <c r="T28" s="152">
        <v>0.72508989999999995</v>
      </c>
      <c r="U28" s="152">
        <v>0.713263851</v>
      </c>
      <c r="V28" s="152">
        <v>0.70119815399999996</v>
      </c>
      <c r="W28" s="152">
        <v>0.68891230699999995</v>
      </c>
      <c r="X28" s="152">
        <v>0.67678930400000004</v>
      </c>
      <c r="Y28" s="152">
        <v>0.66474315900000003</v>
      </c>
      <c r="Z28" s="152">
        <v>0.652688622</v>
      </c>
      <c r="AA28" s="152">
        <v>0.64063408499999996</v>
      </c>
      <c r="AB28" s="152">
        <v>0.62857954800000004</v>
      </c>
      <c r="AC28" s="152">
        <v>0.61652501000000004</v>
      </c>
      <c r="AD28" s="152">
        <v>0.60447047300000001</v>
      </c>
      <c r="AE28" s="152">
        <v>0.59241593599999998</v>
      </c>
      <c r="AF28" s="152">
        <v>0.58036139899999994</v>
      </c>
      <c r="AG28" s="152">
        <v>0.56830686200000002</v>
      </c>
      <c r="AH28" s="152">
        <v>0.55625232499999999</v>
      </c>
      <c r="AI28" s="152">
        <v>0.54419778799999996</v>
      </c>
      <c r="AJ28" s="155"/>
      <c r="AK28" s="155"/>
      <c r="AL28" s="155"/>
      <c r="AM28" s="155"/>
    </row>
    <row r="29" spans="1:39" ht="13" x14ac:dyDescent="0.3">
      <c r="A29" s="128"/>
      <c r="B29" s="131" t="s">
        <v>139</v>
      </c>
      <c r="D29" s="156"/>
      <c r="E29" s="156"/>
      <c r="F29" s="151"/>
      <c r="L29" s="157"/>
      <c r="M29" s="157"/>
    </row>
    <row r="30" spans="1:39" ht="13" x14ac:dyDescent="0.3">
      <c r="A30" s="126" t="s">
        <v>140</v>
      </c>
      <c r="B30" s="126"/>
      <c r="C30" s="138"/>
      <c r="D30" s="138"/>
      <c r="E30" s="138"/>
      <c r="F30" s="138"/>
      <c r="G30" s="138"/>
      <c r="H30" s="138"/>
      <c r="I30" s="138"/>
      <c r="J30" s="138"/>
      <c r="K30" s="138"/>
      <c r="L30" s="138"/>
      <c r="M30" s="138"/>
      <c r="N30" s="138"/>
      <c r="O30" s="138"/>
      <c r="P30" s="138"/>
      <c r="Q30" s="138"/>
      <c r="R30" s="138"/>
      <c r="S30" s="138"/>
      <c r="T30" s="138"/>
      <c r="U30" s="138"/>
      <c r="V30" s="138"/>
      <c r="W30" s="138"/>
      <c r="X30" s="138"/>
      <c r="Y30" s="138"/>
      <c r="Z30" s="138"/>
      <c r="AA30" s="138"/>
      <c r="AB30" s="138"/>
      <c r="AC30" s="138"/>
      <c r="AD30" s="138"/>
      <c r="AE30" s="138"/>
      <c r="AF30" s="138"/>
      <c r="AG30" s="138"/>
      <c r="AH30" s="138"/>
      <c r="AI30" s="138"/>
      <c r="AJ30" s="138"/>
      <c r="AK30" s="138"/>
      <c r="AL30" s="138"/>
      <c r="AM30" s="138"/>
    </row>
    <row r="31" spans="1:39" ht="13" x14ac:dyDescent="0.3">
      <c r="A31" s="129"/>
      <c r="B31" s="129" t="s">
        <v>59</v>
      </c>
      <c r="C31" s="129" t="s">
        <v>132</v>
      </c>
      <c r="D31" s="147" t="s">
        <v>60</v>
      </c>
      <c r="E31" s="139">
        <v>2026</v>
      </c>
      <c r="F31" s="139">
        <v>2027</v>
      </c>
      <c r="G31" s="139">
        <v>2028</v>
      </c>
      <c r="H31" s="139">
        <v>2029</v>
      </c>
      <c r="I31" s="139">
        <v>2030</v>
      </c>
      <c r="J31" s="139">
        <v>2031</v>
      </c>
      <c r="K31" s="139">
        <v>2032</v>
      </c>
      <c r="L31" s="139">
        <v>2033</v>
      </c>
      <c r="M31" s="139">
        <v>2034</v>
      </c>
      <c r="N31" s="139">
        <v>2035</v>
      </c>
      <c r="O31" s="139">
        <v>2036</v>
      </c>
      <c r="P31" s="139">
        <v>2037</v>
      </c>
      <c r="Q31" s="139">
        <v>2038</v>
      </c>
      <c r="R31" s="139">
        <v>2039</v>
      </c>
      <c r="S31" s="139">
        <v>2040</v>
      </c>
      <c r="T31" s="139">
        <v>2041</v>
      </c>
      <c r="U31" s="139">
        <v>2042</v>
      </c>
      <c r="V31" s="139">
        <v>2043</v>
      </c>
      <c r="W31" s="139">
        <v>2044</v>
      </c>
      <c r="X31" s="139">
        <v>2045</v>
      </c>
      <c r="Y31" s="139">
        <v>2046</v>
      </c>
      <c r="Z31" s="139">
        <v>2047</v>
      </c>
      <c r="AA31" s="139">
        <v>2048</v>
      </c>
      <c r="AB31" s="139">
        <v>2049</v>
      </c>
      <c r="AC31" s="139">
        <v>2050</v>
      </c>
      <c r="AD31" s="139">
        <v>2051</v>
      </c>
      <c r="AE31" s="139">
        <v>2052</v>
      </c>
      <c r="AF31" s="139">
        <v>2053</v>
      </c>
      <c r="AG31" s="139">
        <v>2054</v>
      </c>
      <c r="AH31" s="139">
        <v>2055</v>
      </c>
      <c r="AI31" s="139">
        <v>2056</v>
      </c>
      <c r="AJ31" s="139">
        <v>2057</v>
      </c>
      <c r="AK31" s="139">
        <v>2058</v>
      </c>
      <c r="AL31" s="139">
        <v>2059</v>
      </c>
      <c r="AM31" s="139">
        <v>2060</v>
      </c>
    </row>
    <row r="32" spans="1:39" x14ac:dyDescent="0.25">
      <c r="B32" s="117" t="s">
        <v>141</v>
      </c>
      <c r="C32" s="127" t="s">
        <v>142</v>
      </c>
      <c r="D32" s="151" t="s">
        <v>314</v>
      </c>
      <c r="E32" s="161">
        <v>401.91156502253011</v>
      </c>
      <c r="F32" s="160">
        <v>396.93308459575678</v>
      </c>
      <c r="G32" s="160">
        <v>392.91890282695067</v>
      </c>
      <c r="H32" s="161">
        <v>389.55270623863123</v>
      </c>
      <c r="I32" s="160">
        <v>386.7370259681868</v>
      </c>
      <c r="J32" s="160">
        <v>383.35753080902151</v>
      </c>
      <c r="K32" s="160">
        <v>380.33772569176449</v>
      </c>
      <c r="L32" s="160">
        <v>377.55818027312688</v>
      </c>
      <c r="M32" s="160">
        <v>374.97298415990588</v>
      </c>
      <c r="N32" s="160">
        <v>372.54994621749643</v>
      </c>
      <c r="O32" s="160">
        <v>370.24524468545218</v>
      </c>
      <c r="P32" s="160">
        <v>367.86188189812452</v>
      </c>
      <c r="Q32" s="160">
        <v>365.71612688424113</v>
      </c>
      <c r="R32" s="160">
        <v>363.75350511113817</v>
      </c>
      <c r="S32" s="160">
        <v>362.08477259390895</v>
      </c>
      <c r="T32" s="160">
        <v>360.54866954876428</v>
      </c>
      <c r="U32" s="160">
        <v>359.12842233800063</v>
      </c>
      <c r="V32" s="160">
        <v>357.81007974832801</v>
      </c>
      <c r="W32" s="160">
        <v>356.5819285137178</v>
      </c>
      <c r="X32" s="160">
        <v>355.434050874614</v>
      </c>
      <c r="Y32" s="160">
        <v>354.35798495082935</v>
      </c>
      <c r="Z32" s="160">
        <v>353.34646073379594</v>
      </c>
      <c r="AA32" s="160">
        <v>352.39319250487978</v>
      </c>
      <c r="AB32" s="160">
        <v>351.49271391338686</v>
      </c>
      <c r="AC32" s="160">
        <v>350.74984058718178</v>
      </c>
      <c r="AD32" s="160">
        <v>350.04930299926662</v>
      </c>
      <c r="AE32" s="160">
        <v>349.38746979496108</v>
      </c>
      <c r="AF32" s="160">
        <v>348.76112369383566</v>
      </c>
      <c r="AG32" s="160">
        <v>348.16740295328094</v>
      </c>
      <c r="AH32" s="160">
        <v>347.6037526409155</v>
      </c>
      <c r="AI32" s="160">
        <v>347.06788382736624</v>
      </c>
      <c r="AJ32" s="160">
        <v>346.55773921928028</v>
      </c>
      <c r="AK32" s="160">
        <v>346.07146406330253</v>
      </c>
      <c r="AL32" s="160">
        <v>345.60738139048857</v>
      </c>
      <c r="AM32" s="160">
        <v>345.10265896299165</v>
      </c>
    </row>
    <row r="33" spans="1:39" x14ac:dyDescent="0.25">
      <c r="C33" s="127" t="s">
        <v>143</v>
      </c>
      <c r="D33" s="151" t="s">
        <v>314</v>
      </c>
      <c r="E33" s="158">
        <v>545.34944827247557</v>
      </c>
      <c r="F33" s="160">
        <v>538.89058068185227</v>
      </c>
      <c r="G33" s="160">
        <v>533.59224501267636</v>
      </c>
      <c r="H33" s="158">
        <v>529.08220689045231</v>
      </c>
      <c r="I33" s="160">
        <v>525.22962319341195</v>
      </c>
      <c r="J33" s="160">
        <v>520.37348942167864</v>
      </c>
      <c r="K33" s="160">
        <v>515.96207084640139</v>
      </c>
      <c r="L33" s="160">
        <v>511.82728644740337</v>
      </c>
      <c r="M33" s="160">
        <v>507.9209474887856</v>
      </c>
      <c r="N33" s="160">
        <v>504.20974625029663</v>
      </c>
      <c r="O33" s="160">
        <v>500.63169883027388</v>
      </c>
      <c r="P33" s="160">
        <v>496.83464295409658</v>
      </c>
      <c r="Q33" s="160">
        <v>493.41937619182903</v>
      </c>
      <c r="R33" s="160">
        <v>490.29348383097056</v>
      </c>
      <c r="S33" s="160">
        <v>487.65509180177531</v>
      </c>
      <c r="T33" s="160">
        <v>485.22555853388161</v>
      </c>
      <c r="U33" s="160">
        <v>482.97847404443934</v>
      </c>
      <c r="V33" s="160">
        <v>480.89186941209346</v>
      </c>
      <c r="W33" s="160">
        <v>478.947298204795</v>
      </c>
      <c r="X33" s="160">
        <v>477.1291407808713</v>
      </c>
      <c r="Y33" s="160">
        <v>475.42407003080683</v>
      </c>
      <c r="Z33" s="160">
        <v>473.82063592903171</v>
      </c>
      <c r="AA33" s="160">
        <v>472.3089387848396</v>
      </c>
      <c r="AB33" s="160">
        <v>470.88036958123701</v>
      </c>
      <c r="AC33" s="160">
        <v>469.71873162168384</v>
      </c>
      <c r="AD33" s="160">
        <v>468.62344490699888</v>
      </c>
      <c r="AE33" s="160">
        <v>467.58880912478105</v>
      </c>
      <c r="AF33" s="160">
        <v>466.60977459515215</v>
      </c>
      <c r="AG33" s="160">
        <v>465.68185024755627</v>
      </c>
      <c r="AH33" s="160">
        <v>464.80102701929172</v>
      </c>
      <c r="AI33" s="160">
        <v>463.96371370726524</v>
      </c>
      <c r="AJ33" s="160">
        <v>463.16668294603596</v>
      </c>
      <c r="AK33" s="160">
        <v>462.40702547376588</v>
      </c>
      <c r="AL33" s="160">
        <v>461.68211122294485</v>
      </c>
      <c r="AM33" s="160">
        <v>460.87531879564852</v>
      </c>
    </row>
    <row r="34" spans="1:39" x14ac:dyDescent="0.25">
      <c r="C34" s="127" t="s">
        <v>144</v>
      </c>
      <c r="D34" s="151" t="s">
        <v>314</v>
      </c>
      <c r="E34" s="158">
        <v>777.67147217515912</v>
      </c>
      <c r="F34" s="160">
        <v>768.96779489468827</v>
      </c>
      <c r="G34" s="160">
        <v>761.69100296377212</v>
      </c>
      <c r="H34" s="158">
        <v>755.39681040388655</v>
      </c>
      <c r="I34" s="160">
        <v>749.88649454401923</v>
      </c>
      <c r="J34" s="160">
        <v>742.59243470445381</v>
      </c>
      <c r="K34" s="160">
        <v>735.86480954709714</v>
      </c>
      <c r="L34" s="160">
        <v>729.45559715550075</v>
      </c>
      <c r="M34" s="160">
        <v>723.31750500385533</v>
      </c>
      <c r="N34" s="160">
        <v>717.41880236055954</v>
      </c>
      <c r="O34" s="160">
        <v>711.66762620942609</v>
      </c>
      <c r="P34" s="160">
        <v>705.43590252893387</v>
      </c>
      <c r="Q34" s="160">
        <v>699.83564636935125</v>
      </c>
      <c r="R34" s="160">
        <v>694.70772821469666</v>
      </c>
      <c r="S34" s="160">
        <v>690.4025931489457</v>
      </c>
      <c r="T34" s="160">
        <v>686.43747151430136</v>
      </c>
      <c r="U34" s="160">
        <v>682.76935989436242</v>
      </c>
      <c r="V34" s="160">
        <v>679.36248433114906</v>
      </c>
      <c r="W34" s="160">
        <v>676.18680615253618</v>
      </c>
      <c r="X34" s="160">
        <v>673.21688992875556</v>
      </c>
      <c r="Y34" s="160">
        <v>670.43103387480278</v>
      </c>
      <c r="Z34" s="160">
        <v>667.81059347882274</v>
      </c>
      <c r="AA34" s="160">
        <v>665.33944943763834</v>
      </c>
      <c r="AB34" s="160">
        <v>663.00358477247039</v>
      </c>
      <c r="AC34" s="160">
        <v>661.12418370127887</v>
      </c>
      <c r="AD34" s="160">
        <v>659.35236177725324</v>
      </c>
      <c r="AE34" s="160">
        <v>657.67886254873281</v>
      </c>
      <c r="AF34" s="160">
        <v>656.09548715953053</v>
      </c>
      <c r="AG34" s="160">
        <v>654.59494467998047</v>
      </c>
      <c r="AH34" s="160">
        <v>653.17072752623494</v>
      </c>
      <c r="AI34" s="160">
        <v>651.81700713872647</v>
      </c>
      <c r="AJ34" s="160">
        <v>650.5285461341806</v>
      </c>
      <c r="AK34" s="160">
        <v>649.30062394023389</v>
      </c>
      <c r="AL34" s="160">
        <v>648.1289735321468</v>
      </c>
      <c r="AM34" s="160">
        <v>646.8006901950539</v>
      </c>
    </row>
    <row r="35" spans="1:39" ht="13" x14ac:dyDescent="0.3">
      <c r="B35" s="131" t="s">
        <v>145</v>
      </c>
      <c r="D35" s="156"/>
      <c r="J35" s="157"/>
      <c r="K35" s="157"/>
    </row>
    <row r="36" spans="1:39" ht="13" x14ac:dyDescent="0.3">
      <c r="A36" s="129"/>
      <c r="B36" s="129" t="s">
        <v>59</v>
      </c>
      <c r="C36" s="129" t="s">
        <v>132</v>
      </c>
      <c r="D36" s="147" t="s">
        <v>60</v>
      </c>
      <c r="E36" s="139">
        <v>2026</v>
      </c>
      <c r="F36" s="139">
        <v>2027</v>
      </c>
      <c r="G36" s="139">
        <v>2028</v>
      </c>
      <c r="H36" s="139">
        <v>2029</v>
      </c>
      <c r="I36" s="139">
        <v>2030</v>
      </c>
      <c r="J36" s="139">
        <v>2031</v>
      </c>
      <c r="K36" s="139">
        <v>2032</v>
      </c>
      <c r="L36" s="139">
        <v>2033</v>
      </c>
      <c r="M36" s="139">
        <v>2034</v>
      </c>
      <c r="N36" s="139">
        <v>2035</v>
      </c>
      <c r="O36" s="139">
        <v>2036</v>
      </c>
      <c r="P36" s="139">
        <v>2037</v>
      </c>
      <c r="Q36" s="139">
        <v>2038</v>
      </c>
      <c r="R36" s="139">
        <v>2039</v>
      </c>
      <c r="S36" s="139">
        <v>2040</v>
      </c>
      <c r="T36" s="139">
        <v>2041</v>
      </c>
      <c r="U36" s="139">
        <v>2042</v>
      </c>
      <c r="V36" s="139">
        <v>2043</v>
      </c>
      <c r="W36" s="139">
        <v>2044</v>
      </c>
      <c r="X36" s="139">
        <v>2045</v>
      </c>
      <c r="Y36" s="139">
        <v>2046</v>
      </c>
      <c r="Z36" s="139">
        <v>2047</v>
      </c>
      <c r="AA36" s="139">
        <v>2048</v>
      </c>
      <c r="AB36" s="139">
        <v>2049</v>
      </c>
      <c r="AC36" s="139">
        <v>2050</v>
      </c>
      <c r="AD36" s="139">
        <v>2051</v>
      </c>
      <c r="AE36" s="139">
        <v>2052</v>
      </c>
      <c r="AF36" s="139">
        <v>2053</v>
      </c>
      <c r="AG36" s="139">
        <v>2054</v>
      </c>
      <c r="AH36" s="139">
        <v>2055</v>
      </c>
      <c r="AI36" s="139">
        <v>2056</v>
      </c>
      <c r="AJ36" s="139">
        <v>2057</v>
      </c>
      <c r="AK36" s="139">
        <v>2058</v>
      </c>
      <c r="AL36" s="139">
        <v>2059</v>
      </c>
      <c r="AM36" s="139">
        <v>2060</v>
      </c>
    </row>
    <row r="37" spans="1:39" x14ac:dyDescent="0.25">
      <c r="B37" s="127" t="s">
        <v>146</v>
      </c>
      <c r="C37" s="127" t="s">
        <v>142</v>
      </c>
      <c r="D37" s="151" t="s">
        <v>314</v>
      </c>
      <c r="E37" s="160">
        <v>23.903415727624683</v>
      </c>
      <c r="F37" s="161">
        <v>23.602743650193226</v>
      </c>
      <c r="G37" s="160">
        <v>23.362203770738162</v>
      </c>
      <c r="H37" s="160">
        <v>23.16308979670282</v>
      </c>
      <c r="I37" s="161">
        <v>23.009571501244036</v>
      </c>
      <c r="J37" s="160">
        <v>22.873280701635636</v>
      </c>
      <c r="K37" s="160">
        <v>22.748009137496052</v>
      </c>
      <c r="L37" s="160">
        <v>22.638151002381054</v>
      </c>
      <c r="M37" s="160">
        <v>22.540503014497872</v>
      </c>
      <c r="N37" s="160">
        <v>22.454880081492526</v>
      </c>
      <c r="O37" s="160">
        <v>22.372999415274663</v>
      </c>
      <c r="P37" s="160">
        <v>22.298598562035874</v>
      </c>
      <c r="Q37" s="160">
        <v>22.230990002622139</v>
      </c>
      <c r="R37" s="160">
        <v>22.169031051253661</v>
      </c>
      <c r="S37" s="160">
        <v>22.117859979790985</v>
      </c>
      <c r="T37" s="160">
        <v>22.070719384639744</v>
      </c>
      <c r="U37" s="160">
        <v>22.027097389292972</v>
      </c>
      <c r="V37" s="160">
        <v>21.986568343286073</v>
      </c>
      <c r="W37" s="160">
        <v>21.948775001102522</v>
      </c>
      <c r="X37" s="160">
        <v>21.913415014143091</v>
      </c>
      <c r="Y37" s="160">
        <v>21.880230551316281</v>
      </c>
      <c r="Z37" s="160">
        <v>21.849000224676779</v>
      </c>
      <c r="AA37" s="160">
        <v>21.819532737446469</v>
      </c>
      <c r="AB37" s="160">
        <v>21.791661835657049</v>
      </c>
      <c r="AC37" s="160">
        <v>21.769971732501844</v>
      </c>
      <c r="AD37" s="160">
        <v>21.749536134116173</v>
      </c>
      <c r="AE37" s="160">
        <v>21.730246250435034</v>
      </c>
      <c r="AF37" s="160">
        <v>21.712005791861127</v>
      </c>
      <c r="AG37" s="160">
        <v>21.694729193269414</v>
      </c>
      <c r="AH37" s="160">
        <v>21.678340136474191</v>
      </c>
      <c r="AI37" s="160">
        <v>21.662770313623181</v>
      </c>
      <c r="AJ37" s="160">
        <v>21.647958386424087</v>
      </c>
      <c r="AK37" s="160">
        <v>21.633849105583341</v>
      </c>
      <c r="AL37" s="160">
        <v>21.620392562114116</v>
      </c>
      <c r="AM37" s="160">
        <v>21.604240568649825</v>
      </c>
    </row>
    <row r="38" spans="1:39" x14ac:dyDescent="0.25">
      <c r="C38" s="127" t="s">
        <v>143</v>
      </c>
      <c r="D38" s="151" t="s">
        <v>314</v>
      </c>
      <c r="E38" s="159">
        <v>31.610320622512191</v>
      </c>
      <c r="F38" s="158">
        <v>31.176745136974404</v>
      </c>
      <c r="G38" s="159">
        <v>30.82923285450947</v>
      </c>
      <c r="H38" s="159">
        <v>30.541101310192303</v>
      </c>
      <c r="I38" s="158">
        <v>30.318613743011447</v>
      </c>
      <c r="J38" s="159">
        <v>30.119814524278532</v>
      </c>
      <c r="K38" s="159">
        <v>29.936584191307333</v>
      </c>
      <c r="L38" s="159">
        <v>29.775338216677071</v>
      </c>
      <c r="M38" s="159">
        <v>29.631533375449848</v>
      </c>
      <c r="N38" s="159">
        <v>29.504988439699432</v>
      </c>
      <c r="O38" s="159">
        <v>29.383645948930806</v>
      </c>
      <c r="P38" s="159">
        <v>29.272451027884784</v>
      </c>
      <c r="Q38" s="159">
        <v>29.171448496102037</v>
      </c>
      <c r="R38" s="159">
        <v>29.078871504965342</v>
      </c>
      <c r="S38" s="159">
        <v>29.002510909451971</v>
      </c>
      <c r="T38" s="159">
        <v>28.932157982122249</v>
      </c>
      <c r="U38" s="159">
        <v>28.867049929758522</v>
      </c>
      <c r="V38" s="159">
        <v>28.806552420081637</v>
      </c>
      <c r="W38" s="159">
        <v>28.750133039582956</v>
      </c>
      <c r="X38" s="159">
        <v>28.697341172922457</v>
      </c>
      <c r="Y38" s="159">
        <v>28.647792541060625</v>
      </c>
      <c r="Z38" s="159">
        <v>28.601157172176698</v>
      </c>
      <c r="AA38" s="159">
        <v>28.557149937908171</v>
      </c>
      <c r="AB38" s="159">
        <v>28.515523031385364</v>
      </c>
      <c r="AC38" s="159">
        <v>28.48321487127928</v>
      </c>
      <c r="AD38" s="159">
        <v>28.452775601504086</v>
      </c>
      <c r="AE38" s="159">
        <v>28.424043142186918</v>
      </c>
      <c r="AF38" s="159">
        <v>28.396874037212584</v>
      </c>
      <c r="AG38" s="159">
        <v>28.371140808390258</v>
      </c>
      <c r="AH38" s="159">
        <v>28.346729754224043</v>
      </c>
      <c r="AI38" s="159">
        <v>28.323539107589738</v>
      </c>
      <c r="AJ38" s="159">
        <v>28.301477485147934</v>
      </c>
      <c r="AK38" s="159">
        <v>28.28046257543415</v>
      </c>
      <c r="AL38" s="159">
        <v>28.26042002340553</v>
      </c>
      <c r="AM38" s="159">
        <v>28.236285598056874</v>
      </c>
    </row>
    <row r="39" spans="1:39" x14ac:dyDescent="0.25">
      <c r="C39" s="127" t="s">
        <v>144</v>
      </c>
      <c r="D39" s="151" t="s">
        <v>314</v>
      </c>
      <c r="E39" s="159">
        <v>44.115141154847343</v>
      </c>
      <c r="F39" s="158">
        <v>43.475917703320057</v>
      </c>
      <c r="G39" s="159">
        <v>42.962657980801403</v>
      </c>
      <c r="H39" s="159">
        <v>42.53642762578837</v>
      </c>
      <c r="I39" s="158">
        <v>42.206687861699287</v>
      </c>
      <c r="J39" s="159">
        <v>41.909831428302958</v>
      </c>
      <c r="K39" s="159">
        <v>41.635548043781746</v>
      </c>
      <c r="L39" s="159">
        <v>41.393323168323221</v>
      </c>
      <c r="M39" s="159">
        <v>41.176570195448129</v>
      </c>
      <c r="N39" s="159">
        <v>40.985132298527283</v>
      </c>
      <c r="O39" s="159">
        <v>40.801108590539791</v>
      </c>
      <c r="P39" s="159">
        <v>40.63103053573586</v>
      </c>
      <c r="Q39" s="159">
        <v>40.476611389412462</v>
      </c>
      <c r="R39" s="159">
        <v>40.335057654854026</v>
      </c>
      <c r="S39" s="159">
        <v>40.218408399656454</v>
      </c>
      <c r="T39" s="159">
        <v>40.11092899069304</v>
      </c>
      <c r="U39" s="159">
        <v>40.011455331925724</v>
      </c>
      <c r="V39" s="159">
        <v>39.919019336847391</v>
      </c>
      <c r="W39" s="159">
        <v>39.832808438272423</v>
      </c>
      <c r="X39" s="159">
        <v>39.752134891890947</v>
      </c>
      <c r="Y39" s="159">
        <v>39.676412185729596</v>
      </c>
      <c r="Z39" s="159">
        <v>39.605136686045789</v>
      </c>
      <c r="AA39" s="159">
        <v>39.537873196700815</v>
      </c>
      <c r="AB39" s="159">
        <v>39.474243480996464</v>
      </c>
      <c r="AC39" s="159">
        <v>39.424955807381188</v>
      </c>
      <c r="AD39" s="159">
        <v>39.378519544796418</v>
      </c>
      <c r="AE39" s="159">
        <v>39.334687389736892</v>
      </c>
      <c r="AF39" s="159">
        <v>39.293240455357385</v>
      </c>
      <c r="AG39" s="159">
        <v>39.253984234495519</v>
      </c>
      <c r="AH39" s="159">
        <v>39.216745241026729</v>
      </c>
      <c r="AI39" s="159">
        <v>39.181368198812784</v>
      </c>
      <c r="AJ39" s="159">
        <v>39.147713675768301</v>
      </c>
      <c r="AK39" s="159">
        <v>39.115656082094844</v>
      </c>
      <c r="AL39" s="159">
        <v>39.085081968267474</v>
      </c>
      <c r="AM39" s="159">
        <v>39.048179304911557</v>
      </c>
    </row>
    <row r="40" spans="1:39" ht="13" x14ac:dyDescent="0.3">
      <c r="B40" s="131" t="s">
        <v>147</v>
      </c>
      <c r="D40" s="156"/>
      <c r="E40" s="162"/>
      <c r="F40" s="162"/>
      <c r="G40" s="162"/>
      <c r="H40" s="162"/>
      <c r="I40" s="162"/>
      <c r="J40" s="162"/>
      <c r="K40" s="162"/>
      <c r="L40" s="162"/>
      <c r="M40" s="162"/>
      <c r="N40" s="162"/>
      <c r="O40" s="162"/>
      <c r="P40" s="162"/>
      <c r="Q40" s="162"/>
      <c r="R40" s="162"/>
      <c r="S40" s="162"/>
      <c r="T40" s="162"/>
      <c r="U40" s="162"/>
      <c r="V40" s="162"/>
      <c r="W40" s="162"/>
      <c r="X40" s="162"/>
      <c r="Y40" s="162"/>
      <c r="Z40" s="162"/>
      <c r="AA40" s="162"/>
      <c r="AB40" s="162"/>
      <c r="AC40" s="162"/>
      <c r="AD40" s="162"/>
      <c r="AE40" s="162"/>
      <c r="AF40" s="162"/>
      <c r="AG40" s="162"/>
      <c r="AH40" s="162"/>
      <c r="AI40" s="162"/>
      <c r="AJ40" s="162"/>
      <c r="AK40" s="162"/>
      <c r="AL40" s="162"/>
      <c r="AM40" s="162"/>
    </row>
    <row r="41" spans="1:39" ht="13" x14ac:dyDescent="0.3">
      <c r="A41" s="129"/>
      <c r="B41" s="129" t="s">
        <v>59</v>
      </c>
      <c r="C41" s="129" t="s">
        <v>132</v>
      </c>
      <c r="D41" s="147" t="s">
        <v>60</v>
      </c>
      <c r="E41" s="139">
        <v>2026</v>
      </c>
      <c r="F41" s="139">
        <v>2027</v>
      </c>
      <c r="G41" s="139">
        <v>2028</v>
      </c>
      <c r="H41" s="139">
        <v>2029</v>
      </c>
      <c r="I41" s="139">
        <v>2030</v>
      </c>
      <c r="J41" s="139">
        <v>2031</v>
      </c>
      <c r="K41" s="139">
        <v>2032</v>
      </c>
      <c r="L41" s="139">
        <v>2033</v>
      </c>
      <c r="M41" s="139">
        <v>2034</v>
      </c>
      <c r="N41" s="139">
        <v>2035</v>
      </c>
      <c r="O41" s="139">
        <v>2036</v>
      </c>
      <c r="P41" s="139">
        <v>2037</v>
      </c>
      <c r="Q41" s="139">
        <v>2038</v>
      </c>
      <c r="R41" s="139">
        <v>2039</v>
      </c>
      <c r="S41" s="139">
        <v>2040</v>
      </c>
      <c r="T41" s="139">
        <v>2041</v>
      </c>
      <c r="U41" s="139">
        <v>2042</v>
      </c>
      <c r="V41" s="139">
        <v>2043</v>
      </c>
      <c r="W41" s="139">
        <v>2044</v>
      </c>
      <c r="X41" s="139">
        <v>2045</v>
      </c>
      <c r="Y41" s="139">
        <v>2046</v>
      </c>
      <c r="Z41" s="139">
        <v>2047</v>
      </c>
      <c r="AA41" s="139">
        <v>2048</v>
      </c>
      <c r="AB41" s="139">
        <v>2049</v>
      </c>
      <c r="AC41" s="139">
        <v>2050</v>
      </c>
      <c r="AD41" s="139">
        <v>2051</v>
      </c>
      <c r="AE41" s="139">
        <v>2052</v>
      </c>
      <c r="AF41" s="139">
        <v>2053</v>
      </c>
      <c r="AG41" s="139">
        <v>2054</v>
      </c>
      <c r="AH41" s="139">
        <v>2055</v>
      </c>
      <c r="AI41" s="139">
        <v>2056</v>
      </c>
      <c r="AJ41" s="139">
        <v>2057</v>
      </c>
      <c r="AK41" s="139">
        <v>2058</v>
      </c>
      <c r="AL41" s="139">
        <v>2059</v>
      </c>
      <c r="AM41" s="139">
        <v>2060</v>
      </c>
    </row>
    <row r="42" spans="1:39" x14ac:dyDescent="0.25">
      <c r="B42" s="127" t="s">
        <v>148</v>
      </c>
      <c r="C42" s="127" t="s">
        <v>142</v>
      </c>
      <c r="D42" s="151" t="s">
        <v>314</v>
      </c>
      <c r="E42" s="158">
        <v>84.108405357970057</v>
      </c>
      <c r="F42" s="158">
        <v>83.771140803851395</v>
      </c>
      <c r="G42" s="158">
        <v>83.359947690568646</v>
      </c>
      <c r="H42" s="158">
        <v>82.910844472542692</v>
      </c>
      <c r="I42" s="158">
        <v>82.404084457496836</v>
      </c>
      <c r="J42" s="158">
        <v>81.414977546024559</v>
      </c>
      <c r="K42" s="158">
        <v>80.414606538346476</v>
      </c>
      <c r="L42" s="158">
        <v>79.372609957769413</v>
      </c>
      <c r="M42" s="158">
        <v>78.304296057457492</v>
      </c>
      <c r="N42" s="158">
        <v>77.221257188766543</v>
      </c>
      <c r="O42" s="158">
        <v>76.112001043308965</v>
      </c>
      <c r="P42" s="158">
        <v>74.804035515664907</v>
      </c>
      <c r="Q42" s="158">
        <v>73.63261601892421</v>
      </c>
      <c r="R42" s="158">
        <v>72.558254217954811</v>
      </c>
      <c r="S42" s="158">
        <v>71.677440658250489</v>
      </c>
      <c r="T42" s="158">
        <v>70.865641611879795</v>
      </c>
      <c r="U42" s="158">
        <v>70.114095600764443</v>
      </c>
      <c r="V42" s="158">
        <v>69.415516132177174</v>
      </c>
      <c r="W42" s="158">
        <v>68.763787163566519</v>
      </c>
      <c r="X42" s="158">
        <v>68.153732172401078</v>
      </c>
      <c r="Y42" s="158">
        <v>67.580936649206166</v>
      </c>
      <c r="Z42" s="158">
        <v>67.041609970387384</v>
      </c>
      <c r="AA42" s="158">
        <v>66.532476708983893</v>
      </c>
      <c r="AB42" s="158">
        <v>66.050690234203699</v>
      </c>
      <c r="AC42" s="158">
        <v>65.681554743030091</v>
      </c>
      <c r="AD42" s="158">
        <v>65.333809178426293</v>
      </c>
      <c r="AE42" s="158">
        <v>65.005596265571626</v>
      </c>
      <c r="AF42" s="158">
        <v>64.69527230142333</v>
      </c>
      <c r="AG42" s="158">
        <v>64.401376800753312</v>
      </c>
      <c r="AH42" s="158">
        <v>64.122607243518829</v>
      </c>
      <c r="AI42" s="158">
        <v>63.857797940357649</v>
      </c>
      <c r="AJ42" s="158">
        <v>63.605902245517036</v>
      </c>
      <c r="AK42" s="158">
        <v>63.36597750839644</v>
      </c>
      <c r="AL42" s="158">
        <v>63.137172279234278</v>
      </c>
      <c r="AM42" s="158">
        <v>62.857403488282721</v>
      </c>
    </row>
    <row r="43" spans="1:39" x14ac:dyDescent="0.25">
      <c r="C43" s="127" t="s">
        <v>143</v>
      </c>
      <c r="D43" s="151" t="s">
        <v>314</v>
      </c>
      <c r="E43" s="163">
        <v>156.71208355207639</v>
      </c>
      <c r="F43" s="163">
        <v>156.08368701121645</v>
      </c>
      <c r="G43" s="163">
        <v>155.31754563390049</v>
      </c>
      <c r="H43" s="163">
        <v>154.48076956226714</v>
      </c>
      <c r="I43" s="163">
        <v>153.53656645342542</v>
      </c>
      <c r="J43" s="163">
        <v>151.69364713646928</v>
      </c>
      <c r="K43" s="163">
        <v>149.82974038100173</v>
      </c>
      <c r="L43" s="163">
        <v>147.88827621340297</v>
      </c>
      <c r="M43" s="163">
        <v>145.89777720806586</v>
      </c>
      <c r="N43" s="163">
        <v>143.87984241358154</v>
      </c>
      <c r="O43" s="163">
        <v>141.81305918296678</v>
      </c>
      <c r="P43" s="163">
        <v>139.37603755380843</v>
      </c>
      <c r="Q43" s="163">
        <v>137.19343060428355</v>
      </c>
      <c r="R43" s="163">
        <v>135.19166305677032</v>
      </c>
      <c r="S43" s="163">
        <v>133.55051759009896</v>
      </c>
      <c r="T43" s="163">
        <v>132.03796103358255</v>
      </c>
      <c r="U43" s="163">
        <v>130.63766886556584</v>
      </c>
      <c r="V43" s="163">
        <v>129.33606477994468</v>
      </c>
      <c r="W43" s="163">
        <v>128.12175327151064</v>
      </c>
      <c r="X43" s="163">
        <v>126.98508936330799</v>
      </c>
      <c r="Y43" s="163">
        <v>125.91784787291076</v>
      </c>
      <c r="Z43" s="163">
        <v>124.91296605172778</v>
      </c>
      <c r="AA43" s="163">
        <v>123.9643410735151</v>
      </c>
      <c r="AB43" s="163">
        <v>123.06666905169195</v>
      </c>
      <c r="AC43" s="163">
        <v>122.37889008728723</v>
      </c>
      <c r="AD43" s="163">
        <v>121.73096516535919</v>
      </c>
      <c r="AE43" s="163">
        <v>121.11943378269605</v>
      </c>
      <c r="AF43" s="163">
        <v>120.54123336633053</v>
      </c>
      <c r="AG43" s="163">
        <v>119.99364271756529</v>
      </c>
      <c r="AH43" s="163">
        <v>119.47423496088304</v>
      </c>
      <c r="AI43" s="163">
        <v>118.9808381658096</v>
      </c>
      <c r="AJ43" s="163">
        <v>118.51150220576775</v>
      </c>
      <c r="AK43" s="163">
        <v>118.06447071955861</v>
      </c>
      <c r="AL43" s="163">
        <v>117.63815727279898</v>
      </c>
      <c r="AM43" s="163">
        <v>117.11688772837871</v>
      </c>
    </row>
    <row r="44" spans="1:39" x14ac:dyDescent="0.25">
      <c r="C44" s="127" t="s">
        <v>144</v>
      </c>
      <c r="D44" s="151" t="s">
        <v>314</v>
      </c>
      <c r="E44" s="163">
        <v>286.75974945436656</v>
      </c>
      <c r="F44" s="163">
        <v>285.60987746919108</v>
      </c>
      <c r="G44" s="163">
        <v>284.20795296901218</v>
      </c>
      <c r="H44" s="163">
        <v>282.67677750881705</v>
      </c>
      <c r="I44" s="163">
        <v>280.94902658630747</v>
      </c>
      <c r="J44" s="163">
        <v>277.57675898819758</v>
      </c>
      <c r="K44" s="163">
        <v>274.1660875065275</v>
      </c>
      <c r="L44" s="163">
        <v>270.61349752331648</v>
      </c>
      <c r="M44" s="163">
        <v>266.97118109741069</v>
      </c>
      <c r="N44" s="163">
        <v>263.27866126763456</v>
      </c>
      <c r="O44" s="163">
        <v>259.49675608231661</v>
      </c>
      <c r="P44" s="163">
        <v>255.03736982471452</v>
      </c>
      <c r="Q44" s="163">
        <v>251.04352450138867</v>
      </c>
      <c r="R44" s="163">
        <v>247.38058832327303</v>
      </c>
      <c r="S44" s="163">
        <v>244.3775367896977</v>
      </c>
      <c r="T44" s="163">
        <v>241.60978379100771</v>
      </c>
      <c r="U44" s="163">
        <v>239.04745788631806</v>
      </c>
      <c r="V44" s="163">
        <v>236.66571645948372</v>
      </c>
      <c r="W44" s="163">
        <v>234.44370743487403</v>
      </c>
      <c r="X44" s="163">
        <v>232.36378194258299</v>
      </c>
      <c r="Y44" s="163">
        <v>230.41088912502352</v>
      </c>
      <c r="Z44" s="163">
        <v>228.57210520522506</v>
      </c>
      <c r="AA44" s="163">
        <v>226.83626292100178</v>
      </c>
      <c r="AB44" s="163">
        <v>225.19365695064172</v>
      </c>
      <c r="AC44" s="163">
        <v>223.93512398341753</v>
      </c>
      <c r="AD44" s="163">
        <v>222.74951797227942</v>
      </c>
      <c r="AE44" s="163">
        <v>221.63050671225946</v>
      </c>
      <c r="AF44" s="163">
        <v>220.57248615141171</v>
      </c>
      <c r="AG44" s="163">
        <v>219.57047690181039</v>
      </c>
      <c r="AH44" s="163">
        <v>218.62003814306999</v>
      </c>
      <c r="AI44" s="163">
        <v>217.71719556622537</v>
      </c>
      <c r="AJ44" s="163">
        <v>216.85838073037516</v>
      </c>
      <c r="AK44" s="163">
        <v>216.04037975637277</v>
      </c>
      <c r="AL44" s="163">
        <v>215.26028970581072</v>
      </c>
      <c r="AM44" s="163">
        <v>214.30644415307466</v>
      </c>
    </row>
    <row r="45" spans="1:39" ht="13" x14ac:dyDescent="0.3">
      <c r="B45" s="131" t="s">
        <v>149</v>
      </c>
      <c r="D45" s="156"/>
      <c r="J45" s="157"/>
      <c r="K45" s="157"/>
    </row>
    <row r="46" spans="1:39" ht="13" x14ac:dyDescent="0.3">
      <c r="A46" s="129"/>
      <c r="B46" s="129" t="s">
        <v>59</v>
      </c>
      <c r="C46" s="129" t="s">
        <v>132</v>
      </c>
      <c r="D46" s="147" t="s">
        <v>60</v>
      </c>
      <c r="E46" s="139">
        <v>2026</v>
      </c>
      <c r="F46" s="139">
        <v>2027</v>
      </c>
      <c r="G46" s="139">
        <v>2028</v>
      </c>
      <c r="H46" s="139">
        <v>2029</v>
      </c>
      <c r="I46" s="139">
        <v>2030</v>
      </c>
      <c r="J46" s="139">
        <v>2031</v>
      </c>
      <c r="K46" s="139">
        <v>2032</v>
      </c>
      <c r="L46" s="139">
        <v>2033</v>
      </c>
      <c r="M46" s="139">
        <v>2034</v>
      </c>
      <c r="N46" s="139">
        <v>2035</v>
      </c>
      <c r="O46" s="139">
        <v>2036</v>
      </c>
      <c r="P46" s="139">
        <v>2037</v>
      </c>
      <c r="Q46" s="139">
        <v>2038</v>
      </c>
      <c r="R46" s="139">
        <v>2039</v>
      </c>
      <c r="S46" s="139">
        <v>2040</v>
      </c>
      <c r="T46" s="139">
        <v>2041</v>
      </c>
      <c r="U46" s="139">
        <v>2042</v>
      </c>
      <c r="V46" s="139">
        <v>2043</v>
      </c>
      <c r="W46" s="139">
        <v>2044</v>
      </c>
      <c r="X46" s="139">
        <v>2045</v>
      </c>
      <c r="Y46" s="139">
        <v>2046</v>
      </c>
      <c r="Z46" s="139">
        <v>2047</v>
      </c>
      <c r="AA46" s="139">
        <v>2048</v>
      </c>
      <c r="AB46" s="139">
        <v>2049</v>
      </c>
      <c r="AC46" s="139">
        <v>2050</v>
      </c>
      <c r="AD46" s="139">
        <v>2051</v>
      </c>
      <c r="AE46" s="139">
        <v>2052</v>
      </c>
      <c r="AF46" s="139">
        <v>2053</v>
      </c>
      <c r="AG46" s="139">
        <v>2054</v>
      </c>
      <c r="AH46" s="139">
        <v>2055</v>
      </c>
      <c r="AI46" s="139">
        <v>2056</v>
      </c>
      <c r="AJ46" s="139">
        <v>2057</v>
      </c>
      <c r="AK46" s="139">
        <v>2058</v>
      </c>
      <c r="AL46" s="139">
        <v>2059</v>
      </c>
      <c r="AM46" s="139">
        <v>2060</v>
      </c>
    </row>
    <row r="47" spans="1:39" x14ac:dyDescent="0.25">
      <c r="B47" s="127" t="s">
        <v>150</v>
      </c>
      <c r="C47" s="127" t="s">
        <v>142</v>
      </c>
      <c r="D47" s="151" t="s">
        <v>314</v>
      </c>
      <c r="E47" s="158">
        <v>104.03952576052664</v>
      </c>
      <c r="F47" s="158">
        <v>103.82986826561346</v>
      </c>
      <c r="G47" s="158">
        <v>103.66161872436672</v>
      </c>
      <c r="H47" s="158">
        <v>103.521034225587</v>
      </c>
      <c r="I47" s="158">
        <v>103.39829921779956</v>
      </c>
      <c r="J47" s="158">
        <v>103.24806596632155</v>
      </c>
      <c r="K47" s="158">
        <v>103.11341876932812</v>
      </c>
      <c r="L47" s="158">
        <v>102.98892312429669</v>
      </c>
      <c r="M47" s="158">
        <v>102.87265959132209</v>
      </c>
      <c r="N47" s="158">
        <v>102.76329212587602</v>
      </c>
      <c r="O47" s="158">
        <v>102.65883468691187</v>
      </c>
      <c r="P47" s="158">
        <v>102.54959499248535</v>
      </c>
      <c r="Q47" s="158">
        <v>102.45151018236878</v>
      </c>
      <c r="R47" s="158">
        <v>102.36195533890658</v>
      </c>
      <c r="S47" s="158">
        <v>102.28523417308432</v>
      </c>
      <c r="T47" s="158">
        <v>102.21469715386046</v>
      </c>
      <c r="U47" s="158">
        <v>102.14955867788306</v>
      </c>
      <c r="V47" s="158">
        <v>102.0891656837823</v>
      </c>
      <c r="W47" s="158">
        <v>102.03297015566287</v>
      </c>
      <c r="X47" s="158">
        <v>101.98050831688171</v>
      </c>
      <c r="Y47" s="158">
        <v>101.93138466505469</v>
      </c>
      <c r="Z47" s="158">
        <v>101.8852595666097</v>
      </c>
      <c r="AA47" s="158">
        <v>101.84183950653802</v>
      </c>
      <c r="AB47" s="158">
        <v>101.80086934487913</v>
      </c>
      <c r="AC47" s="158">
        <v>101.76651567599248</v>
      </c>
      <c r="AD47" s="158">
        <v>101.73412880806463</v>
      </c>
      <c r="AE47" s="158">
        <v>101.70353940875897</v>
      </c>
      <c r="AF47" s="158">
        <v>101.67459751160861</v>
      </c>
      <c r="AG47" s="158">
        <v>101.64716977191523</v>
      </c>
      <c r="AH47" s="158">
        <v>101.62113718331801</v>
      </c>
      <c r="AI47" s="158">
        <v>101.59639316621252</v>
      </c>
      <c r="AJ47" s="158">
        <v>101.57284195842634</v>
      </c>
      <c r="AK47" s="158">
        <v>101.55039725319179</v>
      </c>
      <c r="AL47" s="158">
        <v>101.52898104069187</v>
      </c>
      <c r="AM47" s="158">
        <v>101.50545702352707</v>
      </c>
    </row>
    <row r="48" spans="1:39" x14ac:dyDescent="0.25">
      <c r="C48" s="127" t="s">
        <v>143</v>
      </c>
      <c r="D48" s="151" t="s">
        <v>314</v>
      </c>
      <c r="E48" s="158">
        <v>110.72415308486076</v>
      </c>
      <c r="F48" s="158">
        <v>110.43528533593984</v>
      </c>
      <c r="G48" s="158">
        <v>110.1994527205887</v>
      </c>
      <c r="H48" s="158">
        <v>109.99942687236809</v>
      </c>
      <c r="I48" s="158">
        <v>109.82165825485812</v>
      </c>
      <c r="J48" s="158">
        <v>109.59429206408871</v>
      </c>
      <c r="K48" s="158">
        <v>109.38744150128552</v>
      </c>
      <c r="L48" s="158">
        <v>109.19306555439324</v>
      </c>
      <c r="M48" s="158">
        <v>109.00901315162611</v>
      </c>
      <c r="N48" s="158">
        <v>108.83380945516021</v>
      </c>
      <c r="O48" s="158">
        <v>108.6644998993031</v>
      </c>
      <c r="P48" s="158">
        <v>108.48358877588966</v>
      </c>
      <c r="Q48" s="158">
        <v>108.321205076038</v>
      </c>
      <c r="R48" s="158">
        <v>108.17279991432898</v>
      </c>
      <c r="S48" s="158">
        <v>108.04666535481246</v>
      </c>
      <c r="T48" s="158">
        <v>107.93063348233471</v>
      </c>
      <c r="U48" s="158">
        <v>107.8234224333094</v>
      </c>
      <c r="V48" s="158">
        <v>107.72396634219858</v>
      </c>
      <c r="W48" s="158">
        <v>107.6313706010595</v>
      </c>
      <c r="X48" s="158">
        <v>107.54487798586142</v>
      </c>
      <c r="Y48" s="158">
        <v>107.46384265192317</v>
      </c>
      <c r="Z48" s="158">
        <v>107.38770991881887</v>
      </c>
      <c r="AA48" s="158">
        <v>107.31600037623626</v>
      </c>
      <c r="AB48" s="158">
        <v>107.24829725707593</v>
      </c>
      <c r="AC48" s="158">
        <v>107.19241502151537</v>
      </c>
      <c r="AD48" s="158">
        <v>107.13973523589367</v>
      </c>
      <c r="AE48" s="158">
        <v>107.08998203627962</v>
      </c>
      <c r="AF48" s="158">
        <v>107.04291111339425</v>
      </c>
      <c r="AG48" s="158">
        <v>106.99830524199936</v>
      </c>
      <c r="AH48" s="158">
        <v>106.95597056051724</v>
      </c>
      <c r="AI48" s="158">
        <v>106.91573345631183</v>
      </c>
      <c r="AJ48" s="158">
        <v>106.87743794333571</v>
      </c>
      <c r="AK48" s="158">
        <v>106.84094344265466</v>
      </c>
      <c r="AL48" s="158">
        <v>106.80612289464582</v>
      </c>
      <c r="AM48" s="158">
        <v>106.76714928243466</v>
      </c>
    </row>
    <row r="49" spans="1:39" x14ac:dyDescent="0.25">
      <c r="C49" s="127" t="s">
        <v>144</v>
      </c>
      <c r="D49" s="151" t="s">
        <v>314</v>
      </c>
      <c r="E49" s="158">
        <v>121.95137853697918</v>
      </c>
      <c r="F49" s="158">
        <v>121.53642589377378</v>
      </c>
      <c r="G49" s="158">
        <v>121.19171458432058</v>
      </c>
      <c r="H49" s="158">
        <v>120.89500450152673</v>
      </c>
      <c r="I49" s="158">
        <v>120.62676186757955</v>
      </c>
      <c r="J49" s="158">
        <v>120.26965030052271</v>
      </c>
      <c r="K49" s="158">
        <v>119.94056101291555</v>
      </c>
      <c r="L49" s="158">
        <v>119.62710087948537</v>
      </c>
      <c r="M49" s="158">
        <v>119.32692195194623</v>
      </c>
      <c r="N49" s="158">
        <v>119.03845694061755</v>
      </c>
      <c r="O49" s="158">
        <v>118.75713190419906</v>
      </c>
      <c r="P49" s="158">
        <v>118.45156124050082</v>
      </c>
      <c r="Q49" s="158">
        <v>118.17736230645147</v>
      </c>
      <c r="R49" s="158">
        <v>117.92659366538349</v>
      </c>
      <c r="S49" s="158">
        <v>117.71473438008044</v>
      </c>
      <c r="T49" s="158">
        <v>117.51976704804224</v>
      </c>
      <c r="U49" s="158">
        <v>117.33954976132262</v>
      </c>
      <c r="V49" s="158">
        <v>117.17230126018744</v>
      </c>
      <c r="W49" s="158">
        <v>117.01652630703929</v>
      </c>
      <c r="X49" s="158">
        <v>116.87095916379396</v>
      </c>
      <c r="Y49" s="158">
        <v>116.73452018550756</v>
      </c>
      <c r="Z49" s="158">
        <v>116.6062820681511</v>
      </c>
      <c r="AA49" s="158">
        <v>116.48544330448084</v>
      </c>
      <c r="AB49" s="158">
        <v>116.37130709203771</v>
      </c>
      <c r="AC49" s="158">
        <v>116.27823023589521</v>
      </c>
      <c r="AD49" s="158">
        <v>116.1904927859234</v>
      </c>
      <c r="AE49" s="158">
        <v>116.10763450173867</v>
      </c>
      <c r="AF49" s="158">
        <v>116.02924780429652</v>
      </c>
      <c r="AG49" s="158">
        <v>115.95497031449457</v>
      </c>
      <c r="AH49" s="158">
        <v>115.88447864371672</v>
      </c>
      <c r="AI49" s="158">
        <v>115.81748319514266</v>
      </c>
      <c r="AJ49" s="158">
        <v>115.7537237867971</v>
      </c>
      <c r="AK49" s="158">
        <v>115.69296594701991</v>
      </c>
      <c r="AL49" s="158">
        <v>115.6349977635354</v>
      </c>
      <c r="AM49" s="158">
        <v>115.56917533247218</v>
      </c>
    </row>
    <row r="50" spans="1:39" ht="13" x14ac:dyDescent="0.3">
      <c r="B50" s="131" t="s">
        <v>151</v>
      </c>
      <c r="E50" s="164"/>
    </row>
    <row r="51" spans="1:39" ht="13" x14ac:dyDescent="0.3">
      <c r="A51" s="126" t="s">
        <v>152</v>
      </c>
      <c r="B51" s="126"/>
      <c r="C51" s="138"/>
      <c r="D51" s="138"/>
      <c r="E51" s="138"/>
      <c r="F51" s="138"/>
      <c r="G51" s="138"/>
      <c r="H51" s="138"/>
      <c r="I51" s="138"/>
      <c r="J51" s="138"/>
      <c r="K51" s="138"/>
      <c r="L51" s="138"/>
      <c r="M51" s="138"/>
      <c r="N51" s="138"/>
      <c r="O51" s="138"/>
      <c r="P51" s="138"/>
      <c r="Q51" s="138"/>
      <c r="R51" s="138"/>
      <c r="S51" s="138"/>
      <c r="T51" s="138"/>
      <c r="U51" s="138"/>
      <c r="V51" s="138"/>
      <c r="W51" s="138"/>
      <c r="X51" s="138"/>
      <c r="Y51" s="138"/>
      <c r="Z51" s="138"/>
      <c r="AA51" s="138"/>
      <c r="AB51" s="138"/>
      <c r="AC51" s="138"/>
      <c r="AD51" s="138"/>
      <c r="AE51" s="138"/>
      <c r="AF51" s="138"/>
      <c r="AG51" s="138"/>
      <c r="AH51" s="138"/>
      <c r="AI51" s="138"/>
      <c r="AJ51" s="138"/>
      <c r="AK51" s="138"/>
      <c r="AL51" s="138"/>
      <c r="AM51" s="138"/>
    </row>
    <row r="52" spans="1:39" ht="13" x14ac:dyDescent="0.3">
      <c r="A52" s="129"/>
      <c r="B52" s="129" t="s">
        <v>59</v>
      </c>
      <c r="C52" s="129" t="s">
        <v>153</v>
      </c>
      <c r="D52" s="147" t="s">
        <v>60</v>
      </c>
      <c r="E52" s="139" t="s">
        <v>37</v>
      </c>
      <c r="F52" s="139"/>
      <c r="G52" s="139"/>
      <c r="H52" s="139"/>
      <c r="I52" s="139"/>
      <c r="J52" s="139"/>
      <c r="K52" s="139"/>
      <c r="L52" s="139"/>
      <c r="M52" s="139"/>
      <c r="N52" s="139"/>
      <c r="O52" s="139"/>
      <c r="P52" s="139"/>
      <c r="Q52" s="139"/>
      <c r="R52" s="139"/>
      <c r="S52" s="139"/>
      <c r="T52" s="139"/>
      <c r="U52" s="139"/>
      <c r="V52" s="139"/>
      <c r="W52" s="139"/>
      <c r="X52" s="139"/>
      <c r="Y52" s="139"/>
      <c r="Z52" s="139"/>
      <c r="AA52" s="139"/>
      <c r="AB52" s="139"/>
      <c r="AC52" s="139"/>
      <c r="AD52" s="139"/>
      <c r="AE52" s="139"/>
      <c r="AF52" s="139"/>
      <c r="AG52" s="139"/>
      <c r="AH52" s="139"/>
      <c r="AI52" s="139"/>
      <c r="AJ52" s="139"/>
      <c r="AK52" s="139"/>
      <c r="AL52" s="139"/>
      <c r="AM52" s="139"/>
    </row>
    <row r="53" spans="1:39" x14ac:dyDescent="0.25">
      <c r="B53" s="127" t="s">
        <v>154</v>
      </c>
      <c r="C53" s="127" t="s">
        <v>155</v>
      </c>
      <c r="D53" s="151" t="s">
        <v>156</v>
      </c>
      <c r="E53" s="165">
        <v>30</v>
      </c>
      <c r="F53" s="166"/>
      <c r="G53" s="166"/>
      <c r="H53" s="166"/>
      <c r="I53" s="166"/>
      <c r="J53" s="166"/>
      <c r="K53" s="166"/>
      <c r="L53" s="166"/>
      <c r="M53" s="166"/>
      <c r="N53" s="166"/>
      <c r="O53" s="166"/>
      <c r="P53" s="166"/>
      <c r="Q53" s="166"/>
      <c r="R53" s="166"/>
      <c r="S53" s="166"/>
      <c r="T53" s="166"/>
      <c r="U53" s="166"/>
      <c r="V53" s="166"/>
      <c r="W53" s="166"/>
      <c r="X53" s="166"/>
      <c r="Y53" s="166"/>
      <c r="Z53" s="166"/>
      <c r="AA53" s="166"/>
      <c r="AB53" s="166"/>
      <c r="AC53" s="166"/>
      <c r="AD53" s="166"/>
      <c r="AE53" s="166"/>
      <c r="AF53" s="166"/>
      <c r="AG53" s="166"/>
      <c r="AH53" s="166"/>
      <c r="AI53" s="166"/>
      <c r="AJ53" s="166"/>
      <c r="AK53" s="166"/>
      <c r="AL53" s="166"/>
      <c r="AM53" s="166"/>
    </row>
    <row r="54" spans="1:39" x14ac:dyDescent="0.25">
      <c r="C54" s="127" t="s">
        <v>157</v>
      </c>
      <c r="D54" s="151" t="s">
        <v>156</v>
      </c>
      <c r="E54" s="165">
        <v>30</v>
      </c>
      <c r="F54" s="166"/>
      <c r="G54" s="166"/>
      <c r="H54" s="166"/>
      <c r="I54" s="166"/>
      <c r="J54" s="166"/>
      <c r="K54" s="166"/>
      <c r="L54" s="166"/>
      <c r="M54" s="166"/>
      <c r="N54" s="166"/>
      <c r="O54" s="166"/>
      <c r="P54" s="166"/>
      <c r="Q54" s="166"/>
      <c r="R54" s="166"/>
      <c r="S54" s="166"/>
      <c r="T54" s="166"/>
      <c r="U54" s="166"/>
      <c r="V54" s="166"/>
      <c r="W54" s="166"/>
      <c r="X54" s="166"/>
      <c r="Y54" s="166"/>
      <c r="Z54" s="166"/>
      <c r="AA54" s="166"/>
      <c r="AB54" s="166"/>
      <c r="AC54" s="166"/>
      <c r="AD54" s="166"/>
      <c r="AE54" s="166"/>
      <c r="AF54" s="166"/>
      <c r="AG54" s="166"/>
      <c r="AH54" s="166"/>
      <c r="AI54" s="166"/>
      <c r="AJ54" s="166"/>
      <c r="AK54" s="166"/>
      <c r="AL54" s="166"/>
      <c r="AM54" s="166"/>
    </row>
    <row r="55" spans="1:39" x14ac:dyDescent="0.25">
      <c r="C55" s="127" t="s">
        <v>158</v>
      </c>
      <c r="D55" s="151" t="s">
        <v>156</v>
      </c>
      <c r="E55" s="165">
        <v>30</v>
      </c>
      <c r="F55" s="166"/>
      <c r="G55" s="166"/>
      <c r="H55" s="166"/>
      <c r="I55" s="166"/>
      <c r="J55" s="166"/>
      <c r="K55" s="166"/>
      <c r="L55" s="166"/>
      <c r="M55" s="166"/>
      <c r="N55" s="166"/>
      <c r="O55" s="166"/>
      <c r="P55" s="166"/>
      <c r="Q55" s="166"/>
      <c r="R55" s="166"/>
      <c r="S55" s="166"/>
      <c r="T55" s="166"/>
      <c r="U55" s="166"/>
      <c r="V55" s="166"/>
      <c r="W55" s="166"/>
      <c r="X55" s="166"/>
      <c r="Y55" s="166"/>
      <c r="Z55" s="166"/>
      <c r="AA55" s="166"/>
      <c r="AB55" s="166"/>
      <c r="AC55" s="166"/>
      <c r="AD55" s="166"/>
      <c r="AE55" s="166"/>
      <c r="AF55" s="166"/>
      <c r="AG55" s="166"/>
      <c r="AH55" s="166"/>
      <c r="AI55" s="155"/>
      <c r="AJ55" s="155"/>
      <c r="AK55" s="155"/>
      <c r="AL55" s="155"/>
      <c r="AM55" s="155"/>
    </row>
    <row r="56" spans="1:39" ht="13" x14ac:dyDescent="0.3">
      <c r="B56" s="131"/>
      <c r="D56" s="151"/>
      <c r="E56" s="167"/>
      <c r="F56" s="167"/>
      <c r="G56" s="167"/>
      <c r="H56" s="167"/>
      <c r="I56" s="167"/>
      <c r="J56" s="167"/>
      <c r="K56" s="167"/>
      <c r="L56" s="167"/>
      <c r="M56" s="167"/>
      <c r="N56" s="167"/>
      <c r="O56" s="167"/>
      <c r="P56" s="167"/>
      <c r="Q56" s="167"/>
      <c r="R56" s="167"/>
      <c r="S56" s="167"/>
      <c r="T56" s="167"/>
      <c r="U56" s="167"/>
      <c r="V56" s="167"/>
      <c r="W56" s="167"/>
      <c r="X56" s="167"/>
      <c r="Y56" s="167"/>
      <c r="Z56" s="167"/>
      <c r="AA56" s="167"/>
      <c r="AB56" s="167"/>
      <c r="AC56" s="167"/>
      <c r="AD56" s="167"/>
      <c r="AE56" s="167"/>
      <c r="AF56" s="167"/>
      <c r="AG56" s="167"/>
      <c r="AH56" s="167"/>
      <c r="AI56" s="167"/>
      <c r="AJ56" s="167"/>
      <c r="AK56" s="167"/>
      <c r="AL56" s="167"/>
      <c r="AM56" s="167"/>
    </row>
    <row r="57" spans="1:39" ht="13" x14ac:dyDescent="0.3">
      <c r="A57" s="129"/>
      <c r="B57" s="129" t="s">
        <v>59</v>
      </c>
      <c r="C57" s="129" t="s">
        <v>159</v>
      </c>
      <c r="D57" s="147" t="s">
        <v>60</v>
      </c>
      <c r="E57" s="139">
        <v>2026</v>
      </c>
      <c r="F57" s="139">
        <v>2027</v>
      </c>
      <c r="G57" s="139">
        <v>2028</v>
      </c>
      <c r="H57" s="139">
        <v>2029</v>
      </c>
      <c r="I57" s="139">
        <v>2030</v>
      </c>
      <c r="J57" s="139">
        <v>2031</v>
      </c>
      <c r="K57" s="139">
        <v>2032</v>
      </c>
      <c r="L57" s="139">
        <v>2033</v>
      </c>
      <c r="M57" s="139">
        <v>2034</v>
      </c>
      <c r="N57" s="139">
        <v>2035</v>
      </c>
      <c r="O57" s="139">
        <v>2036</v>
      </c>
      <c r="P57" s="139">
        <v>2037</v>
      </c>
      <c r="Q57" s="139">
        <v>2038</v>
      </c>
      <c r="R57" s="139">
        <v>2039</v>
      </c>
      <c r="S57" s="139">
        <v>2040</v>
      </c>
      <c r="T57" s="139">
        <v>2041</v>
      </c>
      <c r="U57" s="139">
        <v>2042</v>
      </c>
      <c r="V57" s="139">
        <v>2043</v>
      </c>
      <c r="W57" s="139">
        <v>2044</v>
      </c>
      <c r="X57" s="139">
        <v>2045</v>
      </c>
      <c r="Y57" s="139">
        <v>2046</v>
      </c>
      <c r="Z57" s="139">
        <v>2047</v>
      </c>
      <c r="AA57" s="139">
        <v>2048</v>
      </c>
      <c r="AB57" s="139">
        <v>2049</v>
      </c>
      <c r="AC57" s="139">
        <v>2050</v>
      </c>
      <c r="AD57" s="139">
        <v>2051</v>
      </c>
      <c r="AE57" s="139">
        <v>2052</v>
      </c>
      <c r="AF57" s="139">
        <v>2053</v>
      </c>
      <c r="AG57" s="139">
        <v>2054</v>
      </c>
      <c r="AH57" s="139">
        <v>2055</v>
      </c>
      <c r="AI57" s="139">
        <v>2056</v>
      </c>
      <c r="AJ57" s="139">
        <v>2057</v>
      </c>
      <c r="AK57" s="139">
        <v>2058</v>
      </c>
      <c r="AL57" s="139">
        <v>2059</v>
      </c>
      <c r="AM57" s="139">
        <v>2060</v>
      </c>
    </row>
    <row r="58" spans="1:39" x14ac:dyDescent="0.25">
      <c r="B58" s="117" t="s">
        <v>141</v>
      </c>
      <c r="C58" s="127" t="s">
        <v>155</v>
      </c>
      <c r="D58" s="151" t="s">
        <v>315</v>
      </c>
      <c r="E58" s="158">
        <v>666</v>
      </c>
      <c r="F58" s="159">
        <v>653</v>
      </c>
      <c r="G58" s="159">
        <v>641</v>
      </c>
      <c r="H58" s="158">
        <v>631</v>
      </c>
      <c r="I58" s="159">
        <v>620</v>
      </c>
      <c r="J58" s="159">
        <v>610</v>
      </c>
      <c r="K58" s="159">
        <v>601</v>
      </c>
      <c r="L58" s="159">
        <v>593</v>
      </c>
      <c r="M58" s="159">
        <v>586</v>
      </c>
      <c r="N58" s="159">
        <v>579</v>
      </c>
      <c r="O58" s="159">
        <v>573</v>
      </c>
      <c r="P58" s="159">
        <v>567</v>
      </c>
      <c r="Q58" s="159">
        <v>562</v>
      </c>
      <c r="R58" s="159">
        <v>557</v>
      </c>
      <c r="S58" s="159">
        <v>552</v>
      </c>
      <c r="T58" s="159">
        <v>546</v>
      </c>
      <c r="U58" s="159">
        <v>540</v>
      </c>
      <c r="V58" s="159">
        <v>534</v>
      </c>
      <c r="W58" s="159">
        <v>529</v>
      </c>
      <c r="X58" s="159">
        <v>524</v>
      </c>
      <c r="Y58" s="159">
        <v>519</v>
      </c>
      <c r="Z58" s="159">
        <v>514</v>
      </c>
      <c r="AA58" s="159">
        <v>509</v>
      </c>
      <c r="AB58" s="159">
        <v>505</v>
      </c>
      <c r="AC58" s="159">
        <v>501</v>
      </c>
      <c r="AD58" s="159">
        <v>498</v>
      </c>
      <c r="AE58" s="159">
        <v>495</v>
      </c>
      <c r="AF58" s="159">
        <v>492</v>
      </c>
      <c r="AG58" s="159">
        <v>490</v>
      </c>
      <c r="AH58" s="159">
        <v>488</v>
      </c>
      <c r="AI58" s="159">
        <v>487</v>
      </c>
      <c r="AJ58" s="159">
        <v>485</v>
      </c>
      <c r="AK58" s="159">
        <v>483</v>
      </c>
      <c r="AL58" s="159">
        <v>481</v>
      </c>
      <c r="AM58" s="159">
        <v>480</v>
      </c>
    </row>
    <row r="59" spans="1:39" x14ac:dyDescent="0.25">
      <c r="C59" s="127" t="s">
        <v>157</v>
      </c>
      <c r="D59" s="151" t="s">
        <v>315</v>
      </c>
      <c r="E59" s="159">
        <v>1616</v>
      </c>
      <c r="F59" s="159">
        <v>1569</v>
      </c>
      <c r="G59" s="159">
        <v>1524</v>
      </c>
      <c r="H59" s="158">
        <v>1481</v>
      </c>
      <c r="I59" s="159">
        <v>1447</v>
      </c>
      <c r="J59" s="159">
        <v>1424</v>
      </c>
      <c r="K59" s="159">
        <v>1415</v>
      </c>
      <c r="L59" s="159">
        <v>1407</v>
      </c>
      <c r="M59" s="159">
        <v>1399</v>
      </c>
      <c r="N59" s="159">
        <v>1391</v>
      </c>
      <c r="O59" s="159">
        <v>1385</v>
      </c>
      <c r="P59" s="159">
        <v>1379</v>
      </c>
      <c r="Q59" s="159">
        <v>1374</v>
      </c>
      <c r="R59" s="159">
        <v>1368</v>
      </c>
      <c r="S59" s="159">
        <v>1363</v>
      </c>
      <c r="T59" s="159">
        <v>1355</v>
      </c>
      <c r="U59" s="159">
        <v>1348</v>
      </c>
      <c r="V59" s="159">
        <v>1340</v>
      </c>
      <c r="W59" s="159">
        <v>1333</v>
      </c>
      <c r="X59" s="159">
        <v>1326</v>
      </c>
      <c r="Y59" s="159">
        <v>1320</v>
      </c>
      <c r="Z59" s="159">
        <v>1313</v>
      </c>
      <c r="AA59" s="159">
        <v>1307</v>
      </c>
      <c r="AB59" s="159">
        <v>1301</v>
      </c>
      <c r="AC59" s="159">
        <v>1295</v>
      </c>
      <c r="AD59" s="159">
        <v>1291</v>
      </c>
      <c r="AE59" s="159">
        <v>1288</v>
      </c>
      <c r="AF59" s="159">
        <v>1284</v>
      </c>
      <c r="AG59" s="159">
        <v>1281</v>
      </c>
      <c r="AH59" s="159">
        <v>1278</v>
      </c>
      <c r="AI59" s="159">
        <v>1275</v>
      </c>
      <c r="AJ59" s="159">
        <v>1272</v>
      </c>
      <c r="AK59" s="159">
        <v>1270</v>
      </c>
      <c r="AL59" s="159">
        <v>1267</v>
      </c>
      <c r="AM59" s="159">
        <v>1264</v>
      </c>
    </row>
    <row r="60" spans="1:39" x14ac:dyDescent="0.25">
      <c r="C60" s="127" t="s">
        <v>158</v>
      </c>
      <c r="D60" s="151" t="s">
        <v>315</v>
      </c>
      <c r="E60" s="168"/>
      <c r="F60" s="168"/>
      <c r="G60" s="159"/>
      <c r="H60" s="159"/>
      <c r="I60" s="159"/>
      <c r="J60" s="159"/>
      <c r="K60" s="159"/>
      <c r="L60" s="159"/>
      <c r="M60" s="159"/>
      <c r="N60" s="159"/>
      <c r="O60" s="159"/>
      <c r="P60" s="159"/>
      <c r="Q60" s="159"/>
      <c r="R60" s="159"/>
      <c r="S60" s="159"/>
      <c r="T60" s="159"/>
      <c r="U60" s="159"/>
      <c r="V60" s="159"/>
      <c r="W60" s="159"/>
      <c r="X60" s="159"/>
      <c r="Y60" s="159"/>
      <c r="Z60" s="159"/>
      <c r="AA60" s="159"/>
      <c r="AB60" s="159"/>
      <c r="AC60" s="159"/>
      <c r="AD60" s="159"/>
      <c r="AE60" s="159"/>
      <c r="AF60" s="159"/>
      <c r="AG60" s="159"/>
      <c r="AH60" s="159"/>
      <c r="AI60" s="159"/>
      <c r="AJ60" s="159"/>
      <c r="AK60" s="159"/>
      <c r="AL60" s="159"/>
      <c r="AM60" s="159"/>
    </row>
    <row r="61" spans="1:39" ht="13" x14ac:dyDescent="0.3">
      <c r="B61" s="131" t="s">
        <v>160</v>
      </c>
      <c r="D61" s="151"/>
      <c r="E61" s="167"/>
      <c r="F61" s="167"/>
      <c r="G61" s="167"/>
      <c r="H61" s="167"/>
      <c r="I61" s="167"/>
      <c r="J61" s="167"/>
      <c r="K61" s="167"/>
      <c r="L61" s="167"/>
      <c r="M61" s="167"/>
      <c r="N61" s="167"/>
      <c r="O61" s="167"/>
      <c r="P61" s="167"/>
      <c r="Q61" s="167"/>
      <c r="R61" s="167"/>
      <c r="S61" s="167"/>
      <c r="T61" s="167"/>
      <c r="U61" s="167"/>
      <c r="V61" s="167"/>
      <c r="W61" s="167"/>
      <c r="X61" s="167"/>
      <c r="Y61" s="167"/>
      <c r="Z61" s="167"/>
      <c r="AA61" s="167"/>
      <c r="AB61" s="167"/>
      <c r="AC61" s="167"/>
      <c r="AD61" s="167"/>
      <c r="AE61" s="167"/>
      <c r="AF61" s="167"/>
      <c r="AG61" s="167"/>
      <c r="AH61" s="167"/>
      <c r="AI61" s="167"/>
      <c r="AJ61" s="167"/>
      <c r="AK61" s="167"/>
      <c r="AL61" s="167"/>
      <c r="AM61" s="167"/>
    </row>
    <row r="62" spans="1:39" ht="13" x14ac:dyDescent="0.3">
      <c r="A62" s="129"/>
      <c r="B62" s="129" t="s">
        <v>59</v>
      </c>
      <c r="C62" s="129" t="s">
        <v>159</v>
      </c>
      <c r="D62" s="147" t="s">
        <v>60</v>
      </c>
      <c r="E62" s="139">
        <v>2026</v>
      </c>
      <c r="F62" s="139">
        <v>2027</v>
      </c>
      <c r="G62" s="139">
        <v>2028</v>
      </c>
      <c r="H62" s="139">
        <v>2029</v>
      </c>
      <c r="I62" s="139">
        <v>2030</v>
      </c>
      <c r="J62" s="139">
        <v>2031</v>
      </c>
      <c r="K62" s="139">
        <v>2032</v>
      </c>
      <c r="L62" s="139">
        <v>2033</v>
      </c>
      <c r="M62" s="139">
        <v>2034</v>
      </c>
      <c r="N62" s="139">
        <v>2035</v>
      </c>
      <c r="O62" s="139">
        <v>2036</v>
      </c>
      <c r="P62" s="139">
        <v>2037</v>
      </c>
      <c r="Q62" s="139">
        <v>2038</v>
      </c>
      <c r="R62" s="139">
        <v>2039</v>
      </c>
      <c r="S62" s="139">
        <v>2040</v>
      </c>
      <c r="T62" s="139">
        <v>2041</v>
      </c>
      <c r="U62" s="139">
        <v>2042</v>
      </c>
      <c r="V62" s="139">
        <v>2043</v>
      </c>
      <c r="W62" s="139">
        <v>2044</v>
      </c>
      <c r="X62" s="139">
        <v>2045</v>
      </c>
      <c r="Y62" s="139">
        <v>2046</v>
      </c>
      <c r="Z62" s="139">
        <v>2047</v>
      </c>
      <c r="AA62" s="139">
        <v>2048</v>
      </c>
      <c r="AB62" s="139">
        <v>2049</v>
      </c>
      <c r="AC62" s="139">
        <v>2050</v>
      </c>
      <c r="AD62" s="139">
        <v>2051</v>
      </c>
      <c r="AE62" s="139">
        <v>2052</v>
      </c>
      <c r="AF62" s="139">
        <v>2053</v>
      </c>
      <c r="AG62" s="139">
        <v>2054</v>
      </c>
      <c r="AH62" s="139">
        <v>2055</v>
      </c>
      <c r="AI62" s="139">
        <v>2056</v>
      </c>
      <c r="AJ62" s="139">
        <v>2057</v>
      </c>
      <c r="AK62" s="139">
        <v>2058</v>
      </c>
      <c r="AL62" s="139">
        <v>2059</v>
      </c>
      <c r="AM62" s="139">
        <v>2060</v>
      </c>
    </row>
    <row r="63" spans="1:39" x14ac:dyDescent="0.25">
      <c r="B63" s="117" t="s">
        <v>146</v>
      </c>
      <c r="C63" s="127" t="s">
        <v>155</v>
      </c>
      <c r="D63" s="151" t="s">
        <v>315</v>
      </c>
      <c r="E63" s="159">
        <v>10.4</v>
      </c>
      <c r="F63" s="158">
        <v>10.3</v>
      </c>
      <c r="G63" s="159">
        <v>10.199999999999999</v>
      </c>
      <c r="H63" s="159">
        <v>10.199999999999999</v>
      </c>
      <c r="I63" s="158">
        <v>10.199999999999999</v>
      </c>
      <c r="J63" s="159">
        <v>10</v>
      </c>
      <c r="K63" s="159">
        <v>9.9</v>
      </c>
      <c r="L63" s="159">
        <v>9.8000000000000007</v>
      </c>
      <c r="M63" s="159">
        <v>9.6999999999999993</v>
      </c>
      <c r="N63" s="159">
        <v>9.6</v>
      </c>
      <c r="O63" s="159">
        <v>9.5</v>
      </c>
      <c r="P63" s="159">
        <v>9.4</v>
      </c>
      <c r="Q63" s="159">
        <v>9.3000000000000007</v>
      </c>
      <c r="R63" s="159">
        <v>9.3000000000000007</v>
      </c>
      <c r="S63" s="159">
        <v>9.1999999999999993</v>
      </c>
      <c r="T63" s="159">
        <v>9.1999999999999993</v>
      </c>
      <c r="U63" s="159">
        <v>9.1</v>
      </c>
      <c r="V63" s="159">
        <v>9.1</v>
      </c>
      <c r="W63" s="168">
        <v>9</v>
      </c>
      <c r="X63" s="168">
        <v>9</v>
      </c>
      <c r="Y63" s="168">
        <v>9</v>
      </c>
      <c r="Z63" s="159">
        <v>8.9</v>
      </c>
      <c r="AA63" s="168">
        <v>8.9</v>
      </c>
      <c r="AB63" s="159">
        <v>8.9</v>
      </c>
      <c r="AC63" s="159">
        <v>8.8000000000000007</v>
      </c>
      <c r="AD63" s="159">
        <v>8.8000000000000007</v>
      </c>
      <c r="AE63" s="159">
        <v>8.8000000000000007</v>
      </c>
      <c r="AF63" s="159">
        <v>8.8000000000000007</v>
      </c>
      <c r="AG63" s="159">
        <v>8.8000000000000007</v>
      </c>
      <c r="AH63" s="159">
        <v>8.8000000000000007</v>
      </c>
      <c r="AI63" s="159">
        <v>8.6999999999999993</v>
      </c>
      <c r="AJ63" s="159">
        <v>8.6999999999999993</v>
      </c>
      <c r="AK63" s="159">
        <v>8.6999999999999993</v>
      </c>
      <c r="AL63" s="159">
        <v>8.6999999999999993</v>
      </c>
      <c r="AM63" s="159">
        <v>8.6999999999999993</v>
      </c>
    </row>
    <row r="64" spans="1:39" x14ac:dyDescent="0.25">
      <c r="C64" s="127" t="s">
        <v>157</v>
      </c>
      <c r="D64" s="151" t="s">
        <v>315</v>
      </c>
      <c r="E64" s="159">
        <v>44.6</v>
      </c>
      <c r="F64" s="158">
        <v>44.5</v>
      </c>
      <c r="G64" s="159">
        <v>44.5</v>
      </c>
      <c r="H64" s="159">
        <v>44.5</v>
      </c>
      <c r="I64" s="158">
        <v>44.4</v>
      </c>
      <c r="J64" s="159">
        <v>44.2</v>
      </c>
      <c r="K64" s="159">
        <v>44.1</v>
      </c>
      <c r="L64" s="159">
        <v>44</v>
      </c>
      <c r="M64" s="159">
        <v>43.9</v>
      </c>
      <c r="N64" s="159">
        <v>43.7</v>
      </c>
      <c r="O64" s="159">
        <v>43.4</v>
      </c>
      <c r="P64" s="159">
        <v>43.3</v>
      </c>
      <c r="Q64" s="159">
        <v>43.2</v>
      </c>
      <c r="R64" s="159">
        <v>43</v>
      </c>
      <c r="S64" s="159">
        <v>43</v>
      </c>
      <c r="T64" s="159">
        <v>42.7</v>
      </c>
      <c r="U64" s="159">
        <v>42.6</v>
      </c>
      <c r="V64" s="159">
        <v>42.5</v>
      </c>
      <c r="W64" s="168">
        <v>42.4</v>
      </c>
      <c r="X64" s="168">
        <v>42.2</v>
      </c>
      <c r="Y64" s="168">
        <v>42.1</v>
      </c>
      <c r="Z64" s="159">
        <v>42</v>
      </c>
      <c r="AA64" s="168">
        <v>42</v>
      </c>
      <c r="AB64" s="159">
        <v>41.8</v>
      </c>
      <c r="AC64" s="159">
        <v>41.8</v>
      </c>
      <c r="AD64" s="159">
        <v>41.7</v>
      </c>
      <c r="AE64" s="159">
        <v>41.6</v>
      </c>
      <c r="AF64" s="159">
        <v>41.6</v>
      </c>
      <c r="AG64" s="159">
        <v>41.6</v>
      </c>
      <c r="AH64" s="159">
        <v>41.6</v>
      </c>
      <c r="AI64" s="159">
        <v>41.6</v>
      </c>
      <c r="AJ64" s="159">
        <v>41.4</v>
      </c>
      <c r="AK64" s="159">
        <v>41.4</v>
      </c>
      <c r="AL64" s="159">
        <v>41.4</v>
      </c>
      <c r="AM64" s="159">
        <v>41.4</v>
      </c>
    </row>
    <row r="65" spans="1:39" x14ac:dyDescent="0.25">
      <c r="C65" s="127" t="s">
        <v>158</v>
      </c>
      <c r="D65" s="151" t="s">
        <v>315</v>
      </c>
      <c r="E65" s="168"/>
      <c r="F65" s="168"/>
      <c r="G65" s="168"/>
      <c r="H65" s="168"/>
      <c r="I65" s="168"/>
      <c r="J65" s="168"/>
      <c r="K65" s="168"/>
      <c r="L65" s="168"/>
      <c r="M65" s="168"/>
      <c r="N65" s="168"/>
      <c r="O65" s="168"/>
      <c r="P65" s="168"/>
      <c r="Q65" s="168"/>
      <c r="R65" s="168"/>
      <c r="S65" s="168"/>
      <c r="T65" s="168"/>
      <c r="U65" s="168"/>
      <c r="V65" s="168"/>
      <c r="W65" s="168"/>
      <c r="X65" s="168"/>
      <c r="Y65" s="168"/>
      <c r="Z65" s="168"/>
      <c r="AA65" s="168"/>
      <c r="AB65" s="168"/>
      <c r="AC65" s="168"/>
      <c r="AD65" s="168"/>
      <c r="AE65" s="168"/>
      <c r="AF65" s="168"/>
      <c r="AG65" s="168"/>
      <c r="AH65" s="168"/>
      <c r="AI65" s="168"/>
      <c r="AJ65" s="168"/>
      <c r="AK65" s="168"/>
      <c r="AL65" s="168"/>
      <c r="AM65" s="168"/>
    </row>
    <row r="66" spans="1:39" ht="13" x14ac:dyDescent="0.3">
      <c r="B66" s="131" t="s">
        <v>147</v>
      </c>
      <c r="D66" s="151"/>
      <c r="E66" s="168"/>
      <c r="F66" s="168"/>
      <c r="G66" s="168"/>
      <c r="H66" s="168"/>
      <c r="I66" s="168"/>
      <c r="J66" s="168"/>
      <c r="K66" s="168"/>
      <c r="L66" s="168"/>
      <c r="M66" s="168"/>
      <c r="N66" s="168"/>
      <c r="O66" s="168"/>
      <c r="P66" s="168"/>
      <c r="Q66" s="168"/>
      <c r="R66" s="168"/>
      <c r="S66" s="168"/>
      <c r="T66" s="168"/>
      <c r="U66" s="168"/>
      <c r="V66" s="168"/>
      <c r="W66" s="168"/>
      <c r="X66" s="168"/>
      <c r="Y66" s="168"/>
      <c r="Z66" s="168"/>
      <c r="AA66" s="168"/>
      <c r="AB66" s="168"/>
      <c r="AC66" s="168"/>
      <c r="AD66" s="168"/>
      <c r="AE66" s="168"/>
      <c r="AF66" s="168"/>
      <c r="AG66" s="168"/>
      <c r="AH66" s="168"/>
      <c r="AI66" s="168"/>
      <c r="AJ66" s="168"/>
      <c r="AK66" s="168"/>
      <c r="AL66" s="168"/>
      <c r="AM66" s="168"/>
    </row>
    <row r="67" spans="1:39" ht="13" x14ac:dyDescent="0.3">
      <c r="A67" s="126" t="s">
        <v>161</v>
      </c>
      <c r="B67" s="126"/>
      <c r="C67" s="138"/>
      <c r="D67" s="138"/>
      <c r="E67" s="138"/>
      <c r="F67" s="138"/>
      <c r="G67" s="138"/>
      <c r="H67" s="138"/>
      <c r="I67" s="138"/>
      <c r="J67" s="138"/>
      <c r="K67" s="138"/>
      <c r="L67" s="138"/>
      <c r="M67" s="138"/>
      <c r="N67" s="138"/>
      <c r="O67" s="138"/>
      <c r="P67" s="138"/>
      <c r="Q67" s="138"/>
      <c r="R67" s="138"/>
      <c r="S67" s="138"/>
      <c r="T67" s="138"/>
      <c r="U67" s="138"/>
      <c r="V67" s="138"/>
      <c r="W67" s="138"/>
      <c r="X67" s="138"/>
      <c r="Y67" s="138"/>
      <c r="Z67" s="138"/>
      <c r="AA67" s="138"/>
      <c r="AB67" s="138"/>
      <c r="AC67" s="138"/>
      <c r="AD67" s="138"/>
      <c r="AE67" s="138"/>
      <c r="AF67" s="138"/>
      <c r="AG67" s="138"/>
      <c r="AH67" s="138"/>
      <c r="AI67" s="138"/>
      <c r="AJ67" s="138"/>
      <c r="AK67" s="138"/>
      <c r="AL67" s="138"/>
      <c r="AM67" s="138"/>
    </row>
    <row r="68" spans="1:39" ht="13" x14ac:dyDescent="0.3">
      <c r="A68" s="129"/>
      <c r="B68" s="129" t="s">
        <v>59</v>
      </c>
      <c r="C68" s="129" t="s">
        <v>132</v>
      </c>
      <c r="D68" s="139" t="s">
        <v>60</v>
      </c>
      <c r="E68" s="139">
        <v>2026</v>
      </c>
      <c r="F68" s="139">
        <v>2027</v>
      </c>
      <c r="G68" s="139">
        <v>2028</v>
      </c>
      <c r="H68" s="139">
        <v>2029</v>
      </c>
      <c r="I68" s="139">
        <v>2030</v>
      </c>
      <c r="J68" s="139">
        <v>2031</v>
      </c>
      <c r="K68" s="139">
        <v>2032</v>
      </c>
      <c r="L68" s="139">
        <v>2033</v>
      </c>
      <c r="M68" s="139">
        <v>2034</v>
      </c>
      <c r="N68" s="139">
        <v>2035</v>
      </c>
      <c r="O68" s="139">
        <v>2036</v>
      </c>
      <c r="P68" s="139">
        <v>2037</v>
      </c>
      <c r="Q68" s="139">
        <v>2038</v>
      </c>
      <c r="R68" s="139">
        <v>2039</v>
      </c>
      <c r="S68" s="139">
        <v>2040</v>
      </c>
      <c r="T68" s="139">
        <v>2041</v>
      </c>
      <c r="U68" s="139">
        <v>2042</v>
      </c>
      <c r="V68" s="139">
        <v>2043</v>
      </c>
      <c r="W68" s="139">
        <v>2044</v>
      </c>
      <c r="X68" s="139">
        <v>2045</v>
      </c>
      <c r="Y68" s="139">
        <v>2046</v>
      </c>
      <c r="Z68" s="139">
        <v>2047</v>
      </c>
      <c r="AA68" s="139">
        <v>2048</v>
      </c>
      <c r="AB68" s="139">
        <v>2049</v>
      </c>
      <c r="AC68" s="139">
        <v>2050</v>
      </c>
      <c r="AD68" s="139">
        <v>2051</v>
      </c>
      <c r="AE68" s="139">
        <v>2052</v>
      </c>
      <c r="AF68" s="139">
        <v>2053</v>
      </c>
      <c r="AG68" s="139">
        <v>2054</v>
      </c>
      <c r="AH68" s="139">
        <v>2055</v>
      </c>
      <c r="AI68" s="139">
        <v>2056</v>
      </c>
      <c r="AJ68" s="139">
        <v>2057</v>
      </c>
      <c r="AK68" s="139">
        <v>2058</v>
      </c>
      <c r="AL68" s="139">
        <v>2059</v>
      </c>
      <c r="AM68" s="139">
        <v>2060</v>
      </c>
    </row>
    <row r="69" spans="1:39" x14ac:dyDescent="0.25">
      <c r="B69" s="132" t="s">
        <v>162</v>
      </c>
      <c r="C69" s="127" t="s">
        <v>142</v>
      </c>
      <c r="D69" s="151" t="s">
        <v>242</v>
      </c>
      <c r="E69" s="169">
        <v>140.53403725955434</v>
      </c>
      <c r="F69" s="157">
        <v>139.88055582674735</v>
      </c>
      <c r="G69" s="157">
        <v>139.16183612664528</v>
      </c>
      <c r="H69" s="157">
        <v>138.56614135904326</v>
      </c>
      <c r="I69" s="157">
        <v>137.78673658057312</v>
      </c>
      <c r="J69" s="157">
        <v>137.20408454325064</v>
      </c>
      <c r="K69" s="157">
        <v>136.63428383971527</v>
      </c>
      <c r="L69" s="157">
        <v>136.17428245581524</v>
      </c>
      <c r="M69" s="157">
        <v>135.82197401873407</v>
      </c>
      <c r="N69" s="157">
        <v>135.27584662772526</v>
      </c>
      <c r="O69" s="157">
        <v>134.83478036453437</v>
      </c>
      <c r="P69" s="157">
        <v>134.49792394914888</v>
      </c>
      <c r="Q69" s="157">
        <v>134.06461617363789</v>
      </c>
      <c r="R69" s="157">
        <v>133.93433396606355</v>
      </c>
      <c r="S69" s="157">
        <v>133.50665696512698</v>
      </c>
      <c r="T69" s="157">
        <v>132.98124269958603</v>
      </c>
      <c r="U69" s="157">
        <v>132.45780878901672</v>
      </c>
      <c r="V69" s="157">
        <v>131.93611991762558</v>
      </c>
      <c r="W69" s="157">
        <v>131.61597812871597</v>
      </c>
      <c r="X69" s="157">
        <v>131.09721547714955</v>
      </c>
      <c r="Y69" s="157">
        <v>130.7796883870476</v>
      </c>
      <c r="Z69" s="157">
        <v>130.26327326301814</v>
      </c>
      <c r="AA69" s="157">
        <v>129.74786303655182</v>
      </c>
      <c r="AB69" s="157">
        <v>129.53336441947744</v>
      </c>
      <c r="AC69" s="157">
        <v>129.11969569856322</v>
      </c>
      <c r="AD69" s="157">
        <v>128.70678494892337</v>
      </c>
      <c r="AE69" s="157">
        <v>128.39456857488099</v>
      </c>
      <c r="AF69" s="157">
        <v>127.98299010928841</v>
      </c>
      <c r="AG69" s="157">
        <v>127.77199921863098</v>
      </c>
      <c r="AH69" s="157">
        <v>127.66155087330401</v>
      </c>
      <c r="AI69" s="157">
        <v>127.45160465146671</v>
      </c>
      <c r="AJ69" s="157">
        <v>127.24212415168023</v>
      </c>
      <c r="AK69" s="157">
        <v>126.93307649471973</v>
      </c>
      <c r="AL69" s="157">
        <v>126.6244318989354</v>
      </c>
      <c r="AM69" s="157">
        <v>126.51616331662424</v>
      </c>
    </row>
    <row r="70" spans="1:39" x14ac:dyDescent="0.25">
      <c r="B70" s="133"/>
      <c r="C70" s="127" t="s">
        <v>143</v>
      </c>
      <c r="D70" s="151" t="s">
        <v>242</v>
      </c>
      <c r="E70" s="169">
        <v>145.75517515059778</v>
      </c>
      <c r="F70" s="157">
        <v>145.01112105374403</v>
      </c>
      <c r="G70" s="157">
        <v>144.22241931398239</v>
      </c>
      <c r="H70" s="157">
        <v>143.57036471693445</v>
      </c>
      <c r="I70" s="157">
        <v>142.74422822116665</v>
      </c>
      <c r="J70" s="157">
        <v>142.11296654291647</v>
      </c>
      <c r="K70" s="157">
        <v>141.50214099163171</v>
      </c>
      <c r="L70" s="157">
        <v>141.00689389775891</v>
      </c>
      <c r="M70" s="157">
        <v>140.62387365036631</v>
      </c>
      <c r="N70" s="157">
        <v>140.0506751550638</v>
      </c>
      <c r="O70" s="157">
        <v>139.58551727765138</v>
      </c>
      <c r="P70" s="157">
        <v>139.22704640877834</v>
      </c>
      <c r="Q70" s="157">
        <v>138.77421136804824</v>
      </c>
      <c r="R70" s="157">
        <v>138.62618072580753</v>
      </c>
      <c r="S70" s="157">
        <v>138.18228641904122</v>
      </c>
      <c r="T70" s="157">
        <v>137.64198425287697</v>
      </c>
      <c r="U70" s="157">
        <v>137.10482558008667</v>
      </c>
      <c r="V70" s="157">
        <v>136.57043657812272</v>
      </c>
      <c r="W70" s="157">
        <v>136.23850281105663</v>
      </c>
      <c r="X70" s="157">
        <v>135.70875754380774</v>
      </c>
      <c r="Y70" s="157">
        <v>135.38097276957475</v>
      </c>
      <c r="Z70" s="157">
        <v>134.85495223150178</v>
      </c>
      <c r="AA70" s="157">
        <v>134.33052593192787</v>
      </c>
      <c r="AB70" s="157">
        <v>134.10754576623791</v>
      </c>
      <c r="AC70" s="157">
        <v>133.68588201733081</v>
      </c>
      <c r="AD70" s="157">
        <v>133.26542051606918</v>
      </c>
      <c r="AE70" s="157">
        <v>132.94606032239781</v>
      </c>
      <c r="AF70" s="157">
        <v>132.52771181737984</v>
      </c>
      <c r="AG70" s="157">
        <v>132.31029512237558</v>
      </c>
      <c r="AH70" s="157">
        <v>132.19373878078039</v>
      </c>
      <c r="AI70" s="157">
        <v>131.97797865207886</v>
      </c>
      <c r="AJ70" s="157">
        <v>131.76295697879306</v>
      </c>
      <c r="AK70" s="157">
        <v>131.44862159514767</v>
      </c>
      <c r="AL70" s="157">
        <v>131.13492525261017</v>
      </c>
      <c r="AM70" s="157">
        <v>131.02182504237575</v>
      </c>
    </row>
    <row r="71" spans="1:39" x14ac:dyDescent="0.25">
      <c r="B71" s="117"/>
      <c r="C71" s="127" t="s">
        <v>144</v>
      </c>
      <c r="D71" s="151" t="s">
        <v>242</v>
      </c>
      <c r="E71" s="169">
        <v>153.99086483882925</v>
      </c>
      <c r="F71" s="157">
        <v>153.10480122508432</v>
      </c>
      <c r="G71" s="157">
        <v>152.20636535215584</v>
      </c>
      <c r="H71" s="157">
        <v>151.46593101338922</v>
      </c>
      <c r="I71" s="157">
        <v>150.56650904097543</v>
      </c>
      <c r="J71" s="157">
        <v>149.85901309184422</v>
      </c>
      <c r="K71" s="157">
        <v>149.18384541194905</v>
      </c>
      <c r="L71" s="157">
        <v>148.63331775744828</v>
      </c>
      <c r="M71" s="157">
        <v>148.20212635390683</v>
      </c>
      <c r="N71" s="157">
        <v>147.58646577537999</v>
      </c>
      <c r="O71" s="157">
        <v>147.08351820007078</v>
      </c>
      <c r="P71" s="157">
        <v>146.69114240959559</v>
      </c>
      <c r="Q71" s="157">
        <v>146.20767575778777</v>
      </c>
      <c r="R71" s="157">
        <v>146.03180330238794</v>
      </c>
      <c r="S71" s="157">
        <v>145.56246856568333</v>
      </c>
      <c r="T71" s="157">
        <v>144.99881102592454</v>
      </c>
      <c r="U71" s="157">
        <v>144.44012130247563</v>
      </c>
      <c r="V71" s="157">
        <v>143.88580836613571</v>
      </c>
      <c r="W71" s="157">
        <v>143.53537511358789</v>
      </c>
      <c r="X71" s="157">
        <v>142.98839987994481</v>
      </c>
      <c r="Y71" s="157">
        <v>142.64452224469883</v>
      </c>
      <c r="Z71" s="157">
        <v>142.10343199315699</v>
      </c>
      <c r="AA71" s="157">
        <v>141.56486043153194</v>
      </c>
      <c r="AB71" s="157">
        <v>141.32857348126757</v>
      </c>
      <c r="AC71" s="157">
        <v>140.89436613486774</v>
      </c>
      <c r="AD71" s="157">
        <v>140.46205796525382</v>
      </c>
      <c r="AE71" s="157">
        <v>140.13148945873212</v>
      </c>
      <c r="AF71" s="157">
        <v>139.70251899793041</v>
      </c>
      <c r="AG71" s="157">
        <v>139.47502036216491</v>
      </c>
      <c r="AH71" s="157">
        <v>139.34888064306907</v>
      </c>
      <c r="AI71" s="157">
        <v>139.12399849600416</v>
      </c>
      <c r="AJ71" s="157">
        <v>138.90028266489261</v>
      </c>
      <c r="AK71" s="157">
        <v>138.57765073115885</v>
      </c>
      <c r="AL71" s="157">
        <v>138.2560280474865</v>
      </c>
      <c r="AM71" s="157">
        <v>138.13534682486852</v>
      </c>
    </row>
    <row r="72" spans="1:39" x14ac:dyDescent="0.25">
      <c r="B72" s="132" t="s">
        <v>163</v>
      </c>
      <c r="C72" s="127" t="s">
        <v>142</v>
      </c>
      <c r="D72" s="151" t="s">
        <v>242</v>
      </c>
      <c r="E72" s="169">
        <v>182.28816462620733</v>
      </c>
      <c r="F72" s="157">
        <v>181.04824473483214</v>
      </c>
      <c r="G72" s="157">
        <v>179.64463107769222</v>
      </c>
      <c r="H72" s="169">
        <v>178.29988447108488</v>
      </c>
      <c r="I72" s="157">
        <v>177.72664342260529</v>
      </c>
      <c r="J72" s="157">
        <v>176.3565939318365</v>
      </c>
      <c r="K72" s="157">
        <v>175.96475455285213</v>
      </c>
      <c r="L72" s="157">
        <v>174.65657001783026</v>
      </c>
      <c r="M72" s="157">
        <v>173.43573756465358</v>
      </c>
      <c r="N72" s="157">
        <v>173.00487276333979</v>
      </c>
      <c r="O72" s="157">
        <v>172.66588783983838</v>
      </c>
      <c r="P72" s="157">
        <v>171.42021908312148</v>
      </c>
      <c r="Q72" s="157">
        <v>171.0689699447922</v>
      </c>
      <c r="R72" s="157">
        <v>170.01300457984846</v>
      </c>
      <c r="S72" s="157">
        <v>169.65301098940927</v>
      </c>
      <c r="T72" s="157">
        <v>169.18954483332874</v>
      </c>
      <c r="U72" s="157">
        <v>167.72306056379267</v>
      </c>
      <c r="V72" s="157">
        <v>167.25393401539864</v>
      </c>
      <c r="W72" s="157">
        <v>165.9824791006497</v>
      </c>
      <c r="X72" s="157">
        <v>165.50896035253677</v>
      </c>
      <c r="Y72" s="157">
        <v>164.2336024862305</v>
      </c>
      <c r="Z72" s="157">
        <v>163.75659778506804</v>
      </c>
      <c r="AA72" s="157">
        <v>163.27811187439923</v>
      </c>
      <c r="AB72" s="157">
        <v>162.09828828442861</v>
      </c>
      <c r="AC72" s="157">
        <v>161.71725209197672</v>
      </c>
      <c r="AD72" s="157">
        <v>161.33511285364341</v>
      </c>
      <c r="AE72" s="157">
        <v>161.0519669881032</v>
      </c>
      <c r="AF72" s="157">
        <v>160.66789972600193</v>
      </c>
      <c r="AG72" s="157">
        <v>160.48298671740525</v>
      </c>
      <c r="AH72" s="157">
        <v>159.39729536578537</v>
      </c>
      <c r="AI72" s="157">
        <v>159.21088594194831</v>
      </c>
      <c r="AJ72" s="157">
        <v>159.02381251960145</v>
      </c>
      <c r="AK72" s="157">
        <v>158.73612376538642</v>
      </c>
      <c r="AL72" s="157">
        <v>158.44786360941472</v>
      </c>
      <c r="AM72" s="157">
        <v>158.35907181710348</v>
      </c>
    </row>
    <row r="73" spans="1:39" x14ac:dyDescent="0.25">
      <c r="B73" s="117"/>
      <c r="C73" s="127" t="s">
        <v>143</v>
      </c>
      <c r="D73" s="151" t="s">
        <v>242</v>
      </c>
      <c r="E73" s="169">
        <v>187.50930251725077</v>
      </c>
      <c r="F73" s="157">
        <v>186.17880996182882</v>
      </c>
      <c r="G73" s="157">
        <v>184.70521426502933</v>
      </c>
      <c r="H73" s="169">
        <v>183.30410782897607</v>
      </c>
      <c r="I73" s="157">
        <v>182.68413506319882</v>
      </c>
      <c r="J73" s="157">
        <v>181.26547593150232</v>
      </c>
      <c r="K73" s="157">
        <v>180.83261170476857</v>
      </c>
      <c r="L73" s="157">
        <v>179.48918145977393</v>
      </c>
      <c r="M73" s="157">
        <v>178.23763719628582</v>
      </c>
      <c r="N73" s="157">
        <v>177.7797012906783</v>
      </c>
      <c r="O73" s="157">
        <v>177.41662475295539</v>
      </c>
      <c r="P73" s="157">
        <v>176.14934154275093</v>
      </c>
      <c r="Q73" s="157">
        <v>175.77856513920256</v>
      </c>
      <c r="R73" s="157">
        <v>174.70485133959244</v>
      </c>
      <c r="S73" s="157">
        <v>174.32864044332351</v>
      </c>
      <c r="T73" s="157">
        <v>173.85028638661967</v>
      </c>
      <c r="U73" s="157">
        <v>172.37007735486259</v>
      </c>
      <c r="V73" s="157">
        <v>171.88825067589579</v>
      </c>
      <c r="W73" s="157">
        <v>170.60500378299037</v>
      </c>
      <c r="X73" s="157">
        <v>170.12050241919496</v>
      </c>
      <c r="Y73" s="157">
        <v>168.83488686875765</v>
      </c>
      <c r="Z73" s="157">
        <v>168.34827675355169</v>
      </c>
      <c r="AA73" s="157">
        <v>167.86077476977528</v>
      </c>
      <c r="AB73" s="157">
        <v>166.67246963118907</v>
      </c>
      <c r="AC73" s="157">
        <v>166.28343841074431</v>
      </c>
      <c r="AD73" s="157">
        <v>165.89374842078922</v>
      </c>
      <c r="AE73" s="157">
        <v>165.60345873562002</v>
      </c>
      <c r="AF73" s="157">
        <v>165.21262143409336</v>
      </c>
      <c r="AG73" s="157">
        <v>165.02128262114985</v>
      </c>
      <c r="AH73" s="157">
        <v>163.92948327326175</v>
      </c>
      <c r="AI73" s="157">
        <v>163.73725994256046</v>
      </c>
      <c r="AJ73" s="157">
        <v>163.54464534671428</v>
      </c>
      <c r="AK73" s="157">
        <v>163.25166886581437</v>
      </c>
      <c r="AL73" s="157">
        <v>162.9583569630895</v>
      </c>
      <c r="AM73" s="157">
        <v>162.86473354285499</v>
      </c>
    </row>
    <row r="74" spans="1:39" x14ac:dyDescent="0.25">
      <c r="B74" s="133"/>
      <c r="C74" s="127" t="s">
        <v>144</v>
      </c>
      <c r="D74" s="151" t="s">
        <v>242</v>
      </c>
      <c r="E74" s="169">
        <v>195.74499220548228</v>
      </c>
      <c r="F74" s="157">
        <v>194.2724901331691</v>
      </c>
      <c r="G74" s="157">
        <v>192.68916030320275</v>
      </c>
      <c r="H74" s="169">
        <v>191.19967412543085</v>
      </c>
      <c r="I74" s="157">
        <v>190.50641588300761</v>
      </c>
      <c r="J74" s="157">
        <v>189.01152248043007</v>
      </c>
      <c r="K74" s="157">
        <v>188.51431612508591</v>
      </c>
      <c r="L74" s="157">
        <v>187.1156053194633</v>
      </c>
      <c r="M74" s="157">
        <v>185.81588989982635</v>
      </c>
      <c r="N74" s="157">
        <v>185.31549191099452</v>
      </c>
      <c r="O74" s="157">
        <v>184.91462567537479</v>
      </c>
      <c r="P74" s="157">
        <v>183.61343754356818</v>
      </c>
      <c r="Q74" s="157">
        <v>183.21202952894208</v>
      </c>
      <c r="R74" s="157">
        <v>182.11047391617285</v>
      </c>
      <c r="S74" s="157">
        <v>181.70882258996562</v>
      </c>
      <c r="T74" s="157">
        <v>181.20711315966724</v>
      </c>
      <c r="U74" s="157">
        <v>179.70537307725158</v>
      </c>
      <c r="V74" s="157">
        <v>179.20362246390877</v>
      </c>
      <c r="W74" s="157">
        <v>177.90187608552162</v>
      </c>
      <c r="X74" s="157">
        <v>177.40014475533204</v>
      </c>
      <c r="Y74" s="157">
        <v>176.09843634388173</v>
      </c>
      <c r="Z74" s="157">
        <v>175.59675651520689</v>
      </c>
      <c r="AA74" s="157">
        <v>175.09510926937935</v>
      </c>
      <c r="AB74" s="157">
        <v>173.89349734621874</v>
      </c>
      <c r="AC74" s="157">
        <v>173.49192252828124</v>
      </c>
      <c r="AD74" s="157">
        <v>173.09038586997383</v>
      </c>
      <c r="AE74" s="157">
        <v>172.78888787195433</v>
      </c>
      <c r="AF74" s="157">
        <v>172.38742861464394</v>
      </c>
      <c r="AG74" s="157">
        <v>172.18600786093918</v>
      </c>
      <c r="AH74" s="157">
        <v>171.08462513555043</v>
      </c>
      <c r="AI74" s="157">
        <v>170.88327978648576</v>
      </c>
      <c r="AJ74" s="157">
        <v>170.68197103281381</v>
      </c>
      <c r="AK74" s="157">
        <v>170.38069800182555</v>
      </c>
      <c r="AL74" s="157">
        <v>170.07945975796582</v>
      </c>
      <c r="AM74" s="157">
        <v>169.97825532534776</v>
      </c>
    </row>
    <row r="75" spans="1:39" x14ac:dyDescent="0.25">
      <c r="B75" s="132" t="s">
        <v>164</v>
      </c>
      <c r="C75" s="127" t="s">
        <v>142</v>
      </c>
      <c r="D75" s="151" t="s">
        <v>242</v>
      </c>
      <c r="E75" s="157">
        <v>151.28055582674736</v>
      </c>
      <c r="F75" s="157">
        <v>149.86183612664524</v>
      </c>
      <c r="G75" s="169">
        <v>148.56614135904329</v>
      </c>
      <c r="H75" s="157">
        <v>147.48673658057311</v>
      </c>
      <c r="I75" s="157">
        <v>146.70408454325067</v>
      </c>
      <c r="J75" s="157">
        <v>146.53428383971527</v>
      </c>
      <c r="K75" s="157">
        <v>146.27428245581524</v>
      </c>
      <c r="L75" s="157">
        <v>146.12197401873408</v>
      </c>
      <c r="M75" s="157">
        <v>145.97584662772528</v>
      </c>
      <c r="N75" s="157">
        <v>145.73478036453437</v>
      </c>
      <c r="O75" s="157">
        <v>145.59792394914891</v>
      </c>
      <c r="P75" s="157">
        <v>145.36461617363793</v>
      </c>
      <c r="Q75" s="157">
        <v>145.23433396606356</v>
      </c>
      <c r="R75" s="157">
        <v>145.10665696512694</v>
      </c>
      <c r="S75" s="157">
        <v>144.88124269958598</v>
      </c>
      <c r="T75" s="157">
        <v>144.55780878901672</v>
      </c>
      <c r="U75" s="157">
        <v>144.33611991762558</v>
      </c>
      <c r="V75" s="157">
        <v>144.11597812871599</v>
      </c>
      <c r="W75" s="157">
        <v>143.99721547714958</v>
      </c>
      <c r="X75" s="157">
        <v>143.67968838704761</v>
      </c>
      <c r="Y75" s="157">
        <v>143.46327326301815</v>
      </c>
      <c r="Z75" s="157">
        <v>143.24786303655188</v>
      </c>
      <c r="AA75" s="157">
        <v>143.03336441947744</v>
      </c>
      <c r="AB75" s="157">
        <v>142.9196956985632</v>
      </c>
      <c r="AC75" s="157">
        <v>142.80678494892339</v>
      </c>
      <c r="AD75" s="157">
        <v>142.59456857488098</v>
      </c>
      <c r="AE75" s="157">
        <v>142.48299010928838</v>
      </c>
      <c r="AF75" s="157">
        <v>142.37199921863095</v>
      </c>
      <c r="AG75" s="157">
        <v>142.26155087330397</v>
      </c>
      <c r="AH75" s="157">
        <v>142.15160465146673</v>
      </c>
      <c r="AI75" s="157">
        <v>142.04212415168024</v>
      </c>
      <c r="AJ75" s="157">
        <v>141.83307649471971</v>
      </c>
      <c r="AK75" s="157">
        <v>141.82443189893539</v>
      </c>
      <c r="AL75" s="157">
        <v>141.71616331662426</v>
      </c>
      <c r="AM75" s="284" t="e">
        <v>#N/A</v>
      </c>
    </row>
    <row r="76" spans="1:39" x14ac:dyDescent="0.25">
      <c r="B76" s="117"/>
      <c r="C76" s="127" t="s">
        <v>143</v>
      </c>
      <c r="D76" s="151" t="s">
        <v>242</v>
      </c>
      <c r="E76" s="157">
        <v>156.41112105374404</v>
      </c>
      <c r="F76" s="157">
        <v>154.92241931398235</v>
      </c>
      <c r="G76" s="169">
        <v>153.57036471693445</v>
      </c>
      <c r="H76" s="157">
        <v>152.44422822116667</v>
      </c>
      <c r="I76" s="157">
        <v>151.61296654291644</v>
      </c>
      <c r="J76" s="157">
        <v>151.40214099163171</v>
      </c>
      <c r="K76" s="157">
        <v>151.10689389775891</v>
      </c>
      <c r="L76" s="157">
        <v>150.92387365036632</v>
      </c>
      <c r="M76" s="157">
        <v>150.75067515506382</v>
      </c>
      <c r="N76" s="157">
        <v>150.48551727765141</v>
      </c>
      <c r="O76" s="157">
        <v>150.32704640877833</v>
      </c>
      <c r="P76" s="157">
        <v>150.07421136804822</v>
      </c>
      <c r="Q76" s="157">
        <v>149.92618072580754</v>
      </c>
      <c r="R76" s="157">
        <v>149.78228641904118</v>
      </c>
      <c r="S76" s="157">
        <v>149.54198425287697</v>
      </c>
      <c r="T76" s="157">
        <v>149.20482558008669</v>
      </c>
      <c r="U76" s="157">
        <v>148.97043657812273</v>
      </c>
      <c r="V76" s="157">
        <v>148.73850281105663</v>
      </c>
      <c r="W76" s="157">
        <v>148.60875754380777</v>
      </c>
      <c r="X76" s="157">
        <v>148.28097276957476</v>
      </c>
      <c r="Y76" s="157">
        <v>148.05495223150183</v>
      </c>
      <c r="Z76" s="157">
        <v>147.83052593192784</v>
      </c>
      <c r="AA76" s="157">
        <v>147.60754576623791</v>
      </c>
      <c r="AB76" s="157">
        <v>147.48588201733077</v>
      </c>
      <c r="AC76" s="157">
        <v>147.36542051606921</v>
      </c>
      <c r="AD76" s="157">
        <v>147.1460603223978</v>
      </c>
      <c r="AE76" s="157">
        <v>147.02771181737984</v>
      </c>
      <c r="AF76" s="157">
        <v>146.9102951223756</v>
      </c>
      <c r="AG76" s="157">
        <v>146.79373878078039</v>
      </c>
      <c r="AH76" s="157">
        <v>146.67797865207882</v>
      </c>
      <c r="AI76" s="157">
        <v>146.56295697879304</v>
      </c>
      <c r="AJ76" s="157">
        <v>146.34862159514768</v>
      </c>
      <c r="AK76" s="157">
        <v>146.33492525261013</v>
      </c>
      <c r="AL76" s="157">
        <v>146.22182504237574</v>
      </c>
      <c r="AM76" s="128" t="e">
        <v>#N/A</v>
      </c>
    </row>
    <row r="77" spans="1:39" x14ac:dyDescent="0.25">
      <c r="B77" s="117"/>
      <c r="C77" s="127" t="s">
        <v>144</v>
      </c>
      <c r="D77" s="151" t="s">
        <v>242</v>
      </c>
      <c r="E77" s="157">
        <v>164.50480122508432</v>
      </c>
      <c r="F77" s="157">
        <v>162.90636535215586</v>
      </c>
      <c r="G77" s="169">
        <v>161.46593101338922</v>
      </c>
      <c r="H77" s="157">
        <v>160.26650904097539</v>
      </c>
      <c r="I77" s="157">
        <v>159.35901309184422</v>
      </c>
      <c r="J77" s="157">
        <v>159.08384541194903</v>
      </c>
      <c r="K77" s="157">
        <v>158.73331775744828</v>
      </c>
      <c r="L77" s="157">
        <v>158.50212635390685</v>
      </c>
      <c r="M77" s="157">
        <v>158.28646577538001</v>
      </c>
      <c r="N77" s="157">
        <v>157.98351820007073</v>
      </c>
      <c r="O77" s="157">
        <v>157.79114240959558</v>
      </c>
      <c r="P77" s="157">
        <v>157.50767575778775</v>
      </c>
      <c r="Q77" s="157">
        <v>157.33180330238793</v>
      </c>
      <c r="R77" s="157">
        <v>157.16246856568333</v>
      </c>
      <c r="S77" s="157">
        <v>156.89881102592454</v>
      </c>
      <c r="T77" s="157">
        <v>156.5401213024756</v>
      </c>
      <c r="U77" s="157">
        <v>156.28580836613571</v>
      </c>
      <c r="V77" s="157">
        <v>156.03537511358789</v>
      </c>
      <c r="W77" s="157">
        <v>155.88839987994479</v>
      </c>
      <c r="X77" s="157">
        <v>155.54452224469878</v>
      </c>
      <c r="Y77" s="157">
        <v>155.30343199315695</v>
      </c>
      <c r="Z77" s="157">
        <v>155.06486043153194</v>
      </c>
      <c r="AA77" s="157">
        <v>154.82857348126757</v>
      </c>
      <c r="AB77" s="157">
        <v>154.69436613486772</v>
      </c>
      <c r="AC77" s="157">
        <v>154.56205796525381</v>
      </c>
      <c r="AD77" s="157">
        <v>154.33148945873211</v>
      </c>
      <c r="AE77" s="157">
        <v>154.20251899793044</v>
      </c>
      <c r="AF77" s="157">
        <v>154.07502036216491</v>
      </c>
      <c r="AG77" s="157">
        <v>153.94888064306906</v>
      </c>
      <c r="AH77" s="157">
        <v>153.82399849600418</v>
      </c>
      <c r="AI77" s="157">
        <v>153.70028266489257</v>
      </c>
      <c r="AJ77" s="157">
        <v>153.47765073115883</v>
      </c>
      <c r="AK77" s="157">
        <v>153.45602804748646</v>
      </c>
      <c r="AL77" s="157">
        <v>153.33534682486851</v>
      </c>
      <c r="AM77" s="128" t="e">
        <v>#N/A</v>
      </c>
    </row>
    <row r="78" spans="1:39" x14ac:dyDescent="0.25">
      <c r="B78" s="132" t="s">
        <v>165</v>
      </c>
      <c r="C78" s="127" t="s">
        <v>142</v>
      </c>
      <c r="D78" s="151" t="s">
        <v>242</v>
      </c>
    </row>
    <row r="79" spans="1:39" x14ac:dyDescent="0.25">
      <c r="B79" s="117"/>
      <c r="C79" s="127" t="s">
        <v>143</v>
      </c>
      <c r="D79" s="151" t="s">
        <v>242</v>
      </c>
    </row>
    <row r="80" spans="1:39" x14ac:dyDescent="0.25">
      <c r="C80" s="127" t="s">
        <v>144</v>
      </c>
      <c r="D80" s="151" t="s">
        <v>242</v>
      </c>
    </row>
    <row r="81" spans="1:39" x14ac:dyDescent="0.25">
      <c r="D81" s="151"/>
      <c r="E81" s="151"/>
      <c r="F81" s="151"/>
      <c r="G81" s="151"/>
      <c r="H81" s="151"/>
      <c r="I81" s="151"/>
    </row>
    <row r="82" spans="1:39" ht="13" x14ac:dyDescent="0.3">
      <c r="A82" s="129"/>
      <c r="B82" s="129" t="s">
        <v>59</v>
      </c>
      <c r="C82" s="147" t="s">
        <v>132</v>
      </c>
      <c r="D82" s="147" t="s">
        <v>60</v>
      </c>
      <c r="E82" s="139" t="s">
        <v>37</v>
      </c>
      <c r="F82" s="139"/>
      <c r="G82" s="139"/>
      <c r="H82" s="139"/>
      <c r="I82" s="139"/>
      <c r="J82" s="139"/>
      <c r="K82" s="139"/>
      <c r="L82" s="139"/>
      <c r="M82" s="139"/>
      <c r="N82" s="139"/>
      <c r="O82" s="139"/>
      <c r="P82" s="139"/>
      <c r="Q82" s="139"/>
      <c r="R82" s="139"/>
      <c r="S82" s="139"/>
      <c r="T82" s="139"/>
      <c r="U82" s="139"/>
      <c r="V82" s="139"/>
      <c r="W82" s="139"/>
      <c r="X82" s="139"/>
      <c r="Y82" s="139"/>
      <c r="Z82" s="139"/>
      <c r="AA82" s="139"/>
      <c r="AB82" s="139"/>
      <c r="AC82" s="139"/>
      <c r="AD82" s="139"/>
      <c r="AE82" s="139"/>
      <c r="AF82" s="139"/>
      <c r="AG82" s="139"/>
      <c r="AH82" s="139"/>
      <c r="AI82" s="139"/>
      <c r="AJ82" s="139"/>
      <c r="AK82" s="139"/>
      <c r="AL82" s="139"/>
      <c r="AM82" s="139"/>
    </row>
    <row r="83" spans="1:39" x14ac:dyDescent="0.25">
      <c r="B83" s="134" t="s">
        <v>166</v>
      </c>
      <c r="C83" s="127" t="s">
        <v>57</v>
      </c>
      <c r="D83" s="151" t="s">
        <v>167</v>
      </c>
      <c r="E83" s="170">
        <v>0.1</v>
      </c>
    </row>
    <row r="84" spans="1:39" ht="13" x14ac:dyDescent="0.3">
      <c r="B84" s="131"/>
      <c r="D84" s="151"/>
      <c r="E84" s="167"/>
      <c r="F84" s="167"/>
      <c r="G84" s="167"/>
      <c r="H84" s="167"/>
      <c r="I84" s="167"/>
      <c r="J84" s="167"/>
      <c r="K84" s="167"/>
      <c r="L84" s="167"/>
      <c r="M84" s="167"/>
      <c r="N84" s="167"/>
      <c r="O84" s="167"/>
      <c r="P84" s="167"/>
      <c r="Q84" s="167"/>
      <c r="R84" s="167"/>
      <c r="S84" s="167"/>
      <c r="T84" s="167"/>
      <c r="U84" s="167"/>
      <c r="V84" s="167"/>
      <c r="W84" s="167"/>
      <c r="X84" s="167"/>
      <c r="Y84" s="167"/>
      <c r="Z84" s="167"/>
      <c r="AA84" s="167"/>
      <c r="AB84" s="167"/>
      <c r="AC84" s="167"/>
      <c r="AD84" s="167"/>
      <c r="AE84" s="167"/>
      <c r="AF84" s="167"/>
      <c r="AG84" s="167"/>
      <c r="AH84" s="167"/>
      <c r="AI84" s="167"/>
      <c r="AJ84" s="167"/>
      <c r="AK84" s="167"/>
      <c r="AL84" s="167"/>
      <c r="AM84" s="167"/>
    </row>
    <row r="85" spans="1:39" ht="13" x14ac:dyDescent="0.3">
      <c r="A85" s="126" t="s">
        <v>168</v>
      </c>
      <c r="B85" s="126"/>
      <c r="C85" s="138"/>
      <c r="D85" s="138"/>
      <c r="E85" s="138"/>
      <c r="F85" s="138"/>
      <c r="G85" s="138"/>
      <c r="H85" s="138"/>
      <c r="I85" s="138"/>
      <c r="J85" s="138"/>
      <c r="K85" s="138"/>
      <c r="L85" s="138"/>
      <c r="M85" s="138"/>
      <c r="N85" s="138"/>
      <c r="O85" s="138"/>
      <c r="P85" s="138"/>
      <c r="Q85" s="138"/>
      <c r="R85" s="138"/>
      <c r="S85" s="138"/>
      <c r="T85" s="138"/>
      <c r="U85" s="138"/>
      <c r="V85" s="138"/>
      <c r="W85" s="138"/>
      <c r="X85" s="138"/>
      <c r="Y85" s="138"/>
      <c r="Z85" s="138"/>
      <c r="AA85" s="138"/>
      <c r="AB85" s="138"/>
      <c r="AC85" s="138"/>
      <c r="AD85" s="138"/>
      <c r="AE85" s="138"/>
      <c r="AF85" s="138"/>
      <c r="AG85" s="138"/>
      <c r="AH85" s="138"/>
      <c r="AI85" s="138"/>
      <c r="AJ85" s="138"/>
      <c r="AK85" s="138"/>
      <c r="AL85" s="138"/>
      <c r="AM85" s="138"/>
    </row>
    <row r="86" spans="1:39" ht="13" x14ac:dyDescent="0.3">
      <c r="A86" s="129"/>
      <c r="B86" s="129" t="s">
        <v>59</v>
      </c>
      <c r="C86" s="129" t="s">
        <v>132</v>
      </c>
      <c r="D86" s="147" t="s">
        <v>60</v>
      </c>
      <c r="E86" s="139">
        <v>2026</v>
      </c>
      <c r="F86" s="139">
        <v>2027</v>
      </c>
      <c r="G86" s="139">
        <v>2028</v>
      </c>
      <c r="H86" s="139">
        <v>2029</v>
      </c>
      <c r="I86" s="139">
        <v>2030</v>
      </c>
      <c r="J86" s="139"/>
      <c r="K86" s="139"/>
      <c r="L86" s="139"/>
      <c r="M86" s="139"/>
      <c r="N86" s="139"/>
      <c r="O86" s="139"/>
      <c r="P86" s="139"/>
      <c r="Q86" s="139"/>
      <c r="R86" s="139"/>
      <c r="S86" s="139"/>
      <c r="T86" s="139"/>
      <c r="U86" s="139"/>
      <c r="V86" s="139"/>
      <c r="W86" s="139"/>
      <c r="X86" s="139"/>
      <c r="Y86" s="139"/>
      <c r="Z86" s="139"/>
      <c r="AA86" s="139"/>
      <c r="AB86" s="139"/>
      <c r="AC86" s="139"/>
      <c r="AD86" s="139"/>
      <c r="AE86" s="139"/>
      <c r="AF86" s="139"/>
      <c r="AG86" s="139"/>
      <c r="AH86" s="139"/>
      <c r="AI86" s="139"/>
      <c r="AJ86" s="139"/>
      <c r="AK86" s="139"/>
      <c r="AL86" s="139"/>
      <c r="AM86" s="139"/>
    </row>
    <row r="87" spans="1:39" ht="13" x14ac:dyDescent="0.3">
      <c r="A87" s="135"/>
      <c r="B87" s="127" t="s">
        <v>169</v>
      </c>
      <c r="C87" s="164" t="s">
        <v>57</v>
      </c>
      <c r="D87" s="151" t="s">
        <v>170</v>
      </c>
      <c r="E87" s="167"/>
      <c r="F87" s="167"/>
      <c r="G87" s="167"/>
      <c r="I87" s="171">
        <v>37.5</v>
      </c>
      <c r="J87" s="172"/>
      <c r="K87" s="172"/>
      <c r="L87" s="172"/>
      <c r="M87" s="172"/>
      <c r="N87" s="172"/>
      <c r="O87" s="172"/>
      <c r="P87" s="172"/>
      <c r="Q87" s="172"/>
      <c r="R87" s="172"/>
      <c r="S87" s="172"/>
      <c r="T87" s="172"/>
      <c r="U87" s="172"/>
      <c r="V87" s="172"/>
      <c r="W87" s="172"/>
      <c r="X87" s="172"/>
      <c r="Y87" s="172"/>
      <c r="Z87" s="172"/>
      <c r="AA87" s="172"/>
      <c r="AB87" s="172"/>
      <c r="AC87" s="172"/>
      <c r="AD87" s="172"/>
      <c r="AE87" s="172"/>
      <c r="AF87" s="172"/>
      <c r="AG87" s="172"/>
      <c r="AH87" s="172"/>
      <c r="AI87" s="172"/>
      <c r="AJ87" s="172"/>
      <c r="AK87" s="172"/>
      <c r="AL87" s="172"/>
    </row>
    <row r="88" spans="1:39" ht="13" x14ac:dyDescent="0.3">
      <c r="A88" s="135"/>
      <c r="B88" s="135"/>
      <c r="C88" s="164"/>
      <c r="D88" s="151"/>
      <c r="E88" s="172"/>
      <c r="F88" s="172"/>
      <c r="G88" s="172"/>
      <c r="H88" s="172"/>
      <c r="I88" s="172"/>
      <c r="J88" s="172"/>
      <c r="K88" s="172"/>
      <c r="L88" s="172"/>
      <c r="M88" s="172"/>
      <c r="N88" s="172"/>
      <c r="O88" s="172"/>
      <c r="P88" s="172"/>
      <c r="Q88" s="172"/>
      <c r="R88" s="172"/>
      <c r="S88" s="172"/>
      <c r="T88" s="172"/>
      <c r="U88" s="172"/>
      <c r="V88" s="172"/>
      <c r="W88" s="172"/>
      <c r="X88" s="172"/>
      <c r="Y88" s="172"/>
      <c r="Z88" s="172"/>
      <c r="AA88" s="172"/>
      <c r="AB88" s="172"/>
      <c r="AC88" s="172"/>
      <c r="AD88" s="172"/>
      <c r="AE88" s="172"/>
      <c r="AF88" s="172"/>
      <c r="AG88" s="172"/>
      <c r="AH88" s="172"/>
      <c r="AI88" s="172"/>
      <c r="AJ88" s="172"/>
      <c r="AK88" s="172"/>
      <c r="AL88" s="172"/>
    </row>
    <row r="90" spans="1:39" ht="13" x14ac:dyDescent="0.3">
      <c r="A90" s="129"/>
      <c r="B90" s="129" t="s">
        <v>59</v>
      </c>
      <c r="C90" s="129" t="s">
        <v>132</v>
      </c>
      <c r="D90" s="147" t="s">
        <v>60</v>
      </c>
      <c r="E90" s="139" t="s">
        <v>37</v>
      </c>
      <c r="F90" s="139"/>
      <c r="G90" s="139"/>
      <c r="H90" s="139"/>
      <c r="I90" s="139"/>
      <c r="J90" s="139"/>
      <c r="K90" s="139"/>
      <c r="L90" s="139"/>
      <c r="M90" s="139"/>
      <c r="N90" s="139"/>
      <c r="O90" s="139"/>
      <c r="P90" s="139"/>
      <c r="Q90" s="139"/>
      <c r="R90" s="139"/>
      <c r="S90" s="139"/>
      <c r="T90" s="139"/>
      <c r="U90" s="139"/>
      <c r="V90" s="139"/>
      <c r="W90" s="139"/>
      <c r="X90" s="139"/>
      <c r="Y90" s="139"/>
      <c r="Z90" s="139"/>
      <c r="AA90" s="139"/>
      <c r="AB90" s="139"/>
      <c r="AC90" s="139"/>
      <c r="AD90" s="139"/>
      <c r="AE90" s="139"/>
      <c r="AF90" s="139"/>
      <c r="AG90" s="139"/>
      <c r="AH90" s="139"/>
      <c r="AI90" s="139"/>
      <c r="AJ90" s="139"/>
      <c r="AK90" s="139"/>
      <c r="AL90" s="139"/>
      <c r="AM90" s="139"/>
    </row>
    <row r="91" spans="1:39" x14ac:dyDescent="0.25">
      <c r="B91" s="127" t="s">
        <v>171</v>
      </c>
      <c r="C91" s="149" t="s">
        <v>142</v>
      </c>
      <c r="D91" s="173" t="s">
        <v>122</v>
      </c>
      <c r="E91" s="174">
        <v>0.24</v>
      </c>
    </row>
    <row r="92" spans="1:39" x14ac:dyDescent="0.25">
      <c r="C92" s="127" t="s">
        <v>143</v>
      </c>
      <c r="D92" s="173" t="s">
        <v>122</v>
      </c>
      <c r="E92" s="174">
        <v>0.44</v>
      </c>
    </row>
    <row r="93" spans="1:39" x14ac:dyDescent="0.25">
      <c r="C93" s="127" t="s">
        <v>144</v>
      </c>
      <c r="D93" s="173" t="s">
        <v>122</v>
      </c>
      <c r="E93" s="174">
        <v>0.67</v>
      </c>
    </row>
    <row r="94" spans="1:39" x14ac:dyDescent="0.25">
      <c r="E94" s="173"/>
    </row>
    <row r="95" spans="1:39" ht="13" x14ac:dyDescent="0.3">
      <c r="A95" s="126" t="s">
        <v>172</v>
      </c>
      <c r="B95" s="126"/>
      <c r="C95" s="138"/>
      <c r="D95" s="138"/>
      <c r="E95" s="138"/>
      <c r="F95" s="138"/>
      <c r="G95" s="138"/>
      <c r="H95" s="138"/>
      <c r="I95" s="138"/>
      <c r="J95" s="138"/>
      <c r="K95" s="138"/>
      <c r="L95" s="138"/>
      <c r="M95" s="138"/>
      <c r="N95" s="138"/>
      <c r="O95" s="138"/>
      <c r="P95" s="138"/>
      <c r="Q95" s="138"/>
      <c r="R95" s="138"/>
      <c r="S95" s="138"/>
      <c r="T95" s="138"/>
      <c r="U95" s="138"/>
      <c r="V95" s="138"/>
      <c r="W95" s="138"/>
      <c r="X95" s="138"/>
      <c r="Y95" s="138"/>
      <c r="Z95" s="138"/>
      <c r="AA95" s="138"/>
      <c r="AB95" s="138"/>
      <c r="AC95" s="138"/>
      <c r="AD95" s="138"/>
      <c r="AE95" s="138"/>
      <c r="AF95" s="138"/>
      <c r="AG95" s="138"/>
      <c r="AH95" s="138"/>
      <c r="AI95" s="138"/>
      <c r="AJ95" s="138"/>
      <c r="AK95" s="138"/>
      <c r="AL95" s="138"/>
      <c r="AM95" s="138"/>
    </row>
    <row r="96" spans="1:39" ht="13" x14ac:dyDescent="0.3">
      <c r="A96" s="129"/>
      <c r="B96" s="129" t="s">
        <v>59</v>
      </c>
      <c r="C96" s="129" t="s">
        <v>132</v>
      </c>
      <c r="D96" s="129" t="s">
        <v>60</v>
      </c>
      <c r="E96" s="139" t="s">
        <v>37</v>
      </c>
      <c r="F96" s="139"/>
      <c r="G96" s="139"/>
      <c r="H96" s="139"/>
      <c r="I96" s="139"/>
      <c r="J96" s="139"/>
      <c r="K96" s="139"/>
      <c r="L96" s="139"/>
      <c r="M96" s="139"/>
      <c r="N96" s="139"/>
      <c r="O96" s="139"/>
      <c r="P96" s="139"/>
      <c r="Q96" s="139"/>
      <c r="R96" s="139"/>
      <c r="S96" s="139"/>
      <c r="T96" s="139"/>
      <c r="U96" s="139"/>
      <c r="V96" s="139"/>
      <c r="W96" s="139"/>
      <c r="X96" s="139"/>
      <c r="Y96" s="139"/>
      <c r="Z96" s="139"/>
      <c r="AA96" s="139"/>
      <c r="AB96" s="139"/>
      <c r="AC96" s="139"/>
      <c r="AD96" s="139"/>
      <c r="AE96" s="139"/>
      <c r="AF96" s="139"/>
      <c r="AG96" s="139"/>
      <c r="AH96" s="139"/>
      <c r="AI96" s="139"/>
      <c r="AJ96" s="139"/>
      <c r="AK96" s="139"/>
      <c r="AL96" s="139"/>
      <c r="AM96" s="139"/>
    </row>
    <row r="97" spans="1:39" x14ac:dyDescent="0.25">
      <c r="B97" s="127" t="s">
        <v>173</v>
      </c>
      <c r="C97" s="127" t="s">
        <v>57</v>
      </c>
      <c r="D97" s="141" t="s">
        <v>174</v>
      </c>
      <c r="E97" s="294">
        <v>0.12</v>
      </c>
      <c r="F97" s="156"/>
      <c r="G97" s="156"/>
      <c r="H97" s="156"/>
      <c r="I97" s="156"/>
      <c r="J97" s="156"/>
      <c r="K97" s="156"/>
      <c r="L97" s="156"/>
      <c r="M97" s="156"/>
      <c r="N97" s="156"/>
      <c r="O97" s="156"/>
      <c r="P97" s="156"/>
      <c r="Q97" s="156"/>
      <c r="R97" s="156"/>
      <c r="S97" s="156"/>
      <c r="T97" s="156"/>
      <c r="U97" s="156"/>
      <c r="V97" s="156"/>
      <c r="W97" s="156"/>
      <c r="X97" s="156"/>
      <c r="Y97" s="156"/>
      <c r="Z97" s="156"/>
      <c r="AA97" s="156"/>
      <c r="AB97" s="156"/>
      <c r="AC97" s="156"/>
      <c r="AD97" s="156"/>
      <c r="AE97" s="156"/>
      <c r="AF97" s="156"/>
      <c r="AG97" s="156"/>
      <c r="AH97" s="156"/>
      <c r="AI97" s="156"/>
      <c r="AJ97" s="156"/>
      <c r="AK97" s="156"/>
      <c r="AL97" s="156"/>
      <c r="AM97" s="156"/>
    </row>
    <row r="98" spans="1:39" s="117" customFormat="1" x14ac:dyDescent="0.25">
      <c r="D98" s="141"/>
      <c r="E98" s="154"/>
      <c r="F98" s="180"/>
      <c r="G98" s="180"/>
      <c r="H98" s="180"/>
      <c r="I98" s="180"/>
      <c r="J98" s="180"/>
      <c r="K98" s="180"/>
      <c r="L98" s="180"/>
      <c r="M98" s="180"/>
      <c r="N98" s="180"/>
      <c r="O98" s="180"/>
      <c r="P98" s="180"/>
      <c r="Q98" s="180"/>
      <c r="R98" s="180"/>
      <c r="S98" s="180"/>
      <c r="T98" s="180"/>
      <c r="U98" s="180"/>
      <c r="V98" s="180"/>
      <c r="W98" s="180"/>
      <c r="X98" s="180"/>
      <c r="Y98" s="180"/>
      <c r="Z98" s="180"/>
      <c r="AA98" s="180"/>
      <c r="AB98" s="180"/>
      <c r="AC98" s="180"/>
      <c r="AD98" s="180"/>
      <c r="AE98" s="180"/>
      <c r="AF98" s="180"/>
      <c r="AG98" s="180"/>
      <c r="AH98" s="180"/>
      <c r="AI98" s="180"/>
      <c r="AJ98" s="180"/>
      <c r="AK98" s="180"/>
      <c r="AL98" s="180"/>
      <c r="AM98" s="180"/>
    </row>
    <row r="100" spans="1:39" ht="13" x14ac:dyDescent="0.3">
      <c r="A100" s="126" t="s">
        <v>76</v>
      </c>
      <c r="B100" s="126"/>
      <c r="C100" s="138"/>
      <c r="D100" s="138"/>
      <c r="E100" s="138"/>
      <c r="F100" s="138"/>
      <c r="G100" s="138"/>
      <c r="H100" s="138"/>
      <c r="I100" s="138"/>
      <c r="J100" s="138"/>
      <c r="K100" s="138"/>
      <c r="L100" s="138"/>
      <c r="M100" s="138"/>
      <c r="N100" s="138"/>
      <c r="O100" s="138"/>
      <c r="P100" s="138"/>
      <c r="Q100" s="138"/>
      <c r="R100" s="138"/>
      <c r="S100" s="138"/>
      <c r="T100" s="138"/>
      <c r="U100" s="138"/>
      <c r="V100" s="138"/>
      <c r="W100" s="138"/>
      <c r="X100" s="138"/>
      <c r="Y100" s="138"/>
      <c r="Z100" s="138"/>
      <c r="AA100" s="138"/>
      <c r="AB100" s="138"/>
      <c r="AC100" s="138"/>
      <c r="AD100" s="138"/>
      <c r="AE100" s="138"/>
      <c r="AF100" s="138"/>
      <c r="AG100" s="138"/>
      <c r="AH100" s="138"/>
      <c r="AI100" s="138"/>
      <c r="AJ100" s="138"/>
      <c r="AK100" s="138"/>
      <c r="AL100" s="138"/>
      <c r="AM100" s="138"/>
    </row>
  </sheetData>
  <phoneticPr fontId="17" type="noConversion"/>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expression" priority="2" stopIfTrue="1" id="{BD631B5A-0387-415E-A487-8639D338837B}">
            <xm:f>Disclaimer!$F$18&lt;&gt;"I ACCEPT"</xm:f>
            <x14:dxf>
              <numFmt numFmtId="175" formatCode=";;;"/>
            </x14:dxf>
          </x14:cfRule>
          <xm:sqref>A2:XFD1048576 A1:J1 L1:XFD1</xm:sqref>
        </x14:conditionalFormatting>
        <x14:conditionalFormatting xmlns:xm="http://schemas.microsoft.com/office/excel/2006/main">
          <x14:cfRule type="expression" priority="1" stopIfTrue="1" id="{27A3542F-952E-44C3-95D9-18B0386782DB}">
            <xm:f>Disclaimer!$F$18="I ACCEPT"</xm:f>
            <x14:dxf>
              <numFmt numFmtId="175" formatCode=";;;"/>
            </x14:dxf>
          </x14:cfRule>
          <xm:sqref>K1</xm:sqref>
        </x14:conditionalFormatting>
      </x14:conditionalFormatting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8CC0E9-D79F-4B2E-A4DF-733F8F7A0241}">
  <sheetPr codeName="Sheet6"/>
  <dimension ref="A1:AP62"/>
  <sheetViews>
    <sheetView showGridLines="0" topLeftCell="A31" zoomScale="85" zoomScaleNormal="85" workbookViewId="0">
      <selection activeCell="F51" sqref="F51"/>
    </sheetView>
  </sheetViews>
  <sheetFormatPr defaultColWidth="8.7265625" defaultRowHeight="12.5" x14ac:dyDescent="0.25"/>
  <cols>
    <col min="1" max="1" width="5.54296875" style="127" customWidth="1"/>
    <col min="2" max="2" width="14.453125" style="127" customWidth="1"/>
    <col min="3" max="3" width="25" style="127" bestFit="1" customWidth="1"/>
    <col min="4" max="4" width="19.54296875" style="127" bestFit="1" customWidth="1"/>
    <col min="5" max="5" width="2.7265625" style="127" customWidth="1"/>
    <col min="6" max="9" width="10.26953125" style="127" bestFit="1" customWidth="1"/>
    <col min="10" max="10" width="9.7265625" style="127" bestFit="1" customWidth="1"/>
    <col min="11" max="11" width="10.26953125" style="127" bestFit="1" customWidth="1"/>
    <col min="12" max="12" width="9.7265625" style="127" bestFit="1" customWidth="1"/>
    <col min="13" max="13" width="10.26953125" style="127" bestFit="1" customWidth="1"/>
    <col min="14" max="14" width="9.7265625" style="127" bestFit="1" customWidth="1"/>
    <col min="15" max="18" width="10.26953125" style="127" bestFit="1" customWidth="1"/>
    <col min="19" max="25" width="9.7265625" style="127" bestFit="1" customWidth="1"/>
    <col min="26" max="32" width="10.26953125" style="127" bestFit="1" customWidth="1"/>
    <col min="33" max="33" width="9.7265625" style="127" bestFit="1" customWidth="1"/>
    <col min="34" max="34" width="10.26953125" style="127" bestFit="1" customWidth="1"/>
    <col min="35" max="42" width="9.7265625" style="127" bestFit="1" customWidth="1"/>
    <col min="43" max="16384" width="8.7265625" style="127"/>
  </cols>
  <sheetData>
    <row r="1" spans="1:40" ht="14.5" x14ac:dyDescent="0.35">
      <c r="A1" s="2"/>
      <c r="B1" s="1"/>
      <c r="C1"/>
      <c r="D1" s="130" t="s">
        <v>54</v>
      </c>
      <c r="E1" s="322" t="str">
        <f>Intro!$C$5</f>
        <v>Aurora’s Hungarian Flexible Energy Market Forecast - Q2 2026</v>
      </c>
      <c r="F1" s="79"/>
      <c r="G1" s="117"/>
      <c r="J1" s="117"/>
      <c r="K1" s="329" t="s">
        <v>55</v>
      </c>
      <c r="L1" s="117"/>
      <c r="M1" s="117"/>
      <c r="N1" s="117"/>
      <c r="O1" s="117"/>
      <c r="P1" s="117"/>
      <c r="Q1" s="117"/>
      <c r="R1" s="117"/>
      <c r="S1" s="117"/>
      <c r="T1" s="117"/>
      <c r="U1" s="117"/>
      <c r="V1" s="117"/>
      <c r="W1" s="117"/>
      <c r="X1" s="117"/>
      <c r="Y1" s="117"/>
      <c r="Z1" s="117"/>
      <c r="AA1" s="117"/>
      <c r="AB1" s="117"/>
      <c r="AC1" s="117"/>
      <c r="AD1" s="117"/>
      <c r="AE1" s="117"/>
      <c r="AF1" s="117"/>
      <c r="AG1" s="117"/>
    </row>
    <row r="2" spans="1:40" ht="14.5" x14ac:dyDescent="0.35">
      <c r="A2" s="2"/>
      <c r="B2" s="1"/>
      <c r="C2"/>
      <c r="D2" s="130" t="s">
        <v>8</v>
      </c>
      <c r="E2" s="137" t="str">
        <f>Intro!$E$13</f>
        <v>Hungary</v>
      </c>
      <c r="F2" s="137"/>
      <c r="G2" s="117"/>
      <c r="J2" s="117"/>
      <c r="K2" s="117"/>
      <c r="L2" s="117"/>
      <c r="M2" s="117"/>
      <c r="N2" s="117"/>
      <c r="O2" s="117"/>
      <c r="P2" s="117"/>
      <c r="Q2" s="117"/>
      <c r="R2" s="117"/>
      <c r="S2" s="117"/>
      <c r="T2" s="117"/>
      <c r="U2" s="117"/>
      <c r="V2" s="117"/>
      <c r="W2" s="117"/>
      <c r="X2" s="117"/>
      <c r="Y2" s="117"/>
      <c r="Z2" s="117"/>
      <c r="AA2" s="117"/>
      <c r="AB2" s="117"/>
      <c r="AC2" s="117"/>
      <c r="AD2" s="117"/>
      <c r="AE2" s="117"/>
      <c r="AF2" s="117"/>
      <c r="AG2" s="117"/>
    </row>
    <row r="3" spans="1:40" ht="14.5" x14ac:dyDescent="0.35">
      <c r="A3" s="2"/>
      <c r="B3" s="1"/>
      <c r="C3"/>
      <c r="D3" s="130" t="s">
        <v>10</v>
      </c>
      <c r="E3" s="136" t="s">
        <v>445</v>
      </c>
      <c r="F3" s="117"/>
      <c r="G3" s="117"/>
      <c r="J3" s="117"/>
      <c r="K3" s="117"/>
      <c r="L3" s="117"/>
      <c r="M3" s="117"/>
      <c r="N3" s="117"/>
      <c r="O3" s="117"/>
      <c r="P3" s="117"/>
      <c r="Q3" s="117"/>
      <c r="R3" s="117"/>
      <c r="S3" s="117"/>
      <c r="T3" s="117"/>
      <c r="U3" s="117"/>
      <c r="V3" s="117"/>
      <c r="W3" s="117"/>
      <c r="X3" s="117"/>
      <c r="Y3" s="117"/>
      <c r="Z3" s="117"/>
      <c r="AA3" s="117"/>
      <c r="AB3" s="117"/>
      <c r="AC3" s="117"/>
      <c r="AD3" s="117"/>
      <c r="AE3" s="117"/>
      <c r="AF3" s="117"/>
      <c r="AG3" s="117"/>
    </row>
    <row r="4" spans="1:40" ht="14.5" x14ac:dyDescent="0.35">
      <c r="A4" s="1"/>
      <c r="B4" s="1"/>
      <c r="C4"/>
      <c r="D4" s="130" t="s">
        <v>56</v>
      </c>
      <c r="E4" s="137" t="s">
        <v>77</v>
      </c>
      <c r="F4" s="117"/>
      <c r="G4" s="117"/>
      <c r="J4" s="117"/>
      <c r="K4" s="117"/>
      <c r="L4" s="117"/>
      <c r="M4" s="117"/>
      <c r="N4" s="117"/>
      <c r="O4" s="117"/>
      <c r="P4" s="117"/>
      <c r="Q4" s="117"/>
      <c r="R4" s="117"/>
      <c r="S4" s="117"/>
      <c r="T4" s="117"/>
      <c r="U4" s="117"/>
      <c r="V4" s="117"/>
      <c r="W4" s="117"/>
      <c r="X4" s="117"/>
      <c r="Y4" s="117"/>
      <c r="Z4" s="117"/>
      <c r="AA4" s="117"/>
      <c r="AB4" s="117"/>
      <c r="AC4" s="117"/>
      <c r="AD4" s="117"/>
      <c r="AE4" s="117"/>
      <c r="AF4" s="117"/>
      <c r="AG4" s="117"/>
    </row>
    <row r="5" spans="1:40" ht="14.15" customHeight="1" x14ac:dyDescent="0.35">
      <c r="A5" s="2"/>
      <c r="B5" s="2"/>
      <c r="C5" s="1"/>
      <c r="D5" s="117"/>
      <c r="E5" s="117"/>
      <c r="F5" s="117"/>
      <c r="G5" s="117"/>
      <c r="H5" s="117"/>
      <c r="I5" s="117"/>
      <c r="J5" s="117"/>
      <c r="K5" s="117"/>
      <c r="L5" s="117"/>
      <c r="M5" s="117"/>
      <c r="N5" s="117"/>
      <c r="O5" s="117"/>
      <c r="P5" s="117"/>
      <c r="Q5" s="117"/>
      <c r="R5" s="117"/>
      <c r="S5" s="117"/>
      <c r="T5" s="117"/>
      <c r="U5" s="117"/>
      <c r="V5" s="117"/>
      <c r="W5" s="117"/>
      <c r="X5" s="117"/>
      <c r="Y5" s="117"/>
      <c r="Z5" s="117"/>
      <c r="AA5" s="117"/>
      <c r="AB5" s="117"/>
      <c r="AC5" s="117"/>
      <c r="AD5" s="117"/>
      <c r="AE5" s="117"/>
      <c r="AF5" s="117"/>
      <c r="AG5" s="117"/>
    </row>
    <row r="6" spans="1:40" ht="13" x14ac:dyDescent="0.3">
      <c r="A6" s="126" t="s">
        <v>175</v>
      </c>
      <c r="B6" s="126"/>
      <c r="C6" s="126"/>
      <c r="D6" s="126"/>
      <c r="E6" s="126"/>
      <c r="F6" s="126"/>
      <c r="G6" s="126"/>
      <c r="H6" s="126"/>
      <c r="I6" s="126"/>
      <c r="J6" s="126"/>
      <c r="K6" s="126"/>
      <c r="L6" s="126"/>
      <c r="M6" s="126"/>
      <c r="N6" s="126"/>
      <c r="O6" s="126"/>
      <c r="P6" s="126"/>
      <c r="Q6" s="126"/>
      <c r="R6" s="126"/>
      <c r="S6" s="126"/>
      <c r="T6" s="126"/>
      <c r="U6" s="126"/>
      <c r="V6" s="126"/>
      <c r="W6" s="126"/>
      <c r="X6" s="126"/>
      <c r="Y6" s="126"/>
      <c r="Z6" s="126"/>
      <c r="AA6" s="126"/>
      <c r="AB6" s="126"/>
      <c r="AC6" s="126"/>
      <c r="AD6" s="126"/>
      <c r="AE6" s="126"/>
      <c r="AF6" s="126"/>
      <c r="AG6" s="126"/>
      <c r="AH6" s="126"/>
      <c r="AI6" s="126"/>
      <c r="AJ6" s="126"/>
      <c r="AK6" s="126"/>
      <c r="AL6" s="126"/>
      <c r="AM6" s="126"/>
      <c r="AN6" s="126"/>
    </row>
    <row r="7" spans="1:40" ht="13" x14ac:dyDescent="0.3">
      <c r="A7" s="129"/>
      <c r="B7" s="129" t="s">
        <v>132</v>
      </c>
      <c r="C7" s="129" t="s">
        <v>59</v>
      </c>
      <c r="D7" s="129" t="s">
        <v>60</v>
      </c>
      <c r="E7" s="129"/>
      <c r="F7" s="139">
        <v>2026</v>
      </c>
      <c r="G7" s="139">
        <v>2027</v>
      </c>
      <c r="H7" s="139">
        <v>2028</v>
      </c>
      <c r="I7" s="139">
        <v>2029</v>
      </c>
      <c r="J7" s="139">
        <v>2030</v>
      </c>
      <c r="K7" s="139">
        <v>2031</v>
      </c>
      <c r="L7" s="139">
        <v>2032</v>
      </c>
      <c r="M7" s="139">
        <v>2033</v>
      </c>
      <c r="N7" s="139">
        <v>2034</v>
      </c>
      <c r="O7" s="139">
        <v>2035</v>
      </c>
      <c r="P7" s="139">
        <v>2036</v>
      </c>
      <c r="Q7" s="139">
        <v>2037</v>
      </c>
      <c r="R7" s="139">
        <v>2038</v>
      </c>
      <c r="S7" s="139">
        <v>2039</v>
      </c>
      <c r="T7" s="139">
        <v>2040</v>
      </c>
      <c r="U7" s="139">
        <v>2041</v>
      </c>
      <c r="V7" s="139">
        <v>2042</v>
      </c>
      <c r="W7" s="139">
        <v>2043</v>
      </c>
      <c r="X7" s="139">
        <v>2044</v>
      </c>
      <c r="Y7" s="139">
        <v>2045</v>
      </c>
      <c r="Z7" s="139">
        <v>2046</v>
      </c>
      <c r="AA7" s="139">
        <v>2047</v>
      </c>
      <c r="AB7" s="139">
        <v>2048</v>
      </c>
      <c r="AC7" s="139">
        <v>2049</v>
      </c>
      <c r="AD7" s="139">
        <v>2050</v>
      </c>
      <c r="AE7" s="139">
        <v>2051</v>
      </c>
      <c r="AF7" s="139">
        <v>2052</v>
      </c>
      <c r="AG7" s="139">
        <v>2053</v>
      </c>
      <c r="AH7" s="139">
        <v>2054</v>
      </c>
      <c r="AI7" s="139">
        <v>2055</v>
      </c>
      <c r="AJ7" s="139">
        <v>2056</v>
      </c>
      <c r="AK7" s="139">
        <v>2057</v>
      </c>
      <c r="AL7" s="139">
        <v>2058</v>
      </c>
      <c r="AM7" s="139">
        <v>2059</v>
      </c>
      <c r="AN7" s="139">
        <v>2060</v>
      </c>
    </row>
    <row r="8" spans="1:40" x14ac:dyDescent="0.25">
      <c r="B8" s="117" t="s">
        <v>142</v>
      </c>
      <c r="C8" s="117" t="s">
        <v>176</v>
      </c>
      <c r="D8" s="151" t="s">
        <v>314</v>
      </c>
      <c r="F8" s="177">
        <v>84.108405357970057</v>
      </c>
      <c r="G8" s="177">
        <v>83.771140803851395</v>
      </c>
      <c r="H8" s="177">
        <v>83.359947690568646</v>
      </c>
      <c r="I8" s="177">
        <v>82.910844472542692</v>
      </c>
      <c r="J8" s="177">
        <v>82.404084457496836</v>
      </c>
      <c r="K8" s="177">
        <v>81.414977546024559</v>
      </c>
      <c r="L8" s="177">
        <v>80.414606538346476</v>
      </c>
      <c r="M8" s="177">
        <v>79.372609957769413</v>
      </c>
      <c r="N8" s="177">
        <v>78.304296057457492</v>
      </c>
      <c r="O8" s="177">
        <v>77.221257188766543</v>
      </c>
      <c r="P8" s="177">
        <v>76.112001043308965</v>
      </c>
      <c r="Q8" s="177">
        <v>74.804035515664907</v>
      </c>
      <c r="R8" s="177">
        <v>73.63261601892421</v>
      </c>
      <c r="S8" s="177">
        <v>72.558254217954811</v>
      </c>
      <c r="T8" s="177">
        <v>71.677440658250489</v>
      </c>
      <c r="U8" s="177">
        <v>70.865641611879795</v>
      </c>
      <c r="V8" s="177">
        <v>70.114095600764443</v>
      </c>
      <c r="W8" s="177">
        <v>69.415516132177174</v>
      </c>
      <c r="X8" s="177">
        <v>68.763787163566519</v>
      </c>
      <c r="Y8" s="177">
        <v>68.153732172401078</v>
      </c>
      <c r="Z8" s="177">
        <v>67.580936649206166</v>
      </c>
      <c r="AA8" s="177">
        <v>67.041609970387384</v>
      </c>
      <c r="AB8" s="177">
        <v>66.532476708983893</v>
      </c>
      <c r="AC8" s="177">
        <v>66.050690234203699</v>
      </c>
      <c r="AD8" s="177">
        <v>65.681554743030091</v>
      </c>
      <c r="AE8" s="177">
        <v>65.333809178426293</v>
      </c>
      <c r="AF8" s="177">
        <v>65.005596265571626</v>
      </c>
      <c r="AG8" s="177">
        <v>64.69527230142333</v>
      </c>
      <c r="AH8" s="177">
        <v>64.401376800753312</v>
      </c>
      <c r="AI8" s="177">
        <v>64.122607243518829</v>
      </c>
      <c r="AJ8" s="177">
        <v>63.857797940357649</v>
      </c>
      <c r="AK8" s="177">
        <v>63.605902245517036</v>
      </c>
      <c r="AL8" s="177">
        <v>63.36597750839644</v>
      </c>
      <c r="AM8" s="177">
        <v>63.137172279234278</v>
      </c>
      <c r="AN8" s="177">
        <v>62.857403488282721</v>
      </c>
    </row>
    <row r="9" spans="1:40" x14ac:dyDescent="0.25">
      <c r="B9" s="117"/>
      <c r="C9" s="117" t="s">
        <v>177</v>
      </c>
      <c r="D9" s="151" t="s">
        <v>314</v>
      </c>
      <c r="F9" s="177">
        <v>61.229363166734991</v>
      </c>
      <c r="G9" s="177">
        <v>59.161555459576078</v>
      </c>
      <c r="H9" s="177">
        <v>57.586025244765409</v>
      </c>
      <c r="I9" s="177">
        <v>56.331284439791901</v>
      </c>
      <c r="J9" s="177">
        <v>55.300465789839137</v>
      </c>
      <c r="K9" s="177">
        <v>54.237453057070752</v>
      </c>
      <c r="L9" s="177">
        <v>53.347646434315692</v>
      </c>
      <c r="M9" s="177">
        <v>52.588562189924971</v>
      </c>
      <c r="N9" s="177">
        <v>51.931182270402523</v>
      </c>
      <c r="O9" s="177">
        <v>51.354869321927445</v>
      </c>
      <c r="P9" s="177">
        <v>50.844462623479899</v>
      </c>
      <c r="Q9" s="177">
        <v>50.388524330137024</v>
      </c>
      <c r="R9" s="177">
        <v>49.978231144228452</v>
      </c>
      <c r="S9" s="177">
        <v>49.606646931075439</v>
      </c>
      <c r="T9" s="177">
        <v>49.268229878588613</v>
      </c>
      <c r="U9" s="177">
        <v>48.95848933128655</v>
      </c>
      <c r="V9" s="177">
        <v>48.673741126120397</v>
      </c>
      <c r="W9" s="177">
        <v>48.410929511134718</v>
      </c>
      <c r="X9" s="177">
        <v>48.16749514033139</v>
      </c>
      <c r="Y9" s="177">
        <v>47.941275623063831</v>
      </c>
      <c r="Z9" s="177">
        <v>47.730429504085578</v>
      </c>
      <c r="AA9" s="177">
        <v>47.533377389750541</v>
      </c>
      <c r="AB9" s="177">
        <v>47.348755810762967</v>
      </c>
      <c r="AC9" s="177">
        <v>47.175380675244114</v>
      </c>
      <c r="AD9" s="177">
        <v>47.01221803293253</v>
      </c>
      <c r="AE9" s="177">
        <v>46.858360476399916</v>
      </c>
      <c r="AF9" s="177">
        <v>46.713007933888917</v>
      </c>
      <c r="AG9" s="177">
        <v>46.575451916432328</v>
      </c>
      <c r="AH9" s="177">
        <v>46.445062506128608</v>
      </c>
      <c r="AI9" s="177">
        <v>46.321277537593225</v>
      </c>
      <c r="AJ9" s="177">
        <v>46.20359354759205</v>
      </c>
      <c r="AK9" s="177">
        <v>46.091558160394008</v>
      </c>
      <c r="AL9" s="177">
        <v>45.984763646666494</v>
      </c>
      <c r="AM9" s="177">
        <v>45.88284144760334</v>
      </c>
      <c r="AN9" s="177">
        <v>45.785457497603829</v>
      </c>
    </row>
    <row r="10" spans="1:40" x14ac:dyDescent="0.25">
      <c r="B10" s="117"/>
      <c r="C10" s="127" t="s">
        <v>178</v>
      </c>
      <c r="D10" s="151" t="s">
        <v>314</v>
      </c>
      <c r="F10" s="177">
        <v>42.237225342913831</v>
      </c>
      <c r="G10" s="177">
        <v>41.343186524420801</v>
      </c>
      <c r="H10" s="177">
        <v>40.654052776000142</v>
      </c>
      <c r="I10" s="177">
        <v>40.100129799702579</v>
      </c>
      <c r="J10" s="177">
        <v>39.641569054327604</v>
      </c>
      <c r="K10" s="177">
        <v>39.165296361667835</v>
      </c>
      <c r="L10" s="177">
        <v>38.763913206950043</v>
      </c>
      <c r="M10" s="177">
        <v>38.41949716911968</v>
      </c>
      <c r="N10" s="177">
        <v>38.119708749290915</v>
      </c>
      <c r="O10" s="177">
        <v>37.85571000341308</v>
      </c>
      <c r="P10" s="177">
        <v>37.620967035724277</v>
      </c>
      <c r="Q10" s="177">
        <v>37.410522001952465</v>
      </c>
      <c r="R10" s="177">
        <v>37.22053024211128</v>
      </c>
      <c r="S10" s="177">
        <v>37.047954814550529</v>
      </c>
      <c r="T10" s="177">
        <v>36.890358462423528</v>
      </c>
      <c r="U10" s="177">
        <v>36.745758067021285</v>
      </c>
      <c r="V10" s="177">
        <v>36.612520415388076</v>
      </c>
      <c r="W10" s="177">
        <v>36.489286016167036</v>
      </c>
      <c r="X10" s="177">
        <v>36.374912404679613</v>
      </c>
      <c r="Y10" s="177">
        <v>36.268431271084566</v>
      </c>
      <c r="Z10" s="177">
        <v>36.169015573901035</v>
      </c>
      <c r="AA10" s="177">
        <v>36.075953986028026</v>
      </c>
      <c r="AB10" s="177">
        <v>35.988630805506716</v>
      </c>
      <c r="AC10" s="177">
        <v>35.906509994067271</v>
      </c>
      <c r="AD10" s="177">
        <v>35.829122371943356</v>
      </c>
      <c r="AE10" s="177">
        <v>35.756055253233129</v>
      </c>
      <c r="AF10" s="177">
        <v>35.686943987859422</v>
      </c>
      <c r="AG10" s="177">
        <v>35.621465007158271</v>
      </c>
      <c r="AH10" s="177">
        <v>35.559330065711293</v>
      </c>
      <c r="AI10" s="177">
        <v>35.500281442624015</v>
      </c>
      <c r="AJ10" s="177">
        <v>35.444087918150366</v>
      </c>
      <c r="AK10" s="177">
        <v>35.390541381307692</v>
      </c>
      <c r="AL10" s="177">
        <v>35.339453954386229</v>
      </c>
      <c r="AM10" s="177">
        <v>35.290655543499966</v>
      </c>
      <c r="AN10" s="177">
        <v>35.243991742327431</v>
      </c>
    </row>
    <row r="11" spans="1:40" x14ac:dyDescent="0.25">
      <c r="B11" s="117"/>
      <c r="C11" s="117" t="s">
        <v>179</v>
      </c>
      <c r="D11" s="151" t="s">
        <v>314</v>
      </c>
      <c r="F11" s="177">
        <v>53.565502333585584</v>
      </c>
      <c r="G11" s="177">
        <v>52.924726824008957</v>
      </c>
      <c r="H11" s="177">
        <v>52.426663571408838</v>
      </c>
      <c r="I11" s="177">
        <v>52.023638871686238</v>
      </c>
      <c r="J11" s="177">
        <v>51.688151832359821</v>
      </c>
      <c r="K11" s="177">
        <v>51.337904151794795</v>
      </c>
      <c r="L11" s="177">
        <v>51.041280271158882</v>
      </c>
      <c r="M11" s="177">
        <v>50.785682469989098</v>
      </c>
      <c r="N11" s="177">
        <v>50.562386519005827</v>
      </c>
      <c r="O11" s="177">
        <v>50.365111354795786</v>
      </c>
      <c r="P11" s="177">
        <v>50.189191690575768</v>
      </c>
      <c r="Q11" s="177">
        <v>50.031072570492668</v>
      </c>
      <c r="R11" s="177">
        <v>49.887986575223998</v>
      </c>
      <c r="S11" s="177">
        <v>49.757739927041314</v>
      </c>
      <c r="T11" s="177">
        <v>49.638566269802332</v>
      </c>
      <c r="U11" s="177">
        <v>49.529024009795179</v>
      </c>
      <c r="V11" s="177">
        <v>49.427922555735314</v>
      </c>
      <c r="W11" s="177">
        <v>49.334268241045066</v>
      </c>
      <c r="X11" s="177">
        <v>49.247223963436333</v>
      </c>
      <c r="Y11" s="177">
        <v>49.166078581367152</v>
      </c>
      <c r="Z11" s="177">
        <v>49.090223377530975</v>
      </c>
      <c r="AA11" s="177">
        <v>49.019133725109626</v>
      </c>
      <c r="AB11" s="177">
        <v>48.952354640967926</v>
      </c>
      <c r="AC11" s="177">
        <v>48.889489281663387</v>
      </c>
      <c r="AD11" s="177">
        <v>48.830189694644986</v>
      </c>
      <c r="AE11" s="177">
        <v>48.77414931695688</v>
      </c>
      <c r="AF11" s="177">
        <v>48.721096841906707</v>
      </c>
      <c r="AG11" s="177">
        <v>48.670791166681937</v>
      </c>
      <c r="AH11" s="177">
        <v>48.623017201554568</v>
      </c>
      <c r="AI11" s="177">
        <v>48.577582371372188</v>
      </c>
      <c r="AJ11" s="177">
        <v>48.534313677473094</v>
      </c>
      <c r="AK11" s="177">
        <v>48.493055216450927</v>
      </c>
      <c r="AL11" s="177">
        <v>48.453666073767288</v>
      </c>
      <c r="AM11" s="177">
        <v>48.416018526810078</v>
      </c>
      <c r="AN11" s="177">
        <v>48.379996504871208</v>
      </c>
    </row>
    <row r="12" spans="1:40" x14ac:dyDescent="0.25">
      <c r="B12" s="117"/>
      <c r="C12" s="117" t="s">
        <v>180</v>
      </c>
      <c r="D12" s="151" t="s">
        <v>314</v>
      </c>
      <c r="F12" s="177">
        <v>92.553764491904388</v>
      </c>
      <c r="G12" s="177">
        <v>92.553764491904388</v>
      </c>
      <c r="H12" s="177">
        <v>92.553764491904388</v>
      </c>
      <c r="I12" s="177">
        <v>92.553764491904388</v>
      </c>
      <c r="J12" s="177">
        <v>92.553764491904388</v>
      </c>
      <c r="K12" s="177">
        <v>92.553764491904388</v>
      </c>
      <c r="L12" s="177">
        <v>92.553764491904388</v>
      </c>
      <c r="M12" s="177">
        <v>92.553764491904388</v>
      </c>
      <c r="N12" s="177">
        <v>92.553764491904388</v>
      </c>
      <c r="O12" s="177">
        <v>92.553764491904388</v>
      </c>
      <c r="P12" s="177">
        <v>92.553764491904388</v>
      </c>
      <c r="Q12" s="177">
        <v>92.553764491904388</v>
      </c>
      <c r="R12" s="177">
        <v>92.553764491904388</v>
      </c>
      <c r="S12" s="177">
        <v>92.553764491904388</v>
      </c>
      <c r="T12" s="177">
        <v>92.553764491904388</v>
      </c>
      <c r="U12" s="177">
        <v>92.553764491904388</v>
      </c>
      <c r="V12" s="177">
        <v>92.553764491904388</v>
      </c>
      <c r="W12" s="177">
        <v>92.553764491904388</v>
      </c>
      <c r="X12" s="177">
        <v>92.553764491904388</v>
      </c>
      <c r="Y12" s="177">
        <v>92.553764491904388</v>
      </c>
      <c r="Z12" s="177">
        <v>92.553764491904388</v>
      </c>
      <c r="AA12" s="177">
        <v>92.553764491904388</v>
      </c>
      <c r="AB12" s="177">
        <v>92.553764491904388</v>
      </c>
      <c r="AC12" s="177">
        <v>92.553764491904388</v>
      </c>
      <c r="AD12" s="177">
        <v>92.553764491904388</v>
      </c>
      <c r="AE12" s="177">
        <v>92.553764491904388</v>
      </c>
      <c r="AF12" s="177">
        <v>92.553764491904388</v>
      </c>
      <c r="AG12" s="177">
        <v>92.553764491904388</v>
      </c>
      <c r="AH12" s="177">
        <v>92.553764491904388</v>
      </c>
      <c r="AI12" s="177">
        <v>92.553764491904388</v>
      </c>
      <c r="AJ12" s="177">
        <v>92.553764491904388</v>
      </c>
      <c r="AK12" s="177">
        <v>92.553764491904388</v>
      </c>
      <c r="AL12" s="177">
        <v>92.553764491904388</v>
      </c>
      <c r="AM12" s="177">
        <v>92.553764491904388</v>
      </c>
      <c r="AN12" s="177">
        <v>92.553764491904388</v>
      </c>
    </row>
    <row r="13" spans="1:40" x14ac:dyDescent="0.25">
      <c r="B13" s="117"/>
      <c r="C13" s="117" t="s">
        <v>181</v>
      </c>
      <c r="D13" s="151" t="s">
        <v>314</v>
      </c>
      <c r="F13" s="177">
        <v>68.217304329421296</v>
      </c>
      <c r="G13" s="177">
        <v>67.17871049199519</v>
      </c>
      <c r="H13" s="177">
        <v>66.338449052303318</v>
      </c>
      <c r="I13" s="177">
        <v>65.633044163003419</v>
      </c>
      <c r="J13" s="177">
        <v>65.148990342259026</v>
      </c>
      <c r="K13" s="177">
        <v>64.648135200559253</v>
      </c>
      <c r="L13" s="177">
        <v>64.216514749089029</v>
      </c>
      <c r="M13" s="177">
        <v>63.838063994419336</v>
      </c>
      <c r="N13" s="177">
        <v>63.501646071844725</v>
      </c>
      <c r="O13" s="177">
        <v>63.199233856689141</v>
      </c>
      <c r="P13" s="177">
        <v>62.924857800458874</v>
      </c>
      <c r="Q13" s="177">
        <v>62.673962987973098</v>
      </c>
      <c r="R13" s="177">
        <v>62.442998411848833</v>
      </c>
      <c r="S13" s="177">
        <v>62.229144728611665</v>
      </c>
      <c r="T13" s="177">
        <v>62.056412832939579</v>
      </c>
      <c r="U13" s="177">
        <v>61.89599203687709</v>
      </c>
      <c r="V13" s="177">
        <v>61.746378148088006</v>
      </c>
      <c r="W13" s="177">
        <v>61.606315355899625</v>
      </c>
      <c r="X13" s="177">
        <v>61.47474534979952</v>
      </c>
      <c r="Y13" s="177">
        <v>61.350768734793</v>
      </c>
      <c r="Z13" s="177">
        <v>61.233615354201241</v>
      </c>
      <c r="AA13" s="177">
        <v>61.122621170616007</v>
      </c>
      <c r="AB13" s="177">
        <v>61.017210046753867</v>
      </c>
      <c r="AC13" s="177">
        <v>60.91687923630402</v>
      </c>
      <c r="AD13" s="177">
        <v>60.842991252726385</v>
      </c>
      <c r="AE13" s="177">
        <v>60.773164282345988</v>
      </c>
      <c r="AF13" s="177">
        <v>60.707060273829981</v>
      </c>
      <c r="AG13" s="177">
        <v>60.644378810235366</v>
      </c>
      <c r="AH13" s="177">
        <v>60.584851887228737</v>
      </c>
      <c r="AI13" s="177">
        <v>60.528239553902914</v>
      </c>
      <c r="AJ13" s="177">
        <v>60.474326251888691</v>
      </c>
      <c r="AK13" s="177">
        <v>60.42291772370622</v>
      </c>
      <c r="AL13" s="177">
        <v>60.373838388181639</v>
      </c>
      <c r="AM13" s="177">
        <v>60.326929101436519</v>
      </c>
      <c r="AN13" s="177">
        <v>60.282045238002084</v>
      </c>
    </row>
    <row r="14" spans="1:40" x14ac:dyDescent="0.25">
      <c r="C14" s="117" t="s">
        <v>182</v>
      </c>
      <c r="D14" s="151" t="s">
        <v>314</v>
      </c>
      <c r="F14" s="178">
        <f>SUM(F8:F13)</f>
        <v>401.91156502253011</v>
      </c>
      <c r="G14" s="178">
        <f t="shared" ref="G14:AN14" si="0">SUM(G8:G13)</f>
        <v>396.93308459575678</v>
      </c>
      <c r="H14" s="178">
        <f t="shared" si="0"/>
        <v>392.91890282695067</v>
      </c>
      <c r="I14" s="178">
        <f t="shared" si="0"/>
        <v>389.55270623863123</v>
      </c>
      <c r="J14" s="178">
        <f t="shared" si="0"/>
        <v>386.7370259681868</v>
      </c>
      <c r="K14" s="178">
        <f t="shared" si="0"/>
        <v>383.35753080902151</v>
      </c>
      <c r="L14" s="178">
        <f t="shared" si="0"/>
        <v>380.33772569176449</v>
      </c>
      <c r="M14" s="178">
        <f t="shared" si="0"/>
        <v>377.55818027312688</v>
      </c>
      <c r="N14" s="178">
        <f t="shared" si="0"/>
        <v>374.97298415990588</v>
      </c>
      <c r="O14" s="178">
        <f t="shared" si="0"/>
        <v>372.54994621749643</v>
      </c>
      <c r="P14" s="178">
        <f t="shared" si="0"/>
        <v>370.24524468545218</v>
      </c>
      <c r="Q14" s="178">
        <f t="shared" si="0"/>
        <v>367.86188189812452</v>
      </c>
      <c r="R14" s="178">
        <f t="shared" si="0"/>
        <v>365.71612688424113</v>
      </c>
      <c r="S14" s="178">
        <f t="shared" si="0"/>
        <v>363.75350511113817</v>
      </c>
      <c r="T14" s="178">
        <f t="shared" si="0"/>
        <v>362.08477259390895</v>
      </c>
      <c r="U14" s="178">
        <f t="shared" si="0"/>
        <v>360.54866954876428</v>
      </c>
      <c r="V14" s="178">
        <f t="shared" si="0"/>
        <v>359.12842233800063</v>
      </c>
      <c r="W14" s="178">
        <f t="shared" si="0"/>
        <v>357.81007974832801</v>
      </c>
      <c r="X14" s="178">
        <f t="shared" si="0"/>
        <v>356.5819285137178</v>
      </c>
      <c r="Y14" s="178">
        <f t="shared" si="0"/>
        <v>355.434050874614</v>
      </c>
      <c r="Z14" s="178">
        <f t="shared" si="0"/>
        <v>354.35798495082935</v>
      </c>
      <c r="AA14" s="178">
        <f t="shared" si="0"/>
        <v>353.34646073379594</v>
      </c>
      <c r="AB14" s="178">
        <f t="shared" si="0"/>
        <v>352.39319250487978</v>
      </c>
      <c r="AC14" s="178">
        <f t="shared" si="0"/>
        <v>351.49271391338686</v>
      </c>
      <c r="AD14" s="178">
        <f t="shared" si="0"/>
        <v>350.74984058718178</v>
      </c>
      <c r="AE14" s="178">
        <f t="shared" si="0"/>
        <v>350.04930299926662</v>
      </c>
      <c r="AF14" s="178">
        <f t="shared" si="0"/>
        <v>349.38746979496108</v>
      </c>
      <c r="AG14" s="178">
        <f t="shared" si="0"/>
        <v>348.76112369383566</v>
      </c>
      <c r="AH14" s="178">
        <f t="shared" si="0"/>
        <v>348.16740295328094</v>
      </c>
      <c r="AI14" s="178">
        <f t="shared" si="0"/>
        <v>347.6037526409155</v>
      </c>
      <c r="AJ14" s="178">
        <f t="shared" si="0"/>
        <v>347.06788382736624</v>
      </c>
      <c r="AK14" s="178">
        <f t="shared" si="0"/>
        <v>346.55773921928028</v>
      </c>
      <c r="AL14" s="178">
        <f t="shared" si="0"/>
        <v>346.07146406330253</v>
      </c>
      <c r="AM14" s="178">
        <f t="shared" si="0"/>
        <v>345.60738139048857</v>
      </c>
      <c r="AN14" s="178">
        <f t="shared" si="0"/>
        <v>345.10265896299165</v>
      </c>
    </row>
    <row r="15" spans="1:40" x14ac:dyDescent="0.25">
      <c r="D15" s="151"/>
      <c r="F15" s="178"/>
      <c r="G15" s="178"/>
      <c r="H15" s="178"/>
      <c r="I15" s="178"/>
      <c r="J15" s="178"/>
      <c r="K15" s="178"/>
      <c r="L15" s="178"/>
      <c r="M15" s="178"/>
      <c r="N15" s="178"/>
      <c r="O15" s="178"/>
      <c r="P15" s="178"/>
      <c r="Q15" s="178"/>
      <c r="R15" s="178"/>
      <c r="S15" s="178"/>
      <c r="T15" s="178"/>
      <c r="U15" s="178"/>
      <c r="V15" s="178"/>
      <c r="W15" s="178"/>
      <c r="X15" s="178"/>
      <c r="Y15" s="178"/>
      <c r="Z15" s="178"/>
      <c r="AA15" s="178"/>
      <c r="AB15" s="178"/>
      <c r="AC15" s="178"/>
      <c r="AD15" s="178"/>
      <c r="AE15" s="178"/>
      <c r="AF15" s="178"/>
      <c r="AG15" s="178"/>
      <c r="AH15" s="178"/>
      <c r="AI15" s="178"/>
      <c r="AJ15" s="178"/>
      <c r="AK15" s="178"/>
      <c r="AL15" s="178"/>
      <c r="AM15" s="178"/>
      <c r="AN15" s="178"/>
    </row>
    <row r="16" spans="1:40" x14ac:dyDescent="0.25">
      <c r="B16" s="117" t="s">
        <v>143</v>
      </c>
      <c r="C16" s="117" t="s">
        <v>176</v>
      </c>
      <c r="D16" s="151" t="s">
        <v>314</v>
      </c>
      <c r="F16" s="177">
        <v>156.71208355207639</v>
      </c>
      <c r="G16" s="177">
        <v>156.08368701121645</v>
      </c>
      <c r="H16" s="177">
        <v>155.31754563390049</v>
      </c>
      <c r="I16" s="177">
        <v>154.48076956226714</v>
      </c>
      <c r="J16" s="177">
        <v>153.53656645342542</v>
      </c>
      <c r="K16" s="177">
        <v>151.69364713646928</v>
      </c>
      <c r="L16" s="177">
        <v>149.82974038100173</v>
      </c>
      <c r="M16" s="177">
        <v>147.88827621340297</v>
      </c>
      <c r="N16" s="177">
        <v>145.89777720806586</v>
      </c>
      <c r="O16" s="177">
        <v>143.87984241358154</v>
      </c>
      <c r="P16" s="177">
        <v>141.81305918296678</v>
      </c>
      <c r="Q16" s="177">
        <v>139.37603755380843</v>
      </c>
      <c r="R16" s="177">
        <v>137.19343060428355</v>
      </c>
      <c r="S16" s="177">
        <v>135.19166305677032</v>
      </c>
      <c r="T16" s="177">
        <v>133.55051759009896</v>
      </c>
      <c r="U16" s="177">
        <v>132.03796103358255</v>
      </c>
      <c r="V16" s="177">
        <v>130.63766886556584</v>
      </c>
      <c r="W16" s="177">
        <v>129.33606477994468</v>
      </c>
      <c r="X16" s="177">
        <v>128.12175327151064</v>
      </c>
      <c r="Y16" s="177">
        <v>126.98508936330799</v>
      </c>
      <c r="Z16" s="177">
        <v>125.91784787291076</v>
      </c>
      <c r="AA16" s="177">
        <v>124.91296605172778</v>
      </c>
      <c r="AB16" s="177">
        <v>123.9643410735151</v>
      </c>
      <c r="AC16" s="177">
        <v>123.06666905169195</v>
      </c>
      <c r="AD16" s="177">
        <v>122.37889008728723</v>
      </c>
      <c r="AE16" s="177">
        <v>121.73096516535919</v>
      </c>
      <c r="AF16" s="177">
        <v>121.11943378269605</v>
      </c>
      <c r="AG16" s="177">
        <v>120.54123336633053</v>
      </c>
      <c r="AH16" s="177">
        <v>119.99364271756529</v>
      </c>
      <c r="AI16" s="177">
        <v>119.47423496088304</v>
      </c>
      <c r="AJ16" s="177">
        <v>118.9808381658096</v>
      </c>
      <c r="AK16" s="177">
        <v>118.51150220576775</v>
      </c>
      <c r="AL16" s="177">
        <v>118.06447071955861</v>
      </c>
      <c r="AM16" s="177">
        <v>117.63815727279898</v>
      </c>
      <c r="AN16" s="177">
        <v>117.11688772837871</v>
      </c>
    </row>
    <row r="17" spans="1:40" x14ac:dyDescent="0.25">
      <c r="B17" s="117"/>
      <c r="C17" s="117" t="s">
        <v>177</v>
      </c>
      <c r="D17" s="151" t="s">
        <v>314</v>
      </c>
      <c r="F17" s="177">
        <v>61.229363166734991</v>
      </c>
      <c r="G17" s="177">
        <v>59.161555459576078</v>
      </c>
      <c r="H17" s="177">
        <v>57.586025244765409</v>
      </c>
      <c r="I17" s="177">
        <v>56.331284439791901</v>
      </c>
      <c r="J17" s="177">
        <v>55.300465789839137</v>
      </c>
      <c r="K17" s="177">
        <v>54.237453057070752</v>
      </c>
      <c r="L17" s="177">
        <v>53.347646434315692</v>
      </c>
      <c r="M17" s="177">
        <v>52.588562189924971</v>
      </c>
      <c r="N17" s="177">
        <v>51.931182270402523</v>
      </c>
      <c r="O17" s="177">
        <v>51.354869321927445</v>
      </c>
      <c r="P17" s="177">
        <v>50.844462623479899</v>
      </c>
      <c r="Q17" s="177">
        <v>50.388524330137024</v>
      </c>
      <c r="R17" s="177">
        <v>49.978231144228452</v>
      </c>
      <c r="S17" s="177">
        <v>49.606646931075439</v>
      </c>
      <c r="T17" s="177">
        <v>49.268229878588613</v>
      </c>
      <c r="U17" s="177">
        <v>48.95848933128655</v>
      </c>
      <c r="V17" s="177">
        <v>48.673741126120397</v>
      </c>
      <c r="W17" s="177">
        <v>48.410929511134718</v>
      </c>
      <c r="X17" s="177">
        <v>48.16749514033139</v>
      </c>
      <c r="Y17" s="177">
        <v>47.941275623063831</v>
      </c>
      <c r="Z17" s="177">
        <v>47.730429504085578</v>
      </c>
      <c r="AA17" s="177">
        <v>47.533377389750541</v>
      </c>
      <c r="AB17" s="177">
        <v>47.348755810762967</v>
      </c>
      <c r="AC17" s="177">
        <v>47.175380675244114</v>
      </c>
      <c r="AD17" s="177">
        <v>47.01221803293253</v>
      </c>
      <c r="AE17" s="177">
        <v>46.858360476399916</v>
      </c>
      <c r="AF17" s="177">
        <v>46.713007933888917</v>
      </c>
      <c r="AG17" s="177">
        <v>46.575451916432328</v>
      </c>
      <c r="AH17" s="177">
        <v>46.445062506128608</v>
      </c>
      <c r="AI17" s="177">
        <v>46.321277537593225</v>
      </c>
      <c r="AJ17" s="177">
        <v>46.20359354759205</v>
      </c>
      <c r="AK17" s="177">
        <v>46.091558160394008</v>
      </c>
      <c r="AL17" s="177">
        <v>45.984763646666494</v>
      </c>
      <c r="AM17" s="177">
        <v>45.88284144760334</v>
      </c>
      <c r="AN17" s="177">
        <v>45.785457497603829</v>
      </c>
    </row>
    <row r="18" spans="1:40" x14ac:dyDescent="0.25">
      <c r="B18" s="117"/>
      <c r="C18" s="127" t="s">
        <v>178</v>
      </c>
      <c r="D18" s="151" t="s">
        <v>314</v>
      </c>
      <c r="F18" s="177">
        <v>72.781659489201829</v>
      </c>
      <c r="G18" s="177">
        <v>71.241084124001986</v>
      </c>
      <c r="H18" s="177">
        <v>70.053593766553945</v>
      </c>
      <c r="I18" s="177">
        <v>69.099093722651375</v>
      </c>
      <c r="J18" s="177">
        <v>68.30891842694875</v>
      </c>
      <c r="K18" s="177">
        <v>67.488222544116923</v>
      </c>
      <c r="L18" s="177">
        <v>66.796573605196457</v>
      </c>
      <c r="M18" s="177">
        <v>66.20308834226843</v>
      </c>
      <c r="N18" s="177">
        <v>65.686503777026786</v>
      </c>
      <c r="O18" s="177">
        <v>65.231590683847458</v>
      </c>
      <c r="P18" s="177">
        <v>64.827090089807442</v>
      </c>
      <c r="Q18" s="177">
        <v>64.464458816923809</v>
      </c>
      <c r="R18" s="177">
        <v>64.137071886124019</v>
      </c>
      <c r="S18" s="177">
        <v>63.839696149366802</v>
      </c>
      <c r="T18" s="177">
        <v>63.568131813780731</v>
      </c>
      <c r="U18" s="177">
        <v>63.318961640912455</v>
      </c>
      <c r="V18" s="177">
        <v>63.089371337250704</v>
      </c>
      <c r="W18" s="177">
        <v>62.87701827644608</v>
      </c>
      <c r="X18" s="177">
        <v>62.679933804673965</v>
      </c>
      <c r="Y18" s="177">
        <v>62.496449365428262</v>
      </c>
      <c r="Z18" s="177">
        <v>62.32513983073347</v>
      </c>
      <c r="AA18" s="177">
        <v>62.164779467449485</v>
      </c>
      <c r="AB18" s="177">
        <v>62.014307320223494</v>
      </c>
      <c r="AC18" s="177">
        <v>61.872799707291108</v>
      </c>
      <c r="AD18" s="177">
        <v>61.739448155043696</v>
      </c>
      <c r="AE18" s="177">
        <v>61.613541538057142</v>
      </c>
      <c r="AF18" s="177">
        <v>61.49445150450358</v>
      </c>
      <c r="AG18" s="177">
        <v>61.381620492560927</v>
      </c>
      <c r="AH18" s="177">
        <v>61.27455180814664</v>
      </c>
      <c r="AI18" s="177">
        <v>61.172801355934091</v>
      </c>
      <c r="AJ18" s="177">
        <v>61.075970706417351</v>
      </c>
      <c r="AK18" s="177">
        <v>60.983701250276013</v>
      </c>
      <c r="AL18" s="177">
        <v>60.895669243433936</v>
      </c>
      <c r="AM18" s="177">
        <v>60.811581586257056</v>
      </c>
      <c r="AN18" s="177">
        <v>60.731172211355229</v>
      </c>
    </row>
    <row r="19" spans="1:40" x14ac:dyDescent="0.25">
      <c r="B19" s="117"/>
      <c r="C19" s="117" t="s">
        <v>179</v>
      </c>
      <c r="D19" s="151" t="s">
        <v>314</v>
      </c>
      <c r="F19" s="177">
        <v>75.232447097732546</v>
      </c>
      <c r="G19" s="177">
        <v>74.3324814943946</v>
      </c>
      <c r="H19" s="177">
        <v>73.632954454225882</v>
      </c>
      <c r="I19" s="177">
        <v>73.066908527649204</v>
      </c>
      <c r="J19" s="177">
        <v>72.595718865673902</v>
      </c>
      <c r="K19" s="177">
        <v>72.103797966003924</v>
      </c>
      <c r="L19" s="177">
        <v>71.687191392077068</v>
      </c>
      <c r="M19" s="177">
        <v>71.328205716276813</v>
      </c>
      <c r="N19" s="177">
        <v>71.014587807592434</v>
      </c>
      <c r="O19" s="177">
        <v>70.737515947746871</v>
      </c>
      <c r="P19" s="177">
        <v>70.490437767662584</v>
      </c>
      <c r="Q19" s="177">
        <v>70.268360351815545</v>
      </c>
      <c r="R19" s="177">
        <v>70.067396875314586</v>
      </c>
      <c r="S19" s="177">
        <v>69.884466189664749</v>
      </c>
      <c r="T19" s="177">
        <v>69.717087457587539</v>
      </c>
      <c r="U19" s="177">
        <v>69.563235968813444</v>
      </c>
      <c r="V19" s="177">
        <v>69.42123954457206</v>
      </c>
      <c r="W19" s="177">
        <v>69.28970258573743</v>
      </c>
      <c r="X19" s="177">
        <v>69.167449386848773</v>
      </c>
      <c r="Y19" s="177">
        <v>69.05348115360556</v>
      </c>
      <c r="Z19" s="177">
        <v>68.946942945970463</v>
      </c>
      <c r="AA19" s="177">
        <v>68.847097928524761</v>
      </c>
      <c r="AB19" s="177">
        <v>68.753307080011126</v>
      </c>
      <c r="AC19" s="177">
        <v>68.665013036044073</v>
      </c>
      <c r="AD19" s="177">
        <v>68.581727099220487</v>
      </c>
      <c r="AE19" s="177">
        <v>68.50301870359111</v>
      </c>
      <c r="AF19" s="177">
        <v>68.428506800430767</v>
      </c>
      <c r="AG19" s="177">
        <v>68.357852762193701</v>
      </c>
      <c r="AH19" s="177">
        <v>68.290754496565398</v>
      </c>
      <c r="AI19" s="177">
        <v>68.226941532826089</v>
      </c>
      <c r="AJ19" s="177">
        <v>68.16617089532734</v>
      </c>
      <c r="AK19" s="177">
        <v>68.108223618610822</v>
      </c>
      <c r="AL19" s="177">
        <v>68.05290178899898</v>
      </c>
      <c r="AM19" s="177">
        <v>68.000026020800661</v>
      </c>
      <c r="AN19" s="177">
        <v>67.94943329335841</v>
      </c>
    </row>
    <row r="20" spans="1:40" x14ac:dyDescent="0.25">
      <c r="B20" s="117"/>
      <c r="C20" s="117" t="s">
        <v>180</v>
      </c>
      <c r="D20" s="151" t="s">
        <v>314</v>
      </c>
      <c r="F20" s="177">
        <v>92.553764491904388</v>
      </c>
      <c r="G20" s="177">
        <v>92.553764491904388</v>
      </c>
      <c r="H20" s="177">
        <v>92.553764491904388</v>
      </c>
      <c r="I20" s="177">
        <v>92.553764491904388</v>
      </c>
      <c r="J20" s="177">
        <v>92.553764491904388</v>
      </c>
      <c r="K20" s="177">
        <v>92.553764491904388</v>
      </c>
      <c r="L20" s="177">
        <v>92.553764491904388</v>
      </c>
      <c r="M20" s="177">
        <v>92.553764491904388</v>
      </c>
      <c r="N20" s="177">
        <v>92.553764491904388</v>
      </c>
      <c r="O20" s="177">
        <v>92.553764491904388</v>
      </c>
      <c r="P20" s="177">
        <v>92.553764491904388</v>
      </c>
      <c r="Q20" s="177">
        <v>92.553764491904388</v>
      </c>
      <c r="R20" s="177">
        <v>92.553764491904388</v>
      </c>
      <c r="S20" s="177">
        <v>92.553764491904388</v>
      </c>
      <c r="T20" s="177">
        <v>92.553764491904388</v>
      </c>
      <c r="U20" s="177">
        <v>92.553764491904388</v>
      </c>
      <c r="V20" s="177">
        <v>92.553764491904388</v>
      </c>
      <c r="W20" s="177">
        <v>92.553764491904388</v>
      </c>
      <c r="X20" s="177">
        <v>92.553764491904388</v>
      </c>
      <c r="Y20" s="177">
        <v>92.553764491904388</v>
      </c>
      <c r="Z20" s="177">
        <v>92.553764491904388</v>
      </c>
      <c r="AA20" s="177">
        <v>92.553764491904388</v>
      </c>
      <c r="AB20" s="177">
        <v>92.553764491904388</v>
      </c>
      <c r="AC20" s="177">
        <v>92.553764491904388</v>
      </c>
      <c r="AD20" s="177">
        <v>92.553764491904388</v>
      </c>
      <c r="AE20" s="177">
        <v>92.553764491904388</v>
      </c>
      <c r="AF20" s="177">
        <v>92.553764491904388</v>
      </c>
      <c r="AG20" s="177">
        <v>92.553764491904388</v>
      </c>
      <c r="AH20" s="177">
        <v>92.553764491904388</v>
      </c>
      <c r="AI20" s="177">
        <v>92.553764491904388</v>
      </c>
      <c r="AJ20" s="177">
        <v>92.553764491904388</v>
      </c>
      <c r="AK20" s="177">
        <v>92.553764491904388</v>
      </c>
      <c r="AL20" s="177">
        <v>92.553764491904388</v>
      </c>
      <c r="AM20" s="177">
        <v>92.553764491904388</v>
      </c>
      <c r="AN20" s="177">
        <v>92.553764491904388</v>
      </c>
    </row>
    <row r="21" spans="1:40" x14ac:dyDescent="0.25">
      <c r="B21" s="117"/>
      <c r="C21" s="117" t="s">
        <v>181</v>
      </c>
      <c r="D21" s="151" t="s">
        <v>314</v>
      </c>
      <c r="F21" s="177">
        <v>86.840130474825358</v>
      </c>
      <c r="G21" s="177">
        <v>85.518008100758848</v>
      </c>
      <c r="H21" s="177">
        <v>84.448361421326254</v>
      </c>
      <c r="I21" s="177">
        <v>83.550386146188302</v>
      </c>
      <c r="J21" s="177">
        <v>82.934189165620268</v>
      </c>
      <c r="K21" s="177">
        <v>82.296604226113402</v>
      </c>
      <c r="L21" s="177">
        <v>81.747154541906042</v>
      </c>
      <c r="M21" s="177">
        <v>81.26538949362579</v>
      </c>
      <c r="N21" s="177">
        <v>80.837131933793586</v>
      </c>
      <c r="O21" s="177">
        <v>80.452163391288948</v>
      </c>
      <c r="P21" s="177">
        <v>80.102884674452753</v>
      </c>
      <c r="Q21" s="177">
        <v>79.783497409507362</v>
      </c>
      <c r="R21" s="177">
        <v>79.489481189974001</v>
      </c>
      <c r="S21" s="177">
        <v>79.217247012188878</v>
      </c>
      <c r="T21" s="177">
        <v>78.997360569815058</v>
      </c>
      <c r="U21" s="177">
        <v>78.793146067382239</v>
      </c>
      <c r="V21" s="177">
        <v>78.602688679025903</v>
      </c>
      <c r="W21" s="177">
        <v>78.424389766926225</v>
      </c>
      <c r="X21" s="177">
        <v>78.256902109525797</v>
      </c>
      <c r="Y21" s="177">
        <v>78.099080783561305</v>
      </c>
      <c r="Z21" s="177">
        <v>77.949945385202156</v>
      </c>
      <c r="AA21" s="177">
        <v>77.808650599674678</v>
      </c>
      <c r="AB21" s="177">
        <v>77.674463008422435</v>
      </c>
      <c r="AC21" s="177">
        <v>77.546742619061462</v>
      </c>
      <c r="AD21" s="177">
        <v>77.452683755295482</v>
      </c>
      <c r="AE21" s="177">
        <v>77.363794531687162</v>
      </c>
      <c r="AF21" s="177">
        <v>77.279644611357284</v>
      </c>
      <c r="AG21" s="177">
        <v>77.199851565730285</v>
      </c>
      <c r="AH21" s="177">
        <v>77.124074227245913</v>
      </c>
      <c r="AI21" s="177">
        <v>77.052007140150849</v>
      </c>
      <c r="AJ21" s="177">
        <v>76.983375900214497</v>
      </c>
      <c r="AK21" s="177">
        <v>76.917933219082926</v>
      </c>
      <c r="AL21" s="177">
        <v>76.855455583203465</v>
      </c>
      <c r="AM21" s="177">
        <v>76.795740403580481</v>
      </c>
      <c r="AN21" s="177">
        <v>76.738603573047897</v>
      </c>
    </row>
    <row r="22" spans="1:40" x14ac:dyDescent="0.25">
      <c r="C22" s="117" t="s">
        <v>182</v>
      </c>
      <c r="D22" s="151" t="s">
        <v>314</v>
      </c>
      <c r="F22" s="178">
        <f>SUM(F16:F21)</f>
        <v>545.34944827247557</v>
      </c>
      <c r="G22" s="178">
        <f t="shared" ref="G22:AN22" si="1">SUM(G16:G21)</f>
        <v>538.89058068185227</v>
      </c>
      <c r="H22" s="178">
        <f t="shared" si="1"/>
        <v>533.59224501267636</v>
      </c>
      <c r="I22" s="178">
        <f t="shared" si="1"/>
        <v>529.08220689045231</v>
      </c>
      <c r="J22" s="178">
        <f t="shared" si="1"/>
        <v>525.22962319341195</v>
      </c>
      <c r="K22" s="178">
        <f t="shared" si="1"/>
        <v>520.37348942167864</v>
      </c>
      <c r="L22" s="178">
        <f t="shared" si="1"/>
        <v>515.96207084640139</v>
      </c>
      <c r="M22" s="178">
        <f t="shared" si="1"/>
        <v>511.82728644740337</v>
      </c>
      <c r="N22" s="178">
        <f t="shared" si="1"/>
        <v>507.9209474887856</v>
      </c>
      <c r="O22" s="178">
        <f t="shared" si="1"/>
        <v>504.20974625029663</v>
      </c>
      <c r="P22" s="178">
        <f t="shared" si="1"/>
        <v>500.63169883027388</v>
      </c>
      <c r="Q22" s="178">
        <f t="shared" si="1"/>
        <v>496.83464295409658</v>
      </c>
      <c r="R22" s="178">
        <f t="shared" si="1"/>
        <v>493.41937619182903</v>
      </c>
      <c r="S22" s="178">
        <f t="shared" si="1"/>
        <v>490.29348383097056</v>
      </c>
      <c r="T22" s="178">
        <f t="shared" si="1"/>
        <v>487.65509180177531</v>
      </c>
      <c r="U22" s="178">
        <f t="shared" si="1"/>
        <v>485.22555853388161</v>
      </c>
      <c r="V22" s="178">
        <f t="shared" si="1"/>
        <v>482.97847404443934</v>
      </c>
      <c r="W22" s="178">
        <f t="shared" si="1"/>
        <v>480.89186941209346</v>
      </c>
      <c r="X22" s="178">
        <f t="shared" si="1"/>
        <v>478.947298204795</v>
      </c>
      <c r="Y22" s="178">
        <f t="shared" si="1"/>
        <v>477.1291407808713</v>
      </c>
      <c r="Z22" s="178">
        <f t="shared" si="1"/>
        <v>475.42407003080683</v>
      </c>
      <c r="AA22" s="178">
        <f t="shared" si="1"/>
        <v>473.82063592903171</v>
      </c>
      <c r="AB22" s="178">
        <f t="shared" si="1"/>
        <v>472.3089387848396</v>
      </c>
      <c r="AC22" s="178">
        <f t="shared" si="1"/>
        <v>470.88036958123701</v>
      </c>
      <c r="AD22" s="178">
        <f t="shared" si="1"/>
        <v>469.71873162168384</v>
      </c>
      <c r="AE22" s="178">
        <f t="shared" si="1"/>
        <v>468.62344490699888</v>
      </c>
      <c r="AF22" s="178">
        <f t="shared" si="1"/>
        <v>467.58880912478105</v>
      </c>
      <c r="AG22" s="178">
        <f t="shared" si="1"/>
        <v>466.60977459515215</v>
      </c>
      <c r="AH22" s="178">
        <f t="shared" si="1"/>
        <v>465.68185024755627</v>
      </c>
      <c r="AI22" s="178">
        <f t="shared" si="1"/>
        <v>464.80102701929172</v>
      </c>
      <c r="AJ22" s="178">
        <f t="shared" si="1"/>
        <v>463.96371370726524</v>
      </c>
      <c r="AK22" s="178">
        <f t="shared" si="1"/>
        <v>463.16668294603596</v>
      </c>
      <c r="AL22" s="178">
        <f t="shared" si="1"/>
        <v>462.40702547376588</v>
      </c>
      <c r="AM22" s="178">
        <f t="shared" si="1"/>
        <v>461.68211122294485</v>
      </c>
      <c r="AN22" s="178">
        <f t="shared" si="1"/>
        <v>460.87531879564852</v>
      </c>
    </row>
    <row r="23" spans="1:40" x14ac:dyDescent="0.25">
      <c r="D23" s="151"/>
      <c r="F23" s="178"/>
      <c r="G23" s="178"/>
      <c r="H23" s="178"/>
      <c r="I23" s="178"/>
      <c r="J23" s="178"/>
      <c r="K23" s="178"/>
      <c r="L23" s="178"/>
      <c r="M23" s="178"/>
      <c r="N23" s="178"/>
      <c r="O23" s="178"/>
      <c r="P23" s="178"/>
      <c r="Q23" s="178"/>
      <c r="R23" s="178"/>
      <c r="S23" s="178"/>
      <c r="T23" s="178"/>
      <c r="U23" s="178"/>
      <c r="V23" s="178"/>
      <c r="W23" s="178"/>
      <c r="X23" s="178"/>
      <c r="Y23" s="178"/>
      <c r="Z23" s="178"/>
      <c r="AA23" s="178"/>
      <c r="AB23" s="178"/>
      <c r="AC23" s="178"/>
      <c r="AD23" s="178"/>
      <c r="AE23" s="178"/>
      <c r="AF23" s="178"/>
      <c r="AG23" s="178"/>
      <c r="AH23" s="178"/>
      <c r="AI23" s="178"/>
      <c r="AJ23" s="178"/>
      <c r="AK23" s="178"/>
      <c r="AL23" s="178"/>
      <c r="AM23" s="178"/>
      <c r="AN23" s="178"/>
    </row>
    <row r="24" spans="1:40" x14ac:dyDescent="0.25">
      <c r="B24" s="117" t="s">
        <v>144</v>
      </c>
      <c r="C24" s="117" t="s">
        <v>176</v>
      </c>
      <c r="D24" s="151" t="s">
        <v>314</v>
      </c>
      <c r="F24" s="177">
        <v>286.75974945436656</v>
      </c>
      <c r="G24" s="177">
        <v>285.60987746919108</v>
      </c>
      <c r="H24" s="177">
        <v>284.20795296901218</v>
      </c>
      <c r="I24" s="177">
        <v>282.67677750881705</v>
      </c>
      <c r="J24" s="177">
        <v>280.94902658630747</v>
      </c>
      <c r="K24" s="177">
        <v>277.57675898819758</v>
      </c>
      <c r="L24" s="177">
        <v>274.1660875065275</v>
      </c>
      <c r="M24" s="177">
        <v>270.61349752331648</v>
      </c>
      <c r="N24" s="177">
        <v>266.97118109741069</v>
      </c>
      <c r="O24" s="177">
        <v>263.27866126763456</v>
      </c>
      <c r="P24" s="177">
        <v>259.49675608231661</v>
      </c>
      <c r="Q24" s="177">
        <v>255.03736982471452</v>
      </c>
      <c r="R24" s="177">
        <v>251.04352450138867</v>
      </c>
      <c r="S24" s="177">
        <v>247.38058832327303</v>
      </c>
      <c r="T24" s="177">
        <v>244.3775367896977</v>
      </c>
      <c r="U24" s="177">
        <v>241.60978379100771</v>
      </c>
      <c r="V24" s="177">
        <v>239.04745788631806</v>
      </c>
      <c r="W24" s="177">
        <v>236.66571645948372</v>
      </c>
      <c r="X24" s="177">
        <v>234.44370743487403</v>
      </c>
      <c r="Y24" s="177">
        <v>232.36378194258299</v>
      </c>
      <c r="Z24" s="177">
        <v>230.41088912502352</v>
      </c>
      <c r="AA24" s="177">
        <v>228.57210520522506</v>
      </c>
      <c r="AB24" s="177">
        <v>226.83626292100178</v>
      </c>
      <c r="AC24" s="177">
        <v>225.19365695064172</v>
      </c>
      <c r="AD24" s="177">
        <v>223.93512398341753</v>
      </c>
      <c r="AE24" s="177">
        <v>222.74951797227942</v>
      </c>
      <c r="AF24" s="177">
        <v>221.63050671225946</v>
      </c>
      <c r="AG24" s="177">
        <v>220.57248615141171</v>
      </c>
      <c r="AH24" s="177">
        <v>219.57047690181039</v>
      </c>
      <c r="AI24" s="177">
        <v>218.62003814306999</v>
      </c>
      <c r="AJ24" s="177">
        <v>217.71719556622537</v>
      </c>
      <c r="AK24" s="177">
        <v>216.85838073037516</v>
      </c>
      <c r="AL24" s="177">
        <v>216.04037975637277</v>
      </c>
      <c r="AM24" s="177">
        <v>215.26028970581072</v>
      </c>
      <c r="AN24" s="177">
        <v>214.30644415307466</v>
      </c>
    </row>
    <row r="25" spans="1:40" x14ac:dyDescent="0.25">
      <c r="B25" s="117"/>
      <c r="C25" s="117" t="s">
        <v>177</v>
      </c>
      <c r="D25" s="151" t="s">
        <v>314</v>
      </c>
      <c r="F25" s="177">
        <v>61.229363166734991</v>
      </c>
      <c r="G25" s="177">
        <v>59.161555459576078</v>
      </c>
      <c r="H25" s="177">
        <v>57.586025244765409</v>
      </c>
      <c r="I25" s="177">
        <v>56.331284439791901</v>
      </c>
      <c r="J25" s="177">
        <v>55.300465789839137</v>
      </c>
      <c r="K25" s="177">
        <v>54.237453057070752</v>
      </c>
      <c r="L25" s="177">
        <v>53.347646434315692</v>
      </c>
      <c r="M25" s="177">
        <v>52.588562189924971</v>
      </c>
      <c r="N25" s="177">
        <v>51.931182270402523</v>
      </c>
      <c r="O25" s="177">
        <v>51.354869321927445</v>
      </c>
      <c r="P25" s="177">
        <v>50.844462623479899</v>
      </c>
      <c r="Q25" s="177">
        <v>50.388524330137024</v>
      </c>
      <c r="R25" s="177">
        <v>49.978231144228452</v>
      </c>
      <c r="S25" s="177">
        <v>49.606646931075439</v>
      </c>
      <c r="T25" s="177">
        <v>49.268229878588613</v>
      </c>
      <c r="U25" s="177">
        <v>48.95848933128655</v>
      </c>
      <c r="V25" s="177">
        <v>48.673741126120397</v>
      </c>
      <c r="W25" s="177">
        <v>48.410929511134718</v>
      </c>
      <c r="X25" s="177">
        <v>48.16749514033139</v>
      </c>
      <c r="Y25" s="177">
        <v>47.941275623063831</v>
      </c>
      <c r="Z25" s="177">
        <v>47.730429504085578</v>
      </c>
      <c r="AA25" s="177">
        <v>47.533377389750541</v>
      </c>
      <c r="AB25" s="177">
        <v>47.348755810762967</v>
      </c>
      <c r="AC25" s="177">
        <v>47.175380675244114</v>
      </c>
      <c r="AD25" s="177">
        <v>47.01221803293253</v>
      </c>
      <c r="AE25" s="177">
        <v>46.858360476399916</v>
      </c>
      <c r="AF25" s="177">
        <v>46.713007933888917</v>
      </c>
      <c r="AG25" s="177">
        <v>46.575451916432328</v>
      </c>
      <c r="AH25" s="177">
        <v>46.445062506128608</v>
      </c>
      <c r="AI25" s="177">
        <v>46.321277537593225</v>
      </c>
      <c r="AJ25" s="177">
        <v>46.20359354759205</v>
      </c>
      <c r="AK25" s="177">
        <v>46.091558160394008</v>
      </c>
      <c r="AL25" s="177">
        <v>45.984763646666494</v>
      </c>
      <c r="AM25" s="177">
        <v>45.88284144760334</v>
      </c>
      <c r="AN25" s="177">
        <v>45.785457497603829</v>
      </c>
    </row>
    <row r="26" spans="1:40" x14ac:dyDescent="0.25">
      <c r="B26" s="117"/>
      <c r="C26" s="127" t="s">
        <v>178</v>
      </c>
      <c r="D26" s="151" t="s">
        <v>314</v>
      </c>
      <c r="F26" s="177">
        <v>120.03008105924098</v>
      </c>
      <c r="G26" s="177">
        <v>117.48939447335403</v>
      </c>
      <c r="H26" s="177">
        <v>115.53100873631679</v>
      </c>
      <c r="I26" s="177">
        <v>113.95686604096271</v>
      </c>
      <c r="J26" s="177">
        <v>112.65372448772197</v>
      </c>
      <c r="K26" s="177">
        <v>111.30024898259278</v>
      </c>
      <c r="L26" s="177">
        <v>110.15959515873375</v>
      </c>
      <c r="M26" s="177">
        <v>109.18083093823277</v>
      </c>
      <c r="N26" s="177">
        <v>108.32888983555557</v>
      </c>
      <c r="O26" s="177">
        <v>107.57865611139425</v>
      </c>
      <c r="P26" s="177">
        <v>106.91156168909218</v>
      </c>
      <c r="Q26" s="177">
        <v>106.31351732758246</v>
      </c>
      <c r="R26" s="177">
        <v>105.77359724170609</v>
      </c>
      <c r="S26" s="177">
        <v>105.28317102666058</v>
      </c>
      <c r="T26" s="177">
        <v>104.83531246666125</v>
      </c>
      <c r="U26" s="177">
        <v>104.42438591927521</v>
      </c>
      <c r="V26" s="177">
        <v>104.04575010700681</v>
      </c>
      <c r="W26" s="177">
        <v>103.69554161656509</v>
      </c>
      <c r="X26" s="177">
        <v>103.3705137827901</v>
      </c>
      <c r="Y26" s="177">
        <v>103.06791485511603</v>
      </c>
      <c r="Z26" s="177">
        <v>102.78539454052103</v>
      </c>
      <c r="AA26" s="177">
        <v>102.52093138402316</v>
      </c>
      <c r="AB26" s="177">
        <v>102.27277567892587</v>
      </c>
      <c r="AC26" s="177">
        <v>102.03940410743409</v>
      </c>
      <c r="AD26" s="177">
        <v>101.81948335077689</v>
      </c>
      <c r="AE26" s="177">
        <v>101.61184063489415</v>
      </c>
      <c r="AF26" s="177">
        <v>101.41543969431238</v>
      </c>
      <c r="AG26" s="177">
        <v>101.22936100904302</v>
      </c>
      <c r="AH26" s="177">
        <v>101.05278544097617</v>
      </c>
      <c r="AI26" s="177">
        <v>100.88498059683548</v>
      </c>
      <c r="AJ26" s="177">
        <v>100.7252893945177</v>
      </c>
      <c r="AK26" s="177">
        <v>100.57312042258624</v>
      </c>
      <c r="AL26" s="177">
        <v>100.42793976867948</v>
      </c>
      <c r="AM26" s="177">
        <v>100.28926405864678</v>
      </c>
      <c r="AN26" s="177">
        <v>100.15665449938246</v>
      </c>
    </row>
    <row r="27" spans="1:40" x14ac:dyDescent="0.25">
      <c r="B27" s="117"/>
      <c r="C27" s="117" t="s">
        <v>179</v>
      </c>
      <c r="D27" s="151" t="s">
        <v>314</v>
      </c>
      <c r="F27" s="177">
        <v>110.34092241000775</v>
      </c>
      <c r="G27" s="177">
        <v>109.0209728584454</v>
      </c>
      <c r="H27" s="177">
        <v>107.99499986619797</v>
      </c>
      <c r="I27" s="177">
        <v>107.16479917388548</v>
      </c>
      <c r="J27" s="177">
        <v>106.47372100298837</v>
      </c>
      <c r="K27" s="177">
        <v>105.75223701680574</v>
      </c>
      <c r="L27" s="177">
        <v>105.14121404171301</v>
      </c>
      <c r="M27" s="177">
        <v>104.61470171720596</v>
      </c>
      <c r="N27" s="177">
        <v>104.1547287844689</v>
      </c>
      <c r="O27" s="177">
        <v>103.74835672336206</v>
      </c>
      <c r="P27" s="177">
        <v>103.38597539257178</v>
      </c>
      <c r="Q27" s="177">
        <v>103.06026184932945</v>
      </c>
      <c r="R27" s="177">
        <v>102.76551541712807</v>
      </c>
      <c r="S27" s="177">
        <v>102.49721707817497</v>
      </c>
      <c r="T27" s="177">
        <v>102.25172827112841</v>
      </c>
      <c r="U27" s="177">
        <v>102.02607942092639</v>
      </c>
      <c r="V27" s="177">
        <v>101.81781799870569</v>
      </c>
      <c r="W27" s="177">
        <v>101.62489712574825</v>
      </c>
      <c r="X27" s="177">
        <v>101.44559243404488</v>
      </c>
      <c r="Y27" s="177">
        <v>101.27843902528814</v>
      </c>
      <c r="Z27" s="177">
        <v>101.12218298742334</v>
      </c>
      <c r="AA27" s="177">
        <v>100.97574362850298</v>
      </c>
      <c r="AB27" s="177">
        <v>100.83818371734966</v>
      </c>
      <c r="AC27" s="177">
        <v>100.70868578619799</v>
      </c>
      <c r="AD27" s="177">
        <v>100.58653307885673</v>
      </c>
      <c r="AE27" s="177">
        <v>100.47109409860032</v>
      </c>
      <c r="AF27" s="177">
        <v>100.36180997396514</v>
      </c>
      <c r="AG27" s="177">
        <v>100.25818405121747</v>
      </c>
      <c r="AH27" s="177">
        <v>100.15977326162927</v>
      </c>
      <c r="AI27" s="177">
        <v>100.06618091481161</v>
      </c>
      <c r="AJ27" s="177">
        <v>99.977050646480151</v>
      </c>
      <c r="AK27" s="177">
        <v>99.892061307295933</v>
      </c>
      <c r="AL27" s="177">
        <v>99.810922623865224</v>
      </c>
      <c r="AM27" s="177">
        <v>99.733371497174318</v>
      </c>
      <c r="AN27" s="177">
        <v>99.659168830259048</v>
      </c>
    </row>
    <row r="28" spans="1:40" ht="13" x14ac:dyDescent="0.3">
      <c r="B28" s="130"/>
      <c r="C28" s="117" t="s">
        <v>180</v>
      </c>
      <c r="D28" s="151" t="s">
        <v>314</v>
      </c>
      <c r="F28" s="177">
        <v>92.553764491904388</v>
      </c>
      <c r="G28" s="177">
        <v>92.553764491904388</v>
      </c>
      <c r="H28" s="177">
        <v>92.553764491904388</v>
      </c>
      <c r="I28" s="177">
        <v>92.553764491904388</v>
      </c>
      <c r="J28" s="177">
        <v>92.553764491904388</v>
      </c>
      <c r="K28" s="177">
        <v>92.553764491904388</v>
      </c>
      <c r="L28" s="177">
        <v>92.553764491904388</v>
      </c>
      <c r="M28" s="177">
        <v>92.553764491904388</v>
      </c>
      <c r="N28" s="177">
        <v>92.553764491904388</v>
      </c>
      <c r="O28" s="177">
        <v>92.553764491904388</v>
      </c>
      <c r="P28" s="177">
        <v>92.553764491904388</v>
      </c>
      <c r="Q28" s="177">
        <v>92.553764491904388</v>
      </c>
      <c r="R28" s="177">
        <v>92.553764491904388</v>
      </c>
      <c r="S28" s="177">
        <v>92.553764491904388</v>
      </c>
      <c r="T28" s="177">
        <v>92.553764491904388</v>
      </c>
      <c r="U28" s="177">
        <v>92.553764491904388</v>
      </c>
      <c r="V28" s="177">
        <v>92.553764491904388</v>
      </c>
      <c r="W28" s="177">
        <v>92.553764491904388</v>
      </c>
      <c r="X28" s="177">
        <v>92.553764491904388</v>
      </c>
      <c r="Y28" s="177">
        <v>92.553764491904388</v>
      </c>
      <c r="Z28" s="177">
        <v>92.553764491904388</v>
      </c>
      <c r="AA28" s="177">
        <v>92.553764491904388</v>
      </c>
      <c r="AB28" s="177">
        <v>92.553764491904388</v>
      </c>
      <c r="AC28" s="177">
        <v>92.553764491904388</v>
      </c>
      <c r="AD28" s="177">
        <v>92.553764491904388</v>
      </c>
      <c r="AE28" s="177">
        <v>92.553764491904388</v>
      </c>
      <c r="AF28" s="177">
        <v>92.553764491904388</v>
      </c>
      <c r="AG28" s="177">
        <v>92.553764491904388</v>
      </c>
      <c r="AH28" s="177">
        <v>92.553764491904388</v>
      </c>
      <c r="AI28" s="177">
        <v>92.553764491904388</v>
      </c>
      <c r="AJ28" s="177">
        <v>92.553764491904388</v>
      </c>
      <c r="AK28" s="177">
        <v>92.553764491904388</v>
      </c>
      <c r="AL28" s="177">
        <v>92.553764491904388</v>
      </c>
      <c r="AM28" s="177">
        <v>92.553764491904388</v>
      </c>
      <c r="AN28" s="177">
        <v>92.553764491904388</v>
      </c>
    </row>
    <row r="29" spans="1:40" ht="13" x14ac:dyDescent="0.3">
      <c r="B29" s="130"/>
      <c r="C29" s="117" t="s">
        <v>181</v>
      </c>
      <c r="D29" s="151" t="s">
        <v>314</v>
      </c>
      <c r="F29" s="179">
        <v>106.75759159290457</v>
      </c>
      <c r="G29" s="177">
        <v>105.1322301422173</v>
      </c>
      <c r="H29" s="177">
        <v>103.8172516555754</v>
      </c>
      <c r="I29" s="177">
        <v>102.71331874852505</v>
      </c>
      <c r="J29" s="177">
        <v>101.95579218525793</v>
      </c>
      <c r="K29" s="177">
        <v>101.1719721678825</v>
      </c>
      <c r="L29" s="177">
        <v>100.49650191390282</v>
      </c>
      <c r="M29" s="177">
        <v>99.904240294916107</v>
      </c>
      <c r="N29" s="177">
        <v>99.377758524113204</v>
      </c>
      <c r="O29" s="177">
        <v>98.904494444336862</v>
      </c>
      <c r="P29" s="177">
        <v>98.475105930061176</v>
      </c>
      <c r="Q29" s="177">
        <v>98.08246470526592</v>
      </c>
      <c r="R29" s="177">
        <v>97.721013572995545</v>
      </c>
      <c r="S29" s="177">
        <v>97.386340363608312</v>
      </c>
      <c r="T29" s="177">
        <v>97.116021250965275</v>
      </c>
      <c r="U29" s="177">
        <v>96.864968559901072</v>
      </c>
      <c r="V29" s="177">
        <v>96.630828284307071</v>
      </c>
      <c r="W29" s="177">
        <v>96.411635126313001</v>
      </c>
      <c r="X29" s="177">
        <v>96.205732868591369</v>
      </c>
      <c r="Y29" s="177">
        <v>96.011713990800146</v>
      </c>
      <c r="Z29" s="177">
        <v>95.828373225844857</v>
      </c>
      <c r="AA29" s="177">
        <v>95.654671379416584</v>
      </c>
      <c r="AB29" s="177">
        <v>95.489706817693644</v>
      </c>
      <c r="AC29" s="177">
        <v>95.332692761048037</v>
      </c>
      <c r="AD29" s="177">
        <v>95.217060763390776</v>
      </c>
      <c r="AE29" s="177">
        <v>95.107784103175021</v>
      </c>
      <c r="AF29" s="177">
        <v>95.004333742402537</v>
      </c>
      <c r="AG29" s="177">
        <v>94.906239539521607</v>
      </c>
      <c r="AH29" s="177">
        <v>94.813082077531675</v>
      </c>
      <c r="AI29" s="177">
        <v>94.724485842020329</v>
      </c>
      <c r="AJ29" s="177">
        <v>94.640113492006819</v>
      </c>
      <c r="AK29" s="177">
        <v>94.559661021624919</v>
      </c>
      <c r="AL29" s="177">
        <v>94.482853652745561</v>
      </c>
      <c r="AM29" s="177">
        <v>94.409442331007241</v>
      </c>
      <c r="AN29" s="177">
        <v>94.339200722829545</v>
      </c>
    </row>
    <row r="30" spans="1:40" x14ac:dyDescent="0.25">
      <c r="C30" s="117" t="s">
        <v>182</v>
      </c>
      <c r="D30" s="151" t="s">
        <v>314</v>
      </c>
      <c r="F30" s="178">
        <f>SUM(F24:F29)</f>
        <v>777.67147217515912</v>
      </c>
      <c r="G30" s="178">
        <f t="shared" ref="G30:AN30" si="2">SUM(G24:G29)</f>
        <v>768.96779489468827</v>
      </c>
      <c r="H30" s="178">
        <f t="shared" si="2"/>
        <v>761.69100296377212</v>
      </c>
      <c r="I30" s="178">
        <f t="shared" si="2"/>
        <v>755.39681040388655</v>
      </c>
      <c r="J30" s="178">
        <f t="shared" si="2"/>
        <v>749.88649454401923</v>
      </c>
      <c r="K30" s="178">
        <f t="shared" si="2"/>
        <v>742.59243470445381</v>
      </c>
      <c r="L30" s="178">
        <f t="shared" si="2"/>
        <v>735.86480954709714</v>
      </c>
      <c r="M30" s="178">
        <f t="shared" si="2"/>
        <v>729.45559715550075</v>
      </c>
      <c r="N30" s="178">
        <f t="shared" si="2"/>
        <v>723.31750500385533</v>
      </c>
      <c r="O30" s="178">
        <f t="shared" si="2"/>
        <v>717.41880236055954</v>
      </c>
      <c r="P30" s="178">
        <f t="shared" si="2"/>
        <v>711.66762620942609</v>
      </c>
      <c r="Q30" s="178">
        <f t="shared" si="2"/>
        <v>705.43590252893387</v>
      </c>
      <c r="R30" s="178">
        <f t="shared" si="2"/>
        <v>699.83564636935125</v>
      </c>
      <c r="S30" s="178">
        <f t="shared" si="2"/>
        <v>694.70772821469666</v>
      </c>
      <c r="T30" s="178">
        <f t="shared" si="2"/>
        <v>690.4025931489457</v>
      </c>
      <c r="U30" s="178">
        <f t="shared" si="2"/>
        <v>686.43747151430136</v>
      </c>
      <c r="V30" s="178">
        <f t="shared" si="2"/>
        <v>682.76935989436242</v>
      </c>
      <c r="W30" s="178">
        <f t="shared" si="2"/>
        <v>679.36248433114906</v>
      </c>
      <c r="X30" s="178">
        <f t="shared" si="2"/>
        <v>676.18680615253618</v>
      </c>
      <c r="Y30" s="178">
        <f t="shared" si="2"/>
        <v>673.21688992875556</v>
      </c>
      <c r="Z30" s="178">
        <f t="shared" si="2"/>
        <v>670.43103387480278</v>
      </c>
      <c r="AA30" s="178">
        <f t="shared" si="2"/>
        <v>667.81059347882274</v>
      </c>
      <c r="AB30" s="178">
        <f t="shared" si="2"/>
        <v>665.33944943763834</v>
      </c>
      <c r="AC30" s="178">
        <f t="shared" si="2"/>
        <v>663.00358477247039</v>
      </c>
      <c r="AD30" s="178">
        <f t="shared" si="2"/>
        <v>661.12418370127887</v>
      </c>
      <c r="AE30" s="178">
        <f t="shared" si="2"/>
        <v>659.35236177725324</v>
      </c>
      <c r="AF30" s="178">
        <f t="shared" si="2"/>
        <v>657.67886254873281</v>
      </c>
      <c r="AG30" s="178">
        <f t="shared" si="2"/>
        <v>656.09548715953053</v>
      </c>
      <c r="AH30" s="178">
        <f t="shared" si="2"/>
        <v>654.59494467998047</v>
      </c>
      <c r="AI30" s="178">
        <f t="shared" si="2"/>
        <v>653.17072752623494</v>
      </c>
      <c r="AJ30" s="178">
        <f t="shared" si="2"/>
        <v>651.81700713872647</v>
      </c>
      <c r="AK30" s="178">
        <f t="shared" si="2"/>
        <v>650.5285461341806</v>
      </c>
      <c r="AL30" s="178">
        <f t="shared" si="2"/>
        <v>649.30062394023389</v>
      </c>
      <c r="AM30" s="178">
        <f t="shared" si="2"/>
        <v>648.1289735321468</v>
      </c>
      <c r="AN30" s="178">
        <f t="shared" si="2"/>
        <v>646.8006901950539</v>
      </c>
    </row>
    <row r="31" spans="1:40" x14ac:dyDescent="0.25">
      <c r="C31" s="117"/>
      <c r="D31" s="151"/>
      <c r="F31" s="178"/>
      <c r="G31" s="178"/>
      <c r="H31" s="178"/>
      <c r="I31" s="178"/>
      <c r="J31" s="178"/>
      <c r="K31" s="178"/>
      <c r="L31" s="178"/>
      <c r="M31" s="178"/>
      <c r="N31" s="178"/>
      <c r="O31" s="178"/>
      <c r="P31" s="178"/>
      <c r="Q31" s="178"/>
      <c r="R31" s="178"/>
      <c r="S31" s="178"/>
      <c r="T31" s="178"/>
      <c r="U31" s="178"/>
      <c r="V31" s="178"/>
      <c r="W31" s="178"/>
      <c r="X31" s="178"/>
      <c r="Y31" s="178"/>
      <c r="Z31" s="178"/>
      <c r="AA31" s="178"/>
      <c r="AB31" s="178"/>
      <c r="AC31" s="178"/>
      <c r="AD31" s="178"/>
      <c r="AE31" s="178"/>
      <c r="AF31" s="178"/>
      <c r="AG31" s="178"/>
      <c r="AH31" s="178"/>
      <c r="AI31" s="178"/>
      <c r="AJ31" s="178"/>
      <c r="AK31" s="178"/>
      <c r="AL31" s="178"/>
      <c r="AM31" s="178"/>
      <c r="AN31" s="178"/>
    </row>
    <row r="32" spans="1:40" ht="13" x14ac:dyDescent="0.3">
      <c r="A32" s="130"/>
      <c r="B32" s="131" t="s">
        <v>183</v>
      </c>
      <c r="C32" s="117"/>
      <c r="D32" s="117"/>
      <c r="F32" s="180"/>
      <c r="G32" s="180"/>
      <c r="H32" s="180"/>
      <c r="I32" s="180"/>
      <c r="J32" s="180"/>
      <c r="K32" s="180"/>
      <c r="L32" s="180"/>
      <c r="M32" s="180"/>
      <c r="N32" s="180"/>
      <c r="O32" s="180"/>
      <c r="P32" s="180"/>
      <c r="Q32" s="180"/>
      <c r="R32" s="180"/>
      <c r="S32" s="180"/>
      <c r="T32" s="180"/>
      <c r="U32" s="180"/>
      <c r="V32" s="180"/>
      <c r="W32" s="180"/>
      <c r="X32" s="180"/>
      <c r="Y32" s="180"/>
      <c r="Z32" s="180"/>
      <c r="AA32" s="180"/>
      <c r="AB32" s="180"/>
      <c r="AC32" s="180"/>
      <c r="AD32" s="180"/>
      <c r="AE32" s="180"/>
      <c r="AF32" s="180"/>
      <c r="AG32" s="180"/>
      <c r="AH32" s="180"/>
      <c r="AI32" s="180"/>
      <c r="AJ32" s="180"/>
      <c r="AK32" s="180"/>
      <c r="AL32" s="180"/>
      <c r="AM32" s="180"/>
      <c r="AN32" s="180"/>
    </row>
    <row r="33" spans="1:42" ht="13" x14ac:dyDescent="0.3">
      <c r="A33" s="126" t="s">
        <v>184</v>
      </c>
      <c r="B33" s="126"/>
      <c r="C33" s="126"/>
      <c r="D33" s="126"/>
      <c r="E33" s="126"/>
      <c r="F33" s="126"/>
      <c r="G33" s="126"/>
      <c r="H33" s="126"/>
      <c r="I33" s="126"/>
      <c r="J33" s="126"/>
      <c r="K33" s="126"/>
      <c r="L33" s="126"/>
      <c r="M33" s="126"/>
      <c r="N33" s="126"/>
      <c r="O33" s="126"/>
      <c r="P33" s="126"/>
      <c r="Q33" s="126"/>
      <c r="R33" s="126"/>
      <c r="S33" s="126"/>
      <c r="T33" s="126"/>
      <c r="U33" s="126"/>
      <c r="V33" s="126"/>
      <c r="W33" s="126"/>
      <c r="X33" s="126"/>
      <c r="Y33" s="126"/>
      <c r="Z33" s="126"/>
      <c r="AA33" s="126"/>
      <c r="AB33" s="126"/>
      <c r="AC33" s="126"/>
      <c r="AD33" s="126"/>
      <c r="AE33" s="126"/>
      <c r="AF33" s="126"/>
      <c r="AG33" s="126"/>
      <c r="AH33" s="126"/>
      <c r="AI33" s="126"/>
      <c r="AJ33" s="126"/>
      <c r="AK33" s="126"/>
      <c r="AL33" s="126"/>
      <c r="AM33" s="126"/>
      <c r="AN33" s="126"/>
    </row>
    <row r="34" spans="1:42" s="117" customFormat="1" ht="13" x14ac:dyDescent="0.3">
      <c r="A34" s="129"/>
      <c r="B34" s="129" t="s">
        <v>132</v>
      </c>
      <c r="C34" s="129" t="s">
        <v>59</v>
      </c>
      <c r="D34" s="129" t="s">
        <v>60</v>
      </c>
      <c r="E34" s="129"/>
      <c r="F34" s="139">
        <v>2026</v>
      </c>
      <c r="G34" s="139">
        <v>2027</v>
      </c>
      <c r="H34" s="139">
        <v>2028</v>
      </c>
      <c r="I34" s="139">
        <v>2029</v>
      </c>
      <c r="J34" s="139">
        <v>2030</v>
      </c>
      <c r="K34" s="139">
        <v>2031</v>
      </c>
      <c r="L34" s="139">
        <v>2032</v>
      </c>
      <c r="M34" s="139">
        <v>2033</v>
      </c>
      <c r="N34" s="139">
        <v>2034</v>
      </c>
      <c r="O34" s="139">
        <v>2035</v>
      </c>
      <c r="P34" s="139">
        <v>2036</v>
      </c>
      <c r="Q34" s="139">
        <v>2037</v>
      </c>
      <c r="R34" s="139">
        <v>2038</v>
      </c>
      <c r="S34" s="139">
        <v>2039</v>
      </c>
      <c r="T34" s="139">
        <v>2040</v>
      </c>
      <c r="U34" s="139">
        <v>2041</v>
      </c>
      <c r="V34" s="139">
        <v>2042</v>
      </c>
      <c r="W34" s="139">
        <v>2043</v>
      </c>
      <c r="X34" s="139">
        <v>2044</v>
      </c>
      <c r="Y34" s="139">
        <v>2045</v>
      </c>
      <c r="Z34" s="139">
        <v>2046</v>
      </c>
      <c r="AA34" s="139">
        <v>2047</v>
      </c>
      <c r="AB34" s="139">
        <v>2048</v>
      </c>
      <c r="AC34" s="139">
        <v>2049</v>
      </c>
      <c r="AD34" s="139">
        <v>2050</v>
      </c>
      <c r="AE34" s="139">
        <v>2051</v>
      </c>
      <c r="AF34" s="139">
        <v>2052</v>
      </c>
      <c r="AG34" s="139">
        <v>2053</v>
      </c>
      <c r="AH34" s="139">
        <v>2054</v>
      </c>
      <c r="AI34" s="139">
        <v>2055</v>
      </c>
      <c r="AJ34" s="139">
        <v>2056</v>
      </c>
      <c r="AK34" s="139">
        <v>2057</v>
      </c>
      <c r="AL34" s="139">
        <v>2058</v>
      </c>
      <c r="AM34" s="139">
        <v>2059</v>
      </c>
      <c r="AN34" s="139">
        <v>2060</v>
      </c>
      <c r="AO34" s="127"/>
      <c r="AP34" s="127"/>
    </row>
    <row r="35" spans="1:42" x14ac:dyDescent="0.25">
      <c r="B35" s="117" t="s">
        <v>142</v>
      </c>
      <c r="C35" s="175" t="s">
        <v>185</v>
      </c>
      <c r="D35" s="151" t="s">
        <v>317</v>
      </c>
      <c r="F35" s="177">
        <v>4.8863221177995309</v>
      </c>
      <c r="G35" s="177">
        <v>4.610393373466354</v>
      </c>
      <c r="H35" s="177">
        <v>4.3899224220851458</v>
      </c>
      <c r="I35" s="177">
        <v>4.2077417005445312</v>
      </c>
      <c r="J35" s="177">
        <v>4.0691944506635469</v>
      </c>
      <c r="K35" s="177">
        <v>3.9518665935819026</v>
      </c>
      <c r="L35" s="177">
        <v>3.8437817353309489</v>
      </c>
      <c r="M35" s="177">
        <v>3.7500148266869369</v>
      </c>
      <c r="N35" s="177">
        <v>3.6675579556012283</v>
      </c>
      <c r="O35" s="177">
        <v>3.5963601518187103</v>
      </c>
      <c r="P35" s="177">
        <v>3.5283875291878037</v>
      </c>
      <c r="Q35" s="177">
        <v>3.4687942923597048</v>
      </c>
      <c r="R35" s="177">
        <v>3.4144735162646489</v>
      </c>
      <c r="S35" s="177">
        <v>3.3646534757087956</v>
      </c>
      <c r="T35" s="177">
        <v>3.3238086064785035</v>
      </c>
      <c r="U35" s="177">
        <v>3.2861640612453256</v>
      </c>
      <c r="V35" s="177">
        <v>3.251313554907914</v>
      </c>
      <c r="W35" s="177">
        <v>3.2189192000219693</v>
      </c>
      <c r="X35" s="177">
        <v>3.1886973849701783</v>
      </c>
      <c r="Y35" s="177">
        <v>3.1604080653259574</v>
      </c>
      <c r="Z35" s="177">
        <v>3.1338465325443252</v>
      </c>
      <c r="AA35" s="177">
        <v>3.1088370087625217</v>
      </c>
      <c r="AB35" s="177">
        <v>3.0852276066890583</v>
      </c>
      <c r="AC35" s="177">
        <v>3.0628863230626742</v>
      </c>
      <c r="AD35" s="177">
        <v>3.0457688630745388</v>
      </c>
      <c r="AE35" s="177">
        <v>3.0296432914877172</v>
      </c>
      <c r="AF35" s="177">
        <v>3.0144234832121244</v>
      </c>
      <c r="AG35" s="177">
        <v>3.0000332168555106</v>
      </c>
      <c r="AH35" s="177">
        <v>2.9864047671569529</v>
      </c>
      <c r="AI35" s="177">
        <v>2.9734777339781595</v>
      </c>
      <c r="AJ35" s="177">
        <v>2.9611980622594212</v>
      </c>
      <c r="AK35" s="177">
        <v>2.9495172172019362</v>
      </c>
      <c r="AL35" s="177">
        <v>2.9383914864444614</v>
      </c>
      <c r="AM35" s="177">
        <v>2.9277813867685745</v>
      </c>
      <c r="AN35" s="177">
        <v>2.9148080173702096</v>
      </c>
    </row>
    <row r="36" spans="1:42" x14ac:dyDescent="0.25">
      <c r="B36" s="117"/>
      <c r="C36" s="175" t="s">
        <v>186</v>
      </c>
      <c r="D36" s="151" t="s">
        <v>317</v>
      </c>
      <c r="F36" s="177">
        <v>1.4068124540071414</v>
      </c>
      <c r="G36" s="177">
        <v>1.382069120908862</v>
      </c>
      <c r="H36" s="177">
        <v>1.3620001928350063</v>
      </c>
      <c r="I36" s="177">
        <v>1.3450669403402788</v>
      </c>
      <c r="J36" s="177">
        <v>1.3300958947624768</v>
      </c>
      <c r="K36" s="177">
        <v>1.3111329522357231</v>
      </c>
      <c r="L36" s="177">
        <v>1.2939462463470917</v>
      </c>
      <c r="M36" s="177">
        <v>1.2778550198761056</v>
      </c>
      <c r="N36" s="177">
        <v>1.262663903078632</v>
      </c>
      <c r="O36" s="177">
        <v>1.248238773855803</v>
      </c>
      <c r="P36" s="177">
        <v>1.2343307302688487</v>
      </c>
      <c r="Q36" s="177">
        <v>1.2195231138581579</v>
      </c>
      <c r="R36" s="177">
        <v>1.2062353305394795</v>
      </c>
      <c r="S36" s="177">
        <v>1.1940964197268558</v>
      </c>
      <c r="T36" s="177">
        <v>1.1837702174944695</v>
      </c>
      <c r="U36" s="177">
        <v>1.1742741675764072</v>
      </c>
      <c r="V36" s="177">
        <v>1.165502678567047</v>
      </c>
      <c r="W36" s="177">
        <v>1.1573679874460918</v>
      </c>
      <c r="X36" s="177">
        <v>1.1497964603143316</v>
      </c>
      <c r="Y36" s="177">
        <v>1.142725792999121</v>
      </c>
      <c r="Z36" s="177">
        <v>1.136102862953946</v>
      </c>
      <c r="AA36" s="177">
        <v>1.1298820600962445</v>
      </c>
      <c r="AB36" s="177">
        <v>1.1240239749394014</v>
      </c>
      <c r="AC36" s="177">
        <v>1.1184943567763632</v>
      </c>
      <c r="AD36" s="177">
        <v>1.1139217136092947</v>
      </c>
      <c r="AE36" s="177">
        <v>1.1096116868104451</v>
      </c>
      <c r="AF36" s="177">
        <v>1.1055416114048997</v>
      </c>
      <c r="AG36" s="177">
        <v>1.1016914191876046</v>
      </c>
      <c r="AH36" s="177">
        <v>1.0980432702944489</v>
      </c>
      <c r="AI36" s="177">
        <v>1.0945812466780205</v>
      </c>
      <c r="AJ36" s="177">
        <v>1.0912910955457504</v>
      </c>
      <c r="AK36" s="177">
        <v>1.0881600134041405</v>
      </c>
      <c r="AL36" s="177">
        <v>1.0851764633208687</v>
      </c>
      <c r="AM36" s="177">
        <v>1.0823300195275321</v>
      </c>
      <c r="AN36" s="177">
        <v>1.0791513954616048</v>
      </c>
    </row>
    <row r="37" spans="1:42" x14ac:dyDescent="0.25">
      <c r="B37" s="117"/>
      <c r="C37" s="175" t="s">
        <v>187</v>
      </c>
      <c r="D37" s="151" t="s">
        <v>317</v>
      </c>
      <c r="F37" s="177">
        <v>0</v>
      </c>
      <c r="G37" s="177">
        <v>0</v>
      </c>
      <c r="H37" s="177">
        <v>0</v>
      </c>
      <c r="I37" s="177">
        <v>0</v>
      </c>
      <c r="J37" s="177">
        <v>0</v>
      </c>
      <c r="K37" s="177">
        <v>0</v>
      </c>
      <c r="L37" s="177">
        <v>0</v>
      </c>
      <c r="M37" s="177">
        <v>0</v>
      </c>
      <c r="N37" s="177">
        <v>0</v>
      </c>
      <c r="O37" s="177">
        <v>0</v>
      </c>
      <c r="P37" s="177">
        <v>0</v>
      </c>
      <c r="Q37" s="177">
        <v>0</v>
      </c>
      <c r="R37" s="177">
        <v>0</v>
      </c>
      <c r="S37" s="177">
        <v>0</v>
      </c>
      <c r="T37" s="177">
        <v>0</v>
      </c>
      <c r="U37" s="177">
        <v>0</v>
      </c>
      <c r="V37" s="177">
        <v>0</v>
      </c>
      <c r="W37" s="177">
        <v>0</v>
      </c>
      <c r="X37" s="177">
        <v>0</v>
      </c>
      <c r="Y37" s="177">
        <v>0</v>
      </c>
      <c r="Z37" s="177">
        <v>0</v>
      </c>
      <c r="AA37" s="177">
        <v>0</v>
      </c>
      <c r="AB37" s="177">
        <v>0</v>
      </c>
      <c r="AC37" s="177">
        <v>0</v>
      </c>
      <c r="AD37" s="177">
        <v>0</v>
      </c>
      <c r="AE37" s="177">
        <v>0</v>
      </c>
      <c r="AF37" s="177">
        <v>0</v>
      </c>
      <c r="AG37" s="177">
        <v>0</v>
      </c>
      <c r="AH37" s="177">
        <v>0</v>
      </c>
      <c r="AI37" s="177">
        <v>0</v>
      </c>
      <c r="AJ37" s="177">
        <v>0</v>
      </c>
      <c r="AK37" s="177">
        <v>0</v>
      </c>
      <c r="AL37" s="177">
        <v>0</v>
      </c>
      <c r="AM37" s="177">
        <v>0</v>
      </c>
      <c r="AN37" s="177">
        <v>0</v>
      </c>
    </row>
    <row r="38" spans="1:42" x14ac:dyDescent="0.25">
      <c r="B38" s="117"/>
      <c r="C38" s="175" t="s">
        <v>188</v>
      </c>
      <c r="D38" s="151" t="s">
        <v>317</v>
      </c>
      <c r="F38" s="177">
        <v>7.3177737</v>
      </c>
      <c r="G38" s="177">
        <v>7.3177737</v>
      </c>
      <c r="H38" s="177">
        <v>7.3177737</v>
      </c>
      <c r="I38" s="177">
        <v>7.3177737</v>
      </c>
      <c r="J38" s="177">
        <v>7.3177737</v>
      </c>
      <c r="K38" s="177">
        <v>7.3177737</v>
      </c>
      <c r="L38" s="177">
        <v>7.3177737</v>
      </c>
      <c r="M38" s="177">
        <v>7.3177737</v>
      </c>
      <c r="N38" s="177">
        <v>7.3177737</v>
      </c>
      <c r="O38" s="177">
        <v>7.3177737</v>
      </c>
      <c r="P38" s="177">
        <v>7.3177737</v>
      </c>
      <c r="Q38" s="177">
        <v>7.3177737</v>
      </c>
      <c r="R38" s="177">
        <v>7.3177737</v>
      </c>
      <c r="S38" s="177">
        <v>7.3177737</v>
      </c>
      <c r="T38" s="177">
        <v>7.3177737</v>
      </c>
      <c r="U38" s="177">
        <v>7.3177737</v>
      </c>
      <c r="V38" s="177">
        <v>7.3177737</v>
      </c>
      <c r="W38" s="177">
        <v>7.3177737</v>
      </c>
      <c r="X38" s="177">
        <v>7.3177737</v>
      </c>
      <c r="Y38" s="177">
        <v>7.3177737</v>
      </c>
      <c r="Z38" s="177">
        <v>7.3177737</v>
      </c>
      <c r="AA38" s="177">
        <v>7.3177737</v>
      </c>
      <c r="AB38" s="177">
        <v>7.3177737</v>
      </c>
      <c r="AC38" s="177">
        <v>7.3177737</v>
      </c>
      <c r="AD38" s="177">
        <v>7.3177737</v>
      </c>
      <c r="AE38" s="177">
        <v>7.3177737</v>
      </c>
      <c r="AF38" s="177">
        <v>7.3177737</v>
      </c>
      <c r="AG38" s="177">
        <v>7.3177737</v>
      </c>
      <c r="AH38" s="177">
        <v>7.3177737</v>
      </c>
      <c r="AI38" s="177">
        <v>7.3177737</v>
      </c>
      <c r="AJ38" s="177">
        <v>7.3177737</v>
      </c>
      <c r="AK38" s="177">
        <v>7.3177737</v>
      </c>
      <c r="AL38" s="177">
        <v>7.3177737</v>
      </c>
      <c r="AM38" s="177">
        <v>7.3177737</v>
      </c>
      <c r="AN38" s="177">
        <v>7.3177737</v>
      </c>
    </row>
    <row r="39" spans="1:42" x14ac:dyDescent="0.25">
      <c r="B39" s="117"/>
      <c r="C39" s="175" t="s">
        <v>189</v>
      </c>
      <c r="D39" s="151" t="s">
        <v>317</v>
      </c>
      <c r="F39" s="177">
        <v>6.1278176100000001</v>
      </c>
      <c r="G39" s="177">
        <v>6.1278176100000001</v>
      </c>
      <c r="H39" s="177">
        <v>6.1278176100000001</v>
      </c>
      <c r="I39" s="177">
        <v>6.1278176100000001</v>
      </c>
      <c r="J39" s="177">
        <v>6.1278176100000001</v>
      </c>
      <c r="K39" s="177">
        <v>6.1278176100000001</v>
      </c>
      <c r="L39" s="177">
        <v>6.1278176100000001</v>
      </c>
      <c r="M39" s="177">
        <v>6.1278176100000001</v>
      </c>
      <c r="N39" s="177">
        <v>6.1278176100000001</v>
      </c>
      <c r="O39" s="177">
        <v>6.1278176100000001</v>
      </c>
      <c r="P39" s="177">
        <v>6.1278176100000001</v>
      </c>
      <c r="Q39" s="177">
        <v>6.1278176100000001</v>
      </c>
      <c r="R39" s="177">
        <v>6.1278176100000001</v>
      </c>
      <c r="S39" s="177">
        <v>6.1278176100000001</v>
      </c>
      <c r="T39" s="177">
        <v>6.1278176100000001</v>
      </c>
      <c r="U39" s="177">
        <v>6.1278176100000001</v>
      </c>
      <c r="V39" s="177">
        <v>6.1278176100000001</v>
      </c>
      <c r="W39" s="177">
        <v>6.1278176100000001</v>
      </c>
      <c r="X39" s="177">
        <v>6.1278176100000001</v>
      </c>
      <c r="Y39" s="177">
        <v>6.1278176100000001</v>
      </c>
      <c r="Z39" s="177">
        <v>6.1278176100000001</v>
      </c>
      <c r="AA39" s="177">
        <v>6.1278176100000001</v>
      </c>
      <c r="AB39" s="177">
        <v>6.1278176100000001</v>
      </c>
      <c r="AC39" s="177">
        <v>6.1278176100000001</v>
      </c>
      <c r="AD39" s="177">
        <v>6.1278176100000001</v>
      </c>
      <c r="AE39" s="177">
        <v>6.1278176100000001</v>
      </c>
      <c r="AF39" s="177">
        <v>6.1278176100000001</v>
      </c>
      <c r="AG39" s="177">
        <v>6.1278176100000001</v>
      </c>
      <c r="AH39" s="177">
        <v>6.1278176100000001</v>
      </c>
      <c r="AI39" s="177">
        <v>6.1278176100000001</v>
      </c>
      <c r="AJ39" s="177">
        <v>6.1278176100000001</v>
      </c>
      <c r="AK39" s="177">
        <v>6.1278176100000001</v>
      </c>
      <c r="AL39" s="177">
        <v>6.1278176100000001</v>
      </c>
      <c r="AM39" s="177">
        <v>6.1278176100000001</v>
      </c>
      <c r="AN39" s="177">
        <v>6.1278176100000001</v>
      </c>
    </row>
    <row r="40" spans="1:42" x14ac:dyDescent="0.25">
      <c r="B40" s="117"/>
      <c r="C40" s="175" t="s">
        <v>190</v>
      </c>
      <c r="D40" s="151" t="s">
        <v>317</v>
      </c>
      <c r="F40" s="177">
        <v>1.3580123458180104</v>
      </c>
      <c r="G40" s="177">
        <v>1.3580123458180104</v>
      </c>
      <c r="H40" s="177">
        <v>1.3580123458180104</v>
      </c>
      <c r="I40" s="177">
        <v>1.3580123458180104</v>
      </c>
      <c r="J40" s="177">
        <v>1.3580123458180104</v>
      </c>
      <c r="K40" s="177">
        <v>1.3580123458180104</v>
      </c>
      <c r="L40" s="177">
        <v>1.3580123458180104</v>
      </c>
      <c r="M40" s="177">
        <v>1.3580123458180104</v>
      </c>
      <c r="N40" s="177">
        <v>1.3580123458180104</v>
      </c>
      <c r="O40" s="177">
        <v>1.3580123458180104</v>
      </c>
      <c r="P40" s="177">
        <v>1.3580123458180104</v>
      </c>
      <c r="Q40" s="177">
        <v>1.3580123458180104</v>
      </c>
      <c r="R40" s="177">
        <v>1.3580123458180104</v>
      </c>
      <c r="S40" s="177">
        <v>1.3580123458180104</v>
      </c>
      <c r="T40" s="177">
        <v>1.3580123458180104</v>
      </c>
      <c r="U40" s="177">
        <v>1.3580123458180104</v>
      </c>
      <c r="V40" s="177">
        <v>1.3580123458180104</v>
      </c>
      <c r="W40" s="177">
        <v>1.3580123458180104</v>
      </c>
      <c r="X40" s="177">
        <v>1.3580123458180104</v>
      </c>
      <c r="Y40" s="177">
        <v>1.3580123458180104</v>
      </c>
      <c r="Z40" s="177">
        <v>1.3580123458180104</v>
      </c>
      <c r="AA40" s="177">
        <v>1.3580123458180104</v>
      </c>
      <c r="AB40" s="177">
        <v>1.3580123458180104</v>
      </c>
      <c r="AC40" s="177">
        <v>1.3580123458180104</v>
      </c>
      <c r="AD40" s="177">
        <v>1.3580123458180104</v>
      </c>
      <c r="AE40" s="177">
        <v>1.3580123458180104</v>
      </c>
      <c r="AF40" s="177">
        <v>1.3580123458180104</v>
      </c>
      <c r="AG40" s="177">
        <v>1.3580123458180104</v>
      </c>
      <c r="AH40" s="177">
        <v>1.3580123458180104</v>
      </c>
      <c r="AI40" s="177">
        <v>1.3580123458180104</v>
      </c>
      <c r="AJ40" s="177">
        <v>1.3580123458180104</v>
      </c>
      <c r="AK40" s="177">
        <v>1.3580123458180104</v>
      </c>
      <c r="AL40" s="177">
        <v>1.3580123458180104</v>
      </c>
      <c r="AM40" s="177">
        <v>1.3580123458180104</v>
      </c>
      <c r="AN40" s="177">
        <v>1.3580123458180104</v>
      </c>
    </row>
    <row r="41" spans="1:42" x14ac:dyDescent="0.25">
      <c r="C41" s="175" t="s">
        <v>191</v>
      </c>
      <c r="D41" s="151" t="s">
        <v>317</v>
      </c>
      <c r="F41" s="177">
        <v>2.8066775000000002</v>
      </c>
      <c r="G41" s="177">
        <v>2.8066775000000002</v>
      </c>
      <c r="H41" s="177">
        <v>2.8066775000000002</v>
      </c>
      <c r="I41" s="177">
        <v>2.8066775000000002</v>
      </c>
      <c r="J41" s="177">
        <v>2.8066775000000002</v>
      </c>
      <c r="K41" s="177">
        <v>2.8066775000000002</v>
      </c>
      <c r="L41" s="177">
        <v>2.8066775000000002</v>
      </c>
      <c r="M41" s="177">
        <v>2.8066775000000002</v>
      </c>
      <c r="N41" s="177">
        <v>2.8066775000000002</v>
      </c>
      <c r="O41" s="177">
        <v>2.8066775000000002</v>
      </c>
      <c r="P41" s="177">
        <v>2.8066775000000002</v>
      </c>
      <c r="Q41" s="177">
        <v>2.8066775000000002</v>
      </c>
      <c r="R41" s="177">
        <v>2.8066775000000002</v>
      </c>
      <c r="S41" s="177">
        <v>2.8066775000000002</v>
      </c>
      <c r="T41" s="177">
        <v>2.8066775000000002</v>
      </c>
      <c r="U41" s="177">
        <v>2.8066775000000002</v>
      </c>
      <c r="V41" s="177">
        <v>2.8066775000000002</v>
      </c>
      <c r="W41" s="177">
        <v>2.8066775000000002</v>
      </c>
      <c r="X41" s="177">
        <v>2.8066775000000002</v>
      </c>
      <c r="Y41" s="177">
        <v>2.8066775000000002</v>
      </c>
      <c r="Z41" s="177">
        <v>2.8066775000000002</v>
      </c>
      <c r="AA41" s="177">
        <v>2.8066775000000002</v>
      </c>
      <c r="AB41" s="177">
        <v>2.8066775000000002</v>
      </c>
      <c r="AC41" s="177">
        <v>2.8066775000000002</v>
      </c>
      <c r="AD41" s="177">
        <v>2.8066775000000002</v>
      </c>
      <c r="AE41" s="177">
        <v>2.8066775000000002</v>
      </c>
      <c r="AF41" s="177">
        <v>2.8066775000000002</v>
      </c>
      <c r="AG41" s="177">
        <v>2.8066775000000002</v>
      </c>
      <c r="AH41" s="177">
        <v>2.8066775000000002</v>
      </c>
      <c r="AI41" s="177">
        <v>2.8066775000000002</v>
      </c>
      <c r="AJ41" s="177">
        <v>2.8066775000000002</v>
      </c>
      <c r="AK41" s="177">
        <v>2.8066775000000002</v>
      </c>
      <c r="AL41" s="177">
        <v>2.8066775000000002</v>
      </c>
      <c r="AM41" s="177">
        <v>2.8066775000000002</v>
      </c>
      <c r="AN41" s="177">
        <v>2.8066775000000002</v>
      </c>
    </row>
    <row r="42" spans="1:42" x14ac:dyDescent="0.25">
      <c r="C42" s="175" t="s">
        <v>182</v>
      </c>
      <c r="D42" s="151" t="s">
        <v>317</v>
      </c>
      <c r="F42" s="178">
        <f>SUM(F35:F41)</f>
        <v>23.903415727624683</v>
      </c>
      <c r="G42" s="178">
        <f t="shared" ref="G42:AN42" si="3">SUM(G35:G41)</f>
        <v>23.602743650193226</v>
      </c>
      <c r="H42" s="178">
        <f t="shared" si="3"/>
        <v>23.362203770738162</v>
      </c>
      <c r="I42" s="178">
        <f t="shared" si="3"/>
        <v>23.16308979670282</v>
      </c>
      <c r="J42" s="178">
        <f t="shared" si="3"/>
        <v>23.009571501244036</v>
      </c>
      <c r="K42" s="178">
        <f t="shared" si="3"/>
        <v>22.873280701635636</v>
      </c>
      <c r="L42" s="178">
        <f t="shared" si="3"/>
        <v>22.748009137496052</v>
      </c>
      <c r="M42" s="178">
        <f t="shared" si="3"/>
        <v>22.638151002381054</v>
      </c>
      <c r="N42" s="178">
        <f t="shared" si="3"/>
        <v>22.540503014497872</v>
      </c>
      <c r="O42" s="178">
        <f t="shared" si="3"/>
        <v>22.454880081492526</v>
      </c>
      <c r="P42" s="178">
        <f t="shared" si="3"/>
        <v>22.372999415274663</v>
      </c>
      <c r="Q42" s="178">
        <f t="shared" si="3"/>
        <v>22.298598562035874</v>
      </c>
      <c r="R42" s="178">
        <f t="shared" si="3"/>
        <v>22.230990002622139</v>
      </c>
      <c r="S42" s="178">
        <f t="shared" si="3"/>
        <v>22.169031051253661</v>
      </c>
      <c r="T42" s="178">
        <f t="shared" si="3"/>
        <v>22.117859979790985</v>
      </c>
      <c r="U42" s="178">
        <f t="shared" si="3"/>
        <v>22.070719384639744</v>
      </c>
      <c r="V42" s="178">
        <f t="shared" si="3"/>
        <v>22.027097389292972</v>
      </c>
      <c r="W42" s="178">
        <f t="shared" si="3"/>
        <v>21.986568343286073</v>
      </c>
      <c r="X42" s="178">
        <f t="shared" si="3"/>
        <v>21.948775001102522</v>
      </c>
      <c r="Y42" s="178">
        <f t="shared" si="3"/>
        <v>21.913415014143091</v>
      </c>
      <c r="Z42" s="178">
        <f t="shared" si="3"/>
        <v>21.880230551316281</v>
      </c>
      <c r="AA42" s="178">
        <f t="shared" si="3"/>
        <v>21.849000224676779</v>
      </c>
      <c r="AB42" s="178">
        <f t="shared" si="3"/>
        <v>21.819532737446469</v>
      </c>
      <c r="AC42" s="178">
        <f t="shared" si="3"/>
        <v>21.791661835657049</v>
      </c>
      <c r="AD42" s="178">
        <f t="shared" si="3"/>
        <v>21.769971732501844</v>
      </c>
      <c r="AE42" s="178">
        <f t="shared" si="3"/>
        <v>21.749536134116173</v>
      </c>
      <c r="AF42" s="178">
        <f t="shared" si="3"/>
        <v>21.730246250435034</v>
      </c>
      <c r="AG42" s="178">
        <f t="shared" si="3"/>
        <v>21.712005791861127</v>
      </c>
      <c r="AH42" s="178">
        <f t="shared" si="3"/>
        <v>21.694729193269414</v>
      </c>
      <c r="AI42" s="178">
        <f t="shared" si="3"/>
        <v>21.678340136474191</v>
      </c>
      <c r="AJ42" s="178">
        <f t="shared" si="3"/>
        <v>21.662770313623181</v>
      </c>
      <c r="AK42" s="178">
        <f t="shared" si="3"/>
        <v>21.647958386424087</v>
      </c>
      <c r="AL42" s="178">
        <f t="shared" si="3"/>
        <v>21.633849105583341</v>
      </c>
      <c r="AM42" s="178">
        <f>SUM(AM35:AM41)</f>
        <v>21.620392562114116</v>
      </c>
      <c r="AN42" s="178">
        <f t="shared" si="3"/>
        <v>21.604240568649825</v>
      </c>
    </row>
    <row r="43" spans="1:42" x14ac:dyDescent="0.25">
      <c r="D43" s="151"/>
      <c r="F43" s="178"/>
      <c r="G43" s="178"/>
      <c r="H43" s="178"/>
      <c r="I43" s="178"/>
      <c r="J43" s="178"/>
      <c r="K43" s="178"/>
      <c r="L43" s="178"/>
      <c r="M43" s="178"/>
      <c r="N43" s="178"/>
      <c r="O43" s="178"/>
      <c r="P43" s="178"/>
      <c r="Q43" s="178"/>
      <c r="R43" s="178"/>
      <c r="S43" s="178"/>
      <c r="T43" s="178"/>
      <c r="U43" s="178"/>
      <c r="V43" s="178"/>
      <c r="W43" s="178"/>
      <c r="X43" s="178"/>
      <c r="Y43" s="178"/>
      <c r="Z43" s="178"/>
      <c r="AA43" s="178"/>
      <c r="AB43" s="178"/>
      <c r="AC43" s="178"/>
      <c r="AD43" s="178"/>
      <c r="AE43" s="178"/>
      <c r="AF43" s="178"/>
      <c r="AG43" s="178"/>
      <c r="AH43" s="178"/>
      <c r="AI43" s="178"/>
      <c r="AJ43" s="178"/>
      <c r="AK43" s="178"/>
      <c r="AL43" s="178"/>
      <c r="AM43" s="178"/>
      <c r="AN43" s="178"/>
    </row>
    <row r="44" spans="1:42" x14ac:dyDescent="0.25">
      <c r="B44" s="117" t="s">
        <v>143</v>
      </c>
      <c r="C44" s="175" t="s">
        <v>185</v>
      </c>
      <c r="D44" s="151" t="s">
        <v>317</v>
      </c>
      <c r="F44" s="177">
        <v>7.1153241572250758</v>
      </c>
      <c r="G44" s="177">
        <v>6.713524518786425</v>
      </c>
      <c r="H44" s="177">
        <v>6.3924809509433063</v>
      </c>
      <c r="I44" s="177">
        <v>6.12719453352996</v>
      </c>
      <c r="J44" s="177">
        <v>5.92544594425783</v>
      </c>
      <c r="K44" s="177">
        <v>5.7545964350190832</v>
      </c>
      <c r="L44" s="177">
        <v>5.5972063194264612</v>
      </c>
      <c r="M44" s="177">
        <v>5.4606655973580782</v>
      </c>
      <c r="N44" s="177">
        <v>5.3405942323066169</v>
      </c>
      <c r="O44" s="177">
        <v>5.2369180028272435</v>
      </c>
      <c r="P44" s="177">
        <v>5.1379381909818811</v>
      </c>
      <c r="Q44" s="177">
        <v>5.0511602039012509</v>
      </c>
      <c r="R44" s="177">
        <v>4.9720598251152488</v>
      </c>
      <c r="S44" s="177">
        <v>4.8995132902092298</v>
      </c>
      <c r="T44" s="177">
        <v>4.8400361461064429</v>
      </c>
      <c r="U44" s="177">
        <v>4.7852192233518691</v>
      </c>
      <c r="V44" s="177">
        <v>4.7344709010644754</v>
      </c>
      <c r="W44" s="177">
        <v>4.6872991570981801</v>
      </c>
      <c r="X44" s="177">
        <v>4.6432910042320659</v>
      </c>
      <c r="Y44" s="177">
        <v>4.6020968965569393</v>
      </c>
      <c r="Z44" s="177">
        <v>4.5634187432756361</v>
      </c>
      <c r="AA44" s="177">
        <v>4.5270005816327243</v>
      </c>
      <c r="AB44" s="177">
        <v>4.4926212376473948</v>
      </c>
      <c r="AC44" s="177">
        <v>4.4600884919016401</v>
      </c>
      <c r="AD44" s="177">
        <v>4.4351625304877906</v>
      </c>
      <c r="AE44" s="177">
        <v>4.4116809289284475</v>
      </c>
      <c r="AF44" s="177">
        <v>4.3895182743017349</v>
      </c>
      <c r="AG44" s="177">
        <v>4.3685635751706373</v>
      </c>
      <c r="AH44" s="177">
        <v>4.348718211924437</v>
      </c>
      <c r="AI44" s="177">
        <v>4.3298942315889493</v>
      </c>
      <c r="AJ44" s="177">
        <v>4.3120129207140776</v>
      </c>
      <c r="AK44" s="177">
        <v>4.2950036042976318</v>
      </c>
      <c r="AL44" s="177">
        <v>4.2788026296346908</v>
      </c>
      <c r="AM44" s="177">
        <v>4.2633525023785701</v>
      </c>
      <c r="AN44" s="177">
        <v>4.2444610485498231</v>
      </c>
    </row>
    <row r="45" spans="1:42" x14ac:dyDescent="0.25">
      <c r="B45" s="117"/>
      <c r="C45" s="175" t="s">
        <v>186</v>
      </c>
      <c r="D45" s="151" t="s">
        <v>317</v>
      </c>
      <c r="F45" s="177">
        <v>2.1804232965600989</v>
      </c>
      <c r="G45" s="177">
        <v>2.1486474494609586</v>
      </c>
      <c r="H45" s="177">
        <v>2.122178734839149</v>
      </c>
      <c r="I45" s="177">
        <v>2.099333607935328</v>
      </c>
      <c r="J45" s="177">
        <v>2.0785946300265996</v>
      </c>
      <c r="K45" s="177">
        <v>2.0506449205324269</v>
      </c>
      <c r="L45" s="177">
        <v>2.0248047031538539</v>
      </c>
      <c r="M45" s="177">
        <v>2.0000994505919727</v>
      </c>
      <c r="N45" s="177">
        <v>1.9763659744162139</v>
      </c>
      <c r="O45" s="177">
        <v>1.9534972681451732</v>
      </c>
      <c r="P45" s="177">
        <v>1.9311345892219058</v>
      </c>
      <c r="Q45" s="177">
        <v>1.9067176552565195</v>
      </c>
      <c r="R45" s="177">
        <v>1.8848155022597701</v>
      </c>
      <c r="S45" s="177">
        <v>1.864785046029094</v>
      </c>
      <c r="T45" s="177">
        <v>1.8479015946185122</v>
      </c>
      <c r="U45" s="177">
        <v>1.8323655900433615</v>
      </c>
      <c r="V45" s="177">
        <v>1.8180058599670272</v>
      </c>
      <c r="W45" s="177">
        <v>1.8046800942564409</v>
      </c>
      <c r="X45" s="177">
        <v>1.79226886662387</v>
      </c>
      <c r="Y45" s="177">
        <v>1.7806711076385004</v>
      </c>
      <c r="Z45" s="177">
        <v>1.7698006290579735</v>
      </c>
      <c r="AA45" s="177">
        <v>1.7595834218169586</v>
      </c>
      <c r="AB45" s="177">
        <v>1.7499555315337616</v>
      </c>
      <c r="AC45" s="177">
        <v>1.7408613707567036</v>
      </c>
      <c r="AD45" s="177">
        <v>1.7334791720644758</v>
      </c>
      <c r="AE45" s="177">
        <v>1.7265215038486219</v>
      </c>
      <c r="AF45" s="177">
        <v>1.719951699158164</v>
      </c>
      <c r="AG45" s="177">
        <v>1.7137372933149284</v>
      </c>
      <c r="AH45" s="177">
        <v>1.7078494277388039</v>
      </c>
      <c r="AI45" s="177">
        <v>1.7022623539080775</v>
      </c>
      <c r="AJ45" s="177">
        <v>1.6969530181486425</v>
      </c>
      <c r="AK45" s="177">
        <v>1.6919007121232832</v>
      </c>
      <c r="AL45" s="177">
        <v>1.6870867770724427</v>
      </c>
      <c r="AM45" s="177">
        <v>1.6824943522999454</v>
      </c>
      <c r="AN45" s="177">
        <v>1.6772513807800336</v>
      </c>
    </row>
    <row r="46" spans="1:42" x14ac:dyDescent="0.25">
      <c r="B46" s="117"/>
      <c r="C46" s="175" t="s">
        <v>187</v>
      </c>
      <c r="D46" s="151" t="s">
        <v>317</v>
      </c>
      <c r="F46" s="177">
        <v>0</v>
      </c>
      <c r="G46" s="177">
        <v>0</v>
      </c>
      <c r="H46" s="177">
        <v>0</v>
      </c>
      <c r="I46" s="177">
        <v>0</v>
      </c>
      <c r="J46" s="177">
        <v>0</v>
      </c>
      <c r="K46" s="177">
        <v>0</v>
      </c>
      <c r="L46" s="177">
        <v>0</v>
      </c>
      <c r="M46" s="177">
        <v>0</v>
      </c>
      <c r="N46" s="177">
        <v>0</v>
      </c>
      <c r="O46" s="177">
        <v>0</v>
      </c>
      <c r="P46" s="177">
        <v>0</v>
      </c>
      <c r="Q46" s="177">
        <v>0</v>
      </c>
      <c r="R46" s="177">
        <v>0</v>
      </c>
      <c r="S46" s="177">
        <v>0</v>
      </c>
      <c r="T46" s="177">
        <v>0</v>
      </c>
      <c r="U46" s="177">
        <v>0</v>
      </c>
      <c r="V46" s="177">
        <v>0</v>
      </c>
      <c r="W46" s="177">
        <v>0</v>
      </c>
      <c r="X46" s="177">
        <v>0</v>
      </c>
      <c r="Y46" s="177">
        <v>0</v>
      </c>
      <c r="Z46" s="177">
        <v>0</v>
      </c>
      <c r="AA46" s="177">
        <v>0</v>
      </c>
      <c r="AB46" s="177">
        <v>0</v>
      </c>
      <c r="AC46" s="177">
        <v>0</v>
      </c>
      <c r="AD46" s="177">
        <v>0</v>
      </c>
      <c r="AE46" s="177">
        <v>0</v>
      </c>
      <c r="AF46" s="177">
        <v>0</v>
      </c>
      <c r="AG46" s="177">
        <v>0</v>
      </c>
      <c r="AH46" s="177">
        <v>0</v>
      </c>
      <c r="AI46" s="177">
        <v>0</v>
      </c>
      <c r="AJ46" s="177">
        <v>0</v>
      </c>
      <c r="AK46" s="177">
        <v>0</v>
      </c>
      <c r="AL46" s="177">
        <v>0</v>
      </c>
      <c r="AM46" s="177">
        <v>0</v>
      </c>
      <c r="AN46" s="177">
        <v>0</v>
      </c>
    </row>
    <row r="47" spans="1:42" x14ac:dyDescent="0.25">
      <c r="B47" s="117"/>
      <c r="C47" s="175" t="s">
        <v>188</v>
      </c>
      <c r="D47" s="151" t="s">
        <v>317</v>
      </c>
      <c r="F47" s="177">
        <v>8.32205394</v>
      </c>
      <c r="G47" s="177">
        <v>8.32205394</v>
      </c>
      <c r="H47" s="177">
        <v>8.32205394</v>
      </c>
      <c r="I47" s="177">
        <v>8.32205394</v>
      </c>
      <c r="J47" s="177">
        <v>8.32205394</v>
      </c>
      <c r="K47" s="177">
        <v>8.32205394</v>
      </c>
      <c r="L47" s="177">
        <v>8.32205394</v>
      </c>
      <c r="M47" s="177">
        <v>8.32205394</v>
      </c>
      <c r="N47" s="177">
        <v>8.32205394</v>
      </c>
      <c r="O47" s="177">
        <v>8.32205394</v>
      </c>
      <c r="P47" s="177">
        <v>8.32205394</v>
      </c>
      <c r="Q47" s="177">
        <v>8.32205394</v>
      </c>
      <c r="R47" s="177">
        <v>8.32205394</v>
      </c>
      <c r="S47" s="177">
        <v>8.32205394</v>
      </c>
      <c r="T47" s="177">
        <v>8.32205394</v>
      </c>
      <c r="U47" s="177">
        <v>8.32205394</v>
      </c>
      <c r="V47" s="177">
        <v>8.32205394</v>
      </c>
      <c r="W47" s="177">
        <v>8.32205394</v>
      </c>
      <c r="X47" s="177">
        <v>8.32205394</v>
      </c>
      <c r="Y47" s="177">
        <v>8.32205394</v>
      </c>
      <c r="Z47" s="177">
        <v>8.32205394</v>
      </c>
      <c r="AA47" s="177">
        <v>8.32205394</v>
      </c>
      <c r="AB47" s="177">
        <v>8.32205394</v>
      </c>
      <c r="AC47" s="177">
        <v>8.32205394</v>
      </c>
      <c r="AD47" s="177">
        <v>8.32205394</v>
      </c>
      <c r="AE47" s="177">
        <v>8.32205394</v>
      </c>
      <c r="AF47" s="177">
        <v>8.32205394</v>
      </c>
      <c r="AG47" s="177">
        <v>8.32205394</v>
      </c>
      <c r="AH47" s="177">
        <v>8.32205394</v>
      </c>
      <c r="AI47" s="177">
        <v>8.32205394</v>
      </c>
      <c r="AJ47" s="177">
        <v>8.32205394</v>
      </c>
      <c r="AK47" s="177">
        <v>8.32205394</v>
      </c>
      <c r="AL47" s="177">
        <v>8.32205394</v>
      </c>
      <c r="AM47" s="177">
        <v>8.32205394</v>
      </c>
      <c r="AN47" s="177">
        <v>8.32205394</v>
      </c>
    </row>
    <row r="48" spans="1:42" x14ac:dyDescent="0.25">
      <c r="B48" s="117"/>
      <c r="C48" s="175" t="s">
        <v>189</v>
      </c>
      <c r="D48" s="151" t="s">
        <v>317</v>
      </c>
      <c r="F48" s="177">
        <v>6.1278176100000001</v>
      </c>
      <c r="G48" s="177">
        <v>6.1278176100000001</v>
      </c>
      <c r="H48" s="177">
        <v>6.1278176100000001</v>
      </c>
      <c r="I48" s="177">
        <v>6.1278176100000001</v>
      </c>
      <c r="J48" s="177">
        <v>6.1278176100000001</v>
      </c>
      <c r="K48" s="177">
        <v>6.1278176100000001</v>
      </c>
      <c r="L48" s="177">
        <v>6.1278176100000001</v>
      </c>
      <c r="M48" s="177">
        <v>6.1278176100000001</v>
      </c>
      <c r="N48" s="177">
        <v>6.1278176100000001</v>
      </c>
      <c r="O48" s="177">
        <v>6.1278176100000001</v>
      </c>
      <c r="P48" s="177">
        <v>6.1278176100000001</v>
      </c>
      <c r="Q48" s="177">
        <v>6.1278176100000001</v>
      </c>
      <c r="R48" s="177">
        <v>6.1278176100000001</v>
      </c>
      <c r="S48" s="177">
        <v>6.1278176100000001</v>
      </c>
      <c r="T48" s="177">
        <v>6.1278176100000001</v>
      </c>
      <c r="U48" s="177">
        <v>6.1278176100000001</v>
      </c>
      <c r="V48" s="177">
        <v>6.1278176100000001</v>
      </c>
      <c r="W48" s="177">
        <v>6.1278176100000001</v>
      </c>
      <c r="X48" s="177">
        <v>6.1278176100000001</v>
      </c>
      <c r="Y48" s="177">
        <v>6.1278176100000001</v>
      </c>
      <c r="Z48" s="177">
        <v>6.1278176100000001</v>
      </c>
      <c r="AA48" s="177">
        <v>6.1278176100000001</v>
      </c>
      <c r="AB48" s="177">
        <v>6.1278176100000001</v>
      </c>
      <c r="AC48" s="177">
        <v>6.1278176100000001</v>
      </c>
      <c r="AD48" s="177">
        <v>6.1278176100000001</v>
      </c>
      <c r="AE48" s="177">
        <v>6.1278176100000001</v>
      </c>
      <c r="AF48" s="177">
        <v>6.1278176100000001</v>
      </c>
      <c r="AG48" s="177">
        <v>6.1278176100000001</v>
      </c>
      <c r="AH48" s="177">
        <v>6.1278176100000001</v>
      </c>
      <c r="AI48" s="177">
        <v>6.1278176100000001</v>
      </c>
      <c r="AJ48" s="177">
        <v>6.1278176100000001</v>
      </c>
      <c r="AK48" s="177">
        <v>6.1278176100000001</v>
      </c>
      <c r="AL48" s="177">
        <v>6.1278176100000001</v>
      </c>
      <c r="AM48" s="177">
        <v>6.1278176100000001</v>
      </c>
      <c r="AN48" s="177">
        <v>6.1278176100000001</v>
      </c>
    </row>
    <row r="49" spans="1:40" x14ac:dyDescent="0.25">
      <c r="B49" s="117"/>
      <c r="C49" s="175" t="s">
        <v>190</v>
      </c>
      <c r="D49" s="151" t="s">
        <v>317</v>
      </c>
      <c r="F49" s="177">
        <v>2.0370185187270153</v>
      </c>
      <c r="G49" s="177">
        <v>2.0370185187270153</v>
      </c>
      <c r="H49" s="177">
        <v>2.0370185187270153</v>
      </c>
      <c r="I49" s="177">
        <v>2.0370185187270153</v>
      </c>
      <c r="J49" s="177">
        <v>2.0370185187270153</v>
      </c>
      <c r="K49" s="177">
        <v>2.0370185187270153</v>
      </c>
      <c r="L49" s="177">
        <v>2.0370185187270153</v>
      </c>
      <c r="M49" s="177">
        <v>2.0370185187270153</v>
      </c>
      <c r="N49" s="177">
        <v>2.0370185187270153</v>
      </c>
      <c r="O49" s="177">
        <v>2.0370185187270153</v>
      </c>
      <c r="P49" s="177">
        <v>2.0370185187270153</v>
      </c>
      <c r="Q49" s="177">
        <v>2.0370185187270153</v>
      </c>
      <c r="R49" s="177">
        <v>2.0370185187270153</v>
      </c>
      <c r="S49" s="177">
        <v>2.0370185187270153</v>
      </c>
      <c r="T49" s="177">
        <v>2.0370185187270153</v>
      </c>
      <c r="U49" s="177">
        <v>2.0370185187270153</v>
      </c>
      <c r="V49" s="177">
        <v>2.0370185187270153</v>
      </c>
      <c r="W49" s="177">
        <v>2.0370185187270153</v>
      </c>
      <c r="X49" s="177">
        <v>2.0370185187270153</v>
      </c>
      <c r="Y49" s="177">
        <v>2.0370185187270153</v>
      </c>
      <c r="Z49" s="177">
        <v>2.0370185187270153</v>
      </c>
      <c r="AA49" s="177">
        <v>2.0370185187270153</v>
      </c>
      <c r="AB49" s="177">
        <v>2.0370185187270153</v>
      </c>
      <c r="AC49" s="177">
        <v>2.0370185187270153</v>
      </c>
      <c r="AD49" s="177">
        <v>2.0370185187270153</v>
      </c>
      <c r="AE49" s="177">
        <v>2.0370185187270153</v>
      </c>
      <c r="AF49" s="177">
        <v>2.0370185187270153</v>
      </c>
      <c r="AG49" s="177">
        <v>2.0370185187270153</v>
      </c>
      <c r="AH49" s="177">
        <v>2.0370185187270153</v>
      </c>
      <c r="AI49" s="177">
        <v>2.0370185187270153</v>
      </c>
      <c r="AJ49" s="177">
        <v>2.0370185187270153</v>
      </c>
      <c r="AK49" s="177">
        <v>2.0370185187270153</v>
      </c>
      <c r="AL49" s="177">
        <v>2.0370185187270153</v>
      </c>
      <c r="AM49" s="177">
        <v>2.0370185187270153</v>
      </c>
      <c r="AN49" s="177">
        <v>2.0370185187270153</v>
      </c>
    </row>
    <row r="50" spans="1:40" x14ac:dyDescent="0.25">
      <c r="C50" s="175" t="s">
        <v>191</v>
      </c>
      <c r="D50" s="151" t="s">
        <v>317</v>
      </c>
      <c r="F50" s="177">
        <v>5.8276830999999998</v>
      </c>
      <c r="G50" s="177">
        <v>5.8276830999999998</v>
      </c>
      <c r="H50" s="177">
        <v>5.8276830999999998</v>
      </c>
      <c r="I50" s="177">
        <v>5.8276830999999998</v>
      </c>
      <c r="J50" s="177">
        <v>5.8276830999999998</v>
      </c>
      <c r="K50" s="177">
        <v>5.8276830999999998</v>
      </c>
      <c r="L50" s="177">
        <v>5.8276830999999998</v>
      </c>
      <c r="M50" s="177">
        <v>5.8276830999999998</v>
      </c>
      <c r="N50" s="177">
        <v>5.8276830999999998</v>
      </c>
      <c r="O50" s="177">
        <v>5.8276830999999998</v>
      </c>
      <c r="P50" s="177">
        <v>5.8276830999999998</v>
      </c>
      <c r="Q50" s="177">
        <v>5.8276830999999998</v>
      </c>
      <c r="R50" s="177">
        <v>5.8276830999999998</v>
      </c>
      <c r="S50" s="177">
        <v>5.8276830999999998</v>
      </c>
      <c r="T50" s="177">
        <v>5.8276830999999998</v>
      </c>
      <c r="U50" s="177">
        <v>5.8276830999999998</v>
      </c>
      <c r="V50" s="177">
        <v>5.8276830999999998</v>
      </c>
      <c r="W50" s="177">
        <v>5.8276830999999998</v>
      </c>
      <c r="X50" s="177">
        <v>5.8276830999999998</v>
      </c>
      <c r="Y50" s="177">
        <v>5.8276830999999998</v>
      </c>
      <c r="Z50" s="177">
        <v>5.8276830999999998</v>
      </c>
      <c r="AA50" s="177">
        <v>5.8276830999999998</v>
      </c>
      <c r="AB50" s="177">
        <v>5.8276830999999998</v>
      </c>
      <c r="AC50" s="177">
        <v>5.8276830999999998</v>
      </c>
      <c r="AD50" s="177">
        <v>5.8276830999999998</v>
      </c>
      <c r="AE50" s="177">
        <v>5.8276830999999998</v>
      </c>
      <c r="AF50" s="177">
        <v>5.8276830999999998</v>
      </c>
      <c r="AG50" s="177">
        <v>5.8276830999999998</v>
      </c>
      <c r="AH50" s="177">
        <v>5.8276830999999998</v>
      </c>
      <c r="AI50" s="177">
        <v>5.8276830999999998</v>
      </c>
      <c r="AJ50" s="177">
        <v>5.8276830999999998</v>
      </c>
      <c r="AK50" s="177">
        <v>5.8276830999999998</v>
      </c>
      <c r="AL50" s="177">
        <v>5.8276830999999998</v>
      </c>
      <c r="AM50" s="177">
        <v>5.8276830999999998</v>
      </c>
      <c r="AN50" s="177">
        <v>5.8276830999999998</v>
      </c>
    </row>
    <row r="51" spans="1:40" x14ac:dyDescent="0.25">
      <c r="C51" s="175" t="s">
        <v>182</v>
      </c>
      <c r="D51" s="151" t="s">
        <v>317</v>
      </c>
      <c r="F51" s="178">
        <f>SUM(F44:F50)</f>
        <v>31.610320622512191</v>
      </c>
      <c r="G51" s="178">
        <f t="shared" ref="G51:AN51" si="4">SUM(G44:G50)</f>
        <v>31.176745136974404</v>
      </c>
      <c r="H51" s="178">
        <f t="shared" si="4"/>
        <v>30.82923285450947</v>
      </c>
      <c r="I51" s="178">
        <f t="shared" si="4"/>
        <v>30.541101310192303</v>
      </c>
      <c r="J51" s="178">
        <f t="shared" si="4"/>
        <v>30.318613743011447</v>
      </c>
      <c r="K51" s="178">
        <f t="shared" si="4"/>
        <v>30.119814524278532</v>
      </c>
      <c r="L51" s="178">
        <f t="shared" si="4"/>
        <v>29.936584191307333</v>
      </c>
      <c r="M51" s="178">
        <f t="shared" si="4"/>
        <v>29.775338216677071</v>
      </c>
      <c r="N51" s="178">
        <f t="shared" si="4"/>
        <v>29.631533375449848</v>
      </c>
      <c r="O51" s="178">
        <f t="shared" si="4"/>
        <v>29.504988439699432</v>
      </c>
      <c r="P51" s="178">
        <f t="shared" si="4"/>
        <v>29.383645948930806</v>
      </c>
      <c r="Q51" s="178">
        <f t="shared" si="4"/>
        <v>29.272451027884784</v>
      </c>
      <c r="R51" s="178">
        <f t="shared" si="4"/>
        <v>29.171448496102037</v>
      </c>
      <c r="S51" s="178">
        <f t="shared" si="4"/>
        <v>29.078871504965342</v>
      </c>
      <c r="T51" s="178">
        <f t="shared" si="4"/>
        <v>29.002510909451971</v>
      </c>
      <c r="U51" s="178">
        <f t="shared" si="4"/>
        <v>28.932157982122249</v>
      </c>
      <c r="V51" s="178">
        <f t="shared" si="4"/>
        <v>28.867049929758522</v>
      </c>
      <c r="W51" s="178">
        <f t="shared" si="4"/>
        <v>28.806552420081637</v>
      </c>
      <c r="X51" s="178">
        <f t="shared" si="4"/>
        <v>28.750133039582956</v>
      </c>
      <c r="Y51" s="178">
        <f t="shared" si="4"/>
        <v>28.697341172922457</v>
      </c>
      <c r="Z51" s="178">
        <f t="shared" si="4"/>
        <v>28.647792541060625</v>
      </c>
      <c r="AA51" s="178">
        <f t="shared" si="4"/>
        <v>28.601157172176698</v>
      </c>
      <c r="AB51" s="178">
        <f t="shared" si="4"/>
        <v>28.557149937908171</v>
      </c>
      <c r="AC51" s="178">
        <f t="shared" si="4"/>
        <v>28.515523031385364</v>
      </c>
      <c r="AD51" s="178">
        <f t="shared" si="4"/>
        <v>28.48321487127928</v>
      </c>
      <c r="AE51" s="178">
        <f t="shared" si="4"/>
        <v>28.452775601504086</v>
      </c>
      <c r="AF51" s="178">
        <f t="shared" si="4"/>
        <v>28.424043142186918</v>
      </c>
      <c r="AG51" s="178">
        <f t="shared" si="4"/>
        <v>28.396874037212584</v>
      </c>
      <c r="AH51" s="178">
        <f t="shared" si="4"/>
        <v>28.371140808390258</v>
      </c>
      <c r="AI51" s="178">
        <f t="shared" si="4"/>
        <v>28.346729754224043</v>
      </c>
      <c r="AJ51" s="178">
        <f t="shared" si="4"/>
        <v>28.323539107589738</v>
      </c>
      <c r="AK51" s="178">
        <f t="shared" si="4"/>
        <v>28.301477485147934</v>
      </c>
      <c r="AL51" s="178">
        <f t="shared" si="4"/>
        <v>28.28046257543415</v>
      </c>
      <c r="AM51" s="178">
        <f t="shared" si="4"/>
        <v>28.26042002340553</v>
      </c>
      <c r="AN51" s="178">
        <f t="shared" si="4"/>
        <v>28.236285598056874</v>
      </c>
    </row>
    <row r="52" spans="1:40" x14ac:dyDescent="0.25">
      <c r="D52" s="151"/>
      <c r="F52" s="178"/>
      <c r="G52" s="178"/>
      <c r="H52" s="178"/>
      <c r="I52" s="178"/>
      <c r="J52" s="178"/>
      <c r="K52" s="178"/>
      <c r="L52" s="178"/>
      <c r="M52" s="178"/>
      <c r="N52" s="178"/>
      <c r="O52" s="178"/>
      <c r="P52" s="178"/>
      <c r="Q52" s="178"/>
      <c r="R52" s="178"/>
      <c r="S52" s="178"/>
      <c r="T52" s="178"/>
      <c r="U52" s="178"/>
      <c r="V52" s="178"/>
      <c r="W52" s="178"/>
      <c r="X52" s="178"/>
      <c r="Y52" s="178"/>
      <c r="Z52" s="178"/>
      <c r="AA52" s="178"/>
      <c r="AB52" s="178"/>
      <c r="AC52" s="178"/>
      <c r="AD52" s="178"/>
      <c r="AE52" s="178"/>
      <c r="AF52" s="178"/>
      <c r="AG52" s="178"/>
      <c r="AH52" s="178"/>
      <c r="AI52" s="178"/>
      <c r="AJ52" s="178"/>
      <c r="AK52" s="178"/>
      <c r="AL52" s="178"/>
      <c r="AM52" s="178"/>
      <c r="AN52" s="178"/>
    </row>
    <row r="53" spans="1:40" x14ac:dyDescent="0.25">
      <c r="B53" s="117" t="s">
        <v>144</v>
      </c>
      <c r="C53" s="175" t="s">
        <v>185</v>
      </c>
      <c r="D53" s="151" t="s">
        <v>317</v>
      </c>
      <c r="F53" s="177">
        <v>10.554980245515079</v>
      </c>
      <c r="G53" s="177">
        <v>9.9589445410744517</v>
      </c>
      <c r="H53" s="177">
        <v>9.4827036219459941</v>
      </c>
      <c r="I53" s="177">
        <v>9.0891737091368832</v>
      </c>
      <c r="J53" s="177">
        <v>8.7898967784905722</v>
      </c>
      <c r="K53" s="177">
        <v>8.5364560138642993</v>
      </c>
      <c r="L53" s="177">
        <v>8.3029811188052189</v>
      </c>
      <c r="M53" s="177">
        <v>8.1004345317074637</v>
      </c>
      <c r="N53" s="177">
        <v>7.9223188396931654</v>
      </c>
      <c r="O53" s="177">
        <v>7.7685239415404093</v>
      </c>
      <c r="P53" s="177">
        <v>7.6216957808484249</v>
      </c>
      <c r="Q53" s="177">
        <v>7.4929679928879072</v>
      </c>
      <c r="R53" s="177">
        <v>7.3756292860278361</v>
      </c>
      <c r="S53" s="177">
        <v>7.2680126510167584</v>
      </c>
      <c r="T53" s="177">
        <v>7.1797833494146515</v>
      </c>
      <c r="U53" s="177">
        <v>7.0984670911515693</v>
      </c>
      <c r="V53" s="177">
        <v>7.0231862568001855</v>
      </c>
      <c r="W53" s="177">
        <v>6.9532109732138201</v>
      </c>
      <c r="X53" s="177">
        <v>6.8879286088577585</v>
      </c>
      <c r="Y53" s="177">
        <v>6.8268206420055293</v>
      </c>
      <c r="Z53" s="177">
        <v>6.7694448802276748</v>
      </c>
      <c r="AA53" s="177">
        <v>6.7154216244736</v>
      </c>
      <c r="AB53" s="177">
        <v>6.6644227818909405</v>
      </c>
      <c r="AC53" s="177">
        <v>6.6161632112668638</v>
      </c>
      <c r="AD53" s="177">
        <v>6.5791876603980386</v>
      </c>
      <c r="AE53" s="177">
        <v>6.5443546949399218</v>
      </c>
      <c r="AF53" s="177">
        <v>6.5114782754537357</v>
      </c>
      <c r="AG53" s="177">
        <v>6.4803937555510318</v>
      </c>
      <c r="AH53" s="177">
        <v>6.4509548413989597</v>
      </c>
      <c r="AI53" s="177">
        <v>6.4230310622157889</v>
      </c>
      <c r="AJ53" s="177">
        <v>6.3965056532705713</v>
      </c>
      <c r="AK53" s="177">
        <v>6.3712737741884364</v>
      </c>
      <c r="AL53" s="177">
        <v>6.347241001577256</v>
      </c>
      <c r="AM53" s="177">
        <v>6.3243220474473212</v>
      </c>
      <c r="AN53" s="177">
        <v>6.296298177056399</v>
      </c>
    </row>
    <row r="54" spans="1:40" x14ac:dyDescent="0.25">
      <c r="B54" s="117"/>
      <c r="C54" s="175" t="s">
        <v>186</v>
      </c>
      <c r="D54" s="151" t="s">
        <v>317</v>
      </c>
      <c r="F54" s="177">
        <v>3.5101439526025691</v>
      </c>
      <c r="G54" s="177">
        <v>3.4669562055159089</v>
      </c>
      <c r="H54" s="177">
        <v>3.4299374021257081</v>
      </c>
      <c r="I54" s="177">
        <v>3.3972369599217873</v>
      </c>
      <c r="J54" s="177">
        <v>3.3667741264790143</v>
      </c>
      <c r="K54" s="177">
        <v>3.3233584577089577</v>
      </c>
      <c r="L54" s="177">
        <v>3.2825499682468271</v>
      </c>
      <c r="M54" s="177">
        <v>3.2428716798860568</v>
      </c>
      <c r="N54" s="177">
        <v>3.2042343990252657</v>
      </c>
      <c r="O54" s="177">
        <v>3.1665914002571722</v>
      </c>
      <c r="P54" s="177">
        <v>3.129395852961665</v>
      </c>
      <c r="Q54" s="177">
        <v>3.088045586118255</v>
      </c>
      <c r="R54" s="177">
        <v>3.0509651466549244</v>
      </c>
      <c r="S54" s="177">
        <v>3.0170280471075679</v>
      </c>
      <c r="T54" s="177">
        <v>2.9886080935121067</v>
      </c>
      <c r="U54" s="177">
        <v>2.962444942811771</v>
      </c>
      <c r="V54" s="177">
        <v>2.9382521183958397</v>
      </c>
      <c r="W54" s="177">
        <v>2.9157914069038764</v>
      </c>
      <c r="X54" s="177">
        <v>2.8948628726849663</v>
      </c>
      <c r="Y54" s="177">
        <v>2.8752972931557212</v>
      </c>
      <c r="Z54" s="177">
        <v>2.8569503487722261</v>
      </c>
      <c r="AA54" s="177">
        <v>2.8396981048424905</v>
      </c>
      <c r="AB54" s="177">
        <v>2.8234334580801796</v>
      </c>
      <c r="AC54" s="177">
        <v>2.8080633129998995</v>
      </c>
      <c r="AD54" s="177">
        <v>2.7957511902534522</v>
      </c>
      <c r="AE54" s="177">
        <v>2.7841478931268009</v>
      </c>
      <c r="AF54" s="177">
        <v>2.7731921575534555</v>
      </c>
      <c r="AG54" s="177">
        <v>2.7628297430766531</v>
      </c>
      <c r="AH54" s="177">
        <v>2.753012436366864</v>
      </c>
      <c r="AI54" s="177">
        <v>2.7436972220812401</v>
      </c>
      <c r="AJ54" s="177">
        <v>2.7348455888125134</v>
      </c>
      <c r="AK54" s="177">
        <v>2.726422944850166</v>
      </c>
      <c r="AL54" s="177">
        <v>2.7183981237878903</v>
      </c>
      <c r="AM54" s="177">
        <v>2.7107429640904566</v>
      </c>
      <c r="AN54" s="177">
        <v>2.701864171125457</v>
      </c>
    </row>
    <row r="55" spans="1:40" x14ac:dyDescent="0.25">
      <c r="B55" s="117"/>
      <c r="C55" s="175" t="s">
        <v>187</v>
      </c>
      <c r="D55" s="151" t="s">
        <v>317</v>
      </c>
      <c r="F55" s="177">
        <v>0</v>
      </c>
      <c r="G55" s="177">
        <v>0</v>
      </c>
      <c r="H55" s="177">
        <v>0</v>
      </c>
      <c r="I55" s="177">
        <v>0</v>
      </c>
      <c r="J55" s="177">
        <v>0</v>
      </c>
      <c r="K55" s="177">
        <v>0</v>
      </c>
      <c r="L55" s="177">
        <v>0</v>
      </c>
      <c r="M55" s="177">
        <v>0</v>
      </c>
      <c r="N55" s="177">
        <v>0</v>
      </c>
      <c r="O55" s="177">
        <v>0</v>
      </c>
      <c r="P55" s="177">
        <v>0</v>
      </c>
      <c r="Q55" s="177">
        <v>0</v>
      </c>
      <c r="R55" s="177">
        <v>0</v>
      </c>
      <c r="S55" s="177">
        <v>0</v>
      </c>
      <c r="T55" s="177">
        <v>0</v>
      </c>
      <c r="U55" s="177">
        <v>0</v>
      </c>
      <c r="V55" s="177">
        <v>0</v>
      </c>
      <c r="W55" s="177">
        <v>0</v>
      </c>
      <c r="X55" s="177">
        <v>0</v>
      </c>
      <c r="Y55" s="177">
        <v>0</v>
      </c>
      <c r="Z55" s="177">
        <v>0</v>
      </c>
      <c r="AA55" s="177">
        <v>0</v>
      </c>
      <c r="AB55" s="177">
        <v>0</v>
      </c>
      <c r="AC55" s="177">
        <v>0</v>
      </c>
      <c r="AD55" s="177">
        <v>0</v>
      </c>
      <c r="AE55" s="177">
        <v>0</v>
      </c>
      <c r="AF55" s="177">
        <v>0</v>
      </c>
      <c r="AG55" s="177">
        <v>0</v>
      </c>
      <c r="AH55" s="177">
        <v>0</v>
      </c>
      <c r="AI55" s="177">
        <v>0</v>
      </c>
      <c r="AJ55" s="177">
        <v>0</v>
      </c>
      <c r="AK55" s="177">
        <v>0</v>
      </c>
      <c r="AL55" s="177">
        <v>0</v>
      </c>
      <c r="AM55" s="177">
        <v>0</v>
      </c>
      <c r="AN55" s="177">
        <v>0</v>
      </c>
    </row>
    <row r="56" spans="1:40" x14ac:dyDescent="0.25">
      <c r="B56" s="117"/>
      <c r="C56" s="175" t="s">
        <v>188</v>
      </c>
      <c r="D56" s="151" t="s">
        <v>317</v>
      </c>
      <c r="F56" s="177">
        <v>11.178741329999999</v>
      </c>
      <c r="G56" s="177">
        <v>11.178741329999999</v>
      </c>
      <c r="H56" s="177">
        <v>11.178741329999999</v>
      </c>
      <c r="I56" s="177">
        <v>11.178741329999999</v>
      </c>
      <c r="J56" s="177">
        <v>11.178741329999999</v>
      </c>
      <c r="K56" s="177">
        <v>11.178741329999999</v>
      </c>
      <c r="L56" s="177">
        <v>11.178741329999999</v>
      </c>
      <c r="M56" s="177">
        <v>11.178741329999999</v>
      </c>
      <c r="N56" s="177">
        <v>11.178741329999999</v>
      </c>
      <c r="O56" s="177">
        <v>11.178741329999999</v>
      </c>
      <c r="P56" s="177">
        <v>11.178741329999999</v>
      </c>
      <c r="Q56" s="177">
        <v>11.178741329999999</v>
      </c>
      <c r="R56" s="177">
        <v>11.178741329999999</v>
      </c>
      <c r="S56" s="177">
        <v>11.178741329999999</v>
      </c>
      <c r="T56" s="177">
        <v>11.178741329999999</v>
      </c>
      <c r="U56" s="177">
        <v>11.178741329999999</v>
      </c>
      <c r="V56" s="177">
        <v>11.178741329999999</v>
      </c>
      <c r="W56" s="177">
        <v>11.178741329999999</v>
      </c>
      <c r="X56" s="177">
        <v>11.178741329999999</v>
      </c>
      <c r="Y56" s="177">
        <v>11.178741329999999</v>
      </c>
      <c r="Z56" s="177">
        <v>11.178741329999999</v>
      </c>
      <c r="AA56" s="177">
        <v>11.178741329999999</v>
      </c>
      <c r="AB56" s="177">
        <v>11.178741329999999</v>
      </c>
      <c r="AC56" s="177">
        <v>11.178741329999999</v>
      </c>
      <c r="AD56" s="177">
        <v>11.178741329999999</v>
      </c>
      <c r="AE56" s="177">
        <v>11.178741329999999</v>
      </c>
      <c r="AF56" s="177">
        <v>11.178741329999999</v>
      </c>
      <c r="AG56" s="177">
        <v>11.178741329999999</v>
      </c>
      <c r="AH56" s="177">
        <v>11.178741329999999</v>
      </c>
      <c r="AI56" s="177">
        <v>11.178741329999999</v>
      </c>
      <c r="AJ56" s="177">
        <v>11.178741329999999</v>
      </c>
      <c r="AK56" s="177">
        <v>11.178741329999999</v>
      </c>
      <c r="AL56" s="177">
        <v>11.178741329999999</v>
      </c>
      <c r="AM56" s="177">
        <v>11.178741329999999</v>
      </c>
      <c r="AN56" s="177">
        <v>11.178741329999999</v>
      </c>
    </row>
    <row r="57" spans="1:40" ht="13" x14ac:dyDescent="0.3">
      <c r="B57" s="130"/>
      <c r="C57" s="175" t="s">
        <v>189</v>
      </c>
      <c r="D57" s="151" t="s">
        <v>317</v>
      </c>
      <c r="F57" s="177">
        <v>6.1278176100000001</v>
      </c>
      <c r="G57" s="177">
        <v>6.1278176100000001</v>
      </c>
      <c r="H57" s="177">
        <v>6.1278176100000001</v>
      </c>
      <c r="I57" s="177">
        <v>6.1278176100000001</v>
      </c>
      <c r="J57" s="177">
        <v>6.1278176100000001</v>
      </c>
      <c r="K57" s="177">
        <v>6.1278176100000001</v>
      </c>
      <c r="L57" s="177">
        <v>6.1278176100000001</v>
      </c>
      <c r="M57" s="177">
        <v>6.1278176100000001</v>
      </c>
      <c r="N57" s="177">
        <v>6.1278176100000001</v>
      </c>
      <c r="O57" s="177">
        <v>6.1278176100000001</v>
      </c>
      <c r="P57" s="177">
        <v>6.1278176100000001</v>
      </c>
      <c r="Q57" s="177">
        <v>6.1278176100000001</v>
      </c>
      <c r="R57" s="177">
        <v>6.1278176100000001</v>
      </c>
      <c r="S57" s="177">
        <v>6.1278176100000001</v>
      </c>
      <c r="T57" s="177">
        <v>6.1278176100000001</v>
      </c>
      <c r="U57" s="177">
        <v>6.1278176100000001</v>
      </c>
      <c r="V57" s="177">
        <v>6.1278176100000001</v>
      </c>
      <c r="W57" s="177">
        <v>6.1278176100000001</v>
      </c>
      <c r="X57" s="177">
        <v>6.1278176100000001</v>
      </c>
      <c r="Y57" s="177">
        <v>6.1278176100000001</v>
      </c>
      <c r="Z57" s="177">
        <v>6.1278176100000001</v>
      </c>
      <c r="AA57" s="177">
        <v>6.1278176100000001</v>
      </c>
      <c r="AB57" s="177">
        <v>6.1278176100000001</v>
      </c>
      <c r="AC57" s="177">
        <v>6.1278176100000001</v>
      </c>
      <c r="AD57" s="177">
        <v>6.1278176100000001</v>
      </c>
      <c r="AE57" s="177">
        <v>6.1278176100000001</v>
      </c>
      <c r="AF57" s="177">
        <v>6.1278176100000001</v>
      </c>
      <c r="AG57" s="177">
        <v>6.1278176100000001</v>
      </c>
      <c r="AH57" s="177">
        <v>6.1278176100000001</v>
      </c>
      <c r="AI57" s="177">
        <v>6.1278176100000001</v>
      </c>
      <c r="AJ57" s="177">
        <v>6.1278176100000001</v>
      </c>
      <c r="AK57" s="177">
        <v>6.1278176100000001</v>
      </c>
      <c r="AL57" s="177">
        <v>6.1278176100000001</v>
      </c>
      <c r="AM57" s="177">
        <v>6.1278176100000001</v>
      </c>
      <c r="AN57" s="177">
        <v>6.1278176100000001</v>
      </c>
    </row>
    <row r="58" spans="1:40" ht="13" x14ac:dyDescent="0.3">
      <c r="B58" s="130"/>
      <c r="C58" s="175" t="s">
        <v>190</v>
      </c>
      <c r="D58" s="151" t="s">
        <v>317</v>
      </c>
      <c r="F58" s="177">
        <v>2.935395916729699</v>
      </c>
      <c r="G58" s="177">
        <v>2.935395916729699</v>
      </c>
      <c r="H58" s="177">
        <v>2.935395916729699</v>
      </c>
      <c r="I58" s="177">
        <v>2.935395916729699</v>
      </c>
      <c r="J58" s="177">
        <v>2.935395916729699</v>
      </c>
      <c r="K58" s="177">
        <v>2.935395916729699</v>
      </c>
      <c r="L58" s="177">
        <v>2.935395916729699</v>
      </c>
      <c r="M58" s="177">
        <v>2.935395916729699</v>
      </c>
      <c r="N58" s="177">
        <v>2.935395916729699</v>
      </c>
      <c r="O58" s="177">
        <v>2.935395916729699</v>
      </c>
      <c r="P58" s="177">
        <v>2.935395916729699</v>
      </c>
      <c r="Q58" s="177">
        <v>2.935395916729699</v>
      </c>
      <c r="R58" s="177">
        <v>2.935395916729699</v>
      </c>
      <c r="S58" s="177">
        <v>2.935395916729699</v>
      </c>
      <c r="T58" s="177">
        <v>2.935395916729699</v>
      </c>
      <c r="U58" s="177">
        <v>2.935395916729699</v>
      </c>
      <c r="V58" s="177">
        <v>2.935395916729699</v>
      </c>
      <c r="W58" s="177">
        <v>2.935395916729699</v>
      </c>
      <c r="X58" s="177">
        <v>2.935395916729699</v>
      </c>
      <c r="Y58" s="177">
        <v>2.935395916729699</v>
      </c>
      <c r="Z58" s="177">
        <v>2.935395916729699</v>
      </c>
      <c r="AA58" s="177">
        <v>2.935395916729699</v>
      </c>
      <c r="AB58" s="177">
        <v>2.935395916729699</v>
      </c>
      <c r="AC58" s="177">
        <v>2.935395916729699</v>
      </c>
      <c r="AD58" s="177">
        <v>2.935395916729699</v>
      </c>
      <c r="AE58" s="177">
        <v>2.935395916729699</v>
      </c>
      <c r="AF58" s="177">
        <v>2.935395916729699</v>
      </c>
      <c r="AG58" s="177">
        <v>2.935395916729699</v>
      </c>
      <c r="AH58" s="177">
        <v>2.935395916729699</v>
      </c>
      <c r="AI58" s="177">
        <v>2.935395916729699</v>
      </c>
      <c r="AJ58" s="177">
        <v>2.935395916729699</v>
      </c>
      <c r="AK58" s="177">
        <v>2.935395916729699</v>
      </c>
      <c r="AL58" s="177">
        <v>2.935395916729699</v>
      </c>
      <c r="AM58" s="177">
        <v>2.935395916729699</v>
      </c>
      <c r="AN58" s="177">
        <v>2.935395916729699</v>
      </c>
    </row>
    <row r="59" spans="1:40" x14ac:dyDescent="0.25">
      <c r="C59" s="175" t="s">
        <v>191</v>
      </c>
      <c r="D59" s="151" t="s">
        <v>317</v>
      </c>
      <c r="F59" s="177">
        <v>9.808062099999999</v>
      </c>
      <c r="G59" s="177">
        <v>9.808062099999999</v>
      </c>
      <c r="H59" s="177">
        <v>9.808062099999999</v>
      </c>
      <c r="I59" s="177">
        <v>9.808062099999999</v>
      </c>
      <c r="J59" s="177">
        <v>9.808062099999999</v>
      </c>
      <c r="K59" s="177">
        <v>9.808062099999999</v>
      </c>
      <c r="L59" s="177">
        <v>9.808062099999999</v>
      </c>
      <c r="M59" s="177">
        <v>9.808062099999999</v>
      </c>
      <c r="N59" s="177">
        <v>9.808062099999999</v>
      </c>
      <c r="O59" s="177">
        <v>9.808062099999999</v>
      </c>
      <c r="P59" s="177">
        <v>9.808062099999999</v>
      </c>
      <c r="Q59" s="177">
        <v>9.808062099999999</v>
      </c>
      <c r="R59" s="177">
        <v>9.808062099999999</v>
      </c>
      <c r="S59" s="177">
        <v>9.808062099999999</v>
      </c>
      <c r="T59" s="177">
        <v>9.808062099999999</v>
      </c>
      <c r="U59" s="177">
        <v>9.808062099999999</v>
      </c>
      <c r="V59" s="177">
        <v>9.808062099999999</v>
      </c>
      <c r="W59" s="177">
        <v>9.808062099999999</v>
      </c>
      <c r="X59" s="177">
        <v>9.808062099999999</v>
      </c>
      <c r="Y59" s="177">
        <v>9.808062099999999</v>
      </c>
      <c r="Z59" s="177">
        <v>9.808062099999999</v>
      </c>
      <c r="AA59" s="177">
        <v>9.808062099999999</v>
      </c>
      <c r="AB59" s="177">
        <v>9.808062099999999</v>
      </c>
      <c r="AC59" s="177">
        <v>9.808062099999999</v>
      </c>
      <c r="AD59" s="177">
        <v>9.808062099999999</v>
      </c>
      <c r="AE59" s="177">
        <v>9.808062099999999</v>
      </c>
      <c r="AF59" s="177">
        <v>9.808062099999999</v>
      </c>
      <c r="AG59" s="177">
        <v>9.808062099999999</v>
      </c>
      <c r="AH59" s="177">
        <v>9.808062099999999</v>
      </c>
      <c r="AI59" s="177">
        <v>9.808062099999999</v>
      </c>
      <c r="AJ59" s="177">
        <v>9.808062099999999</v>
      </c>
      <c r="AK59" s="177">
        <v>9.808062099999999</v>
      </c>
      <c r="AL59" s="177">
        <v>9.808062099999999</v>
      </c>
      <c r="AM59" s="177">
        <v>9.808062099999999</v>
      </c>
      <c r="AN59" s="177">
        <v>9.808062099999999</v>
      </c>
    </row>
    <row r="60" spans="1:40" x14ac:dyDescent="0.25">
      <c r="C60" s="175" t="s">
        <v>182</v>
      </c>
      <c r="D60" s="151" t="s">
        <v>317</v>
      </c>
      <c r="F60" s="178">
        <f>SUM(F53:F59)</f>
        <v>44.115141154847343</v>
      </c>
      <c r="G60" s="178">
        <f t="shared" ref="G60:AN60" si="5">SUM(G53:G59)</f>
        <v>43.475917703320057</v>
      </c>
      <c r="H60" s="178">
        <f t="shared" si="5"/>
        <v>42.962657980801403</v>
      </c>
      <c r="I60" s="178">
        <f t="shared" si="5"/>
        <v>42.53642762578837</v>
      </c>
      <c r="J60" s="178">
        <f t="shared" si="5"/>
        <v>42.206687861699287</v>
      </c>
      <c r="K60" s="178">
        <f t="shared" si="5"/>
        <v>41.909831428302958</v>
      </c>
      <c r="L60" s="178">
        <f t="shared" si="5"/>
        <v>41.635548043781746</v>
      </c>
      <c r="M60" s="178">
        <f t="shared" si="5"/>
        <v>41.393323168323221</v>
      </c>
      <c r="N60" s="178">
        <f t="shared" si="5"/>
        <v>41.176570195448129</v>
      </c>
      <c r="O60" s="178">
        <f t="shared" si="5"/>
        <v>40.985132298527283</v>
      </c>
      <c r="P60" s="178">
        <f t="shared" si="5"/>
        <v>40.801108590539791</v>
      </c>
      <c r="Q60" s="178">
        <f t="shared" si="5"/>
        <v>40.63103053573586</v>
      </c>
      <c r="R60" s="178">
        <f t="shared" si="5"/>
        <v>40.476611389412462</v>
      </c>
      <c r="S60" s="178">
        <f t="shared" si="5"/>
        <v>40.335057654854026</v>
      </c>
      <c r="T60" s="178">
        <f t="shared" si="5"/>
        <v>40.218408399656454</v>
      </c>
      <c r="U60" s="178">
        <f t="shared" si="5"/>
        <v>40.11092899069304</v>
      </c>
      <c r="V60" s="178">
        <f t="shared" si="5"/>
        <v>40.011455331925724</v>
      </c>
      <c r="W60" s="178">
        <f t="shared" si="5"/>
        <v>39.919019336847391</v>
      </c>
      <c r="X60" s="178">
        <f t="shared" si="5"/>
        <v>39.832808438272423</v>
      </c>
      <c r="Y60" s="178">
        <f t="shared" si="5"/>
        <v>39.752134891890947</v>
      </c>
      <c r="Z60" s="178">
        <f t="shared" si="5"/>
        <v>39.676412185729596</v>
      </c>
      <c r="AA60" s="178">
        <f t="shared" si="5"/>
        <v>39.605136686045789</v>
      </c>
      <c r="AB60" s="178">
        <f t="shared" si="5"/>
        <v>39.537873196700815</v>
      </c>
      <c r="AC60" s="178">
        <f t="shared" si="5"/>
        <v>39.474243480996464</v>
      </c>
      <c r="AD60" s="178">
        <f t="shared" si="5"/>
        <v>39.424955807381188</v>
      </c>
      <c r="AE60" s="178">
        <f t="shared" si="5"/>
        <v>39.378519544796418</v>
      </c>
      <c r="AF60" s="178">
        <f t="shared" si="5"/>
        <v>39.334687389736892</v>
      </c>
      <c r="AG60" s="178">
        <f t="shared" si="5"/>
        <v>39.293240455357385</v>
      </c>
      <c r="AH60" s="178">
        <f t="shared" si="5"/>
        <v>39.253984234495519</v>
      </c>
      <c r="AI60" s="178">
        <f t="shared" si="5"/>
        <v>39.216745241026729</v>
      </c>
      <c r="AJ60" s="178">
        <f t="shared" si="5"/>
        <v>39.181368198812784</v>
      </c>
      <c r="AK60" s="178">
        <f t="shared" si="5"/>
        <v>39.147713675768301</v>
      </c>
      <c r="AL60" s="178">
        <f t="shared" si="5"/>
        <v>39.115656082094844</v>
      </c>
      <c r="AM60" s="178">
        <f t="shared" si="5"/>
        <v>39.085081968267474</v>
      </c>
      <c r="AN60" s="178">
        <f t="shared" si="5"/>
        <v>39.048179304911557</v>
      </c>
    </row>
    <row r="61" spans="1:40" x14ac:dyDescent="0.25">
      <c r="C61" s="175"/>
      <c r="D61" s="151"/>
      <c r="F61" s="178"/>
      <c r="G61" s="178"/>
      <c r="H61" s="178"/>
      <c r="I61" s="178"/>
      <c r="J61" s="178"/>
      <c r="K61" s="178"/>
      <c r="L61" s="178"/>
      <c r="M61" s="178"/>
      <c r="N61" s="178"/>
      <c r="O61" s="178"/>
      <c r="P61" s="178"/>
      <c r="Q61" s="178"/>
      <c r="R61" s="178"/>
      <c r="S61" s="178"/>
      <c r="T61" s="178"/>
      <c r="U61" s="178"/>
      <c r="V61" s="178"/>
      <c r="W61" s="178"/>
      <c r="X61" s="178"/>
      <c r="Y61" s="178"/>
      <c r="Z61" s="178"/>
      <c r="AA61" s="178"/>
      <c r="AB61" s="178"/>
      <c r="AC61" s="178"/>
      <c r="AD61" s="178"/>
      <c r="AE61" s="178"/>
      <c r="AF61" s="178"/>
      <c r="AG61" s="178"/>
      <c r="AH61" s="178"/>
      <c r="AI61" s="178"/>
      <c r="AJ61" s="178"/>
      <c r="AK61" s="178"/>
      <c r="AL61" s="178"/>
      <c r="AM61" s="178"/>
      <c r="AN61" s="178"/>
    </row>
    <row r="62" spans="1:40" ht="13" x14ac:dyDescent="0.3">
      <c r="A62" s="126" t="s">
        <v>76</v>
      </c>
      <c r="B62" s="126"/>
      <c r="C62" s="126"/>
      <c r="D62" s="126"/>
      <c r="E62" s="138"/>
      <c r="F62" s="126"/>
      <c r="G62" s="126"/>
      <c r="H62" s="126"/>
      <c r="I62" s="126"/>
      <c r="J62" s="126"/>
      <c r="K62" s="126"/>
      <c r="L62" s="126"/>
      <c r="M62" s="126"/>
      <c r="N62" s="126"/>
      <c r="O62" s="126"/>
      <c r="P62" s="126"/>
      <c r="Q62" s="126"/>
      <c r="R62" s="126"/>
      <c r="S62" s="126"/>
      <c r="T62" s="126"/>
      <c r="U62" s="126"/>
      <c r="V62" s="126"/>
      <c r="W62" s="126"/>
      <c r="X62" s="126"/>
      <c r="Y62" s="126"/>
      <c r="Z62" s="126"/>
      <c r="AA62" s="126"/>
      <c r="AB62" s="126"/>
      <c r="AC62" s="126"/>
      <c r="AD62" s="126"/>
      <c r="AE62" s="126"/>
      <c r="AF62" s="126"/>
      <c r="AG62" s="126"/>
      <c r="AH62" s="126"/>
      <c r="AI62" s="126"/>
      <c r="AJ62" s="126"/>
      <c r="AK62" s="126"/>
      <c r="AL62" s="126"/>
      <c r="AM62" s="126"/>
      <c r="AN62" s="126"/>
    </row>
  </sheetData>
  <conditionalFormatting sqref="A6">
    <cfRule type="expression" dxfId="13" priority="6">
      <formula>#REF!&lt;&gt;"I ACCEPT"</formula>
    </cfRule>
  </conditionalFormatting>
  <conditionalFormatting sqref="A33">
    <cfRule type="expression" dxfId="12" priority="5">
      <formula>#REF!&lt;&gt;"I ACCEPT"</formula>
    </cfRule>
  </conditionalFormatting>
  <conditionalFormatting sqref="B32">
    <cfRule type="expression" dxfId="11" priority="4">
      <formula>#REF!&lt;&gt;"I ACCEPT"</formula>
    </cfRule>
  </conditionalFormatting>
  <conditionalFormatting sqref="B32">
    <cfRule type="expression" dxfId="10" priority="3">
      <formula>#REF!&lt;&gt;"I ACCEPT"</formula>
    </cfRule>
  </conditionalFormatting>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expression" priority="2" stopIfTrue="1" id="{34DAB3F3-1975-4555-9FAC-E0C4750372CE}">
            <xm:f>Disclaimer!$F$18&lt;&gt;"I ACCEPT"</xm:f>
            <x14:dxf>
              <numFmt numFmtId="175" formatCode=";;;"/>
            </x14:dxf>
          </x14:cfRule>
          <xm:sqref>A2:XFD1048576 A1:J1 L1:XFD1</xm:sqref>
        </x14:conditionalFormatting>
        <x14:conditionalFormatting xmlns:xm="http://schemas.microsoft.com/office/excel/2006/main">
          <x14:cfRule type="expression" priority="1" stopIfTrue="1" id="{38AE2FF7-5B86-4D8B-8149-40242188460A}">
            <xm:f>Disclaimer!$F$18="I ACCEPT"</xm:f>
            <x14:dxf>
              <numFmt numFmtId="175" formatCode=";;;"/>
            </x14:dxf>
          </x14:cfRule>
          <xm:sqref>K1</xm:sqref>
        </x14:conditionalFormatting>
      </x14:conditionalFormatting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C672BD-18CB-490B-A1AD-FE35177CB078}">
  <sheetPr codeName="undeg_rev_ws">
    <pageSetUpPr autoPageBreaks="0"/>
  </sheetPr>
  <dimension ref="A1:CV225"/>
  <sheetViews>
    <sheetView showGridLines="0" tabSelected="1" topLeftCell="A4" zoomScale="85" zoomScaleNormal="85" workbookViewId="0">
      <selection activeCell="G25" sqref="G24:M25"/>
    </sheetView>
  </sheetViews>
  <sheetFormatPr defaultColWidth="8.7265625" defaultRowHeight="14.5" x14ac:dyDescent="0.35"/>
  <cols>
    <col min="1" max="1" width="5.54296875" customWidth="1"/>
    <col min="2" max="2" width="61.26953125" bestFit="1" customWidth="1"/>
    <col min="3" max="3" width="29.453125" customWidth="1"/>
    <col min="4" max="4" width="44.54296875" customWidth="1"/>
    <col min="5" max="5" width="21.7265625" bestFit="1" customWidth="1"/>
    <col min="6" max="18" width="8.7265625" customWidth="1"/>
  </cols>
  <sheetData>
    <row r="1" spans="1:59" s="127" customFormat="1" x14ac:dyDescent="0.35">
      <c r="A1" s="10"/>
      <c r="B1" s="1"/>
      <c r="C1" s="130" t="s">
        <v>54</v>
      </c>
      <c r="D1" s="327" t="str">
        <f>Intro!$C$5</f>
        <v>Aurora’s Hungarian Flexible Energy Market Forecast - Q2 2026</v>
      </c>
      <c r="E1" s="117"/>
      <c r="F1" s="117"/>
      <c r="G1" s="117"/>
      <c r="H1" s="117"/>
      <c r="I1" s="117"/>
      <c r="J1" s="117"/>
      <c r="K1" s="329" t="s">
        <v>55</v>
      </c>
      <c r="L1" s="117"/>
      <c r="M1" s="117"/>
      <c r="N1" s="117"/>
      <c r="O1" s="117"/>
      <c r="P1" s="117"/>
      <c r="Q1" s="117"/>
      <c r="R1" s="117"/>
    </row>
    <row r="2" spans="1:59" s="127" customFormat="1" x14ac:dyDescent="0.35">
      <c r="A2" s="10"/>
      <c r="B2" s="1"/>
      <c r="C2" s="130" t="s">
        <v>8</v>
      </c>
      <c r="D2" s="137" t="str">
        <f>Intro!$E$13</f>
        <v>Hungary</v>
      </c>
      <c r="E2" s="117"/>
      <c r="F2" s="117"/>
      <c r="G2" s="117"/>
      <c r="H2" s="117"/>
      <c r="I2" s="117"/>
      <c r="J2" s="117"/>
      <c r="K2" s="117"/>
      <c r="L2" s="117"/>
      <c r="M2" s="117"/>
      <c r="N2" s="117"/>
      <c r="O2" s="117"/>
      <c r="P2" s="117"/>
      <c r="Q2" s="117"/>
      <c r="R2" s="117"/>
    </row>
    <row r="3" spans="1:59" s="127" customFormat="1" x14ac:dyDescent="0.35">
      <c r="A3" s="10"/>
      <c r="B3" s="1"/>
      <c r="C3" s="130" t="s">
        <v>10</v>
      </c>
      <c r="D3" s="136" t="s">
        <v>445</v>
      </c>
      <c r="E3" s="117"/>
      <c r="F3" s="117"/>
      <c r="G3" s="117"/>
      <c r="H3" s="117"/>
      <c r="I3" s="117"/>
      <c r="J3" s="117"/>
      <c r="K3" s="117"/>
      <c r="L3" s="117"/>
      <c r="M3" s="117"/>
      <c r="N3" s="117"/>
      <c r="O3" s="117"/>
      <c r="P3" s="117"/>
      <c r="Q3" s="117"/>
      <c r="R3" s="117"/>
    </row>
    <row r="4" spans="1:59" s="127" customFormat="1" x14ac:dyDescent="0.35">
      <c r="A4" s="11"/>
      <c r="B4" s="1"/>
      <c r="C4" s="130" t="s">
        <v>56</v>
      </c>
      <c r="D4" s="137" t="s">
        <v>77</v>
      </c>
      <c r="E4" s="117"/>
      <c r="F4" s="117"/>
      <c r="G4" s="117"/>
      <c r="H4" s="117"/>
      <c r="I4" s="117"/>
      <c r="J4" s="117"/>
      <c r="K4" s="117"/>
      <c r="L4" s="117"/>
      <c r="M4" s="117"/>
      <c r="N4" s="117"/>
      <c r="O4" s="117"/>
      <c r="P4" s="117"/>
      <c r="Q4" s="117"/>
      <c r="R4" s="117"/>
    </row>
    <row r="5" spans="1:59" s="127" customFormat="1" x14ac:dyDescent="0.35">
      <c r="A5" s="10"/>
      <c r="B5" s="2"/>
      <c r="C5" s="117"/>
      <c r="D5" s="117"/>
      <c r="S5" s="184"/>
      <c r="T5" s="184"/>
      <c r="U5" s="184"/>
      <c r="V5" s="184"/>
      <c r="W5" s="184"/>
      <c r="X5" s="184"/>
      <c r="Y5" s="184"/>
      <c r="Z5" s="184"/>
      <c r="AA5" s="184"/>
      <c r="AB5" s="184"/>
      <c r="AC5" s="184"/>
      <c r="AD5" s="184"/>
      <c r="AE5" s="184"/>
      <c r="AF5" s="184"/>
      <c r="AG5" s="184"/>
      <c r="AH5" s="184"/>
      <c r="AI5" s="184"/>
      <c r="AJ5" s="184"/>
      <c r="AK5" s="184"/>
      <c r="AL5" s="184" t="s">
        <v>192</v>
      </c>
      <c r="AM5" s="184" t="s">
        <v>193</v>
      </c>
      <c r="AN5" s="184" t="s">
        <v>194</v>
      </c>
      <c r="AO5" s="184"/>
      <c r="AP5" s="184" t="s">
        <v>196</v>
      </c>
      <c r="AQ5" s="184" t="s">
        <v>197</v>
      </c>
      <c r="AR5" s="184" t="s">
        <v>198</v>
      </c>
      <c r="AS5" s="184" t="s">
        <v>199</v>
      </c>
      <c r="AT5" s="184" t="s">
        <v>200</v>
      </c>
      <c r="AU5" s="184" t="s">
        <v>201</v>
      </c>
      <c r="AV5" s="184" t="s">
        <v>202</v>
      </c>
      <c r="AW5" s="184" t="s">
        <v>203</v>
      </c>
      <c r="AX5" s="184" t="s">
        <v>204</v>
      </c>
      <c r="AY5" s="184" t="s">
        <v>205</v>
      </c>
      <c r="AZ5" s="184" t="s">
        <v>206</v>
      </c>
      <c r="BA5" s="184" t="s">
        <v>207</v>
      </c>
      <c r="BB5" s="184" t="s">
        <v>208</v>
      </c>
      <c r="BC5" s="184" t="s">
        <v>209</v>
      </c>
      <c r="BD5" s="184" t="s">
        <v>210</v>
      </c>
      <c r="BE5" s="184" t="s">
        <v>211</v>
      </c>
      <c r="BF5" s="184" t="s">
        <v>212</v>
      </c>
      <c r="BG5" s="184" t="s">
        <v>213</v>
      </c>
    </row>
    <row r="6" spans="1:59" s="127" customFormat="1" ht="13" x14ac:dyDescent="0.3">
      <c r="A6" s="181" t="s">
        <v>214</v>
      </c>
      <c r="B6" s="126"/>
      <c r="C6" s="138"/>
      <c r="D6" s="138"/>
      <c r="E6" s="138"/>
      <c r="F6" s="138"/>
      <c r="G6" s="138"/>
      <c r="H6" s="138"/>
      <c r="I6" s="138"/>
      <c r="J6" s="138"/>
      <c r="K6" s="138"/>
      <c r="L6" s="138"/>
      <c r="M6" s="138"/>
      <c r="N6" s="138"/>
      <c r="O6" s="138"/>
      <c r="P6" s="138"/>
      <c r="Q6" s="138"/>
      <c r="R6" s="138"/>
      <c r="S6" s="138"/>
      <c r="T6" s="138"/>
      <c r="U6" s="138"/>
      <c r="V6" s="138"/>
      <c r="W6" s="138"/>
      <c r="X6" s="138"/>
      <c r="Y6" s="138"/>
      <c r="Z6" s="138"/>
      <c r="AA6" s="138"/>
      <c r="AB6" s="138"/>
      <c r="AC6" s="138"/>
      <c r="AD6" s="138"/>
      <c r="AE6" s="138"/>
      <c r="AF6" s="138"/>
      <c r="AG6" s="138"/>
      <c r="AH6" s="138"/>
      <c r="AI6" s="138"/>
      <c r="AJ6" s="138"/>
      <c r="AK6" s="138"/>
      <c r="AL6" s="138"/>
      <c r="AM6" s="138"/>
      <c r="AN6" s="138"/>
    </row>
    <row r="7" spans="1:59" s="127" customFormat="1" ht="17.649999999999999" customHeight="1" x14ac:dyDescent="0.3">
      <c r="A7" s="182"/>
      <c r="B7" s="129" t="s">
        <v>56</v>
      </c>
      <c r="C7" s="182"/>
      <c r="D7" s="129" t="s">
        <v>59</v>
      </c>
      <c r="E7" s="129" t="s">
        <v>60</v>
      </c>
      <c r="F7" s="139">
        <v>2026</v>
      </c>
      <c r="G7" s="139">
        <f t="shared" ref="G7:AN7" si="0">F7+1</f>
        <v>2027</v>
      </c>
      <c r="H7" s="139">
        <f t="shared" si="0"/>
        <v>2028</v>
      </c>
      <c r="I7" s="139">
        <f t="shared" si="0"/>
        <v>2029</v>
      </c>
      <c r="J7" s="139">
        <f t="shared" si="0"/>
        <v>2030</v>
      </c>
      <c r="K7" s="139">
        <f t="shared" si="0"/>
        <v>2031</v>
      </c>
      <c r="L7" s="139">
        <f t="shared" si="0"/>
        <v>2032</v>
      </c>
      <c r="M7" s="139">
        <f t="shared" si="0"/>
        <v>2033</v>
      </c>
      <c r="N7" s="139">
        <f t="shared" si="0"/>
        <v>2034</v>
      </c>
      <c r="O7" s="139">
        <f t="shared" si="0"/>
        <v>2035</v>
      </c>
      <c r="P7" s="139">
        <f t="shared" si="0"/>
        <v>2036</v>
      </c>
      <c r="Q7" s="139">
        <f t="shared" si="0"/>
        <v>2037</v>
      </c>
      <c r="R7" s="139">
        <f t="shared" si="0"/>
        <v>2038</v>
      </c>
      <c r="S7" s="139">
        <f t="shared" si="0"/>
        <v>2039</v>
      </c>
      <c r="T7" s="139">
        <f t="shared" si="0"/>
        <v>2040</v>
      </c>
      <c r="U7" s="139">
        <f t="shared" si="0"/>
        <v>2041</v>
      </c>
      <c r="V7" s="139">
        <f t="shared" si="0"/>
        <v>2042</v>
      </c>
      <c r="W7" s="139">
        <f t="shared" si="0"/>
        <v>2043</v>
      </c>
      <c r="X7" s="139">
        <f t="shared" si="0"/>
        <v>2044</v>
      </c>
      <c r="Y7" s="139">
        <f t="shared" si="0"/>
        <v>2045</v>
      </c>
      <c r="Z7" s="139">
        <f t="shared" si="0"/>
        <v>2046</v>
      </c>
      <c r="AA7" s="139">
        <f t="shared" si="0"/>
        <v>2047</v>
      </c>
      <c r="AB7" s="139">
        <f t="shared" si="0"/>
        <v>2048</v>
      </c>
      <c r="AC7" s="139">
        <f t="shared" si="0"/>
        <v>2049</v>
      </c>
      <c r="AD7" s="139">
        <f t="shared" si="0"/>
        <v>2050</v>
      </c>
      <c r="AE7" s="139">
        <f t="shared" si="0"/>
        <v>2051</v>
      </c>
      <c r="AF7" s="139">
        <f t="shared" si="0"/>
        <v>2052</v>
      </c>
      <c r="AG7" s="139">
        <f t="shared" si="0"/>
        <v>2053</v>
      </c>
      <c r="AH7" s="139">
        <f t="shared" si="0"/>
        <v>2054</v>
      </c>
      <c r="AI7" s="139">
        <f t="shared" si="0"/>
        <v>2055</v>
      </c>
      <c r="AJ7" s="139">
        <f t="shared" si="0"/>
        <v>2056</v>
      </c>
      <c r="AK7" s="139">
        <f t="shared" si="0"/>
        <v>2057</v>
      </c>
      <c r="AL7" s="139">
        <f t="shared" si="0"/>
        <v>2058</v>
      </c>
      <c r="AM7" s="139">
        <f t="shared" si="0"/>
        <v>2059</v>
      </c>
      <c r="AN7" s="139">
        <f t="shared" si="0"/>
        <v>2060</v>
      </c>
      <c r="AO7" s="172"/>
    </row>
    <row r="8" spans="1:59" s="18" customFormat="1" x14ac:dyDescent="0.35">
      <c r="A8" s="328">
        <f>A9</f>
        <v>4</v>
      </c>
      <c r="B8" s="183" t="s">
        <v>472</v>
      </c>
      <c r="C8" s="38" t="s">
        <v>230</v>
      </c>
      <c r="D8" s="274" t="s">
        <v>322</v>
      </c>
      <c r="E8" s="270" t="s">
        <v>124</v>
      </c>
      <c r="F8" s="271" cm="1">
        <f t="array" ref="F8">INDEX(
    INDEX(F:F,Control!$B$29):INDEX(F:F,100000),
    MATCH($A$8,INDEX($A:$A,Control!$B$29):INDEX($A:$A,100000),0)+MATCH($D8,INDEX($D:$D,Control!$B$31):INDEX($D:$D,Control!$B$32),0)-1,
    1)</f>
        <v>0</v>
      </c>
      <c r="G8" s="271" cm="1">
        <f t="array" ref="G8">INDEX(
    INDEX(G:G,Control!$B$29):INDEX(G:G,100000),
    MATCH($A$8,INDEX($A:$A,Control!$B$29):INDEX($A:$A,100000),0)+MATCH($D8,INDEX($D:$D,Control!$B$31):INDEX($D:$D,Control!$B$32),0)-1,
    1)</f>
        <v>1</v>
      </c>
      <c r="H8" s="271" cm="1">
        <f t="array" ref="H8">INDEX(
    INDEX(H:H,Control!$B$29):INDEX(H:H,100000),
    MATCH($A$8,INDEX($A:$A,Control!$B$29):INDEX($A:$A,100000),0)+MATCH($D8,INDEX($D:$D,Control!$B$31):INDEX($D:$D,Control!$B$32),0)-1,
    1)</f>
        <v>1</v>
      </c>
      <c r="I8" s="271" cm="1">
        <f t="array" ref="I8">INDEX(
    INDEX(I:I,Control!$B$29):INDEX(I:I,100000),
    MATCH($A$8,INDEX($A:$A,Control!$B$29):INDEX($A:$A,100000),0)+MATCH($D8,INDEX($D:$D,Control!$B$31):INDEX($D:$D,Control!$B$32),0)-1,
    1)</f>
        <v>1</v>
      </c>
      <c r="J8" s="271" cm="1">
        <f t="array" ref="J8">INDEX(
    INDEX(J:J,Control!$B$29):INDEX(J:J,100000),
    MATCH($A$8,INDEX($A:$A,Control!$B$29):INDEX($A:$A,100000),0)+MATCH($D8,INDEX($D:$D,Control!$B$31):INDEX($D:$D,Control!$B$32),0)-1,
    1)</f>
        <v>1</v>
      </c>
      <c r="K8" s="271" cm="1">
        <f t="array" ref="K8">INDEX(
    INDEX(K:K,Control!$B$29):INDEX(K:K,100000),
    MATCH($A$8,INDEX($A:$A,Control!$B$29):INDEX($A:$A,100000),0)+MATCH($D8,INDEX($D:$D,Control!$B$31):INDEX($D:$D,Control!$B$32),0)-1,
    1)</f>
        <v>1</v>
      </c>
      <c r="L8" s="271" cm="1">
        <f t="array" ref="L8">INDEX(
    INDEX(L:L,Control!$B$29):INDEX(L:L,100000),
    MATCH($A$8,INDEX($A:$A,Control!$B$29):INDEX($A:$A,100000),0)+MATCH($D8,INDEX($D:$D,Control!$B$31):INDEX($D:$D,Control!$B$32),0)-1,
    1)</f>
        <v>1</v>
      </c>
      <c r="M8" s="271" cm="1">
        <f t="array" ref="M8">INDEX(
    INDEX(M:M,Control!$B$29):INDEX(M:M,100000),
    MATCH($A$8,INDEX($A:$A,Control!$B$29):INDEX($A:$A,100000),0)+MATCH($D8,INDEX($D:$D,Control!$B$31):INDEX($D:$D,Control!$B$32),0)-1,
    1)</f>
        <v>1</v>
      </c>
      <c r="N8" s="271" cm="1">
        <f t="array" ref="N8">INDEX(
    INDEX(N:N,Control!$B$29):INDEX(N:N,100000),
    MATCH($A$8,INDEX($A:$A,Control!$B$29):INDEX($A:$A,100000),0)+MATCH($D8,INDEX($D:$D,Control!$B$31):INDEX($D:$D,Control!$B$32),0)-1,
    1)</f>
        <v>1</v>
      </c>
      <c r="O8" s="271" cm="1">
        <f t="array" ref="O8">INDEX(
    INDEX(O:O,Control!$B$29):INDEX(O:O,100000),
    MATCH($A$8,INDEX($A:$A,Control!$B$29):INDEX($A:$A,100000),0)+MATCH($D8,INDEX($D:$D,Control!$B$31):INDEX($D:$D,Control!$B$32),0)-1,
    1)</f>
        <v>1</v>
      </c>
      <c r="P8" s="271" cm="1">
        <f t="array" ref="P8">INDEX(
    INDEX(P:P,Control!$B$29):INDEX(P:P,100000),
    MATCH($A$8,INDEX($A:$A,Control!$B$29):INDEX($A:$A,100000),0)+MATCH($D8,INDEX($D:$D,Control!$B$31):INDEX($D:$D,Control!$B$32),0)-1,
    1)</f>
        <v>1</v>
      </c>
      <c r="Q8" s="271" cm="1">
        <f t="array" ref="Q8">INDEX(
    INDEX(Q:Q,Control!$B$29):INDEX(Q:Q,100000),
    MATCH($A$8,INDEX($A:$A,Control!$B$29):INDEX($A:$A,100000),0)+MATCH($D8,INDEX($D:$D,Control!$B$31):INDEX($D:$D,Control!$B$32),0)-1,
    1)</f>
        <v>1</v>
      </c>
      <c r="R8" s="271" cm="1">
        <f t="array" ref="R8">INDEX(
    INDEX(R:R,Control!$B$29):INDEX(R:R,100000),
    MATCH($A$8,INDEX($A:$A,Control!$B$29):INDEX($A:$A,100000),0)+MATCH($D8,INDEX($D:$D,Control!$B$31):INDEX($D:$D,Control!$B$32),0)-1,
    1)</f>
        <v>1</v>
      </c>
      <c r="S8" s="271" cm="1">
        <f t="array" ref="S8">INDEX(
    INDEX(S:S,Control!$B$29):INDEX(S:S,100000),
    MATCH($A$8,INDEX($A:$A,Control!$B$29):INDEX($A:$A,100000),0)+MATCH($D8,INDEX($D:$D,Control!$B$31):INDEX($D:$D,Control!$B$32),0)-1,
    1)</f>
        <v>1</v>
      </c>
      <c r="T8" s="271" cm="1">
        <f t="array" ref="T8">INDEX(
    INDEX(T:T,Control!$B$29):INDEX(T:T,100000),
    MATCH($A$8,INDEX($A:$A,Control!$B$29):INDEX($A:$A,100000),0)+MATCH($D8,INDEX($D:$D,Control!$B$31):INDEX($D:$D,Control!$B$32),0)-1,
    1)</f>
        <v>1</v>
      </c>
      <c r="U8" s="271" cm="1">
        <f t="array" ref="U8">INDEX(
    INDEX(U:U,Control!$B$29):INDEX(U:U,100000),
    MATCH($A$8,INDEX($A:$A,Control!$B$29):INDEX($A:$A,100000),0)+MATCH($D8,INDEX($D:$D,Control!$B$31):INDEX($D:$D,Control!$B$32),0)-1,
    1)</f>
        <v>1</v>
      </c>
      <c r="V8" s="271" cm="1">
        <f t="array" ref="V8">INDEX(
    INDEX(V:V,Control!$B$29):INDEX(V:V,100000),
    MATCH($A$8,INDEX($A:$A,Control!$B$29):INDEX($A:$A,100000),0)+MATCH($D8,INDEX($D:$D,Control!$B$31):INDEX($D:$D,Control!$B$32),0)-1,
    1)</f>
        <v>1</v>
      </c>
      <c r="W8" s="271" cm="1">
        <f t="array" ref="W8">INDEX(
    INDEX(W:W,Control!$B$29):INDEX(W:W,100000),
    MATCH($A$8,INDEX($A:$A,Control!$B$29):INDEX($A:$A,100000),0)+MATCH($D8,INDEX($D:$D,Control!$B$31):INDEX($D:$D,Control!$B$32),0)-1,
    1)</f>
        <v>1</v>
      </c>
      <c r="X8" s="271" cm="1">
        <f t="array" ref="X8">INDEX(
    INDEX(X:X,Control!$B$29):INDEX(X:X,100000),
    MATCH($A$8,INDEX($A:$A,Control!$B$29):INDEX($A:$A,100000),0)+MATCH($D8,INDEX($D:$D,Control!$B$31):INDEX($D:$D,Control!$B$32),0)-1,
    1)</f>
        <v>1</v>
      </c>
      <c r="Y8" s="271" cm="1">
        <f t="array" ref="Y8">INDEX(
    INDEX(Y:Y,Control!$B$29):INDEX(Y:Y,100000),
    MATCH($A$8,INDEX($A:$A,Control!$B$29):INDEX($A:$A,100000),0)+MATCH($D8,INDEX($D:$D,Control!$B$31):INDEX($D:$D,Control!$B$32),0)-1,
    1)</f>
        <v>1</v>
      </c>
      <c r="Z8" s="271" cm="1">
        <f t="array" ref="Z8">INDEX(
    INDEX(Z:Z,Control!$B$29):INDEX(Z:Z,100000),
    MATCH($A$8,INDEX($A:$A,Control!$B$29):INDEX($A:$A,100000),0)+MATCH($D8,INDEX($D:$D,Control!$B$31):INDEX($D:$D,Control!$B$32),0)-1,
    1)</f>
        <v>1</v>
      </c>
      <c r="AA8" s="271" cm="1">
        <f t="array" ref="AA8">INDEX(
    INDEX(AA:AA,Control!$B$29):INDEX(AA:AA,100000),
    MATCH($A$8,INDEX($A:$A,Control!$B$29):INDEX($A:$A,100000),0)+MATCH($D8,INDEX($D:$D,Control!$B$31):INDEX($D:$D,Control!$B$32),0)-1,
    1)</f>
        <v>1</v>
      </c>
      <c r="AB8" s="271" cm="1">
        <f t="array" ref="AB8">INDEX(
    INDEX(AB:AB,Control!$B$29):INDEX(AB:AB,100000),
    MATCH($A$8,INDEX($A:$A,Control!$B$29):INDEX($A:$A,100000),0)+MATCH($D8,INDEX($D:$D,Control!$B$31):INDEX($D:$D,Control!$B$32),0)-1,
    1)</f>
        <v>1</v>
      </c>
      <c r="AC8" s="271" cm="1">
        <f t="array" ref="AC8">INDEX(
    INDEX(AC:AC,Control!$B$29):INDEX(AC:AC,100000),
    MATCH($A$8,INDEX($A:$A,Control!$B$29):INDEX($A:$A,100000),0)+MATCH($D8,INDEX($D:$D,Control!$B$31):INDEX($D:$D,Control!$B$32),0)-1,
    1)</f>
        <v>1</v>
      </c>
      <c r="AD8" s="271" cm="1">
        <f t="array" ref="AD8">INDEX(
    INDEX(AD:AD,Control!$B$29):INDEX(AD:AD,100000),
    MATCH($A$8,INDEX($A:$A,Control!$B$29):INDEX($A:$A,100000),0)+MATCH($D8,INDEX($D:$D,Control!$B$31):INDEX($D:$D,Control!$B$32),0)-1,
    1)</f>
        <v>1</v>
      </c>
      <c r="AE8" s="271" cm="1">
        <f t="array" ref="AE8">INDEX(
    INDEX(AE:AE,Control!$B$29):INDEX(AE:AE,100000),
    MATCH($A$8,INDEX($A:$A,Control!$B$29):INDEX($A:$A,100000),0)+MATCH($D8,INDEX($D:$D,Control!$B$31):INDEX($D:$D,Control!$B$32),0)-1,
    1)</f>
        <v>1</v>
      </c>
      <c r="AF8" s="271" cm="1">
        <f t="array" ref="AF8">INDEX(
    INDEX(AF:AF,Control!$B$29):INDEX(AF:AF,100000),
    MATCH($A$8,INDEX($A:$A,Control!$B$29):INDEX($A:$A,100000),0)+MATCH($D8,INDEX($D:$D,Control!$B$31):INDEX($D:$D,Control!$B$32),0)-1,
    1)</f>
        <v>1</v>
      </c>
      <c r="AG8" s="271" cm="1">
        <f t="array" ref="AG8">INDEX(
    INDEX(AG:AG,Control!$B$29):INDEX(AG:AG,100000),
    MATCH($A$8,INDEX($A:$A,Control!$B$29):INDEX($A:$A,100000),0)+MATCH($D8,INDEX($D:$D,Control!$B$31):INDEX($D:$D,Control!$B$32),0)-1,
    1)</f>
        <v>1</v>
      </c>
      <c r="AH8" s="271" cm="1">
        <f t="array" ref="AH8">INDEX(
    INDEX(AH:AH,Control!$B$29):INDEX(AH:AH,100000),
    MATCH($A$8,INDEX($A:$A,Control!$B$29):INDEX($A:$A,100000),0)+MATCH($D8,INDEX($D:$D,Control!$B$31):INDEX($D:$D,Control!$B$32),0)-1,
    1)</f>
        <v>1</v>
      </c>
      <c r="AI8" s="271" cm="1">
        <f t="array" ref="AI8">INDEX(
    INDEX(AI:AI,Control!$B$29):INDEX(AI:AI,100000),
    MATCH($A$8,INDEX($A:$A,Control!$B$29):INDEX($A:$A,100000),0)+MATCH($D8,INDEX($D:$D,Control!$B$31):INDEX($D:$D,Control!$B$32),0)-1,
    1)</f>
        <v>1</v>
      </c>
      <c r="AJ8" s="271" cm="1">
        <f t="array" ref="AJ8">INDEX(
    INDEX(AJ:AJ,Control!$B$29):INDEX(AJ:AJ,100000),
    MATCH($A$8,INDEX($A:$A,Control!$B$29):INDEX($A:$A,100000),0)+MATCH($D8,INDEX($D:$D,Control!$B$31):INDEX($D:$D,Control!$B$32),0)-1,
    1)</f>
        <v>1</v>
      </c>
      <c r="AK8" s="271" cm="1">
        <f t="array" ref="AK8">INDEX(
    INDEX(AK:AK,Control!$B$29):INDEX(AK:AK,100000),
    MATCH($A$8,INDEX($A:$A,Control!$B$29):INDEX($A:$A,100000),0)+MATCH($D8,INDEX($D:$D,Control!$B$31):INDEX($D:$D,Control!$B$32),0)-1,
    1)</f>
        <v>1</v>
      </c>
      <c r="AL8" s="271" cm="1">
        <f t="array" ref="AL8">INDEX(
    INDEX(AL:AL,Control!$B$29):INDEX(AL:AL,100000),
    MATCH($A$8,INDEX($A:$A,Control!$B$29):INDEX($A:$A,100000),0)+MATCH($D8,INDEX($D:$D,Control!$B$31):INDEX($D:$D,Control!$B$32),0)-1,
    1)</f>
        <v>1</v>
      </c>
      <c r="AM8" s="271" cm="1">
        <f t="array" ref="AM8">INDEX(
    INDEX(AM:AM,Control!$B$29):INDEX(AM:AM,100000),
    MATCH($A$8,INDEX($A:$A,Control!$B$29):INDEX($A:$A,100000),0)+MATCH($D8,INDEX($D:$D,Control!$B$31):INDEX($D:$D,Control!$B$32),0)-1,
    1)</f>
        <v>1</v>
      </c>
      <c r="AN8" s="271" cm="1">
        <f t="array" ref="AN8">INDEX(
    INDEX(AN:AN,Control!$B$29):INDEX(AN:AN,100000),
    MATCH($A$8,INDEX($A:$A,Control!$B$29):INDEX($A:$A,100000),0)+MATCH($D8,INDEX($D:$D,Control!$B$31):INDEX($D:$D,Control!$B$32),0)-1,
    1)</f>
        <v>1</v>
      </c>
      <c r="AO8" s="269"/>
      <c r="AP8" s="269"/>
      <c r="AQ8" s="269"/>
    </row>
    <row r="9" spans="1:59" s="23" customFormat="1" x14ac:dyDescent="0.35">
      <c r="A9" s="6">
        <f>INDEX(
    $A$10:INDEX($A:$A,100000),
    MATCH($B$8,$B$10:INDEX($B:$B,100000),0),
    1)</f>
        <v>4</v>
      </c>
      <c r="B9" s="15"/>
      <c r="C9" s="295" t="s">
        <v>446</v>
      </c>
      <c r="D9" s="19" t="s">
        <v>323</v>
      </c>
      <c r="E9" s="19"/>
      <c r="F9" s="258" cm="1">
        <f t="array" ref="F9">INDEX(
    INDEX(F:F,Control!$B$29):INDEX(F:F,100000),
    MATCH($A$8,INDEX($A:$A,Control!$B$29):INDEX($A:$A,100000),0)+MATCH($D9,INDEX($D:$D,Control!$B$31):INDEX($D:$D,Control!$B$32),0)-1,
    1)</f>
        <v>0</v>
      </c>
      <c r="G9" s="258" cm="1">
        <f t="array" ref="G9">INDEX(
    INDEX(G:G,Control!$B$29):INDEX(G:G,100000),
    MATCH($A$8,INDEX($A:$A,Control!$B$29):INDEX($A:$A,100000),0)+MATCH($D9,INDEX($D:$D,Control!$B$31):INDEX($D:$D,Control!$B$32),0)-1,
    1)</f>
        <v>0</v>
      </c>
      <c r="H9" s="258" cm="1">
        <f t="array" ref="H9">INDEX(
    INDEX(H:H,Control!$B$29):INDEX(H:H,100000),
    MATCH($A$8,INDEX($A:$A,Control!$B$29):INDEX($A:$A,100000),0)+MATCH($D9,INDEX($D:$D,Control!$B$31):INDEX($D:$D,Control!$B$32),0)-1,
    1)</f>
        <v>0</v>
      </c>
      <c r="I9" s="258" cm="1">
        <f t="array" ref="I9">INDEX(
    INDEX(I:I,Control!$B$29):INDEX(I:I,100000),
    MATCH($A$8,INDEX($A:$A,Control!$B$29):INDEX($A:$A,100000),0)+MATCH($D9,INDEX($D:$D,Control!$B$31):INDEX($D:$D,Control!$B$32),0)-1,
    1)</f>
        <v>0</v>
      </c>
      <c r="J9" s="258" cm="1">
        <f t="array" ref="J9">INDEX(
    INDEX(J:J,Control!$B$29):INDEX(J:J,100000),
    MATCH($A$8,INDEX($A:$A,Control!$B$29):INDEX($A:$A,100000),0)+MATCH($D9,INDEX($D:$D,Control!$B$31):INDEX($D:$D,Control!$B$32),0)-1,
    1)</f>
        <v>0</v>
      </c>
      <c r="K9" s="258" cm="1">
        <f t="array" ref="K9">INDEX(
    INDEX(K:K,Control!$B$29):INDEX(K:K,100000),
    MATCH($A$8,INDEX($A:$A,Control!$B$29):INDEX($A:$A,100000),0)+MATCH($D9,INDEX($D:$D,Control!$B$31):INDEX($D:$D,Control!$B$32),0)-1,
    1)</f>
        <v>0</v>
      </c>
      <c r="L9" s="258" cm="1">
        <f t="array" ref="L9">INDEX(
    INDEX(L:L,Control!$B$29):INDEX(L:L,100000),
    MATCH($A$8,INDEX($A:$A,Control!$B$29):INDEX($A:$A,100000),0)+MATCH($D9,INDEX($D:$D,Control!$B$31):INDEX($D:$D,Control!$B$32),0)-1,
    1)</f>
        <v>0</v>
      </c>
      <c r="M9" s="258" cm="1">
        <f t="array" ref="M9">INDEX(
    INDEX(M:M,Control!$B$29):INDEX(M:M,100000),
    MATCH($A$8,INDEX($A:$A,Control!$B$29):INDEX($A:$A,100000),0)+MATCH($D9,INDEX($D:$D,Control!$B$31):INDEX($D:$D,Control!$B$32),0)-1,
    1)</f>
        <v>0</v>
      </c>
      <c r="N9" s="258" cm="1">
        <f t="array" ref="N9">INDEX(
    INDEX(N:N,Control!$B$29):INDEX(N:N,100000),
    MATCH($A$8,INDEX($A:$A,Control!$B$29):INDEX($A:$A,100000),0)+MATCH($D9,INDEX($D:$D,Control!$B$31):INDEX($D:$D,Control!$B$32),0)-1,
    1)</f>
        <v>0</v>
      </c>
      <c r="O9" s="258" cm="1">
        <f t="array" ref="O9">INDEX(
    INDEX(O:O,Control!$B$29):INDEX(O:O,100000),
    MATCH($A$8,INDEX($A:$A,Control!$B$29):INDEX($A:$A,100000),0)+MATCH($D9,INDEX($D:$D,Control!$B$31):INDEX($D:$D,Control!$B$32),0)-1,
    1)</f>
        <v>0</v>
      </c>
      <c r="P9" s="258" cm="1">
        <f t="array" ref="P9">INDEX(
    INDEX(P:P,Control!$B$29):INDEX(P:P,100000),
    MATCH($A$8,INDEX($A:$A,Control!$B$29):INDEX($A:$A,100000),0)+MATCH($D9,INDEX($D:$D,Control!$B$31):INDEX($D:$D,Control!$B$32),0)-1,
    1)</f>
        <v>0</v>
      </c>
      <c r="Q9" s="258" cm="1">
        <f t="array" ref="Q9">INDEX(
    INDEX(Q:Q,Control!$B$29):INDEX(Q:Q,100000),
    MATCH($A$8,INDEX($A:$A,Control!$B$29):INDEX($A:$A,100000),0)+MATCH($D9,INDEX($D:$D,Control!$B$31):INDEX($D:$D,Control!$B$32),0)-1,
    1)</f>
        <v>0</v>
      </c>
      <c r="R9" s="258" cm="1">
        <f t="array" ref="R9">INDEX(
    INDEX(R:R,Control!$B$29):INDEX(R:R,100000),
    MATCH($A$8,INDEX($A:$A,Control!$B$29):INDEX($A:$A,100000),0)+MATCH($D9,INDEX($D:$D,Control!$B$31):INDEX($D:$D,Control!$B$32),0)-1,
    1)</f>
        <v>0</v>
      </c>
      <c r="S9" s="258" cm="1">
        <f t="array" ref="S9">INDEX(
    INDEX(S:S,Control!$B$29):INDEX(S:S,100000),
    MATCH($A$8,INDEX($A:$A,Control!$B$29):INDEX($A:$A,100000),0)+MATCH($D9,INDEX($D:$D,Control!$B$31):INDEX($D:$D,Control!$B$32),0)-1,
    1)</f>
        <v>0</v>
      </c>
      <c r="T9" s="258" cm="1">
        <f t="array" ref="T9">INDEX(
    INDEX(T:T,Control!$B$29):INDEX(T:T,100000),
    MATCH($A$8,INDEX($A:$A,Control!$B$29):INDEX($A:$A,100000),0)+MATCH($D9,INDEX($D:$D,Control!$B$31):INDEX($D:$D,Control!$B$32),0)-1,
    1)</f>
        <v>0</v>
      </c>
      <c r="U9" s="258" cm="1">
        <f t="array" ref="U9">INDEX(
    INDEX(U:U,Control!$B$29):INDEX(U:U,100000),
    MATCH($A$8,INDEX($A:$A,Control!$B$29):INDEX($A:$A,100000),0)+MATCH($D9,INDEX($D:$D,Control!$B$31):INDEX($D:$D,Control!$B$32),0)-1,
    1)</f>
        <v>0</v>
      </c>
      <c r="V9" s="258" cm="1">
        <f t="array" ref="V9">INDEX(
    INDEX(V:V,Control!$B$29):INDEX(V:V,100000),
    MATCH($A$8,INDEX($A:$A,Control!$B$29):INDEX($A:$A,100000),0)+MATCH($D9,INDEX($D:$D,Control!$B$31):INDEX($D:$D,Control!$B$32),0)-1,
    1)</f>
        <v>0</v>
      </c>
      <c r="W9" s="258" cm="1">
        <f t="array" ref="W9">INDEX(
    INDEX(W:W,Control!$B$29):INDEX(W:W,100000),
    MATCH($A$8,INDEX($A:$A,Control!$B$29):INDEX($A:$A,100000),0)+MATCH($D9,INDEX($D:$D,Control!$B$31):INDEX($D:$D,Control!$B$32),0)-1,
    1)</f>
        <v>0</v>
      </c>
      <c r="X9" s="258" cm="1">
        <f t="array" ref="X9">INDEX(
    INDEX(X:X,Control!$B$29):INDEX(X:X,100000),
    MATCH($A$8,INDEX($A:$A,Control!$B$29):INDEX($A:$A,100000),0)+MATCH($D9,INDEX($D:$D,Control!$B$31):INDEX($D:$D,Control!$B$32),0)-1,
    1)</f>
        <v>0</v>
      </c>
      <c r="Y9" s="258" cm="1">
        <f t="array" ref="Y9">INDEX(
    INDEX(Y:Y,Control!$B$29):INDEX(Y:Y,100000),
    MATCH($A$8,INDEX($A:$A,Control!$B$29):INDEX($A:$A,100000),0)+MATCH($D9,INDEX($D:$D,Control!$B$31):INDEX($D:$D,Control!$B$32),0)-1,
    1)</f>
        <v>0</v>
      </c>
      <c r="Z9" s="258" cm="1">
        <f t="array" ref="Z9">INDEX(
    INDEX(Z:Z,Control!$B$29):INDEX(Z:Z,100000),
    MATCH($A$8,INDEX($A:$A,Control!$B$29):INDEX($A:$A,100000),0)+MATCH($D9,INDEX($D:$D,Control!$B$31):INDEX($D:$D,Control!$B$32),0)-1,
    1)</f>
        <v>0</v>
      </c>
      <c r="AA9" s="258" cm="1">
        <f t="array" ref="AA9">INDEX(
    INDEX(AA:AA,Control!$B$29):INDEX(AA:AA,100000),
    MATCH($A$8,INDEX($A:$A,Control!$B$29):INDEX($A:$A,100000),0)+MATCH($D9,INDEX($D:$D,Control!$B$31):INDEX($D:$D,Control!$B$32),0)-1,
    1)</f>
        <v>0</v>
      </c>
      <c r="AB9" s="258" cm="1">
        <f t="array" ref="AB9">INDEX(
    INDEX(AB:AB,Control!$B$29):INDEX(AB:AB,100000),
    MATCH($A$8,INDEX($A:$A,Control!$B$29):INDEX($A:$A,100000),0)+MATCH($D9,INDEX($D:$D,Control!$B$31):INDEX($D:$D,Control!$B$32),0)-1,
    1)</f>
        <v>0</v>
      </c>
      <c r="AC9" s="258" cm="1">
        <f t="array" ref="AC9">INDEX(
    INDEX(AC:AC,Control!$B$29):INDEX(AC:AC,100000),
    MATCH($A$8,INDEX($A:$A,Control!$B$29):INDEX($A:$A,100000),0)+MATCH($D9,INDEX($D:$D,Control!$B$31):INDEX($D:$D,Control!$B$32),0)-1,
    1)</f>
        <v>0</v>
      </c>
      <c r="AD9" s="258" cm="1">
        <f t="array" ref="AD9">INDEX(
    INDEX(AD:AD,Control!$B$29):INDEX(AD:AD,100000),
    MATCH($A$8,INDEX($A:$A,Control!$B$29):INDEX($A:$A,100000),0)+MATCH($D9,INDEX($D:$D,Control!$B$31):INDEX($D:$D,Control!$B$32),0)-1,
    1)</f>
        <v>0</v>
      </c>
      <c r="AE9" s="258" cm="1">
        <f t="array" ref="AE9">INDEX(
    INDEX(AE:AE,Control!$B$29):INDEX(AE:AE,100000),
    MATCH($A$8,INDEX($A:$A,Control!$B$29):INDEX($A:$A,100000),0)+MATCH($D9,INDEX($D:$D,Control!$B$31):INDEX($D:$D,Control!$B$32),0)-1,
    1)</f>
        <v>0</v>
      </c>
      <c r="AF9" s="258" cm="1">
        <f t="array" ref="AF9">INDEX(
    INDEX(AF:AF,Control!$B$29):INDEX(AF:AF,100000),
    MATCH($A$8,INDEX($A:$A,Control!$B$29):INDEX($A:$A,100000),0)+MATCH($D9,INDEX($D:$D,Control!$B$31):INDEX($D:$D,Control!$B$32),0)-1,
    1)</f>
        <v>0</v>
      </c>
      <c r="AG9" s="258" cm="1">
        <f t="array" ref="AG9">INDEX(
    INDEX(AG:AG,Control!$B$29):INDEX(AG:AG,100000),
    MATCH($A$8,INDEX($A:$A,Control!$B$29):INDEX($A:$A,100000),0)+MATCH($D9,INDEX($D:$D,Control!$B$31):INDEX($D:$D,Control!$B$32),0)-1,
    1)</f>
        <v>0</v>
      </c>
      <c r="AH9" s="258" cm="1">
        <f t="array" ref="AH9">INDEX(
    INDEX(AH:AH,Control!$B$29):INDEX(AH:AH,100000),
    MATCH($A$8,INDEX($A:$A,Control!$B$29):INDEX($A:$A,100000),0)+MATCH($D9,INDEX($D:$D,Control!$B$31):INDEX($D:$D,Control!$B$32),0)-1,
    1)</f>
        <v>0</v>
      </c>
      <c r="AI9" s="258" cm="1">
        <f t="array" ref="AI9">INDEX(
    INDEX(AI:AI,Control!$B$29):INDEX(AI:AI,100000),
    MATCH($A$8,INDEX($A:$A,Control!$B$29):INDEX($A:$A,100000),0)+MATCH($D9,INDEX($D:$D,Control!$B$31):INDEX($D:$D,Control!$B$32),0)-1,
    1)</f>
        <v>0</v>
      </c>
      <c r="AJ9" s="258" cm="1">
        <f t="array" ref="AJ9">INDEX(
    INDEX(AJ:AJ,Control!$B$29):INDEX(AJ:AJ,100000),
    MATCH($A$8,INDEX($A:$A,Control!$B$29):INDEX($A:$A,100000),0)+MATCH($D9,INDEX($D:$D,Control!$B$31):INDEX($D:$D,Control!$B$32),0)-1,
    1)</f>
        <v>0</v>
      </c>
      <c r="AK9" s="258" cm="1">
        <f t="array" ref="AK9">INDEX(
    INDEX(AK:AK,Control!$B$29):INDEX(AK:AK,100000),
    MATCH($A$8,INDEX($A:$A,Control!$B$29):INDEX($A:$A,100000),0)+MATCH($D9,INDEX($D:$D,Control!$B$31):INDEX($D:$D,Control!$B$32),0)-1,
    1)</f>
        <v>0</v>
      </c>
      <c r="AL9" s="258" cm="1">
        <f t="array" ref="AL9">INDEX(
    INDEX(AL:AL,Control!$B$29):INDEX(AL:AL,100000),
    MATCH($A$8,INDEX($A:$A,Control!$B$29):INDEX($A:$A,100000),0)+MATCH($D9,INDEX($D:$D,Control!$B$31):INDEX($D:$D,Control!$B$32),0)-1,
    1)</f>
        <v>0</v>
      </c>
      <c r="AM9" s="258" cm="1">
        <f t="array" ref="AM9">INDEX(
    INDEX(AM:AM,Control!$B$29):INDEX(AM:AM,100000),
    MATCH($A$8,INDEX($A:$A,Control!$B$29):INDEX($A:$A,100000),0)+MATCH($D9,INDEX($D:$D,Control!$B$31):INDEX($D:$D,Control!$B$32),0)-1,
    1)</f>
        <v>0</v>
      </c>
      <c r="AN9" s="258" cm="1">
        <f t="array" ref="AN9">INDEX(
    INDEX(AN:AN,Control!$B$29):INDEX(AN:AN,100000),
    MATCH($A$8,INDEX($A:$A,Control!$B$29):INDEX($A:$A,100000),0)+MATCH($D9,INDEX($D:$D,Control!$B$31):INDEX($D:$D,Control!$B$32),0)-1,
    1)</f>
        <v>0</v>
      </c>
      <c r="AO9" s="31"/>
      <c r="AP9" s="31"/>
      <c r="AQ9" s="31"/>
    </row>
    <row r="10" spans="1:59" s="23" customFormat="1" x14ac:dyDescent="0.35">
      <c r="A10"/>
      <c r="B10"/>
      <c r="C10" s="292" t="s">
        <v>230</v>
      </c>
      <c r="D10" s="19" t="s">
        <v>324</v>
      </c>
      <c r="E10" s="27"/>
      <c r="F10" s="35" cm="1">
        <f t="array" ref="F10">INDEX(
    INDEX(F:F,Control!$B$29):INDEX(F:F,100000),
    MATCH($A$8,INDEX($A:$A,Control!$B$29):INDEX($A:$A,100000),0)+MATCH($D10,INDEX($D:$D,Control!$B$31):INDEX($D:$D,Control!$B$32),0)-1,
    1)</f>
        <v>0</v>
      </c>
      <c r="G10" s="35" cm="1">
        <f t="array" ref="G10">INDEX(
    INDEX(G:G,Control!$B$29):INDEX(G:G,100000),
    MATCH($A$8,INDEX($A:$A,Control!$B$29):INDEX($A:$A,100000),0)+MATCH($D10,INDEX($D:$D,Control!$B$31):INDEX($D:$D,Control!$B$32),0)-1,
    1)</f>
        <v>1.00251</v>
      </c>
      <c r="H10" s="35" cm="1">
        <f t="array" ref="H10">INDEX(
    INDEX(H:H,Control!$B$29):INDEX(H:H,100000),
    MATCH($A$8,INDEX($A:$A,Control!$B$29):INDEX($A:$A,100000),0)+MATCH($D10,INDEX($D:$D,Control!$B$31):INDEX($D:$D,Control!$B$32),0)-1,
    1)</f>
        <v>0.99522999999999995</v>
      </c>
      <c r="I10" s="35" cm="1">
        <f t="array" ref="I10">INDEX(
    INDEX(I:I,Control!$B$29):INDEX(I:I,100000),
    MATCH($A$8,INDEX($A:$A,Control!$B$29):INDEX($A:$A,100000),0)+MATCH($D10,INDEX($D:$D,Control!$B$31):INDEX($D:$D,Control!$B$32),0)-1,
    1)</f>
        <v>0.99568000000000001</v>
      </c>
      <c r="J10" s="35" cm="1">
        <f t="array" ref="J10">INDEX(
    INDEX(J:J,Control!$B$29):INDEX(J:J,100000),
    MATCH($A$8,INDEX($A:$A,Control!$B$29):INDEX($A:$A,100000),0)+MATCH($D10,INDEX($D:$D,Control!$B$31):INDEX($D:$D,Control!$B$32),0)-1,
    1)</f>
        <v>1.0035799999999999</v>
      </c>
      <c r="K10" s="35" cm="1">
        <f t="array" ref="K10">INDEX(
    INDEX(K:K,Control!$B$29):INDEX(K:K,100000),
    MATCH($A$8,INDEX($A:$A,Control!$B$29):INDEX($A:$A,100000),0)+MATCH($D10,INDEX($D:$D,Control!$B$31):INDEX($D:$D,Control!$B$32),0)-1,
    1)</f>
        <v>1.0001500000000001</v>
      </c>
      <c r="L10" s="35" cm="1">
        <f t="array" ref="L10">INDEX(
    INDEX(L:L,Control!$B$29):INDEX(L:L,100000),
    MATCH($A$8,INDEX($A:$A,Control!$B$29):INDEX($A:$A,100000),0)+MATCH($D10,INDEX($D:$D,Control!$B$31):INDEX($D:$D,Control!$B$32),0)-1,
    1)</f>
        <v>0.99624000000000001</v>
      </c>
      <c r="M10" s="35" cm="1">
        <f t="array" ref="M10">INDEX(
    INDEX(M:M,Control!$B$29):INDEX(M:M,100000),
    MATCH($A$8,INDEX($A:$A,Control!$B$29):INDEX($A:$A,100000),0)+MATCH($D10,INDEX($D:$D,Control!$B$31):INDEX($D:$D,Control!$B$32),0)-1,
    1)</f>
        <v>0.99058000000000002</v>
      </c>
      <c r="N10" s="35" cm="1">
        <f t="array" ref="N10">INDEX(
    INDEX(N:N,Control!$B$29):INDEX(N:N,100000),
    MATCH($A$8,INDEX($A:$A,Control!$B$29):INDEX($A:$A,100000),0)+MATCH($D10,INDEX($D:$D,Control!$B$31):INDEX($D:$D,Control!$B$32),0)-1,
    1)</f>
        <v>1.0003599999999999</v>
      </c>
      <c r="O10" s="35" cm="1">
        <f t="array" ref="O10">INDEX(
    INDEX(O:O,Control!$B$29):INDEX(O:O,100000),
    MATCH($A$8,INDEX($A:$A,Control!$B$29):INDEX($A:$A,100000),0)+MATCH($D10,INDEX($D:$D,Control!$B$31):INDEX($D:$D,Control!$B$32),0)-1,
    1)</f>
        <v>1.0000500000000001</v>
      </c>
      <c r="P10" s="35" cm="1">
        <f t="array" ref="P10">INDEX(
    INDEX(P:P,Control!$B$29):INDEX(P:P,100000),
    MATCH($A$8,INDEX($A:$A,Control!$B$29):INDEX($A:$A,100000),0)+MATCH($D10,INDEX($D:$D,Control!$B$31):INDEX($D:$D,Control!$B$32),0)-1,
    1)</f>
        <v>0.99243000000000003</v>
      </c>
      <c r="Q10" s="35" cm="1">
        <f t="array" ref="Q10">INDEX(
    INDEX(Q:Q,Control!$B$29):INDEX(Q:Q,100000),
    MATCH($A$8,INDEX($A:$A,Control!$B$29):INDEX($A:$A,100000),0)+MATCH($D10,INDEX($D:$D,Control!$B$31):INDEX($D:$D,Control!$B$32),0)-1,
    1)</f>
        <v>0.99787000000000003</v>
      </c>
      <c r="R10" s="35" cm="1">
        <f t="array" ref="R10">INDEX(
    INDEX(R:R,Control!$B$29):INDEX(R:R,100000),
    MATCH($A$8,INDEX($A:$A,Control!$B$29):INDEX($A:$A,100000),0)+MATCH($D10,INDEX($D:$D,Control!$B$31):INDEX($D:$D,Control!$B$32),0)-1,
    1)</f>
        <v>0.99716000000000005</v>
      </c>
      <c r="S10" s="35" cm="1">
        <f t="array" ref="S10">INDEX(
    INDEX(S:S,Control!$B$29):INDEX(S:S,100000),
    MATCH($A$8,INDEX($A:$A,Control!$B$29):INDEX($A:$A,100000),0)+MATCH($D10,INDEX($D:$D,Control!$B$31):INDEX($D:$D,Control!$B$32),0)-1,
    1)</f>
        <v>1.0040800000000001</v>
      </c>
      <c r="T10" s="35" cm="1">
        <f t="array" ref="T10">INDEX(
    INDEX(T:T,Control!$B$29):INDEX(T:T,100000),
    MATCH($A$8,INDEX($A:$A,Control!$B$29):INDEX($A:$A,100000),0)+MATCH($D10,INDEX($D:$D,Control!$B$31):INDEX($D:$D,Control!$B$32),0)-1,
    1)</f>
        <v>1.0039199999999999</v>
      </c>
      <c r="U10" s="35" cm="1">
        <f t="array" ref="U10">INDEX(
    INDEX(U:U,Control!$B$29):INDEX(U:U,100000),
    MATCH($A$8,INDEX($A:$A,Control!$B$29):INDEX($A:$A,100000),0)+MATCH($D10,INDEX($D:$D,Control!$B$31):INDEX($D:$D,Control!$B$32),0)-1,
    1)</f>
        <v>1.0031699999999999</v>
      </c>
      <c r="V10" s="35" cm="1">
        <f t="array" ref="V10">INDEX(
    INDEX(V:V,Control!$B$29):INDEX(V:V,100000),
    MATCH($A$8,INDEX($A:$A,Control!$B$29):INDEX($A:$A,100000),0)+MATCH($D10,INDEX($D:$D,Control!$B$31):INDEX($D:$D,Control!$B$32),0)-1,
    1)</f>
        <v>1.0035000000000001</v>
      </c>
      <c r="W10" s="35" cm="1">
        <f t="array" ref="W10">INDEX(
    INDEX(W:W,Control!$B$29):INDEX(W:W,100000),
    MATCH($A$8,INDEX($A:$A,Control!$B$29):INDEX($A:$A,100000),0)+MATCH($D10,INDEX($D:$D,Control!$B$31):INDEX($D:$D,Control!$B$32),0)-1,
    1)</f>
        <v>0.99609999999999999</v>
      </c>
      <c r="X10" s="35" cm="1">
        <f t="array" ref="X10">INDEX(
    INDEX(X:X,Control!$B$29):INDEX(X:X,100000),
    MATCH($A$8,INDEX($A:$A,Control!$B$29):INDEX($A:$A,100000),0)+MATCH($D10,INDEX($D:$D,Control!$B$31):INDEX($D:$D,Control!$B$32),0)-1,
    1)</f>
        <v>1.00881</v>
      </c>
      <c r="Y10" s="35" cm="1">
        <f t="array" ref="Y10">INDEX(
    INDEX(Y:Y,Control!$B$29):INDEX(Y:Y,100000),
    MATCH($A$8,INDEX($A:$A,Control!$B$29):INDEX($A:$A,100000),0)+MATCH($D10,INDEX($D:$D,Control!$B$31):INDEX($D:$D,Control!$B$32),0)-1,
    1)</f>
        <v>0.99780999999999997</v>
      </c>
      <c r="Z10" s="35" cm="1">
        <f t="array" ref="Z10">INDEX(
    INDEX(Z:Z,Control!$B$29):INDEX(Z:Z,100000),
    MATCH($A$8,INDEX($A:$A,Control!$B$29):INDEX($A:$A,100000),0)+MATCH($D10,INDEX($D:$D,Control!$B$31):INDEX($D:$D,Control!$B$32),0)-1,
    1)</f>
        <v>1.00267</v>
      </c>
      <c r="AA10" s="35" cm="1">
        <f t="array" ref="AA10">INDEX(
    INDEX(AA:AA,Control!$B$29):INDEX(AA:AA,100000),
    MATCH($A$8,INDEX($A:$A,Control!$B$29):INDEX($A:$A,100000),0)+MATCH($D10,INDEX($D:$D,Control!$B$31):INDEX($D:$D,Control!$B$32),0)-1,
    1)</f>
        <v>0.99582999999999999</v>
      </c>
      <c r="AB10" s="35" cm="1">
        <f t="array" ref="AB10">INDEX(
    INDEX(AB:AB,Control!$B$29):INDEX(AB:AB,100000),
    MATCH($A$8,INDEX($A:$A,Control!$B$29):INDEX($A:$A,100000),0)+MATCH($D10,INDEX($D:$D,Control!$B$31):INDEX($D:$D,Control!$B$32),0)-1,
    1)</f>
        <v>1.0040100000000001</v>
      </c>
      <c r="AC10" s="35" cm="1">
        <f t="array" ref="AC10">INDEX(
    INDEX(AC:AC,Control!$B$29):INDEX(AC:AC,100000),
    MATCH($A$8,INDEX($A:$A,Control!$B$29):INDEX($A:$A,100000),0)+MATCH($D10,INDEX($D:$D,Control!$B$31):INDEX($D:$D,Control!$B$32),0)-1,
    1)</f>
        <v>0.99541999999999997</v>
      </c>
      <c r="AD10" s="35" cm="1">
        <f t="array" ref="AD10">INDEX(
    INDEX(AD:AD,Control!$B$29):INDEX(AD:AD,100000),
    MATCH($A$8,INDEX($A:$A,Control!$B$29):INDEX($A:$A,100000),0)+MATCH($D10,INDEX($D:$D,Control!$B$31):INDEX($D:$D,Control!$B$32),0)-1,
    1)</f>
        <v>1.0039</v>
      </c>
      <c r="AE10" s="35" cm="1">
        <f t="array" ref="AE10">INDEX(
    INDEX(AE:AE,Control!$B$29):INDEX(AE:AE,100000),
    MATCH($A$8,INDEX($A:$A,Control!$B$29):INDEX($A:$A,100000),0)+MATCH($D10,INDEX($D:$D,Control!$B$31):INDEX($D:$D,Control!$B$32),0)-1,
    1)</f>
        <v>1.0098100000000001</v>
      </c>
      <c r="AF10" s="35" cm="1">
        <f t="array" ref="AF10">INDEX(
    INDEX(AF:AF,Control!$B$29):INDEX(AF:AF,100000),
    MATCH($A$8,INDEX($A:$A,Control!$B$29):INDEX($A:$A,100000),0)+MATCH($D10,INDEX($D:$D,Control!$B$31):INDEX($D:$D,Control!$B$32),0)-1,
    1)</f>
        <v>1.0062800000000001</v>
      </c>
      <c r="AG10" s="35" cm="1">
        <f t="array" ref="AG10">INDEX(
    INDEX(AG:AG,Control!$B$29):INDEX(AG:AG,100000),
    MATCH($A$8,INDEX($A:$A,Control!$B$29):INDEX($A:$A,100000),0)+MATCH($D10,INDEX($D:$D,Control!$B$31):INDEX($D:$D,Control!$B$32),0)-1,
    1)</f>
        <v>0.98665000000000003</v>
      </c>
      <c r="AH10" s="35" cm="1">
        <f t="array" ref="AH10">INDEX(
    INDEX(AH:AH,Control!$B$29):INDEX(AH:AH,100000),
    MATCH($A$8,INDEX($A:$A,Control!$B$29):INDEX($A:$A,100000),0)+MATCH($D10,INDEX($D:$D,Control!$B$31):INDEX($D:$D,Control!$B$32),0)-1,
    1)</f>
        <v>0.99236999999999997</v>
      </c>
      <c r="AI10" s="35" cm="1">
        <f t="array" ref="AI10">INDEX(
    INDEX(AI:AI,Control!$B$29):INDEX(AI:AI,100000),
    MATCH($A$8,INDEX($A:$A,Control!$B$29):INDEX($A:$A,100000),0)+MATCH($D10,INDEX($D:$D,Control!$B$31):INDEX($D:$D,Control!$B$32),0)-1,
    1)</f>
        <v>0.99219000000000002</v>
      </c>
      <c r="AJ10" s="35" cm="1">
        <f t="array" ref="AJ10">INDEX(
    INDEX(AJ:AJ,Control!$B$29):INDEX(AJ:AJ,100000),
    MATCH($A$8,INDEX($A:$A,Control!$B$29):INDEX($A:$A,100000),0)+MATCH($D10,INDEX($D:$D,Control!$B$31):INDEX($D:$D,Control!$B$32),0)-1,
    1)</f>
        <v>1.0098400000000001</v>
      </c>
      <c r="AK10" s="35" cm="1">
        <f t="array" ref="AK10">INDEX(
    INDEX(AK:AK,Control!$B$29):INDEX(AK:AK,100000),
    MATCH($A$8,INDEX($A:$A,Control!$B$29):INDEX($A:$A,100000),0)+MATCH($D10,INDEX($D:$D,Control!$B$31):INDEX($D:$D,Control!$B$32),0)-1,
    1)</f>
        <v>1.0019199999999999</v>
      </c>
      <c r="AL10" s="35" cm="1">
        <f t="array" ref="AL10">INDEX(
    INDEX(AL:AL,Control!$B$29):INDEX(AL:AL,100000),
    MATCH($A$8,INDEX($A:$A,Control!$B$29):INDEX($A:$A,100000),0)+MATCH($D10,INDEX($D:$D,Control!$B$31):INDEX($D:$D,Control!$B$32),0)-1,
    1)</f>
        <v>0.99178999999999995</v>
      </c>
      <c r="AM10" s="35" cm="1">
        <f t="array" ref="AM10">INDEX(
    INDEX(AM:AM,Control!$B$29):INDEX(AM:AM,100000),
    MATCH($A$8,INDEX($A:$A,Control!$B$29):INDEX($A:$A,100000),0)+MATCH($D10,INDEX($D:$D,Control!$B$31):INDEX($D:$D,Control!$B$32),0)-1,
    1)</f>
        <v>1.0035700000000001</v>
      </c>
      <c r="AN10" s="35" cm="1">
        <f t="array" ref="AN10">INDEX(
    INDEX(AN:AN,Control!$B$29):INDEX(AN:AN,100000),
    MATCH($A$8,INDEX($A:$A,Control!$B$29):INDEX($A:$A,100000),0)+MATCH($D10,INDEX($D:$D,Control!$B$31):INDEX($D:$D,Control!$B$32),0)-1,
    1)</f>
        <v>1.0057499999999999</v>
      </c>
      <c r="AO10" s="31"/>
      <c r="AP10" s="31"/>
      <c r="AQ10" s="31"/>
    </row>
    <row r="11" spans="1:59" s="23" customFormat="1" x14ac:dyDescent="0.35">
      <c r="A11"/>
      <c r="B11"/>
      <c r="C11" s="292" t="s">
        <v>230</v>
      </c>
      <c r="D11" s="19" t="s">
        <v>325</v>
      </c>
      <c r="E11" s="19" t="s">
        <v>326</v>
      </c>
      <c r="F11" s="275" cm="1">
        <f t="array" ref="F11">INDEX(
    INDEX(F:F,Control!$B$29):INDEX(F:F,100000),
    MATCH($A$8,INDEX($A:$A,Control!$B$29):INDEX($A:$A,100000),0)+MATCH($D11,INDEX($D:$D,Control!$B$31):INDEX($D:$D,Control!$B$32),0)-1,
    1)</f>
        <v>0</v>
      </c>
      <c r="G11" s="275" cm="1">
        <f t="array" ref="G11">INDEX(
    INDEX(G:G,Control!$B$29):INDEX(G:G,100000),
    MATCH($A$8,INDEX($A:$A,Control!$B$29):INDEX($A:$A,100000),0)+MATCH($D11,INDEX($D:$D,Control!$B$31):INDEX($D:$D,Control!$B$32),0)-1,
    1)</f>
        <v>1</v>
      </c>
      <c r="H11" s="275" cm="1">
        <f t="array" ref="H11">INDEX(
    INDEX(H:H,Control!$B$29):INDEX(H:H,100000),
    MATCH($A$8,INDEX($A:$A,Control!$B$29):INDEX($A:$A,100000),0)+MATCH($D11,INDEX($D:$D,Control!$B$31):INDEX($D:$D,Control!$B$32),0)-1,
    1)</f>
        <v>1</v>
      </c>
      <c r="I11" s="275" cm="1">
        <f t="array" ref="I11">INDEX(
    INDEX(I:I,Control!$B$29):INDEX(I:I,100000),
    MATCH($A$8,INDEX($A:$A,Control!$B$29):INDEX($A:$A,100000),0)+MATCH($D11,INDEX($D:$D,Control!$B$31):INDEX($D:$D,Control!$B$32),0)-1,
    1)</f>
        <v>1</v>
      </c>
      <c r="J11" s="275" cm="1">
        <f t="array" ref="J11">INDEX(
    INDEX(J:J,Control!$B$29):INDEX(J:J,100000),
    MATCH($A$8,INDEX($A:$A,Control!$B$29):INDEX($A:$A,100000),0)+MATCH($D11,INDEX($D:$D,Control!$B$31):INDEX($D:$D,Control!$B$32),0)-1,
    1)</f>
        <v>1</v>
      </c>
      <c r="K11" s="275" cm="1">
        <f t="array" ref="K11">INDEX(
    INDEX(K:K,Control!$B$29):INDEX(K:K,100000),
    MATCH($A$8,INDEX($A:$A,Control!$B$29):INDEX($A:$A,100000),0)+MATCH($D11,INDEX($D:$D,Control!$B$31):INDEX($D:$D,Control!$B$32),0)-1,
    1)</f>
        <v>1</v>
      </c>
      <c r="L11" s="275" cm="1">
        <f t="array" ref="L11">INDEX(
    INDEX(L:L,Control!$B$29):INDEX(L:L,100000),
    MATCH($A$8,INDEX($A:$A,Control!$B$29):INDEX($A:$A,100000),0)+MATCH($D11,INDEX($D:$D,Control!$B$31):INDEX($D:$D,Control!$B$32),0)-1,
    1)</f>
        <v>1</v>
      </c>
      <c r="M11" s="275" cm="1">
        <f t="array" ref="M11">INDEX(
    INDEX(M:M,Control!$B$29):INDEX(M:M,100000),
    MATCH($A$8,INDEX($A:$A,Control!$B$29):INDEX($A:$A,100000),0)+MATCH($D11,INDEX($D:$D,Control!$B$31):INDEX($D:$D,Control!$B$32),0)-1,
    1)</f>
        <v>1</v>
      </c>
      <c r="N11" s="275" cm="1">
        <f t="array" ref="N11">INDEX(
    INDEX(N:N,Control!$B$29):INDEX(N:N,100000),
    MATCH($A$8,INDEX($A:$A,Control!$B$29):INDEX($A:$A,100000),0)+MATCH($D11,INDEX($D:$D,Control!$B$31):INDEX($D:$D,Control!$B$32),0)-1,
    1)</f>
        <v>1</v>
      </c>
      <c r="O11" s="275" cm="1">
        <f t="array" ref="O11">INDEX(
    INDEX(O:O,Control!$B$29):INDEX(O:O,100000),
    MATCH($A$8,INDEX($A:$A,Control!$B$29):INDEX($A:$A,100000),0)+MATCH($D11,INDEX($D:$D,Control!$B$31):INDEX($D:$D,Control!$B$32),0)-1,
    1)</f>
        <v>1</v>
      </c>
      <c r="P11" s="275" cm="1">
        <f t="array" ref="P11">INDEX(
    INDEX(P:P,Control!$B$29):INDEX(P:P,100000),
    MATCH($A$8,INDEX($A:$A,Control!$B$29):INDEX($A:$A,100000),0)+MATCH($D11,INDEX($D:$D,Control!$B$31):INDEX($D:$D,Control!$B$32),0)-1,
    1)</f>
        <v>1</v>
      </c>
      <c r="Q11" s="275" cm="1">
        <f t="array" ref="Q11">INDEX(
    INDEX(Q:Q,Control!$B$29):INDEX(Q:Q,100000),
    MATCH($A$8,INDEX($A:$A,Control!$B$29):INDEX($A:$A,100000),0)+MATCH($D11,INDEX($D:$D,Control!$B$31):INDEX($D:$D,Control!$B$32),0)-1,
    1)</f>
        <v>1</v>
      </c>
      <c r="R11" s="275" cm="1">
        <f t="array" ref="R11">INDEX(
    INDEX(R:R,Control!$B$29):INDEX(R:R,100000),
    MATCH($A$8,INDEX($A:$A,Control!$B$29):INDEX($A:$A,100000),0)+MATCH($D11,INDEX($D:$D,Control!$B$31):INDEX($D:$D,Control!$B$32),0)-1,
    1)</f>
        <v>1</v>
      </c>
      <c r="S11" s="275" cm="1">
        <f t="array" ref="S11">INDEX(
    INDEX(S:S,Control!$B$29):INDEX(S:S,100000),
    MATCH($A$8,INDEX($A:$A,Control!$B$29):INDEX($A:$A,100000),0)+MATCH($D11,INDEX($D:$D,Control!$B$31):INDEX($D:$D,Control!$B$32),0)-1,
    1)</f>
        <v>1</v>
      </c>
      <c r="T11" s="275" cm="1">
        <f t="array" ref="T11">INDEX(
    INDEX(T:T,Control!$B$29):INDEX(T:T,100000),
    MATCH($A$8,INDEX($A:$A,Control!$B$29):INDEX($A:$A,100000),0)+MATCH($D11,INDEX($D:$D,Control!$B$31):INDEX($D:$D,Control!$B$32),0)-1,
    1)</f>
        <v>1</v>
      </c>
      <c r="U11" s="275" cm="1">
        <f t="array" ref="U11">INDEX(
    INDEX(U:U,Control!$B$29):INDEX(U:U,100000),
    MATCH($A$8,INDEX($A:$A,Control!$B$29):INDEX($A:$A,100000),0)+MATCH($D11,INDEX($D:$D,Control!$B$31):INDEX($D:$D,Control!$B$32),0)-1,
    1)</f>
        <v>1</v>
      </c>
      <c r="V11" s="275" cm="1">
        <f t="array" ref="V11">INDEX(
    INDEX(V:V,Control!$B$29):INDEX(V:V,100000),
    MATCH($A$8,INDEX($A:$A,Control!$B$29):INDEX($A:$A,100000),0)+MATCH($D11,INDEX($D:$D,Control!$B$31):INDEX($D:$D,Control!$B$32),0)-1,
    1)</f>
        <v>1</v>
      </c>
      <c r="W11" s="275" cm="1">
        <f t="array" ref="W11">INDEX(
    INDEX(W:W,Control!$B$29):INDEX(W:W,100000),
    MATCH($A$8,INDEX($A:$A,Control!$B$29):INDEX($A:$A,100000),0)+MATCH($D11,INDEX($D:$D,Control!$B$31):INDEX($D:$D,Control!$B$32),0)-1,
    1)</f>
        <v>1</v>
      </c>
      <c r="X11" s="275" cm="1">
        <f t="array" ref="X11">INDEX(
    INDEX(X:X,Control!$B$29):INDEX(X:X,100000),
    MATCH($A$8,INDEX($A:$A,Control!$B$29):INDEX($A:$A,100000),0)+MATCH($D11,INDEX($D:$D,Control!$B$31):INDEX($D:$D,Control!$B$32),0)-1,
    1)</f>
        <v>1</v>
      </c>
      <c r="Y11" s="275" cm="1">
        <f t="array" ref="Y11">INDEX(
    INDEX(Y:Y,Control!$B$29):INDEX(Y:Y,100000),
    MATCH($A$8,INDEX($A:$A,Control!$B$29):INDEX($A:$A,100000),0)+MATCH($D11,INDEX($D:$D,Control!$B$31):INDEX($D:$D,Control!$B$32),0)-1,
    1)</f>
        <v>1</v>
      </c>
      <c r="Z11" s="275" cm="1">
        <f t="array" ref="Z11">INDEX(
    INDEX(Z:Z,Control!$B$29):INDEX(Z:Z,100000),
    MATCH($A$8,INDEX($A:$A,Control!$B$29):INDEX($A:$A,100000),0)+MATCH($D11,INDEX($D:$D,Control!$B$31):INDEX($D:$D,Control!$B$32),0)-1,
    1)</f>
        <v>1</v>
      </c>
      <c r="AA11" s="275" cm="1">
        <f t="array" ref="AA11">INDEX(
    INDEX(AA:AA,Control!$B$29):INDEX(AA:AA,100000),
    MATCH($A$8,INDEX($A:$A,Control!$B$29):INDEX($A:$A,100000),0)+MATCH($D11,INDEX($D:$D,Control!$B$31):INDEX($D:$D,Control!$B$32),0)-1,
    1)</f>
        <v>1</v>
      </c>
      <c r="AB11" s="275" cm="1">
        <f t="array" ref="AB11">INDEX(
    INDEX(AB:AB,Control!$B$29):INDEX(AB:AB,100000),
    MATCH($A$8,INDEX($A:$A,Control!$B$29):INDEX($A:$A,100000),0)+MATCH($D11,INDEX($D:$D,Control!$B$31):INDEX($D:$D,Control!$B$32),0)-1,
    1)</f>
        <v>1</v>
      </c>
      <c r="AC11" s="275" cm="1">
        <f t="array" ref="AC11">INDEX(
    INDEX(AC:AC,Control!$B$29):INDEX(AC:AC,100000),
    MATCH($A$8,INDEX($A:$A,Control!$B$29):INDEX($A:$A,100000),0)+MATCH($D11,INDEX($D:$D,Control!$B$31):INDEX($D:$D,Control!$B$32),0)-1,
    1)</f>
        <v>1</v>
      </c>
      <c r="AD11" s="275" cm="1">
        <f t="array" ref="AD11">INDEX(
    INDEX(AD:AD,Control!$B$29):INDEX(AD:AD,100000),
    MATCH($A$8,INDEX($A:$A,Control!$B$29):INDEX($A:$A,100000),0)+MATCH($D11,INDEX($D:$D,Control!$B$31):INDEX($D:$D,Control!$B$32),0)-1,
    1)</f>
        <v>1</v>
      </c>
      <c r="AE11" s="275" cm="1">
        <f t="array" ref="AE11">INDEX(
    INDEX(AE:AE,Control!$B$29):INDEX(AE:AE,100000),
    MATCH($A$8,INDEX($A:$A,Control!$B$29):INDEX($A:$A,100000),0)+MATCH($D11,INDEX($D:$D,Control!$B$31):INDEX($D:$D,Control!$B$32),0)-1,
    1)</f>
        <v>1</v>
      </c>
      <c r="AF11" s="275" cm="1">
        <f t="array" ref="AF11">INDEX(
    INDEX(AF:AF,Control!$B$29):INDEX(AF:AF,100000),
    MATCH($A$8,INDEX($A:$A,Control!$B$29):INDEX($A:$A,100000),0)+MATCH($D11,INDEX($D:$D,Control!$B$31):INDEX($D:$D,Control!$B$32),0)-1,
    1)</f>
        <v>1</v>
      </c>
      <c r="AG11" s="275" cm="1">
        <f t="array" ref="AG11">INDEX(
    INDEX(AG:AG,Control!$B$29):INDEX(AG:AG,100000),
    MATCH($A$8,INDEX($A:$A,Control!$B$29):INDEX($A:$A,100000),0)+MATCH($D11,INDEX($D:$D,Control!$B$31):INDEX($D:$D,Control!$B$32),0)-1,
    1)</f>
        <v>1</v>
      </c>
      <c r="AH11" s="275" cm="1">
        <f t="array" ref="AH11">INDEX(
    INDEX(AH:AH,Control!$B$29):INDEX(AH:AH,100000),
    MATCH($A$8,INDEX($A:$A,Control!$B$29):INDEX($A:$A,100000),0)+MATCH($D11,INDEX($D:$D,Control!$B$31):INDEX($D:$D,Control!$B$32),0)-1,
    1)</f>
        <v>1</v>
      </c>
      <c r="AI11" s="275" cm="1">
        <f t="array" ref="AI11">INDEX(
    INDEX(AI:AI,Control!$B$29):INDEX(AI:AI,100000),
    MATCH($A$8,INDEX($A:$A,Control!$B$29):INDEX($A:$A,100000),0)+MATCH($D11,INDEX($D:$D,Control!$B$31):INDEX($D:$D,Control!$B$32),0)-1,
    1)</f>
        <v>1</v>
      </c>
      <c r="AJ11" s="275" cm="1">
        <f t="array" ref="AJ11">INDEX(
    INDEX(AJ:AJ,Control!$B$29):INDEX(AJ:AJ,100000),
    MATCH($A$8,INDEX($A:$A,Control!$B$29):INDEX($A:$A,100000),0)+MATCH($D11,INDEX($D:$D,Control!$B$31):INDEX($D:$D,Control!$B$32),0)-1,
    1)</f>
        <v>1</v>
      </c>
      <c r="AK11" s="275" cm="1">
        <f t="array" ref="AK11">INDEX(
    INDEX(AK:AK,Control!$B$29):INDEX(AK:AK,100000),
    MATCH($A$8,INDEX($A:$A,Control!$B$29):INDEX($A:$A,100000),0)+MATCH($D11,INDEX($D:$D,Control!$B$31):INDEX($D:$D,Control!$B$32),0)-1,
    1)</f>
        <v>1</v>
      </c>
      <c r="AL11" s="275" cm="1">
        <f t="array" ref="AL11">INDEX(
    INDEX(AL:AL,Control!$B$29):INDEX(AL:AL,100000),
    MATCH($A$8,INDEX($A:$A,Control!$B$29):INDEX($A:$A,100000),0)+MATCH($D11,INDEX($D:$D,Control!$B$31):INDEX($D:$D,Control!$B$32),0)-1,
    1)</f>
        <v>1</v>
      </c>
      <c r="AM11" s="275" cm="1">
        <f t="array" ref="AM11">INDEX(
    INDEX(AM:AM,Control!$B$29):INDEX(AM:AM,100000),
    MATCH($A$8,INDEX($A:$A,Control!$B$29):INDEX($A:$A,100000),0)+MATCH($D11,INDEX($D:$D,Control!$B$31):INDEX($D:$D,Control!$B$32),0)-1,
    1)</f>
        <v>1</v>
      </c>
      <c r="AN11" s="275" cm="1">
        <f t="array" ref="AN11">INDEX(
    INDEX(AN:AN,Control!$B$29):INDEX(AN:AN,100000),
    MATCH($A$8,INDEX($A:$A,Control!$B$29):INDEX($A:$A,100000),0)+MATCH($D11,INDEX($D:$D,Control!$B$31):INDEX($D:$D,Control!$B$32),0)-1,
    1)</f>
        <v>1</v>
      </c>
      <c r="AO11" s="31"/>
      <c r="AP11" s="31"/>
      <c r="AQ11" s="31"/>
    </row>
    <row r="12" spans="1:59" s="23" customFormat="1" x14ac:dyDescent="0.35">
      <c r="A12"/>
      <c r="B12" s="15"/>
      <c r="C12" s="292" t="s">
        <v>230</v>
      </c>
      <c r="D12" s="40" t="s">
        <v>327</v>
      </c>
      <c r="E12" s="40" t="s">
        <v>326</v>
      </c>
      <c r="F12" s="264" cm="1">
        <f t="array" ref="F12">INDEX(
    INDEX(F:F,Control!$B$29):INDEX(F:F,100000),
    MATCH($A$8,INDEX($A:$A,Control!$B$29):INDEX($A:$A,100000),0)+MATCH($D12,INDEX($D:$D,Control!$B$31):INDEX($D:$D,Control!$B$32),0)-1,
    1)</f>
        <v>0</v>
      </c>
      <c r="G12" s="264" cm="1">
        <f t="array" ref="G12">INDEX(
    INDEX(G:G,Control!$B$29):INDEX(G:G,100000),
    MATCH($A$8,INDEX($A:$A,Control!$B$29):INDEX($A:$A,100000),0)+MATCH($D12,INDEX($D:$D,Control!$B$31):INDEX($D:$D,Control!$B$32),0)-1,
    1)</f>
        <v>1</v>
      </c>
      <c r="H12" s="264" cm="1">
        <f t="array" ref="H12">INDEX(
    INDEX(H:H,Control!$B$29):INDEX(H:H,100000),
    MATCH($A$8,INDEX($A:$A,Control!$B$29):INDEX($A:$A,100000),0)+MATCH($D12,INDEX($D:$D,Control!$B$31):INDEX($D:$D,Control!$B$32),0)-1,
    1)</f>
        <v>1</v>
      </c>
      <c r="I12" s="264" cm="1">
        <f t="array" ref="I12">INDEX(
    INDEX(I:I,Control!$B$29):INDEX(I:I,100000),
    MATCH($A$8,INDEX($A:$A,Control!$B$29):INDEX($A:$A,100000),0)+MATCH($D12,INDEX($D:$D,Control!$B$31):INDEX($D:$D,Control!$B$32),0)-1,
    1)</f>
        <v>1</v>
      </c>
      <c r="J12" s="264" cm="1">
        <f t="array" ref="J12">INDEX(
    INDEX(J:J,Control!$B$29):INDEX(J:J,100000),
    MATCH($A$8,INDEX($A:$A,Control!$B$29):INDEX($A:$A,100000),0)+MATCH($D12,INDEX($D:$D,Control!$B$31):INDEX($D:$D,Control!$B$32),0)-1,
    1)</f>
        <v>1</v>
      </c>
      <c r="K12" s="264" cm="1">
        <f t="array" ref="K12">INDEX(
    INDEX(K:K,Control!$B$29):INDEX(K:K,100000),
    MATCH($A$8,INDEX($A:$A,Control!$B$29):INDEX($A:$A,100000),0)+MATCH($D12,INDEX($D:$D,Control!$B$31):INDEX($D:$D,Control!$B$32),0)-1,
    1)</f>
        <v>1</v>
      </c>
      <c r="L12" s="264" cm="1">
        <f t="array" ref="L12">INDEX(
    INDEX(L:L,Control!$B$29):INDEX(L:L,100000),
    MATCH($A$8,INDEX($A:$A,Control!$B$29):INDEX($A:$A,100000),0)+MATCH($D12,INDEX($D:$D,Control!$B$31):INDEX($D:$D,Control!$B$32),0)-1,
    1)</f>
        <v>1</v>
      </c>
      <c r="M12" s="264" cm="1">
        <f t="array" ref="M12">INDEX(
    INDEX(M:M,Control!$B$29):INDEX(M:M,100000),
    MATCH($A$8,INDEX($A:$A,Control!$B$29):INDEX($A:$A,100000),0)+MATCH($D12,INDEX($D:$D,Control!$B$31):INDEX($D:$D,Control!$B$32),0)-1,
    1)</f>
        <v>1</v>
      </c>
      <c r="N12" s="264" cm="1">
        <f t="array" ref="N12">INDEX(
    INDEX(N:N,Control!$B$29):INDEX(N:N,100000),
    MATCH($A$8,INDEX($A:$A,Control!$B$29):INDEX($A:$A,100000),0)+MATCH($D12,INDEX($D:$D,Control!$B$31):INDEX($D:$D,Control!$B$32),0)-1,
    1)</f>
        <v>1</v>
      </c>
      <c r="O12" s="264" cm="1">
        <f t="array" ref="O12">INDEX(
    INDEX(O:O,Control!$B$29):INDEX(O:O,100000),
    MATCH($A$8,INDEX($A:$A,Control!$B$29):INDEX($A:$A,100000),0)+MATCH($D12,INDEX($D:$D,Control!$B$31):INDEX($D:$D,Control!$B$32),0)-1,
    1)</f>
        <v>1</v>
      </c>
      <c r="P12" s="264" cm="1">
        <f t="array" ref="P12">INDEX(
    INDEX(P:P,Control!$B$29):INDEX(P:P,100000),
    MATCH($A$8,INDEX($A:$A,Control!$B$29):INDEX($A:$A,100000),0)+MATCH($D12,INDEX($D:$D,Control!$B$31):INDEX($D:$D,Control!$B$32),0)-1,
    1)</f>
        <v>1</v>
      </c>
      <c r="Q12" s="264" cm="1">
        <f t="array" ref="Q12">INDEX(
    INDEX(Q:Q,Control!$B$29):INDEX(Q:Q,100000),
    MATCH($A$8,INDEX($A:$A,Control!$B$29):INDEX($A:$A,100000),0)+MATCH($D12,INDEX($D:$D,Control!$B$31):INDEX($D:$D,Control!$B$32),0)-1,
    1)</f>
        <v>1</v>
      </c>
      <c r="R12" s="264" cm="1">
        <f t="array" ref="R12">INDEX(
    INDEX(R:R,Control!$B$29):INDEX(R:R,100000),
    MATCH($A$8,INDEX($A:$A,Control!$B$29):INDEX($A:$A,100000),0)+MATCH($D12,INDEX($D:$D,Control!$B$31):INDEX($D:$D,Control!$B$32),0)-1,
    1)</f>
        <v>1</v>
      </c>
      <c r="S12" s="264" cm="1">
        <f t="array" ref="S12">INDEX(
    INDEX(S:S,Control!$B$29):INDEX(S:S,100000),
    MATCH($A$8,INDEX($A:$A,Control!$B$29):INDEX($A:$A,100000),0)+MATCH($D12,INDEX($D:$D,Control!$B$31):INDEX($D:$D,Control!$B$32),0)-1,
    1)</f>
        <v>1</v>
      </c>
      <c r="T12" s="264" cm="1">
        <f t="array" ref="T12">INDEX(
    INDEX(T:T,Control!$B$29):INDEX(T:T,100000),
    MATCH($A$8,INDEX($A:$A,Control!$B$29):INDEX($A:$A,100000),0)+MATCH($D12,INDEX($D:$D,Control!$B$31):INDEX($D:$D,Control!$B$32),0)-1,
    1)</f>
        <v>1</v>
      </c>
      <c r="U12" s="264" cm="1">
        <f t="array" ref="U12">INDEX(
    INDEX(U:U,Control!$B$29):INDEX(U:U,100000),
    MATCH($A$8,INDEX($A:$A,Control!$B$29):INDEX($A:$A,100000),0)+MATCH($D12,INDEX($D:$D,Control!$B$31):INDEX($D:$D,Control!$B$32),0)-1,
    1)</f>
        <v>1</v>
      </c>
      <c r="V12" s="264" cm="1">
        <f t="array" ref="V12">INDEX(
    INDEX(V:V,Control!$B$29):INDEX(V:V,100000),
    MATCH($A$8,INDEX($A:$A,Control!$B$29):INDEX($A:$A,100000),0)+MATCH($D12,INDEX($D:$D,Control!$B$31):INDEX($D:$D,Control!$B$32),0)-1,
    1)</f>
        <v>1</v>
      </c>
      <c r="W12" s="264" cm="1">
        <f t="array" ref="W12">INDEX(
    INDEX(W:W,Control!$B$29):INDEX(W:W,100000),
    MATCH($A$8,INDEX($A:$A,Control!$B$29):INDEX($A:$A,100000),0)+MATCH($D12,INDEX($D:$D,Control!$B$31):INDEX($D:$D,Control!$B$32),0)-1,
    1)</f>
        <v>1</v>
      </c>
      <c r="X12" s="264" cm="1">
        <f t="array" ref="X12">INDEX(
    INDEX(X:X,Control!$B$29):INDEX(X:X,100000),
    MATCH($A$8,INDEX($A:$A,Control!$B$29):INDEX($A:$A,100000),0)+MATCH($D12,INDEX($D:$D,Control!$B$31):INDEX($D:$D,Control!$B$32),0)-1,
    1)</f>
        <v>1</v>
      </c>
      <c r="Y12" s="264" cm="1">
        <f t="array" ref="Y12">INDEX(
    INDEX(Y:Y,Control!$B$29):INDEX(Y:Y,100000),
    MATCH($A$8,INDEX($A:$A,Control!$B$29):INDEX($A:$A,100000),0)+MATCH($D12,INDEX($D:$D,Control!$B$31):INDEX($D:$D,Control!$B$32),0)-1,
    1)</f>
        <v>1</v>
      </c>
      <c r="Z12" s="264" cm="1">
        <f t="array" ref="Z12">INDEX(
    INDEX(Z:Z,Control!$B$29):INDEX(Z:Z,100000),
    MATCH($A$8,INDEX($A:$A,Control!$B$29):INDEX($A:$A,100000),0)+MATCH($D12,INDEX($D:$D,Control!$B$31):INDEX($D:$D,Control!$B$32),0)-1,
    1)</f>
        <v>1</v>
      </c>
      <c r="AA12" s="264" cm="1">
        <f t="array" ref="AA12">INDEX(
    INDEX(AA:AA,Control!$B$29):INDEX(AA:AA,100000),
    MATCH($A$8,INDEX($A:$A,Control!$B$29):INDEX($A:$A,100000),0)+MATCH($D12,INDEX($D:$D,Control!$B$31):INDEX($D:$D,Control!$B$32),0)-1,
    1)</f>
        <v>1</v>
      </c>
      <c r="AB12" s="264" cm="1">
        <f t="array" ref="AB12">INDEX(
    INDEX(AB:AB,Control!$B$29):INDEX(AB:AB,100000),
    MATCH($A$8,INDEX($A:$A,Control!$B$29):INDEX($A:$A,100000),0)+MATCH($D12,INDEX($D:$D,Control!$B$31):INDEX($D:$D,Control!$B$32),0)-1,
    1)</f>
        <v>1</v>
      </c>
      <c r="AC12" s="264" cm="1">
        <f t="array" ref="AC12">INDEX(
    INDEX(AC:AC,Control!$B$29):INDEX(AC:AC,100000),
    MATCH($A$8,INDEX($A:$A,Control!$B$29):INDEX($A:$A,100000),0)+MATCH($D12,INDEX($D:$D,Control!$B$31):INDEX($D:$D,Control!$B$32),0)-1,
    1)</f>
        <v>1</v>
      </c>
      <c r="AD12" s="264" cm="1">
        <f t="array" ref="AD12">INDEX(
    INDEX(AD:AD,Control!$B$29):INDEX(AD:AD,100000),
    MATCH($A$8,INDEX($A:$A,Control!$B$29):INDEX($A:$A,100000),0)+MATCH($D12,INDEX($D:$D,Control!$B$31):INDEX($D:$D,Control!$B$32),0)-1,
    1)</f>
        <v>1</v>
      </c>
      <c r="AE12" s="264" cm="1">
        <f t="array" ref="AE12">INDEX(
    INDEX(AE:AE,Control!$B$29):INDEX(AE:AE,100000),
    MATCH($A$8,INDEX($A:$A,Control!$B$29):INDEX($A:$A,100000),0)+MATCH($D12,INDEX($D:$D,Control!$B$31):INDEX($D:$D,Control!$B$32),0)-1,
    1)</f>
        <v>1</v>
      </c>
      <c r="AF12" s="264" cm="1">
        <f t="array" ref="AF12">INDEX(
    INDEX(AF:AF,Control!$B$29):INDEX(AF:AF,100000),
    MATCH($A$8,INDEX($A:$A,Control!$B$29):INDEX($A:$A,100000),0)+MATCH($D12,INDEX($D:$D,Control!$B$31):INDEX($D:$D,Control!$B$32),0)-1,
    1)</f>
        <v>1</v>
      </c>
      <c r="AG12" s="264" cm="1">
        <f t="array" ref="AG12">INDEX(
    INDEX(AG:AG,Control!$B$29):INDEX(AG:AG,100000),
    MATCH($A$8,INDEX($A:$A,Control!$B$29):INDEX($A:$A,100000),0)+MATCH($D12,INDEX($D:$D,Control!$B$31):INDEX($D:$D,Control!$B$32),0)-1,
    1)</f>
        <v>1</v>
      </c>
      <c r="AH12" s="264" cm="1">
        <f t="array" ref="AH12">INDEX(
    INDEX(AH:AH,Control!$B$29):INDEX(AH:AH,100000),
    MATCH($A$8,INDEX($A:$A,Control!$B$29):INDEX($A:$A,100000),0)+MATCH($D12,INDEX($D:$D,Control!$B$31):INDEX($D:$D,Control!$B$32),0)-1,
    1)</f>
        <v>1</v>
      </c>
      <c r="AI12" s="264" cm="1">
        <f t="array" ref="AI12">INDEX(
    INDEX(AI:AI,Control!$B$29):INDEX(AI:AI,100000),
    MATCH($A$8,INDEX($A:$A,Control!$B$29):INDEX($A:$A,100000),0)+MATCH($D12,INDEX($D:$D,Control!$B$31):INDEX($D:$D,Control!$B$32),0)-1,
    1)</f>
        <v>1</v>
      </c>
      <c r="AJ12" s="264" cm="1">
        <f t="array" ref="AJ12">INDEX(
    INDEX(AJ:AJ,Control!$B$29):INDEX(AJ:AJ,100000),
    MATCH($A$8,INDEX($A:$A,Control!$B$29):INDEX($A:$A,100000),0)+MATCH($D12,INDEX($D:$D,Control!$B$31):INDEX($D:$D,Control!$B$32),0)-1,
    1)</f>
        <v>1</v>
      </c>
      <c r="AK12" s="264" cm="1">
        <f t="array" ref="AK12">INDEX(
    INDEX(AK:AK,Control!$B$29):INDEX(AK:AK,100000),
    MATCH($A$8,INDEX($A:$A,Control!$B$29):INDEX($A:$A,100000),0)+MATCH($D12,INDEX($D:$D,Control!$B$31):INDEX($D:$D,Control!$B$32),0)-1,
    1)</f>
        <v>1</v>
      </c>
      <c r="AL12" s="264" cm="1">
        <f t="array" ref="AL12">INDEX(
    INDEX(AL:AL,Control!$B$29):INDEX(AL:AL,100000),
    MATCH($A$8,INDEX($A:$A,Control!$B$29):INDEX($A:$A,100000),0)+MATCH($D12,INDEX($D:$D,Control!$B$31):INDEX($D:$D,Control!$B$32),0)-1,
    1)</f>
        <v>1</v>
      </c>
      <c r="AM12" s="264" cm="1">
        <f t="array" ref="AM12">INDEX(
    INDEX(AM:AM,Control!$B$29):INDEX(AM:AM,100000),
    MATCH($A$8,INDEX($A:$A,Control!$B$29):INDEX($A:$A,100000),0)+MATCH($D12,INDEX($D:$D,Control!$B$31):INDEX($D:$D,Control!$B$32),0)-1,
    1)</f>
        <v>1</v>
      </c>
      <c r="AN12" s="264" cm="1">
        <f t="array" ref="AN12">INDEX(
    INDEX(AN:AN,Control!$B$29):INDEX(AN:AN,100000),
    MATCH($A$8,INDEX($A:$A,Control!$B$29):INDEX($A:$A,100000),0)+MATCH($D12,INDEX($D:$D,Control!$B$31):INDEX($D:$D,Control!$B$32),0)-1,
    1)</f>
        <v>1</v>
      </c>
      <c r="AO12" s="30"/>
      <c r="AP12" s="30"/>
      <c r="AQ12" s="30"/>
    </row>
    <row r="13" spans="1:59" s="23" customFormat="1" x14ac:dyDescent="0.35">
      <c r="A13"/>
      <c r="C13" s="296" t="s">
        <v>447</v>
      </c>
      <c r="D13" s="19" t="s">
        <v>328</v>
      </c>
      <c r="E13" s="19" t="s">
        <v>217</v>
      </c>
      <c r="F13" s="258" cm="1">
        <f t="array" ref="F13">INDEX(
    INDEX(F:F,Control!$B$29):INDEX(F:F,100000),
    MATCH($A$8,INDEX($A:$A,Control!$B$29):INDEX($A:$A,100000),0)+MATCH($D13,INDEX($D:$D,Control!$B$31):INDEX($D:$D,Control!$B$32),0)-1,
    1)</f>
        <v>0</v>
      </c>
      <c r="G13" s="258" cm="1">
        <f t="array" ref="G13">INDEX(
    INDEX(G:G,Control!$B$29):INDEX(G:G,100000),
    MATCH($A$8,INDEX($A:$A,Control!$B$29):INDEX($A:$A,100000),0)+MATCH($D13,INDEX($D:$D,Control!$B$31):INDEX($D:$D,Control!$B$32),0)-1,
    1)</f>
        <v>339.62508000000003</v>
      </c>
      <c r="H13" s="258" cm="1">
        <f t="array" ref="H13">INDEX(
    INDEX(H:H,Control!$B$29):INDEX(H:H,100000),
    MATCH($A$8,INDEX($A:$A,Control!$B$29):INDEX($A:$A,100000),0)+MATCH($D13,INDEX($D:$D,Control!$B$31):INDEX($D:$D,Control!$B$32),0)-1,
    1)</f>
        <v>354.70308999999997</v>
      </c>
      <c r="I13" s="258" cm="1">
        <f t="array" ref="I13">INDEX(
    INDEX(I:I,Control!$B$29):INDEX(I:I,100000),
    MATCH($A$8,INDEX($A:$A,Control!$B$29):INDEX($A:$A,100000),0)+MATCH($D13,INDEX($D:$D,Control!$B$31):INDEX($D:$D,Control!$B$32),0)-1,
    1)</f>
        <v>342.06497000000002</v>
      </c>
      <c r="J13" s="258" cm="1">
        <f t="array" ref="J13">INDEX(
    INDEX(J:J,Control!$B$29):INDEX(J:J,100000),
    MATCH($A$8,INDEX($A:$A,Control!$B$29):INDEX($A:$A,100000),0)+MATCH($D13,INDEX($D:$D,Control!$B$31):INDEX($D:$D,Control!$B$32),0)-1,
    1)</f>
        <v>315.77773999999999</v>
      </c>
      <c r="K13" s="258" cm="1">
        <f t="array" ref="K13">INDEX(
    INDEX(K:K,Control!$B$29):INDEX(K:K,100000),
    MATCH($A$8,INDEX($A:$A,Control!$B$29):INDEX($A:$A,100000),0)+MATCH($D13,INDEX($D:$D,Control!$B$31):INDEX($D:$D,Control!$B$32),0)-1,
    1)</f>
        <v>324.84222</v>
      </c>
      <c r="L13" s="258" cm="1">
        <f t="array" ref="L13">INDEX(
    INDEX(L:L,Control!$B$29):INDEX(L:L,100000),
    MATCH($A$8,INDEX($A:$A,Control!$B$29):INDEX($A:$A,100000),0)+MATCH($D13,INDEX($D:$D,Control!$B$31):INDEX($D:$D,Control!$B$32),0)-1,
    1)</f>
        <v>321.66649999999998</v>
      </c>
      <c r="M13" s="258" cm="1">
        <f t="array" ref="M13">INDEX(
    INDEX(M:M,Control!$B$29):INDEX(M:M,100000),
    MATCH($A$8,INDEX($A:$A,Control!$B$29):INDEX($A:$A,100000),0)+MATCH($D13,INDEX($D:$D,Control!$B$31):INDEX($D:$D,Control!$B$32),0)-1,
    1)</f>
        <v>297.50286999999997</v>
      </c>
      <c r="N13" s="258" cm="1">
        <f t="array" ref="N13">INDEX(
    INDEX(N:N,Control!$B$29):INDEX(N:N,100000),
    MATCH($A$8,INDEX($A:$A,Control!$B$29):INDEX($A:$A,100000),0)+MATCH($D13,INDEX($D:$D,Control!$B$31):INDEX($D:$D,Control!$B$32),0)-1,
    1)</f>
        <v>265.34656000000001</v>
      </c>
      <c r="O13" s="258" cm="1">
        <f t="array" ref="O13">INDEX(
    INDEX(O:O,Control!$B$29):INDEX(O:O,100000),
    MATCH($A$8,INDEX($A:$A,Control!$B$29):INDEX($A:$A,100000),0)+MATCH($D13,INDEX($D:$D,Control!$B$31):INDEX($D:$D,Control!$B$32),0)-1,
    1)</f>
        <v>249.52394000000001</v>
      </c>
      <c r="P13" s="258" cm="1">
        <f t="array" ref="P13">INDEX(
    INDEX(P:P,Control!$B$29):INDEX(P:P,100000),
    MATCH($A$8,INDEX($A:$A,Control!$B$29):INDEX($A:$A,100000),0)+MATCH($D13,INDEX($D:$D,Control!$B$31):INDEX($D:$D,Control!$B$32),0)-1,
    1)</f>
        <v>229.44484</v>
      </c>
      <c r="Q13" s="258" cm="1">
        <f t="array" ref="Q13">INDEX(
    INDEX(Q:Q,Control!$B$29):INDEX(Q:Q,100000),
    MATCH($A$8,INDEX($A:$A,Control!$B$29):INDEX($A:$A,100000),0)+MATCH($D13,INDEX($D:$D,Control!$B$31):INDEX($D:$D,Control!$B$32),0)-1,
    1)</f>
        <v>250.72463999999999</v>
      </c>
      <c r="R13" s="258" cm="1">
        <f t="array" ref="R13">INDEX(
    INDEX(R:R,Control!$B$29):INDEX(R:R,100000),
    MATCH($A$8,INDEX($A:$A,Control!$B$29):INDEX($A:$A,100000),0)+MATCH($D13,INDEX($D:$D,Control!$B$31):INDEX($D:$D,Control!$B$32),0)-1,
    1)</f>
        <v>233.49446</v>
      </c>
      <c r="S13" s="258" cm="1">
        <f t="array" ref="S13">INDEX(
    INDEX(S:S,Control!$B$29):INDEX(S:S,100000),
    MATCH($A$8,INDEX($A:$A,Control!$B$29):INDEX($A:$A,100000),0)+MATCH($D13,INDEX($D:$D,Control!$B$31):INDEX($D:$D,Control!$B$32),0)-1,
    1)</f>
        <v>228.36938000000001</v>
      </c>
      <c r="T13" s="258" cm="1">
        <f t="array" ref="T13">INDEX(
    INDEX(T:T,Control!$B$29):INDEX(T:T,100000),
    MATCH($A$8,INDEX($A:$A,Control!$B$29):INDEX($A:$A,100000),0)+MATCH($D13,INDEX($D:$D,Control!$B$31):INDEX($D:$D,Control!$B$32),0)-1,
    1)</f>
        <v>227.58784</v>
      </c>
      <c r="U13" s="258" cm="1">
        <f t="array" ref="U13">INDEX(
    INDEX(U:U,Control!$B$29):INDEX(U:U,100000),
    MATCH($A$8,INDEX($A:$A,Control!$B$29):INDEX($A:$A,100000),0)+MATCH($D13,INDEX($D:$D,Control!$B$31):INDEX($D:$D,Control!$B$32),0)-1,
    1)</f>
        <v>232.11633</v>
      </c>
      <c r="V13" s="258" cm="1">
        <f t="array" ref="V13">INDEX(
    INDEX(V:V,Control!$B$29):INDEX(V:V,100000),
    MATCH($A$8,INDEX($A:$A,Control!$B$29):INDEX($A:$A,100000),0)+MATCH($D13,INDEX($D:$D,Control!$B$31):INDEX($D:$D,Control!$B$32),0)-1,
    1)</f>
        <v>233.24495999999999</v>
      </c>
      <c r="W13" s="258" cm="1">
        <f t="array" ref="W13">INDEX(
    INDEX(W:W,Control!$B$29):INDEX(W:W,100000),
    MATCH($A$8,INDEX($A:$A,Control!$B$29):INDEX($A:$A,100000),0)+MATCH($D13,INDEX($D:$D,Control!$B$31):INDEX($D:$D,Control!$B$32),0)-1,
    1)</f>
        <v>229.80477999999999</v>
      </c>
      <c r="X13" s="258" cm="1">
        <f t="array" ref="X13">INDEX(
    INDEX(X:X,Control!$B$29):INDEX(X:X,100000),
    MATCH($A$8,INDEX($A:$A,Control!$B$29):INDEX($A:$A,100000),0)+MATCH($D13,INDEX($D:$D,Control!$B$31):INDEX($D:$D,Control!$B$32),0)-1,
    1)</f>
        <v>220.87155999999999</v>
      </c>
      <c r="Y13" s="258" cm="1">
        <f t="array" ref="Y13">INDEX(
    INDEX(Y:Y,Control!$B$29):INDEX(Y:Y,100000),
    MATCH($A$8,INDEX($A:$A,Control!$B$29):INDEX($A:$A,100000),0)+MATCH($D13,INDEX($D:$D,Control!$B$31):INDEX($D:$D,Control!$B$32),0)-1,
    1)</f>
        <v>207.21865</v>
      </c>
      <c r="Z13" s="258" cm="1">
        <f t="array" ref="Z13">INDEX(
    INDEX(Z:Z,Control!$B$29):INDEX(Z:Z,100000),
    MATCH($A$8,INDEX($A:$A,Control!$B$29):INDEX($A:$A,100000),0)+MATCH($D13,INDEX($D:$D,Control!$B$31):INDEX($D:$D,Control!$B$32),0)-1,
    1)</f>
        <v>192.82232999999999</v>
      </c>
      <c r="AA13" s="258" cm="1">
        <f t="array" ref="AA13">INDEX(
    INDEX(AA:AA,Control!$B$29):INDEX(AA:AA,100000),
    MATCH($A$8,INDEX($A:$A,Control!$B$29):INDEX($A:$A,100000),0)+MATCH($D13,INDEX($D:$D,Control!$B$31):INDEX($D:$D,Control!$B$32),0)-1,
    1)</f>
        <v>196.98298</v>
      </c>
      <c r="AB13" s="258" cm="1">
        <f t="array" ref="AB13">INDEX(
    INDEX(AB:AB,Control!$B$29):INDEX(AB:AB,100000),
    MATCH($A$8,INDEX($A:$A,Control!$B$29):INDEX($A:$A,100000),0)+MATCH($D13,INDEX($D:$D,Control!$B$31):INDEX($D:$D,Control!$B$32),0)-1,
    1)</f>
        <v>201.95898</v>
      </c>
      <c r="AC13" s="258" cm="1">
        <f t="array" ref="AC13">INDEX(
    INDEX(AC:AC,Control!$B$29):INDEX(AC:AC,100000),
    MATCH($A$8,INDEX($A:$A,Control!$B$29):INDEX($A:$A,100000),0)+MATCH($D13,INDEX($D:$D,Control!$B$31):INDEX($D:$D,Control!$B$32),0)-1,
    1)</f>
        <v>192.67129</v>
      </c>
      <c r="AD13" s="258" cm="1">
        <f t="array" ref="AD13">INDEX(
    INDEX(AD:AD,Control!$B$29):INDEX(AD:AD,100000),
    MATCH($A$8,INDEX($A:$A,Control!$B$29):INDEX($A:$A,100000),0)+MATCH($D13,INDEX($D:$D,Control!$B$31):INDEX($D:$D,Control!$B$32),0)-1,
    1)</f>
        <v>193.09424999999999</v>
      </c>
      <c r="AE13" s="258" cm="1">
        <f t="array" ref="AE13">INDEX(
    INDEX(AE:AE,Control!$B$29):INDEX(AE:AE,100000),
    MATCH($A$8,INDEX($A:$A,Control!$B$29):INDEX($A:$A,100000),0)+MATCH($D13,INDEX($D:$D,Control!$B$31):INDEX($D:$D,Control!$B$32),0)-1,
    1)</f>
        <v>186.57343</v>
      </c>
      <c r="AF13" s="258" cm="1">
        <f t="array" ref="AF13">INDEX(
    INDEX(AF:AF,Control!$B$29):INDEX(AF:AF,100000),
    MATCH($A$8,INDEX($A:$A,Control!$B$29):INDEX($A:$A,100000),0)+MATCH($D13,INDEX($D:$D,Control!$B$31):INDEX($D:$D,Control!$B$32),0)-1,
    1)</f>
        <v>185.10194999999999</v>
      </c>
      <c r="AG13" s="258" cm="1">
        <f t="array" ref="AG13">INDEX(
    INDEX(AG:AG,Control!$B$29):INDEX(AG:AG,100000),
    MATCH($A$8,INDEX($A:$A,Control!$B$29):INDEX($A:$A,100000),0)+MATCH($D13,INDEX($D:$D,Control!$B$31):INDEX($D:$D,Control!$B$32),0)-1,
    1)</f>
        <v>184.03310999999999</v>
      </c>
      <c r="AH13" s="258" cm="1">
        <f t="array" ref="AH13">INDEX(
    INDEX(AH:AH,Control!$B$29):INDEX(AH:AH,100000),
    MATCH($A$8,INDEX($A:$A,Control!$B$29):INDEX($A:$A,100000),0)+MATCH($D13,INDEX($D:$D,Control!$B$31):INDEX($D:$D,Control!$B$32),0)-1,
    1)</f>
        <v>185.44834</v>
      </c>
      <c r="AI13" s="258" cm="1">
        <f t="array" ref="AI13">INDEX(
    INDEX(AI:AI,Control!$B$29):INDEX(AI:AI,100000),
    MATCH($A$8,INDEX($A:$A,Control!$B$29):INDEX($A:$A,100000),0)+MATCH($D13,INDEX($D:$D,Control!$B$31):INDEX($D:$D,Control!$B$32),0)-1,
    1)</f>
        <v>187.13081</v>
      </c>
      <c r="AJ13" s="258" cm="1">
        <f t="array" ref="AJ13">INDEX(
    INDEX(AJ:AJ,Control!$B$29):INDEX(AJ:AJ,100000),
    MATCH($A$8,INDEX($A:$A,Control!$B$29):INDEX($A:$A,100000),0)+MATCH($D13,INDEX($D:$D,Control!$B$31):INDEX($D:$D,Control!$B$32),0)-1,
    1)</f>
        <v>187.37441999999999</v>
      </c>
      <c r="AK13" s="258" cm="1">
        <f t="array" ref="AK13">INDEX(
    INDEX(AK:AK,Control!$B$29):INDEX(AK:AK,100000),
    MATCH($A$8,INDEX($A:$A,Control!$B$29):INDEX($A:$A,100000),0)+MATCH($D13,INDEX($D:$D,Control!$B$31):INDEX($D:$D,Control!$B$32),0)-1,
    1)</f>
        <v>185.70111</v>
      </c>
      <c r="AL13" s="258" cm="1">
        <f t="array" ref="AL13">INDEX(
    INDEX(AL:AL,Control!$B$29):INDEX(AL:AL,100000),
    MATCH($A$8,INDEX($A:$A,Control!$B$29):INDEX($A:$A,100000),0)+MATCH($D13,INDEX($D:$D,Control!$B$31):INDEX($D:$D,Control!$B$32),0)-1,
    1)</f>
        <v>188.34089</v>
      </c>
      <c r="AM13" s="258" cm="1">
        <f t="array" ref="AM13">INDEX(
    INDEX(AM:AM,Control!$B$29):INDEX(AM:AM,100000),
    MATCH($A$8,INDEX($A:$A,Control!$B$29):INDEX($A:$A,100000),0)+MATCH($D13,INDEX($D:$D,Control!$B$31):INDEX($D:$D,Control!$B$32),0)-1,
    1)</f>
        <v>183.58096</v>
      </c>
      <c r="AN13" s="258" cm="1">
        <f t="array" ref="AN13">INDEX(
    INDEX(AN:AN,Control!$B$29):INDEX(AN:AN,100000),
    MATCH($A$8,INDEX($A:$A,Control!$B$29):INDEX($A:$A,100000),0)+MATCH($D13,INDEX($D:$D,Control!$B$31):INDEX($D:$D,Control!$B$32),0)-1,
    1)</f>
        <v>184.88809000000001</v>
      </c>
      <c r="AO13" s="32"/>
      <c r="AP13" s="32"/>
      <c r="AQ13" s="32"/>
    </row>
    <row r="14" spans="1:59" s="23" customFormat="1" x14ac:dyDescent="0.35">
      <c r="A14"/>
      <c r="B14" t="s">
        <v>218</v>
      </c>
      <c r="C14" s="292" t="s">
        <v>230</v>
      </c>
      <c r="D14" s="19" t="s">
        <v>329</v>
      </c>
      <c r="E14" s="19" t="s">
        <v>217</v>
      </c>
      <c r="F14" s="258" cm="1">
        <f t="array" ref="F14">INDEX(
    INDEX(F:F,Control!$B$29):INDEX(F:F,100000),
    MATCH($A$8,INDEX($A:$A,Control!$B$29):INDEX($A:$A,100000),0)+MATCH($D14,INDEX($D:$D,Control!$B$31):INDEX($D:$D,Control!$B$32),0)-1,
    1)</f>
        <v>0</v>
      </c>
      <c r="G14" s="258" cm="1">
        <f t="array" ref="G14">INDEX(
    INDEX(G:G,Control!$B$29):INDEX(G:G,100000),
    MATCH($A$8,INDEX($A:$A,Control!$B$29):INDEX($A:$A,100000),0)+MATCH($D14,INDEX($D:$D,Control!$B$31):INDEX($D:$D,Control!$B$32),0)-1,
    1)</f>
        <v>-364.79993999999999</v>
      </c>
      <c r="H14" s="258" cm="1">
        <f t="array" ref="H14">INDEX(
    INDEX(H:H,Control!$B$29):INDEX(H:H,100000),
    MATCH($A$8,INDEX($A:$A,Control!$B$29):INDEX($A:$A,100000),0)+MATCH($D14,INDEX($D:$D,Control!$B$31):INDEX($D:$D,Control!$B$32),0)-1,
    1)</f>
        <v>-374.68088999999998</v>
      </c>
      <c r="I14" s="258" cm="1">
        <f t="array" ref="I14">INDEX(
    INDEX(I:I,Control!$B$29):INDEX(I:I,100000),
    MATCH($A$8,INDEX($A:$A,Control!$B$29):INDEX($A:$A,100000),0)+MATCH($D14,INDEX($D:$D,Control!$B$31):INDEX($D:$D,Control!$B$32),0)-1,
    1)</f>
        <v>-326.27100999999999</v>
      </c>
      <c r="J14" s="258" cm="1">
        <f t="array" ref="J14">INDEX(
    INDEX(J:J,Control!$B$29):INDEX(J:J,100000),
    MATCH($A$8,INDEX($A:$A,Control!$B$29):INDEX($A:$A,100000),0)+MATCH($D14,INDEX($D:$D,Control!$B$31):INDEX($D:$D,Control!$B$32),0)-1,
    1)</f>
        <v>-314.51830000000001</v>
      </c>
      <c r="K14" s="258" cm="1">
        <f t="array" ref="K14">INDEX(
    INDEX(K:K,Control!$B$29):INDEX(K:K,100000),
    MATCH($A$8,INDEX($A:$A,Control!$B$29):INDEX($A:$A,100000),0)+MATCH($D14,INDEX($D:$D,Control!$B$31):INDEX($D:$D,Control!$B$32),0)-1,
    1)</f>
        <v>-282.41217999999998</v>
      </c>
      <c r="L14" s="258" cm="1">
        <f t="array" ref="L14">INDEX(
    INDEX(L:L,Control!$B$29):INDEX(L:L,100000),
    MATCH($A$8,INDEX($A:$A,Control!$B$29):INDEX($A:$A,100000),0)+MATCH($D14,INDEX($D:$D,Control!$B$31):INDEX($D:$D,Control!$B$32),0)-1,
    1)</f>
        <v>-275.60066</v>
      </c>
      <c r="M14" s="258" cm="1">
        <f t="array" ref="M14">INDEX(
    INDEX(M:M,Control!$B$29):INDEX(M:M,100000),
    MATCH($A$8,INDEX($A:$A,Control!$B$29):INDEX($A:$A,100000),0)+MATCH($D14,INDEX($D:$D,Control!$B$31):INDEX($D:$D,Control!$B$32),0)-1,
    1)</f>
        <v>-264.05194999999998</v>
      </c>
      <c r="N14" s="258" cm="1">
        <f t="array" ref="N14">INDEX(
    INDEX(N:N,Control!$B$29):INDEX(N:N,100000),
    MATCH($A$8,INDEX($A:$A,Control!$B$29):INDEX($A:$A,100000),0)+MATCH($D14,INDEX($D:$D,Control!$B$31):INDEX($D:$D,Control!$B$32),0)-1,
    1)</f>
        <v>-266.54460999999998</v>
      </c>
      <c r="O14" s="258" cm="1">
        <f t="array" ref="O14">INDEX(
    INDEX(O:O,Control!$B$29):INDEX(O:O,100000),
    MATCH($A$8,INDEX($A:$A,Control!$B$29):INDEX($A:$A,100000),0)+MATCH($D14,INDEX($D:$D,Control!$B$31):INDEX($D:$D,Control!$B$32),0)-1,
    1)</f>
        <v>-263.06313</v>
      </c>
      <c r="P14" s="258" cm="1">
        <f t="array" ref="P14">INDEX(
    INDEX(P:P,Control!$B$29):INDEX(P:P,100000),
    MATCH($A$8,INDEX($A:$A,Control!$B$29):INDEX($A:$A,100000),0)+MATCH($D14,INDEX($D:$D,Control!$B$31):INDEX($D:$D,Control!$B$32),0)-1,
    1)</f>
        <v>-253.64758</v>
      </c>
      <c r="Q14" s="258" cm="1">
        <f t="array" ref="Q14">INDEX(
    INDEX(Q:Q,Control!$B$29):INDEX(Q:Q,100000),
    MATCH($A$8,INDEX($A:$A,Control!$B$29):INDEX($A:$A,100000),0)+MATCH($D14,INDEX($D:$D,Control!$B$31):INDEX($D:$D,Control!$B$32),0)-1,
    1)</f>
        <v>-243.41514000000001</v>
      </c>
      <c r="R14" s="258" cm="1">
        <f t="array" ref="R14">INDEX(
    INDEX(R:R,Control!$B$29):INDEX(R:R,100000),
    MATCH($A$8,INDEX($A:$A,Control!$B$29):INDEX($A:$A,100000),0)+MATCH($D14,INDEX($D:$D,Control!$B$31):INDEX($D:$D,Control!$B$32),0)-1,
    1)</f>
        <v>-243.11215999999999</v>
      </c>
      <c r="S14" s="258" cm="1">
        <f t="array" ref="S14">INDEX(
    INDEX(S:S,Control!$B$29):INDEX(S:S,100000),
    MATCH($A$8,INDEX($A:$A,Control!$B$29):INDEX($A:$A,100000),0)+MATCH($D14,INDEX($D:$D,Control!$B$31):INDEX($D:$D,Control!$B$32),0)-1,
    1)</f>
        <v>-241.18924000000001</v>
      </c>
      <c r="T14" s="258" cm="1">
        <f t="array" ref="T14">INDEX(
    INDEX(T:T,Control!$B$29):INDEX(T:T,100000),
    MATCH($A$8,INDEX($A:$A,Control!$B$29):INDEX($A:$A,100000),0)+MATCH($D14,INDEX($D:$D,Control!$B$31):INDEX($D:$D,Control!$B$32),0)-1,
    1)</f>
        <v>-236.92374000000001</v>
      </c>
      <c r="U14" s="258" cm="1">
        <f t="array" ref="U14">INDEX(
    INDEX(U:U,Control!$B$29):INDEX(U:U,100000),
    MATCH($A$8,INDEX($A:$A,Control!$B$29):INDEX($A:$A,100000),0)+MATCH($D14,INDEX($D:$D,Control!$B$31):INDEX($D:$D,Control!$B$32),0)-1,
    1)</f>
        <v>-241.37227999999999</v>
      </c>
      <c r="V14" s="258" cm="1">
        <f t="array" ref="V14">INDEX(
    INDEX(V:V,Control!$B$29):INDEX(V:V,100000),
    MATCH($A$8,INDEX($A:$A,Control!$B$29):INDEX($A:$A,100000),0)+MATCH($D14,INDEX($D:$D,Control!$B$31):INDEX($D:$D,Control!$B$32),0)-1,
    1)</f>
        <v>-234.91470000000001</v>
      </c>
      <c r="W14" s="258" cm="1">
        <f t="array" ref="W14">INDEX(
    INDEX(W:W,Control!$B$29):INDEX(W:W,100000),
    MATCH($A$8,INDEX($A:$A,Control!$B$29):INDEX($A:$A,100000),0)+MATCH($D14,INDEX($D:$D,Control!$B$31):INDEX($D:$D,Control!$B$32),0)-1,
    1)</f>
        <v>-244.77484999999999</v>
      </c>
      <c r="X14" s="258" cm="1">
        <f t="array" ref="X14">INDEX(
    INDEX(X:X,Control!$B$29):INDEX(X:X,100000),
    MATCH($A$8,INDEX($A:$A,Control!$B$29):INDEX($A:$A,100000),0)+MATCH($D14,INDEX($D:$D,Control!$B$31):INDEX($D:$D,Control!$B$32),0)-1,
    1)</f>
        <v>-242.62965</v>
      </c>
      <c r="Y14" s="258" cm="1">
        <f t="array" ref="Y14">INDEX(
    INDEX(Y:Y,Control!$B$29):INDEX(Y:Y,100000),
    MATCH($A$8,INDEX($A:$A,Control!$B$29):INDEX($A:$A,100000),0)+MATCH($D14,INDEX($D:$D,Control!$B$31):INDEX($D:$D,Control!$B$32),0)-1,
    1)</f>
        <v>-226.81153</v>
      </c>
      <c r="Z14" s="258" cm="1">
        <f t="array" ref="Z14">INDEX(
    INDEX(Z:Z,Control!$B$29):INDEX(Z:Z,100000),
    MATCH($A$8,INDEX($A:$A,Control!$B$29):INDEX($A:$A,100000),0)+MATCH($D14,INDEX($D:$D,Control!$B$31):INDEX($D:$D,Control!$B$32),0)-1,
    1)</f>
        <v>-217.79695000000001</v>
      </c>
      <c r="AA14" s="258" cm="1">
        <f t="array" ref="AA14">INDEX(
    INDEX(AA:AA,Control!$B$29):INDEX(AA:AA,100000),
    MATCH($A$8,INDEX($A:$A,Control!$B$29):INDEX($A:$A,100000),0)+MATCH($D14,INDEX($D:$D,Control!$B$31):INDEX($D:$D,Control!$B$32),0)-1,
    1)</f>
        <v>-210.06100000000001</v>
      </c>
      <c r="AB14" s="258" cm="1">
        <f t="array" ref="AB14">INDEX(
    INDEX(AB:AB,Control!$B$29):INDEX(AB:AB,100000),
    MATCH($A$8,INDEX($A:$A,Control!$B$29):INDEX($A:$A,100000),0)+MATCH($D14,INDEX($D:$D,Control!$B$31):INDEX($D:$D,Control!$B$32),0)-1,
    1)</f>
        <v>-200.94069999999999</v>
      </c>
      <c r="AC14" s="258" cm="1">
        <f t="array" ref="AC14">INDEX(
    INDEX(AC:AC,Control!$B$29):INDEX(AC:AC,100000),
    MATCH($A$8,INDEX($A:$A,Control!$B$29):INDEX($A:$A,100000),0)+MATCH($D14,INDEX($D:$D,Control!$B$31):INDEX($D:$D,Control!$B$32),0)-1,
    1)</f>
        <v>-197.30367000000001</v>
      </c>
      <c r="AD14" s="258" cm="1">
        <f t="array" ref="AD14">INDEX(
    INDEX(AD:AD,Control!$B$29):INDEX(AD:AD,100000),
    MATCH($A$8,INDEX($A:$A,Control!$B$29):INDEX($A:$A,100000),0)+MATCH($D14,INDEX($D:$D,Control!$B$31):INDEX($D:$D,Control!$B$32),0)-1,
    1)</f>
        <v>-181.89547999999999</v>
      </c>
      <c r="AE14" s="258" cm="1">
        <f t="array" ref="AE14">INDEX(
    INDEX(AE:AE,Control!$B$29):INDEX(AE:AE,100000),
    MATCH($A$8,INDEX($A:$A,Control!$B$29):INDEX($A:$A,100000),0)+MATCH($D14,INDEX($D:$D,Control!$B$31):INDEX($D:$D,Control!$B$32),0)-1,
    1)</f>
        <v>-181.49507</v>
      </c>
      <c r="AF14" s="258" cm="1">
        <f t="array" ref="AF14">INDEX(
    INDEX(AF:AF,Control!$B$29):INDEX(AF:AF,100000),
    MATCH($A$8,INDEX($A:$A,Control!$B$29):INDEX($A:$A,100000),0)+MATCH($D14,INDEX($D:$D,Control!$B$31):INDEX($D:$D,Control!$B$32),0)-1,
    1)</f>
        <v>-179.02717999999999</v>
      </c>
      <c r="AG14" s="258" cm="1">
        <f t="array" ref="AG14">INDEX(
    INDEX(AG:AG,Control!$B$29):INDEX(AG:AG,100000),
    MATCH($A$8,INDEX($A:$A,Control!$B$29):INDEX($A:$A,100000),0)+MATCH($D14,INDEX($D:$D,Control!$B$31):INDEX($D:$D,Control!$B$32),0)-1,
    1)</f>
        <v>-179.59666000000001</v>
      </c>
      <c r="AH14" s="258" cm="1">
        <f t="array" ref="AH14">INDEX(
    INDEX(AH:AH,Control!$B$29):INDEX(AH:AH,100000),
    MATCH($A$8,INDEX($A:$A,Control!$B$29):INDEX($A:$A,100000),0)+MATCH($D14,INDEX($D:$D,Control!$B$31):INDEX($D:$D,Control!$B$32),0)-1,
    1)</f>
        <v>-178.00210000000001</v>
      </c>
      <c r="AI14" s="258" cm="1">
        <f t="array" ref="AI14">INDEX(
    INDEX(AI:AI,Control!$B$29):INDEX(AI:AI,100000),
    MATCH($A$8,INDEX($A:$A,Control!$B$29):INDEX($A:$A,100000),0)+MATCH($D14,INDEX($D:$D,Control!$B$31):INDEX($D:$D,Control!$B$32),0)-1,
    1)</f>
        <v>-171.01094000000001</v>
      </c>
      <c r="AJ14" s="258" cm="1">
        <f t="array" ref="AJ14">INDEX(
    INDEX(AJ:AJ,Control!$B$29):INDEX(AJ:AJ,100000),
    MATCH($A$8,INDEX($A:$A,Control!$B$29):INDEX($A:$A,100000),0)+MATCH($D14,INDEX($D:$D,Control!$B$31):INDEX($D:$D,Control!$B$32),0)-1,
    1)</f>
        <v>-165.09246999999999</v>
      </c>
      <c r="AK14" s="258" cm="1">
        <f t="array" ref="AK14">INDEX(
    INDEX(AK:AK,Control!$B$29):INDEX(AK:AK,100000),
    MATCH($A$8,INDEX($A:$A,Control!$B$29):INDEX($A:$A,100000),0)+MATCH($D14,INDEX($D:$D,Control!$B$31):INDEX($D:$D,Control!$B$32),0)-1,
    1)</f>
        <v>-172.22167999999999</v>
      </c>
      <c r="AL14" s="258" cm="1">
        <f t="array" ref="AL14">INDEX(
    INDEX(AL:AL,Control!$B$29):INDEX(AL:AL,100000),
    MATCH($A$8,INDEX($A:$A,Control!$B$29):INDEX($A:$A,100000),0)+MATCH($D14,INDEX($D:$D,Control!$B$31):INDEX($D:$D,Control!$B$32),0)-1,
    1)</f>
        <v>-173.40214</v>
      </c>
      <c r="AM14" s="258" cm="1">
        <f t="array" ref="AM14">INDEX(
    INDEX(AM:AM,Control!$B$29):INDEX(AM:AM,100000),
    MATCH($A$8,INDEX($A:$A,Control!$B$29):INDEX($A:$A,100000),0)+MATCH($D14,INDEX($D:$D,Control!$B$31):INDEX($D:$D,Control!$B$32),0)-1,
    1)</f>
        <v>-174.89133000000001</v>
      </c>
      <c r="AN14" s="258" cm="1">
        <f t="array" ref="AN14">INDEX(
    INDEX(AN:AN,Control!$B$29):INDEX(AN:AN,100000),
    MATCH($A$8,INDEX($A:$A,Control!$B$29):INDEX($A:$A,100000),0)+MATCH($D14,INDEX($D:$D,Control!$B$31):INDEX($D:$D,Control!$B$32),0)-1,
    1)</f>
        <v>-174.89554999999999</v>
      </c>
      <c r="AO14" s="32"/>
      <c r="AP14" s="32"/>
      <c r="AQ14" s="32"/>
    </row>
    <row r="15" spans="1:59" s="23" customFormat="1" x14ac:dyDescent="0.35">
      <c r="A15"/>
      <c r="B15"/>
      <c r="C15" s="292" t="s">
        <v>230</v>
      </c>
      <c r="D15" s="19" t="s">
        <v>330</v>
      </c>
      <c r="E15" s="19" t="s">
        <v>217</v>
      </c>
      <c r="F15" s="258" cm="1">
        <f t="array" ref="F15">INDEX(
    INDEX(F:F,Control!$B$29):INDEX(F:F,100000),
    MATCH($A$8,INDEX($A:$A,Control!$B$29):INDEX($A:$A,100000),0)+MATCH($D15,INDEX($D:$D,Control!$B$31):INDEX($D:$D,Control!$B$32),0)-1,
    1)</f>
        <v>0</v>
      </c>
      <c r="G15" s="258" cm="1">
        <f t="array" ref="G15">INDEX(
    INDEX(G:G,Control!$B$29):INDEX(G:G,100000),
    MATCH($A$8,INDEX($A:$A,Control!$B$29):INDEX($A:$A,100000),0)+MATCH($D15,INDEX($D:$D,Control!$B$31):INDEX($D:$D,Control!$B$32),0)-1,
    1)</f>
        <v>134.56585999999999</v>
      </c>
      <c r="H15" s="258" cm="1">
        <f t="array" ref="H15">INDEX(
    INDEX(H:H,Control!$B$29):INDEX(H:H,100000),
    MATCH($A$8,INDEX($A:$A,Control!$B$29):INDEX($A:$A,100000),0)+MATCH($D15,INDEX($D:$D,Control!$B$31):INDEX($D:$D,Control!$B$32),0)-1,
    1)</f>
        <v>167.78417999999999</v>
      </c>
      <c r="I15" s="258" cm="1">
        <f t="array" ref="I15">INDEX(
    INDEX(I:I,Control!$B$29):INDEX(I:I,100000),
    MATCH($A$8,INDEX($A:$A,Control!$B$29):INDEX($A:$A,100000),0)+MATCH($D15,INDEX($D:$D,Control!$B$31):INDEX($D:$D,Control!$B$32),0)-1,
    1)</f>
        <v>170.32336000000001</v>
      </c>
      <c r="J15" s="258" cm="1">
        <f t="array" ref="J15">INDEX(
    INDEX(J:J,Control!$B$29):INDEX(J:J,100000),
    MATCH($A$8,INDEX($A:$A,Control!$B$29):INDEX($A:$A,100000),0)+MATCH($D15,INDEX($D:$D,Control!$B$31):INDEX($D:$D,Control!$B$32),0)-1,
    1)</f>
        <v>207.30253999999999</v>
      </c>
      <c r="K15" s="258" cm="1">
        <f t="array" ref="K15">INDEX(
    INDEX(K:K,Control!$B$29):INDEX(K:K,100000),
    MATCH($A$8,INDEX($A:$A,Control!$B$29):INDEX($A:$A,100000),0)+MATCH($D15,INDEX($D:$D,Control!$B$31):INDEX($D:$D,Control!$B$32),0)-1,
    1)</f>
        <v>236.09603999999999</v>
      </c>
      <c r="L15" s="258" cm="1">
        <f t="array" ref="L15">INDEX(
    INDEX(L:L,Control!$B$29):INDEX(L:L,100000),
    MATCH($A$8,INDEX($A:$A,Control!$B$29):INDEX($A:$A,100000),0)+MATCH($D15,INDEX($D:$D,Control!$B$31):INDEX($D:$D,Control!$B$32),0)-1,
    1)</f>
        <v>205.65455</v>
      </c>
      <c r="M15" s="258" cm="1">
        <f t="array" ref="M15">INDEX(
    INDEX(M:M,Control!$B$29):INDEX(M:M,100000),
    MATCH($A$8,INDEX($A:$A,Control!$B$29):INDEX($A:$A,100000),0)+MATCH($D15,INDEX($D:$D,Control!$B$31):INDEX($D:$D,Control!$B$32),0)-1,
    1)</f>
        <v>251.62998999999999</v>
      </c>
      <c r="N15" s="258" cm="1">
        <f t="array" ref="N15">INDEX(
    INDEX(N:N,Control!$B$29):INDEX(N:N,100000),
    MATCH($A$8,INDEX($A:$A,Control!$B$29):INDEX($A:$A,100000),0)+MATCH($D15,INDEX($D:$D,Control!$B$31):INDEX($D:$D,Control!$B$32),0)-1,
    1)</f>
        <v>267.86363999999998</v>
      </c>
      <c r="O15" s="258" cm="1">
        <f t="array" ref="O15">INDEX(
    INDEX(O:O,Control!$B$29):INDEX(O:O,100000),
    MATCH($A$8,INDEX($A:$A,Control!$B$29):INDEX($A:$A,100000),0)+MATCH($D15,INDEX($D:$D,Control!$B$31):INDEX($D:$D,Control!$B$32),0)-1,
    1)</f>
        <v>247.02142000000001</v>
      </c>
      <c r="P15" s="258" cm="1">
        <f t="array" ref="P15">INDEX(
    INDEX(P:P,Control!$B$29):INDEX(P:P,100000),
    MATCH($A$8,INDEX($A:$A,Control!$B$29):INDEX($A:$A,100000),0)+MATCH($D15,INDEX($D:$D,Control!$B$31):INDEX($D:$D,Control!$B$32),0)-1,
    1)</f>
        <v>286.13520999999997</v>
      </c>
      <c r="Q15" s="258" cm="1">
        <f t="array" ref="Q15">INDEX(
    INDEX(Q:Q,Control!$B$29):INDEX(Q:Q,100000),
    MATCH($A$8,INDEX($A:$A,Control!$B$29):INDEX($A:$A,100000),0)+MATCH($D15,INDEX($D:$D,Control!$B$31):INDEX($D:$D,Control!$B$32),0)-1,
    1)</f>
        <v>300.45769000000001</v>
      </c>
      <c r="R15" s="258" cm="1">
        <f t="array" ref="R15">INDEX(
    INDEX(R:R,Control!$B$29):INDEX(R:R,100000),
    MATCH($A$8,INDEX($A:$A,Control!$B$29):INDEX($A:$A,100000),0)+MATCH($D15,INDEX($D:$D,Control!$B$31):INDEX($D:$D,Control!$B$32),0)-1,
    1)</f>
        <v>300.9298</v>
      </c>
      <c r="S15" s="258" cm="1">
        <f t="array" ref="S15">INDEX(
    INDEX(S:S,Control!$B$29):INDEX(S:S,100000),
    MATCH($A$8,INDEX($A:$A,Control!$B$29):INDEX($A:$A,100000),0)+MATCH($D15,INDEX($D:$D,Control!$B$31):INDEX($D:$D,Control!$B$32),0)-1,
    1)</f>
        <v>296.98228</v>
      </c>
      <c r="T15" s="258" cm="1">
        <f t="array" ref="T15">INDEX(
    INDEX(T:T,Control!$B$29):INDEX(T:T,100000),
    MATCH($A$8,INDEX($A:$A,Control!$B$29):INDEX($A:$A,100000),0)+MATCH($D15,INDEX($D:$D,Control!$B$31):INDEX($D:$D,Control!$B$32),0)-1,
    1)</f>
        <v>294.01299999999998</v>
      </c>
      <c r="U15" s="258" cm="1">
        <f t="array" ref="U15">INDEX(
    INDEX(U:U,Control!$B$29):INDEX(U:U,100000),
    MATCH($A$8,INDEX($A:$A,Control!$B$29):INDEX($A:$A,100000),0)+MATCH($D15,INDEX($D:$D,Control!$B$31):INDEX($D:$D,Control!$B$32),0)-1,
    1)</f>
        <v>295.38882999999998</v>
      </c>
      <c r="V15" s="258" cm="1">
        <f t="array" ref="V15">INDEX(
    INDEX(V:V,Control!$B$29):INDEX(V:V,100000),
    MATCH($A$8,INDEX($A:$A,Control!$B$29):INDEX($A:$A,100000),0)+MATCH($D15,INDEX($D:$D,Control!$B$31):INDEX($D:$D,Control!$B$32),0)-1,
    1)</f>
        <v>283.82407999999998</v>
      </c>
      <c r="W15" s="258" cm="1">
        <f t="array" ref="W15">INDEX(
    INDEX(W:W,Control!$B$29):INDEX(W:W,100000),
    MATCH($A$8,INDEX($A:$A,Control!$B$29):INDEX($A:$A,100000),0)+MATCH($D15,INDEX($D:$D,Control!$B$31):INDEX($D:$D,Control!$B$32),0)-1,
    1)</f>
        <v>291.04669999999999</v>
      </c>
      <c r="X15" s="258" cm="1">
        <f t="array" ref="X15">INDEX(
    INDEX(X:X,Control!$B$29):INDEX(X:X,100000),
    MATCH($A$8,INDEX($A:$A,Control!$B$29):INDEX($A:$A,100000),0)+MATCH($D15,INDEX($D:$D,Control!$B$31):INDEX($D:$D,Control!$B$32),0)-1,
    1)</f>
        <v>312.69851999999997</v>
      </c>
      <c r="Y15" s="258" cm="1">
        <f t="array" ref="Y15">INDEX(
    INDEX(Y:Y,Control!$B$29):INDEX(Y:Y,100000),
    MATCH($A$8,INDEX($A:$A,Control!$B$29):INDEX($A:$A,100000),0)+MATCH($D15,INDEX($D:$D,Control!$B$31):INDEX($D:$D,Control!$B$32),0)-1,
    1)</f>
        <v>303.56270999999998</v>
      </c>
      <c r="Z15" s="258" cm="1">
        <f t="array" ref="Z15">INDEX(
    INDEX(Z:Z,Control!$B$29):INDEX(Z:Z,100000),
    MATCH($A$8,INDEX($A:$A,Control!$B$29):INDEX($A:$A,100000),0)+MATCH($D15,INDEX($D:$D,Control!$B$31):INDEX($D:$D,Control!$B$32),0)-1,
    1)</f>
        <v>302.46856000000002</v>
      </c>
      <c r="AA15" s="258" cm="1">
        <f t="array" ref="AA15">INDEX(
    INDEX(AA:AA,Control!$B$29):INDEX(AA:AA,100000),
    MATCH($A$8,INDEX($A:$A,Control!$B$29):INDEX($A:$A,100000),0)+MATCH($D15,INDEX($D:$D,Control!$B$31):INDEX($D:$D,Control!$B$32),0)-1,
    1)</f>
        <v>305.86345</v>
      </c>
      <c r="AB15" s="258" cm="1">
        <f t="array" ref="AB15">INDEX(
    INDEX(AB:AB,Control!$B$29):INDEX(AB:AB,100000),
    MATCH($A$8,INDEX($A:$A,Control!$B$29):INDEX($A:$A,100000),0)+MATCH($D15,INDEX($D:$D,Control!$B$31):INDEX($D:$D,Control!$B$32),0)-1,
    1)</f>
        <v>295.07508999999999</v>
      </c>
      <c r="AC15" s="258" cm="1">
        <f t="array" ref="AC15">INDEX(
    INDEX(AC:AC,Control!$B$29):INDEX(AC:AC,100000),
    MATCH($A$8,INDEX($A:$A,Control!$B$29):INDEX($A:$A,100000),0)+MATCH($D15,INDEX($D:$D,Control!$B$31):INDEX($D:$D,Control!$B$32),0)-1,
    1)</f>
        <v>293.57145000000003</v>
      </c>
      <c r="AD15" s="258" cm="1">
        <f t="array" ref="AD15">INDEX(
    INDEX(AD:AD,Control!$B$29):INDEX(AD:AD,100000),
    MATCH($A$8,INDEX($A:$A,Control!$B$29):INDEX($A:$A,100000),0)+MATCH($D15,INDEX($D:$D,Control!$B$31):INDEX($D:$D,Control!$B$32),0)-1,
    1)</f>
        <v>281.75680999999997</v>
      </c>
      <c r="AE15" s="258" cm="1">
        <f t="array" ref="AE15">INDEX(
    INDEX(AE:AE,Control!$B$29):INDEX(AE:AE,100000),
    MATCH($A$8,INDEX($A:$A,Control!$B$29):INDEX($A:$A,100000),0)+MATCH($D15,INDEX($D:$D,Control!$B$31):INDEX($D:$D,Control!$B$32),0)-1,
    1)</f>
        <v>281.46159</v>
      </c>
      <c r="AF15" s="258" cm="1">
        <f t="array" ref="AF15">INDEX(
    INDEX(AF:AF,Control!$B$29):INDEX(AF:AF,100000),
    MATCH($A$8,INDEX($A:$A,Control!$B$29):INDEX($A:$A,100000),0)+MATCH($D15,INDEX($D:$D,Control!$B$31):INDEX($D:$D,Control!$B$32),0)-1,
    1)</f>
        <v>281.10316999999998</v>
      </c>
      <c r="AG15" s="258" cm="1">
        <f t="array" ref="AG15">INDEX(
    INDEX(AG:AG,Control!$B$29):INDEX(AG:AG,100000),
    MATCH($A$8,INDEX($A:$A,Control!$B$29):INDEX($A:$A,100000),0)+MATCH($D15,INDEX($D:$D,Control!$B$31):INDEX($D:$D,Control!$B$32),0)-1,
    1)</f>
        <v>262.15526999999997</v>
      </c>
      <c r="AH15" s="258" cm="1">
        <f t="array" ref="AH15">INDEX(
    INDEX(AH:AH,Control!$B$29):INDEX(AH:AH,100000),
    MATCH($A$8,INDEX($A:$A,Control!$B$29):INDEX($A:$A,100000),0)+MATCH($D15,INDEX($D:$D,Control!$B$31):INDEX($D:$D,Control!$B$32),0)-1,
    1)</f>
        <v>273.65915000000001</v>
      </c>
      <c r="AI15" s="258" cm="1">
        <f t="array" ref="AI15">INDEX(
    INDEX(AI:AI,Control!$B$29):INDEX(AI:AI,100000),
    MATCH($A$8,INDEX($A:$A,Control!$B$29):INDEX($A:$A,100000),0)+MATCH($D15,INDEX($D:$D,Control!$B$31):INDEX($D:$D,Control!$B$32),0)-1,
    1)</f>
        <v>266.73912000000001</v>
      </c>
      <c r="AJ15" s="258" cm="1">
        <f t="array" ref="AJ15">INDEX(
    INDEX(AJ:AJ,Control!$B$29):INDEX(AJ:AJ,100000),
    MATCH($A$8,INDEX($A:$A,Control!$B$29):INDEX($A:$A,100000),0)+MATCH($D15,INDEX($D:$D,Control!$B$31):INDEX($D:$D,Control!$B$32),0)-1,
    1)</f>
        <v>275.08443999999997</v>
      </c>
      <c r="AK15" s="258" cm="1">
        <f t="array" ref="AK15">INDEX(
    INDEX(AK:AK,Control!$B$29):INDEX(AK:AK,100000),
    MATCH($A$8,INDEX($A:$A,Control!$B$29):INDEX($A:$A,100000),0)+MATCH($D15,INDEX($D:$D,Control!$B$31):INDEX($D:$D,Control!$B$32),0)-1,
    1)</f>
        <v>282.11971999999997</v>
      </c>
      <c r="AL15" s="258" cm="1">
        <f t="array" ref="AL15">INDEX(
    INDEX(AL:AL,Control!$B$29):INDEX(AL:AL,100000),
    MATCH($A$8,INDEX($A:$A,Control!$B$29):INDEX($A:$A,100000),0)+MATCH($D15,INDEX($D:$D,Control!$B$31):INDEX($D:$D,Control!$B$32),0)-1,
    1)</f>
        <v>270.21794</v>
      </c>
      <c r="AM15" s="258" cm="1">
        <f t="array" ref="AM15">INDEX(
    INDEX(AM:AM,Control!$B$29):INDEX(AM:AM,100000),
    MATCH($A$8,INDEX($A:$A,Control!$B$29):INDEX($A:$A,100000),0)+MATCH($D15,INDEX($D:$D,Control!$B$31):INDEX($D:$D,Control!$B$32),0)-1,
    1)</f>
        <v>277.81612000000001</v>
      </c>
      <c r="AN15" s="258" cm="1">
        <f t="array" ref="AN15">INDEX(
    INDEX(AN:AN,Control!$B$29):INDEX(AN:AN,100000),
    MATCH($A$8,INDEX($A:$A,Control!$B$29):INDEX($A:$A,100000),0)+MATCH($D15,INDEX($D:$D,Control!$B$31):INDEX($D:$D,Control!$B$32),0)-1,
    1)</f>
        <v>276.84804000000003</v>
      </c>
      <c r="AO15" s="32"/>
      <c r="AP15" s="32"/>
      <c r="AQ15" s="32"/>
    </row>
    <row r="16" spans="1:59" s="23" customFormat="1" x14ac:dyDescent="0.35">
      <c r="A16"/>
      <c r="B16"/>
      <c r="C16" s="292" t="s">
        <v>230</v>
      </c>
      <c r="D16" s="19" t="s">
        <v>331</v>
      </c>
      <c r="E16" s="19" t="s">
        <v>217</v>
      </c>
      <c r="F16" s="258" cm="1">
        <f t="array" ref="F16">INDEX(
    INDEX(F:F,Control!$B$29):INDEX(F:F,100000),
    MATCH($A$8,INDEX($A:$A,Control!$B$29):INDEX($A:$A,100000),0)+MATCH($D16,INDEX($D:$D,Control!$B$31):INDEX($D:$D,Control!$B$32),0)-1,
    1)</f>
        <v>0</v>
      </c>
      <c r="G16" s="258" cm="1">
        <f t="array" ref="G16">INDEX(
    INDEX(G:G,Control!$B$29):INDEX(G:G,100000),
    MATCH($A$8,INDEX($A:$A,Control!$B$29):INDEX($A:$A,100000),0)+MATCH($D16,INDEX($D:$D,Control!$B$31):INDEX($D:$D,Control!$B$32),0)-1,
    1)</f>
        <v>-190.56617</v>
      </c>
      <c r="H16" s="258" cm="1">
        <f t="array" ref="H16">INDEX(
    INDEX(H:H,Control!$B$29):INDEX(H:H,100000),
    MATCH($A$8,INDEX($A:$A,Control!$B$29):INDEX($A:$A,100000),0)+MATCH($D16,INDEX($D:$D,Control!$B$31):INDEX($D:$D,Control!$B$32),0)-1,
    1)</f>
        <v>-191.33331000000001</v>
      </c>
      <c r="I16" s="258" cm="1">
        <f t="array" ref="I16">INDEX(
    INDEX(I:I,Control!$B$29):INDEX(I:I,100000),
    MATCH($A$8,INDEX($A:$A,Control!$B$29):INDEX($A:$A,100000),0)+MATCH($D16,INDEX($D:$D,Control!$B$31):INDEX($D:$D,Control!$B$32),0)-1,
    1)</f>
        <v>-220.82501999999999</v>
      </c>
      <c r="J16" s="258" cm="1">
        <f t="array" ref="J16">INDEX(
    INDEX(J:J,Control!$B$29):INDEX(J:J,100000),
    MATCH($A$8,INDEX($A:$A,Control!$B$29):INDEX($A:$A,100000),0)+MATCH($D16,INDEX($D:$D,Control!$B$31):INDEX($D:$D,Control!$B$32),0)-1,
    1)</f>
        <v>-246.97072</v>
      </c>
      <c r="K16" s="258" cm="1">
        <f t="array" ref="K16">INDEX(
    INDEX(K:K,Control!$B$29):INDEX(K:K,100000),
    MATCH($A$8,INDEX($A:$A,Control!$B$29):INDEX($A:$A,100000),0)+MATCH($D16,INDEX($D:$D,Control!$B$31):INDEX($D:$D,Control!$B$32),0)-1,
    1)</f>
        <v>-244.74162999999999</v>
      </c>
      <c r="L16" s="258" cm="1">
        <f t="array" ref="L16">INDEX(
    INDEX(L:L,Control!$B$29):INDEX(L:L,100000),
    MATCH($A$8,INDEX($A:$A,Control!$B$29):INDEX($A:$A,100000),0)+MATCH($D16,INDEX($D:$D,Control!$B$31):INDEX($D:$D,Control!$B$32),0)-1,
    1)</f>
        <v>-221.77979999999999</v>
      </c>
      <c r="M16" s="258" cm="1">
        <f t="array" ref="M16">INDEX(
    INDEX(M:M,Control!$B$29):INDEX(M:M,100000),
    MATCH($A$8,INDEX($A:$A,Control!$B$29):INDEX($A:$A,100000),0)+MATCH($D16,INDEX($D:$D,Control!$B$31):INDEX($D:$D,Control!$B$32),0)-1,
    1)</f>
        <v>-244.37217000000001</v>
      </c>
      <c r="N16" s="258" cm="1">
        <f t="array" ref="N16">INDEX(
    INDEX(N:N,Control!$B$29):INDEX(N:N,100000),
    MATCH($A$8,INDEX($A:$A,Control!$B$29):INDEX($A:$A,100000),0)+MATCH($D16,INDEX($D:$D,Control!$B$31):INDEX($D:$D,Control!$B$32),0)-1,
    1)</f>
        <v>-264.37436000000002</v>
      </c>
      <c r="O16" s="258" cm="1">
        <f t="array" ref="O16">INDEX(
    INDEX(O:O,Control!$B$29):INDEX(O:O,100000),
    MATCH($A$8,INDEX($A:$A,Control!$B$29):INDEX($A:$A,100000),0)+MATCH($D16,INDEX($D:$D,Control!$B$31):INDEX($D:$D,Control!$B$32),0)-1,
    1)</f>
        <v>-266.22208999999998</v>
      </c>
      <c r="P16" s="258" cm="1">
        <f t="array" ref="P16">INDEX(
    INDEX(P:P,Control!$B$29):INDEX(P:P,100000),
    MATCH($A$8,INDEX($A:$A,Control!$B$29):INDEX($A:$A,100000),0)+MATCH($D16,INDEX($D:$D,Control!$B$31):INDEX($D:$D,Control!$B$32),0)-1,
    1)</f>
        <v>-264.63312000000002</v>
      </c>
      <c r="Q16" s="258" cm="1">
        <f t="array" ref="Q16">INDEX(
    INDEX(Q:Q,Control!$B$29):INDEX(Q:Q,100000),
    MATCH($A$8,INDEX($A:$A,Control!$B$29):INDEX($A:$A,100000),0)+MATCH($D16,INDEX($D:$D,Control!$B$31):INDEX($D:$D,Control!$B$32),0)-1,
    1)</f>
        <v>-225.09814</v>
      </c>
      <c r="R16" s="258" cm="1">
        <f t="array" ref="R16">INDEX(
    INDEX(R:R,Control!$B$29):INDEX(R:R,100000),
    MATCH($A$8,INDEX($A:$A,Control!$B$29):INDEX($A:$A,100000),0)+MATCH($D16,INDEX($D:$D,Control!$B$31):INDEX($D:$D,Control!$B$32),0)-1,
    1)</f>
        <v>-251.20623000000001</v>
      </c>
      <c r="S16" s="258" cm="1">
        <f t="array" ref="S16">INDEX(
    INDEX(S:S,Control!$B$29):INDEX(S:S,100000),
    MATCH($A$8,INDEX($A:$A,Control!$B$29):INDEX($A:$A,100000),0)+MATCH($D16,INDEX($D:$D,Control!$B$31):INDEX($D:$D,Control!$B$32),0)-1,
    1)</f>
        <v>-243.21557000000001</v>
      </c>
      <c r="T16" s="258" cm="1">
        <f t="array" ref="T16">INDEX(
    INDEX(T:T,Control!$B$29):INDEX(T:T,100000),
    MATCH($A$8,INDEX($A:$A,Control!$B$29):INDEX($A:$A,100000),0)+MATCH($D16,INDEX($D:$D,Control!$B$31):INDEX($D:$D,Control!$B$32),0)-1,
    1)</f>
        <v>-253.69431</v>
      </c>
      <c r="U16" s="258" cm="1">
        <f t="array" ref="U16">INDEX(
    INDEX(U:U,Control!$B$29):INDEX(U:U,100000),
    MATCH($A$8,INDEX($A:$A,Control!$B$29):INDEX($A:$A,100000),0)+MATCH($D16,INDEX($D:$D,Control!$B$31):INDEX($D:$D,Control!$B$32),0)-1,
    1)</f>
        <v>-249.94692000000001</v>
      </c>
      <c r="V16" s="258" cm="1">
        <f t="array" ref="V16">INDEX(
    INDEX(V:V,Control!$B$29):INDEX(V:V,100000),
    MATCH($A$8,INDEX($A:$A,Control!$B$29):INDEX($A:$A,100000),0)+MATCH($D16,INDEX($D:$D,Control!$B$31):INDEX($D:$D,Control!$B$32),0)-1,
    1)</f>
        <v>-235.49684999999999</v>
      </c>
      <c r="W16" s="258" cm="1">
        <f t="array" ref="W16">INDEX(
    INDEX(W:W,Control!$B$29):INDEX(W:W,100000),
    MATCH($A$8,INDEX($A:$A,Control!$B$29):INDEX($A:$A,100000),0)+MATCH($D16,INDEX($D:$D,Control!$B$31):INDEX($D:$D,Control!$B$32),0)-1,
    1)</f>
        <v>-245.02319</v>
      </c>
      <c r="X16" s="258" cm="1">
        <f t="array" ref="X16">INDEX(
    INDEX(X:X,Control!$B$29):INDEX(X:X,100000),
    MATCH($A$8,INDEX($A:$A,Control!$B$29):INDEX($A:$A,100000),0)+MATCH($D16,INDEX($D:$D,Control!$B$31):INDEX($D:$D,Control!$B$32),0)-1,
    1)</f>
        <v>-244.4282</v>
      </c>
      <c r="Y16" s="258" cm="1">
        <f t="array" ref="Y16">INDEX(
    INDEX(Y:Y,Control!$B$29):INDEX(Y:Y,100000),
    MATCH($A$8,INDEX($A:$A,Control!$B$29):INDEX($A:$A,100000),0)+MATCH($D16,INDEX($D:$D,Control!$B$31):INDEX($D:$D,Control!$B$32),0)-1,
    1)</f>
        <v>-236.82496</v>
      </c>
      <c r="Z16" s="258" cm="1">
        <f t="array" ref="Z16">INDEX(
    INDEX(Z:Z,Control!$B$29):INDEX(Z:Z,100000),
    MATCH($A$8,INDEX($A:$A,Control!$B$29):INDEX($A:$A,100000),0)+MATCH($D16,INDEX($D:$D,Control!$B$31):INDEX($D:$D,Control!$B$32),0)-1,
    1)</f>
        <v>-247.77791999999999</v>
      </c>
      <c r="AA16" s="258" cm="1">
        <f t="array" ref="AA16">INDEX(
    INDEX(AA:AA,Control!$B$29):INDEX(AA:AA,100000),
    MATCH($A$8,INDEX($A:$A,Control!$B$29):INDEX($A:$A,100000),0)+MATCH($D16,INDEX($D:$D,Control!$B$31):INDEX($D:$D,Control!$B$32),0)-1,
    1)</f>
        <v>-237.78885</v>
      </c>
      <c r="AB16" s="258" cm="1">
        <f t="array" ref="AB16">INDEX(
    INDEX(AB:AB,Control!$B$29):INDEX(AB:AB,100000),
    MATCH($A$8,INDEX($A:$A,Control!$B$29):INDEX($A:$A,100000),0)+MATCH($D16,INDEX($D:$D,Control!$B$31):INDEX($D:$D,Control!$B$32),0)-1,
    1)</f>
        <v>-231.03281000000001</v>
      </c>
      <c r="AC16" s="258" cm="1">
        <f t="array" ref="AC16">INDEX(
    INDEX(AC:AC,Control!$B$29):INDEX(AC:AC,100000),
    MATCH($A$8,INDEX($A:$A,Control!$B$29):INDEX($A:$A,100000),0)+MATCH($D16,INDEX($D:$D,Control!$B$31):INDEX($D:$D,Control!$B$32),0)-1,
    1)</f>
        <v>-235.14503999999999</v>
      </c>
      <c r="AD16" s="258" cm="1">
        <f t="array" ref="AD16">INDEX(
    INDEX(AD:AD,Control!$B$29):INDEX(AD:AD,100000),
    MATCH($A$8,INDEX($A:$A,Control!$B$29):INDEX($A:$A,100000),0)+MATCH($D16,INDEX($D:$D,Control!$B$31):INDEX($D:$D,Control!$B$32),0)-1,
    1)</f>
        <v>-231.68625</v>
      </c>
      <c r="AE16" s="258" cm="1">
        <f t="array" ref="AE16">INDEX(
    INDEX(AE:AE,Control!$B$29):INDEX(AE:AE,100000),
    MATCH($A$8,INDEX($A:$A,Control!$B$29):INDEX($A:$A,100000),0)+MATCH($D16,INDEX($D:$D,Control!$B$31):INDEX($D:$D,Control!$B$32),0)-1,
    1)</f>
        <v>-228.94776999999999</v>
      </c>
      <c r="AF16" s="258" cm="1">
        <f t="array" ref="AF16">INDEX(
    INDEX(AF:AF,Control!$B$29):INDEX(AF:AF,100000),
    MATCH($A$8,INDEX($A:$A,Control!$B$29):INDEX($A:$A,100000),0)+MATCH($D16,INDEX($D:$D,Control!$B$31):INDEX($D:$D,Control!$B$32),0)-1,
    1)</f>
        <v>-214.43834000000001</v>
      </c>
      <c r="AG16" s="258" cm="1">
        <f t="array" ref="AG16">INDEX(
    INDEX(AG:AG,Control!$B$29):INDEX(AG:AG,100000),
    MATCH($A$8,INDEX($A:$A,Control!$B$29):INDEX($A:$A,100000),0)+MATCH($D16,INDEX($D:$D,Control!$B$31):INDEX($D:$D,Control!$B$32),0)-1,
    1)</f>
        <v>-226.93808000000001</v>
      </c>
      <c r="AH16" s="258" cm="1">
        <f t="array" ref="AH16">INDEX(
    INDEX(AH:AH,Control!$B$29):INDEX(AH:AH,100000),
    MATCH($A$8,INDEX($A:$A,Control!$B$29):INDEX($A:$A,100000),0)+MATCH($D16,INDEX($D:$D,Control!$B$31):INDEX($D:$D,Control!$B$32),0)-1,
    1)</f>
        <v>-222.03288000000001</v>
      </c>
      <c r="AI16" s="258" cm="1">
        <f t="array" ref="AI16">INDEX(
    INDEX(AI:AI,Control!$B$29):INDEX(AI:AI,100000),
    MATCH($A$8,INDEX($A:$A,Control!$B$29):INDEX($A:$A,100000),0)+MATCH($D16,INDEX($D:$D,Control!$B$31):INDEX($D:$D,Control!$B$32),0)-1,
    1)</f>
        <v>-219.35899000000001</v>
      </c>
      <c r="AJ16" s="258" cm="1">
        <f t="array" ref="AJ16">INDEX(
    INDEX(AJ:AJ,Control!$B$29):INDEX(AJ:AJ,100000),
    MATCH($A$8,INDEX($A:$A,Control!$B$29):INDEX($A:$A,100000),0)+MATCH($D16,INDEX($D:$D,Control!$B$31):INDEX($D:$D,Control!$B$32),0)-1,
    1)</f>
        <v>-219.78525999999999</v>
      </c>
      <c r="AK16" s="258" cm="1">
        <f t="array" ref="AK16">INDEX(
    INDEX(AK:AK,Control!$B$29):INDEX(AK:AK,100000),
    MATCH($A$8,INDEX($A:$A,Control!$B$29):INDEX($A:$A,100000),0)+MATCH($D16,INDEX($D:$D,Control!$B$31):INDEX($D:$D,Control!$B$32),0)-1,
    1)</f>
        <v>-233.04469</v>
      </c>
      <c r="AL16" s="258" cm="1">
        <f t="array" ref="AL16">INDEX(
    INDEX(AL:AL,Control!$B$29):INDEX(AL:AL,100000),
    MATCH($A$8,INDEX($A:$A,Control!$B$29):INDEX($A:$A,100000),0)+MATCH($D16,INDEX($D:$D,Control!$B$31):INDEX($D:$D,Control!$B$32),0)-1,
    1)</f>
        <v>-232.52782999999999</v>
      </c>
      <c r="AM16" s="258" cm="1">
        <f t="array" ref="AM16">INDEX(
    INDEX(AM:AM,Control!$B$29):INDEX(AM:AM,100000),
    MATCH($A$8,INDEX($A:$A,Control!$B$29):INDEX($A:$A,100000),0)+MATCH($D16,INDEX($D:$D,Control!$B$31):INDEX($D:$D,Control!$B$32),0)-1,
    1)</f>
        <v>-240.24680000000001</v>
      </c>
      <c r="AN16" s="258" cm="1">
        <f t="array" ref="AN16">INDEX(
    INDEX(AN:AN,Control!$B$29):INDEX(AN:AN,100000),
    MATCH($A$8,INDEX($A:$A,Control!$B$29):INDEX($A:$A,100000),0)+MATCH($D16,INDEX($D:$D,Control!$B$31):INDEX($D:$D,Control!$B$32),0)-1,
    1)</f>
        <v>-244.37599</v>
      </c>
      <c r="AO16" s="32"/>
      <c r="AP16" s="32"/>
      <c r="AQ16" s="32"/>
    </row>
    <row r="17" spans="1:43" s="23" customFormat="1" x14ac:dyDescent="0.35">
      <c r="A17"/>
      <c r="B17"/>
      <c r="C17" s="292" t="s">
        <v>230</v>
      </c>
      <c r="D17" s="19" t="s">
        <v>332</v>
      </c>
      <c r="E17" s="19" t="s">
        <v>217</v>
      </c>
      <c r="F17" s="258" cm="1">
        <f t="array" ref="F17">INDEX(
    INDEX(F:F,Control!$B$29):INDEX(F:F,100000),
    MATCH($A$8,INDEX($A:$A,Control!$B$29):INDEX($A:$A,100000),0)+MATCH($D17,INDEX($D:$D,Control!$B$31):INDEX($D:$D,Control!$B$32),0)-1,
    1)</f>
        <v>0</v>
      </c>
      <c r="G17" s="258" cm="1">
        <f t="array" ref="G17">INDEX(
    INDEX(G:G,Control!$B$29):INDEX(G:G,100000),
    MATCH($A$8,INDEX($A:$A,Control!$B$29):INDEX($A:$A,100000),0)+MATCH($D17,INDEX($D:$D,Control!$B$31):INDEX($D:$D,Control!$B$32),0)-1,
    1)</f>
        <v>257.63817</v>
      </c>
      <c r="H17" s="258" cm="1">
        <f t="array" ref="H17">INDEX(
    INDEX(H:H,Control!$B$29):INDEX(H:H,100000),
    MATCH($A$8,INDEX($A:$A,Control!$B$29):INDEX($A:$A,100000),0)+MATCH($D17,INDEX($D:$D,Control!$B$31):INDEX($D:$D,Control!$B$32),0)-1,
    1)</f>
        <v>206.01784000000001</v>
      </c>
      <c r="I17" s="258" cm="1">
        <f t="array" ref="I17">INDEX(
    INDEX(I:I,Control!$B$29):INDEX(I:I,100000),
    MATCH($A$8,INDEX($A:$A,Control!$B$29):INDEX($A:$A,100000),0)+MATCH($D17,INDEX($D:$D,Control!$B$31):INDEX($D:$D,Control!$B$32),0)-1,
    1)</f>
        <v>214.46107000000001</v>
      </c>
      <c r="J17" s="258" cm="1">
        <f t="array" ref="J17">INDEX(
    INDEX(J:J,Control!$B$29):INDEX(J:J,100000),
    MATCH($A$8,INDEX($A:$A,Control!$B$29):INDEX($A:$A,100000),0)+MATCH($D17,INDEX($D:$D,Control!$B$31):INDEX($D:$D,Control!$B$32),0)-1,
    1)</f>
        <v>209.52878999999999</v>
      </c>
      <c r="K17" s="258" cm="1">
        <f t="array" ref="K17">INDEX(
    INDEX(K:K,Control!$B$29):INDEX(K:K,100000),
    MATCH($A$8,INDEX($A:$A,Control!$B$29):INDEX($A:$A,100000),0)+MATCH($D17,INDEX($D:$D,Control!$B$31):INDEX($D:$D,Control!$B$32),0)-1,
    1)</f>
        <v>169.17374000000001</v>
      </c>
      <c r="L17" s="258" cm="1">
        <f t="array" ref="L17">INDEX(
    INDEX(L:L,Control!$B$29):INDEX(L:L,100000),
    MATCH($A$8,INDEX($A:$A,Control!$B$29):INDEX($A:$A,100000),0)+MATCH($D17,INDEX($D:$D,Control!$B$31):INDEX($D:$D,Control!$B$32),0)-1,
    1)</f>
        <v>201.92759000000001</v>
      </c>
      <c r="M17" s="258" cm="1">
        <f t="array" ref="M17">INDEX(
    INDEX(M:M,Control!$B$29):INDEX(M:M,100000),
    MATCH($A$8,INDEX($A:$A,Control!$B$29):INDEX($A:$A,100000),0)+MATCH($D17,INDEX($D:$D,Control!$B$31):INDEX($D:$D,Control!$B$32),0)-1,
    1)</f>
        <v>173.98689999999999</v>
      </c>
      <c r="N17" s="258" cm="1">
        <f t="array" ref="N17">INDEX(
    INDEX(N:N,Control!$B$29):INDEX(N:N,100000),
    MATCH($A$8,INDEX($A:$A,Control!$B$29):INDEX($A:$A,100000),0)+MATCH($D17,INDEX($D:$D,Control!$B$31):INDEX($D:$D,Control!$B$32),0)-1,
    1)</f>
        <v>197.05000999999999</v>
      </c>
      <c r="O17" s="258" cm="1">
        <f t="array" ref="O17">INDEX(
    INDEX(O:O,Control!$B$29):INDEX(O:O,100000),
    MATCH($A$8,INDEX($A:$A,Control!$B$29):INDEX($A:$A,100000),0)+MATCH($D17,INDEX($D:$D,Control!$B$31):INDEX($D:$D,Control!$B$32),0)-1,
    1)</f>
        <v>233.49037000000001</v>
      </c>
      <c r="P17" s="258" cm="1">
        <f t="array" ref="P17">INDEX(
    INDEX(P:P,Control!$B$29):INDEX(P:P,100000),
    MATCH($A$8,INDEX($A:$A,Control!$B$29):INDEX($A:$A,100000),0)+MATCH($D17,INDEX($D:$D,Control!$B$31):INDEX($D:$D,Control!$B$32),0)-1,
    1)</f>
        <v>210.95502999999999</v>
      </c>
      <c r="Q17" s="258" cm="1">
        <f t="array" ref="Q17">INDEX(
    INDEX(Q:Q,Control!$B$29):INDEX(Q:Q,100000),
    MATCH($A$8,INDEX($A:$A,Control!$B$29):INDEX($A:$A,100000),0)+MATCH($D17,INDEX($D:$D,Control!$B$31):INDEX($D:$D,Control!$B$32),0)-1,
    1)</f>
        <v>177.2627</v>
      </c>
      <c r="R17" s="258" cm="1">
        <f t="array" ref="R17">INDEX(
    INDEX(R:R,Control!$B$29):INDEX(R:R,100000),
    MATCH($A$8,INDEX($A:$A,Control!$B$29):INDEX($A:$A,100000),0)+MATCH($D17,INDEX($D:$D,Control!$B$31):INDEX($D:$D,Control!$B$32),0)-1,
    1)</f>
        <v>193.56088</v>
      </c>
      <c r="S17" s="258" cm="1">
        <f t="array" ref="S17">INDEX(
    INDEX(S:S,Control!$B$29):INDEX(S:S,100000),
    MATCH($A$8,INDEX($A:$A,Control!$B$29):INDEX($A:$A,100000),0)+MATCH($D17,INDEX($D:$D,Control!$B$31):INDEX($D:$D,Control!$B$32),0)-1,
    1)</f>
        <v>207.62529000000001</v>
      </c>
      <c r="T17" s="258" cm="1">
        <f t="array" ref="T17">INDEX(
    INDEX(T:T,Control!$B$29):INDEX(T:T,100000),
    MATCH($A$8,INDEX($A:$A,Control!$B$29):INDEX($A:$A,100000),0)+MATCH($D17,INDEX($D:$D,Control!$B$31):INDEX($D:$D,Control!$B$32),0)-1,
    1)</f>
        <v>213.26649</v>
      </c>
      <c r="U17" s="258" cm="1">
        <f t="array" ref="U17">INDEX(
    INDEX(U:U,Control!$B$29):INDEX(U:U,100000),
    MATCH($A$8,INDEX($A:$A,Control!$B$29):INDEX($A:$A,100000),0)+MATCH($D17,INDEX($D:$D,Control!$B$31):INDEX($D:$D,Control!$B$32),0)-1,
    1)</f>
        <v>204.81019000000001</v>
      </c>
      <c r="V17" s="258" cm="1">
        <f t="array" ref="V17">INDEX(
    INDEX(V:V,Control!$B$29):INDEX(V:V,100000),
    MATCH($A$8,INDEX($A:$A,Control!$B$29):INDEX($A:$A,100000),0)+MATCH($D17,INDEX($D:$D,Control!$B$31):INDEX($D:$D,Control!$B$32),0)-1,
    1)</f>
        <v>215.48544999999999</v>
      </c>
      <c r="W17" s="258" cm="1">
        <f t="array" ref="W17">INDEX(
    INDEX(W:W,Control!$B$29):INDEX(W:W,100000),
    MATCH($A$8,INDEX($A:$A,Control!$B$29):INDEX($A:$A,100000),0)+MATCH($D17,INDEX($D:$D,Control!$B$31):INDEX($D:$D,Control!$B$32),0)-1,
    1)</f>
        <v>206.31371999999999</v>
      </c>
      <c r="X17" s="258" cm="1">
        <f t="array" ref="X17">INDEX(
    INDEX(X:X,Control!$B$29):INDEX(X:X,100000),
    MATCH($A$8,INDEX($A:$A,Control!$B$29):INDEX($A:$A,100000),0)+MATCH($D17,INDEX($D:$D,Control!$B$31):INDEX($D:$D,Control!$B$32),0)-1,
    1)</f>
        <v>204.88154</v>
      </c>
      <c r="Y17" s="258" cm="1">
        <f t="array" ref="Y17">INDEX(
    INDEX(Y:Y,Control!$B$29):INDEX(Y:Y,100000),
    MATCH($A$8,INDEX($A:$A,Control!$B$29):INDEX($A:$A,100000),0)+MATCH($D17,INDEX($D:$D,Control!$B$31):INDEX($D:$D,Control!$B$32),0)-1,
    1)</f>
        <v>217.61965000000001</v>
      </c>
      <c r="Z17" s="258" cm="1">
        <f t="array" ref="Z17">INDEX(
    INDEX(Z:Z,Control!$B$29):INDEX(Z:Z,100000),
    MATCH($A$8,INDEX($A:$A,Control!$B$29):INDEX($A:$A,100000),0)+MATCH($D17,INDEX($D:$D,Control!$B$31):INDEX($D:$D,Control!$B$32),0)-1,
    1)</f>
        <v>236.65386000000001</v>
      </c>
      <c r="AA17" s="258" cm="1">
        <f t="array" ref="AA17">INDEX(
    INDEX(AA:AA,Control!$B$29):INDEX(AA:AA,100000),
    MATCH($A$8,INDEX($A:$A,Control!$B$29):INDEX($A:$A,100000),0)+MATCH($D17,INDEX($D:$D,Control!$B$31):INDEX($D:$D,Control!$B$32),0)-1,
    1)</f>
        <v>224.20240999999999</v>
      </c>
      <c r="AB17" s="258" cm="1">
        <f t="array" ref="AB17">INDEX(
    INDEX(AB:AB,Control!$B$29):INDEX(AB:AB,100000),
    MATCH($A$8,INDEX($A:$A,Control!$B$29):INDEX($A:$A,100000),0)+MATCH($D17,INDEX($D:$D,Control!$B$31):INDEX($D:$D,Control!$B$32),0)-1,
    1)</f>
        <v>237.90239</v>
      </c>
      <c r="AC17" s="258" cm="1">
        <f t="array" ref="AC17">INDEX(
    INDEX(AC:AC,Control!$B$29):INDEX(AC:AC,100000),
    MATCH($A$8,INDEX($A:$A,Control!$B$29):INDEX($A:$A,100000),0)+MATCH($D17,INDEX($D:$D,Control!$B$31):INDEX($D:$D,Control!$B$32),0)-1,
    1)</f>
        <v>240.48068000000001</v>
      </c>
      <c r="AD17" s="258" cm="1">
        <f t="array" ref="AD17">INDEX(
    INDEX(AD:AD,Control!$B$29):INDEX(AD:AD,100000),
    MATCH($A$8,INDEX($A:$A,Control!$B$29):INDEX($A:$A,100000),0)+MATCH($D17,INDEX($D:$D,Control!$B$31):INDEX($D:$D,Control!$B$32),0)-1,
    1)</f>
        <v>257.99776000000003</v>
      </c>
      <c r="AE17" s="258" cm="1">
        <f t="array" ref="AE17">INDEX(
    INDEX(AE:AE,Control!$B$29):INDEX(AE:AE,100000),
    MATCH($A$8,INDEX($A:$A,Control!$B$29):INDEX($A:$A,100000),0)+MATCH($D17,INDEX($D:$D,Control!$B$31):INDEX($D:$D,Control!$B$32),0)-1,
    1)</f>
        <v>269.12596000000002</v>
      </c>
      <c r="AF17" s="258" cm="1">
        <f t="array" ref="AF17">INDEX(
    INDEX(AF:AF,Control!$B$29):INDEX(AF:AF,100000),
    MATCH($A$8,INDEX($A:$A,Control!$B$29):INDEX($A:$A,100000),0)+MATCH($D17,INDEX($D:$D,Control!$B$31):INDEX($D:$D,Control!$B$32),0)-1,
    1)</f>
        <v>270.39100000000002</v>
      </c>
      <c r="AG17" s="258" cm="1">
        <f t="array" ref="AG17">INDEX(
    INDEX(AG:AG,Control!$B$29):INDEX(AG:AG,100000),
    MATCH($A$8,INDEX($A:$A,Control!$B$29):INDEX($A:$A,100000),0)+MATCH($D17,INDEX($D:$D,Control!$B$31):INDEX($D:$D,Control!$B$32),0)-1,
    1)</f>
        <v>274.06481000000002</v>
      </c>
      <c r="AH17" s="258" cm="1">
        <f t="array" ref="AH17">INDEX(
    INDEX(AH:AH,Control!$B$29):INDEX(AH:AH,100000),
    MATCH($A$8,INDEX($A:$A,Control!$B$29):INDEX($A:$A,100000),0)+MATCH($D17,INDEX($D:$D,Control!$B$31):INDEX($D:$D,Control!$B$32),0)-1,
    1)</f>
        <v>265.32</v>
      </c>
      <c r="AI17" s="258" cm="1">
        <f t="array" ref="AI17">INDEX(
    INDEX(AI:AI,Control!$B$29):INDEX(AI:AI,100000),
    MATCH($A$8,INDEX($A:$A,Control!$B$29):INDEX($A:$A,100000),0)+MATCH($D17,INDEX($D:$D,Control!$B$31):INDEX($D:$D,Control!$B$32),0)-1,
    1)</f>
        <v>270.42622</v>
      </c>
      <c r="AJ17" s="258" cm="1">
        <f t="array" ref="AJ17">INDEX(
    INDEX(AJ:AJ,Control!$B$29):INDEX(AJ:AJ,100000),
    MATCH($A$8,INDEX($A:$A,Control!$B$29):INDEX($A:$A,100000),0)+MATCH($D17,INDEX($D:$D,Control!$B$31):INDEX($D:$D,Control!$B$32),0)-1,
    1)</f>
        <v>276.74157000000002</v>
      </c>
      <c r="AK17" s="258" cm="1">
        <f t="array" ref="AK17">INDEX(
    INDEX(AK:AK,Control!$B$29):INDEX(AK:AK,100000),
    MATCH($A$8,INDEX($A:$A,Control!$B$29):INDEX($A:$A,100000),0)+MATCH($D17,INDEX($D:$D,Control!$B$31):INDEX($D:$D,Control!$B$32),0)-1,
    1)</f>
        <v>263.58231000000001</v>
      </c>
      <c r="AL17" s="258" cm="1">
        <f t="array" ref="AL17">INDEX(
    INDEX(AL:AL,Control!$B$29):INDEX(AL:AL,100000),
    MATCH($A$8,INDEX($A:$A,Control!$B$29):INDEX($A:$A,100000),0)+MATCH($D17,INDEX($D:$D,Control!$B$31):INDEX($D:$D,Control!$B$32),0)-1,
    1)</f>
        <v>265.44565999999998</v>
      </c>
      <c r="AM17" s="258" cm="1">
        <f t="array" ref="AM17">INDEX(
    INDEX(AM:AM,Control!$B$29):INDEX(AM:AM,100000),
    MATCH($A$8,INDEX($A:$A,Control!$B$29):INDEX($A:$A,100000),0)+MATCH($D17,INDEX($D:$D,Control!$B$31):INDEX($D:$D,Control!$B$32),0)-1,
    1)</f>
        <v>271.21087999999997</v>
      </c>
      <c r="AN17" s="258" cm="1">
        <f t="array" ref="AN17">INDEX(
    INDEX(AN:AN,Control!$B$29):INDEX(AN:AN,100000),
    MATCH($A$8,INDEX($A:$A,Control!$B$29):INDEX($A:$A,100000),0)+MATCH($D17,INDEX($D:$D,Control!$B$31):INDEX($D:$D,Control!$B$32),0)-1,
    1)</f>
        <v>274.47383000000002</v>
      </c>
      <c r="AO17" s="32"/>
      <c r="AP17" s="32"/>
      <c r="AQ17" s="32"/>
    </row>
    <row r="18" spans="1:43" s="23" customFormat="1" x14ac:dyDescent="0.35">
      <c r="A18"/>
      <c r="B18"/>
      <c r="C18" s="292" t="s">
        <v>230</v>
      </c>
      <c r="D18" s="19" t="s">
        <v>333</v>
      </c>
      <c r="E18" s="19" t="s">
        <v>217</v>
      </c>
      <c r="F18" s="258" cm="1">
        <f t="array" ref="F18">INDEX(
    INDEX(F:F,Control!$B$29):INDEX(F:F,100000),
    MATCH($A$8,INDEX($A:$A,Control!$B$29):INDEX($A:$A,100000),0)+MATCH($D18,INDEX($D:$D,Control!$B$31):INDEX($D:$D,Control!$B$32),0)-1,
    1)</f>
        <v>0</v>
      </c>
      <c r="G18" s="258" cm="1">
        <f t="array" ref="G18">INDEX(
    INDEX(G:G,Control!$B$29):INDEX(G:G,100000),
    MATCH($A$8,INDEX($A:$A,Control!$B$29):INDEX($A:$A,100000),0)+MATCH($D18,INDEX($D:$D,Control!$B$31):INDEX($D:$D,Control!$B$32),0)-1,
    1)</f>
        <v>-350.23950000000002</v>
      </c>
      <c r="H18" s="258" cm="1">
        <f t="array" ref="H18">INDEX(
    INDEX(H:H,Control!$B$29):INDEX(H:H,100000),
    MATCH($A$8,INDEX($A:$A,Control!$B$29):INDEX($A:$A,100000),0)+MATCH($D18,INDEX($D:$D,Control!$B$31):INDEX($D:$D,Control!$B$32),0)-1,
    1)</f>
        <v>-335.48322999999999</v>
      </c>
      <c r="I18" s="258" cm="1">
        <f t="array" ref="I18">INDEX(
    INDEX(I:I,Control!$B$29):INDEX(I:I,100000),
    MATCH($A$8,INDEX($A:$A,Control!$B$29):INDEX($A:$A,100000),0)+MATCH($D18,INDEX($D:$D,Control!$B$31):INDEX($D:$D,Control!$B$32),0)-1,
    1)</f>
        <v>-351.87024000000002</v>
      </c>
      <c r="J18" s="258" cm="1">
        <f t="array" ref="J18">INDEX(
    INDEX(J:J,Control!$B$29):INDEX(J:J,100000),
    MATCH($A$8,INDEX($A:$A,Control!$B$29):INDEX($A:$A,100000),0)+MATCH($D18,INDEX($D:$D,Control!$B$31):INDEX($D:$D,Control!$B$32),0)-1,
    1)</f>
        <v>-344.12610999999998</v>
      </c>
      <c r="K18" s="258" cm="1">
        <f t="array" ref="K18">INDEX(
    INDEX(K:K,Control!$B$29):INDEX(K:K,100000),
    MATCH($A$8,INDEX($A:$A,Control!$B$29):INDEX($A:$A,100000),0)+MATCH($D18,INDEX($D:$D,Control!$B$31):INDEX($D:$D,Control!$B$32),0)-1,
    1)</f>
        <v>-375.06401</v>
      </c>
      <c r="L18" s="258" cm="1">
        <f t="array" ref="L18">INDEX(
    INDEX(L:L,Control!$B$29):INDEX(L:L,100000),
    MATCH($A$8,INDEX($A:$A,Control!$B$29):INDEX($A:$A,100000),0)+MATCH($D18,INDEX($D:$D,Control!$B$31):INDEX($D:$D,Control!$B$32),0)-1,
    1)</f>
        <v>-402.84532000000002</v>
      </c>
      <c r="M18" s="258" cm="1">
        <f t="array" ref="M18">INDEX(
    INDEX(M:M,Control!$B$29):INDEX(M:M,100000),
    MATCH($A$8,INDEX($A:$A,Control!$B$29):INDEX($A:$A,100000),0)+MATCH($D18,INDEX($D:$D,Control!$B$31):INDEX($D:$D,Control!$B$32),0)-1,
    1)</f>
        <v>-385.40217000000001</v>
      </c>
      <c r="N18" s="258" cm="1">
        <f t="array" ref="N18">INDEX(
    INDEX(N:N,Control!$B$29):INDEX(N:N,100000),
    MATCH($A$8,INDEX($A:$A,Control!$B$29):INDEX($A:$A,100000),0)+MATCH($D18,INDEX($D:$D,Control!$B$31):INDEX($D:$D,Control!$B$32),0)-1,
    1)</f>
        <v>-371.73613999999998</v>
      </c>
      <c r="O18" s="258" cm="1">
        <f t="array" ref="O18">INDEX(
    INDEX(O:O,Control!$B$29):INDEX(O:O,100000),
    MATCH($A$8,INDEX($A:$A,Control!$B$29):INDEX($A:$A,100000),0)+MATCH($D18,INDEX($D:$D,Control!$B$31):INDEX($D:$D,Control!$B$32),0)-1,
    1)</f>
        <v>-372.99088</v>
      </c>
      <c r="P18" s="258" cm="1">
        <f t="array" ref="P18">INDEX(
    INDEX(P:P,Control!$B$29):INDEX(P:P,100000),
    MATCH($A$8,INDEX($A:$A,Control!$B$29):INDEX($A:$A,100000),0)+MATCH($D18,INDEX($D:$D,Control!$B$31):INDEX($D:$D,Control!$B$32),0)-1,
    1)</f>
        <v>-379.53249</v>
      </c>
      <c r="Q18" s="258" cm="1">
        <f t="array" ref="Q18">INDEX(
    INDEX(Q:Q,Control!$B$29):INDEX(Q:Q,100000),
    MATCH($A$8,INDEX($A:$A,Control!$B$29):INDEX($A:$A,100000),0)+MATCH($D18,INDEX($D:$D,Control!$B$31):INDEX($D:$D,Control!$B$32),0)-1,
    1)</f>
        <v>-431.97644000000003</v>
      </c>
      <c r="R18" s="258" cm="1">
        <f t="array" ref="R18">INDEX(
    INDEX(R:R,Control!$B$29):INDEX(R:R,100000),
    MATCH($A$8,INDEX($A:$A,Control!$B$29):INDEX($A:$A,100000),0)+MATCH($D18,INDEX($D:$D,Control!$B$31):INDEX($D:$D,Control!$B$32),0)-1,
    1)</f>
        <v>-405.34818000000001</v>
      </c>
      <c r="S18" s="258" cm="1">
        <f t="array" ref="S18">INDEX(
    INDEX(S:S,Control!$B$29):INDEX(S:S,100000),
    MATCH($A$8,INDEX($A:$A,Control!$B$29):INDEX($A:$A,100000),0)+MATCH($D18,INDEX($D:$D,Control!$B$31):INDEX($D:$D,Control!$B$32),0)-1,
    1)</f>
        <v>-422.61948999999998</v>
      </c>
      <c r="T18" s="258" cm="1">
        <f t="array" ref="T18">INDEX(
    INDEX(T:T,Control!$B$29):INDEX(T:T,100000),
    MATCH($A$8,INDEX($A:$A,Control!$B$29):INDEX($A:$A,100000),0)+MATCH($D18,INDEX($D:$D,Control!$B$31):INDEX($D:$D,Control!$B$32),0)-1,
    1)</f>
        <v>-418.05563999999998</v>
      </c>
      <c r="U18" s="258" cm="1">
        <f t="array" ref="U18">INDEX(
    INDEX(U:U,Control!$B$29):INDEX(U:U,100000),
    MATCH($A$8,INDEX($A:$A,Control!$B$29):INDEX($A:$A,100000),0)+MATCH($D18,INDEX($D:$D,Control!$B$31):INDEX($D:$D,Control!$B$32),0)-1,
    1)</f>
        <v>-414.88756999999998</v>
      </c>
      <c r="V18" s="258" cm="1">
        <f t="array" ref="V18">INDEX(
    INDEX(V:V,Control!$B$29):INDEX(V:V,100000),
    MATCH($A$8,INDEX($A:$A,Control!$B$29):INDEX($A:$A,100000),0)+MATCH($D18,INDEX($D:$D,Control!$B$31):INDEX($D:$D,Control!$B$32),0)-1,
    1)</f>
        <v>-436.09055999999998</v>
      </c>
      <c r="W18" s="258" cm="1">
        <f t="array" ref="W18">INDEX(
    INDEX(W:W,Control!$B$29):INDEX(W:W,100000),
    MATCH($A$8,INDEX($A:$A,Control!$B$29):INDEX($A:$A,100000),0)+MATCH($D18,INDEX($D:$D,Control!$B$31):INDEX($D:$D,Control!$B$32),0)-1,
    1)</f>
        <v>-410.02767999999998</v>
      </c>
      <c r="X18" s="258" cm="1">
        <f t="array" ref="X18">INDEX(
    INDEX(X:X,Control!$B$29):INDEX(X:X,100000),
    MATCH($A$8,INDEX($A:$A,Control!$B$29):INDEX($A:$A,100000),0)+MATCH($D18,INDEX($D:$D,Control!$B$31):INDEX($D:$D,Control!$B$32),0)-1,
    1)</f>
        <v>-426.06939</v>
      </c>
      <c r="Y18" s="258" cm="1">
        <f t="array" ref="Y18">INDEX(
    INDEX(Y:Y,Control!$B$29):INDEX(Y:Y,100000),
    MATCH($A$8,INDEX($A:$A,Control!$B$29):INDEX($A:$A,100000),0)+MATCH($D18,INDEX($D:$D,Control!$B$31):INDEX($D:$D,Control!$B$32),0)-1,
    1)</f>
        <v>-437.73271999999997</v>
      </c>
      <c r="Z18" s="258" cm="1">
        <f t="array" ref="Z18">INDEX(
    INDEX(Z:Z,Control!$B$29):INDEX(Z:Z,100000),
    MATCH($A$8,INDEX($A:$A,Control!$B$29):INDEX($A:$A,100000),0)+MATCH($D18,INDEX($D:$D,Control!$B$31):INDEX($D:$D,Control!$B$32),0)-1,
    1)</f>
        <v>-439.35129999999998</v>
      </c>
      <c r="AA18" s="258" cm="1">
        <f t="array" ref="AA18">INDEX(
    INDEX(AA:AA,Control!$B$29):INDEX(AA:AA,100000),
    MATCH($A$8,INDEX($A:$A,Control!$B$29):INDEX($A:$A,100000),0)+MATCH($D18,INDEX($D:$D,Control!$B$31):INDEX($D:$D,Control!$B$32),0)-1,
    1)</f>
        <v>-451.73577</v>
      </c>
      <c r="AB18" s="258" cm="1">
        <f t="array" ref="AB18">INDEX(
    INDEX(AB:AB,Control!$B$29):INDEX(AB:AB,100000),
    MATCH($A$8,INDEX($A:$A,Control!$B$29):INDEX($A:$A,100000),0)+MATCH($D18,INDEX($D:$D,Control!$B$31):INDEX($D:$D,Control!$B$32),0)-1,
    1)</f>
        <v>-476.81004000000001</v>
      </c>
      <c r="AC18" s="258" cm="1">
        <f t="array" ref="AC18">INDEX(
    INDEX(AC:AC,Control!$B$29):INDEX(AC:AC,100000),
    MATCH($A$8,INDEX($A:$A,Control!$B$29):INDEX($A:$A,100000),0)+MATCH($D18,INDEX($D:$D,Control!$B$31):INDEX($D:$D,Control!$B$32),0)-1,
    1)</f>
        <v>-466.75121000000001</v>
      </c>
      <c r="AD18" s="258" cm="1">
        <f t="array" ref="AD18">INDEX(
    INDEX(AD:AD,Control!$B$29):INDEX(AD:AD,100000),
    MATCH($A$8,INDEX($A:$A,Control!$B$29):INDEX($A:$A,100000),0)+MATCH($D18,INDEX($D:$D,Control!$B$31):INDEX($D:$D,Control!$B$32),0)-1,
    1)</f>
        <v>-492.60658999999998</v>
      </c>
      <c r="AE18" s="258" cm="1">
        <f t="array" ref="AE18">INDEX(
    INDEX(AE:AE,Control!$B$29):INDEX(AE:AE,100000),
    MATCH($A$8,INDEX($A:$A,Control!$B$29):INDEX($A:$A,100000),0)+MATCH($D18,INDEX($D:$D,Control!$B$31):INDEX($D:$D,Control!$B$32),0)-1,
    1)</f>
        <v>-500.89613000000003</v>
      </c>
      <c r="AF18" s="258" cm="1">
        <f t="array" ref="AF18">INDEX(
    INDEX(AF:AF,Control!$B$29):INDEX(AF:AF,100000),
    MATCH($A$8,INDEX($A:$A,Control!$B$29):INDEX($A:$A,100000),0)+MATCH($D18,INDEX($D:$D,Control!$B$31):INDEX($D:$D,Control!$B$32),0)-1,
    1)</f>
        <v>-517.36892999999998</v>
      </c>
      <c r="AG18" s="258" cm="1">
        <f t="array" ref="AG18">INDEX(
    INDEX(AG:AG,Control!$B$29):INDEX(AG:AG,100000),
    MATCH($A$8,INDEX($A:$A,Control!$B$29):INDEX($A:$A,100000),0)+MATCH($D18,INDEX($D:$D,Control!$B$31):INDEX($D:$D,Control!$B$32),0)-1,
    1)</f>
        <v>-484.12966999999998</v>
      </c>
      <c r="AH18" s="258" cm="1">
        <f t="array" ref="AH18">INDEX(
    INDEX(AH:AH,Control!$B$29):INDEX(AH:AH,100000),
    MATCH($A$8,INDEX($A:$A,Control!$B$29):INDEX($A:$A,100000),0)+MATCH($D18,INDEX($D:$D,Control!$B$31):INDEX($D:$D,Control!$B$32),0)-1,
    1)</f>
        <v>-496.14031</v>
      </c>
      <c r="AI18" s="258" cm="1">
        <f t="array" ref="AI18">INDEX(
    INDEX(AI:AI,Control!$B$29):INDEX(AI:AI,100000),
    MATCH($A$8,INDEX($A:$A,Control!$B$29):INDEX($A:$A,100000),0)+MATCH($D18,INDEX($D:$D,Control!$B$31):INDEX($D:$D,Control!$B$32),0)-1,
    1)</f>
        <v>-505.28318000000002</v>
      </c>
      <c r="AJ18" s="258" cm="1">
        <f t="array" ref="AJ18">INDEX(
    INDEX(AJ:AJ,Control!$B$29):INDEX(AJ:AJ,100000),
    MATCH($A$8,INDEX($A:$A,Control!$B$29):INDEX($A:$A,100000),0)+MATCH($D18,INDEX($D:$D,Control!$B$31):INDEX($D:$D,Control!$B$32),0)-1,
    1)</f>
        <v>-527.72427000000005</v>
      </c>
      <c r="AK18" s="258" cm="1">
        <f t="array" ref="AK18">INDEX(
    INDEX(AK:AK,Control!$B$29):INDEX(AK:AK,100000),
    MATCH($A$8,INDEX($A:$A,Control!$B$29):INDEX($A:$A,100000),0)+MATCH($D18,INDEX($D:$D,Control!$B$31):INDEX($D:$D,Control!$B$32),0)-1,
    1)</f>
        <v>-499.81317000000001</v>
      </c>
      <c r="AL18" s="258" cm="1">
        <f t="array" ref="AL18">INDEX(
    INDEX(AL:AL,Control!$B$29):INDEX(AL:AL,100000),
    MATCH($A$8,INDEX($A:$A,Control!$B$29):INDEX($A:$A,100000),0)+MATCH($D18,INDEX($D:$D,Control!$B$31):INDEX($D:$D,Control!$B$32),0)-1,
    1)</f>
        <v>-489.29662000000002</v>
      </c>
      <c r="AM18" s="258" cm="1">
        <f t="array" ref="AM18">INDEX(
    INDEX(AM:AM,Control!$B$29):INDEX(AM:AM,100000),
    MATCH($A$8,INDEX($A:$A,Control!$B$29):INDEX($A:$A,100000),0)+MATCH($D18,INDEX($D:$D,Control!$B$31):INDEX($D:$D,Control!$B$32),0)-1,
    1)</f>
        <v>-489.67702000000003</v>
      </c>
      <c r="AN18" s="258" cm="1">
        <f t="array" ref="AN18">INDEX(
    INDEX(AN:AN,Control!$B$29):INDEX(AN:AN,100000),
    MATCH($A$8,INDEX($A:$A,Control!$B$29):INDEX($A:$A,100000),0)+MATCH($D18,INDEX($D:$D,Control!$B$31):INDEX($D:$D,Control!$B$32),0)-1,
    1)</f>
        <v>-489.51292999999998</v>
      </c>
      <c r="AO18" s="32"/>
      <c r="AP18" s="32"/>
      <c r="AQ18" s="32"/>
    </row>
    <row r="19" spans="1:43" s="23" customFormat="1" x14ac:dyDescent="0.35">
      <c r="A19"/>
      <c r="B19"/>
      <c r="C19" s="292" t="s">
        <v>230</v>
      </c>
      <c r="D19" s="20" t="s">
        <v>334</v>
      </c>
      <c r="E19" s="19" t="s">
        <v>217</v>
      </c>
      <c r="F19" s="258" cm="1">
        <f t="array" ref="F19">INDEX(
    INDEX(F:F,Control!$B$29):INDEX(F:F,100000),
    MATCH($A$8,INDEX($A:$A,Control!$B$29):INDEX($A:$A,100000),0)+MATCH($D19,INDEX($D:$D,Control!$B$31):INDEX($D:$D,Control!$B$32),0)-1,
    1)</f>
        <v>0</v>
      </c>
      <c r="G19" s="258" cm="1">
        <f t="array" ref="G19">INDEX(
    INDEX(G:G,Control!$B$29):INDEX(G:G,100000),
    MATCH($A$8,INDEX($A:$A,Control!$B$29):INDEX($A:$A,100000),0)+MATCH($D19,INDEX($D:$D,Control!$B$31):INDEX($D:$D,Control!$B$32),0)-1,
    1)</f>
        <v>731.82920000000001</v>
      </c>
      <c r="H19" s="258" cm="1">
        <f t="array" ref="H19">INDEX(
    INDEX(H:H,Control!$B$29):INDEX(H:H,100000),
    MATCH($A$8,INDEX($A:$A,Control!$B$29):INDEX($A:$A,100000),0)+MATCH($D19,INDEX($D:$D,Control!$B$31):INDEX($D:$D,Control!$B$32),0)-1,
    1)</f>
        <v>728.50513000000001</v>
      </c>
      <c r="I19" s="258" cm="1">
        <f t="array" ref="I19">INDEX(
    INDEX(I:I,Control!$B$29):INDEX(I:I,100000),
    MATCH($A$8,INDEX($A:$A,Control!$B$29):INDEX($A:$A,100000),0)+MATCH($D19,INDEX($D:$D,Control!$B$31):INDEX($D:$D,Control!$B$32),0)-1,
    1)</f>
        <v>726.84943999999996</v>
      </c>
      <c r="J19" s="258" cm="1">
        <f t="array" ref="J19">INDEX(
    INDEX(J:J,Control!$B$29):INDEX(J:J,100000),
    MATCH($A$8,INDEX($A:$A,Control!$B$29):INDEX($A:$A,100000),0)+MATCH($D19,INDEX($D:$D,Control!$B$31):INDEX($D:$D,Control!$B$32),0)-1,
    1)</f>
        <v>732.60905000000002</v>
      </c>
      <c r="K19" s="258" cm="1">
        <f t="array" ref="K19">INDEX(
    INDEX(K:K,Control!$B$29):INDEX(K:K,100000),
    MATCH($A$8,INDEX($A:$A,Control!$B$29):INDEX($A:$A,100000),0)+MATCH($D19,INDEX($D:$D,Control!$B$31):INDEX($D:$D,Control!$B$32),0)-1,
    1)</f>
        <v>730.11206000000004</v>
      </c>
      <c r="L19" s="258" cm="1">
        <f t="array" ref="L19">INDEX(
    INDEX(L:L,Control!$B$29):INDEX(L:L,100000),
    MATCH($A$8,INDEX($A:$A,Control!$B$29):INDEX($A:$A,100000),0)+MATCH($D19,INDEX($D:$D,Control!$B$31):INDEX($D:$D,Control!$B$32),0)-1,
    1)</f>
        <v>729.24857999999995</v>
      </c>
      <c r="M19" s="258" cm="1">
        <f t="array" ref="M19">INDEX(
    INDEX(M:M,Control!$B$29):INDEX(M:M,100000),
    MATCH($A$8,INDEX($A:$A,Control!$B$29):INDEX($A:$A,100000),0)+MATCH($D19,INDEX($D:$D,Control!$B$31):INDEX($D:$D,Control!$B$32),0)-1,
    1)</f>
        <v>723.11982</v>
      </c>
      <c r="N19" s="258" cm="1">
        <f t="array" ref="N19">INDEX(
    INDEX(N:N,Control!$B$29):INDEX(N:N,100000),
    MATCH($A$8,INDEX($A:$A,Control!$B$29):INDEX($A:$A,100000),0)+MATCH($D19,INDEX($D:$D,Control!$B$31):INDEX($D:$D,Control!$B$32),0)-1,
    1)</f>
        <v>730.26026999999999</v>
      </c>
      <c r="O19" s="258" cm="1">
        <f t="array" ref="O19">INDEX(
    INDEX(O:O,Control!$B$29):INDEX(O:O,100000),
    MATCH($A$8,INDEX($A:$A,Control!$B$29):INDEX($A:$A,100000),0)+MATCH($D19,INDEX($D:$D,Control!$B$31):INDEX($D:$D,Control!$B$32),0)-1,
    1)</f>
        <v>730.03571999999997</v>
      </c>
      <c r="P19" s="258" cm="1">
        <f t="array" ref="P19">INDEX(
    INDEX(P:P,Control!$B$29):INDEX(P:P,100000),
    MATCH($A$8,INDEX($A:$A,Control!$B$29):INDEX($A:$A,100000),0)+MATCH($D19,INDEX($D:$D,Control!$B$31):INDEX($D:$D,Control!$B$32),0)-1,
    1)</f>
        <v>726.53508999999997</v>
      </c>
      <c r="Q19" s="258" cm="1">
        <f t="array" ref="Q19">INDEX(
    INDEX(Q:Q,Control!$B$29):INDEX(Q:Q,100000),
    MATCH($A$8,INDEX($A:$A,Control!$B$29):INDEX($A:$A,100000),0)+MATCH($D19,INDEX($D:$D,Control!$B$31):INDEX($D:$D,Control!$B$32),0)-1,
    1)</f>
        <v>728.44507999999996</v>
      </c>
      <c r="R19" s="258" cm="1">
        <f t="array" ref="R19">INDEX(
    INDEX(R:R,Control!$B$29):INDEX(R:R,100000),
    MATCH($A$8,INDEX($A:$A,Control!$B$29):INDEX($A:$A,100000),0)+MATCH($D19,INDEX($D:$D,Control!$B$31):INDEX($D:$D,Control!$B$32),0)-1,
    1)</f>
        <v>727.98518000000001</v>
      </c>
      <c r="S19" s="258" cm="1">
        <f t="array" ref="S19">INDEX(
    INDEX(S:S,Control!$B$29):INDEX(S:S,100000),
    MATCH($A$8,INDEX($A:$A,Control!$B$29):INDEX($A:$A,100000),0)+MATCH($D19,INDEX($D:$D,Control!$B$31):INDEX($D:$D,Control!$B$32),0)-1,
    1)</f>
        <v>732.97691999999995</v>
      </c>
      <c r="T19" s="258" cm="1">
        <f t="array" ref="T19">INDEX(
    INDEX(T:T,Control!$B$29):INDEX(T:T,100000),
    MATCH($A$8,INDEX($A:$A,Control!$B$29):INDEX($A:$A,100000),0)+MATCH($D19,INDEX($D:$D,Control!$B$31):INDEX($D:$D,Control!$B$32),0)-1,
    1)</f>
        <v>734.86742000000004</v>
      </c>
      <c r="U19" s="258" cm="1">
        <f t="array" ref="U19">INDEX(
    INDEX(U:U,Control!$B$29):INDEX(U:U,100000),
    MATCH($A$8,INDEX($A:$A,Control!$B$29):INDEX($A:$A,100000),0)+MATCH($D19,INDEX($D:$D,Control!$B$31):INDEX($D:$D,Control!$B$32),0)-1,
    1)</f>
        <v>732.31530999999995</v>
      </c>
      <c r="V19" s="258" cm="1">
        <f t="array" ref="V19">INDEX(
    INDEX(V:V,Control!$B$29):INDEX(V:V,100000),
    MATCH($A$8,INDEX($A:$A,Control!$B$29):INDEX($A:$A,100000),0)+MATCH($D19,INDEX($D:$D,Control!$B$31):INDEX($D:$D,Control!$B$32),0)-1,
    1)</f>
        <v>732.55445999999995</v>
      </c>
      <c r="W19" s="258" cm="1">
        <f t="array" ref="W19">INDEX(
    INDEX(W:W,Control!$B$29):INDEX(W:W,100000),
    MATCH($A$8,INDEX($A:$A,Control!$B$29):INDEX($A:$A,100000),0)+MATCH($D19,INDEX($D:$D,Control!$B$31):INDEX($D:$D,Control!$B$32),0)-1,
    1)</f>
        <v>727.16521999999998</v>
      </c>
      <c r="X19" s="258" cm="1">
        <f t="array" ref="X19">INDEX(
    INDEX(X:X,Control!$B$29):INDEX(X:X,100000),
    MATCH($A$8,INDEX($A:$A,Control!$B$29):INDEX($A:$A,100000),0)+MATCH($D19,INDEX($D:$D,Control!$B$31):INDEX($D:$D,Control!$B$32),0)-1,
    1)</f>
        <v>738.45173999999997</v>
      </c>
      <c r="Y19" s="258" cm="1">
        <f t="array" ref="Y19">INDEX(
    INDEX(Y:Y,Control!$B$29):INDEX(Y:Y,100000),
    MATCH($A$8,INDEX($A:$A,Control!$B$29):INDEX($A:$A,100000),0)+MATCH($D19,INDEX($D:$D,Control!$B$31):INDEX($D:$D,Control!$B$32),0)-1,
    1)</f>
        <v>728.40111999999999</v>
      </c>
      <c r="Z19" s="258" cm="1">
        <f t="array" ref="Z19">INDEX(
    INDEX(Z:Z,Control!$B$29):INDEX(Z:Z,100000),
    MATCH($A$8,INDEX($A:$A,Control!$B$29):INDEX($A:$A,100000),0)+MATCH($D19,INDEX($D:$D,Control!$B$31):INDEX($D:$D,Control!$B$32),0)-1,
    1)</f>
        <v>731.94475999999997</v>
      </c>
      <c r="AA19" s="258" cm="1">
        <f t="array" ref="AA19">INDEX(
    INDEX(AA:AA,Control!$B$29):INDEX(AA:AA,100000),
    MATCH($A$8,INDEX($A:$A,Control!$B$29):INDEX($A:$A,100000),0)+MATCH($D19,INDEX($D:$D,Control!$B$31):INDEX($D:$D,Control!$B$32),0)-1,
    1)</f>
        <v>727.04881</v>
      </c>
      <c r="AB19" s="258" cm="1">
        <f t="array" ref="AB19">INDEX(
    INDEX(AB:AB,Control!$B$29):INDEX(AB:AB,100000),
    MATCH($A$8,INDEX($A:$A,Control!$B$29):INDEX($A:$A,100000),0)+MATCH($D19,INDEX($D:$D,Control!$B$31):INDEX($D:$D,Control!$B$32),0)-1,
    1)</f>
        <v>734.93652999999995</v>
      </c>
      <c r="AC19" s="258" cm="1">
        <f t="array" ref="AC19">INDEX(
    INDEX(AC:AC,Control!$B$29):INDEX(AC:AC,100000),
    MATCH($A$8,INDEX($A:$A,Control!$B$29):INDEX($A:$A,100000),0)+MATCH($D19,INDEX($D:$D,Control!$B$31):INDEX($D:$D,Control!$B$32),0)-1,
    1)</f>
        <v>726.72356000000002</v>
      </c>
      <c r="AD19" s="258" cm="1">
        <f t="array" ref="AD19">INDEX(
    INDEX(AD:AD,Control!$B$29):INDEX(AD:AD,100000),
    MATCH($A$8,INDEX($A:$A,Control!$B$29):INDEX($A:$A,100000),0)+MATCH($D19,INDEX($D:$D,Control!$B$31):INDEX($D:$D,Control!$B$32),0)-1,
    1)</f>
        <v>732.84883000000002</v>
      </c>
      <c r="AE19" s="258" cm="1">
        <f t="array" ref="AE19">INDEX(
    INDEX(AE:AE,Control!$B$29):INDEX(AE:AE,100000),
    MATCH($A$8,INDEX($A:$A,Control!$B$29):INDEX($A:$A,100000),0)+MATCH($D19,INDEX($D:$D,Control!$B$31):INDEX($D:$D,Control!$B$32),0)-1,
    1)</f>
        <v>737.16097000000002</v>
      </c>
      <c r="AF19" s="258" cm="1">
        <f t="array" ref="AF19">INDEX(
    INDEX(AF:AF,Control!$B$29):INDEX(AF:AF,100000),
    MATCH($A$8,INDEX($A:$A,Control!$B$29):INDEX($A:$A,100000),0)+MATCH($D19,INDEX($D:$D,Control!$B$31):INDEX($D:$D,Control!$B$32),0)-1,
    1)</f>
        <v>736.59613000000002</v>
      </c>
      <c r="AG19" s="258" cm="1">
        <f t="array" ref="AG19">INDEX(
    INDEX(AG:AG,Control!$B$29):INDEX(AG:AG,100000),
    MATCH($A$8,INDEX($A:$A,Control!$B$29):INDEX($A:$A,100000),0)+MATCH($D19,INDEX($D:$D,Control!$B$31):INDEX($D:$D,Control!$B$32),0)-1,
    1)</f>
        <v>720.25315000000001</v>
      </c>
      <c r="AH19" s="258" cm="1">
        <f t="array" ref="AH19">INDEX(
    INDEX(AH:AH,Control!$B$29):INDEX(AH:AH,100000),
    MATCH($A$8,INDEX($A:$A,Control!$B$29):INDEX($A:$A,100000),0)+MATCH($D19,INDEX($D:$D,Control!$B$31):INDEX($D:$D,Control!$B$32),0)-1,
    1)</f>
        <v>724.42744000000005</v>
      </c>
      <c r="AI19" s="258" cm="1">
        <f t="array" ref="AI19">INDEX(
    INDEX(AI:AI,Control!$B$29):INDEX(AI:AI,100000),
    MATCH($A$8,INDEX($A:$A,Control!$B$29):INDEX($A:$A,100000),0)+MATCH($D19,INDEX($D:$D,Control!$B$31):INDEX($D:$D,Control!$B$32),0)-1,
    1)</f>
        <v>724.29620999999997</v>
      </c>
      <c r="AJ19" s="258" cm="1">
        <f t="array" ref="AJ19">INDEX(
    INDEX(AJ:AJ,Control!$B$29):INDEX(AJ:AJ,100000),
    MATCH($A$8,INDEX($A:$A,Control!$B$29):INDEX($A:$A,100000),0)+MATCH($D19,INDEX($D:$D,Control!$B$31):INDEX($D:$D,Control!$B$32),0)-1,
    1)</f>
        <v>739.20038</v>
      </c>
      <c r="AK19" s="258" cm="1">
        <f t="array" ref="AK19">INDEX(
    INDEX(AK:AK,Control!$B$29):INDEX(AK:AK,100000),
    MATCH($A$8,INDEX($A:$A,Control!$B$29):INDEX($A:$A,100000),0)+MATCH($D19,INDEX($D:$D,Control!$B$31):INDEX($D:$D,Control!$B$32),0)-1,
    1)</f>
        <v>731.40323999999998</v>
      </c>
      <c r="AL19" s="258" cm="1">
        <f t="array" ref="AL19">INDEX(
    INDEX(AL:AL,Control!$B$29):INDEX(AL:AL,100000),
    MATCH($A$8,INDEX($A:$A,Control!$B$29):INDEX($A:$A,100000),0)+MATCH($D19,INDEX($D:$D,Control!$B$31):INDEX($D:$D,Control!$B$32),0)-1,
    1)</f>
        <v>724.00455999999997</v>
      </c>
      <c r="AM19" s="258" cm="1">
        <f t="array" ref="AM19">INDEX(
    INDEX(AM:AM,Control!$B$29):INDEX(AM:AM,100000),
    MATCH($A$8,INDEX($A:$A,Control!$B$29):INDEX($A:$A,100000),0)+MATCH($D19,INDEX($D:$D,Control!$B$31):INDEX($D:$D,Control!$B$32),0)-1,
    1)</f>
        <v>732.60798999999997</v>
      </c>
      <c r="AN19" s="258" cm="1">
        <f t="array" ref="AN19">INDEX(
    INDEX(AN:AN,Control!$B$29):INDEX(AN:AN,100000),
    MATCH($A$8,INDEX($A:$A,Control!$B$29):INDEX($A:$A,100000),0)+MATCH($D19,INDEX($D:$D,Control!$B$31):INDEX($D:$D,Control!$B$32),0)-1,
    1)</f>
        <v>736.21</v>
      </c>
      <c r="AO19" s="32"/>
      <c r="AP19" s="32"/>
      <c r="AQ19" s="32"/>
    </row>
    <row r="20" spans="1:43" s="23" customFormat="1" x14ac:dyDescent="0.35">
      <c r="A20"/>
      <c r="B20"/>
      <c r="C20" s="292" t="s">
        <v>230</v>
      </c>
      <c r="D20" s="20" t="s">
        <v>335</v>
      </c>
      <c r="E20" s="19" t="s">
        <v>217</v>
      </c>
      <c r="F20" s="258" cm="1">
        <f t="array" ref="F20">INDEX(
    INDEX(F:F,Control!$B$29):INDEX(F:F,100000),
    MATCH($A$8,INDEX($A:$A,Control!$B$29):INDEX($A:$A,100000),0)+MATCH($D20,INDEX($D:$D,Control!$B$31):INDEX($D:$D,Control!$B$32),0)-1,
    1)</f>
        <v>0</v>
      </c>
      <c r="G20" s="258" cm="1">
        <f t="array" ref="G20">INDEX(
    INDEX(G:G,Control!$B$29):INDEX(G:G,100000),
    MATCH($A$8,INDEX($A:$A,Control!$B$29):INDEX($A:$A,100000),0)+MATCH($D20,INDEX($D:$D,Control!$B$31):INDEX($D:$D,Control!$B$32),0)-1,
    1)</f>
        <v>-905.60567000000003</v>
      </c>
      <c r="H20" s="258" cm="1">
        <f t="array" ref="H20">INDEX(
    INDEX(H:H,Control!$B$29):INDEX(H:H,100000),
    MATCH($A$8,INDEX($A:$A,Control!$B$29):INDEX($A:$A,100000),0)+MATCH($D20,INDEX($D:$D,Control!$B$31):INDEX($D:$D,Control!$B$32),0)-1,
    1)</f>
        <v>-901.49752999999998</v>
      </c>
      <c r="I20" s="258" cm="1">
        <f t="array" ref="I20">INDEX(
    INDEX(I:I,Control!$B$29):INDEX(I:I,100000),
    MATCH($A$8,INDEX($A:$A,Control!$B$29):INDEX($A:$A,100000),0)+MATCH($D20,INDEX($D:$D,Control!$B$31):INDEX($D:$D,Control!$B$32),0)-1,
    1)</f>
        <v>-898.96626000000003</v>
      </c>
      <c r="J20" s="258" cm="1">
        <f t="array" ref="J20">INDEX(
    INDEX(J:J,Control!$B$29):INDEX(J:J,100000),
    MATCH($A$8,INDEX($A:$A,Control!$B$29):INDEX($A:$A,100000),0)+MATCH($D20,INDEX($D:$D,Control!$B$31):INDEX($D:$D,Control!$B$32),0)-1,
    1)</f>
        <v>-905.61512000000005</v>
      </c>
      <c r="K20" s="258" cm="1">
        <f t="array" ref="K20">INDEX(
    INDEX(K:K,Control!$B$29):INDEX(K:K,100000),
    MATCH($A$8,INDEX($A:$A,Control!$B$29):INDEX($A:$A,100000),0)+MATCH($D20,INDEX($D:$D,Control!$B$31):INDEX($D:$D,Control!$B$32),0)-1,
    1)</f>
        <v>-902.21781999999996</v>
      </c>
      <c r="L20" s="258" cm="1">
        <f t="array" ref="L20">INDEX(
    INDEX(L:L,Control!$B$29):INDEX(L:L,100000),
    MATCH($A$8,INDEX($A:$A,Control!$B$29):INDEX($A:$A,100000),0)+MATCH($D20,INDEX($D:$D,Control!$B$31):INDEX($D:$D,Control!$B$32),0)-1,
    1)</f>
        <v>-900.22580000000005</v>
      </c>
      <c r="M20" s="258" cm="1">
        <f t="array" ref="M20">INDEX(
    INDEX(M:M,Control!$B$29):INDEX(M:M,100000),
    MATCH($A$8,INDEX($A:$A,Control!$B$29):INDEX($A:$A,100000),0)+MATCH($D20,INDEX($D:$D,Control!$B$31):INDEX($D:$D,Control!$B$32),0)-1,
    1)</f>
        <v>-893.82633999999996</v>
      </c>
      <c r="N20" s="258" cm="1">
        <f t="array" ref="N20">INDEX(
    INDEX(N:N,Control!$B$29):INDEX(N:N,100000),
    MATCH($A$8,INDEX($A:$A,Control!$B$29):INDEX($A:$A,100000),0)+MATCH($D20,INDEX($D:$D,Control!$B$31):INDEX($D:$D,Control!$B$32),0)-1,
    1)</f>
        <v>-902.65517</v>
      </c>
      <c r="O20" s="258" cm="1">
        <f t="array" ref="O20">INDEX(
    INDEX(O:O,Control!$B$29):INDEX(O:O,100000),
    MATCH($A$8,INDEX($A:$A,Control!$B$29):INDEX($A:$A,100000),0)+MATCH($D20,INDEX($D:$D,Control!$B$31):INDEX($D:$D,Control!$B$32),0)-1,
    1)</f>
        <v>-902.27611999999999</v>
      </c>
      <c r="P20" s="258" cm="1">
        <f t="array" ref="P20">INDEX(
    INDEX(P:P,Control!$B$29):INDEX(P:P,100000),
    MATCH($A$8,INDEX($A:$A,Control!$B$29):INDEX($A:$A,100000),0)+MATCH($D20,INDEX($D:$D,Control!$B$31):INDEX($D:$D,Control!$B$32),0)-1,
    1)</f>
        <v>-897.81318999999996</v>
      </c>
      <c r="Q20" s="258" cm="1">
        <f t="array" ref="Q20">INDEX(
    INDEX(Q:Q,Control!$B$29):INDEX(Q:Q,100000),
    MATCH($A$8,INDEX($A:$A,Control!$B$29):INDEX($A:$A,100000),0)+MATCH($D20,INDEX($D:$D,Control!$B$31):INDEX($D:$D,Control!$B$32),0)-1,
    1)</f>
        <v>-900.48973999999998</v>
      </c>
      <c r="R20" s="258" cm="1">
        <f t="array" ref="R20">INDEX(
    INDEX(R:R,Control!$B$29):INDEX(R:R,100000),
    MATCH($A$8,INDEX($A:$A,Control!$B$29):INDEX($A:$A,100000),0)+MATCH($D20,INDEX($D:$D,Control!$B$31):INDEX($D:$D,Control!$B$32),0)-1,
    1)</f>
        <v>-899.66663000000005</v>
      </c>
      <c r="S20" s="258" cm="1">
        <f t="array" ref="S20">INDEX(
    INDEX(S:S,Control!$B$29):INDEX(S:S,100000),
    MATCH($A$8,INDEX($A:$A,Control!$B$29):INDEX($A:$A,100000),0)+MATCH($D20,INDEX($D:$D,Control!$B$31):INDEX($D:$D,Control!$B$32),0)-1,
    1)</f>
        <v>-907.02427999999998</v>
      </c>
      <c r="T20" s="258" cm="1">
        <f t="array" ref="T20">INDEX(
    INDEX(T:T,Control!$B$29):INDEX(T:T,100000),
    MATCH($A$8,INDEX($A:$A,Control!$B$29):INDEX($A:$A,100000),0)+MATCH($D20,INDEX($D:$D,Control!$B$31):INDEX($D:$D,Control!$B$32),0)-1,
    1)</f>
        <v>-908.67376999999999</v>
      </c>
      <c r="U20" s="258" cm="1">
        <f t="array" ref="U20">INDEX(
    INDEX(U:U,Control!$B$29):INDEX(U:U,100000),
    MATCH($A$8,INDEX($A:$A,Control!$B$29):INDEX($A:$A,100000),0)+MATCH($D20,INDEX($D:$D,Control!$B$31):INDEX($D:$D,Control!$B$32),0)-1,
    1)</f>
        <v>-906.20681999999999</v>
      </c>
      <c r="V20" s="258" cm="1">
        <f t="array" ref="V20">INDEX(
    INDEX(V:V,Control!$B$29):INDEX(V:V,100000),
    MATCH($A$8,INDEX($A:$A,Control!$B$29):INDEX($A:$A,100000),0)+MATCH($D20,INDEX($D:$D,Control!$B$31):INDEX($D:$D,Control!$B$32),0)-1,
    1)</f>
        <v>-906.50217999999995</v>
      </c>
      <c r="W20" s="258" cm="1">
        <f t="array" ref="W20">INDEX(
    INDEX(W:W,Control!$B$29):INDEX(W:W,100000),
    MATCH($A$8,INDEX($A:$A,Control!$B$29):INDEX($A:$A,100000),0)+MATCH($D20,INDEX($D:$D,Control!$B$31):INDEX($D:$D,Control!$B$32),0)-1,
    1)</f>
        <v>-899.82577000000003</v>
      </c>
      <c r="X20" s="258" cm="1">
        <f t="array" ref="X20">INDEX(
    INDEX(X:X,Control!$B$29):INDEX(X:X,100000),
    MATCH($A$8,INDEX($A:$A,Control!$B$29):INDEX($A:$A,100000),0)+MATCH($D20,INDEX($D:$D,Control!$B$31):INDEX($D:$D,Control!$B$32),0)-1,
    1)</f>
        <v>-913.12726999999995</v>
      </c>
      <c r="Y20" s="258" cm="1">
        <f t="array" ref="Y20">INDEX(
    INDEX(Y:Y,Control!$B$29):INDEX(Y:Y,100000),
    MATCH($A$8,INDEX($A:$A,Control!$B$29):INDEX($A:$A,100000),0)+MATCH($D20,INDEX($D:$D,Control!$B$31):INDEX($D:$D,Control!$B$32),0)-1,
    1)</f>
        <v>-901.36923999999999</v>
      </c>
      <c r="Z20" s="258" cm="1">
        <f t="array" ref="Z20">INDEX(
    INDEX(Z:Z,Control!$B$29):INDEX(Z:Z,100000),
    MATCH($A$8,INDEX($A:$A,Control!$B$29):INDEX($A:$A,100000),0)+MATCH($D20,INDEX($D:$D,Control!$B$31):INDEX($D:$D,Control!$B$32),0)-1,
    1)</f>
        <v>-904.92615999999998</v>
      </c>
      <c r="AA20" s="258" cm="1">
        <f t="array" ref="AA20">INDEX(
    INDEX(AA:AA,Control!$B$29):INDEX(AA:AA,100000),
    MATCH($A$8,INDEX($A:$A,Control!$B$29):INDEX($A:$A,100000),0)+MATCH($D20,INDEX($D:$D,Control!$B$31):INDEX($D:$D,Control!$B$32),0)-1,
    1)</f>
        <v>-899.58572000000004</v>
      </c>
      <c r="AB20" s="258" cm="1">
        <f t="array" ref="AB20">INDEX(
    INDEX(AB:AB,Control!$B$29):INDEX(AB:AB,100000),
    MATCH($A$8,INDEX($A:$A,Control!$B$29):INDEX($A:$A,100000),0)+MATCH($D20,INDEX($D:$D,Control!$B$31):INDEX($D:$D,Control!$B$32),0)-1,
    1)</f>
        <v>-908.78363000000002</v>
      </c>
      <c r="AC20" s="258" cm="1">
        <f t="array" ref="AC20">INDEX(
    INDEX(AC:AC,Control!$B$29):INDEX(AC:AC,100000),
    MATCH($A$8,INDEX($A:$A,Control!$B$29):INDEX($A:$A,100000),0)+MATCH($D20,INDEX($D:$D,Control!$B$31):INDEX($D:$D,Control!$B$32),0)-1,
    1)</f>
        <v>-899.19993999999997</v>
      </c>
      <c r="AD20" s="258" cm="1">
        <f t="array" ref="AD20">INDEX(
    INDEX(AD:AD,Control!$B$29):INDEX(AD:AD,100000),
    MATCH($A$8,INDEX($A:$A,Control!$B$29):INDEX($A:$A,100000),0)+MATCH($D20,INDEX($D:$D,Control!$B$31):INDEX($D:$D,Control!$B$32),0)-1,
    1)</f>
        <v>-906.18831999999998</v>
      </c>
      <c r="AE20" s="258" cm="1">
        <f t="array" ref="AE20">INDEX(
    INDEX(AE:AE,Control!$B$29):INDEX(AE:AE,100000),
    MATCH($A$8,INDEX($A:$A,Control!$B$29):INDEX($A:$A,100000),0)+MATCH($D20,INDEX($D:$D,Control!$B$31):INDEX($D:$D,Control!$B$32),0)-1,
    1)</f>
        <v>-911.33903999999995</v>
      </c>
      <c r="AF20" s="258" cm="1">
        <f t="array" ref="AF20">INDEX(
    INDEX(AF:AF,Control!$B$29):INDEX(AF:AF,100000),
    MATCH($A$8,INDEX($A:$A,Control!$B$29):INDEX($A:$A,100000),0)+MATCH($D20,INDEX($D:$D,Control!$B$31):INDEX($D:$D,Control!$B$32),0)-1,
    1)</f>
        <v>-910.83443</v>
      </c>
      <c r="AG20" s="258" cm="1">
        <f t="array" ref="AG20">INDEX(
    INDEX(AG:AG,Control!$B$29):INDEX(AG:AG,100000),
    MATCH($A$8,INDEX($A:$A,Control!$B$29):INDEX($A:$A,100000),0)+MATCH($D20,INDEX($D:$D,Control!$B$31):INDEX($D:$D,Control!$B$32),0)-1,
    1)</f>
        <v>-890.6644</v>
      </c>
      <c r="AH20" s="258" cm="1">
        <f t="array" ref="AH20">INDEX(
    INDEX(AH:AH,Control!$B$29):INDEX(AH:AH,100000),
    MATCH($A$8,INDEX($A:$A,Control!$B$29):INDEX($A:$A,100000),0)+MATCH($D20,INDEX($D:$D,Control!$B$31):INDEX($D:$D,Control!$B$32),0)-1,
    1)</f>
        <v>-896.17528000000004</v>
      </c>
      <c r="AI20" s="258" cm="1">
        <f t="array" ref="AI20">INDEX(
    INDEX(AI:AI,Control!$B$29):INDEX(AI:AI,100000),
    MATCH($A$8,INDEX($A:$A,Control!$B$29):INDEX($A:$A,100000),0)+MATCH($D20,INDEX($D:$D,Control!$B$31):INDEX($D:$D,Control!$B$32),0)-1,
    1)</f>
        <v>-895.65306999999996</v>
      </c>
      <c r="AJ20" s="258" cm="1">
        <f t="array" ref="AJ20">INDEX(
    INDEX(AJ:AJ,Control!$B$29):INDEX(AJ:AJ,100000),
    MATCH($A$8,INDEX($A:$A,Control!$B$29):INDEX($A:$A,100000),0)+MATCH($D20,INDEX($D:$D,Control!$B$31):INDEX($D:$D,Control!$B$32),0)-1,
    1)</f>
        <v>-912.60207000000003</v>
      </c>
      <c r="AK20" s="258" cm="1">
        <f t="array" ref="AK20">INDEX(
    INDEX(AK:AK,Control!$B$29):INDEX(AK:AK,100000),
    MATCH($A$8,INDEX($A:$A,Control!$B$29):INDEX($A:$A,100000),0)+MATCH($D20,INDEX($D:$D,Control!$B$31):INDEX($D:$D,Control!$B$32),0)-1,
    1)</f>
        <v>-905.07955000000004</v>
      </c>
      <c r="AL20" s="258" cm="1">
        <f t="array" ref="AL20">INDEX(
    INDEX(AL:AL,Control!$B$29):INDEX(AL:AL,100000),
    MATCH($A$8,INDEX($A:$A,Control!$B$29):INDEX($A:$A,100000),0)+MATCH($D20,INDEX($D:$D,Control!$B$31):INDEX($D:$D,Control!$B$32),0)-1,
    1)</f>
        <v>-895.22667000000001</v>
      </c>
      <c r="AM20" s="258" cm="1">
        <f t="array" ref="AM20">INDEX(
    INDEX(AM:AM,Control!$B$29):INDEX(AM:AM,100000),
    MATCH($A$8,INDEX($A:$A,Control!$B$29):INDEX($A:$A,100000),0)+MATCH($D20,INDEX($D:$D,Control!$B$31):INDEX($D:$D,Control!$B$32),0)-1,
    1)</f>
        <v>-904.81521999999995</v>
      </c>
      <c r="AN20" s="258" cm="1">
        <f t="array" ref="AN20">INDEX(
    INDEX(AN:AN,Control!$B$29):INDEX(AN:AN,100000),
    MATCH($A$8,INDEX($A:$A,Control!$B$29):INDEX($A:$A,100000),0)+MATCH($D20,INDEX($D:$D,Control!$B$31):INDEX($D:$D,Control!$B$32),0)-1,
    1)</f>
        <v>-908.78444999999999</v>
      </c>
      <c r="AO20" s="32"/>
      <c r="AP20" s="32"/>
      <c r="AQ20" s="32"/>
    </row>
    <row r="21" spans="1:43" s="23" customFormat="1" x14ac:dyDescent="0.35">
      <c r="A21"/>
      <c r="C21" s="292" t="s">
        <v>230</v>
      </c>
      <c r="D21" s="37" t="s">
        <v>336</v>
      </c>
      <c r="E21" s="33" t="s">
        <v>217</v>
      </c>
      <c r="F21" s="263" cm="1">
        <f t="array" ref="F21">INDEX(
    INDEX(F:F,Control!$B$29):INDEX(F:F,100000),
    MATCH($A$8,INDEX($A:$A,Control!$B$29):INDEX($A:$A,100000),0)+MATCH($D21,INDEX($D:$D,Control!$B$31):INDEX($D:$D,Control!$B$32),0)-1,
    1)</f>
        <v>0</v>
      </c>
      <c r="G21" s="263" cm="1">
        <f t="array" ref="G21">INDEX(
    INDEX(G:G,Control!$B$29):INDEX(G:G,100000),
    MATCH($A$8,INDEX($A:$A,Control!$B$29):INDEX($A:$A,100000),0)+MATCH($D21,INDEX($D:$D,Control!$B$31):INDEX($D:$D,Control!$B$32),0)-1,
    1)</f>
        <v>0</v>
      </c>
      <c r="H21" s="263" cm="1">
        <f t="array" ref="H21">INDEX(
    INDEX(H:H,Control!$B$29):INDEX(H:H,100000),
    MATCH($A$8,INDEX($A:$A,Control!$B$29):INDEX($A:$A,100000),0)+MATCH($D21,INDEX($D:$D,Control!$B$31):INDEX($D:$D,Control!$B$32),0)-1,
    1)</f>
        <v>0</v>
      </c>
      <c r="I21" s="263" cm="1">
        <f t="array" ref="I21">INDEX(
    INDEX(I:I,Control!$B$29):INDEX(I:I,100000),
    MATCH($A$8,INDEX($A:$A,Control!$B$29):INDEX($A:$A,100000),0)+MATCH($D21,INDEX($D:$D,Control!$B$31):INDEX($D:$D,Control!$B$32),0)-1,
    1)</f>
        <v>0</v>
      </c>
      <c r="J21" s="263" cm="1">
        <f t="array" ref="J21">INDEX(
    INDEX(J:J,Control!$B$29):INDEX(J:J,100000),
    MATCH($A$8,INDEX($A:$A,Control!$B$29):INDEX($A:$A,100000),0)+MATCH($D21,INDEX($D:$D,Control!$B$31):INDEX($D:$D,Control!$B$32),0)-1,
    1)</f>
        <v>0</v>
      </c>
      <c r="K21" s="263" cm="1">
        <f t="array" ref="K21">INDEX(
    INDEX(K:K,Control!$B$29):INDEX(K:K,100000),
    MATCH($A$8,INDEX($A:$A,Control!$B$29):INDEX($A:$A,100000),0)+MATCH($D21,INDEX($D:$D,Control!$B$31):INDEX($D:$D,Control!$B$32),0)-1,
    1)</f>
        <v>0</v>
      </c>
      <c r="L21" s="263" cm="1">
        <f t="array" ref="L21">INDEX(
    INDEX(L:L,Control!$B$29):INDEX(L:L,100000),
    MATCH($A$8,INDEX($A:$A,Control!$B$29):INDEX($A:$A,100000),0)+MATCH($D21,INDEX($D:$D,Control!$B$31):INDEX($D:$D,Control!$B$32),0)-1,
    1)</f>
        <v>0</v>
      </c>
      <c r="M21" s="263" cm="1">
        <f t="array" ref="M21">INDEX(
    INDEX(M:M,Control!$B$29):INDEX(M:M,100000),
    MATCH($A$8,INDEX($A:$A,Control!$B$29):INDEX($A:$A,100000),0)+MATCH($D21,INDEX($D:$D,Control!$B$31):INDEX($D:$D,Control!$B$32),0)-1,
    1)</f>
        <v>0</v>
      </c>
      <c r="N21" s="263" cm="1">
        <f t="array" ref="N21">INDEX(
    INDEX(N:N,Control!$B$29):INDEX(N:N,100000),
    MATCH($A$8,INDEX($A:$A,Control!$B$29):INDEX($A:$A,100000),0)+MATCH($D21,INDEX($D:$D,Control!$B$31):INDEX($D:$D,Control!$B$32),0)-1,
    1)</f>
        <v>0</v>
      </c>
      <c r="O21" s="263" cm="1">
        <f t="array" ref="O21">INDEX(
    INDEX(O:O,Control!$B$29):INDEX(O:O,100000),
    MATCH($A$8,INDEX($A:$A,Control!$B$29):INDEX($A:$A,100000),0)+MATCH($D21,INDEX($D:$D,Control!$B$31):INDEX($D:$D,Control!$B$32),0)-1,
    1)</f>
        <v>0</v>
      </c>
      <c r="P21" s="263" cm="1">
        <f t="array" ref="P21">INDEX(
    INDEX(P:P,Control!$B$29):INDEX(P:P,100000),
    MATCH($A$8,INDEX($A:$A,Control!$B$29):INDEX($A:$A,100000),0)+MATCH($D21,INDEX($D:$D,Control!$B$31):INDEX($D:$D,Control!$B$32),0)-1,
    1)</f>
        <v>0</v>
      </c>
      <c r="Q21" s="263" cm="1">
        <f t="array" ref="Q21">INDEX(
    INDEX(Q:Q,Control!$B$29):INDEX(Q:Q,100000),
    MATCH($A$8,INDEX($A:$A,Control!$B$29):INDEX($A:$A,100000),0)+MATCH($D21,INDEX($D:$D,Control!$B$31):INDEX($D:$D,Control!$B$32),0)-1,
    1)</f>
        <v>0</v>
      </c>
      <c r="R21" s="263" cm="1">
        <f t="array" ref="R21">INDEX(
    INDEX(R:R,Control!$B$29):INDEX(R:R,100000),
    MATCH($A$8,INDEX($A:$A,Control!$B$29):INDEX($A:$A,100000),0)+MATCH($D21,INDEX($D:$D,Control!$B$31):INDEX($D:$D,Control!$B$32),0)-1,
    1)</f>
        <v>0</v>
      </c>
      <c r="S21" s="263" cm="1">
        <f t="array" ref="S21">INDEX(
    INDEX(S:S,Control!$B$29):INDEX(S:S,100000),
    MATCH($A$8,INDEX($A:$A,Control!$B$29):INDEX($A:$A,100000),0)+MATCH($D21,INDEX($D:$D,Control!$B$31):INDEX($D:$D,Control!$B$32),0)-1,
    1)</f>
        <v>0</v>
      </c>
      <c r="T21" s="263" cm="1">
        <f t="array" ref="T21">INDEX(
    INDEX(T:T,Control!$B$29):INDEX(T:T,100000),
    MATCH($A$8,INDEX($A:$A,Control!$B$29):INDEX($A:$A,100000),0)+MATCH($D21,INDEX($D:$D,Control!$B$31):INDEX($D:$D,Control!$B$32),0)-1,
    1)</f>
        <v>0</v>
      </c>
      <c r="U21" s="263" cm="1">
        <f t="array" ref="U21">INDEX(
    INDEX(U:U,Control!$B$29):INDEX(U:U,100000),
    MATCH($A$8,INDEX($A:$A,Control!$B$29):INDEX($A:$A,100000),0)+MATCH($D21,INDEX($D:$D,Control!$B$31):INDEX($D:$D,Control!$B$32),0)-1,
    1)</f>
        <v>0</v>
      </c>
      <c r="V21" s="263" cm="1">
        <f t="array" ref="V21">INDEX(
    INDEX(V:V,Control!$B$29):INDEX(V:V,100000),
    MATCH($A$8,INDEX($A:$A,Control!$B$29):INDEX($A:$A,100000),0)+MATCH($D21,INDEX($D:$D,Control!$B$31):INDEX($D:$D,Control!$B$32),0)-1,
    1)</f>
        <v>0</v>
      </c>
      <c r="W21" s="263" cm="1">
        <f t="array" ref="W21">INDEX(
    INDEX(W:W,Control!$B$29):INDEX(W:W,100000),
    MATCH($A$8,INDEX($A:$A,Control!$B$29):INDEX($A:$A,100000),0)+MATCH($D21,INDEX($D:$D,Control!$B$31):INDEX($D:$D,Control!$B$32),0)-1,
    1)</f>
        <v>0</v>
      </c>
      <c r="X21" s="263" cm="1">
        <f t="array" ref="X21">INDEX(
    INDEX(X:X,Control!$B$29):INDEX(X:X,100000),
    MATCH($A$8,INDEX($A:$A,Control!$B$29):INDEX($A:$A,100000),0)+MATCH($D21,INDEX($D:$D,Control!$B$31):INDEX($D:$D,Control!$B$32),0)-1,
    1)</f>
        <v>0</v>
      </c>
      <c r="Y21" s="263" cm="1">
        <f t="array" ref="Y21">INDEX(
    INDEX(Y:Y,Control!$B$29):INDEX(Y:Y,100000),
    MATCH($A$8,INDEX($A:$A,Control!$B$29):INDEX($A:$A,100000),0)+MATCH($D21,INDEX($D:$D,Control!$B$31):INDEX($D:$D,Control!$B$32),0)-1,
    1)</f>
        <v>0</v>
      </c>
      <c r="Z21" s="263" cm="1">
        <f t="array" ref="Z21">INDEX(
    INDEX(Z:Z,Control!$B$29):INDEX(Z:Z,100000),
    MATCH($A$8,INDEX($A:$A,Control!$B$29):INDEX($A:$A,100000),0)+MATCH($D21,INDEX($D:$D,Control!$B$31):INDEX($D:$D,Control!$B$32),0)-1,
    1)</f>
        <v>0</v>
      </c>
      <c r="AA21" s="263" cm="1">
        <f t="array" ref="AA21">INDEX(
    INDEX(AA:AA,Control!$B$29):INDEX(AA:AA,100000),
    MATCH($A$8,INDEX($A:$A,Control!$B$29):INDEX($A:$A,100000),0)+MATCH($D21,INDEX($D:$D,Control!$B$31):INDEX($D:$D,Control!$B$32),0)-1,
    1)</f>
        <v>0</v>
      </c>
      <c r="AB21" s="263" cm="1">
        <f t="array" ref="AB21">INDEX(
    INDEX(AB:AB,Control!$B$29):INDEX(AB:AB,100000),
    MATCH($A$8,INDEX($A:$A,Control!$B$29):INDEX($A:$A,100000),0)+MATCH($D21,INDEX($D:$D,Control!$B$31):INDEX($D:$D,Control!$B$32),0)-1,
    1)</f>
        <v>0</v>
      </c>
      <c r="AC21" s="263" cm="1">
        <f t="array" ref="AC21">INDEX(
    INDEX(AC:AC,Control!$B$29):INDEX(AC:AC,100000),
    MATCH($A$8,INDEX($A:$A,Control!$B$29):INDEX($A:$A,100000),0)+MATCH($D21,INDEX($D:$D,Control!$B$31):INDEX($D:$D,Control!$B$32),0)-1,
    1)</f>
        <v>0</v>
      </c>
      <c r="AD21" s="263" cm="1">
        <f t="array" ref="AD21">INDEX(
    INDEX(AD:AD,Control!$B$29):INDEX(AD:AD,100000),
    MATCH($A$8,INDEX($A:$A,Control!$B$29):INDEX($A:$A,100000),0)+MATCH($D21,INDEX($D:$D,Control!$B$31):INDEX($D:$D,Control!$B$32),0)-1,
    1)</f>
        <v>0</v>
      </c>
      <c r="AE21" s="263" cm="1">
        <f t="array" ref="AE21">INDEX(
    INDEX(AE:AE,Control!$B$29):INDEX(AE:AE,100000),
    MATCH($A$8,INDEX($A:$A,Control!$B$29):INDEX($A:$A,100000),0)+MATCH($D21,INDEX($D:$D,Control!$B$31):INDEX($D:$D,Control!$B$32),0)-1,
    1)</f>
        <v>0</v>
      </c>
      <c r="AF21" s="263" cm="1">
        <f t="array" ref="AF21">INDEX(
    INDEX(AF:AF,Control!$B$29):INDEX(AF:AF,100000),
    MATCH($A$8,INDEX($A:$A,Control!$B$29):INDEX($A:$A,100000),0)+MATCH($D21,INDEX($D:$D,Control!$B$31):INDEX($D:$D,Control!$B$32),0)-1,
    1)</f>
        <v>0</v>
      </c>
      <c r="AG21" s="263" cm="1">
        <f t="array" ref="AG21">INDEX(
    INDEX(AG:AG,Control!$B$29):INDEX(AG:AG,100000),
    MATCH($A$8,INDEX($A:$A,Control!$B$29):INDEX($A:$A,100000),0)+MATCH($D21,INDEX($D:$D,Control!$B$31):INDEX($D:$D,Control!$B$32),0)-1,
    1)</f>
        <v>0</v>
      </c>
      <c r="AH21" s="263" cm="1">
        <f t="array" ref="AH21">INDEX(
    INDEX(AH:AH,Control!$B$29):INDEX(AH:AH,100000),
    MATCH($A$8,INDEX($A:$A,Control!$B$29):INDEX($A:$A,100000),0)+MATCH($D21,INDEX($D:$D,Control!$B$31):INDEX($D:$D,Control!$B$32),0)-1,
    1)</f>
        <v>0</v>
      </c>
      <c r="AI21" s="263" cm="1">
        <f t="array" ref="AI21">INDEX(
    INDEX(AI:AI,Control!$B$29):INDEX(AI:AI,100000),
    MATCH($A$8,INDEX($A:$A,Control!$B$29):INDEX($A:$A,100000),0)+MATCH($D21,INDEX($D:$D,Control!$B$31):INDEX($D:$D,Control!$B$32),0)-1,
    1)</f>
        <v>0</v>
      </c>
      <c r="AJ21" s="263" cm="1">
        <f t="array" ref="AJ21">INDEX(
    INDEX(AJ:AJ,Control!$B$29):INDEX(AJ:AJ,100000),
    MATCH($A$8,INDEX($A:$A,Control!$B$29):INDEX($A:$A,100000),0)+MATCH($D21,INDEX($D:$D,Control!$B$31):INDEX($D:$D,Control!$B$32),0)-1,
    1)</f>
        <v>0</v>
      </c>
      <c r="AK21" s="263" cm="1">
        <f t="array" ref="AK21">INDEX(
    INDEX(AK:AK,Control!$B$29):INDEX(AK:AK,100000),
    MATCH($A$8,INDEX($A:$A,Control!$B$29):INDEX($A:$A,100000),0)+MATCH($D21,INDEX($D:$D,Control!$B$31):INDEX($D:$D,Control!$B$32),0)-1,
    1)</f>
        <v>0</v>
      </c>
      <c r="AL21" s="263" cm="1">
        <f t="array" ref="AL21">INDEX(
    INDEX(AL:AL,Control!$B$29):INDEX(AL:AL,100000),
    MATCH($A$8,INDEX($A:$A,Control!$B$29):INDEX($A:$A,100000),0)+MATCH($D21,INDEX($D:$D,Control!$B$31):INDEX($D:$D,Control!$B$32),0)-1,
    1)</f>
        <v>0</v>
      </c>
      <c r="AM21" s="263" cm="1">
        <f t="array" ref="AM21">INDEX(
    INDEX(AM:AM,Control!$B$29):INDEX(AM:AM,100000),
    MATCH($A$8,INDEX($A:$A,Control!$B$29):INDEX($A:$A,100000),0)+MATCH($D21,INDEX($D:$D,Control!$B$31):INDEX($D:$D,Control!$B$32),0)-1,
    1)</f>
        <v>0</v>
      </c>
      <c r="AN21" s="263" cm="1">
        <f t="array" ref="AN21">INDEX(
    INDEX(AN:AN,Control!$B$29):INDEX(AN:AN,100000),
    MATCH($A$8,INDEX($A:$A,Control!$B$29):INDEX($A:$A,100000),0)+MATCH($D21,INDEX($D:$D,Control!$B$31):INDEX($D:$D,Control!$B$32),0)-1,
    1)</f>
        <v>0</v>
      </c>
      <c r="AO21" s="32"/>
      <c r="AP21" s="32"/>
      <c r="AQ21" s="32"/>
    </row>
    <row r="22" spans="1:43" x14ac:dyDescent="0.35">
      <c r="C22" s="296" t="s">
        <v>448</v>
      </c>
      <c r="D22" s="19" t="s">
        <v>340</v>
      </c>
      <c r="E22" s="19" t="s">
        <v>219</v>
      </c>
      <c r="F22" s="258" cm="1">
        <f t="array" ref="F22">INDEX(
    INDEX(F:F,Control!$B$29):INDEX(F:F,100000),
    MATCH($A$8,INDEX($A:$A,Control!$B$29):INDEX($A:$A,100000),0)+MATCH($D22,INDEX($D:$D,Control!$B$31):INDEX($D:$D,Control!$B$32),0)-1,
    1)</f>
        <v>0</v>
      </c>
      <c r="G22" s="258" cm="1">
        <f t="array" ref="G22">INDEX(
    INDEX(G:G,Control!$B$29):INDEX(G:G,100000),
    MATCH($A$8,INDEX($A:$A,Control!$B$29):INDEX($A:$A,100000),0)+MATCH($D22,INDEX($D:$D,Control!$B$31):INDEX($D:$D,Control!$B$32),0)-1,
    1)</f>
        <v>82.906842876149298</v>
      </c>
      <c r="H22" s="258" cm="1">
        <f t="array" ref="H22">INDEX(
    INDEX(H:H,Control!$B$29):INDEX(H:H,100000),
    MATCH($A$8,INDEX($A:$A,Control!$B$29):INDEX($A:$A,100000),0)+MATCH($D22,INDEX($D:$D,Control!$B$31):INDEX($D:$D,Control!$B$32),0)-1,
    1)</f>
        <v>78.482503205076696</v>
      </c>
      <c r="I22" s="258" cm="1">
        <f t="array" ref="I22">INDEX(
    INDEX(I:I,Control!$B$29):INDEX(I:I,100000),
    MATCH($A$8,INDEX($A:$A,Control!$B$29):INDEX($A:$A,100000),0)+MATCH($D22,INDEX($D:$D,Control!$B$31):INDEX($D:$D,Control!$B$32),0)-1,
    1)</f>
        <v>62.227051621746</v>
      </c>
      <c r="J22" s="258" cm="1">
        <f t="array" ref="J22">INDEX(
    INDEX(J:J,Control!$B$29):INDEX(J:J,100000),
    MATCH($A$8,INDEX($A:$A,Control!$B$29):INDEX($A:$A,100000),0)+MATCH($D22,INDEX($D:$D,Control!$B$31):INDEX($D:$D,Control!$B$32),0)-1,
    1)</f>
        <v>49.719108476599402</v>
      </c>
      <c r="K22" s="258" cm="1">
        <f t="array" ref="K22">INDEX(
    INDEX(K:K,Control!$B$29):INDEX(K:K,100000),
    MATCH($A$8,INDEX($A:$A,Control!$B$29):INDEX($A:$A,100000),0)+MATCH($D22,INDEX($D:$D,Control!$B$31):INDEX($D:$D,Control!$B$32),0)-1,
    1)</f>
        <v>52.752793346961397</v>
      </c>
      <c r="L22" s="258" cm="1">
        <f t="array" ref="L22">INDEX(
    INDEX(L:L,Control!$B$29):INDEX(L:L,100000),
    MATCH($A$8,INDEX($A:$A,Control!$B$29):INDEX($A:$A,100000),0)+MATCH($D22,INDEX($D:$D,Control!$B$31):INDEX($D:$D,Control!$B$32),0)-1,
    1)</f>
        <v>55.580633267443098</v>
      </c>
      <c r="M22" s="258" cm="1">
        <f t="array" ref="M22">INDEX(
    INDEX(M:M,Control!$B$29):INDEX(M:M,100000),
    MATCH($A$8,INDEX($A:$A,Control!$B$29):INDEX($A:$A,100000),0)+MATCH($D22,INDEX($D:$D,Control!$B$31):INDEX($D:$D,Control!$B$32),0)-1,
    1)</f>
        <v>48.484101458484403</v>
      </c>
      <c r="N22" s="258" cm="1">
        <f t="array" ref="N22">INDEX(
    INDEX(N:N,Control!$B$29):INDEX(N:N,100000),
    MATCH($A$8,INDEX($A:$A,Control!$B$29):INDEX($A:$A,100000),0)+MATCH($D22,INDEX($D:$D,Control!$B$31):INDEX($D:$D,Control!$B$32),0)-1,
    1)</f>
        <v>41.117643654042197</v>
      </c>
      <c r="O22" s="258" cm="1">
        <f t="array" ref="O22">INDEX(
    INDEX(O:O,Control!$B$29):INDEX(O:O,100000),
    MATCH($A$8,INDEX($A:$A,Control!$B$29):INDEX($A:$A,100000),0)+MATCH($D22,INDEX($D:$D,Control!$B$31):INDEX($D:$D,Control!$B$32),0)-1,
    1)</f>
        <v>36.341788002784398</v>
      </c>
      <c r="P22" s="258" cm="1">
        <f t="array" ref="P22">INDEX(
    INDEX(P:P,Control!$B$29):INDEX(P:P,100000),
    MATCH($A$8,INDEX($A:$A,Control!$B$29):INDEX($A:$A,100000),0)+MATCH($D22,INDEX($D:$D,Control!$B$31):INDEX($D:$D,Control!$B$32),0)-1,
    1)</f>
        <v>31.889335828660201</v>
      </c>
      <c r="Q22" s="258" cm="1">
        <f t="array" ref="Q22">INDEX(
    INDEX(Q:Q,Control!$B$29):INDEX(Q:Q,100000),
    MATCH($A$8,INDEX($A:$A,Control!$B$29):INDEX($A:$A,100000),0)+MATCH($D22,INDEX($D:$D,Control!$B$31):INDEX($D:$D,Control!$B$32),0)-1,
    1)</f>
        <v>36.056014119107303</v>
      </c>
      <c r="R22" s="258" cm="1">
        <f t="array" ref="R22">INDEX(
    INDEX(R:R,Control!$B$29):INDEX(R:R,100000),
    MATCH($A$8,INDEX($A:$A,Control!$B$29):INDEX($A:$A,100000),0)+MATCH($D22,INDEX($D:$D,Control!$B$31):INDEX($D:$D,Control!$B$32),0)-1,
    1)</f>
        <v>32.415899412387397</v>
      </c>
      <c r="S22" s="258" cm="1">
        <f t="array" ref="S22">INDEX(
    INDEX(S:S,Control!$B$29):INDEX(S:S,100000),
    MATCH($A$8,INDEX($A:$A,Control!$B$29):INDEX($A:$A,100000),0)+MATCH($D22,INDEX($D:$D,Control!$B$31):INDEX($D:$D,Control!$B$32),0)-1,
    1)</f>
        <v>31.350988185682802</v>
      </c>
      <c r="T22" s="258" cm="1">
        <f t="array" ref="T22">INDEX(
    INDEX(T:T,Control!$B$29):INDEX(T:T,100000),
    MATCH($A$8,INDEX($A:$A,Control!$B$29):INDEX($A:$A,100000),0)+MATCH($D22,INDEX($D:$D,Control!$B$31):INDEX($D:$D,Control!$B$32),0)-1,
    1)</f>
        <v>30.802862280774399</v>
      </c>
      <c r="U22" s="258" cm="1">
        <f t="array" ref="U22">INDEX(
    INDEX(U:U,Control!$B$29):INDEX(U:U,100000),
    MATCH($A$8,INDEX($A:$A,Control!$B$29):INDEX($A:$A,100000),0)+MATCH($D22,INDEX($D:$D,Control!$B$31):INDEX($D:$D,Control!$B$32),0)-1,
    1)</f>
        <v>30.984898834350499</v>
      </c>
      <c r="V22" s="258" cm="1">
        <f t="array" ref="V22">INDEX(
    INDEX(V:V,Control!$B$29):INDEX(V:V,100000),
    MATCH($A$8,INDEX($A:$A,Control!$B$29):INDEX($A:$A,100000),0)+MATCH($D22,INDEX($D:$D,Control!$B$31):INDEX($D:$D,Control!$B$32),0)-1,
    1)</f>
        <v>31.2282375684938</v>
      </c>
      <c r="W22" s="258" cm="1">
        <f t="array" ref="W22">INDEX(
    INDEX(W:W,Control!$B$29):INDEX(W:W,100000),
    MATCH($A$8,INDEX($A:$A,Control!$B$29):INDEX($A:$A,100000),0)+MATCH($D22,INDEX($D:$D,Control!$B$31):INDEX($D:$D,Control!$B$32),0)-1,
    1)</f>
        <v>30.719256051892401</v>
      </c>
      <c r="X22" s="258" cm="1">
        <f t="array" ref="X22">INDEX(
    INDEX(X:X,Control!$B$29):INDEX(X:X,100000),
    MATCH($A$8,INDEX($A:$A,Control!$B$29):INDEX($A:$A,100000),0)+MATCH($D22,INDEX($D:$D,Control!$B$31):INDEX($D:$D,Control!$B$32),0)-1,
    1)</f>
        <v>28.910956640630001</v>
      </c>
      <c r="Y22" s="258" cm="1">
        <f t="array" ref="Y22">INDEX(
    INDEX(Y:Y,Control!$B$29):INDEX(Y:Y,100000),
    MATCH($A$8,INDEX($A:$A,Control!$B$29):INDEX($A:$A,100000),0)+MATCH($D22,INDEX($D:$D,Control!$B$31):INDEX($D:$D,Control!$B$32),0)-1,
    1)</f>
        <v>27.126413391366601</v>
      </c>
      <c r="Z22" s="258" cm="1">
        <f t="array" ref="Z22">INDEX(
    INDEX(Z:Z,Control!$B$29):INDEX(Z:Z,100000),
    MATCH($A$8,INDEX($A:$A,Control!$B$29):INDEX($A:$A,100000),0)+MATCH($D22,INDEX($D:$D,Control!$B$31):INDEX($D:$D,Control!$B$32),0)-1,
    1)</f>
        <v>24.937116958071599</v>
      </c>
      <c r="AA22" s="258" cm="1">
        <f t="array" ref="AA22">INDEX(
    INDEX(AA:AA,Control!$B$29):INDEX(AA:AA,100000),
    MATCH($A$8,INDEX($A:$A,Control!$B$29):INDEX($A:$A,100000),0)+MATCH($D22,INDEX($D:$D,Control!$B$31):INDEX($D:$D,Control!$B$32),0)-1,
    1)</f>
        <v>25.5521654547853</v>
      </c>
      <c r="AB22" s="258" cm="1">
        <f t="array" ref="AB22">INDEX(
    INDEX(AB:AB,Control!$B$29):INDEX(AB:AB,100000),
    MATCH($A$8,INDEX($A:$A,Control!$B$29):INDEX($A:$A,100000),0)+MATCH($D22,INDEX($D:$D,Control!$B$31):INDEX($D:$D,Control!$B$32),0)-1,
    1)</f>
        <v>25.695277004136098</v>
      </c>
      <c r="AC22" s="258" cm="1">
        <f t="array" ref="AC22">INDEX(
    INDEX(AC:AC,Control!$B$29):INDEX(AC:AC,100000),
    MATCH($A$8,INDEX($A:$A,Control!$B$29):INDEX($A:$A,100000),0)+MATCH($D22,INDEX($D:$D,Control!$B$31):INDEX($D:$D,Control!$B$32),0)-1,
    1)</f>
        <v>24.270346052361901</v>
      </c>
      <c r="AD22" s="258" cm="1">
        <f t="array" ref="AD22">INDEX(
    INDEX(AD:AD,Control!$B$29):INDEX(AD:AD,100000),
    MATCH($A$8,INDEX($A:$A,Control!$B$29):INDEX($A:$A,100000),0)+MATCH($D22,INDEX($D:$D,Control!$B$31):INDEX($D:$D,Control!$B$32),0)-1,
    1)</f>
        <v>24.019558706298898</v>
      </c>
      <c r="AE22" s="258" cm="1">
        <f t="array" ref="AE22">INDEX(
    INDEX(AE:AE,Control!$B$29):INDEX(AE:AE,100000),
    MATCH($A$8,INDEX($A:$A,Control!$B$29):INDEX($A:$A,100000),0)+MATCH($D22,INDEX($D:$D,Control!$B$31):INDEX($D:$D,Control!$B$32),0)-1,
    1)</f>
        <v>22.850993724381599</v>
      </c>
      <c r="AF22" s="258" cm="1">
        <f t="array" ref="AF22">INDEX(
    INDEX(AF:AF,Control!$B$29):INDEX(AF:AF,100000),
    MATCH($A$8,INDEX($A:$A,Control!$B$29):INDEX($A:$A,100000),0)+MATCH($D22,INDEX($D:$D,Control!$B$31):INDEX($D:$D,Control!$B$32),0)-1,
    1)</f>
        <v>22.080245210767</v>
      </c>
      <c r="AG22" s="258" cm="1">
        <f t="array" ref="AG22">INDEX(
    INDEX(AG:AG,Control!$B$29):INDEX(AG:AG,100000),
    MATCH($A$8,INDEX($A:$A,Control!$B$29):INDEX($A:$A,100000),0)+MATCH($D22,INDEX($D:$D,Control!$B$31):INDEX($D:$D,Control!$B$32),0)-1,
    1)</f>
        <v>22.0511193621948</v>
      </c>
      <c r="AH22" s="258" cm="1">
        <f t="array" ref="AH22">INDEX(
    INDEX(AH:AH,Control!$B$29):INDEX(AH:AH,100000),
    MATCH($A$8,INDEX($A:$A,Control!$B$29):INDEX($A:$A,100000),0)+MATCH($D22,INDEX($D:$D,Control!$B$31):INDEX($D:$D,Control!$B$32),0)-1,
    1)</f>
        <v>22.167183988319898</v>
      </c>
      <c r="AI22" s="258" cm="1">
        <f t="array" ref="AI22">INDEX(
    INDEX(AI:AI,Control!$B$29):INDEX(AI:AI,100000),
    MATCH($A$8,INDEX($A:$A,Control!$B$29):INDEX($A:$A,100000),0)+MATCH($D22,INDEX($D:$D,Control!$B$31):INDEX($D:$D,Control!$B$32),0)-1,
    1)</f>
        <v>22.3951658367383</v>
      </c>
      <c r="AJ22" s="258" cm="1">
        <f t="array" ref="AJ22">INDEX(
    INDEX(AJ:AJ,Control!$B$29):INDEX(AJ:AJ,100000),
    MATCH($A$8,INDEX($A:$A,Control!$B$29):INDEX($A:$A,100000),0)+MATCH($D22,INDEX($D:$D,Control!$B$31):INDEX($D:$D,Control!$B$32),0)-1,
    1)</f>
        <v>22.135519552515699</v>
      </c>
      <c r="AK22" s="258" cm="1">
        <f t="array" ref="AK22">INDEX(
    INDEX(AK:AK,Control!$B$29):INDEX(AK:AK,100000),
    MATCH($A$8,INDEX($A:$A,Control!$B$29):INDEX($A:$A,100000),0)+MATCH($D22,INDEX($D:$D,Control!$B$31):INDEX($D:$D,Control!$B$32),0)-1,
    1)</f>
        <v>22.214748546622999</v>
      </c>
      <c r="AL22" s="258" cm="1">
        <f t="array" ref="AL22">INDEX(
    INDEX(AL:AL,Control!$B$29):INDEX(AL:AL,100000),
    MATCH($A$8,INDEX($A:$A,Control!$B$29):INDEX($A:$A,100000),0)+MATCH($D22,INDEX($D:$D,Control!$B$31):INDEX($D:$D,Control!$B$32),0)-1,
    1)</f>
        <v>22.997281119487699</v>
      </c>
      <c r="AM22" s="258" cm="1">
        <f t="array" ref="AM22">INDEX(
    INDEX(AM:AM,Control!$B$29):INDEX(AM:AM,100000),
    MATCH($A$8,INDEX($A:$A,Control!$B$29):INDEX($A:$A,100000),0)+MATCH($D22,INDEX($D:$D,Control!$B$31):INDEX($D:$D,Control!$B$32),0)-1,
    1)</f>
        <v>22.330959428802601</v>
      </c>
      <c r="AN22" s="258" cm="1">
        <f t="array" ref="AN22">INDEX(
    INDEX(AN:AN,Control!$B$29):INDEX(AN:AN,100000),
    MATCH($A$8,INDEX($A:$A,Control!$B$29):INDEX($A:$A,100000),0)+MATCH($D22,INDEX($D:$D,Control!$B$31):INDEX($D:$D,Control!$B$32),0)-1,
    1)</f>
        <v>22.146164903912702</v>
      </c>
      <c r="AO22" s="29"/>
      <c r="AP22" s="29"/>
      <c r="AQ22" s="29"/>
    </row>
    <row r="23" spans="1:43" s="23" customFormat="1" x14ac:dyDescent="0.35">
      <c r="A23"/>
      <c r="B23"/>
      <c r="C23" s="292" t="s">
        <v>230</v>
      </c>
      <c r="D23" s="19" t="s">
        <v>341</v>
      </c>
      <c r="E23" s="19" t="s">
        <v>219</v>
      </c>
      <c r="F23" s="258" cm="1">
        <f t="array" ref="F23">INDEX(
    INDEX(F:F,Control!$B$29):INDEX(F:F,100000),
    MATCH($A$8,INDEX($A:$A,Control!$B$29):INDEX($A:$A,100000),0)+MATCH($D23,INDEX($D:$D,Control!$B$31):INDEX($D:$D,Control!$B$32),0)-1,
    1)</f>
        <v>0</v>
      </c>
      <c r="G23" s="258" cm="1">
        <f t="array" ref="G23">INDEX(
    INDEX(G:G,Control!$B$29):INDEX(G:G,100000),
    MATCH($A$8,INDEX($A:$A,Control!$B$29):INDEX($A:$A,100000),0)+MATCH($D23,INDEX($D:$D,Control!$B$31):INDEX($D:$D,Control!$B$32),0)-1,
    1)</f>
        <v>-3.1131228016900798</v>
      </c>
      <c r="H23" s="258" cm="1">
        <f t="array" ref="H23">INDEX(
    INDEX(H:H,Control!$B$29):INDEX(H:H,100000),
    MATCH($A$8,INDEX($A:$A,Control!$B$29):INDEX($A:$A,100000),0)+MATCH($D23,INDEX($D:$D,Control!$B$31):INDEX($D:$D,Control!$B$32),0)-1,
    1)</f>
        <v>-1.8870687434841</v>
      </c>
      <c r="I23" s="258" cm="1">
        <f t="array" ref="I23">INDEX(
    INDEX(I:I,Control!$B$29):INDEX(I:I,100000),
    MATCH($A$8,INDEX($A:$A,Control!$B$29):INDEX($A:$A,100000),0)+MATCH($D23,INDEX($D:$D,Control!$B$31):INDEX($D:$D,Control!$B$32),0)-1,
    1)</f>
        <v>-0.40313392057080799</v>
      </c>
      <c r="J23" s="258" cm="1">
        <f t="array" ref="J23">INDEX(
    INDEX(J:J,Control!$B$29):INDEX(J:J,100000),
    MATCH($A$8,INDEX($A:$A,Control!$B$29):INDEX($A:$A,100000),0)+MATCH($D23,INDEX($D:$D,Control!$B$31):INDEX($D:$D,Control!$B$32),0)-1,
    1)</f>
        <v>-0.75651988888169397</v>
      </c>
      <c r="K23" s="258" cm="1">
        <f t="array" ref="K23">INDEX(
    INDEX(K:K,Control!$B$29):INDEX(K:K,100000),
    MATCH($A$8,INDEX($A:$A,Control!$B$29):INDEX($A:$A,100000),0)+MATCH($D23,INDEX($D:$D,Control!$B$31):INDEX($D:$D,Control!$B$32),0)-1,
    1)</f>
        <v>-0.49052191314835197</v>
      </c>
      <c r="L23" s="258" cm="1">
        <f t="array" ref="L23">INDEX(
    INDEX(L:L,Control!$B$29):INDEX(L:L,100000),
    MATCH($A$8,INDEX($A:$A,Control!$B$29):INDEX($A:$A,100000),0)+MATCH($D23,INDEX($D:$D,Control!$B$31):INDEX($D:$D,Control!$B$32),0)-1,
    1)</f>
        <v>-1.0710748747167</v>
      </c>
      <c r="M23" s="258" cm="1">
        <f t="array" ref="M23">INDEX(
    INDEX(M:M,Control!$B$29):INDEX(M:M,100000),
    MATCH($A$8,INDEX($A:$A,Control!$B$29):INDEX($A:$A,100000),0)+MATCH($D23,INDEX($D:$D,Control!$B$31):INDEX($D:$D,Control!$B$32),0)-1,
    1)</f>
        <v>-1.27819434164346</v>
      </c>
      <c r="N23" s="258" cm="1">
        <f t="array" ref="N23">INDEX(
    INDEX(N:N,Control!$B$29):INDEX(N:N,100000),
    MATCH($A$8,INDEX($A:$A,Control!$B$29):INDEX($A:$A,100000),0)+MATCH($D23,INDEX($D:$D,Control!$B$31):INDEX($D:$D,Control!$B$32),0)-1,
    1)</f>
        <v>-1.0597400304911599</v>
      </c>
      <c r="O23" s="258" cm="1">
        <f t="array" ref="O23">INDEX(
    INDEX(O:O,Control!$B$29):INDEX(O:O,100000),
    MATCH($A$8,INDEX($A:$A,Control!$B$29):INDEX($A:$A,100000),0)+MATCH($D23,INDEX($D:$D,Control!$B$31):INDEX($D:$D,Control!$B$32),0)-1,
    1)</f>
        <v>-1.1180126213575701</v>
      </c>
      <c r="P23" s="258" cm="1">
        <f t="array" ref="P23">INDEX(
    INDEX(P:P,Control!$B$29):INDEX(P:P,100000),
    MATCH($A$8,INDEX($A:$A,Control!$B$29):INDEX($A:$A,100000),0)+MATCH($D23,INDEX($D:$D,Control!$B$31):INDEX($D:$D,Control!$B$32),0)-1,
    1)</f>
        <v>-0.95312981360486904</v>
      </c>
      <c r="Q23" s="258" cm="1">
        <f t="array" ref="Q23">INDEX(
    INDEX(Q:Q,Control!$B$29):INDEX(Q:Q,100000),
    MATCH($A$8,INDEX($A:$A,Control!$B$29):INDEX($A:$A,100000),0)+MATCH($D23,INDEX($D:$D,Control!$B$31):INDEX($D:$D,Control!$B$32),0)-1,
    1)</f>
        <v>-1.17221093641941</v>
      </c>
      <c r="R23" s="258" cm="1">
        <f t="array" ref="R23">INDEX(
    INDEX(R:R,Control!$B$29):INDEX(R:R,100000),
    MATCH($A$8,INDEX($A:$A,Control!$B$29):INDEX($A:$A,100000),0)+MATCH($D23,INDEX($D:$D,Control!$B$31):INDEX($D:$D,Control!$B$32),0)-1,
    1)</f>
        <v>-0.96990747243087405</v>
      </c>
      <c r="S23" s="258" cm="1">
        <f t="array" ref="S23">INDEX(
    INDEX(S:S,Control!$B$29):INDEX(S:S,100000),
    MATCH($A$8,INDEX($A:$A,Control!$B$29):INDEX($A:$A,100000),0)+MATCH($D23,INDEX($D:$D,Control!$B$31):INDEX($D:$D,Control!$B$32),0)-1,
    1)</f>
        <v>-1.0536808510894899</v>
      </c>
      <c r="T23" s="258" cm="1">
        <f t="array" ref="T23">INDEX(
    INDEX(T:T,Control!$B$29):INDEX(T:T,100000),
    MATCH($A$8,INDEX($A:$A,Control!$B$29):INDEX($A:$A,100000),0)+MATCH($D23,INDEX($D:$D,Control!$B$31):INDEX($D:$D,Control!$B$32),0)-1,
    1)</f>
        <v>-1.1335262099980501</v>
      </c>
      <c r="U23" s="258" cm="1">
        <f t="array" ref="U23">INDEX(
    INDEX(U:U,Control!$B$29):INDEX(U:U,100000),
    MATCH($A$8,INDEX($A:$A,Control!$B$29):INDEX($A:$A,100000),0)+MATCH($D23,INDEX($D:$D,Control!$B$31):INDEX($D:$D,Control!$B$32),0)-1,
    1)</f>
        <v>-1.3993988233989501</v>
      </c>
      <c r="V23" s="258" cm="1">
        <f t="array" ref="V23">INDEX(
    INDEX(V:V,Control!$B$29):INDEX(V:V,100000),
    MATCH($A$8,INDEX($A:$A,Control!$B$29):INDEX($A:$A,100000),0)+MATCH($D23,INDEX($D:$D,Control!$B$31):INDEX($D:$D,Control!$B$32),0)-1,
    1)</f>
        <v>-1.29692556348345</v>
      </c>
      <c r="W23" s="258" cm="1">
        <f t="array" ref="W23">INDEX(
    INDEX(W:W,Control!$B$29):INDEX(W:W,100000),
    MATCH($A$8,INDEX($A:$A,Control!$B$29):INDEX($A:$A,100000),0)+MATCH($D23,INDEX($D:$D,Control!$B$31):INDEX($D:$D,Control!$B$32),0)-1,
    1)</f>
        <v>-1.19000194076604</v>
      </c>
      <c r="X23" s="258" cm="1">
        <f t="array" ref="X23">INDEX(
    INDEX(X:X,Control!$B$29):INDEX(X:X,100000),
    MATCH($A$8,INDEX($A:$A,Control!$B$29):INDEX($A:$A,100000),0)+MATCH($D23,INDEX($D:$D,Control!$B$31):INDEX($D:$D,Control!$B$32),0)-1,
    1)</f>
        <v>-1.3934023251634999</v>
      </c>
      <c r="Y23" s="258" cm="1">
        <f t="array" ref="Y23">INDEX(
    INDEX(Y:Y,Control!$B$29):INDEX(Y:Y,100000),
    MATCH($A$8,INDEX($A:$A,Control!$B$29):INDEX($A:$A,100000),0)+MATCH($D23,INDEX($D:$D,Control!$B$31):INDEX($D:$D,Control!$B$32),0)-1,
    1)</f>
        <v>-1.4422727410962799</v>
      </c>
      <c r="Z23" s="258" cm="1">
        <f t="array" ref="Z23">INDEX(
    INDEX(Z:Z,Control!$B$29):INDEX(Z:Z,100000),
    MATCH($A$8,INDEX($A:$A,Control!$B$29):INDEX($A:$A,100000),0)+MATCH($D23,INDEX($D:$D,Control!$B$31):INDEX($D:$D,Control!$B$32),0)-1,
    1)</f>
        <v>-1.4660706905394001</v>
      </c>
      <c r="AA23" s="258" cm="1">
        <f t="array" ref="AA23">INDEX(
    INDEX(AA:AA,Control!$B$29):INDEX(AA:AA,100000),
    MATCH($A$8,INDEX($A:$A,Control!$B$29):INDEX($A:$A,100000),0)+MATCH($D23,INDEX($D:$D,Control!$B$31):INDEX($D:$D,Control!$B$32),0)-1,
    1)</f>
        <v>-1.2906261062779201</v>
      </c>
      <c r="AB23" s="258" cm="1">
        <f t="array" ref="AB23">INDEX(
    INDEX(AB:AB,Control!$B$29):INDEX(AB:AB,100000),
    MATCH($A$8,INDEX($A:$A,Control!$B$29):INDEX($A:$A,100000),0)+MATCH($D23,INDEX($D:$D,Control!$B$31):INDEX($D:$D,Control!$B$32),0)-1,
    1)</f>
        <v>-1.16124173233018</v>
      </c>
      <c r="AC23" s="258" cm="1">
        <f t="array" ref="AC23">INDEX(
    INDEX(AC:AC,Control!$B$29):INDEX(AC:AC,100000),
    MATCH($A$8,INDEX($A:$A,Control!$B$29):INDEX($A:$A,100000),0)+MATCH($D23,INDEX($D:$D,Control!$B$31):INDEX($D:$D,Control!$B$32),0)-1,
    1)</f>
        <v>-1.0480186524072299</v>
      </c>
      <c r="AD23" s="258" cm="1">
        <f t="array" ref="AD23">INDEX(
    INDEX(AD:AD,Control!$B$29):INDEX(AD:AD,100000),
    MATCH($A$8,INDEX($A:$A,Control!$B$29):INDEX($A:$A,100000),0)+MATCH($D23,INDEX($D:$D,Control!$B$31):INDEX($D:$D,Control!$B$32),0)-1,
    1)</f>
        <v>-0.94087564560804204</v>
      </c>
      <c r="AE23" s="258" cm="1">
        <f t="array" ref="AE23">INDEX(
    INDEX(AE:AE,Control!$B$29):INDEX(AE:AE,100000),
    MATCH($A$8,INDEX($A:$A,Control!$B$29):INDEX($A:$A,100000),0)+MATCH($D23,INDEX($D:$D,Control!$B$31):INDEX($D:$D,Control!$B$32),0)-1,
    1)</f>
        <v>-0.94010257789127705</v>
      </c>
      <c r="AF23" s="258" cm="1">
        <f t="array" ref="AF23">INDEX(
    INDEX(AF:AF,Control!$B$29):INDEX(AF:AF,100000),
    MATCH($A$8,INDEX($A:$A,Control!$B$29):INDEX($A:$A,100000),0)+MATCH($D23,INDEX($D:$D,Control!$B$31):INDEX($D:$D,Control!$B$32),0)-1,
    1)</f>
        <v>-0.89388566466198205</v>
      </c>
      <c r="AG23" s="258" cm="1">
        <f t="array" ref="AG23">INDEX(
    INDEX(AG:AG,Control!$B$29):INDEX(AG:AG,100000),
    MATCH($A$8,INDEX($A:$A,Control!$B$29):INDEX($A:$A,100000),0)+MATCH($D23,INDEX($D:$D,Control!$B$31):INDEX($D:$D,Control!$B$32),0)-1,
    1)</f>
        <v>-0.92963482313183898</v>
      </c>
      <c r="AH23" s="258" cm="1">
        <f t="array" ref="AH23">INDEX(
    INDEX(AH:AH,Control!$B$29):INDEX(AH:AH,100000),
    MATCH($A$8,INDEX($A:$A,Control!$B$29):INDEX($A:$A,100000),0)+MATCH($D23,INDEX($D:$D,Control!$B$31):INDEX($D:$D,Control!$B$32),0)-1,
    1)</f>
        <v>-0.85145051512821301</v>
      </c>
      <c r="AI23" s="258" cm="1">
        <f t="array" ref="AI23">INDEX(
    INDEX(AI:AI,Control!$B$29):INDEX(AI:AI,100000),
    MATCH($A$8,INDEX($A:$A,Control!$B$29):INDEX($A:$A,100000),0)+MATCH($D23,INDEX($D:$D,Control!$B$31):INDEX($D:$D,Control!$B$32),0)-1,
    1)</f>
        <v>-0.81486560777536698</v>
      </c>
      <c r="AJ23" s="258" cm="1">
        <f t="array" ref="AJ23">INDEX(
    INDEX(AJ:AJ,Control!$B$29):INDEX(AJ:AJ,100000),
    MATCH($A$8,INDEX($A:$A,Control!$B$29):INDEX($A:$A,100000),0)+MATCH($D23,INDEX($D:$D,Control!$B$31):INDEX($D:$D,Control!$B$32),0)-1,
    1)</f>
        <v>-0.77190811518973002</v>
      </c>
      <c r="AK23" s="258" cm="1">
        <f t="array" ref="AK23">INDEX(
    INDEX(AK:AK,Control!$B$29):INDEX(AK:AK,100000),
    MATCH($A$8,INDEX($A:$A,Control!$B$29):INDEX($A:$A,100000),0)+MATCH($D23,INDEX($D:$D,Control!$B$31):INDEX($D:$D,Control!$B$32),0)-1,
    1)</f>
        <v>-0.80231892766949398</v>
      </c>
      <c r="AL23" s="258" cm="1">
        <f t="array" ref="AL23">INDEX(
    INDEX(AL:AL,Control!$B$29):INDEX(AL:AL,100000),
    MATCH($A$8,INDEX($A:$A,Control!$B$29):INDEX($A:$A,100000),0)+MATCH($D23,INDEX($D:$D,Control!$B$31):INDEX($D:$D,Control!$B$32),0)-1,
    1)</f>
        <v>-0.82206349503011</v>
      </c>
      <c r="AM23" s="258" cm="1">
        <f t="array" ref="AM23">INDEX(
    INDEX(AM:AM,Control!$B$29):INDEX(AM:AM,100000),
    MATCH($A$8,INDEX($A:$A,Control!$B$29):INDEX($A:$A,100000),0)+MATCH($D23,INDEX($D:$D,Control!$B$31):INDEX($D:$D,Control!$B$32),0)-1,
    1)</f>
        <v>-0.80574549808974905</v>
      </c>
      <c r="AN23" s="258" cm="1">
        <f t="array" ref="AN23">INDEX(
    INDEX(AN:AN,Control!$B$29):INDEX(AN:AN,100000),
    MATCH($A$8,INDEX($A:$A,Control!$B$29):INDEX($A:$A,100000),0)+MATCH($D23,INDEX($D:$D,Control!$B$31):INDEX($D:$D,Control!$B$32),0)-1,
    1)</f>
        <v>-0.77181409344039298</v>
      </c>
      <c r="AO23" s="29"/>
      <c r="AP23" s="29"/>
      <c r="AQ23" s="29"/>
    </row>
    <row r="24" spans="1:43" s="23" customFormat="1" x14ac:dyDescent="0.35">
      <c r="A24"/>
      <c r="B24"/>
      <c r="C24" s="292" t="s">
        <v>230</v>
      </c>
      <c r="D24" s="19" t="s">
        <v>342</v>
      </c>
      <c r="E24" s="19" t="s">
        <v>219</v>
      </c>
      <c r="F24" s="258" cm="1">
        <f t="array" ref="F24">INDEX(
    INDEX(F:F,Control!$B$29):INDEX(F:F,100000),
    MATCH($A$8,INDEX($A:$A,Control!$B$29):INDEX($A:$A,100000),0)+MATCH($D24,INDEX($D:$D,Control!$B$31):INDEX($D:$D,Control!$B$32),0)-1,
    1)</f>
        <v>0</v>
      </c>
      <c r="G24" s="258" cm="1">
        <f t="array" ref="G24">INDEX(
    INDEX(G:G,Control!$B$29):INDEX(G:G,100000),
    MATCH($A$8,INDEX($A:$A,Control!$B$29):INDEX($A:$A,100000),0)+MATCH($D24,INDEX($D:$D,Control!$B$31):INDEX($D:$D,Control!$B$32),0)-1,
    1)</f>
        <v>22.468555035525799</v>
      </c>
      <c r="H24" s="258" cm="1">
        <f t="array" ref="H24">INDEX(
    INDEX(H:H,Control!$B$29):INDEX(H:H,100000),
    MATCH($A$8,INDEX($A:$A,Control!$B$29):INDEX($A:$A,100000),0)+MATCH($D24,INDEX($D:$D,Control!$B$31):INDEX($D:$D,Control!$B$32),0)-1,
    1)</f>
        <v>26.608844554992501</v>
      </c>
      <c r="I24" s="258" cm="1">
        <f t="array" ref="I24">INDEX(
    INDEX(I:I,Control!$B$29):INDEX(I:I,100000),
    MATCH($A$8,INDEX($A:$A,Control!$B$29):INDEX($A:$A,100000),0)+MATCH($D24,INDEX($D:$D,Control!$B$31):INDEX($D:$D,Control!$B$32),0)-1,
    1)</f>
        <v>25.859637468837001</v>
      </c>
      <c r="J24" s="258" cm="1">
        <f t="array" ref="J24">INDEX(
    INDEX(J:J,Control!$B$29):INDEX(J:J,100000),
    MATCH($A$8,INDEX($A:$A,Control!$B$29):INDEX($A:$A,100000),0)+MATCH($D24,INDEX($D:$D,Control!$B$31):INDEX($D:$D,Control!$B$32),0)-1,
    1)</f>
        <v>28.9020559150262</v>
      </c>
      <c r="K24" s="258" cm="1">
        <f t="array" ref="K24">INDEX(
    INDEX(K:K,Control!$B$29):INDEX(K:K,100000),
    MATCH($A$8,INDEX($A:$A,Control!$B$29):INDEX($A:$A,100000),0)+MATCH($D24,INDEX($D:$D,Control!$B$31):INDEX($D:$D,Control!$B$32),0)-1,
    1)</f>
        <v>33.959433577518901</v>
      </c>
      <c r="L24" s="258" cm="1">
        <f t="array" ref="L24">INDEX(
    INDEX(L:L,Control!$B$29):INDEX(L:L,100000),
    MATCH($A$8,INDEX($A:$A,Control!$B$29):INDEX($A:$A,100000),0)+MATCH($D24,INDEX($D:$D,Control!$B$31):INDEX($D:$D,Control!$B$32),0)-1,
    1)</f>
        <v>29.846598408858299</v>
      </c>
      <c r="M24" s="258" cm="1">
        <f t="array" ref="M24">INDEX(
    INDEX(M:M,Control!$B$29):INDEX(M:M,100000),
    MATCH($A$8,INDEX($A:$A,Control!$B$29):INDEX($A:$A,100000),0)+MATCH($D24,INDEX($D:$D,Control!$B$31):INDEX($D:$D,Control!$B$32),0)-1,
    1)</f>
        <v>35.8117665080538</v>
      </c>
      <c r="N24" s="258" cm="1">
        <f t="array" ref="N24">INDEX(
    INDEX(N:N,Control!$B$29):INDEX(N:N,100000),
    MATCH($A$8,INDEX($A:$A,Control!$B$29):INDEX($A:$A,100000),0)+MATCH($D24,INDEX($D:$D,Control!$B$31):INDEX($D:$D,Control!$B$32),0)-1,
    1)</f>
        <v>35.360921773125298</v>
      </c>
      <c r="O24" s="258" cm="1">
        <f t="array" ref="O24">INDEX(
    INDEX(O:O,Control!$B$29):INDEX(O:O,100000),
    MATCH($A$8,INDEX($A:$A,Control!$B$29):INDEX($A:$A,100000),0)+MATCH($D24,INDEX($D:$D,Control!$B$31):INDEX($D:$D,Control!$B$32),0)-1,
    1)</f>
        <v>32.057749675443503</v>
      </c>
      <c r="P24" s="258" cm="1">
        <f t="array" ref="P24">INDEX(
    INDEX(P:P,Control!$B$29):INDEX(P:P,100000),
    MATCH($A$8,INDEX($A:$A,Control!$B$29):INDEX($A:$A,100000),0)+MATCH($D24,INDEX($D:$D,Control!$B$31):INDEX($D:$D,Control!$B$32),0)-1,
    1)</f>
        <v>36.816420240294903</v>
      </c>
      <c r="Q24" s="258" cm="1">
        <f t="array" ref="Q24">INDEX(
    INDEX(Q:Q,Control!$B$29):INDEX(Q:Q,100000),
    MATCH($A$8,INDEX($A:$A,Control!$B$29):INDEX($A:$A,100000),0)+MATCH($D24,INDEX($D:$D,Control!$B$31):INDEX($D:$D,Control!$B$32),0)-1,
    1)</f>
        <v>40.433165318874202</v>
      </c>
      <c r="R24" s="258" cm="1">
        <f t="array" ref="R24">INDEX(
    INDEX(R:R,Control!$B$29):INDEX(R:R,100000),
    MATCH($A$8,INDEX($A:$A,Control!$B$29):INDEX($A:$A,100000),0)+MATCH($D24,INDEX($D:$D,Control!$B$31):INDEX($D:$D,Control!$B$32),0)-1,
    1)</f>
        <v>40.182712272364498</v>
      </c>
      <c r="S24" s="258" cm="1">
        <f t="array" ref="S24">INDEX(
    INDEX(S:S,Control!$B$29):INDEX(S:S,100000),
    MATCH($A$8,INDEX($A:$A,Control!$B$29):INDEX($A:$A,100000),0)+MATCH($D24,INDEX($D:$D,Control!$B$31):INDEX($D:$D,Control!$B$32),0)-1,
    1)</f>
        <v>39.064104179927703</v>
      </c>
      <c r="T24" s="258" cm="1">
        <f t="array" ref="T24">INDEX(
    INDEX(T:T,Control!$B$29):INDEX(T:T,100000),
    MATCH($A$8,INDEX($A:$A,Control!$B$29):INDEX($A:$A,100000),0)+MATCH($D24,INDEX($D:$D,Control!$B$31):INDEX($D:$D,Control!$B$32),0)-1,
    1)</f>
        <v>37.835030978882003</v>
      </c>
      <c r="U24" s="258" cm="1">
        <f t="array" ref="U24">INDEX(
    INDEX(U:U,Control!$B$29):INDEX(U:U,100000),
    MATCH($A$8,INDEX($A:$A,Control!$B$29):INDEX($A:$A,100000),0)+MATCH($D24,INDEX($D:$D,Control!$B$31):INDEX($D:$D,Control!$B$32),0)-1,
    1)</f>
        <v>37.819287559298701</v>
      </c>
      <c r="V24" s="258" cm="1">
        <f t="array" ref="V24">INDEX(
    INDEX(V:V,Control!$B$29):INDEX(V:V,100000),
    MATCH($A$8,INDEX($A:$A,Control!$B$29):INDEX($A:$A,100000),0)+MATCH($D24,INDEX($D:$D,Control!$B$31):INDEX($D:$D,Control!$B$32),0)-1,
    1)</f>
        <v>37.191086464538898</v>
      </c>
      <c r="W24" s="258" cm="1">
        <f t="array" ref="W24">INDEX(
    INDEX(W:W,Control!$B$29):INDEX(W:W,100000),
    MATCH($A$8,INDEX($A:$A,Control!$B$29):INDEX($A:$A,100000),0)+MATCH($D24,INDEX($D:$D,Control!$B$31):INDEX($D:$D,Control!$B$32),0)-1,
    1)</f>
        <v>38.9521974044955</v>
      </c>
      <c r="X24" s="258" cm="1">
        <f t="array" ref="X24">INDEX(
    INDEX(X:X,Control!$B$29):INDEX(X:X,100000),
    MATCH($A$8,INDEX($A:$A,Control!$B$29):INDEX($A:$A,100000),0)+MATCH($D24,INDEX($D:$D,Control!$B$31):INDEX($D:$D,Control!$B$32),0)-1,
    1)</f>
        <v>41.202555740553898</v>
      </c>
      <c r="Y24" s="258" cm="1">
        <f t="array" ref="Y24">INDEX(
    INDEX(Y:Y,Control!$B$29):INDEX(Y:Y,100000),
    MATCH($A$8,INDEX($A:$A,Control!$B$29):INDEX($A:$A,100000),0)+MATCH($D24,INDEX($D:$D,Control!$B$31):INDEX($D:$D,Control!$B$32),0)-1,
    1)</f>
        <v>40.812814695832998</v>
      </c>
      <c r="Z24" s="258" cm="1">
        <f t="array" ref="Z24">INDEX(
    INDEX(Z:Z,Control!$B$29):INDEX(Z:Z,100000),
    MATCH($A$8,INDEX($A:$A,Control!$B$29):INDEX($A:$A,100000),0)+MATCH($D24,INDEX($D:$D,Control!$B$31):INDEX($D:$D,Control!$B$32),0)-1,
    1)</f>
        <v>39.575634730622198</v>
      </c>
      <c r="AA24" s="258" cm="1">
        <f t="array" ref="AA24">INDEX(
    INDEX(AA:AA,Control!$B$29):INDEX(AA:AA,100000),
    MATCH($A$8,INDEX($A:$A,Control!$B$29):INDEX($A:$A,100000),0)+MATCH($D24,INDEX($D:$D,Control!$B$31):INDEX($D:$D,Control!$B$32),0)-1,
    1)</f>
        <v>40.082265703490201</v>
      </c>
      <c r="AB24" s="258" cm="1">
        <f t="array" ref="AB24">INDEX(
    INDEX(AB:AB,Control!$B$29):INDEX(AB:AB,100000),
    MATCH($A$8,INDEX($A:$A,Control!$B$29):INDEX($A:$A,100000),0)+MATCH($D24,INDEX($D:$D,Control!$B$31):INDEX($D:$D,Control!$B$32),0)-1,
    1)</f>
        <v>37.921562328854499</v>
      </c>
      <c r="AC24" s="258" cm="1">
        <f t="array" ref="AC24">INDEX(
    INDEX(AC:AC,Control!$B$29):INDEX(AC:AC,100000),
    MATCH($A$8,INDEX($A:$A,Control!$B$29):INDEX($A:$A,100000),0)+MATCH($D24,INDEX($D:$D,Control!$B$31):INDEX($D:$D,Control!$B$32),0)-1,
    1)</f>
        <v>37.050356799504598</v>
      </c>
      <c r="AD24" s="258" cm="1">
        <f t="array" ref="AD24">INDEX(
    INDEX(AD:AD,Control!$B$29):INDEX(AD:AD,100000),
    MATCH($A$8,INDEX($A:$A,Control!$B$29):INDEX($A:$A,100000),0)+MATCH($D24,INDEX($D:$D,Control!$B$31):INDEX($D:$D,Control!$B$32),0)-1,
    1)</f>
        <v>35.4069924303001</v>
      </c>
      <c r="AE24" s="258" cm="1">
        <f t="array" ref="AE24">INDEX(
    INDEX(AE:AE,Control!$B$29):INDEX(AE:AE,100000),
    MATCH($A$8,INDEX($A:$A,Control!$B$29):INDEX($A:$A,100000),0)+MATCH($D24,INDEX($D:$D,Control!$B$31):INDEX($D:$D,Control!$B$32),0)-1,
    1)</f>
        <v>35.274954553648897</v>
      </c>
      <c r="AF24" s="258" cm="1">
        <f t="array" ref="AF24">INDEX(
    INDEX(AF:AF,Control!$B$29):INDEX(AF:AF,100000),
    MATCH($A$8,INDEX($A:$A,Control!$B$29):INDEX($A:$A,100000),0)+MATCH($D24,INDEX($D:$D,Control!$B$31):INDEX($D:$D,Control!$B$32),0)-1,
    1)</f>
        <v>34.767581853647201</v>
      </c>
      <c r="AG24" s="258" cm="1">
        <f t="array" ref="AG24">INDEX(
    INDEX(AG:AG,Control!$B$29):INDEX(AG:AG,100000),
    MATCH($A$8,INDEX($A:$A,Control!$B$29):INDEX($A:$A,100000),0)+MATCH($D24,INDEX($D:$D,Control!$B$31):INDEX($D:$D,Control!$B$32),0)-1,
    1)</f>
        <v>32.259906883377496</v>
      </c>
      <c r="AH24" s="258" cm="1">
        <f t="array" ref="AH24">INDEX(
    INDEX(AH:AH,Control!$B$29):INDEX(AH:AH,100000),
    MATCH($A$8,INDEX($A:$A,Control!$B$29):INDEX($A:$A,100000),0)+MATCH($D24,INDEX($D:$D,Control!$B$31):INDEX($D:$D,Control!$B$32),0)-1,
    1)</f>
        <v>34.086080873874799</v>
      </c>
      <c r="AI24" s="258" cm="1">
        <f t="array" ref="AI24">INDEX(
    INDEX(AI:AI,Control!$B$29):INDEX(AI:AI,100000),
    MATCH($A$8,INDEX($A:$A,Control!$B$29):INDEX($A:$A,100000),0)+MATCH($D24,INDEX($D:$D,Control!$B$31):INDEX($D:$D,Control!$B$32),0)-1,
    1)</f>
        <v>32.988220247458301</v>
      </c>
      <c r="AJ24" s="258" cm="1">
        <f t="array" ref="AJ24">INDEX(
    INDEX(AJ:AJ,Control!$B$29):INDEX(AJ:AJ,100000),
    MATCH($A$8,INDEX($A:$A,Control!$B$29):INDEX($A:$A,100000),0)+MATCH($D24,INDEX($D:$D,Control!$B$31):INDEX($D:$D,Control!$B$32),0)-1,
    1)</f>
        <v>33.6834797432169</v>
      </c>
      <c r="AK24" s="258" cm="1">
        <f t="array" ref="AK24">INDEX(
    INDEX(AK:AK,Control!$B$29):INDEX(AK:AK,100000),
    MATCH($A$8,INDEX($A:$A,Control!$B$29):INDEX($A:$A,100000),0)+MATCH($D24,INDEX($D:$D,Control!$B$31):INDEX($D:$D,Control!$B$32),0)-1,
    1)</f>
        <v>34.603002004864599</v>
      </c>
      <c r="AL24" s="258" cm="1">
        <f t="array" ref="AL24">INDEX(
    INDEX(AL:AL,Control!$B$29):INDEX(AL:AL,100000),
    MATCH($A$8,INDEX($A:$A,Control!$B$29):INDEX($A:$A,100000),0)+MATCH($D24,INDEX($D:$D,Control!$B$31):INDEX($D:$D,Control!$B$32),0)-1,
    1)</f>
        <v>34.4739832710532</v>
      </c>
      <c r="AM24" s="258" cm="1">
        <f t="array" ref="AM24">INDEX(
    INDEX(AM:AM,Control!$B$29):INDEX(AM:AM,100000),
    MATCH($A$8,INDEX($A:$A,Control!$B$29):INDEX($A:$A,100000),0)+MATCH($D24,INDEX($D:$D,Control!$B$31):INDEX($D:$D,Control!$B$32),0)-1,
    1)</f>
        <v>35.6076348433837</v>
      </c>
      <c r="AN24" s="258" cm="1">
        <f t="array" ref="AN24">INDEX(
    INDEX(AN:AN,Control!$B$29):INDEX(AN:AN,100000),
    MATCH($A$8,INDEX($A:$A,Control!$B$29):INDEX($A:$A,100000),0)+MATCH($D24,INDEX($D:$D,Control!$B$31):INDEX($D:$D,Control!$B$32),0)-1,
    1)</f>
        <v>34.416786706873602</v>
      </c>
      <c r="AO24" s="29"/>
      <c r="AP24" s="29"/>
      <c r="AQ24" s="29"/>
    </row>
    <row r="25" spans="1:43" s="23" customFormat="1" x14ac:dyDescent="0.35">
      <c r="A25"/>
      <c r="B25"/>
      <c r="C25" s="292" t="s">
        <v>230</v>
      </c>
      <c r="D25" s="19" t="s">
        <v>343</v>
      </c>
      <c r="E25" s="19" t="s">
        <v>219</v>
      </c>
      <c r="F25" s="258" cm="1">
        <f t="array" ref="F25">INDEX(
    INDEX(F:F,Control!$B$29):INDEX(F:F,100000),
    MATCH($A$8,INDEX($A:$A,Control!$B$29):INDEX($A:$A,100000),0)+MATCH($D25,INDEX($D:$D,Control!$B$31):INDEX($D:$D,Control!$B$32),0)-1,
    1)</f>
        <v>0</v>
      </c>
      <c r="G25" s="258" cm="1">
        <f t="array" ref="G25">INDEX(
    INDEX(G:G,Control!$B$29):INDEX(G:G,100000),
    MATCH($A$8,INDEX($A:$A,Control!$B$29):INDEX($A:$A,100000),0)+MATCH($D25,INDEX($D:$D,Control!$B$31):INDEX($D:$D,Control!$B$32),0)-1,
    1)</f>
        <v>-15.1163571963996</v>
      </c>
      <c r="H25" s="258" cm="1">
        <f t="array" ref="H25">INDEX(
    INDEX(H:H,Control!$B$29):INDEX(H:H,100000),
    MATCH($A$8,INDEX($A:$A,Control!$B$29):INDEX($A:$A,100000),0)+MATCH($D25,INDEX($D:$D,Control!$B$31):INDEX($D:$D,Control!$B$32),0)-1,
    1)</f>
        <v>-14.4243362275626</v>
      </c>
      <c r="I25" s="258" cm="1">
        <f t="array" ref="I25">INDEX(
    INDEX(I:I,Control!$B$29):INDEX(I:I,100000),
    MATCH($A$8,INDEX($A:$A,Control!$B$29):INDEX($A:$A,100000),0)+MATCH($D25,INDEX($D:$D,Control!$B$31):INDEX($D:$D,Control!$B$32),0)-1,
    1)</f>
        <v>-15.364919361061601</v>
      </c>
      <c r="J25" s="258" cm="1">
        <f t="array" ref="J25">INDEX(
    INDEX(J:J,Control!$B$29):INDEX(J:J,100000),
    MATCH($A$8,INDEX($A:$A,Control!$B$29):INDEX($A:$A,100000),0)+MATCH($D25,INDEX($D:$D,Control!$B$31):INDEX($D:$D,Control!$B$32),0)-1,
    1)</f>
        <v>-14.2696808967655</v>
      </c>
      <c r="K25" s="258" cm="1">
        <f t="array" ref="K25">INDEX(
    INDEX(K:K,Control!$B$29):INDEX(K:K,100000),
    MATCH($A$8,INDEX($A:$A,Control!$B$29):INDEX($A:$A,100000),0)+MATCH($D25,INDEX($D:$D,Control!$B$31):INDEX($D:$D,Control!$B$32),0)-1,
    1)</f>
        <v>-14.8670846451871</v>
      </c>
      <c r="L25" s="258" cm="1">
        <f t="array" ref="L25">INDEX(
    INDEX(L:L,Control!$B$29):INDEX(L:L,100000),
    MATCH($A$8,INDEX($A:$A,Control!$B$29):INDEX($A:$A,100000),0)+MATCH($D25,INDEX($D:$D,Control!$B$31):INDEX($D:$D,Control!$B$32),0)-1,
    1)</f>
        <v>-12.181917505892599</v>
      </c>
      <c r="M25" s="258" cm="1">
        <f t="array" ref="M25">INDEX(
    INDEX(M:M,Control!$B$29):INDEX(M:M,100000),
    MATCH($A$8,INDEX($A:$A,Control!$B$29):INDEX($A:$A,100000),0)+MATCH($D25,INDEX($D:$D,Control!$B$31):INDEX($D:$D,Control!$B$32),0)-1,
    1)</f>
        <v>-13.976541976057099</v>
      </c>
      <c r="N25" s="258" cm="1">
        <f t="array" ref="N25">INDEX(
    INDEX(N:N,Control!$B$29):INDEX(N:N,100000),
    MATCH($A$8,INDEX($A:$A,Control!$B$29):INDEX($A:$A,100000),0)+MATCH($D25,INDEX($D:$D,Control!$B$31):INDEX($D:$D,Control!$B$32),0)-1,
    1)</f>
        <v>-14.592018794073301</v>
      </c>
      <c r="O25" s="258" cm="1">
        <f t="array" ref="O25">INDEX(
    INDEX(O:O,Control!$B$29):INDEX(O:O,100000),
    MATCH($A$8,INDEX($A:$A,Control!$B$29):INDEX($A:$A,100000),0)+MATCH($D25,INDEX($D:$D,Control!$B$31):INDEX($D:$D,Control!$B$32),0)-1,
    1)</f>
        <v>-14.978928739453099</v>
      </c>
      <c r="P25" s="258" cm="1">
        <f t="array" ref="P25">INDEX(
    INDEX(P:P,Control!$B$29):INDEX(P:P,100000),
    MATCH($A$8,INDEX($A:$A,Control!$B$29):INDEX($A:$A,100000),0)+MATCH($D25,INDEX($D:$D,Control!$B$31):INDEX($D:$D,Control!$B$32),0)-1,
    1)</f>
        <v>-14.770304924536999</v>
      </c>
      <c r="Q25" s="258" cm="1">
        <f t="array" ref="Q25">INDEX(
    INDEX(Q:Q,Control!$B$29):INDEX(Q:Q,100000),
    MATCH($A$8,INDEX($A:$A,Control!$B$29):INDEX($A:$A,100000),0)+MATCH($D25,INDEX($D:$D,Control!$B$31):INDEX($D:$D,Control!$B$32),0)-1,
    1)</f>
        <v>-12.244556884672599</v>
      </c>
      <c r="R25" s="258" cm="1">
        <f t="array" ref="R25">INDEX(
    INDEX(R:R,Control!$B$29):INDEX(R:R,100000),
    MATCH($A$8,INDEX($A:$A,Control!$B$29):INDEX($A:$A,100000),0)+MATCH($D25,INDEX($D:$D,Control!$B$31):INDEX($D:$D,Control!$B$32),0)-1,
    1)</f>
        <v>-14.8779389338049</v>
      </c>
      <c r="S25" s="258" cm="1">
        <f t="array" ref="S25">INDEX(
    INDEX(S:S,Control!$B$29):INDEX(S:S,100000),
    MATCH($A$8,INDEX($A:$A,Control!$B$29):INDEX($A:$A,100000),0)+MATCH($D25,INDEX($D:$D,Control!$B$31):INDEX($D:$D,Control!$B$32),0)-1,
    1)</f>
        <v>-13.646379379832201</v>
      </c>
      <c r="T25" s="258" cm="1">
        <f t="array" ref="T25">INDEX(
    INDEX(T:T,Control!$B$29):INDEX(T:T,100000),
    MATCH($A$8,INDEX($A:$A,Control!$B$29):INDEX($A:$A,100000),0)+MATCH($D25,INDEX($D:$D,Control!$B$31):INDEX($D:$D,Control!$B$32),0)-1,
    1)</f>
        <v>-13.3843616581541</v>
      </c>
      <c r="U25" s="258" cm="1">
        <f t="array" ref="U25">INDEX(
    INDEX(U:U,Control!$B$29):INDEX(U:U,100000),
    MATCH($A$8,INDEX($A:$A,Control!$B$29):INDEX($A:$A,100000),0)+MATCH($D25,INDEX($D:$D,Control!$B$31):INDEX($D:$D,Control!$B$32),0)-1,
    1)</f>
        <v>-13.056842117771801</v>
      </c>
      <c r="V25" s="258" cm="1">
        <f t="array" ref="V25">INDEX(
    INDEX(V:V,Control!$B$29):INDEX(V:V,100000),
    MATCH($A$8,INDEX($A:$A,Control!$B$29):INDEX($A:$A,100000),0)+MATCH($D25,INDEX($D:$D,Control!$B$31):INDEX($D:$D,Control!$B$32),0)-1,
    1)</f>
        <v>-11.3006307556417</v>
      </c>
      <c r="W25" s="258" cm="1">
        <f t="array" ref="W25">INDEX(
    INDEX(W:W,Control!$B$29):INDEX(W:W,100000),
    MATCH($A$8,INDEX($A:$A,Control!$B$29):INDEX($A:$A,100000),0)+MATCH($D25,INDEX($D:$D,Control!$B$31):INDEX($D:$D,Control!$B$32),0)-1,
    1)</f>
        <v>-11.683602234410399</v>
      </c>
      <c r="X25" s="258" cm="1">
        <f t="array" ref="X25">INDEX(
    INDEX(X:X,Control!$B$29):INDEX(X:X,100000),
    MATCH($A$8,INDEX($A:$A,Control!$B$29):INDEX($A:$A,100000),0)+MATCH($D25,INDEX($D:$D,Control!$B$31):INDEX($D:$D,Control!$B$32),0)-1,
    1)</f>
        <v>-11.5546252880431</v>
      </c>
      <c r="Y25" s="258" cm="1">
        <f t="array" ref="Y25">INDEX(
    INDEX(Y:Y,Control!$B$29):INDEX(Y:Y,100000),
    MATCH($A$8,INDEX($A:$A,Control!$B$29):INDEX($A:$A,100000),0)+MATCH($D25,INDEX($D:$D,Control!$B$31):INDEX($D:$D,Control!$B$32),0)-1,
    1)</f>
        <v>-11.1688749442384</v>
      </c>
      <c r="Z25" s="258" cm="1">
        <f t="array" ref="Z25">INDEX(
    INDEX(Z:Z,Control!$B$29):INDEX(Z:Z,100000),
    MATCH($A$8,INDEX($A:$A,Control!$B$29):INDEX($A:$A,100000),0)+MATCH($D25,INDEX($D:$D,Control!$B$31):INDEX($D:$D,Control!$B$32),0)-1,
    1)</f>
        <v>-12.6832519202146</v>
      </c>
      <c r="AA25" s="258" cm="1">
        <f t="array" ref="AA25">INDEX(
    INDEX(AA:AA,Control!$B$29):INDEX(AA:AA,100000),
    MATCH($A$8,INDEX($A:$A,Control!$B$29):INDEX($A:$A,100000),0)+MATCH($D25,INDEX($D:$D,Control!$B$31):INDEX($D:$D,Control!$B$32),0)-1,
    1)</f>
        <v>-11.301853038382999</v>
      </c>
      <c r="AB25" s="258" cm="1">
        <f t="array" ref="AB25">INDEX(
    INDEX(AB:AB,Control!$B$29):INDEX(AB:AB,100000),
    MATCH($A$8,INDEX($A:$A,Control!$B$29):INDEX($A:$A,100000),0)+MATCH($D25,INDEX($D:$D,Control!$B$31):INDEX($D:$D,Control!$B$32),0)-1,
    1)</f>
        <v>-9.9736495729537609</v>
      </c>
      <c r="AC25" s="258" cm="1">
        <f t="array" ref="AC25">INDEX(
    INDEX(AC:AC,Control!$B$29):INDEX(AC:AC,100000),
    MATCH($A$8,INDEX($A:$A,Control!$B$29):INDEX($A:$A,100000),0)+MATCH($D25,INDEX($D:$D,Control!$B$31):INDEX($D:$D,Control!$B$32),0)-1,
    1)</f>
        <v>-9.8864078364307399</v>
      </c>
      <c r="AD25" s="258" cm="1">
        <f t="array" ref="AD25">INDEX(
    INDEX(AD:AD,Control!$B$29):INDEX(AD:AD,100000),
    MATCH($A$8,INDEX($A:$A,Control!$B$29):INDEX($A:$A,100000),0)+MATCH($D25,INDEX($D:$D,Control!$B$31):INDEX($D:$D,Control!$B$32),0)-1,
    1)</f>
        <v>-9.5225959008045695</v>
      </c>
      <c r="AE25" s="258" cm="1">
        <f t="array" ref="AE25">INDEX(
    INDEX(AE:AE,Control!$B$29):INDEX(AE:AE,100000),
    MATCH($A$8,INDEX($A:$A,Control!$B$29):INDEX($A:$A,100000),0)+MATCH($D25,INDEX($D:$D,Control!$B$31):INDEX($D:$D,Control!$B$32),0)-1,
    1)</f>
        <v>-9.2582171885320204</v>
      </c>
      <c r="AF25" s="258" cm="1">
        <f t="array" ref="AF25">INDEX(
    INDEX(AF:AF,Control!$B$29):INDEX(AF:AF,100000),
    MATCH($A$8,INDEX($A:$A,Control!$B$29):INDEX($A:$A,100000),0)+MATCH($D25,INDEX($D:$D,Control!$B$31):INDEX($D:$D,Control!$B$32),0)-1,
    1)</f>
        <v>-8.8141733601388896</v>
      </c>
      <c r="AG25" s="258" cm="1">
        <f t="array" ref="AG25">INDEX(
    INDEX(AG:AG,Control!$B$29):INDEX(AG:AG,100000),
    MATCH($A$8,INDEX($A:$A,Control!$B$29):INDEX($A:$A,100000),0)+MATCH($D25,INDEX($D:$D,Control!$B$31):INDEX($D:$D,Control!$B$32),0)-1,
    1)</f>
        <v>-9.3780949189357603</v>
      </c>
      <c r="AH25" s="258" cm="1">
        <f t="array" ref="AH25">INDEX(
    INDEX(AH:AH,Control!$B$29):INDEX(AH:AH,100000),
    MATCH($A$8,INDEX($A:$A,Control!$B$29):INDEX($A:$A,100000),0)+MATCH($D25,INDEX($D:$D,Control!$B$31):INDEX($D:$D,Control!$B$32),0)-1,
    1)</f>
        <v>-8.8571726401686792</v>
      </c>
      <c r="AI25" s="258" cm="1">
        <f t="array" ref="AI25">INDEX(
    INDEX(AI:AI,Control!$B$29):INDEX(AI:AI,100000),
    MATCH($A$8,INDEX($A:$A,Control!$B$29):INDEX($A:$A,100000),0)+MATCH($D25,INDEX($D:$D,Control!$B$31):INDEX($D:$D,Control!$B$32),0)-1,
    1)</f>
        <v>-8.7073750997539303</v>
      </c>
      <c r="AJ25" s="258" cm="1">
        <f t="array" ref="AJ25">INDEX(
    INDEX(AJ:AJ,Control!$B$29):INDEX(AJ:AJ,100000),
    MATCH($A$8,INDEX($A:$A,Control!$B$29):INDEX($A:$A,100000),0)+MATCH($D25,INDEX($D:$D,Control!$B$31):INDEX($D:$D,Control!$B$32),0)-1,
    1)</f>
        <v>-7.8824909522437299</v>
      </c>
      <c r="AK25" s="258" cm="1">
        <f t="array" ref="AK25">INDEX(
    INDEX(AK:AK,Control!$B$29):INDEX(AK:AK,100000),
    MATCH($A$8,INDEX($A:$A,Control!$B$29):INDEX($A:$A,100000),0)+MATCH($D25,INDEX($D:$D,Control!$B$31):INDEX($D:$D,Control!$B$32),0)-1,
    1)</f>
        <v>-8.4460573177653302</v>
      </c>
      <c r="AL25" s="258" cm="1">
        <f t="array" ref="AL25">INDEX(
    INDEX(AL:AL,Control!$B$29):INDEX(AL:AL,100000),
    MATCH($A$8,INDEX($A:$A,Control!$B$29):INDEX($A:$A,100000),0)+MATCH($D25,INDEX($D:$D,Control!$B$31):INDEX($D:$D,Control!$B$32),0)-1,
    1)</f>
        <v>-9.4904091219484492</v>
      </c>
      <c r="AM25" s="258" cm="1">
        <f t="array" ref="AM25">INDEX(
    INDEX(AM:AM,Control!$B$29):INDEX(AM:AM,100000),
    MATCH($A$8,INDEX($A:$A,Control!$B$29):INDEX($A:$A,100000),0)+MATCH($D25,INDEX($D:$D,Control!$B$31):INDEX($D:$D,Control!$B$32),0)-1,
    1)</f>
        <v>-11.039866657288</v>
      </c>
      <c r="AN25" s="258" cm="1">
        <f t="array" ref="AN25">INDEX(
    INDEX(AN:AN,Control!$B$29):INDEX(AN:AN,100000),
    MATCH($A$8,INDEX($A:$A,Control!$B$29):INDEX($A:$A,100000),0)+MATCH($D25,INDEX($D:$D,Control!$B$31):INDEX($D:$D,Control!$B$32),0)-1,
    1)</f>
        <v>-10.893735965097401</v>
      </c>
      <c r="AO25" s="29"/>
      <c r="AP25" s="29"/>
      <c r="AQ25" s="29"/>
    </row>
    <row r="26" spans="1:43" s="23" customFormat="1" x14ac:dyDescent="0.35">
      <c r="A26"/>
      <c r="B26"/>
      <c r="C26" s="292" t="s">
        <v>230</v>
      </c>
      <c r="D26" s="19" t="s">
        <v>344</v>
      </c>
      <c r="E26" s="19" t="s">
        <v>219</v>
      </c>
      <c r="F26" s="258" cm="1">
        <f t="array" ref="F26">INDEX(
    INDEX(F:F,Control!$B$29):INDEX(F:F,100000),
    MATCH($A$8,INDEX($A:$A,Control!$B$29):INDEX($A:$A,100000),0)+MATCH($D26,INDEX($D:$D,Control!$B$31):INDEX($D:$D,Control!$B$32),0)-1,
    1)</f>
        <v>0</v>
      </c>
      <c r="G26" s="258" cm="1">
        <f t="array" ref="G26">INDEX(
    INDEX(G:G,Control!$B$29):INDEX(G:G,100000),
    MATCH($A$8,INDEX($A:$A,Control!$B$29):INDEX($A:$A,100000),0)+MATCH($D26,INDEX($D:$D,Control!$B$31):INDEX($D:$D,Control!$B$32),0)-1,
    1)</f>
        <v>46.553594666806902</v>
      </c>
      <c r="H26" s="258" cm="1">
        <f t="array" ref="H26">INDEX(
    INDEX(H:H,Control!$B$29):INDEX(H:H,100000),
    MATCH($A$8,INDEX($A:$A,Control!$B$29):INDEX($A:$A,100000),0)+MATCH($D26,INDEX($D:$D,Control!$B$31):INDEX($D:$D,Control!$B$32),0)-1,
    1)</f>
        <v>31.882942349705299</v>
      </c>
      <c r="I26" s="258" cm="1">
        <f t="array" ref="I26">INDEX(
    INDEX(I:I,Control!$B$29):INDEX(I:I,100000),
    MATCH($A$8,INDEX($A:$A,Control!$B$29):INDEX($A:$A,100000),0)+MATCH($D26,INDEX($D:$D,Control!$B$31):INDEX($D:$D,Control!$B$32),0)-1,
    1)</f>
        <v>31.294616923525201</v>
      </c>
      <c r="J26" s="258" cm="1">
        <f t="array" ref="J26">INDEX(
    INDEX(J:J,Control!$B$29):INDEX(J:J,100000),
    MATCH($A$8,INDEX($A:$A,Control!$B$29):INDEX($A:$A,100000),0)+MATCH($D26,INDEX($D:$D,Control!$B$31):INDEX($D:$D,Control!$B$32),0)-1,
    1)</f>
        <v>26.3214618547157</v>
      </c>
      <c r="K26" s="258" cm="1">
        <f t="array" ref="K26">INDEX(
    INDEX(K:K,Control!$B$29):INDEX(K:K,100000),
    MATCH($A$8,INDEX($A:$A,Control!$B$29):INDEX($A:$A,100000),0)+MATCH($D26,INDEX($D:$D,Control!$B$31):INDEX($D:$D,Control!$B$32),0)-1,
    1)</f>
        <v>20.790423512788902</v>
      </c>
      <c r="L26" s="258" cm="1">
        <f t="array" ref="L26">INDEX(
    INDEX(L:L,Control!$B$29):INDEX(L:L,100000),
    MATCH($A$8,INDEX($A:$A,Control!$B$29):INDEX($A:$A,100000),0)+MATCH($D26,INDEX($D:$D,Control!$B$31):INDEX($D:$D,Control!$B$32),0)-1,
    1)</f>
        <v>25.6902729576992</v>
      </c>
      <c r="M26" s="258" cm="1">
        <f t="array" ref="M26">INDEX(
    INDEX(M:M,Control!$B$29):INDEX(M:M,100000),
    MATCH($A$8,INDEX($A:$A,Control!$B$29):INDEX($A:$A,100000),0)+MATCH($D26,INDEX($D:$D,Control!$B$31):INDEX($D:$D,Control!$B$32),0)-1,
    1)</f>
        <v>19.951279399962701</v>
      </c>
      <c r="N26" s="258" cm="1">
        <f t="array" ref="N26">INDEX(
    INDEX(N:N,Control!$B$29):INDEX(N:N,100000),
    MATCH($A$8,INDEX($A:$A,Control!$B$29):INDEX($A:$A,100000),0)+MATCH($D26,INDEX($D:$D,Control!$B$31):INDEX($D:$D,Control!$B$32),0)-1,
    1)</f>
        <v>22.175959351591299</v>
      </c>
      <c r="O26" s="258" cm="1">
        <f t="array" ref="O26">INDEX(
    INDEX(O:O,Control!$B$29):INDEX(O:O,100000),
    MATCH($A$8,INDEX($A:$A,Control!$B$29):INDEX($A:$A,100000),0)+MATCH($D26,INDEX($D:$D,Control!$B$31):INDEX($D:$D,Control!$B$32),0)-1,
    1)</f>
        <v>27.729918106633999</v>
      </c>
      <c r="P26" s="258" cm="1">
        <f t="array" ref="P26">INDEX(
    INDEX(P:P,Control!$B$29):INDEX(P:P,100000),
    MATCH($A$8,INDEX($A:$A,Control!$B$29):INDEX($A:$A,100000),0)+MATCH($D26,INDEX($D:$D,Control!$B$31):INDEX($D:$D,Control!$B$32),0)-1,
    1)</f>
        <v>23.277925594395501</v>
      </c>
      <c r="Q26" s="258" cm="1">
        <f t="array" ref="Q26">INDEX(
    INDEX(Q:Q,Control!$B$29):INDEX(Q:Q,100000),
    MATCH($A$8,INDEX($A:$A,Control!$B$29):INDEX($A:$A,100000),0)+MATCH($D26,INDEX($D:$D,Control!$B$31):INDEX($D:$D,Control!$B$32),0)-1,
    1)</f>
        <v>18.8837146705546</v>
      </c>
      <c r="R26" s="258" cm="1">
        <f t="array" ref="R26">INDEX(
    INDEX(R:R,Control!$B$29):INDEX(R:R,100000),
    MATCH($A$8,INDEX($A:$A,Control!$B$29):INDEX($A:$A,100000),0)+MATCH($D26,INDEX($D:$D,Control!$B$31):INDEX($D:$D,Control!$B$32),0)-1,
    1)</f>
        <v>21.322147845868599</v>
      </c>
      <c r="S26" s="258" cm="1">
        <f t="array" ref="S26">INDEX(
    INDEX(S:S,Control!$B$29):INDEX(S:S,100000),
    MATCH($A$8,INDEX($A:$A,Control!$B$29):INDEX($A:$A,100000),0)+MATCH($D26,INDEX($D:$D,Control!$B$31):INDEX($D:$D,Control!$B$32),0)-1,
    1)</f>
        <v>22.013928536901801</v>
      </c>
      <c r="T26" s="258" cm="1">
        <f t="array" ref="T26">INDEX(
    INDEX(T:T,Control!$B$29):INDEX(T:T,100000),
    MATCH($A$8,INDEX($A:$A,Control!$B$29):INDEX($A:$A,100000),0)+MATCH($D26,INDEX($D:$D,Control!$B$31):INDEX($D:$D,Control!$B$32),0)-1,
    1)</f>
        <v>23.197996660598601</v>
      </c>
      <c r="U26" s="258" cm="1">
        <f t="array" ref="U26">INDEX(
    INDEX(U:U,Control!$B$29):INDEX(U:U,100000),
    MATCH($A$8,INDEX($A:$A,Control!$B$29):INDEX($A:$A,100000),0)+MATCH($D26,INDEX($D:$D,Control!$B$31):INDEX($D:$D,Control!$B$32),0)-1,
    1)</f>
        <v>22.1492780685019</v>
      </c>
      <c r="V26" s="258" cm="1">
        <f t="array" ref="V26">INDEX(
    INDEX(V:V,Control!$B$29):INDEX(V:V,100000),
    MATCH($A$8,INDEX($A:$A,Control!$B$29):INDEX($A:$A,100000),0)+MATCH($D26,INDEX($D:$D,Control!$B$31):INDEX($D:$D,Control!$B$32),0)-1,
    1)</f>
        <v>23.062093445363502</v>
      </c>
      <c r="W26" s="258" cm="1">
        <f t="array" ref="W26">INDEX(
    INDEX(W:W,Control!$B$29):INDEX(W:W,100000),
    MATCH($A$8,INDEX($A:$A,Control!$B$29):INDEX($A:$A,100000),0)+MATCH($D26,INDEX($D:$D,Control!$B$31):INDEX($D:$D,Control!$B$32),0)-1,
    1)</f>
        <v>21.719452417980602</v>
      </c>
      <c r="X26" s="258" cm="1">
        <f t="array" ref="X26">INDEX(
    INDEX(X:X,Control!$B$29):INDEX(X:X,100000),
    MATCH($A$8,INDEX($A:$A,Control!$B$29):INDEX($A:$A,100000),0)+MATCH($D26,INDEX($D:$D,Control!$B$31):INDEX($D:$D,Control!$B$32),0)-1,
    1)</f>
        <v>21.901196459447601</v>
      </c>
      <c r="Y26" s="258" cm="1">
        <f t="array" ref="Y26">INDEX(
    INDEX(Y:Y,Control!$B$29):INDEX(Y:Y,100000),
    MATCH($A$8,INDEX($A:$A,Control!$B$29):INDEX($A:$A,100000),0)+MATCH($D26,INDEX($D:$D,Control!$B$31):INDEX($D:$D,Control!$B$32),0)-1,
    1)</f>
        <v>23.5791085981027</v>
      </c>
      <c r="Z26" s="258" cm="1">
        <f t="array" ref="Z26">INDEX(
    INDEX(Z:Z,Control!$B$29):INDEX(Z:Z,100000),
    MATCH($A$8,INDEX($A:$A,Control!$B$29):INDEX($A:$A,100000),0)+MATCH($D26,INDEX($D:$D,Control!$B$31):INDEX($D:$D,Control!$B$32),0)-1,
    1)</f>
        <v>26.491641221014302</v>
      </c>
      <c r="AA26" s="258" cm="1">
        <f t="array" ref="AA26">INDEX(
    INDEX(AA:AA,Control!$B$29):INDEX(AA:AA,100000),
    MATCH($A$8,INDEX($A:$A,Control!$B$29):INDEX($A:$A,100000),0)+MATCH($D26,INDEX($D:$D,Control!$B$31):INDEX($D:$D,Control!$B$32),0)-1,
    1)</f>
        <v>24.2419723777844</v>
      </c>
      <c r="AB26" s="258" cm="1">
        <f t="array" ref="AB26">INDEX(
    INDEX(AB:AB,Control!$B$29):INDEX(AB:AB,100000),
    MATCH($A$8,INDEX($A:$A,Control!$B$29):INDEX($A:$A,100000),0)+MATCH($D26,INDEX($D:$D,Control!$B$31):INDEX($D:$D,Control!$B$32),0)-1,
    1)</f>
        <v>25.905049973766399</v>
      </c>
      <c r="AC26" s="258" cm="1">
        <f t="array" ref="AC26">INDEX(
    INDEX(AC:AC,Control!$B$29):INDEX(AC:AC,100000),
    MATCH($A$8,INDEX($A:$A,Control!$B$29):INDEX($A:$A,100000),0)+MATCH($D26,INDEX($D:$D,Control!$B$31):INDEX($D:$D,Control!$B$32),0)-1,
    1)</f>
        <v>26.118677835119399</v>
      </c>
      <c r="AD26" s="258" cm="1">
        <f t="array" ref="AD26">INDEX(
    INDEX(AD:AD,Control!$B$29):INDEX(AD:AD,100000),
    MATCH($A$8,INDEX($A:$A,Control!$B$29):INDEX($A:$A,100000),0)+MATCH($D26,INDEX($D:$D,Control!$B$31):INDEX($D:$D,Control!$B$32),0)-1,
    1)</f>
        <v>28.0542722481221</v>
      </c>
      <c r="AE26" s="258" cm="1">
        <f t="array" ref="AE26">INDEX(
    INDEX(AE:AE,Control!$B$29):INDEX(AE:AE,100000),
    MATCH($A$8,INDEX($A:$A,Control!$B$29):INDEX($A:$A,100000),0)+MATCH($D26,INDEX($D:$D,Control!$B$31):INDEX($D:$D,Control!$B$32),0)-1,
    1)</f>
        <v>29.397863939859398</v>
      </c>
      <c r="AF26" s="258" cm="1">
        <f t="array" ref="AF26">INDEX(
    INDEX(AF:AF,Control!$B$29):INDEX(AF:AF,100000),
    MATCH($A$8,INDEX($A:$A,Control!$B$29):INDEX($A:$A,100000),0)+MATCH($D26,INDEX($D:$D,Control!$B$31):INDEX($D:$D,Control!$B$32),0)-1,
    1)</f>
        <v>30.289043867512699</v>
      </c>
      <c r="AG26" s="258" cm="1">
        <f t="array" ref="AG26">INDEX(
    INDEX(AG:AG,Control!$B$29):INDEX(AG:AG,100000),
    MATCH($A$8,INDEX($A:$A,Control!$B$29):INDEX($A:$A,100000),0)+MATCH($D26,INDEX($D:$D,Control!$B$31):INDEX($D:$D,Control!$B$32),0)-1,
    1)</f>
        <v>30.710888116201499</v>
      </c>
      <c r="AH26" s="258" cm="1">
        <f t="array" ref="AH26">INDEX(
    INDEX(AH:AH,Control!$B$29):INDEX(AH:AH,100000),
    MATCH($A$8,INDEX($A:$A,Control!$B$29):INDEX($A:$A,100000),0)+MATCH($D26,INDEX($D:$D,Control!$B$31):INDEX($D:$D,Control!$B$32),0)-1,
    1)</f>
        <v>29.781848764148801</v>
      </c>
      <c r="AI26" s="258" cm="1">
        <f t="array" ref="AI26">INDEX(
    INDEX(AI:AI,Control!$B$29):INDEX(AI:AI,100000),
    MATCH($A$8,INDEX($A:$A,Control!$B$29):INDEX($A:$A,100000),0)+MATCH($D26,INDEX($D:$D,Control!$B$31):INDEX($D:$D,Control!$B$32),0)-1,
    1)</f>
        <v>30.0454126212604</v>
      </c>
      <c r="AJ26" s="258" cm="1">
        <f t="array" ref="AJ26">INDEX(
    INDEX(AJ:AJ,Control!$B$29):INDEX(AJ:AJ,100000),
    MATCH($A$8,INDEX($A:$A,Control!$B$29):INDEX($A:$A,100000),0)+MATCH($D26,INDEX($D:$D,Control!$B$31):INDEX($D:$D,Control!$B$32),0)-1,
    1)</f>
        <v>30.423108435205201</v>
      </c>
      <c r="AK26" s="258" cm="1">
        <f t="array" ref="AK26">INDEX(
    INDEX(AK:AK,Control!$B$29):INDEX(AK:AK,100000),
    MATCH($A$8,INDEX($A:$A,Control!$B$29):INDEX($A:$A,100000),0)+MATCH($D26,INDEX($D:$D,Control!$B$31):INDEX($D:$D,Control!$B$32),0)-1,
    1)</f>
        <v>27.736050414063001</v>
      </c>
      <c r="AL26" s="258" cm="1">
        <f t="array" ref="AL26">INDEX(
    INDEX(AL:AL,Control!$B$29):INDEX(AL:AL,100000),
    MATCH($A$8,INDEX($A:$A,Control!$B$29):INDEX($A:$A,100000),0)+MATCH($D26,INDEX($D:$D,Control!$B$31):INDEX($D:$D,Control!$B$32),0)-1,
    1)</f>
        <v>28.402110933222101</v>
      </c>
      <c r="AM26" s="258" cm="1">
        <f t="array" ref="AM26">INDEX(
    INDEX(AM:AM,Control!$B$29):INDEX(AM:AM,100000),
    MATCH($A$8,INDEX($A:$A,Control!$B$29):INDEX($A:$A,100000),0)+MATCH($D26,INDEX($D:$D,Control!$B$31):INDEX($D:$D,Control!$B$32),0)-1,
    1)</f>
        <v>28.993737567490101</v>
      </c>
      <c r="AN26" s="258" cm="1">
        <f t="array" ref="AN26">INDEX(
    INDEX(AN:AN,Control!$B$29):INDEX(AN:AN,100000),
    MATCH($A$8,INDEX($A:$A,Control!$B$29):INDEX($A:$A,100000),0)+MATCH($D26,INDEX($D:$D,Control!$B$31):INDEX($D:$D,Control!$B$32),0)-1,
    1)</f>
        <v>28.382846921469199</v>
      </c>
      <c r="AO26" s="29"/>
      <c r="AP26" s="29"/>
      <c r="AQ26" s="29"/>
    </row>
    <row r="27" spans="1:43" s="23" customFormat="1" x14ac:dyDescent="0.35">
      <c r="A27"/>
      <c r="B27"/>
      <c r="C27" s="292" t="s">
        <v>230</v>
      </c>
      <c r="D27" s="19" t="s">
        <v>345</v>
      </c>
      <c r="E27" s="19" t="s">
        <v>219</v>
      </c>
      <c r="F27" s="258" cm="1">
        <f t="array" ref="F27">INDEX(
    INDEX(F:F,Control!$B$29):INDEX(F:F,100000),
    MATCH($A$8,INDEX($A:$A,Control!$B$29):INDEX($A:$A,100000),0)+MATCH($D27,INDEX($D:$D,Control!$B$31):INDEX($D:$D,Control!$B$32),0)-1,
    1)</f>
        <v>0</v>
      </c>
      <c r="G27" s="258" cm="1">
        <f t="array" ref="G27">INDEX(
    INDEX(G:G,Control!$B$29):INDEX(G:G,100000),
    MATCH($A$8,INDEX($A:$A,Control!$B$29):INDEX($A:$A,100000),0)+MATCH($D27,INDEX($D:$D,Control!$B$31):INDEX($D:$D,Control!$B$32),0)-1,
    1)</f>
        <v>-31.629156754524701</v>
      </c>
      <c r="H27" s="258" cm="1">
        <f t="array" ref="H27">INDEX(
    INDEX(H:H,Control!$B$29):INDEX(H:H,100000),
    MATCH($A$8,INDEX($A:$A,Control!$B$29):INDEX($A:$A,100000),0)+MATCH($D27,INDEX($D:$D,Control!$B$31):INDEX($D:$D,Control!$B$32),0)-1,
    1)</f>
        <v>-26.540396721475702</v>
      </c>
      <c r="I27" s="258" cm="1">
        <f t="array" ref="I27">INDEX(
    INDEX(I:I,Control!$B$29):INDEX(I:I,100000),
    MATCH($A$8,INDEX($A:$A,Control!$B$29):INDEX($A:$A,100000),0)+MATCH($D27,INDEX($D:$D,Control!$B$31):INDEX($D:$D,Control!$B$32),0)-1,
    1)</f>
        <v>-26.258383707772101</v>
      </c>
      <c r="J27" s="258" cm="1">
        <f t="array" ref="J27">INDEX(
    INDEX(J:J,Control!$B$29):INDEX(J:J,100000),
    MATCH($A$8,INDEX($A:$A,Control!$B$29):INDEX($A:$A,100000),0)+MATCH($D27,INDEX($D:$D,Control!$B$31):INDEX($D:$D,Control!$B$32),0)-1,
    1)</f>
        <v>-27.336238595302</v>
      </c>
      <c r="K27" s="258" cm="1">
        <f t="array" ref="K27">INDEX(
    INDEX(K:K,Control!$B$29):INDEX(K:K,100000),
    MATCH($A$8,INDEX($A:$A,Control!$B$29):INDEX($A:$A,100000),0)+MATCH($D27,INDEX($D:$D,Control!$B$31):INDEX($D:$D,Control!$B$32),0)-1,
    1)</f>
        <v>-28.642524546274998</v>
      </c>
      <c r="L27" s="258" cm="1">
        <f t="array" ref="L27">INDEX(
    INDEX(L:L,Control!$B$29):INDEX(L:L,100000),
    MATCH($A$8,INDEX($A:$A,Control!$B$29):INDEX($A:$A,100000),0)+MATCH($D27,INDEX($D:$D,Control!$B$31):INDEX($D:$D,Control!$B$32),0)-1,
    1)</f>
        <v>-24.965239907984198</v>
      </c>
      <c r="M27" s="258" cm="1">
        <f t="array" ref="M27">INDEX(
    INDEX(M:M,Control!$B$29):INDEX(M:M,100000),
    MATCH($A$8,INDEX($A:$A,Control!$B$29):INDEX($A:$A,100000),0)+MATCH($D27,INDEX($D:$D,Control!$B$31):INDEX($D:$D,Control!$B$32),0)-1,
    1)</f>
        <v>-25.033907125582701</v>
      </c>
      <c r="N27" s="258" cm="1">
        <f t="array" ref="N27">INDEX(
    INDEX(N:N,Control!$B$29):INDEX(N:N,100000),
    MATCH($A$8,INDEX($A:$A,Control!$B$29):INDEX($A:$A,100000),0)+MATCH($D27,INDEX($D:$D,Control!$B$31):INDEX($D:$D,Control!$B$32),0)-1,
    1)</f>
        <v>-21.849881478032099</v>
      </c>
      <c r="O27" s="258" cm="1">
        <f t="array" ref="O27">INDEX(
    INDEX(O:O,Control!$B$29):INDEX(O:O,100000),
    MATCH($A$8,INDEX($A:$A,Control!$B$29):INDEX($A:$A,100000),0)+MATCH($D27,INDEX($D:$D,Control!$B$31):INDEX($D:$D,Control!$B$32),0)-1,
    1)</f>
        <v>-19.9837273503448</v>
      </c>
      <c r="P27" s="258" cm="1">
        <f t="array" ref="P27">INDEX(
    INDEX(P:P,Control!$B$29):INDEX(P:P,100000),
    MATCH($A$8,INDEX($A:$A,Control!$B$29):INDEX($A:$A,100000),0)+MATCH($D27,INDEX($D:$D,Control!$B$31):INDEX($D:$D,Control!$B$32),0)-1,
    1)</f>
        <v>-22.287907914467699</v>
      </c>
      <c r="Q27" s="258" cm="1">
        <f t="array" ref="Q27">INDEX(
    INDEX(Q:Q,Control!$B$29):INDEX(Q:Q,100000),
    MATCH($A$8,INDEX($A:$A,Control!$B$29):INDEX($A:$A,100000),0)+MATCH($D27,INDEX($D:$D,Control!$B$31):INDEX($D:$D,Control!$B$32),0)-1,
    1)</f>
        <v>-27.313349522769201</v>
      </c>
      <c r="R27" s="258" cm="1">
        <f t="array" ref="R27">INDEX(
    INDEX(R:R,Control!$B$29):INDEX(R:R,100000),
    MATCH($A$8,INDEX($A:$A,Control!$B$29):INDEX($A:$A,100000),0)+MATCH($D27,INDEX($D:$D,Control!$B$31):INDEX($D:$D,Control!$B$32),0)-1,
    1)</f>
        <v>-26.9173299145648</v>
      </c>
      <c r="S27" s="258" cm="1">
        <f t="array" ref="S27">INDEX(
    INDEX(S:S,Control!$B$29):INDEX(S:S,100000),
    MATCH($A$8,INDEX($A:$A,Control!$B$29):INDEX($A:$A,100000),0)+MATCH($D27,INDEX($D:$D,Control!$B$31):INDEX($D:$D,Control!$B$32),0)-1,
    1)</f>
        <v>-24.8771415288561</v>
      </c>
      <c r="T27" s="258" cm="1">
        <f t="array" ref="T27">INDEX(
    INDEX(T:T,Control!$B$29):INDEX(T:T,100000),
    MATCH($A$8,INDEX($A:$A,Control!$B$29):INDEX($A:$A,100000),0)+MATCH($D27,INDEX($D:$D,Control!$B$31):INDEX($D:$D,Control!$B$32),0)-1,
    1)</f>
        <v>-21.0953569396085</v>
      </c>
      <c r="U27" s="258" cm="1">
        <f t="array" ref="U27">INDEX(
    INDEX(U:U,Control!$B$29):INDEX(U:U,100000),
    MATCH($A$8,INDEX($A:$A,Control!$B$29):INDEX($A:$A,100000),0)+MATCH($D27,INDEX($D:$D,Control!$B$31):INDEX($D:$D,Control!$B$32),0)-1,
    1)</f>
        <v>-19.862104994147799</v>
      </c>
      <c r="V27" s="258" cm="1">
        <f t="array" ref="V27">INDEX(
    INDEX(V:V,Control!$B$29):INDEX(V:V,100000),
    MATCH($A$8,INDEX($A:$A,Control!$B$29):INDEX($A:$A,100000),0)+MATCH($D27,INDEX($D:$D,Control!$B$31):INDEX($D:$D,Control!$B$32),0)-1,
    1)</f>
        <v>-22.970443133482799</v>
      </c>
      <c r="W27" s="258" cm="1">
        <f t="array" ref="W27">INDEX(
    INDEX(W:W,Control!$B$29):INDEX(W:W,100000),
    MATCH($A$8,INDEX($A:$A,Control!$B$29):INDEX($A:$A,100000),0)+MATCH($D27,INDEX($D:$D,Control!$B$31):INDEX($D:$D,Control!$B$32),0)-1,
    1)</f>
        <v>-25.135199890201001</v>
      </c>
      <c r="X27" s="258" cm="1">
        <f t="array" ref="X27">INDEX(
    INDEX(X:X,Control!$B$29):INDEX(X:X,100000),
    MATCH($A$8,INDEX($A:$A,Control!$B$29):INDEX($A:$A,100000),0)+MATCH($D27,INDEX($D:$D,Control!$B$31):INDEX($D:$D,Control!$B$32),0)-1,
    1)</f>
        <v>-26.3840385523295</v>
      </c>
      <c r="Y27" s="258" cm="1">
        <f t="array" ref="Y27">INDEX(
    INDEX(Y:Y,Control!$B$29):INDEX(Y:Y,100000),
    MATCH($A$8,INDEX($A:$A,Control!$B$29):INDEX($A:$A,100000),0)+MATCH($D27,INDEX($D:$D,Control!$B$31):INDEX($D:$D,Control!$B$32),0)-1,
    1)</f>
        <v>-26.140261050022598</v>
      </c>
      <c r="Z27" s="258" cm="1">
        <f t="array" ref="Z27">INDEX(
    INDEX(Z:Z,Control!$B$29):INDEX(Z:Z,100000),
    MATCH($A$8,INDEX($A:$A,Control!$B$29):INDEX($A:$A,100000),0)+MATCH($D27,INDEX($D:$D,Control!$B$31):INDEX($D:$D,Control!$B$32),0)-1,
    1)</f>
        <v>-21.5589990793077</v>
      </c>
      <c r="AA27" s="258" cm="1">
        <f t="array" ref="AA27">INDEX(
    INDEX(AA:AA,Control!$B$29):INDEX(AA:AA,100000),
    MATCH($A$8,INDEX($A:$A,Control!$B$29):INDEX($A:$A,100000),0)+MATCH($D27,INDEX($D:$D,Control!$B$31):INDEX($D:$D,Control!$B$32),0)-1,
    1)</f>
        <v>-22.705855483989499</v>
      </c>
      <c r="AB27" s="258" cm="1">
        <f t="array" ref="AB27">INDEX(
    INDEX(AB:AB,Control!$B$29):INDEX(AB:AB,100000),
    MATCH($A$8,INDEX($A:$A,Control!$B$29):INDEX($A:$A,100000),0)+MATCH($D27,INDEX($D:$D,Control!$B$31):INDEX($D:$D,Control!$B$32),0)-1,
    1)</f>
        <v>-20.453073476170399</v>
      </c>
      <c r="AC27" s="258" cm="1">
        <f t="array" ref="AC27">INDEX(
    INDEX(AC:AC,Control!$B$29):INDEX(AC:AC,100000),
    MATCH($A$8,INDEX($A:$A,Control!$B$29):INDEX($A:$A,100000),0)+MATCH($D27,INDEX($D:$D,Control!$B$31):INDEX($D:$D,Control!$B$32),0)-1,
    1)</f>
        <v>-18.728589231010801</v>
      </c>
      <c r="AD27" s="258" cm="1">
        <f t="array" ref="AD27">INDEX(
    INDEX(AD:AD,Control!$B$29):INDEX(AD:AD,100000),
    MATCH($A$8,INDEX($A:$A,Control!$B$29):INDEX($A:$A,100000),0)+MATCH($D27,INDEX($D:$D,Control!$B$31):INDEX($D:$D,Control!$B$32),0)-1,
    1)</f>
        <v>-17.628691466692</v>
      </c>
      <c r="AE27" s="258" cm="1">
        <f t="array" ref="AE27">INDEX(
    INDEX(AE:AE,Control!$B$29):INDEX(AE:AE,100000),
    MATCH($A$8,INDEX($A:$A,Control!$B$29):INDEX($A:$A,100000),0)+MATCH($D27,INDEX($D:$D,Control!$B$31):INDEX($D:$D,Control!$B$32),0)-1,
    1)</f>
        <v>-17.879207194367901</v>
      </c>
      <c r="AF27" s="258" cm="1">
        <f t="array" ref="AF27">INDEX(
    INDEX(AF:AF,Control!$B$29):INDEX(AF:AF,100000),
    MATCH($A$8,INDEX($A:$A,Control!$B$29):INDEX($A:$A,100000),0)+MATCH($D27,INDEX($D:$D,Control!$B$31):INDEX($D:$D,Control!$B$32),0)-1,
    1)</f>
        <v>-16.635257663205</v>
      </c>
      <c r="AG27" s="258" cm="1">
        <f t="array" ref="AG27">INDEX(
    INDEX(AG:AG,Control!$B$29):INDEX(AG:AG,100000),
    MATCH($A$8,INDEX($A:$A,Control!$B$29):INDEX($A:$A,100000),0)+MATCH($D27,INDEX($D:$D,Control!$B$31):INDEX($D:$D,Control!$B$32),0)-1,
    1)</f>
        <v>-14.699590122175</v>
      </c>
      <c r="AH27" s="258" cm="1">
        <f t="array" ref="AH27">INDEX(
    INDEX(AH:AH,Control!$B$29):INDEX(AH:AH,100000),
    MATCH($A$8,INDEX($A:$A,Control!$B$29):INDEX($A:$A,100000),0)+MATCH($D27,INDEX($D:$D,Control!$B$31):INDEX($D:$D,Control!$B$32),0)-1,
    1)</f>
        <v>-16.472547802548</v>
      </c>
      <c r="AI27" s="258" cm="1">
        <f t="array" ref="AI27">INDEX(
    INDEX(AI:AI,Control!$B$29):INDEX(AI:AI,100000),
    MATCH($A$8,INDEX($A:$A,Control!$B$29):INDEX($A:$A,100000),0)+MATCH($D27,INDEX($D:$D,Control!$B$31):INDEX($D:$D,Control!$B$32),0)-1,
    1)</f>
        <v>-14.885011458727201</v>
      </c>
      <c r="AJ27" s="258" cm="1">
        <f t="array" ref="AJ27">INDEX(
    INDEX(AJ:AJ,Control!$B$29):INDEX(AJ:AJ,100000),
    MATCH($A$8,INDEX($A:$A,Control!$B$29):INDEX($A:$A,100000),0)+MATCH($D27,INDEX($D:$D,Control!$B$31):INDEX($D:$D,Control!$B$32),0)-1,
    1)</f>
        <v>-15.2152158423962</v>
      </c>
      <c r="AK27" s="258" cm="1">
        <f t="array" ref="AK27">INDEX(
    INDEX(AK:AK,Control!$B$29):INDEX(AK:AK,100000),
    MATCH($A$8,INDEX($A:$A,Control!$B$29):INDEX($A:$A,100000),0)+MATCH($D27,INDEX($D:$D,Control!$B$31):INDEX($D:$D,Control!$B$32),0)-1,
    1)</f>
        <v>-15.845621224834799</v>
      </c>
      <c r="AL27" s="258" cm="1">
        <f t="array" ref="AL27">INDEX(
    INDEX(AL:AL,Control!$B$29):INDEX(AL:AL,100000),
    MATCH($A$8,INDEX($A:$A,Control!$B$29):INDEX($A:$A,100000),0)+MATCH($D27,INDEX($D:$D,Control!$B$31):INDEX($D:$D,Control!$B$32),0)-1,
    1)</f>
        <v>-14.561075191680599</v>
      </c>
      <c r="AM27" s="258" cm="1">
        <f t="array" ref="AM27">INDEX(
    INDEX(AM:AM,Control!$B$29):INDEX(AM:AM,100000),
    MATCH($A$8,INDEX($A:$A,Control!$B$29):INDEX($A:$A,100000),0)+MATCH($D27,INDEX($D:$D,Control!$B$31):INDEX($D:$D,Control!$B$32),0)-1,
    1)</f>
        <v>-13.5886918131839</v>
      </c>
      <c r="AN27" s="258" cm="1">
        <f t="array" ref="AN27">INDEX(
    INDEX(AN:AN,Control!$B$29):INDEX(AN:AN,100000),
    MATCH($A$8,INDEX($A:$A,Control!$B$29):INDEX($A:$A,100000),0)+MATCH($D27,INDEX($D:$D,Control!$B$31):INDEX($D:$D,Control!$B$32),0)-1,
    1)</f>
        <v>-13.5334905994625</v>
      </c>
      <c r="AO27" s="29"/>
      <c r="AP27" s="29"/>
      <c r="AQ27" s="29"/>
    </row>
    <row r="28" spans="1:43" x14ac:dyDescent="0.35">
      <c r="C28" s="292" t="s">
        <v>230</v>
      </c>
      <c r="D28" s="19" t="s">
        <v>220</v>
      </c>
      <c r="E28" s="19" t="s">
        <v>219</v>
      </c>
      <c r="F28" s="258" cm="1">
        <f t="array" ref="F28">INDEX(
    INDEX(F:F,Control!$B$29):INDEX(F:F,100000),
    MATCH($A$8,INDEX($A:$A,Control!$B$29):INDEX($A:$A,100000),0)+MATCH($D28,INDEX($D:$D,Control!$B$31):INDEX($D:$D,Control!$B$32),0)-1,
    1)</f>
        <v>0</v>
      </c>
      <c r="G28" s="258" cm="1">
        <f t="array" ref="G28">INDEX(
    INDEX(G:G,Control!$B$29):INDEX(G:G,100000),
    MATCH($A$8,INDEX($A:$A,Control!$B$29):INDEX($A:$A,100000),0)+MATCH($D28,INDEX($D:$D,Control!$B$31):INDEX($D:$D,Control!$B$32),0)-1,
    1)</f>
        <v>0</v>
      </c>
      <c r="H28" s="258" cm="1">
        <f t="array" ref="H28">INDEX(
    INDEX(H:H,Control!$B$29):INDEX(H:H,100000),
    MATCH($A$8,INDEX($A:$A,Control!$B$29):INDEX($A:$A,100000),0)+MATCH($D28,INDEX($D:$D,Control!$B$31):INDEX($D:$D,Control!$B$32),0)-1,
    1)</f>
        <v>0</v>
      </c>
      <c r="I28" s="258" cm="1">
        <f t="array" ref="I28">INDEX(
    INDEX(I:I,Control!$B$29):INDEX(I:I,100000),
    MATCH($A$8,INDEX($A:$A,Control!$B$29):INDEX($A:$A,100000),0)+MATCH($D28,INDEX($D:$D,Control!$B$31):INDEX($D:$D,Control!$B$32),0)-1,
    1)</f>
        <v>0</v>
      </c>
      <c r="J28" s="258" cm="1">
        <f t="array" ref="J28">INDEX(
    INDEX(J:J,Control!$B$29):INDEX(J:J,100000),
    MATCH($A$8,INDEX($A:$A,Control!$B$29):INDEX($A:$A,100000),0)+MATCH($D28,INDEX($D:$D,Control!$B$31):INDEX($D:$D,Control!$B$32),0)-1,
    1)</f>
        <v>0</v>
      </c>
      <c r="K28" s="258" cm="1">
        <f t="array" ref="K28">INDEX(
    INDEX(K:K,Control!$B$29):INDEX(K:K,100000),
    MATCH($A$8,INDEX($A:$A,Control!$B$29):INDEX($A:$A,100000),0)+MATCH($D28,INDEX($D:$D,Control!$B$31):INDEX($D:$D,Control!$B$32),0)-1,
    1)</f>
        <v>0</v>
      </c>
      <c r="L28" s="258" cm="1">
        <f t="array" ref="L28">INDEX(
    INDEX(L:L,Control!$B$29):INDEX(L:L,100000),
    MATCH($A$8,INDEX($A:$A,Control!$B$29):INDEX($A:$A,100000),0)+MATCH($D28,INDEX($D:$D,Control!$B$31):INDEX($D:$D,Control!$B$32),0)-1,
    1)</f>
        <v>0</v>
      </c>
      <c r="M28" s="258" cm="1">
        <f t="array" ref="M28">INDEX(
    INDEX(M:M,Control!$B$29):INDEX(M:M,100000),
    MATCH($A$8,INDEX($A:$A,Control!$B$29):INDEX($A:$A,100000),0)+MATCH($D28,INDEX($D:$D,Control!$B$31):INDEX($D:$D,Control!$B$32),0)-1,
    1)</f>
        <v>0</v>
      </c>
      <c r="N28" s="258" cm="1">
        <f t="array" ref="N28">INDEX(
    INDEX(N:N,Control!$B$29):INDEX(N:N,100000),
    MATCH($A$8,INDEX($A:$A,Control!$B$29):INDEX($A:$A,100000),0)+MATCH($D28,INDEX($D:$D,Control!$B$31):INDEX($D:$D,Control!$B$32),0)-1,
    1)</f>
        <v>0</v>
      </c>
      <c r="O28" s="258" cm="1">
        <f t="array" ref="O28">INDEX(
    INDEX(O:O,Control!$B$29):INDEX(O:O,100000),
    MATCH($A$8,INDEX($A:$A,Control!$B$29):INDEX($A:$A,100000),0)+MATCH($D28,INDEX($D:$D,Control!$B$31):INDEX($D:$D,Control!$B$32),0)-1,
    1)</f>
        <v>0</v>
      </c>
      <c r="P28" s="258" cm="1">
        <f t="array" ref="P28">INDEX(
    INDEX(P:P,Control!$B$29):INDEX(P:P,100000),
    MATCH($A$8,INDEX($A:$A,Control!$B$29):INDEX($A:$A,100000),0)+MATCH($D28,INDEX($D:$D,Control!$B$31):INDEX($D:$D,Control!$B$32),0)-1,
    1)</f>
        <v>0</v>
      </c>
      <c r="Q28" s="258" cm="1">
        <f t="array" ref="Q28">INDEX(
    INDEX(Q:Q,Control!$B$29):INDEX(Q:Q,100000),
    MATCH($A$8,INDEX($A:$A,Control!$B$29):INDEX($A:$A,100000),0)+MATCH($D28,INDEX($D:$D,Control!$B$31):INDEX($D:$D,Control!$B$32),0)-1,
    1)</f>
        <v>0</v>
      </c>
      <c r="R28" s="258" cm="1">
        <f t="array" ref="R28">INDEX(
    INDEX(R:R,Control!$B$29):INDEX(R:R,100000),
    MATCH($A$8,INDEX($A:$A,Control!$B$29):INDEX($A:$A,100000),0)+MATCH($D28,INDEX($D:$D,Control!$B$31):INDEX($D:$D,Control!$B$32),0)-1,
    1)</f>
        <v>0</v>
      </c>
      <c r="S28" s="258" cm="1">
        <f t="array" ref="S28">INDEX(
    INDEX(S:S,Control!$B$29):INDEX(S:S,100000),
    MATCH($A$8,INDEX($A:$A,Control!$B$29):INDEX($A:$A,100000),0)+MATCH($D28,INDEX($D:$D,Control!$B$31):INDEX($D:$D,Control!$B$32),0)-1,
    1)</f>
        <v>0</v>
      </c>
      <c r="T28" s="258" cm="1">
        <f t="array" ref="T28">INDEX(
    INDEX(T:T,Control!$B$29):INDEX(T:T,100000),
    MATCH($A$8,INDEX($A:$A,Control!$B$29):INDEX($A:$A,100000),0)+MATCH($D28,INDEX($D:$D,Control!$B$31):INDEX($D:$D,Control!$B$32),0)-1,
    1)</f>
        <v>0</v>
      </c>
      <c r="U28" s="258" cm="1">
        <f t="array" ref="U28">INDEX(
    INDEX(U:U,Control!$B$29):INDEX(U:U,100000),
    MATCH($A$8,INDEX($A:$A,Control!$B$29):INDEX($A:$A,100000),0)+MATCH($D28,INDEX($D:$D,Control!$B$31):INDEX($D:$D,Control!$B$32),0)-1,
    1)</f>
        <v>0</v>
      </c>
      <c r="V28" s="258" cm="1">
        <f t="array" ref="V28">INDEX(
    INDEX(V:V,Control!$B$29):INDEX(V:V,100000),
    MATCH($A$8,INDEX($A:$A,Control!$B$29):INDEX($A:$A,100000),0)+MATCH($D28,INDEX($D:$D,Control!$B$31):INDEX($D:$D,Control!$B$32),0)-1,
    1)</f>
        <v>0</v>
      </c>
      <c r="W28" s="258" cm="1">
        <f t="array" ref="W28">INDEX(
    INDEX(W:W,Control!$B$29):INDEX(W:W,100000),
    MATCH($A$8,INDEX($A:$A,Control!$B$29):INDEX($A:$A,100000),0)+MATCH($D28,INDEX($D:$D,Control!$B$31):INDEX($D:$D,Control!$B$32),0)-1,
    1)</f>
        <v>0</v>
      </c>
      <c r="X28" s="258" cm="1">
        <f t="array" ref="X28">INDEX(
    INDEX(X:X,Control!$B$29):INDEX(X:X,100000),
    MATCH($A$8,INDEX($A:$A,Control!$B$29):INDEX($A:$A,100000),0)+MATCH($D28,INDEX($D:$D,Control!$B$31):INDEX($D:$D,Control!$B$32),0)-1,
    1)</f>
        <v>0</v>
      </c>
      <c r="Y28" s="258" cm="1">
        <f t="array" ref="Y28">INDEX(
    INDEX(Y:Y,Control!$B$29):INDEX(Y:Y,100000),
    MATCH($A$8,INDEX($A:$A,Control!$B$29):INDEX($A:$A,100000),0)+MATCH($D28,INDEX($D:$D,Control!$B$31):INDEX($D:$D,Control!$B$32),0)-1,
    1)</f>
        <v>0</v>
      </c>
      <c r="Z28" s="258" cm="1">
        <f t="array" ref="Z28">INDEX(
    INDEX(Z:Z,Control!$B$29):INDEX(Z:Z,100000),
    MATCH($A$8,INDEX($A:$A,Control!$B$29):INDEX($A:$A,100000),0)+MATCH($D28,INDEX($D:$D,Control!$B$31):INDEX($D:$D,Control!$B$32),0)-1,
    1)</f>
        <v>0</v>
      </c>
      <c r="AA28" s="258" cm="1">
        <f t="array" ref="AA28">INDEX(
    INDEX(AA:AA,Control!$B$29):INDEX(AA:AA,100000),
    MATCH($A$8,INDEX($A:$A,Control!$B$29):INDEX($A:$A,100000),0)+MATCH($D28,INDEX($D:$D,Control!$B$31):INDEX($D:$D,Control!$B$32),0)-1,
    1)</f>
        <v>0</v>
      </c>
      <c r="AB28" s="258" cm="1">
        <f t="array" ref="AB28">INDEX(
    INDEX(AB:AB,Control!$B$29):INDEX(AB:AB,100000),
    MATCH($A$8,INDEX($A:$A,Control!$B$29):INDEX($A:$A,100000),0)+MATCH($D28,INDEX($D:$D,Control!$B$31):INDEX($D:$D,Control!$B$32),0)-1,
    1)</f>
        <v>0</v>
      </c>
      <c r="AC28" s="258" cm="1">
        <f t="array" ref="AC28">INDEX(
    INDEX(AC:AC,Control!$B$29):INDEX(AC:AC,100000),
    MATCH($A$8,INDEX($A:$A,Control!$B$29):INDEX($A:$A,100000),0)+MATCH($D28,INDEX($D:$D,Control!$B$31):INDEX($D:$D,Control!$B$32),0)-1,
    1)</f>
        <v>0</v>
      </c>
      <c r="AD28" s="258" cm="1">
        <f t="array" ref="AD28">INDEX(
    INDEX(AD:AD,Control!$B$29):INDEX(AD:AD,100000),
    MATCH($A$8,INDEX($A:$A,Control!$B$29):INDEX($A:$A,100000),0)+MATCH($D28,INDEX($D:$D,Control!$B$31):INDEX($D:$D,Control!$B$32),0)-1,
    1)</f>
        <v>0</v>
      </c>
      <c r="AE28" s="258" cm="1">
        <f t="array" ref="AE28">INDEX(
    INDEX(AE:AE,Control!$B$29):INDEX(AE:AE,100000),
    MATCH($A$8,INDEX($A:$A,Control!$B$29):INDEX($A:$A,100000),0)+MATCH($D28,INDEX($D:$D,Control!$B$31):INDEX($D:$D,Control!$B$32),0)-1,
    1)</f>
        <v>0</v>
      </c>
      <c r="AF28" s="258" cm="1">
        <f t="array" ref="AF28">INDEX(
    INDEX(AF:AF,Control!$B$29):INDEX(AF:AF,100000),
    MATCH($A$8,INDEX($A:$A,Control!$B$29):INDEX($A:$A,100000),0)+MATCH($D28,INDEX($D:$D,Control!$B$31):INDEX($D:$D,Control!$B$32),0)-1,
    1)</f>
        <v>0</v>
      </c>
      <c r="AG28" s="258" cm="1">
        <f t="array" ref="AG28">INDEX(
    INDEX(AG:AG,Control!$B$29):INDEX(AG:AG,100000),
    MATCH($A$8,INDEX($A:$A,Control!$B$29):INDEX($A:$A,100000),0)+MATCH($D28,INDEX($D:$D,Control!$B$31):INDEX($D:$D,Control!$B$32),0)-1,
    1)</f>
        <v>0</v>
      </c>
      <c r="AH28" s="258" cm="1">
        <f t="array" ref="AH28">INDEX(
    INDEX(AH:AH,Control!$B$29):INDEX(AH:AH,100000),
    MATCH($A$8,INDEX($A:$A,Control!$B$29):INDEX($A:$A,100000),0)+MATCH($D28,INDEX($D:$D,Control!$B$31):INDEX($D:$D,Control!$B$32),0)-1,
    1)</f>
        <v>0</v>
      </c>
      <c r="AI28" s="258" cm="1">
        <f t="array" ref="AI28">INDEX(
    INDEX(AI:AI,Control!$B$29):INDEX(AI:AI,100000),
    MATCH($A$8,INDEX($A:$A,Control!$B$29):INDEX($A:$A,100000),0)+MATCH($D28,INDEX($D:$D,Control!$B$31):INDEX($D:$D,Control!$B$32),0)-1,
    1)</f>
        <v>0</v>
      </c>
      <c r="AJ28" s="258" cm="1">
        <f t="array" ref="AJ28">INDEX(
    INDEX(AJ:AJ,Control!$B$29):INDEX(AJ:AJ,100000),
    MATCH($A$8,INDEX($A:$A,Control!$B$29):INDEX($A:$A,100000),0)+MATCH($D28,INDEX($D:$D,Control!$B$31):INDEX($D:$D,Control!$B$32),0)-1,
    1)</f>
        <v>0</v>
      </c>
      <c r="AK28" s="258" cm="1">
        <f t="array" ref="AK28">INDEX(
    INDEX(AK:AK,Control!$B$29):INDEX(AK:AK,100000),
    MATCH($A$8,INDEX($A:$A,Control!$B$29):INDEX($A:$A,100000),0)+MATCH($D28,INDEX($D:$D,Control!$B$31):INDEX($D:$D,Control!$B$32),0)-1,
    1)</f>
        <v>0</v>
      </c>
      <c r="AL28" s="258" cm="1">
        <f t="array" ref="AL28">INDEX(
    INDEX(AL:AL,Control!$B$29):INDEX(AL:AL,100000),
    MATCH($A$8,INDEX($A:$A,Control!$B$29):INDEX($A:$A,100000),0)+MATCH($D28,INDEX($D:$D,Control!$B$31):INDEX($D:$D,Control!$B$32),0)-1,
    1)</f>
        <v>0</v>
      </c>
      <c r="AM28" s="258" cm="1">
        <f t="array" ref="AM28">INDEX(
    INDEX(AM:AM,Control!$B$29):INDEX(AM:AM,100000),
    MATCH($A$8,INDEX($A:$A,Control!$B$29):INDEX($A:$A,100000),0)+MATCH($D28,INDEX($D:$D,Control!$B$31):INDEX($D:$D,Control!$B$32),0)-1,
    1)</f>
        <v>0</v>
      </c>
      <c r="AN28" s="258" cm="1">
        <f t="array" ref="AN28">INDEX(
    INDEX(AN:AN,Control!$B$29):INDEX(AN:AN,100000),
    MATCH($A$8,INDEX($A:$A,Control!$B$29):INDEX($A:$A,100000),0)+MATCH($D28,INDEX($D:$D,Control!$B$31):INDEX($D:$D,Control!$B$32),0)-1,
    1)</f>
        <v>0</v>
      </c>
    </row>
    <row r="29" spans="1:43" s="23" customFormat="1" x14ac:dyDescent="0.35">
      <c r="A29"/>
      <c r="B29"/>
      <c r="C29" s="292" t="s">
        <v>230</v>
      </c>
      <c r="D29" s="266" t="s">
        <v>346</v>
      </c>
      <c r="E29" s="19" t="s">
        <v>219</v>
      </c>
      <c r="F29" s="258" cm="1">
        <f t="array" ref="F29">INDEX(
    INDEX(F:F,Control!$B$29):INDEX(F:F,100000),
    MATCH($A$8,INDEX($A:$A,Control!$B$29):INDEX($A:$A,100000),0)+MATCH($D29,INDEX($D:$D,Control!$B$31):INDEX($D:$D,Control!$B$32),0)-1,
    1)</f>
        <v>0</v>
      </c>
      <c r="G29" s="258" cm="1">
        <f t="array" ref="G29">INDEX(
    INDEX(G:G,Control!$B$29):INDEX(G:G,100000),
    MATCH($A$8,INDEX($A:$A,Control!$B$29):INDEX($A:$A,100000),0)+MATCH($D29,INDEX($D:$D,Control!$B$31):INDEX($D:$D,Control!$B$32),0)-1,
    1)</f>
        <v>102.070418507033</v>
      </c>
      <c r="H29" s="258" cm="1">
        <f t="array" ref="H29">INDEX(
    INDEX(H:H,Control!$B$29):INDEX(H:H,100000),
    MATCH($A$8,INDEX($A:$A,Control!$B$29):INDEX($A:$A,100000),0)+MATCH($D29,INDEX($D:$D,Control!$B$31):INDEX($D:$D,Control!$B$32),0)-1,
    1)</f>
        <v>94.122509310974195</v>
      </c>
      <c r="I29" s="258" cm="1">
        <f t="array" ref="I29">INDEX(
    INDEX(I:I,Control!$B$29):INDEX(I:I,100000),
    MATCH($A$8,INDEX($A:$A,Control!$B$29):INDEX($A:$A,100000),0)+MATCH($D29,INDEX($D:$D,Control!$B$31):INDEX($D:$D,Control!$B$32),0)-1,
    1)</f>
        <v>77.354858577842705</v>
      </c>
      <c r="J29" s="258" cm="1">
        <f t="array" ref="J29">INDEX(
    INDEX(J:J,Control!$B$29):INDEX(J:J,100000),
    MATCH($A$8,INDEX($A:$A,Control!$B$29):INDEX($A:$A,100000),0)+MATCH($D29,INDEX($D:$D,Control!$B$31):INDEX($D:$D,Control!$B$32),0)-1,
    1)</f>
        <v>62.580186865392001</v>
      </c>
      <c r="K29" s="258" cm="1">
        <f t="array" ref="K29">INDEX(
    INDEX(K:K,Control!$B$29):INDEX(K:K,100000),
    MATCH($A$8,INDEX($A:$A,Control!$B$29):INDEX($A:$A,100000),0)+MATCH($D29,INDEX($D:$D,Control!$B$31):INDEX($D:$D,Control!$B$32),0)-1,
    1)</f>
        <v>63.502529779519797</v>
      </c>
      <c r="L29" s="258" cm="1">
        <f t="array" ref="L29">INDEX(
    INDEX(L:L,Control!$B$29):INDEX(L:L,100000),
    MATCH($A$8,INDEX($A:$A,Control!$B$29):INDEX($A:$A,100000),0)+MATCH($D29,INDEX($D:$D,Control!$B$31):INDEX($D:$D,Control!$B$32),0)-1,
    1)</f>
        <v>72.899282792268295</v>
      </c>
      <c r="M29" s="258" cm="1">
        <f t="array" ref="M29">INDEX(
    INDEX(M:M,Control!$B$29):INDEX(M:M,100000),
    MATCH($A$8,INDEX($A:$A,Control!$B$29):INDEX($A:$A,100000),0)+MATCH($D29,INDEX($D:$D,Control!$B$31):INDEX($D:$D,Control!$B$32),0)-1,
    1)</f>
        <v>63.958472582634499</v>
      </c>
      <c r="N29" s="258" cm="1">
        <f t="array" ref="N29">INDEX(
    INDEX(N:N,Control!$B$29):INDEX(N:N,100000),
    MATCH($A$8,INDEX($A:$A,Control!$B$29):INDEX($A:$A,100000),0)+MATCH($D29,INDEX($D:$D,Control!$B$31):INDEX($D:$D,Control!$B$32),0)-1,
    1)</f>
        <v>61.152780007551897</v>
      </c>
      <c r="O29" s="258" cm="1">
        <f t="array" ref="O29">INDEX(
    INDEX(O:O,Control!$B$29):INDEX(O:O,100000),
    MATCH($A$8,INDEX($A:$A,Control!$B$29):INDEX($A:$A,100000),0)+MATCH($D29,INDEX($D:$D,Control!$B$31):INDEX($D:$D,Control!$B$32),0)-1,
    1)</f>
        <v>60.048776626845402</v>
      </c>
      <c r="P29" s="258" cm="1">
        <f t="array" ref="P29">INDEX(
    INDEX(P:P,Control!$B$29):INDEX(P:P,100000),
    MATCH($A$8,INDEX($A:$A,Control!$B$29):INDEX($A:$A,100000),0)+MATCH($D29,INDEX($D:$D,Control!$B$31):INDEX($D:$D,Control!$B$32),0)-1,
    1)</f>
        <v>53.972297223296898</v>
      </c>
      <c r="Q29" s="258" cm="1">
        <f t="array" ref="Q29">INDEX(
    INDEX(Q:Q,Control!$B$29):INDEX(Q:Q,100000),
    MATCH($A$8,INDEX($A:$A,Control!$B$29):INDEX($A:$A,100000),0)+MATCH($D29,INDEX($D:$D,Control!$B$31):INDEX($D:$D,Control!$B$32),0)-1,
    1)</f>
        <v>54.642724530369698</v>
      </c>
      <c r="R29" s="258" cm="1">
        <f t="array" ref="R29">INDEX(
    INDEX(R:R,Control!$B$29):INDEX(R:R,100000),
    MATCH($A$8,INDEX($A:$A,Control!$B$29):INDEX($A:$A,100000),0)+MATCH($D29,INDEX($D:$D,Control!$B$31):INDEX($D:$D,Control!$B$32),0)-1,
    1)</f>
        <v>51.155551869236803</v>
      </c>
      <c r="S29" s="258" cm="1">
        <f t="array" ref="S29">INDEX(
    INDEX(S:S,Control!$B$29):INDEX(S:S,100000),
    MATCH($A$8,INDEX($A:$A,Control!$B$29):INDEX($A:$A,100000),0)+MATCH($D29,INDEX($D:$D,Control!$B$31):INDEX($D:$D,Control!$B$32),0)-1,
    1)</f>
        <v>52.851892270761802</v>
      </c>
      <c r="T29" s="258" cm="1">
        <f t="array" ref="T29">INDEX(
    INDEX(T:T,Control!$B$29):INDEX(T:T,100000),
    MATCH($A$8,INDEX($A:$A,Control!$B$29):INDEX($A:$A,100000),0)+MATCH($D29,INDEX($D:$D,Control!$B$31):INDEX($D:$D,Control!$B$32),0)-1,
    1)</f>
        <v>56.222749581104701</v>
      </c>
      <c r="U29" s="258" cm="1">
        <f t="array" ref="U29">INDEX(
    INDEX(U:U,Control!$B$29):INDEX(U:U,100000),
    MATCH($A$8,INDEX($A:$A,Control!$B$29):INDEX($A:$A,100000),0)+MATCH($D29,INDEX($D:$D,Control!$B$31):INDEX($D:$D,Control!$B$32),0)-1,
    1)</f>
        <v>56.635128973693497</v>
      </c>
      <c r="V29" s="258" cm="1">
        <f t="array" ref="V29">INDEX(
    INDEX(V:V,Control!$B$29):INDEX(V:V,100000),
    MATCH($A$8,INDEX($A:$A,Control!$B$29):INDEX($A:$A,100000),0)+MATCH($D29,INDEX($D:$D,Control!$B$31):INDEX($D:$D,Control!$B$32),0)-1,
    1)</f>
        <v>55.9134598132325</v>
      </c>
      <c r="W29" s="258" cm="1">
        <f t="array" ref="W29">INDEX(
    INDEX(W:W,Control!$B$29):INDEX(W:W,100000),
    MATCH($A$8,INDEX($A:$A,Control!$B$29):INDEX($A:$A,100000),0)+MATCH($D29,INDEX($D:$D,Control!$B$31):INDEX($D:$D,Control!$B$32),0)-1,
    1)</f>
        <v>53.382028680963799</v>
      </c>
      <c r="X29" s="258" cm="1">
        <f t="array" ref="X29">INDEX(
    INDEX(X:X,Control!$B$29):INDEX(X:X,100000),
    MATCH($A$8,INDEX($A:$A,Control!$B$29):INDEX($A:$A,100000),0)+MATCH($D29,INDEX($D:$D,Control!$B$31):INDEX($D:$D,Control!$B$32),0)-1,
    1)</f>
        <v>52.6825904407903</v>
      </c>
      <c r="Y29" s="258" cm="1">
        <f t="array" ref="Y29">INDEX(
    INDEX(Y:Y,Control!$B$29):INDEX(Y:Y,100000),
    MATCH($A$8,INDEX($A:$A,Control!$B$29):INDEX($A:$A,100000),0)+MATCH($D29,INDEX($D:$D,Control!$B$31):INDEX($D:$D,Control!$B$32),0)-1,
    1)</f>
        <v>52.7668130344735</v>
      </c>
      <c r="Z29" s="258" cm="1">
        <f t="array" ref="Z29">INDEX(
    INDEX(Z:Z,Control!$B$29):INDEX(Z:Z,100000),
    MATCH($A$8,INDEX($A:$A,Control!$B$29):INDEX($A:$A,100000),0)+MATCH($D29,INDEX($D:$D,Control!$B$31):INDEX($D:$D,Control!$B$32),0)-1,
    1)</f>
        <v>55.296092113368502</v>
      </c>
      <c r="AA29" s="258" cm="1">
        <f t="array" ref="AA29">INDEX(
    INDEX(AA:AA,Control!$B$29):INDEX(AA:AA,100000),
    MATCH($A$8,INDEX($A:$A,Control!$B$29):INDEX($A:$A,100000),0)+MATCH($D29,INDEX($D:$D,Control!$B$31):INDEX($D:$D,Control!$B$32),0)-1,
    1)</f>
        <v>54.5780480136874</v>
      </c>
      <c r="AB29" s="258" cm="1">
        <f t="array" ref="AB29">INDEX(
    INDEX(AB:AB,Control!$B$29):INDEX(AB:AB,100000),
    MATCH($A$8,INDEX($A:$A,Control!$B$29):INDEX($A:$A,100000),0)+MATCH($D29,INDEX($D:$D,Control!$B$31):INDEX($D:$D,Control!$B$32),0)-1,
    1)</f>
        <v>57.933903631580598</v>
      </c>
      <c r="AC29" s="258" cm="1">
        <f t="array" ref="AC29">INDEX(
    INDEX(AC:AC,Control!$B$29):INDEX(AC:AC,100000),
    MATCH($A$8,INDEX($A:$A,Control!$B$29):INDEX($A:$A,100000),0)+MATCH($D29,INDEX($D:$D,Control!$B$31):INDEX($D:$D,Control!$B$32),0)-1,
    1)</f>
        <v>57.776417201442399</v>
      </c>
      <c r="AD29" s="258" cm="1">
        <f t="array" ref="AD29">INDEX(
    INDEX(AD:AD,Control!$B$29):INDEX(AD:AD,100000),
    MATCH($A$8,INDEX($A:$A,Control!$B$29):INDEX($A:$A,100000),0)+MATCH($D29,INDEX($D:$D,Control!$B$31):INDEX($D:$D,Control!$B$32),0)-1,
    1)</f>
        <v>59.388649924755498</v>
      </c>
      <c r="AE29" s="258" cm="1">
        <f t="array" ref="AE29">INDEX(
    INDEX(AE:AE,Control!$B$29):INDEX(AE:AE,100000),
    MATCH($A$8,INDEX($A:$A,Control!$B$29):INDEX($A:$A,100000),0)+MATCH($D29,INDEX($D:$D,Control!$B$31):INDEX($D:$D,Control!$B$32),0)-1,
    1)</f>
        <v>59.4462330227935</v>
      </c>
      <c r="AF29" s="258" cm="1">
        <f t="array" ref="AF29">INDEX(
    INDEX(AF:AF,Control!$B$29):INDEX(AF:AF,100000),
    MATCH($A$8,INDEX($A:$A,Control!$B$29):INDEX($A:$A,100000),0)+MATCH($D29,INDEX($D:$D,Control!$B$31):INDEX($D:$D,Control!$B$32),0)-1,
    1)</f>
        <v>60.793502009615999</v>
      </c>
      <c r="AG29" s="258" cm="1">
        <f t="array" ref="AG29">INDEX(
    INDEX(AG:AG,Control!$B$29):INDEX(AG:AG,100000),
    MATCH($A$8,INDEX($A:$A,Control!$B$29):INDEX($A:$A,100000),0)+MATCH($D29,INDEX($D:$D,Control!$B$31):INDEX($D:$D,Control!$B$32),0)-1,
    1)</f>
        <v>60.014552710087003</v>
      </c>
      <c r="AH29" s="258" cm="1">
        <f t="array" ref="AH29">INDEX(
    INDEX(AH:AH,Control!$B$29):INDEX(AH:AH,100000),
    MATCH($A$8,INDEX($A:$A,Control!$B$29):INDEX($A:$A,100000),0)+MATCH($D29,INDEX($D:$D,Control!$B$31):INDEX($D:$D,Control!$B$32),0)-1,
    1)</f>
        <v>59.853932221637599</v>
      </c>
      <c r="AI29" s="258" cm="1">
        <f t="array" ref="AI29">INDEX(
    INDEX(AI:AI,Control!$B$29):INDEX(AI:AI,100000),
    MATCH($A$8,INDEX($A:$A,Control!$B$29):INDEX($A:$A,100000),0)+MATCH($D29,INDEX($D:$D,Control!$B$31):INDEX($D:$D,Control!$B$32),0)-1,
    1)</f>
        <v>61.021588326644697</v>
      </c>
      <c r="AJ29" s="258" cm="1">
        <f t="array" ref="AJ29">INDEX(
    INDEX(AJ:AJ,Control!$B$29):INDEX(AJ:AJ,100000),
    MATCH($A$8,INDEX($A:$A,Control!$B$29):INDEX($A:$A,100000),0)+MATCH($D29,INDEX($D:$D,Control!$B$31):INDEX($D:$D,Control!$B$32),0)-1,
    1)</f>
        <v>62.372471927386101</v>
      </c>
      <c r="AK29" s="258" cm="1">
        <f t="array" ref="AK29">INDEX(
    INDEX(AK:AK,Control!$B$29):INDEX(AK:AK,100000),
    MATCH($A$8,INDEX($A:$A,Control!$B$29):INDEX($A:$A,100000),0)+MATCH($D29,INDEX($D:$D,Control!$B$31):INDEX($D:$D,Control!$B$32),0)-1,
    1)</f>
        <v>59.4598348358641</v>
      </c>
      <c r="AL29" s="258" cm="1">
        <f t="array" ref="AL29">INDEX(
    INDEX(AL:AL,Control!$B$29):INDEX(AL:AL,100000),
    MATCH($A$8,INDEX($A:$A,Control!$B$29):INDEX($A:$A,100000),0)+MATCH($D29,INDEX($D:$D,Control!$B$31):INDEX($D:$D,Control!$B$32),0)-1,
    1)</f>
        <v>60.999806621381801</v>
      </c>
      <c r="AM29" s="258" cm="1">
        <f t="array" ref="AM29">INDEX(
    INDEX(AM:AM,Control!$B$29):INDEX(AM:AM,100000),
    MATCH($A$8,INDEX($A:$A,Control!$B$29):INDEX($A:$A,100000),0)+MATCH($D29,INDEX($D:$D,Control!$B$31):INDEX($D:$D,Control!$B$32),0)-1,
    1)</f>
        <v>61.497996530531601</v>
      </c>
      <c r="AN29" s="258" cm="1">
        <f t="array" ref="AN29">INDEX(
    INDEX(AN:AN,Control!$B$29):INDEX(AN:AN,100000),
    MATCH($A$8,INDEX($A:$A,Control!$B$29):INDEX($A:$A,100000),0)+MATCH($D29,INDEX($D:$D,Control!$B$31):INDEX($D:$D,Control!$B$32),0)-1,
    1)</f>
        <v>59.746789214838401</v>
      </c>
      <c r="AO29" s="28"/>
      <c r="AP29" s="28"/>
      <c r="AQ29" s="28"/>
    </row>
    <row r="30" spans="1:43" x14ac:dyDescent="0.35">
      <c r="C30" s="292" t="s">
        <v>230</v>
      </c>
      <c r="D30" s="267" t="s">
        <v>347</v>
      </c>
      <c r="E30" s="19" t="s">
        <v>219</v>
      </c>
      <c r="F30" s="258" cm="1">
        <f t="array" ref="F30">INDEX(
    INDEX(F:F,Control!$B$29):INDEX(F:F,100000),
    MATCH($A$8,INDEX($A:$A,Control!$B$29):INDEX($A:$A,100000),0)+MATCH($D30,INDEX($D:$D,Control!$B$31):INDEX($D:$D,Control!$B$32),0)-1,
    1)</f>
        <v>0</v>
      </c>
      <c r="G30" s="258" cm="1">
        <f t="array" ref="G30">INDEX(
    INDEX(G:G,Control!$B$29):INDEX(G:G,100000),
    MATCH($A$8,INDEX($A:$A,Control!$B$29):INDEX($A:$A,100000),0)+MATCH($D30,INDEX($D:$D,Control!$B$31):INDEX($D:$D,Control!$B$32),0)-1,
    1)</f>
        <v>10.347156195622601</v>
      </c>
      <c r="H30" s="258" cm="1">
        <f t="array" ref="H30">INDEX(
    INDEX(H:H,Control!$B$29):INDEX(H:H,100000),
    MATCH($A$8,INDEX($A:$A,Control!$B$29):INDEX($A:$A,100000),0)+MATCH($D30,INDEX($D:$D,Control!$B$31):INDEX($D:$D,Control!$B$32),0)-1,
    1)</f>
        <v>11.825272116938001</v>
      </c>
      <c r="I30" s="258" cm="1">
        <f t="array" ref="I30">INDEX(
    INDEX(I:I,Control!$B$29):INDEX(I:I,100000),
    MATCH($A$8,INDEX($A:$A,Control!$B$29):INDEX($A:$A,100000),0)+MATCH($D30,INDEX($D:$D,Control!$B$31):INDEX($D:$D,Control!$B$32),0)-1,
    1)</f>
        <v>7.4165400562552604</v>
      </c>
      <c r="J30" s="258" cm="1">
        <f t="array" ref="J30">INDEX(
    INDEX(J:J,Control!$B$29):INDEX(J:J,100000),
    MATCH($A$8,INDEX($A:$A,Control!$B$29):INDEX($A:$A,100000),0)+MATCH($D30,INDEX($D:$D,Control!$B$31):INDEX($D:$D,Control!$B$32),0)-1,
    1)</f>
        <v>7.8077227677993202</v>
      </c>
      <c r="K30" s="258" cm="1">
        <f t="array" ref="K30">INDEX(
    INDEX(K:K,Control!$B$29):INDEX(K:K,100000),
    MATCH($A$8,INDEX($A:$A,Control!$B$29):INDEX($A:$A,100000),0)+MATCH($D30,INDEX($D:$D,Control!$B$31):INDEX($D:$D,Control!$B$32),0)-1,
    1)</f>
        <v>6.0056287919931304</v>
      </c>
      <c r="L30" s="258" cm="1">
        <f t="array" ref="L30">INDEX(
    INDEX(L:L,Control!$B$29):INDEX(L:L,100000),
    MATCH($A$8,INDEX($A:$A,Control!$B$29):INDEX($A:$A,100000),0)+MATCH($D30,INDEX($D:$D,Control!$B$31):INDEX($D:$D,Control!$B$32),0)-1,
    1)</f>
        <v>5.3650063794599401</v>
      </c>
      <c r="M30" s="258" cm="1">
        <f t="array" ref="M30">INDEX(
    INDEX(M:M,Control!$B$29):INDEX(M:M,100000),
    MATCH($A$8,INDEX($A:$A,Control!$B$29):INDEX($A:$A,100000),0)+MATCH($D30,INDEX($D:$D,Control!$B$31):INDEX($D:$D,Control!$B$32),0)-1,
    1)</f>
        <v>6.2318764614793096</v>
      </c>
      <c r="N30" s="258" cm="1">
        <f t="array" ref="N30">INDEX(
    INDEX(N:N,Control!$B$29):INDEX(N:N,100000),
    MATCH($A$8,INDEX($A:$A,Control!$B$29):INDEX($A:$A,100000),0)+MATCH($D30,INDEX($D:$D,Control!$B$31):INDEX($D:$D,Control!$B$32),0)-1,
    1)</f>
        <v>6.3291158440150799</v>
      </c>
      <c r="O30" s="258" cm="1">
        <f t="array" ref="O30">INDEX(
    INDEX(O:O,Control!$B$29):INDEX(O:O,100000),
    MATCH($A$8,INDEX($A:$A,Control!$B$29):INDEX($A:$A,100000),0)+MATCH($D30,INDEX($D:$D,Control!$B$31):INDEX($D:$D,Control!$B$32),0)-1,
    1)</f>
        <v>7.8231841221346201</v>
      </c>
      <c r="P30" s="258" cm="1">
        <f t="array" ref="P30">INDEX(
    INDEX(P:P,Control!$B$29):INDEX(P:P,100000),
    MATCH($A$8,INDEX($A:$A,Control!$B$29):INDEX($A:$A,100000),0)+MATCH($D30,INDEX($D:$D,Control!$B$31):INDEX($D:$D,Control!$B$32),0)-1,
    1)</f>
        <v>7.6859541555478197</v>
      </c>
      <c r="Q30" s="258" cm="1">
        <f t="array" ref="Q30">INDEX(
    INDEX(Q:Q,Control!$B$29):INDEX(Q:Q,100000),
    MATCH($A$8,INDEX($A:$A,Control!$B$29):INDEX($A:$A,100000),0)+MATCH($D30,INDEX($D:$D,Control!$B$31):INDEX($D:$D,Control!$B$32),0)-1,
    1)</f>
        <v>8.0595234593828895</v>
      </c>
      <c r="R30" s="258" cm="1">
        <f t="array" ref="R30">INDEX(
    INDEX(R:R,Control!$B$29):INDEX(R:R,100000),
    MATCH($A$8,INDEX($A:$A,Control!$B$29):INDEX($A:$A,100000),0)+MATCH($D30,INDEX($D:$D,Control!$B$31):INDEX($D:$D,Control!$B$32),0)-1,
    1)</f>
        <v>8.2709156924739293</v>
      </c>
      <c r="S30" s="258" cm="1">
        <f t="array" ref="S30">INDEX(
    INDEX(S:S,Control!$B$29):INDEX(S:S,100000),
    MATCH($A$8,INDEX($A:$A,Control!$B$29):INDEX($A:$A,100000),0)+MATCH($D30,INDEX($D:$D,Control!$B$31):INDEX($D:$D,Control!$B$32),0)-1,
    1)</f>
        <v>8.4710775499498094</v>
      </c>
      <c r="T30" s="258" cm="1">
        <f t="array" ref="T30">INDEX(
    INDEX(T:T,Control!$B$29):INDEX(T:T,100000),
    MATCH($A$8,INDEX($A:$A,Control!$B$29):INDEX($A:$A,100000),0)+MATCH($D30,INDEX($D:$D,Control!$B$31):INDEX($D:$D,Control!$B$32),0)-1,
    1)</f>
        <v>7.9999032234426597</v>
      </c>
      <c r="U30" s="258" cm="1">
        <f t="array" ref="U30">INDEX(
    INDEX(U:U,Control!$B$29):INDEX(U:U,100000),
    MATCH($A$8,INDEX($A:$A,Control!$B$29):INDEX($A:$A,100000),0)+MATCH($D30,INDEX($D:$D,Control!$B$31):INDEX($D:$D,Control!$B$32),0)-1,
    1)</f>
        <v>7.6827365223483097</v>
      </c>
      <c r="V30" s="258" cm="1">
        <f t="array" ref="V30">INDEX(
    INDEX(V:V,Control!$B$29):INDEX(V:V,100000),
    MATCH($A$8,INDEX($A:$A,Control!$B$29):INDEX($A:$A,100000),0)+MATCH($D30,INDEX($D:$D,Control!$B$31):INDEX($D:$D,Control!$B$32),0)-1,
    1)</f>
        <v>8.04011319157547</v>
      </c>
      <c r="W30" s="258" cm="1">
        <f t="array" ref="W30">INDEX(
    INDEX(W:W,Control!$B$29):INDEX(W:W,100000),
    MATCH($A$8,INDEX($A:$A,Control!$B$29):INDEX($A:$A,100000),0)+MATCH($D30,INDEX($D:$D,Control!$B$31):INDEX($D:$D,Control!$B$32),0)-1,
    1)</f>
        <v>7.6723627893382096</v>
      </c>
      <c r="X30" s="258" cm="1">
        <f t="array" ref="X30">INDEX(
    INDEX(X:X,Control!$B$29):INDEX(X:X,100000),
    MATCH($A$8,INDEX($A:$A,Control!$B$29):INDEX($A:$A,100000),0)+MATCH($D30,INDEX($D:$D,Control!$B$31):INDEX($D:$D,Control!$B$32),0)-1,
    1)</f>
        <v>8.0457127090914895</v>
      </c>
      <c r="Y30" s="258" cm="1">
        <f t="array" ref="Y30">INDEX(
    INDEX(Y:Y,Control!$B$29):INDEX(Y:Y,100000),
    MATCH($A$8,INDEX($A:$A,Control!$B$29):INDEX($A:$A,100000),0)+MATCH($D30,INDEX($D:$D,Control!$B$31):INDEX($D:$D,Control!$B$32),0)-1,
    1)</f>
        <v>8.5002451859661292</v>
      </c>
      <c r="Z30" s="258" cm="1">
        <f t="array" ref="Z30">INDEX(
    INDEX(Z:Z,Control!$B$29):INDEX(Z:Z,100000),
    MATCH($A$8,INDEX($A:$A,Control!$B$29):INDEX($A:$A,100000),0)+MATCH($D30,INDEX($D:$D,Control!$B$31):INDEX($D:$D,Control!$B$32),0)-1,
    1)</f>
        <v>9.1571751485786397</v>
      </c>
      <c r="AA30" s="258" cm="1">
        <f t="array" ref="AA30">INDEX(
    INDEX(AA:AA,Control!$B$29):INDEX(AA:AA,100000),
    MATCH($A$8,INDEX($A:$A,Control!$B$29):INDEX($A:$A,100000),0)+MATCH($D30,INDEX($D:$D,Control!$B$31):INDEX($D:$D,Control!$B$32),0)-1,
    1)</f>
        <v>9.6018875760781501</v>
      </c>
      <c r="AB30" s="258" cm="1">
        <f t="array" ref="AB30">INDEX(
    INDEX(AB:AB,Control!$B$29):INDEX(AB:AB,100000),
    MATCH($A$8,INDEX($A:$A,Control!$B$29):INDEX($A:$A,100000),0)+MATCH($D30,INDEX($D:$D,Control!$B$31):INDEX($D:$D,Control!$B$32),0)-1,
    1)</f>
        <v>9.5993594357071093</v>
      </c>
      <c r="AC30" s="258" cm="1">
        <f t="array" ref="AC30">INDEX(
    INDEX(AC:AC,Control!$B$29):INDEX(AC:AC,100000),
    MATCH($A$8,INDEX($A:$A,Control!$B$29):INDEX($A:$A,100000),0)+MATCH($D30,INDEX($D:$D,Control!$B$31):INDEX($D:$D,Control!$B$32),0)-1,
    1)</f>
        <v>9.4524661226607503</v>
      </c>
      <c r="AD30" s="258" cm="1">
        <f t="array" ref="AD30">INDEX(
    INDEX(AD:AD,Control!$B$29):INDEX(AD:AD,100000),
    MATCH($A$8,INDEX($A:$A,Control!$B$29):INDEX($A:$A,100000),0)+MATCH($D30,INDEX($D:$D,Control!$B$31):INDEX($D:$D,Control!$B$32),0)-1,
    1)</f>
        <v>9.2500477432008008</v>
      </c>
      <c r="AE30" s="258" cm="1">
        <f t="array" ref="AE30">INDEX(
    INDEX(AE:AE,Control!$B$29):INDEX(AE:AE,100000),
    MATCH($A$8,INDEX($A:$A,Control!$B$29):INDEX($A:$A,100000),0)+MATCH($D30,INDEX($D:$D,Control!$B$31):INDEX($D:$D,Control!$B$32),0)-1,
    1)</f>
        <v>9.3939950414346303</v>
      </c>
      <c r="AF30" s="258" cm="1">
        <f t="array" ref="AF30">INDEX(
    INDEX(AF:AF,Control!$B$29):INDEX(AF:AF,100000),
    MATCH($A$8,INDEX($A:$A,Control!$B$29):INDEX($A:$A,100000),0)+MATCH($D30,INDEX($D:$D,Control!$B$31):INDEX($D:$D,Control!$B$32),0)-1,
    1)</f>
        <v>9.5376393806983693</v>
      </c>
      <c r="AG30" s="258" cm="1">
        <f t="array" ref="AG30">INDEX(
    INDEX(AG:AG,Control!$B$29):INDEX(AG:AG,100000),
    MATCH($A$8,INDEX($A:$A,Control!$B$29):INDEX($A:$A,100000),0)+MATCH($D30,INDEX($D:$D,Control!$B$31):INDEX($D:$D,Control!$B$32),0)-1,
    1)</f>
        <v>9.4292427505746907</v>
      </c>
      <c r="AH30" s="258" cm="1">
        <f t="array" ref="AH30">INDEX(
    INDEX(AH:AH,Control!$B$29):INDEX(AH:AH,100000),
    MATCH($A$8,INDEX($A:$A,Control!$B$29):INDEX($A:$A,100000),0)+MATCH($D30,INDEX($D:$D,Control!$B$31):INDEX($D:$D,Control!$B$32),0)-1,
    1)</f>
        <v>9.3119767354302905</v>
      </c>
      <c r="AI30" s="258" cm="1">
        <f t="array" ref="AI30">INDEX(
    INDEX(AI:AI,Control!$B$29):INDEX(AI:AI,100000),
    MATCH($A$8,INDEX($A:$A,Control!$B$29):INDEX($A:$A,100000),0)+MATCH($D30,INDEX($D:$D,Control!$B$31):INDEX($D:$D,Control!$B$32),0)-1,
    1)</f>
        <v>9.3361194312876297</v>
      </c>
      <c r="AJ30" s="258" cm="1">
        <f t="array" ref="AJ30">INDEX(
    INDEX(AJ:AJ,Control!$B$29):INDEX(AJ:AJ,100000),
    MATCH($A$8,INDEX($A:$A,Control!$B$29):INDEX($A:$A,100000),0)+MATCH($D30,INDEX($D:$D,Control!$B$31):INDEX($D:$D,Control!$B$32),0)-1,
    1)</f>
        <v>9.4120263235851098</v>
      </c>
      <c r="AK30" s="258" cm="1">
        <f t="array" ref="AK30">INDEX(
    INDEX(AK:AK,Control!$B$29):INDEX(AK:AK,100000),
    MATCH($A$8,INDEX($A:$A,Control!$B$29):INDEX($A:$A,100000),0)+MATCH($D30,INDEX($D:$D,Control!$B$31):INDEX($D:$D,Control!$B$32),0)-1,
    1)</f>
        <v>9.3542969694926494</v>
      </c>
      <c r="AL30" s="258" cm="1">
        <f t="array" ref="AL30">INDEX(
    INDEX(AL:AL,Control!$B$29):INDEX(AL:AL,100000),
    MATCH($A$8,INDEX($A:$A,Control!$B$29):INDEX($A:$A,100000),0)+MATCH($D30,INDEX($D:$D,Control!$B$31):INDEX($D:$D,Control!$B$32),0)-1,
    1)</f>
        <v>9.3158629677361908</v>
      </c>
      <c r="AM30" s="258" cm="1">
        <f t="array" ref="AM30">INDEX(
    INDEX(AM:AM,Control!$B$29):INDEX(AM:AM,100000),
    MATCH($A$8,INDEX($A:$A,Control!$B$29):INDEX($A:$A,100000),0)+MATCH($D30,INDEX($D:$D,Control!$B$31):INDEX($D:$D,Control!$B$32),0)-1,
    1)</f>
        <v>9.3770188922489108</v>
      </c>
      <c r="AN30" s="258" cm="1">
        <f t="array" ref="AN30">INDEX(
    INDEX(AN:AN,Control!$B$29):INDEX(AN:AN,100000),
    MATCH($A$8,INDEX($A:$A,Control!$B$29):INDEX($A:$A,100000),0)+MATCH($D30,INDEX($D:$D,Control!$B$31):INDEX($D:$D,Control!$B$32),0)-1,
    1)</f>
        <v>9.2955647167405893</v>
      </c>
    </row>
    <row r="31" spans="1:43" x14ac:dyDescent="0.35">
      <c r="C31" s="292" t="s">
        <v>230</v>
      </c>
      <c r="D31" s="267" t="s">
        <v>348</v>
      </c>
      <c r="E31" s="19" t="s">
        <v>219</v>
      </c>
      <c r="F31" s="258" cm="1">
        <f t="array" ref="F31">INDEX(
    INDEX(F:F,Control!$B$29):INDEX(F:F,100000),
    MATCH($A$8,INDEX($A:$A,Control!$B$29):INDEX($A:$A,100000),0)+MATCH($D31,INDEX($D:$D,Control!$B$31):INDEX($D:$D,Control!$B$32),0)-1,
    1)</f>
        <v>0</v>
      </c>
      <c r="G31" s="258" cm="1">
        <f t="array" ref="G31">INDEX(
    INDEX(G:G,Control!$B$29):INDEX(G:G,100000),
    MATCH($A$8,INDEX($A:$A,Control!$B$29):INDEX($A:$A,100000),0)+MATCH($D31,INDEX($D:$D,Control!$B$31):INDEX($D:$D,Control!$B$32),0)-1,
    1)</f>
        <v>29.697782873381101</v>
      </c>
      <c r="H31" s="258" cm="1">
        <f t="array" ref="H31">INDEX(
    INDEX(H:H,Control!$B$29):INDEX(H:H,100000),
    MATCH($A$8,INDEX($A:$A,Control!$B$29):INDEX($A:$A,100000),0)+MATCH($D31,INDEX($D:$D,Control!$B$31):INDEX($D:$D,Control!$B$32),0)-1,
    1)</f>
        <v>18.3619357491824</v>
      </c>
      <c r="I31" s="258" cm="1">
        <f t="array" ref="I31">INDEX(
    INDEX(I:I,Control!$B$29):INDEX(I:I,100000),
    MATCH($A$8,INDEX($A:$A,Control!$B$29):INDEX($A:$A,100000),0)+MATCH($D31,INDEX($D:$D,Control!$B$31):INDEX($D:$D,Control!$B$32),0)-1,
    1)</f>
        <v>11.178412928365599</v>
      </c>
      <c r="J31" s="258" cm="1">
        <f t="array" ref="J31">INDEX(
    INDEX(J:J,Control!$B$29):INDEX(J:J,100000),
    MATCH($A$8,INDEX($A:$A,Control!$B$29):INDEX($A:$A,100000),0)+MATCH($D31,INDEX($D:$D,Control!$B$31):INDEX($D:$D,Control!$B$32),0)-1,
    1)</f>
        <v>10.302746589352701</v>
      </c>
      <c r="K31" s="258" cm="1">
        <f t="array" ref="K31">INDEX(
    INDEX(K:K,Control!$B$29):INDEX(K:K,100000),
    MATCH($A$8,INDEX($A:$A,Control!$B$29):INDEX($A:$A,100000),0)+MATCH($D31,INDEX($D:$D,Control!$B$31):INDEX($D:$D,Control!$B$32),0)-1,
    1)</f>
        <v>10.5558844791491</v>
      </c>
      <c r="L31" s="258" cm="1">
        <f t="array" ref="L31">INDEX(
    INDEX(L:L,Control!$B$29):INDEX(L:L,100000),
    MATCH($A$8,INDEX($A:$A,Control!$B$29):INDEX($A:$A,100000),0)+MATCH($D31,INDEX($D:$D,Control!$B$31):INDEX($D:$D,Control!$B$32),0)-1,
    1)</f>
        <v>10.603793783866401</v>
      </c>
      <c r="M31" s="258" cm="1">
        <f t="array" ref="M31">INDEX(
    INDEX(M:M,Control!$B$29):INDEX(M:M,100000),
    MATCH($A$8,INDEX($A:$A,Control!$B$29):INDEX($A:$A,100000),0)+MATCH($D31,INDEX($D:$D,Control!$B$31):INDEX($D:$D,Control!$B$32),0)-1,
    1)</f>
        <v>9.0585567803859295</v>
      </c>
      <c r="N31" s="258" cm="1">
        <f t="array" ref="N31">INDEX(
    INDEX(N:N,Control!$B$29):INDEX(N:N,100000),
    MATCH($A$8,INDEX($A:$A,Control!$B$29):INDEX($A:$A,100000),0)+MATCH($D31,INDEX($D:$D,Control!$B$31):INDEX($D:$D,Control!$B$32),0)-1,
    1)</f>
        <v>8.9590399821440094</v>
      </c>
      <c r="O31" s="258" cm="1">
        <f t="array" ref="O31">INDEX(
    INDEX(O:O,Control!$B$29):INDEX(O:O,100000),
    MATCH($A$8,INDEX($A:$A,Control!$B$29):INDEX($A:$A,100000),0)+MATCH($D31,INDEX($D:$D,Control!$B$31):INDEX($D:$D,Control!$B$32),0)-1,
    1)</f>
        <v>9.8694003466619193</v>
      </c>
      <c r="P31" s="258" cm="1">
        <f t="array" ref="P31">INDEX(
    INDEX(P:P,Control!$B$29):INDEX(P:P,100000),
    MATCH($A$8,INDEX($A:$A,Control!$B$29):INDEX($A:$A,100000),0)+MATCH($D31,INDEX($D:$D,Control!$B$31):INDEX($D:$D,Control!$B$32),0)-1,
    1)</f>
        <v>9.06547260239266</v>
      </c>
      <c r="Q31" s="258" cm="1">
        <f t="array" ref="Q31">INDEX(
    INDEX(Q:Q,Control!$B$29):INDEX(Q:Q,100000),
    MATCH($A$8,INDEX($A:$A,Control!$B$29):INDEX($A:$A,100000),0)+MATCH($D31,INDEX($D:$D,Control!$B$31):INDEX($D:$D,Control!$B$32),0)-1,
    1)</f>
        <v>8.7393424945282607</v>
      </c>
      <c r="R31" s="258" cm="1">
        <f t="array" ref="R31">INDEX(
    INDEX(R:R,Control!$B$29):INDEX(R:R,100000),
    MATCH($A$8,INDEX($A:$A,Control!$B$29):INDEX($A:$A,100000),0)+MATCH($D31,INDEX($D:$D,Control!$B$31):INDEX($D:$D,Control!$B$32),0)-1,
    1)</f>
        <v>8.9182032023489608</v>
      </c>
      <c r="S31" s="258" cm="1">
        <f t="array" ref="S31">INDEX(
    INDEX(S:S,Control!$B$29):INDEX(S:S,100000),
    MATCH($A$8,INDEX($A:$A,Control!$B$29):INDEX($A:$A,100000),0)+MATCH($D31,INDEX($D:$D,Control!$B$31):INDEX($D:$D,Control!$B$32),0)-1,
    1)</f>
        <v>8.8705132817133894</v>
      </c>
      <c r="T31" s="258" cm="1">
        <f t="array" ref="T31">INDEX(
    INDEX(T:T,Control!$B$29):INDEX(T:T,100000),
    MATCH($A$8,INDEX($A:$A,Control!$B$29):INDEX($A:$A,100000),0)+MATCH($D31,INDEX($D:$D,Control!$B$31):INDEX($D:$D,Control!$B$32),0)-1,
    1)</f>
        <v>8.6903362694019908</v>
      </c>
      <c r="U31" s="258" cm="1">
        <f t="array" ref="U31">INDEX(
    INDEX(U:U,Control!$B$29):INDEX(U:U,100000),
    MATCH($A$8,INDEX($A:$A,Control!$B$29):INDEX($A:$A,100000),0)+MATCH($D31,INDEX($D:$D,Control!$B$31):INDEX($D:$D,Control!$B$32),0)-1,
    1)</f>
        <v>8.2410063293239606</v>
      </c>
      <c r="V31" s="258" cm="1">
        <f t="array" ref="V31">INDEX(
    INDEX(V:V,Control!$B$29):INDEX(V:V,100000),
    MATCH($A$8,INDEX($A:$A,Control!$B$29):INDEX($A:$A,100000),0)+MATCH($D31,INDEX($D:$D,Control!$B$31):INDEX($D:$D,Control!$B$32),0)-1,
    1)</f>
        <v>8.3565590592582399</v>
      </c>
      <c r="W31" s="258" cm="1">
        <f t="array" ref="W31">INDEX(
    INDEX(W:W,Control!$B$29):INDEX(W:W,100000),
    MATCH($A$8,INDEX($A:$A,Control!$B$29):INDEX($A:$A,100000),0)+MATCH($D31,INDEX($D:$D,Control!$B$31):INDEX($D:$D,Control!$B$32),0)-1,
    1)</f>
        <v>8.2282820525804503</v>
      </c>
      <c r="X31" s="258" cm="1">
        <f t="array" ref="X31">INDEX(
    INDEX(X:X,Control!$B$29):INDEX(X:X,100000),
    MATCH($A$8,INDEX($A:$A,Control!$B$29):INDEX($A:$A,100000),0)+MATCH($D31,INDEX($D:$D,Control!$B$31):INDEX($D:$D,Control!$B$32),0)-1,
    1)</f>
        <v>7.4847998462733898</v>
      </c>
      <c r="Y31" s="258" cm="1">
        <f t="array" ref="Y31">INDEX(
    INDEX(Y:Y,Control!$B$29):INDEX(Y:Y,100000),
    MATCH($A$8,INDEX($A:$A,Control!$B$29):INDEX($A:$A,100000),0)+MATCH($D31,INDEX($D:$D,Control!$B$31):INDEX($D:$D,Control!$B$32),0)-1,
    1)</f>
        <v>7.5798767285744297</v>
      </c>
      <c r="Z31" s="258" cm="1">
        <f t="array" ref="Z31">INDEX(
    INDEX(Z:Z,Control!$B$29):INDEX(Z:Z,100000),
    MATCH($A$8,INDEX($A:$A,Control!$B$29):INDEX($A:$A,100000),0)+MATCH($D31,INDEX($D:$D,Control!$B$31):INDEX($D:$D,Control!$B$32),0)-1,
    1)</f>
        <v>7.7579643686783601</v>
      </c>
      <c r="AA31" s="258" cm="1">
        <f t="array" ref="AA31">INDEX(
    INDEX(AA:AA,Control!$B$29):INDEX(AA:AA,100000),
    MATCH($A$8,INDEX($A:$A,Control!$B$29):INDEX($A:$A,100000),0)+MATCH($D31,INDEX($D:$D,Control!$B$31):INDEX($D:$D,Control!$B$32),0)-1,
    1)</f>
        <v>7.6301679176082997</v>
      </c>
      <c r="AB31" s="258" cm="1">
        <f t="array" ref="AB31">INDEX(
    INDEX(AB:AB,Control!$B$29):INDEX(AB:AB,100000),
    MATCH($A$8,INDEX($A:$A,Control!$B$29):INDEX($A:$A,100000),0)+MATCH($D31,INDEX($D:$D,Control!$B$31):INDEX($D:$D,Control!$B$32),0)-1,
    1)</f>
        <v>7.3880201256232496</v>
      </c>
      <c r="AC31" s="258" cm="1">
        <f t="array" ref="AC31">INDEX(
    INDEX(AC:AC,Control!$B$29):INDEX(AC:AC,100000),
    MATCH($A$8,INDEX($A:$A,Control!$B$29):INDEX($A:$A,100000),0)+MATCH($D31,INDEX($D:$D,Control!$B$31):INDEX($D:$D,Control!$B$32),0)-1,
    1)</f>
        <v>7.3521142642378399</v>
      </c>
      <c r="AD31" s="258" cm="1">
        <f t="array" ref="AD31">INDEX(
    INDEX(AD:AD,Control!$B$29):INDEX(AD:AD,100000),
    MATCH($A$8,INDEX($A:$A,Control!$B$29):INDEX($A:$A,100000),0)+MATCH($D31,INDEX($D:$D,Control!$B$31):INDEX($D:$D,Control!$B$32),0)-1,
    1)</f>
        <v>7.1864166013242201</v>
      </c>
      <c r="AE31" s="258" cm="1">
        <f t="array" ref="AE31">INDEX(
    INDEX(AE:AE,Control!$B$29):INDEX(AE:AE,100000),
    MATCH($A$8,INDEX($A:$A,Control!$B$29):INDEX($A:$A,100000),0)+MATCH($D31,INDEX($D:$D,Control!$B$31):INDEX($D:$D,Control!$B$32),0)-1,
    1)</f>
        <v>7.2579358119860098</v>
      </c>
      <c r="AF31" s="258" cm="1">
        <f t="array" ref="AF31">INDEX(
    INDEX(AF:AF,Control!$B$29):INDEX(AF:AF,100000),
    MATCH($A$8,INDEX($A:$A,Control!$B$29):INDEX($A:$A,100000),0)+MATCH($D31,INDEX($D:$D,Control!$B$31):INDEX($D:$D,Control!$B$32),0)-1,
    1)</f>
        <v>7.1085561460127504</v>
      </c>
      <c r="AG31" s="258" cm="1">
        <f t="array" ref="AG31">INDEX(
    INDEX(AG:AG,Control!$B$29):INDEX(AG:AG,100000),
    MATCH($A$8,INDEX($A:$A,Control!$B$29):INDEX($A:$A,100000),0)+MATCH($D31,INDEX($D:$D,Control!$B$31):INDEX($D:$D,Control!$B$32),0)-1,
    1)</f>
        <v>7.2116248770073801</v>
      </c>
      <c r="AH31" s="258" cm="1">
        <f t="array" ref="AH31">INDEX(
    INDEX(AH:AH,Control!$B$29):INDEX(AH:AH,100000),
    MATCH($A$8,INDEX($A:$A,Control!$B$29):INDEX($A:$A,100000),0)+MATCH($D31,INDEX($D:$D,Control!$B$31):INDEX($D:$D,Control!$B$32),0)-1,
    1)</f>
        <v>7.0764007077397499</v>
      </c>
      <c r="AI31" s="258" cm="1">
        <f t="array" ref="AI31">INDEX(
    INDEX(AI:AI,Control!$B$29):INDEX(AI:AI,100000),
    MATCH($A$8,INDEX($A:$A,Control!$B$29):INDEX($A:$A,100000),0)+MATCH($D31,INDEX($D:$D,Control!$B$31):INDEX($D:$D,Control!$B$32),0)-1,
    1)</f>
        <v>6.9696546816599696</v>
      </c>
      <c r="AJ31" s="258" cm="1">
        <f t="array" ref="AJ31">INDEX(
    INDEX(AJ:AJ,Control!$B$29):INDEX(AJ:AJ,100000),
    MATCH($A$8,INDEX($A:$A,Control!$B$29):INDEX($A:$A,100000),0)+MATCH($D31,INDEX($D:$D,Control!$B$31):INDEX($D:$D,Control!$B$32),0)-1,
    1)</f>
        <v>6.7832199995871898</v>
      </c>
      <c r="AK31" s="258" cm="1">
        <f t="array" ref="AK31">INDEX(
    INDEX(AK:AK,Control!$B$29):INDEX(AK:AK,100000),
    MATCH($A$8,INDEX($A:$A,Control!$B$29):INDEX($A:$A,100000),0)+MATCH($D31,INDEX($D:$D,Control!$B$31):INDEX($D:$D,Control!$B$32),0)-1,
    1)</f>
        <v>6.6950484924318401</v>
      </c>
      <c r="AL31" s="258" cm="1">
        <f t="array" ref="AL31">INDEX(
    INDEX(AL:AL,Control!$B$29):INDEX(AL:AL,100000),
    MATCH($A$8,INDEX($A:$A,Control!$B$29):INDEX($A:$A,100000),0)+MATCH($D31,INDEX($D:$D,Control!$B$31):INDEX($D:$D,Control!$B$32),0)-1,
    1)</f>
        <v>6.3734941097017996</v>
      </c>
      <c r="AM31" s="258" cm="1">
        <f t="array" ref="AM31">INDEX(
    INDEX(AM:AM,Control!$B$29):INDEX(AM:AM,100000),
    MATCH($A$8,INDEX($A:$A,Control!$B$29):INDEX($A:$A,100000),0)+MATCH($D31,INDEX($D:$D,Control!$B$31):INDEX($D:$D,Control!$B$32),0)-1,
    1)</f>
        <v>6.5236990776970103</v>
      </c>
      <c r="AN31" s="258" cm="1">
        <f t="array" ref="AN31">INDEX(
    INDEX(AN:AN,Control!$B$29):INDEX(AN:AN,100000),
    MATCH($A$8,INDEX($A:$A,Control!$B$29):INDEX($A:$A,100000),0)+MATCH($D31,INDEX($D:$D,Control!$B$31):INDEX($D:$D,Control!$B$32),0)-1,
    1)</f>
        <v>7.0883832573495997</v>
      </c>
    </row>
    <row r="32" spans="1:43" x14ac:dyDescent="0.35">
      <c r="C32" s="292" t="s">
        <v>230</v>
      </c>
      <c r="D32" s="267" t="s">
        <v>349</v>
      </c>
      <c r="E32" s="19" t="s">
        <v>219</v>
      </c>
      <c r="F32" s="258" cm="1">
        <f t="array" ref="F32">INDEX(
    INDEX(F:F,Control!$B$29):INDEX(F:F,100000),
    MATCH($A$8,INDEX($A:$A,Control!$B$29):INDEX($A:$A,100000),0)+MATCH($D32,INDEX($D:$D,Control!$B$31):INDEX($D:$D,Control!$B$32),0)-1,
    1)</f>
        <v>0</v>
      </c>
      <c r="G32" s="258" cm="1">
        <f t="array" ref="G32">INDEX(
    INDEX(G:G,Control!$B$29):INDEX(G:G,100000),
    MATCH($A$8,INDEX($A:$A,Control!$B$29):INDEX($A:$A,100000),0)+MATCH($D32,INDEX($D:$D,Control!$B$31):INDEX($D:$D,Control!$B$32),0)-1,
    1)</f>
        <v>8.3601736731771599</v>
      </c>
      <c r="H32" s="258" cm="1">
        <f t="array" ref="H32">INDEX(
    INDEX(H:H,Control!$B$29):INDEX(H:H,100000),
    MATCH($A$8,INDEX($A:$A,Control!$B$29):INDEX($A:$A,100000),0)+MATCH($D32,INDEX($D:$D,Control!$B$31):INDEX($D:$D,Control!$B$32),0)-1,
    1)</f>
        <v>7.4156938605112304</v>
      </c>
      <c r="I32" s="258" cm="1">
        <f t="array" ref="I32">INDEX(
    INDEX(I:I,Control!$B$29):INDEX(I:I,100000),
    MATCH($A$8,INDEX($A:$A,Control!$B$29):INDEX($A:$A,100000),0)+MATCH($D32,INDEX($D:$D,Control!$B$31):INDEX($D:$D,Control!$B$32),0)-1,
    1)</f>
        <v>6.8236597986628196</v>
      </c>
      <c r="J32" s="258" cm="1">
        <f t="array" ref="J32">INDEX(
    INDEX(J:J,Control!$B$29):INDEX(J:J,100000),
    MATCH($A$8,INDEX($A:$A,Control!$B$29):INDEX($A:$A,100000),0)+MATCH($D32,INDEX($D:$D,Control!$B$31):INDEX($D:$D,Control!$B$32),0)-1,
    1)</f>
        <v>6.5996895448827901</v>
      </c>
      <c r="K32" s="258" cm="1">
        <f t="array" ref="K32">INDEX(
    INDEX(K:K,Control!$B$29):INDEX(K:K,100000),
    MATCH($A$8,INDEX($A:$A,Control!$B$29):INDEX($A:$A,100000),0)+MATCH($D32,INDEX($D:$D,Control!$B$31):INDEX($D:$D,Control!$B$32),0)-1,
    1)</f>
        <v>6.4737108476332299</v>
      </c>
      <c r="L32" s="258" cm="1">
        <f t="array" ref="L32">INDEX(
    INDEX(L:L,Control!$B$29):INDEX(L:L,100000),
    MATCH($A$8,INDEX($A:$A,Control!$B$29):INDEX($A:$A,100000),0)+MATCH($D32,INDEX($D:$D,Control!$B$31):INDEX($D:$D,Control!$B$32),0)-1,
    1)</f>
        <v>6.4488577652253403</v>
      </c>
      <c r="M32" s="258" cm="1">
        <f t="array" ref="M32">INDEX(
    INDEX(M:M,Control!$B$29):INDEX(M:M,100000),
    MATCH($A$8,INDEX($A:$A,Control!$B$29):INDEX($A:$A,100000),0)+MATCH($D32,INDEX($D:$D,Control!$B$31):INDEX($D:$D,Control!$B$32),0)-1,
    1)</f>
        <v>6.0072376085928898</v>
      </c>
      <c r="N32" s="258" cm="1">
        <f t="array" ref="N32">INDEX(
    INDEX(N:N,Control!$B$29):INDEX(N:N,100000),
    MATCH($A$8,INDEX($A:$A,Control!$B$29):INDEX($A:$A,100000),0)+MATCH($D32,INDEX($D:$D,Control!$B$31):INDEX($D:$D,Control!$B$32),0)-1,
    1)</f>
        <v>5.6701278497782104</v>
      </c>
      <c r="O32" s="258" cm="1">
        <f t="array" ref="O32">INDEX(
    INDEX(O:O,Control!$B$29):INDEX(O:O,100000),
    MATCH($A$8,INDEX($A:$A,Control!$B$29):INDEX($A:$A,100000),0)+MATCH($D32,INDEX($D:$D,Control!$B$31):INDEX($D:$D,Control!$B$32),0)-1,
    1)</f>
        <v>6.4516157365391997</v>
      </c>
      <c r="P32" s="258" cm="1">
        <f t="array" ref="P32">INDEX(
    INDEX(P:P,Control!$B$29):INDEX(P:P,100000),
    MATCH($A$8,INDEX($A:$A,Control!$B$29):INDEX($A:$A,100000),0)+MATCH($D32,INDEX($D:$D,Control!$B$31):INDEX($D:$D,Control!$B$32),0)-1,
    1)</f>
        <v>6.3340258687026401</v>
      </c>
      <c r="Q32" s="258" cm="1">
        <f t="array" ref="Q32">INDEX(
    INDEX(Q:Q,Control!$B$29):INDEX(Q:Q,100000),
    MATCH($A$8,INDEX($A:$A,Control!$B$29):INDEX($A:$A,100000),0)+MATCH($D32,INDEX($D:$D,Control!$B$31):INDEX($D:$D,Control!$B$32),0)-1,
    1)</f>
        <v>6.0007187673055702</v>
      </c>
      <c r="R32" s="258" cm="1">
        <f t="array" ref="R32">INDEX(
    INDEX(R:R,Control!$B$29):INDEX(R:R,100000),
    MATCH($A$8,INDEX($A:$A,Control!$B$29):INDEX($A:$A,100000),0)+MATCH($D32,INDEX($D:$D,Control!$B$31):INDEX($D:$D,Control!$B$32),0)-1,
    1)</f>
        <v>6.4151144040746599</v>
      </c>
      <c r="S32" s="258" cm="1">
        <f t="array" ref="S32">INDEX(
    INDEX(S:S,Control!$B$29):INDEX(S:S,100000),
    MATCH($A$8,INDEX($A:$A,Control!$B$29):INDEX($A:$A,100000),0)+MATCH($D32,INDEX($D:$D,Control!$B$31):INDEX($D:$D,Control!$B$32),0)-1,
    1)</f>
        <v>6.4504456881030201</v>
      </c>
      <c r="T32" s="258" cm="1">
        <f t="array" ref="T32">INDEX(
    INDEX(T:T,Control!$B$29):INDEX(T:T,100000),
    MATCH($A$8,INDEX($A:$A,Control!$B$29):INDEX($A:$A,100000),0)+MATCH($D32,INDEX($D:$D,Control!$B$31):INDEX($D:$D,Control!$B$32),0)-1,
    1)</f>
        <v>6.5003398964174703</v>
      </c>
      <c r="U32" s="258" cm="1">
        <f t="array" ref="U32">INDEX(
    INDEX(U:U,Control!$B$29):INDEX(U:U,100000),
    MATCH($A$8,INDEX($A:$A,Control!$B$29):INDEX($A:$A,100000),0)+MATCH($D32,INDEX($D:$D,Control!$B$31):INDEX($D:$D,Control!$B$32),0)-1,
    1)</f>
        <v>6.3743611991679003</v>
      </c>
      <c r="V32" s="258" cm="1">
        <f t="array" ref="V32">INDEX(
    INDEX(V:V,Control!$B$29):INDEX(V:V,100000),
    MATCH($A$8,INDEX($A:$A,Control!$B$29):INDEX($A:$A,100000),0)+MATCH($D32,INDEX($D:$D,Control!$B$31):INDEX($D:$D,Control!$B$32),0)-1,
    1)</f>
        <v>6.61989377412905</v>
      </c>
      <c r="W32" s="258" cm="1">
        <f t="array" ref="W32">INDEX(
    INDEX(W:W,Control!$B$29):INDEX(W:W,100000),
    MATCH($A$8,INDEX($A:$A,Control!$B$29):INDEX($A:$A,100000),0)+MATCH($D32,INDEX($D:$D,Control!$B$31):INDEX($D:$D,Control!$B$32),0)-1,
    1)</f>
        <v>6.5812090477076897</v>
      </c>
      <c r="X32" s="258" cm="1">
        <f t="array" ref="X32">INDEX(
    INDEX(X:X,Control!$B$29):INDEX(X:X,100000),
    MATCH($A$8,INDEX($A:$A,Control!$B$29):INDEX($A:$A,100000),0)+MATCH($D32,INDEX($D:$D,Control!$B$31):INDEX($D:$D,Control!$B$32),0)-1,
    1)</f>
        <v>6.8090655337936203</v>
      </c>
      <c r="Y32" s="258" cm="1">
        <f t="array" ref="Y32">INDEX(
    INDEX(Y:Y,Control!$B$29):INDEX(Y:Y,100000),
    MATCH($A$8,INDEX($A:$A,Control!$B$29):INDEX($A:$A,100000),0)+MATCH($D32,INDEX($D:$D,Control!$B$31):INDEX($D:$D,Control!$B$32),0)-1,
    1)</f>
        <v>6.28170798862753</v>
      </c>
      <c r="Z32" s="258" cm="1">
        <f t="array" ref="Z32">INDEX(
    INDEX(Z:Z,Control!$B$29):INDEX(Z:Z,100000),
    MATCH($A$8,INDEX($A:$A,Control!$B$29):INDEX($A:$A,100000),0)+MATCH($D32,INDEX($D:$D,Control!$B$31):INDEX($D:$D,Control!$B$32),0)-1,
    1)</f>
        <v>6.8118652925516399</v>
      </c>
      <c r="AA32" s="258" cm="1">
        <f t="array" ref="AA32">INDEX(
    INDEX(AA:AA,Control!$B$29):INDEX(AA:AA,100000),
    MATCH($A$8,INDEX($A:$A,Control!$B$29):INDEX($A:$A,100000),0)+MATCH($D32,INDEX($D:$D,Control!$B$31):INDEX($D:$D,Control!$B$32),0)-1,
    1)</f>
        <v>6.8727495986773901</v>
      </c>
      <c r="AB32" s="258" cm="1">
        <f t="array" ref="AB32">INDEX(
    INDEX(AB:AB,Control!$B$29):INDEX(AB:AB,100000),
    MATCH($A$8,INDEX($A:$A,Control!$B$29):INDEX($A:$A,100000),0)+MATCH($D32,INDEX($D:$D,Control!$B$31):INDEX($D:$D,Control!$B$32),0)-1,
    1)</f>
        <v>6.8922225476510297</v>
      </c>
      <c r="AC32" s="258" cm="1">
        <f t="array" ref="AC32">INDEX(
    INDEX(AC:AC,Control!$B$29):INDEX(AC:AC,100000),
    MATCH($A$8,INDEX($A:$A,Control!$B$29):INDEX($A:$A,100000),0)+MATCH($D32,INDEX($D:$D,Control!$B$31):INDEX($D:$D,Control!$B$32),0)-1,
    1)</f>
        <v>6.9067123439098603</v>
      </c>
      <c r="AD32" s="258" cm="1">
        <f t="array" ref="AD32">INDEX(
    INDEX(AD:AD,Control!$B$29):INDEX(AD:AD,100000),
    MATCH($A$8,INDEX($A:$A,Control!$B$29):INDEX($A:$A,100000),0)+MATCH($D32,INDEX($D:$D,Control!$B$31):INDEX($D:$D,Control!$B$32),0)-1,
    1)</f>
        <v>7.0242186368581203</v>
      </c>
      <c r="AE32" s="258" cm="1">
        <f t="array" ref="AE32">INDEX(
    INDEX(AE:AE,Control!$B$29):INDEX(AE:AE,100000),
    MATCH($A$8,INDEX($A:$A,Control!$B$29):INDEX($A:$A,100000),0)+MATCH($D32,INDEX($D:$D,Control!$B$31):INDEX($D:$D,Control!$B$32),0)-1,
    1)</f>
        <v>7.1586801852700201</v>
      </c>
      <c r="AF32" s="258" cm="1">
        <f t="array" ref="AF32">INDEX(
    INDEX(AF:AF,Control!$B$29):INDEX(AF:AF,100000),
    MATCH($A$8,INDEX($A:$A,Control!$B$29):INDEX($A:$A,100000),0)+MATCH($D32,INDEX($D:$D,Control!$B$31):INDEX($D:$D,Control!$B$32),0)-1,
    1)</f>
        <v>7.1564654507301002</v>
      </c>
      <c r="AG32" s="258" cm="1">
        <f t="array" ref="AG32">INDEX(
    INDEX(AG:AG,Control!$B$29):INDEX(AG:AG,100000),
    MATCH($A$8,INDEX($A:$A,Control!$B$29):INDEX($A:$A,100000),0)+MATCH($D32,INDEX($D:$D,Control!$B$31):INDEX($D:$D,Control!$B$32),0)-1,
    1)</f>
        <v>7.0841731723515498</v>
      </c>
      <c r="AH32" s="258" cm="1">
        <f t="array" ref="AH32">INDEX(
    INDEX(AH:AH,Control!$B$29):INDEX(AH:AH,100000),
    MATCH($A$8,INDEX($A:$A,Control!$B$29):INDEX($A:$A,100000),0)+MATCH($D32,INDEX($D:$D,Control!$B$31):INDEX($D:$D,Control!$B$32),0)-1,
    1)</f>
        <v>7.0203010639691099</v>
      </c>
      <c r="AI32" s="258" cm="1">
        <f t="array" ref="AI32">INDEX(
    INDEX(AI:AI,Control!$B$29):INDEX(AI:AI,100000),
    MATCH($A$8,INDEX($A:$A,Control!$B$29):INDEX($A:$A,100000),0)+MATCH($D32,INDEX($D:$D,Control!$B$31):INDEX($D:$D,Control!$B$32),0)-1,
    1)</f>
        <v>6.8870617982985802</v>
      </c>
      <c r="AJ32" s="258" cm="1">
        <f t="array" ref="AJ32">INDEX(
    INDEX(AJ:AJ,Control!$B$29):INDEX(AJ:AJ,100000),
    MATCH($A$8,INDEX($A:$A,Control!$B$29):INDEX($A:$A,100000),0)+MATCH($D32,INDEX($D:$D,Control!$B$31):INDEX($D:$D,Control!$B$32),0)-1,
    1)</f>
        <v>6.7442636547788597</v>
      </c>
      <c r="AK32" s="258" cm="1">
        <f t="array" ref="AK32">INDEX(
    INDEX(AK:AK,Control!$B$29):INDEX(AK:AK,100000),
    MATCH($A$8,INDEX($A:$A,Control!$B$29):INDEX($A:$A,100000),0)+MATCH($D32,INDEX($D:$D,Control!$B$31):INDEX($D:$D,Control!$B$32),0)-1,
    1)</f>
        <v>6.6574815801414804</v>
      </c>
      <c r="AL32" s="258" cm="1">
        <f t="array" ref="AL32">INDEX(
    INDEX(AL:AL,Control!$B$29):INDEX(AL:AL,100000),
    MATCH($A$8,INDEX($A:$A,Control!$B$29):INDEX($A:$A,100000),0)+MATCH($D32,INDEX($D:$D,Control!$B$31):INDEX($D:$D,Control!$B$32),0)-1,
    1)</f>
        <v>6.82139282981771</v>
      </c>
      <c r="AM32" s="258" cm="1">
        <f t="array" ref="AM32">INDEX(
    INDEX(AM:AM,Control!$B$29):INDEX(AM:AM,100000),
    MATCH($A$8,INDEX($A:$A,Control!$B$29):INDEX($A:$A,100000),0)+MATCH($D32,INDEX($D:$D,Control!$B$31):INDEX($D:$D,Control!$B$32),0)-1,
    1)</f>
        <v>6.9859099974341099</v>
      </c>
      <c r="AN32" s="258" cm="1">
        <f t="array" ref="AN32">INDEX(
    INDEX(AN:AN,Control!$B$29):INDEX(AN:AN,100000),
    MATCH($A$8,INDEX($A:$A,Control!$B$29):INDEX($A:$A,100000),0)+MATCH($D32,INDEX($D:$D,Control!$B$31):INDEX($D:$D,Control!$B$32),0)-1,
    1)</f>
        <v>6.9297581193582802</v>
      </c>
    </row>
    <row r="33" spans="3:40" x14ac:dyDescent="0.35">
      <c r="C33" s="292" t="s">
        <v>230</v>
      </c>
      <c r="D33" s="266" t="s">
        <v>350</v>
      </c>
      <c r="E33" s="19" t="s">
        <v>219</v>
      </c>
      <c r="F33" s="24" cm="1">
        <f t="array" ref="F33">INDEX(
    INDEX(F:F,Control!$B$29):INDEX(F:F,100000),
    MATCH($A$8,INDEX($A:$A,Control!$B$29):INDEX($A:$A,100000),0)+MATCH($D33,INDEX($D:$D,Control!$B$31):INDEX($D:$D,Control!$B$32),0)-1,
    1)</f>
        <v>0</v>
      </c>
      <c r="G33" s="24" cm="1">
        <f t="array" ref="G33">INDEX(
    INDEX(G:G,Control!$B$29):INDEX(G:G,100000),
    MATCH($A$8,INDEX($A:$A,Control!$B$29):INDEX($A:$A,100000),0)+MATCH($D33,INDEX($D:$D,Control!$B$31):INDEX($D:$D,Control!$B$32),0)-1,
    1)</f>
        <v>48.405676872676899</v>
      </c>
      <c r="H33" s="24" cm="1">
        <f t="array" ref="H33">INDEX(
    INDEX(H:H,Control!$B$29):INDEX(H:H,100000),
    MATCH($A$8,INDEX($A:$A,Control!$B$29):INDEX($A:$A,100000),0)+MATCH($D33,INDEX($D:$D,Control!$B$31):INDEX($D:$D,Control!$B$32),0)-1,
    1)</f>
        <v>37.607874432485502</v>
      </c>
      <c r="I33" s="258" cm="1">
        <f t="array" ref="I33">INDEX(
    INDEX(I:I,Control!$B$29):INDEX(I:I,100000),
    MATCH($A$8,INDEX($A:$A,Control!$B$29):INDEX($A:$A,100000),0)+MATCH($D33,INDEX($D:$D,Control!$B$31):INDEX($D:$D,Control!$B$32),0)-1,
    1)</f>
        <v>25.418539655256399</v>
      </c>
      <c r="J33" s="258" cm="1">
        <f t="array" ref="J33">INDEX(
    INDEX(J:J,Control!$B$29):INDEX(J:J,100000),
    MATCH($A$8,INDEX($A:$A,Control!$B$29):INDEX($A:$A,100000),0)+MATCH($D33,INDEX($D:$D,Control!$B$31):INDEX($D:$D,Control!$B$32),0)-1,
    1)</f>
        <v>24.707944167494901</v>
      </c>
      <c r="K33" s="258" cm="1">
        <f t="array" ref="K33">INDEX(
    INDEX(K:K,Control!$B$29):INDEX(K:K,100000),
    MATCH($A$8,INDEX($A:$A,Control!$B$29):INDEX($A:$A,100000),0)+MATCH($D33,INDEX($D:$D,Control!$B$31):INDEX($D:$D,Control!$B$32),0)-1,
    1)</f>
        <v>23.034315241865201</v>
      </c>
      <c r="L33" s="258" cm="1">
        <f t="array" ref="L33">INDEX(
    INDEX(L:L,Control!$B$29):INDEX(L:L,100000),
    MATCH($A$8,INDEX($A:$A,Control!$B$29):INDEX($A:$A,100000),0)+MATCH($D33,INDEX($D:$D,Control!$B$31):INDEX($D:$D,Control!$B$32),0)-1,
    1)</f>
        <v>22.415892409036399</v>
      </c>
      <c r="M33" s="258" cm="1">
        <f t="array" ref="M33">INDEX(
    INDEX(M:M,Control!$B$29):INDEX(M:M,100000),
    MATCH($A$8,INDEX($A:$A,Control!$B$29):INDEX($A:$A,100000),0)+MATCH($D33,INDEX($D:$D,Control!$B$31):INDEX($D:$D,Control!$B$32),0)-1,
    1)</f>
        <v>21.301766019984701</v>
      </c>
      <c r="N33" s="258" cm="1">
        <f t="array" ref="N33">INDEX(
    INDEX(N:N,Control!$B$29):INDEX(N:N,100000),
    MATCH($A$8,INDEX($A:$A,Control!$B$29):INDEX($A:$A,100000),0)+MATCH($D33,INDEX($D:$D,Control!$B$31):INDEX($D:$D,Control!$B$32),0)-1,
    1)</f>
        <v>20.963225041207899</v>
      </c>
      <c r="O33" s="258" cm="1">
        <f t="array" ref="O33">INDEX(
    INDEX(O:O,Control!$B$29):INDEX(O:O,100000),
    MATCH($A$8,INDEX($A:$A,Control!$B$29):INDEX($A:$A,100000),0)+MATCH($D33,INDEX($D:$D,Control!$B$31):INDEX($D:$D,Control!$B$32),0)-1,
    1)</f>
        <v>24.148472971499999</v>
      </c>
      <c r="P33" s="258" cm="1">
        <f t="array" ref="P33">INDEX(
    INDEX(P:P,Control!$B$29):INDEX(P:P,100000),
    MATCH($A$8,INDEX($A:$A,Control!$B$29):INDEX($A:$A,100000),0)+MATCH($D33,INDEX($D:$D,Control!$B$31):INDEX($D:$D,Control!$B$32),0)-1,
    1)</f>
        <v>23.0908536537994</v>
      </c>
      <c r="Q33" s="258" cm="1">
        <f t="array" ref="Q33">INDEX(
    INDEX(Q:Q,Control!$B$29):INDEX(Q:Q,100000),
    MATCH($A$8,INDEX($A:$A,Control!$B$29):INDEX($A:$A,100000),0)+MATCH($D33,INDEX($D:$D,Control!$B$31):INDEX($D:$D,Control!$B$32),0)-1,
    1)</f>
        <v>22.7976207113417</v>
      </c>
      <c r="R33" s="258" cm="1">
        <f t="array" ref="R33">INDEX(
    INDEX(R:R,Control!$B$29):INDEX(R:R,100000),
    MATCH($A$8,INDEX($A:$A,Control!$B$29):INDEX($A:$A,100000),0)+MATCH($D33,INDEX($D:$D,Control!$B$31):INDEX($D:$D,Control!$B$32),0)-1,
    1)</f>
        <v>23.603554252930099</v>
      </c>
      <c r="S33" s="258" cm="1">
        <f t="array" ref="S33">INDEX(
    INDEX(S:S,Control!$B$29):INDEX(S:S,100000),
    MATCH($A$8,INDEX($A:$A,Control!$B$29):INDEX($A:$A,100000),0)+MATCH($D33,INDEX($D:$D,Control!$B$31):INDEX($D:$D,Control!$B$32),0)-1,
    1)</f>
        <v>23.78975910406</v>
      </c>
      <c r="T33" s="258" cm="1">
        <f t="array" ref="T33">INDEX(
    INDEX(T:T,Control!$B$29):INDEX(T:T,100000),
    MATCH($A$8,INDEX($A:$A,Control!$B$29):INDEX($A:$A,100000),0)+MATCH($D33,INDEX($D:$D,Control!$B$31):INDEX($D:$D,Control!$B$32),0)-1,
    1)</f>
        <v>23.186808072427599</v>
      </c>
      <c r="U33" s="258" cm="1">
        <f t="array" ref="U33">INDEX(
    INDEX(U:U,Control!$B$29):INDEX(U:U,100000),
    MATCH($A$8,INDEX($A:$A,Control!$B$29):INDEX($A:$A,100000),0)+MATCH($D33,INDEX($D:$D,Control!$B$31):INDEX($D:$D,Control!$B$32),0)-1,
    1)</f>
        <v>22.298323434921901</v>
      </c>
      <c r="V33" s="258" cm="1">
        <f t="array" ref="V33">INDEX(
    INDEX(V:V,Control!$B$29):INDEX(V:V,100000),
    MATCH($A$8,INDEX($A:$A,Control!$B$29):INDEX($A:$A,100000),0)+MATCH($D33,INDEX($D:$D,Control!$B$31):INDEX($D:$D,Control!$B$32),0)-1,
    1)</f>
        <v>23.023126653694199</v>
      </c>
      <c r="W33" s="258" cm="1">
        <f t="array" ref="W33">INDEX(
    INDEX(W:W,Control!$B$29):INDEX(W:W,100000),
    MATCH($A$8,INDEX($A:$A,Control!$B$29):INDEX($A:$A,100000),0)+MATCH($D33,INDEX($D:$D,Control!$B$31):INDEX($D:$D,Control!$B$32),0)-1,
    1)</f>
        <v>22.483838793223399</v>
      </c>
      <c r="X33" s="258" cm="1">
        <f t="array" ref="X33">INDEX(
    INDEX(X:X,Control!$B$29):INDEX(X:X,100000),
    MATCH($A$8,INDEX($A:$A,Control!$B$29):INDEX($A:$A,100000),0)+MATCH($D33,INDEX($D:$D,Control!$B$31):INDEX($D:$D,Control!$B$32),0)-1,
    1)</f>
        <v>22.342106229529499</v>
      </c>
      <c r="Y33" s="258" cm="1">
        <f t="array" ref="Y33">INDEX(
    INDEX(Y:Y,Control!$B$29):INDEX(Y:Y,100000),
    MATCH($A$8,INDEX($A:$A,Control!$B$29):INDEX($A:$A,100000),0)+MATCH($D33,INDEX($D:$D,Control!$B$31):INDEX($D:$D,Control!$B$32),0)-1,
    1)</f>
        <v>22.3656847948908</v>
      </c>
      <c r="Z33" s="258" cm="1">
        <f t="array" ref="Z33">INDEX(
    INDEX(Z:Z,Control!$B$29):INDEX(Z:Z,100000),
    MATCH($A$8,INDEX($A:$A,Control!$B$29):INDEX($A:$A,100000),0)+MATCH($D33,INDEX($D:$D,Control!$B$31):INDEX($D:$D,Control!$B$32),0)-1,
    1)</f>
        <v>23.732562539880501</v>
      </c>
      <c r="AA33" s="258" cm="1">
        <f t="array" ref="AA33">INDEX(
    INDEX(AA:AA,Control!$B$29):INDEX(AA:AA,100000),
    MATCH($A$8,INDEX($A:$A,Control!$B$29):INDEX($A:$A,100000),0)+MATCH($D33,INDEX($D:$D,Control!$B$31):INDEX($D:$D,Control!$B$32),0)-1,
    1)</f>
        <v>24.106633293045299</v>
      </c>
      <c r="AB33" s="258" cm="1">
        <f t="array" ref="AB33">INDEX(
    INDEX(AB:AB,Control!$B$29):INDEX(AB:AB,100000),
    MATCH($A$8,INDEX($A:$A,Control!$B$29):INDEX($A:$A,100000),0)+MATCH($D33,INDEX($D:$D,Control!$B$31):INDEX($D:$D,Control!$B$32),0)-1,
    1)</f>
        <v>23.881221372442202</v>
      </c>
      <c r="AC33" s="258" cm="1">
        <f t="array" ref="AC33">INDEX(
    INDEX(AC:AC,Control!$B$29):INDEX(AC:AC,100000),
    MATCH($A$8,INDEX($A:$A,Control!$B$29):INDEX($A:$A,100000),0)+MATCH($D33,INDEX($D:$D,Control!$B$31):INDEX($D:$D,Control!$B$32),0)-1,
    1)</f>
        <v>23.714980472754601</v>
      </c>
      <c r="AD33" s="258" cm="1">
        <f t="array" ref="AD33">INDEX(
    INDEX(AD:AD,Control!$B$29):INDEX(AD:AD,100000),
    MATCH($A$8,INDEX($A:$A,Control!$B$29):INDEX($A:$A,100000),0)+MATCH($D33,INDEX($D:$D,Control!$B$31):INDEX($D:$D,Control!$B$32),0)-1,
    1)</f>
        <v>23.455135698172299</v>
      </c>
      <c r="AE33" s="258" cm="1">
        <f t="array" ref="AE33">INDEX(
    INDEX(AE:AE,Control!$B$29):INDEX(AE:AE,100000),
    MATCH($A$8,INDEX($A:$A,Control!$B$29):INDEX($A:$A,100000),0)+MATCH($D33,INDEX($D:$D,Control!$B$31):INDEX($D:$D,Control!$B$32),0)-1,
    1)</f>
        <v>23.806077101000401</v>
      </c>
      <c r="AF33" s="258" cm="1">
        <f t="array" ref="AF33">INDEX(
    INDEX(AF:AF,Control!$B$29):INDEX(AF:AF,100000),
    MATCH($A$8,INDEX($A:$A,Control!$B$29):INDEX($A:$A,100000),0)+MATCH($D33,INDEX($D:$D,Control!$B$31):INDEX($D:$D,Control!$B$32),0)-1,
    1)</f>
        <v>23.799234407020901</v>
      </c>
      <c r="AG33" s="258" cm="1">
        <f t="array" ref="AG33">INDEX(
    INDEX(AG:AG,Control!$B$29):INDEX(AG:AG,100000),
    MATCH($A$8,INDEX($A:$A,Control!$B$29):INDEX($A:$A,100000),0)+MATCH($D33,INDEX($D:$D,Control!$B$31):INDEX($D:$D,Control!$B$32),0)-1,
    1)</f>
        <v>23.7225440001457</v>
      </c>
      <c r="AH33" s="258" cm="1">
        <f t="array" ref="AH33">INDEX(
    INDEX(AH:AH,Control!$B$29):INDEX(AH:AH,100000),
    MATCH($A$8,INDEX($A:$A,Control!$B$29):INDEX($A:$A,100000),0)+MATCH($D33,INDEX($D:$D,Control!$B$31):INDEX($D:$D,Control!$B$32),0)-1,
    1)</f>
        <v>23.410360451766099</v>
      </c>
      <c r="AI33" s="258" cm="1">
        <f t="array" ref="AI33">INDEX(
    INDEX(AI:AI,Control!$B$29):INDEX(AI:AI,100000),
    MATCH($A$8,INDEX($A:$A,Control!$B$29):INDEX($A:$A,100000),0)+MATCH($D33,INDEX($D:$D,Control!$B$31):INDEX($D:$D,Control!$B$32),0)-1,
    1)</f>
        <v>23.198195150958298</v>
      </c>
      <c r="AJ33" s="258" cm="1">
        <f t="array" ref="AJ33">INDEX(
    INDEX(AJ:AJ,Control!$B$29):INDEX(AJ:AJ,100000),
    MATCH($A$8,INDEX($A:$A,Control!$B$29):INDEX($A:$A,100000),0)+MATCH($D33,INDEX($D:$D,Control!$B$31):INDEX($D:$D,Control!$B$32),0)-1,
    1)</f>
        <v>22.9392697001473</v>
      </c>
      <c r="AK33" s="258" cm="1">
        <f t="array" ref="AK33">INDEX(
    INDEX(AK:AK,Control!$B$29):INDEX(AK:AK,100000),
    MATCH($A$8,INDEX($A:$A,Control!$B$29):INDEX($A:$A,100000),0)+MATCH($D33,INDEX($D:$D,Control!$B$31):INDEX($D:$D,Control!$B$32),0)-1,
    1)</f>
        <v>22.701373780604399</v>
      </c>
      <c r="AL33" s="258" cm="1">
        <f t="array" ref="AL33">INDEX(
    INDEX(AL:AL,Control!$B$29):INDEX(AL:AL,100000),
    MATCH($A$8,INDEX($A:$A,Control!$B$29):INDEX($A:$A,100000),0)+MATCH($D33,INDEX($D:$D,Control!$B$31):INDEX($D:$D,Control!$B$32),0)-1,
    1)</f>
        <v>22.5081590857184</v>
      </c>
      <c r="AM33" s="258" cm="1">
        <f t="array" ref="AM33">INDEX(
    INDEX(AM:AM,Control!$B$29):INDEX(AM:AM,100000),
    MATCH($A$8,INDEX($A:$A,Control!$B$29):INDEX($A:$A,100000),0)+MATCH($D33,INDEX($D:$D,Control!$B$31):INDEX($D:$D,Control!$B$32),0)-1,
    1)</f>
        <v>22.883546143374002</v>
      </c>
      <c r="AN33" s="258" cm="1">
        <f t="array" ref="AN33">INDEX(
    INDEX(AN:AN,Control!$B$29):INDEX(AN:AN,100000),
    MATCH($A$8,INDEX($A:$A,Control!$B$29):INDEX($A:$A,100000),0)+MATCH($D33,INDEX($D:$D,Control!$B$31):INDEX($D:$D,Control!$B$32),0)-1,
    1)</f>
        <v>23.318031093917899</v>
      </c>
    </row>
    <row r="34" spans="3:40" x14ac:dyDescent="0.35">
      <c r="C34" s="292" t="s">
        <v>230</v>
      </c>
      <c r="D34" s="267" t="s">
        <v>351</v>
      </c>
      <c r="E34" s="19" t="s">
        <v>219</v>
      </c>
      <c r="F34" s="24" cm="1">
        <f t="array" ref="F34">INDEX(
    INDEX(F:F,Control!$B$29):INDEX(F:F,100000),
    MATCH($A$8,INDEX($A:$A,Control!$B$29):INDEX($A:$A,100000),0)+MATCH($D34,INDEX($D:$D,Control!$B$31):INDEX($D:$D,Control!$B$32),0)-1,
    1)</f>
        <v>0</v>
      </c>
      <c r="G34" s="24" cm="1">
        <f t="array" ref="G34">INDEX(
    INDEX(G:G,Control!$B$29):INDEX(G:G,100000),
    MATCH($A$8,INDEX($A:$A,Control!$B$29):INDEX($A:$A,100000),0)+MATCH($D34,INDEX($D:$D,Control!$B$31):INDEX($D:$D,Control!$B$32),0)-1,
    1)</f>
        <v>-30.8418604130269</v>
      </c>
      <c r="H34" s="24" cm="1">
        <f t="array" ref="H34">INDEX(
    INDEX(H:H,Control!$B$29):INDEX(H:H,100000),
    MATCH($A$8,INDEX($A:$A,Control!$B$29):INDEX($A:$A,100000),0)+MATCH($D34,INDEX($D:$D,Control!$B$31):INDEX($D:$D,Control!$B$32),0)-1,
    1)</f>
        <v>-30.701914262570401</v>
      </c>
      <c r="I34" s="258" cm="1">
        <f t="array" ref="I34">INDEX(
    INDEX(I:I,Control!$B$29):INDEX(I:I,100000),
    MATCH($A$8,INDEX($A:$A,Control!$B$29):INDEX($A:$A,100000),0)+MATCH($D34,INDEX($D:$D,Control!$B$31):INDEX($D:$D,Control!$B$32),0)-1,
    1)</f>
        <v>-30.61540380632</v>
      </c>
      <c r="J34" s="258" cm="1">
        <f t="array" ref="J34">INDEX(
    INDEX(J:J,Control!$B$29):INDEX(J:J,100000),
    MATCH($A$8,INDEX($A:$A,Control!$B$29):INDEX($A:$A,100000),0)+MATCH($D34,INDEX($D:$D,Control!$B$31):INDEX($D:$D,Control!$B$32),0)-1,
    1)</f>
        <v>-30.841923094193099</v>
      </c>
      <c r="K34" s="258" cm="1">
        <f t="array" ref="K34">INDEX(
    INDEX(K:K,Control!$B$29):INDEX(K:K,100000),
    MATCH($A$8,INDEX($A:$A,Control!$B$29):INDEX($A:$A,100000),0)+MATCH($D34,INDEX($D:$D,Control!$B$31):INDEX($D:$D,Control!$B$32),0)-1,
    1)</f>
        <v>-30.726213661343301</v>
      </c>
      <c r="L34" s="258" cm="1">
        <f t="array" ref="L34">INDEX(
    INDEX(L:L,Control!$B$29):INDEX(L:L,100000),
    MATCH($A$8,INDEX($A:$A,Control!$B$29):INDEX($A:$A,100000),0)+MATCH($D34,INDEX($D:$D,Control!$B$31):INDEX($D:$D,Control!$B$32),0)-1,
    1)</f>
        <v>-30.658570236126302</v>
      </c>
      <c r="M34" s="258" cm="1">
        <f t="array" ref="M34">INDEX(
    INDEX(M:M,Control!$B$29):INDEX(M:M,100000),
    MATCH($A$8,INDEX($A:$A,Control!$B$29):INDEX($A:$A,100000),0)+MATCH($D34,INDEX($D:$D,Control!$B$31):INDEX($D:$D,Control!$B$32),0)-1,
    1)</f>
        <v>-30.440502458832398</v>
      </c>
      <c r="N34" s="258" cm="1">
        <f t="array" ref="N34">INDEX(
    INDEX(N:N,Control!$B$29):INDEX(N:N,100000),
    MATCH($A$8,INDEX($A:$A,Control!$B$29):INDEX($A:$A,100000),0)+MATCH($D34,INDEX($D:$D,Control!$B$31):INDEX($D:$D,Control!$B$32),0)-1,
    1)</f>
        <v>-30.741163119487702</v>
      </c>
      <c r="O34" s="258" cm="1">
        <f t="array" ref="O34">INDEX(
    INDEX(O:O,Control!$B$29):INDEX(O:O,100000),
    MATCH($A$8,INDEX($A:$A,Control!$B$29):INDEX($A:$A,100000),0)+MATCH($D34,INDEX($D:$D,Control!$B$31):INDEX($D:$D,Control!$B$32),0)-1,
    1)</f>
        <v>-30.728156777496199</v>
      </c>
      <c r="P34" s="258" cm="1">
        <f t="array" ref="P34">INDEX(
    INDEX(P:P,Control!$B$29):INDEX(P:P,100000),
    MATCH($A$8,INDEX($A:$A,Control!$B$29):INDEX($A:$A,100000),0)+MATCH($D34,INDEX($D:$D,Control!$B$31):INDEX($D:$D,Control!$B$32),0)-1,
    1)</f>
        <v>-30.5763116523182</v>
      </c>
      <c r="Q34" s="258" cm="1">
        <f t="array" ref="Q34">INDEX(
    INDEX(Q:Q,Control!$B$29):INDEX(Q:Q,100000),
    MATCH($A$8,INDEX($A:$A,Control!$B$29):INDEX($A:$A,100000),0)+MATCH($D34,INDEX($D:$D,Control!$B$31):INDEX($D:$D,Control!$B$32),0)-1,
    1)</f>
        <v>-30.667544089757399</v>
      </c>
      <c r="R34" s="258" cm="1">
        <f t="array" ref="R34">INDEX(
    INDEX(R:R,Control!$B$29):INDEX(R:R,100000),
    MATCH($A$8,INDEX($A:$A,Control!$B$29):INDEX($A:$A,100000),0)+MATCH($D34,INDEX($D:$D,Control!$B$31):INDEX($D:$D,Control!$B$32),0)-1,
    1)</f>
        <v>-30.639358458678601</v>
      </c>
      <c r="S34" s="258" cm="1">
        <f t="array" ref="S34">INDEX(
    INDEX(S:S,Control!$B$29):INDEX(S:S,100000),
    MATCH($A$8,INDEX($A:$A,Control!$B$29):INDEX($A:$A,100000),0)+MATCH($D34,INDEX($D:$D,Control!$B$31):INDEX($D:$D,Control!$B$32),0)-1,
    1)</f>
        <v>-30.889863739493599</v>
      </c>
      <c r="T34" s="258" cm="1">
        <f t="array" ref="T34">INDEX(
    INDEX(T:T,Control!$B$29):INDEX(T:T,100000),
    MATCH($A$8,INDEX($A:$A,Control!$B$29):INDEX($A:$A,100000),0)+MATCH($D34,INDEX($D:$D,Control!$B$31):INDEX($D:$D,Control!$B$32),0)-1,
    1)</f>
        <v>-30.9460887455967</v>
      </c>
      <c r="U34" s="258" cm="1">
        <f t="array" ref="U34">INDEX(
    INDEX(U:U,Control!$B$29):INDEX(U:U,100000),
    MATCH($A$8,INDEX($A:$A,Control!$B$29):INDEX($A:$A,100000),0)+MATCH($D34,INDEX($D:$D,Control!$B$31):INDEX($D:$D,Control!$B$32),0)-1,
    1)</f>
        <v>-30.862127323439399</v>
      </c>
      <c r="V34" s="258" cm="1">
        <f t="array" ref="V34">INDEX(
    INDEX(V:V,Control!$B$29):INDEX(V:V,100000),
    MATCH($A$8,INDEX($A:$A,Control!$B$29):INDEX($A:$A,100000),0)+MATCH($D34,INDEX($D:$D,Control!$B$31):INDEX($D:$D,Control!$B$32),0)-1,
    1)</f>
        <v>-30.8721040757301</v>
      </c>
      <c r="W34" s="258" cm="1">
        <f t="array" ref="W34">INDEX(
    INDEX(W:W,Control!$B$29):INDEX(W:W,100000),
    MATCH($A$8,INDEX($A:$A,Control!$B$29):INDEX($A:$A,100000),0)+MATCH($D34,INDEX($D:$D,Control!$B$31):INDEX($D:$D,Control!$B$32),0)-1,
    1)</f>
        <v>-30.644665464085602</v>
      </c>
      <c r="X34" s="258" cm="1">
        <f t="array" ref="X34">INDEX(
    INDEX(X:X,Control!$B$29):INDEX(X:X,100000),
    MATCH($A$8,INDEX($A:$A,Control!$B$29):INDEX($A:$A,100000),0)+MATCH($D34,INDEX($D:$D,Control!$B$31):INDEX($D:$D,Control!$B$32),0)-1,
    1)</f>
        <v>-31.097714486693</v>
      </c>
      <c r="Y34" s="258" cm="1">
        <f t="array" ref="Y34">INDEX(
    INDEX(Y:Y,Control!$B$29):INDEX(Y:Y,100000),
    MATCH($A$8,INDEX($A:$A,Control!$B$29):INDEX($A:$A,100000),0)+MATCH($D34,INDEX($D:$D,Control!$B$31):INDEX($D:$D,Control!$B$32),0)-1,
    1)</f>
        <v>-30.697390771741201</v>
      </c>
      <c r="Z34" s="258" cm="1">
        <f t="array" ref="Z34">INDEX(
    INDEX(Z:Z,Control!$B$29):INDEX(Z:Z,100000),
    MATCH($A$8,INDEX($A:$A,Control!$B$29):INDEX($A:$A,100000),0)+MATCH($D34,INDEX($D:$D,Control!$B$31):INDEX($D:$D,Control!$B$32),0)-1,
    1)</f>
        <v>-30.818334081970701</v>
      </c>
      <c r="AA34" s="258" cm="1">
        <f t="array" ref="AA34">INDEX(
    INDEX(AA:AA,Control!$B$29):INDEX(AA:AA,100000),
    MATCH($A$8,INDEX($A:$A,Control!$B$29):INDEX($A:$A,100000),0)+MATCH($D34,INDEX($D:$D,Control!$B$31):INDEX($D:$D,Control!$B$32),0)-1,
    1)</f>
        <v>-30.636422890727101</v>
      </c>
      <c r="AB34" s="258" cm="1">
        <f t="array" ref="AB34">INDEX(
    INDEX(AB:AB,Control!$B$29):INDEX(AB:AB,100000),
    MATCH($A$8,INDEX($A:$A,Control!$B$29):INDEX($A:$A,100000),0)+MATCH($D34,INDEX($D:$D,Control!$B$31):INDEX($D:$D,Control!$B$32),0)-1,
    1)</f>
        <v>-30.949724253237701</v>
      </c>
      <c r="AC34" s="258" cm="1">
        <f t="array" ref="AC34">INDEX(
    INDEX(AC:AC,Control!$B$29):INDEX(AC:AC,100000),
    MATCH($A$8,INDEX($A:$A,Control!$B$29):INDEX($A:$A,100000),0)+MATCH($D34,INDEX($D:$D,Control!$B$31):INDEX($D:$D,Control!$B$32),0)-1,
    1)</f>
        <v>-30.6233643144304</v>
      </c>
      <c r="AD34" s="258" cm="1">
        <f t="array" ref="AD34">INDEX(
    INDEX(AD:AD,Control!$B$29):INDEX(AD:AD,100000),
    MATCH($A$8,INDEX($A:$A,Control!$B$29):INDEX($A:$A,100000),0)+MATCH($D34,INDEX($D:$D,Control!$B$31):INDEX($D:$D,Control!$B$32),0)-1,
    1)</f>
        <v>-30.861458724333001</v>
      </c>
      <c r="AE34" s="258" cm="1">
        <f t="array" ref="AE34">INDEX(
    INDEX(AE:AE,Control!$B$29):INDEX(AE:AE,100000),
    MATCH($A$8,INDEX($A:$A,Control!$B$29):INDEX($A:$A,100000),0)+MATCH($D34,INDEX($D:$D,Control!$B$31):INDEX($D:$D,Control!$B$32),0)-1,
    1)</f>
        <v>-31.036809286845099</v>
      </c>
      <c r="AF34" s="258" cm="1">
        <f t="array" ref="AF34">INDEX(
    INDEX(AF:AF,Control!$B$29):INDEX(AF:AF,100000),
    MATCH($A$8,INDEX($A:$A,Control!$B$29):INDEX($A:$A,100000),0)+MATCH($D34,INDEX($D:$D,Control!$B$31):INDEX($D:$D,Control!$B$32),0)-1,
    1)</f>
        <v>-31.0196346472997</v>
      </c>
      <c r="AG34" s="258" cm="1">
        <f t="array" ref="AG34">INDEX(
    INDEX(AG:AG,Control!$B$29):INDEX(AG:AG,100000),
    MATCH($A$8,INDEX($A:$A,Control!$B$29):INDEX($A:$A,100000),0)+MATCH($D34,INDEX($D:$D,Control!$B$31):INDEX($D:$D,Control!$B$32),0)-1,
    1)</f>
        <v>-30.3327012997879</v>
      </c>
      <c r="AH34" s="258" cm="1">
        <f t="array" ref="AH34">INDEX(
    INDEX(AH:AH,Control!$B$29):INDEX(AH:AH,100000),
    MATCH($A$8,INDEX($A:$A,Control!$B$29):INDEX($A:$A,100000),0)+MATCH($D34,INDEX($D:$D,Control!$B$31):INDEX($D:$D,Control!$B$32),0)-1,
    1)</f>
        <v>-30.5204522863514</v>
      </c>
      <c r="AI34" s="258" cm="1">
        <f t="array" ref="AI34">INDEX(
    INDEX(AI:AI,Control!$B$29):INDEX(AI:AI,100000),
    MATCH($A$8,INDEX($A:$A,Control!$B$29):INDEX($A:$A,100000),0)+MATCH($D34,INDEX($D:$D,Control!$B$31):INDEX($D:$D,Control!$B$32),0)-1,
    1)</f>
        <v>-30.502765750615101</v>
      </c>
      <c r="AJ34" s="258" cm="1">
        <f t="array" ref="AJ34">INDEX(
    INDEX(AJ:AJ,Control!$B$29):INDEX(AJ:AJ,100000),
    MATCH($A$8,INDEX($A:$A,Control!$B$29):INDEX($A:$A,100000),0)+MATCH($D34,INDEX($D:$D,Control!$B$31):INDEX($D:$D,Control!$B$32),0)-1,
    1)</f>
        <v>-31.079829460597001</v>
      </c>
      <c r="AK34" s="258" cm="1">
        <f t="array" ref="AK34">INDEX(
    INDEX(AK:AK,Control!$B$29):INDEX(AK:AK,100000),
    MATCH($A$8,INDEX($A:$A,Control!$B$29):INDEX($A:$A,100000),0)+MATCH($D34,INDEX($D:$D,Control!$B$31):INDEX($D:$D,Control!$B$32),0)-1,
    1)</f>
        <v>-30.8236619810998</v>
      </c>
      <c r="AL34" s="258" cm="1">
        <f t="array" ref="AL34">INDEX(
    INDEX(AL:AL,Control!$B$29):INDEX(AL:AL,100000),
    MATCH($A$8,INDEX($A:$A,Control!$B$29):INDEX($A:$A,100000),0)+MATCH($D34,INDEX($D:$D,Control!$B$31):INDEX($D:$D,Control!$B$32),0)-1,
    1)</f>
        <v>-30.487941654803102</v>
      </c>
      <c r="AM34" s="258" cm="1">
        <f t="array" ref="AM34">INDEX(
    INDEX(AM:AM,Control!$B$29):INDEX(AM:AM,100000),
    MATCH($A$8,INDEX($A:$A,Control!$B$29):INDEX($A:$A,100000),0)+MATCH($D34,INDEX($D:$D,Control!$B$31):INDEX($D:$D,Control!$B$32),0)-1,
    1)</f>
        <v>-30.814646340024598</v>
      </c>
      <c r="AN34" s="258" cm="1">
        <f t="array" ref="AN34">INDEX(
    INDEX(AN:AN,Control!$B$29):INDEX(AN:AN,100000),
    MATCH($A$8,INDEX($A:$A,Control!$B$29):INDEX($A:$A,100000),0)+MATCH($D34,INDEX($D:$D,Control!$B$31):INDEX($D:$D,Control!$B$32),0)-1,
    1)</f>
        <v>-30.949954084180501</v>
      </c>
    </row>
    <row r="35" spans="3:40" x14ac:dyDescent="0.35">
      <c r="C35" s="292" t="s">
        <v>230</v>
      </c>
      <c r="D35" s="266" t="s">
        <v>352</v>
      </c>
      <c r="E35" s="19" t="s">
        <v>219</v>
      </c>
      <c r="F35" s="24" cm="1">
        <f t="array" ref="F35">INDEX(
    INDEX(F:F,Control!$B$29):INDEX(F:F,100000),
    MATCH($A$8,INDEX($A:$A,Control!$B$29):INDEX($A:$A,100000),0)+MATCH($D35,INDEX($D:$D,Control!$B$31):INDEX($D:$D,Control!$B$32),0)-1,
    1)</f>
        <v>0</v>
      </c>
      <c r="G35" s="24" cm="1">
        <f t="array" ref="G35">INDEX(
    INDEX(G:G,Control!$B$29):INDEX(G:G,100000),
    MATCH($A$8,INDEX($A:$A,Control!$B$29):INDEX($A:$A,100000),0)+MATCH($D35,INDEX($D:$D,Control!$B$31):INDEX($D:$D,Control!$B$32),0)-1,
    1)</f>
        <v>119.633629048743</v>
      </c>
      <c r="H35" s="24" cm="1">
        <f t="array" ref="H35">INDEX(
    INDEX(H:H,Control!$B$29):INDEX(H:H,100000),
    MATCH($A$8,INDEX($A:$A,Control!$B$29):INDEX($A:$A,100000),0)+MATCH($D35,INDEX($D:$D,Control!$B$31):INDEX($D:$D,Control!$B$32),0)-1,
    1)</f>
        <v>101.02359079678401</v>
      </c>
      <c r="I35" s="258" cm="1">
        <f t="array" ref="I35">INDEX(
    INDEX(I:I,Control!$B$29):INDEX(I:I,100000),
    MATCH($A$8,INDEX($A:$A,Control!$B$29):INDEX($A:$A,100000),0)+MATCH($D35,INDEX($D:$D,Control!$B$31):INDEX($D:$D,Control!$B$32),0)-1,
    1)</f>
        <v>72.158109342250498</v>
      </c>
      <c r="J35" s="258" cm="1">
        <f t="array" ref="J35">INDEX(
    INDEX(J:J,Control!$B$29):INDEX(J:J,100000),
    MATCH($A$8,INDEX($A:$A,Control!$B$29):INDEX($A:$A,100000),0)+MATCH($D35,INDEX($D:$D,Control!$B$31):INDEX($D:$D,Control!$B$32),0)-1,
    1)</f>
        <v>56.448516694983098</v>
      </c>
      <c r="K35" s="258" cm="1">
        <f t="array" ref="K35">INDEX(
    INDEX(K:K,Control!$B$29):INDEX(K:K,100000),
    MATCH($A$8,INDEX($A:$A,Control!$B$29):INDEX($A:$A,100000),0)+MATCH($D35,INDEX($D:$D,Control!$B$31):INDEX($D:$D,Control!$B$32),0)-1,
    1)</f>
        <v>55.811425321480598</v>
      </c>
      <c r="L35" s="258" cm="1">
        <f t="array" ref="L35">INDEX(
    INDEX(L:L,Control!$B$29):INDEX(L:L,100000),
    MATCH($A$8,INDEX($A:$A,Control!$B$29):INDEX($A:$A,100000),0)+MATCH($D35,INDEX($D:$D,Control!$B$31):INDEX($D:$D,Control!$B$32),0)-1,
    1)</f>
        <v>64.658788359135201</v>
      </c>
      <c r="M35" s="258" cm="1">
        <f t="array" ref="M35">INDEX(
    INDEX(M:M,Control!$B$29):INDEX(M:M,100000),
    MATCH($A$8,INDEX($A:$A,Control!$B$29):INDEX($A:$A,100000),0)+MATCH($D35,INDEX($D:$D,Control!$B$31):INDEX($D:$D,Control!$B$32),0)-1,
    1)</f>
        <v>54.815421590178303</v>
      </c>
      <c r="N35" s="258" cm="1">
        <f t="array" ref="N35">INDEX(
    INDEX(N:N,Control!$B$29):INDEX(N:N,100000),
    MATCH($A$8,INDEX($A:$A,Control!$B$29):INDEX($A:$A,100000),0)+MATCH($D35,INDEX($D:$D,Control!$B$31):INDEX($D:$D,Control!$B$32),0)-1,
    1)</f>
        <v>51.369848329696303</v>
      </c>
      <c r="O35" s="258" cm="1">
        <f t="array" ref="O35">INDEX(
    INDEX(O:O,Control!$B$29):INDEX(O:O,100000),
    MATCH($A$8,INDEX($A:$A,Control!$B$29):INDEX($A:$A,100000),0)+MATCH($D35,INDEX($D:$D,Control!$B$31):INDEX($D:$D,Control!$B$32),0)-1,
    1)</f>
        <v>53.464851395267999</v>
      </c>
      <c r="P35" s="258" cm="1">
        <f t="array" ref="P35">INDEX(
    INDEX(P:P,Control!$B$29):INDEX(P:P,100000),
    MATCH($A$8,INDEX($A:$A,Control!$B$29):INDEX($A:$A,100000),0)+MATCH($D35,INDEX($D:$D,Control!$B$31):INDEX($D:$D,Control!$B$32),0)-1,
    1)</f>
        <v>46.481532219371203</v>
      </c>
      <c r="Q35" s="258" cm="1">
        <f t="array" ref="Q35">INDEX(
    INDEX(Q:Q,Control!$B$29):INDEX(Q:Q,100000),
    MATCH($A$8,INDEX($A:$A,Control!$B$29):INDEX($A:$A,100000),0)+MATCH($D35,INDEX($D:$D,Control!$B$31):INDEX($D:$D,Control!$B$32),0)-1,
    1)</f>
        <v>46.775047227076897</v>
      </c>
      <c r="R35" s="258" cm="1">
        <f t="array" ref="R35">INDEX(
    INDEX(R:R,Control!$B$29):INDEX(R:R,100000),
    MATCH($A$8,INDEX($A:$A,Control!$B$29):INDEX($A:$A,100000),0)+MATCH($D35,INDEX($D:$D,Control!$B$31):INDEX($D:$D,Control!$B$32),0)-1,
    1)</f>
        <v>44.120332687706401</v>
      </c>
      <c r="S35" s="258" cm="1">
        <f t="array" ref="S35">INDEX(
    INDEX(S:S,Control!$B$29):INDEX(S:S,100000),
    MATCH($A$8,INDEX($A:$A,Control!$B$29):INDEX($A:$A,100000),0)+MATCH($D35,INDEX($D:$D,Control!$B$31):INDEX($D:$D,Control!$B$32),0)-1,
    1)</f>
        <v>45.753803879508503</v>
      </c>
      <c r="T35" s="258" cm="1">
        <f t="array" ref="T35">INDEX(
    INDEX(T:T,Control!$B$29):INDEX(T:T,100000),
    MATCH($A$8,INDEX($A:$A,Control!$B$29):INDEX($A:$A,100000),0)+MATCH($D35,INDEX($D:$D,Control!$B$31):INDEX($D:$D,Control!$B$32),0)-1,
    1)</f>
        <v>48.467020840688299</v>
      </c>
      <c r="U35" s="258" cm="1">
        <f t="array" ref="U35">INDEX(
    INDEX(U:U,Control!$B$29):INDEX(U:U,100000),
    MATCH($A$8,INDEX($A:$A,Control!$B$29):INDEX($A:$A,100000),0)+MATCH($D35,INDEX($D:$D,Control!$B$31):INDEX($D:$D,Control!$B$32),0)-1,
    1)</f>
        <v>48.070928104456698</v>
      </c>
      <c r="V35" s="258" cm="1">
        <f t="array" ref="V35">INDEX(
    INDEX(V:V,Control!$B$29):INDEX(V:V,100000),
    MATCH($A$8,INDEX($A:$A,Control!$B$29):INDEX($A:$A,100000),0)+MATCH($D35,INDEX($D:$D,Control!$B$31):INDEX($D:$D,Control!$B$32),0)-1,
    1)</f>
        <v>48.058109805963802</v>
      </c>
      <c r="W35" s="258" cm="1">
        <f t="array" ref="W35">INDEX(
    INDEX(W:W,Control!$B$29):INDEX(W:W,100000),
    MATCH($A$8,INDEX($A:$A,Control!$B$29):INDEX($A:$A,100000),0)+MATCH($D35,INDEX($D:$D,Control!$B$31):INDEX($D:$D,Control!$B$32),0)-1,
    1)</f>
        <v>45.219520065474597</v>
      </c>
      <c r="X35" s="258" cm="1">
        <f t="array" ref="X35">INDEX(
    INDEX(X:X,Control!$B$29):INDEX(X:X,100000),
    MATCH($A$8,INDEX($A:$A,Control!$B$29):INDEX($A:$A,100000),0)+MATCH($D35,INDEX($D:$D,Control!$B$31):INDEX($D:$D,Control!$B$32),0)-1,
    1)</f>
        <v>43.9247674490869</v>
      </c>
      <c r="Y35" s="258" cm="1">
        <f t="array" ref="Y35">INDEX(
    INDEX(Y:Y,Control!$B$29):INDEX(Y:Y,100000),
    MATCH($A$8,INDEX($A:$A,Control!$B$29):INDEX($A:$A,100000),0)+MATCH($D35,INDEX($D:$D,Control!$B$31):INDEX($D:$D,Control!$B$32),0)-1,
    1)</f>
        <v>44.431471549982099</v>
      </c>
      <c r="Z35" s="258" cm="1">
        <f t="array" ref="Z35">INDEX(
    INDEX(Z:Z,Control!$B$29):INDEX(Z:Z,100000),
    MATCH($A$8,INDEX($A:$A,Control!$B$29):INDEX($A:$A,100000),0)+MATCH($D35,INDEX($D:$D,Control!$B$31):INDEX($D:$D,Control!$B$32),0)-1,
    1)</f>
        <v>48.204543457124501</v>
      </c>
      <c r="AA35" s="258" cm="1">
        <f t="array" ref="AA35">INDEX(
    INDEX(AA:AA,Control!$B$29):INDEX(AA:AA,100000),
    MATCH($A$8,INDEX($A:$A,Control!$B$29):INDEX($A:$A,100000),0)+MATCH($D35,INDEX($D:$D,Control!$B$31):INDEX($D:$D,Control!$B$32),0)-1,
    1)</f>
        <v>48.046660046266901</v>
      </c>
      <c r="AB35" s="258" cm="1">
        <f t="array" ref="AB35">INDEX(
    INDEX(AB:AB,Control!$B$29):INDEX(AB:AB,100000),
    MATCH($A$8,INDEX($A:$A,Control!$B$29):INDEX($A:$A,100000),0)+MATCH($D35,INDEX($D:$D,Control!$B$31):INDEX($D:$D,Control!$B$32),0)-1,
    1)</f>
        <v>50.863781487324303</v>
      </c>
      <c r="AC35" s="258" cm="1">
        <f t="array" ref="AC35">INDEX(
    INDEX(AC:AC,Control!$B$29):INDEX(AC:AC,100000),
    MATCH($A$8,INDEX($A:$A,Control!$B$29):INDEX($A:$A,100000),0)+MATCH($D35,INDEX($D:$D,Control!$B$31):INDEX($D:$D,Control!$B$32),0)-1,
    1)</f>
        <v>50.863938190239899</v>
      </c>
      <c r="AD35" s="258" cm="1">
        <f t="array" ref="AD35">INDEX(
    INDEX(AD:AD,Control!$B$29):INDEX(AD:AD,100000),
    MATCH($A$8,INDEX($A:$A,Control!$B$29):INDEX($A:$A,100000),0)+MATCH($D35,INDEX($D:$D,Control!$B$31):INDEX($D:$D,Control!$B$32),0)-1,
    1)</f>
        <v>51.987842841222502</v>
      </c>
      <c r="AE35" s="258" cm="1">
        <f t="array" ref="AE35">INDEX(
    INDEX(AE:AE,Control!$B$29):INDEX(AE:AE,100000),
    MATCH($A$8,INDEX($A:$A,Control!$B$29):INDEX($A:$A,100000),0)+MATCH($D35,INDEX($D:$D,Control!$B$31):INDEX($D:$D,Control!$B$32),0)-1,
    1)</f>
        <v>52.2199094123065</v>
      </c>
      <c r="AF35" s="258" cm="1">
        <f t="array" ref="AF35">INDEX(
    INDEX(AF:AF,Control!$B$29):INDEX(AF:AF,100000),
    MATCH($A$8,INDEX($A:$A,Control!$B$29):INDEX($A:$A,100000),0)+MATCH($D35,INDEX($D:$D,Control!$B$31):INDEX($D:$D,Control!$B$32),0)-1,
    1)</f>
        <v>53.576392530564</v>
      </c>
      <c r="AG35" s="258" cm="1">
        <f t="array" ref="AG35">INDEX(
    INDEX(AG:AG,Control!$B$29):INDEX(AG:AG,100000),
    MATCH($A$8,INDEX($A:$A,Control!$B$29):INDEX($A:$A,100000),0)+MATCH($D35,INDEX($D:$D,Control!$B$31):INDEX($D:$D,Control!$B$32),0)-1,
    1)</f>
        <v>53.407122041175597</v>
      </c>
      <c r="AH35" s="258" cm="1">
        <f t="array" ref="AH35">INDEX(
    INDEX(AH:AH,Control!$B$29):INDEX(AH:AH,100000),
    MATCH($A$8,INDEX($A:$A,Control!$B$29):INDEX($A:$A,100000),0)+MATCH($D35,INDEX($D:$D,Control!$B$31):INDEX($D:$D,Control!$B$32),0)-1,
    1)</f>
        <v>52.742053973814997</v>
      </c>
      <c r="AI35" s="258" cm="1">
        <f t="array" ref="AI35">INDEX(
    INDEX(AI:AI,Control!$B$29):INDEX(AI:AI,100000),
    MATCH($A$8,INDEX($A:$A,Control!$B$29):INDEX($A:$A,100000),0)+MATCH($D35,INDEX($D:$D,Control!$B$31):INDEX($D:$D,Control!$B$32),0)-1,
    1)</f>
        <v>53.711470443777102</v>
      </c>
      <c r="AJ35" s="258" cm="1">
        <f t="array" ref="AJ35">INDEX(
    INDEX(AJ:AJ,Control!$B$29):INDEX(AJ:AJ,100000),
    MATCH($A$8,INDEX($A:$A,Control!$B$29):INDEX($A:$A,100000),0)+MATCH($D35,INDEX($D:$D,Control!$B$31):INDEX($D:$D,Control!$B$32),0)-1,
    1)</f>
        <v>54.232549425459702</v>
      </c>
      <c r="AK35" s="258" cm="1">
        <f t="array" ref="AK35">INDEX(
    INDEX(AK:AK,Control!$B$29):INDEX(AK:AK,100000),
    MATCH($A$8,INDEX($A:$A,Control!$B$29):INDEX($A:$A,100000),0)+MATCH($D35,INDEX($D:$D,Control!$B$31):INDEX($D:$D,Control!$B$32),0)-1,
    1)</f>
        <v>51.3429998968302</v>
      </c>
      <c r="AL35" s="258" cm="1">
        <f t="array" ref="AL35">INDEX(
    INDEX(AL:AL,Control!$B$29):INDEX(AL:AL,100000),
    MATCH($A$8,INDEX($A:$A,Control!$B$29):INDEX($A:$A,100000),0)+MATCH($D35,INDEX($D:$D,Control!$B$31):INDEX($D:$D,Control!$B$32),0)-1,
    1)</f>
        <v>53.022593980112298</v>
      </c>
      <c r="AM35" s="258" cm="1">
        <f t="array" ref="AM35">INDEX(
    INDEX(AM:AM,Control!$B$29):INDEX(AM:AM,100000),
    MATCH($A$8,INDEX($A:$A,Control!$B$29):INDEX($A:$A,100000),0)+MATCH($D35,INDEX($D:$D,Control!$B$31):INDEX($D:$D,Control!$B$32),0)-1,
    1)</f>
        <v>53.569685645778002</v>
      </c>
      <c r="AN35" s="258" cm="1">
        <f t="array" ref="AN35">INDEX(
    INDEX(AN:AN,Control!$B$29):INDEX(AN:AN,100000),
    MATCH($A$8,INDEX($A:$A,Control!$B$29):INDEX($A:$A,100000),0)+MATCH($D35,INDEX($D:$D,Control!$B$31):INDEX($D:$D,Control!$B$32),0)-1,
    1)</f>
        <v>52.110875523659502</v>
      </c>
    </row>
    <row r="36" spans="3:40" x14ac:dyDescent="0.35">
      <c r="C36" s="297"/>
      <c r="D36" s="41" t="s">
        <v>354</v>
      </c>
      <c r="E36" s="42" t="s">
        <v>124</v>
      </c>
      <c r="F36" s="262" cm="1">
        <f t="array" ref="F36">INDEX(
    INDEX(F:F,Control!$B$29):INDEX(F:F,100000),
    MATCH($A$8,INDEX($A:$A,Control!$B$29):INDEX($A:$A,100000),0)+MATCH($D36,INDEX($D:$D,Control!$B$31):INDEX($D:$D,Control!$B$32),0)-1,
    1)</f>
        <v>0</v>
      </c>
      <c r="G36" s="262" cm="1">
        <f t="array" ref="G36">INDEX(
    INDEX(G:G,Control!$B$29):INDEX(G:G,100000),
    MATCH($A$8,INDEX($A:$A,Control!$B$29):INDEX($A:$A,100000),0)+MATCH($D36,INDEX($D:$D,Control!$B$31):INDEX($D:$D,Control!$B$32),0)-1,
    1)</f>
        <v>0</v>
      </c>
      <c r="H36" s="262" cm="1">
        <f t="array" ref="H36">INDEX(
    INDEX(H:H,Control!$B$29):INDEX(H:H,100000),
    MATCH($A$8,INDEX($A:$A,Control!$B$29):INDEX($A:$A,100000),0)+MATCH($D36,INDEX($D:$D,Control!$B$31):INDEX($D:$D,Control!$B$32),0)-1,
    1)</f>
        <v>0</v>
      </c>
      <c r="I36" s="262" cm="1">
        <f t="array" ref="I36">INDEX(
    INDEX(I:I,Control!$B$29):INDEX(I:I,100000),
    MATCH($A$8,INDEX($A:$A,Control!$B$29):INDEX($A:$A,100000),0)+MATCH($D36,INDEX($D:$D,Control!$B$31):INDEX($D:$D,Control!$B$32),0)-1,
    1)</f>
        <v>0</v>
      </c>
      <c r="J36" s="262" cm="1">
        <f t="array" ref="J36">INDEX(
    INDEX(J:J,Control!$B$29):INDEX(J:J,100000),
    MATCH($A$8,INDEX($A:$A,Control!$B$29):INDEX($A:$A,100000),0)+MATCH($D36,INDEX($D:$D,Control!$B$31):INDEX($D:$D,Control!$B$32),0)-1,
    1)</f>
        <v>0</v>
      </c>
      <c r="K36" s="262" cm="1">
        <f t="array" ref="K36">INDEX(
    INDEX(K:K,Control!$B$29):INDEX(K:K,100000),
    MATCH($A$8,INDEX($A:$A,Control!$B$29):INDEX($A:$A,100000),0)+MATCH($D36,INDEX($D:$D,Control!$B$31):INDEX($D:$D,Control!$B$32),0)-1,
    1)</f>
        <v>0</v>
      </c>
      <c r="L36" s="262" cm="1">
        <f t="array" ref="L36">INDEX(
    INDEX(L:L,Control!$B$29):INDEX(L:L,100000),
    MATCH($A$8,INDEX($A:$A,Control!$B$29):INDEX($A:$A,100000),0)+MATCH($D36,INDEX($D:$D,Control!$B$31):INDEX($D:$D,Control!$B$32),0)-1,
    1)</f>
        <v>0</v>
      </c>
      <c r="M36" s="262" cm="1">
        <f t="array" ref="M36">INDEX(
    INDEX(M:M,Control!$B$29):INDEX(M:M,100000),
    MATCH($A$8,INDEX($A:$A,Control!$B$29):INDEX($A:$A,100000),0)+MATCH($D36,INDEX($D:$D,Control!$B$31):INDEX($D:$D,Control!$B$32),0)-1,
    1)</f>
        <v>0</v>
      </c>
      <c r="N36" s="262" cm="1">
        <f t="array" ref="N36">INDEX(
    INDEX(N:N,Control!$B$29):INDEX(N:N,100000),
    MATCH($A$8,INDEX($A:$A,Control!$B$29):INDEX($A:$A,100000),0)+MATCH($D36,INDEX($D:$D,Control!$B$31):INDEX($D:$D,Control!$B$32),0)-1,
    1)</f>
        <v>0</v>
      </c>
      <c r="O36" s="262" cm="1">
        <f t="array" ref="O36">INDEX(
    INDEX(O:O,Control!$B$29):INDEX(O:O,100000),
    MATCH($A$8,INDEX($A:$A,Control!$B$29):INDEX($A:$A,100000),0)+MATCH($D36,INDEX($D:$D,Control!$B$31):INDEX($D:$D,Control!$B$32),0)-1,
    1)</f>
        <v>0</v>
      </c>
      <c r="P36" s="262" cm="1">
        <f t="array" ref="P36">INDEX(
    INDEX(P:P,Control!$B$29):INDEX(P:P,100000),
    MATCH($A$8,INDEX($A:$A,Control!$B$29):INDEX($A:$A,100000),0)+MATCH($D36,INDEX($D:$D,Control!$B$31):INDEX($D:$D,Control!$B$32),0)-1,
    1)</f>
        <v>0</v>
      </c>
      <c r="Q36" s="262" cm="1">
        <f t="array" ref="Q36">INDEX(
    INDEX(Q:Q,Control!$B$29):INDEX(Q:Q,100000),
    MATCH($A$8,INDEX($A:$A,Control!$B$29):INDEX($A:$A,100000),0)+MATCH($D36,INDEX($D:$D,Control!$B$31):INDEX($D:$D,Control!$B$32),0)-1,
    1)</f>
        <v>0</v>
      </c>
      <c r="R36" s="262" cm="1">
        <f t="array" ref="R36">INDEX(
    INDEX(R:R,Control!$B$29):INDEX(R:R,100000),
    MATCH($A$8,INDEX($A:$A,Control!$B$29):INDEX($A:$A,100000),0)+MATCH($D36,INDEX($D:$D,Control!$B$31):INDEX($D:$D,Control!$B$32),0)-1,
    1)</f>
        <v>0</v>
      </c>
      <c r="S36" s="262" cm="1">
        <f t="array" ref="S36">INDEX(
    INDEX(S:S,Control!$B$29):INDEX(S:S,100000),
    MATCH($A$8,INDEX($A:$A,Control!$B$29):INDEX($A:$A,100000),0)+MATCH($D36,INDEX($D:$D,Control!$B$31):INDEX($D:$D,Control!$B$32),0)-1,
    1)</f>
        <v>0</v>
      </c>
      <c r="T36" s="262" cm="1">
        <f t="array" ref="T36">INDEX(
    INDEX(T:T,Control!$B$29):INDEX(T:T,100000),
    MATCH($A$8,INDEX($A:$A,Control!$B$29):INDEX($A:$A,100000),0)+MATCH($D36,INDEX($D:$D,Control!$B$31):INDEX($D:$D,Control!$B$32),0)-1,
    1)</f>
        <v>0</v>
      </c>
      <c r="U36" s="262" cm="1">
        <f t="array" ref="U36">INDEX(
    INDEX(U:U,Control!$B$29):INDEX(U:U,100000),
    MATCH($A$8,INDEX($A:$A,Control!$B$29):INDEX($A:$A,100000),0)+MATCH($D36,INDEX($D:$D,Control!$B$31):INDEX($D:$D,Control!$B$32),0)-1,
    1)</f>
        <v>0</v>
      </c>
      <c r="V36" s="262" cm="1">
        <f t="array" ref="V36">INDEX(
    INDEX(V:V,Control!$B$29):INDEX(V:V,100000),
    MATCH($A$8,INDEX($A:$A,Control!$B$29):INDEX($A:$A,100000),0)+MATCH($D36,INDEX($D:$D,Control!$B$31):INDEX($D:$D,Control!$B$32),0)-1,
    1)</f>
        <v>0</v>
      </c>
      <c r="W36" s="262" cm="1">
        <f t="array" ref="W36">INDEX(
    INDEX(W:W,Control!$B$29):INDEX(W:W,100000),
    MATCH($A$8,INDEX($A:$A,Control!$B$29):INDEX($A:$A,100000),0)+MATCH($D36,INDEX($D:$D,Control!$B$31):INDEX($D:$D,Control!$B$32),0)-1,
    1)</f>
        <v>0</v>
      </c>
      <c r="X36" s="262" cm="1">
        <f t="array" ref="X36">INDEX(
    INDEX(X:X,Control!$B$29):INDEX(X:X,100000),
    MATCH($A$8,INDEX($A:$A,Control!$B$29):INDEX($A:$A,100000),0)+MATCH($D36,INDEX($D:$D,Control!$B$31):INDEX($D:$D,Control!$B$32),0)-1,
    1)</f>
        <v>0</v>
      </c>
      <c r="Y36" s="262" cm="1">
        <f t="array" ref="Y36">INDEX(
    INDEX(Y:Y,Control!$B$29):INDEX(Y:Y,100000),
    MATCH($A$8,INDEX($A:$A,Control!$B$29):INDEX($A:$A,100000),0)+MATCH($D36,INDEX($D:$D,Control!$B$31):INDEX($D:$D,Control!$B$32),0)-1,
    1)</f>
        <v>0</v>
      </c>
      <c r="Z36" s="262" cm="1">
        <f t="array" ref="Z36">INDEX(
    INDEX(Z:Z,Control!$B$29):INDEX(Z:Z,100000),
    MATCH($A$8,INDEX($A:$A,Control!$B$29):INDEX($A:$A,100000),0)+MATCH($D36,INDEX($D:$D,Control!$B$31):INDEX($D:$D,Control!$B$32),0)-1,
    1)</f>
        <v>0</v>
      </c>
      <c r="AA36" s="262" cm="1">
        <f t="array" ref="AA36">INDEX(
    INDEX(AA:AA,Control!$B$29):INDEX(AA:AA,100000),
    MATCH($A$8,INDEX($A:$A,Control!$B$29):INDEX($A:$A,100000),0)+MATCH($D36,INDEX($D:$D,Control!$B$31):INDEX($D:$D,Control!$B$32),0)-1,
    1)</f>
        <v>0</v>
      </c>
      <c r="AB36" s="262" cm="1">
        <f t="array" ref="AB36">INDEX(
    INDEX(AB:AB,Control!$B$29):INDEX(AB:AB,100000),
    MATCH($A$8,INDEX($A:$A,Control!$B$29):INDEX($A:$A,100000),0)+MATCH($D36,INDEX($D:$D,Control!$B$31):INDEX($D:$D,Control!$B$32),0)-1,
    1)</f>
        <v>0</v>
      </c>
      <c r="AC36" s="262" cm="1">
        <f t="array" ref="AC36">INDEX(
    INDEX(AC:AC,Control!$B$29):INDEX(AC:AC,100000),
    MATCH($A$8,INDEX($A:$A,Control!$B$29):INDEX($A:$A,100000),0)+MATCH($D36,INDEX($D:$D,Control!$B$31):INDEX($D:$D,Control!$B$32),0)-1,
    1)</f>
        <v>0</v>
      </c>
      <c r="AD36" s="262" cm="1">
        <f t="array" ref="AD36">INDEX(
    INDEX(AD:AD,Control!$B$29):INDEX(AD:AD,100000),
    MATCH($A$8,INDEX($A:$A,Control!$B$29):INDEX($A:$A,100000),0)+MATCH($D36,INDEX($D:$D,Control!$B$31):INDEX($D:$D,Control!$B$32),0)-1,
    1)</f>
        <v>0</v>
      </c>
      <c r="AE36" s="262" cm="1">
        <f t="array" ref="AE36">INDEX(
    INDEX(AE:AE,Control!$B$29):INDEX(AE:AE,100000),
    MATCH($A$8,INDEX($A:$A,Control!$B$29):INDEX($A:$A,100000),0)+MATCH($D36,INDEX($D:$D,Control!$B$31):INDEX($D:$D,Control!$B$32),0)-1,
    1)</f>
        <v>0</v>
      </c>
      <c r="AF36" s="262" cm="1">
        <f t="array" ref="AF36">INDEX(
    INDEX(AF:AF,Control!$B$29):INDEX(AF:AF,100000),
    MATCH($A$8,INDEX($A:$A,Control!$B$29):INDEX($A:$A,100000),0)+MATCH($D36,INDEX($D:$D,Control!$B$31):INDEX($D:$D,Control!$B$32),0)-1,
    1)</f>
        <v>0</v>
      </c>
      <c r="AG36" s="262" cm="1">
        <f t="array" ref="AG36">INDEX(
    INDEX(AG:AG,Control!$B$29):INDEX(AG:AG,100000),
    MATCH($A$8,INDEX($A:$A,Control!$B$29):INDEX($A:$A,100000),0)+MATCH($D36,INDEX($D:$D,Control!$B$31):INDEX($D:$D,Control!$B$32),0)-1,
    1)</f>
        <v>0</v>
      </c>
      <c r="AH36" s="262" cm="1">
        <f t="array" ref="AH36">INDEX(
    INDEX(AH:AH,Control!$B$29):INDEX(AH:AH,100000),
    MATCH($A$8,INDEX($A:$A,Control!$B$29):INDEX($A:$A,100000),0)+MATCH($D36,INDEX($D:$D,Control!$B$31):INDEX($D:$D,Control!$B$32),0)-1,
    1)</f>
        <v>0</v>
      </c>
      <c r="AI36" s="262" cm="1">
        <f t="array" ref="AI36">INDEX(
    INDEX(AI:AI,Control!$B$29):INDEX(AI:AI,100000),
    MATCH($A$8,INDEX($A:$A,Control!$B$29):INDEX($A:$A,100000),0)+MATCH($D36,INDEX($D:$D,Control!$B$31):INDEX($D:$D,Control!$B$32),0)-1,
    1)</f>
        <v>0</v>
      </c>
      <c r="AJ36" s="262" cm="1">
        <f t="array" ref="AJ36">INDEX(
    INDEX(AJ:AJ,Control!$B$29):INDEX(AJ:AJ,100000),
    MATCH($A$8,INDEX($A:$A,Control!$B$29):INDEX($A:$A,100000),0)+MATCH($D36,INDEX($D:$D,Control!$B$31):INDEX($D:$D,Control!$B$32),0)-1,
    1)</f>
        <v>0</v>
      </c>
      <c r="AK36" s="262" cm="1">
        <f t="array" ref="AK36">INDEX(
    INDEX(AK:AK,Control!$B$29):INDEX(AK:AK,100000),
    MATCH($A$8,INDEX($A:$A,Control!$B$29):INDEX($A:$A,100000),0)+MATCH($D36,INDEX($D:$D,Control!$B$31):INDEX($D:$D,Control!$B$32),0)-1,
    1)</f>
        <v>0</v>
      </c>
      <c r="AL36" s="262" cm="1">
        <f t="array" ref="AL36">INDEX(
    INDEX(AL:AL,Control!$B$29):INDEX(AL:AL,100000),
    MATCH($A$8,INDEX($A:$A,Control!$B$29):INDEX($A:$A,100000),0)+MATCH($D36,INDEX($D:$D,Control!$B$31):INDEX($D:$D,Control!$B$32),0)-1,
    1)</f>
        <v>0</v>
      </c>
      <c r="AM36" s="262" cm="1">
        <f t="array" ref="AM36">INDEX(
    INDEX(AM:AM,Control!$B$29):INDEX(AM:AM,100000),
    MATCH($A$8,INDEX($A:$A,Control!$B$29):INDEX($A:$A,100000),0)+MATCH($D36,INDEX($D:$D,Control!$B$31):INDEX($D:$D,Control!$B$32),0)-1,
    1)</f>
        <v>0</v>
      </c>
      <c r="AN36" s="262" cm="1">
        <f t="array" ref="AN36">INDEX(
    INDEX(AN:AN,Control!$B$29):INDEX(AN:AN,100000),
    MATCH($A$8,INDEX($A:$A,Control!$B$29):INDEX($A:$A,100000),0)+MATCH($D36,INDEX($D:$D,Control!$B$31):INDEX($D:$D,Control!$B$32),0)-1,
    1)</f>
        <v>0</v>
      </c>
    </row>
    <row r="37" spans="3:40" x14ac:dyDescent="0.35">
      <c r="C37" s="296" t="s">
        <v>449</v>
      </c>
      <c r="D37" s="268" t="s">
        <v>353</v>
      </c>
      <c r="E37" s="21" t="s">
        <v>221</v>
      </c>
      <c r="F37" s="25" cm="1">
        <f t="array" ref="F37">INDEX(
    INDEX(F:F,Control!$B$29):INDEX(F:F,100000),
    MATCH($A$8,INDEX($A:$A,Control!$B$29):INDEX($A:$A,100000),0)+MATCH($D37,INDEX($D:$D,Control!$B$31):INDEX($D:$D,Control!$B$32),0)-1,
    1)</f>
        <v>0</v>
      </c>
      <c r="G37" s="25" cm="1">
        <f t="array" ref="G37">INDEX(
    INDEX(G:G,Control!$B$29):INDEX(G:G,100000),
    MATCH($A$8,INDEX($A:$A,Control!$B$29):INDEX($A:$A,100000),0)+MATCH($D37,INDEX($D:$D,Control!$B$31):INDEX($D:$D,Control!$B$32),0)-1,
    1)</f>
        <v>0</v>
      </c>
      <c r="H37" s="25" cm="1">
        <f t="array" ref="H37">INDEX(
    INDEX(H:H,Control!$B$29):INDEX(H:H,100000),
    MATCH($A$8,INDEX($A:$A,Control!$B$29):INDEX($A:$A,100000),0)+MATCH($D37,INDEX($D:$D,Control!$B$31):INDEX($D:$D,Control!$B$32),0)-1,
    1)</f>
        <v>0</v>
      </c>
      <c r="I37" s="25" cm="1">
        <f t="array" ref="I37">INDEX(
    INDEX(I:I,Control!$B$29):INDEX(I:I,100000),
    MATCH($A$8,INDEX($A:$A,Control!$B$29):INDEX($A:$A,100000),0)+MATCH($D37,INDEX($D:$D,Control!$B$31):INDEX($D:$D,Control!$B$32),0)-1,
    1)</f>
        <v>0</v>
      </c>
      <c r="J37" s="25" cm="1">
        <f t="array" ref="J37">INDEX(
    INDEX(J:J,Control!$B$29):INDEX(J:J,100000),
    MATCH($A$8,INDEX($A:$A,Control!$B$29):INDEX($A:$A,100000),0)+MATCH($D37,INDEX($D:$D,Control!$B$31):INDEX($D:$D,Control!$B$32),0)-1,
    1)</f>
        <v>0</v>
      </c>
      <c r="K37" s="25" cm="1">
        <f t="array" ref="K37">INDEX(
    INDEX(K:K,Control!$B$29):INDEX(K:K,100000),
    MATCH($A$8,INDEX($A:$A,Control!$B$29):INDEX($A:$A,100000),0)+MATCH($D37,INDEX($D:$D,Control!$B$31):INDEX($D:$D,Control!$B$32),0)-1,
    1)</f>
        <v>0</v>
      </c>
      <c r="L37" s="25" cm="1">
        <f t="array" ref="L37">INDEX(
    INDEX(L:L,Control!$B$29):INDEX(L:L,100000),
    MATCH($A$8,INDEX($A:$A,Control!$B$29):INDEX($A:$A,100000),0)+MATCH($D37,INDEX($D:$D,Control!$B$31):INDEX($D:$D,Control!$B$32),0)-1,
    1)</f>
        <v>0</v>
      </c>
      <c r="M37" s="25" cm="1">
        <f t="array" ref="M37">INDEX(
    INDEX(M:M,Control!$B$29):INDEX(M:M,100000),
    MATCH($A$8,INDEX($A:$A,Control!$B$29):INDEX($A:$A,100000),0)+MATCH($D37,INDEX($D:$D,Control!$B$31):INDEX($D:$D,Control!$B$32),0)-1,
    1)</f>
        <v>0</v>
      </c>
      <c r="N37" s="25" cm="1">
        <f t="array" ref="N37">INDEX(
    INDEX(N:N,Control!$B$29):INDEX(N:N,100000),
    MATCH($A$8,INDEX($A:$A,Control!$B$29):INDEX($A:$A,100000),0)+MATCH($D37,INDEX($D:$D,Control!$B$31):INDEX($D:$D,Control!$B$32),0)-1,
    1)</f>
        <v>0</v>
      </c>
      <c r="O37" s="25" cm="1">
        <f t="array" ref="O37">INDEX(
    INDEX(O:O,Control!$B$29):INDEX(O:O,100000),
    MATCH($A$8,INDEX($A:$A,Control!$B$29):INDEX($A:$A,100000),0)+MATCH($D37,INDEX($D:$D,Control!$B$31):INDEX($D:$D,Control!$B$32),0)-1,
    1)</f>
        <v>0</v>
      </c>
      <c r="P37" s="25" cm="1">
        <f t="array" ref="P37">INDEX(
    INDEX(P:P,Control!$B$29):INDEX(P:P,100000),
    MATCH($A$8,INDEX($A:$A,Control!$B$29):INDEX($A:$A,100000),0)+MATCH($D37,INDEX($D:$D,Control!$B$31):INDEX($D:$D,Control!$B$32),0)-1,
    1)</f>
        <v>0</v>
      </c>
      <c r="Q37" s="25" cm="1">
        <f t="array" ref="Q37">INDEX(
    INDEX(Q:Q,Control!$B$29):INDEX(Q:Q,100000),
    MATCH($A$8,INDEX($A:$A,Control!$B$29):INDEX($A:$A,100000),0)+MATCH($D37,INDEX($D:$D,Control!$B$31):INDEX($D:$D,Control!$B$32),0)-1,
    1)</f>
        <v>0</v>
      </c>
      <c r="R37" s="25" cm="1">
        <f t="array" ref="R37">INDEX(
    INDEX(R:R,Control!$B$29):INDEX(R:R,100000),
    MATCH($A$8,INDEX($A:$A,Control!$B$29):INDEX($A:$A,100000),0)+MATCH($D37,INDEX($D:$D,Control!$B$31):INDEX($D:$D,Control!$B$32),0)-1,
    1)</f>
        <v>0</v>
      </c>
      <c r="S37" s="25" cm="1">
        <f t="array" ref="S37">INDEX(
    INDEX(S:S,Control!$B$29):INDEX(S:S,100000),
    MATCH($A$8,INDEX($A:$A,Control!$B$29):INDEX($A:$A,100000),0)+MATCH($D37,INDEX($D:$D,Control!$B$31):INDEX($D:$D,Control!$B$32),0)-1,
    1)</f>
        <v>0</v>
      </c>
      <c r="T37" s="25" cm="1">
        <f t="array" ref="T37">INDEX(
    INDEX(T:T,Control!$B$29):INDEX(T:T,100000),
    MATCH($A$8,INDEX($A:$A,Control!$B$29):INDEX($A:$A,100000),0)+MATCH($D37,INDEX($D:$D,Control!$B$31):INDEX($D:$D,Control!$B$32),0)-1,
    1)</f>
        <v>0</v>
      </c>
      <c r="U37" s="25" cm="1">
        <f t="array" ref="U37">INDEX(
    INDEX(U:U,Control!$B$29):INDEX(U:U,100000),
    MATCH($A$8,INDEX($A:$A,Control!$B$29):INDEX($A:$A,100000),0)+MATCH($D37,INDEX($D:$D,Control!$B$31):INDEX($D:$D,Control!$B$32),0)-1,
    1)</f>
        <v>0</v>
      </c>
      <c r="V37" s="25" cm="1">
        <f t="array" ref="V37">INDEX(
    INDEX(V:V,Control!$B$29):INDEX(V:V,100000),
    MATCH($A$8,INDEX($A:$A,Control!$B$29):INDEX($A:$A,100000),0)+MATCH($D37,INDEX($D:$D,Control!$B$31):INDEX($D:$D,Control!$B$32),0)-1,
    1)</f>
        <v>0</v>
      </c>
      <c r="W37" s="25" cm="1">
        <f t="array" ref="W37">INDEX(
    INDEX(W:W,Control!$B$29):INDEX(W:W,100000),
    MATCH($A$8,INDEX($A:$A,Control!$B$29):INDEX($A:$A,100000),0)+MATCH($D37,INDEX($D:$D,Control!$B$31):INDEX($D:$D,Control!$B$32),0)-1,
    1)</f>
        <v>0</v>
      </c>
      <c r="X37" s="25" cm="1">
        <f t="array" ref="X37">INDEX(
    INDEX(X:X,Control!$B$29):INDEX(X:X,100000),
    MATCH($A$8,INDEX($A:$A,Control!$B$29):INDEX($A:$A,100000),0)+MATCH($D37,INDEX($D:$D,Control!$B$31):INDEX($D:$D,Control!$B$32),0)-1,
    1)</f>
        <v>0</v>
      </c>
      <c r="Y37" s="25" cm="1">
        <f t="array" ref="Y37">INDEX(
    INDEX(Y:Y,Control!$B$29):INDEX(Y:Y,100000),
    MATCH($A$8,INDEX($A:$A,Control!$B$29):INDEX($A:$A,100000),0)+MATCH($D37,INDEX($D:$D,Control!$B$31):INDEX($D:$D,Control!$B$32),0)-1,
    1)</f>
        <v>0</v>
      </c>
      <c r="Z37" s="25" cm="1">
        <f t="array" ref="Z37">INDEX(
    INDEX(Z:Z,Control!$B$29):INDEX(Z:Z,100000),
    MATCH($A$8,INDEX($A:$A,Control!$B$29):INDEX($A:$A,100000),0)+MATCH($D37,INDEX($D:$D,Control!$B$31):INDEX($D:$D,Control!$B$32),0)-1,
    1)</f>
        <v>0</v>
      </c>
      <c r="AA37" s="25" cm="1">
        <f t="array" ref="AA37">INDEX(
    INDEX(AA:AA,Control!$B$29):INDEX(AA:AA,100000),
    MATCH($A$8,INDEX($A:$A,Control!$B$29):INDEX($A:$A,100000),0)+MATCH($D37,INDEX($D:$D,Control!$B$31):INDEX($D:$D,Control!$B$32),0)-1,
    1)</f>
        <v>0</v>
      </c>
      <c r="AB37" s="25" cm="1">
        <f t="array" ref="AB37">INDEX(
    INDEX(AB:AB,Control!$B$29):INDEX(AB:AB,100000),
    MATCH($A$8,INDEX($A:$A,Control!$B$29):INDEX($A:$A,100000),0)+MATCH($D37,INDEX($D:$D,Control!$B$31):INDEX($D:$D,Control!$B$32),0)-1,
    1)</f>
        <v>0</v>
      </c>
      <c r="AC37" s="25" cm="1">
        <f t="array" ref="AC37">INDEX(
    INDEX(AC:AC,Control!$B$29):INDEX(AC:AC,100000),
    MATCH($A$8,INDEX($A:$A,Control!$B$29):INDEX($A:$A,100000),0)+MATCH($D37,INDEX($D:$D,Control!$B$31):INDEX($D:$D,Control!$B$32),0)-1,
    1)</f>
        <v>0</v>
      </c>
      <c r="AD37" s="25" cm="1">
        <f t="array" ref="AD37">INDEX(
    INDEX(AD:AD,Control!$B$29):INDEX(AD:AD,100000),
    MATCH($A$8,INDEX($A:$A,Control!$B$29):INDEX($A:$A,100000),0)+MATCH($D37,INDEX($D:$D,Control!$B$31):INDEX($D:$D,Control!$B$32),0)-1,
    1)</f>
        <v>0</v>
      </c>
      <c r="AE37" s="25" cm="1">
        <f t="array" ref="AE37">INDEX(
    INDEX(AE:AE,Control!$B$29):INDEX(AE:AE,100000),
    MATCH($A$8,INDEX($A:$A,Control!$B$29):INDEX($A:$A,100000),0)+MATCH($D37,INDEX($D:$D,Control!$B$31):INDEX($D:$D,Control!$B$32),0)-1,
    1)</f>
        <v>0</v>
      </c>
      <c r="AF37" s="25" cm="1">
        <f t="array" ref="AF37">INDEX(
    INDEX(AF:AF,Control!$B$29):INDEX(AF:AF,100000),
    MATCH($A$8,INDEX($A:$A,Control!$B$29):INDEX($A:$A,100000),0)+MATCH($D37,INDEX($D:$D,Control!$B$31):INDEX($D:$D,Control!$B$32),0)-1,
    1)</f>
        <v>0</v>
      </c>
      <c r="AG37" s="25" cm="1">
        <f t="array" ref="AG37">INDEX(
    INDEX(AG:AG,Control!$B$29):INDEX(AG:AG,100000),
    MATCH($A$8,INDEX($A:$A,Control!$B$29):INDEX($A:$A,100000),0)+MATCH($D37,INDEX($D:$D,Control!$B$31):INDEX($D:$D,Control!$B$32),0)-1,
    1)</f>
        <v>0</v>
      </c>
      <c r="AH37" s="25" cm="1">
        <f t="array" ref="AH37">INDEX(
    INDEX(AH:AH,Control!$B$29):INDEX(AH:AH,100000),
    MATCH($A$8,INDEX($A:$A,Control!$B$29):INDEX($A:$A,100000),0)+MATCH($D37,INDEX($D:$D,Control!$B$31):INDEX($D:$D,Control!$B$32),0)-1,
    1)</f>
        <v>0</v>
      </c>
      <c r="AI37" s="25" cm="1">
        <f t="array" ref="AI37">INDEX(
    INDEX(AI:AI,Control!$B$29):INDEX(AI:AI,100000),
    MATCH($A$8,INDEX($A:$A,Control!$B$29):INDEX($A:$A,100000),0)+MATCH($D37,INDEX($D:$D,Control!$B$31):INDEX($D:$D,Control!$B$32),0)-1,
    1)</f>
        <v>0</v>
      </c>
      <c r="AJ37" s="25" cm="1">
        <f t="array" ref="AJ37">INDEX(
    INDEX(AJ:AJ,Control!$B$29):INDEX(AJ:AJ,100000),
    MATCH($A$8,INDEX($A:$A,Control!$B$29):INDEX($A:$A,100000),0)+MATCH($D37,INDEX($D:$D,Control!$B$31):INDEX($D:$D,Control!$B$32),0)-1,
    1)</f>
        <v>0</v>
      </c>
      <c r="AK37" s="25" cm="1">
        <f t="array" ref="AK37">INDEX(
    INDEX(AK:AK,Control!$B$29):INDEX(AK:AK,100000),
    MATCH($A$8,INDEX($A:$A,Control!$B$29):INDEX($A:$A,100000),0)+MATCH($D37,INDEX($D:$D,Control!$B$31):INDEX($D:$D,Control!$B$32),0)-1,
    1)</f>
        <v>0</v>
      </c>
      <c r="AL37" s="25" cm="1">
        <f t="array" ref="AL37">INDEX(
    INDEX(AL:AL,Control!$B$29):INDEX(AL:AL,100000),
    MATCH($A$8,INDEX($A:$A,Control!$B$29):INDEX($A:$A,100000),0)+MATCH($D37,INDEX($D:$D,Control!$B$31):INDEX($D:$D,Control!$B$32),0)-1,
    1)</f>
        <v>0</v>
      </c>
      <c r="AM37" s="25" cm="1">
        <f t="array" ref="AM37">INDEX(
    INDEX(AM:AM,Control!$B$29):INDEX(AM:AM,100000),
    MATCH($A$8,INDEX($A:$A,Control!$B$29):INDEX($A:$A,100000),0)+MATCH($D37,INDEX($D:$D,Control!$B$31):INDEX($D:$D,Control!$B$32),0)-1,
    1)</f>
        <v>0</v>
      </c>
      <c r="AN37" s="25" cm="1">
        <f t="array" ref="AN37">INDEX(
    INDEX(AN:AN,Control!$B$29):INDEX(AN:AN,100000),
    MATCH($A$8,INDEX($A:$A,Control!$B$29):INDEX($A:$A,100000),0)+MATCH($D37,INDEX($D:$D,Control!$B$31):INDEX($D:$D,Control!$B$32),0)-1,
    1)</f>
        <v>0</v>
      </c>
    </row>
    <row r="38" spans="3:40" x14ac:dyDescent="0.35">
      <c r="C38" s="292" t="s">
        <v>230</v>
      </c>
      <c r="D38" s="21" t="s">
        <v>358</v>
      </c>
      <c r="E38" s="21" t="s">
        <v>221</v>
      </c>
      <c r="F38" s="25" cm="1">
        <f t="array" ref="F38">INDEX(
    INDEX(F:F,Control!$B$29):INDEX(F:F,100000),
    MATCH($A$8,INDEX($A:$A,Control!$B$29):INDEX($A:$A,100000),0)+MATCH($D38,INDEX($D:$D,Control!$B$31):INDEX($D:$D,Control!$B$32),0)-1,
    1)</f>
        <v>0</v>
      </c>
      <c r="G38" s="25" cm="1">
        <f t="array" ref="G38">INDEX(
    INDEX(G:G,Control!$B$29):INDEX(G:G,100000),
    MATCH($A$8,INDEX($A:$A,Control!$B$29):INDEX($A:$A,100000),0)+MATCH($D38,INDEX($D:$D,Control!$B$31):INDEX($D:$D,Control!$B$32),0)-1,
    1)</f>
        <v>0</v>
      </c>
      <c r="H38" s="25" cm="1">
        <f t="array" ref="H38">INDEX(
    INDEX(H:H,Control!$B$29):INDEX(H:H,100000),
    MATCH($A$8,INDEX($A:$A,Control!$B$29):INDEX($A:$A,100000),0)+MATCH($D38,INDEX($D:$D,Control!$B$31):INDEX($D:$D,Control!$B$32),0)-1,
    1)</f>
        <v>0</v>
      </c>
      <c r="I38" s="25" cm="1">
        <f t="array" ref="I38">INDEX(
    INDEX(I:I,Control!$B$29):INDEX(I:I,100000),
    MATCH($A$8,INDEX($A:$A,Control!$B$29):INDEX($A:$A,100000),0)+MATCH($D38,INDEX($D:$D,Control!$B$31):INDEX($D:$D,Control!$B$32),0)-1,
    1)</f>
        <v>0</v>
      </c>
      <c r="J38" s="25" cm="1">
        <f t="array" ref="J38">INDEX(
    INDEX(J:J,Control!$B$29):INDEX(J:J,100000),
    MATCH($A$8,INDEX($A:$A,Control!$B$29):INDEX($A:$A,100000),0)+MATCH($D38,INDEX($D:$D,Control!$B$31):INDEX($D:$D,Control!$B$32),0)-1,
    1)</f>
        <v>0</v>
      </c>
      <c r="K38" s="25" cm="1">
        <f t="array" ref="K38">INDEX(
    INDEX(K:K,Control!$B$29):INDEX(K:K,100000),
    MATCH($A$8,INDEX($A:$A,Control!$B$29):INDEX($A:$A,100000),0)+MATCH($D38,INDEX($D:$D,Control!$B$31):INDEX($D:$D,Control!$B$32),0)-1,
    1)</f>
        <v>0</v>
      </c>
      <c r="L38" s="25" cm="1">
        <f t="array" ref="L38">INDEX(
    INDEX(L:L,Control!$B$29):INDEX(L:L,100000),
    MATCH($A$8,INDEX($A:$A,Control!$B$29):INDEX($A:$A,100000),0)+MATCH($D38,INDEX($D:$D,Control!$B$31):INDEX($D:$D,Control!$B$32),0)-1,
    1)</f>
        <v>0</v>
      </c>
      <c r="M38" s="25" cm="1">
        <f t="array" ref="M38">INDEX(
    INDEX(M:M,Control!$B$29):INDEX(M:M,100000),
    MATCH($A$8,INDEX($A:$A,Control!$B$29):INDEX($A:$A,100000),0)+MATCH($D38,INDEX($D:$D,Control!$B$31):INDEX($D:$D,Control!$B$32),0)-1,
    1)</f>
        <v>0</v>
      </c>
      <c r="N38" s="25" cm="1">
        <f t="array" ref="N38">INDEX(
    INDEX(N:N,Control!$B$29):INDEX(N:N,100000),
    MATCH($A$8,INDEX($A:$A,Control!$B$29):INDEX($A:$A,100000),0)+MATCH($D38,INDEX($D:$D,Control!$B$31):INDEX($D:$D,Control!$B$32),0)-1,
    1)</f>
        <v>0</v>
      </c>
      <c r="O38" s="25" cm="1">
        <f t="array" ref="O38">INDEX(
    INDEX(O:O,Control!$B$29):INDEX(O:O,100000),
    MATCH($A$8,INDEX($A:$A,Control!$B$29):INDEX($A:$A,100000),0)+MATCH($D38,INDEX($D:$D,Control!$B$31):INDEX($D:$D,Control!$B$32),0)-1,
    1)</f>
        <v>0</v>
      </c>
      <c r="P38" s="25" cm="1">
        <f t="array" ref="P38">INDEX(
    INDEX(P:P,Control!$B$29):INDEX(P:P,100000),
    MATCH($A$8,INDEX($A:$A,Control!$B$29):INDEX($A:$A,100000),0)+MATCH($D38,INDEX($D:$D,Control!$B$31):INDEX($D:$D,Control!$B$32),0)-1,
    1)</f>
        <v>0</v>
      </c>
      <c r="Q38" s="25" cm="1">
        <f t="array" ref="Q38">INDEX(
    INDEX(Q:Q,Control!$B$29):INDEX(Q:Q,100000),
    MATCH($A$8,INDEX($A:$A,Control!$B$29):INDEX($A:$A,100000),0)+MATCH($D38,INDEX($D:$D,Control!$B$31):INDEX($D:$D,Control!$B$32),0)-1,
    1)</f>
        <v>0</v>
      </c>
      <c r="R38" s="25" cm="1">
        <f t="array" ref="R38">INDEX(
    INDEX(R:R,Control!$B$29):INDEX(R:R,100000),
    MATCH($A$8,INDEX($A:$A,Control!$B$29):INDEX($A:$A,100000),0)+MATCH($D38,INDEX($D:$D,Control!$B$31):INDEX($D:$D,Control!$B$32),0)-1,
    1)</f>
        <v>0</v>
      </c>
      <c r="S38" s="25" cm="1">
        <f t="array" ref="S38">INDEX(
    INDEX(S:S,Control!$B$29):INDEX(S:S,100000),
    MATCH($A$8,INDEX($A:$A,Control!$B$29):INDEX($A:$A,100000),0)+MATCH($D38,INDEX($D:$D,Control!$B$31):INDEX($D:$D,Control!$B$32),0)-1,
    1)</f>
        <v>0</v>
      </c>
      <c r="T38" s="25" cm="1">
        <f t="array" ref="T38">INDEX(
    INDEX(T:T,Control!$B$29):INDEX(T:T,100000),
    MATCH($A$8,INDEX($A:$A,Control!$B$29):INDEX($A:$A,100000),0)+MATCH($D38,INDEX($D:$D,Control!$B$31):INDEX($D:$D,Control!$B$32),0)-1,
    1)</f>
        <v>0</v>
      </c>
      <c r="U38" s="25" cm="1">
        <f t="array" ref="U38">INDEX(
    INDEX(U:U,Control!$B$29):INDEX(U:U,100000),
    MATCH($A$8,INDEX($A:$A,Control!$B$29):INDEX($A:$A,100000),0)+MATCH($D38,INDEX($D:$D,Control!$B$31):INDEX($D:$D,Control!$B$32),0)-1,
    1)</f>
        <v>0</v>
      </c>
      <c r="V38" s="25" cm="1">
        <f t="array" ref="V38">INDEX(
    INDEX(V:V,Control!$B$29):INDEX(V:V,100000),
    MATCH($A$8,INDEX($A:$A,Control!$B$29):INDEX($A:$A,100000),0)+MATCH($D38,INDEX($D:$D,Control!$B$31):INDEX($D:$D,Control!$B$32),0)-1,
    1)</f>
        <v>0</v>
      </c>
      <c r="W38" s="25" cm="1">
        <f t="array" ref="W38">INDEX(
    INDEX(W:W,Control!$B$29):INDEX(W:W,100000),
    MATCH($A$8,INDEX($A:$A,Control!$B$29):INDEX($A:$A,100000),0)+MATCH($D38,INDEX($D:$D,Control!$B$31):INDEX($D:$D,Control!$B$32),0)-1,
    1)</f>
        <v>0</v>
      </c>
      <c r="X38" s="25" cm="1">
        <f t="array" ref="X38">INDEX(
    INDEX(X:X,Control!$B$29):INDEX(X:X,100000),
    MATCH($A$8,INDEX($A:$A,Control!$B$29):INDEX($A:$A,100000),0)+MATCH($D38,INDEX($D:$D,Control!$B$31):INDEX($D:$D,Control!$B$32),0)-1,
    1)</f>
        <v>0</v>
      </c>
      <c r="Y38" s="25" cm="1">
        <f t="array" ref="Y38">INDEX(
    INDEX(Y:Y,Control!$B$29):INDEX(Y:Y,100000),
    MATCH($A$8,INDEX($A:$A,Control!$B$29):INDEX($A:$A,100000),0)+MATCH($D38,INDEX($D:$D,Control!$B$31):INDEX($D:$D,Control!$B$32),0)-1,
    1)</f>
        <v>0</v>
      </c>
      <c r="Z38" s="25" cm="1">
        <f t="array" ref="Z38">INDEX(
    INDEX(Z:Z,Control!$B$29):INDEX(Z:Z,100000),
    MATCH($A$8,INDEX($A:$A,Control!$B$29):INDEX($A:$A,100000),0)+MATCH($D38,INDEX($D:$D,Control!$B$31):INDEX($D:$D,Control!$B$32),0)-1,
    1)</f>
        <v>0</v>
      </c>
      <c r="AA38" s="25" cm="1">
        <f t="array" ref="AA38">INDEX(
    INDEX(AA:AA,Control!$B$29):INDEX(AA:AA,100000),
    MATCH($A$8,INDEX($A:$A,Control!$B$29):INDEX($A:$A,100000),0)+MATCH($D38,INDEX($D:$D,Control!$B$31):INDEX($D:$D,Control!$B$32),0)-1,
    1)</f>
        <v>0</v>
      </c>
      <c r="AB38" s="25" cm="1">
        <f t="array" ref="AB38">INDEX(
    INDEX(AB:AB,Control!$B$29):INDEX(AB:AB,100000),
    MATCH($A$8,INDEX($A:$A,Control!$B$29):INDEX($A:$A,100000),0)+MATCH($D38,INDEX($D:$D,Control!$B$31):INDEX($D:$D,Control!$B$32),0)-1,
    1)</f>
        <v>0</v>
      </c>
      <c r="AC38" s="25" cm="1">
        <f t="array" ref="AC38">INDEX(
    INDEX(AC:AC,Control!$B$29):INDEX(AC:AC,100000),
    MATCH($A$8,INDEX($A:$A,Control!$B$29):INDEX($A:$A,100000),0)+MATCH($D38,INDEX($D:$D,Control!$B$31):INDEX($D:$D,Control!$B$32),0)-1,
    1)</f>
        <v>0</v>
      </c>
      <c r="AD38" s="25" cm="1">
        <f t="array" ref="AD38">INDEX(
    INDEX(AD:AD,Control!$B$29):INDEX(AD:AD,100000),
    MATCH($A$8,INDEX($A:$A,Control!$B$29):INDEX($A:$A,100000),0)+MATCH($D38,INDEX($D:$D,Control!$B$31):INDEX($D:$D,Control!$B$32),0)-1,
    1)</f>
        <v>0</v>
      </c>
      <c r="AE38" s="25" cm="1">
        <f t="array" ref="AE38">INDEX(
    INDEX(AE:AE,Control!$B$29):INDEX(AE:AE,100000),
    MATCH($A$8,INDEX($A:$A,Control!$B$29):INDEX($A:$A,100000),0)+MATCH($D38,INDEX($D:$D,Control!$B$31):INDEX($D:$D,Control!$B$32),0)-1,
    1)</f>
        <v>0</v>
      </c>
      <c r="AF38" s="25" cm="1">
        <f t="array" ref="AF38">INDEX(
    INDEX(AF:AF,Control!$B$29):INDEX(AF:AF,100000),
    MATCH($A$8,INDEX($A:$A,Control!$B$29):INDEX($A:$A,100000),0)+MATCH($D38,INDEX($D:$D,Control!$B$31):INDEX($D:$D,Control!$B$32),0)-1,
    1)</f>
        <v>0</v>
      </c>
      <c r="AG38" s="25" cm="1">
        <f t="array" ref="AG38">INDEX(
    INDEX(AG:AG,Control!$B$29):INDEX(AG:AG,100000),
    MATCH($A$8,INDEX($A:$A,Control!$B$29):INDEX($A:$A,100000),0)+MATCH($D38,INDEX($D:$D,Control!$B$31):INDEX($D:$D,Control!$B$32),0)-1,
    1)</f>
        <v>0</v>
      </c>
      <c r="AH38" s="25" cm="1">
        <f t="array" ref="AH38">INDEX(
    INDEX(AH:AH,Control!$B$29):INDEX(AH:AH,100000),
    MATCH($A$8,INDEX($A:$A,Control!$B$29):INDEX($A:$A,100000),0)+MATCH($D38,INDEX($D:$D,Control!$B$31):INDEX($D:$D,Control!$B$32),0)-1,
    1)</f>
        <v>0</v>
      </c>
      <c r="AI38" s="25" cm="1">
        <f t="array" ref="AI38">INDEX(
    INDEX(AI:AI,Control!$B$29):INDEX(AI:AI,100000),
    MATCH($A$8,INDEX($A:$A,Control!$B$29):INDEX($A:$A,100000),0)+MATCH($D38,INDEX($D:$D,Control!$B$31):INDEX($D:$D,Control!$B$32),0)-1,
    1)</f>
        <v>0</v>
      </c>
      <c r="AJ38" s="25" cm="1">
        <f t="array" ref="AJ38">INDEX(
    INDEX(AJ:AJ,Control!$B$29):INDEX(AJ:AJ,100000),
    MATCH($A$8,INDEX($A:$A,Control!$B$29):INDEX($A:$A,100000),0)+MATCH($D38,INDEX($D:$D,Control!$B$31):INDEX($D:$D,Control!$B$32),0)-1,
    1)</f>
        <v>0</v>
      </c>
      <c r="AK38" s="25" cm="1">
        <f t="array" ref="AK38">INDEX(
    INDEX(AK:AK,Control!$B$29):INDEX(AK:AK,100000),
    MATCH($A$8,INDEX($A:$A,Control!$B$29):INDEX($A:$A,100000),0)+MATCH($D38,INDEX($D:$D,Control!$B$31):INDEX($D:$D,Control!$B$32),0)-1,
    1)</f>
        <v>0</v>
      </c>
      <c r="AL38" s="25" cm="1">
        <f t="array" ref="AL38">INDEX(
    INDEX(AL:AL,Control!$B$29):INDEX(AL:AL,100000),
    MATCH($A$8,INDEX($A:$A,Control!$B$29):INDEX($A:$A,100000),0)+MATCH($D38,INDEX($D:$D,Control!$B$31):INDEX($D:$D,Control!$B$32),0)-1,
    1)</f>
        <v>0</v>
      </c>
      <c r="AM38" s="25" cm="1">
        <f t="array" ref="AM38">INDEX(
    INDEX(AM:AM,Control!$B$29):INDEX(AM:AM,100000),
    MATCH($A$8,INDEX($A:$A,Control!$B$29):INDEX($A:$A,100000),0)+MATCH($D38,INDEX($D:$D,Control!$B$31):INDEX($D:$D,Control!$B$32),0)-1,
    1)</f>
        <v>0</v>
      </c>
      <c r="AN38" s="25" cm="1">
        <f t="array" ref="AN38">INDEX(
    INDEX(AN:AN,Control!$B$29):INDEX(AN:AN,100000),
    MATCH($A$8,INDEX($A:$A,Control!$B$29):INDEX($A:$A,100000),0)+MATCH($D38,INDEX($D:$D,Control!$B$31):INDEX($D:$D,Control!$B$32),0)-1,
    1)</f>
        <v>0</v>
      </c>
    </row>
    <row r="39" spans="3:40" x14ac:dyDescent="0.35">
      <c r="C39" s="292" t="s">
        <v>230</v>
      </c>
      <c r="D39" s="21" t="s">
        <v>359</v>
      </c>
      <c r="E39" s="21" t="s">
        <v>221</v>
      </c>
      <c r="F39" s="25" cm="1">
        <f t="array" ref="F39">INDEX(
    INDEX(F:F,Control!$B$29):INDEX(F:F,100000),
    MATCH($A$8,INDEX($A:$A,Control!$B$29):INDEX($A:$A,100000),0)+MATCH($D39,INDEX($D:$D,Control!$B$31):INDEX($D:$D,Control!$B$32),0)-1,
    1)</f>
        <v>0</v>
      </c>
      <c r="G39" s="25" cm="1">
        <f t="array" ref="G39">INDEX(
    INDEX(G:G,Control!$B$29):INDEX(G:G,100000),
    MATCH($A$8,INDEX($A:$A,Control!$B$29):INDEX($A:$A,100000),0)+MATCH($D39,INDEX($D:$D,Control!$B$31):INDEX($D:$D,Control!$B$32),0)-1,
    1)</f>
        <v>0</v>
      </c>
      <c r="H39" s="25" cm="1">
        <f t="array" ref="H39">INDEX(
    INDEX(H:H,Control!$B$29):INDEX(H:H,100000),
    MATCH($A$8,INDEX($A:$A,Control!$B$29):INDEX($A:$A,100000),0)+MATCH($D39,INDEX($D:$D,Control!$B$31):INDEX($D:$D,Control!$B$32),0)-1,
    1)</f>
        <v>0</v>
      </c>
      <c r="I39" s="25" cm="1">
        <f t="array" ref="I39">INDEX(
    INDEX(I:I,Control!$B$29):INDEX(I:I,100000),
    MATCH($A$8,INDEX($A:$A,Control!$B$29):INDEX($A:$A,100000),0)+MATCH($D39,INDEX($D:$D,Control!$B$31):INDEX($D:$D,Control!$B$32),0)-1,
    1)</f>
        <v>0</v>
      </c>
      <c r="J39" s="25" cm="1">
        <f t="array" ref="J39">INDEX(
    INDEX(J:J,Control!$B$29):INDEX(J:J,100000),
    MATCH($A$8,INDEX($A:$A,Control!$B$29):INDEX($A:$A,100000),0)+MATCH($D39,INDEX($D:$D,Control!$B$31):INDEX($D:$D,Control!$B$32),0)-1,
    1)</f>
        <v>0</v>
      </c>
      <c r="K39" s="25" cm="1">
        <f t="array" ref="K39">INDEX(
    INDEX(K:K,Control!$B$29):INDEX(K:K,100000),
    MATCH($A$8,INDEX($A:$A,Control!$B$29):INDEX($A:$A,100000),0)+MATCH($D39,INDEX($D:$D,Control!$B$31):INDEX($D:$D,Control!$B$32),0)-1,
    1)</f>
        <v>0</v>
      </c>
      <c r="L39" s="25" cm="1">
        <f t="array" ref="L39">INDEX(
    INDEX(L:L,Control!$B$29):INDEX(L:L,100000),
    MATCH($A$8,INDEX($A:$A,Control!$B$29):INDEX($A:$A,100000),0)+MATCH($D39,INDEX($D:$D,Control!$B$31):INDEX($D:$D,Control!$B$32),0)-1,
    1)</f>
        <v>0</v>
      </c>
      <c r="M39" s="25" cm="1">
        <f t="array" ref="M39">INDEX(
    INDEX(M:M,Control!$B$29):INDEX(M:M,100000),
    MATCH($A$8,INDEX($A:$A,Control!$B$29):INDEX($A:$A,100000),0)+MATCH($D39,INDEX($D:$D,Control!$B$31):INDEX($D:$D,Control!$B$32),0)-1,
    1)</f>
        <v>0</v>
      </c>
      <c r="N39" s="25" cm="1">
        <f t="array" ref="N39">INDEX(
    INDEX(N:N,Control!$B$29):INDEX(N:N,100000),
    MATCH($A$8,INDEX($A:$A,Control!$B$29):INDEX($A:$A,100000),0)+MATCH($D39,INDEX($D:$D,Control!$B$31):INDEX($D:$D,Control!$B$32),0)-1,
    1)</f>
        <v>0</v>
      </c>
      <c r="O39" s="25" cm="1">
        <f t="array" ref="O39">INDEX(
    INDEX(O:O,Control!$B$29):INDEX(O:O,100000),
    MATCH($A$8,INDEX($A:$A,Control!$B$29):INDEX($A:$A,100000),0)+MATCH($D39,INDEX($D:$D,Control!$B$31):INDEX($D:$D,Control!$B$32),0)-1,
    1)</f>
        <v>0</v>
      </c>
      <c r="P39" s="25" cm="1">
        <f t="array" ref="P39">INDEX(
    INDEX(P:P,Control!$B$29):INDEX(P:P,100000),
    MATCH($A$8,INDEX($A:$A,Control!$B$29):INDEX($A:$A,100000),0)+MATCH($D39,INDEX($D:$D,Control!$B$31):INDEX($D:$D,Control!$B$32),0)-1,
    1)</f>
        <v>0</v>
      </c>
      <c r="Q39" s="25" cm="1">
        <f t="array" ref="Q39">INDEX(
    INDEX(Q:Q,Control!$B$29):INDEX(Q:Q,100000),
    MATCH($A$8,INDEX($A:$A,Control!$B$29):INDEX($A:$A,100000),0)+MATCH($D39,INDEX($D:$D,Control!$B$31):INDEX($D:$D,Control!$B$32),0)-1,
    1)</f>
        <v>0</v>
      </c>
      <c r="R39" s="25" cm="1">
        <f t="array" ref="R39">INDEX(
    INDEX(R:R,Control!$B$29):INDEX(R:R,100000),
    MATCH($A$8,INDEX($A:$A,Control!$B$29):INDEX($A:$A,100000),0)+MATCH($D39,INDEX($D:$D,Control!$B$31):INDEX($D:$D,Control!$B$32),0)-1,
    1)</f>
        <v>0</v>
      </c>
      <c r="S39" s="25" cm="1">
        <f t="array" ref="S39">INDEX(
    INDEX(S:S,Control!$B$29):INDEX(S:S,100000),
    MATCH($A$8,INDEX($A:$A,Control!$B$29):INDEX($A:$A,100000),0)+MATCH($D39,INDEX($D:$D,Control!$B$31):INDEX($D:$D,Control!$B$32),0)-1,
    1)</f>
        <v>0</v>
      </c>
      <c r="T39" s="25" cm="1">
        <f t="array" ref="T39">INDEX(
    INDEX(T:T,Control!$B$29):INDEX(T:T,100000),
    MATCH($A$8,INDEX($A:$A,Control!$B$29):INDEX($A:$A,100000),0)+MATCH($D39,INDEX($D:$D,Control!$B$31):INDEX($D:$D,Control!$B$32),0)-1,
    1)</f>
        <v>0</v>
      </c>
      <c r="U39" s="25" cm="1">
        <f t="array" ref="U39">INDEX(
    INDEX(U:U,Control!$B$29):INDEX(U:U,100000),
    MATCH($A$8,INDEX($A:$A,Control!$B$29):INDEX($A:$A,100000),0)+MATCH($D39,INDEX($D:$D,Control!$B$31):INDEX($D:$D,Control!$B$32),0)-1,
    1)</f>
        <v>0</v>
      </c>
      <c r="V39" s="25" cm="1">
        <f t="array" ref="V39">INDEX(
    INDEX(V:V,Control!$B$29):INDEX(V:V,100000),
    MATCH($A$8,INDEX($A:$A,Control!$B$29):INDEX($A:$A,100000),0)+MATCH($D39,INDEX($D:$D,Control!$B$31):INDEX($D:$D,Control!$B$32),0)-1,
    1)</f>
        <v>0</v>
      </c>
      <c r="W39" s="25" cm="1">
        <f t="array" ref="W39">INDEX(
    INDEX(W:W,Control!$B$29):INDEX(W:W,100000),
    MATCH($A$8,INDEX($A:$A,Control!$B$29):INDEX($A:$A,100000),0)+MATCH($D39,INDEX($D:$D,Control!$B$31):INDEX($D:$D,Control!$B$32),0)-1,
    1)</f>
        <v>0</v>
      </c>
      <c r="X39" s="25" cm="1">
        <f t="array" ref="X39">INDEX(
    INDEX(X:X,Control!$B$29):INDEX(X:X,100000),
    MATCH($A$8,INDEX($A:$A,Control!$B$29):INDEX($A:$A,100000),0)+MATCH($D39,INDEX($D:$D,Control!$B$31):INDEX($D:$D,Control!$B$32),0)-1,
    1)</f>
        <v>0</v>
      </c>
      <c r="Y39" s="25" cm="1">
        <f t="array" ref="Y39">INDEX(
    INDEX(Y:Y,Control!$B$29):INDEX(Y:Y,100000),
    MATCH($A$8,INDEX($A:$A,Control!$B$29):INDEX($A:$A,100000),0)+MATCH($D39,INDEX($D:$D,Control!$B$31):INDEX($D:$D,Control!$B$32),0)-1,
    1)</f>
        <v>0</v>
      </c>
      <c r="Z39" s="25" cm="1">
        <f t="array" ref="Z39">INDEX(
    INDEX(Z:Z,Control!$B$29):INDEX(Z:Z,100000),
    MATCH($A$8,INDEX($A:$A,Control!$B$29):INDEX($A:$A,100000),0)+MATCH($D39,INDEX($D:$D,Control!$B$31):INDEX($D:$D,Control!$B$32),0)-1,
    1)</f>
        <v>0</v>
      </c>
      <c r="AA39" s="25" cm="1">
        <f t="array" ref="AA39">INDEX(
    INDEX(AA:AA,Control!$B$29):INDEX(AA:AA,100000),
    MATCH($A$8,INDEX($A:$A,Control!$B$29):INDEX($A:$A,100000),0)+MATCH($D39,INDEX($D:$D,Control!$B$31):INDEX($D:$D,Control!$B$32),0)-1,
    1)</f>
        <v>0</v>
      </c>
      <c r="AB39" s="25" cm="1">
        <f t="array" ref="AB39">INDEX(
    INDEX(AB:AB,Control!$B$29):INDEX(AB:AB,100000),
    MATCH($A$8,INDEX($A:$A,Control!$B$29):INDEX($A:$A,100000),0)+MATCH($D39,INDEX($D:$D,Control!$B$31):INDEX($D:$D,Control!$B$32),0)-1,
    1)</f>
        <v>0</v>
      </c>
      <c r="AC39" s="25" cm="1">
        <f t="array" ref="AC39">INDEX(
    INDEX(AC:AC,Control!$B$29):INDEX(AC:AC,100000),
    MATCH($A$8,INDEX($A:$A,Control!$B$29):INDEX($A:$A,100000),0)+MATCH($D39,INDEX($D:$D,Control!$B$31):INDEX($D:$D,Control!$B$32),0)-1,
    1)</f>
        <v>0</v>
      </c>
      <c r="AD39" s="25" cm="1">
        <f t="array" ref="AD39">INDEX(
    INDEX(AD:AD,Control!$B$29):INDEX(AD:AD,100000),
    MATCH($A$8,INDEX($A:$A,Control!$B$29):INDEX($A:$A,100000),0)+MATCH($D39,INDEX($D:$D,Control!$B$31):INDEX($D:$D,Control!$B$32),0)-1,
    1)</f>
        <v>0</v>
      </c>
      <c r="AE39" s="25" cm="1">
        <f t="array" ref="AE39">INDEX(
    INDEX(AE:AE,Control!$B$29):INDEX(AE:AE,100000),
    MATCH($A$8,INDEX($A:$A,Control!$B$29):INDEX($A:$A,100000),0)+MATCH($D39,INDEX($D:$D,Control!$B$31):INDEX($D:$D,Control!$B$32),0)-1,
    1)</f>
        <v>0</v>
      </c>
      <c r="AF39" s="25" cm="1">
        <f t="array" ref="AF39">INDEX(
    INDEX(AF:AF,Control!$B$29):INDEX(AF:AF,100000),
    MATCH($A$8,INDEX($A:$A,Control!$B$29):INDEX($A:$A,100000),0)+MATCH($D39,INDEX($D:$D,Control!$B$31):INDEX($D:$D,Control!$B$32),0)-1,
    1)</f>
        <v>0</v>
      </c>
      <c r="AG39" s="25" cm="1">
        <f t="array" ref="AG39">INDEX(
    INDEX(AG:AG,Control!$B$29):INDEX(AG:AG,100000),
    MATCH($A$8,INDEX($A:$A,Control!$B$29):INDEX($A:$A,100000),0)+MATCH($D39,INDEX($D:$D,Control!$B$31):INDEX($D:$D,Control!$B$32),0)-1,
    1)</f>
        <v>0</v>
      </c>
      <c r="AH39" s="25" cm="1">
        <f t="array" ref="AH39">INDEX(
    INDEX(AH:AH,Control!$B$29):INDEX(AH:AH,100000),
    MATCH($A$8,INDEX($A:$A,Control!$B$29):INDEX($A:$A,100000),0)+MATCH($D39,INDEX($D:$D,Control!$B$31):INDEX($D:$D,Control!$B$32),0)-1,
    1)</f>
        <v>0</v>
      </c>
      <c r="AI39" s="25" cm="1">
        <f t="array" ref="AI39">INDEX(
    INDEX(AI:AI,Control!$B$29):INDEX(AI:AI,100000),
    MATCH($A$8,INDEX($A:$A,Control!$B$29):INDEX($A:$A,100000),0)+MATCH($D39,INDEX($D:$D,Control!$B$31):INDEX($D:$D,Control!$B$32),0)-1,
    1)</f>
        <v>0</v>
      </c>
      <c r="AJ39" s="25" cm="1">
        <f t="array" ref="AJ39">INDEX(
    INDEX(AJ:AJ,Control!$B$29):INDEX(AJ:AJ,100000),
    MATCH($A$8,INDEX($A:$A,Control!$B$29):INDEX($A:$A,100000),0)+MATCH($D39,INDEX($D:$D,Control!$B$31):INDEX($D:$D,Control!$B$32),0)-1,
    1)</f>
        <v>0</v>
      </c>
      <c r="AK39" s="25" cm="1">
        <f t="array" ref="AK39">INDEX(
    INDEX(AK:AK,Control!$B$29):INDEX(AK:AK,100000),
    MATCH($A$8,INDEX($A:$A,Control!$B$29):INDEX($A:$A,100000),0)+MATCH($D39,INDEX($D:$D,Control!$B$31):INDEX($D:$D,Control!$B$32),0)-1,
    1)</f>
        <v>0</v>
      </c>
      <c r="AL39" s="25" cm="1">
        <f t="array" ref="AL39">INDEX(
    INDEX(AL:AL,Control!$B$29):INDEX(AL:AL,100000),
    MATCH($A$8,INDEX($A:$A,Control!$B$29):INDEX($A:$A,100000),0)+MATCH($D39,INDEX($D:$D,Control!$B$31):INDEX($D:$D,Control!$B$32),0)-1,
    1)</f>
        <v>0</v>
      </c>
      <c r="AM39" s="25" cm="1">
        <f t="array" ref="AM39">INDEX(
    INDEX(AM:AM,Control!$B$29):INDEX(AM:AM,100000),
    MATCH($A$8,INDEX($A:$A,Control!$B$29):INDEX($A:$A,100000),0)+MATCH($D39,INDEX($D:$D,Control!$B$31):INDEX($D:$D,Control!$B$32),0)-1,
    1)</f>
        <v>0</v>
      </c>
      <c r="AN39" s="25" cm="1">
        <f t="array" ref="AN39">INDEX(
    INDEX(AN:AN,Control!$B$29):INDEX(AN:AN,100000),
    MATCH($A$8,INDEX($A:$A,Control!$B$29):INDEX($A:$A,100000),0)+MATCH($D39,INDEX($D:$D,Control!$B$31):INDEX($D:$D,Control!$B$32),0)-1,
    1)</f>
        <v>0</v>
      </c>
    </row>
    <row r="40" spans="3:40" x14ac:dyDescent="0.35">
      <c r="C40" s="292" t="s">
        <v>230</v>
      </c>
      <c r="D40" s="21" t="s">
        <v>360</v>
      </c>
      <c r="E40" s="21" t="s">
        <v>221</v>
      </c>
      <c r="F40" s="25" cm="1">
        <f t="array" ref="F40">INDEX(
    INDEX(F:F,Control!$B$29):INDEX(F:F,100000),
    MATCH($A$8,INDEX($A:$A,Control!$B$29):INDEX($A:$A,100000),0)+MATCH($D40,INDEX($D:$D,Control!$B$31):INDEX($D:$D,Control!$B$32),0)-1,
    1)</f>
        <v>0</v>
      </c>
      <c r="G40" s="25" cm="1">
        <f t="array" ref="G40">INDEX(
    INDEX(G:G,Control!$B$29):INDEX(G:G,100000),
    MATCH($A$8,INDEX($A:$A,Control!$B$29):INDEX($A:$A,100000),0)+MATCH($D40,INDEX($D:$D,Control!$B$31):INDEX($D:$D,Control!$B$32),0)-1,
    1)</f>
        <v>0</v>
      </c>
      <c r="H40" s="25" cm="1">
        <f t="array" ref="H40">INDEX(
    INDEX(H:H,Control!$B$29):INDEX(H:H,100000),
    MATCH($A$8,INDEX($A:$A,Control!$B$29):INDEX($A:$A,100000),0)+MATCH($D40,INDEX($D:$D,Control!$B$31):INDEX($D:$D,Control!$B$32),0)-1,
    1)</f>
        <v>0</v>
      </c>
      <c r="I40" s="25" cm="1">
        <f t="array" ref="I40">INDEX(
    INDEX(I:I,Control!$B$29):INDEX(I:I,100000),
    MATCH($A$8,INDEX($A:$A,Control!$B$29):INDEX($A:$A,100000),0)+MATCH($D40,INDEX($D:$D,Control!$B$31):INDEX($D:$D,Control!$B$32),0)-1,
    1)</f>
        <v>0</v>
      </c>
      <c r="J40" s="25" cm="1">
        <f t="array" ref="J40">INDEX(
    INDEX(J:J,Control!$B$29):INDEX(J:J,100000),
    MATCH($A$8,INDEX($A:$A,Control!$B$29):INDEX($A:$A,100000),0)+MATCH($D40,INDEX($D:$D,Control!$B$31):INDEX($D:$D,Control!$B$32),0)-1,
    1)</f>
        <v>0</v>
      </c>
      <c r="K40" s="25" cm="1">
        <f t="array" ref="K40">INDEX(
    INDEX(K:K,Control!$B$29):INDEX(K:K,100000),
    MATCH($A$8,INDEX($A:$A,Control!$B$29):INDEX($A:$A,100000),0)+MATCH($D40,INDEX($D:$D,Control!$B$31):INDEX($D:$D,Control!$B$32),0)-1,
    1)</f>
        <v>0</v>
      </c>
      <c r="L40" s="25" cm="1">
        <f t="array" ref="L40">INDEX(
    INDEX(L:L,Control!$B$29):INDEX(L:L,100000),
    MATCH($A$8,INDEX($A:$A,Control!$B$29):INDEX($A:$A,100000),0)+MATCH($D40,INDEX($D:$D,Control!$B$31):INDEX($D:$D,Control!$B$32),0)-1,
    1)</f>
        <v>0</v>
      </c>
      <c r="M40" s="25" cm="1">
        <f t="array" ref="M40">INDEX(
    INDEX(M:M,Control!$B$29):INDEX(M:M,100000),
    MATCH($A$8,INDEX($A:$A,Control!$B$29):INDEX($A:$A,100000),0)+MATCH($D40,INDEX($D:$D,Control!$B$31):INDEX($D:$D,Control!$B$32),0)-1,
    1)</f>
        <v>0</v>
      </c>
      <c r="N40" s="25" cm="1">
        <f t="array" ref="N40">INDEX(
    INDEX(N:N,Control!$B$29):INDEX(N:N,100000),
    MATCH($A$8,INDEX($A:$A,Control!$B$29):INDEX($A:$A,100000),0)+MATCH($D40,INDEX($D:$D,Control!$B$31):INDEX($D:$D,Control!$B$32),0)-1,
    1)</f>
        <v>0</v>
      </c>
      <c r="O40" s="25" cm="1">
        <f t="array" ref="O40">INDEX(
    INDEX(O:O,Control!$B$29):INDEX(O:O,100000),
    MATCH($A$8,INDEX($A:$A,Control!$B$29):INDEX($A:$A,100000),0)+MATCH($D40,INDEX($D:$D,Control!$B$31):INDEX($D:$D,Control!$B$32),0)-1,
    1)</f>
        <v>0</v>
      </c>
      <c r="P40" s="25" cm="1">
        <f t="array" ref="P40">INDEX(
    INDEX(P:P,Control!$B$29):INDEX(P:P,100000),
    MATCH($A$8,INDEX($A:$A,Control!$B$29):INDEX($A:$A,100000),0)+MATCH($D40,INDEX($D:$D,Control!$B$31):INDEX($D:$D,Control!$B$32),0)-1,
    1)</f>
        <v>0</v>
      </c>
      <c r="Q40" s="25" cm="1">
        <f t="array" ref="Q40">INDEX(
    INDEX(Q:Q,Control!$B$29):INDEX(Q:Q,100000),
    MATCH($A$8,INDEX($A:$A,Control!$B$29):INDEX($A:$A,100000),0)+MATCH($D40,INDEX($D:$D,Control!$B$31):INDEX($D:$D,Control!$B$32),0)-1,
    1)</f>
        <v>0</v>
      </c>
      <c r="R40" s="25" cm="1">
        <f t="array" ref="R40">INDEX(
    INDEX(R:R,Control!$B$29):INDEX(R:R,100000),
    MATCH($A$8,INDEX($A:$A,Control!$B$29):INDEX($A:$A,100000),0)+MATCH($D40,INDEX($D:$D,Control!$B$31):INDEX($D:$D,Control!$B$32),0)-1,
    1)</f>
        <v>0</v>
      </c>
      <c r="S40" s="25" cm="1">
        <f t="array" ref="S40">INDEX(
    INDEX(S:S,Control!$B$29):INDEX(S:S,100000),
    MATCH($A$8,INDEX($A:$A,Control!$B$29):INDEX($A:$A,100000),0)+MATCH($D40,INDEX($D:$D,Control!$B$31):INDEX($D:$D,Control!$B$32),0)-1,
    1)</f>
        <v>0</v>
      </c>
      <c r="T40" s="25" cm="1">
        <f t="array" ref="T40">INDEX(
    INDEX(T:T,Control!$B$29):INDEX(T:T,100000),
    MATCH($A$8,INDEX($A:$A,Control!$B$29):INDEX($A:$A,100000),0)+MATCH($D40,INDEX($D:$D,Control!$B$31):INDEX($D:$D,Control!$B$32),0)-1,
    1)</f>
        <v>0</v>
      </c>
      <c r="U40" s="25" cm="1">
        <f t="array" ref="U40">INDEX(
    INDEX(U:U,Control!$B$29):INDEX(U:U,100000),
    MATCH($A$8,INDEX($A:$A,Control!$B$29):INDEX($A:$A,100000),0)+MATCH($D40,INDEX($D:$D,Control!$B$31):INDEX($D:$D,Control!$B$32),0)-1,
    1)</f>
        <v>0</v>
      </c>
      <c r="V40" s="25" cm="1">
        <f t="array" ref="V40">INDEX(
    INDEX(V:V,Control!$B$29):INDEX(V:V,100000),
    MATCH($A$8,INDEX($A:$A,Control!$B$29):INDEX($A:$A,100000),0)+MATCH($D40,INDEX($D:$D,Control!$B$31):INDEX($D:$D,Control!$B$32),0)-1,
    1)</f>
        <v>0</v>
      </c>
      <c r="W40" s="25" cm="1">
        <f t="array" ref="W40">INDEX(
    INDEX(W:W,Control!$B$29):INDEX(W:W,100000),
    MATCH($A$8,INDEX($A:$A,Control!$B$29):INDEX($A:$A,100000),0)+MATCH($D40,INDEX($D:$D,Control!$B$31):INDEX($D:$D,Control!$B$32),0)-1,
    1)</f>
        <v>0</v>
      </c>
      <c r="X40" s="25" cm="1">
        <f t="array" ref="X40">INDEX(
    INDEX(X:X,Control!$B$29):INDEX(X:X,100000),
    MATCH($A$8,INDEX($A:$A,Control!$B$29):INDEX($A:$A,100000),0)+MATCH($D40,INDEX($D:$D,Control!$B$31):INDEX($D:$D,Control!$B$32),0)-1,
    1)</f>
        <v>0</v>
      </c>
      <c r="Y40" s="25" cm="1">
        <f t="array" ref="Y40">INDEX(
    INDEX(Y:Y,Control!$B$29):INDEX(Y:Y,100000),
    MATCH($A$8,INDEX($A:$A,Control!$B$29):INDEX($A:$A,100000),0)+MATCH($D40,INDEX($D:$D,Control!$B$31):INDEX($D:$D,Control!$B$32),0)-1,
    1)</f>
        <v>0</v>
      </c>
      <c r="Z40" s="25" cm="1">
        <f t="array" ref="Z40">INDEX(
    INDEX(Z:Z,Control!$B$29):INDEX(Z:Z,100000),
    MATCH($A$8,INDEX($A:$A,Control!$B$29):INDEX($A:$A,100000),0)+MATCH($D40,INDEX($D:$D,Control!$B$31):INDEX($D:$D,Control!$B$32),0)-1,
    1)</f>
        <v>0</v>
      </c>
      <c r="AA40" s="25" cm="1">
        <f t="array" ref="AA40">INDEX(
    INDEX(AA:AA,Control!$B$29):INDEX(AA:AA,100000),
    MATCH($A$8,INDEX($A:$A,Control!$B$29):INDEX($A:$A,100000),0)+MATCH($D40,INDEX($D:$D,Control!$B$31):INDEX($D:$D,Control!$B$32),0)-1,
    1)</f>
        <v>0</v>
      </c>
      <c r="AB40" s="25" cm="1">
        <f t="array" ref="AB40">INDEX(
    INDEX(AB:AB,Control!$B$29):INDEX(AB:AB,100000),
    MATCH($A$8,INDEX($A:$A,Control!$B$29):INDEX($A:$A,100000),0)+MATCH($D40,INDEX($D:$D,Control!$B$31):INDEX($D:$D,Control!$B$32),0)-1,
    1)</f>
        <v>0</v>
      </c>
      <c r="AC40" s="25" cm="1">
        <f t="array" ref="AC40">INDEX(
    INDEX(AC:AC,Control!$B$29):INDEX(AC:AC,100000),
    MATCH($A$8,INDEX($A:$A,Control!$B$29):INDEX($A:$A,100000),0)+MATCH($D40,INDEX($D:$D,Control!$B$31):INDEX($D:$D,Control!$B$32),0)-1,
    1)</f>
        <v>0</v>
      </c>
      <c r="AD40" s="25" cm="1">
        <f t="array" ref="AD40">INDEX(
    INDEX(AD:AD,Control!$B$29):INDEX(AD:AD,100000),
    MATCH($A$8,INDEX($A:$A,Control!$B$29):INDEX($A:$A,100000),0)+MATCH($D40,INDEX($D:$D,Control!$B$31):INDEX($D:$D,Control!$B$32),0)-1,
    1)</f>
        <v>0</v>
      </c>
      <c r="AE40" s="25" cm="1">
        <f t="array" ref="AE40">INDEX(
    INDEX(AE:AE,Control!$B$29):INDEX(AE:AE,100000),
    MATCH($A$8,INDEX($A:$A,Control!$B$29):INDEX($A:$A,100000),0)+MATCH($D40,INDEX($D:$D,Control!$B$31):INDEX($D:$D,Control!$B$32),0)-1,
    1)</f>
        <v>0</v>
      </c>
      <c r="AF40" s="25" cm="1">
        <f t="array" ref="AF40">INDEX(
    INDEX(AF:AF,Control!$B$29):INDEX(AF:AF,100000),
    MATCH($A$8,INDEX($A:$A,Control!$B$29):INDEX($A:$A,100000),0)+MATCH($D40,INDEX($D:$D,Control!$B$31):INDEX($D:$D,Control!$B$32),0)-1,
    1)</f>
        <v>0</v>
      </c>
      <c r="AG40" s="25" cm="1">
        <f t="array" ref="AG40">INDEX(
    INDEX(AG:AG,Control!$B$29):INDEX(AG:AG,100000),
    MATCH($A$8,INDEX($A:$A,Control!$B$29):INDEX($A:$A,100000),0)+MATCH($D40,INDEX($D:$D,Control!$B$31):INDEX($D:$D,Control!$B$32),0)-1,
    1)</f>
        <v>0</v>
      </c>
      <c r="AH40" s="25" cm="1">
        <f t="array" ref="AH40">INDEX(
    INDEX(AH:AH,Control!$B$29):INDEX(AH:AH,100000),
    MATCH($A$8,INDEX($A:$A,Control!$B$29):INDEX($A:$A,100000),0)+MATCH($D40,INDEX($D:$D,Control!$B$31):INDEX($D:$D,Control!$B$32),0)-1,
    1)</f>
        <v>0</v>
      </c>
      <c r="AI40" s="25" cm="1">
        <f t="array" ref="AI40">INDEX(
    INDEX(AI:AI,Control!$B$29):INDEX(AI:AI,100000),
    MATCH($A$8,INDEX($A:$A,Control!$B$29):INDEX($A:$A,100000),0)+MATCH($D40,INDEX($D:$D,Control!$B$31):INDEX($D:$D,Control!$B$32),0)-1,
    1)</f>
        <v>0</v>
      </c>
      <c r="AJ40" s="25" cm="1">
        <f t="array" ref="AJ40">INDEX(
    INDEX(AJ:AJ,Control!$B$29):INDEX(AJ:AJ,100000),
    MATCH($A$8,INDEX($A:$A,Control!$B$29):INDEX($A:$A,100000),0)+MATCH($D40,INDEX($D:$D,Control!$B$31):INDEX($D:$D,Control!$B$32),0)-1,
    1)</f>
        <v>0</v>
      </c>
      <c r="AK40" s="25" cm="1">
        <f t="array" ref="AK40">INDEX(
    INDEX(AK:AK,Control!$B$29):INDEX(AK:AK,100000),
    MATCH($A$8,INDEX($A:$A,Control!$B$29):INDEX($A:$A,100000),0)+MATCH($D40,INDEX($D:$D,Control!$B$31):INDEX($D:$D,Control!$B$32),0)-1,
    1)</f>
        <v>0</v>
      </c>
      <c r="AL40" s="25" cm="1">
        <f t="array" ref="AL40">INDEX(
    INDEX(AL:AL,Control!$B$29):INDEX(AL:AL,100000),
    MATCH($A$8,INDEX($A:$A,Control!$B$29):INDEX($A:$A,100000),0)+MATCH($D40,INDEX($D:$D,Control!$B$31):INDEX($D:$D,Control!$B$32),0)-1,
    1)</f>
        <v>0</v>
      </c>
      <c r="AM40" s="25" cm="1">
        <f t="array" ref="AM40">INDEX(
    INDEX(AM:AM,Control!$B$29):INDEX(AM:AM,100000),
    MATCH($A$8,INDEX($A:$A,Control!$B$29):INDEX($A:$A,100000),0)+MATCH($D40,INDEX($D:$D,Control!$B$31):INDEX($D:$D,Control!$B$32),0)-1,
    1)</f>
        <v>0</v>
      </c>
      <c r="AN40" s="25" cm="1">
        <f t="array" ref="AN40">INDEX(
    INDEX(AN:AN,Control!$B$29):INDEX(AN:AN,100000),
    MATCH($A$8,INDEX($A:$A,Control!$B$29):INDEX($A:$A,100000),0)+MATCH($D40,INDEX($D:$D,Control!$B$31):INDEX($D:$D,Control!$B$32),0)-1,
    1)</f>
        <v>0</v>
      </c>
    </row>
    <row r="41" spans="3:40" x14ac:dyDescent="0.35">
      <c r="C41" s="292" t="s">
        <v>230</v>
      </c>
      <c r="D41" s="36" t="s">
        <v>361</v>
      </c>
      <c r="E41" s="43" t="s">
        <v>221</v>
      </c>
      <c r="F41" s="261" cm="1">
        <f t="array" ref="F41">INDEX(
    INDEX(F:F,Control!$B$29):INDEX(F:F,100000),
    MATCH($A$8,INDEX($A:$A,Control!$B$29):INDEX($A:$A,100000),0)+MATCH($D41,INDEX($D:$D,Control!$B$31):INDEX($D:$D,Control!$B$32),0)-1,
    1)</f>
        <v>0</v>
      </c>
      <c r="G41" s="261" cm="1">
        <f t="array" ref="G41">INDEX(
    INDEX(G:G,Control!$B$29):INDEX(G:G,100000),
    MATCH($A$8,INDEX($A:$A,Control!$B$29):INDEX($A:$A,100000),0)+MATCH($D41,INDEX($D:$D,Control!$B$31):INDEX($D:$D,Control!$B$32),0)-1,
    1)</f>
        <v>0</v>
      </c>
      <c r="H41" s="261" cm="1">
        <f t="array" ref="H41">INDEX(
    INDEX(H:H,Control!$B$29):INDEX(H:H,100000),
    MATCH($A$8,INDEX($A:$A,Control!$B$29):INDEX($A:$A,100000),0)+MATCH($D41,INDEX($D:$D,Control!$B$31):INDEX($D:$D,Control!$B$32),0)-1,
    1)</f>
        <v>0</v>
      </c>
      <c r="I41" s="261" cm="1">
        <f t="array" ref="I41">INDEX(
    INDEX(I:I,Control!$B$29):INDEX(I:I,100000),
    MATCH($A$8,INDEX($A:$A,Control!$B$29):INDEX($A:$A,100000),0)+MATCH($D41,INDEX($D:$D,Control!$B$31):INDEX($D:$D,Control!$B$32),0)-1,
    1)</f>
        <v>0</v>
      </c>
      <c r="J41" s="261" cm="1">
        <f t="array" ref="J41">INDEX(
    INDEX(J:J,Control!$B$29):INDEX(J:J,100000),
    MATCH($A$8,INDEX($A:$A,Control!$B$29):INDEX($A:$A,100000),0)+MATCH($D41,INDEX($D:$D,Control!$B$31):INDEX($D:$D,Control!$B$32),0)-1,
    1)</f>
        <v>0</v>
      </c>
      <c r="K41" s="261" cm="1">
        <f t="array" ref="K41">INDEX(
    INDEX(K:K,Control!$B$29):INDEX(K:K,100000),
    MATCH($A$8,INDEX($A:$A,Control!$B$29):INDEX($A:$A,100000),0)+MATCH($D41,INDEX($D:$D,Control!$B$31):INDEX($D:$D,Control!$B$32),0)-1,
    1)</f>
        <v>0</v>
      </c>
      <c r="L41" s="261" cm="1">
        <f t="array" ref="L41">INDEX(
    INDEX(L:L,Control!$B$29):INDEX(L:L,100000),
    MATCH($A$8,INDEX($A:$A,Control!$B$29):INDEX($A:$A,100000),0)+MATCH($D41,INDEX($D:$D,Control!$B$31):INDEX($D:$D,Control!$B$32),0)-1,
    1)</f>
        <v>0</v>
      </c>
      <c r="M41" s="261" cm="1">
        <f t="array" ref="M41">INDEX(
    INDEX(M:M,Control!$B$29):INDEX(M:M,100000),
    MATCH($A$8,INDEX($A:$A,Control!$B$29):INDEX($A:$A,100000),0)+MATCH($D41,INDEX($D:$D,Control!$B$31):INDEX($D:$D,Control!$B$32),0)-1,
    1)</f>
        <v>0</v>
      </c>
      <c r="N41" s="261" cm="1">
        <f t="array" ref="N41">INDEX(
    INDEX(N:N,Control!$B$29):INDEX(N:N,100000),
    MATCH($A$8,INDEX($A:$A,Control!$B$29):INDEX($A:$A,100000),0)+MATCH($D41,INDEX($D:$D,Control!$B$31):INDEX($D:$D,Control!$B$32),0)-1,
    1)</f>
        <v>0</v>
      </c>
      <c r="O41" s="261" cm="1">
        <f t="array" ref="O41">INDEX(
    INDEX(O:O,Control!$B$29):INDEX(O:O,100000),
    MATCH($A$8,INDEX($A:$A,Control!$B$29):INDEX($A:$A,100000),0)+MATCH($D41,INDEX($D:$D,Control!$B$31):INDEX($D:$D,Control!$B$32),0)-1,
    1)</f>
        <v>0</v>
      </c>
      <c r="P41" s="261" cm="1">
        <f t="array" ref="P41">INDEX(
    INDEX(P:P,Control!$B$29):INDEX(P:P,100000),
    MATCH($A$8,INDEX($A:$A,Control!$B$29):INDEX($A:$A,100000),0)+MATCH($D41,INDEX($D:$D,Control!$B$31):INDEX($D:$D,Control!$B$32),0)-1,
    1)</f>
        <v>0</v>
      </c>
      <c r="Q41" s="261" cm="1">
        <f t="array" ref="Q41">INDEX(
    INDEX(Q:Q,Control!$B$29):INDEX(Q:Q,100000),
    MATCH($A$8,INDEX($A:$A,Control!$B$29):INDEX($A:$A,100000),0)+MATCH($D41,INDEX($D:$D,Control!$B$31):INDEX($D:$D,Control!$B$32),0)-1,
    1)</f>
        <v>0</v>
      </c>
      <c r="R41" s="261" cm="1">
        <f t="array" ref="R41">INDEX(
    INDEX(R:R,Control!$B$29):INDEX(R:R,100000),
    MATCH($A$8,INDEX($A:$A,Control!$B$29):INDEX($A:$A,100000),0)+MATCH($D41,INDEX($D:$D,Control!$B$31):INDEX($D:$D,Control!$B$32),0)-1,
    1)</f>
        <v>0</v>
      </c>
      <c r="S41" s="261" cm="1">
        <f t="array" ref="S41">INDEX(
    INDEX(S:S,Control!$B$29):INDEX(S:S,100000),
    MATCH($A$8,INDEX($A:$A,Control!$B$29):INDEX($A:$A,100000),0)+MATCH($D41,INDEX($D:$D,Control!$B$31):INDEX($D:$D,Control!$B$32),0)-1,
    1)</f>
        <v>0</v>
      </c>
      <c r="T41" s="261" cm="1">
        <f t="array" ref="T41">INDEX(
    INDEX(T:T,Control!$B$29):INDEX(T:T,100000),
    MATCH($A$8,INDEX($A:$A,Control!$B$29):INDEX($A:$A,100000),0)+MATCH($D41,INDEX($D:$D,Control!$B$31):INDEX($D:$D,Control!$B$32),0)-1,
    1)</f>
        <v>0</v>
      </c>
      <c r="U41" s="261" cm="1">
        <f t="array" ref="U41">INDEX(
    INDEX(U:U,Control!$B$29):INDEX(U:U,100000),
    MATCH($A$8,INDEX($A:$A,Control!$B$29):INDEX($A:$A,100000),0)+MATCH($D41,INDEX($D:$D,Control!$B$31):INDEX($D:$D,Control!$B$32),0)-1,
    1)</f>
        <v>0</v>
      </c>
      <c r="V41" s="261" cm="1">
        <f t="array" ref="V41">INDEX(
    INDEX(V:V,Control!$B$29):INDEX(V:V,100000),
    MATCH($A$8,INDEX($A:$A,Control!$B$29):INDEX($A:$A,100000),0)+MATCH($D41,INDEX($D:$D,Control!$B$31):INDEX($D:$D,Control!$B$32),0)-1,
    1)</f>
        <v>0</v>
      </c>
      <c r="W41" s="261" cm="1">
        <f t="array" ref="W41">INDEX(
    INDEX(W:W,Control!$B$29):INDEX(W:W,100000),
    MATCH($A$8,INDEX($A:$A,Control!$B$29):INDEX($A:$A,100000),0)+MATCH($D41,INDEX($D:$D,Control!$B$31):INDEX($D:$D,Control!$B$32),0)-1,
    1)</f>
        <v>0</v>
      </c>
      <c r="X41" s="261" cm="1">
        <f t="array" ref="X41">INDEX(
    INDEX(X:X,Control!$B$29):INDEX(X:X,100000),
    MATCH($A$8,INDEX($A:$A,Control!$B$29):INDEX($A:$A,100000),0)+MATCH($D41,INDEX($D:$D,Control!$B$31):INDEX($D:$D,Control!$B$32),0)-1,
    1)</f>
        <v>0</v>
      </c>
      <c r="Y41" s="261" cm="1">
        <f t="array" ref="Y41">INDEX(
    INDEX(Y:Y,Control!$B$29):INDEX(Y:Y,100000),
    MATCH($A$8,INDEX($A:$A,Control!$B$29):INDEX($A:$A,100000),0)+MATCH($D41,INDEX($D:$D,Control!$B$31):INDEX($D:$D,Control!$B$32),0)-1,
    1)</f>
        <v>0</v>
      </c>
      <c r="Z41" s="261" cm="1">
        <f t="array" ref="Z41">INDEX(
    INDEX(Z:Z,Control!$B$29):INDEX(Z:Z,100000),
    MATCH($A$8,INDEX($A:$A,Control!$B$29):INDEX($A:$A,100000),0)+MATCH($D41,INDEX($D:$D,Control!$B$31):INDEX($D:$D,Control!$B$32),0)-1,
    1)</f>
        <v>0</v>
      </c>
      <c r="AA41" s="261" cm="1">
        <f t="array" ref="AA41">INDEX(
    INDEX(AA:AA,Control!$B$29):INDEX(AA:AA,100000),
    MATCH($A$8,INDEX($A:$A,Control!$B$29):INDEX($A:$A,100000),0)+MATCH($D41,INDEX($D:$D,Control!$B$31):INDEX($D:$D,Control!$B$32),0)-1,
    1)</f>
        <v>0</v>
      </c>
      <c r="AB41" s="261" cm="1">
        <f t="array" ref="AB41">INDEX(
    INDEX(AB:AB,Control!$B$29):INDEX(AB:AB,100000),
    MATCH($A$8,INDEX($A:$A,Control!$B$29):INDEX($A:$A,100000),0)+MATCH($D41,INDEX($D:$D,Control!$B$31):INDEX($D:$D,Control!$B$32),0)-1,
    1)</f>
        <v>0</v>
      </c>
      <c r="AC41" s="261" cm="1">
        <f t="array" ref="AC41">INDEX(
    INDEX(AC:AC,Control!$B$29):INDEX(AC:AC,100000),
    MATCH($A$8,INDEX($A:$A,Control!$B$29):INDEX($A:$A,100000),0)+MATCH($D41,INDEX($D:$D,Control!$B$31):INDEX($D:$D,Control!$B$32),0)-1,
    1)</f>
        <v>0</v>
      </c>
      <c r="AD41" s="261" cm="1">
        <f t="array" ref="AD41">INDEX(
    INDEX(AD:AD,Control!$B$29):INDEX(AD:AD,100000),
    MATCH($A$8,INDEX($A:$A,Control!$B$29):INDEX($A:$A,100000),0)+MATCH($D41,INDEX($D:$D,Control!$B$31):INDEX($D:$D,Control!$B$32),0)-1,
    1)</f>
        <v>0</v>
      </c>
      <c r="AE41" s="261" cm="1">
        <f t="array" ref="AE41">INDEX(
    INDEX(AE:AE,Control!$B$29):INDEX(AE:AE,100000),
    MATCH($A$8,INDEX($A:$A,Control!$B$29):INDEX($A:$A,100000),0)+MATCH($D41,INDEX($D:$D,Control!$B$31):INDEX($D:$D,Control!$B$32),0)-1,
    1)</f>
        <v>0</v>
      </c>
      <c r="AF41" s="261" cm="1">
        <f t="array" ref="AF41">INDEX(
    INDEX(AF:AF,Control!$B$29):INDEX(AF:AF,100000),
    MATCH($A$8,INDEX($A:$A,Control!$B$29):INDEX($A:$A,100000),0)+MATCH($D41,INDEX($D:$D,Control!$B$31):INDEX($D:$D,Control!$B$32),0)-1,
    1)</f>
        <v>0</v>
      </c>
      <c r="AG41" s="261" cm="1">
        <f t="array" ref="AG41">INDEX(
    INDEX(AG:AG,Control!$B$29):INDEX(AG:AG,100000),
    MATCH($A$8,INDEX($A:$A,Control!$B$29):INDEX($A:$A,100000),0)+MATCH($D41,INDEX($D:$D,Control!$B$31):INDEX($D:$D,Control!$B$32),0)-1,
    1)</f>
        <v>0</v>
      </c>
      <c r="AH41" s="261" cm="1">
        <f t="array" ref="AH41">INDEX(
    INDEX(AH:AH,Control!$B$29):INDEX(AH:AH,100000),
    MATCH($A$8,INDEX($A:$A,Control!$B$29):INDEX($A:$A,100000),0)+MATCH($D41,INDEX($D:$D,Control!$B$31):INDEX($D:$D,Control!$B$32),0)-1,
    1)</f>
        <v>0</v>
      </c>
      <c r="AI41" s="261" cm="1">
        <f t="array" ref="AI41">INDEX(
    INDEX(AI:AI,Control!$B$29):INDEX(AI:AI,100000),
    MATCH($A$8,INDEX($A:$A,Control!$B$29):INDEX($A:$A,100000),0)+MATCH($D41,INDEX($D:$D,Control!$B$31):INDEX($D:$D,Control!$B$32),0)-1,
    1)</f>
        <v>0</v>
      </c>
      <c r="AJ41" s="261" cm="1">
        <f t="array" ref="AJ41">INDEX(
    INDEX(AJ:AJ,Control!$B$29):INDEX(AJ:AJ,100000),
    MATCH($A$8,INDEX($A:$A,Control!$B$29):INDEX($A:$A,100000),0)+MATCH($D41,INDEX($D:$D,Control!$B$31):INDEX($D:$D,Control!$B$32),0)-1,
    1)</f>
        <v>0</v>
      </c>
      <c r="AK41" s="261" cm="1">
        <f t="array" ref="AK41">INDEX(
    INDEX(AK:AK,Control!$B$29):INDEX(AK:AK,100000),
    MATCH($A$8,INDEX($A:$A,Control!$B$29):INDEX($A:$A,100000),0)+MATCH($D41,INDEX($D:$D,Control!$B$31):INDEX($D:$D,Control!$B$32),0)-1,
    1)</f>
        <v>0</v>
      </c>
      <c r="AL41" s="261" cm="1">
        <f t="array" ref="AL41">INDEX(
    INDEX(AL:AL,Control!$B$29):INDEX(AL:AL,100000),
    MATCH($A$8,INDEX($A:$A,Control!$B$29):INDEX($A:$A,100000),0)+MATCH($D41,INDEX($D:$D,Control!$B$31):INDEX($D:$D,Control!$B$32),0)-1,
    1)</f>
        <v>0</v>
      </c>
      <c r="AM41" s="261" cm="1">
        <f t="array" ref="AM41">INDEX(
    INDEX(AM:AM,Control!$B$29):INDEX(AM:AM,100000),
    MATCH($A$8,INDEX($A:$A,Control!$B$29):INDEX($A:$A,100000),0)+MATCH($D41,INDEX($D:$D,Control!$B$31):INDEX($D:$D,Control!$B$32),0)-1,
    1)</f>
        <v>0</v>
      </c>
      <c r="AN41" s="261" cm="1">
        <f t="array" ref="AN41">INDEX(
    INDEX(AN:AN,Control!$B$29):INDEX(AN:AN,100000),
    MATCH($A$8,INDEX($A:$A,Control!$B$29):INDEX($A:$A,100000),0)+MATCH($D41,INDEX($D:$D,Control!$B$31):INDEX($D:$D,Control!$B$32),0)-1,
    1)</f>
        <v>0</v>
      </c>
    </row>
    <row r="42" spans="3:40" x14ac:dyDescent="0.35">
      <c r="C42" s="296" t="s">
        <v>450</v>
      </c>
      <c r="D42" s="21" t="s">
        <v>222</v>
      </c>
      <c r="E42" s="21" t="s">
        <v>223</v>
      </c>
      <c r="F42" s="25" cm="1">
        <f t="array" ref="F42">INDEX(
    INDEX(F:F,Control!$B$29):INDEX(F:F,100000),
    MATCH($A$8,INDEX($A:$A,Control!$B$29):INDEX($A:$A,100000),0)+MATCH($D42,INDEX($D:$D,Control!$B$31):INDEX($D:$D,Control!$B$32),0)-1,
    1)</f>
        <v>0</v>
      </c>
      <c r="G42" s="25" cm="1">
        <f t="array" ref="G42">INDEX(
    INDEX(G:G,Control!$B$29):INDEX(G:G,100000),
    MATCH($A$8,INDEX($A:$A,Control!$B$29):INDEX($A:$A,100000),0)+MATCH($D42,INDEX($D:$D,Control!$B$31):INDEX($D:$D,Control!$B$32),0)-1,
    1)</f>
        <v>0</v>
      </c>
      <c r="H42" s="25" cm="1">
        <f t="array" ref="H42">INDEX(
    INDEX(H:H,Control!$B$29):INDEX(H:H,100000),
    MATCH($A$8,INDEX($A:$A,Control!$B$29):INDEX($A:$A,100000),0)+MATCH($D42,INDEX($D:$D,Control!$B$31):INDEX($D:$D,Control!$B$32),0)-1,
    1)</f>
        <v>0</v>
      </c>
      <c r="I42" s="25" cm="1">
        <f t="array" ref="I42">INDEX(
    INDEX(I:I,Control!$B$29):INDEX(I:I,100000),
    MATCH($A$8,INDEX($A:$A,Control!$B$29):INDEX($A:$A,100000),0)+MATCH($D42,INDEX($D:$D,Control!$B$31):INDEX($D:$D,Control!$B$32),0)-1,
    1)</f>
        <v>0</v>
      </c>
      <c r="J42" s="25" cm="1">
        <f t="array" ref="J42">INDEX(
    INDEX(J:J,Control!$B$29):INDEX(J:J,100000),
    MATCH($A$8,INDEX($A:$A,Control!$B$29):INDEX($A:$A,100000),0)+MATCH($D42,INDEX($D:$D,Control!$B$31):INDEX($D:$D,Control!$B$32),0)-1,
    1)</f>
        <v>0</v>
      </c>
      <c r="K42" s="25" cm="1">
        <f t="array" ref="K42">INDEX(
    INDEX(K:K,Control!$B$29):INDEX(K:K,100000),
    MATCH($A$8,INDEX($A:$A,Control!$B$29):INDEX($A:$A,100000),0)+MATCH($D42,INDEX($D:$D,Control!$B$31):INDEX($D:$D,Control!$B$32),0)-1,
    1)</f>
        <v>0</v>
      </c>
      <c r="L42" s="25" cm="1">
        <f t="array" ref="L42">INDEX(
    INDEX(L:L,Control!$B$29):INDEX(L:L,100000),
    MATCH($A$8,INDEX($A:$A,Control!$B$29):INDEX($A:$A,100000),0)+MATCH($D42,INDEX($D:$D,Control!$B$31):INDEX($D:$D,Control!$B$32),0)-1,
    1)</f>
        <v>0</v>
      </c>
      <c r="M42" s="25" cm="1">
        <f t="array" ref="M42">INDEX(
    INDEX(M:M,Control!$B$29):INDEX(M:M,100000),
    MATCH($A$8,INDEX($A:$A,Control!$B$29):INDEX($A:$A,100000),0)+MATCH($D42,INDEX($D:$D,Control!$B$31):INDEX($D:$D,Control!$B$32),0)-1,
    1)</f>
        <v>0</v>
      </c>
      <c r="N42" s="25" cm="1">
        <f t="array" ref="N42">INDEX(
    INDEX(N:N,Control!$B$29):INDEX(N:N,100000),
    MATCH($A$8,INDEX($A:$A,Control!$B$29):INDEX($A:$A,100000),0)+MATCH($D42,INDEX($D:$D,Control!$B$31):INDEX($D:$D,Control!$B$32),0)-1,
    1)</f>
        <v>0</v>
      </c>
      <c r="O42" s="25" cm="1">
        <f t="array" ref="O42">INDEX(
    INDEX(O:O,Control!$B$29):INDEX(O:O,100000),
    MATCH($A$8,INDEX($A:$A,Control!$B$29):INDEX($A:$A,100000),0)+MATCH($D42,INDEX($D:$D,Control!$B$31):INDEX($D:$D,Control!$B$32),0)-1,
    1)</f>
        <v>0</v>
      </c>
      <c r="P42" s="25" cm="1">
        <f t="array" ref="P42">INDEX(
    INDEX(P:P,Control!$B$29):INDEX(P:P,100000),
    MATCH($A$8,INDEX($A:$A,Control!$B$29):INDEX($A:$A,100000),0)+MATCH($D42,INDEX($D:$D,Control!$B$31):INDEX($D:$D,Control!$B$32),0)-1,
    1)</f>
        <v>0</v>
      </c>
      <c r="Q42" s="25" cm="1">
        <f t="array" ref="Q42">INDEX(
    INDEX(Q:Q,Control!$B$29):INDEX(Q:Q,100000),
    MATCH($A$8,INDEX($A:$A,Control!$B$29):INDEX($A:$A,100000),0)+MATCH($D42,INDEX($D:$D,Control!$B$31):INDEX($D:$D,Control!$B$32),0)-1,
    1)</f>
        <v>0</v>
      </c>
      <c r="R42" s="25" cm="1">
        <f t="array" ref="R42">INDEX(
    INDEX(R:R,Control!$B$29):INDEX(R:R,100000),
    MATCH($A$8,INDEX($A:$A,Control!$B$29):INDEX($A:$A,100000),0)+MATCH($D42,INDEX($D:$D,Control!$B$31):INDEX($D:$D,Control!$B$32),0)-1,
    1)</f>
        <v>0</v>
      </c>
      <c r="S42" s="25" cm="1">
        <f t="array" ref="S42">INDEX(
    INDEX(S:S,Control!$B$29):INDEX(S:S,100000),
    MATCH($A$8,INDEX($A:$A,Control!$B$29):INDEX($A:$A,100000),0)+MATCH($D42,INDEX($D:$D,Control!$B$31):INDEX($D:$D,Control!$B$32),0)-1,
    1)</f>
        <v>0</v>
      </c>
      <c r="T42" s="25" cm="1">
        <f t="array" ref="T42">INDEX(
    INDEX(T:T,Control!$B$29):INDEX(T:T,100000),
    MATCH($A$8,INDEX($A:$A,Control!$B$29):INDEX($A:$A,100000),0)+MATCH($D42,INDEX($D:$D,Control!$B$31):INDEX($D:$D,Control!$B$32),0)-1,
    1)</f>
        <v>0</v>
      </c>
      <c r="U42" s="25" cm="1">
        <f t="array" ref="U42">INDEX(
    INDEX(U:U,Control!$B$29):INDEX(U:U,100000),
    MATCH($A$8,INDEX($A:$A,Control!$B$29):INDEX($A:$A,100000),0)+MATCH($D42,INDEX($D:$D,Control!$B$31):INDEX($D:$D,Control!$B$32),0)-1,
    1)</f>
        <v>0</v>
      </c>
      <c r="V42" s="25" cm="1">
        <f t="array" ref="V42">INDEX(
    INDEX(V:V,Control!$B$29):INDEX(V:V,100000),
    MATCH($A$8,INDEX($A:$A,Control!$B$29):INDEX($A:$A,100000),0)+MATCH($D42,INDEX($D:$D,Control!$B$31):INDEX($D:$D,Control!$B$32),0)-1,
    1)</f>
        <v>0</v>
      </c>
      <c r="W42" s="25" cm="1">
        <f t="array" ref="W42">INDEX(
    INDEX(W:W,Control!$B$29):INDEX(W:W,100000),
    MATCH($A$8,INDEX($A:$A,Control!$B$29):INDEX($A:$A,100000),0)+MATCH($D42,INDEX($D:$D,Control!$B$31):INDEX($D:$D,Control!$B$32),0)-1,
    1)</f>
        <v>0</v>
      </c>
      <c r="X42" s="25" cm="1">
        <f t="array" ref="X42">INDEX(
    INDEX(X:X,Control!$B$29):INDEX(X:X,100000),
    MATCH($A$8,INDEX($A:$A,Control!$B$29):INDEX($A:$A,100000),0)+MATCH($D42,INDEX($D:$D,Control!$B$31):INDEX($D:$D,Control!$B$32),0)-1,
    1)</f>
        <v>0</v>
      </c>
      <c r="Y42" s="25" cm="1">
        <f t="array" ref="Y42">INDEX(
    INDEX(Y:Y,Control!$B$29):INDEX(Y:Y,100000),
    MATCH($A$8,INDEX($A:$A,Control!$B$29):INDEX($A:$A,100000),0)+MATCH($D42,INDEX($D:$D,Control!$B$31):INDEX($D:$D,Control!$B$32),0)-1,
    1)</f>
        <v>0</v>
      </c>
      <c r="Z42" s="25" cm="1">
        <f t="array" ref="Z42">INDEX(
    INDEX(Z:Z,Control!$B$29):INDEX(Z:Z,100000),
    MATCH($A$8,INDEX($A:$A,Control!$B$29):INDEX($A:$A,100000),0)+MATCH($D42,INDEX($D:$D,Control!$B$31):INDEX($D:$D,Control!$B$32),0)-1,
    1)</f>
        <v>0</v>
      </c>
      <c r="AA42" s="25" cm="1">
        <f t="array" ref="AA42">INDEX(
    INDEX(AA:AA,Control!$B$29):INDEX(AA:AA,100000),
    MATCH($A$8,INDEX($A:$A,Control!$B$29):INDEX($A:$A,100000),0)+MATCH($D42,INDEX($D:$D,Control!$B$31):INDEX($D:$D,Control!$B$32),0)-1,
    1)</f>
        <v>0</v>
      </c>
      <c r="AB42" s="25" cm="1">
        <f t="array" ref="AB42">INDEX(
    INDEX(AB:AB,Control!$B$29):INDEX(AB:AB,100000),
    MATCH($A$8,INDEX($A:$A,Control!$B$29):INDEX($A:$A,100000),0)+MATCH($D42,INDEX($D:$D,Control!$B$31):INDEX($D:$D,Control!$B$32),0)-1,
    1)</f>
        <v>0</v>
      </c>
      <c r="AC42" s="25" cm="1">
        <f t="array" ref="AC42">INDEX(
    INDEX(AC:AC,Control!$B$29):INDEX(AC:AC,100000),
    MATCH($A$8,INDEX($A:$A,Control!$B$29):INDEX($A:$A,100000),0)+MATCH($D42,INDEX($D:$D,Control!$B$31):INDEX($D:$D,Control!$B$32),0)-1,
    1)</f>
        <v>0</v>
      </c>
      <c r="AD42" s="25" cm="1">
        <f t="array" ref="AD42">INDEX(
    INDEX(AD:AD,Control!$B$29):INDEX(AD:AD,100000),
    MATCH($A$8,INDEX($A:$A,Control!$B$29):INDEX($A:$A,100000),0)+MATCH($D42,INDEX($D:$D,Control!$B$31):INDEX($D:$D,Control!$B$32),0)-1,
    1)</f>
        <v>0</v>
      </c>
      <c r="AE42" s="25" cm="1">
        <f t="array" ref="AE42">INDEX(
    INDEX(AE:AE,Control!$B$29):INDEX(AE:AE,100000),
    MATCH($A$8,INDEX($A:$A,Control!$B$29):INDEX($A:$A,100000),0)+MATCH($D42,INDEX($D:$D,Control!$B$31):INDEX($D:$D,Control!$B$32),0)-1,
    1)</f>
        <v>0</v>
      </c>
      <c r="AF42" s="25" cm="1">
        <f t="array" ref="AF42">INDEX(
    INDEX(AF:AF,Control!$B$29):INDEX(AF:AF,100000),
    MATCH($A$8,INDEX($A:$A,Control!$B$29):INDEX($A:$A,100000),0)+MATCH($D42,INDEX($D:$D,Control!$B$31):INDEX($D:$D,Control!$B$32),0)-1,
    1)</f>
        <v>0</v>
      </c>
      <c r="AG42" s="25" cm="1">
        <f t="array" ref="AG42">INDEX(
    INDEX(AG:AG,Control!$B$29):INDEX(AG:AG,100000),
    MATCH($A$8,INDEX($A:$A,Control!$B$29):INDEX($A:$A,100000),0)+MATCH($D42,INDEX($D:$D,Control!$B$31):INDEX($D:$D,Control!$B$32),0)-1,
    1)</f>
        <v>0</v>
      </c>
      <c r="AH42" s="25" cm="1">
        <f t="array" ref="AH42">INDEX(
    INDEX(AH:AH,Control!$B$29):INDEX(AH:AH,100000),
    MATCH($A$8,INDEX($A:$A,Control!$B$29):INDEX($A:$A,100000),0)+MATCH($D42,INDEX($D:$D,Control!$B$31):INDEX($D:$D,Control!$B$32),0)-1,
    1)</f>
        <v>0</v>
      </c>
      <c r="AI42" s="25" cm="1">
        <f t="array" ref="AI42">INDEX(
    INDEX(AI:AI,Control!$B$29):INDEX(AI:AI,100000),
    MATCH($A$8,INDEX($A:$A,Control!$B$29):INDEX($A:$A,100000),0)+MATCH($D42,INDEX($D:$D,Control!$B$31):INDEX($D:$D,Control!$B$32),0)-1,
    1)</f>
        <v>0</v>
      </c>
      <c r="AJ42" s="25" cm="1">
        <f t="array" ref="AJ42">INDEX(
    INDEX(AJ:AJ,Control!$B$29):INDEX(AJ:AJ,100000),
    MATCH($A$8,INDEX($A:$A,Control!$B$29):INDEX($A:$A,100000),0)+MATCH($D42,INDEX($D:$D,Control!$B$31):INDEX($D:$D,Control!$B$32),0)-1,
    1)</f>
        <v>0</v>
      </c>
      <c r="AK42" s="25" cm="1">
        <f t="array" ref="AK42">INDEX(
    INDEX(AK:AK,Control!$B$29):INDEX(AK:AK,100000),
    MATCH($A$8,INDEX($A:$A,Control!$B$29):INDEX($A:$A,100000),0)+MATCH($D42,INDEX($D:$D,Control!$B$31):INDEX($D:$D,Control!$B$32),0)-1,
    1)</f>
        <v>0</v>
      </c>
      <c r="AL42" s="25" cm="1">
        <f t="array" ref="AL42">INDEX(
    INDEX(AL:AL,Control!$B$29):INDEX(AL:AL,100000),
    MATCH($A$8,INDEX($A:$A,Control!$B$29):INDEX($A:$A,100000),0)+MATCH($D42,INDEX($D:$D,Control!$B$31):INDEX($D:$D,Control!$B$32),0)-1,
    1)</f>
        <v>0</v>
      </c>
      <c r="AM42" s="25" cm="1">
        <f t="array" ref="AM42">INDEX(
    INDEX(AM:AM,Control!$B$29):INDEX(AM:AM,100000),
    MATCH($A$8,INDEX($A:$A,Control!$B$29):INDEX($A:$A,100000),0)+MATCH($D42,INDEX($D:$D,Control!$B$31):INDEX($D:$D,Control!$B$32),0)-1,
    1)</f>
        <v>0</v>
      </c>
      <c r="AN42" s="25" cm="1">
        <f t="array" ref="AN42">INDEX(
    INDEX(AN:AN,Control!$B$29):INDEX(AN:AN,100000),
    MATCH($A$8,INDEX($A:$A,Control!$B$29):INDEX($A:$A,100000),0)+MATCH($D42,INDEX($D:$D,Control!$B$31):INDEX($D:$D,Control!$B$32),0)-1,
    1)</f>
        <v>0</v>
      </c>
    </row>
    <row r="43" spans="3:40" x14ac:dyDescent="0.35">
      <c r="C43" s="292" t="s">
        <v>230</v>
      </c>
      <c r="D43" s="21" t="s">
        <v>224</v>
      </c>
      <c r="E43" s="21" t="s">
        <v>223</v>
      </c>
      <c r="F43" s="25" cm="1">
        <f t="array" ref="F43">INDEX(
    INDEX(F:F,Control!$B$29):INDEX(F:F,100000),
    MATCH($A$8,INDEX($A:$A,Control!$B$29):INDEX($A:$A,100000),0)+MATCH($D43,INDEX($D:$D,Control!$B$31):INDEX($D:$D,Control!$B$32),0)-1,
    1)</f>
        <v>0</v>
      </c>
      <c r="G43" s="25" cm="1">
        <f t="array" ref="G43">INDEX(
    INDEX(G:G,Control!$B$29):INDEX(G:G,100000),
    MATCH($A$8,INDEX($A:$A,Control!$B$29):INDEX($A:$A,100000),0)+MATCH($D43,INDEX($D:$D,Control!$B$31):INDEX($D:$D,Control!$B$32),0)-1,
    1)</f>
        <v>0</v>
      </c>
      <c r="H43" s="25" cm="1">
        <f t="array" ref="H43">INDEX(
    INDEX(H:H,Control!$B$29):INDEX(H:H,100000),
    MATCH($A$8,INDEX($A:$A,Control!$B$29):INDEX($A:$A,100000),0)+MATCH($D43,INDEX($D:$D,Control!$B$31):INDEX($D:$D,Control!$B$32),0)-1,
    1)</f>
        <v>0</v>
      </c>
      <c r="I43" s="25" cm="1">
        <f t="array" ref="I43">INDEX(
    INDEX(I:I,Control!$B$29):INDEX(I:I,100000),
    MATCH($A$8,INDEX($A:$A,Control!$B$29):INDEX($A:$A,100000),0)+MATCH($D43,INDEX($D:$D,Control!$B$31):INDEX($D:$D,Control!$B$32),0)-1,
    1)</f>
        <v>0</v>
      </c>
      <c r="J43" s="25" cm="1">
        <f t="array" ref="J43">INDEX(
    INDEX(J:J,Control!$B$29):INDEX(J:J,100000),
    MATCH($A$8,INDEX($A:$A,Control!$B$29):INDEX($A:$A,100000),0)+MATCH($D43,INDEX($D:$D,Control!$B$31):INDEX($D:$D,Control!$B$32),0)-1,
    1)</f>
        <v>0</v>
      </c>
      <c r="K43" s="25" cm="1">
        <f t="array" ref="K43">INDEX(
    INDEX(K:K,Control!$B$29):INDEX(K:K,100000),
    MATCH($A$8,INDEX($A:$A,Control!$B$29):INDEX($A:$A,100000),0)+MATCH($D43,INDEX($D:$D,Control!$B$31):INDEX($D:$D,Control!$B$32),0)-1,
    1)</f>
        <v>0</v>
      </c>
      <c r="L43" s="25" cm="1">
        <f t="array" ref="L43">INDEX(
    INDEX(L:L,Control!$B$29):INDEX(L:L,100000),
    MATCH($A$8,INDEX($A:$A,Control!$B$29):INDEX($A:$A,100000),0)+MATCH($D43,INDEX($D:$D,Control!$B$31):INDEX($D:$D,Control!$B$32),0)-1,
    1)</f>
        <v>0</v>
      </c>
      <c r="M43" s="25" cm="1">
        <f t="array" ref="M43">INDEX(
    INDEX(M:M,Control!$B$29):INDEX(M:M,100000),
    MATCH($A$8,INDEX($A:$A,Control!$B$29):INDEX($A:$A,100000),0)+MATCH($D43,INDEX($D:$D,Control!$B$31):INDEX($D:$D,Control!$B$32),0)-1,
    1)</f>
        <v>0</v>
      </c>
      <c r="N43" s="25" cm="1">
        <f t="array" ref="N43">INDEX(
    INDEX(N:N,Control!$B$29):INDEX(N:N,100000),
    MATCH($A$8,INDEX($A:$A,Control!$B$29):INDEX($A:$A,100000),0)+MATCH($D43,INDEX($D:$D,Control!$B$31):INDEX($D:$D,Control!$B$32),0)-1,
    1)</f>
        <v>0</v>
      </c>
      <c r="O43" s="25" cm="1">
        <f t="array" ref="O43">INDEX(
    INDEX(O:O,Control!$B$29):INDEX(O:O,100000),
    MATCH($A$8,INDEX($A:$A,Control!$B$29):INDEX($A:$A,100000),0)+MATCH($D43,INDEX($D:$D,Control!$B$31):INDEX($D:$D,Control!$B$32),0)-1,
    1)</f>
        <v>0</v>
      </c>
      <c r="P43" s="25" cm="1">
        <f t="array" ref="P43">INDEX(
    INDEX(P:P,Control!$B$29):INDEX(P:P,100000),
    MATCH($A$8,INDEX($A:$A,Control!$B$29):INDEX($A:$A,100000),0)+MATCH($D43,INDEX($D:$D,Control!$B$31):INDEX($D:$D,Control!$B$32),0)-1,
    1)</f>
        <v>0</v>
      </c>
      <c r="Q43" s="25" cm="1">
        <f t="array" ref="Q43">INDEX(
    INDEX(Q:Q,Control!$B$29):INDEX(Q:Q,100000),
    MATCH($A$8,INDEX($A:$A,Control!$B$29):INDEX($A:$A,100000),0)+MATCH($D43,INDEX($D:$D,Control!$B$31):INDEX($D:$D,Control!$B$32),0)-1,
    1)</f>
        <v>0</v>
      </c>
      <c r="R43" s="25" cm="1">
        <f t="array" ref="R43">INDEX(
    INDEX(R:R,Control!$B$29):INDEX(R:R,100000),
    MATCH($A$8,INDEX($A:$A,Control!$B$29):INDEX($A:$A,100000),0)+MATCH($D43,INDEX($D:$D,Control!$B$31):INDEX($D:$D,Control!$B$32),0)-1,
    1)</f>
        <v>0</v>
      </c>
      <c r="S43" s="25" cm="1">
        <f t="array" ref="S43">INDEX(
    INDEX(S:S,Control!$B$29):INDEX(S:S,100000),
    MATCH($A$8,INDEX($A:$A,Control!$B$29):INDEX($A:$A,100000),0)+MATCH($D43,INDEX($D:$D,Control!$B$31):INDEX($D:$D,Control!$B$32),0)-1,
    1)</f>
        <v>0</v>
      </c>
      <c r="T43" s="25" cm="1">
        <f t="array" ref="T43">INDEX(
    INDEX(T:T,Control!$B$29):INDEX(T:T,100000),
    MATCH($A$8,INDEX($A:$A,Control!$B$29):INDEX($A:$A,100000),0)+MATCH($D43,INDEX($D:$D,Control!$B$31):INDEX($D:$D,Control!$B$32),0)-1,
    1)</f>
        <v>0</v>
      </c>
      <c r="U43" s="25" cm="1">
        <f t="array" ref="U43">INDEX(
    INDEX(U:U,Control!$B$29):INDEX(U:U,100000),
    MATCH($A$8,INDEX($A:$A,Control!$B$29):INDEX($A:$A,100000),0)+MATCH($D43,INDEX($D:$D,Control!$B$31):INDEX($D:$D,Control!$B$32),0)-1,
    1)</f>
        <v>0</v>
      </c>
      <c r="V43" s="25" cm="1">
        <f t="array" ref="V43">INDEX(
    INDEX(V:V,Control!$B$29):INDEX(V:V,100000),
    MATCH($A$8,INDEX($A:$A,Control!$B$29):INDEX($A:$A,100000),0)+MATCH($D43,INDEX($D:$D,Control!$B$31):INDEX($D:$D,Control!$B$32),0)-1,
    1)</f>
        <v>0</v>
      </c>
      <c r="W43" s="25" cm="1">
        <f t="array" ref="W43">INDEX(
    INDEX(W:W,Control!$B$29):INDEX(W:W,100000),
    MATCH($A$8,INDEX($A:$A,Control!$B$29):INDEX($A:$A,100000),0)+MATCH($D43,INDEX($D:$D,Control!$B$31):INDEX($D:$D,Control!$B$32),0)-1,
    1)</f>
        <v>0</v>
      </c>
      <c r="X43" s="25" cm="1">
        <f t="array" ref="X43">INDEX(
    INDEX(X:X,Control!$B$29):INDEX(X:X,100000),
    MATCH($A$8,INDEX($A:$A,Control!$B$29):INDEX($A:$A,100000),0)+MATCH($D43,INDEX($D:$D,Control!$B$31):INDEX($D:$D,Control!$B$32),0)-1,
    1)</f>
        <v>0</v>
      </c>
      <c r="Y43" s="25" cm="1">
        <f t="array" ref="Y43">INDEX(
    INDEX(Y:Y,Control!$B$29):INDEX(Y:Y,100000),
    MATCH($A$8,INDEX($A:$A,Control!$B$29):INDEX($A:$A,100000),0)+MATCH($D43,INDEX($D:$D,Control!$B$31):INDEX($D:$D,Control!$B$32),0)-1,
    1)</f>
        <v>0</v>
      </c>
      <c r="Z43" s="25" cm="1">
        <f t="array" ref="Z43">INDEX(
    INDEX(Z:Z,Control!$B$29):INDEX(Z:Z,100000),
    MATCH($A$8,INDEX($A:$A,Control!$B$29):INDEX($A:$A,100000),0)+MATCH($D43,INDEX($D:$D,Control!$B$31):INDEX($D:$D,Control!$B$32),0)-1,
    1)</f>
        <v>0</v>
      </c>
      <c r="AA43" s="25" cm="1">
        <f t="array" ref="AA43">INDEX(
    INDEX(AA:AA,Control!$B$29):INDEX(AA:AA,100000),
    MATCH($A$8,INDEX($A:$A,Control!$B$29):INDEX($A:$A,100000),0)+MATCH($D43,INDEX($D:$D,Control!$B$31):INDEX($D:$D,Control!$B$32),0)-1,
    1)</f>
        <v>0</v>
      </c>
      <c r="AB43" s="25" cm="1">
        <f t="array" ref="AB43">INDEX(
    INDEX(AB:AB,Control!$B$29):INDEX(AB:AB,100000),
    MATCH($A$8,INDEX($A:$A,Control!$B$29):INDEX($A:$A,100000),0)+MATCH($D43,INDEX($D:$D,Control!$B$31):INDEX($D:$D,Control!$B$32),0)-1,
    1)</f>
        <v>0</v>
      </c>
      <c r="AC43" s="25" cm="1">
        <f t="array" ref="AC43">INDEX(
    INDEX(AC:AC,Control!$B$29):INDEX(AC:AC,100000),
    MATCH($A$8,INDEX($A:$A,Control!$B$29):INDEX($A:$A,100000),0)+MATCH($D43,INDEX($D:$D,Control!$B$31):INDEX($D:$D,Control!$B$32),0)-1,
    1)</f>
        <v>0</v>
      </c>
      <c r="AD43" s="25" cm="1">
        <f t="array" ref="AD43">INDEX(
    INDEX(AD:AD,Control!$B$29):INDEX(AD:AD,100000),
    MATCH($A$8,INDEX($A:$A,Control!$B$29):INDEX($A:$A,100000),0)+MATCH($D43,INDEX($D:$D,Control!$B$31):INDEX($D:$D,Control!$B$32),0)-1,
    1)</f>
        <v>0</v>
      </c>
      <c r="AE43" s="25" cm="1">
        <f t="array" ref="AE43">INDEX(
    INDEX(AE:AE,Control!$B$29):INDEX(AE:AE,100000),
    MATCH($A$8,INDEX($A:$A,Control!$B$29):INDEX($A:$A,100000),0)+MATCH($D43,INDEX($D:$D,Control!$B$31):INDEX($D:$D,Control!$B$32),0)-1,
    1)</f>
        <v>0</v>
      </c>
      <c r="AF43" s="25" cm="1">
        <f t="array" ref="AF43">INDEX(
    INDEX(AF:AF,Control!$B$29):INDEX(AF:AF,100000),
    MATCH($A$8,INDEX($A:$A,Control!$B$29):INDEX($A:$A,100000),0)+MATCH($D43,INDEX($D:$D,Control!$B$31):INDEX($D:$D,Control!$B$32),0)-1,
    1)</f>
        <v>0</v>
      </c>
      <c r="AG43" s="25" cm="1">
        <f t="array" ref="AG43">INDEX(
    INDEX(AG:AG,Control!$B$29):INDEX(AG:AG,100000),
    MATCH($A$8,INDEX($A:$A,Control!$B$29):INDEX($A:$A,100000),0)+MATCH($D43,INDEX($D:$D,Control!$B$31):INDEX($D:$D,Control!$B$32),0)-1,
    1)</f>
        <v>0</v>
      </c>
      <c r="AH43" s="25" cm="1">
        <f t="array" ref="AH43">INDEX(
    INDEX(AH:AH,Control!$B$29):INDEX(AH:AH,100000),
    MATCH($A$8,INDEX($A:$A,Control!$B$29):INDEX($A:$A,100000),0)+MATCH($D43,INDEX($D:$D,Control!$B$31):INDEX($D:$D,Control!$B$32),0)-1,
    1)</f>
        <v>0</v>
      </c>
      <c r="AI43" s="25" cm="1">
        <f t="array" ref="AI43">INDEX(
    INDEX(AI:AI,Control!$B$29):INDEX(AI:AI,100000),
    MATCH($A$8,INDEX($A:$A,Control!$B$29):INDEX($A:$A,100000),0)+MATCH($D43,INDEX($D:$D,Control!$B$31):INDEX($D:$D,Control!$B$32),0)-1,
    1)</f>
        <v>0</v>
      </c>
      <c r="AJ43" s="25" cm="1">
        <f t="array" ref="AJ43">INDEX(
    INDEX(AJ:AJ,Control!$B$29):INDEX(AJ:AJ,100000),
    MATCH($A$8,INDEX($A:$A,Control!$B$29):INDEX($A:$A,100000),0)+MATCH($D43,INDEX($D:$D,Control!$B$31):INDEX($D:$D,Control!$B$32),0)-1,
    1)</f>
        <v>0</v>
      </c>
      <c r="AK43" s="25" cm="1">
        <f t="array" ref="AK43">INDEX(
    INDEX(AK:AK,Control!$B$29):INDEX(AK:AK,100000),
    MATCH($A$8,INDEX($A:$A,Control!$B$29):INDEX($A:$A,100000),0)+MATCH($D43,INDEX($D:$D,Control!$B$31):INDEX($D:$D,Control!$B$32),0)-1,
    1)</f>
        <v>0</v>
      </c>
      <c r="AL43" s="25" cm="1">
        <f t="array" ref="AL43">INDEX(
    INDEX(AL:AL,Control!$B$29):INDEX(AL:AL,100000),
    MATCH($A$8,INDEX($A:$A,Control!$B$29):INDEX($A:$A,100000),0)+MATCH($D43,INDEX($D:$D,Control!$B$31):INDEX($D:$D,Control!$B$32),0)-1,
    1)</f>
        <v>0</v>
      </c>
      <c r="AM43" s="25" cm="1">
        <f t="array" ref="AM43">INDEX(
    INDEX(AM:AM,Control!$B$29):INDEX(AM:AM,100000),
    MATCH($A$8,INDEX($A:$A,Control!$B$29):INDEX($A:$A,100000),0)+MATCH($D43,INDEX($D:$D,Control!$B$31):INDEX($D:$D,Control!$B$32),0)-1,
    1)</f>
        <v>0</v>
      </c>
      <c r="AN43" s="25" cm="1">
        <f t="array" ref="AN43">INDEX(
    INDEX(AN:AN,Control!$B$29):INDEX(AN:AN,100000),
    MATCH($A$8,INDEX($A:$A,Control!$B$29):INDEX($A:$A,100000),0)+MATCH($D43,INDEX($D:$D,Control!$B$31):INDEX($D:$D,Control!$B$32),0)-1,
    1)</f>
        <v>0</v>
      </c>
    </row>
    <row r="44" spans="3:40" x14ac:dyDescent="0.35">
      <c r="C44" s="292" t="s">
        <v>230</v>
      </c>
      <c r="D44" s="21" t="s">
        <v>225</v>
      </c>
      <c r="E44" s="21" t="s">
        <v>223</v>
      </c>
      <c r="F44" s="25" cm="1">
        <f t="array" ref="F44">INDEX(
    INDEX(F:F,Control!$B$29):INDEX(F:F,100000),
    MATCH($A$8,INDEX($A:$A,Control!$B$29):INDEX($A:$A,100000),0)+MATCH($D44,INDEX($D:$D,Control!$B$31):INDEX($D:$D,Control!$B$32),0)-1,
    1)</f>
        <v>0</v>
      </c>
      <c r="G44" s="25" cm="1">
        <f t="array" ref="G44">INDEX(
    INDEX(G:G,Control!$B$29):INDEX(G:G,100000),
    MATCH($A$8,INDEX($A:$A,Control!$B$29):INDEX($A:$A,100000),0)+MATCH($D44,INDEX($D:$D,Control!$B$31):INDEX($D:$D,Control!$B$32),0)-1,
    1)</f>
        <v>0</v>
      </c>
      <c r="H44" s="25" cm="1">
        <f t="array" ref="H44">INDEX(
    INDEX(H:H,Control!$B$29):INDEX(H:H,100000),
    MATCH($A$8,INDEX($A:$A,Control!$B$29):INDEX($A:$A,100000),0)+MATCH($D44,INDEX($D:$D,Control!$B$31):INDEX($D:$D,Control!$B$32),0)-1,
    1)</f>
        <v>0</v>
      </c>
      <c r="I44" s="25" cm="1">
        <f t="array" ref="I44">INDEX(
    INDEX(I:I,Control!$B$29):INDEX(I:I,100000),
    MATCH($A$8,INDEX($A:$A,Control!$B$29):INDEX($A:$A,100000),0)+MATCH($D44,INDEX($D:$D,Control!$B$31):INDEX($D:$D,Control!$B$32),0)-1,
    1)</f>
        <v>0</v>
      </c>
      <c r="J44" s="25" cm="1">
        <f t="array" ref="J44">INDEX(
    INDEX(J:J,Control!$B$29):INDEX(J:J,100000),
    MATCH($A$8,INDEX($A:$A,Control!$B$29):INDEX($A:$A,100000),0)+MATCH($D44,INDEX($D:$D,Control!$B$31):INDEX($D:$D,Control!$B$32),0)-1,
    1)</f>
        <v>0</v>
      </c>
      <c r="K44" s="25" cm="1">
        <f t="array" ref="K44">INDEX(
    INDEX(K:K,Control!$B$29):INDEX(K:K,100000),
    MATCH($A$8,INDEX($A:$A,Control!$B$29):INDEX($A:$A,100000),0)+MATCH($D44,INDEX($D:$D,Control!$B$31):INDEX($D:$D,Control!$B$32),0)-1,
    1)</f>
        <v>0</v>
      </c>
      <c r="L44" s="25" cm="1">
        <f t="array" ref="L44">INDEX(
    INDEX(L:L,Control!$B$29):INDEX(L:L,100000),
    MATCH($A$8,INDEX($A:$A,Control!$B$29):INDEX($A:$A,100000),0)+MATCH($D44,INDEX($D:$D,Control!$B$31):INDEX($D:$D,Control!$B$32),0)-1,
    1)</f>
        <v>0</v>
      </c>
      <c r="M44" s="25" cm="1">
        <f t="array" ref="M44">INDEX(
    INDEX(M:M,Control!$B$29):INDEX(M:M,100000),
    MATCH($A$8,INDEX($A:$A,Control!$B$29):INDEX($A:$A,100000),0)+MATCH($D44,INDEX($D:$D,Control!$B$31):INDEX($D:$D,Control!$B$32),0)-1,
    1)</f>
        <v>0</v>
      </c>
      <c r="N44" s="25" cm="1">
        <f t="array" ref="N44">INDEX(
    INDEX(N:N,Control!$B$29):INDEX(N:N,100000),
    MATCH($A$8,INDEX($A:$A,Control!$B$29):INDEX($A:$A,100000),0)+MATCH($D44,INDEX($D:$D,Control!$B$31):INDEX($D:$D,Control!$B$32),0)-1,
    1)</f>
        <v>0</v>
      </c>
      <c r="O44" s="25" cm="1">
        <f t="array" ref="O44">INDEX(
    INDEX(O:O,Control!$B$29):INDEX(O:O,100000),
    MATCH($A$8,INDEX($A:$A,Control!$B$29):INDEX($A:$A,100000),0)+MATCH($D44,INDEX($D:$D,Control!$B$31):INDEX($D:$D,Control!$B$32),0)-1,
    1)</f>
        <v>0</v>
      </c>
      <c r="P44" s="25" cm="1">
        <f t="array" ref="P44">INDEX(
    INDEX(P:P,Control!$B$29):INDEX(P:P,100000),
    MATCH($A$8,INDEX($A:$A,Control!$B$29):INDEX($A:$A,100000),0)+MATCH($D44,INDEX($D:$D,Control!$B$31):INDEX($D:$D,Control!$B$32),0)-1,
    1)</f>
        <v>0</v>
      </c>
      <c r="Q44" s="25" cm="1">
        <f t="array" ref="Q44">INDEX(
    INDEX(Q:Q,Control!$B$29):INDEX(Q:Q,100000),
    MATCH($A$8,INDEX($A:$A,Control!$B$29):INDEX($A:$A,100000),0)+MATCH($D44,INDEX($D:$D,Control!$B$31):INDEX($D:$D,Control!$B$32),0)-1,
    1)</f>
        <v>0</v>
      </c>
      <c r="R44" s="25" cm="1">
        <f t="array" ref="R44">INDEX(
    INDEX(R:R,Control!$B$29):INDEX(R:R,100000),
    MATCH($A$8,INDEX($A:$A,Control!$B$29):INDEX($A:$A,100000),0)+MATCH($D44,INDEX($D:$D,Control!$B$31):INDEX($D:$D,Control!$B$32),0)-1,
    1)</f>
        <v>0</v>
      </c>
      <c r="S44" s="25" cm="1">
        <f t="array" ref="S44">INDEX(
    INDEX(S:S,Control!$B$29):INDEX(S:S,100000),
    MATCH($A$8,INDEX($A:$A,Control!$B$29):INDEX($A:$A,100000),0)+MATCH($D44,INDEX($D:$D,Control!$B$31):INDEX($D:$D,Control!$B$32),0)-1,
    1)</f>
        <v>0</v>
      </c>
      <c r="T44" s="25" cm="1">
        <f t="array" ref="T44">INDEX(
    INDEX(T:T,Control!$B$29):INDEX(T:T,100000),
    MATCH($A$8,INDEX($A:$A,Control!$B$29):INDEX($A:$A,100000),0)+MATCH($D44,INDEX($D:$D,Control!$B$31):INDEX($D:$D,Control!$B$32),0)-1,
    1)</f>
        <v>0</v>
      </c>
      <c r="U44" s="25" cm="1">
        <f t="array" ref="U44">INDEX(
    INDEX(U:U,Control!$B$29):INDEX(U:U,100000),
    MATCH($A$8,INDEX($A:$A,Control!$B$29):INDEX($A:$A,100000),0)+MATCH($D44,INDEX($D:$D,Control!$B$31):INDEX($D:$D,Control!$B$32),0)-1,
    1)</f>
        <v>0</v>
      </c>
      <c r="V44" s="25" cm="1">
        <f t="array" ref="V44">INDEX(
    INDEX(V:V,Control!$B$29):INDEX(V:V,100000),
    MATCH($A$8,INDEX($A:$A,Control!$B$29):INDEX($A:$A,100000),0)+MATCH($D44,INDEX($D:$D,Control!$B$31):INDEX($D:$D,Control!$B$32),0)-1,
    1)</f>
        <v>0</v>
      </c>
      <c r="W44" s="25" cm="1">
        <f t="array" ref="W44">INDEX(
    INDEX(W:W,Control!$B$29):INDEX(W:W,100000),
    MATCH($A$8,INDEX($A:$A,Control!$B$29):INDEX($A:$A,100000),0)+MATCH($D44,INDEX($D:$D,Control!$B$31):INDEX($D:$D,Control!$B$32),0)-1,
    1)</f>
        <v>0</v>
      </c>
      <c r="X44" s="25" cm="1">
        <f t="array" ref="X44">INDEX(
    INDEX(X:X,Control!$B$29):INDEX(X:X,100000),
    MATCH($A$8,INDEX($A:$A,Control!$B$29):INDEX($A:$A,100000),0)+MATCH($D44,INDEX($D:$D,Control!$B$31):INDEX($D:$D,Control!$B$32),0)-1,
    1)</f>
        <v>0</v>
      </c>
      <c r="Y44" s="25" cm="1">
        <f t="array" ref="Y44">INDEX(
    INDEX(Y:Y,Control!$B$29):INDEX(Y:Y,100000),
    MATCH($A$8,INDEX($A:$A,Control!$B$29):INDEX($A:$A,100000),0)+MATCH($D44,INDEX($D:$D,Control!$B$31):INDEX($D:$D,Control!$B$32),0)-1,
    1)</f>
        <v>0</v>
      </c>
      <c r="Z44" s="25" cm="1">
        <f t="array" ref="Z44">INDEX(
    INDEX(Z:Z,Control!$B$29):INDEX(Z:Z,100000),
    MATCH($A$8,INDEX($A:$A,Control!$B$29):INDEX($A:$A,100000),0)+MATCH($D44,INDEX($D:$D,Control!$B$31):INDEX($D:$D,Control!$B$32),0)-1,
    1)</f>
        <v>0</v>
      </c>
      <c r="AA44" s="25" cm="1">
        <f t="array" ref="AA44">INDEX(
    INDEX(AA:AA,Control!$B$29):INDEX(AA:AA,100000),
    MATCH($A$8,INDEX($A:$A,Control!$B$29):INDEX($A:$A,100000),0)+MATCH($D44,INDEX($D:$D,Control!$B$31):INDEX($D:$D,Control!$B$32),0)-1,
    1)</f>
        <v>0</v>
      </c>
      <c r="AB44" s="25" cm="1">
        <f t="array" ref="AB44">INDEX(
    INDEX(AB:AB,Control!$B$29):INDEX(AB:AB,100000),
    MATCH($A$8,INDEX($A:$A,Control!$B$29):INDEX($A:$A,100000),0)+MATCH($D44,INDEX($D:$D,Control!$B$31):INDEX($D:$D,Control!$B$32),0)-1,
    1)</f>
        <v>0</v>
      </c>
      <c r="AC44" s="25" cm="1">
        <f t="array" ref="AC44">INDEX(
    INDEX(AC:AC,Control!$B$29):INDEX(AC:AC,100000),
    MATCH($A$8,INDEX($A:$A,Control!$B$29):INDEX($A:$A,100000),0)+MATCH($D44,INDEX($D:$D,Control!$B$31):INDEX($D:$D,Control!$B$32),0)-1,
    1)</f>
        <v>0</v>
      </c>
      <c r="AD44" s="25" cm="1">
        <f t="array" ref="AD44">INDEX(
    INDEX(AD:AD,Control!$B$29):INDEX(AD:AD,100000),
    MATCH($A$8,INDEX($A:$A,Control!$B$29):INDEX($A:$A,100000),0)+MATCH($D44,INDEX($D:$D,Control!$B$31):INDEX($D:$D,Control!$B$32),0)-1,
    1)</f>
        <v>0</v>
      </c>
      <c r="AE44" s="25" cm="1">
        <f t="array" ref="AE44">INDEX(
    INDEX(AE:AE,Control!$B$29):INDEX(AE:AE,100000),
    MATCH($A$8,INDEX($A:$A,Control!$B$29):INDEX($A:$A,100000),0)+MATCH($D44,INDEX($D:$D,Control!$B$31):INDEX($D:$D,Control!$B$32),0)-1,
    1)</f>
        <v>0</v>
      </c>
      <c r="AF44" s="25" cm="1">
        <f t="array" ref="AF44">INDEX(
    INDEX(AF:AF,Control!$B$29):INDEX(AF:AF,100000),
    MATCH($A$8,INDEX($A:$A,Control!$B$29):INDEX($A:$A,100000),0)+MATCH($D44,INDEX($D:$D,Control!$B$31):INDEX($D:$D,Control!$B$32),0)-1,
    1)</f>
        <v>0</v>
      </c>
      <c r="AG44" s="25" cm="1">
        <f t="array" ref="AG44">INDEX(
    INDEX(AG:AG,Control!$B$29):INDEX(AG:AG,100000),
    MATCH($A$8,INDEX($A:$A,Control!$B$29):INDEX($A:$A,100000),0)+MATCH($D44,INDEX($D:$D,Control!$B$31):INDEX($D:$D,Control!$B$32),0)-1,
    1)</f>
        <v>0</v>
      </c>
      <c r="AH44" s="25" cm="1">
        <f t="array" ref="AH44">INDEX(
    INDEX(AH:AH,Control!$B$29):INDEX(AH:AH,100000),
    MATCH($A$8,INDEX($A:$A,Control!$B$29):INDEX($A:$A,100000),0)+MATCH($D44,INDEX($D:$D,Control!$B$31):INDEX($D:$D,Control!$B$32),0)-1,
    1)</f>
        <v>0</v>
      </c>
      <c r="AI44" s="25" cm="1">
        <f t="array" ref="AI44">INDEX(
    INDEX(AI:AI,Control!$B$29):INDEX(AI:AI,100000),
    MATCH($A$8,INDEX($A:$A,Control!$B$29):INDEX($A:$A,100000),0)+MATCH($D44,INDEX($D:$D,Control!$B$31):INDEX($D:$D,Control!$B$32),0)-1,
    1)</f>
        <v>0</v>
      </c>
      <c r="AJ44" s="25" cm="1">
        <f t="array" ref="AJ44">INDEX(
    INDEX(AJ:AJ,Control!$B$29):INDEX(AJ:AJ,100000),
    MATCH($A$8,INDEX($A:$A,Control!$B$29):INDEX($A:$A,100000),0)+MATCH($D44,INDEX($D:$D,Control!$B$31):INDEX($D:$D,Control!$B$32),0)-1,
    1)</f>
        <v>0</v>
      </c>
      <c r="AK44" s="25" cm="1">
        <f t="array" ref="AK44">INDEX(
    INDEX(AK:AK,Control!$B$29):INDEX(AK:AK,100000),
    MATCH($A$8,INDEX($A:$A,Control!$B$29):INDEX($A:$A,100000),0)+MATCH($D44,INDEX($D:$D,Control!$B$31):INDEX($D:$D,Control!$B$32),0)-1,
    1)</f>
        <v>0</v>
      </c>
      <c r="AL44" s="25" cm="1">
        <f t="array" ref="AL44">INDEX(
    INDEX(AL:AL,Control!$B$29):INDEX(AL:AL,100000),
    MATCH($A$8,INDEX($A:$A,Control!$B$29):INDEX($A:$A,100000),0)+MATCH($D44,INDEX($D:$D,Control!$B$31):INDEX($D:$D,Control!$B$32),0)-1,
    1)</f>
        <v>0</v>
      </c>
      <c r="AM44" s="25" cm="1">
        <f t="array" ref="AM44">INDEX(
    INDEX(AM:AM,Control!$B$29):INDEX(AM:AM,100000),
    MATCH($A$8,INDEX($A:$A,Control!$B$29):INDEX($A:$A,100000),0)+MATCH($D44,INDEX($D:$D,Control!$B$31):INDEX($D:$D,Control!$B$32),0)-1,
    1)</f>
        <v>0</v>
      </c>
      <c r="AN44" s="25" cm="1">
        <f t="array" ref="AN44">INDEX(
    INDEX(AN:AN,Control!$B$29):INDEX(AN:AN,100000),
    MATCH($A$8,INDEX($A:$A,Control!$B$29):INDEX($A:$A,100000),0)+MATCH($D44,INDEX($D:$D,Control!$B$31):INDEX($D:$D,Control!$B$32),0)-1,
    1)</f>
        <v>0</v>
      </c>
    </row>
    <row r="45" spans="3:40" ht="15.5" x14ac:dyDescent="0.45">
      <c r="C45" s="292" t="s">
        <v>230</v>
      </c>
      <c r="D45" s="272" t="s">
        <v>355</v>
      </c>
      <c r="E45" s="21" t="s">
        <v>223</v>
      </c>
      <c r="F45" s="25" cm="1">
        <f t="array" ref="F45">INDEX(
    INDEX(F:F,Control!$B$29):INDEX(F:F,100000),
    MATCH($A$8,INDEX($A:$A,Control!$B$29):INDEX($A:$A,100000),0)+MATCH($D45,INDEX($D:$D,Control!$B$31):INDEX($D:$D,Control!$B$32),0)-1,
    1)</f>
        <v>0</v>
      </c>
      <c r="G45" s="25" cm="1">
        <f t="array" ref="G45">INDEX(
    INDEX(G:G,Control!$B$29):INDEX(G:G,100000),
    MATCH($A$8,INDEX($A:$A,Control!$B$29):INDEX($A:$A,100000),0)+MATCH($D45,INDEX($D:$D,Control!$B$31):INDEX($D:$D,Control!$B$32),0)-1,
    1)</f>
        <v>0</v>
      </c>
      <c r="H45" s="25" cm="1">
        <f t="array" ref="H45">INDEX(
    INDEX(H:H,Control!$B$29):INDEX(H:H,100000),
    MATCH($A$8,INDEX($A:$A,Control!$B$29):INDEX($A:$A,100000),0)+MATCH($D45,INDEX($D:$D,Control!$B$31):INDEX($D:$D,Control!$B$32),0)-1,
    1)</f>
        <v>0</v>
      </c>
      <c r="I45" s="25" cm="1">
        <f t="array" ref="I45">INDEX(
    INDEX(I:I,Control!$B$29):INDEX(I:I,100000),
    MATCH($A$8,INDEX($A:$A,Control!$B$29):INDEX($A:$A,100000),0)+MATCH($D45,INDEX($D:$D,Control!$B$31):INDEX($D:$D,Control!$B$32),0)-1,
    1)</f>
        <v>0</v>
      </c>
      <c r="J45" s="25" cm="1">
        <f t="array" ref="J45">INDEX(
    INDEX(J:J,Control!$B$29):INDEX(J:J,100000),
    MATCH($A$8,INDEX($A:$A,Control!$B$29):INDEX($A:$A,100000),0)+MATCH($D45,INDEX($D:$D,Control!$B$31):INDEX($D:$D,Control!$B$32),0)-1,
    1)</f>
        <v>0</v>
      </c>
      <c r="K45" s="25" cm="1">
        <f t="array" ref="K45">INDEX(
    INDEX(K:K,Control!$B$29):INDEX(K:K,100000),
    MATCH($A$8,INDEX($A:$A,Control!$B$29):INDEX($A:$A,100000),0)+MATCH($D45,INDEX($D:$D,Control!$B$31):INDEX($D:$D,Control!$B$32),0)-1,
    1)</f>
        <v>0</v>
      </c>
      <c r="L45" s="25" cm="1">
        <f t="array" ref="L45">INDEX(
    INDEX(L:L,Control!$B$29):INDEX(L:L,100000),
    MATCH($A$8,INDEX($A:$A,Control!$B$29):INDEX($A:$A,100000),0)+MATCH($D45,INDEX($D:$D,Control!$B$31):INDEX($D:$D,Control!$B$32),0)-1,
    1)</f>
        <v>0</v>
      </c>
      <c r="M45" s="25" cm="1">
        <f t="array" ref="M45">INDEX(
    INDEX(M:M,Control!$B$29):INDEX(M:M,100000),
    MATCH($A$8,INDEX($A:$A,Control!$B$29):INDEX($A:$A,100000),0)+MATCH($D45,INDEX($D:$D,Control!$B$31):INDEX($D:$D,Control!$B$32),0)-1,
    1)</f>
        <v>0</v>
      </c>
      <c r="N45" s="25" cm="1">
        <f t="array" ref="N45">INDEX(
    INDEX(N:N,Control!$B$29):INDEX(N:N,100000),
    MATCH($A$8,INDEX($A:$A,Control!$B$29):INDEX($A:$A,100000),0)+MATCH($D45,INDEX($D:$D,Control!$B$31):INDEX($D:$D,Control!$B$32),0)-1,
    1)</f>
        <v>0</v>
      </c>
      <c r="O45" s="25" cm="1">
        <f t="array" ref="O45">INDEX(
    INDEX(O:O,Control!$B$29):INDEX(O:O,100000),
    MATCH($A$8,INDEX($A:$A,Control!$B$29):INDEX($A:$A,100000),0)+MATCH($D45,INDEX($D:$D,Control!$B$31):INDEX($D:$D,Control!$B$32),0)-1,
    1)</f>
        <v>0</v>
      </c>
      <c r="P45" s="25" cm="1">
        <f t="array" ref="P45">INDEX(
    INDEX(P:P,Control!$B$29):INDEX(P:P,100000),
    MATCH($A$8,INDEX($A:$A,Control!$B$29):INDEX($A:$A,100000),0)+MATCH($D45,INDEX($D:$D,Control!$B$31):INDEX($D:$D,Control!$B$32),0)-1,
    1)</f>
        <v>0</v>
      </c>
      <c r="Q45" s="25" cm="1">
        <f t="array" ref="Q45">INDEX(
    INDEX(Q:Q,Control!$B$29):INDEX(Q:Q,100000),
    MATCH($A$8,INDEX($A:$A,Control!$B$29):INDEX($A:$A,100000),0)+MATCH($D45,INDEX($D:$D,Control!$B$31):INDEX($D:$D,Control!$B$32),0)-1,
    1)</f>
        <v>0</v>
      </c>
      <c r="R45" s="25" cm="1">
        <f t="array" ref="R45">INDEX(
    INDEX(R:R,Control!$B$29):INDEX(R:R,100000),
    MATCH($A$8,INDEX($A:$A,Control!$B$29):INDEX($A:$A,100000),0)+MATCH($D45,INDEX($D:$D,Control!$B$31):INDEX($D:$D,Control!$B$32),0)-1,
    1)</f>
        <v>0</v>
      </c>
      <c r="S45" s="25" cm="1">
        <f t="array" ref="S45">INDEX(
    INDEX(S:S,Control!$B$29):INDEX(S:S,100000),
    MATCH($A$8,INDEX($A:$A,Control!$B$29):INDEX($A:$A,100000),0)+MATCH($D45,INDEX($D:$D,Control!$B$31):INDEX($D:$D,Control!$B$32),0)-1,
    1)</f>
        <v>0</v>
      </c>
      <c r="T45" s="25" cm="1">
        <f t="array" ref="T45">INDEX(
    INDEX(T:T,Control!$B$29):INDEX(T:T,100000),
    MATCH($A$8,INDEX($A:$A,Control!$B$29):INDEX($A:$A,100000),0)+MATCH($D45,INDEX($D:$D,Control!$B$31):INDEX($D:$D,Control!$B$32),0)-1,
    1)</f>
        <v>0</v>
      </c>
      <c r="U45" s="25" cm="1">
        <f t="array" ref="U45">INDEX(
    INDEX(U:U,Control!$B$29):INDEX(U:U,100000),
    MATCH($A$8,INDEX($A:$A,Control!$B$29):INDEX($A:$A,100000),0)+MATCH($D45,INDEX($D:$D,Control!$B$31):INDEX($D:$D,Control!$B$32),0)-1,
    1)</f>
        <v>0</v>
      </c>
      <c r="V45" s="25" cm="1">
        <f t="array" ref="V45">INDEX(
    INDEX(V:V,Control!$B$29):INDEX(V:V,100000),
    MATCH($A$8,INDEX($A:$A,Control!$B$29):INDEX($A:$A,100000),0)+MATCH($D45,INDEX($D:$D,Control!$B$31):INDEX($D:$D,Control!$B$32),0)-1,
    1)</f>
        <v>0</v>
      </c>
      <c r="W45" s="25" cm="1">
        <f t="array" ref="W45">INDEX(
    INDEX(W:W,Control!$B$29):INDEX(W:W,100000),
    MATCH($A$8,INDEX($A:$A,Control!$B$29):INDEX($A:$A,100000),0)+MATCH($D45,INDEX($D:$D,Control!$B$31):INDEX($D:$D,Control!$B$32),0)-1,
    1)</f>
        <v>0</v>
      </c>
      <c r="X45" s="25" cm="1">
        <f t="array" ref="X45">INDEX(
    INDEX(X:X,Control!$B$29):INDEX(X:X,100000),
    MATCH($A$8,INDEX($A:$A,Control!$B$29):INDEX($A:$A,100000),0)+MATCH($D45,INDEX($D:$D,Control!$B$31):INDEX($D:$D,Control!$B$32),0)-1,
    1)</f>
        <v>0</v>
      </c>
      <c r="Y45" s="25" cm="1">
        <f t="array" ref="Y45">INDEX(
    INDEX(Y:Y,Control!$B$29):INDEX(Y:Y,100000),
    MATCH($A$8,INDEX($A:$A,Control!$B$29):INDEX($A:$A,100000),0)+MATCH($D45,INDEX($D:$D,Control!$B$31):INDEX($D:$D,Control!$B$32),0)-1,
    1)</f>
        <v>0</v>
      </c>
      <c r="Z45" s="25" cm="1">
        <f t="array" ref="Z45">INDEX(
    INDEX(Z:Z,Control!$B$29):INDEX(Z:Z,100000),
    MATCH($A$8,INDEX($A:$A,Control!$B$29):INDEX($A:$A,100000),0)+MATCH($D45,INDEX($D:$D,Control!$B$31):INDEX($D:$D,Control!$B$32),0)-1,
    1)</f>
        <v>0</v>
      </c>
      <c r="AA45" s="25" cm="1">
        <f t="array" ref="AA45">INDEX(
    INDEX(AA:AA,Control!$B$29):INDEX(AA:AA,100000),
    MATCH($A$8,INDEX($A:$A,Control!$B$29):INDEX($A:$A,100000),0)+MATCH($D45,INDEX($D:$D,Control!$B$31):INDEX($D:$D,Control!$B$32),0)-1,
    1)</f>
        <v>0</v>
      </c>
      <c r="AB45" s="25" cm="1">
        <f t="array" ref="AB45">INDEX(
    INDEX(AB:AB,Control!$B$29):INDEX(AB:AB,100000),
    MATCH($A$8,INDEX($A:$A,Control!$B$29):INDEX($A:$A,100000),0)+MATCH($D45,INDEX($D:$D,Control!$B$31):INDEX($D:$D,Control!$B$32),0)-1,
    1)</f>
        <v>0</v>
      </c>
      <c r="AC45" s="25" cm="1">
        <f t="array" ref="AC45">INDEX(
    INDEX(AC:AC,Control!$B$29):INDEX(AC:AC,100000),
    MATCH($A$8,INDEX($A:$A,Control!$B$29):INDEX($A:$A,100000),0)+MATCH($D45,INDEX($D:$D,Control!$B$31):INDEX($D:$D,Control!$B$32),0)-1,
    1)</f>
        <v>0</v>
      </c>
      <c r="AD45" s="25" cm="1">
        <f t="array" ref="AD45">INDEX(
    INDEX(AD:AD,Control!$B$29):INDEX(AD:AD,100000),
    MATCH($A$8,INDEX($A:$A,Control!$B$29):INDEX($A:$A,100000),0)+MATCH($D45,INDEX($D:$D,Control!$B$31):INDEX($D:$D,Control!$B$32),0)-1,
    1)</f>
        <v>0</v>
      </c>
      <c r="AE45" s="25" cm="1">
        <f t="array" ref="AE45">INDEX(
    INDEX(AE:AE,Control!$B$29):INDEX(AE:AE,100000),
    MATCH($A$8,INDEX($A:$A,Control!$B$29):INDEX($A:$A,100000),0)+MATCH($D45,INDEX($D:$D,Control!$B$31):INDEX($D:$D,Control!$B$32),0)-1,
    1)</f>
        <v>0</v>
      </c>
      <c r="AF45" s="25" cm="1">
        <f t="array" ref="AF45">INDEX(
    INDEX(AF:AF,Control!$B$29):INDEX(AF:AF,100000),
    MATCH($A$8,INDEX($A:$A,Control!$B$29):INDEX($A:$A,100000),0)+MATCH($D45,INDEX($D:$D,Control!$B$31):INDEX($D:$D,Control!$B$32),0)-1,
    1)</f>
        <v>0</v>
      </c>
      <c r="AG45" s="25" cm="1">
        <f t="array" ref="AG45">INDEX(
    INDEX(AG:AG,Control!$B$29):INDEX(AG:AG,100000),
    MATCH($A$8,INDEX($A:$A,Control!$B$29):INDEX($A:$A,100000),0)+MATCH($D45,INDEX($D:$D,Control!$B$31):INDEX($D:$D,Control!$B$32),0)-1,
    1)</f>
        <v>0</v>
      </c>
      <c r="AH45" s="25" cm="1">
        <f t="array" ref="AH45">INDEX(
    INDEX(AH:AH,Control!$B$29):INDEX(AH:AH,100000),
    MATCH($A$8,INDEX($A:$A,Control!$B$29):INDEX($A:$A,100000),0)+MATCH($D45,INDEX($D:$D,Control!$B$31):INDEX($D:$D,Control!$B$32),0)-1,
    1)</f>
        <v>0</v>
      </c>
      <c r="AI45" s="25" cm="1">
        <f t="array" ref="AI45">INDEX(
    INDEX(AI:AI,Control!$B$29):INDEX(AI:AI,100000),
    MATCH($A$8,INDEX($A:$A,Control!$B$29):INDEX($A:$A,100000),0)+MATCH($D45,INDEX($D:$D,Control!$B$31):INDEX($D:$D,Control!$B$32),0)-1,
    1)</f>
        <v>0</v>
      </c>
      <c r="AJ45" s="25" cm="1">
        <f t="array" ref="AJ45">INDEX(
    INDEX(AJ:AJ,Control!$B$29):INDEX(AJ:AJ,100000),
    MATCH($A$8,INDEX($A:$A,Control!$B$29):INDEX($A:$A,100000),0)+MATCH($D45,INDEX($D:$D,Control!$B$31):INDEX($D:$D,Control!$B$32),0)-1,
    1)</f>
        <v>0</v>
      </c>
      <c r="AK45" s="25" cm="1">
        <f t="array" ref="AK45">INDEX(
    INDEX(AK:AK,Control!$B$29):INDEX(AK:AK,100000),
    MATCH($A$8,INDEX($A:$A,Control!$B$29):INDEX($A:$A,100000),0)+MATCH($D45,INDEX($D:$D,Control!$B$31):INDEX($D:$D,Control!$B$32),0)-1,
    1)</f>
        <v>0</v>
      </c>
      <c r="AL45" s="25" cm="1">
        <f t="array" ref="AL45">INDEX(
    INDEX(AL:AL,Control!$B$29):INDEX(AL:AL,100000),
    MATCH($A$8,INDEX($A:$A,Control!$B$29):INDEX($A:$A,100000),0)+MATCH($D45,INDEX($D:$D,Control!$B$31):INDEX($D:$D,Control!$B$32),0)-1,
    1)</f>
        <v>0</v>
      </c>
      <c r="AM45" s="25" cm="1">
        <f t="array" ref="AM45">INDEX(
    INDEX(AM:AM,Control!$B$29):INDEX(AM:AM,100000),
    MATCH($A$8,INDEX($A:$A,Control!$B$29):INDEX($A:$A,100000),0)+MATCH($D45,INDEX($D:$D,Control!$B$31):INDEX($D:$D,Control!$B$32),0)-1,
    1)</f>
        <v>0</v>
      </c>
      <c r="AN45" s="25" cm="1">
        <f t="array" ref="AN45">INDEX(
    INDEX(AN:AN,Control!$B$29):INDEX(AN:AN,100000),
    MATCH($A$8,INDEX($A:$A,Control!$B$29):INDEX($A:$A,100000),0)+MATCH($D45,INDEX($D:$D,Control!$B$31):INDEX($D:$D,Control!$B$32),0)-1,
    1)</f>
        <v>0</v>
      </c>
    </row>
    <row r="46" spans="3:40" x14ac:dyDescent="0.35">
      <c r="C46" s="298"/>
      <c r="D46" s="44" t="s">
        <v>356</v>
      </c>
      <c r="E46" s="259" t="s">
        <v>124</v>
      </c>
      <c r="F46" s="260" cm="1">
        <f t="array" ref="F46">INDEX(
    INDEX(F:F,Control!$B$29):INDEX(F:F,100000),
    MATCH($A$8,INDEX($A:$A,Control!$B$29):INDEX($A:$A,100000),0)+MATCH($D46,INDEX($D:$D,Control!$B$31):INDEX($D:$D,Control!$B$32),0)-1,
    1)</f>
        <v>0</v>
      </c>
      <c r="G46" s="260" cm="1">
        <f t="array" ref="G46">INDEX(
    INDEX(G:G,Control!$B$29):INDEX(G:G,100000),
    MATCH($A$8,INDEX($A:$A,Control!$B$29):INDEX($A:$A,100000),0)+MATCH($D46,INDEX($D:$D,Control!$B$31):INDEX($D:$D,Control!$B$32),0)-1,
    1)</f>
        <v>1</v>
      </c>
      <c r="H46" s="260" cm="1">
        <f t="array" ref="H46">INDEX(
    INDEX(H:H,Control!$B$29):INDEX(H:H,100000),
    MATCH($A$8,INDEX($A:$A,Control!$B$29):INDEX($A:$A,100000),0)+MATCH($D46,INDEX($D:$D,Control!$B$31):INDEX($D:$D,Control!$B$32),0)-1,
    1)</f>
        <v>1</v>
      </c>
      <c r="I46" s="260" cm="1">
        <f t="array" ref="I46">INDEX(
    INDEX(I:I,Control!$B$29):INDEX(I:I,100000),
    MATCH($A$8,INDEX($A:$A,Control!$B$29):INDEX($A:$A,100000),0)+MATCH($D46,INDEX($D:$D,Control!$B$31):INDEX($D:$D,Control!$B$32),0)-1,
    1)</f>
        <v>1</v>
      </c>
      <c r="J46" s="260" cm="1">
        <f t="array" ref="J46">INDEX(
    INDEX(J:J,Control!$B$29):INDEX(J:J,100000),
    MATCH($A$8,INDEX($A:$A,Control!$B$29):INDEX($A:$A,100000),0)+MATCH($D46,INDEX($D:$D,Control!$B$31):INDEX($D:$D,Control!$B$32),0)-1,
    1)</f>
        <v>1</v>
      </c>
      <c r="K46" s="260" cm="1">
        <f t="array" ref="K46">INDEX(
    INDEX(K:K,Control!$B$29):INDEX(K:K,100000),
    MATCH($A$8,INDEX($A:$A,Control!$B$29):INDEX($A:$A,100000),0)+MATCH($D46,INDEX($D:$D,Control!$B$31):INDEX($D:$D,Control!$B$32),0)-1,
    1)</f>
        <v>1</v>
      </c>
      <c r="L46" s="260" cm="1">
        <f t="array" ref="L46">INDEX(
    INDEX(L:L,Control!$B$29):INDEX(L:L,100000),
    MATCH($A$8,INDEX($A:$A,Control!$B$29):INDEX($A:$A,100000),0)+MATCH($D46,INDEX($D:$D,Control!$B$31):INDEX($D:$D,Control!$B$32),0)-1,
    1)</f>
        <v>1</v>
      </c>
      <c r="M46" s="260" cm="1">
        <f t="array" ref="M46">INDEX(
    INDEX(M:M,Control!$B$29):INDEX(M:M,100000),
    MATCH($A$8,INDEX($A:$A,Control!$B$29):INDEX($A:$A,100000),0)+MATCH($D46,INDEX($D:$D,Control!$B$31):INDEX($D:$D,Control!$B$32),0)-1,
    1)</f>
        <v>1</v>
      </c>
      <c r="N46" s="260" cm="1">
        <f t="array" ref="N46">INDEX(
    INDEX(N:N,Control!$B$29):INDEX(N:N,100000),
    MATCH($A$8,INDEX($A:$A,Control!$B$29):INDEX($A:$A,100000),0)+MATCH($D46,INDEX($D:$D,Control!$B$31):INDEX($D:$D,Control!$B$32),0)-1,
    1)</f>
        <v>1</v>
      </c>
      <c r="O46" s="260" cm="1">
        <f t="array" ref="O46">INDEX(
    INDEX(O:O,Control!$B$29):INDEX(O:O,100000),
    MATCH($A$8,INDEX($A:$A,Control!$B$29):INDEX($A:$A,100000),0)+MATCH($D46,INDEX($D:$D,Control!$B$31):INDEX($D:$D,Control!$B$32),0)-1,
    1)</f>
        <v>1</v>
      </c>
      <c r="P46" s="260" cm="1">
        <f t="array" ref="P46">INDEX(
    INDEX(P:P,Control!$B$29):INDEX(P:P,100000),
    MATCH($A$8,INDEX($A:$A,Control!$B$29):INDEX($A:$A,100000),0)+MATCH($D46,INDEX($D:$D,Control!$B$31):INDEX($D:$D,Control!$B$32),0)-1,
    1)</f>
        <v>1</v>
      </c>
      <c r="Q46" s="260" cm="1">
        <f t="array" ref="Q46">INDEX(
    INDEX(Q:Q,Control!$B$29):INDEX(Q:Q,100000),
    MATCH($A$8,INDEX($A:$A,Control!$B$29):INDEX($A:$A,100000),0)+MATCH($D46,INDEX($D:$D,Control!$B$31):INDEX($D:$D,Control!$B$32),0)-1,
    1)</f>
        <v>1</v>
      </c>
      <c r="R46" s="260" cm="1">
        <f t="array" ref="R46">INDEX(
    INDEX(R:R,Control!$B$29):INDEX(R:R,100000),
    MATCH($A$8,INDEX($A:$A,Control!$B$29):INDEX($A:$A,100000),0)+MATCH($D46,INDEX($D:$D,Control!$B$31):INDEX($D:$D,Control!$B$32),0)-1,
    1)</f>
        <v>1</v>
      </c>
      <c r="S46" s="260" cm="1">
        <f t="array" ref="S46">INDEX(
    INDEX(S:S,Control!$B$29):INDEX(S:S,100000),
    MATCH($A$8,INDEX($A:$A,Control!$B$29):INDEX($A:$A,100000),0)+MATCH($D46,INDEX($D:$D,Control!$B$31):INDEX($D:$D,Control!$B$32),0)-1,
    1)</f>
        <v>1</v>
      </c>
      <c r="T46" s="260" cm="1">
        <f t="array" ref="T46">INDEX(
    INDEX(T:T,Control!$B$29):INDEX(T:T,100000),
    MATCH($A$8,INDEX($A:$A,Control!$B$29):INDEX($A:$A,100000),0)+MATCH($D46,INDEX($D:$D,Control!$B$31):INDEX($D:$D,Control!$B$32),0)-1,
    1)</f>
        <v>1</v>
      </c>
      <c r="U46" s="260" cm="1">
        <f t="array" ref="U46">INDEX(
    INDEX(U:U,Control!$B$29):INDEX(U:U,100000),
    MATCH($A$8,INDEX($A:$A,Control!$B$29):INDEX($A:$A,100000),0)+MATCH($D46,INDEX($D:$D,Control!$B$31):INDEX($D:$D,Control!$B$32),0)-1,
    1)</f>
        <v>1</v>
      </c>
      <c r="V46" s="260" cm="1">
        <f t="array" ref="V46">INDEX(
    INDEX(V:V,Control!$B$29):INDEX(V:V,100000),
    MATCH($A$8,INDEX($A:$A,Control!$B$29):INDEX($A:$A,100000),0)+MATCH($D46,INDEX($D:$D,Control!$B$31):INDEX($D:$D,Control!$B$32),0)-1,
    1)</f>
        <v>1</v>
      </c>
      <c r="W46" s="260" cm="1">
        <f t="array" ref="W46">INDEX(
    INDEX(W:W,Control!$B$29):INDEX(W:W,100000),
    MATCH($A$8,INDEX($A:$A,Control!$B$29):INDEX($A:$A,100000),0)+MATCH($D46,INDEX($D:$D,Control!$B$31):INDEX($D:$D,Control!$B$32),0)-1,
    1)</f>
        <v>1</v>
      </c>
      <c r="X46" s="260" cm="1">
        <f t="array" ref="X46">INDEX(
    INDEX(X:X,Control!$B$29):INDEX(X:X,100000),
    MATCH($A$8,INDEX($A:$A,Control!$B$29):INDEX($A:$A,100000),0)+MATCH($D46,INDEX($D:$D,Control!$B$31):INDEX($D:$D,Control!$B$32),0)-1,
    1)</f>
        <v>1</v>
      </c>
      <c r="Y46" s="260" cm="1">
        <f t="array" ref="Y46">INDEX(
    INDEX(Y:Y,Control!$B$29):INDEX(Y:Y,100000),
    MATCH($A$8,INDEX($A:$A,Control!$B$29):INDEX($A:$A,100000),0)+MATCH($D46,INDEX($D:$D,Control!$B$31):INDEX($D:$D,Control!$B$32),0)-1,
    1)</f>
        <v>1</v>
      </c>
      <c r="Z46" s="260" cm="1">
        <f t="array" ref="Z46">INDEX(
    INDEX(Z:Z,Control!$B$29):INDEX(Z:Z,100000),
    MATCH($A$8,INDEX($A:$A,Control!$B$29):INDEX($A:$A,100000),0)+MATCH($D46,INDEX($D:$D,Control!$B$31):INDEX($D:$D,Control!$B$32),0)-1,
    1)</f>
        <v>1</v>
      </c>
      <c r="AA46" s="260" cm="1">
        <f t="array" ref="AA46">INDEX(
    INDEX(AA:AA,Control!$B$29):INDEX(AA:AA,100000),
    MATCH($A$8,INDEX($A:$A,Control!$B$29):INDEX($A:$A,100000),0)+MATCH($D46,INDEX($D:$D,Control!$B$31):INDEX($D:$D,Control!$B$32),0)-1,
    1)</f>
        <v>1</v>
      </c>
      <c r="AB46" s="260" cm="1">
        <f t="array" ref="AB46">INDEX(
    INDEX(AB:AB,Control!$B$29):INDEX(AB:AB,100000),
    MATCH($A$8,INDEX($A:$A,Control!$B$29):INDEX($A:$A,100000),0)+MATCH($D46,INDEX($D:$D,Control!$B$31):INDEX($D:$D,Control!$B$32),0)-1,
    1)</f>
        <v>1</v>
      </c>
      <c r="AC46" s="260" cm="1">
        <f t="array" ref="AC46">INDEX(
    INDEX(AC:AC,Control!$B$29):INDEX(AC:AC,100000),
    MATCH($A$8,INDEX($A:$A,Control!$B$29):INDEX($A:$A,100000),0)+MATCH($D46,INDEX($D:$D,Control!$B$31):INDEX($D:$D,Control!$B$32),0)-1,
    1)</f>
        <v>1</v>
      </c>
      <c r="AD46" s="260" cm="1">
        <f t="array" ref="AD46">INDEX(
    INDEX(AD:AD,Control!$B$29):INDEX(AD:AD,100000),
    MATCH($A$8,INDEX($A:$A,Control!$B$29):INDEX($A:$A,100000),0)+MATCH($D46,INDEX($D:$D,Control!$B$31):INDEX($D:$D,Control!$B$32),0)-1,
    1)</f>
        <v>1</v>
      </c>
      <c r="AE46" s="260" cm="1">
        <f t="array" ref="AE46">INDEX(
    INDEX(AE:AE,Control!$B$29):INDEX(AE:AE,100000),
    MATCH($A$8,INDEX($A:$A,Control!$B$29):INDEX($A:$A,100000),0)+MATCH($D46,INDEX($D:$D,Control!$B$31):INDEX($D:$D,Control!$B$32),0)-1,
    1)</f>
        <v>1</v>
      </c>
      <c r="AF46" s="260" cm="1">
        <f t="array" ref="AF46">INDEX(
    INDEX(AF:AF,Control!$B$29):INDEX(AF:AF,100000),
    MATCH($A$8,INDEX($A:$A,Control!$B$29):INDEX($A:$A,100000),0)+MATCH($D46,INDEX($D:$D,Control!$B$31):INDEX($D:$D,Control!$B$32),0)-1,
    1)</f>
        <v>1</v>
      </c>
      <c r="AG46" s="260" cm="1">
        <f t="array" ref="AG46">INDEX(
    INDEX(AG:AG,Control!$B$29):INDEX(AG:AG,100000),
    MATCH($A$8,INDEX($A:$A,Control!$B$29):INDEX($A:$A,100000),0)+MATCH($D46,INDEX($D:$D,Control!$B$31):INDEX($D:$D,Control!$B$32),0)-1,
    1)</f>
        <v>1</v>
      </c>
      <c r="AH46" s="260" cm="1">
        <f t="array" ref="AH46">INDEX(
    INDEX(AH:AH,Control!$B$29):INDEX(AH:AH,100000),
    MATCH($A$8,INDEX($A:$A,Control!$B$29):INDEX($A:$A,100000),0)+MATCH($D46,INDEX($D:$D,Control!$B$31):INDEX($D:$D,Control!$B$32),0)-1,
    1)</f>
        <v>1</v>
      </c>
      <c r="AI46" s="260" cm="1">
        <f t="array" ref="AI46">INDEX(
    INDEX(AI:AI,Control!$B$29):INDEX(AI:AI,100000),
    MATCH($A$8,INDEX($A:$A,Control!$B$29):INDEX($A:$A,100000),0)+MATCH($D46,INDEX($D:$D,Control!$B$31):INDEX($D:$D,Control!$B$32),0)-1,
    1)</f>
        <v>1</v>
      </c>
      <c r="AJ46" s="260" cm="1">
        <f t="array" ref="AJ46">INDEX(
    INDEX(AJ:AJ,Control!$B$29):INDEX(AJ:AJ,100000),
    MATCH($A$8,INDEX($A:$A,Control!$B$29):INDEX($A:$A,100000),0)+MATCH($D46,INDEX($D:$D,Control!$B$31):INDEX($D:$D,Control!$B$32),0)-1,
    1)</f>
        <v>1</v>
      </c>
      <c r="AK46" s="260" cm="1">
        <f t="array" ref="AK46">INDEX(
    INDEX(AK:AK,Control!$B$29):INDEX(AK:AK,100000),
    MATCH($A$8,INDEX($A:$A,Control!$B$29):INDEX($A:$A,100000),0)+MATCH($D46,INDEX($D:$D,Control!$B$31):INDEX($D:$D,Control!$B$32),0)-1,
    1)</f>
        <v>1</v>
      </c>
      <c r="AL46" s="260" cm="1">
        <f t="array" ref="AL46">INDEX(
    INDEX(AL:AL,Control!$B$29):INDEX(AL:AL,100000),
    MATCH($A$8,INDEX($A:$A,Control!$B$29):INDEX($A:$A,100000),0)+MATCH($D46,INDEX($D:$D,Control!$B$31):INDEX($D:$D,Control!$B$32),0)-1,
    1)</f>
        <v>1</v>
      </c>
      <c r="AM46" s="260" cm="1">
        <f t="array" ref="AM46">INDEX(
    INDEX(AM:AM,Control!$B$29):INDEX(AM:AM,100000),
    MATCH($A$8,INDEX($A:$A,Control!$B$29):INDEX($A:$A,100000),0)+MATCH($D46,INDEX($D:$D,Control!$B$31):INDEX($D:$D,Control!$B$32),0)-1,
    1)</f>
        <v>1</v>
      </c>
      <c r="AN46" s="260" cm="1">
        <f t="array" ref="AN46">INDEX(
    INDEX(AN:AN,Control!$B$29):INDEX(AN:AN,100000),
    MATCH($A$8,INDEX($A:$A,Control!$B$29):INDEX($A:$A,100000),0)+MATCH($D46,INDEX($D:$D,Control!$B$31):INDEX($D:$D,Control!$B$32),0)-1,
    1)</f>
        <v>1</v>
      </c>
    </row>
    <row r="47" spans="3:40" x14ac:dyDescent="0.35">
      <c r="C47" s="298" t="s">
        <v>451</v>
      </c>
      <c r="D47" s="273" t="s">
        <v>357</v>
      </c>
      <c r="E47" s="22" t="s">
        <v>226</v>
      </c>
      <c r="F47" s="26" cm="1">
        <f t="array" ref="F47">INDEX(
    INDEX(F:F,Control!$B$29):INDEX(F:F,100000),
    MATCH($A$8,INDEX($A:$A,Control!$B$29):INDEX($A:$A,100000),0)+MATCH($D47,INDEX($D:$D,Control!$B$31):INDEX($D:$D,Control!$B$32),0)-1,
    1)</f>
        <v>0</v>
      </c>
      <c r="G47" s="26" cm="1">
        <f t="array" ref="G47">INDEX(
    INDEX(G:G,Control!$B$29):INDEX(G:G,100000),
    MATCH($A$8,INDEX($A:$A,Control!$B$29):INDEX($A:$A,100000),0)+MATCH($D47,INDEX($D:$D,Control!$B$31):INDEX($D:$D,Control!$B$32),0)-1,
    1)</f>
        <v>119.633629048743</v>
      </c>
      <c r="H47" s="26" cm="1">
        <f t="array" ref="H47">INDEX(
    INDEX(H:H,Control!$B$29):INDEX(H:H,100000),
    MATCH($A$8,INDEX($A:$A,Control!$B$29):INDEX($A:$A,100000),0)+MATCH($D47,INDEX($D:$D,Control!$B$31):INDEX($D:$D,Control!$B$32),0)-1,
    1)</f>
        <v>101.02359079678401</v>
      </c>
      <c r="I47" s="26" cm="1">
        <f t="array" ref="I47">INDEX(
    INDEX(I:I,Control!$B$29):INDEX(I:I,100000),
    MATCH($A$8,INDEX($A:$A,Control!$B$29):INDEX($A:$A,100000),0)+MATCH($D47,INDEX($D:$D,Control!$B$31):INDEX($D:$D,Control!$B$32),0)-1,
    1)</f>
        <v>72.158109342250498</v>
      </c>
      <c r="J47" s="26" cm="1">
        <f t="array" ref="J47">INDEX(
    INDEX(J:J,Control!$B$29):INDEX(J:J,100000),
    MATCH($A$8,INDEX($A:$A,Control!$B$29):INDEX($A:$A,100000),0)+MATCH($D47,INDEX($D:$D,Control!$B$31):INDEX($D:$D,Control!$B$32),0)-1,
    1)</f>
        <v>56.448516694983098</v>
      </c>
      <c r="K47" s="26" cm="1">
        <f t="array" ref="K47">INDEX(
    INDEX(K:K,Control!$B$29):INDEX(K:K,100000),
    MATCH($A$8,INDEX($A:$A,Control!$B$29):INDEX($A:$A,100000),0)+MATCH($D47,INDEX($D:$D,Control!$B$31):INDEX($D:$D,Control!$B$32),0)-1,
    1)</f>
        <v>55.811425321480598</v>
      </c>
      <c r="L47" s="26" cm="1">
        <f t="array" ref="L47">INDEX(
    INDEX(L:L,Control!$B$29):INDEX(L:L,100000),
    MATCH($A$8,INDEX($A:$A,Control!$B$29):INDEX($A:$A,100000),0)+MATCH($D47,INDEX($D:$D,Control!$B$31):INDEX($D:$D,Control!$B$32),0)-1,
    1)</f>
        <v>64.658788359135201</v>
      </c>
      <c r="M47" s="26" cm="1">
        <f t="array" ref="M47">INDEX(
    INDEX(M:M,Control!$B$29):INDEX(M:M,100000),
    MATCH($A$8,INDEX($A:$A,Control!$B$29):INDEX($A:$A,100000),0)+MATCH($D47,INDEX($D:$D,Control!$B$31):INDEX($D:$D,Control!$B$32),0)-1,
    1)</f>
        <v>54.815421590178303</v>
      </c>
      <c r="N47" s="26" cm="1">
        <f t="array" ref="N47">INDEX(
    INDEX(N:N,Control!$B$29):INDEX(N:N,100000),
    MATCH($A$8,INDEX($A:$A,Control!$B$29):INDEX($A:$A,100000),0)+MATCH($D47,INDEX($D:$D,Control!$B$31):INDEX($D:$D,Control!$B$32),0)-1,
    1)</f>
        <v>51.369848329696303</v>
      </c>
      <c r="O47" s="26" cm="1">
        <f t="array" ref="O47">INDEX(
    INDEX(O:O,Control!$B$29):INDEX(O:O,100000),
    MATCH($A$8,INDEX($A:$A,Control!$B$29):INDEX($A:$A,100000),0)+MATCH($D47,INDEX($D:$D,Control!$B$31):INDEX($D:$D,Control!$B$32),0)-1,
    1)</f>
        <v>53.464851395267999</v>
      </c>
      <c r="P47" s="26" cm="1">
        <f t="array" ref="P47">INDEX(
    INDEX(P:P,Control!$B$29):INDEX(P:P,100000),
    MATCH($A$8,INDEX($A:$A,Control!$B$29):INDEX($A:$A,100000),0)+MATCH($D47,INDEX($D:$D,Control!$B$31):INDEX($D:$D,Control!$B$32),0)-1,
    1)</f>
        <v>46.481532219371203</v>
      </c>
      <c r="Q47" s="26" cm="1">
        <f t="array" ref="Q47">INDEX(
    INDEX(Q:Q,Control!$B$29):INDEX(Q:Q,100000),
    MATCH($A$8,INDEX($A:$A,Control!$B$29):INDEX($A:$A,100000),0)+MATCH($D47,INDEX($D:$D,Control!$B$31):INDEX($D:$D,Control!$B$32),0)-1,
    1)</f>
        <v>46.775047227076897</v>
      </c>
      <c r="R47" s="26" cm="1">
        <f t="array" ref="R47">INDEX(
    INDEX(R:R,Control!$B$29):INDEX(R:R,100000),
    MATCH($A$8,INDEX($A:$A,Control!$B$29):INDEX($A:$A,100000),0)+MATCH($D47,INDEX($D:$D,Control!$B$31):INDEX($D:$D,Control!$B$32),0)-1,
    1)</f>
        <v>44.120332687706401</v>
      </c>
      <c r="S47" s="26" cm="1">
        <f t="array" ref="S47">INDEX(
    INDEX(S:S,Control!$B$29):INDEX(S:S,100000),
    MATCH($A$8,INDEX($A:$A,Control!$B$29):INDEX($A:$A,100000),0)+MATCH($D47,INDEX($D:$D,Control!$B$31):INDEX($D:$D,Control!$B$32),0)-1,
    1)</f>
        <v>45.753803879508503</v>
      </c>
      <c r="T47" s="26" cm="1">
        <f t="array" ref="T47">INDEX(
    INDEX(T:T,Control!$B$29):INDEX(T:T,100000),
    MATCH($A$8,INDEX($A:$A,Control!$B$29):INDEX($A:$A,100000),0)+MATCH($D47,INDEX($D:$D,Control!$B$31):INDEX($D:$D,Control!$B$32),0)-1,
    1)</f>
        <v>48.467020840688299</v>
      </c>
      <c r="U47" s="26" cm="1">
        <f t="array" ref="U47">INDEX(
    INDEX(U:U,Control!$B$29):INDEX(U:U,100000),
    MATCH($A$8,INDEX($A:$A,Control!$B$29):INDEX($A:$A,100000),0)+MATCH($D47,INDEX($D:$D,Control!$B$31):INDEX($D:$D,Control!$B$32),0)-1,
    1)</f>
        <v>48.070928104456698</v>
      </c>
      <c r="V47" s="26" cm="1">
        <f t="array" ref="V47">INDEX(
    INDEX(V:V,Control!$B$29):INDEX(V:V,100000),
    MATCH($A$8,INDEX($A:$A,Control!$B$29):INDEX($A:$A,100000),0)+MATCH($D47,INDEX($D:$D,Control!$B$31):INDEX($D:$D,Control!$B$32),0)-1,
    1)</f>
        <v>48.058109805963802</v>
      </c>
      <c r="W47" s="26" cm="1">
        <f t="array" ref="W47">INDEX(
    INDEX(W:W,Control!$B$29):INDEX(W:W,100000),
    MATCH($A$8,INDEX($A:$A,Control!$B$29):INDEX($A:$A,100000),0)+MATCH($D47,INDEX($D:$D,Control!$B$31):INDEX($D:$D,Control!$B$32),0)-1,
    1)</f>
        <v>45.219520065474597</v>
      </c>
      <c r="X47" s="26" cm="1">
        <f t="array" ref="X47">INDEX(
    INDEX(X:X,Control!$B$29):INDEX(X:X,100000),
    MATCH($A$8,INDEX($A:$A,Control!$B$29):INDEX($A:$A,100000),0)+MATCH($D47,INDEX($D:$D,Control!$B$31):INDEX($D:$D,Control!$B$32),0)-1,
    1)</f>
        <v>43.9247674490869</v>
      </c>
      <c r="Y47" s="26" cm="1">
        <f t="array" ref="Y47">INDEX(
    INDEX(Y:Y,Control!$B$29):INDEX(Y:Y,100000),
    MATCH($A$8,INDEX($A:$A,Control!$B$29):INDEX($A:$A,100000),0)+MATCH($D47,INDEX($D:$D,Control!$B$31):INDEX($D:$D,Control!$B$32),0)-1,
    1)</f>
        <v>44.431471549982099</v>
      </c>
      <c r="Z47" s="26" cm="1">
        <f t="array" ref="Z47">INDEX(
    INDEX(Z:Z,Control!$B$29):INDEX(Z:Z,100000),
    MATCH($A$8,INDEX($A:$A,Control!$B$29):INDEX($A:$A,100000),0)+MATCH($D47,INDEX($D:$D,Control!$B$31):INDEX($D:$D,Control!$B$32),0)-1,
    1)</f>
        <v>48.204543457124501</v>
      </c>
      <c r="AA47" s="26" cm="1">
        <f t="array" ref="AA47">INDEX(
    INDEX(AA:AA,Control!$B$29):INDEX(AA:AA,100000),
    MATCH($A$8,INDEX($A:$A,Control!$B$29):INDEX($A:$A,100000),0)+MATCH($D47,INDEX($D:$D,Control!$B$31):INDEX($D:$D,Control!$B$32),0)-1,
    1)</f>
        <v>48.046660046266901</v>
      </c>
      <c r="AB47" s="26" cm="1">
        <f t="array" ref="AB47">INDEX(
    INDEX(AB:AB,Control!$B$29):INDEX(AB:AB,100000),
    MATCH($A$8,INDEX($A:$A,Control!$B$29):INDEX($A:$A,100000),0)+MATCH($D47,INDEX($D:$D,Control!$B$31):INDEX($D:$D,Control!$B$32),0)-1,
    1)</f>
        <v>50.863781487324303</v>
      </c>
      <c r="AC47" s="26" cm="1">
        <f t="array" ref="AC47">INDEX(
    INDEX(AC:AC,Control!$B$29):INDEX(AC:AC,100000),
    MATCH($A$8,INDEX($A:$A,Control!$B$29):INDEX($A:$A,100000),0)+MATCH($D47,INDEX($D:$D,Control!$B$31):INDEX($D:$D,Control!$B$32),0)-1,
    1)</f>
        <v>50.863938190239899</v>
      </c>
      <c r="AD47" s="26" cm="1">
        <f t="array" ref="AD47">INDEX(
    INDEX(AD:AD,Control!$B$29):INDEX(AD:AD,100000),
    MATCH($A$8,INDEX($A:$A,Control!$B$29):INDEX($A:$A,100000),0)+MATCH($D47,INDEX($D:$D,Control!$B$31):INDEX($D:$D,Control!$B$32),0)-1,
    1)</f>
        <v>51.987842841222502</v>
      </c>
      <c r="AE47" s="26" cm="1">
        <f t="array" ref="AE47">INDEX(
    INDEX(AE:AE,Control!$B$29):INDEX(AE:AE,100000),
    MATCH($A$8,INDEX($A:$A,Control!$B$29):INDEX($A:$A,100000),0)+MATCH($D47,INDEX($D:$D,Control!$B$31):INDEX($D:$D,Control!$B$32),0)-1,
    1)</f>
        <v>52.2199094123065</v>
      </c>
      <c r="AF47" s="26" cm="1">
        <f t="array" ref="AF47">INDEX(
    INDEX(AF:AF,Control!$B$29):INDEX(AF:AF,100000),
    MATCH($A$8,INDEX($A:$A,Control!$B$29):INDEX($A:$A,100000),0)+MATCH($D47,INDEX($D:$D,Control!$B$31):INDEX($D:$D,Control!$B$32),0)-1,
    1)</f>
        <v>53.576392530564</v>
      </c>
      <c r="AG47" s="26" cm="1">
        <f t="array" ref="AG47">INDEX(
    INDEX(AG:AG,Control!$B$29):INDEX(AG:AG,100000),
    MATCH($A$8,INDEX($A:$A,Control!$B$29):INDEX($A:$A,100000),0)+MATCH($D47,INDEX($D:$D,Control!$B$31):INDEX($D:$D,Control!$B$32),0)-1,
    1)</f>
        <v>53.407122041175597</v>
      </c>
      <c r="AH47" s="26" cm="1">
        <f t="array" ref="AH47">INDEX(
    INDEX(AH:AH,Control!$B$29):INDEX(AH:AH,100000),
    MATCH($A$8,INDEX($A:$A,Control!$B$29):INDEX($A:$A,100000),0)+MATCH($D47,INDEX($D:$D,Control!$B$31):INDEX($D:$D,Control!$B$32),0)-1,
    1)</f>
        <v>52.742053973814997</v>
      </c>
      <c r="AI47" s="26" cm="1">
        <f t="array" ref="AI47">INDEX(
    INDEX(AI:AI,Control!$B$29):INDEX(AI:AI,100000),
    MATCH($A$8,INDEX($A:$A,Control!$B$29):INDEX($A:$A,100000),0)+MATCH($D47,INDEX($D:$D,Control!$B$31):INDEX($D:$D,Control!$B$32),0)-1,
    1)</f>
        <v>53.711470443777102</v>
      </c>
      <c r="AJ47" s="26" cm="1">
        <f t="array" ref="AJ47">INDEX(
    INDEX(AJ:AJ,Control!$B$29):INDEX(AJ:AJ,100000),
    MATCH($A$8,INDEX($A:$A,Control!$B$29):INDEX($A:$A,100000),0)+MATCH($D47,INDEX($D:$D,Control!$B$31):INDEX($D:$D,Control!$B$32),0)-1,
    1)</f>
        <v>54.232549425459702</v>
      </c>
      <c r="AK47" s="26" cm="1">
        <f t="array" ref="AK47">INDEX(
    INDEX(AK:AK,Control!$B$29):INDEX(AK:AK,100000),
    MATCH($A$8,INDEX($A:$A,Control!$B$29):INDEX($A:$A,100000),0)+MATCH($D47,INDEX($D:$D,Control!$B$31):INDEX($D:$D,Control!$B$32),0)-1,
    1)</f>
        <v>51.3429998968302</v>
      </c>
      <c r="AL47" s="26" cm="1">
        <f t="array" ref="AL47">INDEX(
    INDEX(AL:AL,Control!$B$29):INDEX(AL:AL,100000),
    MATCH($A$8,INDEX($A:$A,Control!$B$29):INDEX($A:$A,100000),0)+MATCH($D47,INDEX($D:$D,Control!$B$31):INDEX($D:$D,Control!$B$32),0)-1,
    1)</f>
        <v>53.022593980112298</v>
      </c>
      <c r="AM47" s="26" cm="1">
        <f t="array" ref="AM47">INDEX(
    INDEX(AM:AM,Control!$B$29):INDEX(AM:AM,100000),
    MATCH($A$8,INDEX($A:$A,Control!$B$29):INDEX($A:$A,100000),0)+MATCH($D47,INDEX($D:$D,Control!$B$31):INDEX($D:$D,Control!$B$32),0)-1,
    1)</f>
        <v>53.569685645778002</v>
      </c>
      <c r="AN47" s="26" cm="1">
        <f t="array" ref="AN47">INDEX(
    INDEX(AN:AN,Control!$B$29):INDEX(AN:AN,100000),
    MATCH($A$8,INDEX($A:$A,Control!$B$29):INDEX($A:$A,100000),0)+MATCH($D47,INDEX($D:$D,Control!$B$31):INDEX($D:$D,Control!$B$32),0)-1,
    1)</f>
        <v>52.110875523659502</v>
      </c>
    </row>
    <row r="48" spans="3:40" s="1" customFormat="1" x14ac:dyDescent="0.35">
      <c r="C48" s="285"/>
      <c r="D48" s="286"/>
      <c r="E48" s="287"/>
      <c r="F48" s="288"/>
      <c r="G48" s="288"/>
      <c r="H48" s="288"/>
      <c r="I48" s="288"/>
      <c r="J48" s="288"/>
      <c r="K48" s="288"/>
      <c r="L48" s="288"/>
      <c r="M48" s="288"/>
      <c r="N48" s="288"/>
      <c r="O48" s="288"/>
      <c r="P48" s="288"/>
      <c r="Q48" s="288"/>
      <c r="R48" s="288"/>
      <c r="S48" s="288"/>
      <c r="T48" s="288"/>
      <c r="U48" s="288"/>
      <c r="V48" s="288"/>
      <c r="W48" s="288"/>
      <c r="X48" s="288"/>
      <c r="Y48" s="288"/>
      <c r="Z48" s="288"/>
      <c r="AA48" s="288"/>
      <c r="AB48" s="288"/>
      <c r="AC48" s="288"/>
      <c r="AD48" s="288"/>
      <c r="AE48" s="288"/>
      <c r="AF48" s="288"/>
      <c r="AG48" s="288"/>
      <c r="AH48" s="288"/>
      <c r="AI48" s="288"/>
      <c r="AJ48" s="288"/>
      <c r="AK48" s="288"/>
      <c r="AL48" s="288"/>
      <c r="AM48" s="288"/>
      <c r="AN48" s="288"/>
    </row>
    <row r="49" spans="1:100" s="1" customFormat="1" x14ac:dyDescent="0.35">
      <c r="C49" s="285"/>
      <c r="D49" s="286"/>
      <c r="E49" s="287"/>
      <c r="F49" s="288"/>
      <c r="G49" s="288"/>
      <c r="H49" s="288"/>
      <c r="I49" s="288"/>
      <c r="J49" s="288"/>
      <c r="K49" s="288"/>
      <c r="L49" s="288"/>
      <c r="M49" s="288"/>
      <c r="N49" s="288"/>
      <c r="O49" s="288"/>
      <c r="P49" s="288"/>
      <c r="Q49" s="288"/>
      <c r="R49" s="288"/>
      <c r="S49" s="288"/>
      <c r="T49" s="288"/>
      <c r="U49" s="288"/>
      <c r="V49" s="288"/>
      <c r="W49" s="288"/>
      <c r="X49" s="288"/>
      <c r="Y49" s="288"/>
      <c r="Z49" s="288"/>
      <c r="AA49" s="288"/>
      <c r="AB49" s="288"/>
      <c r="AC49" s="288"/>
      <c r="AD49" s="288"/>
      <c r="AE49" s="288"/>
      <c r="AF49" s="288"/>
      <c r="AG49" s="288"/>
      <c r="AH49" s="288"/>
      <c r="AI49" s="288"/>
      <c r="AJ49" s="288"/>
      <c r="AK49" s="288"/>
      <c r="AL49" s="288"/>
      <c r="AM49" s="288"/>
      <c r="AN49" s="288"/>
    </row>
    <row r="50" spans="1:100" s="1" customFormat="1" x14ac:dyDescent="0.35">
      <c r="C50" s="285"/>
      <c r="D50" s="286"/>
      <c r="E50" s="287"/>
      <c r="F50" s="288"/>
      <c r="G50" s="288"/>
      <c r="H50" s="288"/>
      <c r="I50" s="288"/>
      <c r="J50" s="288"/>
      <c r="K50" s="288"/>
      <c r="L50" s="288"/>
      <c r="M50" s="288"/>
      <c r="N50" s="288"/>
      <c r="O50" s="288"/>
      <c r="P50" s="288"/>
      <c r="Q50" s="288"/>
      <c r="R50" s="288"/>
      <c r="S50" s="288"/>
      <c r="T50" s="288"/>
      <c r="U50" s="288"/>
      <c r="V50" s="288"/>
      <c r="W50" s="288"/>
      <c r="X50" s="288"/>
      <c r="Y50" s="288"/>
      <c r="Z50" s="288"/>
      <c r="AA50" s="288"/>
      <c r="AB50" s="288"/>
      <c r="AC50" s="288"/>
      <c r="AD50" s="288"/>
      <c r="AE50" s="288"/>
      <c r="AF50" s="288"/>
      <c r="AG50" s="288"/>
      <c r="AH50" s="288"/>
      <c r="AI50" s="288"/>
      <c r="AJ50" s="288"/>
      <c r="AK50" s="288"/>
      <c r="AL50" s="288"/>
      <c r="AM50" s="288"/>
      <c r="AN50" s="288"/>
    </row>
    <row r="51" spans="1:100" s="127" customFormat="1" ht="13" x14ac:dyDescent="0.3">
      <c r="A51" s="181" t="s">
        <v>227</v>
      </c>
      <c r="B51" s="126"/>
      <c r="C51" s="185"/>
      <c r="D51" s="185"/>
      <c r="E51" s="185"/>
      <c r="F51" s="185"/>
      <c r="G51" s="185"/>
      <c r="H51" s="185"/>
      <c r="I51" s="185"/>
      <c r="J51" s="185"/>
      <c r="K51" s="185"/>
      <c r="L51" s="185"/>
      <c r="M51" s="185"/>
      <c r="N51" s="185"/>
      <c r="O51" s="185"/>
      <c r="P51" s="185"/>
      <c r="Q51" s="185"/>
      <c r="R51" s="185"/>
      <c r="S51" s="185"/>
      <c r="T51" s="185"/>
      <c r="U51" s="185"/>
      <c r="V51" s="185"/>
      <c r="W51" s="185"/>
      <c r="X51" s="185"/>
      <c r="Y51" s="185"/>
      <c r="Z51" s="185"/>
      <c r="AA51" s="185"/>
      <c r="AB51" s="185"/>
      <c r="AC51" s="185"/>
      <c r="AD51" s="185"/>
      <c r="AE51" s="185"/>
      <c r="AF51" s="185"/>
      <c r="AG51" s="185"/>
      <c r="AH51" s="185"/>
      <c r="AI51" s="185"/>
      <c r="AJ51" s="185"/>
      <c r="AK51" s="185"/>
      <c r="AL51" s="185"/>
      <c r="AM51" s="185"/>
      <c r="AN51" s="185"/>
    </row>
    <row r="52" spans="1:100" s="127" customFormat="1" ht="13" x14ac:dyDescent="0.3">
      <c r="A52" s="182"/>
      <c r="B52" s="129" t="s">
        <v>56</v>
      </c>
      <c r="C52" s="129"/>
      <c r="D52" s="129" t="s">
        <v>59</v>
      </c>
      <c r="E52" s="129" t="s">
        <v>60</v>
      </c>
      <c r="F52" s="139">
        <v>2026</v>
      </c>
      <c r="G52" s="139">
        <v>2027</v>
      </c>
      <c r="H52" s="139">
        <v>2028</v>
      </c>
      <c r="I52" s="139">
        <v>2029</v>
      </c>
      <c r="J52" s="139">
        <v>2030</v>
      </c>
      <c r="K52" s="139">
        <v>2031</v>
      </c>
      <c r="L52" s="139">
        <v>2032</v>
      </c>
      <c r="M52" s="139">
        <v>2033</v>
      </c>
      <c r="N52" s="139">
        <v>2034</v>
      </c>
      <c r="O52" s="139">
        <v>2035</v>
      </c>
      <c r="P52" s="139">
        <v>2036</v>
      </c>
      <c r="Q52" s="139">
        <v>2037</v>
      </c>
      <c r="R52" s="139">
        <v>2038</v>
      </c>
      <c r="S52" s="139">
        <v>2039</v>
      </c>
      <c r="T52" s="139">
        <v>2040</v>
      </c>
      <c r="U52" s="139">
        <v>2041</v>
      </c>
      <c r="V52" s="139">
        <v>2042</v>
      </c>
      <c r="W52" s="139">
        <v>2043</v>
      </c>
      <c r="X52" s="139">
        <v>2044</v>
      </c>
      <c r="Y52" s="139">
        <v>2045</v>
      </c>
      <c r="Z52" s="139">
        <v>2046</v>
      </c>
      <c r="AA52" s="139">
        <v>2047</v>
      </c>
      <c r="AB52" s="139">
        <v>2048</v>
      </c>
      <c r="AC52" s="139">
        <v>2049</v>
      </c>
      <c r="AD52" s="139">
        <v>2050</v>
      </c>
      <c r="AE52" s="139">
        <v>2051</v>
      </c>
      <c r="AF52" s="139">
        <v>2052</v>
      </c>
      <c r="AG52" s="139">
        <v>2053</v>
      </c>
      <c r="AH52" s="139">
        <v>2054</v>
      </c>
      <c r="AI52" s="139">
        <v>2055</v>
      </c>
      <c r="AJ52" s="139">
        <v>2056</v>
      </c>
      <c r="AK52" s="139">
        <v>2057</v>
      </c>
      <c r="AL52" s="139">
        <v>2058</v>
      </c>
      <c r="AM52" s="139">
        <v>2059</v>
      </c>
      <c r="AN52" s="139">
        <v>2060</v>
      </c>
    </row>
    <row r="53" spans="1:100" x14ac:dyDescent="0.35">
      <c r="A53">
        <v>1</v>
      </c>
      <c r="B53" s="9" t="s">
        <v>469</v>
      </c>
      <c r="C53" t="s">
        <v>230</v>
      </c>
      <c r="D53" t="s">
        <v>322</v>
      </c>
      <c r="E53" t="s">
        <v>124</v>
      </c>
      <c r="F53" s="17">
        <v>0</v>
      </c>
      <c r="G53" s="17">
        <v>1</v>
      </c>
      <c r="H53" s="17">
        <v>1</v>
      </c>
      <c r="I53" s="17">
        <v>1</v>
      </c>
      <c r="J53" s="17">
        <v>1</v>
      </c>
      <c r="K53" s="17">
        <v>1</v>
      </c>
      <c r="L53" s="17">
        <v>1</v>
      </c>
      <c r="M53" s="17">
        <v>1</v>
      </c>
      <c r="N53" s="17">
        <v>1</v>
      </c>
      <c r="O53" s="17">
        <v>1</v>
      </c>
      <c r="P53" s="17">
        <v>1</v>
      </c>
      <c r="Q53" s="17">
        <v>1</v>
      </c>
      <c r="R53" s="17">
        <v>1</v>
      </c>
      <c r="S53" s="17">
        <v>1</v>
      </c>
      <c r="T53" s="17">
        <v>1</v>
      </c>
      <c r="U53" s="17">
        <v>1</v>
      </c>
      <c r="V53" s="17">
        <v>1</v>
      </c>
      <c r="W53" s="17">
        <v>1</v>
      </c>
      <c r="X53" s="17">
        <v>1</v>
      </c>
      <c r="Y53" s="17">
        <v>1</v>
      </c>
      <c r="Z53" s="17">
        <v>1</v>
      </c>
      <c r="AA53" s="17">
        <v>1</v>
      </c>
      <c r="AB53" s="17">
        <v>1</v>
      </c>
      <c r="AC53" s="17">
        <v>1</v>
      </c>
      <c r="AD53" s="17">
        <v>1</v>
      </c>
      <c r="AE53" s="17">
        <v>1</v>
      </c>
      <c r="AF53" s="17">
        <v>1</v>
      </c>
      <c r="AG53" s="17">
        <v>1</v>
      </c>
      <c r="AH53" s="17">
        <v>1</v>
      </c>
      <c r="AI53" s="17">
        <v>1</v>
      </c>
      <c r="AJ53" s="17">
        <v>1</v>
      </c>
      <c r="AK53" s="17">
        <v>1</v>
      </c>
      <c r="AL53" s="17">
        <v>1</v>
      </c>
      <c r="AM53" s="17">
        <v>1</v>
      </c>
      <c r="AN53" s="17">
        <v>1</v>
      </c>
      <c r="AO53" s="17"/>
      <c r="AP53" s="17"/>
      <c r="AQ53" s="17"/>
      <c r="AR53" s="17"/>
      <c r="AS53" s="17"/>
      <c r="AT53" s="17"/>
      <c r="AU53" s="17"/>
      <c r="AV53" s="17"/>
      <c r="AW53" s="17"/>
      <c r="AX53" s="17"/>
      <c r="AY53" s="17"/>
      <c r="AZ53" s="17"/>
      <c r="BA53" s="17"/>
      <c r="BB53" s="17"/>
      <c r="BC53" s="17"/>
      <c r="BD53" s="17"/>
      <c r="BE53" s="17"/>
      <c r="BF53" s="17"/>
      <c r="BG53" s="17"/>
      <c r="BH53" s="17"/>
      <c r="BI53" s="17"/>
      <c r="BJ53" s="17"/>
      <c r="BK53" s="17"/>
      <c r="BL53" s="17"/>
      <c r="BM53" s="17"/>
      <c r="BN53" s="17"/>
      <c r="BO53" s="17"/>
      <c r="BP53" s="17"/>
      <c r="BQ53" s="17"/>
      <c r="BR53" s="17"/>
      <c r="BS53" s="17"/>
      <c r="BT53" s="17"/>
      <c r="BU53" s="17"/>
      <c r="BV53" s="17"/>
      <c r="BW53" s="17"/>
      <c r="BX53" s="17"/>
      <c r="BY53" s="17"/>
      <c r="BZ53" s="17"/>
      <c r="CA53" s="17"/>
      <c r="CB53" s="17"/>
      <c r="CC53" s="17"/>
      <c r="CD53" s="17"/>
      <c r="CE53" s="17"/>
      <c r="CF53" s="17"/>
      <c r="CG53" s="17"/>
      <c r="CH53" s="17"/>
      <c r="CI53" s="17"/>
      <c r="CJ53" s="17"/>
      <c r="CK53" s="17"/>
      <c r="CL53" s="17"/>
      <c r="CM53" s="17"/>
      <c r="CN53" s="17"/>
      <c r="CO53" s="17"/>
      <c r="CP53" s="17"/>
      <c r="CQ53" s="17"/>
      <c r="CR53" s="17"/>
      <c r="CS53" s="17"/>
      <c r="CT53" s="17"/>
      <c r="CU53" s="17"/>
      <c r="CV53" s="17"/>
    </row>
    <row r="54" spans="1:100" x14ac:dyDescent="0.35">
      <c r="B54" s="9">
        <v>2027</v>
      </c>
      <c r="C54" t="s">
        <v>337</v>
      </c>
      <c r="D54" t="s">
        <v>323</v>
      </c>
      <c r="F54" s="17">
        <v>0</v>
      </c>
      <c r="G54" s="17">
        <v>0</v>
      </c>
      <c r="H54" s="17">
        <v>0</v>
      </c>
      <c r="I54" s="17">
        <v>0</v>
      </c>
      <c r="J54" s="17">
        <v>0</v>
      </c>
      <c r="K54" s="17">
        <v>0</v>
      </c>
      <c r="L54" s="17">
        <v>0</v>
      </c>
      <c r="M54" s="17">
        <v>0</v>
      </c>
      <c r="N54" s="17">
        <v>0</v>
      </c>
      <c r="O54" s="17">
        <v>0</v>
      </c>
      <c r="P54" s="17">
        <v>0</v>
      </c>
      <c r="Q54" s="17">
        <v>0</v>
      </c>
      <c r="R54" s="17">
        <v>0</v>
      </c>
      <c r="S54" s="17">
        <v>0</v>
      </c>
      <c r="T54" s="17">
        <v>0</v>
      </c>
      <c r="U54" s="17">
        <v>0</v>
      </c>
      <c r="V54" s="17">
        <v>0</v>
      </c>
      <c r="W54" s="17">
        <v>0</v>
      </c>
      <c r="X54" s="17">
        <v>0</v>
      </c>
      <c r="Y54" s="17">
        <v>0</v>
      </c>
      <c r="Z54" s="17">
        <v>0</v>
      </c>
      <c r="AA54" s="17">
        <v>0</v>
      </c>
      <c r="AB54" s="17">
        <v>0</v>
      </c>
      <c r="AC54" s="17">
        <v>0</v>
      </c>
      <c r="AD54" s="17">
        <v>0</v>
      </c>
      <c r="AE54" s="17">
        <v>0</v>
      </c>
      <c r="AF54" s="17">
        <v>0</v>
      </c>
      <c r="AG54" s="17">
        <v>0</v>
      </c>
      <c r="AH54" s="17">
        <v>0</v>
      </c>
      <c r="AI54" s="17">
        <v>0</v>
      </c>
      <c r="AJ54" s="17">
        <v>0</v>
      </c>
      <c r="AK54" s="17">
        <v>0</v>
      </c>
      <c r="AL54" s="17">
        <v>0</v>
      </c>
      <c r="AM54" s="17">
        <v>0</v>
      </c>
      <c r="AN54" s="17">
        <v>0</v>
      </c>
      <c r="AO54" s="17"/>
      <c r="AP54" s="17"/>
      <c r="AQ54" s="17"/>
      <c r="AR54" s="17"/>
      <c r="AS54" s="17"/>
      <c r="AT54" s="17"/>
      <c r="AU54" s="17"/>
      <c r="AV54" s="17"/>
      <c r="AW54" s="17"/>
      <c r="AX54" s="17"/>
      <c r="AY54" s="17"/>
      <c r="AZ54" s="17"/>
      <c r="BA54" s="17"/>
      <c r="BB54" s="17"/>
      <c r="BC54" s="17"/>
      <c r="BD54" s="17"/>
      <c r="BE54" s="17"/>
      <c r="BF54" s="17"/>
      <c r="BG54" s="17"/>
      <c r="BH54" s="17"/>
      <c r="BI54" s="17"/>
      <c r="BJ54" s="17"/>
      <c r="BK54" s="17"/>
      <c r="BL54" s="17"/>
      <c r="BM54" s="17"/>
      <c r="BN54" s="17"/>
      <c r="BO54" s="17"/>
      <c r="BP54" s="17"/>
      <c r="BQ54" s="17"/>
      <c r="BR54" s="17"/>
      <c r="BS54" s="17"/>
      <c r="BT54" s="17"/>
      <c r="BU54" s="17"/>
      <c r="BV54" s="17"/>
      <c r="BW54" s="17"/>
      <c r="BX54" s="17"/>
      <c r="BY54" s="17"/>
      <c r="BZ54" s="17"/>
      <c r="CA54" s="17"/>
      <c r="CB54" s="17"/>
      <c r="CC54" s="17"/>
      <c r="CD54" s="17"/>
      <c r="CE54" s="17"/>
      <c r="CF54" s="17"/>
      <c r="CG54" s="17"/>
      <c r="CH54" s="17"/>
      <c r="CI54" s="17"/>
      <c r="CJ54" s="17"/>
      <c r="CK54" s="17"/>
      <c r="CL54" s="17"/>
      <c r="CM54" s="17"/>
      <c r="CN54" s="17"/>
      <c r="CO54" s="17"/>
      <c r="CP54" s="17"/>
      <c r="CQ54" s="17"/>
      <c r="CR54" s="17"/>
      <c r="CS54" s="17"/>
      <c r="CT54" s="17"/>
      <c r="CU54" s="17"/>
      <c r="CV54" s="17"/>
    </row>
    <row r="55" spans="1:100" x14ac:dyDescent="0.35">
      <c r="B55" s="9" t="s">
        <v>77</v>
      </c>
      <c r="C55" t="s">
        <v>230</v>
      </c>
      <c r="D55" t="s">
        <v>324</v>
      </c>
      <c r="F55" s="17">
        <v>0</v>
      </c>
      <c r="G55" s="17">
        <v>1.5085500000000001</v>
      </c>
      <c r="H55" s="17">
        <v>1.49675</v>
      </c>
      <c r="I55" s="17">
        <v>1.49996</v>
      </c>
      <c r="J55" s="17">
        <v>1.50444</v>
      </c>
      <c r="K55" s="17">
        <v>1.49848</v>
      </c>
      <c r="L55" s="17">
        <v>1.5039100000000001</v>
      </c>
      <c r="M55" s="17">
        <v>1.5019</v>
      </c>
      <c r="N55" s="17">
        <v>1.5009600000000001</v>
      </c>
      <c r="O55" s="17">
        <v>1.5024299999999999</v>
      </c>
      <c r="P55" s="17">
        <v>1.5024999999999999</v>
      </c>
      <c r="Q55" s="17">
        <v>1.50566</v>
      </c>
      <c r="R55" s="17">
        <v>1.49844</v>
      </c>
      <c r="S55" s="17">
        <v>1.49377</v>
      </c>
      <c r="T55" s="17">
        <v>1.4996799999999999</v>
      </c>
      <c r="U55" s="17">
        <v>1.4954499999999999</v>
      </c>
      <c r="V55" s="17">
        <v>1.49685</v>
      </c>
      <c r="W55" s="17">
        <v>1.50562</v>
      </c>
      <c r="X55" s="17">
        <v>1.5030300000000001</v>
      </c>
      <c r="Y55" s="17">
        <v>1.5028999999999999</v>
      </c>
      <c r="Z55" s="17">
        <v>1.5022599999999999</v>
      </c>
      <c r="AA55" s="17">
        <v>1.49918</v>
      </c>
      <c r="AB55" s="17">
        <v>1.5027999999999999</v>
      </c>
      <c r="AC55" s="17">
        <v>1.50102</v>
      </c>
      <c r="AD55" s="17">
        <v>1.49743</v>
      </c>
      <c r="AE55" s="17">
        <v>1.49979</v>
      </c>
      <c r="AF55" s="17">
        <v>1.49763</v>
      </c>
      <c r="AG55" s="17">
        <v>1.5024200000000001</v>
      </c>
      <c r="AH55" s="17">
        <v>1.50204</v>
      </c>
      <c r="AI55" s="17">
        <v>1.4973399999999999</v>
      </c>
      <c r="AJ55" s="17">
        <v>1.50213</v>
      </c>
      <c r="AK55" s="17">
        <v>1.49966</v>
      </c>
      <c r="AL55" s="17">
        <v>1.5000500000000001</v>
      </c>
      <c r="AM55" s="17">
        <v>1.4977799999999999</v>
      </c>
      <c r="AN55" s="17">
        <v>1.5011000000000001</v>
      </c>
      <c r="AO55" s="17"/>
      <c r="AP55" s="17"/>
      <c r="AQ55" s="17"/>
      <c r="AR55" s="17"/>
      <c r="AS55" s="17"/>
      <c r="AT55" s="17"/>
      <c r="AU55" s="17"/>
      <c r="AV55" s="17"/>
      <c r="AW55" s="17"/>
      <c r="AX55" s="17"/>
      <c r="AY55" s="17"/>
      <c r="AZ55" s="17"/>
      <c r="BA55" s="17"/>
      <c r="BB55" s="17"/>
      <c r="BC55" s="17"/>
      <c r="BD55" s="17"/>
      <c r="BE55" s="17"/>
      <c r="BF55" s="17"/>
      <c r="BG55" s="17"/>
      <c r="BH55" s="17"/>
      <c r="BI55" s="17"/>
      <c r="BJ55" s="17"/>
      <c r="BK55" s="17"/>
      <c r="BL55" s="17"/>
      <c r="BM55" s="17"/>
      <c r="BN55" s="17"/>
      <c r="BO55" s="17"/>
      <c r="BP55" s="17"/>
      <c r="BQ55" s="17"/>
      <c r="BR55" s="17"/>
      <c r="BS55" s="17"/>
      <c r="BT55" s="17"/>
      <c r="BU55" s="17"/>
      <c r="BV55" s="17"/>
      <c r="BW55" s="17"/>
      <c r="BX55" s="17"/>
      <c r="BY55" s="17"/>
      <c r="BZ55" s="17"/>
      <c r="CA55" s="17"/>
      <c r="CB55" s="17"/>
      <c r="CC55" s="17"/>
      <c r="CD55" s="17"/>
      <c r="CE55" s="17"/>
      <c r="CF55" s="17"/>
      <c r="CG55" s="17"/>
      <c r="CH55" s="17"/>
      <c r="CI55" s="17"/>
      <c r="CJ55" s="17"/>
      <c r="CK55" s="17"/>
      <c r="CL55" s="17"/>
      <c r="CM55" s="17"/>
      <c r="CN55" s="17"/>
      <c r="CO55" s="17"/>
      <c r="CP55" s="17"/>
      <c r="CQ55" s="17"/>
      <c r="CR55" s="17"/>
      <c r="CS55" s="17"/>
      <c r="CT55" s="17"/>
      <c r="CU55" s="17"/>
      <c r="CV55" s="17"/>
    </row>
    <row r="56" spans="1:100" x14ac:dyDescent="0.35">
      <c r="B56" s="9" t="s">
        <v>462</v>
      </c>
      <c r="C56" t="s">
        <v>230</v>
      </c>
      <c r="D56" t="s">
        <v>325</v>
      </c>
      <c r="E56" t="s">
        <v>326</v>
      </c>
      <c r="F56" s="17">
        <v>0</v>
      </c>
      <c r="G56" s="17">
        <v>1</v>
      </c>
      <c r="H56" s="17">
        <v>1</v>
      </c>
      <c r="I56" s="17">
        <v>1</v>
      </c>
      <c r="J56" s="17">
        <v>1</v>
      </c>
      <c r="K56" s="17">
        <v>1</v>
      </c>
      <c r="L56" s="17">
        <v>1</v>
      </c>
      <c r="M56" s="17">
        <v>1</v>
      </c>
      <c r="N56" s="17">
        <v>1</v>
      </c>
      <c r="O56" s="17">
        <v>1</v>
      </c>
      <c r="P56" s="17">
        <v>1</v>
      </c>
      <c r="Q56" s="17">
        <v>1</v>
      </c>
      <c r="R56" s="17">
        <v>1</v>
      </c>
      <c r="S56" s="17">
        <v>1</v>
      </c>
      <c r="T56" s="17">
        <v>1</v>
      </c>
      <c r="U56" s="17">
        <v>1</v>
      </c>
      <c r="V56" s="17">
        <v>1</v>
      </c>
      <c r="W56" s="17">
        <v>1</v>
      </c>
      <c r="X56" s="17">
        <v>1</v>
      </c>
      <c r="Y56" s="17">
        <v>1</v>
      </c>
      <c r="Z56" s="17">
        <v>1</v>
      </c>
      <c r="AA56" s="17">
        <v>1</v>
      </c>
      <c r="AB56" s="17">
        <v>1</v>
      </c>
      <c r="AC56" s="17">
        <v>1</v>
      </c>
      <c r="AD56" s="17">
        <v>1</v>
      </c>
      <c r="AE56" s="17">
        <v>1</v>
      </c>
      <c r="AF56" s="17">
        <v>1</v>
      </c>
      <c r="AG56" s="17">
        <v>1</v>
      </c>
      <c r="AH56" s="17">
        <v>1</v>
      </c>
      <c r="AI56" s="17">
        <v>1</v>
      </c>
      <c r="AJ56" s="17">
        <v>1</v>
      </c>
      <c r="AK56" s="17">
        <v>1</v>
      </c>
      <c r="AL56" s="17">
        <v>1</v>
      </c>
      <c r="AM56" s="17">
        <v>1</v>
      </c>
      <c r="AN56" s="17">
        <v>1</v>
      </c>
      <c r="AO56" s="17"/>
      <c r="AP56" s="17"/>
      <c r="AQ56" s="17"/>
      <c r="AR56" s="17"/>
      <c r="AS56" s="17"/>
      <c r="AT56" s="17"/>
      <c r="AU56" s="17"/>
      <c r="AV56" s="17"/>
      <c r="AW56" s="17"/>
      <c r="AX56" s="17"/>
      <c r="AY56" s="17"/>
      <c r="AZ56" s="17"/>
      <c r="BA56" s="17"/>
      <c r="BB56" s="17"/>
      <c r="BC56" s="17"/>
      <c r="BD56" s="17"/>
      <c r="BE56" s="17"/>
      <c r="BF56" s="17"/>
      <c r="BG56" s="17"/>
      <c r="BH56" s="17"/>
      <c r="BI56" s="17"/>
      <c r="BJ56" s="17"/>
      <c r="BK56" s="17"/>
      <c r="BL56" s="17"/>
      <c r="BM56" s="17"/>
      <c r="BN56" s="17"/>
      <c r="BO56" s="17"/>
      <c r="BP56" s="17"/>
      <c r="BQ56" s="17"/>
      <c r="BR56" s="17"/>
      <c r="BS56" s="17"/>
      <c r="BT56" s="17"/>
      <c r="BU56" s="17"/>
      <c r="BV56" s="17"/>
      <c r="BW56" s="17"/>
      <c r="BX56" s="17"/>
      <c r="BY56" s="17"/>
      <c r="BZ56" s="17"/>
      <c r="CA56" s="17"/>
      <c r="CB56" s="17"/>
      <c r="CC56" s="17"/>
      <c r="CD56" s="17"/>
      <c r="CE56" s="17"/>
      <c r="CF56" s="17"/>
      <c r="CG56" s="17"/>
      <c r="CH56" s="17"/>
      <c r="CI56" s="17"/>
      <c r="CJ56" s="17"/>
      <c r="CK56" s="17"/>
      <c r="CL56" s="17"/>
      <c r="CM56" s="17"/>
      <c r="CN56" s="17"/>
      <c r="CO56" s="17"/>
      <c r="CP56" s="17"/>
      <c r="CQ56" s="17"/>
      <c r="CR56" s="17"/>
      <c r="CS56" s="17"/>
      <c r="CT56" s="17"/>
      <c r="CU56" s="17"/>
      <c r="CV56" s="17"/>
    </row>
    <row r="57" spans="1:100" x14ac:dyDescent="0.35">
      <c r="B57" s="9" t="s">
        <v>463</v>
      </c>
      <c r="C57" t="s">
        <v>230</v>
      </c>
      <c r="D57" t="s">
        <v>327</v>
      </c>
      <c r="E57" t="s">
        <v>326</v>
      </c>
      <c r="F57" s="17">
        <v>0</v>
      </c>
      <c r="G57" s="17">
        <v>1</v>
      </c>
      <c r="H57" s="17">
        <v>1</v>
      </c>
      <c r="I57" s="17">
        <v>1</v>
      </c>
      <c r="J57" s="17">
        <v>1</v>
      </c>
      <c r="K57" s="17">
        <v>1</v>
      </c>
      <c r="L57" s="17">
        <v>1</v>
      </c>
      <c r="M57" s="17">
        <v>1</v>
      </c>
      <c r="N57" s="17">
        <v>1</v>
      </c>
      <c r="O57" s="17">
        <v>1</v>
      </c>
      <c r="P57" s="17">
        <v>1</v>
      </c>
      <c r="Q57" s="17">
        <v>1</v>
      </c>
      <c r="R57" s="17">
        <v>1</v>
      </c>
      <c r="S57" s="17">
        <v>1</v>
      </c>
      <c r="T57" s="17">
        <v>1</v>
      </c>
      <c r="U57" s="17">
        <v>1</v>
      </c>
      <c r="V57" s="17">
        <v>1</v>
      </c>
      <c r="W57" s="17">
        <v>1</v>
      </c>
      <c r="X57" s="17">
        <v>1</v>
      </c>
      <c r="Y57" s="17">
        <v>1</v>
      </c>
      <c r="Z57" s="17">
        <v>1</v>
      </c>
      <c r="AA57" s="17">
        <v>1</v>
      </c>
      <c r="AB57" s="17">
        <v>1</v>
      </c>
      <c r="AC57" s="17">
        <v>1</v>
      </c>
      <c r="AD57" s="17">
        <v>1</v>
      </c>
      <c r="AE57" s="17">
        <v>1</v>
      </c>
      <c r="AF57" s="17">
        <v>1</v>
      </c>
      <c r="AG57" s="17">
        <v>1</v>
      </c>
      <c r="AH57" s="17">
        <v>1</v>
      </c>
      <c r="AI57" s="17">
        <v>1</v>
      </c>
      <c r="AJ57" s="17">
        <v>1</v>
      </c>
      <c r="AK57" s="17">
        <v>1</v>
      </c>
      <c r="AL57" s="17">
        <v>1</v>
      </c>
      <c r="AM57" s="17">
        <v>1</v>
      </c>
      <c r="AN57" s="17">
        <v>1</v>
      </c>
      <c r="AO57" s="17"/>
      <c r="AP57" s="17"/>
      <c r="AQ57" s="17"/>
      <c r="AR57" s="17"/>
      <c r="AS57" s="17"/>
      <c r="AT57" s="17"/>
      <c r="AU57" s="17"/>
      <c r="AV57" s="17"/>
      <c r="AW57" s="17"/>
      <c r="AX57" s="17"/>
      <c r="AY57" s="17"/>
      <c r="AZ57" s="17"/>
      <c r="BA57" s="17"/>
      <c r="BB57" s="17"/>
      <c r="BC57" s="17"/>
      <c r="BD57" s="17"/>
      <c r="BE57" s="17"/>
      <c r="BF57" s="17"/>
      <c r="BG57" s="17"/>
      <c r="BH57" s="17"/>
      <c r="BI57" s="17"/>
      <c r="BJ57" s="17"/>
      <c r="BK57" s="17"/>
      <c r="BL57" s="17"/>
      <c r="BM57" s="17"/>
      <c r="BN57" s="17"/>
      <c r="BO57" s="17"/>
      <c r="BP57" s="17"/>
      <c r="BQ57" s="17"/>
      <c r="BR57" s="17"/>
      <c r="BS57" s="17"/>
      <c r="BT57" s="17"/>
      <c r="BU57" s="17"/>
      <c r="BV57" s="17"/>
      <c r="BW57" s="17"/>
      <c r="BX57" s="17"/>
      <c r="BY57" s="17"/>
      <c r="BZ57" s="17"/>
      <c r="CA57" s="17"/>
      <c r="CB57" s="17"/>
      <c r="CC57" s="17"/>
      <c r="CD57" s="17"/>
      <c r="CE57" s="17"/>
      <c r="CF57" s="17"/>
      <c r="CG57" s="17"/>
      <c r="CH57" s="17"/>
      <c r="CI57" s="17"/>
      <c r="CJ57" s="17"/>
      <c r="CK57" s="17"/>
      <c r="CL57" s="17"/>
      <c r="CM57" s="17"/>
      <c r="CN57" s="17"/>
      <c r="CO57" s="17"/>
      <c r="CP57" s="17"/>
      <c r="CQ57" s="17"/>
      <c r="CR57" s="17"/>
      <c r="CS57" s="17"/>
      <c r="CT57" s="17"/>
      <c r="CU57" s="17"/>
      <c r="CV57" s="17"/>
    </row>
    <row r="58" spans="1:100" x14ac:dyDescent="0.35">
      <c r="B58" s="9" t="s">
        <v>143</v>
      </c>
      <c r="C58" t="s">
        <v>338</v>
      </c>
      <c r="D58" t="s">
        <v>328</v>
      </c>
      <c r="E58" t="s">
        <v>217</v>
      </c>
      <c r="F58" s="17">
        <v>0</v>
      </c>
      <c r="G58" s="17">
        <v>489.54003999999998</v>
      </c>
      <c r="H58" s="17">
        <v>503.85329000000002</v>
      </c>
      <c r="I58" s="17">
        <v>487.66232000000002</v>
      </c>
      <c r="J58" s="17">
        <v>457.95686000000001</v>
      </c>
      <c r="K58" s="17">
        <v>480.12279999999998</v>
      </c>
      <c r="L58" s="17">
        <v>469.78165999999999</v>
      </c>
      <c r="M58" s="17">
        <v>463.89123000000001</v>
      </c>
      <c r="N58" s="17">
        <v>430.86273</v>
      </c>
      <c r="O58" s="17">
        <v>408.52132999999998</v>
      </c>
      <c r="P58" s="17">
        <v>397.11975000000001</v>
      </c>
      <c r="Q58" s="17">
        <v>406.57877000000002</v>
      </c>
      <c r="R58" s="17">
        <v>398.36655000000002</v>
      </c>
      <c r="S58" s="17">
        <v>384.59582</v>
      </c>
      <c r="T58" s="17">
        <v>386.48894999999999</v>
      </c>
      <c r="U58" s="17">
        <v>379.42750999999998</v>
      </c>
      <c r="V58" s="17">
        <v>370.26202999999998</v>
      </c>
      <c r="W58" s="17">
        <v>371.64427000000001</v>
      </c>
      <c r="X58" s="17">
        <v>353.56393000000003</v>
      </c>
      <c r="Y58" s="17">
        <v>345.83881000000002</v>
      </c>
      <c r="Z58" s="17">
        <v>337.11173000000002</v>
      </c>
      <c r="AA58" s="17">
        <v>329.30412999999999</v>
      </c>
      <c r="AB58" s="17">
        <v>316.44582000000003</v>
      </c>
      <c r="AC58" s="17">
        <v>322.66595999999998</v>
      </c>
      <c r="AD58" s="17">
        <v>318.33890000000002</v>
      </c>
      <c r="AE58" s="17">
        <v>306.14492999999999</v>
      </c>
      <c r="AF58" s="17">
        <v>298.61306999999999</v>
      </c>
      <c r="AG58" s="17">
        <v>305.33843000000002</v>
      </c>
      <c r="AH58" s="17">
        <v>305.05194</v>
      </c>
      <c r="AI58" s="17">
        <v>307.76423999999997</v>
      </c>
      <c r="AJ58" s="17">
        <v>297.60264999999998</v>
      </c>
      <c r="AK58" s="17">
        <v>303.78251</v>
      </c>
      <c r="AL58" s="17">
        <v>306.45494000000002</v>
      </c>
      <c r="AM58" s="17">
        <v>312.19565999999998</v>
      </c>
      <c r="AN58" s="17">
        <v>312.12792000000002</v>
      </c>
      <c r="AO58" s="17"/>
      <c r="AP58" s="17"/>
      <c r="AQ58" s="17"/>
      <c r="AR58" s="17"/>
      <c r="AS58" s="17"/>
      <c r="AT58" s="17"/>
      <c r="AU58" s="17"/>
      <c r="AV58" s="17"/>
      <c r="AW58" s="17"/>
      <c r="AX58" s="17"/>
      <c r="AY58" s="17"/>
      <c r="AZ58" s="17"/>
      <c r="BA58" s="17"/>
      <c r="BB58" s="17"/>
      <c r="BC58" s="17"/>
      <c r="BD58" s="17"/>
      <c r="BE58" s="17"/>
      <c r="BF58" s="17"/>
      <c r="BG58" s="17"/>
      <c r="BH58" s="17"/>
      <c r="BI58" s="17"/>
      <c r="BJ58" s="17"/>
      <c r="BK58" s="17"/>
      <c r="BL58" s="17"/>
      <c r="BM58" s="17"/>
      <c r="BN58" s="17"/>
      <c r="BO58" s="17"/>
      <c r="BP58" s="17"/>
      <c r="BQ58" s="17"/>
      <c r="BR58" s="17"/>
      <c r="BS58" s="17"/>
      <c r="BT58" s="17"/>
      <c r="BU58" s="17"/>
      <c r="BV58" s="17"/>
      <c r="BW58" s="17"/>
      <c r="BX58" s="17"/>
      <c r="BY58" s="17"/>
      <c r="BZ58" s="17"/>
      <c r="CA58" s="17"/>
      <c r="CB58" s="17"/>
      <c r="CC58" s="17"/>
      <c r="CD58" s="17"/>
      <c r="CE58" s="17"/>
      <c r="CF58" s="17"/>
      <c r="CG58" s="17"/>
      <c r="CH58" s="17"/>
      <c r="CI58" s="17"/>
      <c r="CJ58" s="17"/>
      <c r="CK58" s="17"/>
      <c r="CL58" s="17"/>
      <c r="CM58" s="17"/>
      <c r="CN58" s="17"/>
      <c r="CO58" s="17"/>
      <c r="CP58" s="17"/>
      <c r="CQ58" s="17"/>
      <c r="CR58" s="17"/>
      <c r="CS58" s="17"/>
      <c r="CT58" s="17"/>
      <c r="CU58" s="17"/>
      <c r="CV58" s="17"/>
    </row>
    <row r="59" spans="1:100" x14ac:dyDescent="0.35">
      <c r="B59" s="9"/>
      <c r="C59" t="s">
        <v>230</v>
      </c>
      <c r="D59" t="s">
        <v>329</v>
      </c>
      <c r="E59" t="s">
        <v>217</v>
      </c>
      <c r="F59" s="17">
        <v>0</v>
      </c>
      <c r="G59" s="17">
        <v>-80.875159999999994</v>
      </c>
      <c r="H59" s="17">
        <v>-97.064909999999998</v>
      </c>
      <c r="I59" s="17">
        <v>-73.914580000000001</v>
      </c>
      <c r="J59" s="17">
        <v>-56.282980000000002</v>
      </c>
      <c r="K59" s="17">
        <v>-34.384689999999999</v>
      </c>
      <c r="L59" s="17">
        <v>-29.736000000000001</v>
      </c>
      <c r="M59" s="17">
        <v>-20.693950000000001</v>
      </c>
      <c r="N59" s="17">
        <v>-14.94847</v>
      </c>
      <c r="O59" s="17">
        <v>-1.8301799999999999</v>
      </c>
      <c r="P59" s="17">
        <v>-0.15936</v>
      </c>
      <c r="Q59" s="17">
        <v>-0.99319999999999997</v>
      </c>
      <c r="R59" s="17">
        <v>-0.54122999999999999</v>
      </c>
      <c r="S59" s="17">
        <v>-0.90107999999999999</v>
      </c>
      <c r="T59" s="17">
        <v>-1.5612200000000001</v>
      </c>
      <c r="U59" s="17">
        <v>-0.99173999999999995</v>
      </c>
      <c r="V59" s="17">
        <v>-2.7965100000000001</v>
      </c>
      <c r="W59" s="17">
        <v>-6.78782</v>
      </c>
      <c r="X59" s="17">
        <v>-3.3304999999999998</v>
      </c>
      <c r="Y59" s="17">
        <v>-2.0404599999999999</v>
      </c>
      <c r="Z59" s="17">
        <v>-4.0460000000000003E-2</v>
      </c>
      <c r="AA59" s="17">
        <v>-4.0460000000000003E-2</v>
      </c>
      <c r="AB59" s="17">
        <v>0</v>
      </c>
      <c r="AC59" s="17">
        <v>0</v>
      </c>
      <c r="AD59" s="17">
        <v>0</v>
      </c>
      <c r="AE59" s="17">
        <v>0</v>
      </c>
      <c r="AF59" s="17">
        <v>0</v>
      </c>
      <c r="AG59" s="17">
        <v>0</v>
      </c>
      <c r="AH59" s="17">
        <v>0</v>
      </c>
      <c r="AI59" s="17">
        <v>0</v>
      </c>
      <c r="AJ59" s="17">
        <v>0</v>
      </c>
      <c r="AK59" s="17">
        <v>0</v>
      </c>
      <c r="AL59" s="17">
        <v>0</v>
      </c>
      <c r="AM59" s="17">
        <v>0</v>
      </c>
      <c r="AN59" s="17">
        <v>0</v>
      </c>
      <c r="AO59" s="17"/>
      <c r="AP59" s="17"/>
      <c r="AQ59" s="17"/>
      <c r="AR59" s="17"/>
      <c r="AS59" s="17"/>
      <c r="AT59" s="17"/>
      <c r="AU59" s="17"/>
      <c r="AV59" s="17"/>
      <c r="AW59" s="17"/>
      <c r="AX59" s="17"/>
      <c r="AY59" s="17"/>
      <c r="AZ59" s="17"/>
      <c r="BA59" s="17"/>
      <c r="BB59" s="17"/>
      <c r="BC59" s="17"/>
      <c r="BD59" s="17"/>
      <c r="BE59" s="17"/>
      <c r="BF59" s="17"/>
      <c r="BG59" s="17"/>
      <c r="BH59" s="17"/>
      <c r="BI59" s="17"/>
      <c r="BJ59" s="17"/>
      <c r="BK59" s="17"/>
      <c r="BL59" s="17"/>
      <c r="BM59" s="17"/>
      <c r="BN59" s="17"/>
      <c r="BO59" s="17"/>
      <c r="BP59" s="17"/>
      <c r="BQ59" s="17"/>
      <c r="BR59" s="17"/>
      <c r="BS59" s="17"/>
      <c r="BT59" s="17"/>
      <c r="BU59" s="17"/>
      <c r="BV59" s="17"/>
      <c r="BW59" s="17"/>
      <c r="BX59" s="17"/>
      <c r="BY59" s="17"/>
      <c r="BZ59" s="17"/>
      <c r="CA59" s="17"/>
      <c r="CB59" s="17"/>
      <c r="CC59" s="17"/>
      <c r="CD59" s="17"/>
      <c r="CE59" s="17"/>
      <c r="CF59" s="17"/>
      <c r="CG59" s="17"/>
      <c r="CH59" s="17"/>
      <c r="CI59" s="17"/>
      <c r="CJ59" s="17"/>
      <c r="CK59" s="17"/>
      <c r="CL59" s="17"/>
      <c r="CM59" s="17"/>
      <c r="CN59" s="17"/>
      <c r="CO59" s="17"/>
      <c r="CP59" s="17"/>
      <c r="CQ59" s="17"/>
      <c r="CR59" s="17"/>
      <c r="CS59" s="17"/>
      <c r="CT59" s="17"/>
      <c r="CU59" s="17"/>
      <c r="CV59" s="17"/>
    </row>
    <row r="60" spans="1:100" x14ac:dyDescent="0.35">
      <c r="B60" s="9"/>
      <c r="C60" t="s">
        <v>230</v>
      </c>
      <c r="D60" t="s">
        <v>330</v>
      </c>
      <c r="E60" t="s">
        <v>217</v>
      </c>
      <c r="F60" s="17">
        <v>0</v>
      </c>
      <c r="G60" s="17">
        <v>212.09455</v>
      </c>
      <c r="H60" s="17">
        <v>256.76100000000002</v>
      </c>
      <c r="I60" s="17">
        <v>272.24345</v>
      </c>
      <c r="J60" s="17">
        <v>314.48084</v>
      </c>
      <c r="K60" s="17">
        <v>328.49761000000001</v>
      </c>
      <c r="L60" s="17">
        <v>304.46868999999998</v>
      </c>
      <c r="M60" s="17">
        <v>336.13384000000002</v>
      </c>
      <c r="N60" s="17">
        <v>343.59548000000001</v>
      </c>
      <c r="O60" s="17">
        <v>306.62605000000002</v>
      </c>
      <c r="P60" s="17">
        <v>354.25204000000002</v>
      </c>
      <c r="Q60" s="17">
        <v>385.82817999999997</v>
      </c>
      <c r="R60" s="17">
        <v>377.11977999999999</v>
      </c>
      <c r="S60" s="17">
        <v>381.66496000000001</v>
      </c>
      <c r="T60" s="17">
        <v>380.17617999999999</v>
      </c>
      <c r="U60" s="17">
        <v>394.20429000000001</v>
      </c>
      <c r="V60" s="17">
        <v>400.39616000000001</v>
      </c>
      <c r="W60" s="17">
        <v>418.01558999999997</v>
      </c>
      <c r="X60" s="17">
        <v>408.43871999999999</v>
      </c>
      <c r="Y60" s="17">
        <v>412.67624000000001</v>
      </c>
      <c r="Z60" s="17">
        <v>403.40895</v>
      </c>
      <c r="AA60" s="17">
        <v>417.64963999999998</v>
      </c>
      <c r="AB60" s="17">
        <v>427.32425999999998</v>
      </c>
      <c r="AC60" s="17">
        <v>424.38083999999998</v>
      </c>
      <c r="AD60" s="17">
        <v>425.55025999999998</v>
      </c>
      <c r="AE60" s="17">
        <v>436.57263</v>
      </c>
      <c r="AF60" s="17">
        <v>439.4726</v>
      </c>
      <c r="AG60" s="17">
        <v>435.61183</v>
      </c>
      <c r="AH60" s="17">
        <v>445.06648999999999</v>
      </c>
      <c r="AI60" s="17">
        <v>437.44317000000001</v>
      </c>
      <c r="AJ60" s="17">
        <v>447.5419</v>
      </c>
      <c r="AK60" s="17">
        <v>456.58647999999999</v>
      </c>
      <c r="AL60" s="17">
        <v>444.41208999999998</v>
      </c>
      <c r="AM60" s="17">
        <v>432.22246999999999</v>
      </c>
      <c r="AN60" s="17">
        <v>437.05171999999999</v>
      </c>
      <c r="AO60" s="17"/>
      <c r="AP60" s="17"/>
      <c r="AQ60" s="17"/>
      <c r="AR60" s="17"/>
      <c r="AS60" s="17"/>
      <c r="AT60" s="17"/>
      <c r="AU60" s="17"/>
      <c r="AV60" s="17"/>
      <c r="AW60" s="17"/>
      <c r="AX60" s="17"/>
      <c r="AY60" s="17"/>
      <c r="AZ60" s="17"/>
      <c r="BA60" s="17"/>
      <c r="BB60" s="17"/>
      <c r="BC60" s="17"/>
      <c r="BD60" s="17"/>
      <c r="BE60" s="17"/>
      <c r="BF60" s="17"/>
      <c r="BG60" s="17"/>
      <c r="BH60" s="17"/>
      <c r="BI60" s="17"/>
      <c r="BJ60" s="17"/>
      <c r="BK60" s="17"/>
      <c r="BL60" s="17"/>
      <c r="BM60" s="17"/>
      <c r="BN60" s="17"/>
      <c r="BO60" s="17"/>
      <c r="BP60" s="17"/>
      <c r="BQ60" s="17"/>
      <c r="BR60" s="17"/>
      <c r="BS60" s="17"/>
      <c r="BT60" s="17"/>
      <c r="BU60" s="17"/>
      <c r="BV60" s="17"/>
      <c r="BW60" s="17"/>
      <c r="BX60" s="17"/>
      <c r="BY60" s="17"/>
      <c r="BZ60" s="17"/>
      <c r="CA60" s="17"/>
      <c r="CB60" s="17"/>
      <c r="CC60" s="17"/>
      <c r="CD60" s="17"/>
      <c r="CE60" s="17"/>
      <c r="CF60" s="17"/>
      <c r="CG60" s="17"/>
      <c r="CH60" s="17"/>
      <c r="CI60" s="17"/>
      <c r="CJ60" s="17"/>
      <c r="CK60" s="17"/>
      <c r="CL60" s="17"/>
      <c r="CM60" s="17"/>
      <c r="CN60" s="17"/>
      <c r="CO60" s="17"/>
      <c r="CP60" s="17"/>
      <c r="CQ60" s="17"/>
      <c r="CR60" s="17"/>
      <c r="CS60" s="17"/>
      <c r="CT60" s="17"/>
      <c r="CU60" s="17"/>
      <c r="CV60" s="17"/>
    </row>
    <row r="61" spans="1:100" x14ac:dyDescent="0.35">
      <c r="B61" s="9"/>
      <c r="C61" t="s">
        <v>230</v>
      </c>
      <c r="D61" t="s">
        <v>331</v>
      </c>
      <c r="E61" t="s">
        <v>217</v>
      </c>
      <c r="F61" s="17">
        <v>0</v>
      </c>
      <c r="G61" s="17">
        <v>-107.41202</v>
      </c>
      <c r="H61" s="17">
        <v>-121.60319</v>
      </c>
      <c r="I61" s="17">
        <v>-126.74762</v>
      </c>
      <c r="J61" s="17">
        <v>-115.91724000000001</v>
      </c>
      <c r="K61" s="17">
        <v>-122.07661</v>
      </c>
      <c r="L61" s="17">
        <v>-125.03628</v>
      </c>
      <c r="M61" s="17">
        <v>-135.82703000000001</v>
      </c>
      <c r="N61" s="17">
        <v>-153.40714</v>
      </c>
      <c r="O61" s="17">
        <v>-159.50107</v>
      </c>
      <c r="P61" s="17">
        <v>-158.37013999999999</v>
      </c>
      <c r="Q61" s="17">
        <v>-128.39434</v>
      </c>
      <c r="R61" s="17">
        <v>-132.45319000000001</v>
      </c>
      <c r="S61" s="17">
        <v>-125.63164</v>
      </c>
      <c r="T61" s="17">
        <v>-137.82459</v>
      </c>
      <c r="U61" s="17">
        <v>-129.19226</v>
      </c>
      <c r="V61" s="17">
        <v>-117.88030000000001</v>
      </c>
      <c r="W61" s="17">
        <v>-122.81034</v>
      </c>
      <c r="X61" s="17">
        <v>-120.78833</v>
      </c>
      <c r="Y61" s="17">
        <v>-113.24749</v>
      </c>
      <c r="Z61" s="17">
        <v>-122.155</v>
      </c>
      <c r="AA61" s="17">
        <v>-116.28626</v>
      </c>
      <c r="AB61" s="17">
        <v>-110.49865</v>
      </c>
      <c r="AC61" s="17">
        <v>-112.11544000000001</v>
      </c>
      <c r="AD61" s="17">
        <v>-112.85330999999999</v>
      </c>
      <c r="AE61" s="17">
        <v>-107.30765</v>
      </c>
      <c r="AF61" s="17">
        <v>-112.73841</v>
      </c>
      <c r="AG61" s="17">
        <v>-111.44394</v>
      </c>
      <c r="AH61" s="17">
        <v>-109.91630000000001</v>
      </c>
      <c r="AI61" s="17">
        <v>-105.17894</v>
      </c>
      <c r="AJ61" s="17">
        <v>-101.25588999999999</v>
      </c>
      <c r="AK61" s="17">
        <v>-106.45999</v>
      </c>
      <c r="AL61" s="17">
        <v>-113.69293</v>
      </c>
      <c r="AM61" s="17">
        <v>-121.10930999999999</v>
      </c>
      <c r="AN61" s="17">
        <v>-131.25928999999999</v>
      </c>
      <c r="AO61" s="17"/>
      <c r="AP61" s="17"/>
      <c r="AQ61" s="17"/>
      <c r="AR61" s="17"/>
      <c r="AS61" s="17"/>
      <c r="AT61" s="17"/>
      <c r="AU61" s="17"/>
      <c r="AV61" s="17"/>
      <c r="AW61" s="17"/>
      <c r="AX61" s="17"/>
      <c r="AY61" s="17"/>
      <c r="AZ61" s="17"/>
      <c r="BA61" s="17"/>
      <c r="BB61" s="17"/>
      <c r="BC61" s="17"/>
      <c r="BD61" s="17"/>
      <c r="BE61" s="17"/>
      <c r="BF61" s="17"/>
      <c r="BG61" s="17"/>
      <c r="BH61" s="17"/>
      <c r="BI61" s="17"/>
      <c r="BJ61" s="17"/>
      <c r="BK61" s="17"/>
      <c r="BL61" s="17"/>
      <c r="BM61" s="17"/>
      <c r="BN61" s="17"/>
      <c r="BO61" s="17"/>
      <c r="BP61" s="17"/>
      <c r="BQ61" s="17"/>
      <c r="BR61" s="17"/>
      <c r="BS61" s="17"/>
      <c r="BT61" s="17"/>
      <c r="BU61" s="17"/>
      <c r="BV61" s="17"/>
      <c r="BW61" s="17"/>
      <c r="BX61" s="17"/>
      <c r="BY61" s="17"/>
      <c r="BZ61" s="17"/>
      <c r="CA61" s="17"/>
      <c r="CB61" s="17"/>
      <c r="CC61" s="17"/>
      <c r="CD61" s="17"/>
      <c r="CE61" s="17"/>
      <c r="CF61" s="17"/>
      <c r="CG61" s="17"/>
      <c r="CH61" s="17"/>
      <c r="CI61" s="17"/>
      <c r="CJ61" s="17"/>
      <c r="CK61" s="17"/>
      <c r="CL61" s="17"/>
      <c r="CM61" s="17"/>
      <c r="CN61" s="17"/>
      <c r="CO61" s="17"/>
      <c r="CP61" s="17"/>
      <c r="CQ61" s="17"/>
      <c r="CR61" s="17"/>
      <c r="CS61" s="17"/>
      <c r="CT61" s="17"/>
      <c r="CU61" s="17"/>
      <c r="CV61" s="17"/>
    </row>
    <row r="62" spans="1:100" x14ac:dyDescent="0.35">
      <c r="B62" s="9"/>
      <c r="C62" t="s">
        <v>230</v>
      </c>
      <c r="D62" t="s">
        <v>332</v>
      </c>
      <c r="E62" t="s">
        <v>217</v>
      </c>
      <c r="F62" s="17">
        <v>0</v>
      </c>
      <c r="G62" s="17">
        <v>399.60908000000001</v>
      </c>
      <c r="H62" s="17">
        <v>335.00691999999998</v>
      </c>
      <c r="I62" s="17">
        <v>335.06529999999998</v>
      </c>
      <c r="J62" s="17">
        <v>325.8057</v>
      </c>
      <c r="K62" s="17">
        <v>285.27062000000001</v>
      </c>
      <c r="L62" s="17">
        <v>326.60957000000002</v>
      </c>
      <c r="M62" s="17">
        <v>296.3621</v>
      </c>
      <c r="N62" s="17">
        <v>321.24439999999998</v>
      </c>
      <c r="O62" s="17">
        <v>381.62416999999999</v>
      </c>
      <c r="P62" s="17">
        <v>348.45666</v>
      </c>
      <c r="Q62" s="17">
        <v>306.72228000000001</v>
      </c>
      <c r="R62" s="17">
        <v>318.37588</v>
      </c>
      <c r="S62" s="17">
        <v>324.18878000000001</v>
      </c>
      <c r="T62" s="17">
        <v>331.10059999999999</v>
      </c>
      <c r="U62" s="17">
        <v>318.04216000000002</v>
      </c>
      <c r="V62" s="17">
        <v>322.04288000000003</v>
      </c>
      <c r="W62" s="17">
        <v>309.43797999999998</v>
      </c>
      <c r="X62" s="17">
        <v>338.21203000000003</v>
      </c>
      <c r="Y62" s="17">
        <v>338.60187999999999</v>
      </c>
      <c r="Z62" s="17">
        <v>356.12788</v>
      </c>
      <c r="AA62" s="17">
        <v>347.4468</v>
      </c>
      <c r="AB62" s="17">
        <v>356.27773000000002</v>
      </c>
      <c r="AC62" s="17">
        <v>348.69312000000002</v>
      </c>
      <c r="AD62" s="17">
        <v>349.23295999999999</v>
      </c>
      <c r="AE62" s="17">
        <v>352.12455999999997</v>
      </c>
      <c r="AF62" s="17">
        <v>358.17818999999997</v>
      </c>
      <c r="AG62" s="17">
        <v>355.81202000000002</v>
      </c>
      <c r="AH62" s="17">
        <v>346.37193000000002</v>
      </c>
      <c r="AI62" s="17">
        <v>347.85102999999998</v>
      </c>
      <c r="AJ62" s="17">
        <v>354.41010999999997</v>
      </c>
      <c r="AK62" s="17">
        <v>334.38445999999999</v>
      </c>
      <c r="AL62" s="17">
        <v>344.16915</v>
      </c>
      <c r="AM62" s="17">
        <v>348.95985000000002</v>
      </c>
      <c r="AN62" s="17">
        <v>349.62331999999998</v>
      </c>
      <c r="AO62" s="17"/>
      <c r="AP62" s="17"/>
      <c r="AQ62" s="17"/>
      <c r="AR62" s="17"/>
      <c r="AS62" s="17"/>
      <c r="AT62" s="17"/>
      <c r="AU62" s="17"/>
      <c r="AV62" s="17"/>
      <c r="AW62" s="17"/>
      <c r="AX62" s="17"/>
      <c r="AY62" s="17"/>
      <c r="AZ62" s="17"/>
      <c r="BA62" s="17"/>
      <c r="BB62" s="17"/>
      <c r="BC62" s="17"/>
      <c r="BD62" s="17"/>
      <c r="BE62" s="17"/>
      <c r="BF62" s="17"/>
      <c r="BG62" s="17"/>
      <c r="BH62" s="17"/>
      <c r="BI62" s="17"/>
      <c r="BJ62" s="17"/>
      <c r="BK62" s="17"/>
      <c r="BL62" s="17"/>
      <c r="BM62" s="17"/>
      <c r="BN62" s="17"/>
      <c r="BO62" s="17"/>
      <c r="BP62" s="17"/>
      <c r="BQ62" s="17"/>
      <c r="BR62" s="17"/>
      <c r="BS62" s="17"/>
      <c r="BT62" s="17"/>
      <c r="BU62" s="17"/>
      <c r="BV62" s="17"/>
      <c r="BW62" s="17"/>
      <c r="BX62" s="17"/>
      <c r="BY62" s="17"/>
      <c r="BZ62" s="17"/>
      <c r="CA62" s="17"/>
      <c r="CB62" s="17"/>
      <c r="CC62" s="17"/>
      <c r="CD62" s="17"/>
      <c r="CE62" s="17"/>
      <c r="CF62" s="17"/>
      <c r="CG62" s="17"/>
      <c r="CH62" s="17"/>
      <c r="CI62" s="17"/>
      <c r="CJ62" s="17"/>
      <c r="CK62" s="17"/>
      <c r="CL62" s="17"/>
      <c r="CM62" s="17"/>
      <c r="CN62" s="17"/>
      <c r="CO62" s="17"/>
      <c r="CP62" s="17"/>
      <c r="CQ62" s="17"/>
      <c r="CR62" s="17"/>
      <c r="CS62" s="17"/>
      <c r="CT62" s="17"/>
      <c r="CU62" s="17"/>
      <c r="CV62" s="17"/>
    </row>
    <row r="63" spans="1:100" x14ac:dyDescent="0.35">
      <c r="B63" s="9"/>
      <c r="C63" t="s">
        <v>230</v>
      </c>
      <c r="D63" t="s">
        <v>333</v>
      </c>
      <c r="E63" t="s">
        <v>217</v>
      </c>
      <c r="F63" s="17">
        <v>0</v>
      </c>
      <c r="G63" s="17">
        <v>-484.05061000000001</v>
      </c>
      <c r="H63" s="17">
        <v>-424.55031000000002</v>
      </c>
      <c r="I63" s="17">
        <v>-450.07911999999999</v>
      </c>
      <c r="J63" s="17">
        <v>-481.43871999999999</v>
      </c>
      <c r="K63" s="17">
        <v>-481.90541999999999</v>
      </c>
      <c r="L63" s="17">
        <v>-496.30739999999997</v>
      </c>
      <c r="M63" s="17">
        <v>-453.15406999999999</v>
      </c>
      <c r="N63" s="17">
        <v>-430.22205000000002</v>
      </c>
      <c r="O63" s="17">
        <v>-424.40827999999999</v>
      </c>
      <c r="P63" s="17">
        <v>-407.43360000000001</v>
      </c>
      <c r="Q63" s="17">
        <v>-477.05813000000001</v>
      </c>
      <c r="R63" s="17">
        <v>-434.29390000000001</v>
      </c>
      <c r="S63" s="17">
        <v>-456.8177</v>
      </c>
      <c r="T63" s="17">
        <v>-429.07877000000002</v>
      </c>
      <c r="U63" s="17">
        <v>-441.43517000000003</v>
      </c>
      <c r="V63" s="17">
        <v>-478.49761000000001</v>
      </c>
      <c r="W63" s="17">
        <v>-429.12583999999998</v>
      </c>
      <c r="X63" s="17">
        <v>-445.74653000000001</v>
      </c>
      <c r="Y63" s="17">
        <v>-475.02864</v>
      </c>
      <c r="Z63" s="17">
        <v>-459.19459999999998</v>
      </c>
      <c r="AA63" s="17">
        <v>-500.02291000000002</v>
      </c>
      <c r="AB63" s="17">
        <v>-552.45712000000003</v>
      </c>
      <c r="AC63" s="17">
        <v>-534.96393999999998</v>
      </c>
      <c r="AD63" s="17">
        <v>-545.73758999999995</v>
      </c>
      <c r="AE63" s="17">
        <v>-567.35170000000005</v>
      </c>
      <c r="AF63" s="17">
        <v>-586.93230000000005</v>
      </c>
      <c r="AG63" s="17">
        <v>-565.56407999999999</v>
      </c>
      <c r="AH63" s="17">
        <v>-563.58383000000003</v>
      </c>
      <c r="AI63" s="17">
        <v>-570.90925000000004</v>
      </c>
      <c r="AJ63" s="17">
        <v>-596.02584000000002</v>
      </c>
      <c r="AK63" s="17">
        <v>-553.93299999999999</v>
      </c>
      <c r="AL63" s="17">
        <v>-530.17747999999995</v>
      </c>
      <c r="AM63" s="17">
        <v>-500.21606000000003</v>
      </c>
      <c r="AN63" s="17">
        <v>-496.65726999999998</v>
      </c>
      <c r="AO63" s="17"/>
      <c r="AP63" s="17"/>
      <c r="AQ63" s="17"/>
      <c r="AR63" s="17"/>
      <c r="AS63" s="17"/>
      <c r="AT63" s="17"/>
      <c r="AU63" s="17"/>
      <c r="AV63" s="17"/>
      <c r="AW63" s="17"/>
      <c r="AX63" s="17"/>
      <c r="AY63" s="17"/>
      <c r="AZ63" s="17"/>
      <c r="BA63" s="17"/>
      <c r="BB63" s="17"/>
      <c r="BC63" s="17"/>
      <c r="BD63" s="17"/>
      <c r="BE63" s="17"/>
      <c r="BF63" s="17"/>
      <c r="BG63" s="17"/>
      <c r="BH63" s="17"/>
      <c r="BI63" s="17"/>
      <c r="BJ63" s="17"/>
      <c r="BK63" s="17"/>
      <c r="BL63" s="17"/>
      <c r="BM63" s="17"/>
      <c r="BN63" s="17"/>
      <c r="BO63" s="17"/>
      <c r="BP63" s="17"/>
      <c r="BQ63" s="17"/>
      <c r="BR63" s="17"/>
      <c r="BS63" s="17"/>
      <c r="BT63" s="17"/>
      <c r="BU63" s="17"/>
      <c r="BV63" s="17"/>
      <c r="BW63" s="17"/>
      <c r="BX63" s="17"/>
      <c r="BY63" s="17"/>
      <c r="BZ63" s="17"/>
      <c r="CA63" s="17"/>
      <c r="CB63" s="17"/>
      <c r="CC63" s="17"/>
      <c r="CD63" s="17"/>
      <c r="CE63" s="17"/>
      <c r="CF63" s="17"/>
      <c r="CG63" s="17"/>
      <c r="CH63" s="17"/>
      <c r="CI63" s="17"/>
      <c r="CJ63" s="17"/>
      <c r="CK63" s="17"/>
      <c r="CL63" s="17"/>
      <c r="CM63" s="17"/>
      <c r="CN63" s="17"/>
      <c r="CO63" s="17"/>
      <c r="CP63" s="17"/>
      <c r="CQ63" s="17"/>
      <c r="CR63" s="17"/>
      <c r="CS63" s="17"/>
      <c r="CT63" s="17"/>
      <c r="CU63" s="17"/>
      <c r="CV63" s="17"/>
    </row>
    <row r="64" spans="1:100" x14ac:dyDescent="0.35">
      <c r="B64" s="9"/>
      <c r="C64" t="s">
        <v>230</v>
      </c>
      <c r="D64" t="s">
        <v>334</v>
      </c>
      <c r="E64" t="s">
        <v>217</v>
      </c>
      <c r="F64" s="17">
        <v>0</v>
      </c>
      <c r="G64" s="17">
        <v>1101.2437600000001</v>
      </c>
      <c r="H64" s="17">
        <v>1095.62122</v>
      </c>
      <c r="I64" s="17">
        <v>1094.9711</v>
      </c>
      <c r="J64" s="17">
        <v>1098.2433100000001</v>
      </c>
      <c r="K64" s="17">
        <v>1093.89112</v>
      </c>
      <c r="L64" s="17">
        <v>1100.85997</v>
      </c>
      <c r="M64" s="17">
        <v>1096.3871899999999</v>
      </c>
      <c r="N64" s="17">
        <v>1095.7026900000001</v>
      </c>
      <c r="O64" s="17">
        <v>1096.7714699999999</v>
      </c>
      <c r="P64" s="17">
        <v>1099.82844</v>
      </c>
      <c r="Q64" s="17">
        <v>1099.1292800000001</v>
      </c>
      <c r="R64" s="17">
        <v>1093.8621800000001</v>
      </c>
      <c r="S64" s="17">
        <v>1090.4494999999999</v>
      </c>
      <c r="T64" s="17">
        <v>1097.7657999999999</v>
      </c>
      <c r="U64" s="17">
        <v>1091.67374</v>
      </c>
      <c r="V64" s="17">
        <v>1092.70108</v>
      </c>
      <c r="W64" s="17">
        <v>1099.0979</v>
      </c>
      <c r="X64" s="17">
        <v>1100.21469</v>
      </c>
      <c r="Y64" s="17">
        <v>1097.1170300000001</v>
      </c>
      <c r="Z64" s="17">
        <v>1096.6485499999999</v>
      </c>
      <c r="AA64" s="17">
        <v>1094.40065</v>
      </c>
      <c r="AB64" s="17">
        <v>1100.04781</v>
      </c>
      <c r="AC64" s="17">
        <v>1095.7400600000001</v>
      </c>
      <c r="AD64" s="17">
        <v>1093.12219</v>
      </c>
      <c r="AE64" s="17">
        <v>1094.8422</v>
      </c>
      <c r="AF64" s="17">
        <v>1096.2639099999999</v>
      </c>
      <c r="AG64" s="17">
        <v>1096.76232</v>
      </c>
      <c r="AH64" s="17">
        <v>1096.49055</v>
      </c>
      <c r="AI64" s="17">
        <v>1093.0585599999999</v>
      </c>
      <c r="AJ64" s="17">
        <v>1099.5547200000001</v>
      </c>
      <c r="AK64" s="17">
        <v>1094.7534700000001</v>
      </c>
      <c r="AL64" s="17">
        <v>1095.03629</v>
      </c>
      <c r="AM64" s="17">
        <v>1093.3780999999999</v>
      </c>
      <c r="AN64" s="17">
        <v>1098.8030000000001</v>
      </c>
      <c r="AO64" s="17"/>
      <c r="AP64" s="17"/>
      <c r="AQ64" s="17"/>
      <c r="AR64" s="17"/>
      <c r="AS64" s="17"/>
      <c r="AT64" s="17"/>
      <c r="AU64" s="17"/>
      <c r="AV64" s="17"/>
      <c r="AW64" s="17"/>
      <c r="AX64" s="17"/>
      <c r="AY64" s="17"/>
      <c r="AZ64" s="17"/>
      <c r="BA64" s="17"/>
      <c r="BB64" s="17"/>
      <c r="BC64" s="17"/>
      <c r="BD64" s="17"/>
      <c r="BE64" s="17"/>
      <c r="BF64" s="17"/>
      <c r="BG64" s="17"/>
      <c r="BH64" s="17"/>
      <c r="BI64" s="17"/>
      <c r="BJ64" s="17"/>
      <c r="BK64" s="17"/>
      <c r="BL64" s="17"/>
      <c r="BM64" s="17"/>
      <c r="BN64" s="17"/>
      <c r="BO64" s="17"/>
      <c r="BP64" s="17"/>
      <c r="BQ64" s="17"/>
      <c r="BR64" s="17"/>
      <c r="BS64" s="17"/>
      <c r="BT64" s="17"/>
      <c r="BU64" s="17"/>
      <c r="BV64" s="17"/>
      <c r="BW64" s="17"/>
      <c r="BX64" s="17"/>
      <c r="BY64" s="17"/>
      <c r="BZ64" s="17"/>
      <c r="CA64" s="17"/>
      <c r="CB64" s="17"/>
      <c r="CC64" s="17"/>
      <c r="CD64" s="17"/>
      <c r="CE64" s="17"/>
      <c r="CF64" s="17"/>
      <c r="CG64" s="17"/>
      <c r="CH64" s="17"/>
      <c r="CI64" s="17"/>
      <c r="CJ64" s="17"/>
      <c r="CK64" s="17"/>
      <c r="CL64" s="17"/>
      <c r="CM64" s="17"/>
      <c r="CN64" s="17"/>
      <c r="CO64" s="17"/>
      <c r="CP64" s="17"/>
      <c r="CQ64" s="17"/>
      <c r="CR64" s="17"/>
      <c r="CS64" s="17"/>
      <c r="CT64" s="17"/>
      <c r="CU64" s="17"/>
      <c r="CV64" s="17"/>
    </row>
    <row r="65" spans="2:100" x14ac:dyDescent="0.35">
      <c r="B65" s="9"/>
      <c r="C65" t="s">
        <v>230</v>
      </c>
      <c r="D65" t="s">
        <v>335</v>
      </c>
      <c r="E65" t="s">
        <v>217</v>
      </c>
      <c r="F65" s="17">
        <v>0</v>
      </c>
      <c r="G65" s="17">
        <v>-672.33775000000003</v>
      </c>
      <c r="H65" s="17">
        <v>-643.21843999999999</v>
      </c>
      <c r="I65" s="17">
        <v>-650.74134000000004</v>
      </c>
      <c r="J65" s="17">
        <v>-653.63892999999996</v>
      </c>
      <c r="K65" s="17">
        <v>-638.36666000000002</v>
      </c>
      <c r="L65" s="17">
        <v>-651.07971999999995</v>
      </c>
      <c r="M65" s="17">
        <v>-609.67507000000001</v>
      </c>
      <c r="N65" s="17">
        <v>-598.57759999999996</v>
      </c>
      <c r="O65" s="17">
        <v>-585.73949000000005</v>
      </c>
      <c r="P65" s="17">
        <v>-565.96316000000002</v>
      </c>
      <c r="Q65" s="17">
        <v>-606.44569000000001</v>
      </c>
      <c r="R65" s="17">
        <v>-567.28828999999996</v>
      </c>
      <c r="S65" s="17">
        <v>-583.35041000000001</v>
      </c>
      <c r="T65" s="17">
        <v>-568.46454000000006</v>
      </c>
      <c r="U65" s="17">
        <v>-571.61919999999998</v>
      </c>
      <c r="V65" s="17">
        <v>-599.17439000000002</v>
      </c>
      <c r="W65" s="17">
        <v>-558.72393</v>
      </c>
      <c r="X65" s="17">
        <v>-569.86537999999996</v>
      </c>
      <c r="Y65" s="17">
        <v>-590.31654000000003</v>
      </c>
      <c r="Z65" s="17">
        <v>-581.39004999999997</v>
      </c>
      <c r="AA65" s="17">
        <v>-616.34964000000002</v>
      </c>
      <c r="AB65" s="17">
        <v>-662.95574999999997</v>
      </c>
      <c r="AC65" s="17">
        <v>-647.07933000000003</v>
      </c>
      <c r="AD65" s="17">
        <v>-658.59094000000005</v>
      </c>
      <c r="AE65" s="17">
        <v>-674.65939000000003</v>
      </c>
      <c r="AF65" s="17">
        <v>-699.67070999999999</v>
      </c>
      <c r="AG65" s="17">
        <v>-677.00800000000004</v>
      </c>
      <c r="AH65" s="17">
        <v>-673.50009</v>
      </c>
      <c r="AI65" s="17">
        <v>-676.08821999999998</v>
      </c>
      <c r="AJ65" s="17">
        <v>-697.28174000000001</v>
      </c>
      <c r="AK65" s="17">
        <v>-660.39296000000002</v>
      </c>
      <c r="AL65" s="17">
        <v>-643.87032999999997</v>
      </c>
      <c r="AM65" s="17">
        <v>-621.32536000000005</v>
      </c>
      <c r="AN65" s="17">
        <v>-627.91657999999995</v>
      </c>
      <c r="AO65" s="17"/>
      <c r="AP65" s="17"/>
      <c r="AQ65" s="17"/>
      <c r="AR65" s="17"/>
      <c r="AS65" s="17"/>
      <c r="AT65" s="17"/>
      <c r="AU65" s="17"/>
      <c r="AV65" s="17"/>
      <c r="AW65" s="17"/>
      <c r="AX65" s="17"/>
      <c r="AY65" s="17"/>
      <c r="AZ65" s="17"/>
      <c r="BA65" s="17"/>
      <c r="BB65" s="17"/>
      <c r="BC65" s="17"/>
      <c r="BD65" s="17"/>
      <c r="BE65" s="17"/>
      <c r="BF65" s="17"/>
      <c r="BG65" s="17"/>
      <c r="BH65" s="17"/>
      <c r="BI65" s="17"/>
      <c r="BJ65" s="17"/>
      <c r="BK65" s="17"/>
      <c r="BL65" s="17"/>
      <c r="BM65" s="17"/>
      <c r="BN65" s="17"/>
      <c r="BO65" s="17"/>
      <c r="BP65" s="17"/>
      <c r="BQ65" s="17"/>
      <c r="BR65" s="17"/>
      <c r="BS65" s="17"/>
      <c r="BT65" s="17"/>
      <c r="BU65" s="17"/>
      <c r="BV65" s="17"/>
      <c r="BW65" s="17"/>
      <c r="BX65" s="17"/>
      <c r="BY65" s="17"/>
      <c r="BZ65" s="17"/>
      <c r="CA65" s="17"/>
      <c r="CB65" s="17"/>
      <c r="CC65" s="17"/>
      <c r="CD65" s="17"/>
      <c r="CE65" s="17"/>
      <c r="CF65" s="17"/>
      <c r="CG65" s="17"/>
      <c r="CH65" s="17"/>
      <c r="CI65" s="17"/>
      <c r="CJ65" s="17"/>
      <c r="CK65" s="17"/>
      <c r="CL65" s="17"/>
      <c r="CM65" s="17"/>
      <c r="CN65" s="17"/>
      <c r="CO65" s="17"/>
      <c r="CP65" s="17"/>
      <c r="CQ65" s="17"/>
      <c r="CR65" s="17"/>
      <c r="CS65" s="17"/>
      <c r="CT65" s="17"/>
      <c r="CU65" s="17"/>
      <c r="CV65" s="17"/>
    </row>
    <row r="66" spans="2:100" x14ac:dyDescent="0.35">
      <c r="B66" s="9"/>
      <c r="D66" t="s">
        <v>336</v>
      </c>
      <c r="E66" t="s">
        <v>217</v>
      </c>
      <c r="F66" s="17">
        <v>0</v>
      </c>
      <c r="G66" s="17">
        <v>-668.79606999999999</v>
      </c>
      <c r="H66" s="17">
        <v>-688.85248999999999</v>
      </c>
      <c r="I66" s="17">
        <v>-682.02615000000003</v>
      </c>
      <c r="J66" s="17">
        <v>-683.17782999999997</v>
      </c>
      <c r="K66" s="17">
        <v>-692.77458999999999</v>
      </c>
      <c r="L66" s="17">
        <v>-688.05215999999996</v>
      </c>
      <c r="M66" s="17">
        <v>-723.59766999999999</v>
      </c>
      <c r="N66" s="17">
        <v>-733.59027000000003</v>
      </c>
      <c r="O66" s="17">
        <v>-747.43295000000001</v>
      </c>
      <c r="P66" s="17">
        <v>-769.65389000000005</v>
      </c>
      <c r="Q66" s="17">
        <v>-730.17439000000002</v>
      </c>
      <c r="R66" s="17">
        <v>-761.84298000000001</v>
      </c>
      <c r="S66" s="17">
        <v>-742.32874000000004</v>
      </c>
      <c r="T66" s="17">
        <v>-764.70986000000005</v>
      </c>
      <c r="U66" s="17">
        <v>-755.33250999999996</v>
      </c>
      <c r="V66" s="17">
        <v>-729.54769999999996</v>
      </c>
      <c r="W66" s="17">
        <v>-776.18143999999995</v>
      </c>
      <c r="X66" s="17">
        <v>-766.33182999999997</v>
      </c>
      <c r="Y66" s="17">
        <v>-743.25053000000003</v>
      </c>
      <c r="Z66" s="17">
        <v>-751.34754999999996</v>
      </c>
      <c r="AA66" s="17">
        <v>-714.63427000000001</v>
      </c>
      <c r="AB66" s="17">
        <v>-676.19100000000003</v>
      </c>
      <c r="AC66" s="17">
        <v>-686.54015000000004</v>
      </c>
      <c r="AD66" s="17">
        <v>-672.70612000000006</v>
      </c>
      <c r="AE66" s="17">
        <v>-659.18169</v>
      </c>
      <c r="AF66" s="17">
        <v>-636.04647999999997</v>
      </c>
      <c r="AG66" s="17">
        <v>-659.20520999999997</v>
      </c>
      <c r="AH66" s="17">
        <v>-662.28213000000005</v>
      </c>
      <c r="AI66" s="17">
        <v>-655.65785000000005</v>
      </c>
      <c r="AJ66" s="17">
        <v>-642.26034000000004</v>
      </c>
      <c r="AK66" s="17">
        <v>-672.91385000000002</v>
      </c>
      <c r="AL66" s="17">
        <v>-689.27931000000001</v>
      </c>
      <c r="AM66" s="17">
        <v>-708.84673999999995</v>
      </c>
      <c r="AN66" s="17">
        <v>-708.64347999999995</v>
      </c>
      <c r="AO66" s="17"/>
      <c r="AP66" s="17"/>
      <c r="AQ66" s="17"/>
      <c r="AR66" s="17"/>
      <c r="AS66" s="17"/>
      <c r="AT66" s="17"/>
      <c r="AU66" s="17"/>
      <c r="AV66" s="17"/>
      <c r="AW66" s="17"/>
      <c r="AX66" s="17"/>
      <c r="AY66" s="17"/>
      <c r="AZ66" s="17"/>
      <c r="BA66" s="17"/>
      <c r="BB66" s="17"/>
      <c r="BC66" s="17"/>
      <c r="BD66" s="17"/>
      <c r="BE66" s="17"/>
      <c r="BF66" s="17"/>
      <c r="BG66" s="17"/>
      <c r="BH66" s="17"/>
      <c r="BI66" s="17"/>
      <c r="BJ66" s="17"/>
      <c r="BK66" s="17"/>
      <c r="BL66" s="17"/>
      <c r="BM66" s="17"/>
      <c r="BN66" s="17"/>
      <c r="BO66" s="17"/>
      <c r="BP66" s="17"/>
      <c r="BQ66" s="17"/>
      <c r="BR66" s="17"/>
      <c r="BS66" s="17"/>
      <c r="BT66" s="17"/>
      <c r="BU66" s="17"/>
      <c r="BV66" s="17"/>
      <c r="BW66" s="17"/>
      <c r="BX66" s="17"/>
      <c r="BY66" s="17"/>
      <c r="BZ66" s="17"/>
      <c r="CA66" s="17"/>
      <c r="CB66" s="17"/>
      <c r="CC66" s="17"/>
      <c r="CD66" s="17"/>
      <c r="CE66" s="17"/>
      <c r="CF66" s="17"/>
      <c r="CG66" s="17"/>
      <c r="CH66" s="17"/>
      <c r="CI66" s="17"/>
      <c r="CJ66" s="17"/>
      <c r="CK66" s="17"/>
      <c r="CL66" s="17"/>
      <c r="CM66" s="17"/>
      <c r="CN66" s="17"/>
      <c r="CO66" s="17"/>
      <c r="CP66" s="17"/>
      <c r="CQ66" s="17"/>
      <c r="CR66" s="17"/>
      <c r="CS66" s="17"/>
      <c r="CT66" s="17"/>
      <c r="CU66" s="17"/>
      <c r="CV66" s="17"/>
    </row>
    <row r="67" spans="2:100" x14ac:dyDescent="0.35">
      <c r="B67" s="9"/>
      <c r="C67" t="s">
        <v>339</v>
      </c>
      <c r="D67" t="s">
        <v>340</v>
      </c>
      <c r="E67" t="s">
        <v>219</v>
      </c>
      <c r="F67" s="17">
        <v>0</v>
      </c>
      <c r="G67" s="17">
        <v>109.45051991199</v>
      </c>
      <c r="H67" s="17">
        <v>101.878405201167</v>
      </c>
      <c r="I67" s="17">
        <v>84.290310236466297</v>
      </c>
      <c r="J67" s="17">
        <v>69.799343929207396</v>
      </c>
      <c r="K67" s="17">
        <v>76.212567451434296</v>
      </c>
      <c r="L67" s="17">
        <v>76.994744831023695</v>
      </c>
      <c r="M67" s="17">
        <v>73.012119338332894</v>
      </c>
      <c r="N67" s="17">
        <v>64.747001653734699</v>
      </c>
      <c r="O67" s="17">
        <v>59.340949557258902</v>
      </c>
      <c r="P67" s="17">
        <v>55.859282391892698</v>
      </c>
      <c r="Q67" s="17">
        <v>58.741404202324603</v>
      </c>
      <c r="R67" s="17">
        <v>56.115867745831402</v>
      </c>
      <c r="S67" s="17">
        <v>53.530489023165799</v>
      </c>
      <c r="T67" s="17">
        <v>53.086309385579199</v>
      </c>
      <c r="U67" s="17">
        <v>51.4190634920433</v>
      </c>
      <c r="V67" s="17">
        <v>50.211218312625398</v>
      </c>
      <c r="W67" s="17">
        <v>50.264601772526298</v>
      </c>
      <c r="X67" s="17">
        <v>47.307471499846201</v>
      </c>
      <c r="Y67" s="17">
        <v>46.070396003245797</v>
      </c>
      <c r="Z67" s="17">
        <v>44.599237691381198</v>
      </c>
      <c r="AA67" s="17">
        <v>43.294435194675501</v>
      </c>
      <c r="AB67" s="17">
        <v>40.276995193226703</v>
      </c>
      <c r="AC67" s="17">
        <v>40.758961127185401</v>
      </c>
      <c r="AD67" s="17">
        <v>39.242003776532997</v>
      </c>
      <c r="AE67" s="17">
        <v>37.105934100223401</v>
      </c>
      <c r="AF67" s="17">
        <v>35.278193080570396</v>
      </c>
      <c r="AG67" s="17">
        <v>36.6060831401686</v>
      </c>
      <c r="AH67" s="17">
        <v>36.365648633393697</v>
      </c>
      <c r="AI67" s="17">
        <v>36.471381313952897</v>
      </c>
      <c r="AJ67" s="17">
        <v>34.729001595836301</v>
      </c>
      <c r="AK67" s="17">
        <v>36.132923910064399</v>
      </c>
      <c r="AL67" s="17">
        <v>37.4821046724567</v>
      </c>
      <c r="AM67" s="17">
        <v>38.466627303478901</v>
      </c>
      <c r="AN67" s="17">
        <v>37.809874937503999</v>
      </c>
      <c r="AO67" s="17"/>
      <c r="AP67" s="17"/>
      <c r="AQ67" s="17"/>
      <c r="AR67" s="17"/>
      <c r="AS67" s="17"/>
      <c r="AT67" s="17"/>
      <c r="AU67" s="17"/>
      <c r="AV67" s="17"/>
      <c r="AW67" s="17"/>
      <c r="AX67" s="17"/>
      <c r="AY67" s="17"/>
      <c r="AZ67" s="17"/>
      <c r="BA67" s="17"/>
      <c r="BB67" s="17"/>
      <c r="BC67" s="17"/>
      <c r="BD67" s="17"/>
      <c r="BE67" s="17"/>
      <c r="BF67" s="17"/>
      <c r="BG67" s="17"/>
      <c r="BH67" s="17"/>
      <c r="BI67" s="17"/>
      <c r="BJ67" s="17"/>
      <c r="BK67" s="17"/>
      <c r="BL67" s="17"/>
      <c r="BM67" s="17"/>
      <c r="BN67" s="17"/>
      <c r="BO67" s="17"/>
      <c r="BP67" s="17"/>
      <c r="BQ67" s="17"/>
      <c r="BR67" s="17"/>
      <c r="BS67" s="17"/>
      <c r="BT67" s="17"/>
      <c r="BU67" s="17"/>
      <c r="BV67" s="17"/>
      <c r="BW67" s="17"/>
      <c r="BX67" s="17"/>
      <c r="BY67" s="17"/>
      <c r="BZ67" s="17"/>
      <c r="CA67" s="17"/>
      <c r="CB67" s="17"/>
      <c r="CC67" s="17"/>
      <c r="CD67" s="17"/>
      <c r="CE67" s="17"/>
      <c r="CF67" s="17"/>
      <c r="CG67" s="17"/>
      <c r="CH67" s="17"/>
      <c r="CI67" s="17"/>
      <c r="CJ67" s="17"/>
      <c r="CK67" s="17"/>
      <c r="CL67" s="17"/>
      <c r="CM67" s="17"/>
      <c r="CN67" s="17"/>
      <c r="CO67" s="17"/>
      <c r="CP67" s="17"/>
      <c r="CQ67" s="17"/>
      <c r="CR67" s="17"/>
      <c r="CS67" s="17"/>
      <c r="CT67" s="17"/>
      <c r="CU67" s="17"/>
      <c r="CV67" s="17"/>
    </row>
    <row r="68" spans="2:100" x14ac:dyDescent="0.35">
      <c r="B68" s="9"/>
      <c r="C68" t="s">
        <v>230</v>
      </c>
      <c r="D68" t="s">
        <v>341</v>
      </c>
      <c r="E68" t="s">
        <v>219</v>
      </c>
      <c r="F68" s="17">
        <v>0</v>
      </c>
      <c r="G68" s="17">
        <v>-1.3802392802564201</v>
      </c>
      <c r="H68" s="17">
        <v>-0.95295221696723398</v>
      </c>
      <c r="I68" s="17">
        <v>0.50925313498834401</v>
      </c>
      <c r="J68" s="17">
        <v>0.45862764640128201</v>
      </c>
      <c r="K68" s="17">
        <v>0.390033556829955</v>
      </c>
      <c r="L68" s="17">
        <v>0.26266542706242302</v>
      </c>
      <c r="M68" s="17">
        <v>-2.6649942506313501E-2</v>
      </c>
      <c r="N68" s="17">
        <v>-0.20425702700252499</v>
      </c>
      <c r="O68" s="17">
        <v>-2.4111355274234199E-2</v>
      </c>
      <c r="P68" s="17">
        <v>-8.3261482467784694E-3</v>
      </c>
      <c r="Q68" s="17">
        <v>1.18049529722204E-2</v>
      </c>
      <c r="R68" s="17">
        <v>4.1453144596257201E-2</v>
      </c>
      <c r="S68" s="17">
        <v>2.34532030288804E-2</v>
      </c>
      <c r="T68" s="17">
        <v>-8.08587044291912E-2</v>
      </c>
      <c r="U68" s="17">
        <v>7.3128027261542397E-5</v>
      </c>
      <c r="V68" s="17">
        <v>9.3186000453279808E-3</v>
      </c>
      <c r="W68" s="17">
        <v>5.83979531988603E-3</v>
      </c>
      <c r="X68" s="17">
        <v>1.35077913213106E-2</v>
      </c>
      <c r="Y68" s="17">
        <v>9.5902184322994195E-3</v>
      </c>
      <c r="Z68" s="17">
        <v>-2.7161838697144301E-4</v>
      </c>
      <c r="AA68" s="17">
        <v>-2.7161838697144301E-4</v>
      </c>
      <c r="AB68" s="17">
        <v>0</v>
      </c>
      <c r="AC68" s="17">
        <v>0</v>
      </c>
      <c r="AD68" s="17">
        <v>0</v>
      </c>
      <c r="AE68" s="17">
        <v>0</v>
      </c>
      <c r="AF68" s="17">
        <v>0</v>
      </c>
      <c r="AG68" s="17">
        <v>0</v>
      </c>
      <c r="AH68" s="17">
        <v>0</v>
      </c>
      <c r="AI68" s="17">
        <v>0</v>
      </c>
      <c r="AJ68" s="17">
        <v>0</v>
      </c>
      <c r="AK68" s="17">
        <v>0</v>
      </c>
      <c r="AL68" s="17">
        <v>0</v>
      </c>
      <c r="AM68" s="17">
        <v>0</v>
      </c>
      <c r="AN68" s="17">
        <v>0</v>
      </c>
      <c r="AO68" s="17"/>
      <c r="AP68" s="17"/>
      <c r="AQ68" s="17"/>
      <c r="AR68" s="17"/>
      <c r="AS68" s="17"/>
      <c r="AT68" s="17"/>
      <c r="AU68" s="17"/>
      <c r="AV68" s="17"/>
      <c r="AW68" s="17"/>
      <c r="AX68" s="17"/>
      <c r="AY68" s="17"/>
      <c r="AZ68" s="17"/>
      <c r="BA68" s="17"/>
      <c r="BB68" s="17"/>
      <c r="BC68" s="17"/>
      <c r="BD68" s="17"/>
      <c r="BE68" s="17"/>
      <c r="BF68" s="17"/>
      <c r="BG68" s="17"/>
      <c r="BH68" s="17"/>
      <c r="BI68" s="17"/>
      <c r="BJ68" s="17"/>
      <c r="BK68" s="17"/>
      <c r="BL68" s="17"/>
      <c r="BM68" s="17"/>
      <c r="BN68" s="17"/>
      <c r="BO68" s="17"/>
      <c r="BP68" s="17"/>
      <c r="BQ68" s="17"/>
      <c r="BR68" s="17"/>
      <c r="BS68" s="17"/>
      <c r="BT68" s="17"/>
      <c r="BU68" s="17"/>
      <c r="BV68" s="17"/>
      <c r="BW68" s="17"/>
      <c r="BX68" s="17"/>
      <c r="BY68" s="17"/>
      <c r="BZ68" s="17"/>
      <c r="CA68" s="17"/>
      <c r="CB68" s="17"/>
      <c r="CC68" s="17"/>
      <c r="CD68" s="17"/>
      <c r="CE68" s="17"/>
      <c r="CF68" s="17"/>
      <c r="CG68" s="17"/>
      <c r="CH68" s="17"/>
      <c r="CI68" s="17"/>
      <c r="CJ68" s="17"/>
      <c r="CK68" s="17"/>
      <c r="CL68" s="17"/>
      <c r="CM68" s="17"/>
      <c r="CN68" s="17"/>
      <c r="CO68" s="17"/>
      <c r="CP68" s="17"/>
      <c r="CQ68" s="17"/>
      <c r="CR68" s="17"/>
      <c r="CS68" s="17"/>
      <c r="CT68" s="17"/>
      <c r="CU68" s="17"/>
      <c r="CV68" s="17"/>
    </row>
    <row r="69" spans="2:100" x14ac:dyDescent="0.35">
      <c r="B69" s="9"/>
      <c r="C69" t="s">
        <v>230</v>
      </c>
      <c r="D69" t="s">
        <v>342</v>
      </c>
      <c r="E69" t="s">
        <v>219</v>
      </c>
      <c r="F69" s="17">
        <v>0</v>
      </c>
      <c r="G69" s="17">
        <v>33.837936583654397</v>
      </c>
      <c r="H69" s="17">
        <v>38.1049569743654</v>
      </c>
      <c r="I69" s="17">
        <v>38.342779765880898</v>
      </c>
      <c r="J69" s="17">
        <v>41.357931904762602</v>
      </c>
      <c r="K69" s="17">
        <v>44.962255665568499</v>
      </c>
      <c r="L69" s="17">
        <v>41.194825063386297</v>
      </c>
      <c r="M69" s="17">
        <v>45.515134892248902</v>
      </c>
      <c r="N69" s="17">
        <v>45.247162459779503</v>
      </c>
      <c r="O69" s="17">
        <v>39.976271851405102</v>
      </c>
      <c r="P69" s="17">
        <v>46.154461894013401</v>
      </c>
      <c r="Q69" s="17">
        <v>52.236655730549401</v>
      </c>
      <c r="R69" s="17">
        <v>50.750694216594802</v>
      </c>
      <c r="S69" s="17">
        <v>51.063055361612001</v>
      </c>
      <c r="T69" s="17">
        <v>50.356972917818702</v>
      </c>
      <c r="U69" s="17">
        <v>51.545992853647199</v>
      </c>
      <c r="V69" s="17">
        <v>53.644903045246998</v>
      </c>
      <c r="W69" s="17">
        <v>56.486229863327999</v>
      </c>
      <c r="X69" s="17">
        <v>54.772495438175802</v>
      </c>
      <c r="Y69" s="17">
        <v>55.8924093882422</v>
      </c>
      <c r="Z69" s="17">
        <v>53.8653840474405</v>
      </c>
      <c r="AA69" s="17">
        <v>56.005475765249599</v>
      </c>
      <c r="AB69" s="17">
        <v>55.957179926673902</v>
      </c>
      <c r="AC69" s="17">
        <v>55.440875160485298</v>
      </c>
      <c r="AD69" s="17">
        <v>54.563714920344097</v>
      </c>
      <c r="AE69" s="17">
        <v>55.479350949685902</v>
      </c>
      <c r="AF69" s="17">
        <v>54.377802581323202</v>
      </c>
      <c r="AG69" s="17">
        <v>54.816361807671697</v>
      </c>
      <c r="AH69" s="17">
        <v>56.289943791296999</v>
      </c>
      <c r="AI69" s="17">
        <v>54.965574323868402</v>
      </c>
      <c r="AJ69" s="17">
        <v>55.432423649906099</v>
      </c>
      <c r="AK69" s="17">
        <v>57.4847617350012</v>
      </c>
      <c r="AL69" s="17">
        <v>58.092779494236801</v>
      </c>
      <c r="AM69" s="17">
        <v>57.854883574694</v>
      </c>
      <c r="AN69" s="17">
        <v>58.250861395454201</v>
      </c>
      <c r="AO69" s="17"/>
      <c r="AP69" s="17"/>
      <c r="AQ69" s="17"/>
      <c r="AR69" s="17"/>
      <c r="AS69" s="17"/>
      <c r="AT69" s="17"/>
      <c r="AU69" s="17"/>
      <c r="AV69" s="17"/>
      <c r="AW69" s="17"/>
      <c r="AX69" s="17"/>
      <c r="AY69" s="17"/>
      <c r="AZ69" s="17"/>
      <c r="BA69" s="17"/>
      <c r="BB69" s="17"/>
      <c r="BC69" s="17"/>
      <c r="BD69" s="17"/>
      <c r="BE69" s="17"/>
      <c r="BF69" s="17"/>
      <c r="BG69" s="17"/>
      <c r="BH69" s="17"/>
      <c r="BI69" s="17"/>
      <c r="BJ69" s="17"/>
      <c r="BK69" s="17"/>
      <c r="BL69" s="17"/>
      <c r="BM69" s="17"/>
      <c r="BN69" s="17"/>
      <c r="BO69" s="17"/>
      <c r="BP69" s="17"/>
      <c r="BQ69" s="17"/>
      <c r="BR69" s="17"/>
      <c r="BS69" s="17"/>
      <c r="BT69" s="17"/>
      <c r="BU69" s="17"/>
      <c r="BV69" s="17"/>
      <c r="BW69" s="17"/>
      <c r="BX69" s="17"/>
      <c r="BY69" s="17"/>
      <c r="BZ69" s="17"/>
      <c r="CA69" s="17"/>
      <c r="CB69" s="17"/>
      <c r="CC69" s="17"/>
      <c r="CD69" s="17"/>
      <c r="CE69" s="17"/>
      <c r="CF69" s="17"/>
      <c r="CG69" s="17"/>
      <c r="CH69" s="17"/>
      <c r="CI69" s="17"/>
      <c r="CJ69" s="17"/>
      <c r="CK69" s="17"/>
      <c r="CL69" s="17"/>
      <c r="CM69" s="17"/>
      <c r="CN69" s="17"/>
      <c r="CO69" s="17"/>
      <c r="CP69" s="17"/>
      <c r="CQ69" s="17"/>
      <c r="CR69" s="17"/>
      <c r="CS69" s="17"/>
      <c r="CT69" s="17"/>
      <c r="CU69" s="17"/>
      <c r="CV69" s="17"/>
    </row>
    <row r="70" spans="2:100" x14ac:dyDescent="0.35">
      <c r="B70" s="9"/>
      <c r="C70" t="s">
        <v>230</v>
      </c>
      <c r="D70" t="s">
        <v>343</v>
      </c>
      <c r="E70" t="s">
        <v>219</v>
      </c>
      <c r="F70" s="17">
        <v>0</v>
      </c>
      <c r="G70" s="17">
        <v>-11.7798387182866</v>
      </c>
      <c r="H70" s="17">
        <v>-12.2162667849834</v>
      </c>
      <c r="I70" s="17">
        <v>-11.4564247942919</v>
      </c>
      <c r="J70" s="17">
        <v>-9.7771336699799196</v>
      </c>
      <c r="K70" s="17">
        <v>-10.527040695824899</v>
      </c>
      <c r="L70" s="17">
        <v>-10.668073319829301</v>
      </c>
      <c r="M70" s="17">
        <v>-11.8562470599138</v>
      </c>
      <c r="N70" s="17">
        <v>-13.314200539427199</v>
      </c>
      <c r="O70" s="17">
        <v>-14.0504326241743</v>
      </c>
      <c r="P70" s="17">
        <v>-13.789490929183099</v>
      </c>
      <c r="Q70" s="17">
        <v>-11.514843641212799</v>
      </c>
      <c r="R70" s="17">
        <v>-11.8068856415123</v>
      </c>
      <c r="S70" s="17">
        <v>-11.1889224705691</v>
      </c>
      <c r="T70" s="17">
        <v>-12.247126812487799</v>
      </c>
      <c r="U70" s="17">
        <v>-11.718306706776501</v>
      </c>
      <c r="V70" s="17">
        <v>-10.767652799237499</v>
      </c>
      <c r="W70" s="17">
        <v>-11.382440124425299</v>
      </c>
      <c r="X70" s="17">
        <v>-11.263199652544801</v>
      </c>
      <c r="Y70" s="17">
        <v>-10.6989124536116</v>
      </c>
      <c r="Z70" s="17">
        <v>-11.4848715968966</v>
      </c>
      <c r="AA70" s="17">
        <v>-11.0323344704801</v>
      </c>
      <c r="AB70" s="17">
        <v>-10.3060060099964</v>
      </c>
      <c r="AC70" s="17">
        <v>-10.7185003180567</v>
      </c>
      <c r="AD70" s="17">
        <v>-10.5597498177329</v>
      </c>
      <c r="AE70" s="17">
        <v>-9.82909635677977</v>
      </c>
      <c r="AF70" s="17">
        <v>-10.1353878755342</v>
      </c>
      <c r="AG70" s="17">
        <v>-10.274289339887</v>
      </c>
      <c r="AH70" s="17">
        <v>-10.1311673436751</v>
      </c>
      <c r="AI70" s="17">
        <v>-9.8117336737356702</v>
      </c>
      <c r="AJ70" s="17">
        <v>-9.2410425489865897</v>
      </c>
      <c r="AK70" s="17">
        <v>-10.1639078061662</v>
      </c>
      <c r="AL70" s="17">
        <v>-11.1754251261089</v>
      </c>
      <c r="AM70" s="17">
        <v>-12.2389469202956</v>
      </c>
      <c r="AN70" s="17">
        <v>-13.398308217639</v>
      </c>
      <c r="AO70" s="17"/>
      <c r="AP70" s="17"/>
      <c r="AQ70" s="17"/>
      <c r="AR70" s="17"/>
      <c r="AS70" s="17"/>
      <c r="AT70" s="17"/>
      <c r="AU70" s="17"/>
      <c r="AV70" s="17"/>
      <c r="AW70" s="17"/>
      <c r="AX70" s="17"/>
      <c r="AY70" s="17"/>
      <c r="AZ70" s="17"/>
      <c r="BA70" s="17"/>
      <c r="BB70" s="17"/>
      <c r="BC70" s="17"/>
      <c r="BD70" s="17"/>
      <c r="BE70" s="17"/>
      <c r="BF70" s="17"/>
      <c r="BG70" s="17"/>
      <c r="BH70" s="17"/>
      <c r="BI70" s="17"/>
      <c r="BJ70" s="17"/>
      <c r="BK70" s="17"/>
      <c r="BL70" s="17"/>
      <c r="BM70" s="17"/>
      <c r="BN70" s="17"/>
      <c r="BO70" s="17"/>
      <c r="BP70" s="17"/>
      <c r="BQ70" s="17"/>
      <c r="BR70" s="17"/>
      <c r="BS70" s="17"/>
      <c r="BT70" s="17"/>
      <c r="BU70" s="17"/>
      <c r="BV70" s="17"/>
      <c r="BW70" s="17"/>
      <c r="BX70" s="17"/>
      <c r="BY70" s="17"/>
      <c r="BZ70" s="17"/>
      <c r="CA70" s="17"/>
      <c r="CB70" s="17"/>
      <c r="CC70" s="17"/>
      <c r="CD70" s="17"/>
      <c r="CE70" s="17"/>
      <c r="CF70" s="17"/>
      <c r="CG70" s="17"/>
      <c r="CH70" s="17"/>
      <c r="CI70" s="17"/>
      <c r="CJ70" s="17"/>
      <c r="CK70" s="17"/>
      <c r="CL70" s="17"/>
      <c r="CM70" s="17"/>
      <c r="CN70" s="17"/>
      <c r="CO70" s="17"/>
      <c r="CP70" s="17"/>
      <c r="CQ70" s="17"/>
      <c r="CR70" s="17"/>
      <c r="CS70" s="17"/>
      <c r="CT70" s="17"/>
      <c r="CU70" s="17"/>
      <c r="CV70" s="17"/>
    </row>
    <row r="71" spans="2:100" x14ac:dyDescent="0.35">
      <c r="B71" s="9"/>
      <c r="C71" t="s">
        <v>230</v>
      </c>
      <c r="D71" t="s">
        <v>344</v>
      </c>
      <c r="E71" t="s">
        <v>219</v>
      </c>
      <c r="F71" s="17">
        <v>0</v>
      </c>
      <c r="G71" s="17">
        <v>66.044700284934905</v>
      </c>
      <c r="H71" s="17">
        <v>47.850144143293001</v>
      </c>
      <c r="I71" s="17">
        <v>44.559466491411897</v>
      </c>
      <c r="J71" s="17">
        <v>39.588755988085197</v>
      </c>
      <c r="K71" s="17">
        <v>33.106718992205202</v>
      </c>
      <c r="L71" s="17">
        <v>39.985203917592102</v>
      </c>
      <c r="M71" s="17">
        <v>34.212759510813903</v>
      </c>
      <c r="N71" s="17">
        <v>36.7188883456501</v>
      </c>
      <c r="O71" s="17">
        <v>45.824706725369097</v>
      </c>
      <c r="P71" s="17">
        <v>39.557488533000303</v>
      </c>
      <c r="Q71" s="17">
        <v>34.424559171485399</v>
      </c>
      <c r="R71" s="17">
        <v>35.905213680033</v>
      </c>
      <c r="S71" s="17">
        <v>36.249458644936198</v>
      </c>
      <c r="T71" s="17">
        <v>36.1278780761833</v>
      </c>
      <c r="U71" s="17">
        <v>33.6941877757802</v>
      </c>
      <c r="V71" s="17">
        <v>34.202051478250603</v>
      </c>
      <c r="W71" s="17">
        <v>31.6158579004241</v>
      </c>
      <c r="X71" s="17">
        <v>35.516099446974302</v>
      </c>
      <c r="Y71" s="17">
        <v>36.548479148408603</v>
      </c>
      <c r="Z71" s="17">
        <v>38.751178904414601</v>
      </c>
      <c r="AA71" s="17">
        <v>37.382232680939502</v>
      </c>
      <c r="AB71" s="17">
        <v>37.439847119560604</v>
      </c>
      <c r="AC71" s="17">
        <v>36.042443646619802</v>
      </c>
      <c r="AD71" s="17">
        <v>35.404955292397801</v>
      </c>
      <c r="AE71" s="17">
        <v>35.873559691089802</v>
      </c>
      <c r="AF71" s="17">
        <v>36.389195858171902</v>
      </c>
      <c r="AG71" s="17">
        <v>35.5726691994916</v>
      </c>
      <c r="AH71" s="17">
        <v>34.045160519191498</v>
      </c>
      <c r="AI71" s="17">
        <v>34.068927128051499</v>
      </c>
      <c r="AJ71" s="17">
        <v>34.231010177046201</v>
      </c>
      <c r="AK71" s="17">
        <v>31.599686159538301</v>
      </c>
      <c r="AL71" s="17">
        <v>33.330741480290399</v>
      </c>
      <c r="AM71" s="17">
        <v>33.910960142305498</v>
      </c>
      <c r="AN71" s="17">
        <v>32.864978627800603</v>
      </c>
      <c r="AO71" s="17"/>
      <c r="AP71" s="17"/>
      <c r="AQ71" s="17"/>
      <c r="AR71" s="17"/>
      <c r="AS71" s="17"/>
      <c r="AT71" s="17"/>
      <c r="AU71" s="17"/>
      <c r="AV71" s="17"/>
      <c r="AW71" s="17"/>
      <c r="AX71" s="17"/>
      <c r="AY71" s="17"/>
      <c r="AZ71" s="17"/>
      <c r="BA71" s="17"/>
      <c r="BB71" s="17"/>
      <c r="BC71" s="17"/>
      <c r="BD71" s="17"/>
      <c r="BE71" s="17"/>
      <c r="BF71" s="17"/>
      <c r="BG71" s="17"/>
      <c r="BH71" s="17"/>
      <c r="BI71" s="17"/>
      <c r="BJ71" s="17"/>
      <c r="BK71" s="17"/>
      <c r="BL71" s="17"/>
      <c r="BM71" s="17"/>
      <c r="BN71" s="17"/>
      <c r="BO71" s="17"/>
      <c r="BP71" s="17"/>
      <c r="BQ71" s="17"/>
      <c r="BR71" s="17"/>
      <c r="BS71" s="17"/>
      <c r="BT71" s="17"/>
      <c r="BU71" s="17"/>
      <c r="BV71" s="17"/>
      <c r="BW71" s="17"/>
      <c r="BX71" s="17"/>
      <c r="BY71" s="17"/>
      <c r="BZ71" s="17"/>
      <c r="CA71" s="17"/>
      <c r="CB71" s="17"/>
      <c r="CC71" s="17"/>
      <c r="CD71" s="17"/>
      <c r="CE71" s="17"/>
      <c r="CF71" s="17"/>
      <c r="CG71" s="17"/>
      <c r="CH71" s="17"/>
      <c r="CI71" s="17"/>
      <c r="CJ71" s="17"/>
      <c r="CK71" s="17"/>
      <c r="CL71" s="17"/>
      <c r="CM71" s="17"/>
      <c r="CN71" s="17"/>
      <c r="CO71" s="17"/>
      <c r="CP71" s="17"/>
      <c r="CQ71" s="17"/>
      <c r="CR71" s="17"/>
      <c r="CS71" s="17"/>
      <c r="CT71" s="17"/>
      <c r="CU71" s="17"/>
      <c r="CV71" s="17"/>
    </row>
    <row r="72" spans="2:100" x14ac:dyDescent="0.35">
      <c r="B72" s="9"/>
      <c r="C72" t="s">
        <v>230</v>
      </c>
      <c r="D72" t="s">
        <v>345</v>
      </c>
      <c r="E72" t="s">
        <v>219</v>
      </c>
      <c r="F72" s="17">
        <v>0</v>
      </c>
      <c r="G72" s="17">
        <v>-46.448969353517697</v>
      </c>
      <c r="H72" s="17">
        <v>-36.794116191980102</v>
      </c>
      <c r="I72" s="17">
        <v>-38.106701600158601</v>
      </c>
      <c r="J72" s="17">
        <v>-39.783537712126801</v>
      </c>
      <c r="K72" s="17">
        <v>-40.2329930145373</v>
      </c>
      <c r="L72" s="17">
        <v>-37.882198556465703</v>
      </c>
      <c r="M72" s="17">
        <v>-35.915629200487203</v>
      </c>
      <c r="N72" s="17">
        <v>-32.250253983778997</v>
      </c>
      <c r="O72" s="17">
        <v>-30.881464463219501</v>
      </c>
      <c r="P72" s="17">
        <v>-30.465177944602701</v>
      </c>
      <c r="Q72" s="17">
        <v>-36.747617213502799</v>
      </c>
      <c r="R72" s="17">
        <v>-35.005498666912104</v>
      </c>
      <c r="S72" s="17">
        <v>-34.211871527625703</v>
      </c>
      <c r="T72" s="17">
        <v>-29.456261893058301</v>
      </c>
      <c r="U72" s="17">
        <v>-28.9285282608949</v>
      </c>
      <c r="V72" s="17">
        <v>-32.5899232235478</v>
      </c>
      <c r="W72" s="17">
        <v>-31.915118681700399</v>
      </c>
      <c r="X72" s="17">
        <v>-32.299479592987097</v>
      </c>
      <c r="Y72" s="17">
        <v>-33.897525479011499</v>
      </c>
      <c r="Z72" s="17">
        <v>-29.211669535590499</v>
      </c>
      <c r="AA72" s="17">
        <v>-32.159011099478697</v>
      </c>
      <c r="AB72" s="17">
        <v>-31.251252003359099</v>
      </c>
      <c r="AC72" s="17">
        <v>-29.467335565757899</v>
      </c>
      <c r="AD72" s="17">
        <v>-27.106449439924202</v>
      </c>
      <c r="AE72" s="17">
        <v>-27.964115837369601</v>
      </c>
      <c r="AF72" s="17">
        <v>-27.2716143129249</v>
      </c>
      <c r="AG72" s="17">
        <v>-25.9528443630123</v>
      </c>
      <c r="AH72" s="17">
        <v>-26.699951630099399</v>
      </c>
      <c r="AI72" s="17">
        <v>-25.7434265866573</v>
      </c>
      <c r="AJ72" s="17">
        <v>-25.637631224932001</v>
      </c>
      <c r="AK72" s="17">
        <v>-26.2305219293854</v>
      </c>
      <c r="AL72" s="17">
        <v>-25.656132615829101</v>
      </c>
      <c r="AM72" s="17">
        <v>-23.2230900208104</v>
      </c>
      <c r="AN72" s="17">
        <v>-23.0182688633118</v>
      </c>
      <c r="AO72" s="17"/>
      <c r="AP72" s="17"/>
      <c r="AQ72" s="17"/>
      <c r="AR72" s="17"/>
      <c r="AS72" s="17"/>
      <c r="AT72" s="17"/>
      <c r="AU72" s="17"/>
      <c r="AV72" s="17"/>
      <c r="AW72" s="17"/>
      <c r="AX72" s="17"/>
      <c r="AY72" s="17"/>
      <c r="AZ72" s="17"/>
      <c r="BA72" s="17"/>
      <c r="BB72" s="17"/>
      <c r="BC72" s="17"/>
      <c r="BD72" s="17"/>
      <c r="BE72" s="17"/>
      <c r="BF72" s="17"/>
      <c r="BG72" s="17"/>
      <c r="BH72" s="17"/>
      <c r="BI72" s="17"/>
      <c r="BJ72" s="17"/>
      <c r="BK72" s="17"/>
      <c r="BL72" s="17"/>
      <c r="BM72" s="17"/>
      <c r="BN72" s="17"/>
      <c r="BO72" s="17"/>
      <c r="BP72" s="17"/>
      <c r="BQ72" s="17"/>
      <c r="BR72" s="17"/>
      <c r="BS72" s="17"/>
      <c r="BT72" s="17"/>
      <c r="BU72" s="17"/>
      <c r="BV72" s="17"/>
      <c r="BW72" s="17"/>
      <c r="BX72" s="17"/>
      <c r="BY72" s="17"/>
      <c r="BZ72" s="17"/>
      <c r="CA72" s="17"/>
      <c r="CB72" s="17"/>
      <c r="CC72" s="17"/>
      <c r="CD72" s="17"/>
      <c r="CE72" s="17"/>
      <c r="CF72" s="17"/>
      <c r="CG72" s="17"/>
      <c r="CH72" s="17"/>
      <c r="CI72" s="17"/>
      <c r="CJ72" s="17"/>
      <c r="CK72" s="17"/>
      <c r="CL72" s="17"/>
      <c r="CM72" s="17"/>
      <c r="CN72" s="17"/>
      <c r="CO72" s="17"/>
      <c r="CP72" s="17"/>
      <c r="CQ72" s="17"/>
      <c r="CR72" s="17"/>
      <c r="CS72" s="17"/>
      <c r="CT72" s="17"/>
      <c r="CU72" s="17"/>
      <c r="CV72" s="17"/>
    </row>
    <row r="73" spans="2:100" x14ac:dyDescent="0.35">
      <c r="B73" s="9"/>
      <c r="D73" t="s">
        <v>220</v>
      </c>
      <c r="E73" t="s">
        <v>219</v>
      </c>
      <c r="F73" s="17">
        <v>0</v>
      </c>
      <c r="G73" s="17">
        <v>-30.077954593391802</v>
      </c>
      <c r="H73" s="17">
        <v>-30.481098960823601</v>
      </c>
      <c r="I73" s="17">
        <v>-28.8535406923687</v>
      </c>
      <c r="J73" s="17">
        <v>-25.6593711427507</v>
      </c>
      <c r="K73" s="17">
        <v>-27.979420488789401</v>
      </c>
      <c r="L73" s="17">
        <v>-25.472884226372699</v>
      </c>
      <c r="M73" s="17">
        <v>-29.920771122223599</v>
      </c>
      <c r="N73" s="17">
        <v>-29.0929305130398</v>
      </c>
      <c r="O73" s="17">
        <v>-30.271639397024501</v>
      </c>
      <c r="P73" s="17">
        <v>-32.516617599648697</v>
      </c>
      <c r="Q73" s="17">
        <v>-31.489471775594101</v>
      </c>
      <c r="R73" s="17">
        <v>-34.023608644871402</v>
      </c>
      <c r="S73" s="17">
        <v>-32.164359892329799</v>
      </c>
      <c r="T73" s="17">
        <v>-32.723841535185798</v>
      </c>
      <c r="U73" s="17">
        <v>-30.929676726907001</v>
      </c>
      <c r="V73" s="17">
        <v>-29.153449179029302</v>
      </c>
      <c r="W73" s="17">
        <v>-32.712067922796699</v>
      </c>
      <c r="X73" s="17">
        <v>-31.537443761477601</v>
      </c>
      <c r="Y73" s="17">
        <v>-31.238684429531101</v>
      </c>
      <c r="Z73" s="17">
        <v>-32.324478931449498</v>
      </c>
      <c r="AA73" s="17">
        <v>-29.068255027269601</v>
      </c>
      <c r="AB73" s="17">
        <v>-23.7355607889982</v>
      </c>
      <c r="AC73" s="17">
        <v>-24.869483979715699</v>
      </c>
      <c r="AD73" s="17">
        <v>-23.259810737356698</v>
      </c>
      <c r="AE73" s="17">
        <v>-21.980874668579599</v>
      </c>
      <c r="AF73" s="17">
        <v>-19.6450819029576</v>
      </c>
      <c r="AG73" s="17">
        <v>-21.8197527308003</v>
      </c>
      <c r="AH73" s="17">
        <v>-21.6227040379136</v>
      </c>
      <c r="AI73" s="17">
        <v>-20.939938987955699</v>
      </c>
      <c r="AJ73" s="17">
        <v>-19.021728151719199</v>
      </c>
      <c r="AK73" s="17">
        <v>-22.0506492534481</v>
      </c>
      <c r="AL73" s="17">
        <v>-23.589398756224501</v>
      </c>
      <c r="AM73" s="17">
        <v>-26.355320131337798</v>
      </c>
      <c r="AN73" s="17">
        <v>-26.107572821836701</v>
      </c>
      <c r="AO73" s="17"/>
      <c r="AP73" s="17"/>
      <c r="AQ73" s="17"/>
      <c r="AR73" s="17"/>
      <c r="AS73" s="17"/>
      <c r="AT73" s="17"/>
      <c r="AU73" s="17"/>
      <c r="AV73" s="17"/>
      <c r="AW73" s="17"/>
      <c r="AX73" s="17"/>
      <c r="AY73" s="17"/>
      <c r="AZ73" s="17"/>
      <c r="BA73" s="17"/>
      <c r="BB73" s="17"/>
      <c r="BC73" s="17"/>
      <c r="BD73" s="17"/>
      <c r="BE73" s="17"/>
      <c r="BF73" s="17"/>
      <c r="BG73" s="17"/>
      <c r="BH73" s="17"/>
      <c r="BI73" s="17"/>
      <c r="BJ73" s="17"/>
      <c r="BK73" s="17"/>
      <c r="BL73" s="17"/>
      <c r="BM73" s="17"/>
      <c r="BN73" s="17"/>
      <c r="BO73" s="17"/>
      <c r="BP73" s="17"/>
      <c r="BQ73" s="17"/>
      <c r="BR73" s="17"/>
      <c r="BS73" s="17"/>
      <c r="BT73" s="17"/>
      <c r="BU73" s="17"/>
      <c r="BV73" s="17"/>
      <c r="BW73" s="17"/>
      <c r="BX73" s="17"/>
      <c r="BY73" s="17"/>
      <c r="BZ73" s="17"/>
      <c r="CA73" s="17"/>
      <c r="CB73" s="17"/>
      <c r="CC73" s="17"/>
      <c r="CD73" s="17"/>
      <c r="CE73" s="17"/>
      <c r="CF73" s="17"/>
      <c r="CG73" s="17"/>
      <c r="CH73" s="17"/>
      <c r="CI73" s="17"/>
      <c r="CJ73" s="17"/>
      <c r="CK73" s="17"/>
      <c r="CL73" s="17"/>
      <c r="CM73" s="17"/>
      <c r="CN73" s="17"/>
      <c r="CO73" s="17"/>
      <c r="CP73" s="17"/>
      <c r="CQ73" s="17"/>
      <c r="CR73" s="17"/>
      <c r="CS73" s="17"/>
      <c r="CT73" s="17"/>
      <c r="CU73" s="17"/>
      <c r="CV73" s="17"/>
    </row>
    <row r="74" spans="2:100" x14ac:dyDescent="0.35">
      <c r="B74" s="9"/>
      <c r="C74" t="s">
        <v>230</v>
      </c>
      <c r="D74" t="s">
        <v>346</v>
      </c>
      <c r="E74" t="s">
        <v>219</v>
      </c>
      <c r="F74" s="17">
        <v>0</v>
      </c>
      <c r="G74" s="17">
        <v>119.64618617571</v>
      </c>
      <c r="H74" s="17">
        <v>107.389051270349</v>
      </c>
      <c r="I74" s="17">
        <v>89.285079860762096</v>
      </c>
      <c r="J74" s="17">
        <v>75.984616943598994</v>
      </c>
      <c r="K74" s="17">
        <v>75.932152807469393</v>
      </c>
      <c r="L74" s="17">
        <v>84.414304030118799</v>
      </c>
      <c r="M74" s="17">
        <v>75.020695522542496</v>
      </c>
      <c r="N74" s="17">
        <v>71.851399949054496</v>
      </c>
      <c r="O74" s="17">
        <v>69.914322081784604</v>
      </c>
      <c r="P74" s="17">
        <v>64.791609750364202</v>
      </c>
      <c r="Q74" s="17">
        <v>65.662522767604997</v>
      </c>
      <c r="R74" s="17">
        <v>61.977194046315397</v>
      </c>
      <c r="S74" s="17">
        <v>63.301365023384299</v>
      </c>
      <c r="T74" s="17">
        <v>65.062987859531802</v>
      </c>
      <c r="U74" s="17">
        <v>65.082774214336595</v>
      </c>
      <c r="V74" s="17">
        <v>65.556414000048505</v>
      </c>
      <c r="W74" s="17">
        <v>62.3628817089538</v>
      </c>
      <c r="X74" s="17">
        <v>62.509472063030103</v>
      </c>
      <c r="Y74" s="17">
        <v>62.685647927564197</v>
      </c>
      <c r="Z74" s="17">
        <v>64.194498514051602</v>
      </c>
      <c r="AA74" s="17">
        <v>64.422219190944105</v>
      </c>
      <c r="AB74" s="17">
        <v>68.381192990246305</v>
      </c>
      <c r="AC74" s="17">
        <v>67.186970517621205</v>
      </c>
      <c r="AD74" s="17">
        <v>68.284653547400097</v>
      </c>
      <c r="AE74" s="17">
        <v>68.684726537686899</v>
      </c>
      <c r="AF74" s="17">
        <v>68.993013406899493</v>
      </c>
      <c r="AG74" s="17">
        <v>68.948227713632306</v>
      </c>
      <c r="AH74" s="17">
        <v>68.246971719638296</v>
      </c>
      <c r="AI74" s="17">
        <v>69.0107417300799</v>
      </c>
      <c r="AJ74" s="17">
        <v>70.491991709706596</v>
      </c>
      <c r="AK74" s="17">
        <v>66.772240581298902</v>
      </c>
      <c r="AL74" s="17">
        <v>68.484637808238304</v>
      </c>
      <c r="AM74" s="17">
        <v>68.415187076061898</v>
      </c>
      <c r="AN74" s="17">
        <v>66.401575504832195</v>
      </c>
      <c r="AO74" s="17"/>
      <c r="AP74" s="17"/>
      <c r="AQ74" s="17"/>
      <c r="AR74" s="17"/>
      <c r="AS74" s="17"/>
      <c r="AT74" s="17"/>
      <c r="AU74" s="17"/>
      <c r="AV74" s="17"/>
      <c r="AW74" s="17"/>
      <c r="AX74" s="17"/>
      <c r="AY74" s="17"/>
      <c r="AZ74" s="17"/>
      <c r="BA74" s="17"/>
      <c r="BB74" s="17"/>
      <c r="BC74" s="17"/>
      <c r="BD74" s="17"/>
      <c r="BE74" s="17"/>
      <c r="BF74" s="17"/>
      <c r="BG74" s="17"/>
      <c r="BH74" s="17"/>
      <c r="BI74" s="17"/>
      <c r="BJ74" s="17"/>
      <c r="BK74" s="17"/>
      <c r="BL74" s="17"/>
      <c r="BM74" s="17"/>
      <c r="BN74" s="17"/>
      <c r="BO74" s="17"/>
      <c r="BP74" s="17"/>
      <c r="BQ74" s="17"/>
      <c r="BR74" s="17"/>
      <c r="BS74" s="17"/>
      <c r="BT74" s="17"/>
      <c r="BU74" s="17"/>
      <c r="BV74" s="17"/>
      <c r="BW74" s="17"/>
      <c r="BX74" s="17"/>
      <c r="BY74" s="17"/>
      <c r="BZ74" s="17"/>
      <c r="CA74" s="17"/>
      <c r="CB74" s="17"/>
      <c r="CC74" s="17"/>
      <c r="CD74" s="17"/>
      <c r="CE74" s="17"/>
      <c r="CF74" s="17"/>
      <c r="CG74" s="17"/>
      <c r="CH74" s="17"/>
      <c r="CI74" s="17"/>
      <c r="CJ74" s="17"/>
      <c r="CK74" s="17"/>
      <c r="CL74" s="17"/>
      <c r="CM74" s="17"/>
      <c r="CN74" s="17"/>
      <c r="CO74" s="17"/>
      <c r="CP74" s="17"/>
      <c r="CQ74" s="17"/>
      <c r="CR74" s="17"/>
      <c r="CS74" s="17"/>
      <c r="CT74" s="17"/>
      <c r="CU74" s="17"/>
      <c r="CV74" s="17"/>
    </row>
    <row r="75" spans="2:100" x14ac:dyDescent="0.35">
      <c r="B75" s="9"/>
      <c r="C75" t="s">
        <v>230</v>
      </c>
      <c r="D75" t="s">
        <v>347</v>
      </c>
      <c r="E75" t="s">
        <v>219</v>
      </c>
      <c r="F75" s="17">
        <v>0</v>
      </c>
      <c r="G75" s="17">
        <v>15.0291990347649</v>
      </c>
      <c r="H75" s="17">
        <v>14.839933253351001</v>
      </c>
      <c r="I75" s="17">
        <v>9.9183647843440301</v>
      </c>
      <c r="J75" s="17">
        <v>10.2224833560027</v>
      </c>
      <c r="K75" s="17">
        <v>8.2977432316178792</v>
      </c>
      <c r="L75" s="17">
        <v>8.4871239285032001</v>
      </c>
      <c r="M75" s="17">
        <v>8.9753893196674799</v>
      </c>
      <c r="N75" s="17">
        <v>9.1607061876092697</v>
      </c>
      <c r="O75" s="17">
        <v>10.6684389599656</v>
      </c>
      <c r="P75" s="17">
        <v>10.381098047132999</v>
      </c>
      <c r="Q75" s="17">
        <v>10.7133395687042</v>
      </c>
      <c r="R75" s="17">
        <v>11.0230263172958</v>
      </c>
      <c r="S75" s="17">
        <v>11.3279388503933</v>
      </c>
      <c r="T75" s="17">
        <v>10.991549924990199</v>
      </c>
      <c r="U75" s="17">
        <v>10.7487648744819</v>
      </c>
      <c r="V75" s="17">
        <v>11.1722388334925</v>
      </c>
      <c r="W75" s="17">
        <v>10.8362259950867</v>
      </c>
      <c r="X75" s="17">
        <v>11.1349748801722</v>
      </c>
      <c r="Y75" s="17">
        <v>11.5738579592129</v>
      </c>
      <c r="Z75" s="17">
        <v>12.167197878690899</v>
      </c>
      <c r="AA75" s="17">
        <v>12.685539782781801</v>
      </c>
      <c r="AB75" s="17">
        <v>12.7315268650683</v>
      </c>
      <c r="AC75" s="17">
        <v>12.581018938103</v>
      </c>
      <c r="AD75" s="17">
        <v>12.186493231027001</v>
      </c>
      <c r="AE75" s="17">
        <v>12.368707381240601</v>
      </c>
      <c r="AF75" s="17">
        <v>12.4691226095318</v>
      </c>
      <c r="AG75" s="17">
        <v>12.475338491849</v>
      </c>
      <c r="AH75" s="17">
        <v>12.343488658696399</v>
      </c>
      <c r="AI75" s="17">
        <v>12.277234665997501</v>
      </c>
      <c r="AJ75" s="17">
        <v>12.4304378831104</v>
      </c>
      <c r="AK75" s="17">
        <v>12.339236786254199</v>
      </c>
      <c r="AL75" s="17">
        <v>12.3102154062924</v>
      </c>
      <c r="AM75" s="17">
        <v>12.4456171721977</v>
      </c>
      <c r="AN75" s="17">
        <v>12.300510272388699</v>
      </c>
      <c r="AO75" s="17"/>
      <c r="AP75" s="17"/>
      <c r="AQ75" s="17"/>
      <c r="AR75" s="17"/>
      <c r="AS75" s="17"/>
      <c r="AT75" s="17"/>
      <c r="AU75" s="17"/>
      <c r="AV75" s="17"/>
      <c r="AW75" s="17"/>
      <c r="AX75" s="17"/>
      <c r="AY75" s="17"/>
      <c r="AZ75" s="17"/>
      <c r="BA75" s="17"/>
      <c r="BB75" s="17"/>
      <c r="BC75" s="17"/>
      <c r="BD75" s="17"/>
      <c r="BE75" s="17"/>
      <c r="BF75" s="17"/>
      <c r="BG75" s="17"/>
      <c r="BH75" s="17"/>
      <c r="BI75" s="17"/>
      <c r="BJ75" s="17"/>
      <c r="BK75" s="17"/>
      <c r="BL75" s="17"/>
      <c r="BM75" s="17"/>
      <c r="BN75" s="17"/>
      <c r="BO75" s="17"/>
      <c r="BP75" s="17"/>
      <c r="BQ75" s="17"/>
      <c r="BR75" s="17"/>
      <c r="BS75" s="17"/>
      <c r="BT75" s="17"/>
      <c r="BU75" s="17"/>
      <c r="BV75" s="17"/>
      <c r="BW75" s="17"/>
      <c r="BX75" s="17"/>
      <c r="BY75" s="17"/>
      <c r="BZ75" s="17"/>
      <c r="CA75" s="17"/>
      <c r="CB75" s="17"/>
      <c r="CC75" s="17"/>
      <c r="CD75" s="17"/>
      <c r="CE75" s="17"/>
      <c r="CF75" s="17"/>
      <c r="CG75" s="17"/>
      <c r="CH75" s="17"/>
      <c r="CI75" s="17"/>
      <c r="CJ75" s="17"/>
      <c r="CK75" s="17"/>
      <c r="CL75" s="17"/>
      <c r="CM75" s="17"/>
      <c r="CN75" s="17"/>
      <c r="CO75" s="17"/>
      <c r="CP75" s="17"/>
      <c r="CQ75" s="17"/>
      <c r="CR75" s="17"/>
      <c r="CS75" s="17"/>
      <c r="CT75" s="17"/>
      <c r="CU75" s="17"/>
      <c r="CV75" s="17"/>
    </row>
    <row r="76" spans="2:100" x14ac:dyDescent="0.35">
      <c r="B76" s="9"/>
      <c r="C76" t="s">
        <v>230</v>
      </c>
      <c r="D76" t="s">
        <v>348</v>
      </c>
      <c r="E76" t="s">
        <v>219</v>
      </c>
      <c r="F76" s="17">
        <v>0</v>
      </c>
      <c r="G76" s="17">
        <v>29.3237539076604</v>
      </c>
      <c r="H76" s="17">
        <v>18.608847309800499</v>
      </c>
      <c r="I76" s="17">
        <v>11.1607995206566</v>
      </c>
      <c r="J76" s="17">
        <v>10.2724297986223</v>
      </c>
      <c r="K76" s="17">
        <v>10.4981655719176</v>
      </c>
      <c r="L76" s="17">
        <v>10.567062620459099</v>
      </c>
      <c r="M76" s="17">
        <v>9.0211361241501002</v>
      </c>
      <c r="N76" s="17">
        <v>8.8696044048031393</v>
      </c>
      <c r="O76" s="17">
        <v>9.6838014134721195</v>
      </c>
      <c r="P76" s="17">
        <v>8.9352315858398601</v>
      </c>
      <c r="Q76" s="17">
        <v>8.6678755181716607</v>
      </c>
      <c r="R76" s="17">
        <v>8.8473525907935606</v>
      </c>
      <c r="S76" s="17">
        <v>8.8410008992828395</v>
      </c>
      <c r="T76" s="17">
        <v>8.6274775065401794</v>
      </c>
      <c r="U76" s="17">
        <v>8.2568855581007501</v>
      </c>
      <c r="V76" s="17">
        <v>8.3664208960775106</v>
      </c>
      <c r="W76" s="17">
        <v>8.1888973864695895</v>
      </c>
      <c r="X76" s="17">
        <v>7.6114784832124496</v>
      </c>
      <c r="Y76" s="17">
        <v>7.7318890035291004</v>
      </c>
      <c r="Z76" s="17">
        <v>7.8920707238149896</v>
      </c>
      <c r="AA76" s="17">
        <v>7.81324915728809</v>
      </c>
      <c r="AB76" s="17">
        <v>7.6295619996681303</v>
      </c>
      <c r="AC76" s="17">
        <v>7.5858836736709101</v>
      </c>
      <c r="AD76" s="17">
        <v>7.4475358929531099</v>
      </c>
      <c r="AE76" s="17">
        <v>7.4949855357848199</v>
      </c>
      <c r="AF76" s="17">
        <v>7.3268850948326101</v>
      </c>
      <c r="AG76" s="17">
        <v>7.3938285803600303</v>
      </c>
      <c r="AH76" s="17">
        <v>7.3360992262675602</v>
      </c>
      <c r="AI76" s="17">
        <v>7.2295307968254203</v>
      </c>
      <c r="AJ76" s="17">
        <v>7.0880594046574403</v>
      </c>
      <c r="AK76" s="17">
        <v>7.0149836117010897</v>
      </c>
      <c r="AL76" s="17">
        <v>6.77769361009842</v>
      </c>
      <c r="AM76" s="17">
        <v>6.8919613761251002</v>
      </c>
      <c r="AN76" s="17">
        <v>7.3014469882066297</v>
      </c>
      <c r="AO76" s="17"/>
      <c r="AP76" s="17"/>
      <c r="AQ76" s="17"/>
      <c r="AR76" s="17"/>
      <c r="AS76" s="17"/>
      <c r="AT76" s="17"/>
      <c r="AU76" s="17"/>
      <c r="AV76" s="17"/>
      <c r="AW76" s="17"/>
      <c r="AX76" s="17"/>
      <c r="AY76" s="17"/>
      <c r="AZ76" s="17"/>
      <c r="BA76" s="17"/>
      <c r="BB76" s="17"/>
      <c r="BC76" s="17"/>
      <c r="BD76" s="17"/>
      <c r="BE76" s="17"/>
      <c r="BF76" s="17"/>
      <c r="BG76" s="17"/>
      <c r="BH76" s="17"/>
      <c r="BI76" s="17"/>
      <c r="BJ76" s="17"/>
      <c r="BK76" s="17"/>
      <c r="BL76" s="17"/>
      <c r="BM76" s="17"/>
      <c r="BN76" s="17"/>
      <c r="BO76" s="17"/>
      <c r="BP76" s="17"/>
      <c r="BQ76" s="17"/>
      <c r="BR76" s="17"/>
      <c r="BS76" s="17"/>
      <c r="BT76" s="17"/>
      <c r="BU76" s="17"/>
      <c r="BV76" s="17"/>
      <c r="BW76" s="17"/>
      <c r="BX76" s="17"/>
      <c r="BY76" s="17"/>
      <c r="BZ76" s="17"/>
      <c r="CA76" s="17"/>
      <c r="CB76" s="17"/>
      <c r="CC76" s="17"/>
      <c r="CD76" s="17"/>
      <c r="CE76" s="17"/>
      <c r="CF76" s="17"/>
      <c r="CG76" s="17"/>
      <c r="CH76" s="17"/>
      <c r="CI76" s="17"/>
      <c r="CJ76" s="17"/>
      <c r="CK76" s="17"/>
      <c r="CL76" s="17"/>
      <c r="CM76" s="17"/>
      <c r="CN76" s="17"/>
      <c r="CO76" s="17"/>
      <c r="CP76" s="17"/>
      <c r="CQ76" s="17"/>
      <c r="CR76" s="17"/>
      <c r="CS76" s="17"/>
      <c r="CT76" s="17"/>
      <c r="CU76" s="17"/>
      <c r="CV76" s="17"/>
    </row>
    <row r="77" spans="2:100" x14ac:dyDescent="0.35">
      <c r="B77" s="9"/>
      <c r="C77" t="s">
        <v>230</v>
      </c>
      <c r="D77" t="s">
        <v>349</v>
      </c>
      <c r="E77" t="s">
        <v>219</v>
      </c>
      <c r="F77" s="17">
        <v>0</v>
      </c>
      <c r="G77" s="17">
        <v>7.0791900196367203</v>
      </c>
      <c r="H77" s="17">
        <v>6.6049965502897701</v>
      </c>
      <c r="I77" s="17">
        <v>6.3366584776840602</v>
      </c>
      <c r="J77" s="17">
        <v>6.1946856361862901</v>
      </c>
      <c r="K77" s="17">
        <v>6.0645595351049</v>
      </c>
      <c r="L77" s="17">
        <v>5.9627339805737201</v>
      </c>
      <c r="M77" s="17">
        <v>5.5227644279851704</v>
      </c>
      <c r="N77" s="17">
        <v>5.1631207899128997</v>
      </c>
      <c r="O77" s="17">
        <v>5.8286798597422704</v>
      </c>
      <c r="P77" s="17">
        <v>5.6812850973661204</v>
      </c>
      <c r="Q77" s="17">
        <v>5.3808020333484397</v>
      </c>
      <c r="R77" s="17">
        <v>5.7092304506410603</v>
      </c>
      <c r="S77" s="17">
        <v>5.7458675922991</v>
      </c>
      <c r="T77" s="17">
        <v>5.7169924683918198</v>
      </c>
      <c r="U77" s="17">
        <v>5.6623449383053801</v>
      </c>
      <c r="V77" s="17">
        <v>5.9633607922359602</v>
      </c>
      <c r="W77" s="17">
        <v>5.7518640905345402</v>
      </c>
      <c r="X77" s="17">
        <v>5.9157231059055801</v>
      </c>
      <c r="Y77" s="17">
        <v>5.4625800615489197</v>
      </c>
      <c r="Z77" s="17">
        <v>6.04569250407142</v>
      </c>
      <c r="AA77" s="17">
        <v>6.1243155802386102</v>
      </c>
      <c r="AB77" s="17">
        <v>6.2741758018195899</v>
      </c>
      <c r="AC77" s="17">
        <v>6.2593725997296499</v>
      </c>
      <c r="AD77" s="17">
        <v>6.3856438090882497</v>
      </c>
      <c r="AE77" s="17">
        <v>6.5403513741905703</v>
      </c>
      <c r="AF77" s="17">
        <v>6.54817607310755</v>
      </c>
      <c r="AG77" s="17">
        <v>6.4427672452405602</v>
      </c>
      <c r="AH77" s="17">
        <v>6.2957799104448604</v>
      </c>
      <c r="AI77" s="17">
        <v>6.2610754380787403</v>
      </c>
      <c r="AJ77" s="17">
        <v>6.1556561633506997</v>
      </c>
      <c r="AK77" s="17">
        <v>6.0137773436022703</v>
      </c>
      <c r="AL77" s="17">
        <v>6.06459087568801</v>
      </c>
      <c r="AM77" s="17">
        <v>6.19531244784854</v>
      </c>
      <c r="AN77" s="17">
        <v>6.1404141930971896</v>
      </c>
      <c r="AO77" s="17"/>
      <c r="AP77" s="17"/>
      <c r="AQ77" s="17"/>
      <c r="AR77" s="17"/>
      <c r="AS77" s="17"/>
      <c r="AT77" s="17"/>
      <c r="AU77" s="17"/>
      <c r="AV77" s="17"/>
      <c r="AW77" s="17"/>
      <c r="AX77" s="17"/>
      <c r="AY77" s="17"/>
      <c r="AZ77" s="17"/>
      <c r="BA77" s="17"/>
      <c r="BB77" s="17"/>
      <c r="BC77" s="17"/>
      <c r="BD77" s="17"/>
      <c r="BE77" s="17"/>
      <c r="BF77" s="17"/>
      <c r="BG77" s="17"/>
      <c r="BH77" s="17"/>
      <c r="BI77" s="17"/>
      <c r="BJ77" s="17"/>
      <c r="BK77" s="17"/>
      <c r="BL77" s="17"/>
      <c r="BM77" s="17"/>
      <c r="BN77" s="17"/>
      <c r="BO77" s="17"/>
      <c r="BP77" s="17"/>
      <c r="BQ77" s="17"/>
      <c r="BR77" s="17"/>
      <c r="BS77" s="17"/>
      <c r="BT77" s="17"/>
      <c r="BU77" s="17"/>
      <c r="BV77" s="17"/>
      <c r="BW77" s="17"/>
      <c r="BX77" s="17"/>
      <c r="BY77" s="17"/>
      <c r="BZ77" s="17"/>
      <c r="CA77" s="17"/>
      <c r="CB77" s="17"/>
      <c r="CC77" s="17"/>
      <c r="CD77" s="17"/>
      <c r="CE77" s="17"/>
      <c r="CF77" s="17"/>
      <c r="CG77" s="17"/>
      <c r="CH77" s="17"/>
      <c r="CI77" s="17"/>
      <c r="CJ77" s="17"/>
      <c r="CK77" s="17"/>
      <c r="CL77" s="17"/>
      <c r="CM77" s="17"/>
      <c r="CN77" s="17"/>
      <c r="CO77" s="17"/>
      <c r="CP77" s="17"/>
      <c r="CQ77" s="17"/>
      <c r="CR77" s="17"/>
      <c r="CS77" s="17"/>
      <c r="CT77" s="17"/>
      <c r="CU77" s="17"/>
      <c r="CV77" s="17"/>
    </row>
    <row r="78" spans="2:100" x14ac:dyDescent="0.35">
      <c r="B78" s="9"/>
      <c r="C78" t="s">
        <v>230</v>
      </c>
      <c r="D78" t="s">
        <v>350</v>
      </c>
      <c r="E78" t="s">
        <v>219</v>
      </c>
      <c r="F78" s="17">
        <v>0</v>
      </c>
      <c r="G78" s="17">
        <v>51.432372793004902</v>
      </c>
      <c r="H78" s="17">
        <v>40.058718478712002</v>
      </c>
      <c r="I78" s="17">
        <v>27.415948145017101</v>
      </c>
      <c r="J78" s="17">
        <v>26.6869452881078</v>
      </c>
      <c r="K78" s="17">
        <v>24.859935548727499</v>
      </c>
      <c r="L78" s="17">
        <v>25.014925179077899</v>
      </c>
      <c r="M78" s="17">
        <v>23.524189449629201</v>
      </c>
      <c r="N78" s="17">
        <v>23.198853303203698</v>
      </c>
      <c r="O78" s="17">
        <v>26.185192999344299</v>
      </c>
      <c r="P78" s="17">
        <v>25.002190455473301</v>
      </c>
      <c r="Q78" s="17">
        <v>24.759405404965001</v>
      </c>
      <c r="R78" s="17">
        <v>25.5793272934824</v>
      </c>
      <c r="S78" s="17">
        <v>25.913010481876899</v>
      </c>
      <c r="T78" s="17">
        <v>25.332781373000699</v>
      </c>
      <c r="U78" s="17">
        <v>24.668308776719201</v>
      </c>
      <c r="V78" s="17">
        <v>25.5076722736272</v>
      </c>
      <c r="W78" s="17">
        <v>24.778732097884099</v>
      </c>
      <c r="X78" s="17">
        <v>24.663983776249701</v>
      </c>
      <c r="Y78" s="17">
        <v>24.771356613991699</v>
      </c>
      <c r="Z78" s="17">
        <v>26.110790455036199</v>
      </c>
      <c r="AA78" s="17">
        <v>26.6245879745758</v>
      </c>
      <c r="AB78" s="17">
        <v>26.636466055575301</v>
      </c>
      <c r="AC78" s="17">
        <v>26.429994294032799</v>
      </c>
      <c r="AD78" s="17">
        <v>26.014365927661402</v>
      </c>
      <c r="AE78" s="17">
        <v>26.399928227967301</v>
      </c>
      <c r="AF78" s="17">
        <v>26.341175081493201</v>
      </c>
      <c r="AG78" s="17">
        <v>26.3094793051058</v>
      </c>
      <c r="AH78" s="17">
        <v>25.9766423124554</v>
      </c>
      <c r="AI78" s="17">
        <v>25.772646456978801</v>
      </c>
      <c r="AJ78" s="17">
        <v>25.6730460838486</v>
      </c>
      <c r="AK78" s="17">
        <v>25.361781859240399</v>
      </c>
      <c r="AL78" s="17">
        <v>25.149177790269</v>
      </c>
      <c r="AM78" s="17">
        <v>25.529443532028999</v>
      </c>
      <c r="AN78" s="17">
        <v>25.746372601469901</v>
      </c>
      <c r="AO78" s="17"/>
      <c r="AP78" s="17"/>
      <c r="AQ78" s="17"/>
      <c r="AR78" s="17"/>
      <c r="AS78" s="17"/>
      <c r="AT78" s="17"/>
      <c r="AU78" s="17"/>
      <c r="AV78" s="17"/>
      <c r="AW78" s="17"/>
      <c r="AX78" s="17"/>
      <c r="AY78" s="17"/>
      <c r="AZ78" s="17"/>
      <c r="BA78" s="17"/>
      <c r="BB78" s="17"/>
      <c r="BC78" s="17"/>
      <c r="BD78" s="17"/>
      <c r="BE78" s="17"/>
      <c r="BF78" s="17"/>
      <c r="BG78" s="17"/>
      <c r="BH78" s="17"/>
      <c r="BI78" s="17"/>
      <c r="BJ78" s="17"/>
      <c r="BK78" s="17"/>
      <c r="BL78" s="17"/>
      <c r="BM78" s="17"/>
      <c r="BN78" s="17"/>
      <c r="BO78" s="17"/>
      <c r="BP78" s="17"/>
      <c r="BQ78" s="17"/>
      <c r="BR78" s="17"/>
      <c r="BS78" s="17"/>
      <c r="BT78" s="17"/>
      <c r="BU78" s="17"/>
      <c r="BV78" s="17"/>
      <c r="BW78" s="17"/>
      <c r="BX78" s="17"/>
      <c r="BY78" s="17"/>
      <c r="BZ78" s="17"/>
      <c r="CA78" s="17"/>
      <c r="CB78" s="17"/>
      <c r="CC78" s="17"/>
      <c r="CD78" s="17"/>
      <c r="CE78" s="17"/>
      <c r="CF78" s="17"/>
      <c r="CG78" s="17"/>
      <c r="CH78" s="17"/>
      <c r="CI78" s="17"/>
      <c r="CJ78" s="17"/>
      <c r="CK78" s="17"/>
      <c r="CL78" s="17"/>
      <c r="CM78" s="17"/>
      <c r="CN78" s="17"/>
      <c r="CO78" s="17"/>
      <c r="CP78" s="17"/>
      <c r="CQ78" s="17"/>
      <c r="CR78" s="17"/>
      <c r="CS78" s="17"/>
      <c r="CT78" s="17"/>
      <c r="CU78" s="17"/>
      <c r="CV78" s="17"/>
    </row>
    <row r="79" spans="2:100" x14ac:dyDescent="0.35">
      <c r="B79" s="9"/>
      <c r="D79" t="s">
        <v>351</v>
      </c>
      <c r="E79" t="s">
        <v>219</v>
      </c>
      <c r="F79" s="17">
        <v>0</v>
      </c>
      <c r="G79" s="17">
        <v>-22.8973568936654</v>
      </c>
      <c r="H79" s="17">
        <v>-21.905793078304001</v>
      </c>
      <c r="I79" s="17">
        <v>-22.161960557801201</v>
      </c>
      <c r="J79" s="17">
        <v>-22.260662500882201</v>
      </c>
      <c r="K79" s="17">
        <v>-21.740690886469501</v>
      </c>
      <c r="L79" s="17">
        <v>-22.173629701580001</v>
      </c>
      <c r="M79" s="17">
        <v>-20.7635228456177</v>
      </c>
      <c r="N79" s="17">
        <v>-20.385336029204101</v>
      </c>
      <c r="O79" s="17">
        <v>-19.948124447929398</v>
      </c>
      <c r="P79" s="17">
        <v>-19.274646657433699</v>
      </c>
      <c r="Q79" s="17">
        <v>-20.653214439924199</v>
      </c>
      <c r="R79" s="17">
        <v>-19.319766650254099</v>
      </c>
      <c r="S79" s="17">
        <v>-19.8666702724211</v>
      </c>
      <c r="T79" s="17">
        <v>-19.359778128027202</v>
      </c>
      <c r="U79" s="17">
        <v>-19.467025603436799</v>
      </c>
      <c r="V79" s="17">
        <v>-20.405665620782798</v>
      </c>
      <c r="W79" s="17">
        <v>-19.028142524396099</v>
      </c>
      <c r="X79" s="17">
        <v>-19.407405367496501</v>
      </c>
      <c r="Y79" s="17">
        <v>-20.103928933440699</v>
      </c>
      <c r="Z79" s="17">
        <v>-19.799789468059899</v>
      </c>
      <c r="AA79" s="17">
        <v>-20.990449561071301</v>
      </c>
      <c r="AB79" s="17">
        <v>-22.5776516053389</v>
      </c>
      <c r="AC79" s="17">
        <v>-22.036807162573599</v>
      </c>
      <c r="AD79" s="17">
        <v>-22.429065900804499</v>
      </c>
      <c r="AE79" s="17">
        <v>-22.976209800775401</v>
      </c>
      <c r="AF79" s="17">
        <v>-23.828140871511302</v>
      </c>
      <c r="AG79" s="17">
        <v>-23.056253650043701</v>
      </c>
      <c r="AH79" s="17">
        <v>-22.936783347220398</v>
      </c>
      <c r="AI79" s="17">
        <v>-23.024850385765301</v>
      </c>
      <c r="AJ79" s="17">
        <v>-23.7468433989186</v>
      </c>
      <c r="AK79" s="17">
        <v>-22.490357634510701</v>
      </c>
      <c r="AL79" s="17">
        <v>-21.9275747835669</v>
      </c>
      <c r="AM79" s="17">
        <v>-21.159939434541499</v>
      </c>
      <c r="AN79" s="17">
        <v>-21.3844633719565</v>
      </c>
      <c r="AO79" s="17"/>
      <c r="AP79" s="17"/>
      <c r="AQ79" s="17"/>
      <c r="AR79" s="17"/>
      <c r="AS79" s="17"/>
      <c r="AT79" s="17"/>
      <c r="AU79" s="17"/>
      <c r="AV79" s="17"/>
      <c r="AW79" s="17"/>
      <c r="AX79" s="17"/>
      <c r="AY79" s="17"/>
      <c r="AZ79" s="17"/>
      <c r="BA79" s="17"/>
      <c r="BB79" s="17"/>
      <c r="BC79" s="17"/>
      <c r="BD79" s="17"/>
      <c r="BE79" s="17"/>
      <c r="BF79" s="17"/>
      <c r="BG79" s="17"/>
      <c r="BH79" s="17"/>
      <c r="BI79" s="17"/>
      <c r="BJ79" s="17"/>
      <c r="BK79" s="17"/>
      <c r="BL79" s="17"/>
      <c r="BM79" s="17"/>
      <c r="BN79" s="17"/>
      <c r="BO79" s="17"/>
      <c r="BP79" s="17"/>
      <c r="BQ79" s="17"/>
      <c r="BR79" s="17"/>
      <c r="BS79" s="17"/>
      <c r="BT79" s="17"/>
      <c r="BU79" s="17"/>
      <c r="BV79" s="17"/>
      <c r="BW79" s="17"/>
      <c r="BX79" s="17"/>
      <c r="BY79" s="17"/>
      <c r="BZ79" s="17"/>
      <c r="CA79" s="17"/>
      <c r="CB79" s="17"/>
      <c r="CC79" s="17"/>
      <c r="CD79" s="17"/>
      <c r="CE79" s="17"/>
      <c r="CF79" s="17"/>
      <c r="CG79" s="17"/>
      <c r="CH79" s="17"/>
      <c r="CI79" s="17"/>
      <c r="CJ79" s="17"/>
      <c r="CK79" s="17"/>
      <c r="CL79" s="17"/>
      <c r="CM79" s="17"/>
      <c r="CN79" s="17"/>
      <c r="CO79" s="17"/>
      <c r="CP79" s="17"/>
      <c r="CQ79" s="17"/>
      <c r="CR79" s="17"/>
      <c r="CS79" s="17"/>
      <c r="CT79" s="17"/>
      <c r="CU79" s="17"/>
      <c r="CV79" s="17"/>
    </row>
    <row r="80" spans="2:100" x14ac:dyDescent="0.35">
      <c r="B80" s="9"/>
      <c r="C80" t="s">
        <v>230</v>
      </c>
      <c r="D80" t="s">
        <v>352</v>
      </c>
      <c r="E80" t="s">
        <v>219</v>
      </c>
      <c r="F80" s="17">
        <v>0</v>
      </c>
      <c r="G80" s="17">
        <v>148.18093045666299</v>
      </c>
      <c r="H80" s="17">
        <v>125.537139774096</v>
      </c>
      <c r="I80" s="17">
        <v>94.539036107394907</v>
      </c>
      <c r="J80" s="17">
        <v>80.413292062002199</v>
      </c>
      <c r="K80" s="17">
        <v>79.052275006054501</v>
      </c>
      <c r="L80" s="17">
        <v>87.257824689017596</v>
      </c>
      <c r="M80" s="17">
        <v>77.776546123615802</v>
      </c>
      <c r="N80" s="17">
        <v>74.659808708006807</v>
      </c>
      <c r="O80" s="17">
        <v>76.147170101340393</v>
      </c>
      <c r="P80" s="17">
        <v>70.514442014075897</v>
      </c>
      <c r="Q80" s="17">
        <v>69.771116510684394</v>
      </c>
      <c r="R80" s="17">
        <v>68.236838264432095</v>
      </c>
      <c r="S80" s="17">
        <v>69.349805051908604</v>
      </c>
      <c r="T80" s="17">
        <v>71.039260972009899</v>
      </c>
      <c r="U80" s="17">
        <v>70.283608172594299</v>
      </c>
      <c r="V80" s="17">
        <v>70.652842029098906</v>
      </c>
      <c r="W80" s="17">
        <v>68.111904253286198</v>
      </c>
      <c r="X80" s="17">
        <v>67.764253611684893</v>
      </c>
      <c r="Y80" s="17">
        <v>67.349471441057403</v>
      </c>
      <c r="Z80" s="17">
        <v>70.499492555931496</v>
      </c>
      <c r="AA80" s="17">
        <v>70.054780128431901</v>
      </c>
      <c r="AB80" s="17">
        <v>72.438785157741293</v>
      </c>
      <c r="AC80" s="17">
        <v>71.576532588300495</v>
      </c>
      <c r="AD80" s="17">
        <v>71.875647113522305</v>
      </c>
      <c r="AE80" s="17">
        <v>72.112707284182093</v>
      </c>
      <c r="AF80" s="17">
        <v>71.509317484386102</v>
      </c>
      <c r="AG80" s="17">
        <v>72.204138211981103</v>
      </c>
      <c r="AH80" s="17">
        <v>71.285274102578796</v>
      </c>
      <c r="AI80" s="17">
        <v>71.753826266965604</v>
      </c>
      <c r="AJ80" s="17">
        <v>72.419176399574198</v>
      </c>
      <c r="AK80" s="17">
        <v>69.649682197986095</v>
      </c>
      <c r="AL80" s="17">
        <v>71.709364426390593</v>
      </c>
      <c r="AM80" s="17">
        <v>72.788044615942496</v>
      </c>
      <c r="AN80" s="17">
        <v>70.759556714595604</v>
      </c>
      <c r="AO80" s="17"/>
      <c r="AP80" s="17"/>
      <c r="AQ80" s="17"/>
      <c r="AR80" s="17"/>
      <c r="AS80" s="17"/>
      <c r="AT80" s="17"/>
      <c r="AU80" s="17"/>
      <c r="AV80" s="17"/>
      <c r="AW80" s="17"/>
      <c r="AX80" s="17"/>
      <c r="AY80" s="17"/>
      <c r="AZ80" s="17"/>
      <c r="BA80" s="17"/>
      <c r="BB80" s="17"/>
      <c r="BC80" s="17"/>
      <c r="BD80" s="17"/>
      <c r="BE80" s="17"/>
      <c r="BF80" s="17"/>
      <c r="BG80" s="17"/>
      <c r="BH80" s="17"/>
      <c r="BI80" s="17"/>
      <c r="BJ80" s="17"/>
      <c r="BK80" s="17"/>
      <c r="BL80" s="17"/>
      <c r="BM80" s="17"/>
      <c r="BN80" s="17"/>
      <c r="BO80" s="17"/>
      <c r="BP80" s="17"/>
      <c r="BQ80" s="17"/>
      <c r="BR80" s="17"/>
      <c r="BS80" s="17"/>
      <c r="BT80" s="17"/>
      <c r="BU80" s="17"/>
      <c r="BV80" s="17"/>
      <c r="BW80" s="17"/>
      <c r="BX80" s="17"/>
      <c r="BY80" s="17"/>
      <c r="BZ80" s="17"/>
      <c r="CA80" s="17"/>
      <c r="CB80" s="17"/>
      <c r="CC80" s="17"/>
      <c r="CD80" s="17"/>
      <c r="CE80" s="17"/>
      <c r="CF80" s="17"/>
      <c r="CG80" s="17"/>
      <c r="CH80" s="17"/>
      <c r="CI80" s="17"/>
      <c r="CJ80" s="17"/>
      <c r="CK80" s="17"/>
      <c r="CL80" s="17"/>
      <c r="CM80" s="17"/>
      <c r="CN80" s="17"/>
      <c r="CO80" s="17"/>
      <c r="CP80" s="17"/>
      <c r="CQ80" s="17"/>
      <c r="CR80" s="17"/>
      <c r="CS80" s="17"/>
      <c r="CT80" s="17"/>
      <c r="CU80" s="17"/>
      <c r="CV80" s="17"/>
    </row>
    <row r="81" spans="1:100" x14ac:dyDescent="0.35">
      <c r="B81" s="9"/>
      <c r="C81" t="s">
        <v>230</v>
      </c>
      <c r="D81" t="s">
        <v>354</v>
      </c>
      <c r="E81" t="s">
        <v>124</v>
      </c>
      <c r="F81" s="17">
        <v>0</v>
      </c>
      <c r="G81" s="17">
        <v>1</v>
      </c>
      <c r="H81" s="17">
        <v>1</v>
      </c>
      <c r="I81" s="17">
        <v>1</v>
      </c>
      <c r="J81" s="17">
        <v>1</v>
      </c>
      <c r="K81" s="17">
        <v>1</v>
      </c>
      <c r="L81" s="17">
        <v>1</v>
      </c>
      <c r="M81" s="17">
        <v>1</v>
      </c>
      <c r="N81" s="17">
        <v>1</v>
      </c>
      <c r="O81" s="17">
        <v>1</v>
      </c>
      <c r="P81" s="17">
        <v>1</v>
      </c>
      <c r="Q81" s="17">
        <v>1</v>
      </c>
      <c r="R81" s="17">
        <v>1</v>
      </c>
      <c r="S81" s="17">
        <v>1</v>
      </c>
      <c r="T81" s="17">
        <v>1</v>
      </c>
      <c r="U81" s="17">
        <v>1</v>
      </c>
      <c r="V81" s="17">
        <v>1</v>
      </c>
      <c r="W81" s="17">
        <v>1</v>
      </c>
      <c r="X81" s="17">
        <v>1</v>
      </c>
      <c r="Y81" s="17">
        <v>1</v>
      </c>
      <c r="Z81" s="17">
        <v>1</v>
      </c>
      <c r="AA81" s="17">
        <v>1</v>
      </c>
      <c r="AB81" s="17">
        <v>1</v>
      </c>
      <c r="AC81" s="17">
        <v>1</v>
      </c>
      <c r="AD81" s="17">
        <v>1</v>
      </c>
      <c r="AE81" s="17">
        <v>1</v>
      </c>
      <c r="AF81" s="17">
        <v>1</v>
      </c>
      <c r="AG81" s="17">
        <v>1</v>
      </c>
      <c r="AH81" s="17">
        <v>1</v>
      </c>
      <c r="AI81" s="17">
        <v>1</v>
      </c>
      <c r="AJ81" s="17">
        <v>1</v>
      </c>
      <c r="AK81" s="17">
        <v>1</v>
      </c>
      <c r="AL81" s="17">
        <v>1</v>
      </c>
      <c r="AM81" s="17">
        <v>1</v>
      </c>
      <c r="AN81" s="17">
        <v>1</v>
      </c>
      <c r="AO81" s="17"/>
      <c r="AP81" s="17"/>
      <c r="AQ81" s="17"/>
      <c r="AR81" s="17"/>
      <c r="AS81" s="17"/>
      <c r="AT81" s="17"/>
      <c r="AU81" s="17"/>
      <c r="AV81" s="17"/>
      <c r="AW81" s="17"/>
      <c r="AX81" s="17"/>
      <c r="AY81" s="17"/>
      <c r="AZ81" s="17"/>
      <c r="BA81" s="17"/>
      <c r="BB81" s="17"/>
      <c r="BC81" s="17"/>
      <c r="BD81" s="17"/>
      <c r="BE81" s="17"/>
      <c r="BF81" s="17"/>
      <c r="BG81" s="17"/>
      <c r="BH81" s="17"/>
      <c r="BI81" s="17"/>
      <c r="BJ81" s="17"/>
      <c r="BK81" s="17"/>
      <c r="BL81" s="17"/>
      <c r="BM81" s="17"/>
      <c r="BN81" s="17"/>
      <c r="BO81" s="17"/>
      <c r="BP81" s="17"/>
      <c r="BQ81" s="17"/>
      <c r="BR81" s="17"/>
      <c r="BS81" s="17"/>
      <c r="BT81" s="17"/>
      <c r="BU81" s="17"/>
      <c r="BV81" s="17"/>
      <c r="BW81" s="17"/>
      <c r="BX81" s="17"/>
      <c r="BY81" s="17"/>
      <c r="BZ81" s="17"/>
      <c r="CA81" s="17"/>
      <c r="CB81" s="17"/>
      <c r="CC81" s="17"/>
      <c r="CD81" s="17"/>
      <c r="CE81" s="17"/>
      <c r="CF81" s="17"/>
      <c r="CG81" s="17"/>
      <c r="CH81" s="17"/>
      <c r="CI81" s="17"/>
      <c r="CJ81" s="17"/>
      <c r="CK81" s="17"/>
      <c r="CL81" s="17"/>
      <c r="CM81" s="17"/>
      <c r="CN81" s="17"/>
      <c r="CO81" s="17"/>
      <c r="CP81" s="17"/>
      <c r="CQ81" s="17"/>
      <c r="CR81" s="17"/>
      <c r="CS81" s="17"/>
      <c r="CT81" s="17"/>
      <c r="CU81" s="17"/>
      <c r="CV81" s="17"/>
    </row>
    <row r="82" spans="1:100" x14ac:dyDescent="0.35">
      <c r="B82" s="9"/>
      <c r="C82" t="s">
        <v>338</v>
      </c>
      <c r="D82" t="s">
        <v>353</v>
      </c>
      <c r="E82" t="s">
        <v>221</v>
      </c>
      <c r="F82" s="17">
        <v>0</v>
      </c>
      <c r="G82" s="17">
        <v>0</v>
      </c>
      <c r="H82" s="17">
        <v>0</v>
      </c>
      <c r="I82" s="17">
        <v>0</v>
      </c>
      <c r="J82" s="17">
        <v>0</v>
      </c>
      <c r="K82" s="17">
        <v>0</v>
      </c>
      <c r="L82" s="17">
        <v>0</v>
      </c>
      <c r="M82" s="17">
        <v>0</v>
      </c>
      <c r="N82" s="17">
        <v>0</v>
      </c>
      <c r="O82" s="17">
        <v>0</v>
      </c>
      <c r="P82" s="17">
        <v>0</v>
      </c>
      <c r="Q82" s="17">
        <v>0</v>
      </c>
      <c r="R82" s="17">
        <v>0</v>
      </c>
      <c r="S82" s="17">
        <v>0</v>
      </c>
      <c r="T82" s="17">
        <v>0</v>
      </c>
      <c r="U82" s="17">
        <v>0</v>
      </c>
      <c r="V82" s="17">
        <v>0</v>
      </c>
      <c r="W82" s="17">
        <v>0</v>
      </c>
      <c r="X82" s="17">
        <v>0</v>
      </c>
      <c r="Y82" s="17">
        <v>0</v>
      </c>
      <c r="Z82" s="17">
        <v>0</v>
      </c>
      <c r="AA82" s="17">
        <v>0</v>
      </c>
      <c r="AB82" s="17">
        <v>0</v>
      </c>
      <c r="AC82" s="17">
        <v>0</v>
      </c>
      <c r="AD82" s="17">
        <v>0</v>
      </c>
      <c r="AE82" s="17">
        <v>0</v>
      </c>
      <c r="AF82" s="17">
        <v>0</v>
      </c>
      <c r="AG82" s="17">
        <v>0</v>
      </c>
      <c r="AH82" s="17">
        <v>0</v>
      </c>
      <c r="AI82" s="17">
        <v>0</v>
      </c>
      <c r="AJ82" s="17">
        <v>0</v>
      </c>
      <c r="AK82" s="17">
        <v>0</v>
      </c>
      <c r="AL82" s="17">
        <v>0</v>
      </c>
      <c r="AM82" s="17">
        <v>0</v>
      </c>
      <c r="AN82" s="17">
        <v>0</v>
      </c>
      <c r="AO82" s="17"/>
      <c r="AP82" s="17"/>
      <c r="AQ82" s="17"/>
      <c r="AR82" s="17"/>
      <c r="AS82" s="17"/>
      <c r="AT82" s="17"/>
      <c r="AU82" s="17"/>
      <c r="AV82" s="17"/>
      <c r="AW82" s="17"/>
      <c r="AX82" s="17"/>
      <c r="AY82" s="17"/>
      <c r="AZ82" s="17"/>
      <c r="BA82" s="17"/>
      <c r="BB82" s="17"/>
      <c r="BC82" s="17"/>
      <c r="BD82" s="17"/>
      <c r="BE82" s="17"/>
      <c r="BF82" s="17"/>
      <c r="BG82" s="17"/>
      <c r="BH82" s="17"/>
      <c r="BI82" s="17"/>
      <c r="BJ82" s="17"/>
      <c r="BK82" s="17"/>
      <c r="BL82" s="17"/>
      <c r="BM82" s="17"/>
      <c r="BN82" s="17"/>
      <c r="BO82" s="17"/>
      <c r="BP82" s="17"/>
      <c r="BQ82" s="17"/>
      <c r="BR82" s="17"/>
      <c r="BS82" s="17"/>
      <c r="BT82" s="17"/>
      <c r="BU82" s="17"/>
      <c r="BV82" s="17"/>
      <c r="BW82" s="17"/>
      <c r="BX82" s="17"/>
      <c r="BY82" s="17"/>
      <c r="BZ82" s="17"/>
      <c r="CA82" s="17"/>
      <c r="CB82" s="17"/>
      <c r="CC82" s="17"/>
      <c r="CD82" s="17"/>
      <c r="CE82" s="17"/>
      <c r="CF82" s="17"/>
      <c r="CG82" s="17"/>
      <c r="CH82" s="17"/>
      <c r="CI82" s="17"/>
      <c r="CJ82" s="17"/>
      <c r="CK82" s="17"/>
      <c r="CL82" s="17"/>
      <c r="CM82" s="17"/>
      <c r="CN82" s="17"/>
      <c r="CO82" s="17"/>
      <c r="CP82" s="17"/>
      <c r="CQ82" s="17"/>
      <c r="CR82" s="17"/>
      <c r="CS82" s="17"/>
      <c r="CT82" s="17"/>
      <c r="CU82" s="17"/>
      <c r="CV82" s="17"/>
    </row>
    <row r="83" spans="1:100" x14ac:dyDescent="0.35">
      <c r="B83" s="9"/>
      <c r="C83" t="s">
        <v>230</v>
      </c>
      <c r="D83" t="s">
        <v>358</v>
      </c>
      <c r="E83" t="s">
        <v>221</v>
      </c>
      <c r="F83" s="17">
        <v>0</v>
      </c>
      <c r="G83" s="17">
        <v>5.9977400000000003</v>
      </c>
      <c r="H83" s="17">
        <v>10.929679999999999</v>
      </c>
      <c r="I83" s="17">
        <v>8.8837499999999991</v>
      </c>
      <c r="J83" s="17">
        <v>13.27014</v>
      </c>
      <c r="K83" s="17">
        <v>13.245889999999999</v>
      </c>
      <c r="L83" s="17">
        <v>13.97616</v>
      </c>
      <c r="M83" s="17">
        <v>21.234629999999999</v>
      </c>
      <c r="N83" s="17">
        <v>29.149149999999999</v>
      </c>
      <c r="O83" s="17">
        <v>30.081939999999999</v>
      </c>
      <c r="P83" s="17">
        <v>30.462520000000001</v>
      </c>
      <c r="Q83" s="17">
        <v>29.987349999999999</v>
      </c>
      <c r="R83" s="17">
        <v>25.98142</v>
      </c>
      <c r="S83" s="17">
        <v>26.420999999999999</v>
      </c>
      <c r="T83" s="17">
        <v>24.119509999999998</v>
      </c>
      <c r="U83" s="17">
        <v>26.36713</v>
      </c>
      <c r="V83" s="17">
        <v>23.083600000000001</v>
      </c>
      <c r="W83" s="17">
        <v>21.06748</v>
      </c>
      <c r="X83" s="17">
        <v>22.104600000000001</v>
      </c>
      <c r="Y83" s="17">
        <v>24.114239999999999</v>
      </c>
      <c r="Z83" s="17">
        <v>23.913640000000001</v>
      </c>
      <c r="AA83" s="17">
        <v>23.345120000000001</v>
      </c>
      <c r="AB83" s="17">
        <v>18.66761</v>
      </c>
      <c r="AC83" s="17">
        <v>17.688490000000002</v>
      </c>
      <c r="AD83" s="17">
        <v>16.35134</v>
      </c>
      <c r="AE83" s="17">
        <v>18.071359999999999</v>
      </c>
      <c r="AF83" s="17">
        <v>18.806830000000001</v>
      </c>
      <c r="AG83" s="17">
        <v>19.085049999999999</v>
      </c>
      <c r="AH83" s="17">
        <v>19.237010000000001</v>
      </c>
      <c r="AI83" s="17">
        <v>17.4008</v>
      </c>
      <c r="AJ83" s="17">
        <v>17.693100000000001</v>
      </c>
      <c r="AK83" s="17">
        <v>20.8628</v>
      </c>
      <c r="AL83" s="17">
        <v>22.19567</v>
      </c>
      <c r="AM83" s="17">
        <v>23.301780000000001</v>
      </c>
      <c r="AN83" s="17">
        <v>24.340109999999999</v>
      </c>
      <c r="AO83" s="17"/>
      <c r="AP83" s="17"/>
      <c r="AQ83" s="17"/>
      <c r="AR83" s="17"/>
      <c r="AS83" s="17"/>
      <c r="AT83" s="17"/>
      <c r="AU83" s="17"/>
      <c r="AV83" s="17"/>
      <c r="AW83" s="17"/>
      <c r="AX83" s="17"/>
      <c r="AY83" s="17"/>
      <c r="AZ83" s="17"/>
      <c r="BA83" s="17"/>
      <c r="BB83" s="17"/>
      <c r="BC83" s="17"/>
      <c r="BD83" s="17"/>
      <c r="BE83" s="17"/>
      <c r="BF83" s="17"/>
      <c r="BG83" s="17"/>
      <c r="BH83" s="17"/>
      <c r="BI83" s="17"/>
      <c r="BJ83" s="17"/>
      <c r="BK83" s="17"/>
      <c r="BL83" s="17"/>
      <c r="BM83" s="17"/>
      <c r="BN83" s="17"/>
      <c r="BO83" s="17"/>
      <c r="BP83" s="17"/>
      <c r="BQ83" s="17"/>
      <c r="BR83" s="17"/>
      <c r="BS83" s="17"/>
      <c r="BT83" s="17"/>
      <c r="BU83" s="17"/>
      <c r="BV83" s="17"/>
      <c r="BW83" s="17"/>
      <c r="BX83" s="17"/>
      <c r="BY83" s="17"/>
      <c r="BZ83" s="17"/>
      <c r="CA83" s="17"/>
      <c r="CB83" s="17"/>
      <c r="CC83" s="17"/>
      <c r="CD83" s="17"/>
      <c r="CE83" s="17"/>
      <c r="CF83" s="17"/>
      <c r="CG83" s="17"/>
      <c r="CH83" s="17"/>
      <c r="CI83" s="17"/>
      <c r="CJ83" s="17"/>
      <c r="CK83" s="17"/>
      <c r="CL83" s="17"/>
      <c r="CM83" s="17"/>
      <c r="CN83" s="17"/>
      <c r="CO83" s="17"/>
      <c r="CP83" s="17"/>
      <c r="CQ83" s="17"/>
      <c r="CR83" s="17"/>
      <c r="CS83" s="17"/>
      <c r="CT83" s="17"/>
      <c r="CU83" s="17"/>
      <c r="CV83" s="17"/>
    </row>
    <row r="84" spans="1:100" x14ac:dyDescent="0.35">
      <c r="B84" s="9"/>
      <c r="C84" t="s">
        <v>230</v>
      </c>
      <c r="D84" t="s">
        <v>359</v>
      </c>
      <c r="E84" t="s">
        <v>221</v>
      </c>
      <c r="F84" s="17">
        <v>0</v>
      </c>
      <c r="G84" s="17">
        <v>1152.27397</v>
      </c>
      <c r="H84" s="17">
        <v>1128.7494300000001</v>
      </c>
      <c r="I84" s="17">
        <v>1136.64141</v>
      </c>
      <c r="J84" s="17">
        <v>1131.26954</v>
      </c>
      <c r="K84" s="17">
        <v>1121.9839899999999</v>
      </c>
      <c r="L84" s="17">
        <v>1126.57052</v>
      </c>
      <c r="M84" s="17">
        <v>1084.3366900000001</v>
      </c>
      <c r="N84" s="17">
        <v>1066.9667999999999</v>
      </c>
      <c r="O84" s="17">
        <v>1052.63462</v>
      </c>
      <c r="P84" s="17">
        <v>1031.42551</v>
      </c>
      <c r="Q84" s="17">
        <v>1069.46731</v>
      </c>
      <c r="R84" s="17">
        <v>1042.6347699999999</v>
      </c>
      <c r="S84" s="17">
        <v>1061.13707</v>
      </c>
      <c r="T84" s="17">
        <v>1042.3739</v>
      </c>
      <c r="U84" s="17">
        <v>1048.57572</v>
      </c>
      <c r="V84" s="17">
        <v>1076.7719999999999</v>
      </c>
      <c r="W84" s="17">
        <v>1033.4927299999999</v>
      </c>
      <c r="X84" s="17">
        <v>1042.75488</v>
      </c>
      <c r="Y84" s="17">
        <v>1062.48</v>
      </c>
      <c r="Z84" s="17">
        <v>1054.82062</v>
      </c>
      <c r="AA84" s="17">
        <v>1090.98416</v>
      </c>
      <c r="AB84" s="17">
        <v>1133.5256199999999</v>
      </c>
      <c r="AC84" s="17">
        <v>1123.7223200000001</v>
      </c>
      <c r="AD84" s="17">
        <v>1138.43831</v>
      </c>
      <c r="AE84" s="17">
        <v>1149.8885399999999</v>
      </c>
      <c r="AF84" s="17">
        <v>1172.33059</v>
      </c>
      <c r="AG84" s="17">
        <v>1148.8824199999999</v>
      </c>
      <c r="AH84" s="17">
        <v>1145.75044</v>
      </c>
      <c r="AI84" s="17">
        <v>1153.95723</v>
      </c>
      <c r="AJ84" s="17">
        <v>1167.3832299999999</v>
      </c>
      <c r="AK84" s="17">
        <v>1133.8608099999999</v>
      </c>
      <c r="AL84" s="17">
        <v>1116.6936700000001</v>
      </c>
      <c r="AM84" s="17">
        <v>1096.64003</v>
      </c>
      <c r="AN84" s="17">
        <v>1096.5441900000001</v>
      </c>
      <c r="AO84" s="17"/>
      <c r="AP84" s="17"/>
      <c r="AQ84" s="17"/>
      <c r="AR84" s="17"/>
      <c r="AS84" s="17"/>
      <c r="AT84" s="17"/>
      <c r="AU84" s="17"/>
      <c r="AV84" s="17"/>
      <c r="AW84" s="17"/>
      <c r="AX84" s="17"/>
      <c r="AY84" s="17"/>
      <c r="AZ84" s="17"/>
      <c r="BA84" s="17"/>
      <c r="BB84" s="17"/>
      <c r="BC84" s="17"/>
      <c r="BD84" s="17"/>
      <c r="BE84" s="17"/>
      <c r="BF84" s="17"/>
      <c r="BG84" s="17"/>
      <c r="BH84" s="17"/>
      <c r="BI84" s="17"/>
      <c r="BJ84" s="17"/>
      <c r="BK84" s="17"/>
      <c r="BL84" s="17"/>
      <c r="BM84" s="17"/>
      <c r="BN84" s="17"/>
      <c r="BO84" s="17"/>
      <c r="BP84" s="17"/>
      <c r="BQ84" s="17"/>
      <c r="BR84" s="17"/>
      <c r="BS84" s="17"/>
      <c r="BT84" s="17"/>
      <c r="BU84" s="17"/>
      <c r="BV84" s="17"/>
      <c r="BW84" s="17"/>
      <c r="BX84" s="17"/>
      <c r="BY84" s="17"/>
      <c r="BZ84" s="17"/>
      <c r="CA84" s="17"/>
      <c r="CB84" s="17"/>
      <c r="CC84" s="17"/>
      <c r="CD84" s="17"/>
      <c r="CE84" s="17"/>
      <c r="CF84" s="17"/>
      <c r="CG84" s="17"/>
      <c r="CH84" s="17"/>
      <c r="CI84" s="17"/>
      <c r="CJ84" s="17"/>
      <c r="CK84" s="17"/>
      <c r="CL84" s="17"/>
      <c r="CM84" s="17"/>
      <c r="CN84" s="17"/>
      <c r="CO84" s="17"/>
      <c r="CP84" s="17"/>
      <c r="CQ84" s="17"/>
      <c r="CR84" s="17"/>
      <c r="CS84" s="17"/>
      <c r="CT84" s="17"/>
      <c r="CU84" s="17"/>
      <c r="CV84" s="17"/>
    </row>
    <row r="85" spans="1:100" x14ac:dyDescent="0.35">
      <c r="B85" s="9"/>
      <c r="C85" t="s">
        <v>230</v>
      </c>
      <c r="D85" t="s">
        <v>360</v>
      </c>
      <c r="E85" t="s">
        <v>221</v>
      </c>
      <c r="F85" s="17">
        <v>0</v>
      </c>
      <c r="G85" s="17">
        <v>668.79606999999999</v>
      </c>
      <c r="H85" s="17">
        <v>688.85248999999999</v>
      </c>
      <c r="I85" s="17">
        <v>682.02615000000003</v>
      </c>
      <c r="J85" s="17">
        <v>683.17782999999997</v>
      </c>
      <c r="K85" s="17">
        <v>692.77458999999999</v>
      </c>
      <c r="L85" s="17">
        <v>688.05215999999996</v>
      </c>
      <c r="M85" s="17">
        <v>723.59766999999999</v>
      </c>
      <c r="N85" s="17">
        <v>733.59027000000003</v>
      </c>
      <c r="O85" s="17">
        <v>747.43295000000001</v>
      </c>
      <c r="P85" s="17">
        <v>769.65389000000005</v>
      </c>
      <c r="Q85" s="17">
        <v>730.17439000000002</v>
      </c>
      <c r="R85" s="17">
        <v>761.84298000000001</v>
      </c>
      <c r="S85" s="17">
        <v>742.32874000000004</v>
      </c>
      <c r="T85" s="17">
        <v>764.70986000000005</v>
      </c>
      <c r="U85" s="17">
        <v>755.33250999999996</v>
      </c>
      <c r="V85" s="17">
        <v>729.54769999999996</v>
      </c>
      <c r="W85" s="17">
        <v>776.18143999999995</v>
      </c>
      <c r="X85" s="17">
        <v>766.33182999999997</v>
      </c>
      <c r="Y85" s="17">
        <v>743.25053000000003</v>
      </c>
      <c r="Z85" s="17">
        <v>751.34754999999996</v>
      </c>
      <c r="AA85" s="17">
        <v>714.63427000000001</v>
      </c>
      <c r="AB85" s="17">
        <v>676.19100000000003</v>
      </c>
      <c r="AC85" s="17">
        <v>686.54015000000004</v>
      </c>
      <c r="AD85" s="17">
        <v>672.70612000000006</v>
      </c>
      <c r="AE85" s="17">
        <v>659.18169</v>
      </c>
      <c r="AF85" s="17">
        <v>636.04647999999997</v>
      </c>
      <c r="AG85" s="17">
        <v>659.20520999999997</v>
      </c>
      <c r="AH85" s="17">
        <v>662.28213000000005</v>
      </c>
      <c r="AI85" s="17">
        <v>655.65785000000005</v>
      </c>
      <c r="AJ85" s="17">
        <v>642.26034000000004</v>
      </c>
      <c r="AK85" s="17">
        <v>672.91385000000002</v>
      </c>
      <c r="AL85" s="17">
        <v>689.27931000000001</v>
      </c>
      <c r="AM85" s="17">
        <v>708.84673999999995</v>
      </c>
      <c r="AN85" s="17">
        <v>708.64347999999995</v>
      </c>
      <c r="AO85" s="17"/>
      <c r="AP85" s="17"/>
      <c r="AQ85" s="17"/>
      <c r="AR85" s="17"/>
      <c r="AS85" s="17"/>
      <c r="AT85" s="17"/>
      <c r="AU85" s="17"/>
      <c r="AV85" s="17"/>
      <c r="AW85" s="17"/>
      <c r="AX85" s="17"/>
      <c r="AY85" s="17"/>
      <c r="AZ85" s="17"/>
      <c r="BA85" s="17"/>
      <c r="BB85" s="17"/>
      <c r="BC85" s="17"/>
      <c r="BD85" s="17"/>
      <c r="BE85" s="17"/>
      <c r="BF85" s="17"/>
      <c r="BG85" s="17"/>
      <c r="BH85" s="17"/>
      <c r="BI85" s="17"/>
      <c r="BJ85" s="17"/>
      <c r="BK85" s="17"/>
      <c r="BL85" s="17"/>
      <c r="BM85" s="17"/>
      <c r="BN85" s="17"/>
      <c r="BO85" s="17"/>
      <c r="BP85" s="17"/>
      <c r="BQ85" s="17"/>
      <c r="BR85" s="17"/>
      <c r="BS85" s="17"/>
      <c r="BT85" s="17"/>
      <c r="BU85" s="17"/>
      <c r="BV85" s="17"/>
      <c r="BW85" s="17"/>
      <c r="BX85" s="17"/>
      <c r="BY85" s="17"/>
      <c r="BZ85" s="17"/>
      <c r="CA85" s="17"/>
      <c r="CB85" s="17"/>
      <c r="CC85" s="17"/>
      <c r="CD85" s="17"/>
      <c r="CE85" s="17"/>
      <c r="CF85" s="17"/>
      <c r="CG85" s="17"/>
      <c r="CH85" s="17"/>
      <c r="CI85" s="17"/>
      <c r="CJ85" s="17"/>
      <c r="CK85" s="17"/>
      <c r="CL85" s="17"/>
      <c r="CM85" s="17"/>
      <c r="CN85" s="17"/>
      <c r="CO85" s="17"/>
      <c r="CP85" s="17"/>
      <c r="CQ85" s="17"/>
      <c r="CR85" s="17"/>
      <c r="CS85" s="17"/>
      <c r="CT85" s="17"/>
      <c r="CU85" s="17"/>
      <c r="CV85" s="17"/>
    </row>
    <row r="86" spans="1:100" x14ac:dyDescent="0.35">
      <c r="B86" s="9"/>
      <c r="C86" t="s">
        <v>230</v>
      </c>
      <c r="D86" t="s">
        <v>361</v>
      </c>
      <c r="E86" t="s">
        <v>221</v>
      </c>
      <c r="F86" s="17">
        <v>0</v>
      </c>
      <c r="G86" s="17">
        <v>1862.7052100000001</v>
      </c>
      <c r="H86" s="17">
        <v>1863.4413999999999</v>
      </c>
      <c r="I86" s="17">
        <v>1862.7052100000001</v>
      </c>
      <c r="J86" s="17">
        <v>1862.7052100000001</v>
      </c>
      <c r="K86" s="17">
        <v>1862.7052100000001</v>
      </c>
      <c r="L86" s="17">
        <v>1863.4413999999999</v>
      </c>
      <c r="M86" s="17">
        <v>1862.7052100000001</v>
      </c>
      <c r="N86" s="17">
        <v>1862.7052100000001</v>
      </c>
      <c r="O86" s="17">
        <v>1862.7052100000001</v>
      </c>
      <c r="P86" s="17">
        <v>1863.4413999999999</v>
      </c>
      <c r="Q86" s="17">
        <v>1862.7052100000001</v>
      </c>
      <c r="R86" s="17">
        <v>1862.7052100000001</v>
      </c>
      <c r="S86" s="17">
        <v>1862.7052100000001</v>
      </c>
      <c r="T86" s="17">
        <v>1863.4413999999999</v>
      </c>
      <c r="U86" s="17">
        <v>1862.7052100000001</v>
      </c>
      <c r="V86" s="17">
        <v>1862.7052100000001</v>
      </c>
      <c r="W86" s="17">
        <v>1862.7052100000001</v>
      </c>
      <c r="X86" s="17">
        <v>1863.4413999999999</v>
      </c>
      <c r="Y86" s="17">
        <v>1862.7052100000001</v>
      </c>
      <c r="Z86" s="17">
        <v>1862.7052100000001</v>
      </c>
      <c r="AA86" s="17">
        <v>1862.7052100000001</v>
      </c>
      <c r="AB86" s="17">
        <v>1863.4413999999999</v>
      </c>
      <c r="AC86" s="17">
        <v>1862.7052100000001</v>
      </c>
      <c r="AD86" s="17">
        <v>1862.7052100000001</v>
      </c>
      <c r="AE86" s="17">
        <v>1862.7052100000001</v>
      </c>
      <c r="AF86" s="17">
        <v>1863.4413999999999</v>
      </c>
      <c r="AG86" s="17">
        <v>1862.7052100000001</v>
      </c>
      <c r="AH86" s="17">
        <v>1862.7052100000001</v>
      </c>
      <c r="AI86" s="17">
        <v>1862.7052100000001</v>
      </c>
      <c r="AJ86" s="17">
        <v>1863.4413999999999</v>
      </c>
      <c r="AK86" s="17">
        <v>1862.7052100000001</v>
      </c>
      <c r="AL86" s="17">
        <v>1862.7052100000001</v>
      </c>
      <c r="AM86" s="17">
        <v>1862.7052100000001</v>
      </c>
      <c r="AN86" s="17">
        <v>1863.4413999999999</v>
      </c>
      <c r="AO86" s="17"/>
      <c r="AP86" s="17"/>
      <c r="AQ86" s="17"/>
      <c r="AR86" s="17"/>
      <c r="AS86" s="17"/>
      <c r="AT86" s="17"/>
      <c r="AU86" s="17"/>
      <c r="AV86" s="17"/>
      <c r="AW86" s="17"/>
      <c r="AX86" s="17"/>
      <c r="AY86" s="17"/>
      <c r="AZ86" s="17"/>
      <c r="BA86" s="17"/>
      <c r="BB86" s="17"/>
      <c r="BC86" s="17"/>
      <c r="BD86" s="17"/>
      <c r="BE86" s="17"/>
      <c r="BF86" s="17"/>
      <c r="BG86" s="17"/>
      <c r="BH86" s="17"/>
      <c r="BI86" s="17"/>
      <c r="BJ86" s="17"/>
      <c r="BK86" s="17"/>
      <c r="BL86" s="17"/>
      <c r="BM86" s="17"/>
      <c r="BN86" s="17"/>
      <c r="BO86" s="17"/>
      <c r="BP86" s="17"/>
      <c r="BQ86" s="17"/>
      <c r="BR86" s="17"/>
      <c r="BS86" s="17"/>
      <c r="BT86" s="17"/>
      <c r="BU86" s="17"/>
      <c r="BV86" s="17"/>
      <c r="BW86" s="17"/>
      <c r="BX86" s="17"/>
      <c r="BY86" s="17"/>
      <c r="BZ86" s="17"/>
      <c r="CA86" s="17"/>
      <c r="CB86" s="17"/>
      <c r="CC86" s="17"/>
      <c r="CD86" s="17"/>
      <c r="CE86" s="17"/>
      <c r="CF86" s="17"/>
      <c r="CG86" s="17"/>
      <c r="CH86" s="17"/>
      <c r="CI86" s="17"/>
      <c r="CJ86" s="17"/>
      <c r="CK86" s="17"/>
      <c r="CL86" s="17"/>
      <c r="CM86" s="17"/>
      <c r="CN86" s="17"/>
      <c r="CO86" s="17"/>
      <c r="CP86" s="17"/>
      <c r="CQ86" s="17"/>
      <c r="CR86" s="17"/>
      <c r="CS86" s="17"/>
      <c r="CT86" s="17"/>
      <c r="CU86" s="17"/>
      <c r="CV86" s="17"/>
    </row>
    <row r="87" spans="1:100" x14ac:dyDescent="0.35">
      <c r="B87" s="9"/>
      <c r="C87" t="s">
        <v>339</v>
      </c>
      <c r="D87" t="s">
        <v>222</v>
      </c>
      <c r="E87" t="s">
        <v>223</v>
      </c>
      <c r="F87" s="17">
        <v>0</v>
      </c>
      <c r="G87" s="17">
        <v>93.458350120523804</v>
      </c>
      <c r="H87" s="17">
        <v>82.581976838470496</v>
      </c>
      <c r="I87" s="17">
        <v>79.474464001157401</v>
      </c>
      <c r="J87" s="17">
        <v>70.364393748996306</v>
      </c>
      <c r="K87" s="17">
        <v>70.672659724486806</v>
      </c>
      <c r="L87" s="17">
        <v>65.415120204518203</v>
      </c>
      <c r="M87" s="17">
        <v>62.084754927556098</v>
      </c>
      <c r="N87" s="17">
        <v>55.003151683019802</v>
      </c>
      <c r="O87" s="17">
        <v>52.740142198245103</v>
      </c>
      <c r="P87" s="17">
        <v>49.926186156081997</v>
      </c>
      <c r="Q87" s="17">
        <v>56.488590853922403</v>
      </c>
      <c r="R87" s="17">
        <v>54.182425386202397</v>
      </c>
      <c r="S87" s="17">
        <v>54.398873900035603</v>
      </c>
      <c r="T87" s="17">
        <v>50.118303930559101</v>
      </c>
      <c r="U87" s="17">
        <v>48.3603688363578</v>
      </c>
      <c r="V87" s="17">
        <v>50.776268132414302</v>
      </c>
      <c r="W87" s="17">
        <v>46.547733977764999</v>
      </c>
      <c r="X87" s="17">
        <v>46.144056820420197</v>
      </c>
      <c r="Y87" s="17">
        <v>49.648205630738801</v>
      </c>
      <c r="Z87" s="17">
        <v>49.609155264181098</v>
      </c>
      <c r="AA87" s="17">
        <v>52.368589138590302</v>
      </c>
      <c r="AB87" s="17">
        <v>53.991550788188803</v>
      </c>
      <c r="AC87" s="17">
        <v>52.596466518398302</v>
      </c>
      <c r="AD87" s="17">
        <v>52.941735275683101</v>
      </c>
      <c r="AE87" s="17">
        <v>53.759546898270997</v>
      </c>
      <c r="AF87" s="17">
        <v>54.398038151152598</v>
      </c>
      <c r="AG87" s="17">
        <v>51.9940378298177</v>
      </c>
      <c r="AH87" s="17">
        <v>51.051772751691701</v>
      </c>
      <c r="AI87" s="17">
        <v>51.336951164289601</v>
      </c>
      <c r="AJ87" s="17">
        <v>51.640892139310601</v>
      </c>
      <c r="AK87" s="17">
        <v>48.575198086730197</v>
      </c>
      <c r="AL87" s="17">
        <v>46.852552489113101</v>
      </c>
      <c r="AM87" s="17">
        <v>45.195377369617297</v>
      </c>
      <c r="AN87" s="17">
        <v>44.3345560201385</v>
      </c>
      <c r="AO87" s="17"/>
      <c r="AP87" s="17"/>
      <c r="AQ87" s="17"/>
      <c r="AR87" s="17"/>
      <c r="AS87" s="17"/>
      <c r="AT87" s="17"/>
      <c r="AU87" s="17"/>
      <c r="AV87" s="17"/>
      <c r="AW87" s="17"/>
      <c r="AX87" s="17"/>
      <c r="AY87" s="17"/>
      <c r="AZ87" s="17"/>
      <c r="BA87" s="17"/>
      <c r="BB87" s="17"/>
      <c r="BC87" s="17"/>
      <c r="BD87" s="17"/>
      <c r="BE87" s="17"/>
      <c r="BF87" s="17"/>
      <c r="BG87" s="17"/>
      <c r="BH87" s="17"/>
      <c r="BI87" s="17"/>
      <c r="BJ87" s="17"/>
      <c r="BK87" s="17"/>
      <c r="BL87" s="17"/>
      <c r="BM87" s="17"/>
      <c r="BN87" s="17"/>
      <c r="BO87" s="17"/>
      <c r="BP87" s="17"/>
      <c r="BQ87" s="17"/>
      <c r="BR87" s="17"/>
      <c r="BS87" s="17"/>
      <c r="BT87" s="17"/>
      <c r="BU87" s="17"/>
      <c r="BV87" s="17"/>
      <c r="BW87" s="17"/>
      <c r="BX87" s="17"/>
      <c r="BY87" s="17"/>
      <c r="BZ87" s="17"/>
      <c r="CA87" s="17"/>
      <c r="CB87" s="17"/>
      <c r="CC87" s="17"/>
      <c r="CD87" s="17"/>
      <c r="CE87" s="17"/>
      <c r="CF87" s="17"/>
      <c r="CG87" s="17"/>
      <c r="CH87" s="17"/>
      <c r="CI87" s="17"/>
      <c r="CJ87" s="17"/>
      <c r="CK87" s="17"/>
      <c r="CL87" s="17"/>
      <c r="CM87" s="17"/>
      <c r="CN87" s="17"/>
      <c r="CO87" s="17"/>
      <c r="CP87" s="17"/>
      <c r="CQ87" s="17"/>
      <c r="CR87" s="17"/>
      <c r="CS87" s="17"/>
      <c r="CT87" s="17"/>
      <c r="CU87" s="17"/>
      <c r="CV87" s="17"/>
    </row>
    <row r="88" spans="1:100" x14ac:dyDescent="0.35">
      <c r="B88" s="9"/>
      <c r="C88" t="s">
        <v>230</v>
      </c>
      <c r="D88" t="s">
        <v>224</v>
      </c>
      <c r="E88" t="s">
        <v>223</v>
      </c>
      <c r="F88" s="17">
        <v>0</v>
      </c>
      <c r="G88" s="17">
        <v>2.2856791732257302</v>
      </c>
      <c r="H88" s="17">
        <v>1.9051731536618499</v>
      </c>
      <c r="I88" s="17">
        <v>1.5086520961276899</v>
      </c>
      <c r="J88" s="17">
        <v>0.87580214820630697</v>
      </c>
      <c r="K88" s="17">
        <v>1.3811168165835599</v>
      </c>
      <c r="L88" s="17">
        <v>1.3695834819983099</v>
      </c>
      <c r="M88" s="17">
        <v>1.63607246020041</v>
      </c>
      <c r="N88" s="17">
        <v>1.7094198715437401</v>
      </c>
      <c r="O88" s="17">
        <v>1.4629470790892301</v>
      </c>
      <c r="P88" s="17">
        <v>1.7625943942239199</v>
      </c>
      <c r="Q88" s="17">
        <v>1.3198459765994299</v>
      </c>
      <c r="R88" s="17">
        <v>1.5932089893641099</v>
      </c>
      <c r="S88" s="17">
        <v>1.49715010212555</v>
      </c>
      <c r="T88" s="17">
        <v>1.81193491890338</v>
      </c>
      <c r="U88" s="17">
        <v>1.55743893717218</v>
      </c>
      <c r="V88" s="17">
        <v>1.28520418539953</v>
      </c>
      <c r="W88" s="17">
        <v>1.81476601824451</v>
      </c>
      <c r="X88" s="17">
        <v>1.87112683354108</v>
      </c>
      <c r="Y88" s="17">
        <v>1.72826600885514</v>
      </c>
      <c r="Z88" s="17">
        <v>1.63789021402091</v>
      </c>
      <c r="AA88" s="17">
        <v>1.71529100744673</v>
      </c>
      <c r="AB88" s="17">
        <v>1.0530435925662101</v>
      </c>
      <c r="AC88" s="17">
        <v>1.10753441973709</v>
      </c>
      <c r="AD88" s="17">
        <v>0.96312745961762602</v>
      </c>
      <c r="AE88" s="17">
        <v>0.83752484936540805</v>
      </c>
      <c r="AF88" s="17">
        <v>0.80960038981253601</v>
      </c>
      <c r="AG88" s="17">
        <v>0.86259731585507904</v>
      </c>
      <c r="AH88" s="17">
        <v>0.91381827552127104</v>
      </c>
      <c r="AI88" s="17">
        <v>0.78858130540536098</v>
      </c>
      <c r="AJ88" s="17">
        <v>0.71367731176746696</v>
      </c>
      <c r="AK88" s="17">
        <v>0.95223138355565595</v>
      </c>
      <c r="AL88" s="17">
        <v>1.2091719307696001</v>
      </c>
      <c r="AM88" s="17">
        <v>1.4960740754387101</v>
      </c>
      <c r="AN88" s="17">
        <v>1.71555217897267</v>
      </c>
      <c r="AO88" s="17"/>
      <c r="AP88" s="17"/>
      <c r="AQ88" s="17"/>
      <c r="AR88" s="17"/>
      <c r="AS88" s="17"/>
      <c r="AT88" s="17"/>
      <c r="AU88" s="17"/>
      <c r="AV88" s="17"/>
      <c r="AW88" s="17"/>
      <c r="AX88" s="17"/>
      <c r="AY88" s="17"/>
      <c r="AZ88" s="17"/>
      <c r="BA88" s="17"/>
      <c r="BB88" s="17"/>
      <c r="BC88" s="17"/>
      <c r="BD88" s="17"/>
      <c r="BE88" s="17"/>
      <c r="BF88" s="17"/>
      <c r="BG88" s="17"/>
      <c r="BH88" s="17"/>
      <c r="BI88" s="17"/>
      <c r="BJ88" s="17"/>
      <c r="BK88" s="17"/>
      <c r="BL88" s="17"/>
      <c r="BM88" s="17"/>
      <c r="BN88" s="17"/>
      <c r="BO88" s="17"/>
      <c r="BP88" s="17"/>
      <c r="BQ88" s="17"/>
      <c r="BR88" s="17"/>
      <c r="BS88" s="17"/>
      <c r="BT88" s="17"/>
      <c r="BU88" s="17"/>
      <c r="BV88" s="17"/>
      <c r="BW88" s="17"/>
      <c r="BX88" s="17"/>
      <c r="BY88" s="17"/>
      <c r="BZ88" s="17"/>
      <c r="CA88" s="17"/>
      <c r="CB88" s="17"/>
      <c r="CC88" s="17"/>
      <c r="CD88" s="17"/>
      <c r="CE88" s="17"/>
      <c r="CF88" s="17"/>
      <c r="CG88" s="17"/>
      <c r="CH88" s="17"/>
      <c r="CI88" s="17"/>
      <c r="CJ88" s="17"/>
      <c r="CK88" s="17"/>
      <c r="CL88" s="17"/>
      <c r="CM88" s="17"/>
      <c r="CN88" s="17"/>
      <c r="CO88" s="17"/>
      <c r="CP88" s="17"/>
      <c r="CQ88" s="17"/>
      <c r="CR88" s="17"/>
      <c r="CS88" s="17"/>
      <c r="CT88" s="17"/>
      <c r="CU88" s="17"/>
      <c r="CV88" s="17"/>
    </row>
    <row r="89" spans="1:100" x14ac:dyDescent="0.35">
      <c r="B89" s="9"/>
      <c r="C89" t="s">
        <v>230</v>
      </c>
      <c r="D89" t="s">
        <v>225</v>
      </c>
      <c r="E89" t="s">
        <v>223</v>
      </c>
      <c r="F89" s="17">
        <v>0</v>
      </c>
      <c r="G89" s="17">
        <v>30.077954593391802</v>
      </c>
      <c r="H89" s="17">
        <v>30.481098960823601</v>
      </c>
      <c r="I89" s="17">
        <v>28.8535406923687</v>
      </c>
      <c r="J89" s="17">
        <v>25.6593711427507</v>
      </c>
      <c r="K89" s="17">
        <v>27.979420488789401</v>
      </c>
      <c r="L89" s="17">
        <v>25.472884226372699</v>
      </c>
      <c r="M89" s="17">
        <v>29.920771122223599</v>
      </c>
      <c r="N89" s="17">
        <v>29.0929305130398</v>
      </c>
      <c r="O89" s="17">
        <v>30.271639397024501</v>
      </c>
      <c r="P89" s="17">
        <v>32.516617599648697</v>
      </c>
      <c r="Q89" s="17">
        <v>31.489471775594101</v>
      </c>
      <c r="R89" s="17">
        <v>34.023608644871402</v>
      </c>
      <c r="S89" s="17">
        <v>32.164359892329799</v>
      </c>
      <c r="T89" s="17">
        <v>32.723841535185798</v>
      </c>
      <c r="U89" s="17">
        <v>30.929676726907001</v>
      </c>
      <c r="V89" s="17">
        <v>29.153449179029302</v>
      </c>
      <c r="W89" s="17">
        <v>32.712067922796699</v>
      </c>
      <c r="X89" s="17">
        <v>31.537443761477601</v>
      </c>
      <c r="Y89" s="17">
        <v>31.238684429531101</v>
      </c>
      <c r="Z89" s="17">
        <v>32.324478931449498</v>
      </c>
      <c r="AA89" s="17">
        <v>29.068255027269601</v>
      </c>
      <c r="AB89" s="17">
        <v>23.7355607889982</v>
      </c>
      <c r="AC89" s="17">
        <v>24.869483979715699</v>
      </c>
      <c r="AD89" s="17">
        <v>23.259810737356698</v>
      </c>
      <c r="AE89" s="17">
        <v>21.980874668579599</v>
      </c>
      <c r="AF89" s="17">
        <v>19.6450819029576</v>
      </c>
      <c r="AG89" s="17">
        <v>21.8197527308003</v>
      </c>
      <c r="AH89" s="17">
        <v>21.6227040379136</v>
      </c>
      <c r="AI89" s="17">
        <v>20.939938987955699</v>
      </c>
      <c r="AJ89" s="17">
        <v>19.021728151719199</v>
      </c>
      <c r="AK89" s="17">
        <v>22.0506492534481</v>
      </c>
      <c r="AL89" s="17">
        <v>23.589398756224501</v>
      </c>
      <c r="AM89" s="17">
        <v>26.355320131337798</v>
      </c>
      <c r="AN89" s="17">
        <v>26.107572821836701</v>
      </c>
      <c r="AO89" s="17"/>
      <c r="AP89" s="17"/>
      <c r="AQ89" s="17"/>
      <c r="AR89" s="17"/>
      <c r="AS89" s="17"/>
      <c r="AT89" s="17"/>
      <c r="AU89" s="17"/>
      <c r="AV89" s="17"/>
      <c r="AW89" s="17"/>
      <c r="AX89" s="17"/>
      <c r="AY89" s="17"/>
      <c r="AZ89" s="17"/>
      <c r="BA89" s="17"/>
      <c r="BB89" s="17"/>
      <c r="BC89" s="17"/>
      <c r="BD89" s="17"/>
      <c r="BE89" s="17"/>
      <c r="BF89" s="17"/>
      <c r="BG89" s="17"/>
      <c r="BH89" s="17"/>
      <c r="BI89" s="17"/>
      <c r="BJ89" s="17"/>
      <c r="BK89" s="17"/>
      <c r="BL89" s="17"/>
      <c r="BM89" s="17"/>
      <c r="BN89" s="17"/>
      <c r="BO89" s="17"/>
      <c r="BP89" s="17"/>
      <c r="BQ89" s="17"/>
      <c r="BR89" s="17"/>
      <c r="BS89" s="17"/>
      <c r="BT89" s="17"/>
      <c r="BU89" s="17"/>
      <c r="BV89" s="17"/>
      <c r="BW89" s="17"/>
      <c r="BX89" s="17"/>
      <c r="BY89" s="17"/>
      <c r="BZ89" s="17"/>
      <c r="CA89" s="17"/>
      <c r="CB89" s="17"/>
      <c r="CC89" s="17"/>
      <c r="CD89" s="17"/>
      <c r="CE89" s="17"/>
      <c r="CF89" s="17"/>
      <c r="CG89" s="17"/>
      <c r="CH89" s="17"/>
      <c r="CI89" s="17"/>
      <c r="CJ89" s="17"/>
      <c r="CK89" s="17"/>
      <c r="CL89" s="17"/>
      <c r="CM89" s="17"/>
      <c r="CN89" s="17"/>
      <c r="CO89" s="17"/>
      <c r="CP89" s="17"/>
      <c r="CQ89" s="17"/>
      <c r="CR89" s="17"/>
      <c r="CS89" s="17"/>
      <c r="CT89" s="17"/>
      <c r="CU89" s="17"/>
      <c r="CV89" s="17"/>
    </row>
    <row r="90" spans="1:100" x14ac:dyDescent="0.35">
      <c r="B90" s="9"/>
      <c r="C90" t="s">
        <v>230</v>
      </c>
      <c r="D90" t="s">
        <v>355</v>
      </c>
      <c r="E90" t="s">
        <v>223</v>
      </c>
      <c r="F90" s="17">
        <v>0</v>
      </c>
      <c r="G90" s="17">
        <v>125.82202567458501</v>
      </c>
      <c r="H90" s="17">
        <v>114.968207165511</v>
      </c>
      <c r="I90" s="17">
        <v>109.836635895931</v>
      </c>
      <c r="J90" s="17">
        <v>96.899514805648195</v>
      </c>
      <c r="K90" s="17">
        <v>100.03325971102601</v>
      </c>
      <c r="L90" s="17">
        <v>92.257608806611401</v>
      </c>
      <c r="M90" s="17">
        <v>93.641567169397106</v>
      </c>
      <c r="N90" s="17">
        <v>85.805449833298198</v>
      </c>
      <c r="O90" s="17">
        <v>84.474686886914697</v>
      </c>
      <c r="P90" s="17">
        <v>84.2053563625105</v>
      </c>
      <c r="Q90" s="17">
        <v>89.297887712393901</v>
      </c>
      <c r="R90" s="17">
        <v>89.799253467299096</v>
      </c>
      <c r="S90" s="17">
        <v>88.060310766463701</v>
      </c>
      <c r="T90" s="17">
        <v>84.654059490926301</v>
      </c>
      <c r="U90" s="17">
        <v>80.8475053941591</v>
      </c>
      <c r="V90" s="17">
        <v>81.214931943704201</v>
      </c>
      <c r="W90" s="17">
        <v>81.074536578223103</v>
      </c>
      <c r="X90" s="17">
        <v>79.552658756022097</v>
      </c>
      <c r="Y90" s="17">
        <v>82.615124728542</v>
      </c>
      <c r="Z90" s="17">
        <v>83.571534856512599</v>
      </c>
      <c r="AA90" s="17">
        <v>83.152156067028699</v>
      </c>
      <c r="AB90" s="17">
        <v>78.780113382309096</v>
      </c>
      <c r="AC90" s="17">
        <v>78.573558045878301</v>
      </c>
      <c r="AD90" s="17">
        <v>77.164715260101602</v>
      </c>
      <c r="AE90" s="17">
        <v>76.577998650521195</v>
      </c>
      <c r="AF90" s="17">
        <v>74.852720443922806</v>
      </c>
      <c r="AG90" s="17">
        <v>74.676346089028996</v>
      </c>
      <c r="AH90" s="17">
        <v>73.588284618265504</v>
      </c>
      <c r="AI90" s="17">
        <v>73.065429670206498</v>
      </c>
      <c r="AJ90" s="17">
        <v>71.376297602797294</v>
      </c>
      <c r="AK90" s="17">
        <v>71.578130958039196</v>
      </c>
      <c r="AL90" s="17">
        <v>71.651081388663101</v>
      </c>
      <c r="AM90" s="17">
        <v>73.046844704421105</v>
      </c>
      <c r="AN90" s="17">
        <v>72.157754148975201</v>
      </c>
      <c r="AO90" s="17"/>
      <c r="AP90" s="17"/>
      <c r="AQ90" s="17"/>
      <c r="AR90" s="17"/>
      <c r="AS90" s="17"/>
      <c r="AT90" s="17"/>
      <c r="AU90" s="17"/>
      <c r="AV90" s="17"/>
      <c r="AW90" s="17"/>
      <c r="AX90" s="17"/>
      <c r="AY90" s="17"/>
      <c r="AZ90" s="17"/>
      <c r="BA90" s="17"/>
      <c r="BB90" s="17"/>
      <c r="BC90" s="17"/>
      <c r="BD90" s="17"/>
      <c r="BE90" s="17"/>
      <c r="BF90" s="17"/>
      <c r="BG90" s="17"/>
      <c r="BH90" s="17"/>
      <c r="BI90" s="17"/>
      <c r="BJ90" s="17"/>
      <c r="BK90" s="17"/>
      <c r="BL90" s="17"/>
      <c r="BM90" s="17"/>
      <c r="BN90" s="17"/>
      <c r="BO90" s="17"/>
      <c r="BP90" s="17"/>
      <c r="BQ90" s="17"/>
      <c r="BR90" s="17"/>
      <c r="BS90" s="17"/>
      <c r="BT90" s="17"/>
      <c r="BU90" s="17"/>
      <c r="BV90" s="17"/>
      <c r="BW90" s="17"/>
      <c r="BX90" s="17"/>
      <c r="BY90" s="17"/>
      <c r="BZ90" s="17"/>
      <c r="CA90" s="17"/>
      <c r="CB90" s="17"/>
      <c r="CC90" s="17"/>
      <c r="CD90" s="17"/>
      <c r="CE90" s="17"/>
      <c r="CF90" s="17"/>
      <c r="CG90" s="17"/>
      <c r="CH90" s="17"/>
      <c r="CI90" s="17"/>
      <c r="CJ90" s="17"/>
      <c r="CK90" s="17"/>
      <c r="CL90" s="17"/>
      <c r="CM90" s="17"/>
      <c r="CN90" s="17"/>
      <c r="CO90" s="17"/>
      <c r="CP90" s="17"/>
      <c r="CQ90" s="17"/>
      <c r="CR90" s="17"/>
      <c r="CS90" s="17"/>
      <c r="CT90" s="17"/>
      <c r="CU90" s="17"/>
      <c r="CV90" s="17"/>
    </row>
    <row r="91" spans="1:100" x14ac:dyDescent="0.35">
      <c r="B91" s="9"/>
      <c r="C91" t="s">
        <v>230</v>
      </c>
      <c r="D91" t="s">
        <v>356</v>
      </c>
      <c r="E91" t="s">
        <v>124</v>
      </c>
      <c r="F91" s="17">
        <v>0</v>
      </c>
      <c r="G91" s="17">
        <v>1</v>
      </c>
      <c r="H91" s="17">
        <v>1</v>
      </c>
      <c r="I91" s="17">
        <v>1</v>
      </c>
      <c r="J91" s="17">
        <v>1</v>
      </c>
      <c r="K91" s="17">
        <v>1</v>
      </c>
      <c r="L91" s="17">
        <v>1</v>
      </c>
      <c r="M91" s="17">
        <v>1</v>
      </c>
      <c r="N91" s="17">
        <v>1</v>
      </c>
      <c r="O91" s="17">
        <v>1</v>
      </c>
      <c r="P91" s="17">
        <v>1</v>
      </c>
      <c r="Q91" s="17">
        <v>1</v>
      </c>
      <c r="R91" s="17">
        <v>1</v>
      </c>
      <c r="S91" s="17">
        <v>1</v>
      </c>
      <c r="T91" s="17">
        <v>1</v>
      </c>
      <c r="U91" s="17">
        <v>1</v>
      </c>
      <c r="V91" s="17">
        <v>1</v>
      </c>
      <c r="W91" s="17">
        <v>1</v>
      </c>
      <c r="X91" s="17">
        <v>1</v>
      </c>
      <c r="Y91" s="17">
        <v>1</v>
      </c>
      <c r="Z91" s="17">
        <v>1</v>
      </c>
      <c r="AA91" s="17">
        <v>1</v>
      </c>
      <c r="AB91" s="17">
        <v>1</v>
      </c>
      <c r="AC91" s="17">
        <v>1</v>
      </c>
      <c r="AD91" s="17">
        <v>1</v>
      </c>
      <c r="AE91" s="17">
        <v>1</v>
      </c>
      <c r="AF91" s="17">
        <v>1</v>
      </c>
      <c r="AG91" s="17">
        <v>1</v>
      </c>
      <c r="AH91" s="17">
        <v>1</v>
      </c>
      <c r="AI91" s="17">
        <v>1</v>
      </c>
      <c r="AJ91" s="17">
        <v>1</v>
      </c>
      <c r="AK91" s="17">
        <v>1</v>
      </c>
      <c r="AL91" s="17">
        <v>1</v>
      </c>
      <c r="AM91" s="17">
        <v>1</v>
      </c>
      <c r="AN91" s="17">
        <v>1</v>
      </c>
      <c r="AO91" s="17"/>
      <c r="AP91" s="17"/>
      <c r="AQ91" s="17"/>
      <c r="AR91" s="17"/>
      <c r="AS91" s="17"/>
      <c r="AT91" s="17"/>
      <c r="AU91" s="17"/>
      <c r="AV91" s="17"/>
      <c r="AW91" s="17"/>
      <c r="AX91" s="17"/>
      <c r="AY91" s="17"/>
      <c r="AZ91" s="17"/>
      <c r="BA91" s="17"/>
      <c r="BB91" s="17"/>
      <c r="BC91" s="17"/>
      <c r="BD91" s="17"/>
      <c r="BE91" s="17"/>
      <c r="BF91" s="17"/>
      <c r="BG91" s="17"/>
      <c r="BH91" s="17"/>
      <c r="BI91" s="17"/>
      <c r="BJ91" s="17"/>
      <c r="BK91" s="17"/>
      <c r="BL91" s="17"/>
      <c r="BM91" s="17"/>
      <c r="BN91" s="17"/>
      <c r="BO91" s="17"/>
      <c r="BP91" s="17"/>
      <c r="BQ91" s="17"/>
      <c r="BR91" s="17"/>
      <c r="BS91" s="17"/>
      <c r="BT91" s="17"/>
      <c r="BU91" s="17"/>
      <c r="BV91" s="17"/>
      <c r="BW91" s="17"/>
      <c r="BX91" s="17"/>
      <c r="BY91" s="17"/>
      <c r="BZ91" s="17"/>
      <c r="CA91" s="17"/>
      <c r="CB91" s="17"/>
      <c r="CC91" s="17"/>
      <c r="CD91" s="17"/>
      <c r="CE91" s="17"/>
      <c r="CF91" s="17"/>
      <c r="CG91" s="17"/>
      <c r="CH91" s="17"/>
      <c r="CI91" s="17"/>
      <c r="CJ91" s="17"/>
      <c r="CK91" s="17"/>
      <c r="CL91" s="17"/>
      <c r="CM91" s="17"/>
      <c r="CN91" s="17"/>
      <c r="CO91" s="17"/>
      <c r="CP91" s="17"/>
      <c r="CQ91" s="17"/>
      <c r="CR91" s="17"/>
      <c r="CS91" s="17"/>
      <c r="CT91" s="17"/>
      <c r="CU91" s="17"/>
      <c r="CV91" s="17"/>
    </row>
    <row r="92" spans="1:100" x14ac:dyDescent="0.35">
      <c r="B92" s="9"/>
      <c r="C92" t="s">
        <v>339</v>
      </c>
      <c r="D92" t="s">
        <v>357</v>
      </c>
      <c r="E92" t="s">
        <v>226</v>
      </c>
      <c r="F92" s="17">
        <v>0</v>
      </c>
      <c r="G92" s="17">
        <v>274.00295613124803</v>
      </c>
      <c r="H92" s="17">
        <v>240.50534693960799</v>
      </c>
      <c r="I92" s="17">
        <v>204.375672003326</v>
      </c>
      <c r="J92" s="17">
        <v>177.31280686765001</v>
      </c>
      <c r="K92" s="17">
        <v>179.08553471708001</v>
      </c>
      <c r="L92" s="17">
        <v>179.515433495629</v>
      </c>
      <c r="M92" s="17">
        <v>171.41811329301299</v>
      </c>
      <c r="N92" s="17">
        <v>160.46525854130499</v>
      </c>
      <c r="O92" s="17">
        <v>160.62185698825499</v>
      </c>
      <c r="P92" s="17">
        <v>154.719798376586</v>
      </c>
      <c r="Q92" s="17">
        <v>159.069004223078</v>
      </c>
      <c r="R92" s="17">
        <v>158.03609173173101</v>
      </c>
      <c r="S92" s="17">
        <v>157.41011581837199</v>
      </c>
      <c r="T92" s="17">
        <v>155.69332046293599</v>
      </c>
      <c r="U92" s="17">
        <v>151.13111356675299</v>
      </c>
      <c r="V92" s="17">
        <v>151.86777397280301</v>
      </c>
      <c r="W92" s="17">
        <v>149.186440831509</v>
      </c>
      <c r="X92" s="17">
        <v>147.316912367707</v>
      </c>
      <c r="Y92" s="17">
        <v>149.96459616959899</v>
      </c>
      <c r="Z92" s="17">
        <v>154.07102741244401</v>
      </c>
      <c r="AA92" s="17">
        <v>153.20693619546</v>
      </c>
      <c r="AB92" s="17">
        <v>151.21889854004999</v>
      </c>
      <c r="AC92" s="17">
        <v>150.15009063417801</v>
      </c>
      <c r="AD92" s="17">
        <v>149.040362373623</v>
      </c>
      <c r="AE92" s="17">
        <v>148.690705934703</v>
      </c>
      <c r="AF92" s="17">
        <v>146.36203792830801</v>
      </c>
      <c r="AG92" s="17">
        <v>146.88048430101</v>
      </c>
      <c r="AH92" s="17">
        <v>144.87355872084399</v>
      </c>
      <c r="AI92" s="17">
        <v>144.81925593717199</v>
      </c>
      <c r="AJ92" s="17">
        <v>143.79547400237101</v>
      </c>
      <c r="AK92" s="17">
        <v>141.22781315602501</v>
      </c>
      <c r="AL92" s="17">
        <v>143.360445815053</v>
      </c>
      <c r="AM92" s="17">
        <v>145.834889320363</v>
      </c>
      <c r="AN92" s="17">
        <v>142.91731086357001</v>
      </c>
      <c r="AO92" s="17"/>
      <c r="AP92" s="17"/>
      <c r="AQ92" s="17"/>
      <c r="AR92" s="17"/>
      <c r="AS92" s="17"/>
      <c r="AT92" s="17"/>
      <c r="AU92" s="17"/>
      <c r="AV92" s="17"/>
      <c r="AW92" s="17"/>
      <c r="AX92" s="17"/>
      <c r="AY92" s="17"/>
      <c r="AZ92" s="17"/>
      <c r="BA92" s="17"/>
      <c r="BB92" s="17"/>
      <c r="BC92" s="17"/>
      <c r="BD92" s="17"/>
      <c r="BE92" s="17"/>
      <c r="BF92" s="17"/>
      <c r="BG92" s="17"/>
      <c r="BH92" s="17"/>
      <c r="BI92" s="17"/>
      <c r="BJ92" s="17"/>
      <c r="BK92" s="17"/>
      <c r="BL92" s="17"/>
      <c r="BM92" s="17"/>
      <c r="BN92" s="17"/>
      <c r="BO92" s="17"/>
      <c r="BP92" s="17"/>
      <c r="BQ92" s="17"/>
      <c r="BR92" s="17"/>
      <c r="BS92" s="17"/>
      <c r="BT92" s="17"/>
      <c r="BU92" s="17"/>
      <c r="BV92" s="17"/>
      <c r="BW92" s="17"/>
      <c r="BX92" s="17"/>
      <c r="BY92" s="17"/>
      <c r="BZ92" s="17"/>
      <c r="CA92" s="17"/>
      <c r="CB92" s="17"/>
      <c r="CC92" s="17"/>
      <c r="CD92" s="17"/>
      <c r="CE92" s="17"/>
      <c r="CF92" s="17"/>
      <c r="CG92" s="17"/>
      <c r="CH92" s="17"/>
      <c r="CI92" s="17"/>
      <c r="CJ92" s="17"/>
      <c r="CK92" s="17"/>
      <c r="CL92" s="17"/>
      <c r="CM92" s="17"/>
      <c r="CN92" s="17"/>
      <c r="CO92" s="17"/>
      <c r="CP92" s="17"/>
      <c r="CQ92" s="17"/>
      <c r="CR92" s="17"/>
      <c r="CS92" s="17"/>
      <c r="CT92" s="17"/>
      <c r="CU92" s="17"/>
      <c r="CV92" s="17"/>
    </row>
    <row r="93" spans="1:100" x14ac:dyDescent="0.35">
      <c r="B93" s="9"/>
      <c r="F93" s="17"/>
      <c r="G93" s="17"/>
      <c r="H93" s="17"/>
      <c r="I93" s="17"/>
      <c r="J93" s="17"/>
      <c r="K93" s="17"/>
      <c r="L93" s="17"/>
      <c r="M93" s="17"/>
      <c r="N93" s="17"/>
      <c r="O93" s="17"/>
      <c r="P93" s="17"/>
      <c r="Q93" s="17"/>
      <c r="R93" s="17"/>
      <c r="S93" s="17"/>
      <c r="T93" s="17"/>
      <c r="U93" s="17"/>
      <c r="V93" s="17"/>
      <c r="W93" s="17"/>
      <c r="X93" s="17"/>
      <c r="Y93" s="17"/>
      <c r="Z93" s="17"/>
      <c r="AA93" s="17"/>
      <c r="AB93" s="17"/>
      <c r="AC93" s="17"/>
      <c r="AD93" s="17"/>
      <c r="AE93" s="17"/>
      <c r="AF93" s="17"/>
      <c r="AG93" s="17"/>
      <c r="AH93" s="17"/>
      <c r="AI93" s="17"/>
      <c r="AJ93" s="17"/>
      <c r="AK93" s="17"/>
      <c r="AL93" s="17"/>
      <c r="AM93" s="17"/>
      <c r="AN93" s="17"/>
      <c r="AO93" s="17"/>
      <c r="AP93" s="17"/>
      <c r="AQ93" s="17"/>
      <c r="AR93" s="17"/>
      <c r="AS93" s="17"/>
      <c r="AT93" s="17"/>
      <c r="AU93" s="17"/>
      <c r="AV93" s="17"/>
      <c r="AW93" s="17"/>
      <c r="AX93" s="17"/>
      <c r="AY93" s="17"/>
      <c r="AZ93" s="17"/>
      <c r="BA93" s="17"/>
      <c r="BB93" s="17"/>
      <c r="BC93" s="17"/>
      <c r="BD93" s="17"/>
      <c r="BE93" s="17"/>
      <c r="BF93" s="17"/>
      <c r="BG93" s="17"/>
      <c r="BH93" s="17"/>
      <c r="BI93" s="17"/>
      <c r="BJ93" s="17"/>
      <c r="BK93" s="17"/>
      <c r="BL93" s="17"/>
      <c r="BM93" s="17"/>
      <c r="BN93" s="17"/>
      <c r="BO93" s="17"/>
      <c r="BP93" s="17"/>
      <c r="BQ93" s="17"/>
      <c r="BR93" s="17"/>
      <c r="BS93" s="17"/>
      <c r="BT93" s="17"/>
      <c r="BU93" s="17"/>
      <c r="BV93" s="17"/>
      <c r="BW93" s="17"/>
      <c r="BX93" s="17"/>
      <c r="BY93" s="17"/>
      <c r="BZ93" s="17"/>
      <c r="CA93" s="17"/>
      <c r="CB93" s="17"/>
      <c r="CC93" s="17"/>
      <c r="CD93" s="17"/>
      <c r="CE93" s="17"/>
      <c r="CF93" s="17"/>
      <c r="CG93" s="17"/>
      <c r="CH93" s="17"/>
      <c r="CI93" s="17"/>
      <c r="CJ93" s="17"/>
      <c r="CK93" s="17"/>
      <c r="CL93" s="17"/>
      <c r="CM93" s="17"/>
      <c r="CN93" s="17"/>
      <c r="CO93" s="17"/>
      <c r="CP93" s="17"/>
      <c r="CQ93" s="17"/>
      <c r="CR93" s="17"/>
      <c r="CS93" s="17"/>
      <c r="CT93" s="17"/>
      <c r="CU93" s="17"/>
      <c r="CV93" s="17"/>
    </row>
    <row r="94" spans="1:100" x14ac:dyDescent="0.35">
      <c r="B94" s="9"/>
      <c r="F94" s="17"/>
      <c r="G94" s="17"/>
      <c r="H94" s="17"/>
      <c r="I94" s="17"/>
      <c r="J94" s="17"/>
      <c r="K94" s="17"/>
      <c r="L94" s="17"/>
      <c r="M94" s="17"/>
      <c r="N94" s="17"/>
      <c r="O94" s="17"/>
      <c r="P94" s="17"/>
      <c r="Q94" s="17"/>
      <c r="R94" s="17"/>
      <c r="S94" s="17"/>
      <c r="T94" s="17"/>
      <c r="U94" s="17"/>
      <c r="V94" s="17"/>
      <c r="W94" s="17"/>
      <c r="X94" s="17"/>
      <c r="Y94" s="17"/>
      <c r="Z94" s="17"/>
      <c r="AA94" s="17"/>
      <c r="AB94" s="17"/>
      <c r="AC94" s="17"/>
      <c r="AD94" s="17"/>
      <c r="AE94" s="17"/>
      <c r="AF94" s="17"/>
      <c r="AG94" s="17"/>
      <c r="AH94" s="17"/>
      <c r="AI94" s="17"/>
      <c r="AJ94" s="17"/>
      <c r="AK94" s="17"/>
      <c r="AL94" s="17"/>
      <c r="AM94" s="17"/>
      <c r="AN94" s="17"/>
      <c r="AO94" s="17"/>
      <c r="AP94" s="17"/>
      <c r="AQ94" s="17"/>
      <c r="AR94" s="17"/>
      <c r="AS94" s="17"/>
      <c r="AT94" s="17"/>
      <c r="AU94" s="17"/>
      <c r="AV94" s="17"/>
      <c r="AW94" s="17"/>
      <c r="AX94" s="17"/>
      <c r="AY94" s="17"/>
      <c r="AZ94" s="17"/>
      <c r="BA94" s="17"/>
      <c r="BB94" s="17"/>
      <c r="BC94" s="17"/>
      <c r="BD94" s="17"/>
      <c r="BE94" s="17"/>
      <c r="BF94" s="17"/>
      <c r="BG94" s="17"/>
      <c r="BH94" s="17"/>
      <c r="BI94" s="17"/>
      <c r="BJ94" s="17"/>
      <c r="BK94" s="17"/>
      <c r="BL94" s="17"/>
      <c r="BM94" s="17"/>
      <c r="BN94" s="17"/>
      <c r="BO94" s="17"/>
      <c r="BP94" s="17"/>
      <c r="BQ94" s="17"/>
      <c r="BR94" s="17"/>
      <c r="BS94" s="17"/>
      <c r="BT94" s="17"/>
      <c r="BU94" s="17"/>
      <c r="BV94" s="17"/>
      <c r="BW94" s="17"/>
      <c r="BX94" s="17"/>
      <c r="BY94" s="17"/>
      <c r="BZ94" s="17"/>
      <c r="CA94" s="17"/>
      <c r="CB94" s="17"/>
      <c r="CC94" s="17"/>
      <c r="CD94" s="17"/>
      <c r="CE94" s="17"/>
      <c r="CF94" s="17"/>
      <c r="CG94" s="17"/>
      <c r="CH94" s="17"/>
      <c r="CI94" s="17"/>
      <c r="CJ94" s="17"/>
      <c r="CK94" s="17"/>
      <c r="CL94" s="17"/>
      <c r="CM94" s="17"/>
      <c r="CN94" s="17"/>
      <c r="CO94" s="17"/>
      <c r="CP94" s="17"/>
      <c r="CQ94" s="17"/>
      <c r="CR94" s="17"/>
      <c r="CS94" s="17"/>
      <c r="CT94" s="17"/>
      <c r="CU94" s="17"/>
      <c r="CV94" s="17"/>
    </row>
    <row r="95" spans="1:100" x14ac:dyDescent="0.35">
      <c r="B95" s="9"/>
      <c r="F95" s="17"/>
      <c r="G95" s="17"/>
      <c r="H95" s="17"/>
      <c r="I95" s="17"/>
      <c r="J95" s="17"/>
      <c r="K95" s="17"/>
      <c r="L95" s="17"/>
      <c r="M95" s="17"/>
      <c r="N95" s="17"/>
      <c r="O95" s="17"/>
      <c r="P95" s="17"/>
      <c r="Q95" s="17"/>
      <c r="R95" s="17"/>
      <c r="S95" s="17"/>
      <c r="T95" s="17"/>
      <c r="U95" s="17"/>
      <c r="V95" s="17"/>
      <c r="W95" s="17"/>
      <c r="X95" s="17"/>
      <c r="Y95" s="17"/>
      <c r="Z95" s="17"/>
      <c r="AA95" s="17"/>
      <c r="AB95" s="17"/>
      <c r="AC95" s="17"/>
      <c r="AD95" s="17"/>
      <c r="AE95" s="17"/>
      <c r="AF95" s="17"/>
      <c r="AG95" s="17"/>
      <c r="AH95" s="17"/>
      <c r="AI95" s="17"/>
      <c r="AJ95" s="17"/>
      <c r="AK95" s="17"/>
      <c r="AL95" s="17"/>
      <c r="AM95" s="17"/>
      <c r="AN95" s="17"/>
      <c r="AO95" s="17"/>
      <c r="AP95" s="17"/>
      <c r="AQ95" s="17"/>
      <c r="AR95" s="17"/>
      <c r="AS95" s="17"/>
      <c r="AT95" s="17"/>
      <c r="AU95" s="17"/>
      <c r="AV95" s="17"/>
      <c r="AW95" s="17"/>
      <c r="AX95" s="17"/>
      <c r="AY95" s="17"/>
      <c r="AZ95" s="17"/>
      <c r="BA95" s="17"/>
      <c r="BB95" s="17"/>
      <c r="BC95" s="17"/>
      <c r="BD95" s="17"/>
      <c r="BE95" s="17"/>
      <c r="BF95" s="17"/>
      <c r="BG95" s="17"/>
      <c r="BH95" s="17"/>
      <c r="BI95" s="17"/>
      <c r="BJ95" s="17"/>
      <c r="BK95" s="17"/>
      <c r="BL95" s="17"/>
      <c r="BM95" s="17"/>
      <c r="BN95" s="17"/>
      <c r="BO95" s="17"/>
      <c r="BP95" s="17"/>
      <c r="BQ95" s="17"/>
      <c r="BR95" s="17"/>
      <c r="BS95" s="17"/>
      <c r="BT95" s="17"/>
      <c r="BU95" s="17"/>
      <c r="BV95" s="17"/>
      <c r="BW95" s="17"/>
      <c r="BX95" s="17"/>
      <c r="BY95" s="17"/>
      <c r="BZ95" s="17"/>
      <c r="CA95" s="17"/>
      <c r="CB95" s="17"/>
      <c r="CC95" s="17"/>
      <c r="CD95" s="17"/>
      <c r="CE95" s="17"/>
      <c r="CF95" s="17"/>
      <c r="CG95" s="17"/>
      <c r="CH95" s="17"/>
      <c r="CI95" s="17"/>
      <c r="CJ95" s="17"/>
      <c r="CK95" s="17"/>
      <c r="CL95" s="17"/>
      <c r="CM95" s="17"/>
      <c r="CN95" s="17"/>
      <c r="CO95" s="17"/>
      <c r="CP95" s="17"/>
      <c r="CQ95" s="17"/>
      <c r="CR95" s="17"/>
      <c r="CS95" s="17"/>
      <c r="CT95" s="17"/>
      <c r="CU95" s="17"/>
      <c r="CV95" s="17"/>
    </row>
    <row r="96" spans="1:100" x14ac:dyDescent="0.35">
      <c r="A96">
        <v>2</v>
      </c>
      <c r="B96" s="9" t="s">
        <v>470</v>
      </c>
      <c r="C96" t="s">
        <v>230</v>
      </c>
      <c r="D96" t="s">
        <v>322</v>
      </c>
      <c r="E96" t="s">
        <v>124</v>
      </c>
      <c r="F96" s="17">
        <v>0</v>
      </c>
      <c r="G96" s="17">
        <v>1</v>
      </c>
      <c r="H96" s="17">
        <v>1</v>
      </c>
      <c r="I96" s="17">
        <v>1</v>
      </c>
      <c r="J96" s="17">
        <v>1</v>
      </c>
      <c r="K96" s="17">
        <v>1</v>
      </c>
      <c r="L96" s="17">
        <v>1</v>
      </c>
      <c r="M96" s="17">
        <v>1</v>
      </c>
      <c r="N96" s="17">
        <v>1</v>
      </c>
      <c r="O96" s="17">
        <v>1</v>
      </c>
      <c r="P96" s="17">
        <v>1</v>
      </c>
      <c r="Q96" s="17">
        <v>1</v>
      </c>
      <c r="R96" s="17">
        <v>1</v>
      </c>
      <c r="S96" s="17">
        <v>1</v>
      </c>
      <c r="T96" s="17">
        <v>1</v>
      </c>
      <c r="U96" s="17">
        <v>1</v>
      </c>
      <c r="V96" s="17">
        <v>1</v>
      </c>
      <c r="W96" s="17">
        <v>1</v>
      </c>
      <c r="X96" s="17">
        <v>1</v>
      </c>
      <c r="Y96" s="17">
        <v>1</v>
      </c>
      <c r="Z96" s="17">
        <v>1</v>
      </c>
      <c r="AA96" s="17">
        <v>1</v>
      </c>
      <c r="AB96" s="17">
        <v>1</v>
      </c>
      <c r="AC96" s="17">
        <v>1</v>
      </c>
      <c r="AD96" s="17">
        <v>1</v>
      </c>
      <c r="AE96" s="17">
        <v>1</v>
      </c>
      <c r="AF96" s="17">
        <v>1</v>
      </c>
      <c r="AG96" s="17">
        <v>1</v>
      </c>
      <c r="AH96" s="17">
        <v>1</v>
      </c>
      <c r="AI96" s="17">
        <v>1</v>
      </c>
      <c r="AJ96" s="17">
        <v>1</v>
      </c>
      <c r="AK96" s="17">
        <v>1</v>
      </c>
      <c r="AL96" s="17">
        <v>1</v>
      </c>
      <c r="AM96" s="17">
        <v>1</v>
      </c>
      <c r="AN96" s="17">
        <v>1</v>
      </c>
      <c r="AO96" s="17"/>
      <c r="AP96" s="17"/>
      <c r="AQ96" s="17"/>
      <c r="AR96" s="17"/>
      <c r="AS96" s="17"/>
      <c r="AT96" s="17"/>
      <c r="AU96" s="17"/>
      <c r="AV96" s="17"/>
      <c r="AW96" s="17"/>
      <c r="AX96" s="17"/>
      <c r="AY96" s="17"/>
      <c r="AZ96" s="17"/>
      <c r="BA96" s="17"/>
      <c r="BB96" s="17"/>
      <c r="BC96" s="17"/>
      <c r="BD96" s="17"/>
      <c r="BE96" s="17"/>
      <c r="BF96" s="17"/>
      <c r="BG96" s="17"/>
      <c r="BH96" s="17"/>
      <c r="BI96" s="17"/>
      <c r="BJ96" s="17"/>
      <c r="BK96" s="17"/>
      <c r="BL96" s="17"/>
      <c r="BM96" s="17"/>
      <c r="BN96" s="17"/>
      <c r="BO96" s="17"/>
      <c r="BP96" s="17"/>
      <c r="BQ96" s="17"/>
      <c r="BR96" s="17"/>
      <c r="BS96" s="17"/>
      <c r="BT96" s="17"/>
      <c r="BU96" s="17"/>
      <c r="BV96" s="17"/>
      <c r="BW96" s="17"/>
      <c r="BX96" s="17"/>
      <c r="BY96" s="17"/>
      <c r="BZ96" s="17"/>
      <c r="CA96" s="17"/>
      <c r="CB96" s="17"/>
      <c r="CC96" s="17"/>
      <c r="CD96" s="17"/>
      <c r="CE96" s="17"/>
      <c r="CF96" s="17"/>
      <c r="CG96" s="17"/>
      <c r="CH96" s="17"/>
      <c r="CI96" s="17"/>
      <c r="CJ96" s="17"/>
      <c r="CK96" s="17"/>
      <c r="CL96" s="17"/>
      <c r="CM96" s="17"/>
      <c r="CN96" s="17"/>
      <c r="CO96" s="17"/>
      <c r="CP96" s="17"/>
      <c r="CQ96" s="17"/>
      <c r="CR96" s="17"/>
      <c r="CS96" s="17"/>
      <c r="CT96" s="17"/>
      <c r="CU96" s="17"/>
      <c r="CV96" s="17"/>
    </row>
    <row r="97" spans="2:100" x14ac:dyDescent="0.35">
      <c r="B97" s="9">
        <v>2027</v>
      </c>
      <c r="C97" t="s">
        <v>337</v>
      </c>
      <c r="D97" t="s">
        <v>323</v>
      </c>
      <c r="F97" s="17">
        <v>0</v>
      </c>
      <c r="G97" s="17">
        <v>0</v>
      </c>
      <c r="H97" s="17">
        <v>0</v>
      </c>
      <c r="I97" s="17">
        <v>0</v>
      </c>
      <c r="J97" s="17">
        <v>0</v>
      </c>
      <c r="K97" s="17">
        <v>0</v>
      </c>
      <c r="L97" s="17">
        <v>0</v>
      </c>
      <c r="M97" s="17">
        <v>0</v>
      </c>
      <c r="N97" s="17">
        <v>0</v>
      </c>
      <c r="O97" s="17">
        <v>0</v>
      </c>
      <c r="P97" s="17">
        <v>0</v>
      </c>
      <c r="Q97" s="17">
        <v>0</v>
      </c>
      <c r="R97" s="17">
        <v>0</v>
      </c>
      <c r="S97" s="17">
        <v>0</v>
      </c>
      <c r="T97" s="17">
        <v>0</v>
      </c>
      <c r="U97" s="17">
        <v>0</v>
      </c>
      <c r="V97" s="17">
        <v>0</v>
      </c>
      <c r="W97" s="17">
        <v>0</v>
      </c>
      <c r="X97" s="17">
        <v>0</v>
      </c>
      <c r="Y97" s="17">
        <v>0</v>
      </c>
      <c r="Z97" s="17">
        <v>0</v>
      </c>
      <c r="AA97" s="17">
        <v>0</v>
      </c>
      <c r="AB97" s="17">
        <v>0</v>
      </c>
      <c r="AC97" s="17">
        <v>0</v>
      </c>
      <c r="AD97" s="17">
        <v>0</v>
      </c>
      <c r="AE97" s="17">
        <v>0</v>
      </c>
      <c r="AF97" s="17">
        <v>0</v>
      </c>
      <c r="AG97" s="17">
        <v>0</v>
      </c>
      <c r="AH97" s="17">
        <v>0</v>
      </c>
      <c r="AI97" s="17">
        <v>0</v>
      </c>
      <c r="AJ97" s="17">
        <v>0</v>
      </c>
      <c r="AK97" s="17">
        <v>0</v>
      </c>
      <c r="AL97" s="17">
        <v>0</v>
      </c>
      <c r="AM97" s="17">
        <v>0</v>
      </c>
      <c r="AN97" s="17">
        <v>0</v>
      </c>
      <c r="AO97" s="17"/>
      <c r="AP97" s="17"/>
      <c r="AQ97" s="17"/>
      <c r="AR97" s="17"/>
      <c r="AS97" s="17"/>
      <c r="AT97" s="17"/>
      <c r="AU97" s="17"/>
      <c r="AV97" s="17"/>
      <c r="AW97" s="17"/>
      <c r="AX97" s="17"/>
      <c r="AY97" s="17"/>
      <c r="AZ97" s="17"/>
      <c r="BA97" s="17"/>
      <c r="BB97" s="17"/>
      <c r="BC97" s="17"/>
      <c r="BD97" s="17"/>
      <c r="BE97" s="17"/>
      <c r="BF97" s="17"/>
      <c r="BG97" s="17"/>
      <c r="BH97" s="17"/>
      <c r="BI97" s="17"/>
      <c r="BJ97" s="17"/>
      <c r="BK97" s="17"/>
      <c r="BL97" s="17"/>
      <c r="BM97" s="17"/>
      <c r="BN97" s="17"/>
      <c r="BO97" s="17"/>
      <c r="BP97" s="17"/>
      <c r="BQ97" s="17"/>
      <c r="BR97" s="17"/>
      <c r="BS97" s="17"/>
      <c r="BT97" s="17"/>
      <c r="BU97" s="17"/>
      <c r="BV97" s="17"/>
      <c r="BW97" s="17"/>
      <c r="BX97" s="17"/>
      <c r="BY97" s="17"/>
      <c r="BZ97" s="17"/>
      <c r="CA97" s="17"/>
      <c r="CB97" s="17"/>
      <c r="CC97" s="17"/>
      <c r="CD97" s="17"/>
      <c r="CE97" s="17"/>
      <c r="CF97" s="17"/>
      <c r="CG97" s="17"/>
      <c r="CH97" s="17"/>
      <c r="CI97" s="17"/>
      <c r="CJ97" s="17"/>
      <c r="CK97" s="17"/>
      <c r="CL97" s="17"/>
      <c r="CM97" s="17"/>
      <c r="CN97" s="17"/>
      <c r="CO97" s="17"/>
      <c r="CP97" s="17"/>
      <c r="CQ97" s="17"/>
      <c r="CR97" s="17"/>
      <c r="CS97" s="17"/>
      <c r="CT97" s="17"/>
      <c r="CU97" s="17"/>
      <c r="CV97" s="17"/>
    </row>
    <row r="98" spans="2:100" x14ac:dyDescent="0.35">
      <c r="B98" s="9" t="s">
        <v>77</v>
      </c>
      <c r="C98" t="s">
        <v>230</v>
      </c>
      <c r="D98" t="s">
        <v>324</v>
      </c>
      <c r="F98" s="17">
        <v>0</v>
      </c>
      <c r="G98" s="17">
        <v>1.0000199999999999</v>
      </c>
      <c r="H98" s="17">
        <v>1.00109</v>
      </c>
      <c r="I98" s="17">
        <v>0.99822</v>
      </c>
      <c r="J98" s="17">
        <v>0.99346999999999996</v>
      </c>
      <c r="K98" s="17">
        <v>0.99770000000000003</v>
      </c>
      <c r="L98" s="17">
        <v>0.99728000000000006</v>
      </c>
      <c r="M98" s="17">
        <v>0.99838000000000005</v>
      </c>
      <c r="N98" s="17">
        <v>0.99548000000000003</v>
      </c>
      <c r="O98" s="17">
        <v>1.00037</v>
      </c>
      <c r="P98" s="17">
        <v>1.0042</v>
      </c>
      <c r="Q98" s="17">
        <v>1.00206</v>
      </c>
      <c r="R98" s="17">
        <v>0.99892000000000003</v>
      </c>
      <c r="S98" s="17">
        <v>1.0060100000000001</v>
      </c>
      <c r="T98" s="17">
        <v>0.99790000000000001</v>
      </c>
      <c r="U98" s="17">
        <v>1.0073099999999999</v>
      </c>
      <c r="V98" s="17">
        <v>1.0021899999999999</v>
      </c>
      <c r="W98" s="17">
        <v>0.99646999999999997</v>
      </c>
      <c r="X98" s="17">
        <v>1.0015799999999999</v>
      </c>
      <c r="Y98" s="17">
        <v>0.99697999999999998</v>
      </c>
      <c r="Z98" s="17">
        <v>0.99529000000000001</v>
      </c>
      <c r="AA98" s="17">
        <v>1.0059899999999999</v>
      </c>
      <c r="AB98" s="17">
        <v>0.99324000000000001</v>
      </c>
      <c r="AC98" s="17">
        <v>0.99948999999999999</v>
      </c>
      <c r="AD98" s="17">
        <v>1.0010600000000001</v>
      </c>
      <c r="AE98" s="17">
        <v>0.99829999999999997</v>
      </c>
      <c r="AF98" s="17">
        <v>1.00339</v>
      </c>
      <c r="AG98" s="17">
        <v>0.99809000000000003</v>
      </c>
      <c r="AH98" s="17">
        <v>0.99911000000000005</v>
      </c>
      <c r="AI98" s="17">
        <v>0.99804000000000004</v>
      </c>
      <c r="AJ98" s="17">
        <v>1.00532</v>
      </c>
      <c r="AK98" s="17">
        <v>0.99709999999999999</v>
      </c>
      <c r="AL98" s="17">
        <v>0.99702000000000002</v>
      </c>
      <c r="AM98" s="17">
        <v>0.99612000000000001</v>
      </c>
      <c r="AN98" s="17">
        <v>1.0034700000000001</v>
      </c>
      <c r="AO98" s="17"/>
      <c r="AP98" s="17"/>
      <c r="AQ98" s="17"/>
      <c r="AR98" s="17"/>
      <c r="AS98" s="17"/>
      <c r="AT98" s="17"/>
      <c r="AU98" s="17"/>
      <c r="AV98" s="17"/>
      <c r="AW98" s="17"/>
      <c r="AX98" s="17"/>
      <c r="AY98" s="17"/>
      <c r="AZ98" s="17"/>
      <c r="BA98" s="17"/>
      <c r="BB98" s="17"/>
      <c r="BC98" s="17"/>
      <c r="BD98" s="17"/>
      <c r="BE98" s="17"/>
      <c r="BF98" s="17"/>
      <c r="BG98" s="17"/>
      <c r="BH98" s="17"/>
      <c r="BI98" s="17"/>
      <c r="BJ98" s="17"/>
      <c r="BK98" s="17"/>
      <c r="BL98" s="17"/>
      <c r="BM98" s="17"/>
      <c r="BN98" s="17"/>
      <c r="BO98" s="17"/>
      <c r="BP98" s="17"/>
      <c r="BQ98" s="17"/>
      <c r="BR98" s="17"/>
      <c r="BS98" s="17"/>
      <c r="BT98" s="17"/>
      <c r="BU98" s="17"/>
      <c r="BV98" s="17"/>
      <c r="BW98" s="17"/>
      <c r="BX98" s="17"/>
      <c r="BY98" s="17"/>
      <c r="BZ98" s="17"/>
      <c r="CA98" s="17"/>
      <c r="CB98" s="17"/>
      <c r="CC98" s="17"/>
      <c r="CD98" s="17"/>
      <c r="CE98" s="17"/>
      <c r="CF98" s="17"/>
      <c r="CG98" s="17"/>
      <c r="CH98" s="17"/>
      <c r="CI98" s="17"/>
      <c r="CJ98" s="17"/>
      <c r="CK98" s="17"/>
      <c r="CL98" s="17"/>
      <c r="CM98" s="17"/>
      <c r="CN98" s="17"/>
      <c r="CO98" s="17"/>
      <c r="CP98" s="17"/>
      <c r="CQ98" s="17"/>
      <c r="CR98" s="17"/>
      <c r="CS98" s="17"/>
      <c r="CT98" s="17"/>
      <c r="CU98" s="17"/>
      <c r="CV98" s="17"/>
    </row>
    <row r="99" spans="2:100" x14ac:dyDescent="0.35">
      <c r="B99" s="9" t="s">
        <v>462</v>
      </c>
      <c r="C99" t="s">
        <v>230</v>
      </c>
      <c r="D99" t="s">
        <v>325</v>
      </c>
      <c r="E99" t="s">
        <v>326</v>
      </c>
      <c r="F99" s="17">
        <v>0</v>
      </c>
      <c r="G99" s="17">
        <v>1</v>
      </c>
      <c r="H99" s="17">
        <v>1</v>
      </c>
      <c r="I99" s="17">
        <v>1</v>
      </c>
      <c r="J99" s="17">
        <v>1</v>
      </c>
      <c r="K99" s="17">
        <v>1</v>
      </c>
      <c r="L99" s="17">
        <v>1</v>
      </c>
      <c r="M99" s="17">
        <v>1</v>
      </c>
      <c r="N99" s="17">
        <v>1</v>
      </c>
      <c r="O99" s="17">
        <v>1</v>
      </c>
      <c r="P99" s="17">
        <v>1</v>
      </c>
      <c r="Q99" s="17">
        <v>1</v>
      </c>
      <c r="R99" s="17">
        <v>1</v>
      </c>
      <c r="S99" s="17">
        <v>1</v>
      </c>
      <c r="T99" s="17">
        <v>1</v>
      </c>
      <c r="U99" s="17">
        <v>1</v>
      </c>
      <c r="V99" s="17">
        <v>1</v>
      </c>
      <c r="W99" s="17">
        <v>1</v>
      </c>
      <c r="X99" s="17">
        <v>1</v>
      </c>
      <c r="Y99" s="17">
        <v>1</v>
      </c>
      <c r="Z99" s="17">
        <v>1</v>
      </c>
      <c r="AA99" s="17">
        <v>1</v>
      </c>
      <c r="AB99" s="17">
        <v>1</v>
      </c>
      <c r="AC99" s="17">
        <v>1</v>
      </c>
      <c r="AD99" s="17">
        <v>1</v>
      </c>
      <c r="AE99" s="17">
        <v>1</v>
      </c>
      <c r="AF99" s="17">
        <v>1</v>
      </c>
      <c r="AG99" s="17">
        <v>1</v>
      </c>
      <c r="AH99" s="17">
        <v>1</v>
      </c>
      <c r="AI99" s="17">
        <v>1</v>
      </c>
      <c r="AJ99" s="17">
        <v>1</v>
      </c>
      <c r="AK99" s="17">
        <v>1</v>
      </c>
      <c r="AL99" s="17">
        <v>1</v>
      </c>
      <c r="AM99" s="17">
        <v>1</v>
      </c>
      <c r="AN99" s="17">
        <v>1</v>
      </c>
      <c r="AO99" s="17"/>
      <c r="AP99" s="17"/>
      <c r="AQ99" s="17"/>
      <c r="AR99" s="17"/>
      <c r="AS99" s="17"/>
      <c r="AT99" s="17"/>
      <c r="AU99" s="17"/>
      <c r="AV99" s="17"/>
      <c r="AW99" s="17"/>
      <c r="AX99" s="17"/>
      <c r="AY99" s="17"/>
      <c r="AZ99" s="17"/>
      <c r="BA99" s="17"/>
      <c r="BB99" s="17"/>
      <c r="BC99" s="17"/>
      <c r="BD99" s="17"/>
      <c r="BE99" s="17"/>
      <c r="BF99" s="17"/>
      <c r="BG99" s="17"/>
      <c r="BH99" s="17"/>
      <c r="BI99" s="17"/>
      <c r="BJ99" s="17"/>
      <c r="BK99" s="17"/>
      <c r="BL99" s="17"/>
      <c r="BM99" s="17"/>
      <c r="BN99" s="17"/>
      <c r="BO99" s="17"/>
      <c r="BP99" s="17"/>
      <c r="BQ99" s="17"/>
      <c r="BR99" s="17"/>
      <c r="BS99" s="17"/>
      <c r="BT99" s="17"/>
      <c r="BU99" s="17"/>
      <c r="BV99" s="17"/>
      <c r="BW99" s="17"/>
      <c r="BX99" s="17"/>
      <c r="BY99" s="17"/>
      <c r="BZ99" s="17"/>
      <c r="CA99" s="17"/>
      <c r="CB99" s="17"/>
      <c r="CC99" s="17"/>
      <c r="CD99" s="17"/>
      <c r="CE99" s="17"/>
      <c r="CF99" s="17"/>
      <c r="CG99" s="17"/>
      <c r="CH99" s="17"/>
      <c r="CI99" s="17"/>
      <c r="CJ99" s="17"/>
      <c r="CK99" s="17"/>
      <c r="CL99" s="17"/>
      <c r="CM99" s="17"/>
      <c r="CN99" s="17"/>
      <c r="CO99" s="17"/>
      <c r="CP99" s="17"/>
      <c r="CQ99" s="17"/>
      <c r="CR99" s="17"/>
      <c r="CS99" s="17"/>
      <c r="CT99" s="17"/>
      <c r="CU99" s="17"/>
      <c r="CV99" s="17"/>
    </row>
    <row r="100" spans="2:100" x14ac:dyDescent="0.35">
      <c r="B100" s="9" t="s">
        <v>444</v>
      </c>
      <c r="C100" t="s">
        <v>230</v>
      </c>
      <c r="D100" t="s">
        <v>327</v>
      </c>
      <c r="E100" t="s">
        <v>326</v>
      </c>
      <c r="F100" s="17">
        <v>0</v>
      </c>
      <c r="G100" s="17">
        <v>1</v>
      </c>
      <c r="H100" s="17">
        <v>1</v>
      </c>
      <c r="I100" s="17">
        <v>1</v>
      </c>
      <c r="J100" s="17">
        <v>1</v>
      </c>
      <c r="K100" s="17">
        <v>1</v>
      </c>
      <c r="L100" s="17">
        <v>1</v>
      </c>
      <c r="M100" s="17">
        <v>1</v>
      </c>
      <c r="N100" s="17">
        <v>1</v>
      </c>
      <c r="O100" s="17">
        <v>1</v>
      </c>
      <c r="P100" s="17">
        <v>1</v>
      </c>
      <c r="Q100" s="17">
        <v>1</v>
      </c>
      <c r="R100" s="17">
        <v>1</v>
      </c>
      <c r="S100" s="17">
        <v>1</v>
      </c>
      <c r="T100" s="17">
        <v>1</v>
      </c>
      <c r="U100" s="17">
        <v>1</v>
      </c>
      <c r="V100" s="17">
        <v>1</v>
      </c>
      <c r="W100" s="17">
        <v>1</v>
      </c>
      <c r="X100" s="17">
        <v>1</v>
      </c>
      <c r="Y100" s="17">
        <v>1</v>
      </c>
      <c r="Z100" s="17">
        <v>1</v>
      </c>
      <c r="AA100" s="17">
        <v>1</v>
      </c>
      <c r="AB100" s="17">
        <v>1</v>
      </c>
      <c r="AC100" s="17">
        <v>1</v>
      </c>
      <c r="AD100" s="17">
        <v>1</v>
      </c>
      <c r="AE100" s="17">
        <v>1</v>
      </c>
      <c r="AF100" s="17">
        <v>1</v>
      </c>
      <c r="AG100" s="17">
        <v>1</v>
      </c>
      <c r="AH100" s="17">
        <v>1</v>
      </c>
      <c r="AI100" s="17">
        <v>1</v>
      </c>
      <c r="AJ100" s="17">
        <v>1</v>
      </c>
      <c r="AK100" s="17">
        <v>1</v>
      </c>
      <c r="AL100" s="17">
        <v>1</v>
      </c>
      <c r="AM100" s="17">
        <v>1</v>
      </c>
      <c r="AN100" s="17">
        <v>1</v>
      </c>
      <c r="AO100" s="17"/>
      <c r="AP100" s="17"/>
      <c r="AQ100" s="17"/>
      <c r="AR100" s="17"/>
      <c r="AS100" s="17"/>
      <c r="AT100" s="17"/>
      <c r="AU100" s="17"/>
      <c r="AV100" s="17"/>
      <c r="AW100" s="17"/>
      <c r="AX100" s="17"/>
      <c r="AY100" s="17"/>
      <c r="AZ100" s="17"/>
      <c r="BA100" s="17"/>
      <c r="BB100" s="17"/>
      <c r="BC100" s="17"/>
      <c r="BD100" s="17"/>
      <c r="BE100" s="17"/>
      <c r="BF100" s="17"/>
      <c r="BG100" s="17"/>
      <c r="BH100" s="17"/>
      <c r="BI100" s="17"/>
      <c r="BJ100" s="17"/>
      <c r="BK100" s="17"/>
      <c r="BL100" s="17"/>
      <c r="BM100" s="17"/>
      <c r="BN100" s="17"/>
      <c r="BO100" s="17"/>
      <c r="BP100" s="17"/>
      <c r="BQ100" s="17"/>
      <c r="BR100" s="17"/>
      <c r="BS100" s="17"/>
      <c r="BT100" s="17"/>
      <c r="BU100" s="17"/>
      <c r="BV100" s="17"/>
      <c r="BW100" s="17"/>
      <c r="BX100" s="17"/>
      <c r="BY100" s="17"/>
      <c r="BZ100" s="17"/>
      <c r="CA100" s="17"/>
      <c r="CB100" s="17"/>
      <c r="CC100" s="17"/>
      <c r="CD100" s="17"/>
      <c r="CE100" s="17"/>
      <c r="CF100" s="17"/>
      <c r="CG100" s="17"/>
      <c r="CH100" s="17"/>
      <c r="CI100" s="17"/>
      <c r="CJ100" s="17"/>
      <c r="CK100" s="17"/>
      <c r="CL100" s="17"/>
      <c r="CM100" s="17"/>
      <c r="CN100" s="17"/>
      <c r="CO100" s="17"/>
      <c r="CP100" s="17"/>
      <c r="CQ100" s="17"/>
      <c r="CR100" s="17"/>
      <c r="CS100" s="17"/>
      <c r="CT100" s="17"/>
      <c r="CU100" s="17"/>
      <c r="CV100" s="17"/>
    </row>
    <row r="101" spans="2:100" x14ac:dyDescent="0.35">
      <c r="B101" s="9" t="s">
        <v>143</v>
      </c>
      <c r="C101" t="s">
        <v>338</v>
      </c>
      <c r="D101" t="s">
        <v>328</v>
      </c>
      <c r="E101" t="s">
        <v>217</v>
      </c>
      <c r="F101" s="17">
        <v>0</v>
      </c>
      <c r="G101" s="17">
        <v>398.16759999999999</v>
      </c>
      <c r="H101" s="17">
        <v>411.64229999999998</v>
      </c>
      <c r="I101" s="17">
        <v>420.28917000000001</v>
      </c>
      <c r="J101" s="17">
        <v>409.81959000000001</v>
      </c>
      <c r="K101" s="17">
        <v>417.65318000000002</v>
      </c>
      <c r="L101" s="17">
        <v>406.80034999999998</v>
      </c>
      <c r="M101" s="17">
        <v>394.63657999999998</v>
      </c>
      <c r="N101" s="17">
        <v>370.35142999999999</v>
      </c>
      <c r="O101" s="17">
        <v>355.68101000000001</v>
      </c>
      <c r="P101" s="17">
        <v>332.52521999999999</v>
      </c>
      <c r="Q101" s="17">
        <v>352.33031999999997</v>
      </c>
      <c r="R101" s="17">
        <v>331.03253000000001</v>
      </c>
      <c r="S101" s="17">
        <v>326.78023999999999</v>
      </c>
      <c r="T101" s="17">
        <v>325.99455</v>
      </c>
      <c r="U101" s="17">
        <v>318.27262000000002</v>
      </c>
      <c r="V101" s="17">
        <v>312.07434999999998</v>
      </c>
      <c r="W101" s="17">
        <v>305.24153999999999</v>
      </c>
      <c r="X101" s="17">
        <v>288.67383000000001</v>
      </c>
      <c r="Y101" s="17">
        <v>284.93216000000001</v>
      </c>
      <c r="Z101" s="17">
        <v>275.19278000000003</v>
      </c>
      <c r="AA101" s="17">
        <v>281.13141999999999</v>
      </c>
      <c r="AB101" s="17">
        <v>274.23797000000002</v>
      </c>
      <c r="AC101" s="17">
        <v>271.34921000000003</v>
      </c>
      <c r="AD101" s="17">
        <v>273.34411999999998</v>
      </c>
      <c r="AE101" s="17">
        <v>264.20166999999998</v>
      </c>
      <c r="AF101" s="17">
        <v>264.71059000000002</v>
      </c>
      <c r="AG101" s="17">
        <v>263.25054</v>
      </c>
      <c r="AH101" s="17">
        <v>263.84879999999998</v>
      </c>
      <c r="AI101" s="17">
        <v>264.89026000000001</v>
      </c>
      <c r="AJ101" s="17">
        <v>260.99626999999998</v>
      </c>
      <c r="AK101" s="17">
        <v>264.43369000000001</v>
      </c>
      <c r="AL101" s="17">
        <v>265.21620000000001</v>
      </c>
      <c r="AM101" s="17">
        <v>263.50997999999998</v>
      </c>
      <c r="AN101" s="17">
        <v>265.88292999999999</v>
      </c>
      <c r="AO101" s="17"/>
      <c r="AP101" s="17"/>
      <c r="AQ101" s="17"/>
      <c r="AR101" s="17"/>
      <c r="AS101" s="17"/>
      <c r="AT101" s="17"/>
      <c r="AU101" s="17"/>
      <c r="AV101" s="17"/>
      <c r="AW101" s="17"/>
      <c r="AX101" s="17"/>
      <c r="AY101" s="17"/>
      <c r="AZ101" s="17"/>
      <c r="BA101" s="17"/>
      <c r="BB101" s="17"/>
      <c r="BC101" s="17"/>
      <c r="BD101" s="17"/>
      <c r="BE101" s="17"/>
      <c r="BF101" s="17"/>
      <c r="BG101" s="17"/>
      <c r="BH101" s="17"/>
      <c r="BI101" s="17"/>
      <c r="BJ101" s="17"/>
      <c r="BK101" s="17"/>
      <c r="BL101" s="17"/>
      <c r="BM101" s="17"/>
      <c r="BN101" s="17"/>
      <c r="BO101" s="17"/>
      <c r="BP101" s="17"/>
      <c r="BQ101" s="17"/>
      <c r="BR101" s="17"/>
      <c r="BS101" s="17"/>
      <c r="BT101" s="17"/>
      <c r="BU101" s="17"/>
      <c r="BV101" s="17"/>
      <c r="BW101" s="17"/>
      <c r="BX101" s="17"/>
      <c r="BY101" s="17"/>
      <c r="BZ101" s="17"/>
      <c r="CA101" s="17"/>
      <c r="CB101" s="17"/>
      <c r="CC101" s="17"/>
      <c r="CD101" s="17"/>
      <c r="CE101" s="17"/>
      <c r="CF101" s="17"/>
      <c r="CG101" s="17"/>
      <c r="CH101" s="17"/>
      <c r="CI101" s="17"/>
      <c r="CJ101" s="17"/>
      <c r="CK101" s="17"/>
      <c r="CL101" s="17"/>
      <c r="CM101" s="17"/>
      <c r="CN101" s="17"/>
      <c r="CO101" s="17"/>
      <c r="CP101" s="17"/>
      <c r="CQ101" s="17"/>
      <c r="CR101" s="17"/>
      <c r="CS101" s="17"/>
      <c r="CT101" s="17"/>
      <c r="CU101" s="17"/>
      <c r="CV101" s="17"/>
    </row>
    <row r="102" spans="2:100" x14ac:dyDescent="0.35">
      <c r="B102" s="9"/>
      <c r="C102" t="s">
        <v>230</v>
      </c>
      <c r="D102" t="s">
        <v>329</v>
      </c>
      <c r="E102" t="s">
        <v>217</v>
      </c>
      <c r="F102" s="17">
        <v>0</v>
      </c>
      <c r="G102" s="17">
        <v>-41.831310000000002</v>
      </c>
      <c r="H102" s="17">
        <v>-69.834059999999994</v>
      </c>
      <c r="I102" s="17">
        <v>-62.224910000000001</v>
      </c>
      <c r="J102" s="17">
        <v>-50.003309999999999</v>
      </c>
      <c r="K102" s="17">
        <v>-30.755379999999999</v>
      </c>
      <c r="L102" s="17">
        <v>-21.251799999999999</v>
      </c>
      <c r="M102" s="17">
        <v>-17.269860000000001</v>
      </c>
      <c r="N102" s="17">
        <v>-9.7752599999999994</v>
      </c>
      <c r="O102" s="17">
        <v>-1.2040299999999999</v>
      </c>
      <c r="P102" s="17">
        <v>-0.16250999999999999</v>
      </c>
      <c r="Q102" s="17">
        <v>-0.45419999999999999</v>
      </c>
      <c r="R102" s="17">
        <v>-0.45419999999999999</v>
      </c>
      <c r="S102" s="17">
        <v>-0.85311000000000003</v>
      </c>
      <c r="T102" s="17">
        <v>-0.94398000000000004</v>
      </c>
      <c r="U102" s="17">
        <v>-0.87370999999999999</v>
      </c>
      <c r="V102" s="17">
        <v>-1.5494000000000001</v>
      </c>
      <c r="W102" s="17">
        <v>-5.4874499999999999</v>
      </c>
      <c r="X102" s="17">
        <v>-2.85</v>
      </c>
      <c r="Y102" s="17">
        <v>-1.7</v>
      </c>
      <c r="Z102" s="17">
        <v>0</v>
      </c>
      <c r="AA102" s="17">
        <v>0</v>
      </c>
      <c r="AB102" s="17">
        <v>0</v>
      </c>
      <c r="AC102" s="17">
        <v>0</v>
      </c>
      <c r="AD102" s="17">
        <v>0</v>
      </c>
      <c r="AE102" s="17">
        <v>0</v>
      </c>
      <c r="AF102" s="17">
        <v>0</v>
      </c>
      <c r="AG102" s="17">
        <v>0</v>
      </c>
      <c r="AH102" s="17">
        <v>0</v>
      </c>
      <c r="AI102" s="17">
        <v>0</v>
      </c>
      <c r="AJ102" s="17">
        <v>0</v>
      </c>
      <c r="AK102" s="17">
        <v>0</v>
      </c>
      <c r="AL102" s="17">
        <v>0</v>
      </c>
      <c r="AM102" s="17">
        <v>0</v>
      </c>
      <c r="AN102" s="17">
        <v>0</v>
      </c>
      <c r="AO102" s="17"/>
      <c r="AP102" s="17"/>
      <c r="AQ102" s="17"/>
      <c r="AR102" s="17"/>
      <c r="AS102" s="17"/>
      <c r="AT102" s="17"/>
      <c r="AU102" s="17"/>
      <c r="AV102" s="17"/>
      <c r="AW102" s="17"/>
      <c r="AX102" s="17"/>
      <c r="AY102" s="17"/>
      <c r="AZ102" s="17"/>
      <c r="BA102" s="17"/>
      <c r="BB102" s="17"/>
      <c r="BC102" s="17"/>
      <c r="BD102" s="17"/>
      <c r="BE102" s="17"/>
      <c r="BF102" s="17"/>
      <c r="BG102" s="17"/>
      <c r="BH102" s="17"/>
      <c r="BI102" s="17"/>
      <c r="BJ102" s="17"/>
      <c r="BK102" s="17"/>
      <c r="BL102" s="17"/>
      <c r="BM102" s="17"/>
      <c r="BN102" s="17"/>
      <c r="BO102" s="17"/>
      <c r="BP102" s="17"/>
      <c r="BQ102" s="17"/>
      <c r="BR102" s="17"/>
      <c r="BS102" s="17"/>
      <c r="BT102" s="17"/>
      <c r="BU102" s="17"/>
      <c r="BV102" s="17"/>
      <c r="BW102" s="17"/>
      <c r="BX102" s="17"/>
      <c r="BY102" s="17"/>
      <c r="BZ102" s="17"/>
      <c r="CA102" s="17"/>
      <c r="CB102" s="17"/>
      <c r="CC102" s="17"/>
      <c r="CD102" s="17"/>
      <c r="CE102" s="17"/>
      <c r="CF102" s="17"/>
      <c r="CG102" s="17"/>
      <c r="CH102" s="17"/>
      <c r="CI102" s="17"/>
      <c r="CJ102" s="17"/>
      <c r="CK102" s="17"/>
      <c r="CL102" s="17"/>
      <c r="CM102" s="17"/>
      <c r="CN102" s="17"/>
      <c r="CO102" s="17"/>
      <c r="CP102" s="17"/>
      <c r="CQ102" s="17"/>
      <c r="CR102" s="17"/>
      <c r="CS102" s="17"/>
      <c r="CT102" s="17"/>
      <c r="CU102" s="17"/>
      <c r="CV102" s="17"/>
    </row>
    <row r="103" spans="2:100" x14ac:dyDescent="0.35">
      <c r="B103" s="9"/>
      <c r="C103" t="s">
        <v>230</v>
      </c>
      <c r="D103" t="s">
        <v>330</v>
      </c>
      <c r="E103" t="s">
        <v>217</v>
      </c>
      <c r="F103" s="17">
        <v>0</v>
      </c>
      <c r="G103" s="17">
        <v>97.844380000000001</v>
      </c>
      <c r="H103" s="17">
        <v>135.55779000000001</v>
      </c>
      <c r="I103" s="17">
        <v>134.15344999999999</v>
      </c>
      <c r="J103" s="17">
        <v>148.14357999999999</v>
      </c>
      <c r="K103" s="17">
        <v>167.40422000000001</v>
      </c>
      <c r="L103" s="17">
        <v>155.04635999999999</v>
      </c>
      <c r="M103" s="17">
        <v>177.33095</v>
      </c>
      <c r="N103" s="17">
        <v>181.48079000000001</v>
      </c>
      <c r="O103" s="17">
        <v>165.47783999999999</v>
      </c>
      <c r="P103" s="17">
        <v>206.16589999999999</v>
      </c>
      <c r="Q103" s="17">
        <v>211.6292</v>
      </c>
      <c r="R103" s="17">
        <v>212.63729000000001</v>
      </c>
      <c r="S103" s="17">
        <v>212.63498999999999</v>
      </c>
      <c r="T103" s="17">
        <v>201.80862999999999</v>
      </c>
      <c r="U103" s="17">
        <v>214.10596000000001</v>
      </c>
      <c r="V103" s="17">
        <v>210.16165000000001</v>
      </c>
      <c r="W103" s="17">
        <v>223.20121</v>
      </c>
      <c r="X103" s="17">
        <v>236.10674</v>
      </c>
      <c r="Y103" s="17">
        <v>226.74260000000001</v>
      </c>
      <c r="Z103" s="17">
        <v>223.09905000000001</v>
      </c>
      <c r="AA103" s="17">
        <v>223.89248000000001</v>
      </c>
      <c r="AB103" s="17">
        <v>212.41046</v>
      </c>
      <c r="AC103" s="17">
        <v>206.39376999999999</v>
      </c>
      <c r="AD103" s="17">
        <v>199.68097</v>
      </c>
      <c r="AE103" s="17">
        <v>198.39572000000001</v>
      </c>
      <c r="AF103" s="17">
        <v>195.98927</v>
      </c>
      <c r="AG103" s="17">
        <v>190.97565</v>
      </c>
      <c r="AH103" s="17">
        <v>192.45348999999999</v>
      </c>
      <c r="AI103" s="17">
        <v>181.55458999999999</v>
      </c>
      <c r="AJ103" s="17">
        <v>187.59197</v>
      </c>
      <c r="AK103" s="17">
        <v>193.25632999999999</v>
      </c>
      <c r="AL103" s="17">
        <v>189.03549000000001</v>
      </c>
      <c r="AM103" s="17">
        <v>186.43378999999999</v>
      </c>
      <c r="AN103" s="17">
        <v>195.46453</v>
      </c>
      <c r="AO103" s="17"/>
      <c r="AP103" s="17"/>
      <c r="AQ103" s="17"/>
      <c r="AR103" s="17"/>
      <c r="AS103" s="17"/>
      <c r="AT103" s="17"/>
      <c r="AU103" s="17"/>
      <c r="AV103" s="17"/>
      <c r="AW103" s="17"/>
      <c r="AX103" s="17"/>
      <c r="AY103" s="17"/>
      <c r="AZ103" s="17"/>
      <c r="BA103" s="17"/>
      <c r="BB103" s="17"/>
      <c r="BC103" s="17"/>
      <c r="BD103" s="17"/>
      <c r="BE103" s="17"/>
      <c r="BF103" s="17"/>
      <c r="BG103" s="17"/>
      <c r="BH103" s="17"/>
      <c r="BI103" s="17"/>
      <c r="BJ103" s="17"/>
      <c r="BK103" s="17"/>
      <c r="BL103" s="17"/>
      <c r="BM103" s="17"/>
      <c r="BN103" s="17"/>
      <c r="BO103" s="17"/>
      <c r="BP103" s="17"/>
      <c r="BQ103" s="17"/>
      <c r="BR103" s="17"/>
      <c r="BS103" s="17"/>
      <c r="BT103" s="17"/>
      <c r="BU103" s="17"/>
      <c r="BV103" s="17"/>
      <c r="BW103" s="17"/>
      <c r="BX103" s="17"/>
      <c r="BY103" s="17"/>
      <c r="BZ103" s="17"/>
      <c r="CA103" s="17"/>
      <c r="CB103" s="17"/>
      <c r="CC103" s="17"/>
      <c r="CD103" s="17"/>
      <c r="CE103" s="17"/>
      <c r="CF103" s="17"/>
      <c r="CG103" s="17"/>
      <c r="CH103" s="17"/>
      <c r="CI103" s="17"/>
      <c r="CJ103" s="17"/>
      <c r="CK103" s="17"/>
      <c r="CL103" s="17"/>
      <c r="CM103" s="17"/>
      <c r="CN103" s="17"/>
      <c r="CO103" s="17"/>
      <c r="CP103" s="17"/>
      <c r="CQ103" s="17"/>
      <c r="CR103" s="17"/>
      <c r="CS103" s="17"/>
      <c r="CT103" s="17"/>
      <c r="CU103" s="17"/>
      <c r="CV103" s="17"/>
    </row>
    <row r="104" spans="2:100" x14ac:dyDescent="0.35">
      <c r="B104" s="9"/>
      <c r="C104" t="s">
        <v>230</v>
      </c>
      <c r="D104" t="s">
        <v>331</v>
      </c>
      <c r="E104" t="s">
        <v>217</v>
      </c>
      <c r="F104" s="17">
        <v>0</v>
      </c>
      <c r="G104" s="17">
        <v>-61.0565</v>
      </c>
      <c r="H104" s="17">
        <v>-55.485669999999999</v>
      </c>
      <c r="I104" s="17">
        <v>-60.849150000000002</v>
      </c>
      <c r="J104" s="17">
        <v>-59.664520000000003</v>
      </c>
      <c r="K104" s="17">
        <v>-61.781460000000003</v>
      </c>
      <c r="L104" s="17">
        <v>-60.072710000000001</v>
      </c>
      <c r="M104" s="17">
        <v>-57.008119999999998</v>
      </c>
      <c r="N104" s="17">
        <v>-62.808149999999998</v>
      </c>
      <c r="O104" s="17">
        <v>-67.245440000000002</v>
      </c>
      <c r="P104" s="17">
        <v>-77.504450000000006</v>
      </c>
      <c r="Q104" s="17">
        <v>-53.524050000000003</v>
      </c>
      <c r="R104" s="17">
        <v>-60.300310000000003</v>
      </c>
      <c r="S104" s="17">
        <v>-59.899900000000002</v>
      </c>
      <c r="T104" s="17">
        <v>-59.449669999999998</v>
      </c>
      <c r="U104" s="17">
        <v>-57.560830000000003</v>
      </c>
      <c r="V104" s="17">
        <v>-49.820509999999999</v>
      </c>
      <c r="W104" s="17">
        <v>-58.815829999999998</v>
      </c>
      <c r="X104" s="17">
        <v>-54.522669999999998</v>
      </c>
      <c r="Y104" s="17">
        <v>-51.543619999999997</v>
      </c>
      <c r="Z104" s="17">
        <v>-57.865560000000002</v>
      </c>
      <c r="AA104" s="17">
        <v>-48.861829999999998</v>
      </c>
      <c r="AB104" s="17">
        <v>-41.361069999999998</v>
      </c>
      <c r="AC104" s="17">
        <v>-43.254849999999998</v>
      </c>
      <c r="AD104" s="17">
        <v>-44.30724</v>
      </c>
      <c r="AE104" s="17">
        <v>-45.670470000000002</v>
      </c>
      <c r="AF104" s="17">
        <v>-44.164969999999997</v>
      </c>
      <c r="AG104" s="17">
        <v>-47.163890000000002</v>
      </c>
      <c r="AH104" s="17">
        <v>-41.829659999999997</v>
      </c>
      <c r="AI104" s="17">
        <v>-43.33681</v>
      </c>
      <c r="AJ104" s="17">
        <v>-47.97587</v>
      </c>
      <c r="AK104" s="17">
        <v>-46.866570000000003</v>
      </c>
      <c r="AL104" s="17">
        <v>-52.933839999999996</v>
      </c>
      <c r="AM104" s="17">
        <v>-54.112749999999998</v>
      </c>
      <c r="AN104" s="17">
        <v>-58.000309999999999</v>
      </c>
      <c r="AO104" s="17"/>
      <c r="AP104" s="17"/>
      <c r="AQ104" s="17"/>
      <c r="AR104" s="17"/>
      <c r="AS104" s="17"/>
      <c r="AT104" s="17"/>
      <c r="AU104" s="17"/>
      <c r="AV104" s="17"/>
      <c r="AW104" s="17"/>
      <c r="AX104" s="17"/>
      <c r="AY104" s="17"/>
      <c r="AZ104" s="17"/>
      <c r="BA104" s="17"/>
      <c r="BB104" s="17"/>
      <c r="BC104" s="17"/>
      <c r="BD104" s="17"/>
      <c r="BE104" s="17"/>
      <c r="BF104" s="17"/>
      <c r="BG104" s="17"/>
      <c r="BH104" s="17"/>
      <c r="BI104" s="17"/>
      <c r="BJ104" s="17"/>
      <c r="BK104" s="17"/>
      <c r="BL104" s="17"/>
      <c r="BM104" s="17"/>
      <c r="BN104" s="17"/>
      <c r="BO104" s="17"/>
      <c r="BP104" s="17"/>
      <c r="BQ104" s="17"/>
      <c r="BR104" s="17"/>
      <c r="BS104" s="17"/>
      <c r="BT104" s="17"/>
      <c r="BU104" s="17"/>
      <c r="BV104" s="17"/>
      <c r="BW104" s="17"/>
      <c r="BX104" s="17"/>
      <c r="BY104" s="17"/>
      <c r="BZ104" s="17"/>
      <c r="CA104" s="17"/>
      <c r="CB104" s="17"/>
      <c r="CC104" s="17"/>
      <c r="CD104" s="17"/>
      <c r="CE104" s="17"/>
      <c r="CF104" s="17"/>
      <c r="CG104" s="17"/>
      <c r="CH104" s="17"/>
      <c r="CI104" s="17"/>
      <c r="CJ104" s="17"/>
      <c r="CK104" s="17"/>
      <c r="CL104" s="17"/>
      <c r="CM104" s="17"/>
      <c r="CN104" s="17"/>
      <c r="CO104" s="17"/>
      <c r="CP104" s="17"/>
      <c r="CQ104" s="17"/>
      <c r="CR104" s="17"/>
      <c r="CS104" s="17"/>
      <c r="CT104" s="17"/>
      <c r="CU104" s="17"/>
      <c r="CV104" s="17"/>
    </row>
    <row r="105" spans="2:100" x14ac:dyDescent="0.35">
      <c r="B105" s="9"/>
      <c r="C105" t="s">
        <v>230</v>
      </c>
      <c r="D105" t="s">
        <v>332</v>
      </c>
      <c r="E105" t="s">
        <v>217</v>
      </c>
      <c r="F105" s="17">
        <v>0</v>
      </c>
      <c r="G105" s="17">
        <v>234.00531000000001</v>
      </c>
      <c r="H105" s="17">
        <v>185.59412</v>
      </c>
      <c r="I105" s="17">
        <v>174.26078000000001</v>
      </c>
      <c r="J105" s="17">
        <v>167.27072000000001</v>
      </c>
      <c r="K105" s="17">
        <v>143.26293000000001</v>
      </c>
      <c r="L105" s="17">
        <v>168.16159999999999</v>
      </c>
      <c r="M105" s="17">
        <v>156.84916999999999</v>
      </c>
      <c r="N105" s="17">
        <v>174.86689000000001</v>
      </c>
      <c r="O105" s="17">
        <v>209.11178000000001</v>
      </c>
      <c r="P105" s="17">
        <v>196.38096999999999</v>
      </c>
      <c r="Q105" s="17">
        <v>167.54151999999999</v>
      </c>
      <c r="R105" s="17">
        <v>185.54239000000001</v>
      </c>
      <c r="S105" s="17">
        <v>194.97378</v>
      </c>
      <c r="T105" s="17">
        <v>202.66032999999999</v>
      </c>
      <c r="U105" s="17">
        <v>202.95590000000001</v>
      </c>
      <c r="V105" s="17">
        <v>209.36338000000001</v>
      </c>
      <c r="W105" s="17">
        <v>198.98123000000001</v>
      </c>
      <c r="X105" s="17">
        <v>208.37486999999999</v>
      </c>
      <c r="Y105" s="17">
        <v>216.11869999999999</v>
      </c>
      <c r="Z105" s="17">
        <v>228.26607999999999</v>
      </c>
      <c r="AA105" s="17">
        <v>229.34933000000001</v>
      </c>
      <c r="AB105" s="17">
        <v>240.40225000000001</v>
      </c>
      <c r="AC105" s="17">
        <v>251.88047</v>
      </c>
      <c r="AD105" s="17">
        <v>257.75004000000001</v>
      </c>
      <c r="AE105" s="17">
        <v>266.15908999999999</v>
      </c>
      <c r="AF105" s="17">
        <v>273.77870000000001</v>
      </c>
      <c r="AG105" s="17">
        <v>274.37563</v>
      </c>
      <c r="AH105" s="17">
        <v>273.04602999999997</v>
      </c>
      <c r="AI105" s="17">
        <v>282.12506000000002</v>
      </c>
      <c r="AJ105" s="17">
        <v>287.30232999999998</v>
      </c>
      <c r="AK105" s="17">
        <v>270.19481999999999</v>
      </c>
      <c r="AL105" s="17">
        <v>273.57445000000001</v>
      </c>
      <c r="AM105" s="17">
        <v>277.22120000000001</v>
      </c>
      <c r="AN105" s="17">
        <v>273.19294000000002</v>
      </c>
      <c r="AO105" s="17"/>
      <c r="AP105" s="17"/>
      <c r="AQ105" s="17"/>
      <c r="AR105" s="17"/>
      <c r="AS105" s="17"/>
      <c r="AT105" s="17"/>
      <c r="AU105" s="17"/>
      <c r="AV105" s="17"/>
      <c r="AW105" s="17"/>
      <c r="AX105" s="17"/>
      <c r="AY105" s="17"/>
      <c r="AZ105" s="17"/>
      <c r="BA105" s="17"/>
      <c r="BB105" s="17"/>
      <c r="BC105" s="17"/>
      <c r="BD105" s="17"/>
      <c r="BE105" s="17"/>
      <c r="BF105" s="17"/>
      <c r="BG105" s="17"/>
      <c r="BH105" s="17"/>
      <c r="BI105" s="17"/>
      <c r="BJ105" s="17"/>
      <c r="BK105" s="17"/>
      <c r="BL105" s="17"/>
      <c r="BM105" s="17"/>
      <c r="BN105" s="17"/>
      <c r="BO105" s="17"/>
      <c r="BP105" s="17"/>
      <c r="BQ105" s="17"/>
      <c r="BR105" s="17"/>
      <c r="BS105" s="17"/>
      <c r="BT105" s="17"/>
      <c r="BU105" s="17"/>
      <c r="BV105" s="17"/>
      <c r="BW105" s="17"/>
      <c r="BX105" s="17"/>
      <c r="BY105" s="17"/>
      <c r="BZ105" s="17"/>
      <c r="CA105" s="17"/>
      <c r="CB105" s="17"/>
      <c r="CC105" s="17"/>
      <c r="CD105" s="17"/>
      <c r="CE105" s="17"/>
      <c r="CF105" s="17"/>
      <c r="CG105" s="17"/>
      <c r="CH105" s="17"/>
      <c r="CI105" s="17"/>
      <c r="CJ105" s="17"/>
      <c r="CK105" s="17"/>
      <c r="CL105" s="17"/>
      <c r="CM105" s="17"/>
      <c r="CN105" s="17"/>
      <c r="CO105" s="17"/>
      <c r="CP105" s="17"/>
      <c r="CQ105" s="17"/>
      <c r="CR105" s="17"/>
      <c r="CS105" s="17"/>
      <c r="CT105" s="17"/>
      <c r="CU105" s="17"/>
      <c r="CV105" s="17"/>
    </row>
    <row r="106" spans="2:100" x14ac:dyDescent="0.35">
      <c r="B106" s="9"/>
      <c r="C106" t="s">
        <v>230</v>
      </c>
      <c r="D106" t="s">
        <v>333</v>
      </c>
      <c r="E106" t="s">
        <v>217</v>
      </c>
      <c r="F106" s="17">
        <v>0</v>
      </c>
      <c r="G106" s="17">
        <v>-254.11994999999999</v>
      </c>
      <c r="H106" s="17">
        <v>-225.00124</v>
      </c>
      <c r="I106" s="17">
        <v>-218.05805000000001</v>
      </c>
      <c r="J106" s="17">
        <v>-190.12343999999999</v>
      </c>
      <c r="K106" s="17">
        <v>-208.68724</v>
      </c>
      <c r="L106" s="17">
        <v>-236.9871</v>
      </c>
      <c r="M106" s="17">
        <v>-222.16727</v>
      </c>
      <c r="N106" s="17">
        <v>-216.08017000000001</v>
      </c>
      <c r="O106" s="17">
        <v>-213.26990000000001</v>
      </c>
      <c r="P106" s="17">
        <v>-224.85306</v>
      </c>
      <c r="Q106" s="17">
        <v>-266.71510000000001</v>
      </c>
      <c r="R106" s="17">
        <v>-251.13093000000001</v>
      </c>
      <c r="S106" s="17">
        <v>-265.97357</v>
      </c>
      <c r="T106" s="17">
        <v>-253.77930000000001</v>
      </c>
      <c r="U106" s="17">
        <v>-268.27821999999998</v>
      </c>
      <c r="V106" s="17">
        <v>-292.38538</v>
      </c>
      <c r="W106" s="17">
        <v>-262.33179000000001</v>
      </c>
      <c r="X106" s="17">
        <v>-285.96972</v>
      </c>
      <c r="Y106" s="17">
        <v>-299.13724999999999</v>
      </c>
      <c r="Z106" s="17">
        <v>-298.64567</v>
      </c>
      <c r="AA106" s="17">
        <v>-321.90463999999997</v>
      </c>
      <c r="AB106" s="17">
        <v>-344.45040999999998</v>
      </c>
      <c r="AC106" s="17">
        <v>-339.75339000000002</v>
      </c>
      <c r="AD106" s="17">
        <v>-352.23615000000001</v>
      </c>
      <c r="AE106" s="17">
        <v>-356.18513999999999</v>
      </c>
      <c r="AF106" s="17">
        <v>-367.26846</v>
      </c>
      <c r="AG106" s="17">
        <v>-349.1474</v>
      </c>
      <c r="AH106" s="17">
        <v>-352.58398</v>
      </c>
      <c r="AI106" s="17">
        <v>-361.59084999999999</v>
      </c>
      <c r="AJ106" s="17">
        <v>-365.88963000000001</v>
      </c>
      <c r="AK106" s="17">
        <v>-340.46415000000002</v>
      </c>
      <c r="AL106" s="17">
        <v>-325.70335999999998</v>
      </c>
      <c r="AM106" s="17">
        <v>-316.34629999999999</v>
      </c>
      <c r="AN106" s="17">
        <v>-316.32384000000002</v>
      </c>
      <c r="AO106" s="17"/>
      <c r="AP106" s="17"/>
      <c r="AQ106" s="17"/>
      <c r="AR106" s="17"/>
      <c r="AS106" s="17"/>
      <c r="AT106" s="17"/>
      <c r="AU106" s="17"/>
      <c r="AV106" s="17"/>
      <c r="AW106" s="17"/>
      <c r="AX106" s="17"/>
      <c r="AY106" s="17"/>
      <c r="AZ106" s="17"/>
      <c r="BA106" s="17"/>
      <c r="BB106" s="17"/>
      <c r="BC106" s="17"/>
      <c r="BD106" s="17"/>
      <c r="BE106" s="17"/>
      <c r="BF106" s="17"/>
      <c r="BG106" s="17"/>
      <c r="BH106" s="17"/>
      <c r="BI106" s="17"/>
      <c r="BJ106" s="17"/>
      <c r="BK106" s="17"/>
      <c r="BL106" s="17"/>
      <c r="BM106" s="17"/>
      <c r="BN106" s="17"/>
      <c r="BO106" s="17"/>
      <c r="BP106" s="17"/>
      <c r="BQ106" s="17"/>
      <c r="BR106" s="17"/>
      <c r="BS106" s="17"/>
      <c r="BT106" s="17"/>
      <c r="BU106" s="17"/>
      <c r="BV106" s="17"/>
      <c r="BW106" s="17"/>
      <c r="BX106" s="17"/>
      <c r="BY106" s="17"/>
      <c r="BZ106" s="17"/>
      <c r="CA106" s="17"/>
      <c r="CB106" s="17"/>
      <c r="CC106" s="17"/>
      <c r="CD106" s="17"/>
      <c r="CE106" s="17"/>
      <c r="CF106" s="17"/>
      <c r="CG106" s="17"/>
      <c r="CH106" s="17"/>
      <c r="CI106" s="17"/>
      <c r="CJ106" s="17"/>
      <c r="CK106" s="17"/>
      <c r="CL106" s="17"/>
      <c r="CM106" s="17"/>
      <c r="CN106" s="17"/>
      <c r="CO106" s="17"/>
      <c r="CP106" s="17"/>
      <c r="CQ106" s="17"/>
      <c r="CR106" s="17"/>
      <c r="CS106" s="17"/>
      <c r="CT106" s="17"/>
      <c r="CU106" s="17"/>
      <c r="CV106" s="17"/>
    </row>
    <row r="107" spans="2:100" x14ac:dyDescent="0.35">
      <c r="B107" s="9"/>
      <c r="C107" t="s">
        <v>230</v>
      </c>
      <c r="D107" t="s">
        <v>334</v>
      </c>
      <c r="E107" t="s">
        <v>217</v>
      </c>
      <c r="F107" s="17">
        <v>0</v>
      </c>
      <c r="G107" s="17">
        <v>730.01730999999995</v>
      </c>
      <c r="H107" s="17">
        <v>732.79422999999997</v>
      </c>
      <c r="I107" s="17">
        <v>728.70348000000001</v>
      </c>
      <c r="J107" s="17">
        <v>725.23388999999997</v>
      </c>
      <c r="K107" s="17">
        <v>728.32039999999995</v>
      </c>
      <c r="L107" s="17">
        <v>730.00836000000004</v>
      </c>
      <c r="M107" s="17">
        <v>728.81668999999999</v>
      </c>
      <c r="N107" s="17">
        <v>726.69917999999996</v>
      </c>
      <c r="O107" s="17">
        <v>730.27061000000003</v>
      </c>
      <c r="P107" s="17">
        <v>735.07212000000004</v>
      </c>
      <c r="Q107" s="17">
        <v>731.50106000000005</v>
      </c>
      <c r="R107" s="17">
        <v>729.21226000000001</v>
      </c>
      <c r="S107" s="17">
        <v>734.38904000000002</v>
      </c>
      <c r="T107" s="17">
        <v>730.46357</v>
      </c>
      <c r="U107" s="17">
        <v>735.33455000000004</v>
      </c>
      <c r="V107" s="17">
        <v>731.59947999999997</v>
      </c>
      <c r="W107" s="17">
        <v>727.42403999999999</v>
      </c>
      <c r="X107" s="17">
        <v>733.15549999999996</v>
      </c>
      <c r="Y107" s="17">
        <v>727.79350999999997</v>
      </c>
      <c r="Z107" s="17">
        <v>726.55790999999999</v>
      </c>
      <c r="AA107" s="17">
        <v>734.37324000000001</v>
      </c>
      <c r="AB107" s="17">
        <v>727.05070999999998</v>
      </c>
      <c r="AC107" s="17">
        <v>729.62365</v>
      </c>
      <c r="AD107" s="17">
        <v>730.77525000000003</v>
      </c>
      <c r="AE107" s="17">
        <v>728.75660000000005</v>
      </c>
      <c r="AF107" s="17">
        <v>734.47865999999999</v>
      </c>
      <c r="AG107" s="17">
        <v>728.60185999999999</v>
      </c>
      <c r="AH107" s="17">
        <v>729.34842000000003</v>
      </c>
      <c r="AI107" s="17">
        <v>728.57002</v>
      </c>
      <c r="AJ107" s="17">
        <v>735.89049999999997</v>
      </c>
      <c r="AK107" s="17">
        <v>727.88489000000004</v>
      </c>
      <c r="AL107" s="17">
        <v>727.82614000000001</v>
      </c>
      <c r="AM107" s="17">
        <v>727.16498000000001</v>
      </c>
      <c r="AN107" s="17">
        <v>734.54042000000004</v>
      </c>
      <c r="AO107" s="17"/>
      <c r="AP107" s="17"/>
      <c r="AQ107" s="17"/>
      <c r="AR107" s="17"/>
      <c r="AS107" s="17"/>
      <c r="AT107" s="17"/>
      <c r="AU107" s="17"/>
      <c r="AV107" s="17"/>
      <c r="AW107" s="17"/>
      <c r="AX107" s="17"/>
      <c r="AY107" s="17"/>
      <c r="AZ107" s="17"/>
      <c r="BA107" s="17"/>
      <c r="BB107" s="17"/>
      <c r="BC107" s="17"/>
      <c r="BD107" s="17"/>
      <c r="BE107" s="17"/>
      <c r="BF107" s="17"/>
      <c r="BG107" s="17"/>
      <c r="BH107" s="17"/>
      <c r="BI107" s="17"/>
      <c r="BJ107" s="17"/>
      <c r="BK107" s="17"/>
      <c r="BL107" s="17"/>
      <c r="BM107" s="17"/>
      <c r="BN107" s="17"/>
      <c r="BO107" s="17"/>
      <c r="BP107" s="17"/>
      <c r="BQ107" s="17"/>
      <c r="BR107" s="17"/>
      <c r="BS107" s="17"/>
      <c r="BT107" s="17"/>
      <c r="BU107" s="17"/>
      <c r="BV107" s="17"/>
      <c r="BW107" s="17"/>
      <c r="BX107" s="17"/>
      <c r="BY107" s="17"/>
      <c r="BZ107" s="17"/>
      <c r="CA107" s="17"/>
      <c r="CB107" s="17"/>
      <c r="CC107" s="17"/>
      <c r="CD107" s="17"/>
      <c r="CE107" s="17"/>
      <c r="CF107" s="17"/>
      <c r="CG107" s="17"/>
      <c r="CH107" s="17"/>
      <c r="CI107" s="17"/>
      <c r="CJ107" s="17"/>
      <c r="CK107" s="17"/>
      <c r="CL107" s="17"/>
      <c r="CM107" s="17"/>
      <c r="CN107" s="17"/>
      <c r="CO107" s="17"/>
      <c r="CP107" s="17"/>
      <c r="CQ107" s="17"/>
      <c r="CR107" s="17"/>
      <c r="CS107" s="17"/>
      <c r="CT107" s="17"/>
      <c r="CU107" s="17"/>
      <c r="CV107" s="17"/>
    </row>
    <row r="108" spans="2:100" x14ac:dyDescent="0.35">
      <c r="B108" s="9"/>
      <c r="C108" t="s">
        <v>230</v>
      </c>
      <c r="D108" t="s">
        <v>335</v>
      </c>
      <c r="E108" t="s">
        <v>217</v>
      </c>
      <c r="F108" s="17">
        <v>0</v>
      </c>
      <c r="G108" s="17">
        <v>-357.00781999999998</v>
      </c>
      <c r="H108" s="17">
        <v>-350.32096000000001</v>
      </c>
      <c r="I108" s="17">
        <v>-341.13216999999997</v>
      </c>
      <c r="J108" s="17">
        <v>-299.79124000000002</v>
      </c>
      <c r="K108" s="17">
        <v>-301.22408999999999</v>
      </c>
      <c r="L108" s="17">
        <v>-318.3116</v>
      </c>
      <c r="M108" s="17">
        <v>-296.44528000000003</v>
      </c>
      <c r="N108" s="17">
        <v>-288.66358000000002</v>
      </c>
      <c r="O108" s="17">
        <v>-281.71940999999998</v>
      </c>
      <c r="P108" s="17">
        <v>-302.51997999999998</v>
      </c>
      <c r="Q108" s="17">
        <v>-320.69333</v>
      </c>
      <c r="R108" s="17">
        <v>-311.88542999999999</v>
      </c>
      <c r="S108" s="17">
        <v>-326.72656999999998</v>
      </c>
      <c r="T108" s="17">
        <v>-314.17295999999999</v>
      </c>
      <c r="U108" s="17">
        <v>-326.71278999999998</v>
      </c>
      <c r="V108" s="17">
        <v>-343.75529999999998</v>
      </c>
      <c r="W108" s="17">
        <v>-326.63506000000001</v>
      </c>
      <c r="X108" s="17">
        <v>-343.34244999999999</v>
      </c>
      <c r="Y108" s="17">
        <v>-352.38089000000002</v>
      </c>
      <c r="Z108" s="17">
        <v>-356.51123000000001</v>
      </c>
      <c r="AA108" s="17">
        <v>-370.76650000000001</v>
      </c>
      <c r="AB108" s="17">
        <v>-385.81150000000002</v>
      </c>
      <c r="AC108" s="17">
        <v>-383.00824999999998</v>
      </c>
      <c r="AD108" s="17">
        <v>-396.54342000000003</v>
      </c>
      <c r="AE108" s="17">
        <v>-401.85565000000003</v>
      </c>
      <c r="AF108" s="17">
        <v>-411.43347999999997</v>
      </c>
      <c r="AG108" s="17">
        <v>-396.31128999999999</v>
      </c>
      <c r="AH108" s="17">
        <v>-394.41363999999999</v>
      </c>
      <c r="AI108" s="17">
        <v>-404.92766999999998</v>
      </c>
      <c r="AJ108" s="17">
        <v>-413.86547999999999</v>
      </c>
      <c r="AK108" s="17">
        <v>-387.33071000000001</v>
      </c>
      <c r="AL108" s="17">
        <v>-378.63720999999998</v>
      </c>
      <c r="AM108" s="17">
        <v>-370.45904999999999</v>
      </c>
      <c r="AN108" s="17">
        <v>-374.32416000000001</v>
      </c>
      <c r="AO108" s="17"/>
      <c r="AP108" s="17"/>
      <c r="AQ108" s="17"/>
      <c r="AR108" s="17"/>
      <c r="AS108" s="17"/>
      <c r="AT108" s="17"/>
      <c r="AU108" s="17"/>
      <c r="AV108" s="17"/>
      <c r="AW108" s="17"/>
      <c r="AX108" s="17"/>
      <c r="AY108" s="17"/>
      <c r="AZ108" s="17"/>
      <c r="BA108" s="17"/>
      <c r="BB108" s="17"/>
      <c r="BC108" s="17"/>
      <c r="BD108" s="17"/>
      <c r="BE108" s="17"/>
      <c r="BF108" s="17"/>
      <c r="BG108" s="17"/>
      <c r="BH108" s="17"/>
      <c r="BI108" s="17"/>
      <c r="BJ108" s="17"/>
      <c r="BK108" s="17"/>
      <c r="BL108" s="17"/>
      <c r="BM108" s="17"/>
      <c r="BN108" s="17"/>
      <c r="BO108" s="17"/>
      <c r="BP108" s="17"/>
      <c r="BQ108" s="17"/>
      <c r="BR108" s="17"/>
      <c r="BS108" s="17"/>
      <c r="BT108" s="17"/>
      <c r="BU108" s="17"/>
      <c r="BV108" s="17"/>
      <c r="BW108" s="17"/>
      <c r="BX108" s="17"/>
      <c r="BY108" s="17"/>
      <c r="BZ108" s="17"/>
      <c r="CA108" s="17"/>
      <c r="CB108" s="17"/>
      <c r="CC108" s="17"/>
      <c r="CD108" s="17"/>
      <c r="CE108" s="17"/>
      <c r="CF108" s="17"/>
      <c r="CG108" s="17"/>
      <c r="CH108" s="17"/>
      <c r="CI108" s="17"/>
      <c r="CJ108" s="17"/>
      <c r="CK108" s="17"/>
      <c r="CL108" s="17"/>
      <c r="CM108" s="17"/>
      <c r="CN108" s="17"/>
      <c r="CO108" s="17"/>
      <c r="CP108" s="17"/>
      <c r="CQ108" s="17"/>
      <c r="CR108" s="17"/>
      <c r="CS108" s="17"/>
      <c r="CT108" s="17"/>
      <c r="CU108" s="17"/>
      <c r="CV108" s="17"/>
    </row>
    <row r="109" spans="2:100" x14ac:dyDescent="0.35">
      <c r="B109" s="9"/>
      <c r="D109" t="s">
        <v>336</v>
      </c>
      <c r="E109" t="s">
        <v>217</v>
      </c>
      <c r="F109" s="17">
        <v>0</v>
      </c>
      <c r="G109" s="17">
        <v>-528.87106000000006</v>
      </c>
      <c r="H109" s="17">
        <v>-539.78336000000002</v>
      </c>
      <c r="I109" s="17">
        <v>-543.79260999999997</v>
      </c>
      <c r="J109" s="17">
        <v>-578.59132999999997</v>
      </c>
      <c r="K109" s="17">
        <v>-579.85128999999995</v>
      </c>
      <c r="L109" s="17">
        <v>-565.28598</v>
      </c>
      <c r="M109" s="17">
        <v>-585.32398999999998</v>
      </c>
      <c r="N109" s="17">
        <v>-591.46297000000004</v>
      </c>
      <c r="O109" s="17">
        <v>-602.33631000000003</v>
      </c>
      <c r="P109" s="17">
        <v>-587.01685999999995</v>
      </c>
      <c r="Q109" s="17">
        <v>-566.35311999999999</v>
      </c>
      <c r="R109" s="17">
        <v>-572.49185999999997</v>
      </c>
      <c r="S109" s="17">
        <v>-564.57209999999998</v>
      </c>
      <c r="T109" s="17">
        <v>-570.52428999999995</v>
      </c>
      <c r="U109" s="17">
        <v>-565.16758000000004</v>
      </c>
      <c r="V109" s="17">
        <v>-544.72019999999998</v>
      </c>
      <c r="W109" s="17">
        <v>-556.32149000000004</v>
      </c>
      <c r="X109" s="17">
        <v>-546.34310000000005</v>
      </c>
      <c r="Y109" s="17">
        <v>-531.79079999999999</v>
      </c>
      <c r="Z109" s="17">
        <v>-526.05454999999995</v>
      </c>
      <c r="AA109" s="17">
        <v>-521.84441000000004</v>
      </c>
      <c r="AB109" s="17">
        <v>-497.53255999999999</v>
      </c>
      <c r="AC109" s="17">
        <v>-503.23435999999998</v>
      </c>
      <c r="AD109" s="17">
        <v>-491.53104999999999</v>
      </c>
      <c r="AE109" s="17">
        <v>-483.88731999999999</v>
      </c>
      <c r="AF109" s="17">
        <v>-480.35516000000001</v>
      </c>
      <c r="AG109" s="17">
        <v>-489.15096999999997</v>
      </c>
      <c r="AH109" s="17">
        <v>-491.80799000000002</v>
      </c>
      <c r="AI109" s="17">
        <v>-480.66901999999999</v>
      </c>
      <c r="AJ109" s="17">
        <v>-479.80696</v>
      </c>
      <c r="AK109" s="17">
        <v>-497.02953000000002</v>
      </c>
      <c r="AL109" s="17">
        <v>-504.37556999999998</v>
      </c>
      <c r="AM109" s="17">
        <v>-511.48214999999999</v>
      </c>
      <c r="AN109" s="17">
        <v>-516.42517999999995</v>
      </c>
      <c r="AO109" s="17"/>
      <c r="AP109" s="17"/>
      <c r="AQ109" s="17"/>
      <c r="AR109" s="17"/>
      <c r="AS109" s="17"/>
      <c r="AT109" s="17"/>
      <c r="AU109" s="17"/>
      <c r="AV109" s="17"/>
      <c r="AW109" s="17"/>
      <c r="AX109" s="17"/>
      <c r="AY109" s="17"/>
      <c r="AZ109" s="17"/>
      <c r="BA109" s="17"/>
      <c r="BB109" s="17"/>
      <c r="BC109" s="17"/>
      <c r="BD109" s="17"/>
      <c r="BE109" s="17"/>
      <c r="BF109" s="17"/>
      <c r="BG109" s="17"/>
      <c r="BH109" s="17"/>
      <c r="BI109" s="17"/>
      <c r="BJ109" s="17"/>
      <c r="BK109" s="17"/>
      <c r="BL109" s="17"/>
      <c r="BM109" s="17"/>
      <c r="BN109" s="17"/>
      <c r="BO109" s="17"/>
      <c r="BP109" s="17"/>
      <c r="BQ109" s="17"/>
      <c r="BR109" s="17"/>
      <c r="BS109" s="17"/>
      <c r="BT109" s="17"/>
      <c r="BU109" s="17"/>
      <c r="BV109" s="17"/>
      <c r="BW109" s="17"/>
      <c r="BX109" s="17"/>
      <c r="BY109" s="17"/>
      <c r="BZ109" s="17"/>
      <c r="CA109" s="17"/>
      <c r="CB109" s="17"/>
      <c r="CC109" s="17"/>
      <c r="CD109" s="17"/>
      <c r="CE109" s="17"/>
      <c r="CF109" s="17"/>
      <c r="CG109" s="17"/>
      <c r="CH109" s="17"/>
      <c r="CI109" s="17"/>
      <c r="CJ109" s="17"/>
      <c r="CK109" s="17"/>
      <c r="CL109" s="17"/>
      <c r="CM109" s="17"/>
      <c r="CN109" s="17"/>
      <c r="CO109" s="17"/>
      <c r="CP109" s="17"/>
      <c r="CQ109" s="17"/>
      <c r="CR109" s="17"/>
      <c r="CS109" s="17"/>
      <c r="CT109" s="17"/>
      <c r="CU109" s="17"/>
      <c r="CV109" s="17"/>
    </row>
    <row r="110" spans="2:100" x14ac:dyDescent="0.35">
      <c r="B110" s="9"/>
      <c r="C110" t="s">
        <v>339</v>
      </c>
      <c r="D110" t="s">
        <v>340</v>
      </c>
      <c r="E110" t="s">
        <v>219</v>
      </c>
      <c r="F110" s="17">
        <v>0</v>
      </c>
      <c r="G110" s="17">
        <v>93.358551257033895</v>
      </c>
      <c r="H110" s="17">
        <v>87.049441151905398</v>
      </c>
      <c r="I110" s="17">
        <v>74.414391048517103</v>
      </c>
      <c r="J110" s="17">
        <v>63.323522815644601</v>
      </c>
      <c r="K110" s="17">
        <v>67.080140916653093</v>
      </c>
      <c r="L110" s="17">
        <v>68.107725508871297</v>
      </c>
      <c r="M110" s="17">
        <v>62.803613882398103</v>
      </c>
      <c r="N110" s="17">
        <v>55.9951647134057</v>
      </c>
      <c r="O110" s="17">
        <v>51.335687094104102</v>
      </c>
      <c r="P110" s="17">
        <v>46.298597235745902</v>
      </c>
      <c r="Q110" s="17">
        <v>50.615741665714197</v>
      </c>
      <c r="R110" s="17">
        <v>46.233774463009098</v>
      </c>
      <c r="S110" s="17">
        <v>44.9712713066437</v>
      </c>
      <c r="T110" s="17">
        <v>44.186534446100097</v>
      </c>
      <c r="U110" s="17">
        <v>42.402461305583401</v>
      </c>
      <c r="V110" s="17">
        <v>41.628233987243398</v>
      </c>
      <c r="W110" s="17">
        <v>40.725959493168403</v>
      </c>
      <c r="X110" s="17">
        <v>37.817699636420997</v>
      </c>
      <c r="Y110" s="17">
        <v>37.125083196504796</v>
      </c>
      <c r="Z110" s="17">
        <v>35.248346398586698</v>
      </c>
      <c r="AA110" s="17">
        <v>35.7888565417988</v>
      </c>
      <c r="AB110" s="17">
        <v>33.797883318437101</v>
      </c>
      <c r="AC110" s="17">
        <v>33.075754496090397</v>
      </c>
      <c r="AD110" s="17">
        <v>32.484827801511997</v>
      </c>
      <c r="AE110" s="17">
        <v>30.848588191535001</v>
      </c>
      <c r="AF110" s="17">
        <v>30.203818375169899</v>
      </c>
      <c r="AG110" s="17">
        <v>30.225213546574398</v>
      </c>
      <c r="AH110" s="17">
        <v>30.3925095792268</v>
      </c>
      <c r="AI110" s="17">
        <v>30.2469430175322</v>
      </c>
      <c r="AJ110" s="17">
        <v>29.437844077049402</v>
      </c>
      <c r="AK110" s="17">
        <v>30.319705404657402</v>
      </c>
      <c r="AL110" s="17">
        <v>31.026174382309101</v>
      </c>
      <c r="AM110" s="17">
        <v>30.962396295676001</v>
      </c>
      <c r="AN110" s="17">
        <v>30.7293686133766</v>
      </c>
      <c r="AO110" s="17"/>
      <c r="AP110" s="17"/>
      <c r="AQ110" s="17"/>
      <c r="AR110" s="17"/>
      <c r="AS110" s="17"/>
      <c r="AT110" s="17"/>
      <c r="AU110" s="17"/>
      <c r="AV110" s="17"/>
      <c r="AW110" s="17"/>
      <c r="AX110" s="17"/>
      <c r="AY110" s="17"/>
      <c r="AZ110" s="17"/>
      <c r="BA110" s="17"/>
      <c r="BB110" s="17"/>
      <c r="BC110" s="17"/>
      <c r="BD110" s="17"/>
      <c r="BE110" s="17"/>
      <c r="BF110" s="17"/>
      <c r="BG110" s="17"/>
      <c r="BH110" s="17"/>
      <c r="BI110" s="17"/>
      <c r="BJ110" s="17"/>
      <c r="BK110" s="17"/>
      <c r="BL110" s="17"/>
      <c r="BM110" s="17"/>
      <c r="BN110" s="17"/>
      <c r="BO110" s="17"/>
      <c r="BP110" s="17"/>
      <c r="BQ110" s="17"/>
      <c r="BR110" s="17"/>
      <c r="BS110" s="17"/>
      <c r="BT110" s="17"/>
      <c r="BU110" s="17"/>
      <c r="BV110" s="17"/>
      <c r="BW110" s="17"/>
      <c r="BX110" s="17"/>
      <c r="BY110" s="17"/>
      <c r="BZ110" s="17"/>
      <c r="CA110" s="17"/>
      <c r="CB110" s="17"/>
      <c r="CC110" s="17"/>
      <c r="CD110" s="17"/>
      <c r="CE110" s="17"/>
      <c r="CF110" s="17"/>
      <c r="CG110" s="17"/>
      <c r="CH110" s="17"/>
      <c r="CI110" s="17"/>
      <c r="CJ110" s="17"/>
      <c r="CK110" s="17"/>
      <c r="CL110" s="17"/>
      <c r="CM110" s="17"/>
      <c r="CN110" s="17"/>
      <c r="CO110" s="17"/>
      <c r="CP110" s="17"/>
      <c r="CQ110" s="17"/>
      <c r="CR110" s="17"/>
      <c r="CS110" s="17"/>
      <c r="CT110" s="17"/>
      <c r="CU110" s="17"/>
      <c r="CV110" s="17"/>
    </row>
    <row r="111" spans="2:100" x14ac:dyDescent="0.35">
      <c r="B111" s="9"/>
      <c r="C111" t="s">
        <v>230</v>
      </c>
      <c r="D111" t="s">
        <v>341</v>
      </c>
      <c r="E111" t="s">
        <v>219</v>
      </c>
      <c r="F111" s="17">
        <v>0</v>
      </c>
      <c r="G111" s="17">
        <v>-0.54061461182250803</v>
      </c>
      <c r="H111" s="17">
        <v>-0.142139991274363</v>
      </c>
      <c r="I111" s="17">
        <v>0.400741589393252</v>
      </c>
      <c r="J111" s="17">
        <v>0.47662758796865801</v>
      </c>
      <c r="K111" s="17">
        <v>0.38779792856795903</v>
      </c>
      <c r="L111" s="17">
        <v>0.242576113287573</v>
      </c>
      <c r="M111" s="17">
        <v>5.3258097568477603E-2</v>
      </c>
      <c r="N111" s="17">
        <v>-1.7728323180405299E-2</v>
      </c>
      <c r="O111" s="17">
        <v>-5.1085150472705999E-3</v>
      </c>
      <c r="P111" s="17">
        <v>2.3818843165188102E-3</v>
      </c>
      <c r="Q111" s="17">
        <v>4.2017275092274799E-2</v>
      </c>
      <c r="R111" s="17">
        <v>4.2017275092274799E-2</v>
      </c>
      <c r="S111" s="17">
        <v>2.3400968723693499E-2</v>
      </c>
      <c r="T111" s="17">
        <v>-1.1366184808651101E-2</v>
      </c>
      <c r="U111" s="17">
        <v>4.07427580457165E-4</v>
      </c>
      <c r="V111" s="17">
        <v>8.1067641649938404E-3</v>
      </c>
      <c r="W111" s="17">
        <v>5.71443298743767E-3</v>
      </c>
      <c r="X111" s="17">
        <v>2.3045775448423199E-2</v>
      </c>
      <c r="Y111" s="17">
        <v>8.3888294130026499E-3</v>
      </c>
      <c r="Z111" s="17">
        <v>0</v>
      </c>
      <c r="AA111" s="17">
        <v>0</v>
      </c>
      <c r="AB111" s="17">
        <v>0</v>
      </c>
      <c r="AC111" s="17">
        <v>0</v>
      </c>
      <c r="AD111" s="17">
        <v>0</v>
      </c>
      <c r="AE111" s="17">
        <v>0</v>
      </c>
      <c r="AF111" s="17">
        <v>0</v>
      </c>
      <c r="AG111" s="17">
        <v>0</v>
      </c>
      <c r="AH111" s="17">
        <v>0</v>
      </c>
      <c r="AI111" s="17">
        <v>0</v>
      </c>
      <c r="AJ111" s="17">
        <v>0</v>
      </c>
      <c r="AK111" s="17">
        <v>0</v>
      </c>
      <c r="AL111" s="17">
        <v>0</v>
      </c>
      <c r="AM111" s="17">
        <v>0</v>
      </c>
      <c r="AN111" s="17">
        <v>0</v>
      </c>
      <c r="AO111" s="17"/>
      <c r="AP111" s="17"/>
      <c r="AQ111" s="17"/>
      <c r="AR111" s="17"/>
      <c r="AS111" s="17"/>
      <c r="AT111" s="17"/>
      <c r="AU111" s="17"/>
      <c r="AV111" s="17"/>
      <c r="AW111" s="17"/>
      <c r="AX111" s="17"/>
      <c r="AY111" s="17"/>
      <c r="AZ111" s="17"/>
      <c r="BA111" s="17"/>
      <c r="BB111" s="17"/>
      <c r="BC111" s="17"/>
      <c r="BD111" s="17"/>
      <c r="BE111" s="17"/>
      <c r="BF111" s="17"/>
      <c r="BG111" s="17"/>
      <c r="BH111" s="17"/>
      <c r="BI111" s="17"/>
      <c r="BJ111" s="17"/>
      <c r="BK111" s="17"/>
      <c r="BL111" s="17"/>
      <c r="BM111" s="17"/>
      <c r="BN111" s="17"/>
      <c r="BO111" s="17"/>
      <c r="BP111" s="17"/>
      <c r="BQ111" s="17"/>
      <c r="BR111" s="17"/>
      <c r="BS111" s="17"/>
      <c r="BT111" s="17"/>
      <c r="BU111" s="17"/>
      <c r="BV111" s="17"/>
      <c r="BW111" s="17"/>
      <c r="BX111" s="17"/>
      <c r="BY111" s="17"/>
      <c r="BZ111" s="17"/>
      <c r="CA111" s="17"/>
      <c r="CB111" s="17"/>
      <c r="CC111" s="17"/>
      <c r="CD111" s="17"/>
      <c r="CE111" s="17"/>
      <c r="CF111" s="17"/>
      <c r="CG111" s="17"/>
      <c r="CH111" s="17"/>
      <c r="CI111" s="17"/>
      <c r="CJ111" s="17"/>
      <c r="CK111" s="17"/>
      <c r="CL111" s="17"/>
      <c r="CM111" s="17"/>
      <c r="CN111" s="17"/>
      <c r="CO111" s="17"/>
      <c r="CP111" s="17"/>
      <c r="CQ111" s="17"/>
      <c r="CR111" s="17"/>
      <c r="CS111" s="17"/>
      <c r="CT111" s="17"/>
      <c r="CU111" s="17"/>
      <c r="CV111" s="17"/>
    </row>
    <row r="112" spans="2:100" x14ac:dyDescent="0.35">
      <c r="B112" s="9"/>
      <c r="C112" t="s">
        <v>230</v>
      </c>
      <c r="D112" t="s">
        <v>342</v>
      </c>
      <c r="E112" t="s">
        <v>219</v>
      </c>
      <c r="F112" s="17">
        <v>0</v>
      </c>
      <c r="G112" s="17">
        <v>16.2570603999303</v>
      </c>
      <c r="H112" s="17">
        <v>21.262579844233599</v>
      </c>
      <c r="I112" s="17">
        <v>20.132198139407802</v>
      </c>
      <c r="J112" s="17">
        <v>21.413819051471499</v>
      </c>
      <c r="K112" s="17">
        <v>25.215442229829002</v>
      </c>
      <c r="L112" s="17">
        <v>22.943500678867402</v>
      </c>
      <c r="M112" s="17">
        <v>25.940705110486899</v>
      </c>
      <c r="N112" s="17">
        <v>25.291328228404399</v>
      </c>
      <c r="O112" s="17">
        <v>22.776277774242299</v>
      </c>
      <c r="P112" s="17">
        <v>27.589783912678801</v>
      </c>
      <c r="Q112" s="17">
        <v>29.603656655434499</v>
      </c>
      <c r="R112" s="17">
        <v>29.4868085147315</v>
      </c>
      <c r="S112" s="17">
        <v>29.0474971143883</v>
      </c>
      <c r="T112" s="17">
        <v>27.654658919720902</v>
      </c>
      <c r="U112" s="17">
        <v>28.827475774080401</v>
      </c>
      <c r="V112" s="17">
        <v>29.1093529785906</v>
      </c>
      <c r="W112" s="17">
        <v>31.196165705109099</v>
      </c>
      <c r="X112" s="17">
        <v>32.769494317919097</v>
      </c>
      <c r="Y112" s="17">
        <v>31.949081426932899</v>
      </c>
      <c r="Z112" s="17">
        <v>30.891253172011499</v>
      </c>
      <c r="AA112" s="17">
        <v>31.3352134255164</v>
      </c>
      <c r="AB112" s="17">
        <v>29.2215731598539</v>
      </c>
      <c r="AC112" s="17">
        <v>28.440377785201999</v>
      </c>
      <c r="AD112" s="17">
        <v>27.045074131329699</v>
      </c>
      <c r="AE112" s="17">
        <v>27.070919665536099</v>
      </c>
      <c r="AF112" s="17">
        <v>25.6696508540115</v>
      </c>
      <c r="AG112" s="17">
        <v>25.820336377614399</v>
      </c>
      <c r="AH112" s="17">
        <v>25.789309200333399</v>
      </c>
      <c r="AI112" s="17">
        <v>24.8126217150893</v>
      </c>
      <c r="AJ112" s="17">
        <v>25.6253770569351</v>
      </c>
      <c r="AK112" s="17">
        <v>26.532415319643199</v>
      </c>
      <c r="AL112" s="17">
        <v>27.234381700187701</v>
      </c>
      <c r="AM112" s="17">
        <v>27.253081581444601</v>
      </c>
      <c r="AN112" s="17">
        <v>27.845721561233201</v>
      </c>
      <c r="AO112" s="17"/>
      <c r="AP112" s="17"/>
      <c r="AQ112" s="17"/>
      <c r="AR112" s="17"/>
      <c r="AS112" s="17"/>
      <c r="AT112" s="17"/>
      <c r="AU112" s="17"/>
      <c r="AV112" s="17"/>
      <c r="AW112" s="17"/>
      <c r="AX112" s="17"/>
      <c r="AY112" s="17"/>
      <c r="AZ112" s="17"/>
      <c r="BA112" s="17"/>
      <c r="BB112" s="17"/>
      <c r="BC112" s="17"/>
      <c r="BD112" s="17"/>
      <c r="BE112" s="17"/>
      <c r="BF112" s="17"/>
      <c r="BG112" s="17"/>
      <c r="BH112" s="17"/>
      <c r="BI112" s="17"/>
      <c r="BJ112" s="17"/>
      <c r="BK112" s="17"/>
      <c r="BL112" s="17"/>
      <c r="BM112" s="17"/>
      <c r="BN112" s="17"/>
      <c r="BO112" s="17"/>
      <c r="BP112" s="17"/>
      <c r="BQ112" s="17"/>
      <c r="BR112" s="17"/>
      <c r="BS112" s="17"/>
      <c r="BT112" s="17"/>
      <c r="BU112" s="17"/>
      <c r="BV112" s="17"/>
      <c r="BW112" s="17"/>
      <c r="BX112" s="17"/>
      <c r="BY112" s="17"/>
      <c r="BZ112" s="17"/>
      <c r="CA112" s="17"/>
      <c r="CB112" s="17"/>
      <c r="CC112" s="17"/>
      <c r="CD112" s="17"/>
      <c r="CE112" s="17"/>
      <c r="CF112" s="17"/>
      <c r="CG112" s="17"/>
      <c r="CH112" s="17"/>
      <c r="CI112" s="17"/>
      <c r="CJ112" s="17"/>
      <c r="CK112" s="17"/>
      <c r="CL112" s="17"/>
      <c r="CM112" s="17"/>
      <c r="CN112" s="17"/>
      <c r="CO112" s="17"/>
      <c r="CP112" s="17"/>
      <c r="CQ112" s="17"/>
      <c r="CR112" s="17"/>
      <c r="CS112" s="17"/>
      <c r="CT112" s="17"/>
      <c r="CU112" s="17"/>
      <c r="CV112" s="17"/>
    </row>
    <row r="113" spans="2:100" x14ac:dyDescent="0.35">
      <c r="B113" s="9"/>
      <c r="C113" t="s">
        <v>230</v>
      </c>
      <c r="D113" t="s">
        <v>343</v>
      </c>
      <c r="E113" t="s">
        <v>219</v>
      </c>
      <c r="F113" s="17">
        <v>0</v>
      </c>
      <c r="G113" s="17">
        <v>-6.2446529725279998</v>
      </c>
      <c r="H113" s="17">
        <v>-5.1247076818785198</v>
      </c>
      <c r="I113" s="17">
        <v>-4.74563288227675</v>
      </c>
      <c r="J113" s="17">
        <v>-4.5316916150925897</v>
      </c>
      <c r="K113" s="17">
        <v>-4.7007740609823196</v>
      </c>
      <c r="L113" s="17">
        <v>-4.6245224222705996</v>
      </c>
      <c r="M113" s="17">
        <v>-4.5166690289208704</v>
      </c>
      <c r="N113" s="17">
        <v>-4.9211923820096404</v>
      </c>
      <c r="O113" s="17">
        <v>-5.2793839063977197</v>
      </c>
      <c r="P113" s="17">
        <v>-6.2941188595399202</v>
      </c>
      <c r="Q113" s="17">
        <v>-4.5019494017192203</v>
      </c>
      <c r="R113" s="17">
        <v>-5.0456249438256799</v>
      </c>
      <c r="S113" s="17">
        <v>-4.9597935335427001</v>
      </c>
      <c r="T113" s="17">
        <v>-4.9343763206388003</v>
      </c>
      <c r="U113" s="17">
        <v>-4.7083062477902597</v>
      </c>
      <c r="V113" s="17">
        <v>-4.0126393244512002</v>
      </c>
      <c r="W113" s="17">
        <v>-4.7322609001489297</v>
      </c>
      <c r="X113" s="17">
        <v>-4.4103722178657003</v>
      </c>
      <c r="Y113" s="17">
        <v>-4.2784910441300203</v>
      </c>
      <c r="Z113" s="17">
        <v>-4.9406862247053596</v>
      </c>
      <c r="AA113" s="17">
        <v>-4.24996066663698</v>
      </c>
      <c r="AB113" s="17">
        <v>-3.5839105943388501</v>
      </c>
      <c r="AC113" s="17">
        <v>-3.7571926783656</v>
      </c>
      <c r="AD113" s="17">
        <v>-3.89060954067376</v>
      </c>
      <c r="AE113" s="17">
        <v>-3.8476102606439802</v>
      </c>
      <c r="AF113" s="17">
        <v>-3.61880311020365</v>
      </c>
      <c r="AG113" s="17">
        <v>-4.0453797869423003</v>
      </c>
      <c r="AH113" s="17">
        <v>-3.4763183725150499</v>
      </c>
      <c r="AI113" s="17">
        <v>-3.66278439517095</v>
      </c>
      <c r="AJ113" s="17">
        <v>-3.8945062198407001</v>
      </c>
      <c r="AK113" s="17">
        <v>-3.9418827346451399</v>
      </c>
      <c r="AL113" s="17">
        <v>-4.8181654384591699</v>
      </c>
      <c r="AM113" s="17">
        <v>-5.0081102658405099</v>
      </c>
      <c r="AN113" s="17">
        <v>-5.3122288374991902</v>
      </c>
      <c r="AO113" s="17"/>
      <c r="AP113" s="17"/>
      <c r="AQ113" s="17"/>
      <c r="AR113" s="17"/>
      <c r="AS113" s="17"/>
      <c r="AT113" s="17"/>
      <c r="AU113" s="17"/>
      <c r="AV113" s="17"/>
      <c r="AW113" s="17"/>
      <c r="AX113" s="17"/>
      <c r="AY113" s="17"/>
      <c r="AZ113" s="17"/>
      <c r="BA113" s="17"/>
      <c r="BB113" s="17"/>
      <c r="BC113" s="17"/>
      <c r="BD113" s="17"/>
      <c r="BE113" s="17"/>
      <c r="BF113" s="17"/>
      <c r="BG113" s="17"/>
      <c r="BH113" s="17"/>
      <c r="BI113" s="17"/>
      <c r="BJ113" s="17"/>
      <c r="BK113" s="17"/>
      <c r="BL113" s="17"/>
      <c r="BM113" s="17"/>
      <c r="BN113" s="17"/>
      <c r="BO113" s="17"/>
      <c r="BP113" s="17"/>
      <c r="BQ113" s="17"/>
      <c r="BR113" s="17"/>
      <c r="BS113" s="17"/>
      <c r="BT113" s="17"/>
      <c r="BU113" s="17"/>
      <c r="BV113" s="17"/>
      <c r="BW113" s="17"/>
      <c r="BX113" s="17"/>
      <c r="BY113" s="17"/>
      <c r="BZ113" s="17"/>
      <c r="CA113" s="17"/>
      <c r="CB113" s="17"/>
      <c r="CC113" s="17"/>
      <c r="CD113" s="17"/>
      <c r="CE113" s="17"/>
      <c r="CF113" s="17"/>
      <c r="CG113" s="17"/>
      <c r="CH113" s="17"/>
      <c r="CI113" s="17"/>
      <c r="CJ113" s="17"/>
      <c r="CK113" s="17"/>
      <c r="CL113" s="17"/>
      <c r="CM113" s="17"/>
      <c r="CN113" s="17"/>
      <c r="CO113" s="17"/>
      <c r="CP113" s="17"/>
      <c r="CQ113" s="17"/>
      <c r="CR113" s="17"/>
      <c r="CS113" s="17"/>
      <c r="CT113" s="17"/>
      <c r="CU113" s="17"/>
      <c r="CV113" s="17"/>
    </row>
    <row r="114" spans="2:100" x14ac:dyDescent="0.35">
      <c r="B114" s="9"/>
      <c r="C114" t="s">
        <v>230</v>
      </c>
      <c r="D114" t="s">
        <v>344</v>
      </c>
      <c r="E114" t="s">
        <v>219</v>
      </c>
      <c r="F114" s="17">
        <v>0</v>
      </c>
      <c r="G114" s="17">
        <v>40.185292647040697</v>
      </c>
      <c r="H114" s="17">
        <v>26.731260872628301</v>
      </c>
      <c r="I114" s="17">
        <v>23.1067746700204</v>
      </c>
      <c r="J114" s="17">
        <v>20.000922883612301</v>
      </c>
      <c r="K114" s="17">
        <v>16.638924511429099</v>
      </c>
      <c r="L114" s="17">
        <v>20.433297568226699</v>
      </c>
      <c r="M114" s="17">
        <v>16.895959080392402</v>
      </c>
      <c r="N114" s="17">
        <v>18.252473539232899</v>
      </c>
      <c r="O114" s="17">
        <v>23.381182368888801</v>
      </c>
      <c r="P114" s="17">
        <v>20.579428260417298</v>
      </c>
      <c r="Q114" s="17">
        <v>17.126375047432401</v>
      </c>
      <c r="R114" s="17">
        <v>19.726295800662101</v>
      </c>
      <c r="S114" s="17">
        <v>20.442323656162898</v>
      </c>
      <c r="T114" s="17">
        <v>20.878793510304</v>
      </c>
      <c r="U114" s="17">
        <v>20.590512379977898</v>
      </c>
      <c r="V114" s="17">
        <v>21.514725282231399</v>
      </c>
      <c r="W114" s="17">
        <v>20.128771568987499</v>
      </c>
      <c r="X114" s="17">
        <v>21.2220982577138</v>
      </c>
      <c r="Y114" s="17">
        <v>22.436713003083899</v>
      </c>
      <c r="Z114" s="17">
        <v>24.233928294785599</v>
      </c>
      <c r="AA114" s="17">
        <v>23.721279929960101</v>
      </c>
      <c r="AB114" s="17">
        <v>25.5377592334148</v>
      </c>
      <c r="AC114" s="17">
        <v>26.223689682267</v>
      </c>
      <c r="AD114" s="17">
        <v>26.899215057526</v>
      </c>
      <c r="AE114" s="17">
        <v>28.170806982993899</v>
      </c>
      <c r="AF114" s="17">
        <v>28.920076750315602</v>
      </c>
      <c r="AG114" s="17">
        <v>29.204126901921502</v>
      </c>
      <c r="AH114" s="17">
        <v>28.731939229893801</v>
      </c>
      <c r="AI114" s="17">
        <v>29.501737079153902</v>
      </c>
      <c r="AJ114" s="17">
        <v>30.083292939381899</v>
      </c>
      <c r="AK114" s="17">
        <v>27.952739205699899</v>
      </c>
      <c r="AL114" s="17">
        <v>28.846018952421801</v>
      </c>
      <c r="AM114" s="17">
        <v>29.263935181360399</v>
      </c>
      <c r="AN114" s="17">
        <v>27.7889951058003</v>
      </c>
      <c r="AO114" s="17"/>
      <c r="AP114" s="17"/>
      <c r="AQ114" s="17"/>
      <c r="AR114" s="17"/>
      <c r="AS114" s="17"/>
      <c r="AT114" s="17"/>
      <c r="AU114" s="17"/>
      <c r="AV114" s="17"/>
      <c r="AW114" s="17"/>
      <c r="AX114" s="17"/>
      <c r="AY114" s="17"/>
      <c r="AZ114" s="17"/>
      <c r="BA114" s="17"/>
      <c r="BB114" s="17"/>
      <c r="BC114" s="17"/>
      <c r="BD114" s="17"/>
      <c r="BE114" s="17"/>
      <c r="BF114" s="17"/>
      <c r="BG114" s="17"/>
      <c r="BH114" s="17"/>
      <c r="BI114" s="17"/>
      <c r="BJ114" s="17"/>
      <c r="BK114" s="17"/>
      <c r="BL114" s="17"/>
      <c r="BM114" s="17"/>
      <c r="BN114" s="17"/>
      <c r="BO114" s="17"/>
      <c r="BP114" s="17"/>
      <c r="BQ114" s="17"/>
      <c r="BR114" s="17"/>
      <c r="BS114" s="17"/>
      <c r="BT114" s="17"/>
      <c r="BU114" s="17"/>
      <c r="BV114" s="17"/>
      <c r="BW114" s="17"/>
      <c r="BX114" s="17"/>
      <c r="BY114" s="17"/>
      <c r="BZ114" s="17"/>
      <c r="CA114" s="17"/>
      <c r="CB114" s="17"/>
      <c r="CC114" s="17"/>
      <c r="CD114" s="17"/>
      <c r="CE114" s="17"/>
      <c r="CF114" s="17"/>
      <c r="CG114" s="17"/>
      <c r="CH114" s="17"/>
      <c r="CI114" s="17"/>
      <c r="CJ114" s="17"/>
      <c r="CK114" s="17"/>
      <c r="CL114" s="17"/>
      <c r="CM114" s="17"/>
      <c r="CN114" s="17"/>
      <c r="CO114" s="17"/>
      <c r="CP114" s="17"/>
      <c r="CQ114" s="17"/>
      <c r="CR114" s="17"/>
      <c r="CS114" s="17"/>
      <c r="CT114" s="17"/>
      <c r="CU114" s="17"/>
      <c r="CV114" s="17"/>
    </row>
    <row r="115" spans="2:100" x14ac:dyDescent="0.35">
      <c r="B115" s="9"/>
      <c r="C115" t="s">
        <v>230</v>
      </c>
      <c r="D115" t="s">
        <v>345</v>
      </c>
      <c r="E115" t="s">
        <v>219</v>
      </c>
      <c r="F115" s="17">
        <v>0</v>
      </c>
      <c r="G115" s="17">
        <v>-23.205622869155899</v>
      </c>
      <c r="H115" s="17">
        <v>-17.925277851542699</v>
      </c>
      <c r="I115" s="17">
        <v>-16.681819322848501</v>
      </c>
      <c r="J115" s="17">
        <v>-14.9526026496389</v>
      </c>
      <c r="K115" s="17">
        <v>-16.9501365017321</v>
      </c>
      <c r="L115" s="17">
        <v>-16.355950386509999</v>
      </c>
      <c r="M115" s="17">
        <v>-16.102227472495599</v>
      </c>
      <c r="N115" s="17">
        <v>-13.553705275569801</v>
      </c>
      <c r="O115" s="17">
        <v>-12.415655574742599</v>
      </c>
      <c r="P115" s="17">
        <v>-14.1642720688985</v>
      </c>
      <c r="Q115" s="17">
        <v>-18.522430875299399</v>
      </c>
      <c r="R115" s="17">
        <v>-18.575156182954998</v>
      </c>
      <c r="S115" s="17">
        <v>-17.267971801932902</v>
      </c>
      <c r="T115" s="17">
        <v>-13.525059982605301</v>
      </c>
      <c r="U115" s="17">
        <v>-13.6292256340089</v>
      </c>
      <c r="V115" s="17">
        <v>-16.807839807542202</v>
      </c>
      <c r="W115" s="17">
        <v>-17.432666566186899</v>
      </c>
      <c r="X115" s="17">
        <v>-19.0128587666985</v>
      </c>
      <c r="Y115" s="17">
        <v>-18.989457797974801</v>
      </c>
      <c r="Z115" s="17">
        <v>-14.907649806595201</v>
      </c>
      <c r="AA115" s="17">
        <v>-16.686426388566002</v>
      </c>
      <c r="AB115" s="17">
        <v>-14.774629925006399</v>
      </c>
      <c r="AC115" s="17">
        <v>-13.4725331653095</v>
      </c>
      <c r="AD115" s="17">
        <v>-12.172682480735601</v>
      </c>
      <c r="AE115" s="17">
        <v>-12.1339037325649</v>
      </c>
      <c r="AF115" s="17">
        <v>-11.417729621009499</v>
      </c>
      <c r="AG115" s="17">
        <v>-10.683471992998401</v>
      </c>
      <c r="AH115" s="17">
        <v>-11.3139713971864</v>
      </c>
      <c r="AI115" s="17">
        <v>-10.9940780653613</v>
      </c>
      <c r="AJ115" s="17">
        <v>-10.416805418158701</v>
      </c>
      <c r="AK115" s="17">
        <v>-11.1099859885708</v>
      </c>
      <c r="AL115" s="17">
        <v>-10.5347504792705</v>
      </c>
      <c r="AM115" s="17">
        <v>-10.1504000148449</v>
      </c>
      <c r="AN115" s="17">
        <v>-10.136850436079399</v>
      </c>
      <c r="AO115" s="17"/>
      <c r="AP115" s="17"/>
      <c r="AQ115" s="17"/>
      <c r="AR115" s="17"/>
      <c r="AS115" s="17"/>
      <c r="AT115" s="17"/>
      <c r="AU115" s="17"/>
      <c r="AV115" s="17"/>
      <c r="AW115" s="17"/>
      <c r="AX115" s="17"/>
      <c r="AY115" s="17"/>
      <c r="AZ115" s="17"/>
      <c r="BA115" s="17"/>
      <c r="BB115" s="17"/>
      <c r="BC115" s="17"/>
      <c r="BD115" s="17"/>
      <c r="BE115" s="17"/>
      <c r="BF115" s="17"/>
      <c r="BG115" s="17"/>
      <c r="BH115" s="17"/>
      <c r="BI115" s="17"/>
      <c r="BJ115" s="17"/>
      <c r="BK115" s="17"/>
      <c r="BL115" s="17"/>
      <c r="BM115" s="17"/>
      <c r="BN115" s="17"/>
      <c r="BO115" s="17"/>
      <c r="BP115" s="17"/>
      <c r="BQ115" s="17"/>
      <c r="BR115" s="17"/>
      <c r="BS115" s="17"/>
      <c r="BT115" s="17"/>
      <c r="BU115" s="17"/>
      <c r="BV115" s="17"/>
      <c r="BW115" s="17"/>
      <c r="BX115" s="17"/>
      <c r="BY115" s="17"/>
      <c r="BZ115" s="17"/>
      <c r="CA115" s="17"/>
      <c r="CB115" s="17"/>
      <c r="CC115" s="17"/>
      <c r="CD115" s="17"/>
      <c r="CE115" s="17"/>
      <c r="CF115" s="17"/>
      <c r="CG115" s="17"/>
      <c r="CH115" s="17"/>
      <c r="CI115" s="17"/>
      <c r="CJ115" s="17"/>
      <c r="CK115" s="17"/>
      <c r="CL115" s="17"/>
      <c r="CM115" s="17"/>
      <c r="CN115" s="17"/>
      <c r="CO115" s="17"/>
      <c r="CP115" s="17"/>
      <c r="CQ115" s="17"/>
      <c r="CR115" s="17"/>
      <c r="CS115" s="17"/>
      <c r="CT115" s="17"/>
      <c r="CU115" s="17"/>
      <c r="CV115" s="17"/>
    </row>
    <row r="116" spans="2:100" x14ac:dyDescent="0.35">
      <c r="B116" s="9"/>
      <c r="D116" t="s">
        <v>220</v>
      </c>
      <c r="E116" t="s">
        <v>219</v>
      </c>
      <c r="F116" s="17">
        <v>0</v>
      </c>
      <c r="G116" s="17">
        <v>-17.530323823164199</v>
      </c>
      <c r="H116" s="17">
        <v>-18.0678043766755</v>
      </c>
      <c r="I116" s="17">
        <v>-18.349368175354499</v>
      </c>
      <c r="J116" s="17">
        <v>-17.9204200611603</v>
      </c>
      <c r="K116" s="17">
        <v>-19.140352258798401</v>
      </c>
      <c r="L116" s="17">
        <v>-16.0776669021967</v>
      </c>
      <c r="M116" s="17">
        <v>-18.554753463349002</v>
      </c>
      <c r="N116" s="17">
        <v>-17.0026006378618</v>
      </c>
      <c r="O116" s="17">
        <v>-17.537459029252702</v>
      </c>
      <c r="P116" s="17">
        <v>-16.452604744827699</v>
      </c>
      <c r="Q116" s="17">
        <v>-16.661228559743801</v>
      </c>
      <c r="R116" s="17">
        <v>-17.153818951377598</v>
      </c>
      <c r="S116" s="17">
        <v>-16.277640716173899</v>
      </c>
      <c r="T116" s="17">
        <v>-16.0199479949653</v>
      </c>
      <c r="U116" s="17">
        <v>-14.604231174625999</v>
      </c>
      <c r="V116" s="17">
        <v>-13.2754217912565</v>
      </c>
      <c r="W116" s="17">
        <v>-13.946099822994199</v>
      </c>
      <c r="X116" s="17">
        <v>-12.498478289046799</v>
      </c>
      <c r="Y116" s="17">
        <v>-12.531176964093699</v>
      </c>
      <c r="Z116" s="17">
        <v>-12.653039598094599</v>
      </c>
      <c r="AA116" s="17">
        <v>-12.166289001780701</v>
      </c>
      <c r="AB116" s="17">
        <v>-9.3068577735219797</v>
      </c>
      <c r="AC116" s="17">
        <v>-9.8115978645421809</v>
      </c>
      <c r="AD116" s="17">
        <v>-9.0172707855662697</v>
      </c>
      <c r="AE116" s="17">
        <v>-8.3386531394401899</v>
      </c>
      <c r="AF116" s="17">
        <v>-7.7855336349559598</v>
      </c>
      <c r="AG116" s="17">
        <v>-8.43183913989348</v>
      </c>
      <c r="AH116" s="17">
        <v>-8.4665018248154507</v>
      </c>
      <c r="AI116" s="17">
        <v>-7.8691294169769401</v>
      </c>
      <c r="AJ116" s="17">
        <v>-7.5977617546704002</v>
      </c>
      <c r="AK116" s="17">
        <v>-8.5470471234135204</v>
      </c>
      <c r="AL116" s="17">
        <v>-9.0925822067846198</v>
      </c>
      <c r="AM116" s="17">
        <v>-9.9126399044955598</v>
      </c>
      <c r="AN116" s="17">
        <v>-10.2033029191381</v>
      </c>
      <c r="AO116" s="17"/>
      <c r="AP116" s="17"/>
      <c r="AQ116" s="17"/>
      <c r="AR116" s="17"/>
      <c r="AS116" s="17"/>
      <c r="AT116" s="17"/>
      <c r="AU116" s="17"/>
      <c r="AV116" s="17"/>
      <c r="AW116" s="17"/>
      <c r="AX116" s="17"/>
      <c r="AY116" s="17"/>
      <c r="AZ116" s="17"/>
      <c r="BA116" s="17"/>
      <c r="BB116" s="17"/>
      <c r="BC116" s="17"/>
      <c r="BD116" s="17"/>
      <c r="BE116" s="17"/>
      <c r="BF116" s="17"/>
      <c r="BG116" s="17"/>
      <c r="BH116" s="17"/>
      <c r="BI116" s="17"/>
      <c r="BJ116" s="17"/>
      <c r="BK116" s="17"/>
      <c r="BL116" s="17"/>
      <c r="BM116" s="17"/>
      <c r="BN116" s="17"/>
      <c r="BO116" s="17"/>
      <c r="BP116" s="17"/>
      <c r="BQ116" s="17"/>
      <c r="BR116" s="17"/>
      <c r="BS116" s="17"/>
      <c r="BT116" s="17"/>
      <c r="BU116" s="17"/>
      <c r="BV116" s="17"/>
      <c r="BW116" s="17"/>
      <c r="BX116" s="17"/>
      <c r="BY116" s="17"/>
      <c r="BZ116" s="17"/>
      <c r="CA116" s="17"/>
      <c r="CB116" s="17"/>
      <c r="CC116" s="17"/>
      <c r="CD116" s="17"/>
      <c r="CE116" s="17"/>
      <c r="CF116" s="17"/>
      <c r="CG116" s="17"/>
      <c r="CH116" s="17"/>
      <c r="CI116" s="17"/>
      <c r="CJ116" s="17"/>
      <c r="CK116" s="17"/>
      <c r="CL116" s="17"/>
      <c r="CM116" s="17"/>
      <c r="CN116" s="17"/>
      <c r="CO116" s="17"/>
      <c r="CP116" s="17"/>
      <c r="CQ116" s="17"/>
      <c r="CR116" s="17"/>
      <c r="CS116" s="17"/>
      <c r="CT116" s="17"/>
      <c r="CU116" s="17"/>
      <c r="CV116" s="17"/>
    </row>
    <row r="117" spans="2:100" x14ac:dyDescent="0.35">
      <c r="B117" s="9"/>
      <c r="C117" t="s">
        <v>230</v>
      </c>
      <c r="D117" t="s">
        <v>346</v>
      </c>
      <c r="E117" t="s">
        <v>219</v>
      </c>
      <c r="F117" s="17">
        <v>0</v>
      </c>
      <c r="G117" s="17">
        <v>102.279731814778</v>
      </c>
      <c r="H117" s="17">
        <v>93.7833519673962</v>
      </c>
      <c r="I117" s="17">
        <v>78.277222385692497</v>
      </c>
      <c r="J117" s="17">
        <v>67.810157119083001</v>
      </c>
      <c r="K117" s="17">
        <v>68.531021871244207</v>
      </c>
      <c r="L117" s="17">
        <v>74.668897477109297</v>
      </c>
      <c r="M117" s="17">
        <v>66.519896652941398</v>
      </c>
      <c r="N117" s="17">
        <v>64.043750309282501</v>
      </c>
      <c r="O117" s="17">
        <v>62.255540211794901</v>
      </c>
      <c r="P117" s="17">
        <v>57.559195619892499</v>
      </c>
      <c r="Q117" s="17">
        <v>57.702181806910801</v>
      </c>
      <c r="R117" s="17">
        <v>54.714275081614602</v>
      </c>
      <c r="S117" s="17">
        <v>55.979128781713399</v>
      </c>
      <c r="T117" s="17">
        <v>58.229205052523703</v>
      </c>
      <c r="U117" s="17">
        <v>58.879146065102297</v>
      </c>
      <c r="V117" s="17">
        <v>58.164486748397302</v>
      </c>
      <c r="W117" s="17">
        <v>55.9455630172003</v>
      </c>
      <c r="X117" s="17">
        <v>55.910618267030301</v>
      </c>
      <c r="Y117" s="17">
        <v>55.720140649736102</v>
      </c>
      <c r="Z117" s="17">
        <v>57.872110448544603</v>
      </c>
      <c r="AA117" s="17">
        <v>57.742715627735798</v>
      </c>
      <c r="AB117" s="17">
        <v>60.891827865699597</v>
      </c>
      <c r="AC117" s="17">
        <v>60.698498255342201</v>
      </c>
      <c r="AD117" s="17">
        <v>61.3485959708363</v>
      </c>
      <c r="AE117" s="17">
        <v>61.770147707415902</v>
      </c>
      <c r="AF117" s="17">
        <v>61.971437825883797</v>
      </c>
      <c r="AG117" s="17">
        <v>62.089017246859399</v>
      </c>
      <c r="AH117" s="17">
        <v>61.656935074354003</v>
      </c>
      <c r="AI117" s="17">
        <v>62.0352890405442</v>
      </c>
      <c r="AJ117" s="17">
        <v>63.237461574418802</v>
      </c>
      <c r="AK117" s="17">
        <v>61.205985870815198</v>
      </c>
      <c r="AL117" s="17">
        <v>62.661076910404297</v>
      </c>
      <c r="AM117" s="17">
        <v>62.408241979578101</v>
      </c>
      <c r="AN117" s="17">
        <v>60.711692640832403</v>
      </c>
      <c r="AO117" s="17"/>
      <c r="AP117" s="17"/>
      <c r="AQ117" s="17"/>
      <c r="AR117" s="17"/>
      <c r="AS117" s="17"/>
      <c r="AT117" s="17"/>
      <c r="AU117" s="17"/>
      <c r="AV117" s="17"/>
      <c r="AW117" s="17"/>
      <c r="AX117" s="17"/>
      <c r="AY117" s="17"/>
      <c r="AZ117" s="17"/>
      <c r="BA117" s="17"/>
      <c r="BB117" s="17"/>
      <c r="BC117" s="17"/>
      <c r="BD117" s="17"/>
      <c r="BE117" s="17"/>
      <c r="BF117" s="17"/>
      <c r="BG117" s="17"/>
      <c r="BH117" s="17"/>
      <c r="BI117" s="17"/>
      <c r="BJ117" s="17"/>
      <c r="BK117" s="17"/>
      <c r="BL117" s="17"/>
      <c r="BM117" s="17"/>
      <c r="BN117" s="17"/>
      <c r="BO117" s="17"/>
      <c r="BP117" s="17"/>
      <c r="BQ117" s="17"/>
      <c r="BR117" s="17"/>
      <c r="BS117" s="17"/>
      <c r="BT117" s="17"/>
      <c r="BU117" s="17"/>
      <c r="BV117" s="17"/>
      <c r="BW117" s="17"/>
      <c r="BX117" s="17"/>
      <c r="BY117" s="17"/>
      <c r="BZ117" s="17"/>
      <c r="CA117" s="17"/>
      <c r="CB117" s="17"/>
      <c r="CC117" s="17"/>
      <c r="CD117" s="17"/>
      <c r="CE117" s="17"/>
      <c r="CF117" s="17"/>
      <c r="CG117" s="17"/>
      <c r="CH117" s="17"/>
      <c r="CI117" s="17"/>
      <c r="CJ117" s="17"/>
      <c r="CK117" s="17"/>
      <c r="CL117" s="17"/>
      <c r="CM117" s="17"/>
      <c r="CN117" s="17"/>
      <c r="CO117" s="17"/>
      <c r="CP117" s="17"/>
      <c r="CQ117" s="17"/>
      <c r="CR117" s="17"/>
      <c r="CS117" s="17"/>
      <c r="CT117" s="17"/>
      <c r="CU117" s="17"/>
      <c r="CV117" s="17"/>
    </row>
    <row r="118" spans="2:100" x14ac:dyDescent="0.35">
      <c r="B118" s="9"/>
      <c r="C118" t="s">
        <v>230</v>
      </c>
      <c r="D118" t="s">
        <v>347</v>
      </c>
      <c r="E118" t="s">
        <v>219</v>
      </c>
      <c r="F118" s="17">
        <v>0</v>
      </c>
      <c r="G118" s="17">
        <v>13.2803631565272</v>
      </c>
      <c r="H118" s="17">
        <v>14.507399219670701</v>
      </c>
      <c r="I118" s="17">
        <v>9.3664780094622095</v>
      </c>
      <c r="J118" s="17">
        <v>10.2585981546088</v>
      </c>
      <c r="K118" s="17">
        <v>7.8091330940393702</v>
      </c>
      <c r="L118" s="17">
        <v>8.0429547377776291</v>
      </c>
      <c r="M118" s="17">
        <v>8.9058550126027907</v>
      </c>
      <c r="N118" s="17">
        <v>9.4263907575114896</v>
      </c>
      <c r="O118" s="17">
        <v>11.158960873113999</v>
      </c>
      <c r="P118" s="17">
        <v>11.249932139027299</v>
      </c>
      <c r="Q118" s="17">
        <v>11.3477983332254</v>
      </c>
      <c r="R118" s="17">
        <v>11.7515590654584</v>
      </c>
      <c r="S118" s="17">
        <v>12.026520447961801</v>
      </c>
      <c r="T118" s="17">
        <v>11.7605642596726</v>
      </c>
      <c r="U118" s="17">
        <v>11.4790213547157</v>
      </c>
      <c r="V118" s="17">
        <v>11.8163400507511</v>
      </c>
      <c r="W118" s="17">
        <v>11.5801574164184</v>
      </c>
      <c r="X118" s="17">
        <v>11.813362695355501</v>
      </c>
      <c r="Y118" s="17">
        <v>12.2121298280126</v>
      </c>
      <c r="Z118" s="17">
        <v>12.900369033154099</v>
      </c>
      <c r="AA118" s="17">
        <v>13.2352327168458</v>
      </c>
      <c r="AB118" s="17">
        <v>12.9949026786812</v>
      </c>
      <c r="AC118" s="17">
        <v>12.9423863082464</v>
      </c>
      <c r="AD118" s="17">
        <v>12.448604974454399</v>
      </c>
      <c r="AE118" s="17">
        <v>12.380188481520699</v>
      </c>
      <c r="AF118" s="17">
        <v>12.3900294246179</v>
      </c>
      <c r="AG118" s="17">
        <v>12.277600306133801</v>
      </c>
      <c r="AH118" s="17">
        <v>12.182262252306799</v>
      </c>
      <c r="AI118" s="17">
        <v>12.1173141172375</v>
      </c>
      <c r="AJ118" s="17">
        <v>12.197974331307</v>
      </c>
      <c r="AK118" s="17">
        <v>12.422560949888201</v>
      </c>
      <c r="AL118" s="17">
        <v>12.4013851625655</v>
      </c>
      <c r="AM118" s="17">
        <v>12.7205681078401</v>
      </c>
      <c r="AN118" s="17">
        <v>12.561034092938501</v>
      </c>
      <c r="AO118" s="17"/>
      <c r="AP118" s="17"/>
      <c r="AQ118" s="17"/>
      <c r="AR118" s="17"/>
      <c r="AS118" s="17"/>
      <c r="AT118" s="17"/>
      <c r="AU118" s="17"/>
      <c r="AV118" s="17"/>
      <c r="AW118" s="17"/>
      <c r="AX118" s="17"/>
      <c r="AY118" s="17"/>
      <c r="AZ118" s="17"/>
      <c r="BA118" s="17"/>
      <c r="BB118" s="17"/>
      <c r="BC118" s="17"/>
      <c r="BD118" s="17"/>
      <c r="BE118" s="17"/>
      <c r="BF118" s="17"/>
      <c r="BG118" s="17"/>
      <c r="BH118" s="17"/>
      <c r="BI118" s="17"/>
      <c r="BJ118" s="17"/>
      <c r="BK118" s="17"/>
      <c r="BL118" s="17"/>
      <c r="BM118" s="17"/>
      <c r="BN118" s="17"/>
      <c r="BO118" s="17"/>
      <c r="BP118" s="17"/>
      <c r="BQ118" s="17"/>
      <c r="BR118" s="17"/>
      <c r="BS118" s="17"/>
      <c r="BT118" s="17"/>
      <c r="BU118" s="17"/>
      <c r="BV118" s="17"/>
      <c r="BW118" s="17"/>
      <c r="BX118" s="17"/>
      <c r="BY118" s="17"/>
      <c r="BZ118" s="17"/>
      <c r="CA118" s="17"/>
      <c r="CB118" s="17"/>
      <c r="CC118" s="17"/>
      <c r="CD118" s="17"/>
      <c r="CE118" s="17"/>
      <c r="CF118" s="17"/>
      <c r="CG118" s="17"/>
      <c r="CH118" s="17"/>
      <c r="CI118" s="17"/>
      <c r="CJ118" s="17"/>
      <c r="CK118" s="17"/>
      <c r="CL118" s="17"/>
      <c r="CM118" s="17"/>
      <c r="CN118" s="17"/>
      <c r="CO118" s="17"/>
      <c r="CP118" s="17"/>
      <c r="CQ118" s="17"/>
      <c r="CR118" s="17"/>
      <c r="CS118" s="17"/>
      <c r="CT118" s="17"/>
      <c r="CU118" s="17"/>
      <c r="CV118" s="17"/>
    </row>
    <row r="119" spans="2:100" x14ac:dyDescent="0.35">
      <c r="B119" s="9"/>
      <c r="C119" t="s">
        <v>230</v>
      </c>
      <c r="D119" t="s">
        <v>348</v>
      </c>
      <c r="E119" t="s">
        <v>219</v>
      </c>
      <c r="F119" s="17">
        <v>0</v>
      </c>
      <c r="G119" s="17">
        <v>30.466964357840101</v>
      </c>
      <c r="H119" s="17">
        <v>18.7470383876027</v>
      </c>
      <c r="I119" s="17">
        <v>11.2179125099478</v>
      </c>
      <c r="J119" s="17">
        <v>10.342517789322001</v>
      </c>
      <c r="K119" s="17">
        <v>10.5740620173541</v>
      </c>
      <c r="L119" s="17">
        <v>10.582440399906099</v>
      </c>
      <c r="M119" s="17">
        <v>8.8719340548144796</v>
      </c>
      <c r="N119" s="17">
        <v>8.7924647829032505</v>
      </c>
      <c r="O119" s="17">
        <v>9.79370239158518</v>
      </c>
      <c r="P119" s="17">
        <v>8.9837677022194509</v>
      </c>
      <c r="Q119" s="17">
        <v>8.5120501389383492</v>
      </c>
      <c r="R119" s="17">
        <v>8.8049592287039395</v>
      </c>
      <c r="S119" s="17">
        <v>8.7321863947176706</v>
      </c>
      <c r="T119" s="17">
        <v>8.4821512226494207</v>
      </c>
      <c r="U119" s="17">
        <v>8.0844810104011504</v>
      </c>
      <c r="V119" s="17">
        <v>8.1246491910898104</v>
      </c>
      <c r="W119" s="17">
        <v>8.0997125337936193</v>
      </c>
      <c r="X119" s="17">
        <v>7.3190603959156197</v>
      </c>
      <c r="Y119" s="17">
        <v>7.3330800834277596</v>
      </c>
      <c r="Z119" s="17">
        <v>7.4013816608900402</v>
      </c>
      <c r="AA119" s="17">
        <v>7.2818382300394999</v>
      </c>
      <c r="AB119" s="17">
        <v>6.9827654922618603</v>
      </c>
      <c r="AC119" s="17">
        <v>6.9425973115732003</v>
      </c>
      <c r="AD119" s="17">
        <v>6.74951842588065</v>
      </c>
      <c r="AE119" s="17">
        <v>6.7526002498866697</v>
      </c>
      <c r="AF119" s="17">
        <v>6.6210951631483503</v>
      </c>
      <c r="AG119" s="17">
        <v>6.7282590636696202</v>
      </c>
      <c r="AH119" s="17">
        <v>6.63807131233406</v>
      </c>
      <c r="AI119" s="17">
        <v>6.4441566777585297</v>
      </c>
      <c r="AJ119" s="17">
        <v>6.23591939670077</v>
      </c>
      <c r="AK119" s="17">
        <v>6.3694198338972301</v>
      </c>
      <c r="AL119" s="17">
        <v>6.0033618231480199</v>
      </c>
      <c r="AM119" s="17">
        <v>6.2190686098474997</v>
      </c>
      <c r="AN119" s="17">
        <v>6.8182901120896204</v>
      </c>
      <c r="AO119" s="17"/>
      <c r="AP119" s="17"/>
      <c r="AQ119" s="17"/>
      <c r="AR119" s="17"/>
      <c r="AS119" s="17"/>
      <c r="AT119" s="17"/>
      <c r="AU119" s="17"/>
      <c r="AV119" s="17"/>
      <c r="AW119" s="17"/>
      <c r="AX119" s="17"/>
      <c r="AY119" s="17"/>
      <c r="AZ119" s="17"/>
      <c r="BA119" s="17"/>
      <c r="BB119" s="17"/>
      <c r="BC119" s="17"/>
      <c r="BD119" s="17"/>
      <c r="BE119" s="17"/>
      <c r="BF119" s="17"/>
      <c r="BG119" s="17"/>
      <c r="BH119" s="17"/>
      <c r="BI119" s="17"/>
      <c r="BJ119" s="17"/>
      <c r="BK119" s="17"/>
      <c r="BL119" s="17"/>
      <c r="BM119" s="17"/>
      <c r="BN119" s="17"/>
      <c r="BO119" s="17"/>
      <c r="BP119" s="17"/>
      <c r="BQ119" s="17"/>
      <c r="BR119" s="17"/>
      <c r="BS119" s="17"/>
      <c r="BT119" s="17"/>
      <c r="BU119" s="17"/>
      <c r="BV119" s="17"/>
      <c r="BW119" s="17"/>
      <c r="BX119" s="17"/>
      <c r="BY119" s="17"/>
      <c r="BZ119" s="17"/>
      <c r="CA119" s="17"/>
      <c r="CB119" s="17"/>
      <c r="CC119" s="17"/>
      <c r="CD119" s="17"/>
      <c r="CE119" s="17"/>
      <c r="CF119" s="17"/>
      <c r="CG119" s="17"/>
      <c r="CH119" s="17"/>
      <c r="CI119" s="17"/>
      <c r="CJ119" s="17"/>
      <c r="CK119" s="17"/>
      <c r="CL119" s="17"/>
      <c r="CM119" s="17"/>
      <c r="CN119" s="17"/>
      <c r="CO119" s="17"/>
      <c r="CP119" s="17"/>
      <c r="CQ119" s="17"/>
      <c r="CR119" s="17"/>
      <c r="CS119" s="17"/>
      <c r="CT119" s="17"/>
      <c r="CU119" s="17"/>
      <c r="CV119" s="17"/>
    </row>
    <row r="120" spans="2:100" x14ac:dyDescent="0.35">
      <c r="B120" s="9"/>
      <c r="C120" t="s">
        <v>230</v>
      </c>
      <c r="D120" t="s">
        <v>349</v>
      </c>
      <c r="E120" t="s">
        <v>219</v>
      </c>
      <c r="F120" s="17">
        <v>0</v>
      </c>
      <c r="G120" s="17">
        <v>8.1787639312633509</v>
      </c>
      <c r="H120" s="17">
        <v>7.4911933252282497</v>
      </c>
      <c r="I120" s="17">
        <v>7.0166655563280997</v>
      </c>
      <c r="J120" s="17">
        <v>6.6056024682299403</v>
      </c>
      <c r="K120" s="17">
        <v>6.3680095076571899</v>
      </c>
      <c r="L120" s="17">
        <v>6.47346012296833</v>
      </c>
      <c r="M120" s="17">
        <v>5.9259505828611596</v>
      </c>
      <c r="N120" s="17">
        <v>5.5263999356261699</v>
      </c>
      <c r="O120" s="17">
        <v>6.2345508579048703</v>
      </c>
      <c r="P120" s="17">
        <v>6.1318477670465503</v>
      </c>
      <c r="Q120" s="17">
        <v>5.7793915693679896</v>
      </c>
      <c r="R120" s="17">
        <v>6.1736978923622301</v>
      </c>
      <c r="S120" s="17">
        <v>6.2778426500437003</v>
      </c>
      <c r="T120" s="17">
        <v>6.3269951312244999</v>
      </c>
      <c r="U120" s="17">
        <v>6.2611172255228897</v>
      </c>
      <c r="V120" s="17">
        <v>6.5171071083824303</v>
      </c>
      <c r="W120" s="17">
        <v>6.5137327722673701</v>
      </c>
      <c r="X120" s="17">
        <v>6.6319181111830598</v>
      </c>
      <c r="Y120" s="17">
        <v>6.13246413184776</v>
      </c>
      <c r="Z120" s="17">
        <v>6.6016535547578101</v>
      </c>
      <c r="AA120" s="17">
        <v>6.62964069547691</v>
      </c>
      <c r="AB120" s="17">
        <v>6.7283112979748099</v>
      </c>
      <c r="AC120" s="17">
        <v>6.7273188461762601</v>
      </c>
      <c r="AD120" s="17">
        <v>6.8642354069319396</v>
      </c>
      <c r="AE120" s="17">
        <v>7.0229441198115596</v>
      </c>
      <c r="AF120" s="17">
        <v>6.9733842110503099</v>
      </c>
      <c r="AG120" s="17">
        <v>6.9364754510053102</v>
      </c>
      <c r="AH120" s="17">
        <v>6.8108519470310096</v>
      </c>
      <c r="AI120" s="17">
        <v>6.7596936685310496</v>
      </c>
      <c r="AJ120" s="17">
        <v>6.61499419630253</v>
      </c>
      <c r="AK120" s="17">
        <v>6.4758106667017401</v>
      </c>
      <c r="AL120" s="17">
        <v>6.6254619510619701</v>
      </c>
      <c r="AM120" s="17">
        <v>6.8019930088713298</v>
      </c>
      <c r="AN120" s="17">
        <v>6.7544806848733998</v>
      </c>
      <c r="AO120" s="17"/>
      <c r="AP120" s="17"/>
      <c r="AQ120" s="17"/>
      <c r="AR120" s="17"/>
      <c r="AS120" s="17"/>
      <c r="AT120" s="17"/>
      <c r="AU120" s="17"/>
      <c r="AV120" s="17"/>
      <c r="AW120" s="17"/>
      <c r="AX120" s="17"/>
      <c r="AY120" s="17"/>
      <c r="AZ120" s="17"/>
      <c r="BA120" s="17"/>
      <c r="BB120" s="17"/>
      <c r="BC120" s="17"/>
      <c r="BD120" s="17"/>
      <c r="BE120" s="17"/>
      <c r="BF120" s="17"/>
      <c r="BG120" s="17"/>
      <c r="BH120" s="17"/>
      <c r="BI120" s="17"/>
      <c r="BJ120" s="17"/>
      <c r="BK120" s="17"/>
      <c r="BL120" s="17"/>
      <c r="BM120" s="17"/>
      <c r="BN120" s="17"/>
      <c r="BO120" s="17"/>
      <c r="BP120" s="17"/>
      <c r="BQ120" s="17"/>
      <c r="BR120" s="17"/>
      <c r="BS120" s="17"/>
      <c r="BT120" s="17"/>
      <c r="BU120" s="17"/>
      <c r="BV120" s="17"/>
      <c r="BW120" s="17"/>
      <c r="BX120" s="17"/>
      <c r="BY120" s="17"/>
      <c r="BZ120" s="17"/>
      <c r="CA120" s="17"/>
      <c r="CB120" s="17"/>
      <c r="CC120" s="17"/>
      <c r="CD120" s="17"/>
      <c r="CE120" s="17"/>
      <c r="CF120" s="17"/>
      <c r="CG120" s="17"/>
      <c r="CH120" s="17"/>
      <c r="CI120" s="17"/>
      <c r="CJ120" s="17"/>
      <c r="CK120" s="17"/>
      <c r="CL120" s="17"/>
      <c r="CM120" s="17"/>
      <c r="CN120" s="17"/>
      <c r="CO120" s="17"/>
      <c r="CP120" s="17"/>
      <c r="CQ120" s="17"/>
      <c r="CR120" s="17"/>
      <c r="CS120" s="17"/>
      <c r="CT120" s="17"/>
      <c r="CU120" s="17"/>
      <c r="CV120" s="17"/>
    </row>
    <row r="121" spans="2:100" x14ac:dyDescent="0.35">
      <c r="B121" s="9"/>
      <c r="C121" t="s">
        <v>230</v>
      </c>
      <c r="D121" t="s">
        <v>350</v>
      </c>
      <c r="E121" t="s">
        <v>219</v>
      </c>
      <c r="F121" s="17">
        <v>0</v>
      </c>
      <c r="G121" s="17">
        <v>51.926874960208501</v>
      </c>
      <c r="H121" s="17">
        <v>40.7514602809606</v>
      </c>
      <c r="I121" s="17">
        <v>27.601066522599201</v>
      </c>
      <c r="J121" s="17">
        <v>27.203876865958598</v>
      </c>
      <c r="K121" s="17">
        <v>24.749762952227499</v>
      </c>
      <c r="L121" s="17">
        <v>25.096013714449899</v>
      </c>
      <c r="M121" s="17">
        <v>23.709004868241198</v>
      </c>
      <c r="N121" s="17">
        <v>23.750510247142699</v>
      </c>
      <c r="O121" s="17">
        <v>27.191236164103401</v>
      </c>
      <c r="P121" s="17">
        <v>26.371042657198998</v>
      </c>
      <c r="Q121" s="17">
        <v>25.636377601607499</v>
      </c>
      <c r="R121" s="17">
        <v>26.730153505358398</v>
      </c>
      <c r="S121" s="17">
        <v>27.0340735866573</v>
      </c>
      <c r="T121" s="17">
        <v>26.5654482942433</v>
      </c>
      <c r="U121" s="17">
        <v>25.825298636607201</v>
      </c>
      <c r="V121" s="17">
        <v>26.464437594873001</v>
      </c>
      <c r="W121" s="17">
        <v>26.195671200964799</v>
      </c>
      <c r="X121" s="17">
        <v>25.766702193048602</v>
      </c>
      <c r="Y121" s="17">
        <v>25.681748319092701</v>
      </c>
      <c r="Z121" s="17">
        <v>26.9091082349284</v>
      </c>
      <c r="AA121" s="17">
        <v>27.147735434743801</v>
      </c>
      <c r="AB121" s="17">
        <v>26.706888345828201</v>
      </c>
      <c r="AC121" s="17">
        <v>26.6157499301382</v>
      </c>
      <c r="AD121" s="17">
        <v>26.056821970917198</v>
      </c>
      <c r="AE121" s="17">
        <v>26.1516376816923</v>
      </c>
      <c r="AF121" s="17">
        <v>25.981656805753399</v>
      </c>
      <c r="AG121" s="17">
        <v>25.939932042770099</v>
      </c>
      <c r="AH121" s="17">
        <v>25.6323973475522</v>
      </c>
      <c r="AI121" s="17">
        <v>25.326304319157501</v>
      </c>
      <c r="AJ121" s="17">
        <v>25.0481148565936</v>
      </c>
      <c r="AK121" s="17">
        <v>25.262808297772398</v>
      </c>
      <c r="AL121" s="17">
        <v>25.0274927529058</v>
      </c>
      <c r="AM121" s="17">
        <v>25.738464327664602</v>
      </c>
      <c r="AN121" s="17">
        <v>26.137712015929502</v>
      </c>
      <c r="AO121" s="17"/>
      <c r="AP121" s="17"/>
      <c r="AQ121" s="17"/>
      <c r="AR121" s="17"/>
      <c r="AS121" s="17"/>
      <c r="AT121" s="17"/>
      <c r="AU121" s="17"/>
      <c r="AV121" s="17"/>
      <c r="AW121" s="17"/>
      <c r="AX121" s="17"/>
      <c r="AY121" s="17"/>
      <c r="AZ121" s="17"/>
      <c r="BA121" s="17"/>
      <c r="BB121" s="17"/>
      <c r="BC121" s="17"/>
      <c r="BD121" s="17"/>
      <c r="BE121" s="17"/>
      <c r="BF121" s="17"/>
      <c r="BG121" s="17"/>
      <c r="BH121" s="17"/>
      <c r="BI121" s="17"/>
      <c r="BJ121" s="17"/>
      <c r="BK121" s="17"/>
      <c r="BL121" s="17"/>
      <c r="BM121" s="17"/>
      <c r="BN121" s="17"/>
      <c r="BO121" s="17"/>
      <c r="BP121" s="17"/>
      <c r="BQ121" s="17"/>
      <c r="BR121" s="17"/>
      <c r="BS121" s="17"/>
      <c r="BT121" s="17"/>
      <c r="BU121" s="17"/>
      <c r="BV121" s="17"/>
      <c r="BW121" s="17"/>
      <c r="BX121" s="17"/>
      <c r="BY121" s="17"/>
      <c r="BZ121" s="17"/>
      <c r="CA121" s="17"/>
      <c r="CB121" s="17"/>
      <c r="CC121" s="17"/>
      <c r="CD121" s="17"/>
      <c r="CE121" s="17"/>
      <c r="CF121" s="17"/>
      <c r="CG121" s="17"/>
      <c r="CH121" s="17"/>
      <c r="CI121" s="17"/>
      <c r="CJ121" s="17"/>
      <c r="CK121" s="17"/>
      <c r="CL121" s="17"/>
      <c r="CM121" s="17"/>
      <c r="CN121" s="17"/>
      <c r="CO121" s="17"/>
      <c r="CP121" s="17"/>
      <c r="CQ121" s="17"/>
      <c r="CR121" s="17"/>
      <c r="CS121" s="17"/>
      <c r="CT121" s="17"/>
      <c r="CU121" s="17"/>
      <c r="CV121" s="17"/>
    </row>
    <row r="122" spans="2:100" x14ac:dyDescent="0.35">
      <c r="B122" s="9"/>
      <c r="D122" t="s">
        <v>351</v>
      </c>
      <c r="E122" t="s">
        <v>219</v>
      </c>
      <c r="F122" s="17">
        <v>0</v>
      </c>
      <c r="G122" s="17">
        <v>-12.158485196585801</v>
      </c>
      <c r="H122" s="17">
        <v>-11.9307645196933</v>
      </c>
      <c r="I122" s="17">
        <v>-11.6177452224308</v>
      </c>
      <c r="J122" s="17">
        <v>-10.209727738675999</v>
      </c>
      <c r="K122" s="17">
        <v>-10.2585459203036</v>
      </c>
      <c r="L122" s="17">
        <v>-10.840561442417201</v>
      </c>
      <c r="M122" s="17">
        <v>-10.0957629316195</v>
      </c>
      <c r="N122" s="17">
        <v>-9.8308618762950797</v>
      </c>
      <c r="O122" s="17">
        <v>-9.5942091332156902</v>
      </c>
      <c r="P122" s="17">
        <v>-10.3028510579631</v>
      </c>
      <c r="Q122" s="17">
        <v>-10.921629084067201</v>
      </c>
      <c r="R122" s="17">
        <v>-10.6216788099624</v>
      </c>
      <c r="S122" s="17">
        <v>-11.127077053228</v>
      </c>
      <c r="T122" s="17">
        <v>-10.6996437338842</v>
      </c>
      <c r="U122" s="17">
        <v>-11.126742753674799</v>
      </c>
      <c r="V122" s="17">
        <v>-11.707243480937899</v>
      </c>
      <c r="W122" s="17">
        <v>-11.124026569805</v>
      </c>
      <c r="X122" s="17">
        <v>-11.6930357499271</v>
      </c>
      <c r="Y122" s="17">
        <v>-12.0008107229489</v>
      </c>
      <c r="Z122" s="17">
        <v>-12.141488153678001</v>
      </c>
      <c r="AA122" s="17">
        <v>-12.6269119986401</v>
      </c>
      <c r="AB122" s="17">
        <v>-13.1391529358851</v>
      </c>
      <c r="AC122" s="17">
        <v>-13.043877563224401</v>
      </c>
      <c r="AD122" s="17">
        <v>-13.504719944165601</v>
      </c>
      <c r="AE122" s="17">
        <v>-13.685670024193801</v>
      </c>
      <c r="AF122" s="17">
        <v>-14.011852366363399</v>
      </c>
      <c r="AG122" s="17">
        <v>-13.4969474795538</v>
      </c>
      <c r="AH122" s="17">
        <v>-13.432156047400101</v>
      </c>
      <c r="AI122" s="17">
        <v>-13.790378912371301</v>
      </c>
      <c r="AJ122" s="17">
        <v>-14.0947795492779</v>
      </c>
      <c r="AK122" s="17">
        <v>-13.1909380260474</v>
      </c>
      <c r="AL122" s="17">
        <v>-12.894863537387399</v>
      </c>
      <c r="AM122" s="17">
        <v>-12.6165800530742</v>
      </c>
      <c r="AN122" s="17">
        <v>-12.7481896084229</v>
      </c>
      <c r="AO122" s="17"/>
      <c r="AP122" s="17"/>
      <c r="AQ122" s="17"/>
      <c r="AR122" s="17"/>
      <c r="AS122" s="17"/>
      <c r="AT122" s="17"/>
      <c r="AU122" s="17"/>
      <c r="AV122" s="17"/>
      <c r="AW122" s="17"/>
      <c r="AX122" s="17"/>
      <c r="AY122" s="17"/>
      <c r="AZ122" s="17"/>
      <c r="BA122" s="17"/>
      <c r="BB122" s="17"/>
      <c r="BC122" s="17"/>
      <c r="BD122" s="17"/>
      <c r="BE122" s="17"/>
      <c r="BF122" s="17"/>
      <c r="BG122" s="17"/>
      <c r="BH122" s="17"/>
      <c r="BI122" s="17"/>
      <c r="BJ122" s="17"/>
      <c r="BK122" s="17"/>
      <c r="BL122" s="17"/>
      <c r="BM122" s="17"/>
      <c r="BN122" s="17"/>
      <c r="BO122" s="17"/>
      <c r="BP122" s="17"/>
      <c r="BQ122" s="17"/>
      <c r="BR122" s="17"/>
      <c r="BS122" s="17"/>
      <c r="BT122" s="17"/>
      <c r="BU122" s="17"/>
      <c r="BV122" s="17"/>
      <c r="BW122" s="17"/>
      <c r="BX122" s="17"/>
      <c r="BY122" s="17"/>
      <c r="BZ122" s="17"/>
      <c r="CA122" s="17"/>
      <c r="CB122" s="17"/>
      <c r="CC122" s="17"/>
      <c r="CD122" s="17"/>
      <c r="CE122" s="17"/>
      <c r="CF122" s="17"/>
      <c r="CG122" s="17"/>
      <c r="CH122" s="17"/>
      <c r="CI122" s="17"/>
      <c r="CJ122" s="17"/>
      <c r="CK122" s="17"/>
      <c r="CL122" s="17"/>
      <c r="CM122" s="17"/>
      <c r="CN122" s="17"/>
      <c r="CO122" s="17"/>
      <c r="CP122" s="17"/>
      <c r="CQ122" s="17"/>
      <c r="CR122" s="17"/>
      <c r="CS122" s="17"/>
      <c r="CT122" s="17"/>
      <c r="CU122" s="17"/>
      <c r="CV122" s="17"/>
    </row>
    <row r="123" spans="2:100" x14ac:dyDescent="0.35">
      <c r="B123" s="9"/>
      <c r="C123" t="s">
        <v>230</v>
      </c>
      <c r="D123" t="s">
        <v>352</v>
      </c>
      <c r="E123" t="s">
        <v>219</v>
      </c>
      <c r="F123" s="17">
        <v>0</v>
      </c>
      <c r="G123" s="17">
        <v>142.04712912660199</v>
      </c>
      <c r="H123" s="17">
        <v>122.59819748648199</v>
      </c>
      <c r="I123" s="17">
        <v>94.260637707610201</v>
      </c>
      <c r="J123" s="17">
        <v>84.807231367456097</v>
      </c>
      <c r="K123" s="17">
        <v>83.023701463713294</v>
      </c>
      <c r="L123" s="17">
        <v>88.926992804984394</v>
      </c>
      <c r="M123" s="17">
        <v>80.127998733932799</v>
      </c>
      <c r="N123" s="17">
        <v>77.958049887279003</v>
      </c>
      <c r="O123" s="17">
        <v>79.848472073156103</v>
      </c>
      <c r="P123" s="17">
        <v>73.621996638833096</v>
      </c>
      <c r="Q123" s="17">
        <v>72.419803211236399</v>
      </c>
      <c r="R123" s="17">
        <v>70.8227497770106</v>
      </c>
      <c r="S123" s="17">
        <v>71.888684796096896</v>
      </c>
      <c r="T123" s="17">
        <v>74.099449528823698</v>
      </c>
      <c r="U123" s="17">
        <v>73.577064689511403</v>
      </c>
      <c r="V123" s="17">
        <v>72.915485873737197</v>
      </c>
      <c r="W123" s="17">
        <v>71.015264532207098</v>
      </c>
      <c r="X123" s="17">
        <v>69.981840144669107</v>
      </c>
      <c r="Y123" s="17">
        <v>69.396868160881894</v>
      </c>
      <c r="Z123" s="17">
        <v>72.633911628197197</v>
      </c>
      <c r="AA123" s="17">
        <v>72.262274993654003</v>
      </c>
      <c r="AB123" s="17">
        <v>74.458633505010297</v>
      </c>
      <c r="AC123" s="17">
        <v>74.267058967307193</v>
      </c>
      <c r="AD123" s="17">
        <v>73.906276621381807</v>
      </c>
      <c r="AE123" s="17">
        <v>74.240294109329398</v>
      </c>
      <c r="AF123" s="17">
        <v>73.9439897897267</v>
      </c>
      <c r="AG123" s="17">
        <v>74.5343419069481</v>
      </c>
      <c r="AH123" s="17">
        <v>73.855776495127202</v>
      </c>
      <c r="AI123" s="17">
        <v>73.566116379144205</v>
      </c>
      <c r="AJ123" s="17">
        <v>74.191872908421203</v>
      </c>
      <c r="AK123" s="17">
        <v>73.282964657587499</v>
      </c>
      <c r="AL123" s="17">
        <v>74.796568565846997</v>
      </c>
      <c r="AM123" s="17">
        <v>75.533511037144606</v>
      </c>
      <c r="AN123" s="17">
        <v>74.097098985090298</v>
      </c>
      <c r="AO123" s="17"/>
      <c r="AP123" s="17"/>
      <c r="AQ123" s="17"/>
      <c r="AR123" s="17"/>
      <c r="AS123" s="17"/>
      <c r="AT123" s="17"/>
      <c r="AU123" s="17"/>
      <c r="AV123" s="17"/>
      <c r="AW123" s="17"/>
      <c r="AX123" s="17"/>
      <c r="AY123" s="17"/>
      <c r="AZ123" s="17"/>
      <c r="BA123" s="17"/>
      <c r="BB123" s="17"/>
      <c r="BC123" s="17"/>
      <c r="BD123" s="17"/>
      <c r="BE123" s="17"/>
      <c r="BF123" s="17"/>
      <c r="BG123" s="17"/>
      <c r="BH123" s="17"/>
      <c r="BI123" s="17"/>
      <c r="BJ123" s="17"/>
      <c r="BK123" s="17"/>
      <c r="BL123" s="17"/>
      <c r="BM123" s="17"/>
      <c r="BN123" s="17"/>
      <c r="BO123" s="17"/>
      <c r="BP123" s="17"/>
      <c r="BQ123" s="17"/>
      <c r="BR123" s="17"/>
      <c r="BS123" s="17"/>
      <c r="BT123" s="17"/>
      <c r="BU123" s="17"/>
      <c r="BV123" s="17"/>
      <c r="BW123" s="17"/>
      <c r="BX123" s="17"/>
      <c r="BY123" s="17"/>
      <c r="BZ123" s="17"/>
      <c r="CA123" s="17"/>
      <c r="CB123" s="17"/>
      <c r="CC123" s="17"/>
      <c r="CD123" s="17"/>
      <c r="CE123" s="17"/>
      <c r="CF123" s="17"/>
      <c r="CG123" s="17"/>
      <c r="CH123" s="17"/>
      <c r="CI123" s="17"/>
      <c r="CJ123" s="17"/>
      <c r="CK123" s="17"/>
      <c r="CL123" s="17"/>
      <c r="CM123" s="17"/>
      <c r="CN123" s="17"/>
      <c r="CO123" s="17"/>
      <c r="CP123" s="17"/>
      <c r="CQ123" s="17"/>
      <c r="CR123" s="17"/>
      <c r="CS123" s="17"/>
      <c r="CT123" s="17"/>
      <c r="CU123" s="17"/>
      <c r="CV123" s="17"/>
    </row>
    <row r="124" spans="2:100" x14ac:dyDescent="0.35">
      <c r="B124" s="9"/>
      <c r="C124" t="s">
        <v>230</v>
      </c>
      <c r="D124" t="s">
        <v>354</v>
      </c>
      <c r="E124" t="s">
        <v>124</v>
      </c>
      <c r="F124" s="17">
        <v>0</v>
      </c>
      <c r="G124" s="17">
        <v>1</v>
      </c>
      <c r="H124" s="17">
        <v>1</v>
      </c>
      <c r="I124" s="17">
        <v>1</v>
      </c>
      <c r="J124" s="17">
        <v>1</v>
      </c>
      <c r="K124" s="17">
        <v>1</v>
      </c>
      <c r="L124" s="17">
        <v>1</v>
      </c>
      <c r="M124" s="17">
        <v>1</v>
      </c>
      <c r="N124" s="17">
        <v>1</v>
      </c>
      <c r="O124" s="17">
        <v>1</v>
      </c>
      <c r="P124" s="17">
        <v>1</v>
      </c>
      <c r="Q124" s="17">
        <v>1</v>
      </c>
      <c r="R124" s="17">
        <v>1</v>
      </c>
      <c r="S124" s="17">
        <v>1</v>
      </c>
      <c r="T124" s="17">
        <v>1</v>
      </c>
      <c r="U124" s="17">
        <v>1</v>
      </c>
      <c r="V124" s="17">
        <v>1</v>
      </c>
      <c r="W124" s="17">
        <v>1</v>
      </c>
      <c r="X124" s="17">
        <v>1</v>
      </c>
      <c r="Y124" s="17">
        <v>1</v>
      </c>
      <c r="Z124" s="17">
        <v>1</v>
      </c>
      <c r="AA124" s="17">
        <v>1</v>
      </c>
      <c r="AB124" s="17">
        <v>1</v>
      </c>
      <c r="AC124" s="17">
        <v>1</v>
      </c>
      <c r="AD124" s="17">
        <v>1</v>
      </c>
      <c r="AE124" s="17">
        <v>1</v>
      </c>
      <c r="AF124" s="17">
        <v>1</v>
      </c>
      <c r="AG124" s="17">
        <v>1</v>
      </c>
      <c r="AH124" s="17">
        <v>1</v>
      </c>
      <c r="AI124" s="17">
        <v>1</v>
      </c>
      <c r="AJ124" s="17">
        <v>1</v>
      </c>
      <c r="AK124" s="17">
        <v>1</v>
      </c>
      <c r="AL124" s="17">
        <v>1</v>
      </c>
      <c r="AM124" s="17">
        <v>1</v>
      </c>
      <c r="AN124" s="17">
        <v>1</v>
      </c>
      <c r="AO124" s="17"/>
      <c r="AP124" s="17"/>
      <c r="AQ124" s="17"/>
      <c r="AR124" s="17"/>
      <c r="AS124" s="17"/>
      <c r="AT124" s="17"/>
      <c r="AU124" s="17"/>
      <c r="AV124" s="17"/>
      <c r="AW124" s="17"/>
      <c r="AX124" s="17"/>
      <c r="AY124" s="17"/>
      <c r="AZ124" s="17"/>
      <c r="BA124" s="17"/>
      <c r="BB124" s="17"/>
      <c r="BC124" s="17"/>
      <c r="BD124" s="17"/>
      <c r="BE124" s="17"/>
      <c r="BF124" s="17"/>
      <c r="BG124" s="17"/>
      <c r="BH124" s="17"/>
      <c r="BI124" s="17"/>
      <c r="BJ124" s="17"/>
      <c r="BK124" s="17"/>
      <c r="BL124" s="17"/>
      <c r="BM124" s="17"/>
      <c r="BN124" s="17"/>
      <c r="BO124" s="17"/>
      <c r="BP124" s="17"/>
      <c r="BQ124" s="17"/>
      <c r="BR124" s="17"/>
      <c r="BS124" s="17"/>
      <c r="BT124" s="17"/>
      <c r="BU124" s="17"/>
      <c r="BV124" s="17"/>
      <c r="BW124" s="17"/>
      <c r="BX124" s="17"/>
      <c r="BY124" s="17"/>
      <c r="BZ124" s="17"/>
      <c r="CA124" s="17"/>
      <c r="CB124" s="17"/>
      <c r="CC124" s="17"/>
      <c r="CD124" s="17"/>
      <c r="CE124" s="17"/>
      <c r="CF124" s="17"/>
      <c r="CG124" s="17"/>
      <c r="CH124" s="17"/>
      <c r="CI124" s="17"/>
      <c r="CJ124" s="17"/>
      <c r="CK124" s="17"/>
      <c r="CL124" s="17"/>
      <c r="CM124" s="17"/>
      <c r="CN124" s="17"/>
      <c r="CO124" s="17"/>
      <c r="CP124" s="17"/>
      <c r="CQ124" s="17"/>
      <c r="CR124" s="17"/>
      <c r="CS124" s="17"/>
      <c r="CT124" s="17"/>
      <c r="CU124" s="17"/>
      <c r="CV124" s="17"/>
    </row>
    <row r="125" spans="2:100" x14ac:dyDescent="0.35">
      <c r="B125" s="9"/>
      <c r="C125" t="s">
        <v>338</v>
      </c>
      <c r="D125" t="s">
        <v>353</v>
      </c>
      <c r="E125" t="s">
        <v>221</v>
      </c>
      <c r="F125" s="17">
        <v>0</v>
      </c>
      <c r="G125" s="17">
        <v>0</v>
      </c>
      <c r="H125" s="17">
        <v>0</v>
      </c>
      <c r="I125" s="17">
        <v>0</v>
      </c>
      <c r="J125" s="17">
        <v>0</v>
      </c>
      <c r="K125" s="17">
        <v>0</v>
      </c>
      <c r="L125" s="17">
        <v>0</v>
      </c>
      <c r="M125" s="17">
        <v>0</v>
      </c>
      <c r="N125" s="17">
        <v>0</v>
      </c>
      <c r="O125" s="17">
        <v>0</v>
      </c>
      <c r="P125" s="17">
        <v>0</v>
      </c>
      <c r="Q125" s="17">
        <v>0</v>
      </c>
      <c r="R125" s="17">
        <v>0</v>
      </c>
      <c r="S125" s="17">
        <v>0</v>
      </c>
      <c r="T125" s="17">
        <v>0</v>
      </c>
      <c r="U125" s="17">
        <v>0</v>
      </c>
      <c r="V125" s="17">
        <v>0</v>
      </c>
      <c r="W125" s="17">
        <v>0</v>
      </c>
      <c r="X125" s="17">
        <v>0</v>
      </c>
      <c r="Y125" s="17">
        <v>0</v>
      </c>
      <c r="Z125" s="17">
        <v>0</v>
      </c>
      <c r="AA125" s="17">
        <v>0</v>
      </c>
      <c r="AB125" s="17">
        <v>0</v>
      </c>
      <c r="AC125" s="17">
        <v>0</v>
      </c>
      <c r="AD125" s="17">
        <v>0</v>
      </c>
      <c r="AE125" s="17">
        <v>0</v>
      </c>
      <c r="AF125" s="17">
        <v>0</v>
      </c>
      <c r="AG125" s="17">
        <v>0</v>
      </c>
      <c r="AH125" s="17">
        <v>0</v>
      </c>
      <c r="AI125" s="17">
        <v>0</v>
      </c>
      <c r="AJ125" s="17">
        <v>0</v>
      </c>
      <c r="AK125" s="17">
        <v>0</v>
      </c>
      <c r="AL125" s="17">
        <v>0</v>
      </c>
      <c r="AM125" s="17">
        <v>0</v>
      </c>
      <c r="AN125" s="17">
        <v>0</v>
      </c>
      <c r="AO125" s="17"/>
      <c r="AP125" s="17"/>
      <c r="AQ125" s="17"/>
      <c r="AR125" s="17"/>
      <c r="AS125" s="17"/>
      <c r="AT125" s="17"/>
      <c r="AU125" s="17"/>
      <c r="AV125" s="17"/>
      <c r="AW125" s="17"/>
      <c r="AX125" s="17"/>
      <c r="AY125" s="17"/>
      <c r="AZ125" s="17"/>
      <c r="BA125" s="17"/>
      <c r="BB125" s="17"/>
      <c r="BC125" s="17"/>
      <c r="BD125" s="17"/>
      <c r="BE125" s="17"/>
      <c r="BF125" s="17"/>
      <c r="BG125" s="17"/>
      <c r="BH125" s="17"/>
      <c r="BI125" s="17"/>
      <c r="BJ125" s="17"/>
      <c r="BK125" s="17"/>
      <c r="BL125" s="17"/>
      <c r="BM125" s="17"/>
      <c r="BN125" s="17"/>
      <c r="BO125" s="17"/>
      <c r="BP125" s="17"/>
      <c r="BQ125" s="17"/>
      <c r="BR125" s="17"/>
      <c r="BS125" s="17"/>
      <c r="BT125" s="17"/>
      <c r="BU125" s="17"/>
      <c r="BV125" s="17"/>
      <c r="BW125" s="17"/>
      <c r="BX125" s="17"/>
      <c r="BY125" s="17"/>
      <c r="BZ125" s="17"/>
      <c r="CA125" s="17"/>
      <c r="CB125" s="17"/>
      <c r="CC125" s="17"/>
      <c r="CD125" s="17"/>
      <c r="CE125" s="17"/>
      <c r="CF125" s="17"/>
      <c r="CG125" s="17"/>
      <c r="CH125" s="17"/>
      <c r="CI125" s="17"/>
      <c r="CJ125" s="17"/>
      <c r="CK125" s="17"/>
      <c r="CL125" s="17"/>
      <c r="CM125" s="17"/>
      <c r="CN125" s="17"/>
      <c r="CO125" s="17"/>
      <c r="CP125" s="17"/>
      <c r="CQ125" s="17"/>
      <c r="CR125" s="17"/>
      <c r="CS125" s="17"/>
      <c r="CT125" s="17"/>
      <c r="CU125" s="17"/>
      <c r="CV125" s="17"/>
    </row>
    <row r="126" spans="2:100" x14ac:dyDescent="0.35">
      <c r="B126" s="9"/>
      <c r="C126" t="s">
        <v>230</v>
      </c>
      <c r="D126" t="s">
        <v>358</v>
      </c>
      <c r="E126" t="s">
        <v>221</v>
      </c>
      <c r="F126" s="17">
        <v>0</v>
      </c>
      <c r="G126" s="17">
        <v>0.88495999999999997</v>
      </c>
      <c r="H126" s="17">
        <v>4.1932700000000001</v>
      </c>
      <c r="I126" s="17">
        <v>2.6922299999999999</v>
      </c>
      <c r="J126" s="17">
        <v>8.7555899999999998</v>
      </c>
      <c r="K126" s="17">
        <v>5.6400600000000001</v>
      </c>
      <c r="L126" s="17">
        <v>6.8418700000000001</v>
      </c>
      <c r="M126" s="17">
        <v>8.8392300000000006</v>
      </c>
      <c r="N126" s="17">
        <v>13.700290000000001</v>
      </c>
      <c r="O126" s="17">
        <v>15.13823</v>
      </c>
      <c r="P126" s="17">
        <v>15.58906</v>
      </c>
      <c r="Q126" s="17">
        <v>14.112259999999999</v>
      </c>
      <c r="R126" s="17">
        <v>11.726979999999999</v>
      </c>
      <c r="S126" s="17">
        <v>13.25666</v>
      </c>
      <c r="T126" s="17">
        <v>13.725490000000001</v>
      </c>
      <c r="U126" s="17">
        <v>14.660259999999999</v>
      </c>
      <c r="V126" s="17">
        <v>13.62571</v>
      </c>
      <c r="W126" s="17">
        <v>10.09423</v>
      </c>
      <c r="X126" s="17">
        <v>8.7548700000000004</v>
      </c>
      <c r="Y126" s="17">
        <v>10.746650000000001</v>
      </c>
      <c r="Z126" s="17">
        <v>13.00614</v>
      </c>
      <c r="AA126" s="17">
        <v>13.931940000000001</v>
      </c>
      <c r="AB126" s="17">
        <v>11.003170000000001</v>
      </c>
      <c r="AC126" s="17">
        <v>11.317679999999999</v>
      </c>
      <c r="AD126" s="17">
        <v>11.15612</v>
      </c>
      <c r="AE126" s="17">
        <v>10.179</v>
      </c>
      <c r="AF126" s="17">
        <v>10.30402</v>
      </c>
      <c r="AG126" s="17">
        <v>10.212859999999999</v>
      </c>
      <c r="AH126" s="17">
        <v>9.9756900000000002</v>
      </c>
      <c r="AI126" s="17">
        <v>10.08206</v>
      </c>
      <c r="AJ126" s="17">
        <v>9.5891900000000003</v>
      </c>
      <c r="AK126" s="17">
        <v>9.7823200000000003</v>
      </c>
      <c r="AL126" s="17">
        <v>9.1715499999999999</v>
      </c>
      <c r="AM126" s="17">
        <v>8.9286300000000001</v>
      </c>
      <c r="AN126" s="17">
        <v>12.107889999999999</v>
      </c>
      <c r="AO126" s="17"/>
      <c r="AP126" s="17"/>
      <c r="AQ126" s="17"/>
      <c r="AR126" s="17"/>
      <c r="AS126" s="17"/>
      <c r="AT126" s="17"/>
      <c r="AU126" s="17"/>
      <c r="AV126" s="17"/>
      <c r="AW126" s="17"/>
      <c r="AX126" s="17"/>
      <c r="AY126" s="17"/>
      <c r="AZ126" s="17"/>
      <c r="BA126" s="17"/>
      <c r="BB126" s="17"/>
      <c r="BC126" s="17"/>
      <c r="BD126" s="17"/>
      <c r="BE126" s="17"/>
      <c r="BF126" s="17"/>
      <c r="BG126" s="17"/>
      <c r="BH126" s="17"/>
      <c r="BI126" s="17"/>
      <c r="BJ126" s="17"/>
      <c r="BK126" s="17"/>
      <c r="BL126" s="17"/>
      <c r="BM126" s="17"/>
      <c r="BN126" s="17"/>
      <c r="BO126" s="17"/>
      <c r="BP126" s="17"/>
      <c r="BQ126" s="17"/>
      <c r="BR126" s="17"/>
      <c r="BS126" s="17"/>
      <c r="BT126" s="17"/>
      <c r="BU126" s="17"/>
      <c r="BV126" s="17"/>
      <c r="BW126" s="17"/>
      <c r="BX126" s="17"/>
      <c r="BY126" s="17"/>
      <c r="BZ126" s="17"/>
      <c r="CA126" s="17"/>
      <c r="CB126" s="17"/>
      <c r="CC126" s="17"/>
      <c r="CD126" s="17"/>
      <c r="CE126" s="17"/>
      <c r="CF126" s="17"/>
      <c r="CG126" s="17"/>
      <c r="CH126" s="17"/>
      <c r="CI126" s="17"/>
      <c r="CJ126" s="17"/>
      <c r="CK126" s="17"/>
      <c r="CL126" s="17"/>
      <c r="CM126" s="17"/>
      <c r="CN126" s="17"/>
      <c r="CO126" s="17"/>
      <c r="CP126" s="17"/>
      <c r="CQ126" s="17"/>
      <c r="CR126" s="17"/>
      <c r="CS126" s="17"/>
      <c r="CT126" s="17"/>
      <c r="CU126" s="17"/>
      <c r="CV126" s="17"/>
    </row>
    <row r="127" spans="2:100" x14ac:dyDescent="0.35">
      <c r="B127" s="9"/>
      <c r="C127" t="s">
        <v>230</v>
      </c>
      <c r="D127" t="s">
        <v>359</v>
      </c>
      <c r="E127" t="s">
        <v>221</v>
      </c>
      <c r="F127" s="17">
        <v>0</v>
      </c>
      <c r="G127" s="17">
        <v>1292.96072</v>
      </c>
      <c r="H127" s="17">
        <v>1279.88084</v>
      </c>
      <c r="I127" s="17">
        <v>1276.7335499999999</v>
      </c>
      <c r="J127" s="17">
        <v>1237.09727</v>
      </c>
      <c r="K127" s="17">
        <v>1238.8972900000001</v>
      </c>
      <c r="L127" s="17">
        <v>1252.5741</v>
      </c>
      <c r="M127" s="17">
        <v>1230.4856400000001</v>
      </c>
      <c r="N127" s="17">
        <v>1219.81538</v>
      </c>
      <c r="O127" s="17">
        <v>1207.8735999999999</v>
      </c>
      <c r="P127" s="17">
        <v>1223.01071</v>
      </c>
      <c r="Q127" s="17">
        <v>1243.7726</v>
      </c>
      <c r="R127" s="17">
        <v>1240.1319100000001</v>
      </c>
      <c r="S127" s="17">
        <v>1246.3301899999999</v>
      </c>
      <c r="T127" s="17">
        <v>1240.8159599999999</v>
      </c>
      <c r="U127" s="17">
        <v>1244.3912600000001</v>
      </c>
      <c r="V127" s="17">
        <v>1265.2287100000001</v>
      </c>
      <c r="W127" s="17">
        <v>1257.4008799999999</v>
      </c>
      <c r="X127" s="17">
        <v>1269.09322</v>
      </c>
      <c r="Y127" s="17">
        <v>1280.56277</v>
      </c>
      <c r="Z127" s="17">
        <v>1283.93508</v>
      </c>
      <c r="AA127" s="17">
        <v>1287.12103</v>
      </c>
      <c r="AB127" s="17">
        <v>1314.2584999999999</v>
      </c>
      <c r="AC127" s="17">
        <v>1307.7085</v>
      </c>
      <c r="AD127" s="17">
        <v>1319.21723</v>
      </c>
      <c r="AE127" s="17">
        <v>1327.57953</v>
      </c>
      <c r="AF127" s="17">
        <v>1331.5986399999999</v>
      </c>
      <c r="AG127" s="17">
        <v>1322.441</v>
      </c>
      <c r="AH127" s="17">
        <v>1320.0935500000001</v>
      </c>
      <c r="AI127" s="17">
        <v>1330.79555</v>
      </c>
      <c r="AJ127" s="17">
        <v>1332.8237899999999</v>
      </c>
      <c r="AK127" s="17">
        <v>1315.2163399999999</v>
      </c>
      <c r="AL127" s="17">
        <v>1308.6831400000001</v>
      </c>
      <c r="AM127" s="17">
        <v>1302.0255</v>
      </c>
      <c r="AN127" s="17">
        <v>1294.86106</v>
      </c>
      <c r="AO127" s="17"/>
      <c r="AP127" s="17"/>
      <c r="AQ127" s="17"/>
      <c r="AR127" s="17"/>
      <c r="AS127" s="17"/>
      <c r="AT127" s="17"/>
      <c r="AU127" s="17"/>
      <c r="AV127" s="17"/>
      <c r="AW127" s="17"/>
      <c r="AX127" s="17"/>
      <c r="AY127" s="17"/>
      <c r="AZ127" s="17"/>
      <c r="BA127" s="17"/>
      <c r="BB127" s="17"/>
      <c r="BC127" s="17"/>
      <c r="BD127" s="17"/>
      <c r="BE127" s="17"/>
      <c r="BF127" s="17"/>
      <c r="BG127" s="17"/>
      <c r="BH127" s="17"/>
      <c r="BI127" s="17"/>
      <c r="BJ127" s="17"/>
      <c r="BK127" s="17"/>
      <c r="BL127" s="17"/>
      <c r="BM127" s="17"/>
      <c r="BN127" s="17"/>
      <c r="BO127" s="17"/>
      <c r="BP127" s="17"/>
      <c r="BQ127" s="17"/>
      <c r="BR127" s="17"/>
      <c r="BS127" s="17"/>
      <c r="BT127" s="17"/>
      <c r="BU127" s="17"/>
      <c r="BV127" s="17"/>
      <c r="BW127" s="17"/>
      <c r="BX127" s="17"/>
      <c r="BY127" s="17"/>
      <c r="BZ127" s="17"/>
      <c r="CA127" s="17"/>
      <c r="CB127" s="17"/>
      <c r="CC127" s="17"/>
      <c r="CD127" s="17"/>
      <c r="CE127" s="17"/>
      <c r="CF127" s="17"/>
      <c r="CG127" s="17"/>
      <c r="CH127" s="17"/>
      <c r="CI127" s="17"/>
      <c r="CJ127" s="17"/>
      <c r="CK127" s="17"/>
      <c r="CL127" s="17"/>
      <c r="CM127" s="17"/>
      <c r="CN127" s="17"/>
      <c r="CO127" s="17"/>
      <c r="CP127" s="17"/>
      <c r="CQ127" s="17"/>
      <c r="CR127" s="17"/>
      <c r="CS127" s="17"/>
      <c r="CT127" s="17"/>
      <c r="CU127" s="17"/>
      <c r="CV127" s="17"/>
    </row>
    <row r="128" spans="2:100" x14ac:dyDescent="0.35">
      <c r="B128" s="9"/>
      <c r="C128" t="s">
        <v>230</v>
      </c>
      <c r="D128" t="s">
        <v>360</v>
      </c>
      <c r="E128" t="s">
        <v>221</v>
      </c>
      <c r="F128" s="17">
        <v>0</v>
      </c>
      <c r="G128" s="17">
        <v>528.87106000000006</v>
      </c>
      <c r="H128" s="17">
        <v>539.78336000000002</v>
      </c>
      <c r="I128" s="17">
        <v>543.79260999999997</v>
      </c>
      <c r="J128" s="17">
        <v>578.59132999999997</v>
      </c>
      <c r="K128" s="17">
        <v>579.85128999999995</v>
      </c>
      <c r="L128" s="17">
        <v>565.28598</v>
      </c>
      <c r="M128" s="17">
        <v>585.32398999999998</v>
      </c>
      <c r="N128" s="17">
        <v>591.46297000000004</v>
      </c>
      <c r="O128" s="17">
        <v>602.33631000000003</v>
      </c>
      <c r="P128" s="17">
        <v>587.01685999999995</v>
      </c>
      <c r="Q128" s="17">
        <v>566.35311999999999</v>
      </c>
      <c r="R128" s="17">
        <v>572.49185999999997</v>
      </c>
      <c r="S128" s="17">
        <v>564.57209999999998</v>
      </c>
      <c r="T128" s="17">
        <v>570.52428999999995</v>
      </c>
      <c r="U128" s="17">
        <v>565.16758000000004</v>
      </c>
      <c r="V128" s="17">
        <v>544.72019999999998</v>
      </c>
      <c r="W128" s="17">
        <v>556.32149000000004</v>
      </c>
      <c r="X128" s="17">
        <v>546.34310000000005</v>
      </c>
      <c r="Y128" s="17">
        <v>531.79079999999999</v>
      </c>
      <c r="Z128" s="17">
        <v>526.05454999999995</v>
      </c>
      <c r="AA128" s="17">
        <v>521.84441000000004</v>
      </c>
      <c r="AB128" s="17">
        <v>497.53255999999999</v>
      </c>
      <c r="AC128" s="17">
        <v>503.23435999999998</v>
      </c>
      <c r="AD128" s="17">
        <v>491.53104999999999</v>
      </c>
      <c r="AE128" s="17">
        <v>483.88731999999999</v>
      </c>
      <c r="AF128" s="17">
        <v>480.35516000000001</v>
      </c>
      <c r="AG128" s="17">
        <v>489.15096999999997</v>
      </c>
      <c r="AH128" s="17">
        <v>491.80799000000002</v>
      </c>
      <c r="AI128" s="17">
        <v>480.66901999999999</v>
      </c>
      <c r="AJ128" s="17">
        <v>479.80696</v>
      </c>
      <c r="AK128" s="17">
        <v>497.02953000000002</v>
      </c>
      <c r="AL128" s="17">
        <v>504.37556999999998</v>
      </c>
      <c r="AM128" s="17">
        <v>511.48214999999999</v>
      </c>
      <c r="AN128" s="17">
        <v>516.42517999999995</v>
      </c>
      <c r="AO128" s="17"/>
      <c r="AP128" s="17"/>
      <c r="AQ128" s="17"/>
      <c r="AR128" s="17"/>
      <c r="AS128" s="17"/>
      <c r="AT128" s="17"/>
      <c r="AU128" s="17"/>
      <c r="AV128" s="17"/>
      <c r="AW128" s="17"/>
      <c r="AX128" s="17"/>
      <c r="AY128" s="17"/>
      <c r="AZ128" s="17"/>
      <c r="BA128" s="17"/>
      <c r="BB128" s="17"/>
      <c r="BC128" s="17"/>
      <c r="BD128" s="17"/>
      <c r="BE128" s="17"/>
      <c r="BF128" s="17"/>
      <c r="BG128" s="17"/>
      <c r="BH128" s="17"/>
      <c r="BI128" s="17"/>
      <c r="BJ128" s="17"/>
      <c r="BK128" s="17"/>
      <c r="BL128" s="17"/>
      <c r="BM128" s="17"/>
      <c r="BN128" s="17"/>
      <c r="BO128" s="17"/>
      <c r="BP128" s="17"/>
      <c r="BQ128" s="17"/>
      <c r="BR128" s="17"/>
      <c r="BS128" s="17"/>
      <c r="BT128" s="17"/>
      <c r="BU128" s="17"/>
      <c r="BV128" s="17"/>
      <c r="BW128" s="17"/>
      <c r="BX128" s="17"/>
      <c r="BY128" s="17"/>
      <c r="BZ128" s="17"/>
      <c r="CA128" s="17"/>
      <c r="CB128" s="17"/>
      <c r="CC128" s="17"/>
      <c r="CD128" s="17"/>
      <c r="CE128" s="17"/>
      <c r="CF128" s="17"/>
      <c r="CG128" s="17"/>
      <c r="CH128" s="17"/>
      <c r="CI128" s="17"/>
      <c r="CJ128" s="17"/>
      <c r="CK128" s="17"/>
      <c r="CL128" s="17"/>
      <c r="CM128" s="17"/>
      <c r="CN128" s="17"/>
      <c r="CO128" s="17"/>
      <c r="CP128" s="17"/>
      <c r="CQ128" s="17"/>
      <c r="CR128" s="17"/>
      <c r="CS128" s="17"/>
      <c r="CT128" s="17"/>
      <c r="CU128" s="17"/>
      <c r="CV128" s="17"/>
    </row>
    <row r="129" spans="1:100" x14ac:dyDescent="0.35">
      <c r="B129" s="9"/>
      <c r="C129" t="s">
        <v>230</v>
      </c>
      <c r="D129" t="s">
        <v>361</v>
      </c>
      <c r="E129" t="s">
        <v>221</v>
      </c>
      <c r="F129" s="17">
        <v>0</v>
      </c>
      <c r="G129" s="17">
        <v>1862.7052100000001</v>
      </c>
      <c r="H129" s="17">
        <v>1863.4413999999999</v>
      </c>
      <c r="I129" s="17">
        <v>1862.7052100000001</v>
      </c>
      <c r="J129" s="17">
        <v>1862.7052100000001</v>
      </c>
      <c r="K129" s="17">
        <v>1862.7052100000001</v>
      </c>
      <c r="L129" s="17">
        <v>1863.4413999999999</v>
      </c>
      <c r="M129" s="17">
        <v>1862.7052100000001</v>
      </c>
      <c r="N129" s="17">
        <v>1862.7052100000001</v>
      </c>
      <c r="O129" s="17">
        <v>1862.7052100000001</v>
      </c>
      <c r="P129" s="17">
        <v>1863.4413999999999</v>
      </c>
      <c r="Q129" s="17">
        <v>1862.7052100000001</v>
      </c>
      <c r="R129" s="17">
        <v>1862.7052100000001</v>
      </c>
      <c r="S129" s="17">
        <v>1862.7052100000001</v>
      </c>
      <c r="T129" s="17">
        <v>1863.4413999999999</v>
      </c>
      <c r="U129" s="17">
        <v>1862.7052100000001</v>
      </c>
      <c r="V129" s="17">
        <v>1862.7052100000001</v>
      </c>
      <c r="W129" s="17">
        <v>1862.7052100000001</v>
      </c>
      <c r="X129" s="17">
        <v>1863.4413999999999</v>
      </c>
      <c r="Y129" s="17">
        <v>1862.7052100000001</v>
      </c>
      <c r="Z129" s="17">
        <v>1862.7052100000001</v>
      </c>
      <c r="AA129" s="17">
        <v>1862.7052100000001</v>
      </c>
      <c r="AB129" s="17">
        <v>1863.4413999999999</v>
      </c>
      <c r="AC129" s="17">
        <v>1862.7052100000001</v>
      </c>
      <c r="AD129" s="17">
        <v>1862.7052100000001</v>
      </c>
      <c r="AE129" s="17">
        <v>1862.7052100000001</v>
      </c>
      <c r="AF129" s="17">
        <v>1863.4413999999999</v>
      </c>
      <c r="AG129" s="17">
        <v>1862.7052100000001</v>
      </c>
      <c r="AH129" s="17">
        <v>1862.7052100000001</v>
      </c>
      <c r="AI129" s="17">
        <v>1862.7052100000001</v>
      </c>
      <c r="AJ129" s="17">
        <v>1863.4413999999999</v>
      </c>
      <c r="AK129" s="17">
        <v>1862.7052100000001</v>
      </c>
      <c r="AL129" s="17">
        <v>1862.7052100000001</v>
      </c>
      <c r="AM129" s="17">
        <v>1862.7052100000001</v>
      </c>
      <c r="AN129" s="17">
        <v>1863.4413999999999</v>
      </c>
      <c r="AO129" s="17"/>
      <c r="AP129" s="17"/>
      <c r="AQ129" s="17"/>
      <c r="AR129" s="17"/>
      <c r="AS129" s="17"/>
      <c r="AT129" s="17"/>
      <c r="AU129" s="17"/>
      <c r="AV129" s="17"/>
      <c r="AW129" s="17"/>
      <c r="AX129" s="17"/>
      <c r="AY129" s="17"/>
      <c r="AZ129" s="17"/>
      <c r="BA129" s="17"/>
      <c r="BB129" s="17"/>
      <c r="BC129" s="17"/>
      <c r="BD129" s="17"/>
      <c r="BE129" s="17"/>
      <c r="BF129" s="17"/>
      <c r="BG129" s="17"/>
      <c r="BH129" s="17"/>
      <c r="BI129" s="17"/>
      <c r="BJ129" s="17"/>
      <c r="BK129" s="17"/>
      <c r="BL129" s="17"/>
      <c r="BM129" s="17"/>
      <c r="BN129" s="17"/>
      <c r="BO129" s="17"/>
      <c r="BP129" s="17"/>
      <c r="BQ129" s="17"/>
      <c r="BR129" s="17"/>
      <c r="BS129" s="17"/>
      <c r="BT129" s="17"/>
      <c r="BU129" s="17"/>
      <c r="BV129" s="17"/>
      <c r="BW129" s="17"/>
      <c r="BX129" s="17"/>
      <c r="BY129" s="17"/>
      <c r="BZ129" s="17"/>
      <c r="CA129" s="17"/>
      <c r="CB129" s="17"/>
      <c r="CC129" s="17"/>
      <c r="CD129" s="17"/>
      <c r="CE129" s="17"/>
      <c r="CF129" s="17"/>
      <c r="CG129" s="17"/>
      <c r="CH129" s="17"/>
      <c r="CI129" s="17"/>
      <c r="CJ129" s="17"/>
      <c r="CK129" s="17"/>
      <c r="CL129" s="17"/>
      <c r="CM129" s="17"/>
      <c r="CN129" s="17"/>
      <c r="CO129" s="17"/>
      <c r="CP129" s="17"/>
      <c r="CQ129" s="17"/>
      <c r="CR129" s="17"/>
      <c r="CS129" s="17"/>
      <c r="CT129" s="17"/>
      <c r="CU129" s="17"/>
      <c r="CV129" s="17"/>
    </row>
    <row r="130" spans="1:100" x14ac:dyDescent="0.35">
      <c r="B130" s="9"/>
      <c r="C130" t="s">
        <v>339</v>
      </c>
      <c r="D130" t="s">
        <v>222</v>
      </c>
      <c r="E130" t="s">
        <v>223</v>
      </c>
      <c r="F130" s="17">
        <v>0</v>
      </c>
      <c r="G130" s="17">
        <v>107.527378157344</v>
      </c>
      <c r="H130" s="17">
        <v>96.4719247833889</v>
      </c>
      <c r="I130" s="17">
        <v>91.070751371017593</v>
      </c>
      <c r="J130" s="17">
        <v>78.8538159869277</v>
      </c>
      <c r="K130" s="17">
        <v>80.572648480266096</v>
      </c>
      <c r="L130" s="17">
        <v>75.704484364882106</v>
      </c>
      <c r="M130" s="17">
        <v>74.755627317441494</v>
      </c>
      <c r="N130" s="17">
        <v>68.496348739461197</v>
      </c>
      <c r="O130" s="17">
        <v>66.667249627873403</v>
      </c>
      <c r="P130" s="17">
        <v>67.459132141366595</v>
      </c>
      <c r="Q130" s="17">
        <v>72.260467686694597</v>
      </c>
      <c r="R130" s="17">
        <v>72.383636178325105</v>
      </c>
      <c r="S130" s="17">
        <v>71.490931008960303</v>
      </c>
      <c r="T130" s="17">
        <v>68.429750000347994</v>
      </c>
      <c r="U130" s="17">
        <v>66.074943947638005</v>
      </c>
      <c r="V130" s="17">
        <v>67.6427984052645</v>
      </c>
      <c r="W130" s="17">
        <v>66.943391505674001</v>
      </c>
      <c r="X130" s="17">
        <v>66.706289547570094</v>
      </c>
      <c r="Y130" s="17">
        <v>69.759457813766701</v>
      </c>
      <c r="Z130" s="17">
        <v>70.701869147947207</v>
      </c>
      <c r="AA130" s="17">
        <v>70.737158644531505</v>
      </c>
      <c r="AB130" s="17">
        <v>69.228067780240195</v>
      </c>
      <c r="AC130" s="17">
        <v>68.570375196771906</v>
      </c>
      <c r="AD130" s="17">
        <v>68.032205150432205</v>
      </c>
      <c r="AE130" s="17">
        <v>68.107171825236307</v>
      </c>
      <c r="AF130" s="17">
        <v>66.8789552667956</v>
      </c>
      <c r="AG130" s="17">
        <v>66.170010383078093</v>
      </c>
      <c r="AH130" s="17">
        <v>65.0066374910962</v>
      </c>
      <c r="AI130" s="17">
        <v>64.998363577154606</v>
      </c>
      <c r="AJ130" s="17">
        <v>63.674547793361</v>
      </c>
      <c r="AK130" s="17">
        <v>63.096418503553302</v>
      </c>
      <c r="AL130" s="17">
        <v>62.459149533413097</v>
      </c>
      <c r="AM130" s="17">
        <v>62.946861240942503</v>
      </c>
      <c r="AN130" s="17">
        <v>61.749891243864496</v>
      </c>
      <c r="AO130" s="17"/>
      <c r="AP130" s="17"/>
      <c r="AQ130" s="17"/>
      <c r="AR130" s="17"/>
      <c r="AS130" s="17"/>
      <c r="AT130" s="17"/>
      <c r="AU130" s="17"/>
      <c r="AV130" s="17"/>
      <c r="AW130" s="17"/>
      <c r="AX130" s="17"/>
      <c r="AY130" s="17"/>
      <c r="AZ130" s="17"/>
      <c r="BA130" s="17"/>
      <c r="BB130" s="17"/>
      <c r="BC130" s="17"/>
      <c r="BD130" s="17"/>
      <c r="BE130" s="17"/>
      <c r="BF130" s="17"/>
      <c r="BG130" s="17"/>
      <c r="BH130" s="17"/>
      <c r="BI130" s="17"/>
      <c r="BJ130" s="17"/>
      <c r="BK130" s="17"/>
      <c r="BL130" s="17"/>
      <c r="BM130" s="17"/>
      <c r="BN130" s="17"/>
      <c r="BO130" s="17"/>
      <c r="BP130" s="17"/>
      <c r="BQ130" s="17"/>
      <c r="BR130" s="17"/>
      <c r="BS130" s="17"/>
      <c r="BT130" s="17"/>
      <c r="BU130" s="17"/>
      <c r="BV130" s="17"/>
      <c r="BW130" s="17"/>
      <c r="BX130" s="17"/>
      <c r="BY130" s="17"/>
      <c r="BZ130" s="17"/>
      <c r="CA130" s="17"/>
      <c r="CB130" s="17"/>
      <c r="CC130" s="17"/>
      <c r="CD130" s="17"/>
      <c r="CE130" s="17"/>
      <c r="CF130" s="17"/>
      <c r="CG130" s="17"/>
      <c r="CH130" s="17"/>
      <c r="CI130" s="17"/>
      <c r="CJ130" s="17"/>
      <c r="CK130" s="17"/>
      <c r="CL130" s="17"/>
      <c r="CM130" s="17"/>
      <c r="CN130" s="17"/>
      <c r="CO130" s="17"/>
      <c r="CP130" s="17"/>
      <c r="CQ130" s="17"/>
      <c r="CR130" s="17"/>
      <c r="CS130" s="17"/>
      <c r="CT130" s="17"/>
      <c r="CU130" s="17"/>
      <c r="CV130" s="17"/>
    </row>
    <row r="131" spans="1:100" x14ac:dyDescent="0.35">
      <c r="B131" s="9"/>
      <c r="C131" t="s">
        <v>230</v>
      </c>
      <c r="D131" t="s">
        <v>224</v>
      </c>
      <c r="E131" t="s">
        <v>223</v>
      </c>
      <c r="F131" s="17">
        <v>0</v>
      </c>
      <c r="G131" s="17">
        <v>0.82110238381467304</v>
      </c>
      <c r="H131" s="17">
        <v>0.54989142442368699</v>
      </c>
      <c r="I131" s="17">
        <v>0.44243501179336903</v>
      </c>
      <c r="J131" s="17">
        <v>0.15876094718480799</v>
      </c>
      <c r="K131" s="17">
        <v>0.36287171813281099</v>
      </c>
      <c r="L131" s="17">
        <v>0.527775419607589</v>
      </c>
      <c r="M131" s="17">
        <v>0.50188809795700295</v>
      </c>
      <c r="N131" s="17">
        <v>0.467465690838891</v>
      </c>
      <c r="O131" s="17">
        <v>0.39677178219905401</v>
      </c>
      <c r="P131" s="17">
        <v>0.472219012610891</v>
      </c>
      <c r="Q131" s="17">
        <v>0.58102307031502898</v>
      </c>
      <c r="R131" s="17">
        <v>0.42414255811694601</v>
      </c>
      <c r="S131" s="17">
        <v>0.40753204906753798</v>
      </c>
      <c r="T131" s="17">
        <v>0.26830673202259903</v>
      </c>
      <c r="U131" s="17">
        <v>0.25335727387813201</v>
      </c>
      <c r="V131" s="17">
        <v>0.36038536520591802</v>
      </c>
      <c r="W131" s="17">
        <v>0.287455828304086</v>
      </c>
      <c r="X131" s="17">
        <v>0.424664901168814</v>
      </c>
      <c r="Y131" s="17">
        <v>0.43508042162306498</v>
      </c>
      <c r="Z131" s="17">
        <v>0.355088806659975</v>
      </c>
      <c r="AA131" s="17">
        <v>0.37719436461503503</v>
      </c>
      <c r="AB131" s="17">
        <v>0.30808837885287799</v>
      </c>
      <c r="AC131" s="17">
        <v>0.31272678515346702</v>
      </c>
      <c r="AD131" s="17">
        <v>0.17998896881272999</v>
      </c>
      <c r="AE131" s="17">
        <v>0.22228830915301401</v>
      </c>
      <c r="AF131" s="17">
        <v>0.241197127630641</v>
      </c>
      <c r="AG131" s="17">
        <v>0.18757338992585601</v>
      </c>
      <c r="AH131" s="17">
        <v>0.19706958660881899</v>
      </c>
      <c r="AI131" s="17">
        <v>0.25645999160622901</v>
      </c>
      <c r="AJ131" s="17">
        <v>0.15529258932040399</v>
      </c>
      <c r="AK131" s="17">
        <v>9.73751917292624E-2</v>
      </c>
      <c r="AL131" s="17">
        <v>0.20133190591206299</v>
      </c>
      <c r="AM131" s="17">
        <v>0.27718656390435797</v>
      </c>
      <c r="AN131" s="17">
        <v>0.21129821134170801</v>
      </c>
      <c r="AO131" s="17"/>
      <c r="AP131" s="17"/>
      <c r="AQ131" s="17"/>
      <c r="AR131" s="17"/>
      <c r="AS131" s="17"/>
      <c r="AT131" s="17"/>
      <c r="AU131" s="17"/>
      <c r="AV131" s="17"/>
      <c r="AW131" s="17"/>
      <c r="AX131" s="17"/>
      <c r="AY131" s="17"/>
      <c r="AZ131" s="17"/>
      <c r="BA131" s="17"/>
      <c r="BB131" s="17"/>
      <c r="BC131" s="17"/>
      <c r="BD131" s="17"/>
      <c r="BE131" s="17"/>
      <c r="BF131" s="17"/>
      <c r="BG131" s="17"/>
      <c r="BH131" s="17"/>
      <c r="BI131" s="17"/>
      <c r="BJ131" s="17"/>
      <c r="BK131" s="17"/>
      <c r="BL131" s="17"/>
      <c r="BM131" s="17"/>
      <c r="BN131" s="17"/>
      <c r="BO131" s="17"/>
      <c r="BP131" s="17"/>
      <c r="BQ131" s="17"/>
      <c r="BR131" s="17"/>
      <c r="BS131" s="17"/>
      <c r="BT131" s="17"/>
      <c r="BU131" s="17"/>
      <c r="BV131" s="17"/>
      <c r="BW131" s="17"/>
      <c r="BX131" s="17"/>
      <c r="BY131" s="17"/>
      <c r="BZ131" s="17"/>
      <c r="CA131" s="17"/>
      <c r="CB131" s="17"/>
      <c r="CC131" s="17"/>
      <c r="CD131" s="17"/>
      <c r="CE131" s="17"/>
      <c r="CF131" s="17"/>
      <c r="CG131" s="17"/>
      <c r="CH131" s="17"/>
      <c r="CI131" s="17"/>
      <c r="CJ131" s="17"/>
      <c r="CK131" s="17"/>
      <c r="CL131" s="17"/>
      <c r="CM131" s="17"/>
      <c r="CN131" s="17"/>
      <c r="CO131" s="17"/>
      <c r="CP131" s="17"/>
      <c r="CQ131" s="17"/>
      <c r="CR131" s="17"/>
      <c r="CS131" s="17"/>
      <c r="CT131" s="17"/>
      <c r="CU131" s="17"/>
      <c r="CV131" s="17"/>
    </row>
    <row r="132" spans="1:100" x14ac:dyDescent="0.35">
      <c r="B132" s="9"/>
      <c r="C132" t="s">
        <v>230</v>
      </c>
      <c r="D132" t="s">
        <v>225</v>
      </c>
      <c r="E132" t="s">
        <v>223</v>
      </c>
      <c r="F132" s="17">
        <v>0</v>
      </c>
      <c r="G132" s="17">
        <v>17.530323823164199</v>
      </c>
      <c r="H132" s="17">
        <v>18.0678043766755</v>
      </c>
      <c r="I132" s="17">
        <v>18.349368175354499</v>
      </c>
      <c r="J132" s="17">
        <v>17.9204200611603</v>
      </c>
      <c r="K132" s="17">
        <v>19.140352258798401</v>
      </c>
      <c r="L132" s="17">
        <v>16.0776669021967</v>
      </c>
      <c r="M132" s="17">
        <v>18.554753463349002</v>
      </c>
      <c r="N132" s="17">
        <v>17.0026006378618</v>
      </c>
      <c r="O132" s="17">
        <v>17.537459029252702</v>
      </c>
      <c r="P132" s="17">
        <v>16.452604744827699</v>
      </c>
      <c r="Q132" s="17">
        <v>16.661228559743801</v>
      </c>
      <c r="R132" s="17">
        <v>17.153818951377598</v>
      </c>
      <c r="S132" s="17">
        <v>16.277640716173899</v>
      </c>
      <c r="T132" s="17">
        <v>16.0199479949653</v>
      </c>
      <c r="U132" s="17">
        <v>14.604231174625999</v>
      </c>
      <c r="V132" s="17">
        <v>13.2754217912565</v>
      </c>
      <c r="W132" s="17">
        <v>13.946099822994199</v>
      </c>
      <c r="X132" s="17">
        <v>12.498478289046799</v>
      </c>
      <c r="Y132" s="17">
        <v>12.531176964093699</v>
      </c>
      <c r="Z132" s="17">
        <v>12.653039598094599</v>
      </c>
      <c r="AA132" s="17">
        <v>12.166289001780701</v>
      </c>
      <c r="AB132" s="17">
        <v>9.3068577735219797</v>
      </c>
      <c r="AC132" s="17">
        <v>9.8115978645421809</v>
      </c>
      <c r="AD132" s="17">
        <v>9.0172707855662697</v>
      </c>
      <c r="AE132" s="17">
        <v>8.3386531394401899</v>
      </c>
      <c r="AF132" s="17">
        <v>7.7855336349559598</v>
      </c>
      <c r="AG132" s="17">
        <v>8.43183913989348</v>
      </c>
      <c r="AH132" s="17">
        <v>8.4665018248154507</v>
      </c>
      <c r="AI132" s="17">
        <v>7.8691294169769401</v>
      </c>
      <c r="AJ132" s="17">
        <v>7.5977617546704002</v>
      </c>
      <c r="AK132" s="17">
        <v>8.5470471234135204</v>
      </c>
      <c r="AL132" s="17">
        <v>9.0925822067846198</v>
      </c>
      <c r="AM132" s="17">
        <v>9.9126399044955598</v>
      </c>
      <c r="AN132" s="17">
        <v>10.2033029191381</v>
      </c>
      <c r="AO132" s="17"/>
      <c r="AP132" s="17"/>
      <c r="AQ132" s="17"/>
      <c r="AR132" s="17"/>
      <c r="AS132" s="17"/>
      <c r="AT132" s="17"/>
      <c r="AU132" s="17"/>
      <c r="AV132" s="17"/>
      <c r="AW132" s="17"/>
      <c r="AX132" s="17"/>
      <c r="AY132" s="17"/>
      <c r="AZ132" s="17"/>
      <c r="BA132" s="17"/>
      <c r="BB132" s="17"/>
      <c r="BC132" s="17"/>
      <c r="BD132" s="17"/>
      <c r="BE132" s="17"/>
      <c r="BF132" s="17"/>
      <c r="BG132" s="17"/>
      <c r="BH132" s="17"/>
      <c r="BI132" s="17"/>
      <c r="BJ132" s="17"/>
      <c r="BK132" s="17"/>
      <c r="BL132" s="17"/>
      <c r="BM132" s="17"/>
      <c r="BN132" s="17"/>
      <c r="BO132" s="17"/>
      <c r="BP132" s="17"/>
      <c r="BQ132" s="17"/>
      <c r="BR132" s="17"/>
      <c r="BS132" s="17"/>
      <c r="BT132" s="17"/>
      <c r="BU132" s="17"/>
      <c r="BV132" s="17"/>
      <c r="BW132" s="17"/>
      <c r="BX132" s="17"/>
      <c r="BY132" s="17"/>
      <c r="BZ132" s="17"/>
      <c r="CA132" s="17"/>
      <c r="CB132" s="17"/>
      <c r="CC132" s="17"/>
      <c r="CD132" s="17"/>
      <c r="CE132" s="17"/>
      <c r="CF132" s="17"/>
      <c r="CG132" s="17"/>
      <c r="CH132" s="17"/>
      <c r="CI132" s="17"/>
      <c r="CJ132" s="17"/>
      <c r="CK132" s="17"/>
      <c r="CL132" s="17"/>
      <c r="CM132" s="17"/>
      <c r="CN132" s="17"/>
      <c r="CO132" s="17"/>
      <c r="CP132" s="17"/>
      <c r="CQ132" s="17"/>
      <c r="CR132" s="17"/>
      <c r="CS132" s="17"/>
      <c r="CT132" s="17"/>
      <c r="CU132" s="17"/>
      <c r="CV132" s="17"/>
    </row>
    <row r="133" spans="1:100" x14ac:dyDescent="0.35">
      <c r="B133" s="9"/>
      <c r="C133" t="s">
        <v>230</v>
      </c>
      <c r="D133" t="s">
        <v>355</v>
      </c>
      <c r="E133" t="s">
        <v>223</v>
      </c>
      <c r="F133" s="17">
        <v>0</v>
      </c>
      <c r="G133" s="17">
        <v>125.87884615176699</v>
      </c>
      <c r="H133" s="17">
        <v>115.08961013762701</v>
      </c>
      <c r="I133" s="17">
        <v>109.862491876999</v>
      </c>
      <c r="J133" s="17">
        <v>96.932996995272902</v>
      </c>
      <c r="K133" s="17">
        <v>100.07588290405801</v>
      </c>
      <c r="L133" s="17">
        <v>92.309937133547507</v>
      </c>
      <c r="M133" s="17">
        <v>93.812247985025493</v>
      </c>
      <c r="N133" s="17">
        <v>85.966425515022905</v>
      </c>
      <c r="O133" s="17">
        <v>84.601449098742094</v>
      </c>
      <c r="P133" s="17">
        <v>84.383924558222105</v>
      </c>
      <c r="Q133" s="17">
        <v>89.502750657336605</v>
      </c>
      <c r="R133" s="17">
        <v>89.961587240958593</v>
      </c>
      <c r="S133" s="17">
        <v>88.176114221062903</v>
      </c>
      <c r="T133" s="17">
        <v>84.718025621058004</v>
      </c>
      <c r="U133" s="17">
        <v>80.932511502420198</v>
      </c>
      <c r="V133" s="17">
        <v>81.278689136615299</v>
      </c>
      <c r="W133" s="17">
        <v>81.176915816389297</v>
      </c>
      <c r="X133" s="17">
        <v>79.629464078368798</v>
      </c>
      <c r="Y133" s="17">
        <v>82.725809221232893</v>
      </c>
      <c r="Z133" s="17">
        <v>83.709966212118701</v>
      </c>
      <c r="AA133" s="17">
        <v>83.280673351510302</v>
      </c>
      <c r="AB133" s="17">
        <v>78.843055720059198</v>
      </c>
      <c r="AC133" s="17">
        <v>78.6946998464676</v>
      </c>
      <c r="AD133" s="17">
        <v>77.229548479699503</v>
      </c>
      <c r="AE133" s="17">
        <v>76.668165508134706</v>
      </c>
      <c r="AF133" s="17">
        <v>74.905738263687397</v>
      </c>
      <c r="AG133" s="17">
        <v>74.789443806619502</v>
      </c>
      <c r="AH133" s="17">
        <v>73.670188008798405</v>
      </c>
      <c r="AI133" s="17">
        <v>73.1240156669041</v>
      </c>
      <c r="AJ133" s="17">
        <v>71.427560349907694</v>
      </c>
      <c r="AK133" s="17">
        <v>71.740830371835102</v>
      </c>
      <c r="AL133" s="17">
        <v>71.753053199248797</v>
      </c>
      <c r="AM133" s="17">
        <v>73.136708603064406</v>
      </c>
      <c r="AN133" s="17">
        <v>72.164502821205403</v>
      </c>
      <c r="AO133" s="17"/>
      <c r="AP133" s="17"/>
      <c r="AQ133" s="17"/>
      <c r="AR133" s="17"/>
      <c r="AS133" s="17"/>
      <c r="AT133" s="17"/>
      <c r="AU133" s="17"/>
      <c r="AV133" s="17"/>
      <c r="AW133" s="17"/>
      <c r="AX133" s="17"/>
      <c r="AY133" s="17"/>
      <c r="AZ133" s="17"/>
      <c r="BA133" s="17"/>
      <c r="BB133" s="17"/>
      <c r="BC133" s="17"/>
      <c r="BD133" s="17"/>
      <c r="BE133" s="17"/>
      <c r="BF133" s="17"/>
      <c r="BG133" s="17"/>
      <c r="BH133" s="17"/>
      <c r="BI133" s="17"/>
      <c r="BJ133" s="17"/>
      <c r="BK133" s="17"/>
      <c r="BL133" s="17"/>
      <c r="BM133" s="17"/>
      <c r="BN133" s="17"/>
      <c r="BO133" s="17"/>
      <c r="BP133" s="17"/>
      <c r="BQ133" s="17"/>
      <c r="BR133" s="17"/>
      <c r="BS133" s="17"/>
      <c r="BT133" s="17"/>
      <c r="BU133" s="17"/>
      <c r="BV133" s="17"/>
      <c r="BW133" s="17"/>
      <c r="BX133" s="17"/>
      <c r="BY133" s="17"/>
      <c r="BZ133" s="17"/>
      <c r="CA133" s="17"/>
      <c r="CB133" s="17"/>
      <c r="CC133" s="17"/>
      <c r="CD133" s="17"/>
      <c r="CE133" s="17"/>
      <c r="CF133" s="17"/>
      <c r="CG133" s="17"/>
      <c r="CH133" s="17"/>
      <c r="CI133" s="17"/>
      <c r="CJ133" s="17"/>
      <c r="CK133" s="17"/>
      <c r="CL133" s="17"/>
      <c r="CM133" s="17"/>
      <c r="CN133" s="17"/>
      <c r="CO133" s="17"/>
      <c r="CP133" s="17"/>
      <c r="CQ133" s="17"/>
      <c r="CR133" s="17"/>
      <c r="CS133" s="17"/>
      <c r="CT133" s="17"/>
      <c r="CU133" s="17"/>
      <c r="CV133" s="17"/>
    </row>
    <row r="134" spans="1:100" x14ac:dyDescent="0.35">
      <c r="B134" s="9"/>
      <c r="C134" t="s">
        <v>230</v>
      </c>
      <c r="D134" t="s">
        <v>356</v>
      </c>
      <c r="E134" t="s">
        <v>124</v>
      </c>
      <c r="F134" s="17">
        <v>0</v>
      </c>
      <c r="G134" s="17">
        <v>1</v>
      </c>
      <c r="H134" s="17">
        <v>1</v>
      </c>
      <c r="I134" s="17">
        <v>1</v>
      </c>
      <c r="J134" s="17">
        <v>1</v>
      </c>
      <c r="K134" s="17">
        <v>1</v>
      </c>
      <c r="L134" s="17">
        <v>1</v>
      </c>
      <c r="M134" s="17">
        <v>1</v>
      </c>
      <c r="N134" s="17">
        <v>1</v>
      </c>
      <c r="O134" s="17">
        <v>1</v>
      </c>
      <c r="P134" s="17">
        <v>1</v>
      </c>
      <c r="Q134" s="17">
        <v>1</v>
      </c>
      <c r="R134" s="17">
        <v>1</v>
      </c>
      <c r="S134" s="17">
        <v>1</v>
      </c>
      <c r="T134" s="17">
        <v>1</v>
      </c>
      <c r="U134" s="17">
        <v>1</v>
      </c>
      <c r="V134" s="17">
        <v>1</v>
      </c>
      <c r="W134" s="17">
        <v>1</v>
      </c>
      <c r="X134" s="17">
        <v>1</v>
      </c>
      <c r="Y134" s="17">
        <v>1</v>
      </c>
      <c r="Z134" s="17">
        <v>1</v>
      </c>
      <c r="AA134" s="17">
        <v>1</v>
      </c>
      <c r="AB134" s="17">
        <v>1</v>
      </c>
      <c r="AC134" s="17">
        <v>1</v>
      </c>
      <c r="AD134" s="17">
        <v>1</v>
      </c>
      <c r="AE134" s="17">
        <v>1</v>
      </c>
      <c r="AF134" s="17">
        <v>1</v>
      </c>
      <c r="AG134" s="17">
        <v>1</v>
      </c>
      <c r="AH134" s="17">
        <v>1</v>
      </c>
      <c r="AI134" s="17">
        <v>1</v>
      </c>
      <c r="AJ134" s="17">
        <v>1</v>
      </c>
      <c r="AK134" s="17">
        <v>1</v>
      </c>
      <c r="AL134" s="17">
        <v>1</v>
      </c>
      <c r="AM134" s="17">
        <v>1</v>
      </c>
      <c r="AN134" s="17">
        <v>1</v>
      </c>
      <c r="AO134" s="17"/>
      <c r="AP134" s="17"/>
      <c r="AQ134" s="17"/>
      <c r="AR134" s="17"/>
      <c r="AS134" s="17"/>
      <c r="AT134" s="17"/>
      <c r="AU134" s="17"/>
      <c r="AV134" s="17"/>
      <c r="AW134" s="17"/>
      <c r="AX134" s="17"/>
      <c r="AY134" s="17"/>
      <c r="AZ134" s="17"/>
      <c r="BA134" s="17"/>
      <c r="BB134" s="17"/>
      <c r="BC134" s="17"/>
      <c r="BD134" s="17"/>
      <c r="BE134" s="17"/>
      <c r="BF134" s="17"/>
      <c r="BG134" s="17"/>
      <c r="BH134" s="17"/>
      <c r="BI134" s="17"/>
      <c r="BJ134" s="17"/>
      <c r="BK134" s="17"/>
      <c r="BL134" s="17"/>
      <c r="BM134" s="17"/>
      <c r="BN134" s="17"/>
      <c r="BO134" s="17"/>
      <c r="BP134" s="17"/>
      <c r="BQ134" s="17"/>
      <c r="BR134" s="17"/>
      <c r="BS134" s="17"/>
      <c r="BT134" s="17"/>
      <c r="BU134" s="17"/>
      <c r="BV134" s="17"/>
      <c r="BW134" s="17"/>
      <c r="BX134" s="17"/>
      <c r="BY134" s="17"/>
      <c r="BZ134" s="17"/>
      <c r="CA134" s="17"/>
      <c r="CB134" s="17"/>
      <c r="CC134" s="17"/>
      <c r="CD134" s="17"/>
      <c r="CE134" s="17"/>
      <c r="CF134" s="17"/>
      <c r="CG134" s="17"/>
      <c r="CH134" s="17"/>
      <c r="CI134" s="17"/>
      <c r="CJ134" s="17"/>
      <c r="CK134" s="17"/>
      <c r="CL134" s="17"/>
      <c r="CM134" s="17"/>
      <c r="CN134" s="17"/>
      <c r="CO134" s="17"/>
      <c r="CP134" s="17"/>
      <c r="CQ134" s="17"/>
      <c r="CR134" s="17"/>
      <c r="CS134" s="17"/>
      <c r="CT134" s="17"/>
      <c r="CU134" s="17"/>
      <c r="CV134" s="17"/>
    </row>
    <row r="135" spans="1:100" x14ac:dyDescent="0.35">
      <c r="B135" s="9"/>
      <c r="C135" t="s">
        <v>339</v>
      </c>
      <c r="D135" t="s">
        <v>357</v>
      </c>
      <c r="E135" t="s">
        <v>226</v>
      </c>
      <c r="F135" s="17">
        <v>0</v>
      </c>
      <c r="G135" s="17">
        <v>267.92597527837</v>
      </c>
      <c r="H135" s="17">
        <v>237.68780762410901</v>
      </c>
      <c r="I135" s="17">
        <v>204.12312958460899</v>
      </c>
      <c r="J135" s="17">
        <v>181.740228362729</v>
      </c>
      <c r="K135" s="17">
        <v>183.099584367771</v>
      </c>
      <c r="L135" s="17">
        <v>181.236929938532</v>
      </c>
      <c r="M135" s="17">
        <v>173.94024671895801</v>
      </c>
      <c r="N135" s="17">
        <v>163.92447540230199</v>
      </c>
      <c r="O135" s="17">
        <v>164.44992117189801</v>
      </c>
      <c r="P135" s="17">
        <v>158.00592119705499</v>
      </c>
      <c r="Q135" s="17">
        <v>161.922553868573</v>
      </c>
      <c r="R135" s="17">
        <v>160.78433701796899</v>
      </c>
      <c r="S135" s="17">
        <v>160.064799017159</v>
      </c>
      <c r="T135" s="17">
        <v>158.81747514988101</v>
      </c>
      <c r="U135" s="17">
        <v>154.50957619193099</v>
      </c>
      <c r="V135" s="17">
        <v>154.19417501035201</v>
      </c>
      <c r="W135" s="17">
        <v>152.192180348596</v>
      </c>
      <c r="X135" s="17">
        <v>149.611304223037</v>
      </c>
      <c r="Y135" s="17">
        <v>152.12267738211401</v>
      </c>
      <c r="Z135" s="17">
        <v>156.343877840316</v>
      </c>
      <c r="AA135" s="17">
        <v>155.54294834516401</v>
      </c>
      <c r="AB135" s="17">
        <v>153.301689225069</v>
      </c>
      <c r="AC135" s="17">
        <v>152.961758813774</v>
      </c>
      <c r="AD135" s="17">
        <v>151.135825101081</v>
      </c>
      <c r="AE135" s="17">
        <v>150.90845961746399</v>
      </c>
      <c r="AF135" s="17">
        <v>148.849728053414</v>
      </c>
      <c r="AG135" s="17">
        <v>149.32378571356699</v>
      </c>
      <c r="AH135" s="17">
        <v>147.525964503925</v>
      </c>
      <c r="AI135" s="17">
        <v>146.69013204604801</v>
      </c>
      <c r="AJ135" s="17">
        <v>145.619433258329</v>
      </c>
      <c r="AK135" s="17">
        <v>145.02379502942199</v>
      </c>
      <c r="AL135" s="17">
        <v>146.549621765095</v>
      </c>
      <c r="AM135" s="17">
        <v>148.67021964020901</v>
      </c>
      <c r="AN135" s="17">
        <v>146.261601806295</v>
      </c>
      <c r="AO135" s="17"/>
      <c r="AP135" s="17"/>
      <c r="AQ135" s="17"/>
      <c r="AR135" s="17"/>
      <c r="AS135" s="17"/>
      <c r="AT135" s="17"/>
      <c r="AU135" s="17"/>
      <c r="AV135" s="17"/>
      <c r="AW135" s="17"/>
      <c r="AX135" s="17"/>
      <c r="AY135" s="17"/>
      <c r="AZ135" s="17"/>
      <c r="BA135" s="17"/>
      <c r="BB135" s="17"/>
      <c r="BC135" s="17"/>
      <c r="BD135" s="17"/>
      <c r="BE135" s="17"/>
      <c r="BF135" s="17"/>
      <c r="BG135" s="17"/>
      <c r="BH135" s="17"/>
      <c r="BI135" s="17"/>
      <c r="BJ135" s="17"/>
      <c r="BK135" s="17"/>
      <c r="BL135" s="17"/>
      <c r="BM135" s="17"/>
      <c r="BN135" s="17"/>
      <c r="BO135" s="17"/>
      <c r="BP135" s="17"/>
      <c r="BQ135" s="17"/>
      <c r="BR135" s="17"/>
      <c r="BS135" s="17"/>
      <c r="BT135" s="17"/>
      <c r="BU135" s="17"/>
      <c r="BV135" s="17"/>
      <c r="BW135" s="17"/>
      <c r="BX135" s="17"/>
      <c r="BY135" s="17"/>
      <c r="BZ135" s="17"/>
      <c r="CA135" s="17"/>
      <c r="CB135" s="17"/>
      <c r="CC135" s="17"/>
      <c r="CD135" s="17"/>
      <c r="CE135" s="17"/>
      <c r="CF135" s="17"/>
      <c r="CG135" s="17"/>
      <c r="CH135" s="17"/>
      <c r="CI135" s="17"/>
      <c r="CJ135" s="17"/>
      <c r="CK135" s="17"/>
      <c r="CL135" s="17"/>
      <c r="CM135" s="17"/>
      <c r="CN135" s="17"/>
      <c r="CO135" s="17"/>
      <c r="CP135" s="17"/>
      <c r="CQ135" s="17"/>
      <c r="CR135" s="17"/>
      <c r="CS135" s="17"/>
      <c r="CT135" s="17"/>
      <c r="CU135" s="17"/>
      <c r="CV135" s="17"/>
    </row>
    <row r="136" spans="1:100" x14ac:dyDescent="0.35">
      <c r="B136" s="9"/>
      <c r="F136" s="17"/>
      <c r="G136" s="17"/>
      <c r="H136" s="17"/>
      <c r="I136" s="17"/>
      <c r="J136" s="17"/>
      <c r="K136" s="17"/>
      <c r="L136" s="17"/>
      <c r="M136" s="17"/>
      <c r="N136" s="17"/>
      <c r="O136" s="17"/>
      <c r="P136" s="17"/>
      <c r="Q136" s="17"/>
      <c r="R136" s="17"/>
      <c r="S136" s="17"/>
      <c r="T136" s="17"/>
      <c r="U136" s="17"/>
      <c r="V136" s="17"/>
      <c r="W136" s="17"/>
      <c r="X136" s="17"/>
      <c r="Y136" s="17"/>
      <c r="Z136" s="17"/>
      <c r="AA136" s="17"/>
      <c r="AB136" s="17"/>
      <c r="AC136" s="17"/>
      <c r="AD136" s="17"/>
      <c r="AE136" s="17"/>
      <c r="AF136" s="17"/>
      <c r="AG136" s="17"/>
      <c r="AH136" s="17"/>
      <c r="AI136" s="17"/>
      <c r="AJ136" s="17"/>
      <c r="AK136" s="17"/>
      <c r="AL136" s="17"/>
      <c r="AM136" s="17"/>
      <c r="AN136" s="17"/>
      <c r="AO136" s="17"/>
      <c r="AP136" s="17"/>
      <c r="AQ136" s="17"/>
      <c r="AR136" s="17"/>
      <c r="AS136" s="17"/>
      <c r="AT136" s="17"/>
      <c r="AU136" s="17"/>
      <c r="AV136" s="17"/>
      <c r="AW136" s="17"/>
      <c r="AX136" s="17"/>
      <c r="AY136" s="17"/>
      <c r="AZ136" s="17"/>
      <c r="BA136" s="17"/>
      <c r="BB136" s="17"/>
      <c r="BC136" s="17"/>
      <c r="BD136" s="17"/>
      <c r="BE136" s="17"/>
      <c r="BF136" s="17"/>
      <c r="BG136" s="17"/>
      <c r="BH136" s="17"/>
      <c r="BI136" s="17"/>
      <c r="BJ136" s="17"/>
      <c r="BK136" s="17"/>
      <c r="BL136" s="17"/>
      <c r="BM136" s="17"/>
      <c r="BN136" s="17"/>
      <c r="BO136" s="17"/>
      <c r="BP136" s="17"/>
      <c r="BQ136" s="17"/>
      <c r="BR136" s="17"/>
      <c r="BS136" s="17"/>
      <c r="BT136" s="17"/>
      <c r="BU136" s="17"/>
      <c r="BV136" s="17"/>
      <c r="BW136" s="17"/>
      <c r="BX136" s="17"/>
      <c r="BY136" s="17"/>
      <c r="BZ136" s="17"/>
      <c r="CA136" s="17"/>
      <c r="CB136" s="17"/>
      <c r="CC136" s="17"/>
      <c r="CD136" s="17"/>
      <c r="CE136" s="17"/>
      <c r="CF136" s="17"/>
      <c r="CG136" s="17"/>
      <c r="CH136" s="17"/>
      <c r="CI136" s="17"/>
      <c r="CJ136" s="17"/>
      <c r="CK136" s="17"/>
      <c r="CL136" s="17"/>
      <c r="CM136" s="17"/>
      <c r="CN136" s="17"/>
      <c r="CO136" s="17"/>
      <c r="CP136" s="17"/>
      <c r="CQ136" s="17"/>
      <c r="CR136" s="17"/>
      <c r="CS136" s="17"/>
      <c r="CT136" s="17"/>
      <c r="CU136" s="17"/>
      <c r="CV136" s="17"/>
    </row>
    <row r="137" spans="1:100" x14ac:dyDescent="0.35">
      <c r="B137" s="9"/>
      <c r="F137" s="17"/>
      <c r="G137" s="17"/>
      <c r="H137" s="17"/>
      <c r="I137" s="17"/>
      <c r="J137" s="17"/>
      <c r="K137" s="17"/>
      <c r="L137" s="17"/>
      <c r="M137" s="17"/>
      <c r="N137" s="17"/>
      <c r="O137" s="17"/>
      <c r="P137" s="17"/>
      <c r="Q137" s="17"/>
      <c r="R137" s="17"/>
      <c r="S137" s="17"/>
      <c r="T137" s="17"/>
      <c r="U137" s="17"/>
      <c r="V137" s="17"/>
      <c r="W137" s="17"/>
      <c r="X137" s="17"/>
      <c r="Y137" s="17"/>
      <c r="Z137" s="17"/>
      <c r="AA137" s="17"/>
      <c r="AB137" s="17"/>
      <c r="AC137" s="17"/>
      <c r="AD137" s="17"/>
      <c r="AE137" s="17"/>
      <c r="AF137" s="17"/>
      <c r="AG137" s="17"/>
      <c r="AH137" s="17"/>
      <c r="AI137" s="17"/>
      <c r="AJ137" s="17"/>
      <c r="AK137" s="17"/>
      <c r="AL137" s="17"/>
      <c r="AM137" s="17"/>
      <c r="AN137" s="17"/>
      <c r="AO137" s="17"/>
      <c r="AP137" s="17"/>
      <c r="AQ137" s="17"/>
      <c r="AR137" s="17"/>
      <c r="AS137" s="17"/>
      <c r="AT137" s="17"/>
      <c r="AU137" s="17"/>
      <c r="AV137" s="17"/>
      <c r="AW137" s="17"/>
      <c r="AX137" s="17"/>
      <c r="AY137" s="17"/>
      <c r="AZ137" s="17"/>
      <c r="BA137" s="17"/>
      <c r="BB137" s="17"/>
      <c r="BC137" s="17"/>
      <c r="BD137" s="17"/>
      <c r="BE137" s="17"/>
      <c r="BF137" s="17"/>
      <c r="BG137" s="17"/>
      <c r="BH137" s="17"/>
      <c r="BI137" s="17"/>
      <c r="BJ137" s="17"/>
      <c r="BK137" s="17"/>
      <c r="BL137" s="17"/>
      <c r="BM137" s="17"/>
      <c r="BN137" s="17"/>
      <c r="BO137" s="17"/>
      <c r="BP137" s="17"/>
      <c r="BQ137" s="17"/>
      <c r="BR137" s="17"/>
      <c r="BS137" s="17"/>
      <c r="BT137" s="17"/>
      <c r="BU137" s="17"/>
      <c r="BV137" s="17"/>
      <c r="BW137" s="17"/>
      <c r="BX137" s="17"/>
      <c r="BY137" s="17"/>
      <c r="BZ137" s="17"/>
      <c r="CA137" s="17"/>
      <c r="CB137" s="17"/>
      <c r="CC137" s="17"/>
      <c r="CD137" s="17"/>
      <c r="CE137" s="17"/>
      <c r="CF137" s="17"/>
      <c r="CG137" s="17"/>
      <c r="CH137" s="17"/>
      <c r="CI137" s="17"/>
      <c r="CJ137" s="17"/>
      <c r="CK137" s="17"/>
      <c r="CL137" s="17"/>
      <c r="CM137" s="17"/>
      <c r="CN137" s="17"/>
      <c r="CO137" s="17"/>
      <c r="CP137" s="17"/>
      <c r="CQ137" s="17"/>
      <c r="CR137" s="17"/>
      <c r="CS137" s="17"/>
      <c r="CT137" s="17"/>
      <c r="CU137" s="17"/>
      <c r="CV137" s="17"/>
    </row>
    <row r="138" spans="1:100" x14ac:dyDescent="0.35">
      <c r="B138" s="9"/>
      <c r="F138" s="17"/>
      <c r="G138" s="17"/>
      <c r="H138" s="17"/>
      <c r="I138" s="17"/>
      <c r="J138" s="17"/>
      <c r="K138" s="17"/>
      <c r="L138" s="17"/>
      <c r="M138" s="17"/>
      <c r="N138" s="17"/>
      <c r="O138" s="17"/>
      <c r="P138" s="17"/>
      <c r="Q138" s="17"/>
      <c r="R138" s="17"/>
      <c r="S138" s="17"/>
      <c r="T138" s="17"/>
      <c r="U138" s="17"/>
      <c r="V138" s="17"/>
      <c r="W138" s="17"/>
      <c r="X138" s="17"/>
      <c r="Y138" s="17"/>
      <c r="Z138" s="17"/>
      <c r="AA138" s="17"/>
      <c r="AB138" s="17"/>
      <c r="AC138" s="17"/>
      <c r="AD138" s="17"/>
      <c r="AE138" s="17"/>
      <c r="AF138" s="17"/>
      <c r="AG138" s="17"/>
      <c r="AH138" s="17"/>
      <c r="AI138" s="17"/>
      <c r="AJ138" s="17"/>
      <c r="AK138" s="17"/>
      <c r="AL138" s="17"/>
      <c r="AM138" s="17"/>
      <c r="AN138" s="17"/>
      <c r="AO138" s="17"/>
      <c r="AP138" s="17"/>
      <c r="AQ138" s="17"/>
      <c r="AR138" s="17"/>
      <c r="AS138" s="17"/>
      <c r="AT138" s="17"/>
      <c r="AU138" s="17"/>
      <c r="AV138" s="17"/>
      <c r="AW138" s="17"/>
      <c r="AX138" s="17"/>
      <c r="AY138" s="17"/>
      <c r="AZ138" s="17"/>
      <c r="BA138" s="17"/>
      <c r="BB138" s="17"/>
      <c r="BC138" s="17"/>
      <c r="BD138" s="17"/>
      <c r="BE138" s="17"/>
      <c r="BF138" s="17"/>
      <c r="BG138" s="17"/>
      <c r="BH138" s="17"/>
      <c r="BI138" s="17"/>
      <c r="BJ138" s="17"/>
      <c r="BK138" s="17"/>
      <c r="BL138" s="17"/>
      <c r="BM138" s="17"/>
      <c r="BN138" s="17"/>
      <c r="BO138" s="17"/>
      <c r="BP138" s="17"/>
      <c r="BQ138" s="17"/>
      <c r="BR138" s="17"/>
      <c r="BS138" s="17"/>
      <c r="BT138" s="17"/>
      <c r="BU138" s="17"/>
      <c r="BV138" s="17"/>
      <c r="BW138" s="17"/>
      <c r="BX138" s="17"/>
      <c r="BY138" s="17"/>
      <c r="BZ138" s="17"/>
      <c r="CA138" s="17"/>
      <c r="CB138" s="17"/>
      <c r="CC138" s="17"/>
      <c r="CD138" s="17"/>
      <c r="CE138" s="17"/>
      <c r="CF138" s="17"/>
      <c r="CG138" s="17"/>
      <c r="CH138" s="17"/>
      <c r="CI138" s="17"/>
      <c r="CJ138" s="17"/>
      <c r="CK138" s="17"/>
      <c r="CL138" s="17"/>
      <c r="CM138" s="17"/>
      <c r="CN138" s="17"/>
      <c r="CO138" s="17"/>
      <c r="CP138" s="17"/>
      <c r="CQ138" s="17"/>
      <c r="CR138" s="17"/>
      <c r="CS138" s="17"/>
      <c r="CT138" s="17"/>
      <c r="CU138" s="17"/>
      <c r="CV138" s="17"/>
    </row>
    <row r="139" spans="1:100" x14ac:dyDescent="0.35">
      <c r="A139">
        <v>3</v>
      </c>
      <c r="B139" s="9" t="s">
        <v>471</v>
      </c>
      <c r="C139" t="s">
        <v>230</v>
      </c>
      <c r="D139" t="s">
        <v>322</v>
      </c>
      <c r="E139" t="s">
        <v>124</v>
      </c>
      <c r="F139" s="17">
        <v>0</v>
      </c>
      <c r="G139" s="17">
        <v>1</v>
      </c>
      <c r="H139" s="17">
        <v>1</v>
      </c>
      <c r="I139" s="17">
        <v>1</v>
      </c>
      <c r="J139" s="17">
        <v>1</v>
      </c>
      <c r="K139" s="17">
        <v>1</v>
      </c>
      <c r="L139" s="17">
        <v>1</v>
      </c>
      <c r="M139" s="17">
        <v>1</v>
      </c>
      <c r="N139" s="17">
        <v>1</v>
      </c>
      <c r="O139" s="17">
        <v>1</v>
      </c>
      <c r="P139" s="17">
        <v>1</v>
      </c>
      <c r="Q139" s="17">
        <v>1</v>
      </c>
      <c r="R139" s="17">
        <v>1</v>
      </c>
      <c r="S139" s="17">
        <v>1</v>
      </c>
      <c r="T139" s="17">
        <v>1</v>
      </c>
      <c r="U139" s="17">
        <v>1</v>
      </c>
      <c r="V139" s="17">
        <v>1</v>
      </c>
      <c r="W139" s="17">
        <v>1</v>
      </c>
      <c r="X139" s="17">
        <v>1</v>
      </c>
      <c r="Y139" s="17">
        <v>1</v>
      </c>
      <c r="Z139" s="17">
        <v>1</v>
      </c>
      <c r="AA139" s="17">
        <v>1</v>
      </c>
      <c r="AB139" s="17">
        <v>1</v>
      </c>
      <c r="AC139" s="17">
        <v>1</v>
      </c>
      <c r="AD139" s="17">
        <v>1</v>
      </c>
      <c r="AE139" s="17">
        <v>1</v>
      </c>
      <c r="AF139" s="17">
        <v>1</v>
      </c>
      <c r="AG139" s="17">
        <v>1</v>
      </c>
      <c r="AH139" s="17">
        <v>1</v>
      </c>
      <c r="AI139" s="17">
        <v>1</v>
      </c>
      <c r="AJ139" s="17">
        <v>1</v>
      </c>
      <c r="AK139" s="17">
        <v>1</v>
      </c>
      <c r="AL139" s="17">
        <v>1</v>
      </c>
      <c r="AM139" s="17">
        <v>1</v>
      </c>
      <c r="AN139" s="17">
        <v>1</v>
      </c>
      <c r="AO139" s="17"/>
      <c r="AP139" s="17"/>
      <c r="AQ139" s="17"/>
      <c r="AR139" s="17"/>
      <c r="AS139" s="17"/>
      <c r="AT139" s="17"/>
      <c r="AU139" s="17"/>
      <c r="AV139" s="17"/>
      <c r="AW139" s="17"/>
      <c r="AX139" s="17"/>
      <c r="AY139" s="17"/>
      <c r="AZ139" s="17"/>
      <c r="BA139" s="17"/>
      <c r="BB139" s="17"/>
      <c r="BC139" s="17"/>
      <c r="BD139" s="17"/>
      <c r="BE139" s="17"/>
      <c r="BF139" s="17"/>
      <c r="BG139" s="17"/>
      <c r="BH139" s="17"/>
      <c r="BI139" s="17"/>
      <c r="BJ139" s="17"/>
      <c r="BK139" s="17"/>
      <c r="BL139" s="17"/>
      <c r="BM139" s="17"/>
      <c r="BN139" s="17"/>
      <c r="BO139" s="17"/>
      <c r="BP139" s="17"/>
      <c r="BQ139" s="17"/>
      <c r="BR139" s="17"/>
      <c r="BS139" s="17"/>
      <c r="BT139" s="17"/>
      <c r="BU139" s="17"/>
      <c r="BV139" s="17"/>
      <c r="BW139" s="17"/>
      <c r="BX139" s="17"/>
      <c r="BY139" s="17"/>
      <c r="BZ139" s="17"/>
      <c r="CA139" s="17"/>
      <c r="CB139" s="17"/>
      <c r="CC139" s="17"/>
      <c r="CD139" s="17"/>
      <c r="CE139" s="17"/>
      <c r="CF139" s="17"/>
      <c r="CG139" s="17"/>
      <c r="CH139" s="17"/>
      <c r="CI139" s="17"/>
      <c r="CJ139" s="17"/>
      <c r="CK139" s="17"/>
      <c r="CL139" s="17"/>
      <c r="CM139" s="17"/>
      <c r="CN139" s="17"/>
      <c r="CO139" s="17"/>
      <c r="CP139" s="17"/>
      <c r="CQ139" s="17"/>
      <c r="CR139" s="17"/>
      <c r="CS139" s="17"/>
      <c r="CT139" s="17"/>
      <c r="CU139" s="17"/>
      <c r="CV139" s="17"/>
    </row>
    <row r="140" spans="1:100" x14ac:dyDescent="0.35">
      <c r="B140" s="9">
        <v>2027</v>
      </c>
      <c r="C140" t="s">
        <v>337</v>
      </c>
      <c r="D140" t="s">
        <v>323</v>
      </c>
      <c r="F140" s="17">
        <v>0</v>
      </c>
      <c r="G140" s="17">
        <v>0</v>
      </c>
      <c r="H140" s="17">
        <v>0</v>
      </c>
      <c r="I140" s="17">
        <v>0</v>
      </c>
      <c r="J140" s="17">
        <v>0</v>
      </c>
      <c r="K140" s="17">
        <v>0</v>
      </c>
      <c r="L140" s="17">
        <v>0</v>
      </c>
      <c r="M140" s="17">
        <v>0</v>
      </c>
      <c r="N140" s="17">
        <v>0</v>
      </c>
      <c r="O140" s="17">
        <v>0</v>
      </c>
      <c r="P140" s="17">
        <v>0</v>
      </c>
      <c r="Q140" s="17">
        <v>0</v>
      </c>
      <c r="R140" s="17">
        <v>0</v>
      </c>
      <c r="S140" s="17">
        <v>0</v>
      </c>
      <c r="T140" s="17">
        <v>0</v>
      </c>
      <c r="U140" s="17">
        <v>0</v>
      </c>
      <c r="V140" s="17">
        <v>0</v>
      </c>
      <c r="W140" s="17">
        <v>0</v>
      </c>
      <c r="X140" s="17">
        <v>0</v>
      </c>
      <c r="Y140" s="17">
        <v>0</v>
      </c>
      <c r="Z140" s="17">
        <v>0</v>
      </c>
      <c r="AA140" s="17">
        <v>0</v>
      </c>
      <c r="AB140" s="17">
        <v>0</v>
      </c>
      <c r="AC140" s="17">
        <v>0</v>
      </c>
      <c r="AD140" s="17">
        <v>0</v>
      </c>
      <c r="AE140" s="17">
        <v>0</v>
      </c>
      <c r="AF140" s="17">
        <v>0</v>
      </c>
      <c r="AG140" s="17">
        <v>0</v>
      </c>
      <c r="AH140" s="17">
        <v>0</v>
      </c>
      <c r="AI140" s="17">
        <v>0</v>
      </c>
      <c r="AJ140" s="17">
        <v>0</v>
      </c>
      <c r="AK140" s="17">
        <v>0</v>
      </c>
      <c r="AL140" s="17">
        <v>0</v>
      </c>
      <c r="AM140" s="17">
        <v>0</v>
      </c>
      <c r="AN140" s="17">
        <v>0</v>
      </c>
      <c r="AO140" s="17"/>
      <c r="AP140" s="17"/>
      <c r="AQ140" s="17"/>
      <c r="AR140" s="17"/>
      <c r="AS140" s="17"/>
      <c r="AT140" s="17"/>
      <c r="AU140" s="17"/>
      <c r="AV140" s="17"/>
      <c r="AW140" s="17"/>
      <c r="AX140" s="17"/>
      <c r="AY140" s="17"/>
      <c r="AZ140" s="17"/>
      <c r="BA140" s="17"/>
      <c r="BB140" s="17"/>
      <c r="BC140" s="17"/>
      <c r="BD140" s="17"/>
      <c r="BE140" s="17"/>
      <c r="BF140" s="17"/>
      <c r="BG140" s="17"/>
      <c r="BH140" s="17"/>
      <c r="BI140" s="17"/>
      <c r="BJ140" s="17"/>
      <c r="BK140" s="17"/>
      <c r="BL140" s="17"/>
      <c r="BM140" s="17"/>
      <c r="BN140" s="17"/>
      <c r="BO140" s="17"/>
      <c r="BP140" s="17"/>
      <c r="BQ140" s="17"/>
      <c r="BR140" s="17"/>
      <c r="BS140" s="17"/>
      <c r="BT140" s="17"/>
      <c r="BU140" s="17"/>
      <c r="BV140" s="17"/>
      <c r="BW140" s="17"/>
      <c r="BX140" s="17"/>
      <c r="BY140" s="17"/>
      <c r="BZ140" s="17"/>
      <c r="CA140" s="17"/>
      <c r="CB140" s="17"/>
      <c r="CC140" s="17"/>
      <c r="CD140" s="17"/>
      <c r="CE140" s="17"/>
      <c r="CF140" s="17"/>
      <c r="CG140" s="17"/>
      <c r="CH140" s="17"/>
      <c r="CI140" s="17"/>
      <c r="CJ140" s="17"/>
      <c r="CK140" s="17"/>
      <c r="CL140" s="17"/>
      <c r="CM140" s="17"/>
      <c r="CN140" s="17"/>
      <c r="CO140" s="17"/>
      <c r="CP140" s="17"/>
      <c r="CQ140" s="17"/>
      <c r="CR140" s="17"/>
      <c r="CS140" s="17"/>
      <c r="CT140" s="17"/>
      <c r="CU140" s="17"/>
      <c r="CV140" s="17"/>
    </row>
    <row r="141" spans="1:100" x14ac:dyDescent="0.35">
      <c r="B141" s="9" t="s">
        <v>77</v>
      </c>
      <c r="C141" t="s">
        <v>230</v>
      </c>
      <c r="D141" t="s">
        <v>324</v>
      </c>
      <c r="F141" s="17">
        <v>0</v>
      </c>
      <c r="G141" s="17">
        <v>0.99829000000000001</v>
      </c>
      <c r="H141" s="17">
        <v>0.99783999999999995</v>
      </c>
      <c r="I141" s="17">
        <v>1.0063899999999999</v>
      </c>
      <c r="J141" s="17">
        <v>1.0033300000000001</v>
      </c>
      <c r="K141" s="17">
        <v>0.99428000000000005</v>
      </c>
      <c r="L141" s="17">
        <v>1.00098</v>
      </c>
      <c r="M141" s="17">
        <v>1.00393</v>
      </c>
      <c r="N141" s="17">
        <v>0.99480999999999997</v>
      </c>
      <c r="O141" s="17">
        <v>1.0018199999999999</v>
      </c>
      <c r="P141" s="17">
        <v>1.0021100000000001</v>
      </c>
      <c r="Q141" s="17">
        <v>1.00071</v>
      </c>
      <c r="R141" s="17">
        <v>1.0029300000000001</v>
      </c>
      <c r="S141" s="17">
        <v>1.0015000000000001</v>
      </c>
      <c r="T141" s="17">
        <v>0.99736000000000002</v>
      </c>
      <c r="U141" s="17">
        <v>0.99751000000000001</v>
      </c>
      <c r="V141" s="17">
        <v>0.99863999999999997</v>
      </c>
      <c r="W141" s="17">
        <v>0.99858000000000002</v>
      </c>
      <c r="X141" s="17">
        <v>1.0010300000000001</v>
      </c>
      <c r="Y141" s="17">
        <v>0.99855000000000005</v>
      </c>
      <c r="Z141" s="17">
        <v>0.99800999999999995</v>
      </c>
      <c r="AA141" s="17">
        <v>0.99692000000000003</v>
      </c>
      <c r="AB141" s="17">
        <v>1.00048</v>
      </c>
      <c r="AC141" s="17">
        <v>0.99634</v>
      </c>
      <c r="AD141" s="17">
        <v>0.99711000000000005</v>
      </c>
      <c r="AE141" s="17">
        <v>0.99802999999999997</v>
      </c>
      <c r="AF141" s="17">
        <v>1.0039199999999999</v>
      </c>
      <c r="AG141" s="17">
        <v>0.99536999999999998</v>
      </c>
      <c r="AH141" s="17">
        <v>0.99321999999999999</v>
      </c>
      <c r="AI141" s="17">
        <v>0.99746999999999997</v>
      </c>
      <c r="AJ141" s="17">
        <v>1.0004</v>
      </c>
      <c r="AK141" s="17">
        <v>0.99578</v>
      </c>
      <c r="AL141" s="17">
        <v>1.0034000000000001</v>
      </c>
      <c r="AM141" s="17">
        <v>0.99917</v>
      </c>
      <c r="AN141" s="17">
        <v>0.99390000000000001</v>
      </c>
      <c r="AO141" s="17"/>
      <c r="AP141" s="17"/>
      <c r="AQ141" s="17"/>
      <c r="AR141" s="17"/>
      <c r="AS141" s="17"/>
      <c r="AT141" s="17"/>
      <c r="AU141" s="17"/>
      <c r="AV141" s="17"/>
      <c r="AW141" s="17"/>
      <c r="AX141" s="17"/>
      <c r="AY141" s="17"/>
      <c r="AZ141" s="17"/>
      <c r="BA141" s="17"/>
      <c r="BB141" s="17"/>
      <c r="BC141" s="17"/>
      <c r="BD141" s="17"/>
      <c r="BE141" s="17"/>
      <c r="BF141" s="17"/>
      <c r="BG141" s="17"/>
      <c r="BH141" s="17"/>
      <c r="BI141" s="17"/>
      <c r="BJ141" s="17"/>
      <c r="BK141" s="17"/>
      <c r="BL141" s="17"/>
      <c r="BM141" s="17"/>
      <c r="BN141" s="17"/>
      <c r="BO141" s="17"/>
      <c r="BP141" s="17"/>
      <c r="BQ141" s="17"/>
      <c r="BR141" s="17"/>
      <c r="BS141" s="17"/>
      <c r="BT141" s="17"/>
      <c r="BU141" s="17"/>
      <c r="BV141" s="17"/>
      <c r="BW141" s="17"/>
      <c r="BX141" s="17"/>
      <c r="BY141" s="17"/>
      <c r="BZ141" s="17"/>
      <c r="CA141" s="17"/>
      <c r="CB141" s="17"/>
      <c r="CC141" s="17"/>
      <c r="CD141" s="17"/>
      <c r="CE141" s="17"/>
      <c r="CF141" s="17"/>
      <c r="CG141" s="17"/>
      <c r="CH141" s="17"/>
      <c r="CI141" s="17"/>
      <c r="CJ141" s="17"/>
      <c r="CK141" s="17"/>
      <c r="CL141" s="17"/>
      <c r="CM141" s="17"/>
      <c r="CN141" s="17"/>
      <c r="CO141" s="17"/>
      <c r="CP141" s="17"/>
      <c r="CQ141" s="17"/>
      <c r="CR141" s="17"/>
      <c r="CS141" s="17"/>
      <c r="CT141" s="17"/>
      <c r="CU141" s="17"/>
      <c r="CV141" s="17"/>
    </row>
    <row r="142" spans="1:100" x14ac:dyDescent="0.35">
      <c r="B142" s="9" t="s">
        <v>462</v>
      </c>
      <c r="C142" t="s">
        <v>230</v>
      </c>
      <c r="D142" t="s">
        <v>325</v>
      </c>
      <c r="E142" t="s">
        <v>326</v>
      </c>
      <c r="F142" s="17">
        <v>0</v>
      </c>
      <c r="G142" s="17">
        <v>1</v>
      </c>
      <c r="H142" s="17">
        <v>1</v>
      </c>
      <c r="I142" s="17">
        <v>1</v>
      </c>
      <c r="J142" s="17">
        <v>1</v>
      </c>
      <c r="K142" s="17">
        <v>1</v>
      </c>
      <c r="L142" s="17">
        <v>1</v>
      </c>
      <c r="M142" s="17">
        <v>1</v>
      </c>
      <c r="N142" s="17">
        <v>1</v>
      </c>
      <c r="O142" s="17">
        <v>1</v>
      </c>
      <c r="P142" s="17">
        <v>1</v>
      </c>
      <c r="Q142" s="17">
        <v>1</v>
      </c>
      <c r="R142" s="17">
        <v>1</v>
      </c>
      <c r="S142" s="17">
        <v>1</v>
      </c>
      <c r="T142" s="17">
        <v>1</v>
      </c>
      <c r="U142" s="17">
        <v>1</v>
      </c>
      <c r="V142" s="17">
        <v>1</v>
      </c>
      <c r="W142" s="17">
        <v>1</v>
      </c>
      <c r="X142" s="17">
        <v>1</v>
      </c>
      <c r="Y142" s="17">
        <v>1</v>
      </c>
      <c r="Z142" s="17">
        <v>1</v>
      </c>
      <c r="AA142" s="17">
        <v>1</v>
      </c>
      <c r="AB142" s="17">
        <v>1</v>
      </c>
      <c r="AC142" s="17">
        <v>1</v>
      </c>
      <c r="AD142" s="17">
        <v>1</v>
      </c>
      <c r="AE142" s="17">
        <v>1</v>
      </c>
      <c r="AF142" s="17">
        <v>1</v>
      </c>
      <c r="AG142" s="17">
        <v>1</v>
      </c>
      <c r="AH142" s="17">
        <v>1</v>
      </c>
      <c r="AI142" s="17">
        <v>1</v>
      </c>
      <c r="AJ142" s="17">
        <v>1</v>
      </c>
      <c r="AK142" s="17">
        <v>1</v>
      </c>
      <c r="AL142" s="17">
        <v>1</v>
      </c>
      <c r="AM142" s="17">
        <v>1</v>
      </c>
      <c r="AN142" s="17">
        <v>1</v>
      </c>
      <c r="AO142" s="17"/>
      <c r="AP142" s="17"/>
      <c r="AQ142" s="17"/>
      <c r="AR142" s="17"/>
      <c r="AS142" s="17"/>
      <c r="AT142" s="17"/>
      <c r="AU142" s="17"/>
      <c r="AV142" s="17"/>
      <c r="AW142" s="17"/>
      <c r="AX142" s="17"/>
      <c r="AY142" s="17"/>
      <c r="AZ142" s="17"/>
      <c r="BA142" s="17"/>
      <c r="BB142" s="17"/>
      <c r="BC142" s="17"/>
      <c r="BD142" s="17"/>
      <c r="BE142" s="17"/>
      <c r="BF142" s="17"/>
      <c r="BG142" s="17"/>
      <c r="BH142" s="17"/>
      <c r="BI142" s="17"/>
      <c r="BJ142" s="17"/>
      <c r="BK142" s="17"/>
      <c r="BL142" s="17"/>
      <c r="BM142" s="17"/>
      <c r="BN142" s="17"/>
      <c r="BO142" s="17"/>
      <c r="BP142" s="17"/>
      <c r="BQ142" s="17"/>
      <c r="BR142" s="17"/>
      <c r="BS142" s="17"/>
      <c r="BT142" s="17"/>
      <c r="BU142" s="17"/>
      <c r="BV142" s="17"/>
      <c r="BW142" s="17"/>
      <c r="BX142" s="17"/>
      <c r="BY142" s="17"/>
      <c r="BZ142" s="17"/>
      <c r="CA142" s="17"/>
      <c r="CB142" s="17"/>
      <c r="CC142" s="17"/>
      <c r="CD142" s="17"/>
      <c r="CE142" s="17"/>
      <c r="CF142" s="17"/>
      <c r="CG142" s="17"/>
      <c r="CH142" s="17"/>
      <c r="CI142" s="17"/>
      <c r="CJ142" s="17"/>
      <c r="CK142" s="17"/>
      <c r="CL142" s="17"/>
      <c r="CM142" s="17"/>
      <c r="CN142" s="17"/>
      <c r="CO142" s="17"/>
      <c r="CP142" s="17"/>
      <c r="CQ142" s="17"/>
      <c r="CR142" s="17"/>
      <c r="CS142" s="17"/>
      <c r="CT142" s="17"/>
      <c r="CU142" s="17"/>
      <c r="CV142" s="17"/>
    </row>
    <row r="143" spans="1:100" x14ac:dyDescent="0.35">
      <c r="B143" s="9" t="s">
        <v>444</v>
      </c>
      <c r="C143" t="s">
        <v>230</v>
      </c>
      <c r="D143" t="s">
        <v>327</v>
      </c>
      <c r="E143" t="s">
        <v>326</v>
      </c>
      <c r="F143" s="17">
        <v>0</v>
      </c>
      <c r="G143" s="17">
        <v>1</v>
      </c>
      <c r="H143" s="17">
        <v>1</v>
      </c>
      <c r="I143" s="17">
        <v>1</v>
      </c>
      <c r="J143" s="17">
        <v>1</v>
      </c>
      <c r="K143" s="17">
        <v>1</v>
      </c>
      <c r="L143" s="17">
        <v>1</v>
      </c>
      <c r="M143" s="17">
        <v>1</v>
      </c>
      <c r="N143" s="17">
        <v>1</v>
      </c>
      <c r="O143" s="17">
        <v>1</v>
      </c>
      <c r="P143" s="17">
        <v>1</v>
      </c>
      <c r="Q143" s="17">
        <v>1</v>
      </c>
      <c r="R143" s="17">
        <v>1</v>
      </c>
      <c r="S143" s="17">
        <v>1</v>
      </c>
      <c r="T143" s="17">
        <v>1</v>
      </c>
      <c r="U143" s="17">
        <v>1</v>
      </c>
      <c r="V143" s="17">
        <v>1</v>
      </c>
      <c r="W143" s="17">
        <v>1</v>
      </c>
      <c r="X143" s="17">
        <v>1</v>
      </c>
      <c r="Y143" s="17">
        <v>1</v>
      </c>
      <c r="Z143" s="17">
        <v>1</v>
      </c>
      <c r="AA143" s="17">
        <v>1</v>
      </c>
      <c r="AB143" s="17">
        <v>1</v>
      </c>
      <c r="AC143" s="17">
        <v>1</v>
      </c>
      <c r="AD143" s="17">
        <v>1</v>
      </c>
      <c r="AE143" s="17">
        <v>1</v>
      </c>
      <c r="AF143" s="17">
        <v>1</v>
      </c>
      <c r="AG143" s="17">
        <v>1</v>
      </c>
      <c r="AH143" s="17">
        <v>1</v>
      </c>
      <c r="AI143" s="17">
        <v>1</v>
      </c>
      <c r="AJ143" s="17">
        <v>1</v>
      </c>
      <c r="AK143" s="17">
        <v>1</v>
      </c>
      <c r="AL143" s="17">
        <v>1</v>
      </c>
      <c r="AM143" s="17">
        <v>1</v>
      </c>
      <c r="AN143" s="17">
        <v>1</v>
      </c>
      <c r="AO143" s="17"/>
      <c r="AP143" s="17"/>
      <c r="AQ143" s="17"/>
      <c r="AR143" s="17"/>
      <c r="AS143" s="17"/>
      <c r="AT143" s="17"/>
      <c r="AU143" s="17"/>
      <c r="AV143" s="17"/>
      <c r="AW143" s="17"/>
      <c r="AX143" s="17"/>
      <c r="AY143" s="17"/>
      <c r="AZ143" s="17"/>
      <c r="BA143" s="17"/>
      <c r="BB143" s="17"/>
      <c r="BC143" s="17"/>
      <c r="BD143" s="17"/>
      <c r="BE143" s="17"/>
      <c r="BF143" s="17"/>
      <c r="BG143" s="17"/>
      <c r="BH143" s="17"/>
      <c r="BI143" s="17"/>
      <c r="BJ143" s="17"/>
      <c r="BK143" s="17"/>
      <c r="BL143" s="17"/>
      <c r="BM143" s="17"/>
      <c r="BN143" s="17"/>
      <c r="BO143" s="17"/>
      <c r="BP143" s="17"/>
      <c r="BQ143" s="17"/>
      <c r="BR143" s="17"/>
      <c r="BS143" s="17"/>
      <c r="BT143" s="17"/>
      <c r="BU143" s="17"/>
      <c r="BV143" s="17"/>
      <c r="BW143" s="17"/>
      <c r="BX143" s="17"/>
      <c r="BY143" s="17"/>
      <c r="BZ143" s="17"/>
      <c r="CA143" s="17"/>
      <c r="CB143" s="17"/>
      <c r="CC143" s="17"/>
      <c r="CD143" s="17"/>
      <c r="CE143" s="17"/>
      <c r="CF143" s="17"/>
      <c r="CG143" s="17"/>
      <c r="CH143" s="17"/>
      <c r="CI143" s="17"/>
      <c r="CJ143" s="17"/>
      <c r="CK143" s="17"/>
      <c r="CL143" s="17"/>
      <c r="CM143" s="17"/>
      <c r="CN143" s="17"/>
      <c r="CO143" s="17"/>
      <c r="CP143" s="17"/>
      <c r="CQ143" s="17"/>
      <c r="CR143" s="17"/>
      <c r="CS143" s="17"/>
      <c r="CT143" s="17"/>
      <c r="CU143" s="17"/>
      <c r="CV143" s="17"/>
    </row>
    <row r="144" spans="1:100" x14ac:dyDescent="0.35">
      <c r="B144" s="9" t="s">
        <v>144</v>
      </c>
      <c r="C144" t="s">
        <v>338</v>
      </c>
      <c r="D144" t="s">
        <v>328</v>
      </c>
      <c r="E144" t="s">
        <v>217</v>
      </c>
      <c r="F144" s="17">
        <v>0</v>
      </c>
      <c r="G144" s="17">
        <v>762.0453</v>
      </c>
      <c r="H144" s="17">
        <v>816.40827999999999</v>
      </c>
      <c r="I144" s="17">
        <v>794.37258999999995</v>
      </c>
      <c r="J144" s="17">
        <v>776.78475000000003</v>
      </c>
      <c r="K144" s="17">
        <v>797.56303000000003</v>
      </c>
      <c r="L144" s="17">
        <v>780.25975000000005</v>
      </c>
      <c r="M144" s="17">
        <v>771.1001</v>
      </c>
      <c r="N144" s="17">
        <v>722.37918000000002</v>
      </c>
      <c r="O144" s="17">
        <v>717.44698000000005</v>
      </c>
      <c r="P144" s="17">
        <v>698.21403999999995</v>
      </c>
      <c r="Q144" s="17">
        <v>734.33636999999999</v>
      </c>
      <c r="R144" s="17">
        <v>697.38581999999997</v>
      </c>
      <c r="S144" s="17">
        <v>685.40408000000002</v>
      </c>
      <c r="T144" s="17">
        <v>678.10680000000002</v>
      </c>
      <c r="U144" s="17">
        <v>666.14682000000005</v>
      </c>
      <c r="V144" s="17">
        <v>661.94752000000005</v>
      </c>
      <c r="W144" s="17">
        <v>658.98675000000003</v>
      </c>
      <c r="X144" s="17">
        <v>644.47261000000003</v>
      </c>
      <c r="Y144" s="17">
        <v>632.89637000000005</v>
      </c>
      <c r="Z144" s="17">
        <v>612.38257999999996</v>
      </c>
      <c r="AA144" s="17">
        <v>613.56619999999998</v>
      </c>
      <c r="AB144" s="17">
        <v>624.05766000000006</v>
      </c>
      <c r="AC144" s="17">
        <v>617.30246999999997</v>
      </c>
      <c r="AD144" s="17">
        <v>610.76320999999996</v>
      </c>
      <c r="AE144" s="17">
        <v>606.70752000000005</v>
      </c>
      <c r="AF144" s="17">
        <v>600.92745000000002</v>
      </c>
      <c r="AG144" s="17">
        <v>605.45735000000002</v>
      </c>
      <c r="AH144" s="17">
        <v>610.26112999999998</v>
      </c>
      <c r="AI144" s="17">
        <v>619.54123000000004</v>
      </c>
      <c r="AJ144" s="17">
        <v>621.20929999999998</v>
      </c>
      <c r="AK144" s="17">
        <v>619.67038000000002</v>
      </c>
      <c r="AL144" s="17">
        <v>629.39693</v>
      </c>
      <c r="AM144" s="17">
        <v>622.99828000000002</v>
      </c>
      <c r="AN144" s="17">
        <v>623.65193999999997</v>
      </c>
      <c r="AO144" s="17"/>
      <c r="AP144" s="17"/>
      <c r="AQ144" s="17"/>
      <c r="AR144" s="17"/>
      <c r="AS144" s="17"/>
      <c r="AT144" s="17"/>
      <c r="AU144" s="17"/>
      <c r="AV144" s="17"/>
      <c r="AW144" s="17"/>
      <c r="AX144" s="17"/>
      <c r="AY144" s="17"/>
      <c r="AZ144" s="17"/>
      <c r="BA144" s="17"/>
      <c r="BB144" s="17"/>
      <c r="BC144" s="17"/>
      <c r="BD144" s="17"/>
      <c r="BE144" s="17"/>
      <c r="BF144" s="17"/>
      <c r="BG144" s="17"/>
      <c r="BH144" s="17"/>
      <c r="BI144" s="17"/>
      <c r="BJ144" s="17"/>
      <c r="BK144" s="17"/>
      <c r="BL144" s="17"/>
      <c r="BM144" s="17"/>
      <c r="BN144" s="17"/>
      <c r="BO144" s="17"/>
      <c r="BP144" s="17"/>
      <c r="BQ144" s="17"/>
      <c r="BR144" s="17"/>
      <c r="BS144" s="17"/>
      <c r="BT144" s="17"/>
      <c r="BU144" s="17"/>
      <c r="BV144" s="17"/>
      <c r="BW144" s="17"/>
      <c r="BX144" s="17"/>
      <c r="BY144" s="17"/>
      <c r="BZ144" s="17"/>
      <c r="CA144" s="17"/>
      <c r="CB144" s="17"/>
      <c r="CC144" s="17"/>
      <c r="CD144" s="17"/>
      <c r="CE144" s="17"/>
      <c r="CF144" s="17"/>
      <c r="CG144" s="17"/>
      <c r="CH144" s="17"/>
      <c r="CI144" s="17"/>
      <c r="CJ144" s="17"/>
      <c r="CK144" s="17"/>
      <c r="CL144" s="17"/>
      <c r="CM144" s="17"/>
      <c r="CN144" s="17"/>
      <c r="CO144" s="17"/>
      <c r="CP144" s="17"/>
      <c r="CQ144" s="17"/>
      <c r="CR144" s="17"/>
      <c r="CS144" s="17"/>
      <c r="CT144" s="17"/>
      <c r="CU144" s="17"/>
      <c r="CV144" s="17"/>
    </row>
    <row r="145" spans="2:100" x14ac:dyDescent="0.35">
      <c r="B145" s="9"/>
      <c r="C145" t="s">
        <v>230</v>
      </c>
      <c r="D145" t="s">
        <v>329</v>
      </c>
      <c r="E145" t="s">
        <v>217</v>
      </c>
      <c r="F145" s="17">
        <v>0</v>
      </c>
      <c r="G145" s="17">
        <v>-102.15989999999999</v>
      </c>
      <c r="H145" s="17">
        <v>-115.81659000000001</v>
      </c>
      <c r="I145" s="17">
        <v>-90.968590000000006</v>
      </c>
      <c r="J145" s="17">
        <v>-81.804239999999993</v>
      </c>
      <c r="K145" s="17">
        <v>-67.152850000000001</v>
      </c>
      <c r="L145" s="17">
        <v>-48.952100000000002</v>
      </c>
      <c r="M145" s="17">
        <v>-40.57179</v>
      </c>
      <c r="N145" s="17">
        <v>-29.00198</v>
      </c>
      <c r="O145" s="17">
        <v>-22.52139</v>
      </c>
      <c r="P145" s="17">
        <v>-17.815169999999998</v>
      </c>
      <c r="Q145" s="17">
        <v>-15.495620000000001</v>
      </c>
      <c r="R145" s="17">
        <v>-15.03762</v>
      </c>
      <c r="S145" s="17">
        <v>-12.377409999999999</v>
      </c>
      <c r="T145" s="17">
        <v>-9.9035200000000003</v>
      </c>
      <c r="U145" s="17">
        <v>-9.4738799999999994</v>
      </c>
      <c r="V145" s="17">
        <v>-9.8046600000000002</v>
      </c>
      <c r="W145" s="17">
        <v>-14.77882</v>
      </c>
      <c r="X145" s="17">
        <v>-12.714560000000001</v>
      </c>
      <c r="Y145" s="17">
        <v>-10.67506</v>
      </c>
      <c r="Z145" s="17">
        <v>-8.9863199999999992</v>
      </c>
      <c r="AA145" s="17">
        <v>-6.4890499999999998</v>
      </c>
      <c r="AB145" s="17">
        <v>-6.1105600000000004</v>
      </c>
      <c r="AC145" s="17">
        <v>-5.6360200000000003</v>
      </c>
      <c r="AD145" s="17">
        <v>-5.2355999999999998</v>
      </c>
      <c r="AE145" s="17">
        <v>-4.7424600000000003</v>
      </c>
      <c r="AF145" s="17">
        <v>-4.0094399999999997</v>
      </c>
      <c r="AG145" s="17">
        <v>-4.9090800000000003</v>
      </c>
      <c r="AH145" s="17">
        <v>-5.3189399999999996</v>
      </c>
      <c r="AI145" s="17">
        <v>-3.08026</v>
      </c>
      <c r="AJ145" s="17">
        <v>-3.2682199999999999</v>
      </c>
      <c r="AK145" s="17">
        <v>-4.8814599999999997</v>
      </c>
      <c r="AL145" s="17">
        <v>-7.9401299999999999</v>
      </c>
      <c r="AM145" s="17">
        <v>-7.9001299999999999</v>
      </c>
      <c r="AN145" s="17">
        <v>-6.7785200000000003</v>
      </c>
      <c r="AO145" s="17"/>
      <c r="AP145" s="17"/>
      <c r="AQ145" s="17"/>
      <c r="AR145" s="17"/>
      <c r="AS145" s="17"/>
      <c r="AT145" s="17"/>
      <c r="AU145" s="17"/>
      <c r="AV145" s="17"/>
      <c r="AW145" s="17"/>
      <c r="AX145" s="17"/>
      <c r="AY145" s="17"/>
      <c r="AZ145" s="17"/>
      <c r="BA145" s="17"/>
      <c r="BB145" s="17"/>
      <c r="BC145" s="17"/>
      <c r="BD145" s="17"/>
      <c r="BE145" s="17"/>
      <c r="BF145" s="17"/>
      <c r="BG145" s="17"/>
      <c r="BH145" s="17"/>
      <c r="BI145" s="17"/>
      <c r="BJ145" s="17"/>
      <c r="BK145" s="17"/>
      <c r="BL145" s="17"/>
      <c r="BM145" s="17"/>
      <c r="BN145" s="17"/>
      <c r="BO145" s="17"/>
      <c r="BP145" s="17"/>
      <c r="BQ145" s="17"/>
      <c r="BR145" s="17"/>
      <c r="BS145" s="17"/>
      <c r="BT145" s="17"/>
      <c r="BU145" s="17"/>
      <c r="BV145" s="17"/>
      <c r="BW145" s="17"/>
      <c r="BX145" s="17"/>
      <c r="BY145" s="17"/>
      <c r="BZ145" s="17"/>
      <c r="CA145" s="17"/>
      <c r="CB145" s="17"/>
      <c r="CC145" s="17"/>
      <c r="CD145" s="17"/>
      <c r="CE145" s="17"/>
      <c r="CF145" s="17"/>
      <c r="CG145" s="17"/>
      <c r="CH145" s="17"/>
      <c r="CI145" s="17"/>
      <c r="CJ145" s="17"/>
      <c r="CK145" s="17"/>
      <c r="CL145" s="17"/>
      <c r="CM145" s="17"/>
      <c r="CN145" s="17"/>
      <c r="CO145" s="17"/>
      <c r="CP145" s="17"/>
      <c r="CQ145" s="17"/>
      <c r="CR145" s="17"/>
      <c r="CS145" s="17"/>
      <c r="CT145" s="17"/>
      <c r="CU145" s="17"/>
      <c r="CV145" s="17"/>
    </row>
    <row r="146" spans="2:100" x14ac:dyDescent="0.35">
      <c r="B146" s="9"/>
      <c r="C146" t="s">
        <v>230</v>
      </c>
      <c r="D146" t="s">
        <v>330</v>
      </c>
      <c r="E146" t="s">
        <v>217</v>
      </c>
      <c r="F146" s="17">
        <v>0</v>
      </c>
      <c r="G146" s="17">
        <v>223.32122000000001</v>
      </c>
      <c r="H146" s="17">
        <v>249.90263999999999</v>
      </c>
      <c r="I146" s="17">
        <v>298.64958999999999</v>
      </c>
      <c r="J146" s="17">
        <v>324.02364999999998</v>
      </c>
      <c r="K146" s="17">
        <v>349.45879000000002</v>
      </c>
      <c r="L146" s="17">
        <v>326.86739</v>
      </c>
      <c r="M146" s="17">
        <v>377.86451</v>
      </c>
      <c r="N146" s="17">
        <v>392.25893000000002</v>
      </c>
      <c r="O146" s="17">
        <v>356.86061999999998</v>
      </c>
      <c r="P146" s="17">
        <v>411.69054999999997</v>
      </c>
      <c r="Q146" s="17">
        <v>408.19533999999999</v>
      </c>
      <c r="R146" s="17">
        <v>417.33096999999998</v>
      </c>
      <c r="S146" s="17">
        <v>413.01722000000001</v>
      </c>
      <c r="T146" s="17">
        <v>399.07798000000003</v>
      </c>
      <c r="U146" s="17">
        <v>420.01101</v>
      </c>
      <c r="V146" s="17">
        <v>413.34498000000002</v>
      </c>
      <c r="W146" s="17">
        <v>429.31905</v>
      </c>
      <c r="X146" s="17">
        <v>427.85066</v>
      </c>
      <c r="Y146" s="17">
        <v>427.09899000000001</v>
      </c>
      <c r="Z146" s="17">
        <v>419.98822000000001</v>
      </c>
      <c r="AA146" s="17">
        <v>433.62126999999998</v>
      </c>
      <c r="AB146" s="17">
        <v>418.39272</v>
      </c>
      <c r="AC146" s="17">
        <v>423.00547</v>
      </c>
      <c r="AD146" s="17">
        <v>418.44824999999997</v>
      </c>
      <c r="AE146" s="17">
        <v>419.89287000000002</v>
      </c>
      <c r="AF146" s="17">
        <v>411.72253000000001</v>
      </c>
      <c r="AG146" s="17">
        <v>405.12252999999998</v>
      </c>
      <c r="AH146" s="17">
        <v>399.75189999999998</v>
      </c>
      <c r="AI146" s="17">
        <v>391.34402999999998</v>
      </c>
      <c r="AJ146" s="17">
        <v>397.06407000000002</v>
      </c>
      <c r="AK146" s="17">
        <v>417.19749999999999</v>
      </c>
      <c r="AL146" s="17">
        <v>408.16161</v>
      </c>
      <c r="AM146" s="17">
        <v>393.82319999999999</v>
      </c>
      <c r="AN146" s="17">
        <v>402.52397999999999</v>
      </c>
      <c r="AO146" s="17"/>
      <c r="AP146" s="17"/>
      <c r="AQ146" s="17"/>
      <c r="AR146" s="17"/>
      <c r="AS146" s="17"/>
      <c r="AT146" s="17"/>
      <c r="AU146" s="17"/>
      <c r="AV146" s="17"/>
      <c r="AW146" s="17"/>
      <c r="AX146" s="17"/>
      <c r="AY146" s="17"/>
      <c r="AZ146" s="17"/>
      <c r="BA146" s="17"/>
      <c r="BB146" s="17"/>
      <c r="BC146" s="17"/>
      <c r="BD146" s="17"/>
      <c r="BE146" s="17"/>
      <c r="BF146" s="17"/>
      <c r="BG146" s="17"/>
      <c r="BH146" s="17"/>
      <c r="BI146" s="17"/>
      <c r="BJ146" s="17"/>
      <c r="BK146" s="17"/>
      <c r="BL146" s="17"/>
      <c r="BM146" s="17"/>
      <c r="BN146" s="17"/>
      <c r="BO146" s="17"/>
      <c r="BP146" s="17"/>
      <c r="BQ146" s="17"/>
      <c r="BR146" s="17"/>
      <c r="BS146" s="17"/>
      <c r="BT146" s="17"/>
      <c r="BU146" s="17"/>
      <c r="BV146" s="17"/>
      <c r="BW146" s="17"/>
      <c r="BX146" s="17"/>
      <c r="BY146" s="17"/>
      <c r="BZ146" s="17"/>
      <c r="CA146" s="17"/>
      <c r="CB146" s="17"/>
      <c r="CC146" s="17"/>
      <c r="CD146" s="17"/>
      <c r="CE146" s="17"/>
      <c r="CF146" s="17"/>
      <c r="CG146" s="17"/>
      <c r="CH146" s="17"/>
      <c r="CI146" s="17"/>
      <c r="CJ146" s="17"/>
      <c r="CK146" s="17"/>
      <c r="CL146" s="17"/>
      <c r="CM146" s="17"/>
      <c r="CN146" s="17"/>
      <c r="CO146" s="17"/>
      <c r="CP146" s="17"/>
      <c r="CQ146" s="17"/>
      <c r="CR146" s="17"/>
      <c r="CS146" s="17"/>
      <c r="CT146" s="17"/>
      <c r="CU146" s="17"/>
      <c r="CV146" s="17"/>
    </row>
    <row r="147" spans="2:100" x14ac:dyDescent="0.35">
      <c r="B147" s="9"/>
      <c r="C147" t="s">
        <v>230</v>
      </c>
      <c r="D147" t="s">
        <v>331</v>
      </c>
      <c r="E147" t="s">
        <v>217</v>
      </c>
      <c r="F147" s="17">
        <v>0</v>
      </c>
      <c r="G147" s="17">
        <v>-120.95484</v>
      </c>
      <c r="H147" s="17">
        <v>-132.43113</v>
      </c>
      <c r="I147" s="17">
        <v>-162.97140999999999</v>
      </c>
      <c r="J147" s="17">
        <v>-153.6369</v>
      </c>
      <c r="K147" s="17">
        <v>-147.19761</v>
      </c>
      <c r="L147" s="17">
        <v>-142.00399999999999</v>
      </c>
      <c r="M147" s="17">
        <v>-161.98454000000001</v>
      </c>
      <c r="N147" s="17">
        <v>-168.29723000000001</v>
      </c>
      <c r="O147" s="17">
        <v>-163.51707999999999</v>
      </c>
      <c r="P147" s="17">
        <v>-163.62615</v>
      </c>
      <c r="Q147" s="17">
        <v>-143.44922</v>
      </c>
      <c r="R147" s="17">
        <v>-157.19709</v>
      </c>
      <c r="S147" s="17">
        <v>-142.98820000000001</v>
      </c>
      <c r="T147" s="17">
        <v>-153.92545000000001</v>
      </c>
      <c r="U147" s="17">
        <v>-151.78282999999999</v>
      </c>
      <c r="V147" s="17">
        <v>-129.57176000000001</v>
      </c>
      <c r="W147" s="17">
        <v>-149.38897</v>
      </c>
      <c r="X147" s="17">
        <v>-144.05717999999999</v>
      </c>
      <c r="Y147" s="17">
        <v>-137.79883000000001</v>
      </c>
      <c r="Z147" s="17">
        <v>-148.14216999999999</v>
      </c>
      <c r="AA147" s="17">
        <v>-137.02343999999999</v>
      </c>
      <c r="AB147" s="17">
        <v>-128.64228</v>
      </c>
      <c r="AC147" s="17">
        <v>-138.08445</v>
      </c>
      <c r="AD147" s="17">
        <v>-131.45192</v>
      </c>
      <c r="AE147" s="17">
        <v>-132.40573000000001</v>
      </c>
      <c r="AF147" s="17">
        <v>-131.10657</v>
      </c>
      <c r="AG147" s="17">
        <v>-133.80786000000001</v>
      </c>
      <c r="AH147" s="17">
        <v>-133.61546000000001</v>
      </c>
      <c r="AI147" s="17">
        <v>-131.84305000000001</v>
      </c>
      <c r="AJ147" s="17">
        <v>-123.00163999999999</v>
      </c>
      <c r="AK147" s="17">
        <v>-123.32365</v>
      </c>
      <c r="AL147" s="17">
        <v>-138.27814000000001</v>
      </c>
      <c r="AM147" s="17">
        <v>-141.24648999999999</v>
      </c>
      <c r="AN147" s="17">
        <v>-153.98841999999999</v>
      </c>
      <c r="AO147" s="17"/>
      <c r="AP147" s="17"/>
      <c r="AQ147" s="17"/>
      <c r="AR147" s="17"/>
      <c r="AS147" s="17"/>
      <c r="AT147" s="17"/>
      <c r="AU147" s="17"/>
      <c r="AV147" s="17"/>
      <c r="AW147" s="17"/>
      <c r="AX147" s="17"/>
      <c r="AY147" s="17"/>
      <c r="AZ147" s="17"/>
      <c r="BA147" s="17"/>
      <c r="BB147" s="17"/>
      <c r="BC147" s="17"/>
      <c r="BD147" s="17"/>
      <c r="BE147" s="17"/>
      <c r="BF147" s="17"/>
      <c r="BG147" s="17"/>
      <c r="BH147" s="17"/>
      <c r="BI147" s="17"/>
      <c r="BJ147" s="17"/>
      <c r="BK147" s="17"/>
      <c r="BL147" s="17"/>
      <c r="BM147" s="17"/>
      <c r="BN147" s="17"/>
      <c r="BO147" s="17"/>
      <c r="BP147" s="17"/>
      <c r="BQ147" s="17"/>
      <c r="BR147" s="17"/>
      <c r="BS147" s="17"/>
      <c r="BT147" s="17"/>
      <c r="BU147" s="17"/>
      <c r="BV147" s="17"/>
      <c r="BW147" s="17"/>
      <c r="BX147" s="17"/>
      <c r="BY147" s="17"/>
      <c r="BZ147" s="17"/>
      <c r="CA147" s="17"/>
      <c r="CB147" s="17"/>
      <c r="CC147" s="17"/>
      <c r="CD147" s="17"/>
      <c r="CE147" s="17"/>
      <c r="CF147" s="17"/>
      <c r="CG147" s="17"/>
      <c r="CH147" s="17"/>
      <c r="CI147" s="17"/>
      <c r="CJ147" s="17"/>
      <c r="CK147" s="17"/>
      <c r="CL147" s="17"/>
      <c r="CM147" s="17"/>
      <c r="CN147" s="17"/>
      <c r="CO147" s="17"/>
      <c r="CP147" s="17"/>
      <c r="CQ147" s="17"/>
      <c r="CR147" s="17"/>
      <c r="CS147" s="17"/>
      <c r="CT147" s="17"/>
      <c r="CU147" s="17"/>
      <c r="CV147" s="17"/>
    </row>
    <row r="148" spans="2:100" x14ac:dyDescent="0.35">
      <c r="B148" s="9"/>
      <c r="C148" t="s">
        <v>230</v>
      </c>
      <c r="D148" t="s">
        <v>332</v>
      </c>
      <c r="E148" t="s">
        <v>217</v>
      </c>
      <c r="F148" s="17">
        <v>0</v>
      </c>
      <c r="G148" s="17">
        <v>472.13972999999999</v>
      </c>
      <c r="H148" s="17">
        <v>394.52654000000001</v>
      </c>
      <c r="I148" s="17">
        <v>376.30380000000002</v>
      </c>
      <c r="J148" s="17">
        <v>364.04955999999999</v>
      </c>
      <c r="K148" s="17">
        <v>304.63465000000002</v>
      </c>
      <c r="L148" s="17">
        <v>358.30907999999999</v>
      </c>
      <c r="M148" s="17">
        <v>316.76803999999998</v>
      </c>
      <c r="N148" s="17">
        <v>337.79181</v>
      </c>
      <c r="O148" s="17">
        <v>388.35665999999998</v>
      </c>
      <c r="P148" s="17">
        <v>357.19099</v>
      </c>
      <c r="Q148" s="17">
        <v>318.51276999999999</v>
      </c>
      <c r="R148" s="17">
        <v>349.55610000000001</v>
      </c>
      <c r="S148" s="17">
        <v>363.77190999999999</v>
      </c>
      <c r="T148" s="17">
        <v>382.94684999999998</v>
      </c>
      <c r="U148" s="17">
        <v>370.20866999999998</v>
      </c>
      <c r="V148" s="17">
        <v>382.73007999999999</v>
      </c>
      <c r="W148" s="17">
        <v>369.62025999999997</v>
      </c>
      <c r="X148" s="17">
        <v>393.17943000000002</v>
      </c>
      <c r="Y148" s="17">
        <v>397.88378</v>
      </c>
      <c r="Z148" s="17">
        <v>424.72057000000001</v>
      </c>
      <c r="AA148" s="17">
        <v>408.31788999999998</v>
      </c>
      <c r="AB148" s="17">
        <v>422.24630000000002</v>
      </c>
      <c r="AC148" s="17">
        <v>414.34474</v>
      </c>
      <c r="AD148" s="17">
        <v>426.57776999999999</v>
      </c>
      <c r="AE148" s="17">
        <v>430.52839</v>
      </c>
      <c r="AF148" s="17">
        <v>457.09050999999999</v>
      </c>
      <c r="AG148" s="17">
        <v>442.66345999999999</v>
      </c>
      <c r="AH148" s="17">
        <v>440.09356000000002</v>
      </c>
      <c r="AI148" s="17">
        <v>445.42144000000002</v>
      </c>
      <c r="AJ148" s="17">
        <v>446.31527</v>
      </c>
      <c r="AK148" s="17">
        <v>416.96951999999999</v>
      </c>
      <c r="AL148" s="17">
        <v>427.40422000000001</v>
      </c>
      <c r="AM148" s="17">
        <v>441.96193</v>
      </c>
      <c r="AN148" s="17">
        <v>428.89294000000001</v>
      </c>
      <c r="AO148" s="17"/>
      <c r="AP148" s="17"/>
      <c r="AQ148" s="17"/>
      <c r="AR148" s="17"/>
      <c r="AS148" s="17"/>
      <c r="AT148" s="17"/>
      <c r="AU148" s="17"/>
      <c r="AV148" s="17"/>
      <c r="AW148" s="17"/>
      <c r="AX148" s="17"/>
      <c r="AY148" s="17"/>
      <c r="AZ148" s="17"/>
      <c r="BA148" s="17"/>
      <c r="BB148" s="17"/>
      <c r="BC148" s="17"/>
      <c r="BD148" s="17"/>
      <c r="BE148" s="17"/>
      <c r="BF148" s="17"/>
      <c r="BG148" s="17"/>
      <c r="BH148" s="17"/>
      <c r="BI148" s="17"/>
      <c r="BJ148" s="17"/>
      <c r="BK148" s="17"/>
      <c r="BL148" s="17"/>
      <c r="BM148" s="17"/>
      <c r="BN148" s="17"/>
      <c r="BO148" s="17"/>
      <c r="BP148" s="17"/>
      <c r="BQ148" s="17"/>
      <c r="BR148" s="17"/>
      <c r="BS148" s="17"/>
      <c r="BT148" s="17"/>
      <c r="BU148" s="17"/>
      <c r="BV148" s="17"/>
      <c r="BW148" s="17"/>
      <c r="BX148" s="17"/>
      <c r="BY148" s="17"/>
      <c r="BZ148" s="17"/>
      <c r="CA148" s="17"/>
      <c r="CB148" s="17"/>
      <c r="CC148" s="17"/>
      <c r="CD148" s="17"/>
      <c r="CE148" s="17"/>
      <c r="CF148" s="17"/>
      <c r="CG148" s="17"/>
      <c r="CH148" s="17"/>
      <c r="CI148" s="17"/>
      <c r="CJ148" s="17"/>
      <c r="CK148" s="17"/>
      <c r="CL148" s="17"/>
      <c r="CM148" s="17"/>
      <c r="CN148" s="17"/>
      <c r="CO148" s="17"/>
      <c r="CP148" s="17"/>
      <c r="CQ148" s="17"/>
      <c r="CR148" s="17"/>
      <c r="CS148" s="17"/>
      <c r="CT148" s="17"/>
      <c r="CU148" s="17"/>
      <c r="CV148" s="17"/>
    </row>
    <row r="149" spans="2:100" x14ac:dyDescent="0.35">
      <c r="B149" s="9"/>
      <c r="C149" t="s">
        <v>230</v>
      </c>
      <c r="D149" t="s">
        <v>333</v>
      </c>
      <c r="E149" t="s">
        <v>217</v>
      </c>
      <c r="F149" s="17">
        <v>0</v>
      </c>
      <c r="G149" s="17">
        <v>-542.27417000000003</v>
      </c>
      <c r="H149" s="17">
        <v>-463.15735000000001</v>
      </c>
      <c r="I149" s="17">
        <v>-451.78561999999999</v>
      </c>
      <c r="J149" s="17">
        <v>-450.79424</v>
      </c>
      <c r="K149" s="17">
        <v>-464.50851</v>
      </c>
      <c r="L149" s="17">
        <v>-518.44281999999998</v>
      </c>
      <c r="M149" s="17">
        <v>-473.39787000000001</v>
      </c>
      <c r="N149" s="17">
        <v>-449.79275000000001</v>
      </c>
      <c r="O149" s="17">
        <v>-450.27958000000001</v>
      </c>
      <c r="P149" s="17">
        <v>-457.94887</v>
      </c>
      <c r="Q149" s="17">
        <v>-515.69136000000003</v>
      </c>
      <c r="R149" s="17">
        <v>-477.99455999999998</v>
      </c>
      <c r="S149" s="17">
        <v>-506.34793000000002</v>
      </c>
      <c r="T149" s="17">
        <v>-476.62119000000001</v>
      </c>
      <c r="U149" s="17">
        <v>-481.96224999999998</v>
      </c>
      <c r="V149" s="17">
        <v>-528.36737000000005</v>
      </c>
      <c r="W149" s="17">
        <v>-493.04514</v>
      </c>
      <c r="X149" s="17">
        <v>-517.38653999999997</v>
      </c>
      <c r="Y149" s="17">
        <v>-531.16115000000002</v>
      </c>
      <c r="Z149" s="17">
        <v>-514.95173</v>
      </c>
      <c r="AA149" s="17">
        <v>-565.06218000000001</v>
      </c>
      <c r="AB149" s="17">
        <v>-595.76832999999999</v>
      </c>
      <c r="AC149" s="17">
        <v>-569.17903000000001</v>
      </c>
      <c r="AD149" s="17">
        <v>-587.43053999999995</v>
      </c>
      <c r="AE149" s="17">
        <v>-594.29065000000003</v>
      </c>
      <c r="AF149" s="17">
        <v>-617.88791000000003</v>
      </c>
      <c r="AG149" s="17">
        <v>-578.86318000000006</v>
      </c>
      <c r="AH149" s="17">
        <v>-571.93736999999999</v>
      </c>
      <c r="AI149" s="17">
        <v>-594.21403999999995</v>
      </c>
      <c r="AJ149" s="17">
        <v>-615.14957000000004</v>
      </c>
      <c r="AK149" s="17">
        <v>-590.04583000000002</v>
      </c>
      <c r="AL149" s="17">
        <v>-553.64287000000002</v>
      </c>
      <c r="AM149" s="17">
        <v>-550.28503000000001</v>
      </c>
      <c r="AN149" s="17">
        <v>-543.58497999999997</v>
      </c>
      <c r="AO149" s="17"/>
      <c r="AP149" s="17"/>
      <c r="AQ149" s="17"/>
      <c r="AR149" s="17"/>
      <c r="AS149" s="17"/>
      <c r="AT149" s="17"/>
      <c r="AU149" s="17"/>
      <c r="AV149" s="17"/>
      <c r="AW149" s="17"/>
      <c r="AX149" s="17"/>
      <c r="AY149" s="17"/>
      <c r="AZ149" s="17"/>
      <c r="BA149" s="17"/>
      <c r="BB149" s="17"/>
      <c r="BC149" s="17"/>
      <c r="BD149" s="17"/>
      <c r="BE149" s="17"/>
      <c r="BF149" s="17"/>
      <c r="BG149" s="17"/>
      <c r="BH149" s="17"/>
      <c r="BI149" s="17"/>
      <c r="BJ149" s="17"/>
      <c r="BK149" s="17"/>
      <c r="BL149" s="17"/>
      <c r="BM149" s="17"/>
      <c r="BN149" s="17"/>
      <c r="BO149" s="17"/>
      <c r="BP149" s="17"/>
      <c r="BQ149" s="17"/>
      <c r="BR149" s="17"/>
      <c r="BS149" s="17"/>
      <c r="BT149" s="17"/>
      <c r="BU149" s="17"/>
      <c r="BV149" s="17"/>
      <c r="BW149" s="17"/>
      <c r="BX149" s="17"/>
      <c r="BY149" s="17"/>
      <c r="BZ149" s="17"/>
      <c r="CA149" s="17"/>
      <c r="CB149" s="17"/>
      <c r="CC149" s="17"/>
      <c r="CD149" s="17"/>
      <c r="CE149" s="17"/>
      <c r="CF149" s="17"/>
      <c r="CG149" s="17"/>
      <c r="CH149" s="17"/>
      <c r="CI149" s="17"/>
      <c r="CJ149" s="17"/>
      <c r="CK149" s="17"/>
      <c r="CL149" s="17"/>
      <c r="CM149" s="17"/>
      <c r="CN149" s="17"/>
      <c r="CO149" s="17"/>
      <c r="CP149" s="17"/>
      <c r="CQ149" s="17"/>
      <c r="CR149" s="17"/>
      <c r="CS149" s="17"/>
      <c r="CT149" s="17"/>
      <c r="CU149" s="17"/>
      <c r="CV149" s="17"/>
    </row>
    <row r="150" spans="2:100" x14ac:dyDescent="0.35">
      <c r="B150" s="9"/>
      <c r="C150" t="s">
        <v>230</v>
      </c>
      <c r="D150" t="s">
        <v>334</v>
      </c>
      <c r="E150" t="s">
        <v>217</v>
      </c>
      <c r="F150" s="17">
        <v>0</v>
      </c>
      <c r="G150" s="17">
        <v>1457.5063299999999</v>
      </c>
      <c r="H150" s="17">
        <v>1460.83754</v>
      </c>
      <c r="I150" s="17">
        <v>1469.326</v>
      </c>
      <c r="J150" s="17">
        <v>1464.8579999999999</v>
      </c>
      <c r="K150" s="17">
        <v>1451.6565000000001</v>
      </c>
      <c r="L150" s="17">
        <v>1465.4363699999999</v>
      </c>
      <c r="M150" s="17">
        <v>1465.7327399999999</v>
      </c>
      <c r="N150" s="17">
        <v>1452.42995</v>
      </c>
      <c r="O150" s="17">
        <v>1462.66435</v>
      </c>
      <c r="P150" s="17">
        <v>1467.0957599999999</v>
      </c>
      <c r="Q150" s="17">
        <v>1461.0446199999999</v>
      </c>
      <c r="R150" s="17">
        <v>1464.2731000000001</v>
      </c>
      <c r="S150" s="17">
        <v>1462.19336</v>
      </c>
      <c r="T150" s="17">
        <v>1460.13184</v>
      </c>
      <c r="U150" s="17">
        <v>1456.36663</v>
      </c>
      <c r="V150" s="17">
        <v>1458.0226500000001</v>
      </c>
      <c r="W150" s="17">
        <v>1457.9262799999999</v>
      </c>
      <c r="X150" s="17">
        <v>1465.5029400000001</v>
      </c>
      <c r="Y150" s="17">
        <v>1457.87922</v>
      </c>
      <c r="Z150" s="17">
        <v>1457.0915500000001</v>
      </c>
      <c r="AA150" s="17">
        <v>1455.50549</v>
      </c>
      <c r="AB150" s="17">
        <v>1464.69678</v>
      </c>
      <c r="AC150" s="17">
        <v>1454.6528900000001</v>
      </c>
      <c r="AD150" s="17">
        <v>1455.78927</v>
      </c>
      <c r="AE150" s="17">
        <v>1457.12878</v>
      </c>
      <c r="AF150" s="17">
        <v>1469.74054</v>
      </c>
      <c r="AG150" s="17">
        <v>1453.24335</v>
      </c>
      <c r="AH150" s="17">
        <v>1450.10661</v>
      </c>
      <c r="AI150" s="17">
        <v>1456.30673</v>
      </c>
      <c r="AJ150" s="17">
        <v>1464.5886</v>
      </c>
      <c r="AK150" s="17">
        <v>1453.8374899999999</v>
      </c>
      <c r="AL150" s="17">
        <v>1464.9627800000001</v>
      </c>
      <c r="AM150" s="17">
        <v>1458.78352</v>
      </c>
      <c r="AN150" s="17">
        <v>1455.0690199999999</v>
      </c>
      <c r="AO150" s="17"/>
      <c r="AP150" s="17"/>
      <c r="AQ150" s="17"/>
      <c r="AR150" s="17"/>
      <c r="AS150" s="17"/>
      <c r="AT150" s="17"/>
      <c r="AU150" s="17"/>
      <c r="AV150" s="17"/>
      <c r="AW150" s="17"/>
      <c r="AX150" s="17"/>
      <c r="AY150" s="17"/>
      <c r="AZ150" s="17"/>
      <c r="BA150" s="17"/>
      <c r="BB150" s="17"/>
      <c r="BC150" s="17"/>
      <c r="BD150" s="17"/>
      <c r="BE150" s="17"/>
      <c r="BF150" s="17"/>
      <c r="BG150" s="17"/>
      <c r="BH150" s="17"/>
      <c r="BI150" s="17"/>
      <c r="BJ150" s="17"/>
      <c r="BK150" s="17"/>
      <c r="BL150" s="17"/>
      <c r="BM150" s="17"/>
      <c r="BN150" s="17"/>
      <c r="BO150" s="17"/>
      <c r="BP150" s="17"/>
      <c r="BQ150" s="17"/>
      <c r="BR150" s="17"/>
      <c r="BS150" s="17"/>
      <c r="BT150" s="17"/>
      <c r="BU150" s="17"/>
      <c r="BV150" s="17"/>
      <c r="BW150" s="17"/>
      <c r="BX150" s="17"/>
      <c r="BY150" s="17"/>
      <c r="BZ150" s="17"/>
      <c r="CA150" s="17"/>
      <c r="CB150" s="17"/>
      <c r="CC150" s="17"/>
      <c r="CD150" s="17"/>
      <c r="CE150" s="17"/>
      <c r="CF150" s="17"/>
      <c r="CG150" s="17"/>
      <c r="CH150" s="17"/>
      <c r="CI150" s="17"/>
      <c r="CJ150" s="17"/>
      <c r="CK150" s="17"/>
      <c r="CL150" s="17"/>
      <c r="CM150" s="17"/>
      <c r="CN150" s="17"/>
      <c r="CO150" s="17"/>
      <c r="CP150" s="17"/>
      <c r="CQ150" s="17"/>
      <c r="CR150" s="17"/>
      <c r="CS150" s="17"/>
      <c r="CT150" s="17"/>
      <c r="CU150" s="17"/>
      <c r="CV150" s="17"/>
    </row>
    <row r="151" spans="2:100" x14ac:dyDescent="0.35">
      <c r="B151" s="9"/>
      <c r="C151" t="s">
        <v>230</v>
      </c>
      <c r="D151" t="s">
        <v>335</v>
      </c>
      <c r="E151" t="s">
        <v>217</v>
      </c>
      <c r="F151" s="17">
        <v>0</v>
      </c>
      <c r="G151" s="17">
        <v>-765.38896999999997</v>
      </c>
      <c r="H151" s="17">
        <v>-711.40516000000002</v>
      </c>
      <c r="I151" s="17">
        <v>-705.72565999999995</v>
      </c>
      <c r="J151" s="17">
        <v>-686.23546999999996</v>
      </c>
      <c r="K151" s="17">
        <v>-678.85904000000005</v>
      </c>
      <c r="L151" s="17">
        <v>-709.39892999999995</v>
      </c>
      <c r="M151" s="17">
        <v>-675.95421999999996</v>
      </c>
      <c r="N151" s="17">
        <v>-647.09195999999997</v>
      </c>
      <c r="O151" s="17">
        <v>-636.31808000000001</v>
      </c>
      <c r="P151" s="17">
        <v>-639.39022999999997</v>
      </c>
      <c r="Q151" s="17">
        <v>-674.63625000000002</v>
      </c>
      <c r="R151" s="17">
        <v>-650.22932000000003</v>
      </c>
      <c r="S151" s="17">
        <v>-661.71360000000004</v>
      </c>
      <c r="T151" s="17">
        <v>-640.45024000000001</v>
      </c>
      <c r="U151" s="17">
        <v>-643.21897000000001</v>
      </c>
      <c r="V151" s="17">
        <v>-667.74383</v>
      </c>
      <c r="W151" s="17">
        <v>-657.21301000000005</v>
      </c>
      <c r="X151" s="17">
        <v>-674.15828999999997</v>
      </c>
      <c r="Y151" s="17">
        <v>-679.63512000000003</v>
      </c>
      <c r="Z151" s="17">
        <v>-672.08023000000003</v>
      </c>
      <c r="AA151" s="17">
        <v>-708.57473000000005</v>
      </c>
      <c r="AB151" s="17">
        <v>-730.52121999999997</v>
      </c>
      <c r="AC151" s="17">
        <v>-712.89953000000003</v>
      </c>
      <c r="AD151" s="17">
        <v>-724.11809000000005</v>
      </c>
      <c r="AE151" s="17">
        <v>-731.43890999999996</v>
      </c>
      <c r="AF151" s="17">
        <v>-753.00392999999997</v>
      </c>
      <c r="AG151" s="17">
        <v>-717.58016999999995</v>
      </c>
      <c r="AH151" s="17">
        <v>-710.87180999999998</v>
      </c>
      <c r="AI151" s="17">
        <v>-729.13738000000001</v>
      </c>
      <c r="AJ151" s="17">
        <v>-741.41947000000005</v>
      </c>
      <c r="AK151" s="17">
        <v>-718.25095999999996</v>
      </c>
      <c r="AL151" s="17">
        <v>-699.86117000000002</v>
      </c>
      <c r="AM151" s="17">
        <v>-699.43169</v>
      </c>
      <c r="AN151" s="17">
        <v>-704.35195999999996</v>
      </c>
      <c r="AO151" s="17"/>
      <c r="AP151" s="17"/>
      <c r="AQ151" s="17"/>
      <c r="AR151" s="17"/>
      <c r="AS151" s="17"/>
      <c r="AT151" s="17"/>
      <c r="AU151" s="17"/>
      <c r="AV151" s="17"/>
      <c r="AW151" s="17"/>
      <c r="AX151" s="17"/>
      <c r="AY151" s="17"/>
      <c r="AZ151" s="17"/>
      <c r="BA151" s="17"/>
      <c r="BB151" s="17"/>
      <c r="BC151" s="17"/>
      <c r="BD151" s="17"/>
      <c r="BE151" s="17"/>
      <c r="BF151" s="17"/>
      <c r="BG151" s="17"/>
      <c r="BH151" s="17"/>
      <c r="BI151" s="17"/>
      <c r="BJ151" s="17"/>
      <c r="BK151" s="17"/>
      <c r="BL151" s="17"/>
      <c r="BM151" s="17"/>
      <c r="BN151" s="17"/>
      <c r="BO151" s="17"/>
      <c r="BP151" s="17"/>
      <c r="BQ151" s="17"/>
      <c r="BR151" s="17"/>
      <c r="BS151" s="17"/>
      <c r="BT151" s="17"/>
      <c r="BU151" s="17"/>
      <c r="BV151" s="17"/>
      <c r="BW151" s="17"/>
      <c r="BX151" s="17"/>
      <c r="BY151" s="17"/>
      <c r="BZ151" s="17"/>
      <c r="CA151" s="17"/>
      <c r="CB151" s="17"/>
      <c r="CC151" s="17"/>
      <c r="CD151" s="17"/>
      <c r="CE151" s="17"/>
      <c r="CF151" s="17"/>
      <c r="CG151" s="17"/>
      <c r="CH151" s="17"/>
      <c r="CI151" s="17"/>
      <c r="CJ151" s="17"/>
      <c r="CK151" s="17"/>
      <c r="CL151" s="17"/>
      <c r="CM151" s="17"/>
      <c r="CN151" s="17"/>
      <c r="CO151" s="17"/>
      <c r="CP151" s="17"/>
      <c r="CQ151" s="17"/>
      <c r="CR151" s="17"/>
      <c r="CS151" s="17"/>
      <c r="CT151" s="17"/>
      <c r="CU151" s="17"/>
      <c r="CV151" s="17"/>
    </row>
    <row r="152" spans="2:100" x14ac:dyDescent="0.35">
      <c r="B152" s="9"/>
      <c r="D152" t="s">
        <v>336</v>
      </c>
      <c r="E152" t="s">
        <v>217</v>
      </c>
      <c r="F152" s="17">
        <v>0</v>
      </c>
      <c r="G152" s="17">
        <v>-1004.98308</v>
      </c>
      <c r="H152" s="17">
        <v>-1061.73585</v>
      </c>
      <c r="I152" s="17">
        <v>-1077.2802300000001</v>
      </c>
      <c r="J152" s="17">
        <v>-1089.6573599999999</v>
      </c>
      <c r="K152" s="17">
        <v>-1080.7697900000001</v>
      </c>
      <c r="L152" s="17">
        <v>-1068.44454</v>
      </c>
      <c r="M152" s="17">
        <v>-1100.53772</v>
      </c>
      <c r="N152" s="17">
        <v>-1112.8680300000001</v>
      </c>
      <c r="O152" s="17">
        <v>-1134.82719</v>
      </c>
      <c r="P152" s="17">
        <v>-1136.60203</v>
      </c>
      <c r="Q152" s="17">
        <v>-1097.1161500000001</v>
      </c>
      <c r="R152" s="17">
        <v>-1125.80485</v>
      </c>
      <c r="S152" s="17">
        <v>-1111.0102300000001</v>
      </c>
      <c r="T152" s="17">
        <v>-1127.8745799999999</v>
      </c>
      <c r="U152" s="17">
        <v>-1120.8623</v>
      </c>
      <c r="V152" s="17">
        <v>-1100.5675000000001</v>
      </c>
      <c r="W152" s="17">
        <v>-1112.0142900000001</v>
      </c>
      <c r="X152" s="17">
        <v>-1104.04195</v>
      </c>
      <c r="Y152" s="17">
        <v>-1090.7457099999999</v>
      </c>
      <c r="Z152" s="17">
        <v>-1095.22712</v>
      </c>
      <c r="AA152" s="17">
        <v>-1058.6124</v>
      </c>
      <c r="AB152" s="17">
        <v>-1048.3601699999999</v>
      </c>
      <c r="AC152" s="17">
        <v>-1052.1933200000001</v>
      </c>
      <c r="AD152" s="17">
        <v>-1042.1795199999999</v>
      </c>
      <c r="AE152" s="17">
        <v>-1036.6838600000001</v>
      </c>
      <c r="AF152" s="17">
        <v>-1032.5976900000001</v>
      </c>
      <c r="AG152" s="17">
        <v>-1045.46919</v>
      </c>
      <c r="AH152" s="17">
        <v>-1048.3931399999999</v>
      </c>
      <c r="AI152" s="17">
        <v>-1037.9312399999999</v>
      </c>
      <c r="AJ152" s="17">
        <v>-1036.6884500000001</v>
      </c>
      <c r="AK152" s="17">
        <v>-1045.9825499999999</v>
      </c>
      <c r="AL152" s="17">
        <v>-1075.94533</v>
      </c>
      <c r="AM152" s="17">
        <v>-1069.4342899999999</v>
      </c>
      <c r="AN152" s="17">
        <v>-1059.9939899999999</v>
      </c>
      <c r="AO152" s="17"/>
      <c r="AP152" s="17"/>
      <c r="AQ152" s="17"/>
      <c r="AR152" s="17"/>
      <c r="AS152" s="17"/>
      <c r="AT152" s="17"/>
      <c r="AU152" s="17"/>
      <c r="AV152" s="17"/>
      <c r="AW152" s="17"/>
      <c r="AX152" s="17"/>
      <c r="AY152" s="17"/>
      <c r="AZ152" s="17"/>
      <c r="BA152" s="17"/>
      <c r="BB152" s="17"/>
      <c r="BC152" s="17"/>
      <c r="BD152" s="17"/>
      <c r="BE152" s="17"/>
      <c r="BF152" s="17"/>
      <c r="BG152" s="17"/>
      <c r="BH152" s="17"/>
      <c r="BI152" s="17"/>
      <c r="BJ152" s="17"/>
      <c r="BK152" s="17"/>
      <c r="BL152" s="17"/>
      <c r="BM152" s="17"/>
      <c r="BN152" s="17"/>
      <c r="BO152" s="17"/>
      <c r="BP152" s="17"/>
      <c r="BQ152" s="17"/>
      <c r="BR152" s="17"/>
      <c r="BS152" s="17"/>
      <c r="BT152" s="17"/>
      <c r="BU152" s="17"/>
      <c r="BV152" s="17"/>
      <c r="BW152" s="17"/>
      <c r="BX152" s="17"/>
      <c r="BY152" s="17"/>
      <c r="BZ152" s="17"/>
      <c r="CA152" s="17"/>
      <c r="CB152" s="17"/>
      <c r="CC152" s="17"/>
      <c r="CD152" s="17"/>
      <c r="CE152" s="17"/>
      <c r="CF152" s="17"/>
      <c r="CG152" s="17"/>
      <c r="CH152" s="17"/>
      <c r="CI152" s="17"/>
      <c r="CJ152" s="17"/>
      <c r="CK152" s="17"/>
      <c r="CL152" s="17"/>
      <c r="CM152" s="17"/>
      <c r="CN152" s="17"/>
      <c r="CO152" s="17"/>
      <c r="CP152" s="17"/>
      <c r="CQ152" s="17"/>
      <c r="CR152" s="17"/>
      <c r="CS152" s="17"/>
      <c r="CT152" s="17"/>
      <c r="CU152" s="17"/>
      <c r="CV152" s="17"/>
    </row>
    <row r="153" spans="2:100" x14ac:dyDescent="0.35">
      <c r="B153" s="9"/>
      <c r="C153" t="s">
        <v>339</v>
      </c>
      <c r="D153" t="s">
        <v>340</v>
      </c>
      <c r="E153" t="s">
        <v>219</v>
      </c>
      <c r="F153" s="17">
        <v>0</v>
      </c>
      <c r="G153" s="17">
        <v>159.86325817402701</v>
      </c>
      <c r="H153" s="17">
        <v>154.42902044647201</v>
      </c>
      <c r="I153" s="17">
        <v>130.05605487814</v>
      </c>
      <c r="J153" s="17">
        <v>113.92093024023799</v>
      </c>
      <c r="K153" s="17">
        <v>120.65222934046901</v>
      </c>
      <c r="L153" s="17">
        <v>119.791251288075</v>
      </c>
      <c r="M153" s="17">
        <v>114.880150573827</v>
      </c>
      <c r="N153" s="17">
        <v>101.75935277278499</v>
      </c>
      <c r="O153" s="17">
        <v>98.313789959164296</v>
      </c>
      <c r="P153" s="17">
        <v>93.162014460338</v>
      </c>
      <c r="Q153" s="17">
        <v>101.519273459285</v>
      </c>
      <c r="R153" s="17">
        <v>93.863176432582705</v>
      </c>
      <c r="S153" s="17">
        <v>90.951239280750102</v>
      </c>
      <c r="T153" s="17">
        <v>88.715109569424598</v>
      </c>
      <c r="U153" s="17">
        <v>85.614899087976696</v>
      </c>
      <c r="V153" s="17">
        <v>85.245142888420304</v>
      </c>
      <c r="W153" s="17">
        <v>84.519096493184605</v>
      </c>
      <c r="X153" s="17">
        <v>81.167837494147804</v>
      </c>
      <c r="Y153" s="17">
        <v>79.662403031219597</v>
      </c>
      <c r="Z153" s="17">
        <v>76.0323590985398</v>
      </c>
      <c r="AA153" s="17">
        <v>75.257724352619306</v>
      </c>
      <c r="AB153" s="17">
        <v>74.181008172942398</v>
      </c>
      <c r="AC153" s="17">
        <v>72.971867582755905</v>
      </c>
      <c r="AD153" s="17">
        <v>70.707928327348895</v>
      </c>
      <c r="AE153" s="17">
        <v>69.097952126019806</v>
      </c>
      <c r="AF153" s="17">
        <v>66.737703258709402</v>
      </c>
      <c r="AG153" s="17">
        <v>68.047248630325996</v>
      </c>
      <c r="AH153" s="17">
        <v>68.020922540511805</v>
      </c>
      <c r="AI153" s="17">
        <v>68.654012766237102</v>
      </c>
      <c r="AJ153" s="17">
        <v>67.979114202640304</v>
      </c>
      <c r="AK153" s="17">
        <v>69.180430093909806</v>
      </c>
      <c r="AL153" s="17">
        <v>72.737753426908597</v>
      </c>
      <c r="AM153" s="17">
        <v>72.322939915698001</v>
      </c>
      <c r="AN153" s="17">
        <v>71.016037599923905</v>
      </c>
      <c r="AO153" s="17"/>
      <c r="AP153" s="17"/>
      <c r="AQ153" s="17"/>
      <c r="AR153" s="17"/>
      <c r="AS153" s="17"/>
      <c r="AT153" s="17"/>
      <c r="AU153" s="17"/>
      <c r="AV153" s="17"/>
      <c r="AW153" s="17"/>
      <c r="AX153" s="17"/>
      <c r="AY153" s="17"/>
      <c r="AZ153" s="17"/>
      <c r="BA153" s="17"/>
      <c r="BB153" s="17"/>
      <c r="BC153" s="17"/>
      <c r="BD153" s="17"/>
      <c r="BE153" s="17"/>
      <c r="BF153" s="17"/>
      <c r="BG153" s="17"/>
      <c r="BH153" s="17"/>
      <c r="BI153" s="17"/>
      <c r="BJ153" s="17"/>
      <c r="BK153" s="17"/>
      <c r="BL153" s="17"/>
      <c r="BM153" s="17"/>
      <c r="BN153" s="17"/>
      <c r="BO153" s="17"/>
      <c r="BP153" s="17"/>
      <c r="BQ153" s="17"/>
      <c r="BR153" s="17"/>
      <c r="BS153" s="17"/>
      <c r="BT153" s="17"/>
      <c r="BU153" s="17"/>
      <c r="BV153" s="17"/>
      <c r="BW153" s="17"/>
      <c r="BX153" s="17"/>
      <c r="BY153" s="17"/>
      <c r="BZ153" s="17"/>
      <c r="CA153" s="17"/>
      <c r="CB153" s="17"/>
      <c r="CC153" s="17"/>
      <c r="CD153" s="17"/>
      <c r="CE153" s="17"/>
      <c r="CF153" s="17"/>
      <c r="CG153" s="17"/>
      <c r="CH153" s="17"/>
      <c r="CI153" s="17"/>
      <c r="CJ153" s="17"/>
      <c r="CK153" s="17"/>
      <c r="CL153" s="17"/>
      <c r="CM153" s="17"/>
      <c r="CN153" s="17"/>
      <c r="CO153" s="17"/>
      <c r="CP153" s="17"/>
      <c r="CQ153" s="17"/>
      <c r="CR153" s="17"/>
      <c r="CS153" s="17"/>
      <c r="CT153" s="17"/>
      <c r="CU153" s="17"/>
      <c r="CV153" s="17"/>
    </row>
    <row r="154" spans="2:100" x14ac:dyDescent="0.35">
      <c r="B154" s="9"/>
      <c r="C154" t="s">
        <v>230</v>
      </c>
      <c r="D154" t="s">
        <v>341</v>
      </c>
      <c r="E154" t="s">
        <v>219</v>
      </c>
      <c r="F154" s="17">
        <v>0</v>
      </c>
      <c r="G154" s="17">
        <v>-2.3212507350579501</v>
      </c>
      <c r="H154" s="17">
        <v>-0.64700544462701504</v>
      </c>
      <c r="I154" s="17">
        <v>0.525445769596257</v>
      </c>
      <c r="J154" s="17">
        <v>0.40682166251699797</v>
      </c>
      <c r="K154" s="17">
        <v>0.35025190999967598</v>
      </c>
      <c r="L154" s="17">
        <v>0.232390423776144</v>
      </c>
      <c r="M154" s="17">
        <v>1.86894343958427E-2</v>
      </c>
      <c r="N154" s="17">
        <v>-0.124463902399145</v>
      </c>
      <c r="O154" s="17">
        <v>-0.118007742278054</v>
      </c>
      <c r="P154" s="17">
        <v>-0.101271870896198</v>
      </c>
      <c r="Q154" s="17">
        <v>-6.7988171631159694E-2</v>
      </c>
      <c r="R154" s="17">
        <v>-5.2067155410218197E-2</v>
      </c>
      <c r="S154" s="17">
        <v>-5.8220356561225102E-2</v>
      </c>
      <c r="T154" s="17">
        <v>-6.3798980355177101E-2</v>
      </c>
      <c r="U154" s="17">
        <v>-5.4605742642297402E-2</v>
      </c>
      <c r="V154" s="17">
        <v>-6.91791137894191E-2</v>
      </c>
      <c r="W154" s="17">
        <v>-7.4674162695072197E-2</v>
      </c>
      <c r="X154" s="17">
        <v>-6.7058400998834394E-2</v>
      </c>
      <c r="Y154" s="17">
        <v>-9.0281773084892797E-2</v>
      </c>
      <c r="Z154" s="17">
        <v>-0.10196136372466399</v>
      </c>
      <c r="AA154" s="17">
        <v>-7.0620780612575207E-2</v>
      </c>
      <c r="AB154" s="17">
        <v>-6.3694511744803395E-2</v>
      </c>
      <c r="AC154" s="17">
        <v>-6.24408884203198E-2</v>
      </c>
      <c r="AD154" s="17">
        <v>-6.0403750518033997E-2</v>
      </c>
      <c r="AE154" s="17">
        <v>-5.2767095099721502E-2</v>
      </c>
      <c r="AF154" s="17">
        <v>-4.2999280029786903E-2</v>
      </c>
      <c r="AG154" s="17">
        <v>-3.65535667697338E-2</v>
      </c>
      <c r="AH154" s="17">
        <v>-3.8716067004468002E-2</v>
      </c>
      <c r="AI154" s="17">
        <v>-2.15936617642297E-2</v>
      </c>
      <c r="AJ154" s="17">
        <v>-1.9546077000906499E-2</v>
      </c>
      <c r="AK154" s="17">
        <v>-3.3262805542964402E-2</v>
      </c>
      <c r="AL154" s="17">
        <v>-7.8852907110017495E-2</v>
      </c>
      <c r="AM154" s="17">
        <v>-7.6679960014245901E-2</v>
      </c>
      <c r="AN154" s="17">
        <v>-5.5357916636987602E-2</v>
      </c>
      <c r="AO154" s="17"/>
      <c r="AP154" s="17"/>
      <c r="AQ154" s="17"/>
      <c r="AR154" s="17"/>
      <c r="AS154" s="17"/>
      <c r="AT154" s="17"/>
      <c r="AU154" s="17"/>
      <c r="AV154" s="17"/>
      <c r="AW154" s="17"/>
      <c r="AX154" s="17"/>
      <c r="AY154" s="17"/>
      <c r="AZ154" s="17"/>
      <c r="BA154" s="17"/>
      <c r="BB154" s="17"/>
      <c r="BC154" s="17"/>
      <c r="BD154" s="17"/>
      <c r="BE154" s="17"/>
      <c r="BF154" s="17"/>
      <c r="BG154" s="17"/>
      <c r="BH154" s="17"/>
      <c r="BI154" s="17"/>
      <c r="BJ154" s="17"/>
      <c r="BK154" s="17"/>
      <c r="BL154" s="17"/>
      <c r="BM154" s="17"/>
      <c r="BN154" s="17"/>
      <c r="BO154" s="17"/>
      <c r="BP154" s="17"/>
      <c r="BQ154" s="17"/>
      <c r="BR154" s="17"/>
      <c r="BS154" s="17"/>
      <c r="BT154" s="17"/>
      <c r="BU154" s="17"/>
      <c r="BV154" s="17"/>
      <c r="BW154" s="17"/>
      <c r="BX154" s="17"/>
      <c r="BY154" s="17"/>
      <c r="BZ154" s="17"/>
      <c r="CA154" s="17"/>
      <c r="CB154" s="17"/>
      <c r="CC154" s="17"/>
      <c r="CD154" s="17"/>
      <c r="CE154" s="17"/>
      <c r="CF154" s="17"/>
      <c r="CG154" s="17"/>
      <c r="CH154" s="17"/>
      <c r="CI154" s="17"/>
      <c r="CJ154" s="17"/>
      <c r="CK154" s="17"/>
      <c r="CL154" s="17"/>
      <c r="CM154" s="17"/>
      <c r="CN154" s="17"/>
      <c r="CO154" s="17"/>
      <c r="CP154" s="17"/>
      <c r="CQ154" s="17"/>
      <c r="CR154" s="17"/>
      <c r="CS154" s="17"/>
      <c r="CT154" s="17"/>
      <c r="CU154" s="17"/>
      <c r="CV154" s="17"/>
    </row>
    <row r="155" spans="2:100" x14ac:dyDescent="0.35">
      <c r="B155" s="9"/>
      <c r="C155" t="s">
        <v>230</v>
      </c>
      <c r="D155" t="s">
        <v>342</v>
      </c>
      <c r="E155" t="s">
        <v>219</v>
      </c>
      <c r="F155" s="17">
        <v>0</v>
      </c>
      <c r="G155" s="17">
        <v>38.187476729699497</v>
      </c>
      <c r="H155" s="17">
        <v>40.397666885069199</v>
      </c>
      <c r="I155" s="17">
        <v>45.027799271716901</v>
      </c>
      <c r="J155" s="17">
        <v>46.324202492148501</v>
      </c>
      <c r="K155" s="17">
        <v>51.504247196941897</v>
      </c>
      <c r="L155" s="17">
        <v>47.976342224624403</v>
      </c>
      <c r="M155" s="17">
        <v>53.992783517791203</v>
      </c>
      <c r="N155" s="17">
        <v>54.462223665366103</v>
      </c>
      <c r="O155" s="17">
        <v>49.874902515249602</v>
      </c>
      <c r="P155" s="17">
        <v>56.913203520786098</v>
      </c>
      <c r="Q155" s="17">
        <v>58.478101516738903</v>
      </c>
      <c r="R155" s="17">
        <v>59.227517540115201</v>
      </c>
      <c r="S155" s="17">
        <v>58.3942027757479</v>
      </c>
      <c r="T155" s="17">
        <v>56.1658768696173</v>
      </c>
      <c r="U155" s="17">
        <v>58.276477098717798</v>
      </c>
      <c r="V155" s="17">
        <v>58.6237098658777</v>
      </c>
      <c r="W155" s="17">
        <v>61.641463273157697</v>
      </c>
      <c r="X155" s="17">
        <v>61.061787847916499</v>
      </c>
      <c r="Y155" s="17">
        <v>62.161069247434099</v>
      </c>
      <c r="Z155" s="17">
        <v>60.218057563094902</v>
      </c>
      <c r="AA155" s="17">
        <v>61.956060046436797</v>
      </c>
      <c r="AB155" s="17">
        <v>58.6578188671647</v>
      </c>
      <c r="AC155" s="17">
        <v>59.0253916727643</v>
      </c>
      <c r="AD155" s="17">
        <v>57.597734090259301</v>
      </c>
      <c r="AE155" s="17">
        <v>57.479642773092898</v>
      </c>
      <c r="AF155" s="17">
        <v>55.058843899209997</v>
      </c>
      <c r="AG155" s="17">
        <v>54.942497207836801</v>
      </c>
      <c r="AH155" s="17">
        <v>54.629216739048402</v>
      </c>
      <c r="AI155" s="17">
        <v>53.601099356917302</v>
      </c>
      <c r="AJ155" s="17">
        <v>53.805293702753602</v>
      </c>
      <c r="AK155" s="17">
        <v>57.411623260878699</v>
      </c>
      <c r="AL155" s="17">
        <v>57.870397163334502</v>
      </c>
      <c r="AM155" s="17">
        <v>57.080426425411098</v>
      </c>
      <c r="AN155" s="17">
        <v>58.0159741718901</v>
      </c>
      <c r="AO155" s="17"/>
      <c r="AP155" s="17"/>
      <c r="AQ155" s="17"/>
      <c r="AR155" s="17"/>
      <c r="AS155" s="17"/>
      <c r="AT155" s="17"/>
      <c r="AU155" s="17"/>
      <c r="AV155" s="17"/>
      <c r="AW155" s="17"/>
      <c r="AX155" s="17"/>
      <c r="AY155" s="17"/>
      <c r="AZ155" s="17"/>
      <c r="BA155" s="17"/>
      <c r="BB155" s="17"/>
      <c r="BC155" s="17"/>
      <c r="BD155" s="17"/>
      <c r="BE155" s="17"/>
      <c r="BF155" s="17"/>
      <c r="BG155" s="17"/>
      <c r="BH155" s="17"/>
      <c r="BI155" s="17"/>
      <c r="BJ155" s="17"/>
      <c r="BK155" s="17"/>
      <c r="BL155" s="17"/>
      <c r="BM155" s="17"/>
      <c r="BN155" s="17"/>
      <c r="BO155" s="17"/>
      <c r="BP155" s="17"/>
      <c r="BQ155" s="17"/>
      <c r="BR155" s="17"/>
      <c r="BS155" s="17"/>
      <c r="BT155" s="17"/>
      <c r="BU155" s="17"/>
      <c r="BV155" s="17"/>
      <c r="BW155" s="17"/>
      <c r="BX155" s="17"/>
      <c r="BY155" s="17"/>
      <c r="BZ155" s="17"/>
      <c r="CA155" s="17"/>
      <c r="CB155" s="17"/>
      <c r="CC155" s="17"/>
      <c r="CD155" s="17"/>
      <c r="CE155" s="17"/>
      <c r="CF155" s="17"/>
      <c r="CG155" s="17"/>
      <c r="CH155" s="17"/>
      <c r="CI155" s="17"/>
      <c r="CJ155" s="17"/>
      <c r="CK155" s="17"/>
      <c r="CL155" s="17"/>
      <c r="CM155" s="17"/>
      <c r="CN155" s="17"/>
      <c r="CO155" s="17"/>
      <c r="CP155" s="17"/>
      <c r="CQ155" s="17"/>
      <c r="CR155" s="17"/>
      <c r="CS155" s="17"/>
      <c r="CT155" s="17"/>
      <c r="CU155" s="17"/>
      <c r="CV155" s="17"/>
    </row>
    <row r="156" spans="2:100" x14ac:dyDescent="0.35">
      <c r="B156" s="9"/>
      <c r="C156" t="s">
        <v>230</v>
      </c>
      <c r="D156" t="s">
        <v>343</v>
      </c>
      <c r="E156" t="s">
        <v>219</v>
      </c>
      <c r="F156" s="17">
        <v>0</v>
      </c>
      <c r="G156" s="17">
        <v>-13.351454045886401</v>
      </c>
      <c r="H156" s="17">
        <v>-13.2017923146652</v>
      </c>
      <c r="I156" s="17">
        <v>-13.862786106221201</v>
      </c>
      <c r="J156" s="17">
        <v>-11.8188577442611</v>
      </c>
      <c r="K156" s="17">
        <v>-12.025538443024301</v>
      </c>
      <c r="L156" s="17">
        <v>-11.3977029884008</v>
      </c>
      <c r="M156" s="17">
        <v>-13.8229940125299</v>
      </c>
      <c r="N156" s="17">
        <v>-14.208326481893</v>
      </c>
      <c r="O156" s="17">
        <v>-13.8578760815337</v>
      </c>
      <c r="P156" s="17">
        <v>-13.8334826610114</v>
      </c>
      <c r="Q156" s="17">
        <v>-12.8370819489898</v>
      </c>
      <c r="R156" s="17">
        <v>-13.9534857537476</v>
      </c>
      <c r="S156" s="17">
        <v>-12.474043081080399</v>
      </c>
      <c r="T156" s="17">
        <v>-13.1055244902059</v>
      </c>
      <c r="U156" s="17">
        <v>-13.0735153079874</v>
      </c>
      <c r="V156" s="17">
        <v>-10.954912783332199</v>
      </c>
      <c r="W156" s="17">
        <v>-12.8200431186378</v>
      </c>
      <c r="X156" s="17">
        <v>-12.1128115201304</v>
      </c>
      <c r="Y156" s="17">
        <v>-11.979728957375499</v>
      </c>
      <c r="Z156" s="17">
        <v>-13.3705091204186</v>
      </c>
      <c r="AA156" s="17">
        <v>-12.2821133501019</v>
      </c>
      <c r="AB156" s="17">
        <v>-11.134358515371</v>
      </c>
      <c r="AC156" s="17">
        <v>-12.186911105468401</v>
      </c>
      <c r="AD156" s="17">
        <v>-11.196642700875801</v>
      </c>
      <c r="AE156" s="17">
        <v>-11.0384249904649</v>
      </c>
      <c r="AF156" s="17">
        <v>-10.9041201449685</v>
      </c>
      <c r="AG156" s="17">
        <v>-11.435499731634</v>
      </c>
      <c r="AH156" s="17">
        <v>-11.299356238595101</v>
      </c>
      <c r="AI156" s="17">
        <v>-11.394380886591</v>
      </c>
      <c r="AJ156" s="17">
        <v>-10.2305587795846</v>
      </c>
      <c r="AK156" s="17">
        <v>-10.256581910428601</v>
      </c>
      <c r="AL156" s="17">
        <v>-12.416940538650101</v>
      </c>
      <c r="AM156" s="17">
        <v>-13.3059788597908</v>
      </c>
      <c r="AN156" s="17">
        <v>-14.6312989915738</v>
      </c>
      <c r="AO156" s="17"/>
      <c r="AP156" s="17"/>
      <c r="AQ156" s="17"/>
      <c r="AR156" s="17"/>
      <c r="AS156" s="17"/>
      <c r="AT156" s="17"/>
      <c r="AU156" s="17"/>
      <c r="AV156" s="17"/>
      <c r="AW156" s="17"/>
      <c r="AX156" s="17"/>
      <c r="AY156" s="17"/>
      <c r="AZ156" s="17"/>
      <c r="BA156" s="17"/>
      <c r="BB156" s="17"/>
      <c r="BC156" s="17"/>
      <c r="BD156" s="17"/>
      <c r="BE156" s="17"/>
      <c r="BF156" s="17"/>
      <c r="BG156" s="17"/>
      <c r="BH156" s="17"/>
      <c r="BI156" s="17"/>
      <c r="BJ156" s="17"/>
      <c r="BK156" s="17"/>
      <c r="BL156" s="17"/>
      <c r="BM156" s="17"/>
      <c r="BN156" s="17"/>
      <c r="BO156" s="17"/>
      <c r="BP156" s="17"/>
      <c r="BQ156" s="17"/>
      <c r="BR156" s="17"/>
      <c r="BS156" s="17"/>
      <c r="BT156" s="17"/>
      <c r="BU156" s="17"/>
      <c r="BV156" s="17"/>
      <c r="BW156" s="17"/>
      <c r="BX156" s="17"/>
      <c r="BY156" s="17"/>
      <c r="BZ156" s="17"/>
      <c r="CA156" s="17"/>
      <c r="CB156" s="17"/>
      <c r="CC156" s="17"/>
      <c r="CD156" s="17"/>
      <c r="CE156" s="17"/>
      <c r="CF156" s="17"/>
      <c r="CG156" s="17"/>
      <c r="CH156" s="17"/>
      <c r="CI156" s="17"/>
      <c r="CJ156" s="17"/>
      <c r="CK156" s="17"/>
      <c r="CL156" s="17"/>
      <c r="CM156" s="17"/>
      <c r="CN156" s="17"/>
      <c r="CO156" s="17"/>
      <c r="CP156" s="17"/>
      <c r="CQ156" s="17"/>
      <c r="CR156" s="17"/>
      <c r="CS156" s="17"/>
      <c r="CT156" s="17"/>
      <c r="CU156" s="17"/>
      <c r="CV156" s="17"/>
    </row>
    <row r="157" spans="2:100" x14ac:dyDescent="0.35">
      <c r="B157" s="9"/>
      <c r="C157" t="s">
        <v>230</v>
      </c>
      <c r="D157" t="s">
        <v>344</v>
      </c>
      <c r="E157" t="s">
        <v>219</v>
      </c>
      <c r="F157" s="17">
        <v>0</v>
      </c>
      <c r="G157" s="17">
        <v>79.737557749522395</v>
      </c>
      <c r="H157" s="17">
        <v>56.029910973215998</v>
      </c>
      <c r="I157" s="17">
        <v>48.464691190677001</v>
      </c>
      <c r="J157" s="17">
        <v>41.671849632074398</v>
      </c>
      <c r="K157" s="17">
        <v>34.282178902407203</v>
      </c>
      <c r="L157" s="17">
        <v>41.902484983196203</v>
      </c>
      <c r="M157" s="17">
        <v>34.978524871713702</v>
      </c>
      <c r="N157" s="17">
        <v>35.646340463527103</v>
      </c>
      <c r="O157" s="17">
        <v>43.030004248097796</v>
      </c>
      <c r="P157" s="17">
        <v>37.404129301673898</v>
      </c>
      <c r="Q157" s="17">
        <v>32.440595791879801</v>
      </c>
      <c r="R157" s="17">
        <v>36.805806229481</v>
      </c>
      <c r="S157" s="17">
        <v>37.743819435164703</v>
      </c>
      <c r="T157" s="17">
        <v>39.5444090629816</v>
      </c>
      <c r="U157" s="17">
        <v>36.465207219079801</v>
      </c>
      <c r="V157" s="17">
        <v>37.633803541580299</v>
      </c>
      <c r="W157" s="17">
        <v>35.889668750809399</v>
      </c>
      <c r="X157" s="17">
        <v>38.664960960273199</v>
      </c>
      <c r="Y157" s="17">
        <v>39.580513414726703</v>
      </c>
      <c r="Z157" s="17">
        <v>43.258414417818699</v>
      </c>
      <c r="AA157" s="17">
        <v>40.491542378350999</v>
      </c>
      <c r="AB157" s="17">
        <v>40.664218544437603</v>
      </c>
      <c r="AC157" s="17">
        <v>39.3810306032182</v>
      </c>
      <c r="AD157" s="17">
        <v>40.2147214545829</v>
      </c>
      <c r="AE157" s="17">
        <v>40.8725185066615</v>
      </c>
      <c r="AF157" s="17">
        <v>43.898984596046702</v>
      </c>
      <c r="AG157" s="17">
        <v>42.040383548889402</v>
      </c>
      <c r="AH157" s="17">
        <v>41.233614258418001</v>
      </c>
      <c r="AI157" s="17">
        <v>41.446970501384101</v>
      </c>
      <c r="AJ157" s="17">
        <v>41.277825374328103</v>
      </c>
      <c r="AK157" s="17">
        <v>37.7732691364291</v>
      </c>
      <c r="AL157" s="17">
        <v>39.387256932396497</v>
      </c>
      <c r="AM157" s="17">
        <v>40.853943987737097</v>
      </c>
      <c r="AN157" s="17">
        <v>38.6256912096338</v>
      </c>
      <c r="AO157" s="17"/>
      <c r="AP157" s="17"/>
      <c r="AQ157" s="17"/>
      <c r="AR157" s="17"/>
      <c r="AS157" s="17"/>
      <c r="AT157" s="17"/>
      <c r="AU157" s="17"/>
      <c r="AV157" s="17"/>
      <c r="AW157" s="17"/>
      <c r="AX157" s="17"/>
      <c r="AY157" s="17"/>
      <c r="AZ157" s="17"/>
      <c r="BA157" s="17"/>
      <c r="BB157" s="17"/>
      <c r="BC157" s="17"/>
      <c r="BD157" s="17"/>
      <c r="BE157" s="17"/>
      <c r="BF157" s="17"/>
      <c r="BG157" s="17"/>
      <c r="BH157" s="17"/>
      <c r="BI157" s="17"/>
      <c r="BJ157" s="17"/>
      <c r="BK157" s="17"/>
      <c r="BL157" s="17"/>
      <c r="BM157" s="17"/>
      <c r="BN157" s="17"/>
      <c r="BO157" s="17"/>
      <c r="BP157" s="17"/>
      <c r="BQ157" s="17"/>
      <c r="BR157" s="17"/>
      <c r="BS157" s="17"/>
      <c r="BT157" s="17"/>
      <c r="BU157" s="17"/>
      <c r="BV157" s="17"/>
      <c r="BW157" s="17"/>
      <c r="BX157" s="17"/>
      <c r="BY157" s="17"/>
      <c r="BZ157" s="17"/>
      <c r="CA157" s="17"/>
      <c r="CB157" s="17"/>
      <c r="CC157" s="17"/>
      <c r="CD157" s="17"/>
      <c r="CE157" s="17"/>
      <c r="CF157" s="17"/>
      <c r="CG157" s="17"/>
      <c r="CH157" s="17"/>
      <c r="CI157" s="17"/>
      <c r="CJ157" s="17"/>
      <c r="CK157" s="17"/>
      <c r="CL157" s="17"/>
      <c r="CM157" s="17"/>
      <c r="CN157" s="17"/>
      <c r="CO157" s="17"/>
      <c r="CP157" s="17"/>
      <c r="CQ157" s="17"/>
      <c r="CR157" s="17"/>
      <c r="CS157" s="17"/>
      <c r="CT157" s="17"/>
      <c r="CU157" s="17"/>
      <c r="CV157" s="17"/>
    </row>
    <row r="158" spans="2:100" x14ac:dyDescent="0.35">
      <c r="B158" s="9"/>
      <c r="C158" t="s">
        <v>230</v>
      </c>
      <c r="D158" t="s">
        <v>345</v>
      </c>
      <c r="E158" t="s">
        <v>219</v>
      </c>
      <c r="F158" s="17">
        <v>0</v>
      </c>
      <c r="G158" s="17">
        <v>-51.806391311864502</v>
      </c>
      <c r="H158" s="17">
        <v>-38.354062375801298</v>
      </c>
      <c r="I158" s="17">
        <v>-35.726394759656401</v>
      </c>
      <c r="J158" s="17">
        <v>-36.480292486417703</v>
      </c>
      <c r="K158" s="17">
        <v>-37.469150564770402</v>
      </c>
      <c r="L158" s="17">
        <v>-36.6458334464158</v>
      </c>
      <c r="M158" s="17">
        <v>-34.784056553503198</v>
      </c>
      <c r="N158" s="17">
        <v>-30.124171506621099</v>
      </c>
      <c r="O158" s="17">
        <v>-29.2425922442611</v>
      </c>
      <c r="P158" s="17">
        <v>-31.4687138627128</v>
      </c>
      <c r="Q158" s="17">
        <v>-37.068032888379797</v>
      </c>
      <c r="R158" s="17">
        <v>-35.977516405272603</v>
      </c>
      <c r="S158" s="17">
        <v>-34.945554578279797</v>
      </c>
      <c r="T158" s="17">
        <v>-28.958980860818802</v>
      </c>
      <c r="U158" s="17">
        <v>-28.122249972892199</v>
      </c>
      <c r="V158" s="17">
        <v>-33.615366209253303</v>
      </c>
      <c r="W158" s="17">
        <v>-34.809327510352503</v>
      </c>
      <c r="X158" s="17">
        <v>-36.518653360146899</v>
      </c>
      <c r="Y158" s="17">
        <v>-36.791180624028598</v>
      </c>
      <c r="Z158" s="17">
        <v>-30.619707913067401</v>
      </c>
      <c r="AA158" s="17">
        <v>-34.1497127044534</v>
      </c>
      <c r="AB158" s="17">
        <v>-30.794818197775601</v>
      </c>
      <c r="AC158" s="17">
        <v>-28.087232094695</v>
      </c>
      <c r="AD158" s="17">
        <v>-26.267984373065399</v>
      </c>
      <c r="AE158" s="17">
        <v>-26.228265407401398</v>
      </c>
      <c r="AF158" s="17">
        <v>-25.060588408672199</v>
      </c>
      <c r="AG158" s="17">
        <v>-22.9082947571715</v>
      </c>
      <c r="AH158" s="17">
        <v>-23.0254563037055</v>
      </c>
      <c r="AI158" s="17">
        <v>-22.368369638177398</v>
      </c>
      <c r="AJ158" s="17">
        <v>-22.086252155863399</v>
      </c>
      <c r="AK158" s="17">
        <v>-25.172359374910901</v>
      </c>
      <c r="AL158" s="17">
        <v>-23.4175165515767</v>
      </c>
      <c r="AM158" s="17">
        <v>-21.729199339328499</v>
      </c>
      <c r="AN158" s="17">
        <v>-21.063807419275701</v>
      </c>
      <c r="AO158" s="17"/>
      <c r="AP158" s="17"/>
      <c r="AQ158" s="17"/>
      <c r="AR158" s="17"/>
      <c r="AS158" s="17"/>
      <c r="AT158" s="17"/>
      <c r="AU158" s="17"/>
      <c r="AV158" s="17"/>
      <c r="AW158" s="17"/>
      <c r="AX158" s="17"/>
      <c r="AY158" s="17"/>
      <c r="AZ158" s="17"/>
      <c r="BA158" s="17"/>
      <c r="BB158" s="17"/>
      <c r="BC158" s="17"/>
      <c r="BD158" s="17"/>
      <c r="BE158" s="17"/>
      <c r="BF158" s="17"/>
      <c r="BG158" s="17"/>
      <c r="BH158" s="17"/>
      <c r="BI158" s="17"/>
      <c r="BJ158" s="17"/>
      <c r="BK158" s="17"/>
      <c r="BL158" s="17"/>
      <c r="BM158" s="17"/>
      <c r="BN158" s="17"/>
      <c r="BO158" s="17"/>
      <c r="BP158" s="17"/>
      <c r="BQ158" s="17"/>
      <c r="BR158" s="17"/>
      <c r="BS158" s="17"/>
      <c r="BT158" s="17"/>
      <c r="BU158" s="17"/>
      <c r="BV158" s="17"/>
      <c r="BW158" s="17"/>
      <c r="BX158" s="17"/>
      <c r="BY158" s="17"/>
      <c r="BZ158" s="17"/>
      <c r="CA158" s="17"/>
      <c r="CB158" s="17"/>
      <c r="CC158" s="17"/>
      <c r="CD158" s="17"/>
      <c r="CE158" s="17"/>
      <c r="CF158" s="17"/>
      <c r="CG158" s="17"/>
      <c r="CH158" s="17"/>
      <c r="CI158" s="17"/>
      <c r="CJ158" s="17"/>
      <c r="CK158" s="17"/>
      <c r="CL158" s="17"/>
      <c r="CM158" s="17"/>
      <c r="CN158" s="17"/>
      <c r="CO158" s="17"/>
      <c r="CP158" s="17"/>
      <c r="CQ158" s="17"/>
      <c r="CR158" s="17"/>
      <c r="CS158" s="17"/>
      <c r="CT158" s="17"/>
      <c r="CU158" s="17"/>
      <c r="CV158" s="17"/>
    </row>
    <row r="159" spans="2:100" x14ac:dyDescent="0.35">
      <c r="B159" s="9"/>
      <c r="D159" t="s">
        <v>220</v>
      </c>
      <c r="E159" t="s">
        <v>219</v>
      </c>
      <c r="F159" s="17">
        <v>0</v>
      </c>
      <c r="G159" s="17">
        <v>-36.893215115780599</v>
      </c>
      <c r="H159" s="17">
        <v>-38.829645277666202</v>
      </c>
      <c r="I159" s="17">
        <v>-39.229248159206399</v>
      </c>
      <c r="J159" s="17">
        <v>-33.3013858007754</v>
      </c>
      <c r="K159" s="17">
        <v>-34.636400619601098</v>
      </c>
      <c r="L159" s="17">
        <v>-30.0694821890905</v>
      </c>
      <c r="M159" s="17">
        <v>-34.484785325365799</v>
      </c>
      <c r="N159" s="17">
        <v>-30.30674085011</v>
      </c>
      <c r="O159" s="17">
        <v>-31.6293447980233</v>
      </c>
      <c r="P159" s="17">
        <v>-32.028352208484399</v>
      </c>
      <c r="Q159" s="17">
        <v>-32.379042886647603</v>
      </c>
      <c r="R159" s="17">
        <v>-34.972538820339302</v>
      </c>
      <c r="S159" s="17">
        <v>-32.803843597009902</v>
      </c>
      <c r="T159" s="17">
        <v>-32.834703624514297</v>
      </c>
      <c r="U159" s="17">
        <v>-30.156525435253801</v>
      </c>
      <c r="V159" s="17">
        <v>-27.9379568973321</v>
      </c>
      <c r="W159" s="17">
        <v>-28.855630064576101</v>
      </c>
      <c r="X159" s="17">
        <v>-27.341159066850601</v>
      </c>
      <c r="Y159" s="17">
        <v>-27.654408195056</v>
      </c>
      <c r="Z159" s="17">
        <v>-29.2955160422764</v>
      </c>
      <c r="AA159" s="17">
        <v>-25.974333556166201</v>
      </c>
      <c r="AB159" s="17">
        <v>-22.606108854804699</v>
      </c>
      <c r="AC159" s="17">
        <v>-23.479006775642599</v>
      </c>
      <c r="AD159" s="17">
        <v>-22.501525328959701</v>
      </c>
      <c r="AE159" s="17">
        <v>-21.757478992156599</v>
      </c>
      <c r="AF159" s="17">
        <v>-20.9708930372094</v>
      </c>
      <c r="AG159" s="17">
        <v>-22.141035495143399</v>
      </c>
      <c r="AH159" s="17">
        <v>-21.4512188139853</v>
      </c>
      <c r="AI159" s="17">
        <v>-20.669647352336</v>
      </c>
      <c r="AJ159" s="17">
        <v>-20.0223076081557</v>
      </c>
      <c r="AK159" s="17">
        <v>-20.695095905822999</v>
      </c>
      <c r="AL159" s="17">
        <v>-23.472467040633202</v>
      </c>
      <c r="AM159" s="17">
        <v>-24.335941892815502</v>
      </c>
      <c r="AN159" s="17">
        <v>-23.7036142879459</v>
      </c>
      <c r="AO159" s="17"/>
      <c r="AP159" s="17"/>
      <c r="AQ159" s="17"/>
      <c r="AR159" s="17"/>
      <c r="AS159" s="17"/>
      <c r="AT159" s="17"/>
      <c r="AU159" s="17"/>
      <c r="AV159" s="17"/>
      <c r="AW159" s="17"/>
      <c r="AX159" s="17"/>
      <c r="AY159" s="17"/>
      <c r="AZ159" s="17"/>
      <c r="BA159" s="17"/>
      <c r="BB159" s="17"/>
      <c r="BC159" s="17"/>
      <c r="BD159" s="17"/>
      <c r="BE159" s="17"/>
      <c r="BF159" s="17"/>
      <c r="BG159" s="17"/>
      <c r="BH159" s="17"/>
      <c r="BI159" s="17"/>
      <c r="BJ159" s="17"/>
      <c r="BK159" s="17"/>
      <c r="BL159" s="17"/>
      <c r="BM159" s="17"/>
      <c r="BN159" s="17"/>
      <c r="BO159" s="17"/>
      <c r="BP159" s="17"/>
      <c r="BQ159" s="17"/>
      <c r="BR159" s="17"/>
      <c r="BS159" s="17"/>
      <c r="BT159" s="17"/>
      <c r="BU159" s="17"/>
      <c r="BV159" s="17"/>
      <c r="BW159" s="17"/>
      <c r="BX159" s="17"/>
      <c r="BY159" s="17"/>
      <c r="BZ159" s="17"/>
      <c r="CA159" s="17"/>
      <c r="CB159" s="17"/>
      <c r="CC159" s="17"/>
      <c r="CD159" s="17"/>
      <c r="CE159" s="17"/>
      <c r="CF159" s="17"/>
      <c r="CG159" s="17"/>
      <c r="CH159" s="17"/>
      <c r="CI159" s="17"/>
      <c r="CJ159" s="17"/>
      <c r="CK159" s="17"/>
      <c r="CL159" s="17"/>
      <c r="CM159" s="17"/>
      <c r="CN159" s="17"/>
      <c r="CO159" s="17"/>
      <c r="CP159" s="17"/>
      <c r="CQ159" s="17"/>
      <c r="CR159" s="17"/>
      <c r="CS159" s="17"/>
      <c r="CT159" s="17"/>
      <c r="CU159" s="17"/>
      <c r="CV159" s="17"/>
    </row>
    <row r="160" spans="2:100" x14ac:dyDescent="0.35">
      <c r="B160" s="9"/>
      <c r="C160" t="s">
        <v>230</v>
      </c>
      <c r="D160" t="s">
        <v>346</v>
      </c>
      <c r="E160" t="s">
        <v>219</v>
      </c>
      <c r="F160" s="17">
        <v>0</v>
      </c>
      <c r="G160" s="17">
        <v>173.415960550937</v>
      </c>
      <c r="H160" s="17">
        <v>159.82414512630299</v>
      </c>
      <c r="I160" s="17">
        <v>135.255541191324</v>
      </c>
      <c r="J160" s="17">
        <v>120.723299336106</v>
      </c>
      <c r="K160" s="17">
        <v>122.65789085045</v>
      </c>
      <c r="L160" s="17">
        <v>131.78945029576499</v>
      </c>
      <c r="M160" s="17">
        <v>120.778260272024</v>
      </c>
      <c r="N160" s="17">
        <v>117.104172373211</v>
      </c>
      <c r="O160" s="17">
        <v>116.370875856415</v>
      </c>
      <c r="P160" s="17">
        <v>110.047568467137</v>
      </c>
      <c r="Q160" s="17">
        <v>110.085887553422</v>
      </c>
      <c r="R160" s="17">
        <v>104.940944301714</v>
      </c>
      <c r="S160" s="17">
        <v>106.807641666175</v>
      </c>
      <c r="T160" s="17">
        <v>109.46239799299001</v>
      </c>
      <c r="U160" s="17">
        <v>108.949645159554</v>
      </c>
      <c r="V160" s="17">
        <v>108.925199504727</v>
      </c>
      <c r="W160" s="17">
        <v>105.49058500147299</v>
      </c>
      <c r="X160" s="17">
        <v>104.854987529098</v>
      </c>
      <c r="Y160" s="17">
        <v>104.88837569697399</v>
      </c>
      <c r="Z160" s="17">
        <v>106.12115753368801</v>
      </c>
      <c r="AA160" s="17">
        <v>105.2286195141</v>
      </c>
      <c r="AB160" s="17">
        <v>108.904075951709</v>
      </c>
      <c r="AC160" s="17">
        <v>107.562709441373</v>
      </c>
      <c r="AD160" s="17">
        <v>108.493796378189</v>
      </c>
      <c r="AE160" s="17">
        <v>108.373187367512</v>
      </c>
      <c r="AF160" s="17">
        <v>108.71693088308599</v>
      </c>
      <c r="AG160" s="17">
        <v>108.508693602028</v>
      </c>
      <c r="AH160" s="17">
        <v>108.069058348993</v>
      </c>
      <c r="AI160" s="17">
        <v>109.248049298225</v>
      </c>
      <c r="AJ160" s="17">
        <v>110.70352687167301</v>
      </c>
      <c r="AK160" s="17">
        <v>108.207970260206</v>
      </c>
      <c r="AL160" s="17">
        <v>110.609630484669</v>
      </c>
      <c r="AM160" s="17">
        <v>110.809499830036</v>
      </c>
      <c r="AN160" s="17">
        <v>108.203603472293</v>
      </c>
      <c r="AO160" s="17"/>
      <c r="AP160" s="17"/>
      <c r="AQ160" s="17"/>
      <c r="AR160" s="17"/>
      <c r="AS160" s="17"/>
      <c r="AT160" s="17"/>
      <c r="AU160" s="17"/>
      <c r="AV160" s="17"/>
      <c r="AW160" s="17"/>
      <c r="AX160" s="17"/>
      <c r="AY160" s="17"/>
      <c r="AZ160" s="17"/>
      <c r="BA160" s="17"/>
      <c r="BB160" s="17"/>
      <c r="BC160" s="17"/>
      <c r="BD160" s="17"/>
      <c r="BE160" s="17"/>
      <c r="BF160" s="17"/>
      <c r="BG160" s="17"/>
      <c r="BH160" s="17"/>
      <c r="BI160" s="17"/>
      <c r="BJ160" s="17"/>
      <c r="BK160" s="17"/>
      <c r="BL160" s="17"/>
      <c r="BM160" s="17"/>
      <c r="BN160" s="17"/>
      <c r="BO160" s="17"/>
      <c r="BP160" s="17"/>
      <c r="BQ160" s="17"/>
      <c r="BR160" s="17"/>
      <c r="BS160" s="17"/>
      <c r="BT160" s="17"/>
      <c r="BU160" s="17"/>
      <c r="BV160" s="17"/>
      <c r="BW160" s="17"/>
      <c r="BX160" s="17"/>
      <c r="BY160" s="17"/>
      <c r="BZ160" s="17"/>
      <c r="CA160" s="17"/>
      <c r="CB160" s="17"/>
      <c r="CC160" s="17"/>
      <c r="CD160" s="17"/>
      <c r="CE160" s="17"/>
      <c r="CF160" s="17"/>
      <c r="CG160" s="17"/>
      <c r="CH160" s="17"/>
      <c r="CI160" s="17"/>
      <c r="CJ160" s="17"/>
      <c r="CK160" s="17"/>
      <c r="CL160" s="17"/>
      <c r="CM160" s="17"/>
      <c r="CN160" s="17"/>
      <c r="CO160" s="17"/>
      <c r="CP160" s="17"/>
      <c r="CQ160" s="17"/>
      <c r="CR160" s="17"/>
      <c r="CS160" s="17"/>
      <c r="CT160" s="17"/>
      <c r="CU160" s="17"/>
      <c r="CV160" s="17"/>
    </row>
    <row r="161" spans="2:100" x14ac:dyDescent="0.35">
      <c r="B161" s="9"/>
      <c r="C161" t="s">
        <v>230</v>
      </c>
      <c r="D161" t="s">
        <v>347</v>
      </c>
      <c r="E161" t="s">
        <v>219</v>
      </c>
      <c r="F161" s="17">
        <v>0</v>
      </c>
      <c r="G161" s="17">
        <v>9.8877345877824894</v>
      </c>
      <c r="H161" s="17">
        <v>10.830407093488899</v>
      </c>
      <c r="I161" s="17">
        <v>5.4089354301220602</v>
      </c>
      <c r="J161" s="17">
        <v>5.3472885031405797</v>
      </c>
      <c r="K161" s="17">
        <v>3.9980241658599298</v>
      </c>
      <c r="L161" s="17">
        <v>4.2380825856374997</v>
      </c>
      <c r="M161" s="17">
        <v>4.7772137431927</v>
      </c>
      <c r="N161" s="17">
        <v>5.1850383043692903</v>
      </c>
      <c r="O161" s="17">
        <v>6.6190057909408697</v>
      </c>
      <c r="P161" s="17">
        <v>6.4107058287168899</v>
      </c>
      <c r="Q161" s="17">
        <v>6.7420384733779004</v>
      </c>
      <c r="R161" s="17">
        <v>7.1799082068979398</v>
      </c>
      <c r="S161" s="17">
        <v>7.4509311227902604</v>
      </c>
      <c r="T161" s="17">
        <v>7.17269987278216</v>
      </c>
      <c r="U161" s="17">
        <v>6.9511637376238404</v>
      </c>
      <c r="V161" s="17">
        <v>7.3473818361879104</v>
      </c>
      <c r="W161" s="17">
        <v>7.2147275947354697</v>
      </c>
      <c r="X161" s="17">
        <v>7.4894800400181296</v>
      </c>
      <c r="Y161" s="17">
        <v>7.9726578098572096</v>
      </c>
      <c r="Z161" s="17">
        <v>8.6296191130528399</v>
      </c>
      <c r="AA161" s="17">
        <v>8.7356443057210402</v>
      </c>
      <c r="AB161" s="17">
        <v>8.8323091108997591</v>
      </c>
      <c r="AC161" s="17">
        <v>8.6896781171566406</v>
      </c>
      <c r="AD161" s="17">
        <v>8.3928305607799594</v>
      </c>
      <c r="AE161" s="17">
        <v>8.4773352197111898</v>
      </c>
      <c r="AF161" s="17">
        <v>8.5678363768778691</v>
      </c>
      <c r="AG161" s="17">
        <v>8.4708163784238799</v>
      </c>
      <c r="AH161" s="17">
        <v>8.2479639387748396</v>
      </c>
      <c r="AI161" s="17">
        <v>8.2290760140192898</v>
      </c>
      <c r="AJ161" s="17">
        <v>8.5250460340688292</v>
      </c>
      <c r="AK161" s="17">
        <v>8.37545743087483</v>
      </c>
      <c r="AL161" s="17">
        <v>8.3535294695573992</v>
      </c>
      <c r="AM161" s="17">
        <v>8.5818665112510502</v>
      </c>
      <c r="AN161" s="17">
        <v>8.47031492909408</v>
      </c>
      <c r="AO161" s="17"/>
      <c r="AP161" s="17"/>
      <c r="AQ161" s="17"/>
      <c r="AR161" s="17"/>
      <c r="AS161" s="17"/>
      <c r="AT161" s="17"/>
      <c r="AU161" s="17"/>
      <c r="AV161" s="17"/>
      <c r="AW161" s="17"/>
      <c r="AX161" s="17"/>
      <c r="AY161" s="17"/>
      <c r="AZ161" s="17"/>
      <c r="BA161" s="17"/>
      <c r="BB161" s="17"/>
      <c r="BC161" s="17"/>
      <c r="BD161" s="17"/>
      <c r="BE161" s="17"/>
      <c r="BF161" s="17"/>
      <c r="BG161" s="17"/>
      <c r="BH161" s="17"/>
      <c r="BI161" s="17"/>
      <c r="BJ161" s="17"/>
      <c r="BK161" s="17"/>
      <c r="BL161" s="17"/>
      <c r="BM161" s="17"/>
      <c r="BN161" s="17"/>
      <c r="BO161" s="17"/>
      <c r="BP161" s="17"/>
      <c r="BQ161" s="17"/>
      <c r="BR161" s="17"/>
      <c r="BS161" s="17"/>
      <c r="BT161" s="17"/>
      <c r="BU161" s="17"/>
      <c r="BV161" s="17"/>
      <c r="BW161" s="17"/>
      <c r="BX161" s="17"/>
      <c r="BY161" s="17"/>
      <c r="BZ161" s="17"/>
      <c r="CA161" s="17"/>
      <c r="CB161" s="17"/>
      <c r="CC161" s="17"/>
      <c r="CD161" s="17"/>
      <c r="CE161" s="17"/>
      <c r="CF161" s="17"/>
      <c r="CG161" s="17"/>
      <c r="CH161" s="17"/>
      <c r="CI161" s="17"/>
      <c r="CJ161" s="17"/>
      <c r="CK161" s="17"/>
      <c r="CL161" s="17"/>
      <c r="CM161" s="17"/>
      <c r="CN161" s="17"/>
      <c r="CO161" s="17"/>
      <c r="CP161" s="17"/>
      <c r="CQ161" s="17"/>
      <c r="CR161" s="17"/>
      <c r="CS161" s="17"/>
      <c r="CT161" s="17"/>
      <c r="CU161" s="17"/>
      <c r="CV161" s="17"/>
    </row>
    <row r="162" spans="2:100" x14ac:dyDescent="0.35">
      <c r="B162" s="9"/>
      <c r="C162" t="s">
        <v>230</v>
      </c>
      <c r="D162" t="s">
        <v>348</v>
      </c>
      <c r="E162" t="s">
        <v>219</v>
      </c>
      <c r="F162" s="17">
        <v>0</v>
      </c>
      <c r="G162" s="17">
        <v>26.225977544834201</v>
      </c>
      <c r="H162" s="17">
        <v>15.2930971914297</v>
      </c>
      <c r="I162" s="17">
        <v>8.7333459962928099</v>
      </c>
      <c r="J162" s="17">
        <v>7.9839926540827504</v>
      </c>
      <c r="K162" s="17">
        <v>8.0310453161950406</v>
      </c>
      <c r="L162" s="17">
        <v>7.9934261695994904</v>
      </c>
      <c r="M162" s="17">
        <v>6.59328561906689</v>
      </c>
      <c r="N162" s="17">
        <v>6.9432972512626998</v>
      </c>
      <c r="O162" s="17">
        <v>8.0661676630026502</v>
      </c>
      <c r="P162" s="17">
        <v>7.4518922340056903</v>
      </c>
      <c r="Q162" s="17">
        <v>7.14874522042349</v>
      </c>
      <c r="R162" s="17">
        <v>7.4427407837369604</v>
      </c>
      <c r="S162" s="17">
        <v>7.4229439820711596</v>
      </c>
      <c r="T162" s="17">
        <v>7.3142861804215498</v>
      </c>
      <c r="U162" s="17">
        <v>6.9747109624020496</v>
      </c>
      <c r="V162" s="17">
        <v>7.1740475178559802</v>
      </c>
      <c r="W162" s="17">
        <v>6.9606912748899097</v>
      </c>
      <c r="X162" s="17">
        <v>6.3908150053017501</v>
      </c>
      <c r="Y162" s="17">
        <v>6.5685578989914504</v>
      </c>
      <c r="Z162" s="17">
        <v>6.76376794433562</v>
      </c>
      <c r="AA162" s="17">
        <v>6.6692029582253998</v>
      </c>
      <c r="AB162" s="17">
        <v>6.5028366962054003</v>
      </c>
      <c r="AC162" s="17">
        <v>6.41751718211325</v>
      </c>
      <c r="AD162" s="17">
        <v>6.3269533437803496</v>
      </c>
      <c r="AE162" s="17">
        <v>6.4511874152366699</v>
      </c>
      <c r="AF162" s="17">
        <v>6.3326677767677904</v>
      </c>
      <c r="AG162" s="17">
        <v>6.4108102973272603</v>
      </c>
      <c r="AH162" s="17">
        <v>6.3015361308764399</v>
      </c>
      <c r="AI162" s="17">
        <v>6.2002538131192102</v>
      </c>
      <c r="AJ162" s="17">
        <v>6.0699083279560302</v>
      </c>
      <c r="AK162" s="17">
        <v>5.9888302394450497</v>
      </c>
      <c r="AL162" s="17">
        <v>5.6829565951320902</v>
      </c>
      <c r="AM162" s="17">
        <v>5.8119022009162702</v>
      </c>
      <c r="AN162" s="17">
        <v>6.3561732141018501</v>
      </c>
      <c r="AO162" s="17"/>
      <c r="AP162" s="17"/>
      <c r="AQ162" s="17"/>
      <c r="AR162" s="17"/>
      <c r="AS162" s="17"/>
      <c r="AT162" s="17"/>
      <c r="AU162" s="17"/>
      <c r="AV162" s="17"/>
      <c r="AW162" s="17"/>
      <c r="AX162" s="17"/>
      <c r="AY162" s="17"/>
      <c r="AZ162" s="17"/>
      <c r="BA162" s="17"/>
      <c r="BB162" s="17"/>
      <c r="BC162" s="17"/>
      <c r="BD162" s="17"/>
      <c r="BE162" s="17"/>
      <c r="BF162" s="17"/>
      <c r="BG162" s="17"/>
      <c r="BH162" s="17"/>
      <c r="BI162" s="17"/>
      <c r="BJ162" s="17"/>
      <c r="BK162" s="17"/>
      <c r="BL162" s="17"/>
      <c r="BM162" s="17"/>
      <c r="BN162" s="17"/>
      <c r="BO162" s="17"/>
      <c r="BP162" s="17"/>
      <c r="BQ162" s="17"/>
      <c r="BR162" s="17"/>
      <c r="BS162" s="17"/>
      <c r="BT162" s="17"/>
      <c r="BU162" s="17"/>
      <c r="BV162" s="17"/>
      <c r="BW162" s="17"/>
      <c r="BX162" s="17"/>
      <c r="BY162" s="17"/>
      <c r="BZ162" s="17"/>
      <c r="CA162" s="17"/>
      <c r="CB162" s="17"/>
      <c r="CC162" s="17"/>
      <c r="CD162" s="17"/>
      <c r="CE162" s="17"/>
      <c r="CF162" s="17"/>
      <c r="CG162" s="17"/>
      <c r="CH162" s="17"/>
      <c r="CI162" s="17"/>
      <c r="CJ162" s="17"/>
      <c r="CK162" s="17"/>
      <c r="CL162" s="17"/>
      <c r="CM162" s="17"/>
      <c r="CN162" s="17"/>
      <c r="CO162" s="17"/>
      <c r="CP162" s="17"/>
      <c r="CQ162" s="17"/>
      <c r="CR162" s="17"/>
      <c r="CS162" s="17"/>
      <c r="CT162" s="17"/>
      <c r="CU162" s="17"/>
      <c r="CV162" s="17"/>
    </row>
    <row r="163" spans="2:100" x14ac:dyDescent="0.35">
      <c r="B163" s="9"/>
      <c r="C163" t="s">
        <v>230</v>
      </c>
      <c r="D163" t="s">
        <v>349</v>
      </c>
      <c r="E163" t="s">
        <v>219</v>
      </c>
      <c r="F163" s="17">
        <v>0</v>
      </c>
      <c r="G163" s="17">
        <v>4.8732203961260696</v>
      </c>
      <c r="H163" s="17">
        <v>4.60363914705691</v>
      </c>
      <c r="I163" s="17">
        <v>4.8796870031081996</v>
      </c>
      <c r="J163" s="17">
        <v>4.9126364028200404</v>
      </c>
      <c r="K163" s="17">
        <v>4.8965168962393903</v>
      </c>
      <c r="L163" s="17">
        <v>5.00998025396619</v>
      </c>
      <c r="M163" s="17">
        <v>4.5346271830440896</v>
      </c>
      <c r="N163" s="17">
        <v>4.3122970864469297</v>
      </c>
      <c r="O163" s="17">
        <v>4.99592922587094</v>
      </c>
      <c r="P163" s="17">
        <v>4.8638913492197098</v>
      </c>
      <c r="Q163" s="17">
        <v>4.5163765168118202</v>
      </c>
      <c r="R163" s="17">
        <v>4.8887130910444796</v>
      </c>
      <c r="S163" s="17">
        <v>4.9816170262497499</v>
      </c>
      <c r="T163" s="17">
        <v>5.0246789874457596</v>
      </c>
      <c r="U163" s="17">
        <v>4.9443321792074002</v>
      </c>
      <c r="V163" s="17">
        <v>5.1578451250890298</v>
      </c>
      <c r="W163" s="17">
        <v>5.0240730695056</v>
      </c>
      <c r="X163" s="17">
        <v>5.1750615520786099</v>
      </c>
      <c r="Y163" s="17">
        <v>4.7451627735300699</v>
      </c>
      <c r="Z163" s="17">
        <v>5.5992876850838504</v>
      </c>
      <c r="AA163" s="17">
        <v>5.7143703062714497</v>
      </c>
      <c r="AB163" s="17">
        <v>5.7772917502994803</v>
      </c>
      <c r="AC163" s="17">
        <v>5.7245142083387197</v>
      </c>
      <c r="AD163" s="17">
        <v>5.8701330043385296</v>
      </c>
      <c r="AE163" s="17">
        <v>5.9626712994074902</v>
      </c>
      <c r="AF163" s="17">
        <v>5.9442325896765498</v>
      </c>
      <c r="AG163" s="17">
        <v>5.8687749124036701</v>
      </c>
      <c r="AH163" s="17">
        <v>5.7357341370928498</v>
      </c>
      <c r="AI163" s="17">
        <v>5.6992745920724603</v>
      </c>
      <c r="AJ163" s="17">
        <v>5.5598925721119601</v>
      </c>
      <c r="AK163" s="17">
        <v>5.3930353076231903</v>
      </c>
      <c r="AL163" s="17">
        <v>5.4965950410865698</v>
      </c>
      <c r="AM163" s="17">
        <v>5.6645596728453</v>
      </c>
      <c r="AN163" s="17">
        <v>5.6062557413957697</v>
      </c>
      <c r="AO163" s="17"/>
      <c r="AP163" s="17"/>
      <c r="AQ163" s="17"/>
      <c r="AR163" s="17"/>
      <c r="AS163" s="17"/>
      <c r="AT163" s="17"/>
      <c r="AU163" s="17"/>
      <c r="AV163" s="17"/>
      <c r="AW163" s="17"/>
      <c r="AX163" s="17"/>
      <c r="AY163" s="17"/>
      <c r="AZ163" s="17"/>
      <c r="BA163" s="17"/>
      <c r="BB163" s="17"/>
      <c r="BC163" s="17"/>
      <c r="BD163" s="17"/>
      <c r="BE163" s="17"/>
      <c r="BF163" s="17"/>
      <c r="BG163" s="17"/>
      <c r="BH163" s="17"/>
      <c r="BI163" s="17"/>
      <c r="BJ163" s="17"/>
      <c r="BK163" s="17"/>
      <c r="BL163" s="17"/>
      <c r="BM163" s="17"/>
      <c r="BN163" s="17"/>
      <c r="BO163" s="17"/>
      <c r="BP163" s="17"/>
      <c r="BQ163" s="17"/>
      <c r="BR163" s="17"/>
      <c r="BS163" s="17"/>
      <c r="BT163" s="17"/>
      <c r="BU163" s="17"/>
      <c r="BV163" s="17"/>
      <c r="BW163" s="17"/>
      <c r="BX163" s="17"/>
      <c r="BY163" s="17"/>
      <c r="BZ163" s="17"/>
      <c r="CA163" s="17"/>
      <c r="CB163" s="17"/>
      <c r="CC163" s="17"/>
      <c r="CD163" s="17"/>
      <c r="CE163" s="17"/>
      <c r="CF163" s="17"/>
      <c r="CG163" s="17"/>
      <c r="CH163" s="17"/>
      <c r="CI163" s="17"/>
      <c r="CJ163" s="17"/>
      <c r="CK163" s="17"/>
      <c r="CL163" s="17"/>
      <c r="CM163" s="17"/>
      <c r="CN163" s="17"/>
      <c r="CO163" s="17"/>
      <c r="CP163" s="17"/>
      <c r="CQ163" s="17"/>
      <c r="CR163" s="17"/>
      <c r="CS163" s="17"/>
      <c r="CT163" s="17"/>
      <c r="CU163" s="17"/>
      <c r="CV163" s="17"/>
    </row>
    <row r="164" spans="2:100" x14ac:dyDescent="0.35">
      <c r="B164" s="9"/>
      <c r="C164" t="s">
        <v>230</v>
      </c>
      <c r="D164" t="s">
        <v>350</v>
      </c>
      <c r="E164" t="s">
        <v>219</v>
      </c>
      <c r="F164" s="17">
        <v>0</v>
      </c>
      <c r="G164" s="17">
        <v>40.987820511930899</v>
      </c>
      <c r="H164" s="17">
        <v>30.731478879306099</v>
      </c>
      <c r="I164" s="17">
        <v>19.021811726607499</v>
      </c>
      <c r="J164" s="17">
        <v>18.241452100838501</v>
      </c>
      <c r="K164" s="17">
        <v>16.924270073803601</v>
      </c>
      <c r="L164" s="17">
        <v>17.2396712553826</v>
      </c>
      <c r="M164" s="17">
        <v>15.909409758329</v>
      </c>
      <c r="N164" s="17">
        <v>16.445657582237899</v>
      </c>
      <c r="O164" s="17">
        <v>19.684518803373599</v>
      </c>
      <c r="P164" s="17">
        <v>18.730553240885801</v>
      </c>
      <c r="Q164" s="17">
        <v>18.405227541321299</v>
      </c>
      <c r="R164" s="17">
        <v>19.5116232532053</v>
      </c>
      <c r="S164" s="17">
        <v>19.8537370584569</v>
      </c>
      <c r="T164" s="17">
        <v>19.509272709471901</v>
      </c>
      <c r="U164" s="17">
        <v>18.870844137756499</v>
      </c>
      <c r="V164" s="17">
        <v>19.684069588349001</v>
      </c>
      <c r="W164" s="17">
        <v>19.2008395842048</v>
      </c>
      <c r="X164" s="17">
        <v>19.057184798080002</v>
      </c>
      <c r="Y164" s="17">
        <v>19.289470753245801</v>
      </c>
      <c r="Z164" s="17">
        <v>20.997459404827399</v>
      </c>
      <c r="AA164" s="17">
        <v>21.1202309157385</v>
      </c>
      <c r="AB164" s="17">
        <v>21.113482243508301</v>
      </c>
      <c r="AC164" s="17">
        <v>20.834415244617301</v>
      </c>
      <c r="AD164" s="17">
        <v>20.585602355290401</v>
      </c>
      <c r="AE164" s="17">
        <v>20.887725576490901</v>
      </c>
      <c r="AF164" s="17">
        <v>20.842260837256301</v>
      </c>
      <c r="AG164" s="17">
        <v>20.748552493751198</v>
      </c>
      <c r="AH164" s="17">
        <v>20.2859341464336</v>
      </c>
      <c r="AI164" s="17">
        <v>20.131957861603901</v>
      </c>
      <c r="AJ164" s="17">
        <v>20.1540843132811</v>
      </c>
      <c r="AK164" s="17">
        <v>19.7530188711956</v>
      </c>
      <c r="AL164" s="17">
        <v>19.5306678808764</v>
      </c>
      <c r="AM164" s="17">
        <v>20.056374821998599</v>
      </c>
      <c r="AN164" s="17">
        <v>20.435846602319799</v>
      </c>
      <c r="AO164" s="17"/>
      <c r="AP164" s="17"/>
      <c r="AQ164" s="17"/>
      <c r="AR164" s="17"/>
      <c r="AS164" s="17"/>
      <c r="AT164" s="17"/>
      <c r="AU164" s="17"/>
      <c r="AV164" s="17"/>
      <c r="AW164" s="17"/>
      <c r="AX164" s="17"/>
      <c r="AY164" s="17"/>
      <c r="AZ164" s="17"/>
      <c r="BA164" s="17"/>
      <c r="BB164" s="17"/>
      <c r="BC164" s="17"/>
      <c r="BD164" s="17"/>
      <c r="BE164" s="17"/>
      <c r="BF164" s="17"/>
      <c r="BG164" s="17"/>
      <c r="BH164" s="17"/>
      <c r="BI164" s="17"/>
      <c r="BJ164" s="17"/>
      <c r="BK164" s="17"/>
      <c r="BL164" s="17"/>
      <c r="BM164" s="17"/>
      <c r="BN164" s="17"/>
      <c r="BO164" s="17"/>
      <c r="BP164" s="17"/>
      <c r="BQ164" s="17"/>
      <c r="BR164" s="17"/>
      <c r="BS164" s="17"/>
      <c r="BT164" s="17"/>
      <c r="BU164" s="17"/>
      <c r="BV164" s="17"/>
      <c r="BW164" s="17"/>
      <c r="BX164" s="17"/>
      <c r="BY164" s="17"/>
      <c r="BZ164" s="17"/>
      <c r="CA164" s="17"/>
      <c r="CB164" s="17"/>
      <c r="CC164" s="17"/>
      <c r="CD164" s="17"/>
      <c r="CE164" s="17"/>
      <c r="CF164" s="17"/>
      <c r="CG164" s="17"/>
      <c r="CH164" s="17"/>
      <c r="CI164" s="17"/>
      <c r="CJ164" s="17"/>
      <c r="CK164" s="17"/>
      <c r="CL164" s="17"/>
      <c r="CM164" s="17"/>
      <c r="CN164" s="17"/>
      <c r="CO164" s="17"/>
      <c r="CP164" s="17"/>
      <c r="CQ164" s="17"/>
      <c r="CR164" s="17"/>
      <c r="CS164" s="17"/>
      <c r="CT164" s="17"/>
      <c r="CU164" s="17"/>
      <c r="CV164" s="17"/>
    </row>
    <row r="165" spans="2:100" x14ac:dyDescent="0.35">
      <c r="B165" s="9"/>
      <c r="D165" t="s">
        <v>351</v>
      </c>
      <c r="E165" t="s">
        <v>219</v>
      </c>
      <c r="F165" s="17">
        <v>0</v>
      </c>
      <c r="G165" s="17">
        <v>-26.065942080602799</v>
      </c>
      <c r="H165" s="17">
        <v>-24.227576603274901</v>
      </c>
      <c r="I165" s="17">
        <v>-24.0340276088357</v>
      </c>
      <c r="J165" s="17">
        <v>-23.3705788049358</v>
      </c>
      <c r="K165" s="17">
        <v>-23.119154200349598</v>
      </c>
      <c r="L165" s="17">
        <v>-24.159504856755401</v>
      </c>
      <c r="M165" s="17">
        <v>-23.020420916685499</v>
      </c>
      <c r="N165" s="17">
        <v>-22.037381739930701</v>
      </c>
      <c r="O165" s="17">
        <v>-21.670623789492002</v>
      </c>
      <c r="P165" s="17">
        <v>-21.7751341873097</v>
      </c>
      <c r="Q165" s="17">
        <v>-22.975833713778002</v>
      </c>
      <c r="R165" s="17">
        <v>-22.1444098312584</v>
      </c>
      <c r="S165" s="17">
        <v>-22.535383605581799</v>
      </c>
      <c r="T165" s="17">
        <v>-21.811363901387299</v>
      </c>
      <c r="U165" s="17">
        <v>-21.905688609693701</v>
      </c>
      <c r="V165" s="17">
        <v>-22.7407062124101</v>
      </c>
      <c r="W165" s="17">
        <v>-22.382305750801301</v>
      </c>
      <c r="X165" s="17">
        <v>-22.959411248227301</v>
      </c>
      <c r="Y165" s="17">
        <v>-23.1456787805235</v>
      </c>
      <c r="Z165" s="17">
        <v>-22.888424827478399</v>
      </c>
      <c r="AA165" s="17">
        <v>-24.131183416483101</v>
      </c>
      <c r="AB165" s="17">
        <v>-24.878614536262301</v>
      </c>
      <c r="AC165" s="17">
        <v>-24.278682647469701</v>
      </c>
      <c r="AD165" s="17">
        <v>-24.660745249328102</v>
      </c>
      <c r="AE165" s="17">
        <v>-24.909955119374398</v>
      </c>
      <c r="AF165" s="17">
        <v>-25.644421684606201</v>
      </c>
      <c r="AG165" s="17">
        <v>-24.438091300038799</v>
      </c>
      <c r="AH165" s="17">
        <v>-24.2095557679854</v>
      </c>
      <c r="AI165" s="17">
        <v>-24.831624555316299</v>
      </c>
      <c r="AJ165" s="17">
        <v>-25.249833296363999</v>
      </c>
      <c r="AK165" s="17">
        <v>-24.4608863508223</v>
      </c>
      <c r="AL165" s="17">
        <v>-23.834816415714201</v>
      </c>
      <c r="AM165" s="17">
        <v>-23.819960979319099</v>
      </c>
      <c r="AN165" s="17">
        <v>-23.987653992690799</v>
      </c>
      <c r="AO165" s="17"/>
      <c r="AP165" s="17"/>
      <c r="AQ165" s="17"/>
      <c r="AR165" s="17"/>
      <c r="AS165" s="17"/>
      <c r="AT165" s="17"/>
      <c r="AU165" s="17"/>
      <c r="AV165" s="17"/>
      <c r="AW165" s="17"/>
      <c r="AX165" s="17"/>
      <c r="AY165" s="17"/>
      <c r="AZ165" s="17"/>
      <c r="BA165" s="17"/>
      <c r="BB165" s="17"/>
      <c r="BC165" s="17"/>
      <c r="BD165" s="17"/>
      <c r="BE165" s="17"/>
      <c r="BF165" s="17"/>
      <c r="BG165" s="17"/>
      <c r="BH165" s="17"/>
      <c r="BI165" s="17"/>
      <c r="BJ165" s="17"/>
      <c r="BK165" s="17"/>
      <c r="BL165" s="17"/>
      <c r="BM165" s="17"/>
      <c r="BN165" s="17"/>
      <c r="BO165" s="17"/>
      <c r="BP165" s="17"/>
      <c r="BQ165" s="17"/>
      <c r="BR165" s="17"/>
      <c r="BS165" s="17"/>
      <c r="BT165" s="17"/>
      <c r="BU165" s="17"/>
      <c r="BV165" s="17"/>
      <c r="BW165" s="17"/>
      <c r="BX165" s="17"/>
      <c r="BY165" s="17"/>
      <c r="BZ165" s="17"/>
      <c r="CA165" s="17"/>
      <c r="CB165" s="17"/>
      <c r="CC165" s="17"/>
      <c r="CD165" s="17"/>
      <c r="CE165" s="17"/>
      <c r="CF165" s="17"/>
      <c r="CG165" s="17"/>
      <c r="CH165" s="17"/>
      <c r="CI165" s="17"/>
      <c r="CJ165" s="17"/>
      <c r="CK165" s="17"/>
      <c r="CL165" s="17"/>
      <c r="CM165" s="17"/>
      <c r="CN165" s="17"/>
      <c r="CO165" s="17"/>
      <c r="CP165" s="17"/>
      <c r="CQ165" s="17"/>
      <c r="CR165" s="17"/>
      <c r="CS165" s="17"/>
      <c r="CT165" s="17"/>
      <c r="CU165" s="17"/>
      <c r="CV165" s="17"/>
    </row>
    <row r="166" spans="2:100" x14ac:dyDescent="0.35">
      <c r="B166" s="9"/>
      <c r="C166" t="s">
        <v>230</v>
      </c>
      <c r="D166" t="s">
        <v>352</v>
      </c>
      <c r="E166" t="s">
        <v>219</v>
      </c>
      <c r="F166" s="17">
        <v>0</v>
      </c>
      <c r="G166" s="17">
        <v>188.337201723742</v>
      </c>
      <c r="H166" s="17">
        <v>166.32397312652901</v>
      </c>
      <c r="I166" s="17">
        <v>130.24335664967899</v>
      </c>
      <c r="J166" s="17">
        <v>115.595729214304</v>
      </c>
      <c r="K166" s="17">
        <v>116.464239453506</v>
      </c>
      <c r="L166" s="17">
        <v>124.871549363684</v>
      </c>
      <c r="M166" s="17">
        <v>113.662600260506</v>
      </c>
      <c r="N166" s="17">
        <v>111.507726234329</v>
      </c>
      <c r="O166" s="17">
        <v>114.381323406154</v>
      </c>
      <c r="P166" s="17">
        <v>106.99898637293499</v>
      </c>
      <c r="Q166" s="17">
        <v>105.517088687924</v>
      </c>
      <c r="R166" s="17">
        <v>102.30782342410799</v>
      </c>
      <c r="S166" s="17">
        <v>104.12798002264699</v>
      </c>
      <c r="T166" s="17">
        <v>107.162709579113</v>
      </c>
      <c r="U166" s="17">
        <v>105.914079854205</v>
      </c>
      <c r="V166" s="17">
        <v>105.86363196225599</v>
      </c>
      <c r="W166" s="17">
        <v>102.30779208352401</v>
      </c>
      <c r="X166" s="17">
        <v>100.950891090825</v>
      </c>
      <c r="Y166" s="17">
        <v>101.028396352862</v>
      </c>
      <c r="Z166" s="17">
        <v>104.22558504531899</v>
      </c>
      <c r="AA166" s="17">
        <v>102.216789477028</v>
      </c>
      <c r="AB166" s="17">
        <v>105.13823327240399</v>
      </c>
      <c r="AC166" s="17">
        <v>104.11590345128801</v>
      </c>
      <c r="AD166" s="17">
        <v>104.422748653678</v>
      </c>
      <c r="AE166" s="17">
        <v>104.354311267022</v>
      </c>
      <c r="AF166" s="17">
        <v>103.91686985480401</v>
      </c>
      <c r="AG166" s="17">
        <v>104.821181486782</v>
      </c>
      <c r="AH166" s="17">
        <v>104.144695000307</v>
      </c>
      <c r="AI166" s="17">
        <v>104.54494558723199</v>
      </c>
      <c r="AJ166" s="17">
        <v>105.608738999805</v>
      </c>
      <c r="AK166" s="17">
        <v>103.504500909076</v>
      </c>
      <c r="AL166" s="17">
        <v>106.307780259259</v>
      </c>
      <c r="AM166" s="17">
        <v>107.04819108842101</v>
      </c>
      <c r="AN166" s="17">
        <v>104.64879783280399</v>
      </c>
      <c r="AO166" s="17"/>
      <c r="AP166" s="17"/>
      <c r="AQ166" s="17"/>
      <c r="AR166" s="17"/>
      <c r="AS166" s="17"/>
      <c r="AT166" s="17"/>
      <c r="AU166" s="17"/>
      <c r="AV166" s="17"/>
      <c r="AW166" s="17"/>
      <c r="AX166" s="17"/>
      <c r="AY166" s="17"/>
      <c r="AZ166" s="17"/>
      <c r="BA166" s="17"/>
      <c r="BB166" s="17"/>
      <c r="BC166" s="17"/>
      <c r="BD166" s="17"/>
      <c r="BE166" s="17"/>
      <c r="BF166" s="17"/>
      <c r="BG166" s="17"/>
      <c r="BH166" s="17"/>
      <c r="BI166" s="17"/>
      <c r="BJ166" s="17"/>
      <c r="BK166" s="17"/>
      <c r="BL166" s="17"/>
      <c r="BM166" s="17"/>
      <c r="BN166" s="17"/>
      <c r="BO166" s="17"/>
      <c r="BP166" s="17"/>
      <c r="BQ166" s="17"/>
      <c r="BR166" s="17"/>
      <c r="BS166" s="17"/>
      <c r="BT166" s="17"/>
      <c r="BU166" s="17"/>
      <c r="BV166" s="17"/>
      <c r="BW166" s="17"/>
      <c r="BX166" s="17"/>
      <c r="BY166" s="17"/>
      <c r="BZ166" s="17"/>
      <c r="CA166" s="17"/>
      <c r="CB166" s="17"/>
      <c r="CC166" s="17"/>
      <c r="CD166" s="17"/>
      <c r="CE166" s="17"/>
      <c r="CF166" s="17"/>
      <c r="CG166" s="17"/>
      <c r="CH166" s="17"/>
      <c r="CI166" s="17"/>
      <c r="CJ166" s="17"/>
      <c r="CK166" s="17"/>
      <c r="CL166" s="17"/>
      <c r="CM166" s="17"/>
      <c r="CN166" s="17"/>
      <c r="CO166" s="17"/>
      <c r="CP166" s="17"/>
      <c r="CQ166" s="17"/>
      <c r="CR166" s="17"/>
      <c r="CS166" s="17"/>
      <c r="CT166" s="17"/>
      <c r="CU166" s="17"/>
      <c r="CV166" s="17"/>
    </row>
    <row r="167" spans="2:100" x14ac:dyDescent="0.35">
      <c r="B167" s="9"/>
      <c r="C167" t="s">
        <v>230</v>
      </c>
      <c r="D167" t="s">
        <v>354</v>
      </c>
      <c r="E167" t="s">
        <v>124</v>
      </c>
      <c r="F167" s="17">
        <v>0</v>
      </c>
      <c r="G167" s="17">
        <v>1</v>
      </c>
      <c r="H167" s="17">
        <v>1</v>
      </c>
      <c r="I167" s="17">
        <v>1</v>
      </c>
      <c r="J167" s="17">
        <v>1</v>
      </c>
      <c r="K167" s="17">
        <v>1</v>
      </c>
      <c r="L167" s="17">
        <v>1</v>
      </c>
      <c r="M167" s="17">
        <v>1</v>
      </c>
      <c r="N167" s="17">
        <v>1</v>
      </c>
      <c r="O167" s="17">
        <v>1</v>
      </c>
      <c r="P167" s="17">
        <v>1</v>
      </c>
      <c r="Q167" s="17">
        <v>1</v>
      </c>
      <c r="R167" s="17">
        <v>1</v>
      </c>
      <c r="S167" s="17">
        <v>1</v>
      </c>
      <c r="T167" s="17">
        <v>1</v>
      </c>
      <c r="U167" s="17">
        <v>1</v>
      </c>
      <c r="V167" s="17">
        <v>1</v>
      </c>
      <c r="W167" s="17">
        <v>1</v>
      </c>
      <c r="X167" s="17">
        <v>1</v>
      </c>
      <c r="Y167" s="17">
        <v>1</v>
      </c>
      <c r="Z167" s="17">
        <v>1</v>
      </c>
      <c r="AA167" s="17">
        <v>1</v>
      </c>
      <c r="AB167" s="17">
        <v>1</v>
      </c>
      <c r="AC167" s="17">
        <v>1</v>
      </c>
      <c r="AD167" s="17">
        <v>1</v>
      </c>
      <c r="AE167" s="17">
        <v>1</v>
      </c>
      <c r="AF167" s="17">
        <v>1</v>
      </c>
      <c r="AG167" s="17">
        <v>1</v>
      </c>
      <c r="AH167" s="17">
        <v>1</v>
      </c>
      <c r="AI167" s="17">
        <v>1</v>
      </c>
      <c r="AJ167" s="17">
        <v>1</v>
      </c>
      <c r="AK167" s="17">
        <v>1</v>
      </c>
      <c r="AL167" s="17">
        <v>1</v>
      </c>
      <c r="AM167" s="17">
        <v>1</v>
      </c>
      <c r="AN167" s="17">
        <v>1</v>
      </c>
      <c r="AO167" s="17"/>
      <c r="AP167" s="17"/>
      <c r="AQ167" s="17"/>
      <c r="AR167" s="17"/>
      <c r="AS167" s="17"/>
      <c r="AT167" s="17"/>
      <c r="AU167" s="17"/>
      <c r="AV167" s="17"/>
      <c r="AW167" s="17"/>
      <c r="AX167" s="17"/>
      <c r="AY167" s="17"/>
      <c r="AZ167" s="17"/>
      <c r="BA167" s="17"/>
      <c r="BB167" s="17"/>
      <c r="BC167" s="17"/>
      <c r="BD167" s="17"/>
      <c r="BE167" s="17"/>
      <c r="BF167" s="17"/>
      <c r="BG167" s="17"/>
      <c r="BH167" s="17"/>
      <c r="BI167" s="17"/>
      <c r="BJ167" s="17"/>
      <c r="BK167" s="17"/>
      <c r="BL167" s="17"/>
      <c r="BM167" s="17"/>
      <c r="BN167" s="17"/>
      <c r="BO167" s="17"/>
      <c r="BP167" s="17"/>
      <c r="BQ167" s="17"/>
      <c r="BR167" s="17"/>
      <c r="BS167" s="17"/>
      <c r="BT167" s="17"/>
      <c r="BU167" s="17"/>
      <c r="BV167" s="17"/>
      <c r="BW167" s="17"/>
      <c r="BX167" s="17"/>
      <c r="BY167" s="17"/>
      <c r="BZ167" s="17"/>
      <c r="CA167" s="17"/>
      <c r="CB167" s="17"/>
      <c r="CC167" s="17"/>
      <c r="CD167" s="17"/>
      <c r="CE167" s="17"/>
      <c r="CF167" s="17"/>
      <c r="CG167" s="17"/>
      <c r="CH167" s="17"/>
      <c r="CI167" s="17"/>
      <c r="CJ167" s="17"/>
      <c r="CK167" s="17"/>
      <c r="CL167" s="17"/>
      <c r="CM167" s="17"/>
      <c r="CN167" s="17"/>
      <c r="CO167" s="17"/>
      <c r="CP167" s="17"/>
      <c r="CQ167" s="17"/>
      <c r="CR167" s="17"/>
      <c r="CS167" s="17"/>
      <c r="CT167" s="17"/>
      <c r="CU167" s="17"/>
      <c r="CV167" s="17"/>
    </row>
    <row r="168" spans="2:100" x14ac:dyDescent="0.35">
      <c r="B168" s="9"/>
      <c r="C168" t="s">
        <v>338</v>
      </c>
      <c r="D168" t="s">
        <v>353</v>
      </c>
      <c r="E168" t="s">
        <v>221</v>
      </c>
      <c r="F168" s="17">
        <v>0</v>
      </c>
      <c r="G168" s="17">
        <v>0</v>
      </c>
      <c r="H168" s="17">
        <v>0</v>
      </c>
      <c r="I168" s="17">
        <v>0</v>
      </c>
      <c r="J168" s="17">
        <v>0</v>
      </c>
      <c r="K168" s="17">
        <v>0</v>
      </c>
      <c r="L168" s="17">
        <v>0</v>
      </c>
      <c r="M168" s="17">
        <v>0</v>
      </c>
      <c r="N168" s="17">
        <v>0</v>
      </c>
      <c r="O168" s="17">
        <v>0</v>
      </c>
      <c r="P168" s="17">
        <v>0</v>
      </c>
      <c r="Q168" s="17">
        <v>0</v>
      </c>
      <c r="R168" s="17">
        <v>0</v>
      </c>
      <c r="S168" s="17">
        <v>0</v>
      </c>
      <c r="T168" s="17">
        <v>0</v>
      </c>
      <c r="U168" s="17">
        <v>0</v>
      </c>
      <c r="V168" s="17">
        <v>0</v>
      </c>
      <c r="W168" s="17">
        <v>0</v>
      </c>
      <c r="X168" s="17">
        <v>0</v>
      </c>
      <c r="Y168" s="17">
        <v>0</v>
      </c>
      <c r="Z168" s="17">
        <v>0</v>
      </c>
      <c r="AA168" s="17">
        <v>0</v>
      </c>
      <c r="AB168" s="17">
        <v>0</v>
      </c>
      <c r="AC168" s="17">
        <v>0</v>
      </c>
      <c r="AD168" s="17">
        <v>0</v>
      </c>
      <c r="AE168" s="17">
        <v>0</v>
      </c>
      <c r="AF168" s="17">
        <v>0</v>
      </c>
      <c r="AG168" s="17">
        <v>0</v>
      </c>
      <c r="AH168" s="17">
        <v>0</v>
      </c>
      <c r="AI168" s="17">
        <v>0</v>
      </c>
      <c r="AJ168" s="17">
        <v>0</v>
      </c>
      <c r="AK168" s="17">
        <v>0</v>
      </c>
      <c r="AL168" s="17">
        <v>0</v>
      </c>
      <c r="AM168" s="17">
        <v>0</v>
      </c>
      <c r="AN168" s="17">
        <v>0</v>
      </c>
      <c r="AO168" s="17"/>
      <c r="AP168" s="17"/>
      <c r="AQ168" s="17"/>
      <c r="AR168" s="17"/>
      <c r="AS168" s="17"/>
      <c r="AT168" s="17"/>
      <c r="AU168" s="17"/>
      <c r="AV168" s="17"/>
      <c r="AW168" s="17"/>
      <c r="AX168" s="17"/>
      <c r="AY168" s="17"/>
      <c r="AZ168" s="17"/>
      <c r="BA168" s="17"/>
      <c r="BB168" s="17"/>
      <c r="BC168" s="17"/>
      <c r="BD168" s="17"/>
      <c r="BE168" s="17"/>
      <c r="BF168" s="17"/>
      <c r="BG168" s="17"/>
      <c r="BH168" s="17"/>
      <c r="BI168" s="17"/>
      <c r="BJ168" s="17"/>
      <c r="BK168" s="17"/>
      <c r="BL168" s="17"/>
      <c r="BM168" s="17"/>
      <c r="BN168" s="17"/>
      <c r="BO168" s="17"/>
      <c r="BP168" s="17"/>
      <c r="BQ168" s="17"/>
      <c r="BR168" s="17"/>
      <c r="BS168" s="17"/>
      <c r="BT168" s="17"/>
      <c r="BU168" s="17"/>
      <c r="BV168" s="17"/>
      <c r="BW168" s="17"/>
      <c r="BX168" s="17"/>
      <c r="BY168" s="17"/>
      <c r="BZ168" s="17"/>
      <c r="CA168" s="17"/>
      <c r="CB168" s="17"/>
      <c r="CC168" s="17"/>
      <c r="CD168" s="17"/>
      <c r="CE168" s="17"/>
      <c r="CF168" s="17"/>
      <c r="CG168" s="17"/>
      <c r="CH168" s="17"/>
      <c r="CI168" s="17"/>
      <c r="CJ168" s="17"/>
      <c r="CK168" s="17"/>
      <c r="CL168" s="17"/>
      <c r="CM168" s="17"/>
      <c r="CN168" s="17"/>
      <c r="CO168" s="17"/>
      <c r="CP168" s="17"/>
      <c r="CQ168" s="17"/>
      <c r="CR168" s="17"/>
      <c r="CS168" s="17"/>
      <c r="CT168" s="17"/>
      <c r="CU168" s="17"/>
      <c r="CV168" s="17"/>
    </row>
    <row r="169" spans="2:100" x14ac:dyDescent="0.35">
      <c r="B169" s="9"/>
      <c r="C169" t="s">
        <v>230</v>
      </c>
      <c r="D169" t="s">
        <v>358</v>
      </c>
      <c r="E169" t="s">
        <v>221</v>
      </c>
      <c r="F169" s="17">
        <v>0</v>
      </c>
      <c r="G169" s="17">
        <v>8.8511699999999998</v>
      </c>
      <c r="H169" s="17">
        <v>10.84918</v>
      </c>
      <c r="I169" s="17">
        <v>10.92844</v>
      </c>
      <c r="J169" s="17">
        <v>14.679880000000001</v>
      </c>
      <c r="K169" s="17">
        <v>16.340699999999998</v>
      </c>
      <c r="L169" s="17">
        <v>15.85932</v>
      </c>
      <c r="M169" s="17">
        <v>17.259080000000001</v>
      </c>
      <c r="N169" s="17">
        <v>19.808820000000001</v>
      </c>
      <c r="O169" s="17">
        <v>19.444680000000002</v>
      </c>
      <c r="P169" s="17">
        <v>18.711980000000001</v>
      </c>
      <c r="Q169" s="17">
        <v>18.800139999999999</v>
      </c>
      <c r="R169" s="17">
        <v>17.307739999999999</v>
      </c>
      <c r="S169" s="17">
        <v>18.932590000000001</v>
      </c>
      <c r="T169" s="17">
        <v>20.078320000000001</v>
      </c>
      <c r="U169" s="17">
        <v>20.934349999999998</v>
      </c>
      <c r="V169" s="17">
        <v>17.03856</v>
      </c>
      <c r="W169" s="17">
        <v>16.468520000000002</v>
      </c>
      <c r="X169" s="17">
        <v>15.18521</v>
      </c>
      <c r="Y169" s="17">
        <v>15.53374</v>
      </c>
      <c r="Z169" s="17">
        <v>17.211539999999999</v>
      </c>
      <c r="AA169" s="17">
        <v>16.842390000000002</v>
      </c>
      <c r="AB169" s="17">
        <v>14.157450000000001</v>
      </c>
      <c r="AC169" s="17">
        <v>15.637879999999999</v>
      </c>
      <c r="AD169" s="17">
        <v>15.050890000000001</v>
      </c>
      <c r="AE169" s="17">
        <v>14.766109999999999</v>
      </c>
      <c r="AF169" s="17">
        <v>15.374370000000001</v>
      </c>
      <c r="AG169" s="17">
        <v>15.35638</v>
      </c>
      <c r="AH169" s="17">
        <v>15.59186</v>
      </c>
      <c r="AI169" s="17">
        <v>14.79072</v>
      </c>
      <c r="AJ169" s="17">
        <v>14.583729999999999</v>
      </c>
      <c r="AK169" s="17">
        <v>15.4833</v>
      </c>
      <c r="AL169" s="17">
        <v>15.882759999999999</v>
      </c>
      <c r="AM169" s="17">
        <v>17.196709999999999</v>
      </c>
      <c r="AN169" s="17">
        <v>18.201339999999998</v>
      </c>
      <c r="AO169" s="17"/>
      <c r="AP169" s="17"/>
      <c r="AQ169" s="17"/>
      <c r="AR169" s="17"/>
      <c r="AS169" s="17"/>
      <c r="AT169" s="17"/>
      <c r="AU169" s="17"/>
      <c r="AV169" s="17"/>
      <c r="AW169" s="17"/>
      <c r="AX169" s="17"/>
      <c r="AY169" s="17"/>
      <c r="AZ169" s="17"/>
      <c r="BA169" s="17"/>
      <c r="BB169" s="17"/>
      <c r="BC169" s="17"/>
      <c r="BD169" s="17"/>
      <c r="BE169" s="17"/>
      <c r="BF169" s="17"/>
      <c r="BG169" s="17"/>
      <c r="BH169" s="17"/>
      <c r="BI169" s="17"/>
      <c r="BJ169" s="17"/>
      <c r="BK169" s="17"/>
      <c r="BL169" s="17"/>
      <c r="BM169" s="17"/>
      <c r="BN169" s="17"/>
      <c r="BO169" s="17"/>
      <c r="BP169" s="17"/>
      <c r="BQ169" s="17"/>
      <c r="BR169" s="17"/>
      <c r="BS169" s="17"/>
      <c r="BT169" s="17"/>
      <c r="BU169" s="17"/>
      <c r="BV169" s="17"/>
      <c r="BW169" s="17"/>
      <c r="BX169" s="17"/>
      <c r="BY169" s="17"/>
      <c r="BZ169" s="17"/>
      <c r="CA169" s="17"/>
      <c r="CB169" s="17"/>
      <c r="CC169" s="17"/>
      <c r="CD169" s="17"/>
      <c r="CE169" s="17"/>
      <c r="CF169" s="17"/>
      <c r="CG169" s="17"/>
      <c r="CH169" s="17"/>
      <c r="CI169" s="17"/>
      <c r="CJ169" s="17"/>
      <c r="CK169" s="17"/>
      <c r="CL169" s="17"/>
      <c r="CM169" s="17"/>
      <c r="CN169" s="17"/>
      <c r="CO169" s="17"/>
      <c r="CP169" s="17"/>
      <c r="CQ169" s="17"/>
      <c r="CR169" s="17"/>
      <c r="CS169" s="17"/>
      <c r="CT169" s="17"/>
      <c r="CU169" s="17"/>
      <c r="CV169" s="17"/>
    </row>
    <row r="170" spans="2:100" x14ac:dyDescent="0.35">
      <c r="B170" s="9"/>
      <c r="C170" t="s">
        <v>230</v>
      </c>
      <c r="D170" t="s">
        <v>359</v>
      </c>
      <c r="E170" t="s">
        <v>221</v>
      </c>
      <c r="F170" s="17">
        <v>0</v>
      </c>
      <c r="G170" s="17">
        <v>823.40498000000002</v>
      </c>
      <c r="H170" s="17">
        <v>767.13076000000001</v>
      </c>
      <c r="I170" s="17">
        <v>751.26162999999997</v>
      </c>
      <c r="J170" s="17">
        <v>735.61708999999996</v>
      </c>
      <c r="K170" s="17">
        <v>742.62696000000005</v>
      </c>
      <c r="L170" s="17">
        <v>755.76358000000005</v>
      </c>
      <c r="M170" s="17">
        <v>722.56124</v>
      </c>
      <c r="N170" s="17">
        <v>708.12752</v>
      </c>
      <c r="O170" s="17">
        <v>687.18057999999996</v>
      </c>
      <c r="P170" s="17">
        <v>686.88369999999998</v>
      </c>
      <c r="Q170" s="17">
        <v>724.38532999999995</v>
      </c>
      <c r="R170" s="17">
        <v>698.00496999999996</v>
      </c>
      <c r="S170" s="17">
        <v>710.77964999999995</v>
      </c>
      <c r="T170" s="17">
        <v>694.02395999999999</v>
      </c>
      <c r="U170" s="17">
        <v>699.28146000000004</v>
      </c>
      <c r="V170" s="17">
        <v>722.74643000000003</v>
      </c>
      <c r="W170" s="17">
        <v>712.19581000000005</v>
      </c>
      <c r="X170" s="17">
        <v>721.88783000000001</v>
      </c>
      <c r="Y170" s="17">
        <v>733.73293000000001</v>
      </c>
      <c r="Z170" s="17">
        <v>727.75877000000003</v>
      </c>
      <c r="AA170" s="17">
        <v>763.63307999999995</v>
      </c>
      <c r="AB170" s="17">
        <v>776.89603</v>
      </c>
      <c r="AC170" s="17">
        <v>771.02779999999996</v>
      </c>
      <c r="AD170" s="17">
        <v>781.31083999999998</v>
      </c>
      <c r="AE170" s="17">
        <v>786.91746999999998</v>
      </c>
      <c r="AF170" s="17">
        <v>791.00514999999996</v>
      </c>
      <c r="AG170" s="17">
        <v>777.82303000000002</v>
      </c>
      <c r="AH170" s="17">
        <v>774.75847999999996</v>
      </c>
      <c r="AI170" s="17">
        <v>785.68380999999999</v>
      </c>
      <c r="AJ170" s="17">
        <v>787.80413999999996</v>
      </c>
      <c r="AK170" s="17">
        <v>777.20217000000002</v>
      </c>
      <c r="AL170" s="17">
        <v>747.75084000000004</v>
      </c>
      <c r="AM170" s="17">
        <v>752.79199000000006</v>
      </c>
      <c r="AN170" s="17">
        <v>761.68857000000003</v>
      </c>
      <c r="AO170" s="17"/>
      <c r="AP170" s="17"/>
      <c r="AQ170" s="17"/>
      <c r="AR170" s="17"/>
      <c r="AS170" s="17"/>
      <c r="AT170" s="17"/>
      <c r="AU170" s="17"/>
      <c r="AV170" s="17"/>
      <c r="AW170" s="17"/>
      <c r="AX170" s="17"/>
      <c r="AY170" s="17"/>
      <c r="AZ170" s="17"/>
      <c r="BA170" s="17"/>
      <c r="BB170" s="17"/>
      <c r="BC170" s="17"/>
      <c r="BD170" s="17"/>
      <c r="BE170" s="17"/>
      <c r="BF170" s="17"/>
      <c r="BG170" s="17"/>
      <c r="BH170" s="17"/>
      <c r="BI170" s="17"/>
      <c r="BJ170" s="17"/>
      <c r="BK170" s="17"/>
      <c r="BL170" s="17"/>
      <c r="BM170" s="17"/>
      <c r="BN170" s="17"/>
      <c r="BO170" s="17"/>
      <c r="BP170" s="17"/>
      <c r="BQ170" s="17"/>
      <c r="BR170" s="17"/>
      <c r="BS170" s="17"/>
      <c r="BT170" s="17"/>
      <c r="BU170" s="17"/>
      <c r="BV170" s="17"/>
      <c r="BW170" s="17"/>
      <c r="BX170" s="17"/>
      <c r="BY170" s="17"/>
      <c r="BZ170" s="17"/>
      <c r="CA170" s="17"/>
      <c r="CB170" s="17"/>
      <c r="CC170" s="17"/>
      <c r="CD170" s="17"/>
      <c r="CE170" s="17"/>
      <c r="CF170" s="17"/>
      <c r="CG170" s="17"/>
      <c r="CH170" s="17"/>
      <c r="CI170" s="17"/>
      <c r="CJ170" s="17"/>
      <c r="CK170" s="17"/>
      <c r="CL170" s="17"/>
      <c r="CM170" s="17"/>
      <c r="CN170" s="17"/>
      <c r="CO170" s="17"/>
      <c r="CP170" s="17"/>
      <c r="CQ170" s="17"/>
      <c r="CR170" s="17"/>
      <c r="CS170" s="17"/>
      <c r="CT170" s="17"/>
      <c r="CU170" s="17"/>
      <c r="CV170" s="17"/>
    </row>
    <row r="171" spans="2:100" x14ac:dyDescent="0.35">
      <c r="B171" s="9"/>
      <c r="C171" t="s">
        <v>230</v>
      </c>
      <c r="D171" t="s">
        <v>360</v>
      </c>
      <c r="E171" t="s">
        <v>221</v>
      </c>
      <c r="F171" s="17">
        <v>0</v>
      </c>
      <c r="G171" s="17">
        <v>1004.98308</v>
      </c>
      <c r="H171" s="17">
        <v>1061.73585</v>
      </c>
      <c r="I171" s="17">
        <v>1077.2802300000001</v>
      </c>
      <c r="J171" s="17">
        <v>1089.6573599999999</v>
      </c>
      <c r="K171" s="17">
        <v>1080.7697900000001</v>
      </c>
      <c r="L171" s="17">
        <v>1068.44454</v>
      </c>
      <c r="M171" s="17">
        <v>1100.53772</v>
      </c>
      <c r="N171" s="17">
        <v>1112.8680300000001</v>
      </c>
      <c r="O171" s="17">
        <v>1134.82719</v>
      </c>
      <c r="P171" s="17">
        <v>1136.60203</v>
      </c>
      <c r="Q171" s="17">
        <v>1097.1161500000001</v>
      </c>
      <c r="R171" s="17">
        <v>1125.80485</v>
      </c>
      <c r="S171" s="17">
        <v>1111.0102300000001</v>
      </c>
      <c r="T171" s="17">
        <v>1127.8745799999999</v>
      </c>
      <c r="U171" s="17">
        <v>1120.8623</v>
      </c>
      <c r="V171" s="17">
        <v>1100.5675000000001</v>
      </c>
      <c r="W171" s="17">
        <v>1112.0142900000001</v>
      </c>
      <c r="X171" s="17">
        <v>1104.04195</v>
      </c>
      <c r="Y171" s="17">
        <v>1090.7457099999999</v>
      </c>
      <c r="Z171" s="17">
        <v>1095.22712</v>
      </c>
      <c r="AA171" s="17">
        <v>1058.6124</v>
      </c>
      <c r="AB171" s="17">
        <v>1048.3601699999999</v>
      </c>
      <c r="AC171" s="17">
        <v>1052.1933200000001</v>
      </c>
      <c r="AD171" s="17">
        <v>1042.1795199999999</v>
      </c>
      <c r="AE171" s="17">
        <v>1036.6838600000001</v>
      </c>
      <c r="AF171" s="17">
        <v>1032.5976900000001</v>
      </c>
      <c r="AG171" s="17">
        <v>1045.46919</v>
      </c>
      <c r="AH171" s="17">
        <v>1048.3931399999999</v>
      </c>
      <c r="AI171" s="17">
        <v>1037.9312399999999</v>
      </c>
      <c r="AJ171" s="17">
        <v>1036.6884500000001</v>
      </c>
      <c r="AK171" s="17">
        <v>1045.9825499999999</v>
      </c>
      <c r="AL171" s="17">
        <v>1075.94533</v>
      </c>
      <c r="AM171" s="17">
        <v>1069.4342899999999</v>
      </c>
      <c r="AN171" s="17">
        <v>1059.9939899999999</v>
      </c>
      <c r="AO171" s="17"/>
      <c r="AP171" s="17"/>
      <c r="AQ171" s="17"/>
      <c r="AR171" s="17"/>
      <c r="AS171" s="17"/>
      <c r="AT171" s="17"/>
      <c r="AU171" s="17"/>
      <c r="AV171" s="17"/>
      <c r="AW171" s="17"/>
      <c r="AX171" s="17"/>
      <c r="AY171" s="17"/>
      <c r="AZ171" s="17"/>
      <c r="BA171" s="17"/>
      <c r="BB171" s="17"/>
      <c r="BC171" s="17"/>
      <c r="BD171" s="17"/>
      <c r="BE171" s="17"/>
      <c r="BF171" s="17"/>
      <c r="BG171" s="17"/>
      <c r="BH171" s="17"/>
      <c r="BI171" s="17"/>
      <c r="BJ171" s="17"/>
      <c r="BK171" s="17"/>
      <c r="BL171" s="17"/>
      <c r="BM171" s="17"/>
      <c r="BN171" s="17"/>
      <c r="BO171" s="17"/>
      <c r="BP171" s="17"/>
      <c r="BQ171" s="17"/>
      <c r="BR171" s="17"/>
      <c r="BS171" s="17"/>
      <c r="BT171" s="17"/>
      <c r="BU171" s="17"/>
      <c r="BV171" s="17"/>
      <c r="BW171" s="17"/>
      <c r="BX171" s="17"/>
      <c r="BY171" s="17"/>
      <c r="BZ171" s="17"/>
      <c r="CA171" s="17"/>
      <c r="CB171" s="17"/>
      <c r="CC171" s="17"/>
      <c r="CD171" s="17"/>
      <c r="CE171" s="17"/>
      <c r="CF171" s="17"/>
      <c r="CG171" s="17"/>
      <c r="CH171" s="17"/>
      <c r="CI171" s="17"/>
      <c r="CJ171" s="17"/>
      <c r="CK171" s="17"/>
      <c r="CL171" s="17"/>
      <c r="CM171" s="17"/>
      <c r="CN171" s="17"/>
      <c r="CO171" s="17"/>
      <c r="CP171" s="17"/>
      <c r="CQ171" s="17"/>
      <c r="CR171" s="17"/>
      <c r="CS171" s="17"/>
      <c r="CT171" s="17"/>
      <c r="CU171" s="17"/>
      <c r="CV171" s="17"/>
    </row>
    <row r="172" spans="2:100" x14ac:dyDescent="0.35">
      <c r="B172" s="9"/>
      <c r="C172" t="s">
        <v>230</v>
      </c>
      <c r="D172" t="s">
        <v>361</v>
      </c>
      <c r="E172" t="s">
        <v>221</v>
      </c>
      <c r="F172" s="17">
        <v>0</v>
      </c>
      <c r="G172" s="17">
        <v>1862.7052100000001</v>
      </c>
      <c r="H172" s="17">
        <v>1863.4413999999999</v>
      </c>
      <c r="I172" s="17">
        <v>1862.7052100000001</v>
      </c>
      <c r="J172" s="17">
        <v>1862.7052100000001</v>
      </c>
      <c r="K172" s="17">
        <v>1862.7052100000001</v>
      </c>
      <c r="L172" s="17">
        <v>1863.4413999999999</v>
      </c>
      <c r="M172" s="17">
        <v>1862.7052100000001</v>
      </c>
      <c r="N172" s="17">
        <v>1862.7052100000001</v>
      </c>
      <c r="O172" s="17">
        <v>1862.7052100000001</v>
      </c>
      <c r="P172" s="17">
        <v>1863.4413999999999</v>
      </c>
      <c r="Q172" s="17">
        <v>1862.7052100000001</v>
      </c>
      <c r="R172" s="17">
        <v>1862.7052100000001</v>
      </c>
      <c r="S172" s="17">
        <v>1862.7052100000001</v>
      </c>
      <c r="T172" s="17">
        <v>1863.4413999999999</v>
      </c>
      <c r="U172" s="17">
        <v>1862.7052100000001</v>
      </c>
      <c r="V172" s="17">
        <v>1862.7052100000001</v>
      </c>
      <c r="W172" s="17">
        <v>1862.7052100000001</v>
      </c>
      <c r="X172" s="17">
        <v>1863.4413999999999</v>
      </c>
      <c r="Y172" s="17">
        <v>1862.7052100000001</v>
      </c>
      <c r="Z172" s="17">
        <v>1862.7052100000001</v>
      </c>
      <c r="AA172" s="17">
        <v>1862.7052100000001</v>
      </c>
      <c r="AB172" s="17">
        <v>1863.4413999999999</v>
      </c>
      <c r="AC172" s="17">
        <v>1862.7052100000001</v>
      </c>
      <c r="AD172" s="17">
        <v>1862.7052100000001</v>
      </c>
      <c r="AE172" s="17">
        <v>1862.7052100000001</v>
      </c>
      <c r="AF172" s="17">
        <v>1863.4413999999999</v>
      </c>
      <c r="AG172" s="17">
        <v>1862.7052100000001</v>
      </c>
      <c r="AH172" s="17">
        <v>1862.7052100000001</v>
      </c>
      <c r="AI172" s="17">
        <v>1862.7052100000001</v>
      </c>
      <c r="AJ172" s="17">
        <v>1863.4413999999999</v>
      </c>
      <c r="AK172" s="17">
        <v>1862.7052100000001</v>
      </c>
      <c r="AL172" s="17">
        <v>1862.7052100000001</v>
      </c>
      <c r="AM172" s="17">
        <v>1862.7052100000001</v>
      </c>
      <c r="AN172" s="17">
        <v>1863.4413999999999</v>
      </c>
      <c r="AO172" s="17"/>
      <c r="AP172" s="17"/>
      <c r="AQ172" s="17"/>
      <c r="AR172" s="17"/>
      <c r="AS172" s="17"/>
      <c r="AT172" s="17"/>
      <c r="AU172" s="17"/>
      <c r="AV172" s="17"/>
      <c r="AW172" s="17"/>
      <c r="AX172" s="17"/>
      <c r="AY172" s="17"/>
      <c r="AZ172" s="17"/>
      <c r="BA172" s="17"/>
      <c r="BB172" s="17"/>
      <c r="BC172" s="17"/>
      <c r="BD172" s="17"/>
      <c r="BE172" s="17"/>
      <c r="BF172" s="17"/>
      <c r="BG172" s="17"/>
      <c r="BH172" s="17"/>
      <c r="BI172" s="17"/>
      <c r="BJ172" s="17"/>
      <c r="BK172" s="17"/>
      <c r="BL172" s="17"/>
      <c r="BM172" s="17"/>
      <c r="BN172" s="17"/>
      <c r="BO172" s="17"/>
      <c r="BP172" s="17"/>
      <c r="BQ172" s="17"/>
      <c r="BR172" s="17"/>
      <c r="BS172" s="17"/>
      <c r="BT172" s="17"/>
      <c r="BU172" s="17"/>
      <c r="BV172" s="17"/>
      <c r="BW172" s="17"/>
      <c r="BX172" s="17"/>
      <c r="BY172" s="17"/>
      <c r="BZ172" s="17"/>
      <c r="CA172" s="17"/>
      <c r="CB172" s="17"/>
      <c r="CC172" s="17"/>
      <c r="CD172" s="17"/>
      <c r="CE172" s="17"/>
      <c r="CF172" s="17"/>
      <c r="CG172" s="17"/>
      <c r="CH172" s="17"/>
      <c r="CI172" s="17"/>
      <c r="CJ172" s="17"/>
      <c r="CK172" s="17"/>
      <c r="CL172" s="17"/>
      <c r="CM172" s="17"/>
      <c r="CN172" s="17"/>
      <c r="CO172" s="17"/>
      <c r="CP172" s="17"/>
      <c r="CQ172" s="17"/>
      <c r="CR172" s="17"/>
      <c r="CS172" s="17"/>
      <c r="CT172" s="17"/>
      <c r="CU172" s="17"/>
      <c r="CV172" s="17"/>
    </row>
    <row r="173" spans="2:100" x14ac:dyDescent="0.35">
      <c r="B173" s="9"/>
      <c r="C173" t="s">
        <v>339</v>
      </c>
      <c r="D173" t="s">
        <v>222</v>
      </c>
      <c r="E173" t="s">
        <v>223</v>
      </c>
      <c r="F173" s="17">
        <v>0</v>
      </c>
      <c r="G173" s="17">
        <v>87.518014210014201</v>
      </c>
      <c r="H173" s="17">
        <v>74.926026067821994</v>
      </c>
      <c r="I173" s="17">
        <v>69.591723012950794</v>
      </c>
      <c r="J173" s="17">
        <v>62.6215146476559</v>
      </c>
      <c r="K173" s="17">
        <v>64.329806258207597</v>
      </c>
      <c r="L173" s="17">
        <v>60.776557201013397</v>
      </c>
      <c r="M173" s="17">
        <v>57.436006234539903</v>
      </c>
      <c r="N173" s="17">
        <v>54.430120461398303</v>
      </c>
      <c r="O173" s="17">
        <v>51.764374036772303</v>
      </c>
      <c r="P173" s="17">
        <v>50.968135182226497</v>
      </c>
      <c r="Q173" s="17">
        <v>55.233619884364998</v>
      </c>
      <c r="R173" s="17">
        <v>53.262067375671798</v>
      </c>
      <c r="S173" s="17">
        <v>53.773232286229998</v>
      </c>
      <c r="T173" s="17">
        <v>50.521437851129903</v>
      </c>
      <c r="U173" s="17">
        <v>49.626476159781099</v>
      </c>
      <c r="V173" s="17">
        <v>52.086628359191799</v>
      </c>
      <c r="W173" s="17">
        <v>50.745533467242403</v>
      </c>
      <c r="X173" s="17">
        <v>50.840088006491598</v>
      </c>
      <c r="Y173" s="17">
        <v>53.618848573819797</v>
      </c>
      <c r="Z173" s="17">
        <v>53.229358253763799</v>
      </c>
      <c r="AA173" s="17">
        <v>56.061857474268201</v>
      </c>
      <c r="AB173" s="17">
        <v>55.285175143584397</v>
      </c>
      <c r="AC173" s="17">
        <v>54.114667045514103</v>
      </c>
      <c r="AD173" s="17">
        <v>53.757603782118103</v>
      </c>
      <c r="AE173" s="17">
        <v>54.033129295117497</v>
      </c>
      <c r="AF173" s="17">
        <v>53.2077019108333</v>
      </c>
      <c r="AG173" s="17">
        <v>51.735248188200103</v>
      </c>
      <c r="AH173" s="17">
        <v>51.3793131857961</v>
      </c>
      <c r="AI173" s="17">
        <v>51.507276786642798</v>
      </c>
      <c r="AJ173" s="17">
        <v>50.588255974324902</v>
      </c>
      <c r="AK173" s="17">
        <v>50.161804659918701</v>
      </c>
      <c r="AL173" s="17">
        <v>47.1469868205902</v>
      </c>
      <c r="AM173" s="17">
        <v>47.578107881880101</v>
      </c>
      <c r="AN173" s="17">
        <v>47.472960225538998</v>
      </c>
      <c r="AO173" s="17"/>
      <c r="AP173" s="17"/>
      <c r="AQ173" s="17"/>
      <c r="AR173" s="17"/>
      <c r="AS173" s="17"/>
      <c r="AT173" s="17"/>
      <c r="AU173" s="17"/>
      <c r="AV173" s="17"/>
      <c r="AW173" s="17"/>
      <c r="AX173" s="17"/>
      <c r="AY173" s="17"/>
      <c r="AZ173" s="17"/>
      <c r="BA173" s="17"/>
      <c r="BB173" s="17"/>
      <c r="BC173" s="17"/>
      <c r="BD173" s="17"/>
      <c r="BE173" s="17"/>
      <c r="BF173" s="17"/>
      <c r="BG173" s="17"/>
      <c r="BH173" s="17"/>
      <c r="BI173" s="17"/>
      <c r="BJ173" s="17"/>
      <c r="BK173" s="17"/>
      <c r="BL173" s="17"/>
      <c r="BM173" s="17"/>
      <c r="BN173" s="17"/>
      <c r="BO173" s="17"/>
      <c r="BP173" s="17"/>
      <c r="BQ173" s="17"/>
      <c r="BR173" s="17"/>
      <c r="BS173" s="17"/>
      <c r="BT173" s="17"/>
      <c r="BU173" s="17"/>
      <c r="BV173" s="17"/>
      <c r="BW173" s="17"/>
      <c r="BX173" s="17"/>
      <c r="BY173" s="17"/>
      <c r="BZ173" s="17"/>
      <c r="CA173" s="17"/>
      <c r="CB173" s="17"/>
      <c r="CC173" s="17"/>
      <c r="CD173" s="17"/>
      <c r="CE173" s="17"/>
      <c r="CF173" s="17"/>
      <c r="CG173" s="17"/>
      <c r="CH173" s="17"/>
      <c r="CI173" s="17"/>
      <c r="CJ173" s="17"/>
      <c r="CK173" s="17"/>
      <c r="CL173" s="17"/>
      <c r="CM173" s="17"/>
      <c r="CN173" s="17"/>
      <c r="CO173" s="17"/>
      <c r="CP173" s="17"/>
      <c r="CQ173" s="17"/>
      <c r="CR173" s="17"/>
      <c r="CS173" s="17"/>
      <c r="CT173" s="17"/>
      <c r="CU173" s="17"/>
      <c r="CV173" s="17"/>
    </row>
    <row r="174" spans="2:100" x14ac:dyDescent="0.35">
      <c r="B174" s="9"/>
      <c r="C174" t="s">
        <v>230</v>
      </c>
      <c r="D174" t="s">
        <v>224</v>
      </c>
      <c r="E174" t="s">
        <v>223</v>
      </c>
      <c r="F174" s="17">
        <v>0</v>
      </c>
      <c r="G174" s="17">
        <v>1.5739972119164001</v>
      </c>
      <c r="H174" s="17">
        <v>1.56478308048144</v>
      </c>
      <c r="I174" s="17">
        <v>1.30311010521757</v>
      </c>
      <c r="J174" s="17">
        <v>1.2048155897170201</v>
      </c>
      <c r="K174" s="17">
        <v>1.32723190735284</v>
      </c>
      <c r="L174" s="17">
        <v>1.73415803848021</v>
      </c>
      <c r="M174" s="17">
        <v>2.0659190044437601</v>
      </c>
      <c r="N174" s="17">
        <v>1.47448041367448</v>
      </c>
      <c r="O174" s="17">
        <v>1.32777514412678</v>
      </c>
      <c r="P174" s="17">
        <v>1.53703621756621</v>
      </c>
      <c r="Q174" s="17">
        <v>2.0383497381661502</v>
      </c>
      <c r="R174" s="17">
        <v>1.8013313549504599</v>
      </c>
      <c r="S174" s="17">
        <v>1.71781914781778</v>
      </c>
      <c r="T174" s="17">
        <v>1.4472141063669599</v>
      </c>
      <c r="U174" s="17">
        <v>1.2692413817344399</v>
      </c>
      <c r="V174" s="17">
        <v>1.44316072428446</v>
      </c>
      <c r="W174" s="17">
        <v>1.61723676975004</v>
      </c>
      <c r="X174" s="17">
        <v>1.5278638735754</v>
      </c>
      <c r="Y174" s="17">
        <v>1.5229851894709501</v>
      </c>
      <c r="Z174" s="17">
        <v>1.2838251997426</v>
      </c>
      <c r="AA174" s="17">
        <v>1.3935485812180199</v>
      </c>
      <c r="AB174" s="17">
        <v>1.0704480630544499</v>
      </c>
      <c r="AC174" s="17">
        <v>1.23085961428317</v>
      </c>
      <c r="AD174" s="17">
        <v>1.0919372562083101</v>
      </c>
      <c r="AE174" s="17">
        <v>1.0304992664475801</v>
      </c>
      <c r="AF174" s="17">
        <v>0.92861103075017803</v>
      </c>
      <c r="AG174" s="17">
        <v>1.0708241500518001</v>
      </c>
      <c r="AH174" s="17">
        <v>1.03257819179401</v>
      </c>
      <c r="AI174" s="17">
        <v>1.1350932391536599</v>
      </c>
      <c r="AJ174" s="17">
        <v>0.976499441745451</v>
      </c>
      <c r="AK174" s="17">
        <v>1.08459311289904</v>
      </c>
      <c r="AL174" s="17">
        <v>1.32211294544453</v>
      </c>
      <c r="AM174" s="17">
        <v>1.41286482727611</v>
      </c>
      <c r="AN174" s="17">
        <v>1.2683533985462601</v>
      </c>
      <c r="AO174" s="17"/>
      <c r="AP174" s="17"/>
      <c r="AQ174" s="17"/>
      <c r="AR174" s="17"/>
      <c r="AS174" s="17"/>
      <c r="AT174" s="17"/>
      <c r="AU174" s="17"/>
      <c r="AV174" s="17"/>
      <c r="AW174" s="17"/>
      <c r="AX174" s="17"/>
      <c r="AY174" s="17"/>
      <c r="AZ174" s="17"/>
      <c r="BA174" s="17"/>
      <c r="BB174" s="17"/>
      <c r="BC174" s="17"/>
      <c r="BD174" s="17"/>
      <c r="BE174" s="17"/>
      <c r="BF174" s="17"/>
      <c r="BG174" s="17"/>
      <c r="BH174" s="17"/>
      <c r="BI174" s="17"/>
      <c r="BJ174" s="17"/>
      <c r="BK174" s="17"/>
      <c r="BL174" s="17"/>
      <c r="BM174" s="17"/>
      <c r="BN174" s="17"/>
      <c r="BO174" s="17"/>
      <c r="BP174" s="17"/>
      <c r="BQ174" s="17"/>
      <c r="BR174" s="17"/>
      <c r="BS174" s="17"/>
      <c r="BT174" s="17"/>
      <c r="BU174" s="17"/>
      <c r="BV174" s="17"/>
      <c r="BW174" s="17"/>
      <c r="BX174" s="17"/>
      <c r="BY174" s="17"/>
      <c r="BZ174" s="17"/>
      <c r="CA174" s="17"/>
      <c r="CB174" s="17"/>
      <c r="CC174" s="17"/>
      <c r="CD174" s="17"/>
      <c r="CE174" s="17"/>
      <c r="CF174" s="17"/>
      <c r="CG174" s="17"/>
      <c r="CH174" s="17"/>
      <c r="CI174" s="17"/>
      <c r="CJ174" s="17"/>
      <c r="CK174" s="17"/>
      <c r="CL174" s="17"/>
      <c r="CM174" s="17"/>
      <c r="CN174" s="17"/>
      <c r="CO174" s="17"/>
      <c r="CP174" s="17"/>
      <c r="CQ174" s="17"/>
      <c r="CR174" s="17"/>
      <c r="CS174" s="17"/>
      <c r="CT174" s="17"/>
      <c r="CU174" s="17"/>
      <c r="CV174" s="17"/>
    </row>
    <row r="175" spans="2:100" x14ac:dyDescent="0.35">
      <c r="B175" s="9"/>
      <c r="C175" t="s">
        <v>230</v>
      </c>
      <c r="D175" t="s">
        <v>225</v>
      </c>
      <c r="E175" t="s">
        <v>223</v>
      </c>
      <c r="F175" s="17">
        <v>0</v>
      </c>
      <c r="G175" s="17">
        <v>36.893215115780599</v>
      </c>
      <c r="H175" s="17">
        <v>38.829645277666202</v>
      </c>
      <c r="I175" s="17">
        <v>39.229248159206399</v>
      </c>
      <c r="J175" s="17">
        <v>33.3013858007754</v>
      </c>
      <c r="K175" s="17">
        <v>34.636400619601098</v>
      </c>
      <c r="L175" s="17">
        <v>30.0694821890905</v>
      </c>
      <c r="M175" s="17">
        <v>34.484785325365799</v>
      </c>
      <c r="N175" s="17">
        <v>30.30674085011</v>
      </c>
      <c r="O175" s="17">
        <v>31.6293447980233</v>
      </c>
      <c r="P175" s="17">
        <v>32.028352208484399</v>
      </c>
      <c r="Q175" s="17">
        <v>32.379042886647603</v>
      </c>
      <c r="R175" s="17">
        <v>34.972538820339302</v>
      </c>
      <c r="S175" s="17">
        <v>32.803843597009902</v>
      </c>
      <c r="T175" s="17">
        <v>32.834703624514297</v>
      </c>
      <c r="U175" s="17">
        <v>30.156525435253801</v>
      </c>
      <c r="V175" s="17">
        <v>27.9379568973321</v>
      </c>
      <c r="W175" s="17">
        <v>28.855630064576101</v>
      </c>
      <c r="X175" s="17">
        <v>27.341159066850601</v>
      </c>
      <c r="Y175" s="17">
        <v>27.654408195056</v>
      </c>
      <c r="Z175" s="17">
        <v>29.2955160422764</v>
      </c>
      <c r="AA175" s="17">
        <v>25.974333556166201</v>
      </c>
      <c r="AB175" s="17">
        <v>22.606108854804699</v>
      </c>
      <c r="AC175" s="17">
        <v>23.479006775642599</v>
      </c>
      <c r="AD175" s="17">
        <v>22.501525328959701</v>
      </c>
      <c r="AE175" s="17">
        <v>21.757478992156599</v>
      </c>
      <c r="AF175" s="17">
        <v>20.9708930372094</v>
      </c>
      <c r="AG175" s="17">
        <v>22.141035495143399</v>
      </c>
      <c r="AH175" s="17">
        <v>21.4512188139853</v>
      </c>
      <c r="AI175" s="17">
        <v>20.669647352336</v>
      </c>
      <c r="AJ175" s="17">
        <v>20.0223076081557</v>
      </c>
      <c r="AK175" s="17">
        <v>20.695095905822999</v>
      </c>
      <c r="AL175" s="17">
        <v>23.472467040633202</v>
      </c>
      <c r="AM175" s="17">
        <v>24.335941892815502</v>
      </c>
      <c r="AN175" s="17">
        <v>23.7036142879459</v>
      </c>
      <c r="AO175" s="17"/>
      <c r="AP175" s="17"/>
      <c r="AQ175" s="17"/>
      <c r="AR175" s="17"/>
      <c r="AS175" s="17"/>
      <c r="AT175" s="17"/>
      <c r="AU175" s="17"/>
      <c r="AV175" s="17"/>
      <c r="AW175" s="17"/>
      <c r="AX175" s="17"/>
      <c r="AY175" s="17"/>
      <c r="AZ175" s="17"/>
      <c r="BA175" s="17"/>
      <c r="BB175" s="17"/>
      <c r="BC175" s="17"/>
      <c r="BD175" s="17"/>
      <c r="BE175" s="17"/>
      <c r="BF175" s="17"/>
      <c r="BG175" s="17"/>
      <c r="BH175" s="17"/>
      <c r="BI175" s="17"/>
      <c r="BJ175" s="17"/>
      <c r="BK175" s="17"/>
      <c r="BL175" s="17"/>
      <c r="BM175" s="17"/>
      <c r="BN175" s="17"/>
      <c r="BO175" s="17"/>
      <c r="BP175" s="17"/>
      <c r="BQ175" s="17"/>
      <c r="BR175" s="17"/>
      <c r="BS175" s="17"/>
      <c r="BT175" s="17"/>
      <c r="BU175" s="17"/>
      <c r="BV175" s="17"/>
      <c r="BW175" s="17"/>
      <c r="BX175" s="17"/>
      <c r="BY175" s="17"/>
      <c r="BZ175" s="17"/>
      <c r="CA175" s="17"/>
      <c r="CB175" s="17"/>
      <c r="CC175" s="17"/>
      <c r="CD175" s="17"/>
      <c r="CE175" s="17"/>
      <c r="CF175" s="17"/>
      <c r="CG175" s="17"/>
      <c r="CH175" s="17"/>
      <c r="CI175" s="17"/>
      <c r="CJ175" s="17"/>
      <c r="CK175" s="17"/>
      <c r="CL175" s="17"/>
      <c r="CM175" s="17"/>
      <c r="CN175" s="17"/>
      <c r="CO175" s="17"/>
      <c r="CP175" s="17"/>
      <c r="CQ175" s="17"/>
      <c r="CR175" s="17"/>
      <c r="CS175" s="17"/>
      <c r="CT175" s="17"/>
      <c r="CU175" s="17"/>
      <c r="CV175" s="17"/>
    </row>
    <row r="176" spans="2:100" x14ac:dyDescent="0.35">
      <c r="B176" s="9"/>
      <c r="C176" t="s">
        <v>230</v>
      </c>
      <c r="D176" t="s">
        <v>355</v>
      </c>
      <c r="E176" t="s">
        <v>223</v>
      </c>
      <c r="F176" s="17">
        <v>0</v>
      </c>
      <c r="G176" s="17">
        <v>125.98525787829399</v>
      </c>
      <c r="H176" s="17">
        <v>115.32049621341299</v>
      </c>
      <c r="I176" s="17">
        <v>110.124049936791</v>
      </c>
      <c r="J176" s="17">
        <v>97.127736931870402</v>
      </c>
      <c r="K176" s="17">
        <v>100.293438785161</v>
      </c>
      <c r="L176" s="17">
        <v>92.580218322306195</v>
      </c>
      <c r="M176" s="17">
        <v>93.986731458071603</v>
      </c>
      <c r="N176" s="17">
        <v>86.211373065765997</v>
      </c>
      <c r="O176" s="17">
        <v>84.721546213227597</v>
      </c>
      <c r="P176" s="17">
        <v>84.533554948860299</v>
      </c>
      <c r="Q176" s="17">
        <v>89.651022956039895</v>
      </c>
      <c r="R176" s="17">
        <v>90.035958444683601</v>
      </c>
      <c r="S176" s="17">
        <v>88.294936818501895</v>
      </c>
      <c r="T176" s="17">
        <v>84.803386922594299</v>
      </c>
      <c r="U176" s="17">
        <v>81.052274317352499</v>
      </c>
      <c r="V176" s="17">
        <v>81.467735533947405</v>
      </c>
      <c r="W176" s="17">
        <v>81.218483876456901</v>
      </c>
      <c r="X176" s="17">
        <v>79.709100500056607</v>
      </c>
      <c r="Y176" s="17">
        <v>82.796252405207795</v>
      </c>
      <c r="Z176" s="17">
        <v>83.808741283226993</v>
      </c>
      <c r="AA176" s="17">
        <v>83.429760505374603</v>
      </c>
      <c r="AB176" s="17">
        <v>78.961742508304695</v>
      </c>
      <c r="AC176" s="17">
        <v>78.824637904050306</v>
      </c>
      <c r="AD176" s="17">
        <v>77.351087261008203</v>
      </c>
      <c r="AE176" s="17">
        <v>76.821201575471093</v>
      </c>
      <c r="AF176" s="17">
        <v>75.107143297626706</v>
      </c>
      <c r="AG176" s="17">
        <v>74.947139173978499</v>
      </c>
      <c r="AH176" s="17">
        <v>73.863162425880603</v>
      </c>
      <c r="AI176" s="17">
        <v>73.312027824993507</v>
      </c>
      <c r="AJ176" s="17">
        <v>71.587021236781993</v>
      </c>
      <c r="AK176" s="17">
        <v>71.941514572362806</v>
      </c>
      <c r="AL176" s="17">
        <v>71.941566806668007</v>
      </c>
      <c r="AM176" s="17">
        <v>73.3268937082496</v>
      </c>
      <c r="AN176" s="17">
        <v>72.445021933780595</v>
      </c>
      <c r="AO176" s="17"/>
      <c r="AP176" s="17"/>
      <c r="AQ176" s="17"/>
      <c r="AR176" s="17"/>
      <c r="AS176" s="17"/>
      <c r="AT176" s="17"/>
      <c r="AU176" s="17"/>
      <c r="AV176" s="17"/>
      <c r="AW176" s="17"/>
      <c r="AX176" s="17"/>
      <c r="AY176" s="17"/>
      <c r="AZ176" s="17"/>
      <c r="BA176" s="17"/>
      <c r="BB176" s="17"/>
      <c r="BC176" s="17"/>
      <c r="BD176" s="17"/>
      <c r="BE176" s="17"/>
      <c r="BF176" s="17"/>
      <c r="BG176" s="17"/>
      <c r="BH176" s="17"/>
      <c r="BI176" s="17"/>
      <c r="BJ176" s="17"/>
      <c r="BK176" s="17"/>
      <c r="BL176" s="17"/>
      <c r="BM176" s="17"/>
      <c r="BN176" s="17"/>
      <c r="BO176" s="17"/>
      <c r="BP176" s="17"/>
      <c r="BQ176" s="17"/>
      <c r="BR176" s="17"/>
      <c r="BS176" s="17"/>
      <c r="BT176" s="17"/>
      <c r="BU176" s="17"/>
      <c r="BV176" s="17"/>
      <c r="BW176" s="17"/>
      <c r="BX176" s="17"/>
      <c r="BY176" s="17"/>
      <c r="BZ176" s="17"/>
      <c r="CA176" s="17"/>
      <c r="CB176" s="17"/>
      <c r="CC176" s="17"/>
      <c r="CD176" s="17"/>
      <c r="CE176" s="17"/>
      <c r="CF176" s="17"/>
      <c r="CG176" s="17"/>
      <c r="CH176" s="17"/>
      <c r="CI176" s="17"/>
      <c r="CJ176" s="17"/>
      <c r="CK176" s="17"/>
      <c r="CL176" s="17"/>
      <c r="CM176" s="17"/>
      <c r="CN176" s="17"/>
      <c r="CO176" s="17"/>
      <c r="CP176" s="17"/>
      <c r="CQ176" s="17"/>
      <c r="CR176" s="17"/>
      <c r="CS176" s="17"/>
      <c r="CT176" s="17"/>
      <c r="CU176" s="17"/>
      <c r="CV176" s="17"/>
    </row>
    <row r="177" spans="1:100" x14ac:dyDescent="0.35">
      <c r="B177" s="9"/>
      <c r="C177" t="s">
        <v>230</v>
      </c>
      <c r="D177" t="s">
        <v>356</v>
      </c>
      <c r="E177" t="s">
        <v>124</v>
      </c>
      <c r="F177" s="17">
        <v>0</v>
      </c>
      <c r="G177" s="17">
        <v>1</v>
      </c>
      <c r="H177" s="17">
        <v>1</v>
      </c>
      <c r="I177" s="17">
        <v>1</v>
      </c>
      <c r="J177" s="17">
        <v>1</v>
      </c>
      <c r="K177" s="17">
        <v>1</v>
      </c>
      <c r="L177" s="17">
        <v>1</v>
      </c>
      <c r="M177" s="17">
        <v>1</v>
      </c>
      <c r="N177" s="17">
        <v>1</v>
      </c>
      <c r="O177" s="17">
        <v>1</v>
      </c>
      <c r="P177" s="17">
        <v>1</v>
      </c>
      <c r="Q177" s="17">
        <v>1</v>
      </c>
      <c r="R177" s="17">
        <v>1</v>
      </c>
      <c r="S177" s="17">
        <v>1</v>
      </c>
      <c r="T177" s="17">
        <v>1</v>
      </c>
      <c r="U177" s="17">
        <v>1</v>
      </c>
      <c r="V177" s="17">
        <v>1</v>
      </c>
      <c r="W177" s="17">
        <v>1</v>
      </c>
      <c r="X177" s="17">
        <v>1</v>
      </c>
      <c r="Y177" s="17">
        <v>1</v>
      </c>
      <c r="Z177" s="17">
        <v>1</v>
      </c>
      <c r="AA177" s="17">
        <v>1</v>
      </c>
      <c r="AB177" s="17">
        <v>1</v>
      </c>
      <c r="AC177" s="17">
        <v>1</v>
      </c>
      <c r="AD177" s="17">
        <v>1</v>
      </c>
      <c r="AE177" s="17">
        <v>1</v>
      </c>
      <c r="AF177" s="17">
        <v>1</v>
      </c>
      <c r="AG177" s="17">
        <v>1</v>
      </c>
      <c r="AH177" s="17">
        <v>1</v>
      </c>
      <c r="AI177" s="17">
        <v>1</v>
      </c>
      <c r="AJ177" s="17">
        <v>1</v>
      </c>
      <c r="AK177" s="17">
        <v>1</v>
      </c>
      <c r="AL177" s="17">
        <v>1</v>
      </c>
      <c r="AM177" s="17">
        <v>1</v>
      </c>
      <c r="AN177" s="17">
        <v>1</v>
      </c>
      <c r="AO177" s="17"/>
      <c r="AP177" s="17"/>
      <c r="AQ177" s="17"/>
      <c r="AR177" s="17"/>
      <c r="AS177" s="17"/>
      <c r="AT177" s="17"/>
      <c r="AU177" s="17"/>
      <c r="AV177" s="17"/>
      <c r="AW177" s="17"/>
      <c r="AX177" s="17"/>
      <c r="AY177" s="17"/>
      <c r="AZ177" s="17"/>
      <c r="BA177" s="17"/>
      <c r="BB177" s="17"/>
      <c r="BC177" s="17"/>
      <c r="BD177" s="17"/>
      <c r="BE177" s="17"/>
      <c r="BF177" s="17"/>
      <c r="BG177" s="17"/>
      <c r="BH177" s="17"/>
      <c r="BI177" s="17"/>
      <c r="BJ177" s="17"/>
      <c r="BK177" s="17"/>
      <c r="BL177" s="17"/>
      <c r="BM177" s="17"/>
      <c r="BN177" s="17"/>
      <c r="BO177" s="17"/>
      <c r="BP177" s="17"/>
      <c r="BQ177" s="17"/>
      <c r="BR177" s="17"/>
      <c r="BS177" s="17"/>
      <c r="BT177" s="17"/>
      <c r="BU177" s="17"/>
      <c r="BV177" s="17"/>
      <c r="BW177" s="17"/>
      <c r="BX177" s="17"/>
      <c r="BY177" s="17"/>
      <c r="BZ177" s="17"/>
      <c r="CA177" s="17"/>
      <c r="CB177" s="17"/>
      <c r="CC177" s="17"/>
      <c r="CD177" s="17"/>
      <c r="CE177" s="17"/>
      <c r="CF177" s="17"/>
      <c r="CG177" s="17"/>
      <c r="CH177" s="17"/>
      <c r="CI177" s="17"/>
      <c r="CJ177" s="17"/>
      <c r="CK177" s="17"/>
      <c r="CL177" s="17"/>
      <c r="CM177" s="17"/>
      <c r="CN177" s="17"/>
      <c r="CO177" s="17"/>
      <c r="CP177" s="17"/>
      <c r="CQ177" s="17"/>
      <c r="CR177" s="17"/>
      <c r="CS177" s="17"/>
      <c r="CT177" s="17"/>
      <c r="CU177" s="17"/>
      <c r="CV177" s="17"/>
    </row>
    <row r="178" spans="1:100" x14ac:dyDescent="0.35">
      <c r="B178" s="9"/>
      <c r="C178" t="s">
        <v>339</v>
      </c>
      <c r="D178" t="s">
        <v>357</v>
      </c>
      <c r="E178" t="s">
        <v>226</v>
      </c>
      <c r="F178" s="17">
        <v>0</v>
      </c>
      <c r="G178" s="17">
        <v>314.32245960203602</v>
      </c>
      <c r="H178" s="17">
        <v>281.64446933994299</v>
      </c>
      <c r="I178" s="17">
        <v>240.36740658647099</v>
      </c>
      <c r="J178" s="17">
        <v>212.72346614617399</v>
      </c>
      <c r="K178" s="17">
        <v>216.75767823866801</v>
      </c>
      <c r="L178" s="17">
        <v>217.45176768599001</v>
      </c>
      <c r="M178" s="17">
        <v>207.649331718578</v>
      </c>
      <c r="N178" s="17">
        <v>197.719099300095</v>
      </c>
      <c r="O178" s="17">
        <v>199.10286961938201</v>
      </c>
      <c r="P178" s="17">
        <v>191.532541321796</v>
      </c>
      <c r="Q178" s="17">
        <v>195.16811164396401</v>
      </c>
      <c r="R178" s="17">
        <v>192.34378186879101</v>
      </c>
      <c r="S178" s="17">
        <v>192.422916841149</v>
      </c>
      <c r="T178" s="17">
        <v>191.966096501707</v>
      </c>
      <c r="U178" s="17">
        <v>186.96635417155801</v>
      </c>
      <c r="V178" s="17">
        <v>187.331367496203</v>
      </c>
      <c r="W178" s="17">
        <v>183.52627595998101</v>
      </c>
      <c r="X178" s="17">
        <v>180.65999159088199</v>
      </c>
      <c r="Y178" s="17">
        <v>183.82464875807</v>
      </c>
      <c r="Z178" s="17">
        <v>188.034326328546</v>
      </c>
      <c r="AA178" s="17">
        <v>185.646549982403</v>
      </c>
      <c r="AB178" s="17">
        <v>184.099975780709</v>
      </c>
      <c r="AC178" s="17">
        <v>182.94054135533801</v>
      </c>
      <c r="AD178" s="17">
        <v>181.773835914686</v>
      </c>
      <c r="AE178" s="17">
        <v>181.17551284249299</v>
      </c>
      <c r="AF178" s="17">
        <v>179.024013152431</v>
      </c>
      <c r="AG178" s="17">
        <v>179.76832066076</v>
      </c>
      <c r="AH178" s="17">
        <v>178.007857426188</v>
      </c>
      <c r="AI178" s="17">
        <v>177.85697341222499</v>
      </c>
      <c r="AJ178" s="17">
        <v>177.19576023658701</v>
      </c>
      <c r="AK178" s="17">
        <v>175.44601548143899</v>
      </c>
      <c r="AL178" s="17">
        <v>178.249347065927</v>
      </c>
      <c r="AM178" s="17">
        <v>180.37508479667099</v>
      </c>
      <c r="AN178" s="17">
        <v>177.093819766585</v>
      </c>
      <c r="AO178" s="17"/>
      <c r="AP178" s="17"/>
      <c r="AQ178" s="17"/>
      <c r="AR178" s="17"/>
      <c r="AS178" s="17"/>
      <c r="AT178" s="17"/>
      <c r="AU178" s="17"/>
      <c r="AV178" s="17"/>
      <c r="AW178" s="17"/>
      <c r="AX178" s="17"/>
      <c r="AY178" s="17"/>
      <c r="AZ178" s="17"/>
      <c r="BA178" s="17"/>
      <c r="BB178" s="17"/>
      <c r="BC178" s="17"/>
      <c r="BD178" s="17"/>
      <c r="BE178" s="17"/>
      <c r="BF178" s="17"/>
      <c r="BG178" s="17"/>
      <c r="BH178" s="17"/>
      <c r="BI178" s="17"/>
      <c r="BJ178" s="17"/>
      <c r="BK178" s="17"/>
      <c r="BL178" s="17"/>
      <c r="BM178" s="17"/>
      <c r="BN178" s="17"/>
      <c r="BO178" s="17"/>
      <c r="BP178" s="17"/>
      <c r="BQ178" s="17"/>
      <c r="BR178" s="17"/>
      <c r="BS178" s="17"/>
      <c r="BT178" s="17"/>
      <c r="BU178" s="17"/>
      <c r="BV178" s="17"/>
      <c r="BW178" s="17"/>
      <c r="BX178" s="17"/>
      <c r="BY178" s="17"/>
      <c r="BZ178" s="17"/>
      <c r="CA178" s="17"/>
      <c r="CB178" s="17"/>
      <c r="CC178" s="17"/>
      <c r="CD178" s="17"/>
      <c r="CE178" s="17"/>
      <c r="CF178" s="17"/>
      <c r="CG178" s="17"/>
      <c r="CH178" s="17"/>
      <c r="CI178" s="17"/>
      <c r="CJ178" s="17"/>
      <c r="CK178" s="17"/>
      <c r="CL178" s="17"/>
      <c r="CM178" s="17"/>
      <c r="CN178" s="17"/>
      <c r="CO178" s="17"/>
      <c r="CP178" s="17"/>
      <c r="CQ178" s="17"/>
      <c r="CR178" s="17"/>
      <c r="CS178" s="17"/>
      <c r="CT178" s="17"/>
      <c r="CU178" s="17"/>
      <c r="CV178" s="17"/>
    </row>
    <row r="179" spans="1:100" x14ac:dyDescent="0.35">
      <c r="B179" s="9"/>
      <c r="F179" s="17"/>
      <c r="G179" s="17"/>
      <c r="H179" s="17"/>
      <c r="I179" s="17"/>
      <c r="J179" s="17"/>
      <c r="K179" s="17"/>
      <c r="L179" s="17"/>
      <c r="M179" s="17"/>
      <c r="N179" s="17"/>
      <c r="O179" s="17"/>
      <c r="P179" s="17"/>
      <c r="Q179" s="17"/>
      <c r="R179" s="17"/>
      <c r="S179" s="17"/>
      <c r="T179" s="17"/>
      <c r="U179" s="17"/>
      <c r="V179" s="17"/>
      <c r="W179" s="17"/>
      <c r="X179" s="17"/>
      <c r="Y179" s="17"/>
      <c r="Z179" s="17"/>
      <c r="AA179" s="17"/>
      <c r="AB179" s="17"/>
      <c r="AC179" s="17"/>
      <c r="AD179" s="17"/>
      <c r="AE179" s="17"/>
      <c r="AF179" s="17"/>
      <c r="AG179" s="17"/>
      <c r="AH179" s="17"/>
      <c r="AI179" s="17"/>
      <c r="AJ179" s="17"/>
      <c r="AK179" s="17"/>
      <c r="AL179" s="17"/>
      <c r="AM179" s="17"/>
      <c r="AN179" s="17"/>
      <c r="AO179" s="17"/>
      <c r="AP179" s="17"/>
      <c r="AQ179" s="17"/>
      <c r="AR179" s="17"/>
      <c r="AS179" s="17"/>
      <c r="AT179" s="17"/>
      <c r="AU179" s="17"/>
      <c r="AV179" s="17"/>
      <c r="AW179" s="17"/>
      <c r="AX179" s="17"/>
      <c r="AY179" s="17"/>
      <c r="AZ179" s="17"/>
      <c r="BA179" s="17"/>
      <c r="BB179" s="17"/>
      <c r="BC179" s="17"/>
      <c r="BD179" s="17"/>
      <c r="BE179" s="17"/>
      <c r="BF179" s="17"/>
      <c r="BG179" s="17"/>
      <c r="BH179" s="17"/>
      <c r="BI179" s="17"/>
      <c r="BJ179" s="17"/>
      <c r="BK179" s="17"/>
      <c r="BL179" s="17"/>
      <c r="BM179" s="17"/>
      <c r="BN179" s="17"/>
      <c r="BO179" s="17"/>
      <c r="BP179" s="17"/>
      <c r="BQ179" s="17"/>
      <c r="BR179" s="17"/>
      <c r="BS179" s="17"/>
      <c r="BT179" s="17"/>
      <c r="BU179" s="17"/>
      <c r="BV179" s="17"/>
      <c r="BW179" s="17"/>
      <c r="BX179" s="17"/>
      <c r="BY179" s="17"/>
      <c r="BZ179" s="17"/>
      <c r="CA179" s="17"/>
      <c r="CB179" s="17"/>
      <c r="CC179" s="17"/>
      <c r="CD179" s="17"/>
      <c r="CE179" s="17"/>
      <c r="CF179" s="17"/>
      <c r="CG179" s="17"/>
      <c r="CH179" s="17"/>
      <c r="CI179" s="17"/>
      <c r="CJ179" s="17"/>
      <c r="CK179" s="17"/>
      <c r="CL179" s="17"/>
      <c r="CM179" s="17"/>
      <c r="CN179" s="17"/>
      <c r="CO179" s="17"/>
      <c r="CP179" s="17"/>
      <c r="CQ179" s="17"/>
      <c r="CR179" s="17"/>
      <c r="CS179" s="17"/>
      <c r="CT179" s="17"/>
      <c r="CU179" s="17"/>
      <c r="CV179" s="17"/>
    </row>
    <row r="180" spans="1:100" x14ac:dyDescent="0.35">
      <c r="B180" s="9"/>
      <c r="F180" s="17"/>
      <c r="G180" s="17"/>
      <c r="H180" s="17"/>
      <c r="I180" s="17"/>
      <c r="J180" s="17"/>
      <c r="K180" s="17"/>
      <c r="L180" s="17"/>
      <c r="M180" s="17"/>
      <c r="N180" s="17"/>
      <c r="O180" s="17"/>
      <c r="P180" s="17"/>
      <c r="Q180" s="17"/>
      <c r="R180" s="17"/>
      <c r="S180" s="17"/>
      <c r="T180" s="17"/>
      <c r="U180" s="17"/>
      <c r="V180" s="17"/>
      <c r="W180" s="17"/>
      <c r="X180" s="17"/>
      <c r="Y180" s="17"/>
      <c r="Z180" s="17"/>
      <c r="AA180" s="17"/>
      <c r="AB180" s="17"/>
      <c r="AC180" s="17"/>
      <c r="AD180" s="17"/>
      <c r="AE180" s="17"/>
      <c r="AF180" s="17"/>
      <c r="AG180" s="17"/>
      <c r="AH180" s="17"/>
      <c r="AI180" s="17"/>
      <c r="AJ180" s="17"/>
      <c r="AK180" s="17"/>
      <c r="AL180" s="17"/>
      <c r="AM180" s="17"/>
      <c r="AN180" s="17"/>
      <c r="AO180" s="17"/>
      <c r="AP180" s="17"/>
      <c r="AQ180" s="17"/>
      <c r="AR180" s="17"/>
      <c r="AS180" s="17"/>
      <c r="AT180" s="17"/>
      <c r="AU180" s="17"/>
      <c r="AV180" s="17"/>
      <c r="AW180" s="17"/>
      <c r="AX180" s="17"/>
      <c r="AY180" s="17"/>
      <c r="AZ180" s="17"/>
      <c r="BA180" s="17"/>
      <c r="BB180" s="17"/>
      <c r="BC180" s="17"/>
      <c r="BD180" s="17"/>
      <c r="BE180" s="17"/>
      <c r="BF180" s="17"/>
      <c r="BG180" s="17"/>
      <c r="BH180" s="17"/>
      <c r="BI180" s="17"/>
      <c r="BJ180" s="17"/>
      <c r="BK180" s="17"/>
      <c r="BL180" s="17"/>
      <c r="BM180" s="17"/>
      <c r="BN180" s="17"/>
      <c r="BO180" s="17"/>
      <c r="BP180" s="17"/>
      <c r="BQ180" s="17"/>
      <c r="BR180" s="17"/>
      <c r="BS180" s="17"/>
      <c r="BT180" s="17"/>
      <c r="BU180" s="17"/>
      <c r="BV180" s="17"/>
      <c r="BW180" s="17"/>
      <c r="BX180" s="17"/>
      <c r="BY180" s="17"/>
      <c r="BZ180" s="17"/>
      <c r="CA180" s="17"/>
      <c r="CB180" s="17"/>
      <c r="CC180" s="17"/>
      <c r="CD180" s="17"/>
      <c r="CE180" s="17"/>
      <c r="CF180" s="17"/>
      <c r="CG180" s="17"/>
      <c r="CH180" s="17"/>
      <c r="CI180" s="17"/>
      <c r="CJ180" s="17"/>
      <c r="CK180" s="17"/>
      <c r="CL180" s="17"/>
      <c r="CM180" s="17"/>
      <c r="CN180" s="17"/>
      <c r="CO180" s="17"/>
      <c r="CP180" s="17"/>
      <c r="CQ180" s="17"/>
      <c r="CR180" s="17"/>
      <c r="CS180" s="17"/>
      <c r="CT180" s="17"/>
      <c r="CU180" s="17"/>
      <c r="CV180" s="17"/>
    </row>
    <row r="181" spans="1:100" x14ac:dyDescent="0.35">
      <c r="B181" s="9"/>
      <c r="F181" s="17"/>
      <c r="G181" s="17"/>
      <c r="H181" s="17"/>
      <c r="I181" s="17"/>
      <c r="J181" s="17"/>
      <c r="K181" s="17"/>
      <c r="L181" s="17"/>
      <c r="M181" s="17"/>
      <c r="N181" s="17"/>
      <c r="O181" s="17"/>
      <c r="P181" s="17"/>
      <c r="Q181" s="17"/>
      <c r="R181" s="17"/>
      <c r="S181" s="17"/>
      <c r="T181" s="17"/>
      <c r="U181" s="17"/>
      <c r="V181" s="17"/>
      <c r="W181" s="17"/>
      <c r="X181" s="17"/>
      <c r="Y181" s="17"/>
      <c r="Z181" s="17"/>
      <c r="AA181" s="17"/>
      <c r="AB181" s="17"/>
      <c r="AC181" s="17"/>
      <c r="AD181" s="17"/>
      <c r="AE181" s="17"/>
      <c r="AF181" s="17"/>
      <c r="AG181" s="17"/>
      <c r="AH181" s="17"/>
      <c r="AI181" s="17"/>
      <c r="AJ181" s="17"/>
      <c r="AK181" s="17"/>
      <c r="AL181" s="17"/>
      <c r="AM181" s="17"/>
      <c r="AN181" s="17"/>
      <c r="AO181" s="17"/>
      <c r="AP181" s="17"/>
      <c r="AQ181" s="17"/>
      <c r="AR181" s="17"/>
      <c r="AS181" s="17"/>
      <c r="AT181" s="17"/>
      <c r="AU181" s="17"/>
      <c r="AV181" s="17"/>
      <c r="AW181" s="17"/>
      <c r="AX181" s="17"/>
      <c r="AY181" s="17"/>
      <c r="AZ181" s="17"/>
      <c r="BA181" s="17"/>
      <c r="BB181" s="17"/>
      <c r="BC181" s="17"/>
      <c r="BD181" s="17"/>
      <c r="BE181" s="17"/>
      <c r="BF181" s="17"/>
      <c r="BG181" s="17"/>
      <c r="BH181" s="17"/>
      <c r="BI181" s="17"/>
      <c r="BJ181" s="17"/>
      <c r="BK181" s="17"/>
      <c r="BL181" s="17"/>
      <c r="BM181" s="17"/>
      <c r="BN181" s="17"/>
      <c r="BO181" s="17"/>
      <c r="BP181" s="17"/>
      <c r="BQ181" s="17"/>
      <c r="BR181" s="17"/>
      <c r="BS181" s="17"/>
      <c r="BT181" s="17"/>
      <c r="BU181" s="17"/>
      <c r="BV181" s="17"/>
      <c r="BW181" s="17"/>
      <c r="BX181" s="17"/>
      <c r="BY181" s="17"/>
      <c r="BZ181" s="17"/>
      <c r="CA181" s="17"/>
      <c r="CB181" s="17"/>
      <c r="CC181" s="17"/>
      <c r="CD181" s="17"/>
      <c r="CE181" s="17"/>
      <c r="CF181" s="17"/>
      <c r="CG181" s="17"/>
      <c r="CH181" s="17"/>
      <c r="CI181" s="17"/>
      <c r="CJ181" s="17"/>
      <c r="CK181" s="17"/>
      <c r="CL181" s="17"/>
      <c r="CM181" s="17"/>
      <c r="CN181" s="17"/>
      <c r="CO181" s="17"/>
      <c r="CP181" s="17"/>
      <c r="CQ181" s="17"/>
      <c r="CR181" s="17"/>
      <c r="CS181" s="17"/>
      <c r="CT181" s="17"/>
      <c r="CU181" s="17"/>
      <c r="CV181" s="17"/>
    </row>
    <row r="182" spans="1:100" x14ac:dyDescent="0.35">
      <c r="A182">
        <v>4</v>
      </c>
      <c r="B182" s="9" t="s">
        <v>472</v>
      </c>
      <c r="C182" t="s">
        <v>230</v>
      </c>
      <c r="D182" t="s">
        <v>322</v>
      </c>
      <c r="E182" t="s">
        <v>124</v>
      </c>
      <c r="F182" s="17">
        <v>0</v>
      </c>
      <c r="G182" s="17">
        <v>1</v>
      </c>
      <c r="H182" s="17">
        <v>1</v>
      </c>
      <c r="I182" s="17">
        <v>1</v>
      </c>
      <c r="J182" s="17">
        <v>1</v>
      </c>
      <c r="K182" s="17">
        <v>1</v>
      </c>
      <c r="L182" s="17">
        <v>1</v>
      </c>
      <c r="M182" s="17">
        <v>1</v>
      </c>
      <c r="N182" s="17">
        <v>1</v>
      </c>
      <c r="O182" s="17">
        <v>1</v>
      </c>
      <c r="P182" s="17">
        <v>1</v>
      </c>
      <c r="Q182" s="17">
        <v>1</v>
      </c>
      <c r="R182" s="17">
        <v>1</v>
      </c>
      <c r="S182" s="17">
        <v>1</v>
      </c>
      <c r="T182" s="17">
        <v>1</v>
      </c>
      <c r="U182" s="17">
        <v>1</v>
      </c>
      <c r="V182" s="17">
        <v>1</v>
      </c>
      <c r="W182" s="17">
        <v>1</v>
      </c>
      <c r="X182" s="17">
        <v>1</v>
      </c>
      <c r="Y182" s="17">
        <v>1</v>
      </c>
      <c r="Z182" s="17">
        <v>1</v>
      </c>
      <c r="AA182" s="17">
        <v>1</v>
      </c>
      <c r="AB182" s="17">
        <v>1</v>
      </c>
      <c r="AC182" s="17">
        <v>1</v>
      </c>
      <c r="AD182" s="17">
        <v>1</v>
      </c>
      <c r="AE182" s="17">
        <v>1</v>
      </c>
      <c r="AF182" s="17">
        <v>1</v>
      </c>
      <c r="AG182" s="17">
        <v>1</v>
      </c>
      <c r="AH182" s="17">
        <v>1</v>
      </c>
      <c r="AI182" s="17">
        <v>1</v>
      </c>
      <c r="AJ182" s="17">
        <v>1</v>
      </c>
      <c r="AK182" s="17">
        <v>1</v>
      </c>
      <c r="AL182" s="17">
        <v>1</v>
      </c>
      <c r="AM182" s="17">
        <v>1</v>
      </c>
      <c r="AN182" s="17">
        <v>1</v>
      </c>
      <c r="AO182" s="17"/>
      <c r="AP182" s="17"/>
      <c r="AQ182" s="17"/>
      <c r="AR182" s="17"/>
      <c r="AS182" s="17"/>
      <c r="AT182" s="17"/>
      <c r="AU182" s="17"/>
      <c r="AV182" s="17"/>
      <c r="AW182" s="17"/>
      <c r="AX182" s="17"/>
      <c r="AY182" s="17"/>
      <c r="AZ182" s="17"/>
      <c r="BA182" s="17"/>
      <c r="BB182" s="17"/>
      <c r="BC182" s="17"/>
      <c r="BD182" s="17"/>
      <c r="BE182" s="17"/>
      <c r="BF182" s="17"/>
      <c r="BG182" s="17"/>
      <c r="BH182" s="17"/>
      <c r="BI182" s="17"/>
      <c r="BJ182" s="17"/>
      <c r="BK182" s="17"/>
      <c r="BL182" s="17"/>
      <c r="BM182" s="17"/>
      <c r="BN182" s="17"/>
      <c r="BO182" s="17"/>
      <c r="BP182" s="17"/>
      <c r="BQ182" s="17"/>
      <c r="BR182" s="17"/>
      <c r="BS182" s="17"/>
      <c r="BT182" s="17"/>
      <c r="BU182" s="17"/>
      <c r="BV182" s="17"/>
      <c r="BW182" s="17"/>
      <c r="BX182" s="17"/>
      <c r="BY182" s="17"/>
      <c r="BZ182" s="17"/>
      <c r="CA182" s="17"/>
      <c r="CB182" s="17"/>
      <c r="CC182" s="17"/>
      <c r="CD182" s="17"/>
      <c r="CE182" s="17"/>
      <c r="CF182" s="17"/>
      <c r="CG182" s="17"/>
      <c r="CH182" s="17"/>
      <c r="CI182" s="17"/>
      <c r="CJ182" s="17"/>
      <c r="CK182" s="17"/>
      <c r="CL182" s="17"/>
      <c r="CM182" s="17"/>
      <c r="CN182" s="17"/>
      <c r="CO182" s="17"/>
      <c r="CP182" s="17"/>
      <c r="CQ182" s="17"/>
      <c r="CR182" s="17"/>
      <c r="CS182" s="17"/>
      <c r="CT182" s="17"/>
      <c r="CU182" s="17"/>
      <c r="CV182" s="17"/>
    </row>
    <row r="183" spans="1:100" x14ac:dyDescent="0.35">
      <c r="B183" s="9">
        <v>2027</v>
      </c>
      <c r="C183" t="s">
        <v>337</v>
      </c>
      <c r="D183" t="s">
        <v>323</v>
      </c>
      <c r="F183" s="17">
        <v>0</v>
      </c>
      <c r="G183" s="17">
        <v>0</v>
      </c>
      <c r="H183" s="17">
        <v>0</v>
      </c>
      <c r="I183" s="17">
        <v>0</v>
      </c>
      <c r="J183" s="17">
        <v>0</v>
      </c>
      <c r="K183" s="17">
        <v>0</v>
      </c>
      <c r="L183" s="17">
        <v>0</v>
      </c>
      <c r="M183" s="17">
        <v>0</v>
      </c>
      <c r="N183" s="17">
        <v>0</v>
      </c>
      <c r="O183" s="17">
        <v>0</v>
      </c>
      <c r="P183" s="17">
        <v>0</v>
      </c>
      <c r="Q183" s="17">
        <v>0</v>
      </c>
      <c r="R183" s="17">
        <v>0</v>
      </c>
      <c r="S183" s="17">
        <v>0</v>
      </c>
      <c r="T183" s="17">
        <v>0</v>
      </c>
      <c r="U183" s="17">
        <v>0</v>
      </c>
      <c r="V183" s="17">
        <v>0</v>
      </c>
      <c r="W183" s="17">
        <v>0</v>
      </c>
      <c r="X183" s="17">
        <v>0</v>
      </c>
      <c r="Y183" s="17">
        <v>0</v>
      </c>
      <c r="Z183" s="17">
        <v>0</v>
      </c>
      <c r="AA183" s="17">
        <v>0</v>
      </c>
      <c r="AB183" s="17">
        <v>0</v>
      </c>
      <c r="AC183" s="17">
        <v>0</v>
      </c>
      <c r="AD183" s="17">
        <v>0</v>
      </c>
      <c r="AE183" s="17">
        <v>0</v>
      </c>
      <c r="AF183" s="17">
        <v>0</v>
      </c>
      <c r="AG183" s="17">
        <v>0</v>
      </c>
      <c r="AH183" s="17">
        <v>0</v>
      </c>
      <c r="AI183" s="17">
        <v>0</v>
      </c>
      <c r="AJ183" s="17">
        <v>0</v>
      </c>
      <c r="AK183" s="17">
        <v>0</v>
      </c>
      <c r="AL183" s="17">
        <v>0</v>
      </c>
      <c r="AM183" s="17">
        <v>0</v>
      </c>
      <c r="AN183" s="17">
        <v>0</v>
      </c>
      <c r="AO183" s="17"/>
      <c r="AP183" s="17"/>
      <c r="AQ183" s="17"/>
      <c r="AR183" s="17"/>
      <c r="AS183" s="17"/>
      <c r="AT183" s="17"/>
      <c r="AU183" s="17"/>
      <c r="AV183" s="17"/>
      <c r="AW183" s="17"/>
      <c r="AX183" s="17"/>
      <c r="AY183" s="17"/>
      <c r="AZ183" s="17"/>
      <c r="BA183" s="17"/>
      <c r="BB183" s="17"/>
      <c r="BC183" s="17"/>
      <c r="BD183" s="17"/>
      <c r="BE183" s="17"/>
      <c r="BF183" s="17"/>
      <c r="BG183" s="17"/>
      <c r="BH183" s="17"/>
      <c r="BI183" s="17"/>
      <c r="BJ183" s="17"/>
      <c r="BK183" s="17"/>
      <c r="BL183" s="17"/>
      <c r="BM183" s="17"/>
      <c r="BN183" s="17"/>
      <c r="BO183" s="17"/>
      <c r="BP183" s="17"/>
      <c r="BQ183" s="17"/>
      <c r="BR183" s="17"/>
      <c r="BS183" s="17"/>
      <c r="BT183" s="17"/>
      <c r="BU183" s="17"/>
      <c r="BV183" s="17"/>
      <c r="BW183" s="17"/>
      <c r="BX183" s="17"/>
      <c r="BY183" s="17"/>
      <c r="BZ183" s="17"/>
      <c r="CA183" s="17"/>
      <c r="CB183" s="17"/>
      <c r="CC183" s="17"/>
      <c r="CD183" s="17"/>
      <c r="CE183" s="17"/>
      <c r="CF183" s="17"/>
      <c r="CG183" s="17"/>
      <c r="CH183" s="17"/>
      <c r="CI183" s="17"/>
      <c r="CJ183" s="17"/>
      <c r="CK183" s="17"/>
      <c r="CL183" s="17"/>
      <c r="CM183" s="17"/>
      <c r="CN183" s="17"/>
      <c r="CO183" s="17"/>
      <c r="CP183" s="17"/>
      <c r="CQ183" s="17"/>
      <c r="CR183" s="17"/>
      <c r="CS183" s="17"/>
      <c r="CT183" s="17"/>
      <c r="CU183" s="17"/>
      <c r="CV183" s="17"/>
    </row>
    <row r="184" spans="1:100" x14ac:dyDescent="0.35">
      <c r="B184" s="9" t="s">
        <v>77</v>
      </c>
      <c r="C184" t="s">
        <v>230</v>
      </c>
      <c r="D184" t="s">
        <v>324</v>
      </c>
      <c r="F184" s="17">
        <v>0</v>
      </c>
      <c r="G184" s="17">
        <v>1.00251</v>
      </c>
      <c r="H184" s="17">
        <v>0.99522999999999995</v>
      </c>
      <c r="I184" s="17">
        <v>0.99568000000000001</v>
      </c>
      <c r="J184" s="17">
        <v>1.0035799999999999</v>
      </c>
      <c r="K184" s="17">
        <v>1.0001500000000001</v>
      </c>
      <c r="L184" s="17">
        <v>0.99624000000000001</v>
      </c>
      <c r="M184" s="17">
        <v>0.99058000000000002</v>
      </c>
      <c r="N184" s="17">
        <v>1.0003599999999999</v>
      </c>
      <c r="O184" s="17">
        <v>1.0000500000000001</v>
      </c>
      <c r="P184" s="17">
        <v>0.99243000000000003</v>
      </c>
      <c r="Q184" s="17">
        <v>0.99787000000000003</v>
      </c>
      <c r="R184" s="17">
        <v>0.99716000000000005</v>
      </c>
      <c r="S184" s="17">
        <v>1.0040800000000001</v>
      </c>
      <c r="T184" s="17">
        <v>1.0039199999999999</v>
      </c>
      <c r="U184" s="17">
        <v>1.0031699999999999</v>
      </c>
      <c r="V184" s="17">
        <v>1.0035000000000001</v>
      </c>
      <c r="W184" s="17">
        <v>0.99609999999999999</v>
      </c>
      <c r="X184" s="17">
        <v>1.00881</v>
      </c>
      <c r="Y184" s="17">
        <v>0.99780999999999997</v>
      </c>
      <c r="Z184" s="17">
        <v>1.00267</v>
      </c>
      <c r="AA184" s="17">
        <v>0.99582999999999999</v>
      </c>
      <c r="AB184" s="17">
        <v>1.0040100000000001</v>
      </c>
      <c r="AC184" s="17">
        <v>0.99541999999999997</v>
      </c>
      <c r="AD184" s="17">
        <v>1.0039</v>
      </c>
      <c r="AE184" s="17">
        <v>1.0098100000000001</v>
      </c>
      <c r="AF184" s="17">
        <v>1.0062800000000001</v>
      </c>
      <c r="AG184" s="17">
        <v>0.98665000000000003</v>
      </c>
      <c r="AH184" s="17">
        <v>0.99236999999999997</v>
      </c>
      <c r="AI184" s="17">
        <v>0.99219000000000002</v>
      </c>
      <c r="AJ184" s="17">
        <v>1.0098400000000001</v>
      </c>
      <c r="AK184" s="17">
        <v>1.0019199999999999</v>
      </c>
      <c r="AL184" s="17">
        <v>0.99178999999999995</v>
      </c>
      <c r="AM184" s="17">
        <v>1.0035700000000001</v>
      </c>
      <c r="AN184" s="17">
        <v>1.0057499999999999</v>
      </c>
      <c r="AO184" s="17"/>
      <c r="AP184" s="17"/>
      <c r="AQ184" s="17"/>
      <c r="AR184" s="17"/>
      <c r="AS184" s="17"/>
      <c r="AT184" s="17"/>
      <c r="AU184" s="17"/>
      <c r="AV184" s="17"/>
      <c r="AW184" s="17"/>
      <c r="AX184" s="17"/>
      <c r="AY184" s="17"/>
      <c r="AZ184" s="17"/>
      <c r="BA184" s="17"/>
      <c r="BB184" s="17"/>
      <c r="BC184" s="17"/>
      <c r="BD184" s="17"/>
      <c r="BE184" s="17"/>
      <c r="BF184" s="17"/>
      <c r="BG184" s="17"/>
      <c r="BH184" s="17"/>
      <c r="BI184" s="17"/>
      <c r="BJ184" s="17"/>
      <c r="BK184" s="17"/>
      <c r="BL184" s="17"/>
      <c r="BM184" s="17"/>
      <c r="BN184" s="17"/>
      <c r="BO184" s="17"/>
      <c r="BP184" s="17"/>
      <c r="BQ184" s="17"/>
      <c r="BR184" s="17"/>
      <c r="BS184" s="17"/>
      <c r="BT184" s="17"/>
      <c r="BU184" s="17"/>
      <c r="BV184" s="17"/>
      <c r="BW184" s="17"/>
      <c r="BX184" s="17"/>
      <c r="BY184" s="17"/>
      <c r="BZ184" s="17"/>
      <c r="CA184" s="17"/>
      <c r="CB184" s="17"/>
      <c r="CC184" s="17"/>
      <c r="CD184" s="17"/>
      <c r="CE184" s="17"/>
      <c r="CF184" s="17"/>
      <c r="CG184" s="17"/>
      <c r="CH184" s="17"/>
      <c r="CI184" s="17"/>
      <c r="CJ184" s="17"/>
      <c r="CK184" s="17"/>
      <c r="CL184" s="17"/>
      <c r="CM184" s="17"/>
      <c r="CN184" s="17"/>
      <c r="CO184" s="17"/>
      <c r="CP184" s="17"/>
      <c r="CQ184" s="17"/>
      <c r="CR184" s="17"/>
      <c r="CS184" s="17"/>
      <c r="CT184" s="17"/>
      <c r="CU184" s="17"/>
      <c r="CV184" s="17"/>
    </row>
    <row r="185" spans="1:100" x14ac:dyDescent="0.35">
      <c r="B185" s="9" t="s">
        <v>456</v>
      </c>
      <c r="C185" t="s">
        <v>230</v>
      </c>
      <c r="D185" t="s">
        <v>325</v>
      </c>
      <c r="E185" t="s">
        <v>326</v>
      </c>
      <c r="F185" s="17">
        <v>0</v>
      </c>
      <c r="G185" s="17">
        <v>1</v>
      </c>
      <c r="H185" s="17">
        <v>1</v>
      </c>
      <c r="I185" s="17">
        <v>1</v>
      </c>
      <c r="J185" s="17">
        <v>1</v>
      </c>
      <c r="K185" s="17">
        <v>1</v>
      </c>
      <c r="L185" s="17">
        <v>1</v>
      </c>
      <c r="M185" s="17">
        <v>1</v>
      </c>
      <c r="N185" s="17">
        <v>1</v>
      </c>
      <c r="O185" s="17">
        <v>1</v>
      </c>
      <c r="P185" s="17">
        <v>1</v>
      </c>
      <c r="Q185" s="17">
        <v>1</v>
      </c>
      <c r="R185" s="17">
        <v>1</v>
      </c>
      <c r="S185" s="17">
        <v>1</v>
      </c>
      <c r="T185" s="17">
        <v>1</v>
      </c>
      <c r="U185" s="17">
        <v>1</v>
      </c>
      <c r="V185" s="17">
        <v>1</v>
      </c>
      <c r="W185" s="17">
        <v>1</v>
      </c>
      <c r="X185" s="17">
        <v>1</v>
      </c>
      <c r="Y185" s="17">
        <v>1</v>
      </c>
      <c r="Z185" s="17">
        <v>1</v>
      </c>
      <c r="AA185" s="17">
        <v>1</v>
      </c>
      <c r="AB185" s="17">
        <v>1</v>
      </c>
      <c r="AC185" s="17">
        <v>1</v>
      </c>
      <c r="AD185" s="17">
        <v>1</v>
      </c>
      <c r="AE185" s="17">
        <v>1</v>
      </c>
      <c r="AF185" s="17">
        <v>1</v>
      </c>
      <c r="AG185" s="17">
        <v>1</v>
      </c>
      <c r="AH185" s="17">
        <v>1</v>
      </c>
      <c r="AI185" s="17">
        <v>1</v>
      </c>
      <c r="AJ185" s="17">
        <v>1</v>
      </c>
      <c r="AK185" s="17">
        <v>1</v>
      </c>
      <c r="AL185" s="17">
        <v>1</v>
      </c>
      <c r="AM185" s="17">
        <v>1</v>
      </c>
      <c r="AN185" s="17">
        <v>1</v>
      </c>
      <c r="AO185" s="17"/>
      <c r="AP185" s="17"/>
      <c r="AQ185" s="17"/>
      <c r="AR185" s="17"/>
      <c r="AS185" s="17"/>
      <c r="AT185" s="17"/>
      <c r="AU185" s="17"/>
      <c r="AV185" s="17"/>
      <c r="AW185" s="17"/>
      <c r="AX185" s="17"/>
      <c r="AY185" s="17"/>
      <c r="AZ185" s="17"/>
      <c r="BA185" s="17"/>
      <c r="BB185" s="17"/>
      <c r="BC185" s="17"/>
      <c r="BD185" s="17"/>
      <c r="BE185" s="17"/>
      <c r="BF185" s="17"/>
      <c r="BG185" s="17"/>
      <c r="BH185" s="17"/>
      <c r="BI185" s="17"/>
      <c r="BJ185" s="17"/>
      <c r="BK185" s="17"/>
      <c r="BL185" s="17"/>
      <c r="BM185" s="17"/>
      <c r="BN185" s="17"/>
      <c r="BO185" s="17"/>
      <c r="BP185" s="17"/>
      <c r="BQ185" s="17"/>
      <c r="BR185" s="17"/>
      <c r="BS185" s="17"/>
      <c r="BT185" s="17"/>
      <c r="BU185" s="17"/>
      <c r="BV185" s="17"/>
      <c r="BW185" s="17"/>
      <c r="BX185" s="17"/>
      <c r="BY185" s="17"/>
      <c r="BZ185" s="17"/>
      <c r="CA185" s="17"/>
      <c r="CB185" s="17"/>
      <c r="CC185" s="17"/>
      <c r="CD185" s="17"/>
      <c r="CE185" s="17"/>
      <c r="CF185" s="17"/>
      <c r="CG185" s="17"/>
      <c r="CH185" s="17"/>
      <c r="CI185" s="17"/>
      <c r="CJ185" s="17"/>
      <c r="CK185" s="17"/>
      <c r="CL185" s="17"/>
      <c r="CM185" s="17"/>
      <c r="CN185" s="17"/>
      <c r="CO185" s="17"/>
      <c r="CP185" s="17"/>
      <c r="CQ185" s="17"/>
      <c r="CR185" s="17"/>
      <c r="CS185" s="17"/>
      <c r="CT185" s="17"/>
      <c r="CU185" s="17"/>
      <c r="CV185" s="17"/>
    </row>
    <row r="186" spans="1:100" x14ac:dyDescent="0.35">
      <c r="B186" s="9" t="s">
        <v>444</v>
      </c>
      <c r="C186" t="s">
        <v>230</v>
      </c>
      <c r="D186" t="s">
        <v>327</v>
      </c>
      <c r="E186" t="s">
        <v>326</v>
      </c>
      <c r="F186" s="17">
        <v>0</v>
      </c>
      <c r="G186" s="17">
        <v>1</v>
      </c>
      <c r="H186" s="17">
        <v>1</v>
      </c>
      <c r="I186" s="17">
        <v>1</v>
      </c>
      <c r="J186" s="17">
        <v>1</v>
      </c>
      <c r="K186" s="17">
        <v>1</v>
      </c>
      <c r="L186" s="17">
        <v>1</v>
      </c>
      <c r="M186" s="17">
        <v>1</v>
      </c>
      <c r="N186" s="17">
        <v>1</v>
      </c>
      <c r="O186" s="17">
        <v>1</v>
      </c>
      <c r="P186" s="17">
        <v>1</v>
      </c>
      <c r="Q186" s="17">
        <v>1</v>
      </c>
      <c r="R186" s="17">
        <v>1</v>
      </c>
      <c r="S186" s="17">
        <v>1</v>
      </c>
      <c r="T186" s="17">
        <v>1</v>
      </c>
      <c r="U186" s="17">
        <v>1</v>
      </c>
      <c r="V186" s="17">
        <v>1</v>
      </c>
      <c r="W186" s="17">
        <v>1</v>
      </c>
      <c r="X186" s="17">
        <v>1</v>
      </c>
      <c r="Y186" s="17">
        <v>1</v>
      </c>
      <c r="Z186" s="17">
        <v>1</v>
      </c>
      <c r="AA186" s="17">
        <v>1</v>
      </c>
      <c r="AB186" s="17">
        <v>1</v>
      </c>
      <c r="AC186" s="17">
        <v>1</v>
      </c>
      <c r="AD186" s="17">
        <v>1</v>
      </c>
      <c r="AE186" s="17">
        <v>1</v>
      </c>
      <c r="AF186" s="17">
        <v>1</v>
      </c>
      <c r="AG186" s="17">
        <v>1</v>
      </c>
      <c r="AH186" s="17">
        <v>1</v>
      </c>
      <c r="AI186" s="17">
        <v>1</v>
      </c>
      <c r="AJ186" s="17">
        <v>1</v>
      </c>
      <c r="AK186" s="17">
        <v>1</v>
      </c>
      <c r="AL186" s="17">
        <v>1</v>
      </c>
      <c r="AM186" s="17">
        <v>1</v>
      </c>
      <c r="AN186" s="17">
        <v>1</v>
      </c>
      <c r="AO186" s="17"/>
      <c r="AP186" s="17"/>
      <c r="AQ186" s="17"/>
      <c r="AR186" s="17"/>
      <c r="AS186" s="17"/>
      <c r="AT186" s="17"/>
      <c r="AU186" s="17"/>
      <c r="AV186" s="17"/>
      <c r="AW186" s="17"/>
      <c r="AX186" s="17"/>
      <c r="AY186" s="17"/>
      <c r="AZ186" s="17"/>
      <c r="BA186" s="17"/>
      <c r="BB186" s="17"/>
      <c r="BC186" s="17"/>
      <c r="BD186" s="17"/>
      <c r="BE186" s="17"/>
      <c r="BF186" s="17"/>
      <c r="BG186" s="17"/>
      <c r="BH186" s="17"/>
      <c r="BI186" s="17"/>
      <c r="BJ186" s="17"/>
      <c r="BK186" s="17"/>
      <c r="BL186" s="17"/>
      <c r="BM186" s="17"/>
      <c r="BN186" s="17"/>
      <c r="BO186" s="17"/>
      <c r="BP186" s="17"/>
      <c r="BQ186" s="17"/>
      <c r="BR186" s="17"/>
      <c r="BS186" s="17"/>
      <c r="BT186" s="17"/>
      <c r="BU186" s="17"/>
      <c r="BV186" s="17"/>
      <c r="BW186" s="17"/>
      <c r="BX186" s="17"/>
      <c r="BY186" s="17"/>
      <c r="BZ186" s="17"/>
      <c r="CA186" s="17"/>
      <c r="CB186" s="17"/>
      <c r="CC186" s="17"/>
      <c r="CD186" s="17"/>
      <c r="CE186" s="17"/>
      <c r="CF186" s="17"/>
      <c r="CG186" s="17"/>
      <c r="CH186" s="17"/>
      <c r="CI186" s="17"/>
      <c r="CJ186" s="17"/>
      <c r="CK186" s="17"/>
      <c r="CL186" s="17"/>
      <c r="CM186" s="17"/>
      <c r="CN186" s="17"/>
      <c r="CO186" s="17"/>
      <c r="CP186" s="17"/>
      <c r="CQ186" s="17"/>
      <c r="CR186" s="17"/>
      <c r="CS186" s="17"/>
      <c r="CT186" s="17"/>
      <c r="CU186" s="17"/>
      <c r="CV186" s="17"/>
    </row>
    <row r="187" spans="1:100" x14ac:dyDescent="0.35">
      <c r="B187" s="9" t="s">
        <v>143</v>
      </c>
      <c r="C187" t="s">
        <v>338</v>
      </c>
      <c r="D187" t="s">
        <v>328</v>
      </c>
      <c r="E187" t="s">
        <v>217</v>
      </c>
      <c r="F187" s="17">
        <v>0</v>
      </c>
      <c r="G187" s="17">
        <v>339.62508000000003</v>
      </c>
      <c r="H187" s="17">
        <v>354.70308999999997</v>
      </c>
      <c r="I187" s="17">
        <v>342.06497000000002</v>
      </c>
      <c r="J187" s="17">
        <v>315.77773999999999</v>
      </c>
      <c r="K187" s="17">
        <v>324.84222</v>
      </c>
      <c r="L187" s="17">
        <v>321.66649999999998</v>
      </c>
      <c r="M187" s="17">
        <v>297.50286999999997</v>
      </c>
      <c r="N187" s="17">
        <v>265.34656000000001</v>
      </c>
      <c r="O187" s="17">
        <v>249.52394000000001</v>
      </c>
      <c r="P187" s="17">
        <v>229.44484</v>
      </c>
      <c r="Q187" s="17">
        <v>250.72463999999999</v>
      </c>
      <c r="R187" s="17">
        <v>233.49446</v>
      </c>
      <c r="S187" s="17">
        <v>228.36938000000001</v>
      </c>
      <c r="T187" s="17">
        <v>227.58784</v>
      </c>
      <c r="U187" s="17">
        <v>232.11633</v>
      </c>
      <c r="V187" s="17">
        <v>233.24495999999999</v>
      </c>
      <c r="W187" s="17">
        <v>229.80477999999999</v>
      </c>
      <c r="X187" s="17">
        <v>220.87155999999999</v>
      </c>
      <c r="Y187" s="17">
        <v>207.21865</v>
      </c>
      <c r="Z187" s="17">
        <v>192.82232999999999</v>
      </c>
      <c r="AA187" s="17">
        <v>196.98298</v>
      </c>
      <c r="AB187" s="17">
        <v>201.95898</v>
      </c>
      <c r="AC187" s="17">
        <v>192.67129</v>
      </c>
      <c r="AD187" s="17">
        <v>193.09424999999999</v>
      </c>
      <c r="AE187" s="17">
        <v>186.57343</v>
      </c>
      <c r="AF187" s="17">
        <v>185.10194999999999</v>
      </c>
      <c r="AG187" s="17">
        <v>184.03310999999999</v>
      </c>
      <c r="AH187" s="17">
        <v>185.44834</v>
      </c>
      <c r="AI187" s="17">
        <v>187.13081</v>
      </c>
      <c r="AJ187" s="17">
        <v>187.37441999999999</v>
      </c>
      <c r="AK187" s="17">
        <v>185.70111</v>
      </c>
      <c r="AL187" s="17">
        <v>188.34089</v>
      </c>
      <c r="AM187" s="17">
        <v>183.58096</v>
      </c>
      <c r="AN187" s="17">
        <v>184.88809000000001</v>
      </c>
      <c r="AO187" s="17"/>
      <c r="AP187" s="17"/>
      <c r="AQ187" s="17"/>
      <c r="AR187" s="17"/>
      <c r="AS187" s="17"/>
      <c r="AT187" s="17"/>
      <c r="AU187" s="17"/>
      <c r="AV187" s="17"/>
      <c r="AW187" s="17"/>
      <c r="AX187" s="17"/>
      <c r="AY187" s="17"/>
      <c r="AZ187" s="17"/>
      <c r="BA187" s="17"/>
      <c r="BB187" s="17"/>
      <c r="BC187" s="17"/>
      <c r="BD187" s="17"/>
      <c r="BE187" s="17"/>
      <c r="BF187" s="17"/>
      <c r="BG187" s="17"/>
      <c r="BH187" s="17"/>
      <c r="BI187" s="17"/>
      <c r="BJ187" s="17"/>
      <c r="BK187" s="17"/>
      <c r="BL187" s="17"/>
      <c r="BM187" s="17"/>
      <c r="BN187" s="17"/>
      <c r="BO187" s="17"/>
      <c r="BP187" s="17"/>
      <c r="BQ187" s="17"/>
      <c r="BR187" s="17"/>
      <c r="BS187" s="17"/>
      <c r="BT187" s="17"/>
      <c r="BU187" s="17"/>
      <c r="BV187" s="17"/>
      <c r="BW187" s="17"/>
      <c r="BX187" s="17"/>
      <c r="BY187" s="17"/>
      <c r="BZ187" s="17"/>
      <c r="CA187" s="17"/>
      <c r="CB187" s="17"/>
      <c r="CC187" s="17"/>
      <c r="CD187" s="17"/>
      <c r="CE187" s="17"/>
      <c r="CF187" s="17"/>
      <c r="CG187" s="17"/>
      <c r="CH187" s="17"/>
      <c r="CI187" s="17"/>
      <c r="CJ187" s="17"/>
      <c r="CK187" s="17"/>
      <c r="CL187" s="17"/>
      <c r="CM187" s="17"/>
      <c r="CN187" s="17"/>
      <c r="CO187" s="17"/>
      <c r="CP187" s="17"/>
      <c r="CQ187" s="17"/>
      <c r="CR187" s="17"/>
      <c r="CS187" s="17"/>
      <c r="CT187" s="17"/>
      <c r="CU187" s="17"/>
      <c r="CV187" s="17"/>
    </row>
    <row r="188" spans="1:100" x14ac:dyDescent="0.35">
      <c r="B188" s="9"/>
      <c r="C188" t="s">
        <v>230</v>
      </c>
      <c r="D188" t="s">
        <v>329</v>
      </c>
      <c r="E188" t="s">
        <v>217</v>
      </c>
      <c r="F188" s="17">
        <v>0</v>
      </c>
      <c r="G188" s="17">
        <v>-364.79993999999999</v>
      </c>
      <c r="H188" s="17">
        <v>-374.68088999999998</v>
      </c>
      <c r="I188" s="17">
        <v>-326.27100999999999</v>
      </c>
      <c r="J188" s="17">
        <v>-314.51830000000001</v>
      </c>
      <c r="K188" s="17">
        <v>-282.41217999999998</v>
      </c>
      <c r="L188" s="17">
        <v>-275.60066</v>
      </c>
      <c r="M188" s="17">
        <v>-264.05194999999998</v>
      </c>
      <c r="N188" s="17">
        <v>-266.54460999999998</v>
      </c>
      <c r="O188" s="17">
        <v>-263.06313</v>
      </c>
      <c r="P188" s="17">
        <v>-253.64758</v>
      </c>
      <c r="Q188" s="17">
        <v>-243.41514000000001</v>
      </c>
      <c r="R188" s="17">
        <v>-243.11215999999999</v>
      </c>
      <c r="S188" s="17">
        <v>-241.18924000000001</v>
      </c>
      <c r="T188" s="17">
        <v>-236.92374000000001</v>
      </c>
      <c r="U188" s="17">
        <v>-241.37227999999999</v>
      </c>
      <c r="V188" s="17">
        <v>-234.91470000000001</v>
      </c>
      <c r="W188" s="17">
        <v>-244.77484999999999</v>
      </c>
      <c r="X188" s="17">
        <v>-242.62965</v>
      </c>
      <c r="Y188" s="17">
        <v>-226.81153</v>
      </c>
      <c r="Z188" s="17">
        <v>-217.79695000000001</v>
      </c>
      <c r="AA188" s="17">
        <v>-210.06100000000001</v>
      </c>
      <c r="AB188" s="17">
        <v>-200.94069999999999</v>
      </c>
      <c r="AC188" s="17">
        <v>-197.30367000000001</v>
      </c>
      <c r="AD188" s="17">
        <v>-181.89547999999999</v>
      </c>
      <c r="AE188" s="17">
        <v>-181.49507</v>
      </c>
      <c r="AF188" s="17">
        <v>-179.02717999999999</v>
      </c>
      <c r="AG188" s="17">
        <v>-179.59666000000001</v>
      </c>
      <c r="AH188" s="17">
        <v>-178.00210000000001</v>
      </c>
      <c r="AI188" s="17">
        <v>-171.01094000000001</v>
      </c>
      <c r="AJ188" s="17">
        <v>-165.09246999999999</v>
      </c>
      <c r="AK188" s="17">
        <v>-172.22167999999999</v>
      </c>
      <c r="AL188" s="17">
        <v>-173.40214</v>
      </c>
      <c r="AM188" s="17">
        <v>-174.89133000000001</v>
      </c>
      <c r="AN188" s="17">
        <v>-174.89554999999999</v>
      </c>
      <c r="AO188" s="17"/>
      <c r="AP188" s="17"/>
      <c r="AQ188" s="17"/>
      <c r="AR188" s="17"/>
      <c r="AS188" s="17"/>
      <c r="AT188" s="17"/>
      <c r="AU188" s="17"/>
      <c r="AV188" s="17"/>
      <c r="AW188" s="17"/>
      <c r="AX188" s="17"/>
      <c r="AY188" s="17"/>
      <c r="AZ188" s="17"/>
      <c r="BA188" s="17"/>
      <c r="BB188" s="17"/>
      <c r="BC188" s="17"/>
      <c r="BD188" s="17"/>
      <c r="BE188" s="17"/>
      <c r="BF188" s="17"/>
      <c r="BG188" s="17"/>
      <c r="BH188" s="17"/>
      <c r="BI188" s="17"/>
      <c r="BJ188" s="17"/>
      <c r="BK188" s="17"/>
      <c r="BL188" s="17"/>
      <c r="BM188" s="17"/>
      <c r="BN188" s="17"/>
      <c r="BO188" s="17"/>
      <c r="BP188" s="17"/>
      <c r="BQ188" s="17"/>
      <c r="BR188" s="17"/>
      <c r="BS188" s="17"/>
      <c r="BT188" s="17"/>
      <c r="BU188" s="17"/>
      <c r="BV188" s="17"/>
      <c r="BW188" s="17"/>
      <c r="BX188" s="17"/>
      <c r="BY188" s="17"/>
      <c r="BZ188" s="17"/>
      <c r="CA188" s="17"/>
      <c r="CB188" s="17"/>
      <c r="CC188" s="17"/>
      <c r="CD188" s="17"/>
      <c r="CE188" s="17"/>
      <c r="CF188" s="17"/>
      <c r="CG188" s="17"/>
      <c r="CH188" s="17"/>
      <c r="CI188" s="17"/>
      <c r="CJ188" s="17"/>
      <c r="CK188" s="17"/>
      <c r="CL188" s="17"/>
      <c r="CM188" s="17"/>
      <c r="CN188" s="17"/>
      <c r="CO188" s="17"/>
      <c r="CP188" s="17"/>
      <c r="CQ188" s="17"/>
      <c r="CR188" s="17"/>
      <c r="CS188" s="17"/>
      <c r="CT188" s="17"/>
      <c r="CU188" s="17"/>
      <c r="CV188" s="17"/>
    </row>
    <row r="189" spans="1:100" x14ac:dyDescent="0.35">
      <c r="B189" s="9"/>
      <c r="C189" t="s">
        <v>230</v>
      </c>
      <c r="D189" t="s">
        <v>330</v>
      </c>
      <c r="E189" t="s">
        <v>217</v>
      </c>
      <c r="F189" s="17">
        <v>0</v>
      </c>
      <c r="G189" s="17">
        <v>134.56585999999999</v>
      </c>
      <c r="H189" s="17">
        <v>167.78417999999999</v>
      </c>
      <c r="I189" s="17">
        <v>170.32336000000001</v>
      </c>
      <c r="J189" s="17">
        <v>207.30253999999999</v>
      </c>
      <c r="K189" s="17">
        <v>236.09603999999999</v>
      </c>
      <c r="L189" s="17">
        <v>205.65455</v>
      </c>
      <c r="M189" s="17">
        <v>251.62998999999999</v>
      </c>
      <c r="N189" s="17">
        <v>267.86363999999998</v>
      </c>
      <c r="O189" s="17">
        <v>247.02142000000001</v>
      </c>
      <c r="P189" s="17">
        <v>286.13520999999997</v>
      </c>
      <c r="Q189" s="17">
        <v>300.45769000000001</v>
      </c>
      <c r="R189" s="17">
        <v>300.9298</v>
      </c>
      <c r="S189" s="17">
        <v>296.98228</v>
      </c>
      <c r="T189" s="17">
        <v>294.01299999999998</v>
      </c>
      <c r="U189" s="17">
        <v>295.38882999999998</v>
      </c>
      <c r="V189" s="17">
        <v>283.82407999999998</v>
      </c>
      <c r="W189" s="17">
        <v>291.04669999999999</v>
      </c>
      <c r="X189" s="17">
        <v>312.69851999999997</v>
      </c>
      <c r="Y189" s="17">
        <v>303.56270999999998</v>
      </c>
      <c r="Z189" s="17">
        <v>302.46856000000002</v>
      </c>
      <c r="AA189" s="17">
        <v>305.86345</v>
      </c>
      <c r="AB189" s="17">
        <v>295.07508999999999</v>
      </c>
      <c r="AC189" s="17">
        <v>293.57145000000003</v>
      </c>
      <c r="AD189" s="17">
        <v>281.75680999999997</v>
      </c>
      <c r="AE189" s="17">
        <v>281.46159</v>
      </c>
      <c r="AF189" s="17">
        <v>281.10316999999998</v>
      </c>
      <c r="AG189" s="17">
        <v>262.15526999999997</v>
      </c>
      <c r="AH189" s="17">
        <v>273.65915000000001</v>
      </c>
      <c r="AI189" s="17">
        <v>266.73912000000001</v>
      </c>
      <c r="AJ189" s="17">
        <v>275.08443999999997</v>
      </c>
      <c r="AK189" s="17">
        <v>282.11971999999997</v>
      </c>
      <c r="AL189" s="17">
        <v>270.21794</v>
      </c>
      <c r="AM189" s="17">
        <v>277.81612000000001</v>
      </c>
      <c r="AN189" s="17">
        <v>276.84804000000003</v>
      </c>
      <c r="AO189" s="17"/>
      <c r="AP189" s="17"/>
      <c r="AQ189" s="17"/>
      <c r="AR189" s="17"/>
      <c r="AS189" s="17"/>
      <c r="AT189" s="17"/>
      <c r="AU189" s="17"/>
      <c r="AV189" s="17"/>
      <c r="AW189" s="17"/>
      <c r="AX189" s="17"/>
      <c r="AY189" s="17"/>
      <c r="AZ189" s="17"/>
      <c r="BA189" s="17"/>
      <c r="BB189" s="17"/>
      <c r="BC189" s="17"/>
      <c r="BD189" s="17"/>
      <c r="BE189" s="17"/>
      <c r="BF189" s="17"/>
      <c r="BG189" s="17"/>
      <c r="BH189" s="17"/>
      <c r="BI189" s="17"/>
      <c r="BJ189" s="17"/>
      <c r="BK189" s="17"/>
      <c r="BL189" s="17"/>
      <c r="BM189" s="17"/>
      <c r="BN189" s="17"/>
      <c r="BO189" s="17"/>
      <c r="BP189" s="17"/>
      <c r="BQ189" s="17"/>
      <c r="BR189" s="17"/>
      <c r="BS189" s="17"/>
      <c r="BT189" s="17"/>
      <c r="BU189" s="17"/>
      <c r="BV189" s="17"/>
      <c r="BW189" s="17"/>
      <c r="BX189" s="17"/>
      <c r="BY189" s="17"/>
      <c r="BZ189" s="17"/>
      <c r="CA189" s="17"/>
      <c r="CB189" s="17"/>
      <c r="CC189" s="17"/>
      <c r="CD189" s="17"/>
      <c r="CE189" s="17"/>
      <c r="CF189" s="17"/>
      <c r="CG189" s="17"/>
      <c r="CH189" s="17"/>
      <c r="CI189" s="17"/>
      <c r="CJ189" s="17"/>
      <c r="CK189" s="17"/>
      <c r="CL189" s="17"/>
      <c r="CM189" s="17"/>
      <c r="CN189" s="17"/>
      <c r="CO189" s="17"/>
      <c r="CP189" s="17"/>
      <c r="CQ189" s="17"/>
      <c r="CR189" s="17"/>
      <c r="CS189" s="17"/>
      <c r="CT189" s="17"/>
      <c r="CU189" s="17"/>
      <c r="CV189" s="17"/>
    </row>
    <row r="190" spans="1:100" x14ac:dyDescent="0.35">
      <c r="B190" s="9"/>
      <c r="C190" t="s">
        <v>230</v>
      </c>
      <c r="D190" t="s">
        <v>331</v>
      </c>
      <c r="E190" t="s">
        <v>217</v>
      </c>
      <c r="F190" s="17">
        <v>0</v>
      </c>
      <c r="G190" s="17">
        <v>-190.56617</v>
      </c>
      <c r="H190" s="17">
        <v>-191.33331000000001</v>
      </c>
      <c r="I190" s="17">
        <v>-220.82501999999999</v>
      </c>
      <c r="J190" s="17">
        <v>-246.97072</v>
      </c>
      <c r="K190" s="17">
        <v>-244.74162999999999</v>
      </c>
      <c r="L190" s="17">
        <v>-221.77979999999999</v>
      </c>
      <c r="M190" s="17">
        <v>-244.37217000000001</v>
      </c>
      <c r="N190" s="17">
        <v>-264.37436000000002</v>
      </c>
      <c r="O190" s="17">
        <v>-266.22208999999998</v>
      </c>
      <c r="P190" s="17">
        <v>-264.63312000000002</v>
      </c>
      <c r="Q190" s="17">
        <v>-225.09814</v>
      </c>
      <c r="R190" s="17">
        <v>-251.20623000000001</v>
      </c>
      <c r="S190" s="17">
        <v>-243.21557000000001</v>
      </c>
      <c r="T190" s="17">
        <v>-253.69431</v>
      </c>
      <c r="U190" s="17">
        <v>-249.94692000000001</v>
      </c>
      <c r="V190" s="17">
        <v>-235.49684999999999</v>
      </c>
      <c r="W190" s="17">
        <v>-245.02319</v>
      </c>
      <c r="X190" s="17">
        <v>-244.4282</v>
      </c>
      <c r="Y190" s="17">
        <v>-236.82496</v>
      </c>
      <c r="Z190" s="17">
        <v>-247.77791999999999</v>
      </c>
      <c r="AA190" s="17">
        <v>-237.78885</v>
      </c>
      <c r="AB190" s="17">
        <v>-231.03281000000001</v>
      </c>
      <c r="AC190" s="17">
        <v>-235.14503999999999</v>
      </c>
      <c r="AD190" s="17">
        <v>-231.68625</v>
      </c>
      <c r="AE190" s="17">
        <v>-228.94776999999999</v>
      </c>
      <c r="AF190" s="17">
        <v>-214.43834000000001</v>
      </c>
      <c r="AG190" s="17">
        <v>-226.93808000000001</v>
      </c>
      <c r="AH190" s="17">
        <v>-222.03288000000001</v>
      </c>
      <c r="AI190" s="17">
        <v>-219.35899000000001</v>
      </c>
      <c r="AJ190" s="17">
        <v>-219.78525999999999</v>
      </c>
      <c r="AK190" s="17">
        <v>-233.04469</v>
      </c>
      <c r="AL190" s="17">
        <v>-232.52782999999999</v>
      </c>
      <c r="AM190" s="17">
        <v>-240.24680000000001</v>
      </c>
      <c r="AN190" s="17">
        <v>-244.37599</v>
      </c>
      <c r="AO190" s="17"/>
      <c r="AP190" s="17"/>
      <c r="AQ190" s="17"/>
      <c r="AR190" s="17"/>
      <c r="AS190" s="17"/>
      <c r="AT190" s="17"/>
      <c r="AU190" s="17"/>
      <c r="AV190" s="17"/>
      <c r="AW190" s="17"/>
      <c r="AX190" s="17"/>
      <c r="AY190" s="17"/>
      <c r="AZ190" s="17"/>
      <c r="BA190" s="17"/>
      <c r="BB190" s="17"/>
      <c r="BC190" s="17"/>
      <c r="BD190" s="17"/>
      <c r="BE190" s="17"/>
      <c r="BF190" s="17"/>
      <c r="BG190" s="17"/>
      <c r="BH190" s="17"/>
      <c r="BI190" s="17"/>
      <c r="BJ190" s="17"/>
      <c r="BK190" s="17"/>
      <c r="BL190" s="17"/>
      <c r="BM190" s="17"/>
      <c r="BN190" s="17"/>
      <c r="BO190" s="17"/>
      <c r="BP190" s="17"/>
      <c r="BQ190" s="17"/>
      <c r="BR190" s="17"/>
      <c r="BS190" s="17"/>
      <c r="BT190" s="17"/>
      <c r="BU190" s="17"/>
      <c r="BV190" s="17"/>
      <c r="BW190" s="17"/>
      <c r="BX190" s="17"/>
      <c r="BY190" s="17"/>
      <c r="BZ190" s="17"/>
      <c r="CA190" s="17"/>
      <c r="CB190" s="17"/>
      <c r="CC190" s="17"/>
      <c r="CD190" s="17"/>
      <c r="CE190" s="17"/>
      <c r="CF190" s="17"/>
      <c r="CG190" s="17"/>
      <c r="CH190" s="17"/>
      <c r="CI190" s="17"/>
      <c r="CJ190" s="17"/>
      <c r="CK190" s="17"/>
      <c r="CL190" s="17"/>
      <c r="CM190" s="17"/>
      <c r="CN190" s="17"/>
      <c r="CO190" s="17"/>
      <c r="CP190" s="17"/>
      <c r="CQ190" s="17"/>
      <c r="CR190" s="17"/>
      <c r="CS190" s="17"/>
      <c r="CT190" s="17"/>
      <c r="CU190" s="17"/>
      <c r="CV190" s="17"/>
    </row>
    <row r="191" spans="1:100" x14ac:dyDescent="0.35">
      <c r="B191" s="9"/>
      <c r="C191" t="s">
        <v>230</v>
      </c>
      <c r="D191" t="s">
        <v>332</v>
      </c>
      <c r="E191" t="s">
        <v>217</v>
      </c>
      <c r="F191" s="17">
        <v>0</v>
      </c>
      <c r="G191" s="17">
        <v>257.63817</v>
      </c>
      <c r="H191" s="17">
        <v>206.01784000000001</v>
      </c>
      <c r="I191" s="17">
        <v>214.46107000000001</v>
      </c>
      <c r="J191" s="17">
        <v>209.52878999999999</v>
      </c>
      <c r="K191" s="17">
        <v>169.17374000000001</v>
      </c>
      <c r="L191" s="17">
        <v>201.92759000000001</v>
      </c>
      <c r="M191" s="17">
        <v>173.98689999999999</v>
      </c>
      <c r="N191" s="17">
        <v>197.05000999999999</v>
      </c>
      <c r="O191" s="17">
        <v>233.49037000000001</v>
      </c>
      <c r="P191" s="17">
        <v>210.95502999999999</v>
      </c>
      <c r="Q191" s="17">
        <v>177.2627</v>
      </c>
      <c r="R191" s="17">
        <v>193.56088</v>
      </c>
      <c r="S191" s="17">
        <v>207.62529000000001</v>
      </c>
      <c r="T191" s="17">
        <v>213.26649</v>
      </c>
      <c r="U191" s="17">
        <v>204.81019000000001</v>
      </c>
      <c r="V191" s="17">
        <v>215.48544999999999</v>
      </c>
      <c r="W191" s="17">
        <v>206.31371999999999</v>
      </c>
      <c r="X191" s="17">
        <v>204.88154</v>
      </c>
      <c r="Y191" s="17">
        <v>217.61965000000001</v>
      </c>
      <c r="Z191" s="17">
        <v>236.65386000000001</v>
      </c>
      <c r="AA191" s="17">
        <v>224.20240999999999</v>
      </c>
      <c r="AB191" s="17">
        <v>237.90239</v>
      </c>
      <c r="AC191" s="17">
        <v>240.48068000000001</v>
      </c>
      <c r="AD191" s="17">
        <v>257.99776000000003</v>
      </c>
      <c r="AE191" s="17">
        <v>269.12596000000002</v>
      </c>
      <c r="AF191" s="17">
        <v>270.39100000000002</v>
      </c>
      <c r="AG191" s="17">
        <v>274.06481000000002</v>
      </c>
      <c r="AH191" s="17">
        <v>265.32</v>
      </c>
      <c r="AI191" s="17">
        <v>270.42622</v>
      </c>
      <c r="AJ191" s="17">
        <v>276.74157000000002</v>
      </c>
      <c r="AK191" s="17">
        <v>263.58231000000001</v>
      </c>
      <c r="AL191" s="17">
        <v>265.44565999999998</v>
      </c>
      <c r="AM191" s="17">
        <v>271.21087999999997</v>
      </c>
      <c r="AN191" s="17">
        <v>274.47383000000002</v>
      </c>
      <c r="AO191" s="17"/>
      <c r="AP191" s="17"/>
      <c r="AQ191" s="17"/>
      <c r="AR191" s="17"/>
      <c r="AS191" s="17"/>
      <c r="AT191" s="17"/>
      <c r="AU191" s="17"/>
      <c r="AV191" s="17"/>
      <c r="AW191" s="17"/>
      <c r="AX191" s="17"/>
      <c r="AY191" s="17"/>
      <c r="AZ191" s="17"/>
      <c r="BA191" s="17"/>
      <c r="BB191" s="17"/>
      <c r="BC191" s="17"/>
      <c r="BD191" s="17"/>
      <c r="BE191" s="17"/>
      <c r="BF191" s="17"/>
      <c r="BG191" s="17"/>
      <c r="BH191" s="17"/>
      <c r="BI191" s="17"/>
      <c r="BJ191" s="17"/>
      <c r="BK191" s="17"/>
      <c r="BL191" s="17"/>
      <c r="BM191" s="17"/>
      <c r="BN191" s="17"/>
      <c r="BO191" s="17"/>
      <c r="BP191" s="17"/>
      <c r="BQ191" s="17"/>
      <c r="BR191" s="17"/>
      <c r="BS191" s="17"/>
      <c r="BT191" s="17"/>
      <c r="BU191" s="17"/>
      <c r="BV191" s="17"/>
      <c r="BW191" s="17"/>
      <c r="BX191" s="17"/>
      <c r="BY191" s="17"/>
      <c r="BZ191" s="17"/>
      <c r="CA191" s="17"/>
      <c r="CB191" s="17"/>
      <c r="CC191" s="17"/>
      <c r="CD191" s="17"/>
      <c r="CE191" s="17"/>
      <c r="CF191" s="17"/>
      <c r="CG191" s="17"/>
      <c r="CH191" s="17"/>
      <c r="CI191" s="17"/>
      <c r="CJ191" s="17"/>
      <c r="CK191" s="17"/>
      <c r="CL191" s="17"/>
      <c r="CM191" s="17"/>
      <c r="CN191" s="17"/>
      <c r="CO191" s="17"/>
      <c r="CP191" s="17"/>
      <c r="CQ191" s="17"/>
      <c r="CR191" s="17"/>
      <c r="CS191" s="17"/>
      <c r="CT191" s="17"/>
      <c r="CU191" s="17"/>
      <c r="CV191" s="17"/>
    </row>
    <row r="192" spans="1:100" x14ac:dyDescent="0.35">
      <c r="B192" s="9"/>
      <c r="C192" t="s">
        <v>230</v>
      </c>
      <c r="D192" t="s">
        <v>333</v>
      </c>
      <c r="E192" t="s">
        <v>217</v>
      </c>
      <c r="F192" s="17">
        <v>0</v>
      </c>
      <c r="G192" s="17">
        <v>-350.23950000000002</v>
      </c>
      <c r="H192" s="17">
        <v>-335.48322999999999</v>
      </c>
      <c r="I192" s="17">
        <v>-351.87024000000002</v>
      </c>
      <c r="J192" s="17">
        <v>-344.12610999999998</v>
      </c>
      <c r="K192" s="17">
        <v>-375.06401</v>
      </c>
      <c r="L192" s="17">
        <v>-402.84532000000002</v>
      </c>
      <c r="M192" s="17">
        <v>-385.40217000000001</v>
      </c>
      <c r="N192" s="17">
        <v>-371.73613999999998</v>
      </c>
      <c r="O192" s="17">
        <v>-372.99088</v>
      </c>
      <c r="P192" s="17">
        <v>-379.53249</v>
      </c>
      <c r="Q192" s="17">
        <v>-431.97644000000003</v>
      </c>
      <c r="R192" s="17">
        <v>-405.34818000000001</v>
      </c>
      <c r="S192" s="17">
        <v>-422.61948999999998</v>
      </c>
      <c r="T192" s="17">
        <v>-418.05563999999998</v>
      </c>
      <c r="U192" s="17">
        <v>-414.88756999999998</v>
      </c>
      <c r="V192" s="17">
        <v>-436.09055999999998</v>
      </c>
      <c r="W192" s="17">
        <v>-410.02767999999998</v>
      </c>
      <c r="X192" s="17">
        <v>-426.06939</v>
      </c>
      <c r="Y192" s="17">
        <v>-437.73271999999997</v>
      </c>
      <c r="Z192" s="17">
        <v>-439.35129999999998</v>
      </c>
      <c r="AA192" s="17">
        <v>-451.73577</v>
      </c>
      <c r="AB192" s="17">
        <v>-476.81004000000001</v>
      </c>
      <c r="AC192" s="17">
        <v>-466.75121000000001</v>
      </c>
      <c r="AD192" s="17">
        <v>-492.60658999999998</v>
      </c>
      <c r="AE192" s="17">
        <v>-500.89613000000003</v>
      </c>
      <c r="AF192" s="17">
        <v>-517.36892999999998</v>
      </c>
      <c r="AG192" s="17">
        <v>-484.12966999999998</v>
      </c>
      <c r="AH192" s="17">
        <v>-496.14031</v>
      </c>
      <c r="AI192" s="17">
        <v>-505.28318000000002</v>
      </c>
      <c r="AJ192" s="17">
        <v>-527.72427000000005</v>
      </c>
      <c r="AK192" s="17">
        <v>-499.81317000000001</v>
      </c>
      <c r="AL192" s="17">
        <v>-489.29662000000002</v>
      </c>
      <c r="AM192" s="17">
        <v>-489.67702000000003</v>
      </c>
      <c r="AN192" s="17">
        <v>-489.51292999999998</v>
      </c>
      <c r="AO192" s="17"/>
      <c r="AP192" s="17"/>
      <c r="AQ192" s="17"/>
      <c r="AR192" s="17"/>
      <c r="AS192" s="17"/>
      <c r="AT192" s="17"/>
      <c r="AU192" s="17"/>
      <c r="AV192" s="17"/>
      <c r="AW192" s="17"/>
      <c r="AX192" s="17"/>
      <c r="AY192" s="17"/>
      <c r="AZ192" s="17"/>
      <c r="BA192" s="17"/>
      <c r="BB192" s="17"/>
      <c r="BC192" s="17"/>
      <c r="BD192" s="17"/>
      <c r="BE192" s="17"/>
      <c r="BF192" s="17"/>
      <c r="BG192" s="17"/>
      <c r="BH192" s="17"/>
      <c r="BI192" s="17"/>
      <c r="BJ192" s="17"/>
      <c r="BK192" s="17"/>
      <c r="BL192" s="17"/>
      <c r="BM192" s="17"/>
      <c r="BN192" s="17"/>
      <c r="BO192" s="17"/>
      <c r="BP192" s="17"/>
      <c r="BQ192" s="17"/>
      <c r="BR192" s="17"/>
      <c r="BS192" s="17"/>
      <c r="BT192" s="17"/>
      <c r="BU192" s="17"/>
      <c r="BV192" s="17"/>
      <c r="BW192" s="17"/>
      <c r="BX192" s="17"/>
      <c r="BY192" s="17"/>
      <c r="BZ192" s="17"/>
      <c r="CA192" s="17"/>
      <c r="CB192" s="17"/>
      <c r="CC192" s="17"/>
      <c r="CD192" s="17"/>
      <c r="CE192" s="17"/>
      <c r="CF192" s="17"/>
      <c r="CG192" s="17"/>
      <c r="CH192" s="17"/>
      <c r="CI192" s="17"/>
      <c r="CJ192" s="17"/>
      <c r="CK192" s="17"/>
      <c r="CL192" s="17"/>
      <c r="CM192" s="17"/>
      <c r="CN192" s="17"/>
      <c r="CO192" s="17"/>
      <c r="CP192" s="17"/>
      <c r="CQ192" s="17"/>
      <c r="CR192" s="17"/>
      <c r="CS192" s="17"/>
      <c r="CT192" s="17"/>
      <c r="CU192" s="17"/>
      <c r="CV192" s="17"/>
    </row>
    <row r="193" spans="2:100" x14ac:dyDescent="0.35">
      <c r="B193" s="9"/>
      <c r="C193" t="s">
        <v>230</v>
      </c>
      <c r="D193" t="s">
        <v>334</v>
      </c>
      <c r="E193" t="s">
        <v>217</v>
      </c>
      <c r="F193" s="17">
        <v>0</v>
      </c>
      <c r="G193" s="17">
        <v>731.82920000000001</v>
      </c>
      <c r="H193" s="17">
        <v>728.50513000000001</v>
      </c>
      <c r="I193" s="17">
        <v>726.84943999999996</v>
      </c>
      <c r="J193" s="17">
        <v>732.60905000000002</v>
      </c>
      <c r="K193" s="17">
        <v>730.11206000000004</v>
      </c>
      <c r="L193" s="17">
        <v>729.24857999999995</v>
      </c>
      <c r="M193" s="17">
        <v>723.11982</v>
      </c>
      <c r="N193" s="17">
        <v>730.26026999999999</v>
      </c>
      <c r="O193" s="17">
        <v>730.03571999999997</v>
      </c>
      <c r="P193" s="17">
        <v>726.53508999999997</v>
      </c>
      <c r="Q193" s="17">
        <v>728.44507999999996</v>
      </c>
      <c r="R193" s="17">
        <v>727.98518000000001</v>
      </c>
      <c r="S193" s="17">
        <v>732.97691999999995</v>
      </c>
      <c r="T193" s="17">
        <v>734.86742000000004</v>
      </c>
      <c r="U193" s="17">
        <v>732.31530999999995</v>
      </c>
      <c r="V193" s="17">
        <v>732.55445999999995</v>
      </c>
      <c r="W193" s="17">
        <v>727.16521999999998</v>
      </c>
      <c r="X193" s="17">
        <v>738.45173999999997</v>
      </c>
      <c r="Y193" s="17">
        <v>728.40111999999999</v>
      </c>
      <c r="Z193" s="17">
        <v>731.94475999999997</v>
      </c>
      <c r="AA193" s="17">
        <v>727.04881</v>
      </c>
      <c r="AB193" s="17">
        <v>734.93652999999995</v>
      </c>
      <c r="AC193" s="17">
        <v>726.72356000000002</v>
      </c>
      <c r="AD193" s="17">
        <v>732.84883000000002</v>
      </c>
      <c r="AE193" s="17">
        <v>737.16097000000002</v>
      </c>
      <c r="AF193" s="17">
        <v>736.59613000000002</v>
      </c>
      <c r="AG193" s="17">
        <v>720.25315000000001</v>
      </c>
      <c r="AH193" s="17">
        <v>724.42744000000005</v>
      </c>
      <c r="AI193" s="17">
        <v>724.29620999999997</v>
      </c>
      <c r="AJ193" s="17">
        <v>739.20038</v>
      </c>
      <c r="AK193" s="17">
        <v>731.40323999999998</v>
      </c>
      <c r="AL193" s="17">
        <v>724.00455999999997</v>
      </c>
      <c r="AM193" s="17">
        <v>732.60798999999997</v>
      </c>
      <c r="AN193" s="17">
        <v>736.21</v>
      </c>
      <c r="AO193" s="17"/>
      <c r="AP193" s="17"/>
      <c r="AQ193" s="17"/>
      <c r="AR193" s="17"/>
      <c r="AS193" s="17"/>
      <c r="AT193" s="17"/>
      <c r="AU193" s="17"/>
      <c r="AV193" s="17"/>
      <c r="AW193" s="17"/>
      <c r="AX193" s="17"/>
      <c r="AY193" s="17"/>
      <c r="AZ193" s="17"/>
      <c r="BA193" s="17"/>
      <c r="BB193" s="17"/>
      <c r="BC193" s="17"/>
      <c r="BD193" s="17"/>
      <c r="BE193" s="17"/>
      <c r="BF193" s="17"/>
      <c r="BG193" s="17"/>
      <c r="BH193" s="17"/>
      <c r="BI193" s="17"/>
      <c r="BJ193" s="17"/>
      <c r="BK193" s="17"/>
      <c r="BL193" s="17"/>
      <c r="BM193" s="17"/>
      <c r="BN193" s="17"/>
      <c r="BO193" s="17"/>
      <c r="BP193" s="17"/>
      <c r="BQ193" s="17"/>
      <c r="BR193" s="17"/>
      <c r="BS193" s="17"/>
      <c r="BT193" s="17"/>
      <c r="BU193" s="17"/>
      <c r="BV193" s="17"/>
      <c r="BW193" s="17"/>
      <c r="BX193" s="17"/>
      <c r="BY193" s="17"/>
      <c r="BZ193" s="17"/>
      <c r="CA193" s="17"/>
      <c r="CB193" s="17"/>
      <c r="CC193" s="17"/>
      <c r="CD193" s="17"/>
      <c r="CE193" s="17"/>
      <c r="CF193" s="17"/>
      <c r="CG193" s="17"/>
      <c r="CH193" s="17"/>
      <c r="CI193" s="17"/>
      <c r="CJ193" s="17"/>
      <c r="CK193" s="17"/>
      <c r="CL193" s="17"/>
      <c r="CM193" s="17"/>
      <c r="CN193" s="17"/>
      <c r="CO193" s="17"/>
      <c r="CP193" s="17"/>
      <c r="CQ193" s="17"/>
      <c r="CR193" s="17"/>
      <c r="CS193" s="17"/>
      <c r="CT193" s="17"/>
      <c r="CU193" s="17"/>
      <c r="CV193" s="17"/>
    </row>
    <row r="194" spans="2:100" x14ac:dyDescent="0.35">
      <c r="B194" s="9"/>
      <c r="C194" t="s">
        <v>230</v>
      </c>
      <c r="D194" t="s">
        <v>335</v>
      </c>
      <c r="E194" t="s">
        <v>217</v>
      </c>
      <c r="F194" s="17">
        <v>0</v>
      </c>
      <c r="G194" s="17">
        <v>-905.60567000000003</v>
      </c>
      <c r="H194" s="17">
        <v>-901.49752999999998</v>
      </c>
      <c r="I194" s="17">
        <v>-898.96626000000003</v>
      </c>
      <c r="J194" s="17">
        <v>-905.61512000000005</v>
      </c>
      <c r="K194" s="17">
        <v>-902.21781999999996</v>
      </c>
      <c r="L194" s="17">
        <v>-900.22580000000005</v>
      </c>
      <c r="M194" s="17">
        <v>-893.82633999999996</v>
      </c>
      <c r="N194" s="17">
        <v>-902.65517</v>
      </c>
      <c r="O194" s="17">
        <v>-902.27611999999999</v>
      </c>
      <c r="P194" s="17">
        <v>-897.81318999999996</v>
      </c>
      <c r="Q194" s="17">
        <v>-900.48973999999998</v>
      </c>
      <c r="R194" s="17">
        <v>-899.66663000000005</v>
      </c>
      <c r="S194" s="17">
        <v>-907.02427999999998</v>
      </c>
      <c r="T194" s="17">
        <v>-908.67376999999999</v>
      </c>
      <c r="U194" s="17">
        <v>-906.20681999999999</v>
      </c>
      <c r="V194" s="17">
        <v>-906.50217999999995</v>
      </c>
      <c r="W194" s="17">
        <v>-899.82577000000003</v>
      </c>
      <c r="X194" s="17">
        <v>-913.12726999999995</v>
      </c>
      <c r="Y194" s="17">
        <v>-901.36923999999999</v>
      </c>
      <c r="Z194" s="17">
        <v>-904.92615999999998</v>
      </c>
      <c r="AA194" s="17">
        <v>-899.58572000000004</v>
      </c>
      <c r="AB194" s="17">
        <v>-908.78363000000002</v>
      </c>
      <c r="AC194" s="17">
        <v>-899.19993999999997</v>
      </c>
      <c r="AD194" s="17">
        <v>-906.18831999999998</v>
      </c>
      <c r="AE194" s="17">
        <v>-911.33903999999995</v>
      </c>
      <c r="AF194" s="17">
        <v>-910.83443</v>
      </c>
      <c r="AG194" s="17">
        <v>-890.6644</v>
      </c>
      <c r="AH194" s="17">
        <v>-896.17528000000004</v>
      </c>
      <c r="AI194" s="17">
        <v>-895.65306999999996</v>
      </c>
      <c r="AJ194" s="17">
        <v>-912.60207000000003</v>
      </c>
      <c r="AK194" s="17">
        <v>-905.07955000000004</v>
      </c>
      <c r="AL194" s="17">
        <v>-895.22667000000001</v>
      </c>
      <c r="AM194" s="17">
        <v>-904.81521999999995</v>
      </c>
      <c r="AN194" s="17">
        <v>-908.78444999999999</v>
      </c>
      <c r="AO194" s="17"/>
      <c r="AP194" s="17"/>
      <c r="AQ194" s="17"/>
      <c r="AR194" s="17"/>
      <c r="AS194" s="17"/>
      <c r="AT194" s="17"/>
      <c r="AU194" s="17"/>
      <c r="AV194" s="17"/>
      <c r="AW194" s="17"/>
      <c r="AX194" s="17"/>
      <c r="AY194" s="17"/>
      <c r="AZ194" s="17"/>
      <c r="BA194" s="17"/>
      <c r="BB194" s="17"/>
      <c r="BC194" s="17"/>
      <c r="BD194" s="17"/>
      <c r="BE194" s="17"/>
      <c r="BF194" s="17"/>
      <c r="BG194" s="17"/>
      <c r="BH194" s="17"/>
      <c r="BI194" s="17"/>
      <c r="BJ194" s="17"/>
      <c r="BK194" s="17"/>
      <c r="BL194" s="17"/>
      <c r="BM194" s="17"/>
      <c r="BN194" s="17"/>
      <c r="BO194" s="17"/>
      <c r="BP194" s="17"/>
      <c r="BQ194" s="17"/>
      <c r="BR194" s="17"/>
      <c r="BS194" s="17"/>
      <c r="BT194" s="17"/>
      <c r="BU194" s="17"/>
      <c r="BV194" s="17"/>
      <c r="BW194" s="17"/>
      <c r="BX194" s="17"/>
      <c r="BY194" s="17"/>
      <c r="BZ194" s="17"/>
      <c r="CA194" s="17"/>
      <c r="CB194" s="17"/>
      <c r="CC194" s="17"/>
      <c r="CD194" s="17"/>
      <c r="CE194" s="17"/>
      <c r="CF194" s="17"/>
      <c r="CG194" s="17"/>
      <c r="CH194" s="17"/>
      <c r="CI194" s="17"/>
      <c r="CJ194" s="17"/>
      <c r="CK194" s="17"/>
      <c r="CL194" s="17"/>
      <c r="CM194" s="17"/>
      <c r="CN194" s="17"/>
      <c r="CO194" s="17"/>
      <c r="CP194" s="17"/>
      <c r="CQ194" s="17"/>
      <c r="CR194" s="17"/>
      <c r="CS194" s="17"/>
      <c r="CT194" s="17"/>
      <c r="CU194" s="17"/>
      <c r="CV194" s="17"/>
    </row>
    <row r="195" spans="2:100" x14ac:dyDescent="0.35">
      <c r="B195" s="9"/>
      <c r="D195" t="s">
        <v>336</v>
      </c>
      <c r="E195" t="s">
        <v>217</v>
      </c>
      <c r="F195" s="17">
        <v>0</v>
      </c>
      <c r="G195" s="17">
        <v>0</v>
      </c>
      <c r="H195" s="17">
        <v>0</v>
      </c>
      <c r="I195" s="17">
        <v>0</v>
      </c>
      <c r="J195" s="17">
        <v>0</v>
      </c>
      <c r="K195" s="17">
        <v>0</v>
      </c>
      <c r="L195" s="17">
        <v>0</v>
      </c>
      <c r="M195" s="17">
        <v>0</v>
      </c>
      <c r="N195" s="17">
        <v>0</v>
      </c>
      <c r="O195" s="17">
        <v>0</v>
      </c>
      <c r="P195" s="17">
        <v>0</v>
      </c>
      <c r="Q195" s="17">
        <v>0</v>
      </c>
      <c r="R195" s="17">
        <v>0</v>
      </c>
      <c r="S195" s="17">
        <v>0</v>
      </c>
      <c r="T195" s="17">
        <v>0</v>
      </c>
      <c r="U195" s="17">
        <v>0</v>
      </c>
      <c r="V195" s="17">
        <v>0</v>
      </c>
      <c r="W195" s="17">
        <v>0</v>
      </c>
      <c r="X195" s="17">
        <v>0</v>
      </c>
      <c r="Y195" s="17">
        <v>0</v>
      </c>
      <c r="Z195" s="17">
        <v>0</v>
      </c>
      <c r="AA195" s="17">
        <v>0</v>
      </c>
      <c r="AB195" s="17">
        <v>0</v>
      </c>
      <c r="AC195" s="17">
        <v>0</v>
      </c>
      <c r="AD195" s="17">
        <v>0</v>
      </c>
      <c r="AE195" s="17">
        <v>0</v>
      </c>
      <c r="AF195" s="17">
        <v>0</v>
      </c>
      <c r="AG195" s="17">
        <v>0</v>
      </c>
      <c r="AH195" s="17">
        <v>0</v>
      </c>
      <c r="AI195" s="17">
        <v>0</v>
      </c>
      <c r="AJ195" s="17">
        <v>0</v>
      </c>
      <c r="AK195" s="17">
        <v>0</v>
      </c>
      <c r="AL195" s="17">
        <v>0</v>
      </c>
      <c r="AM195" s="17">
        <v>0</v>
      </c>
      <c r="AN195" s="17">
        <v>0</v>
      </c>
      <c r="AO195" s="17"/>
      <c r="AP195" s="17"/>
      <c r="AQ195" s="17"/>
      <c r="AR195" s="17"/>
      <c r="AS195" s="17"/>
      <c r="AT195" s="17"/>
      <c r="AU195" s="17"/>
      <c r="AV195" s="17"/>
      <c r="AW195" s="17"/>
      <c r="AX195" s="17"/>
      <c r="AY195" s="17"/>
      <c r="AZ195" s="17"/>
      <c r="BA195" s="17"/>
      <c r="BB195" s="17"/>
      <c r="BC195" s="17"/>
      <c r="BD195" s="17"/>
      <c r="BE195" s="17"/>
      <c r="BF195" s="17"/>
      <c r="BG195" s="17"/>
      <c r="BH195" s="17"/>
      <c r="BI195" s="17"/>
      <c r="BJ195" s="17"/>
      <c r="BK195" s="17"/>
      <c r="BL195" s="17"/>
      <c r="BM195" s="17"/>
      <c r="BN195" s="17"/>
      <c r="BO195" s="17"/>
      <c r="BP195" s="17"/>
      <c r="BQ195" s="17"/>
      <c r="BR195" s="17"/>
      <c r="BS195" s="17"/>
      <c r="BT195" s="17"/>
      <c r="BU195" s="17"/>
      <c r="BV195" s="17"/>
      <c r="BW195" s="17"/>
      <c r="BX195" s="17"/>
      <c r="BY195" s="17"/>
      <c r="BZ195" s="17"/>
      <c r="CA195" s="17"/>
      <c r="CB195" s="17"/>
      <c r="CC195" s="17"/>
      <c r="CD195" s="17"/>
      <c r="CE195" s="17"/>
      <c r="CF195" s="17"/>
      <c r="CG195" s="17"/>
      <c r="CH195" s="17"/>
      <c r="CI195" s="17"/>
      <c r="CJ195" s="17"/>
      <c r="CK195" s="17"/>
      <c r="CL195" s="17"/>
      <c r="CM195" s="17"/>
      <c r="CN195" s="17"/>
      <c r="CO195" s="17"/>
      <c r="CP195" s="17"/>
      <c r="CQ195" s="17"/>
      <c r="CR195" s="17"/>
      <c r="CS195" s="17"/>
      <c r="CT195" s="17"/>
      <c r="CU195" s="17"/>
      <c r="CV195" s="17"/>
    </row>
    <row r="196" spans="2:100" x14ac:dyDescent="0.35">
      <c r="B196" s="9"/>
      <c r="C196" t="s">
        <v>339</v>
      </c>
      <c r="D196" t="s">
        <v>340</v>
      </c>
      <c r="E196" t="s">
        <v>219</v>
      </c>
      <c r="F196" s="17">
        <v>0</v>
      </c>
      <c r="G196" s="17">
        <v>82.906842876149298</v>
      </c>
      <c r="H196" s="17">
        <v>78.482503205076696</v>
      </c>
      <c r="I196" s="17">
        <v>62.227051621746</v>
      </c>
      <c r="J196" s="17">
        <v>49.719108476599402</v>
      </c>
      <c r="K196" s="17">
        <v>52.752793346961397</v>
      </c>
      <c r="L196" s="17">
        <v>55.580633267443098</v>
      </c>
      <c r="M196" s="17">
        <v>48.484101458484403</v>
      </c>
      <c r="N196" s="17">
        <v>41.117643654042197</v>
      </c>
      <c r="O196" s="17">
        <v>36.341788002784398</v>
      </c>
      <c r="P196" s="17">
        <v>31.889335828660201</v>
      </c>
      <c r="Q196" s="17">
        <v>36.056014119107303</v>
      </c>
      <c r="R196" s="17">
        <v>32.415899412387397</v>
      </c>
      <c r="S196" s="17">
        <v>31.350988185682802</v>
      </c>
      <c r="T196" s="17">
        <v>30.802862280774399</v>
      </c>
      <c r="U196" s="17">
        <v>30.984898834350499</v>
      </c>
      <c r="V196" s="17">
        <v>31.2282375684938</v>
      </c>
      <c r="W196" s="17">
        <v>30.719256051892401</v>
      </c>
      <c r="X196" s="17">
        <v>28.910956640630001</v>
      </c>
      <c r="Y196" s="17">
        <v>27.126413391366601</v>
      </c>
      <c r="Z196" s="17">
        <v>24.937116958071599</v>
      </c>
      <c r="AA196" s="17">
        <v>25.5521654547853</v>
      </c>
      <c r="AB196" s="17">
        <v>25.695277004136098</v>
      </c>
      <c r="AC196" s="17">
        <v>24.270346052361901</v>
      </c>
      <c r="AD196" s="17">
        <v>24.019558706298898</v>
      </c>
      <c r="AE196" s="17">
        <v>22.850993724381599</v>
      </c>
      <c r="AF196" s="17">
        <v>22.080245210767</v>
      </c>
      <c r="AG196" s="17">
        <v>22.0511193621948</v>
      </c>
      <c r="AH196" s="17">
        <v>22.167183988319898</v>
      </c>
      <c r="AI196" s="17">
        <v>22.3951658367383</v>
      </c>
      <c r="AJ196" s="17">
        <v>22.135519552515699</v>
      </c>
      <c r="AK196" s="17">
        <v>22.214748546622999</v>
      </c>
      <c r="AL196" s="17">
        <v>22.997281119487699</v>
      </c>
      <c r="AM196" s="17">
        <v>22.330959428802601</v>
      </c>
      <c r="AN196" s="17">
        <v>22.146164903912702</v>
      </c>
      <c r="AO196" s="17"/>
      <c r="AP196" s="17"/>
      <c r="AQ196" s="17"/>
      <c r="AR196" s="17"/>
      <c r="AS196" s="17"/>
      <c r="AT196" s="17"/>
      <c r="AU196" s="17"/>
      <c r="AV196" s="17"/>
      <c r="AW196" s="17"/>
      <c r="AX196" s="17"/>
      <c r="AY196" s="17"/>
      <c r="AZ196" s="17"/>
      <c r="BA196" s="17"/>
      <c r="BB196" s="17"/>
      <c r="BC196" s="17"/>
      <c r="BD196" s="17"/>
      <c r="BE196" s="17"/>
      <c r="BF196" s="17"/>
      <c r="BG196" s="17"/>
      <c r="BH196" s="17"/>
      <c r="BI196" s="17"/>
      <c r="BJ196" s="17"/>
      <c r="BK196" s="17"/>
      <c r="BL196" s="17"/>
      <c r="BM196" s="17"/>
      <c r="BN196" s="17"/>
      <c r="BO196" s="17"/>
      <c r="BP196" s="17"/>
      <c r="BQ196" s="17"/>
      <c r="BR196" s="17"/>
      <c r="BS196" s="17"/>
      <c r="BT196" s="17"/>
      <c r="BU196" s="17"/>
      <c r="BV196" s="17"/>
      <c r="BW196" s="17"/>
      <c r="BX196" s="17"/>
      <c r="BY196" s="17"/>
      <c r="BZ196" s="17"/>
      <c r="CA196" s="17"/>
      <c r="CB196" s="17"/>
      <c r="CC196" s="17"/>
      <c r="CD196" s="17"/>
      <c r="CE196" s="17"/>
      <c r="CF196" s="17"/>
      <c r="CG196" s="17"/>
      <c r="CH196" s="17"/>
      <c r="CI196" s="17"/>
      <c r="CJ196" s="17"/>
      <c r="CK196" s="17"/>
      <c r="CL196" s="17"/>
      <c r="CM196" s="17"/>
      <c r="CN196" s="17"/>
      <c r="CO196" s="17"/>
      <c r="CP196" s="17"/>
      <c r="CQ196" s="17"/>
      <c r="CR196" s="17"/>
      <c r="CS196" s="17"/>
      <c r="CT196" s="17"/>
      <c r="CU196" s="17"/>
      <c r="CV196" s="17"/>
    </row>
    <row r="197" spans="2:100" x14ac:dyDescent="0.35">
      <c r="B197" s="9"/>
      <c r="C197" t="s">
        <v>230</v>
      </c>
      <c r="D197" t="s">
        <v>341</v>
      </c>
      <c r="E197" t="s">
        <v>219</v>
      </c>
      <c r="F197" s="17">
        <v>0</v>
      </c>
      <c r="G197" s="17">
        <v>-3.1131228016900798</v>
      </c>
      <c r="H197" s="17">
        <v>-1.8870687434841</v>
      </c>
      <c r="I197" s="17">
        <v>-0.40313392057080799</v>
      </c>
      <c r="J197" s="17">
        <v>-0.75651988888169397</v>
      </c>
      <c r="K197" s="17">
        <v>-0.49052191314835197</v>
      </c>
      <c r="L197" s="17">
        <v>-1.0710748747167</v>
      </c>
      <c r="M197" s="17">
        <v>-1.27819434164346</v>
      </c>
      <c r="N197" s="17">
        <v>-1.0597400304911599</v>
      </c>
      <c r="O197" s="17">
        <v>-1.1180126213575701</v>
      </c>
      <c r="P197" s="17">
        <v>-0.95312981360486904</v>
      </c>
      <c r="Q197" s="17">
        <v>-1.17221093641941</v>
      </c>
      <c r="R197" s="17">
        <v>-0.96990747243087405</v>
      </c>
      <c r="S197" s="17">
        <v>-1.0536808510894899</v>
      </c>
      <c r="T197" s="17">
        <v>-1.1335262099980501</v>
      </c>
      <c r="U197" s="17">
        <v>-1.3993988233989501</v>
      </c>
      <c r="V197" s="17">
        <v>-1.29692556348345</v>
      </c>
      <c r="W197" s="17">
        <v>-1.19000194076604</v>
      </c>
      <c r="X197" s="17">
        <v>-1.3934023251634999</v>
      </c>
      <c r="Y197" s="17">
        <v>-1.4422727410962799</v>
      </c>
      <c r="Z197" s="17">
        <v>-1.4660706905394001</v>
      </c>
      <c r="AA197" s="17">
        <v>-1.2906261062779201</v>
      </c>
      <c r="AB197" s="17">
        <v>-1.16124173233018</v>
      </c>
      <c r="AC197" s="17">
        <v>-1.0480186524072299</v>
      </c>
      <c r="AD197" s="17">
        <v>-0.94087564560804204</v>
      </c>
      <c r="AE197" s="17">
        <v>-0.94010257789127705</v>
      </c>
      <c r="AF197" s="17">
        <v>-0.89388566466198205</v>
      </c>
      <c r="AG197" s="17">
        <v>-0.92963482313183898</v>
      </c>
      <c r="AH197" s="17">
        <v>-0.85145051512821301</v>
      </c>
      <c r="AI197" s="17">
        <v>-0.81486560777536698</v>
      </c>
      <c r="AJ197" s="17">
        <v>-0.77190811518973002</v>
      </c>
      <c r="AK197" s="17">
        <v>-0.80231892766949398</v>
      </c>
      <c r="AL197" s="17">
        <v>-0.82206349503011</v>
      </c>
      <c r="AM197" s="17">
        <v>-0.80574549808974905</v>
      </c>
      <c r="AN197" s="17">
        <v>-0.77181409344039298</v>
      </c>
      <c r="AO197" s="17"/>
      <c r="AP197" s="17"/>
      <c r="AQ197" s="17"/>
      <c r="AR197" s="17"/>
      <c r="AS197" s="17"/>
      <c r="AT197" s="17"/>
      <c r="AU197" s="17"/>
      <c r="AV197" s="17"/>
      <c r="AW197" s="17"/>
      <c r="AX197" s="17"/>
      <c r="AY197" s="17"/>
      <c r="AZ197" s="17"/>
      <c r="BA197" s="17"/>
      <c r="BB197" s="17"/>
      <c r="BC197" s="17"/>
      <c r="BD197" s="17"/>
      <c r="BE197" s="17"/>
      <c r="BF197" s="17"/>
      <c r="BG197" s="17"/>
      <c r="BH197" s="17"/>
      <c r="BI197" s="17"/>
      <c r="BJ197" s="17"/>
      <c r="BK197" s="17"/>
      <c r="BL197" s="17"/>
      <c r="BM197" s="17"/>
      <c r="BN197" s="17"/>
      <c r="BO197" s="17"/>
      <c r="BP197" s="17"/>
      <c r="BQ197" s="17"/>
      <c r="BR197" s="17"/>
      <c r="BS197" s="17"/>
      <c r="BT197" s="17"/>
      <c r="BU197" s="17"/>
      <c r="BV197" s="17"/>
      <c r="BW197" s="17"/>
      <c r="BX197" s="17"/>
      <c r="BY197" s="17"/>
      <c r="BZ197" s="17"/>
      <c r="CA197" s="17"/>
      <c r="CB197" s="17"/>
      <c r="CC197" s="17"/>
      <c r="CD197" s="17"/>
      <c r="CE197" s="17"/>
      <c r="CF197" s="17"/>
      <c r="CG197" s="17"/>
      <c r="CH197" s="17"/>
      <c r="CI197" s="17"/>
      <c r="CJ197" s="17"/>
      <c r="CK197" s="17"/>
      <c r="CL197" s="17"/>
      <c r="CM197" s="17"/>
      <c r="CN197" s="17"/>
      <c r="CO197" s="17"/>
      <c r="CP197" s="17"/>
      <c r="CQ197" s="17"/>
      <c r="CR197" s="17"/>
      <c r="CS197" s="17"/>
      <c r="CT197" s="17"/>
      <c r="CU197" s="17"/>
      <c r="CV197" s="17"/>
    </row>
    <row r="198" spans="2:100" x14ac:dyDescent="0.35">
      <c r="B198" s="9"/>
      <c r="C198" t="s">
        <v>230</v>
      </c>
      <c r="D198" t="s">
        <v>342</v>
      </c>
      <c r="E198" t="s">
        <v>219</v>
      </c>
      <c r="F198" s="17">
        <v>0</v>
      </c>
      <c r="G198" s="17">
        <v>22.468555035525799</v>
      </c>
      <c r="H198" s="17">
        <v>26.608844554992501</v>
      </c>
      <c r="I198" s="17">
        <v>25.859637468837001</v>
      </c>
      <c r="J198" s="17">
        <v>28.9020559150262</v>
      </c>
      <c r="K198" s="17">
        <v>33.959433577518901</v>
      </c>
      <c r="L198" s="17">
        <v>29.846598408858299</v>
      </c>
      <c r="M198" s="17">
        <v>35.8117665080538</v>
      </c>
      <c r="N198" s="17">
        <v>35.360921773125298</v>
      </c>
      <c r="O198" s="17">
        <v>32.057749675443503</v>
      </c>
      <c r="P198" s="17">
        <v>36.816420240294903</v>
      </c>
      <c r="Q198" s="17">
        <v>40.433165318874202</v>
      </c>
      <c r="R198" s="17">
        <v>40.182712272364498</v>
      </c>
      <c r="S198" s="17">
        <v>39.064104179927703</v>
      </c>
      <c r="T198" s="17">
        <v>37.835030978882003</v>
      </c>
      <c r="U198" s="17">
        <v>37.819287559298701</v>
      </c>
      <c r="V198" s="17">
        <v>37.191086464538898</v>
      </c>
      <c r="W198" s="17">
        <v>38.9521974044955</v>
      </c>
      <c r="X198" s="17">
        <v>41.202555740553898</v>
      </c>
      <c r="Y198" s="17">
        <v>40.812814695832998</v>
      </c>
      <c r="Z198" s="17">
        <v>39.575634730622198</v>
      </c>
      <c r="AA198" s="17">
        <v>40.082265703490201</v>
      </c>
      <c r="AB198" s="17">
        <v>37.921562328854499</v>
      </c>
      <c r="AC198" s="17">
        <v>37.050356799504598</v>
      </c>
      <c r="AD198" s="17">
        <v>35.4069924303001</v>
      </c>
      <c r="AE198" s="17">
        <v>35.274954553648897</v>
      </c>
      <c r="AF198" s="17">
        <v>34.767581853647201</v>
      </c>
      <c r="AG198" s="17">
        <v>32.259906883377496</v>
      </c>
      <c r="AH198" s="17">
        <v>34.086080873874799</v>
      </c>
      <c r="AI198" s="17">
        <v>32.988220247458301</v>
      </c>
      <c r="AJ198" s="17">
        <v>33.6834797432169</v>
      </c>
      <c r="AK198" s="17">
        <v>34.603002004864599</v>
      </c>
      <c r="AL198" s="17">
        <v>34.4739832710532</v>
      </c>
      <c r="AM198" s="17">
        <v>35.6076348433837</v>
      </c>
      <c r="AN198" s="17">
        <v>34.416786706873602</v>
      </c>
      <c r="AO198" s="17"/>
      <c r="AP198" s="17"/>
      <c r="AQ198" s="17"/>
      <c r="AR198" s="17"/>
      <c r="AS198" s="17"/>
      <c r="AT198" s="17"/>
      <c r="AU198" s="17"/>
      <c r="AV198" s="17"/>
      <c r="AW198" s="17"/>
      <c r="AX198" s="17"/>
      <c r="AY198" s="17"/>
      <c r="AZ198" s="17"/>
      <c r="BA198" s="17"/>
      <c r="BB198" s="17"/>
      <c r="BC198" s="17"/>
      <c r="BD198" s="17"/>
      <c r="BE198" s="17"/>
      <c r="BF198" s="17"/>
      <c r="BG198" s="17"/>
      <c r="BH198" s="17"/>
      <c r="BI198" s="17"/>
      <c r="BJ198" s="17"/>
      <c r="BK198" s="17"/>
      <c r="BL198" s="17"/>
      <c r="BM198" s="17"/>
      <c r="BN198" s="17"/>
      <c r="BO198" s="17"/>
      <c r="BP198" s="17"/>
      <c r="BQ198" s="17"/>
      <c r="BR198" s="17"/>
      <c r="BS198" s="17"/>
      <c r="BT198" s="17"/>
      <c r="BU198" s="17"/>
      <c r="BV198" s="17"/>
      <c r="BW198" s="17"/>
      <c r="BX198" s="17"/>
      <c r="BY198" s="17"/>
      <c r="BZ198" s="17"/>
      <c r="CA198" s="17"/>
      <c r="CB198" s="17"/>
      <c r="CC198" s="17"/>
      <c r="CD198" s="17"/>
      <c r="CE198" s="17"/>
      <c r="CF198" s="17"/>
      <c r="CG198" s="17"/>
      <c r="CH198" s="17"/>
      <c r="CI198" s="17"/>
      <c r="CJ198" s="17"/>
      <c r="CK198" s="17"/>
      <c r="CL198" s="17"/>
      <c r="CM198" s="17"/>
      <c r="CN198" s="17"/>
      <c r="CO198" s="17"/>
      <c r="CP198" s="17"/>
      <c r="CQ198" s="17"/>
      <c r="CR198" s="17"/>
      <c r="CS198" s="17"/>
      <c r="CT198" s="17"/>
      <c r="CU198" s="17"/>
      <c r="CV198" s="17"/>
    </row>
    <row r="199" spans="2:100" x14ac:dyDescent="0.35">
      <c r="B199" s="9"/>
      <c r="C199" t="s">
        <v>230</v>
      </c>
      <c r="D199" t="s">
        <v>343</v>
      </c>
      <c r="E199" t="s">
        <v>219</v>
      </c>
      <c r="F199" s="17">
        <v>0</v>
      </c>
      <c r="G199" s="17">
        <v>-15.1163571963996</v>
      </c>
      <c r="H199" s="17">
        <v>-14.4243362275626</v>
      </c>
      <c r="I199" s="17">
        <v>-15.364919361061601</v>
      </c>
      <c r="J199" s="17">
        <v>-14.2696808967655</v>
      </c>
      <c r="K199" s="17">
        <v>-14.8670846451871</v>
      </c>
      <c r="L199" s="17">
        <v>-12.181917505892599</v>
      </c>
      <c r="M199" s="17">
        <v>-13.976541976057099</v>
      </c>
      <c r="N199" s="17">
        <v>-14.592018794073301</v>
      </c>
      <c r="O199" s="17">
        <v>-14.978928739453099</v>
      </c>
      <c r="P199" s="17">
        <v>-14.770304924536999</v>
      </c>
      <c r="Q199" s="17">
        <v>-12.244556884672599</v>
      </c>
      <c r="R199" s="17">
        <v>-14.8779389338049</v>
      </c>
      <c r="S199" s="17">
        <v>-13.646379379832201</v>
      </c>
      <c r="T199" s="17">
        <v>-13.3843616581541</v>
      </c>
      <c r="U199" s="17">
        <v>-13.056842117771801</v>
      </c>
      <c r="V199" s="17">
        <v>-11.3006307556417</v>
      </c>
      <c r="W199" s="17">
        <v>-11.683602234410399</v>
      </c>
      <c r="X199" s="17">
        <v>-11.5546252880431</v>
      </c>
      <c r="Y199" s="17">
        <v>-11.1688749442384</v>
      </c>
      <c r="Z199" s="17">
        <v>-12.6832519202146</v>
      </c>
      <c r="AA199" s="17">
        <v>-11.301853038382999</v>
      </c>
      <c r="AB199" s="17">
        <v>-9.9736495729537609</v>
      </c>
      <c r="AC199" s="17">
        <v>-9.8864078364307399</v>
      </c>
      <c r="AD199" s="17">
        <v>-9.5225959008045695</v>
      </c>
      <c r="AE199" s="17">
        <v>-9.2582171885320204</v>
      </c>
      <c r="AF199" s="17">
        <v>-8.8141733601388896</v>
      </c>
      <c r="AG199" s="17">
        <v>-9.3780949189357603</v>
      </c>
      <c r="AH199" s="17">
        <v>-8.8571726401686792</v>
      </c>
      <c r="AI199" s="17">
        <v>-8.7073750997539303</v>
      </c>
      <c r="AJ199" s="17">
        <v>-7.8824909522437299</v>
      </c>
      <c r="AK199" s="17">
        <v>-8.4460573177653302</v>
      </c>
      <c r="AL199" s="17">
        <v>-9.4904091219484492</v>
      </c>
      <c r="AM199" s="17">
        <v>-11.039866657288</v>
      </c>
      <c r="AN199" s="17">
        <v>-10.893735965097401</v>
      </c>
      <c r="AO199" s="17"/>
      <c r="AP199" s="17"/>
      <c r="AQ199" s="17"/>
      <c r="AR199" s="17"/>
      <c r="AS199" s="17"/>
      <c r="AT199" s="17"/>
      <c r="AU199" s="17"/>
      <c r="AV199" s="17"/>
      <c r="AW199" s="17"/>
      <c r="AX199" s="17"/>
      <c r="AY199" s="17"/>
      <c r="AZ199" s="17"/>
      <c r="BA199" s="17"/>
      <c r="BB199" s="17"/>
      <c r="BC199" s="17"/>
      <c r="BD199" s="17"/>
      <c r="BE199" s="17"/>
      <c r="BF199" s="17"/>
      <c r="BG199" s="17"/>
      <c r="BH199" s="17"/>
      <c r="BI199" s="17"/>
      <c r="BJ199" s="17"/>
      <c r="BK199" s="17"/>
      <c r="BL199" s="17"/>
      <c r="BM199" s="17"/>
      <c r="BN199" s="17"/>
      <c r="BO199" s="17"/>
      <c r="BP199" s="17"/>
      <c r="BQ199" s="17"/>
      <c r="BR199" s="17"/>
      <c r="BS199" s="17"/>
      <c r="BT199" s="17"/>
      <c r="BU199" s="17"/>
      <c r="BV199" s="17"/>
      <c r="BW199" s="17"/>
      <c r="BX199" s="17"/>
      <c r="BY199" s="17"/>
      <c r="BZ199" s="17"/>
      <c r="CA199" s="17"/>
      <c r="CB199" s="17"/>
      <c r="CC199" s="17"/>
      <c r="CD199" s="17"/>
      <c r="CE199" s="17"/>
      <c r="CF199" s="17"/>
      <c r="CG199" s="17"/>
      <c r="CH199" s="17"/>
      <c r="CI199" s="17"/>
      <c r="CJ199" s="17"/>
      <c r="CK199" s="17"/>
      <c r="CL199" s="17"/>
      <c r="CM199" s="17"/>
      <c r="CN199" s="17"/>
      <c r="CO199" s="17"/>
      <c r="CP199" s="17"/>
      <c r="CQ199" s="17"/>
      <c r="CR199" s="17"/>
      <c r="CS199" s="17"/>
      <c r="CT199" s="17"/>
      <c r="CU199" s="17"/>
      <c r="CV199" s="17"/>
    </row>
    <row r="200" spans="2:100" x14ac:dyDescent="0.35">
      <c r="B200" s="9"/>
      <c r="C200" t="s">
        <v>230</v>
      </c>
      <c r="D200" t="s">
        <v>344</v>
      </c>
      <c r="E200" t="s">
        <v>219</v>
      </c>
      <c r="F200" s="17">
        <v>0</v>
      </c>
      <c r="G200" s="17">
        <v>46.553594666806902</v>
      </c>
      <c r="H200" s="17">
        <v>31.882942349705299</v>
      </c>
      <c r="I200" s="17">
        <v>31.294616923525201</v>
      </c>
      <c r="J200" s="17">
        <v>26.3214618547157</v>
      </c>
      <c r="K200" s="17">
        <v>20.790423512788902</v>
      </c>
      <c r="L200" s="17">
        <v>25.6902729576992</v>
      </c>
      <c r="M200" s="17">
        <v>19.951279399962701</v>
      </c>
      <c r="N200" s="17">
        <v>22.175959351591299</v>
      </c>
      <c r="O200" s="17">
        <v>27.729918106633999</v>
      </c>
      <c r="P200" s="17">
        <v>23.277925594395501</v>
      </c>
      <c r="Q200" s="17">
        <v>18.8837146705546</v>
      </c>
      <c r="R200" s="17">
        <v>21.322147845868599</v>
      </c>
      <c r="S200" s="17">
        <v>22.013928536901801</v>
      </c>
      <c r="T200" s="17">
        <v>23.197996660598601</v>
      </c>
      <c r="U200" s="17">
        <v>22.1492780685019</v>
      </c>
      <c r="V200" s="17">
        <v>23.062093445363502</v>
      </c>
      <c r="W200" s="17">
        <v>21.719452417980602</v>
      </c>
      <c r="X200" s="17">
        <v>21.901196459447601</v>
      </c>
      <c r="Y200" s="17">
        <v>23.5791085981027</v>
      </c>
      <c r="Z200" s="17">
        <v>26.491641221014302</v>
      </c>
      <c r="AA200" s="17">
        <v>24.2419723777844</v>
      </c>
      <c r="AB200" s="17">
        <v>25.905049973766399</v>
      </c>
      <c r="AC200" s="17">
        <v>26.118677835119399</v>
      </c>
      <c r="AD200" s="17">
        <v>28.0542722481221</v>
      </c>
      <c r="AE200" s="17">
        <v>29.397863939859398</v>
      </c>
      <c r="AF200" s="17">
        <v>30.289043867512699</v>
      </c>
      <c r="AG200" s="17">
        <v>30.710888116201499</v>
      </c>
      <c r="AH200" s="17">
        <v>29.781848764148801</v>
      </c>
      <c r="AI200" s="17">
        <v>30.0454126212604</v>
      </c>
      <c r="AJ200" s="17">
        <v>30.423108435205201</v>
      </c>
      <c r="AK200" s="17">
        <v>27.736050414063001</v>
      </c>
      <c r="AL200" s="17">
        <v>28.402110933222101</v>
      </c>
      <c r="AM200" s="17">
        <v>28.993737567490101</v>
      </c>
      <c r="AN200" s="17">
        <v>28.382846921469199</v>
      </c>
      <c r="AO200" s="17"/>
      <c r="AP200" s="17"/>
      <c r="AQ200" s="17"/>
      <c r="AR200" s="17"/>
      <c r="AS200" s="17"/>
      <c r="AT200" s="17"/>
      <c r="AU200" s="17"/>
      <c r="AV200" s="17"/>
      <c r="AW200" s="17"/>
      <c r="AX200" s="17"/>
      <c r="AY200" s="17"/>
      <c r="AZ200" s="17"/>
      <c r="BA200" s="17"/>
      <c r="BB200" s="17"/>
      <c r="BC200" s="17"/>
      <c r="BD200" s="17"/>
      <c r="BE200" s="17"/>
      <c r="BF200" s="17"/>
      <c r="BG200" s="17"/>
      <c r="BH200" s="17"/>
      <c r="BI200" s="17"/>
      <c r="BJ200" s="17"/>
      <c r="BK200" s="17"/>
      <c r="BL200" s="17"/>
      <c r="BM200" s="17"/>
      <c r="BN200" s="17"/>
      <c r="BO200" s="17"/>
      <c r="BP200" s="17"/>
      <c r="BQ200" s="17"/>
      <c r="BR200" s="17"/>
      <c r="BS200" s="17"/>
      <c r="BT200" s="17"/>
      <c r="BU200" s="17"/>
      <c r="BV200" s="17"/>
      <c r="BW200" s="17"/>
      <c r="BX200" s="17"/>
      <c r="BY200" s="17"/>
      <c r="BZ200" s="17"/>
      <c r="CA200" s="17"/>
      <c r="CB200" s="17"/>
      <c r="CC200" s="17"/>
      <c r="CD200" s="17"/>
      <c r="CE200" s="17"/>
      <c r="CF200" s="17"/>
      <c r="CG200" s="17"/>
      <c r="CH200" s="17"/>
      <c r="CI200" s="17"/>
      <c r="CJ200" s="17"/>
      <c r="CK200" s="17"/>
      <c r="CL200" s="17"/>
      <c r="CM200" s="17"/>
      <c r="CN200" s="17"/>
      <c r="CO200" s="17"/>
      <c r="CP200" s="17"/>
      <c r="CQ200" s="17"/>
      <c r="CR200" s="17"/>
      <c r="CS200" s="17"/>
      <c r="CT200" s="17"/>
      <c r="CU200" s="17"/>
      <c r="CV200" s="17"/>
    </row>
    <row r="201" spans="2:100" x14ac:dyDescent="0.35">
      <c r="B201" s="9"/>
      <c r="C201" t="s">
        <v>230</v>
      </c>
      <c r="D201" t="s">
        <v>345</v>
      </c>
      <c r="E201" t="s">
        <v>219</v>
      </c>
      <c r="F201" s="17">
        <v>0</v>
      </c>
      <c r="G201" s="17">
        <v>-31.629156754524701</v>
      </c>
      <c r="H201" s="17">
        <v>-26.540396721475702</v>
      </c>
      <c r="I201" s="17">
        <v>-26.258383707772101</v>
      </c>
      <c r="J201" s="17">
        <v>-27.336238595302</v>
      </c>
      <c r="K201" s="17">
        <v>-28.642524546274998</v>
      </c>
      <c r="L201" s="17">
        <v>-24.965239907984198</v>
      </c>
      <c r="M201" s="17">
        <v>-25.033907125582701</v>
      </c>
      <c r="N201" s="17">
        <v>-21.849881478032099</v>
      </c>
      <c r="O201" s="17">
        <v>-19.9837273503448</v>
      </c>
      <c r="P201" s="17">
        <v>-22.287907914467699</v>
      </c>
      <c r="Q201" s="17">
        <v>-27.313349522769201</v>
      </c>
      <c r="R201" s="17">
        <v>-26.9173299145648</v>
      </c>
      <c r="S201" s="17">
        <v>-24.8771415288561</v>
      </c>
      <c r="T201" s="17">
        <v>-21.0953569396085</v>
      </c>
      <c r="U201" s="17">
        <v>-19.862104994147799</v>
      </c>
      <c r="V201" s="17">
        <v>-22.970443133482799</v>
      </c>
      <c r="W201" s="17">
        <v>-25.135199890201001</v>
      </c>
      <c r="X201" s="17">
        <v>-26.3840385523295</v>
      </c>
      <c r="Y201" s="17">
        <v>-26.140261050022598</v>
      </c>
      <c r="Z201" s="17">
        <v>-21.5589990793077</v>
      </c>
      <c r="AA201" s="17">
        <v>-22.705855483989499</v>
      </c>
      <c r="AB201" s="17">
        <v>-20.453073476170399</v>
      </c>
      <c r="AC201" s="17">
        <v>-18.728589231010801</v>
      </c>
      <c r="AD201" s="17">
        <v>-17.628691466692</v>
      </c>
      <c r="AE201" s="17">
        <v>-17.879207194367901</v>
      </c>
      <c r="AF201" s="17">
        <v>-16.635257663205</v>
      </c>
      <c r="AG201" s="17">
        <v>-14.699590122175</v>
      </c>
      <c r="AH201" s="17">
        <v>-16.472547802548</v>
      </c>
      <c r="AI201" s="17">
        <v>-14.885011458727201</v>
      </c>
      <c r="AJ201" s="17">
        <v>-15.2152158423962</v>
      </c>
      <c r="AK201" s="17">
        <v>-15.845621224834799</v>
      </c>
      <c r="AL201" s="17">
        <v>-14.561075191680599</v>
      </c>
      <c r="AM201" s="17">
        <v>-13.5886918131839</v>
      </c>
      <c r="AN201" s="17">
        <v>-13.5334905994625</v>
      </c>
      <c r="AO201" s="17"/>
      <c r="AP201" s="17"/>
      <c r="AQ201" s="17"/>
      <c r="AR201" s="17"/>
      <c r="AS201" s="17"/>
      <c r="AT201" s="17"/>
      <c r="AU201" s="17"/>
      <c r="AV201" s="17"/>
      <c r="AW201" s="17"/>
      <c r="AX201" s="17"/>
      <c r="AY201" s="17"/>
      <c r="AZ201" s="17"/>
      <c r="BA201" s="17"/>
      <c r="BB201" s="17"/>
      <c r="BC201" s="17"/>
      <c r="BD201" s="17"/>
      <c r="BE201" s="17"/>
      <c r="BF201" s="17"/>
      <c r="BG201" s="17"/>
      <c r="BH201" s="17"/>
      <c r="BI201" s="17"/>
      <c r="BJ201" s="17"/>
      <c r="BK201" s="17"/>
      <c r="BL201" s="17"/>
      <c r="BM201" s="17"/>
      <c r="BN201" s="17"/>
      <c r="BO201" s="17"/>
      <c r="BP201" s="17"/>
      <c r="BQ201" s="17"/>
      <c r="BR201" s="17"/>
      <c r="BS201" s="17"/>
      <c r="BT201" s="17"/>
      <c r="BU201" s="17"/>
      <c r="BV201" s="17"/>
      <c r="BW201" s="17"/>
      <c r="BX201" s="17"/>
      <c r="BY201" s="17"/>
      <c r="BZ201" s="17"/>
      <c r="CA201" s="17"/>
      <c r="CB201" s="17"/>
      <c r="CC201" s="17"/>
      <c r="CD201" s="17"/>
      <c r="CE201" s="17"/>
      <c r="CF201" s="17"/>
      <c r="CG201" s="17"/>
      <c r="CH201" s="17"/>
      <c r="CI201" s="17"/>
      <c r="CJ201" s="17"/>
      <c r="CK201" s="17"/>
      <c r="CL201" s="17"/>
      <c r="CM201" s="17"/>
      <c r="CN201" s="17"/>
      <c r="CO201" s="17"/>
      <c r="CP201" s="17"/>
      <c r="CQ201" s="17"/>
      <c r="CR201" s="17"/>
      <c r="CS201" s="17"/>
      <c r="CT201" s="17"/>
      <c r="CU201" s="17"/>
      <c r="CV201" s="17"/>
    </row>
    <row r="202" spans="2:100" x14ac:dyDescent="0.35">
      <c r="B202" s="9"/>
      <c r="D202" t="s">
        <v>220</v>
      </c>
      <c r="E202" t="s">
        <v>219</v>
      </c>
      <c r="F202" s="17">
        <v>0</v>
      </c>
      <c r="G202" s="17">
        <v>0</v>
      </c>
      <c r="H202" s="17">
        <v>0</v>
      </c>
      <c r="I202" s="17">
        <v>0</v>
      </c>
      <c r="J202" s="17">
        <v>0</v>
      </c>
      <c r="K202" s="17">
        <v>0</v>
      </c>
      <c r="L202" s="17">
        <v>0</v>
      </c>
      <c r="M202" s="17">
        <v>0</v>
      </c>
      <c r="N202" s="17">
        <v>0</v>
      </c>
      <c r="O202" s="17">
        <v>0</v>
      </c>
      <c r="P202" s="17">
        <v>0</v>
      </c>
      <c r="Q202" s="17">
        <v>0</v>
      </c>
      <c r="R202" s="17">
        <v>0</v>
      </c>
      <c r="S202" s="17">
        <v>0</v>
      </c>
      <c r="T202" s="17">
        <v>0</v>
      </c>
      <c r="U202" s="17">
        <v>0</v>
      </c>
      <c r="V202" s="17">
        <v>0</v>
      </c>
      <c r="W202" s="17">
        <v>0</v>
      </c>
      <c r="X202" s="17">
        <v>0</v>
      </c>
      <c r="Y202" s="17">
        <v>0</v>
      </c>
      <c r="Z202" s="17">
        <v>0</v>
      </c>
      <c r="AA202" s="17">
        <v>0</v>
      </c>
      <c r="AB202" s="17">
        <v>0</v>
      </c>
      <c r="AC202" s="17">
        <v>0</v>
      </c>
      <c r="AD202" s="17">
        <v>0</v>
      </c>
      <c r="AE202" s="17">
        <v>0</v>
      </c>
      <c r="AF202" s="17">
        <v>0</v>
      </c>
      <c r="AG202" s="17">
        <v>0</v>
      </c>
      <c r="AH202" s="17">
        <v>0</v>
      </c>
      <c r="AI202" s="17">
        <v>0</v>
      </c>
      <c r="AJ202" s="17">
        <v>0</v>
      </c>
      <c r="AK202" s="17">
        <v>0</v>
      </c>
      <c r="AL202" s="17">
        <v>0</v>
      </c>
      <c r="AM202" s="17">
        <v>0</v>
      </c>
      <c r="AN202" s="17">
        <v>0</v>
      </c>
      <c r="AO202" s="17"/>
      <c r="AP202" s="17"/>
      <c r="AQ202" s="17"/>
      <c r="AR202" s="17"/>
      <c r="AS202" s="17"/>
      <c r="AT202" s="17"/>
      <c r="AU202" s="17"/>
      <c r="AV202" s="17"/>
      <c r="AW202" s="17"/>
      <c r="AX202" s="17"/>
      <c r="AY202" s="17"/>
      <c r="AZ202" s="17"/>
      <c r="BA202" s="17"/>
      <c r="BB202" s="17"/>
      <c r="BC202" s="17"/>
      <c r="BD202" s="17"/>
      <c r="BE202" s="17"/>
      <c r="BF202" s="17"/>
      <c r="BG202" s="17"/>
      <c r="BH202" s="17"/>
      <c r="BI202" s="17"/>
      <c r="BJ202" s="17"/>
      <c r="BK202" s="17"/>
      <c r="BL202" s="17"/>
      <c r="BM202" s="17"/>
      <c r="BN202" s="17"/>
      <c r="BO202" s="17"/>
      <c r="BP202" s="17"/>
      <c r="BQ202" s="17"/>
      <c r="BR202" s="17"/>
      <c r="BS202" s="17"/>
      <c r="BT202" s="17"/>
      <c r="BU202" s="17"/>
      <c r="BV202" s="17"/>
      <c r="BW202" s="17"/>
      <c r="BX202" s="17"/>
      <c r="BY202" s="17"/>
      <c r="BZ202" s="17"/>
      <c r="CA202" s="17"/>
      <c r="CB202" s="17"/>
      <c r="CC202" s="17"/>
      <c r="CD202" s="17"/>
      <c r="CE202" s="17"/>
      <c r="CF202" s="17"/>
      <c r="CG202" s="17"/>
      <c r="CH202" s="17"/>
      <c r="CI202" s="17"/>
      <c r="CJ202" s="17"/>
      <c r="CK202" s="17"/>
      <c r="CL202" s="17"/>
      <c r="CM202" s="17"/>
      <c r="CN202" s="17"/>
      <c r="CO202" s="17"/>
      <c r="CP202" s="17"/>
      <c r="CQ202" s="17"/>
      <c r="CR202" s="17"/>
      <c r="CS202" s="17"/>
      <c r="CT202" s="17"/>
      <c r="CU202" s="17"/>
      <c r="CV202" s="17"/>
    </row>
    <row r="203" spans="2:100" x14ac:dyDescent="0.35">
      <c r="B203" s="9"/>
      <c r="C203" t="s">
        <v>230</v>
      </c>
      <c r="D203" t="s">
        <v>346</v>
      </c>
      <c r="E203" t="s">
        <v>219</v>
      </c>
      <c r="F203" s="17">
        <v>0</v>
      </c>
      <c r="G203" s="17">
        <v>102.070418507033</v>
      </c>
      <c r="H203" s="17">
        <v>94.122509310974195</v>
      </c>
      <c r="I203" s="17">
        <v>77.354858577842705</v>
      </c>
      <c r="J203" s="17">
        <v>62.580186865392001</v>
      </c>
      <c r="K203" s="17">
        <v>63.502529779519797</v>
      </c>
      <c r="L203" s="17">
        <v>72.899282792268295</v>
      </c>
      <c r="M203" s="17">
        <v>63.958472582634499</v>
      </c>
      <c r="N203" s="17">
        <v>61.152780007551897</v>
      </c>
      <c r="O203" s="17">
        <v>60.048776626845402</v>
      </c>
      <c r="P203" s="17">
        <v>53.972297223296898</v>
      </c>
      <c r="Q203" s="17">
        <v>54.642724530369698</v>
      </c>
      <c r="R203" s="17">
        <v>51.155551869236803</v>
      </c>
      <c r="S203" s="17">
        <v>52.851892270761802</v>
      </c>
      <c r="T203" s="17">
        <v>56.222749581104701</v>
      </c>
      <c r="U203" s="17">
        <v>56.635128973693497</v>
      </c>
      <c r="V203" s="17">
        <v>55.9134598132325</v>
      </c>
      <c r="W203" s="17">
        <v>53.382028680963799</v>
      </c>
      <c r="X203" s="17">
        <v>52.6825904407903</v>
      </c>
      <c r="Y203" s="17">
        <v>52.7668130344735</v>
      </c>
      <c r="Z203" s="17">
        <v>55.296092113368502</v>
      </c>
      <c r="AA203" s="17">
        <v>54.5780480136874</v>
      </c>
      <c r="AB203" s="17">
        <v>57.933903631580598</v>
      </c>
      <c r="AC203" s="17">
        <v>57.776417201442399</v>
      </c>
      <c r="AD203" s="17">
        <v>59.388649924755498</v>
      </c>
      <c r="AE203" s="17">
        <v>59.4462330227935</v>
      </c>
      <c r="AF203" s="17">
        <v>60.793502009615999</v>
      </c>
      <c r="AG203" s="17">
        <v>60.014552710087003</v>
      </c>
      <c r="AH203" s="17">
        <v>59.853932221637599</v>
      </c>
      <c r="AI203" s="17">
        <v>61.021588326644697</v>
      </c>
      <c r="AJ203" s="17">
        <v>62.372471927386101</v>
      </c>
      <c r="AK203" s="17">
        <v>59.4598348358641</v>
      </c>
      <c r="AL203" s="17">
        <v>60.999806621381801</v>
      </c>
      <c r="AM203" s="17">
        <v>61.497996530531601</v>
      </c>
      <c r="AN203" s="17">
        <v>59.746789214838401</v>
      </c>
      <c r="AO203" s="17"/>
      <c r="AP203" s="17"/>
      <c r="AQ203" s="17"/>
      <c r="AR203" s="17"/>
      <c r="AS203" s="17"/>
      <c r="AT203" s="17"/>
      <c r="AU203" s="17"/>
      <c r="AV203" s="17"/>
      <c r="AW203" s="17"/>
      <c r="AX203" s="17"/>
      <c r="AY203" s="17"/>
      <c r="AZ203" s="17"/>
      <c r="BA203" s="17"/>
      <c r="BB203" s="17"/>
      <c r="BC203" s="17"/>
      <c r="BD203" s="17"/>
      <c r="BE203" s="17"/>
      <c r="BF203" s="17"/>
      <c r="BG203" s="17"/>
      <c r="BH203" s="17"/>
      <c r="BI203" s="17"/>
      <c r="BJ203" s="17"/>
      <c r="BK203" s="17"/>
      <c r="BL203" s="17"/>
      <c r="BM203" s="17"/>
      <c r="BN203" s="17"/>
      <c r="BO203" s="17"/>
      <c r="BP203" s="17"/>
      <c r="BQ203" s="17"/>
      <c r="BR203" s="17"/>
      <c r="BS203" s="17"/>
      <c r="BT203" s="17"/>
      <c r="BU203" s="17"/>
      <c r="BV203" s="17"/>
      <c r="BW203" s="17"/>
      <c r="BX203" s="17"/>
      <c r="BY203" s="17"/>
      <c r="BZ203" s="17"/>
      <c r="CA203" s="17"/>
      <c r="CB203" s="17"/>
      <c r="CC203" s="17"/>
      <c r="CD203" s="17"/>
      <c r="CE203" s="17"/>
      <c r="CF203" s="17"/>
      <c r="CG203" s="17"/>
      <c r="CH203" s="17"/>
      <c r="CI203" s="17"/>
      <c r="CJ203" s="17"/>
      <c r="CK203" s="17"/>
      <c r="CL203" s="17"/>
      <c r="CM203" s="17"/>
      <c r="CN203" s="17"/>
      <c r="CO203" s="17"/>
      <c r="CP203" s="17"/>
      <c r="CQ203" s="17"/>
      <c r="CR203" s="17"/>
      <c r="CS203" s="17"/>
      <c r="CT203" s="17"/>
      <c r="CU203" s="17"/>
      <c r="CV203" s="17"/>
    </row>
    <row r="204" spans="2:100" x14ac:dyDescent="0.35">
      <c r="B204" s="9"/>
      <c r="C204" t="s">
        <v>230</v>
      </c>
      <c r="D204" t="s">
        <v>347</v>
      </c>
      <c r="E204" t="s">
        <v>219</v>
      </c>
      <c r="F204" s="17">
        <v>0</v>
      </c>
      <c r="G204" s="17">
        <v>10.347156195622601</v>
      </c>
      <c r="H204" s="17">
        <v>11.825272116938001</v>
      </c>
      <c r="I204" s="17">
        <v>7.4165400562552604</v>
      </c>
      <c r="J204" s="17">
        <v>7.8077227677993202</v>
      </c>
      <c r="K204" s="17">
        <v>6.0056287919931304</v>
      </c>
      <c r="L204" s="17">
        <v>5.3650063794599401</v>
      </c>
      <c r="M204" s="17">
        <v>6.2318764614793096</v>
      </c>
      <c r="N204" s="17">
        <v>6.3291158440150799</v>
      </c>
      <c r="O204" s="17">
        <v>7.8231841221346201</v>
      </c>
      <c r="P204" s="17">
        <v>7.6859541555478197</v>
      </c>
      <c r="Q204" s="17">
        <v>8.0595234593828895</v>
      </c>
      <c r="R204" s="17">
        <v>8.2709156924739293</v>
      </c>
      <c r="S204" s="17">
        <v>8.4710775499498094</v>
      </c>
      <c r="T204" s="17">
        <v>7.9999032234426597</v>
      </c>
      <c r="U204" s="17">
        <v>7.6827365223483097</v>
      </c>
      <c r="V204" s="17">
        <v>8.04011319157547</v>
      </c>
      <c r="W204" s="17">
        <v>7.6723627893382096</v>
      </c>
      <c r="X204" s="17">
        <v>8.0457127090914895</v>
      </c>
      <c r="Y204" s="17">
        <v>8.5002451859661292</v>
      </c>
      <c r="Z204" s="17">
        <v>9.1571751485786397</v>
      </c>
      <c r="AA204" s="17">
        <v>9.6018875760781501</v>
      </c>
      <c r="AB204" s="17">
        <v>9.5993594357071093</v>
      </c>
      <c r="AC204" s="17">
        <v>9.4524661226607503</v>
      </c>
      <c r="AD204" s="17">
        <v>9.2500477432008008</v>
      </c>
      <c r="AE204" s="17">
        <v>9.3939950414346303</v>
      </c>
      <c r="AF204" s="17">
        <v>9.5376393806983693</v>
      </c>
      <c r="AG204" s="17">
        <v>9.4292427505746907</v>
      </c>
      <c r="AH204" s="17">
        <v>9.3119767354302905</v>
      </c>
      <c r="AI204" s="17">
        <v>9.3361194312876297</v>
      </c>
      <c r="AJ204" s="17">
        <v>9.4120263235851098</v>
      </c>
      <c r="AK204" s="17">
        <v>9.3542969694926494</v>
      </c>
      <c r="AL204" s="17">
        <v>9.3158629677361908</v>
      </c>
      <c r="AM204" s="17">
        <v>9.3770188922489108</v>
      </c>
      <c r="AN204" s="17">
        <v>9.2955647167405893</v>
      </c>
      <c r="AO204" s="17"/>
      <c r="AP204" s="17"/>
      <c r="AQ204" s="17"/>
      <c r="AR204" s="17"/>
      <c r="AS204" s="17"/>
      <c r="AT204" s="17"/>
      <c r="AU204" s="17"/>
      <c r="AV204" s="17"/>
      <c r="AW204" s="17"/>
      <c r="AX204" s="17"/>
      <c r="AY204" s="17"/>
      <c r="AZ204" s="17"/>
      <c r="BA204" s="17"/>
      <c r="BB204" s="17"/>
      <c r="BC204" s="17"/>
      <c r="BD204" s="17"/>
      <c r="BE204" s="17"/>
      <c r="BF204" s="17"/>
      <c r="BG204" s="17"/>
      <c r="BH204" s="17"/>
      <c r="BI204" s="17"/>
      <c r="BJ204" s="17"/>
      <c r="BK204" s="17"/>
      <c r="BL204" s="17"/>
      <c r="BM204" s="17"/>
      <c r="BN204" s="17"/>
      <c r="BO204" s="17"/>
      <c r="BP204" s="17"/>
      <c r="BQ204" s="17"/>
      <c r="BR204" s="17"/>
      <c r="BS204" s="17"/>
      <c r="BT204" s="17"/>
      <c r="BU204" s="17"/>
      <c r="BV204" s="17"/>
      <c r="BW204" s="17"/>
      <c r="BX204" s="17"/>
      <c r="BY204" s="17"/>
      <c r="BZ204" s="17"/>
      <c r="CA204" s="17"/>
      <c r="CB204" s="17"/>
      <c r="CC204" s="17"/>
      <c r="CD204" s="17"/>
      <c r="CE204" s="17"/>
      <c r="CF204" s="17"/>
      <c r="CG204" s="17"/>
      <c r="CH204" s="17"/>
      <c r="CI204" s="17"/>
      <c r="CJ204" s="17"/>
      <c r="CK204" s="17"/>
      <c r="CL204" s="17"/>
      <c r="CM204" s="17"/>
      <c r="CN204" s="17"/>
      <c r="CO204" s="17"/>
      <c r="CP204" s="17"/>
      <c r="CQ204" s="17"/>
      <c r="CR204" s="17"/>
      <c r="CS204" s="17"/>
      <c r="CT204" s="17"/>
      <c r="CU204" s="17"/>
      <c r="CV204" s="17"/>
    </row>
    <row r="205" spans="2:100" x14ac:dyDescent="0.35">
      <c r="B205" s="9"/>
      <c r="C205" t="s">
        <v>230</v>
      </c>
      <c r="D205" t="s">
        <v>348</v>
      </c>
      <c r="E205" t="s">
        <v>219</v>
      </c>
      <c r="F205" s="17">
        <v>0</v>
      </c>
      <c r="G205" s="17">
        <v>29.697782873381101</v>
      </c>
      <c r="H205" s="17">
        <v>18.3619357491824</v>
      </c>
      <c r="I205" s="17">
        <v>11.178412928365599</v>
      </c>
      <c r="J205" s="17">
        <v>10.302746589352701</v>
      </c>
      <c r="K205" s="17">
        <v>10.5558844791491</v>
      </c>
      <c r="L205" s="17">
        <v>10.603793783866401</v>
      </c>
      <c r="M205" s="17">
        <v>9.0585567803859295</v>
      </c>
      <c r="N205" s="17">
        <v>8.9590399821440094</v>
      </c>
      <c r="O205" s="17">
        <v>9.8694003466619193</v>
      </c>
      <c r="P205" s="17">
        <v>9.06547260239266</v>
      </c>
      <c r="Q205" s="17">
        <v>8.7393424945282607</v>
      </c>
      <c r="R205" s="17">
        <v>8.9182032023489608</v>
      </c>
      <c r="S205" s="17">
        <v>8.8705132817133894</v>
      </c>
      <c r="T205" s="17">
        <v>8.6903362694019908</v>
      </c>
      <c r="U205" s="17">
        <v>8.2410063293239606</v>
      </c>
      <c r="V205" s="17">
        <v>8.3565590592582399</v>
      </c>
      <c r="W205" s="17">
        <v>8.2282820525804503</v>
      </c>
      <c r="X205" s="17">
        <v>7.4847998462733898</v>
      </c>
      <c r="Y205" s="17">
        <v>7.5798767285744297</v>
      </c>
      <c r="Z205" s="17">
        <v>7.7579643686783601</v>
      </c>
      <c r="AA205" s="17">
        <v>7.6301679176082997</v>
      </c>
      <c r="AB205" s="17">
        <v>7.3880201256232496</v>
      </c>
      <c r="AC205" s="17">
        <v>7.3521142642378399</v>
      </c>
      <c r="AD205" s="17">
        <v>7.1864166013242201</v>
      </c>
      <c r="AE205" s="17">
        <v>7.2579358119860098</v>
      </c>
      <c r="AF205" s="17">
        <v>7.1085561460127504</v>
      </c>
      <c r="AG205" s="17">
        <v>7.2116248770073801</v>
      </c>
      <c r="AH205" s="17">
        <v>7.0764007077397499</v>
      </c>
      <c r="AI205" s="17">
        <v>6.9696546816599696</v>
      </c>
      <c r="AJ205" s="17">
        <v>6.7832199995871898</v>
      </c>
      <c r="AK205" s="17">
        <v>6.6950484924318401</v>
      </c>
      <c r="AL205" s="17">
        <v>6.3734941097017996</v>
      </c>
      <c r="AM205" s="17">
        <v>6.5236990776970103</v>
      </c>
      <c r="AN205" s="17">
        <v>7.0883832573495997</v>
      </c>
      <c r="AO205" s="17"/>
      <c r="AP205" s="17"/>
      <c r="AQ205" s="17"/>
      <c r="AR205" s="17"/>
      <c r="AS205" s="17"/>
      <c r="AT205" s="17"/>
      <c r="AU205" s="17"/>
      <c r="AV205" s="17"/>
      <c r="AW205" s="17"/>
      <c r="AX205" s="17"/>
      <c r="AY205" s="17"/>
      <c r="AZ205" s="17"/>
      <c r="BA205" s="17"/>
      <c r="BB205" s="17"/>
      <c r="BC205" s="17"/>
      <c r="BD205" s="17"/>
      <c r="BE205" s="17"/>
      <c r="BF205" s="17"/>
      <c r="BG205" s="17"/>
      <c r="BH205" s="17"/>
      <c r="BI205" s="17"/>
      <c r="BJ205" s="17"/>
      <c r="BK205" s="17"/>
      <c r="BL205" s="17"/>
      <c r="BM205" s="17"/>
      <c r="BN205" s="17"/>
      <c r="BO205" s="17"/>
      <c r="BP205" s="17"/>
      <c r="BQ205" s="17"/>
      <c r="BR205" s="17"/>
      <c r="BS205" s="17"/>
      <c r="BT205" s="17"/>
      <c r="BU205" s="17"/>
      <c r="BV205" s="17"/>
      <c r="BW205" s="17"/>
      <c r="BX205" s="17"/>
      <c r="BY205" s="17"/>
      <c r="BZ205" s="17"/>
      <c r="CA205" s="17"/>
      <c r="CB205" s="17"/>
      <c r="CC205" s="17"/>
      <c r="CD205" s="17"/>
      <c r="CE205" s="17"/>
      <c r="CF205" s="17"/>
      <c r="CG205" s="17"/>
      <c r="CH205" s="17"/>
      <c r="CI205" s="17"/>
      <c r="CJ205" s="17"/>
      <c r="CK205" s="17"/>
      <c r="CL205" s="17"/>
      <c r="CM205" s="17"/>
      <c r="CN205" s="17"/>
      <c r="CO205" s="17"/>
      <c r="CP205" s="17"/>
      <c r="CQ205" s="17"/>
      <c r="CR205" s="17"/>
      <c r="CS205" s="17"/>
      <c r="CT205" s="17"/>
      <c r="CU205" s="17"/>
      <c r="CV205" s="17"/>
    </row>
    <row r="206" spans="2:100" x14ac:dyDescent="0.35">
      <c r="B206" s="9"/>
      <c r="C206" t="s">
        <v>230</v>
      </c>
      <c r="D206" t="s">
        <v>349</v>
      </c>
      <c r="E206" t="s">
        <v>219</v>
      </c>
      <c r="F206" s="17">
        <v>0</v>
      </c>
      <c r="G206" s="17">
        <v>8.3601736731771599</v>
      </c>
      <c r="H206" s="17">
        <v>7.4156938605112304</v>
      </c>
      <c r="I206" s="17">
        <v>6.8236597986628196</v>
      </c>
      <c r="J206" s="17">
        <v>6.5996895448827901</v>
      </c>
      <c r="K206" s="17">
        <v>6.4737108476332299</v>
      </c>
      <c r="L206" s="17">
        <v>6.4488577652253403</v>
      </c>
      <c r="M206" s="17">
        <v>6.0072376085928898</v>
      </c>
      <c r="N206" s="17">
        <v>5.6701278497782104</v>
      </c>
      <c r="O206" s="17">
        <v>6.4516157365391997</v>
      </c>
      <c r="P206" s="17">
        <v>6.3340258687026401</v>
      </c>
      <c r="Q206" s="17">
        <v>6.0007187673055702</v>
      </c>
      <c r="R206" s="17">
        <v>6.4151144040746599</v>
      </c>
      <c r="S206" s="17">
        <v>6.4504456881030201</v>
      </c>
      <c r="T206" s="17">
        <v>6.5003398964174703</v>
      </c>
      <c r="U206" s="17">
        <v>6.3743611991679003</v>
      </c>
      <c r="V206" s="17">
        <v>6.61989377412905</v>
      </c>
      <c r="W206" s="17">
        <v>6.5812090477076897</v>
      </c>
      <c r="X206" s="17">
        <v>6.8090655337936203</v>
      </c>
      <c r="Y206" s="17">
        <v>6.28170798862753</v>
      </c>
      <c r="Z206" s="17">
        <v>6.8118652925516399</v>
      </c>
      <c r="AA206" s="17">
        <v>6.8727495986773901</v>
      </c>
      <c r="AB206" s="17">
        <v>6.8922225476510297</v>
      </c>
      <c r="AC206" s="17">
        <v>6.9067123439098603</v>
      </c>
      <c r="AD206" s="17">
        <v>7.0242186368581203</v>
      </c>
      <c r="AE206" s="17">
        <v>7.1586801852700201</v>
      </c>
      <c r="AF206" s="17">
        <v>7.1564654507301002</v>
      </c>
      <c r="AG206" s="17">
        <v>7.0841731723515498</v>
      </c>
      <c r="AH206" s="17">
        <v>7.0203010639691099</v>
      </c>
      <c r="AI206" s="17">
        <v>6.8870617982985802</v>
      </c>
      <c r="AJ206" s="17">
        <v>6.7442636547788597</v>
      </c>
      <c r="AK206" s="17">
        <v>6.6574815801414804</v>
      </c>
      <c r="AL206" s="17">
        <v>6.82139282981771</v>
      </c>
      <c r="AM206" s="17">
        <v>6.9859099974341099</v>
      </c>
      <c r="AN206" s="17">
        <v>6.9297581193582802</v>
      </c>
      <c r="AO206" s="17"/>
      <c r="AP206" s="17"/>
      <c r="AQ206" s="17"/>
      <c r="AR206" s="17"/>
      <c r="AS206" s="17"/>
      <c r="AT206" s="17"/>
      <c r="AU206" s="17"/>
      <c r="AV206" s="17"/>
      <c r="AW206" s="17"/>
      <c r="AX206" s="17"/>
      <c r="AY206" s="17"/>
      <c r="AZ206" s="17"/>
      <c r="BA206" s="17"/>
      <c r="BB206" s="17"/>
      <c r="BC206" s="17"/>
      <c r="BD206" s="17"/>
      <c r="BE206" s="17"/>
      <c r="BF206" s="17"/>
      <c r="BG206" s="17"/>
      <c r="BH206" s="17"/>
      <c r="BI206" s="17"/>
      <c r="BJ206" s="17"/>
      <c r="BK206" s="17"/>
      <c r="BL206" s="17"/>
      <c r="BM206" s="17"/>
      <c r="BN206" s="17"/>
      <c r="BO206" s="17"/>
      <c r="BP206" s="17"/>
      <c r="BQ206" s="17"/>
      <c r="BR206" s="17"/>
      <c r="BS206" s="17"/>
      <c r="BT206" s="17"/>
      <c r="BU206" s="17"/>
      <c r="BV206" s="17"/>
      <c r="BW206" s="17"/>
      <c r="BX206" s="17"/>
      <c r="BY206" s="17"/>
      <c r="BZ206" s="17"/>
      <c r="CA206" s="17"/>
      <c r="CB206" s="17"/>
      <c r="CC206" s="17"/>
      <c r="CD206" s="17"/>
      <c r="CE206" s="17"/>
      <c r="CF206" s="17"/>
      <c r="CG206" s="17"/>
      <c r="CH206" s="17"/>
      <c r="CI206" s="17"/>
      <c r="CJ206" s="17"/>
      <c r="CK206" s="17"/>
      <c r="CL206" s="17"/>
      <c r="CM206" s="17"/>
      <c r="CN206" s="17"/>
      <c r="CO206" s="17"/>
      <c r="CP206" s="17"/>
      <c r="CQ206" s="17"/>
      <c r="CR206" s="17"/>
      <c r="CS206" s="17"/>
      <c r="CT206" s="17"/>
      <c r="CU206" s="17"/>
      <c r="CV206" s="17"/>
    </row>
    <row r="207" spans="2:100" x14ac:dyDescent="0.35">
      <c r="B207" s="9"/>
      <c r="C207" t="s">
        <v>230</v>
      </c>
      <c r="D207" t="s">
        <v>350</v>
      </c>
      <c r="E207" t="s">
        <v>219</v>
      </c>
      <c r="F207" s="17">
        <v>0</v>
      </c>
      <c r="G207" s="17">
        <v>48.405676872676899</v>
      </c>
      <c r="H207" s="17">
        <v>37.607874432485502</v>
      </c>
      <c r="I207" s="17">
        <v>25.418539655256399</v>
      </c>
      <c r="J207" s="17">
        <v>24.707944167494901</v>
      </c>
      <c r="K207" s="17">
        <v>23.034315241865201</v>
      </c>
      <c r="L207" s="17">
        <v>22.415892409036399</v>
      </c>
      <c r="M207" s="17">
        <v>21.301766019984701</v>
      </c>
      <c r="N207" s="17">
        <v>20.963225041207899</v>
      </c>
      <c r="O207" s="17">
        <v>24.148472971499999</v>
      </c>
      <c r="P207" s="17">
        <v>23.0908536537994</v>
      </c>
      <c r="Q207" s="17">
        <v>22.7976207113417</v>
      </c>
      <c r="R207" s="17">
        <v>23.603554252930099</v>
      </c>
      <c r="S207" s="17">
        <v>23.78975910406</v>
      </c>
      <c r="T207" s="17">
        <v>23.186808072427599</v>
      </c>
      <c r="U207" s="17">
        <v>22.298323434921901</v>
      </c>
      <c r="V207" s="17">
        <v>23.023126653694199</v>
      </c>
      <c r="W207" s="17">
        <v>22.483838793223399</v>
      </c>
      <c r="X207" s="17">
        <v>22.342106229529499</v>
      </c>
      <c r="Y207" s="17">
        <v>22.3656847948908</v>
      </c>
      <c r="Z207" s="17">
        <v>23.732562539880501</v>
      </c>
      <c r="AA207" s="17">
        <v>24.106633293045299</v>
      </c>
      <c r="AB207" s="17">
        <v>23.881221372442202</v>
      </c>
      <c r="AC207" s="17">
        <v>23.714980472754601</v>
      </c>
      <c r="AD207" s="17">
        <v>23.455135698172299</v>
      </c>
      <c r="AE207" s="17">
        <v>23.806077101000401</v>
      </c>
      <c r="AF207" s="17">
        <v>23.799234407020901</v>
      </c>
      <c r="AG207" s="17">
        <v>23.7225440001457</v>
      </c>
      <c r="AH207" s="17">
        <v>23.410360451766099</v>
      </c>
      <c r="AI207" s="17">
        <v>23.198195150958298</v>
      </c>
      <c r="AJ207" s="17">
        <v>22.9392697001473</v>
      </c>
      <c r="AK207" s="17">
        <v>22.701373780604399</v>
      </c>
      <c r="AL207" s="17">
        <v>22.5081590857184</v>
      </c>
      <c r="AM207" s="17">
        <v>22.883546143374002</v>
      </c>
      <c r="AN207" s="17">
        <v>23.318031093917899</v>
      </c>
      <c r="AO207" s="17"/>
      <c r="AP207" s="17"/>
      <c r="AQ207" s="17"/>
      <c r="AR207" s="17"/>
      <c r="AS207" s="17"/>
      <c r="AT207" s="17"/>
      <c r="AU207" s="17"/>
      <c r="AV207" s="17"/>
      <c r="AW207" s="17"/>
      <c r="AX207" s="17"/>
      <c r="AY207" s="17"/>
      <c r="AZ207" s="17"/>
      <c r="BA207" s="17"/>
      <c r="BB207" s="17"/>
      <c r="BC207" s="17"/>
      <c r="BD207" s="17"/>
      <c r="BE207" s="17"/>
      <c r="BF207" s="17"/>
      <c r="BG207" s="17"/>
      <c r="BH207" s="17"/>
      <c r="BI207" s="17"/>
      <c r="BJ207" s="17"/>
      <c r="BK207" s="17"/>
      <c r="BL207" s="17"/>
      <c r="BM207" s="17"/>
      <c r="BN207" s="17"/>
      <c r="BO207" s="17"/>
      <c r="BP207" s="17"/>
      <c r="BQ207" s="17"/>
      <c r="BR207" s="17"/>
      <c r="BS207" s="17"/>
      <c r="BT207" s="17"/>
      <c r="BU207" s="17"/>
      <c r="BV207" s="17"/>
      <c r="BW207" s="17"/>
      <c r="BX207" s="17"/>
      <c r="BY207" s="17"/>
      <c r="BZ207" s="17"/>
      <c r="CA207" s="17"/>
      <c r="CB207" s="17"/>
      <c r="CC207" s="17"/>
      <c r="CD207" s="17"/>
      <c r="CE207" s="17"/>
      <c r="CF207" s="17"/>
      <c r="CG207" s="17"/>
      <c r="CH207" s="17"/>
      <c r="CI207" s="17"/>
      <c r="CJ207" s="17"/>
      <c r="CK207" s="17"/>
      <c r="CL207" s="17"/>
      <c r="CM207" s="17"/>
      <c r="CN207" s="17"/>
      <c r="CO207" s="17"/>
      <c r="CP207" s="17"/>
      <c r="CQ207" s="17"/>
      <c r="CR207" s="17"/>
      <c r="CS207" s="17"/>
      <c r="CT207" s="17"/>
      <c r="CU207" s="17"/>
      <c r="CV207" s="17"/>
    </row>
    <row r="208" spans="2:100" x14ac:dyDescent="0.35">
      <c r="B208" s="9"/>
      <c r="D208" t="s">
        <v>351</v>
      </c>
      <c r="E208" t="s">
        <v>219</v>
      </c>
      <c r="F208" s="17">
        <v>0</v>
      </c>
      <c r="G208" s="17">
        <v>-30.8418604130269</v>
      </c>
      <c r="H208" s="17">
        <v>-30.701914262570401</v>
      </c>
      <c r="I208" s="17">
        <v>-30.61540380632</v>
      </c>
      <c r="J208" s="17">
        <v>-30.841923094193099</v>
      </c>
      <c r="K208" s="17">
        <v>-30.726213661343301</v>
      </c>
      <c r="L208" s="17">
        <v>-30.658570236126302</v>
      </c>
      <c r="M208" s="17">
        <v>-30.440502458832398</v>
      </c>
      <c r="N208" s="17">
        <v>-30.741163119487702</v>
      </c>
      <c r="O208" s="17">
        <v>-30.728156777496199</v>
      </c>
      <c r="P208" s="17">
        <v>-30.5763116523182</v>
      </c>
      <c r="Q208" s="17">
        <v>-30.667544089757399</v>
      </c>
      <c r="R208" s="17">
        <v>-30.639358458678601</v>
      </c>
      <c r="S208" s="17">
        <v>-30.889863739493599</v>
      </c>
      <c r="T208" s="17">
        <v>-30.9460887455967</v>
      </c>
      <c r="U208" s="17">
        <v>-30.862127323439399</v>
      </c>
      <c r="V208" s="17">
        <v>-30.8721040757301</v>
      </c>
      <c r="W208" s="17">
        <v>-30.644665464085602</v>
      </c>
      <c r="X208" s="17">
        <v>-31.097714486693</v>
      </c>
      <c r="Y208" s="17">
        <v>-30.697390771741201</v>
      </c>
      <c r="Z208" s="17">
        <v>-30.818334081970701</v>
      </c>
      <c r="AA208" s="17">
        <v>-30.636422890727101</v>
      </c>
      <c r="AB208" s="17">
        <v>-30.949724253237701</v>
      </c>
      <c r="AC208" s="17">
        <v>-30.6233643144304</v>
      </c>
      <c r="AD208" s="17">
        <v>-30.861458724333001</v>
      </c>
      <c r="AE208" s="17">
        <v>-31.036809286845099</v>
      </c>
      <c r="AF208" s="17">
        <v>-31.0196346472997</v>
      </c>
      <c r="AG208" s="17">
        <v>-30.3327012997879</v>
      </c>
      <c r="AH208" s="17">
        <v>-30.5204522863514</v>
      </c>
      <c r="AI208" s="17">
        <v>-30.502765750615101</v>
      </c>
      <c r="AJ208" s="17">
        <v>-31.079829460597001</v>
      </c>
      <c r="AK208" s="17">
        <v>-30.8236619810998</v>
      </c>
      <c r="AL208" s="17">
        <v>-30.487941654803102</v>
      </c>
      <c r="AM208" s="17">
        <v>-30.814646340024598</v>
      </c>
      <c r="AN208" s="17">
        <v>-30.949954084180501</v>
      </c>
      <c r="AO208" s="17"/>
      <c r="AP208" s="17"/>
      <c r="AQ208" s="17"/>
      <c r="AR208" s="17"/>
      <c r="AS208" s="17"/>
      <c r="AT208" s="17"/>
      <c r="AU208" s="17"/>
      <c r="AV208" s="17"/>
      <c r="AW208" s="17"/>
      <c r="AX208" s="17"/>
      <c r="AY208" s="17"/>
      <c r="AZ208" s="17"/>
      <c r="BA208" s="17"/>
      <c r="BB208" s="17"/>
      <c r="BC208" s="17"/>
      <c r="BD208" s="17"/>
      <c r="BE208" s="17"/>
      <c r="BF208" s="17"/>
      <c r="BG208" s="17"/>
      <c r="BH208" s="17"/>
      <c r="BI208" s="17"/>
      <c r="BJ208" s="17"/>
      <c r="BK208" s="17"/>
      <c r="BL208" s="17"/>
      <c r="BM208" s="17"/>
      <c r="BN208" s="17"/>
      <c r="BO208" s="17"/>
      <c r="BP208" s="17"/>
      <c r="BQ208" s="17"/>
      <c r="BR208" s="17"/>
      <c r="BS208" s="17"/>
      <c r="BT208" s="17"/>
      <c r="BU208" s="17"/>
      <c r="BV208" s="17"/>
      <c r="BW208" s="17"/>
      <c r="BX208" s="17"/>
      <c r="BY208" s="17"/>
      <c r="BZ208" s="17"/>
      <c r="CA208" s="17"/>
      <c r="CB208" s="17"/>
      <c r="CC208" s="17"/>
      <c r="CD208" s="17"/>
      <c r="CE208" s="17"/>
      <c r="CF208" s="17"/>
      <c r="CG208" s="17"/>
      <c r="CH208" s="17"/>
      <c r="CI208" s="17"/>
      <c r="CJ208" s="17"/>
      <c r="CK208" s="17"/>
      <c r="CL208" s="17"/>
      <c r="CM208" s="17"/>
      <c r="CN208" s="17"/>
      <c r="CO208" s="17"/>
      <c r="CP208" s="17"/>
      <c r="CQ208" s="17"/>
      <c r="CR208" s="17"/>
      <c r="CS208" s="17"/>
      <c r="CT208" s="17"/>
      <c r="CU208" s="17"/>
      <c r="CV208" s="17"/>
    </row>
    <row r="209" spans="2:100" x14ac:dyDescent="0.35">
      <c r="B209" s="9"/>
      <c r="C209" t="s">
        <v>230</v>
      </c>
      <c r="D209" t="s">
        <v>352</v>
      </c>
      <c r="E209" t="s">
        <v>219</v>
      </c>
      <c r="F209" s="17">
        <v>0</v>
      </c>
      <c r="G209" s="17">
        <v>119.633629048743</v>
      </c>
      <c r="H209" s="17">
        <v>101.02359079678401</v>
      </c>
      <c r="I209" s="17">
        <v>72.158109342250498</v>
      </c>
      <c r="J209" s="17">
        <v>56.448516694983098</v>
      </c>
      <c r="K209" s="17">
        <v>55.811425321480598</v>
      </c>
      <c r="L209" s="17">
        <v>64.658788359135201</v>
      </c>
      <c r="M209" s="17">
        <v>54.815421590178303</v>
      </c>
      <c r="N209" s="17">
        <v>51.369848329696303</v>
      </c>
      <c r="O209" s="17">
        <v>53.464851395267999</v>
      </c>
      <c r="P209" s="17">
        <v>46.481532219371203</v>
      </c>
      <c r="Q209" s="17">
        <v>46.775047227076897</v>
      </c>
      <c r="R209" s="17">
        <v>44.120332687706401</v>
      </c>
      <c r="S209" s="17">
        <v>45.753803879508503</v>
      </c>
      <c r="T209" s="17">
        <v>48.467020840688299</v>
      </c>
      <c r="U209" s="17">
        <v>48.070928104456698</v>
      </c>
      <c r="V209" s="17">
        <v>48.058109805963802</v>
      </c>
      <c r="W209" s="17">
        <v>45.219520065474597</v>
      </c>
      <c r="X209" s="17">
        <v>43.9247674490869</v>
      </c>
      <c r="Y209" s="17">
        <v>44.431471549982099</v>
      </c>
      <c r="Z209" s="17">
        <v>48.204543457124501</v>
      </c>
      <c r="AA209" s="17">
        <v>48.046660046266901</v>
      </c>
      <c r="AB209" s="17">
        <v>50.863781487324303</v>
      </c>
      <c r="AC209" s="17">
        <v>50.863938190239899</v>
      </c>
      <c r="AD209" s="17">
        <v>51.987842841222502</v>
      </c>
      <c r="AE209" s="17">
        <v>52.2199094123065</v>
      </c>
      <c r="AF209" s="17">
        <v>53.576392530564</v>
      </c>
      <c r="AG209" s="17">
        <v>53.407122041175597</v>
      </c>
      <c r="AH209" s="17">
        <v>52.742053973814997</v>
      </c>
      <c r="AI209" s="17">
        <v>53.711470443777102</v>
      </c>
      <c r="AJ209" s="17">
        <v>54.232549425459702</v>
      </c>
      <c r="AK209" s="17">
        <v>51.3429998968302</v>
      </c>
      <c r="AL209" s="17">
        <v>53.022593980112298</v>
      </c>
      <c r="AM209" s="17">
        <v>53.569685645778002</v>
      </c>
      <c r="AN209" s="17">
        <v>52.110875523659502</v>
      </c>
      <c r="AO209" s="17"/>
      <c r="AP209" s="17"/>
      <c r="AQ209" s="17"/>
      <c r="AR209" s="17"/>
      <c r="AS209" s="17"/>
      <c r="AT209" s="17"/>
      <c r="AU209" s="17"/>
      <c r="AV209" s="17"/>
      <c r="AW209" s="17"/>
      <c r="AX209" s="17"/>
      <c r="AY209" s="17"/>
      <c r="AZ209" s="17"/>
      <c r="BA209" s="17"/>
      <c r="BB209" s="17"/>
      <c r="BC209" s="17"/>
      <c r="BD209" s="17"/>
      <c r="BE209" s="17"/>
      <c r="BF209" s="17"/>
      <c r="BG209" s="17"/>
      <c r="BH209" s="17"/>
      <c r="BI209" s="17"/>
      <c r="BJ209" s="17"/>
      <c r="BK209" s="17"/>
      <c r="BL209" s="17"/>
      <c r="BM209" s="17"/>
      <c r="BN209" s="17"/>
      <c r="BO209" s="17"/>
      <c r="BP209" s="17"/>
      <c r="BQ209" s="17"/>
      <c r="BR209" s="17"/>
      <c r="BS209" s="17"/>
      <c r="BT209" s="17"/>
      <c r="BU209" s="17"/>
      <c r="BV209" s="17"/>
      <c r="BW209" s="17"/>
      <c r="BX209" s="17"/>
      <c r="BY209" s="17"/>
      <c r="BZ209" s="17"/>
      <c r="CA209" s="17"/>
      <c r="CB209" s="17"/>
      <c r="CC209" s="17"/>
      <c r="CD209" s="17"/>
      <c r="CE209" s="17"/>
      <c r="CF209" s="17"/>
      <c r="CG209" s="17"/>
      <c r="CH209" s="17"/>
      <c r="CI209" s="17"/>
      <c r="CJ209" s="17"/>
      <c r="CK209" s="17"/>
      <c r="CL209" s="17"/>
      <c r="CM209" s="17"/>
      <c r="CN209" s="17"/>
      <c r="CO209" s="17"/>
      <c r="CP209" s="17"/>
      <c r="CQ209" s="17"/>
      <c r="CR209" s="17"/>
      <c r="CS209" s="17"/>
      <c r="CT209" s="17"/>
      <c r="CU209" s="17"/>
      <c r="CV209" s="17"/>
    </row>
    <row r="210" spans="2:100" x14ac:dyDescent="0.35">
      <c r="B210" s="9"/>
      <c r="C210" t="s">
        <v>230</v>
      </c>
      <c r="D210" t="s">
        <v>354</v>
      </c>
      <c r="E210" t="s">
        <v>124</v>
      </c>
      <c r="F210" s="17">
        <v>0</v>
      </c>
      <c r="G210" s="17">
        <v>0</v>
      </c>
      <c r="H210" s="17">
        <v>0</v>
      </c>
      <c r="I210" s="17">
        <v>0</v>
      </c>
      <c r="J210" s="17">
        <v>0</v>
      </c>
      <c r="K210" s="17">
        <v>0</v>
      </c>
      <c r="L210" s="17">
        <v>0</v>
      </c>
      <c r="M210" s="17">
        <v>0</v>
      </c>
      <c r="N210" s="17">
        <v>0</v>
      </c>
      <c r="O210" s="17">
        <v>0</v>
      </c>
      <c r="P210" s="17">
        <v>0</v>
      </c>
      <c r="Q210" s="17">
        <v>0</v>
      </c>
      <c r="R210" s="17">
        <v>0</v>
      </c>
      <c r="S210" s="17">
        <v>0</v>
      </c>
      <c r="T210" s="17">
        <v>0</v>
      </c>
      <c r="U210" s="17">
        <v>0</v>
      </c>
      <c r="V210" s="17">
        <v>0</v>
      </c>
      <c r="W210" s="17">
        <v>0</v>
      </c>
      <c r="X210" s="17">
        <v>0</v>
      </c>
      <c r="Y210" s="17">
        <v>0</v>
      </c>
      <c r="Z210" s="17">
        <v>0</v>
      </c>
      <c r="AA210" s="17">
        <v>0</v>
      </c>
      <c r="AB210" s="17">
        <v>0</v>
      </c>
      <c r="AC210" s="17">
        <v>0</v>
      </c>
      <c r="AD210" s="17">
        <v>0</v>
      </c>
      <c r="AE210" s="17">
        <v>0</v>
      </c>
      <c r="AF210" s="17">
        <v>0</v>
      </c>
      <c r="AG210" s="17">
        <v>0</v>
      </c>
      <c r="AH210" s="17">
        <v>0</v>
      </c>
      <c r="AI210" s="17">
        <v>0</v>
      </c>
      <c r="AJ210" s="17">
        <v>0</v>
      </c>
      <c r="AK210" s="17">
        <v>0</v>
      </c>
      <c r="AL210" s="17">
        <v>0</v>
      </c>
      <c r="AM210" s="17">
        <v>0</v>
      </c>
      <c r="AN210" s="17">
        <v>0</v>
      </c>
      <c r="AO210" s="17"/>
      <c r="AP210" s="17"/>
      <c r="AQ210" s="17"/>
      <c r="AR210" s="17"/>
      <c r="AS210" s="17"/>
      <c r="AT210" s="17"/>
      <c r="AU210" s="17"/>
      <c r="AV210" s="17"/>
      <c r="AW210" s="17"/>
      <c r="AX210" s="17"/>
      <c r="AY210" s="17"/>
      <c r="AZ210" s="17"/>
      <c r="BA210" s="17"/>
      <c r="BB210" s="17"/>
      <c r="BC210" s="17"/>
      <c r="BD210" s="17"/>
      <c r="BE210" s="17"/>
      <c r="BF210" s="17"/>
      <c r="BG210" s="17"/>
      <c r="BH210" s="17"/>
      <c r="BI210" s="17"/>
      <c r="BJ210" s="17"/>
      <c r="BK210" s="17"/>
      <c r="BL210" s="17"/>
      <c r="BM210" s="17"/>
      <c r="BN210" s="17"/>
      <c r="BO210" s="17"/>
      <c r="BP210" s="17"/>
      <c r="BQ210" s="17"/>
      <c r="BR210" s="17"/>
      <c r="BS210" s="17"/>
      <c r="BT210" s="17"/>
      <c r="BU210" s="17"/>
      <c r="BV210" s="17"/>
      <c r="BW210" s="17"/>
      <c r="BX210" s="17"/>
      <c r="BY210" s="17"/>
      <c r="BZ210" s="17"/>
      <c r="CA210" s="17"/>
      <c r="CB210" s="17"/>
      <c r="CC210" s="17"/>
      <c r="CD210" s="17"/>
      <c r="CE210" s="17"/>
      <c r="CF210" s="17"/>
      <c r="CG210" s="17"/>
      <c r="CH210" s="17"/>
      <c r="CI210" s="17"/>
      <c r="CJ210" s="17"/>
      <c r="CK210" s="17"/>
      <c r="CL210" s="17"/>
      <c r="CM210" s="17"/>
      <c r="CN210" s="17"/>
      <c r="CO210" s="17"/>
      <c r="CP210" s="17"/>
      <c r="CQ210" s="17"/>
      <c r="CR210" s="17"/>
      <c r="CS210" s="17"/>
      <c r="CT210" s="17"/>
      <c r="CU210" s="17"/>
      <c r="CV210" s="17"/>
    </row>
    <row r="211" spans="2:100" x14ac:dyDescent="0.35">
      <c r="B211" s="9"/>
      <c r="C211" t="s">
        <v>338</v>
      </c>
      <c r="D211" t="s">
        <v>353</v>
      </c>
      <c r="E211" t="s">
        <v>221</v>
      </c>
      <c r="F211" s="17">
        <v>0</v>
      </c>
      <c r="G211" s="17">
        <v>0</v>
      </c>
      <c r="H211" s="17">
        <v>0</v>
      </c>
      <c r="I211" s="17">
        <v>0</v>
      </c>
      <c r="J211" s="17">
        <v>0</v>
      </c>
      <c r="K211" s="17">
        <v>0</v>
      </c>
      <c r="L211" s="17">
        <v>0</v>
      </c>
      <c r="M211" s="17">
        <v>0</v>
      </c>
      <c r="N211" s="17">
        <v>0</v>
      </c>
      <c r="O211" s="17">
        <v>0</v>
      </c>
      <c r="P211" s="17">
        <v>0</v>
      </c>
      <c r="Q211" s="17">
        <v>0</v>
      </c>
      <c r="R211" s="17">
        <v>0</v>
      </c>
      <c r="S211" s="17">
        <v>0</v>
      </c>
      <c r="T211" s="17">
        <v>0</v>
      </c>
      <c r="U211" s="17">
        <v>0</v>
      </c>
      <c r="V211" s="17">
        <v>0</v>
      </c>
      <c r="W211" s="17">
        <v>0</v>
      </c>
      <c r="X211" s="17">
        <v>0</v>
      </c>
      <c r="Y211" s="17">
        <v>0</v>
      </c>
      <c r="Z211" s="17">
        <v>0</v>
      </c>
      <c r="AA211" s="17">
        <v>0</v>
      </c>
      <c r="AB211" s="17">
        <v>0</v>
      </c>
      <c r="AC211" s="17">
        <v>0</v>
      </c>
      <c r="AD211" s="17">
        <v>0</v>
      </c>
      <c r="AE211" s="17">
        <v>0</v>
      </c>
      <c r="AF211" s="17">
        <v>0</v>
      </c>
      <c r="AG211" s="17">
        <v>0</v>
      </c>
      <c r="AH211" s="17">
        <v>0</v>
      </c>
      <c r="AI211" s="17">
        <v>0</v>
      </c>
      <c r="AJ211" s="17">
        <v>0</v>
      </c>
      <c r="AK211" s="17">
        <v>0</v>
      </c>
      <c r="AL211" s="17">
        <v>0</v>
      </c>
      <c r="AM211" s="17">
        <v>0</v>
      </c>
      <c r="AN211" s="17">
        <v>0</v>
      </c>
      <c r="AO211" s="17"/>
      <c r="AP211" s="17"/>
      <c r="AQ211" s="17"/>
      <c r="AR211" s="17"/>
      <c r="AS211" s="17"/>
      <c r="AT211" s="17"/>
      <c r="AU211" s="17"/>
      <c r="AV211" s="17"/>
      <c r="AW211" s="17"/>
      <c r="AX211" s="17"/>
      <c r="AY211" s="17"/>
      <c r="AZ211" s="17"/>
      <c r="BA211" s="17"/>
      <c r="BB211" s="17"/>
      <c r="BC211" s="17"/>
      <c r="BD211" s="17"/>
      <c r="BE211" s="17"/>
      <c r="BF211" s="17"/>
      <c r="BG211" s="17"/>
      <c r="BH211" s="17"/>
      <c r="BI211" s="17"/>
      <c r="BJ211" s="17"/>
      <c r="BK211" s="17"/>
      <c r="BL211" s="17"/>
      <c r="BM211" s="17"/>
      <c r="BN211" s="17"/>
      <c r="BO211" s="17"/>
      <c r="BP211" s="17"/>
      <c r="BQ211" s="17"/>
      <c r="BR211" s="17"/>
      <c r="BS211" s="17"/>
      <c r="BT211" s="17"/>
      <c r="BU211" s="17"/>
      <c r="BV211" s="17"/>
      <c r="BW211" s="17"/>
      <c r="BX211" s="17"/>
      <c r="BY211" s="17"/>
      <c r="BZ211" s="17"/>
      <c r="CA211" s="17"/>
      <c r="CB211" s="17"/>
      <c r="CC211" s="17"/>
      <c r="CD211" s="17"/>
      <c r="CE211" s="17"/>
      <c r="CF211" s="17"/>
      <c r="CG211" s="17"/>
      <c r="CH211" s="17"/>
      <c r="CI211" s="17"/>
      <c r="CJ211" s="17"/>
      <c r="CK211" s="17"/>
      <c r="CL211" s="17"/>
      <c r="CM211" s="17"/>
      <c r="CN211" s="17"/>
      <c r="CO211" s="17"/>
      <c r="CP211" s="17"/>
      <c r="CQ211" s="17"/>
      <c r="CR211" s="17"/>
      <c r="CS211" s="17"/>
      <c r="CT211" s="17"/>
      <c r="CU211" s="17"/>
      <c r="CV211" s="17"/>
    </row>
    <row r="212" spans="2:100" x14ac:dyDescent="0.35">
      <c r="B212" s="9"/>
      <c r="C212" t="s">
        <v>230</v>
      </c>
      <c r="D212" t="s">
        <v>358</v>
      </c>
      <c r="E212" t="s">
        <v>221</v>
      </c>
      <c r="F212" s="17">
        <v>0</v>
      </c>
      <c r="G212" s="17">
        <v>0</v>
      </c>
      <c r="H212" s="17">
        <v>0</v>
      </c>
      <c r="I212" s="17">
        <v>0</v>
      </c>
      <c r="J212" s="17">
        <v>0</v>
      </c>
      <c r="K212" s="17">
        <v>0</v>
      </c>
      <c r="L212" s="17">
        <v>0</v>
      </c>
      <c r="M212" s="17">
        <v>0</v>
      </c>
      <c r="N212" s="17">
        <v>0</v>
      </c>
      <c r="O212" s="17">
        <v>0</v>
      </c>
      <c r="P212" s="17">
        <v>0</v>
      </c>
      <c r="Q212" s="17">
        <v>0</v>
      </c>
      <c r="R212" s="17">
        <v>0</v>
      </c>
      <c r="S212" s="17">
        <v>0</v>
      </c>
      <c r="T212" s="17">
        <v>0</v>
      </c>
      <c r="U212" s="17">
        <v>0</v>
      </c>
      <c r="V212" s="17">
        <v>0</v>
      </c>
      <c r="W212" s="17">
        <v>0</v>
      </c>
      <c r="X212" s="17">
        <v>0</v>
      </c>
      <c r="Y212" s="17">
        <v>0</v>
      </c>
      <c r="Z212" s="17">
        <v>0</v>
      </c>
      <c r="AA212" s="17">
        <v>0</v>
      </c>
      <c r="AB212" s="17">
        <v>0</v>
      </c>
      <c r="AC212" s="17">
        <v>0</v>
      </c>
      <c r="AD212" s="17">
        <v>0</v>
      </c>
      <c r="AE212" s="17">
        <v>0</v>
      </c>
      <c r="AF212" s="17">
        <v>0</v>
      </c>
      <c r="AG212" s="17">
        <v>0</v>
      </c>
      <c r="AH212" s="17">
        <v>0</v>
      </c>
      <c r="AI212" s="17">
        <v>0</v>
      </c>
      <c r="AJ212" s="17">
        <v>0</v>
      </c>
      <c r="AK212" s="17">
        <v>0</v>
      </c>
      <c r="AL212" s="17">
        <v>0</v>
      </c>
      <c r="AM212" s="17">
        <v>0</v>
      </c>
      <c r="AN212" s="17">
        <v>0</v>
      </c>
      <c r="AO212" s="17"/>
      <c r="AP212" s="17"/>
      <c r="AQ212" s="17"/>
      <c r="AR212" s="17"/>
      <c r="AS212" s="17"/>
      <c r="AT212" s="17"/>
      <c r="AU212" s="17"/>
      <c r="AV212" s="17"/>
      <c r="AW212" s="17"/>
      <c r="AX212" s="17"/>
      <c r="AY212" s="17"/>
      <c r="AZ212" s="17"/>
      <c r="BA212" s="17"/>
      <c r="BB212" s="17"/>
      <c r="BC212" s="17"/>
      <c r="BD212" s="17"/>
      <c r="BE212" s="17"/>
      <c r="BF212" s="17"/>
      <c r="BG212" s="17"/>
      <c r="BH212" s="17"/>
      <c r="BI212" s="17"/>
      <c r="BJ212" s="17"/>
      <c r="BK212" s="17"/>
      <c r="BL212" s="17"/>
      <c r="BM212" s="17"/>
      <c r="BN212" s="17"/>
      <c r="BO212" s="17"/>
      <c r="BP212" s="17"/>
      <c r="BQ212" s="17"/>
      <c r="BR212" s="17"/>
      <c r="BS212" s="17"/>
      <c r="BT212" s="17"/>
      <c r="BU212" s="17"/>
      <c r="BV212" s="17"/>
      <c r="BW212" s="17"/>
      <c r="BX212" s="17"/>
      <c r="BY212" s="17"/>
      <c r="BZ212" s="17"/>
      <c r="CA212" s="17"/>
      <c r="CB212" s="17"/>
      <c r="CC212" s="17"/>
      <c r="CD212" s="17"/>
      <c r="CE212" s="17"/>
      <c r="CF212" s="17"/>
      <c r="CG212" s="17"/>
      <c r="CH212" s="17"/>
      <c r="CI212" s="17"/>
      <c r="CJ212" s="17"/>
      <c r="CK212" s="17"/>
      <c r="CL212" s="17"/>
      <c r="CM212" s="17"/>
      <c r="CN212" s="17"/>
      <c r="CO212" s="17"/>
      <c r="CP212" s="17"/>
      <c r="CQ212" s="17"/>
      <c r="CR212" s="17"/>
      <c r="CS212" s="17"/>
      <c r="CT212" s="17"/>
      <c r="CU212" s="17"/>
      <c r="CV212" s="17"/>
    </row>
    <row r="213" spans="2:100" x14ac:dyDescent="0.35">
      <c r="B213" s="9"/>
      <c r="C213" t="s">
        <v>230</v>
      </c>
      <c r="D213" t="s">
        <v>359</v>
      </c>
      <c r="E213" t="s">
        <v>221</v>
      </c>
      <c r="F213" s="17">
        <v>0</v>
      </c>
      <c r="G213" s="17">
        <v>0</v>
      </c>
      <c r="H213" s="17">
        <v>0</v>
      </c>
      <c r="I213" s="17">
        <v>0</v>
      </c>
      <c r="J213" s="17">
        <v>0</v>
      </c>
      <c r="K213" s="17">
        <v>0</v>
      </c>
      <c r="L213" s="17">
        <v>0</v>
      </c>
      <c r="M213" s="17">
        <v>0</v>
      </c>
      <c r="N213" s="17">
        <v>0</v>
      </c>
      <c r="O213" s="17">
        <v>0</v>
      </c>
      <c r="P213" s="17">
        <v>0</v>
      </c>
      <c r="Q213" s="17">
        <v>0</v>
      </c>
      <c r="R213" s="17">
        <v>0</v>
      </c>
      <c r="S213" s="17">
        <v>0</v>
      </c>
      <c r="T213" s="17">
        <v>0</v>
      </c>
      <c r="U213" s="17">
        <v>0</v>
      </c>
      <c r="V213" s="17">
        <v>0</v>
      </c>
      <c r="W213" s="17">
        <v>0</v>
      </c>
      <c r="X213" s="17">
        <v>0</v>
      </c>
      <c r="Y213" s="17">
        <v>0</v>
      </c>
      <c r="Z213" s="17">
        <v>0</v>
      </c>
      <c r="AA213" s="17">
        <v>0</v>
      </c>
      <c r="AB213" s="17">
        <v>0</v>
      </c>
      <c r="AC213" s="17">
        <v>0</v>
      </c>
      <c r="AD213" s="17">
        <v>0</v>
      </c>
      <c r="AE213" s="17">
        <v>0</v>
      </c>
      <c r="AF213" s="17">
        <v>0</v>
      </c>
      <c r="AG213" s="17">
        <v>0</v>
      </c>
      <c r="AH213" s="17">
        <v>0</v>
      </c>
      <c r="AI213" s="17">
        <v>0</v>
      </c>
      <c r="AJ213" s="17">
        <v>0</v>
      </c>
      <c r="AK213" s="17">
        <v>0</v>
      </c>
      <c r="AL213" s="17">
        <v>0</v>
      </c>
      <c r="AM213" s="17">
        <v>0</v>
      </c>
      <c r="AN213" s="17">
        <v>0</v>
      </c>
      <c r="AO213" s="17"/>
      <c r="AP213" s="17"/>
      <c r="AQ213" s="17"/>
      <c r="AR213" s="17"/>
      <c r="AS213" s="17"/>
      <c r="AT213" s="17"/>
      <c r="AU213" s="17"/>
      <c r="AV213" s="17"/>
      <c r="AW213" s="17"/>
      <c r="AX213" s="17"/>
      <c r="AY213" s="17"/>
      <c r="AZ213" s="17"/>
      <c r="BA213" s="17"/>
      <c r="BB213" s="17"/>
      <c r="BC213" s="17"/>
      <c r="BD213" s="17"/>
      <c r="BE213" s="17"/>
      <c r="BF213" s="17"/>
      <c r="BG213" s="17"/>
      <c r="BH213" s="17"/>
      <c r="BI213" s="17"/>
      <c r="BJ213" s="17"/>
      <c r="BK213" s="17"/>
      <c r="BL213" s="17"/>
      <c r="BM213" s="17"/>
      <c r="BN213" s="17"/>
      <c r="BO213" s="17"/>
      <c r="BP213" s="17"/>
      <c r="BQ213" s="17"/>
      <c r="BR213" s="17"/>
      <c r="BS213" s="17"/>
      <c r="BT213" s="17"/>
      <c r="BU213" s="17"/>
      <c r="BV213" s="17"/>
      <c r="BW213" s="17"/>
      <c r="BX213" s="17"/>
      <c r="BY213" s="17"/>
      <c r="BZ213" s="17"/>
      <c r="CA213" s="17"/>
      <c r="CB213" s="17"/>
      <c r="CC213" s="17"/>
      <c r="CD213" s="17"/>
      <c r="CE213" s="17"/>
      <c r="CF213" s="17"/>
      <c r="CG213" s="17"/>
      <c r="CH213" s="17"/>
      <c r="CI213" s="17"/>
      <c r="CJ213" s="17"/>
      <c r="CK213" s="17"/>
      <c r="CL213" s="17"/>
      <c r="CM213" s="17"/>
      <c r="CN213" s="17"/>
      <c r="CO213" s="17"/>
      <c r="CP213" s="17"/>
      <c r="CQ213" s="17"/>
      <c r="CR213" s="17"/>
      <c r="CS213" s="17"/>
      <c r="CT213" s="17"/>
      <c r="CU213" s="17"/>
      <c r="CV213" s="17"/>
    </row>
    <row r="214" spans="2:100" x14ac:dyDescent="0.35">
      <c r="B214" s="9"/>
      <c r="C214" t="s">
        <v>230</v>
      </c>
      <c r="D214" t="s">
        <v>360</v>
      </c>
      <c r="E214" t="s">
        <v>221</v>
      </c>
      <c r="F214" s="17">
        <v>0</v>
      </c>
      <c r="G214" s="17">
        <v>0</v>
      </c>
      <c r="H214" s="17">
        <v>0</v>
      </c>
      <c r="I214" s="17">
        <v>0</v>
      </c>
      <c r="J214" s="17">
        <v>0</v>
      </c>
      <c r="K214" s="17">
        <v>0</v>
      </c>
      <c r="L214" s="17">
        <v>0</v>
      </c>
      <c r="M214" s="17">
        <v>0</v>
      </c>
      <c r="N214" s="17">
        <v>0</v>
      </c>
      <c r="O214" s="17">
        <v>0</v>
      </c>
      <c r="P214" s="17">
        <v>0</v>
      </c>
      <c r="Q214" s="17">
        <v>0</v>
      </c>
      <c r="R214" s="17">
        <v>0</v>
      </c>
      <c r="S214" s="17">
        <v>0</v>
      </c>
      <c r="T214" s="17">
        <v>0</v>
      </c>
      <c r="U214" s="17">
        <v>0</v>
      </c>
      <c r="V214" s="17">
        <v>0</v>
      </c>
      <c r="W214" s="17">
        <v>0</v>
      </c>
      <c r="X214" s="17">
        <v>0</v>
      </c>
      <c r="Y214" s="17">
        <v>0</v>
      </c>
      <c r="Z214" s="17">
        <v>0</v>
      </c>
      <c r="AA214" s="17">
        <v>0</v>
      </c>
      <c r="AB214" s="17">
        <v>0</v>
      </c>
      <c r="AC214" s="17">
        <v>0</v>
      </c>
      <c r="AD214" s="17">
        <v>0</v>
      </c>
      <c r="AE214" s="17">
        <v>0</v>
      </c>
      <c r="AF214" s="17">
        <v>0</v>
      </c>
      <c r="AG214" s="17">
        <v>0</v>
      </c>
      <c r="AH214" s="17">
        <v>0</v>
      </c>
      <c r="AI214" s="17">
        <v>0</v>
      </c>
      <c r="AJ214" s="17">
        <v>0</v>
      </c>
      <c r="AK214" s="17">
        <v>0</v>
      </c>
      <c r="AL214" s="17">
        <v>0</v>
      </c>
      <c r="AM214" s="17">
        <v>0</v>
      </c>
      <c r="AN214" s="17">
        <v>0</v>
      </c>
      <c r="AO214" s="17"/>
      <c r="AP214" s="17"/>
      <c r="AQ214" s="17"/>
      <c r="AR214" s="17"/>
      <c r="AS214" s="17"/>
      <c r="AT214" s="17"/>
      <c r="AU214" s="17"/>
      <c r="AV214" s="17"/>
      <c r="AW214" s="17"/>
      <c r="AX214" s="17"/>
      <c r="AY214" s="17"/>
      <c r="AZ214" s="17"/>
      <c r="BA214" s="17"/>
      <c r="BB214" s="17"/>
      <c r="BC214" s="17"/>
      <c r="BD214" s="17"/>
      <c r="BE214" s="17"/>
      <c r="BF214" s="17"/>
      <c r="BG214" s="17"/>
      <c r="BH214" s="17"/>
      <c r="BI214" s="17"/>
      <c r="BJ214" s="17"/>
      <c r="BK214" s="17"/>
      <c r="BL214" s="17"/>
      <c r="BM214" s="17"/>
      <c r="BN214" s="17"/>
      <c r="BO214" s="17"/>
      <c r="BP214" s="17"/>
      <c r="BQ214" s="17"/>
      <c r="BR214" s="17"/>
      <c r="BS214" s="17"/>
      <c r="BT214" s="17"/>
      <c r="BU214" s="17"/>
      <c r="BV214" s="17"/>
      <c r="BW214" s="17"/>
      <c r="BX214" s="17"/>
      <c r="BY214" s="17"/>
      <c r="BZ214" s="17"/>
      <c r="CA214" s="17"/>
      <c r="CB214" s="17"/>
      <c r="CC214" s="17"/>
      <c r="CD214" s="17"/>
      <c r="CE214" s="17"/>
      <c r="CF214" s="17"/>
      <c r="CG214" s="17"/>
      <c r="CH214" s="17"/>
      <c r="CI214" s="17"/>
      <c r="CJ214" s="17"/>
      <c r="CK214" s="17"/>
      <c r="CL214" s="17"/>
      <c r="CM214" s="17"/>
      <c r="CN214" s="17"/>
      <c r="CO214" s="17"/>
      <c r="CP214" s="17"/>
      <c r="CQ214" s="17"/>
      <c r="CR214" s="17"/>
      <c r="CS214" s="17"/>
      <c r="CT214" s="17"/>
      <c r="CU214" s="17"/>
      <c r="CV214" s="17"/>
    </row>
    <row r="215" spans="2:100" x14ac:dyDescent="0.35">
      <c r="B215" s="9"/>
      <c r="C215" t="s">
        <v>230</v>
      </c>
      <c r="D215" t="s">
        <v>361</v>
      </c>
      <c r="E215" t="s">
        <v>221</v>
      </c>
      <c r="F215" s="17">
        <v>0</v>
      </c>
      <c r="G215" s="17">
        <v>0</v>
      </c>
      <c r="H215" s="17">
        <v>0</v>
      </c>
      <c r="I215" s="17">
        <v>0</v>
      </c>
      <c r="J215" s="17">
        <v>0</v>
      </c>
      <c r="K215" s="17">
        <v>0</v>
      </c>
      <c r="L215" s="17">
        <v>0</v>
      </c>
      <c r="M215" s="17">
        <v>0</v>
      </c>
      <c r="N215" s="17">
        <v>0</v>
      </c>
      <c r="O215" s="17">
        <v>0</v>
      </c>
      <c r="P215" s="17">
        <v>0</v>
      </c>
      <c r="Q215" s="17">
        <v>0</v>
      </c>
      <c r="R215" s="17">
        <v>0</v>
      </c>
      <c r="S215" s="17">
        <v>0</v>
      </c>
      <c r="T215" s="17">
        <v>0</v>
      </c>
      <c r="U215" s="17">
        <v>0</v>
      </c>
      <c r="V215" s="17">
        <v>0</v>
      </c>
      <c r="W215" s="17">
        <v>0</v>
      </c>
      <c r="X215" s="17">
        <v>0</v>
      </c>
      <c r="Y215" s="17">
        <v>0</v>
      </c>
      <c r="Z215" s="17">
        <v>0</v>
      </c>
      <c r="AA215" s="17">
        <v>0</v>
      </c>
      <c r="AB215" s="17">
        <v>0</v>
      </c>
      <c r="AC215" s="17">
        <v>0</v>
      </c>
      <c r="AD215" s="17">
        <v>0</v>
      </c>
      <c r="AE215" s="17">
        <v>0</v>
      </c>
      <c r="AF215" s="17">
        <v>0</v>
      </c>
      <c r="AG215" s="17">
        <v>0</v>
      </c>
      <c r="AH215" s="17">
        <v>0</v>
      </c>
      <c r="AI215" s="17">
        <v>0</v>
      </c>
      <c r="AJ215" s="17">
        <v>0</v>
      </c>
      <c r="AK215" s="17">
        <v>0</v>
      </c>
      <c r="AL215" s="17">
        <v>0</v>
      </c>
      <c r="AM215" s="17">
        <v>0</v>
      </c>
      <c r="AN215" s="17">
        <v>0</v>
      </c>
      <c r="AO215" s="17"/>
      <c r="AP215" s="17"/>
      <c r="AQ215" s="17"/>
      <c r="AR215" s="17"/>
      <c r="AS215" s="17"/>
      <c r="AT215" s="17"/>
      <c r="AU215" s="17"/>
      <c r="AV215" s="17"/>
      <c r="AW215" s="17"/>
      <c r="AX215" s="17"/>
      <c r="AY215" s="17"/>
      <c r="AZ215" s="17"/>
      <c r="BA215" s="17"/>
      <c r="BB215" s="17"/>
      <c r="BC215" s="17"/>
      <c r="BD215" s="17"/>
      <c r="BE215" s="17"/>
      <c r="BF215" s="17"/>
      <c r="BG215" s="17"/>
      <c r="BH215" s="17"/>
      <c r="BI215" s="17"/>
      <c r="BJ215" s="17"/>
      <c r="BK215" s="17"/>
      <c r="BL215" s="17"/>
      <c r="BM215" s="17"/>
      <c r="BN215" s="17"/>
      <c r="BO215" s="17"/>
      <c r="BP215" s="17"/>
      <c r="BQ215" s="17"/>
      <c r="BR215" s="17"/>
      <c r="BS215" s="17"/>
      <c r="BT215" s="17"/>
      <c r="BU215" s="17"/>
      <c r="BV215" s="17"/>
      <c r="BW215" s="17"/>
      <c r="BX215" s="17"/>
      <c r="BY215" s="17"/>
      <c r="BZ215" s="17"/>
      <c r="CA215" s="17"/>
      <c r="CB215" s="17"/>
      <c r="CC215" s="17"/>
      <c r="CD215" s="17"/>
      <c r="CE215" s="17"/>
      <c r="CF215" s="17"/>
      <c r="CG215" s="17"/>
      <c r="CH215" s="17"/>
      <c r="CI215" s="17"/>
      <c r="CJ215" s="17"/>
      <c r="CK215" s="17"/>
      <c r="CL215" s="17"/>
      <c r="CM215" s="17"/>
      <c r="CN215" s="17"/>
      <c r="CO215" s="17"/>
      <c r="CP215" s="17"/>
      <c r="CQ215" s="17"/>
      <c r="CR215" s="17"/>
      <c r="CS215" s="17"/>
      <c r="CT215" s="17"/>
      <c r="CU215" s="17"/>
      <c r="CV215" s="17"/>
    </row>
    <row r="216" spans="2:100" x14ac:dyDescent="0.35">
      <c r="B216" s="9"/>
      <c r="C216" t="s">
        <v>339</v>
      </c>
      <c r="D216" t="s">
        <v>222</v>
      </c>
      <c r="E216" t="s">
        <v>223</v>
      </c>
      <c r="F216" s="17">
        <v>0</v>
      </c>
      <c r="G216" s="17">
        <v>0</v>
      </c>
      <c r="H216" s="17">
        <v>0</v>
      </c>
      <c r="I216" s="17">
        <v>0</v>
      </c>
      <c r="J216" s="17">
        <v>0</v>
      </c>
      <c r="K216" s="17">
        <v>0</v>
      </c>
      <c r="L216" s="17">
        <v>0</v>
      </c>
      <c r="M216" s="17">
        <v>0</v>
      </c>
      <c r="N216" s="17">
        <v>0</v>
      </c>
      <c r="O216" s="17">
        <v>0</v>
      </c>
      <c r="P216" s="17">
        <v>0</v>
      </c>
      <c r="Q216" s="17">
        <v>0</v>
      </c>
      <c r="R216" s="17">
        <v>0</v>
      </c>
      <c r="S216" s="17">
        <v>0</v>
      </c>
      <c r="T216" s="17">
        <v>0</v>
      </c>
      <c r="U216" s="17">
        <v>0</v>
      </c>
      <c r="V216" s="17">
        <v>0</v>
      </c>
      <c r="W216" s="17">
        <v>0</v>
      </c>
      <c r="X216" s="17">
        <v>0</v>
      </c>
      <c r="Y216" s="17">
        <v>0</v>
      </c>
      <c r="Z216" s="17">
        <v>0</v>
      </c>
      <c r="AA216" s="17">
        <v>0</v>
      </c>
      <c r="AB216" s="17">
        <v>0</v>
      </c>
      <c r="AC216" s="17">
        <v>0</v>
      </c>
      <c r="AD216" s="17">
        <v>0</v>
      </c>
      <c r="AE216" s="17">
        <v>0</v>
      </c>
      <c r="AF216" s="17">
        <v>0</v>
      </c>
      <c r="AG216" s="17">
        <v>0</v>
      </c>
      <c r="AH216" s="17">
        <v>0</v>
      </c>
      <c r="AI216" s="17">
        <v>0</v>
      </c>
      <c r="AJ216" s="17">
        <v>0</v>
      </c>
      <c r="AK216" s="17">
        <v>0</v>
      </c>
      <c r="AL216" s="17">
        <v>0</v>
      </c>
      <c r="AM216" s="17">
        <v>0</v>
      </c>
      <c r="AN216" s="17">
        <v>0</v>
      </c>
      <c r="AO216" s="17"/>
      <c r="AP216" s="17"/>
      <c r="AQ216" s="17"/>
      <c r="AR216" s="17"/>
      <c r="AS216" s="17"/>
      <c r="AT216" s="17"/>
      <c r="AU216" s="17"/>
      <c r="AV216" s="17"/>
      <c r="AW216" s="17"/>
      <c r="AX216" s="17"/>
      <c r="AY216" s="17"/>
      <c r="AZ216" s="17"/>
      <c r="BA216" s="17"/>
      <c r="BB216" s="17"/>
      <c r="BC216" s="17"/>
      <c r="BD216" s="17"/>
      <c r="BE216" s="17"/>
      <c r="BF216" s="17"/>
      <c r="BG216" s="17"/>
      <c r="BH216" s="17"/>
      <c r="BI216" s="17"/>
      <c r="BJ216" s="17"/>
      <c r="BK216" s="17"/>
      <c r="BL216" s="17"/>
      <c r="BM216" s="17"/>
      <c r="BN216" s="17"/>
      <c r="BO216" s="17"/>
      <c r="BP216" s="17"/>
      <c r="BQ216" s="17"/>
      <c r="BR216" s="17"/>
      <c r="BS216" s="17"/>
      <c r="BT216" s="17"/>
      <c r="BU216" s="17"/>
      <c r="BV216" s="17"/>
      <c r="BW216" s="17"/>
      <c r="BX216" s="17"/>
      <c r="BY216" s="17"/>
      <c r="BZ216" s="17"/>
      <c r="CA216" s="17"/>
      <c r="CB216" s="17"/>
      <c r="CC216" s="17"/>
      <c r="CD216" s="17"/>
      <c r="CE216" s="17"/>
      <c r="CF216" s="17"/>
      <c r="CG216" s="17"/>
      <c r="CH216" s="17"/>
      <c r="CI216" s="17"/>
      <c r="CJ216" s="17"/>
      <c r="CK216" s="17"/>
      <c r="CL216" s="17"/>
      <c r="CM216" s="17"/>
      <c r="CN216" s="17"/>
      <c r="CO216" s="17"/>
      <c r="CP216" s="17"/>
      <c r="CQ216" s="17"/>
      <c r="CR216" s="17"/>
      <c r="CS216" s="17"/>
      <c r="CT216" s="17"/>
      <c r="CU216" s="17"/>
      <c r="CV216" s="17"/>
    </row>
    <row r="217" spans="2:100" x14ac:dyDescent="0.35">
      <c r="B217" s="9"/>
      <c r="C217" t="s">
        <v>230</v>
      </c>
      <c r="D217" t="s">
        <v>224</v>
      </c>
      <c r="E217" t="s">
        <v>223</v>
      </c>
      <c r="F217" s="17">
        <v>0</v>
      </c>
      <c r="G217" s="17">
        <v>0</v>
      </c>
      <c r="H217" s="17">
        <v>0</v>
      </c>
      <c r="I217" s="17">
        <v>0</v>
      </c>
      <c r="J217" s="17">
        <v>0</v>
      </c>
      <c r="K217" s="17">
        <v>0</v>
      </c>
      <c r="L217" s="17">
        <v>0</v>
      </c>
      <c r="M217" s="17">
        <v>0</v>
      </c>
      <c r="N217" s="17">
        <v>0</v>
      </c>
      <c r="O217" s="17">
        <v>0</v>
      </c>
      <c r="P217" s="17">
        <v>0</v>
      </c>
      <c r="Q217" s="17">
        <v>0</v>
      </c>
      <c r="R217" s="17">
        <v>0</v>
      </c>
      <c r="S217" s="17">
        <v>0</v>
      </c>
      <c r="T217" s="17">
        <v>0</v>
      </c>
      <c r="U217" s="17">
        <v>0</v>
      </c>
      <c r="V217" s="17">
        <v>0</v>
      </c>
      <c r="W217" s="17">
        <v>0</v>
      </c>
      <c r="X217" s="17">
        <v>0</v>
      </c>
      <c r="Y217" s="17">
        <v>0</v>
      </c>
      <c r="Z217" s="17">
        <v>0</v>
      </c>
      <c r="AA217" s="17">
        <v>0</v>
      </c>
      <c r="AB217" s="17">
        <v>0</v>
      </c>
      <c r="AC217" s="17">
        <v>0</v>
      </c>
      <c r="AD217" s="17">
        <v>0</v>
      </c>
      <c r="AE217" s="17">
        <v>0</v>
      </c>
      <c r="AF217" s="17">
        <v>0</v>
      </c>
      <c r="AG217" s="17">
        <v>0</v>
      </c>
      <c r="AH217" s="17">
        <v>0</v>
      </c>
      <c r="AI217" s="17">
        <v>0</v>
      </c>
      <c r="AJ217" s="17">
        <v>0</v>
      </c>
      <c r="AK217" s="17">
        <v>0</v>
      </c>
      <c r="AL217" s="17">
        <v>0</v>
      </c>
      <c r="AM217" s="17">
        <v>0</v>
      </c>
      <c r="AN217" s="17">
        <v>0</v>
      </c>
      <c r="AO217" s="17"/>
      <c r="AP217" s="17"/>
      <c r="AQ217" s="17"/>
      <c r="AR217" s="17"/>
      <c r="AS217" s="17"/>
      <c r="AT217" s="17"/>
      <c r="AU217" s="17"/>
      <c r="AV217" s="17"/>
      <c r="AW217" s="17"/>
      <c r="AX217" s="17"/>
      <c r="AY217" s="17"/>
      <c r="AZ217" s="17"/>
      <c r="BA217" s="17"/>
      <c r="BB217" s="17"/>
      <c r="BC217" s="17"/>
      <c r="BD217" s="17"/>
      <c r="BE217" s="17"/>
      <c r="BF217" s="17"/>
      <c r="BG217" s="17"/>
      <c r="BH217" s="17"/>
      <c r="BI217" s="17"/>
      <c r="BJ217" s="17"/>
      <c r="BK217" s="17"/>
      <c r="BL217" s="17"/>
      <c r="BM217" s="17"/>
      <c r="BN217" s="17"/>
      <c r="BO217" s="17"/>
      <c r="BP217" s="17"/>
      <c r="BQ217" s="17"/>
      <c r="BR217" s="17"/>
      <c r="BS217" s="17"/>
      <c r="BT217" s="17"/>
      <c r="BU217" s="17"/>
      <c r="BV217" s="17"/>
      <c r="BW217" s="17"/>
      <c r="BX217" s="17"/>
      <c r="BY217" s="17"/>
      <c r="BZ217" s="17"/>
      <c r="CA217" s="17"/>
      <c r="CB217" s="17"/>
      <c r="CC217" s="17"/>
      <c r="CD217" s="17"/>
      <c r="CE217" s="17"/>
      <c r="CF217" s="17"/>
      <c r="CG217" s="17"/>
      <c r="CH217" s="17"/>
      <c r="CI217" s="17"/>
      <c r="CJ217" s="17"/>
      <c r="CK217" s="17"/>
      <c r="CL217" s="17"/>
      <c r="CM217" s="17"/>
      <c r="CN217" s="17"/>
      <c r="CO217" s="17"/>
      <c r="CP217" s="17"/>
      <c r="CQ217" s="17"/>
      <c r="CR217" s="17"/>
      <c r="CS217" s="17"/>
      <c r="CT217" s="17"/>
      <c r="CU217" s="17"/>
      <c r="CV217" s="17"/>
    </row>
    <row r="218" spans="2:100" x14ac:dyDescent="0.35">
      <c r="B218" s="9"/>
      <c r="C218" t="s">
        <v>230</v>
      </c>
      <c r="D218" t="s">
        <v>225</v>
      </c>
      <c r="E218" t="s">
        <v>223</v>
      </c>
      <c r="F218" s="17">
        <v>0</v>
      </c>
      <c r="G218" s="17">
        <v>0</v>
      </c>
      <c r="H218" s="17">
        <v>0</v>
      </c>
      <c r="I218" s="17">
        <v>0</v>
      </c>
      <c r="J218" s="17">
        <v>0</v>
      </c>
      <c r="K218" s="17">
        <v>0</v>
      </c>
      <c r="L218" s="17">
        <v>0</v>
      </c>
      <c r="M218" s="17">
        <v>0</v>
      </c>
      <c r="N218" s="17">
        <v>0</v>
      </c>
      <c r="O218" s="17">
        <v>0</v>
      </c>
      <c r="P218" s="17">
        <v>0</v>
      </c>
      <c r="Q218" s="17">
        <v>0</v>
      </c>
      <c r="R218" s="17">
        <v>0</v>
      </c>
      <c r="S218" s="17">
        <v>0</v>
      </c>
      <c r="T218" s="17">
        <v>0</v>
      </c>
      <c r="U218" s="17">
        <v>0</v>
      </c>
      <c r="V218" s="17">
        <v>0</v>
      </c>
      <c r="W218" s="17">
        <v>0</v>
      </c>
      <c r="X218" s="17">
        <v>0</v>
      </c>
      <c r="Y218" s="17">
        <v>0</v>
      </c>
      <c r="Z218" s="17">
        <v>0</v>
      </c>
      <c r="AA218" s="17">
        <v>0</v>
      </c>
      <c r="AB218" s="17">
        <v>0</v>
      </c>
      <c r="AC218" s="17">
        <v>0</v>
      </c>
      <c r="AD218" s="17">
        <v>0</v>
      </c>
      <c r="AE218" s="17">
        <v>0</v>
      </c>
      <c r="AF218" s="17">
        <v>0</v>
      </c>
      <c r="AG218" s="17">
        <v>0</v>
      </c>
      <c r="AH218" s="17">
        <v>0</v>
      </c>
      <c r="AI218" s="17">
        <v>0</v>
      </c>
      <c r="AJ218" s="17">
        <v>0</v>
      </c>
      <c r="AK218" s="17">
        <v>0</v>
      </c>
      <c r="AL218" s="17">
        <v>0</v>
      </c>
      <c r="AM218" s="17">
        <v>0</v>
      </c>
      <c r="AN218" s="17">
        <v>0</v>
      </c>
      <c r="AO218" s="17"/>
      <c r="AP218" s="17"/>
      <c r="AQ218" s="17"/>
      <c r="AR218" s="17"/>
      <c r="AS218" s="17"/>
      <c r="AT218" s="17"/>
      <c r="AU218" s="17"/>
      <c r="AV218" s="17"/>
      <c r="AW218" s="17"/>
      <c r="AX218" s="17"/>
      <c r="AY218" s="17"/>
      <c r="AZ218" s="17"/>
      <c r="BA218" s="17"/>
      <c r="BB218" s="17"/>
      <c r="BC218" s="17"/>
      <c r="BD218" s="17"/>
      <c r="BE218" s="17"/>
      <c r="BF218" s="17"/>
      <c r="BG218" s="17"/>
      <c r="BH218" s="17"/>
      <c r="BI218" s="17"/>
      <c r="BJ218" s="17"/>
      <c r="BK218" s="17"/>
      <c r="BL218" s="17"/>
      <c r="BM218" s="17"/>
      <c r="BN218" s="17"/>
      <c r="BO218" s="17"/>
      <c r="BP218" s="17"/>
      <c r="BQ218" s="17"/>
      <c r="BR218" s="17"/>
      <c r="BS218" s="17"/>
      <c r="BT218" s="17"/>
      <c r="BU218" s="17"/>
      <c r="BV218" s="17"/>
      <c r="BW218" s="17"/>
      <c r="BX218" s="17"/>
      <c r="BY218" s="17"/>
      <c r="BZ218" s="17"/>
      <c r="CA218" s="17"/>
      <c r="CB218" s="17"/>
      <c r="CC218" s="17"/>
      <c r="CD218" s="17"/>
      <c r="CE218" s="17"/>
      <c r="CF218" s="17"/>
      <c r="CG218" s="17"/>
      <c r="CH218" s="17"/>
      <c r="CI218" s="17"/>
      <c r="CJ218" s="17"/>
      <c r="CK218" s="17"/>
      <c r="CL218" s="17"/>
      <c r="CM218" s="17"/>
      <c r="CN218" s="17"/>
      <c r="CO218" s="17"/>
      <c r="CP218" s="17"/>
      <c r="CQ218" s="17"/>
      <c r="CR218" s="17"/>
      <c r="CS218" s="17"/>
      <c r="CT218" s="17"/>
      <c r="CU218" s="17"/>
      <c r="CV218" s="17"/>
    </row>
    <row r="219" spans="2:100" x14ac:dyDescent="0.35">
      <c r="B219" s="9"/>
      <c r="C219" t="s">
        <v>230</v>
      </c>
      <c r="D219" t="s">
        <v>355</v>
      </c>
      <c r="E219" t="s">
        <v>223</v>
      </c>
      <c r="F219" s="17">
        <v>0</v>
      </c>
      <c r="G219" s="17">
        <v>0</v>
      </c>
      <c r="H219" s="17">
        <v>0</v>
      </c>
      <c r="I219" s="17">
        <v>0</v>
      </c>
      <c r="J219" s="17">
        <v>0</v>
      </c>
      <c r="K219" s="17">
        <v>0</v>
      </c>
      <c r="L219" s="17">
        <v>0</v>
      </c>
      <c r="M219" s="17">
        <v>0</v>
      </c>
      <c r="N219" s="17">
        <v>0</v>
      </c>
      <c r="O219" s="17">
        <v>0</v>
      </c>
      <c r="P219" s="17">
        <v>0</v>
      </c>
      <c r="Q219" s="17">
        <v>0</v>
      </c>
      <c r="R219" s="17">
        <v>0</v>
      </c>
      <c r="S219" s="17">
        <v>0</v>
      </c>
      <c r="T219" s="17">
        <v>0</v>
      </c>
      <c r="U219" s="17">
        <v>0</v>
      </c>
      <c r="V219" s="17">
        <v>0</v>
      </c>
      <c r="W219" s="17">
        <v>0</v>
      </c>
      <c r="X219" s="17">
        <v>0</v>
      </c>
      <c r="Y219" s="17">
        <v>0</v>
      </c>
      <c r="Z219" s="17">
        <v>0</v>
      </c>
      <c r="AA219" s="17">
        <v>0</v>
      </c>
      <c r="AB219" s="17">
        <v>0</v>
      </c>
      <c r="AC219" s="17">
        <v>0</v>
      </c>
      <c r="AD219" s="17">
        <v>0</v>
      </c>
      <c r="AE219" s="17">
        <v>0</v>
      </c>
      <c r="AF219" s="17">
        <v>0</v>
      </c>
      <c r="AG219" s="17">
        <v>0</v>
      </c>
      <c r="AH219" s="17">
        <v>0</v>
      </c>
      <c r="AI219" s="17">
        <v>0</v>
      </c>
      <c r="AJ219" s="17">
        <v>0</v>
      </c>
      <c r="AK219" s="17">
        <v>0</v>
      </c>
      <c r="AL219" s="17">
        <v>0</v>
      </c>
      <c r="AM219" s="17">
        <v>0</v>
      </c>
      <c r="AN219" s="17">
        <v>0</v>
      </c>
      <c r="AO219" s="17"/>
      <c r="AP219" s="17"/>
      <c r="AQ219" s="17"/>
      <c r="AR219" s="17"/>
      <c r="AS219" s="17"/>
      <c r="AT219" s="17"/>
      <c r="AU219" s="17"/>
      <c r="AV219" s="17"/>
      <c r="AW219" s="17"/>
      <c r="AX219" s="17"/>
      <c r="AY219" s="17"/>
      <c r="AZ219" s="17"/>
      <c r="BA219" s="17"/>
      <c r="BB219" s="17"/>
      <c r="BC219" s="17"/>
      <c r="BD219" s="17"/>
      <c r="BE219" s="17"/>
      <c r="BF219" s="17"/>
      <c r="BG219" s="17"/>
      <c r="BH219" s="17"/>
      <c r="BI219" s="17"/>
      <c r="BJ219" s="17"/>
      <c r="BK219" s="17"/>
      <c r="BL219" s="17"/>
      <c r="BM219" s="17"/>
      <c r="BN219" s="17"/>
      <c r="BO219" s="17"/>
      <c r="BP219" s="17"/>
      <c r="BQ219" s="17"/>
      <c r="BR219" s="17"/>
      <c r="BS219" s="17"/>
      <c r="BT219" s="17"/>
      <c r="BU219" s="17"/>
      <c r="BV219" s="17"/>
      <c r="BW219" s="17"/>
      <c r="BX219" s="17"/>
      <c r="BY219" s="17"/>
      <c r="BZ219" s="17"/>
      <c r="CA219" s="17"/>
      <c r="CB219" s="17"/>
      <c r="CC219" s="17"/>
      <c r="CD219" s="17"/>
      <c r="CE219" s="17"/>
      <c r="CF219" s="17"/>
      <c r="CG219" s="17"/>
      <c r="CH219" s="17"/>
      <c r="CI219" s="17"/>
      <c r="CJ219" s="17"/>
      <c r="CK219" s="17"/>
      <c r="CL219" s="17"/>
      <c r="CM219" s="17"/>
      <c r="CN219" s="17"/>
      <c r="CO219" s="17"/>
      <c r="CP219" s="17"/>
      <c r="CQ219" s="17"/>
      <c r="CR219" s="17"/>
      <c r="CS219" s="17"/>
      <c r="CT219" s="17"/>
      <c r="CU219" s="17"/>
      <c r="CV219" s="17"/>
    </row>
    <row r="220" spans="2:100" x14ac:dyDescent="0.35">
      <c r="B220" s="9"/>
      <c r="C220" t="s">
        <v>230</v>
      </c>
      <c r="D220" t="s">
        <v>356</v>
      </c>
      <c r="E220" t="s">
        <v>124</v>
      </c>
      <c r="F220" s="17">
        <v>0</v>
      </c>
      <c r="G220" s="17">
        <v>1</v>
      </c>
      <c r="H220" s="17">
        <v>1</v>
      </c>
      <c r="I220" s="17">
        <v>1</v>
      </c>
      <c r="J220" s="17">
        <v>1</v>
      </c>
      <c r="K220" s="17">
        <v>1</v>
      </c>
      <c r="L220" s="17">
        <v>1</v>
      </c>
      <c r="M220" s="17">
        <v>1</v>
      </c>
      <c r="N220" s="17">
        <v>1</v>
      </c>
      <c r="O220" s="17">
        <v>1</v>
      </c>
      <c r="P220" s="17">
        <v>1</v>
      </c>
      <c r="Q220" s="17">
        <v>1</v>
      </c>
      <c r="R220" s="17">
        <v>1</v>
      </c>
      <c r="S220" s="17">
        <v>1</v>
      </c>
      <c r="T220" s="17">
        <v>1</v>
      </c>
      <c r="U220" s="17">
        <v>1</v>
      </c>
      <c r="V220" s="17">
        <v>1</v>
      </c>
      <c r="W220" s="17">
        <v>1</v>
      </c>
      <c r="X220" s="17">
        <v>1</v>
      </c>
      <c r="Y220" s="17">
        <v>1</v>
      </c>
      <c r="Z220" s="17">
        <v>1</v>
      </c>
      <c r="AA220" s="17">
        <v>1</v>
      </c>
      <c r="AB220" s="17">
        <v>1</v>
      </c>
      <c r="AC220" s="17">
        <v>1</v>
      </c>
      <c r="AD220" s="17">
        <v>1</v>
      </c>
      <c r="AE220" s="17">
        <v>1</v>
      </c>
      <c r="AF220" s="17">
        <v>1</v>
      </c>
      <c r="AG220" s="17">
        <v>1</v>
      </c>
      <c r="AH220" s="17">
        <v>1</v>
      </c>
      <c r="AI220" s="17">
        <v>1</v>
      </c>
      <c r="AJ220" s="17">
        <v>1</v>
      </c>
      <c r="AK220" s="17">
        <v>1</v>
      </c>
      <c r="AL220" s="17">
        <v>1</v>
      </c>
      <c r="AM220" s="17">
        <v>1</v>
      </c>
      <c r="AN220" s="17">
        <v>1</v>
      </c>
      <c r="AO220" s="17"/>
      <c r="AP220" s="17"/>
      <c r="AQ220" s="17"/>
      <c r="AR220" s="17"/>
      <c r="AS220" s="17"/>
      <c r="AT220" s="17"/>
      <c r="AU220" s="17"/>
      <c r="AV220" s="17"/>
      <c r="AW220" s="17"/>
      <c r="AX220" s="17"/>
      <c r="AY220" s="17"/>
      <c r="AZ220" s="17"/>
      <c r="BA220" s="17"/>
      <c r="BB220" s="17"/>
      <c r="BC220" s="17"/>
      <c r="BD220" s="17"/>
      <c r="BE220" s="17"/>
      <c r="BF220" s="17"/>
      <c r="BG220" s="17"/>
      <c r="BH220" s="17"/>
      <c r="BI220" s="17"/>
      <c r="BJ220" s="17"/>
      <c r="BK220" s="17"/>
      <c r="BL220" s="17"/>
      <c r="BM220" s="17"/>
      <c r="BN220" s="17"/>
      <c r="BO220" s="17"/>
      <c r="BP220" s="17"/>
      <c r="BQ220" s="17"/>
      <c r="BR220" s="17"/>
      <c r="BS220" s="17"/>
      <c r="BT220" s="17"/>
      <c r="BU220" s="17"/>
      <c r="BV220" s="17"/>
      <c r="BW220" s="17"/>
      <c r="BX220" s="17"/>
      <c r="BY220" s="17"/>
      <c r="BZ220" s="17"/>
      <c r="CA220" s="17"/>
      <c r="CB220" s="17"/>
      <c r="CC220" s="17"/>
      <c r="CD220" s="17"/>
      <c r="CE220" s="17"/>
      <c r="CF220" s="17"/>
      <c r="CG220" s="17"/>
      <c r="CH220" s="17"/>
      <c r="CI220" s="17"/>
      <c r="CJ220" s="17"/>
      <c r="CK220" s="17"/>
      <c r="CL220" s="17"/>
      <c r="CM220" s="17"/>
      <c r="CN220" s="17"/>
      <c r="CO220" s="17"/>
      <c r="CP220" s="17"/>
      <c r="CQ220" s="17"/>
      <c r="CR220" s="17"/>
      <c r="CS220" s="17"/>
      <c r="CT220" s="17"/>
      <c r="CU220" s="17"/>
      <c r="CV220" s="17"/>
    </row>
    <row r="221" spans="2:100" x14ac:dyDescent="0.35">
      <c r="B221" s="9"/>
      <c r="C221" t="s">
        <v>339</v>
      </c>
      <c r="D221" t="s">
        <v>357</v>
      </c>
      <c r="E221" t="s">
        <v>226</v>
      </c>
      <c r="F221" s="17">
        <v>0</v>
      </c>
      <c r="G221" s="17">
        <v>119.633629048743</v>
      </c>
      <c r="H221" s="17">
        <v>101.02359079678401</v>
      </c>
      <c r="I221" s="17">
        <v>72.158109342250498</v>
      </c>
      <c r="J221" s="17">
        <v>56.448516694983098</v>
      </c>
      <c r="K221" s="17">
        <v>55.811425321480598</v>
      </c>
      <c r="L221" s="17">
        <v>64.658788359135201</v>
      </c>
      <c r="M221" s="17">
        <v>54.815421590178303</v>
      </c>
      <c r="N221" s="17">
        <v>51.369848329696303</v>
      </c>
      <c r="O221" s="17">
        <v>53.464851395267999</v>
      </c>
      <c r="P221" s="17">
        <v>46.481532219371203</v>
      </c>
      <c r="Q221" s="17">
        <v>46.775047227076897</v>
      </c>
      <c r="R221" s="17">
        <v>44.120332687706401</v>
      </c>
      <c r="S221" s="17">
        <v>45.753803879508503</v>
      </c>
      <c r="T221" s="17">
        <v>48.467020840688299</v>
      </c>
      <c r="U221" s="17">
        <v>48.070928104456698</v>
      </c>
      <c r="V221" s="17">
        <v>48.058109805963802</v>
      </c>
      <c r="W221" s="17">
        <v>45.219520065474597</v>
      </c>
      <c r="X221" s="17">
        <v>43.9247674490869</v>
      </c>
      <c r="Y221" s="17">
        <v>44.431471549982099</v>
      </c>
      <c r="Z221" s="17">
        <v>48.204543457124501</v>
      </c>
      <c r="AA221" s="17">
        <v>48.046660046266901</v>
      </c>
      <c r="AB221" s="17">
        <v>50.863781487324303</v>
      </c>
      <c r="AC221" s="17">
        <v>50.863938190239899</v>
      </c>
      <c r="AD221" s="17">
        <v>51.987842841222502</v>
      </c>
      <c r="AE221" s="17">
        <v>52.2199094123065</v>
      </c>
      <c r="AF221" s="17">
        <v>53.576392530564</v>
      </c>
      <c r="AG221" s="17">
        <v>53.407122041175597</v>
      </c>
      <c r="AH221" s="17">
        <v>52.742053973814997</v>
      </c>
      <c r="AI221" s="17">
        <v>53.711470443777102</v>
      </c>
      <c r="AJ221" s="17">
        <v>54.232549425459702</v>
      </c>
      <c r="AK221" s="17">
        <v>51.3429998968302</v>
      </c>
      <c r="AL221" s="17">
        <v>53.022593980112298</v>
      </c>
      <c r="AM221" s="17">
        <v>53.569685645778002</v>
      </c>
      <c r="AN221" s="17">
        <v>52.110875523659502</v>
      </c>
      <c r="AO221" s="17"/>
      <c r="AP221" s="17"/>
      <c r="AQ221" s="17"/>
      <c r="AR221" s="17"/>
      <c r="AS221" s="17"/>
      <c r="AT221" s="17"/>
      <c r="AU221" s="17"/>
      <c r="AV221" s="17"/>
      <c r="AW221" s="17"/>
      <c r="AX221" s="17"/>
      <c r="AY221" s="17"/>
      <c r="AZ221" s="17"/>
      <c r="BA221" s="17"/>
      <c r="BB221" s="17"/>
      <c r="BC221" s="17"/>
      <c r="BD221" s="17"/>
      <c r="BE221" s="17"/>
      <c r="BF221" s="17"/>
      <c r="BG221" s="17"/>
      <c r="BH221" s="17"/>
      <c r="BI221" s="17"/>
      <c r="BJ221" s="17"/>
      <c r="BK221" s="17"/>
      <c r="BL221" s="17"/>
      <c r="BM221" s="17"/>
      <c r="BN221" s="17"/>
      <c r="BO221" s="17"/>
      <c r="BP221" s="17"/>
      <c r="BQ221" s="17"/>
      <c r="BR221" s="17"/>
      <c r="BS221" s="17"/>
      <c r="BT221" s="17"/>
      <c r="BU221" s="17"/>
      <c r="BV221" s="17"/>
      <c r="BW221" s="17"/>
      <c r="BX221" s="17"/>
      <c r="BY221" s="17"/>
      <c r="BZ221" s="17"/>
      <c r="CA221" s="17"/>
      <c r="CB221" s="17"/>
      <c r="CC221" s="17"/>
      <c r="CD221" s="17"/>
      <c r="CE221" s="17"/>
      <c r="CF221" s="17"/>
      <c r="CG221" s="17"/>
      <c r="CH221" s="17"/>
      <c r="CI221" s="17"/>
      <c r="CJ221" s="17"/>
      <c r="CK221" s="17"/>
      <c r="CL221" s="17"/>
      <c r="CM221" s="17"/>
      <c r="CN221" s="17"/>
      <c r="CO221" s="17"/>
      <c r="CP221" s="17"/>
      <c r="CQ221" s="17"/>
      <c r="CR221" s="17"/>
      <c r="CS221" s="17"/>
      <c r="CT221" s="17"/>
      <c r="CU221" s="17"/>
      <c r="CV221" s="17"/>
    </row>
    <row r="222" spans="2:100" x14ac:dyDescent="0.35">
      <c r="B222" s="9"/>
      <c r="F222" s="17"/>
      <c r="G222" s="17"/>
      <c r="H222" s="17"/>
      <c r="I222" s="17"/>
      <c r="J222" s="17"/>
      <c r="K222" s="17"/>
      <c r="L222" s="17"/>
      <c r="M222" s="17"/>
      <c r="N222" s="17"/>
      <c r="O222" s="17"/>
      <c r="P222" s="17"/>
      <c r="Q222" s="17"/>
      <c r="R222" s="17"/>
      <c r="S222" s="17"/>
      <c r="T222" s="17"/>
      <c r="U222" s="17"/>
      <c r="V222" s="17"/>
      <c r="W222" s="17"/>
      <c r="X222" s="17"/>
      <c r="Y222" s="17"/>
      <c r="Z222" s="17"/>
      <c r="AA222" s="17"/>
      <c r="AB222" s="17"/>
      <c r="AC222" s="17"/>
      <c r="AD222" s="17"/>
      <c r="AE222" s="17"/>
      <c r="AF222" s="17"/>
      <c r="AG222" s="17"/>
      <c r="AH222" s="17"/>
      <c r="AI222" s="17"/>
      <c r="AJ222" s="17"/>
      <c r="AK222" s="17"/>
      <c r="AL222" s="17"/>
      <c r="AM222" s="17"/>
      <c r="AN222" s="17"/>
      <c r="AO222" s="17"/>
      <c r="AP222" s="17"/>
      <c r="AQ222" s="17"/>
      <c r="AR222" s="17"/>
      <c r="AS222" s="17"/>
      <c r="AT222" s="17"/>
      <c r="AU222" s="17"/>
      <c r="AV222" s="17"/>
      <c r="AW222" s="17"/>
      <c r="AX222" s="17"/>
      <c r="AY222" s="17"/>
      <c r="AZ222" s="17"/>
      <c r="BA222" s="17"/>
      <c r="BB222" s="17"/>
      <c r="BC222" s="17"/>
      <c r="BD222" s="17"/>
      <c r="BE222" s="17"/>
      <c r="BF222" s="17"/>
      <c r="BG222" s="17"/>
      <c r="BH222" s="17"/>
      <c r="BI222" s="17"/>
      <c r="BJ222" s="17"/>
      <c r="BK222" s="17"/>
      <c r="BL222" s="17"/>
      <c r="BM222" s="17"/>
      <c r="BN222" s="17"/>
      <c r="BO222" s="17"/>
      <c r="BP222" s="17"/>
      <c r="BQ222" s="17"/>
      <c r="BR222" s="17"/>
      <c r="BS222" s="17"/>
      <c r="BT222" s="17"/>
      <c r="BU222" s="17"/>
      <c r="BV222" s="17"/>
      <c r="BW222" s="17"/>
      <c r="BX222" s="17"/>
      <c r="BY222" s="17"/>
      <c r="BZ222" s="17"/>
      <c r="CA222" s="17"/>
      <c r="CB222" s="17"/>
      <c r="CC222" s="17"/>
      <c r="CD222" s="17"/>
      <c r="CE222" s="17"/>
      <c r="CF222" s="17"/>
      <c r="CG222" s="17"/>
      <c r="CH222" s="17"/>
      <c r="CI222" s="17"/>
      <c r="CJ222" s="17"/>
      <c r="CK222" s="17"/>
      <c r="CL222" s="17"/>
      <c r="CM222" s="17"/>
      <c r="CN222" s="17"/>
      <c r="CO222" s="17"/>
      <c r="CP222" s="17"/>
      <c r="CQ222" s="17"/>
      <c r="CR222" s="17"/>
      <c r="CS222" s="17"/>
      <c r="CT222" s="17"/>
      <c r="CU222" s="17"/>
      <c r="CV222" s="17"/>
    </row>
    <row r="223" spans="2:100" x14ac:dyDescent="0.35">
      <c r="B223" s="9"/>
      <c r="F223" s="17"/>
      <c r="G223" s="17"/>
      <c r="H223" s="17"/>
      <c r="I223" s="17"/>
      <c r="J223" s="17"/>
      <c r="K223" s="17"/>
      <c r="L223" s="17"/>
      <c r="M223" s="17"/>
      <c r="N223" s="17"/>
      <c r="O223" s="17"/>
      <c r="P223" s="17"/>
      <c r="Q223" s="17"/>
      <c r="R223" s="17"/>
      <c r="S223" s="17"/>
      <c r="T223" s="17"/>
      <c r="U223" s="17"/>
      <c r="V223" s="17"/>
      <c r="W223" s="17"/>
      <c r="X223" s="17"/>
      <c r="Y223" s="17"/>
      <c r="Z223" s="17"/>
      <c r="AA223" s="17"/>
      <c r="AB223" s="17"/>
      <c r="AC223" s="17"/>
      <c r="AD223" s="17"/>
      <c r="AE223" s="17"/>
      <c r="AF223" s="17"/>
      <c r="AG223" s="17"/>
      <c r="AH223" s="17"/>
      <c r="AI223" s="17"/>
      <c r="AJ223" s="17"/>
      <c r="AK223" s="17"/>
      <c r="AL223" s="17"/>
      <c r="AM223" s="17"/>
      <c r="AN223" s="17"/>
      <c r="AO223" s="17"/>
      <c r="AP223" s="17"/>
      <c r="AQ223" s="17"/>
      <c r="AR223" s="17"/>
      <c r="AS223" s="17"/>
      <c r="AT223" s="17"/>
      <c r="AU223" s="17"/>
      <c r="AV223" s="17"/>
      <c r="AW223" s="17"/>
      <c r="AX223" s="17"/>
      <c r="AY223" s="17"/>
      <c r="AZ223" s="17"/>
      <c r="BA223" s="17"/>
      <c r="BB223" s="17"/>
      <c r="BC223" s="17"/>
      <c r="BD223" s="17"/>
      <c r="BE223" s="17"/>
      <c r="BF223" s="17"/>
      <c r="BG223" s="17"/>
      <c r="BH223" s="17"/>
      <c r="BI223" s="17"/>
      <c r="BJ223" s="17"/>
      <c r="BK223" s="17"/>
      <c r="BL223" s="17"/>
      <c r="BM223" s="17"/>
      <c r="BN223" s="17"/>
      <c r="BO223" s="17"/>
      <c r="BP223" s="17"/>
      <c r="BQ223" s="17"/>
      <c r="BR223" s="17"/>
      <c r="BS223" s="17"/>
      <c r="BT223" s="17"/>
      <c r="BU223" s="17"/>
      <c r="BV223" s="17"/>
      <c r="BW223" s="17"/>
      <c r="BX223" s="17"/>
      <c r="BY223" s="17"/>
      <c r="BZ223" s="17"/>
      <c r="CA223" s="17"/>
      <c r="CB223" s="17"/>
      <c r="CC223" s="17"/>
      <c r="CD223" s="17"/>
      <c r="CE223" s="17"/>
      <c r="CF223" s="17"/>
      <c r="CG223" s="17"/>
      <c r="CH223" s="17"/>
      <c r="CI223" s="17"/>
      <c r="CJ223" s="17"/>
      <c r="CK223" s="17"/>
      <c r="CL223" s="17"/>
      <c r="CM223" s="17"/>
      <c r="CN223" s="17"/>
      <c r="CO223" s="17"/>
      <c r="CP223" s="17"/>
      <c r="CQ223" s="17"/>
      <c r="CR223" s="17"/>
      <c r="CS223" s="17"/>
      <c r="CT223" s="17"/>
      <c r="CU223" s="17"/>
      <c r="CV223" s="17"/>
    </row>
    <row r="224" spans="2:100" x14ac:dyDescent="0.35">
      <c r="B224" s="9"/>
      <c r="F224" s="17"/>
      <c r="G224" s="17"/>
      <c r="H224" s="17"/>
      <c r="I224" s="17"/>
      <c r="J224" s="17"/>
      <c r="K224" s="17"/>
      <c r="L224" s="17"/>
      <c r="M224" s="17"/>
      <c r="N224" s="17"/>
      <c r="O224" s="17"/>
      <c r="P224" s="17"/>
      <c r="Q224" s="17"/>
      <c r="R224" s="17"/>
      <c r="S224" s="17"/>
      <c r="T224" s="17"/>
      <c r="U224" s="17"/>
      <c r="V224" s="17"/>
      <c r="W224" s="17"/>
      <c r="X224" s="17"/>
      <c r="Y224" s="17"/>
      <c r="Z224" s="17"/>
      <c r="AA224" s="17"/>
      <c r="AB224" s="17"/>
      <c r="AC224" s="17"/>
      <c r="AD224" s="17"/>
      <c r="AE224" s="17"/>
      <c r="AF224" s="17"/>
      <c r="AG224" s="17"/>
      <c r="AH224" s="17"/>
      <c r="AI224" s="17"/>
      <c r="AJ224" s="17"/>
      <c r="AK224" s="17"/>
      <c r="AL224" s="17"/>
      <c r="AM224" s="17"/>
      <c r="AN224" s="17"/>
      <c r="AO224" s="17"/>
      <c r="AP224" s="17"/>
      <c r="AQ224" s="17"/>
      <c r="AR224" s="17"/>
      <c r="AS224" s="17"/>
      <c r="AT224" s="17"/>
      <c r="AU224" s="17"/>
      <c r="AV224" s="17"/>
      <c r="AW224" s="17"/>
      <c r="AX224" s="17"/>
      <c r="AY224" s="17"/>
      <c r="AZ224" s="17"/>
      <c r="BA224" s="17"/>
      <c r="BB224" s="17"/>
      <c r="BC224" s="17"/>
      <c r="BD224" s="17"/>
      <c r="BE224" s="17"/>
      <c r="BF224" s="17"/>
      <c r="BG224" s="17"/>
      <c r="BH224" s="17"/>
      <c r="BI224" s="17"/>
      <c r="BJ224" s="17"/>
      <c r="BK224" s="17"/>
      <c r="BL224" s="17"/>
      <c r="BM224" s="17"/>
      <c r="BN224" s="17"/>
      <c r="BO224" s="17"/>
      <c r="BP224" s="17"/>
      <c r="BQ224" s="17"/>
      <c r="BR224" s="17"/>
      <c r="BS224" s="17"/>
      <c r="BT224" s="17"/>
      <c r="BU224" s="17"/>
      <c r="BV224" s="17"/>
      <c r="BW224" s="17"/>
      <c r="BX224" s="17"/>
      <c r="BY224" s="17"/>
      <c r="BZ224" s="17"/>
      <c r="CA224" s="17"/>
      <c r="CB224" s="17"/>
      <c r="CC224" s="17"/>
      <c r="CD224" s="17"/>
      <c r="CE224" s="17"/>
      <c r="CF224" s="17"/>
      <c r="CG224" s="17"/>
      <c r="CH224" s="17"/>
      <c r="CI224" s="17"/>
      <c r="CJ224" s="17"/>
      <c r="CK224" s="17"/>
      <c r="CL224" s="17"/>
      <c r="CM224" s="17"/>
      <c r="CN224" s="17"/>
      <c r="CO224" s="17"/>
      <c r="CP224" s="17"/>
      <c r="CQ224" s="17"/>
      <c r="CR224" s="17"/>
      <c r="CS224" s="17"/>
      <c r="CT224" s="17"/>
      <c r="CU224" s="17"/>
      <c r="CV224" s="17"/>
    </row>
    <row r="225" spans="2:100" x14ac:dyDescent="0.35">
      <c r="B225" s="9"/>
      <c r="F225" s="17"/>
      <c r="G225" s="17"/>
      <c r="H225" s="17"/>
      <c r="I225" s="17"/>
      <c r="J225" s="17"/>
      <c r="K225" s="17"/>
      <c r="L225" s="17"/>
      <c r="M225" s="17"/>
      <c r="N225" s="17"/>
      <c r="O225" s="17"/>
      <c r="P225" s="17"/>
      <c r="Q225" s="17"/>
      <c r="R225" s="17"/>
      <c r="S225" s="17"/>
      <c r="T225" s="17"/>
      <c r="U225" s="17"/>
      <c r="V225" s="17"/>
      <c r="W225" s="17"/>
      <c r="X225" s="17"/>
      <c r="Y225" s="17"/>
      <c r="Z225" s="17"/>
      <c r="AA225" s="17"/>
      <c r="AB225" s="17"/>
      <c r="AC225" s="17"/>
      <c r="AD225" s="17"/>
      <c r="AE225" s="17"/>
      <c r="AF225" s="17"/>
      <c r="AG225" s="17"/>
      <c r="AH225" s="17"/>
      <c r="AI225" s="17"/>
      <c r="AJ225" s="17"/>
      <c r="AK225" s="17"/>
      <c r="AL225" s="17"/>
      <c r="AM225" s="17"/>
      <c r="AN225" s="17"/>
      <c r="AO225" s="17"/>
      <c r="AP225" s="17"/>
      <c r="AQ225" s="17"/>
      <c r="AR225" s="17"/>
      <c r="AS225" s="17"/>
      <c r="AT225" s="17"/>
      <c r="AU225" s="17"/>
      <c r="AV225" s="17"/>
      <c r="AW225" s="17"/>
      <c r="AX225" s="17"/>
      <c r="AY225" s="17"/>
      <c r="AZ225" s="17"/>
      <c r="BA225" s="17"/>
      <c r="BB225" s="17"/>
      <c r="BC225" s="17"/>
      <c r="BD225" s="17"/>
      <c r="BE225" s="17"/>
      <c r="BF225" s="17"/>
      <c r="BG225" s="17"/>
      <c r="BH225" s="17"/>
      <c r="BI225" s="17"/>
      <c r="BJ225" s="17"/>
      <c r="BK225" s="17"/>
      <c r="BL225" s="17"/>
      <c r="BM225" s="17"/>
      <c r="BN225" s="17"/>
      <c r="BO225" s="17"/>
      <c r="BP225" s="17"/>
      <c r="BQ225" s="17"/>
      <c r="BR225" s="17"/>
      <c r="BS225" s="17"/>
      <c r="BT225" s="17"/>
      <c r="BU225" s="17"/>
      <c r="BV225" s="17"/>
      <c r="BW225" s="17"/>
      <c r="BX225" s="17"/>
      <c r="BY225" s="17"/>
      <c r="BZ225" s="17"/>
      <c r="CA225" s="17"/>
      <c r="CB225" s="17"/>
      <c r="CC225" s="17"/>
      <c r="CD225" s="17"/>
      <c r="CE225" s="17"/>
      <c r="CF225" s="17"/>
      <c r="CG225" s="17"/>
      <c r="CH225" s="17"/>
      <c r="CI225" s="17"/>
      <c r="CJ225" s="17"/>
      <c r="CK225" s="17"/>
      <c r="CL225" s="17"/>
      <c r="CM225" s="17"/>
      <c r="CN225" s="17"/>
      <c r="CO225" s="17"/>
      <c r="CP225" s="17"/>
      <c r="CQ225" s="17"/>
      <c r="CR225" s="17"/>
      <c r="CS225" s="17"/>
      <c r="CT225" s="17"/>
      <c r="CU225" s="17"/>
      <c r="CV225" s="17"/>
    </row>
  </sheetData>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expression" priority="2" stopIfTrue="1" id="{645C1411-331B-49B1-8505-12B2D4BEF7DA}">
            <xm:f>Disclaimer!$F$18&lt;&gt;"I ACCEPT"</xm:f>
            <x14:dxf>
              <numFmt numFmtId="175" formatCode=";;;"/>
            </x14:dxf>
          </x14:cfRule>
          <xm:sqref>A2:XFD1048576 A1:J1 L1:XFD1</xm:sqref>
        </x14:conditionalFormatting>
        <x14:conditionalFormatting xmlns:xm="http://schemas.microsoft.com/office/excel/2006/main">
          <x14:cfRule type="expression" priority="1" stopIfTrue="1" id="{6AFFE0FA-9B1E-451D-BC13-FADD85E0938C}">
            <xm:f>Disclaimer!$F$18="I ACCEPT"</xm:f>
            <x14:dxf>
              <numFmt numFmtId="175" formatCode=";;;"/>
            </x14:dxf>
          </x14:cfRule>
          <xm:sqref>K1</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9A8D2615-3D21-45A8-A8E0-A9AF954119CB}">
          <x14:formula1>
            <xm:f>_undeg_revenues_scenario_list!$A$1:$A$4</xm:f>
          </x14:formula1>
          <xm:sqref>B8</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6224CA-9209-45A6-88E9-9AF7431637BB}">
  <sheetPr codeName="rev_ws">
    <pageSetUpPr autoPageBreaks="0"/>
  </sheetPr>
  <dimension ref="A1:CV311"/>
  <sheetViews>
    <sheetView showGridLines="0" zoomScale="85" zoomScaleNormal="85" workbookViewId="0">
      <selection activeCell="B8" sqref="B8"/>
    </sheetView>
  </sheetViews>
  <sheetFormatPr defaultColWidth="8.7265625" defaultRowHeight="14.5" x14ac:dyDescent="0.35"/>
  <cols>
    <col min="1" max="1" width="8" customWidth="1"/>
    <col min="2" max="2" width="44.7265625" customWidth="1"/>
    <col min="3" max="3" width="31.7265625" customWidth="1"/>
    <col min="4" max="4" width="60.1796875" bestFit="1" customWidth="1"/>
    <col min="5" max="5" width="16.54296875" bestFit="1" customWidth="1"/>
    <col min="6" max="18" width="8.7265625" customWidth="1"/>
    <col min="19" max="34" width="8.81640625" bestFit="1" customWidth="1"/>
    <col min="35" max="35" width="13" bestFit="1" customWidth="1"/>
    <col min="36" max="40" width="8.81640625" bestFit="1" customWidth="1"/>
    <col min="42" max="42" width="19.26953125" bestFit="1" customWidth="1"/>
  </cols>
  <sheetData>
    <row r="1" spans="1:48" s="127" customFormat="1" x14ac:dyDescent="0.35">
      <c r="A1" s="10"/>
      <c r="B1" s="1"/>
      <c r="C1" s="130" t="s">
        <v>54</v>
      </c>
      <c r="D1" s="327" t="str">
        <f>Intro!$C$5</f>
        <v>Aurora’s Hungarian Flexible Energy Market Forecast - Q2 2026</v>
      </c>
      <c r="E1" s="117"/>
      <c r="F1" s="117"/>
      <c r="G1" s="117"/>
      <c r="H1" s="117"/>
      <c r="I1" s="117"/>
      <c r="J1" s="117"/>
      <c r="K1" s="329" t="s">
        <v>55</v>
      </c>
      <c r="L1" s="117"/>
      <c r="M1" s="117"/>
      <c r="N1" s="117"/>
      <c r="O1" s="117"/>
      <c r="P1" s="117"/>
      <c r="Q1" s="117"/>
      <c r="R1" s="117"/>
    </row>
    <row r="2" spans="1:48" s="127" customFormat="1" x14ac:dyDescent="0.35">
      <c r="A2" s="10"/>
      <c r="B2" s="1"/>
      <c r="C2" s="130" t="s">
        <v>8</v>
      </c>
      <c r="D2" s="137" t="str">
        <f>Intro!$E$13</f>
        <v>Hungary</v>
      </c>
      <c r="E2" s="117"/>
      <c r="F2" s="117"/>
      <c r="G2" s="117"/>
      <c r="H2" s="117"/>
      <c r="I2" s="117"/>
      <c r="J2" s="117"/>
      <c r="K2" s="117"/>
      <c r="L2" s="117"/>
      <c r="M2" s="117"/>
      <c r="N2" s="117"/>
      <c r="O2" s="117"/>
      <c r="P2" s="117"/>
      <c r="Q2" s="117"/>
      <c r="R2" s="117"/>
    </row>
    <row r="3" spans="1:48" s="127" customFormat="1" x14ac:dyDescent="0.35">
      <c r="A3" s="10"/>
      <c r="B3" s="1"/>
      <c r="C3" s="130" t="s">
        <v>10</v>
      </c>
      <c r="D3" s="136" t="s">
        <v>445</v>
      </c>
      <c r="E3" s="117"/>
      <c r="F3" s="117"/>
      <c r="G3" s="117"/>
      <c r="H3" s="117"/>
      <c r="I3" s="117"/>
      <c r="J3" s="117"/>
      <c r="K3" s="117"/>
      <c r="L3" s="117"/>
      <c r="M3" s="117"/>
      <c r="N3" s="117"/>
      <c r="O3" s="117"/>
      <c r="P3" s="117"/>
      <c r="Q3" s="117"/>
      <c r="R3" s="117"/>
    </row>
    <row r="4" spans="1:48" s="127" customFormat="1" x14ac:dyDescent="0.35">
      <c r="A4" s="11"/>
      <c r="B4" s="1"/>
      <c r="C4" s="130" t="s">
        <v>56</v>
      </c>
      <c r="D4" s="137" t="s">
        <v>57</v>
      </c>
      <c r="E4" s="117"/>
      <c r="F4" s="117"/>
      <c r="G4" s="117"/>
      <c r="H4" s="117"/>
      <c r="I4" s="117"/>
      <c r="J4" s="117"/>
      <c r="K4" s="117"/>
      <c r="L4" s="117"/>
      <c r="M4" s="117"/>
      <c r="N4" s="117"/>
      <c r="O4" s="117"/>
      <c r="P4" s="117"/>
      <c r="Q4" s="117"/>
      <c r="R4" s="117"/>
    </row>
    <row r="5" spans="1:48" s="127" customFormat="1" x14ac:dyDescent="0.35">
      <c r="A5" s="10"/>
      <c r="B5" s="2"/>
      <c r="C5" s="117"/>
      <c r="D5" s="117"/>
      <c r="S5" s="184"/>
      <c r="T5" s="184"/>
      <c r="U5" s="184"/>
      <c r="V5" s="184"/>
      <c r="W5" s="184"/>
      <c r="X5" s="184"/>
      <c r="Y5" s="184"/>
      <c r="Z5" s="184"/>
      <c r="AA5" s="184"/>
      <c r="AB5" s="184" t="s">
        <v>192</v>
      </c>
      <c r="AC5" s="184" t="s">
        <v>193</v>
      </c>
      <c r="AD5" s="184" t="s">
        <v>194</v>
      </c>
      <c r="AE5" s="184" t="s">
        <v>195</v>
      </c>
      <c r="AF5" s="184" t="s">
        <v>228</v>
      </c>
      <c r="AG5" s="184" t="s">
        <v>196</v>
      </c>
      <c r="AH5" s="184" t="s">
        <v>197</v>
      </c>
      <c r="AI5" s="184" t="s">
        <v>198</v>
      </c>
      <c r="AJ5" s="184" t="s">
        <v>199</v>
      </c>
      <c r="AK5" s="184" t="s">
        <v>200</v>
      </c>
      <c r="AL5" s="184" t="s">
        <v>201</v>
      </c>
      <c r="AM5" s="184" t="s">
        <v>202</v>
      </c>
      <c r="AN5" s="184" t="s">
        <v>203</v>
      </c>
      <c r="AO5" s="184" t="s">
        <v>206</v>
      </c>
      <c r="AP5" s="184" t="s">
        <v>207</v>
      </c>
      <c r="AQ5" s="184" t="s">
        <v>208</v>
      </c>
      <c r="AR5" s="184" t="s">
        <v>209</v>
      </c>
      <c r="AS5" s="184" t="s">
        <v>210</v>
      </c>
      <c r="AT5" s="184" t="s">
        <v>211</v>
      </c>
      <c r="AU5" s="184" t="s">
        <v>212</v>
      </c>
      <c r="AV5" s="184" t="s">
        <v>213</v>
      </c>
    </row>
    <row r="6" spans="1:48" s="127" customFormat="1" ht="13" x14ac:dyDescent="0.3">
      <c r="A6" s="181" t="s">
        <v>229</v>
      </c>
      <c r="B6" s="126"/>
      <c r="C6" s="138"/>
      <c r="D6" s="138"/>
      <c r="E6" s="138"/>
      <c r="F6" s="138"/>
      <c r="G6" s="138"/>
      <c r="H6" s="138"/>
      <c r="I6" s="138"/>
      <c r="J6" s="138"/>
      <c r="K6" s="138"/>
      <c r="L6" s="138"/>
      <c r="M6" s="138"/>
      <c r="N6" s="138"/>
      <c r="O6" s="138"/>
      <c r="P6" s="138"/>
      <c r="Q6" s="138"/>
      <c r="R6" s="138"/>
      <c r="S6" s="138"/>
      <c r="T6" s="138"/>
      <c r="U6" s="138"/>
      <c r="V6" s="138"/>
      <c r="W6" s="138"/>
      <c r="X6" s="138"/>
      <c r="Y6" s="138"/>
      <c r="Z6" s="138"/>
      <c r="AA6" s="138"/>
      <c r="AB6" s="138"/>
      <c r="AC6" s="138"/>
      <c r="AD6" s="138"/>
      <c r="AE6" s="138"/>
      <c r="AF6" s="138"/>
      <c r="AG6" s="138"/>
      <c r="AH6" s="138"/>
      <c r="AI6" s="138"/>
      <c r="AJ6" s="138"/>
      <c r="AK6" s="138"/>
      <c r="AL6" s="138"/>
      <c r="AM6" s="138"/>
      <c r="AN6" s="138"/>
    </row>
    <row r="7" spans="1:48" s="127" customFormat="1" ht="17.649999999999999" customHeight="1" x14ac:dyDescent="0.3">
      <c r="A7" s="182"/>
      <c r="B7" s="129" t="s">
        <v>56</v>
      </c>
      <c r="C7" s="129" t="s">
        <v>230</v>
      </c>
      <c r="D7" s="129" t="s">
        <v>59</v>
      </c>
      <c r="E7" s="129" t="s">
        <v>231</v>
      </c>
      <c r="F7" s="139">
        <v>2026</v>
      </c>
      <c r="G7" s="139">
        <v>2027</v>
      </c>
      <c r="H7" s="139">
        <v>2028</v>
      </c>
      <c r="I7" s="139">
        <v>2029</v>
      </c>
      <c r="J7" s="139">
        <v>2030</v>
      </c>
      <c r="K7" s="139">
        <v>2031</v>
      </c>
      <c r="L7" s="139">
        <v>2032</v>
      </c>
      <c r="M7" s="139">
        <v>2033</v>
      </c>
      <c r="N7" s="139">
        <v>2034</v>
      </c>
      <c r="O7" s="139">
        <v>2035</v>
      </c>
      <c r="P7" s="139">
        <v>2036</v>
      </c>
      <c r="Q7" s="139">
        <v>2037</v>
      </c>
      <c r="R7" s="139">
        <v>2038</v>
      </c>
      <c r="S7" s="139">
        <v>2039</v>
      </c>
      <c r="T7" s="139">
        <v>2040</v>
      </c>
      <c r="U7" s="139">
        <v>2041</v>
      </c>
      <c r="V7" s="139">
        <v>2042</v>
      </c>
      <c r="W7" s="139">
        <v>2043</v>
      </c>
      <c r="X7" s="139">
        <v>2044</v>
      </c>
      <c r="Y7" s="139">
        <v>2045</v>
      </c>
      <c r="Z7" s="139">
        <v>2046</v>
      </c>
      <c r="AA7" s="139">
        <v>2047</v>
      </c>
      <c r="AB7" s="139">
        <v>2048</v>
      </c>
      <c r="AC7" s="139">
        <v>2049</v>
      </c>
      <c r="AD7" s="139">
        <v>2050</v>
      </c>
      <c r="AE7" s="139">
        <v>2051</v>
      </c>
      <c r="AF7" s="139">
        <v>2052</v>
      </c>
      <c r="AG7" s="139">
        <v>2053</v>
      </c>
      <c r="AH7" s="139">
        <v>2054</v>
      </c>
      <c r="AI7" s="139">
        <v>2055</v>
      </c>
      <c r="AJ7" s="139">
        <v>2056</v>
      </c>
      <c r="AK7" s="139">
        <v>2057</v>
      </c>
      <c r="AL7" s="139">
        <v>2058</v>
      </c>
      <c r="AM7" s="139">
        <v>2059</v>
      </c>
      <c r="AN7" s="139">
        <v>2060</v>
      </c>
    </row>
    <row r="8" spans="1:48" s="18" customFormat="1" x14ac:dyDescent="0.35">
      <c r="A8" s="328">
        <f>A9</f>
        <v>1</v>
      </c>
      <c r="B8" s="183" t="s">
        <v>461</v>
      </c>
      <c r="C8" s="38" t="s">
        <v>230</v>
      </c>
      <c r="D8" s="274" t="s">
        <v>322</v>
      </c>
      <c r="E8" s="270" t="s">
        <v>124</v>
      </c>
      <c r="F8" s="271" cm="1">
        <f t="array" ref="F8">INDEX(
    INDEX(F:F,Control!$B$29):INDEX(F:F,100000),
    MATCH($A$8,INDEX($A:$A,Control!$B$29):INDEX($A:$A,100000),0)+MATCH($D8,INDEX($D:$D,Control!$B$31):INDEX($D:$D,Control!$B$32),0)-1,
    1)</f>
        <v>0</v>
      </c>
      <c r="G8" s="271" cm="1">
        <f t="array" ref="G8">INDEX(
    INDEX(G:G,Control!$B$29):INDEX(G:G,100000),
    MATCH($A$8,INDEX($A:$A,Control!$B$29):INDEX($A:$A,100000),0)+MATCH($D8,INDEX($D:$D,Control!$B$31):INDEX($D:$D,Control!$B$32),0)-1,
    1)</f>
        <v>1</v>
      </c>
      <c r="H8" s="271" cm="1">
        <f t="array" ref="H8">INDEX(
    INDEX(H:H,Control!$B$29):INDEX(H:H,100000),
    MATCH($A$8,INDEX($A:$A,Control!$B$29):INDEX($A:$A,100000),0)+MATCH($D8,INDEX($D:$D,Control!$B$31):INDEX($D:$D,Control!$B$32),0)-1,
    1)</f>
        <v>1</v>
      </c>
      <c r="I8" s="271" cm="1">
        <f t="array" ref="I8">INDEX(
    INDEX(I:I,Control!$B$29):INDEX(I:I,100000),
    MATCH($A$8,INDEX($A:$A,Control!$B$29):INDEX($A:$A,100000),0)+MATCH($D8,INDEX($D:$D,Control!$B$31):INDEX($D:$D,Control!$B$32),0)-1,
    1)</f>
        <v>1</v>
      </c>
      <c r="J8" s="271" cm="1">
        <f t="array" ref="J8">INDEX(
    INDEX(J:J,Control!$B$29):INDEX(J:J,100000),
    MATCH($A$8,INDEX($A:$A,Control!$B$29):INDEX($A:$A,100000),0)+MATCH($D8,INDEX($D:$D,Control!$B$31):INDEX($D:$D,Control!$B$32),0)-1,
    1)</f>
        <v>1</v>
      </c>
      <c r="K8" s="271" cm="1">
        <f t="array" ref="K8">INDEX(
    INDEX(K:K,Control!$B$29):INDEX(K:K,100000),
    MATCH($A$8,INDEX($A:$A,Control!$B$29):INDEX($A:$A,100000),0)+MATCH($D8,INDEX($D:$D,Control!$B$31):INDEX($D:$D,Control!$B$32),0)-1,
    1)</f>
        <v>1</v>
      </c>
      <c r="L8" s="271" cm="1">
        <f t="array" ref="L8">INDEX(
    INDEX(L:L,Control!$B$29):INDEX(L:L,100000),
    MATCH($A$8,INDEX($A:$A,Control!$B$29):INDEX($A:$A,100000),0)+MATCH($D8,INDEX($D:$D,Control!$B$31):INDEX($D:$D,Control!$B$32),0)-1,
    1)</f>
        <v>1</v>
      </c>
      <c r="M8" s="271" cm="1">
        <f t="array" ref="M8">INDEX(
    INDEX(M:M,Control!$B$29):INDEX(M:M,100000),
    MATCH($A$8,INDEX($A:$A,Control!$B$29):INDEX($A:$A,100000),0)+MATCH($D8,INDEX($D:$D,Control!$B$31):INDEX($D:$D,Control!$B$32),0)-1,
    1)</f>
        <v>1</v>
      </c>
      <c r="N8" s="271" cm="1">
        <f t="array" ref="N8">INDEX(
    INDEX(N:N,Control!$B$29):INDEX(N:N,100000),
    MATCH($A$8,INDEX($A:$A,Control!$B$29):INDEX($A:$A,100000),0)+MATCH($D8,INDEX($D:$D,Control!$B$31):INDEX($D:$D,Control!$B$32),0)-1,
    1)</f>
        <v>1</v>
      </c>
      <c r="O8" s="271" cm="1">
        <f t="array" ref="O8">INDEX(
    INDEX(O:O,Control!$B$29):INDEX(O:O,100000),
    MATCH($A$8,INDEX($A:$A,Control!$B$29):INDEX($A:$A,100000),0)+MATCH($D8,INDEX($D:$D,Control!$B$31):INDEX($D:$D,Control!$B$32),0)-1,
    1)</f>
        <v>1</v>
      </c>
      <c r="P8" s="271" cm="1">
        <f t="array" ref="P8">INDEX(
    INDEX(P:P,Control!$B$29):INDEX(P:P,100000),
    MATCH($A$8,INDEX($A:$A,Control!$B$29):INDEX($A:$A,100000),0)+MATCH($D8,INDEX($D:$D,Control!$B$31):INDEX($D:$D,Control!$B$32),0)-1,
    1)</f>
        <v>1</v>
      </c>
      <c r="Q8" s="271" cm="1">
        <f t="array" ref="Q8">INDEX(
    INDEX(Q:Q,Control!$B$29):INDEX(Q:Q,100000),
    MATCH($A$8,INDEX($A:$A,Control!$B$29):INDEX($A:$A,100000),0)+MATCH($D8,INDEX($D:$D,Control!$B$31):INDEX($D:$D,Control!$B$32),0)-1,
    1)</f>
        <v>1</v>
      </c>
      <c r="R8" s="271" cm="1">
        <f t="array" ref="R8">INDEX(
    INDEX(R:R,Control!$B$29):INDEX(R:R,100000),
    MATCH($A$8,INDEX($A:$A,Control!$B$29):INDEX($A:$A,100000),0)+MATCH($D8,INDEX($D:$D,Control!$B$31):INDEX($D:$D,Control!$B$32),0)-1,
    1)</f>
        <v>1</v>
      </c>
      <c r="S8" s="271" cm="1">
        <f t="array" ref="S8">INDEX(
    INDEX(S:S,Control!$B$29):INDEX(S:S,100000),
    MATCH($A$8,INDEX($A:$A,Control!$B$29):INDEX($A:$A,100000),0)+MATCH($D8,INDEX($D:$D,Control!$B$31):INDEX($D:$D,Control!$B$32),0)-1,
    1)</f>
        <v>1</v>
      </c>
      <c r="T8" s="271" cm="1">
        <f t="array" ref="T8">INDEX(
    INDEX(T:T,Control!$B$29):INDEX(T:T,100000),
    MATCH($A$8,INDEX($A:$A,Control!$B$29):INDEX($A:$A,100000),0)+MATCH($D8,INDEX($D:$D,Control!$B$31):INDEX($D:$D,Control!$B$32),0)-1,
    1)</f>
        <v>1</v>
      </c>
      <c r="U8" s="271" cm="1">
        <f t="array" ref="U8">INDEX(
    INDEX(U:U,Control!$B$29):INDEX(U:U,100000),
    MATCH($A$8,INDEX($A:$A,Control!$B$29):INDEX($A:$A,100000),0)+MATCH($D8,INDEX($D:$D,Control!$B$31):INDEX($D:$D,Control!$B$32),0)-1,
    1)</f>
        <v>1</v>
      </c>
      <c r="V8" s="271" cm="1">
        <f t="array" ref="V8">INDEX(
    INDEX(V:V,Control!$B$29):INDEX(V:V,100000),
    MATCH($A$8,INDEX($A:$A,Control!$B$29):INDEX($A:$A,100000),0)+MATCH($D8,INDEX($D:$D,Control!$B$31):INDEX($D:$D,Control!$B$32),0)-1,
    1)</f>
        <v>1</v>
      </c>
      <c r="W8" s="271" cm="1">
        <f t="array" ref="W8">INDEX(
    INDEX(W:W,Control!$B$29):INDEX(W:W,100000),
    MATCH($A$8,INDEX($A:$A,Control!$B$29):INDEX($A:$A,100000),0)+MATCH($D8,INDEX($D:$D,Control!$B$31):INDEX($D:$D,Control!$B$32),0)-1,
    1)</f>
        <v>1</v>
      </c>
      <c r="X8" s="271" cm="1">
        <f t="array" ref="X8">INDEX(
    INDEX(X:X,Control!$B$29):INDEX(X:X,100000),
    MATCH($A$8,INDEX($A:$A,Control!$B$29):INDEX($A:$A,100000),0)+MATCH($D8,INDEX($D:$D,Control!$B$31):INDEX($D:$D,Control!$B$32),0)-1,
    1)</f>
        <v>1</v>
      </c>
      <c r="Y8" s="271" cm="1">
        <f t="array" ref="Y8">INDEX(
    INDEX(Y:Y,Control!$B$29):INDEX(Y:Y,100000),
    MATCH($A$8,INDEX($A:$A,Control!$B$29):INDEX($A:$A,100000),0)+MATCH($D8,INDEX($D:$D,Control!$B$31):INDEX($D:$D,Control!$B$32),0)-1,
    1)</f>
        <v>1</v>
      </c>
      <c r="Z8" s="271" cm="1">
        <f t="array" ref="Z8">INDEX(
    INDEX(Z:Z,Control!$B$29):INDEX(Z:Z,100000),
    MATCH($A$8,INDEX($A:$A,Control!$B$29):INDEX($A:$A,100000),0)+MATCH($D8,INDEX($D:$D,Control!$B$31):INDEX($D:$D,Control!$B$32),0)-1,
    1)</f>
        <v>1</v>
      </c>
      <c r="AA8" s="271" cm="1">
        <f t="array" ref="AA8">INDEX(
    INDEX(AA:AA,Control!$B$29):INDEX(AA:AA,100000),
    MATCH($A$8,INDEX($A:$A,Control!$B$29):INDEX($A:$A,100000),0)+MATCH($D8,INDEX($D:$D,Control!$B$31):INDEX($D:$D,Control!$B$32),0)-1,
    1)</f>
        <v>1</v>
      </c>
      <c r="AB8" s="271" cm="1">
        <f t="array" ref="AB8">INDEX(
    INDEX(AB:AB,Control!$B$29):INDEX(AB:AB,100000),
    MATCH($A$8,INDEX($A:$A,Control!$B$29):INDEX($A:$A,100000),0)+MATCH($D8,INDEX($D:$D,Control!$B$31):INDEX($D:$D,Control!$B$32),0)-1,
    1)</f>
        <v>1</v>
      </c>
      <c r="AC8" s="271" cm="1">
        <f t="array" ref="AC8">INDEX(
    INDEX(AC:AC,Control!$B$29):INDEX(AC:AC,100000),
    MATCH($A$8,INDEX($A:$A,Control!$B$29):INDEX($A:$A,100000),0)+MATCH($D8,INDEX($D:$D,Control!$B$31):INDEX($D:$D,Control!$B$32),0)-1,
    1)</f>
        <v>1</v>
      </c>
      <c r="AD8" s="271" cm="1">
        <f t="array" ref="AD8">INDEX(
    INDEX(AD:AD,Control!$B$29):INDEX(AD:AD,100000),
    MATCH($A$8,INDEX($A:$A,Control!$B$29):INDEX($A:$A,100000),0)+MATCH($D8,INDEX($D:$D,Control!$B$31):INDEX($D:$D,Control!$B$32),0)-1,
    1)</f>
        <v>1</v>
      </c>
      <c r="AE8" s="271" cm="1">
        <f t="array" ref="AE8">INDEX(
    INDEX(AE:AE,Control!$B$29):INDEX(AE:AE,100000),
    MATCH($A$8,INDEX($A:$A,Control!$B$29):INDEX($A:$A,100000),0)+MATCH($D8,INDEX($D:$D,Control!$B$31):INDEX($D:$D,Control!$B$32),0)-1,
    1)</f>
        <v>1</v>
      </c>
      <c r="AF8" s="271" cm="1">
        <f t="array" ref="AF8">INDEX(
    INDEX(AF:AF,Control!$B$29):INDEX(AF:AF,100000),
    MATCH($A$8,INDEX($A:$A,Control!$B$29):INDEX($A:$A,100000),0)+MATCH($D8,INDEX($D:$D,Control!$B$31):INDEX($D:$D,Control!$B$32),0)-1,
    1)</f>
        <v>1</v>
      </c>
      <c r="AG8" s="271" cm="1">
        <f t="array" ref="AG8">INDEX(
    INDEX(AG:AG,Control!$B$29):INDEX(AG:AG,100000),
    MATCH($A$8,INDEX($A:$A,Control!$B$29):INDEX($A:$A,100000),0)+MATCH($D8,INDEX($D:$D,Control!$B$31):INDEX($D:$D,Control!$B$32),0)-1,
    1)</f>
        <v>1</v>
      </c>
      <c r="AH8" s="271" cm="1">
        <f t="array" ref="AH8">INDEX(
    INDEX(AH:AH,Control!$B$29):INDEX(AH:AH,100000),
    MATCH($A$8,INDEX($A:$A,Control!$B$29):INDEX($A:$A,100000),0)+MATCH($D8,INDEX($D:$D,Control!$B$31):INDEX($D:$D,Control!$B$32),0)-1,
    1)</f>
        <v>1</v>
      </c>
      <c r="AI8" s="271" cm="1">
        <f t="array" ref="AI8">INDEX(
    INDEX(AI:AI,Control!$B$29):INDEX(AI:AI,100000),
    MATCH($A$8,INDEX($A:$A,Control!$B$29):INDEX($A:$A,100000),0)+MATCH($D8,INDEX($D:$D,Control!$B$31):INDEX($D:$D,Control!$B$32),0)-1,
    1)</f>
        <v>1</v>
      </c>
      <c r="AJ8" s="271" cm="1">
        <f t="array" ref="AJ8">INDEX(
    INDEX(AJ:AJ,Control!$B$29):INDEX(AJ:AJ,100000),
    MATCH($A$8,INDEX($A:$A,Control!$B$29):INDEX($A:$A,100000),0)+MATCH($D8,INDEX($D:$D,Control!$B$31):INDEX($D:$D,Control!$B$32),0)-1,
    1)</f>
        <v>1</v>
      </c>
      <c r="AK8" s="271" cm="1">
        <f t="array" ref="AK8">INDEX(
    INDEX(AK:AK,Control!$B$29):INDEX(AK:AK,100000),
    MATCH($A$8,INDEX($A:$A,Control!$B$29):INDEX($A:$A,100000),0)+MATCH($D8,INDEX($D:$D,Control!$B$31):INDEX($D:$D,Control!$B$32),0)-1,
    1)</f>
        <v>1</v>
      </c>
      <c r="AL8" s="271" cm="1">
        <f t="array" ref="AL8">INDEX(
    INDEX(AL:AL,Control!$B$29):INDEX(AL:AL,100000),
    MATCH($A$8,INDEX($A:$A,Control!$B$29):INDEX($A:$A,100000),0)+MATCH($D8,INDEX($D:$D,Control!$B$31):INDEX($D:$D,Control!$B$32),0)-1,
    1)</f>
        <v>1</v>
      </c>
      <c r="AM8" s="271" cm="1">
        <f t="array" ref="AM8">INDEX(
    INDEX(AM:AM,Control!$B$29):INDEX(AM:AM,100000),
    MATCH($A$8,INDEX($A:$A,Control!$B$29):INDEX($A:$A,100000),0)+MATCH($D8,INDEX($D:$D,Control!$B$31):INDEX($D:$D,Control!$B$32),0)-1,
    1)</f>
        <v>1</v>
      </c>
      <c r="AN8" s="271" cm="1">
        <f t="array" ref="AN8">INDEX(
    INDEX(AN:AN,Control!$B$29):INDEX(AN:AN,100000),
    MATCH($A$8,INDEX($A:$A,Control!$B$29):INDEX($A:$A,100000),0)+MATCH($D8,INDEX($D:$D,Control!$B$31):INDEX($D:$D,Control!$B$32),0)-1,
    1)</f>
        <v>0.98360999999999998</v>
      </c>
      <c r="AO8" s="269"/>
      <c r="AP8" s="269"/>
      <c r="AQ8" s="269"/>
    </row>
    <row r="9" spans="1:48" s="23" customFormat="1" x14ac:dyDescent="0.35">
      <c r="A9" s="6">
        <f>INDEX(
    $A$10:INDEX($A:$A,100000),
    MATCH($B$8,$B$10:INDEX($B:$B,100000),0),
    1)</f>
        <v>1</v>
      </c>
      <c r="B9" s="15"/>
      <c r="C9" s="295" t="s">
        <v>446</v>
      </c>
      <c r="D9" s="19" t="s">
        <v>323</v>
      </c>
      <c r="E9" s="19"/>
      <c r="F9" s="258" cm="1">
        <f t="array" ref="F9">INDEX(
    INDEX(F:F,Control!$B$29):INDEX(F:F,100000),
    MATCH($A$8,INDEX($A:$A,Control!$B$29):INDEX($A:$A,100000),0)+MATCH($D9,INDEX($D:$D,Control!$B$31):INDEX($D:$D,Control!$B$32),0)-1,
    1)</f>
        <v>0</v>
      </c>
      <c r="G9" s="258" cm="1">
        <f t="array" ref="G9">INDEX(
    INDEX(G:G,Control!$B$29):INDEX(G:G,100000),
    MATCH($A$8,INDEX($A:$A,Control!$B$29):INDEX($A:$A,100000),0)+MATCH($D9,INDEX($D:$D,Control!$B$31):INDEX($D:$D,Control!$B$32),0)-1,
    1)</f>
        <v>0</v>
      </c>
      <c r="H9" s="258" cm="1">
        <f t="array" ref="H9">INDEX(
    INDEX(H:H,Control!$B$29):INDEX(H:H,100000),
    MATCH($A$8,INDEX($A:$A,Control!$B$29):INDEX($A:$A,100000),0)+MATCH($D9,INDEX($D:$D,Control!$B$31):INDEX($D:$D,Control!$B$32),0)-1,
    1)</f>
        <v>0</v>
      </c>
      <c r="I9" s="258" cm="1">
        <f t="array" ref="I9">INDEX(
    INDEX(I:I,Control!$B$29):INDEX(I:I,100000),
    MATCH($A$8,INDEX($A:$A,Control!$B$29):INDEX($A:$A,100000),0)+MATCH($D9,INDEX($D:$D,Control!$B$31):INDEX($D:$D,Control!$B$32),0)-1,
    1)</f>
        <v>0</v>
      </c>
      <c r="J9" s="258" cm="1">
        <f t="array" ref="J9">INDEX(
    INDEX(J:J,Control!$B$29):INDEX(J:J,100000),
    MATCH($A$8,INDEX($A:$A,Control!$B$29):INDEX($A:$A,100000),0)+MATCH($D9,INDEX($D:$D,Control!$B$31):INDEX($D:$D,Control!$B$32),0)-1,
    1)</f>
        <v>0</v>
      </c>
      <c r="K9" s="258" cm="1">
        <f t="array" ref="K9">INDEX(
    INDEX(K:K,Control!$B$29):INDEX(K:K,100000),
    MATCH($A$8,INDEX($A:$A,Control!$B$29):INDEX($A:$A,100000),0)+MATCH($D9,INDEX($D:$D,Control!$B$31):INDEX($D:$D,Control!$B$32),0)-1,
    1)</f>
        <v>0</v>
      </c>
      <c r="L9" s="258" cm="1">
        <f t="array" ref="L9">INDEX(
    INDEX(L:L,Control!$B$29):INDEX(L:L,100000),
    MATCH($A$8,INDEX($A:$A,Control!$B$29):INDEX($A:$A,100000),0)+MATCH($D9,INDEX($D:$D,Control!$B$31):INDEX($D:$D,Control!$B$32),0)-1,
    1)</f>
        <v>0</v>
      </c>
      <c r="M9" s="258" cm="1">
        <f t="array" ref="M9">INDEX(
    INDEX(M:M,Control!$B$29):INDEX(M:M,100000),
    MATCH($A$8,INDEX($A:$A,Control!$B$29):INDEX($A:$A,100000),0)+MATCH($D9,INDEX($D:$D,Control!$B$31):INDEX($D:$D,Control!$B$32),0)-1,
    1)</f>
        <v>0</v>
      </c>
      <c r="N9" s="258" cm="1">
        <f t="array" ref="N9">INDEX(
    INDEX(N:N,Control!$B$29):INDEX(N:N,100000),
    MATCH($A$8,INDEX($A:$A,Control!$B$29):INDEX($A:$A,100000),0)+MATCH($D9,INDEX($D:$D,Control!$B$31):INDEX($D:$D,Control!$B$32),0)-1,
    1)</f>
        <v>0</v>
      </c>
      <c r="O9" s="258" cm="1">
        <f t="array" ref="O9">INDEX(
    INDEX(O:O,Control!$B$29):INDEX(O:O,100000),
    MATCH($A$8,INDEX($A:$A,Control!$B$29):INDEX($A:$A,100000),0)+MATCH($D9,INDEX($D:$D,Control!$B$31):INDEX($D:$D,Control!$B$32),0)-1,
    1)</f>
        <v>0</v>
      </c>
      <c r="P9" s="258" cm="1">
        <f t="array" ref="P9">INDEX(
    INDEX(P:P,Control!$B$29):INDEX(P:P,100000),
    MATCH($A$8,INDEX($A:$A,Control!$B$29):INDEX($A:$A,100000),0)+MATCH($D9,INDEX($D:$D,Control!$B$31):INDEX($D:$D,Control!$B$32),0)-1,
    1)</f>
        <v>0</v>
      </c>
      <c r="Q9" s="258" cm="1">
        <f t="array" ref="Q9">INDEX(
    INDEX(Q:Q,Control!$B$29):INDEX(Q:Q,100000),
    MATCH($A$8,INDEX($A:$A,Control!$B$29):INDEX($A:$A,100000),0)+MATCH($D9,INDEX($D:$D,Control!$B$31):INDEX($D:$D,Control!$B$32),0)-1,
    1)</f>
        <v>0</v>
      </c>
      <c r="R9" s="258" cm="1">
        <f t="array" ref="R9">INDEX(
    INDEX(R:R,Control!$B$29):INDEX(R:R,100000),
    MATCH($A$8,INDEX($A:$A,Control!$B$29):INDEX($A:$A,100000),0)+MATCH($D9,INDEX($D:$D,Control!$B$31):INDEX($D:$D,Control!$B$32),0)-1,
    1)</f>
        <v>0</v>
      </c>
      <c r="S9" s="258" cm="1">
        <f t="array" ref="S9">INDEX(
    INDEX(S:S,Control!$B$29):INDEX(S:S,100000),
    MATCH($A$8,INDEX($A:$A,Control!$B$29):INDEX($A:$A,100000),0)+MATCH($D9,INDEX($D:$D,Control!$B$31):INDEX($D:$D,Control!$B$32),0)-1,
    1)</f>
        <v>0</v>
      </c>
      <c r="T9" s="258" cm="1">
        <f t="array" ref="T9">INDEX(
    INDEX(T:T,Control!$B$29):INDEX(T:T,100000),
    MATCH($A$8,INDEX($A:$A,Control!$B$29):INDEX($A:$A,100000),0)+MATCH($D9,INDEX($D:$D,Control!$B$31):INDEX($D:$D,Control!$B$32),0)-1,
    1)</f>
        <v>0</v>
      </c>
      <c r="U9" s="258" cm="1">
        <f t="array" ref="U9">INDEX(
    INDEX(U:U,Control!$B$29):INDEX(U:U,100000),
    MATCH($A$8,INDEX($A:$A,Control!$B$29):INDEX($A:$A,100000),0)+MATCH($D9,INDEX($D:$D,Control!$B$31):INDEX($D:$D,Control!$B$32),0)-1,
    1)</f>
        <v>0</v>
      </c>
      <c r="V9" s="258" cm="1">
        <f t="array" ref="V9">INDEX(
    INDEX(V:V,Control!$B$29):INDEX(V:V,100000),
    MATCH($A$8,INDEX($A:$A,Control!$B$29):INDEX($A:$A,100000),0)+MATCH($D9,INDEX($D:$D,Control!$B$31):INDEX($D:$D,Control!$B$32),0)-1,
    1)</f>
        <v>0</v>
      </c>
      <c r="W9" s="258" cm="1">
        <f t="array" ref="W9">INDEX(
    INDEX(W:W,Control!$B$29):INDEX(W:W,100000),
    MATCH($A$8,INDEX($A:$A,Control!$B$29):INDEX($A:$A,100000),0)+MATCH($D9,INDEX($D:$D,Control!$B$31):INDEX($D:$D,Control!$B$32),0)-1,
    1)</f>
        <v>1</v>
      </c>
      <c r="X9" s="258" cm="1">
        <f t="array" ref="X9">INDEX(
    INDEX(X:X,Control!$B$29):INDEX(X:X,100000),
    MATCH($A$8,INDEX($A:$A,Control!$B$29):INDEX($A:$A,100000),0)+MATCH($D9,INDEX($D:$D,Control!$B$31):INDEX($D:$D,Control!$B$32),0)-1,
    1)</f>
        <v>1</v>
      </c>
      <c r="Y9" s="258" cm="1">
        <f t="array" ref="Y9">INDEX(
    INDEX(Y:Y,Control!$B$29):INDEX(Y:Y,100000),
    MATCH($A$8,INDEX($A:$A,Control!$B$29):INDEX($A:$A,100000),0)+MATCH($D9,INDEX($D:$D,Control!$B$31):INDEX($D:$D,Control!$B$32),0)-1,
    1)</f>
        <v>1</v>
      </c>
      <c r="Z9" s="258" cm="1">
        <f t="array" ref="Z9">INDEX(
    INDEX(Z:Z,Control!$B$29):INDEX(Z:Z,100000),
    MATCH($A$8,INDEX($A:$A,Control!$B$29):INDEX($A:$A,100000),0)+MATCH($D9,INDEX($D:$D,Control!$B$31):INDEX($D:$D,Control!$B$32),0)-1,
    1)</f>
        <v>1</v>
      </c>
      <c r="AA9" s="258" cm="1">
        <f t="array" ref="AA9">INDEX(
    INDEX(AA:AA,Control!$B$29):INDEX(AA:AA,100000),
    MATCH($A$8,INDEX($A:$A,Control!$B$29):INDEX($A:$A,100000),0)+MATCH($D9,INDEX($D:$D,Control!$B$31):INDEX($D:$D,Control!$B$32),0)-1,
    1)</f>
        <v>1</v>
      </c>
      <c r="AB9" s="258" cm="1">
        <f t="array" ref="AB9">INDEX(
    INDEX(AB:AB,Control!$B$29):INDEX(AB:AB,100000),
    MATCH($A$8,INDEX($A:$A,Control!$B$29):INDEX($A:$A,100000),0)+MATCH($D9,INDEX($D:$D,Control!$B$31):INDEX($D:$D,Control!$B$32),0)-1,
    1)</f>
        <v>1</v>
      </c>
      <c r="AC9" s="258" cm="1">
        <f t="array" ref="AC9">INDEX(
    INDEX(AC:AC,Control!$B$29):INDEX(AC:AC,100000),
    MATCH($A$8,INDEX($A:$A,Control!$B$29):INDEX($A:$A,100000),0)+MATCH($D9,INDEX($D:$D,Control!$B$31):INDEX($D:$D,Control!$B$32),0)-1,
    1)</f>
        <v>1</v>
      </c>
      <c r="AD9" s="258" cm="1">
        <f t="array" ref="AD9">INDEX(
    INDEX(AD:AD,Control!$B$29):INDEX(AD:AD,100000),
    MATCH($A$8,INDEX($A:$A,Control!$B$29):INDEX($A:$A,100000),0)+MATCH($D9,INDEX($D:$D,Control!$B$31):INDEX($D:$D,Control!$B$32),0)-1,
    1)</f>
        <v>1</v>
      </c>
      <c r="AE9" s="258" cm="1">
        <f t="array" ref="AE9">INDEX(
    INDEX(AE:AE,Control!$B$29):INDEX(AE:AE,100000),
    MATCH($A$8,INDEX($A:$A,Control!$B$29):INDEX($A:$A,100000),0)+MATCH($D9,INDEX($D:$D,Control!$B$31):INDEX($D:$D,Control!$B$32),0)-1,
    1)</f>
        <v>1</v>
      </c>
      <c r="AF9" s="258" cm="1">
        <f t="array" ref="AF9">INDEX(
    INDEX(AF:AF,Control!$B$29):INDEX(AF:AF,100000),
    MATCH($A$8,INDEX($A:$A,Control!$B$29):INDEX($A:$A,100000),0)+MATCH($D9,INDEX($D:$D,Control!$B$31):INDEX($D:$D,Control!$B$32),0)-1,
    1)</f>
        <v>1</v>
      </c>
      <c r="AG9" s="258" cm="1">
        <f t="array" ref="AG9">INDEX(
    INDEX(AG:AG,Control!$B$29):INDEX(AG:AG,100000),
    MATCH($A$8,INDEX($A:$A,Control!$B$29):INDEX($A:$A,100000),0)+MATCH($D9,INDEX($D:$D,Control!$B$31):INDEX($D:$D,Control!$B$32),0)-1,
    1)</f>
        <v>1</v>
      </c>
      <c r="AH9" s="258" cm="1">
        <f t="array" ref="AH9">INDEX(
    INDEX(AH:AH,Control!$B$29):INDEX(AH:AH,100000),
    MATCH($A$8,INDEX($A:$A,Control!$B$29):INDEX($A:$A,100000),0)+MATCH($D9,INDEX($D:$D,Control!$B$31):INDEX($D:$D,Control!$B$32),0)-1,
    1)</f>
        <v>1</v>
      </c>
      <c r="AI9" s="258" cm="1">
        <f t="array" ref="AI9">INDEX(
    INDEX(AI:AI,Control!$B$29):INDEX(AI:AI,100000),
    MATCH($A$8,INDEX($A:$A,Control!$B$29):INDEX($A:$A,100000),0)+MATCH($D9,INDEX($D:$D,Control!$B$31):INDEX($D:$D,Control!$B$32),0)-1,
    1)</f>
        <v>1</v>
      </c>
      <c r="AJ9" s="258" cm="1">
        <f t="array" ref="AJ9">INDEX(
    INDEX(AJ:AJ,Control!$B$29):INDEX(AJ:AJ,100000),
    MATCH($A$8,INDEX($A:$A,Control!$B$29):INDEX($A:$A,100000),0)+MATCH($D9,INDEX($D:$D,Control!$B$31):INDEX($D:$D,Control!$B$32),0)-1,
    1)</f>
        <v>1</v>
      </c>
      <c r="AK9" s="258" cm="1">
        <f t="array" ref="AK9">INDEX(
    INDEX(AK:AK,Control!$B$29):INDEX(AK:AK,100000),
    MATCH($A$8,INDEX($A:$A,Control!$B$29):INDEX($A:$A,100000),0)+MATCH($D9,INDEX($D:$D,Control!$B$31):INDEX($D:$D,Control!$B$32),0)-1,
    1)</f>
        <v>1</v>
      </c>
      <c r="AL9" s="258" cm="1">
        <f t="array" ref="AL9">INDEX(
    INDEX(AL:AL,Control!$B$29):INDEX(AL:AL,100000),
    MATCH($A$8,INDEX($A:$A,Control!$B$29):INDEX($A:$A,100000),0)+MATCH($D9,INDEX($D:$D,Control!$B$31):INDEX($D:$D,Control!$B$32),0)-1,
    1)</f>
        <v>1</v>
      </c>
      <c r="AM9" s="258" cm="1">
        <f t="array" ref="AM9">INDEX(
    INDEX(AM:AM,Control!$B$29):INDEX(AM:AM,100000),
    MATCH($A$8,INDEX($A:$A,Control!$B$29):INDEX($A:$A,100000),0)+MATCH($D9,INDEX($D:$D,Control!$B$31):INDEX($D:$D,Control!$B$32),0)-1,
    1)</f>
        <v>1</v>
      </c>
      <c r="AN9" s="258" cm="1">
        <f t="array" ref="AN9">INDEX(
    INDEX(AN:AN,Control!$B$29):INDEX(AN:AN,100000),
    MATCH($A$8,INDEX($A:$A,Control!$B$29):INDEX($A:$A,100000),0)+MATCH($D9,INDEX($D:$D,Control!$B$31):INDEX($D:$D,Control!$B$32),0)-1,
    1)</f>
        <v>1</v>
      </c>
      <c r="AO9" s="31"/>
      <c r="AP9" s="31"/>
      <c r="AQ9" s="31"/>
    </row>
    <row r="10" spans="1:48" s="23" customFormat="1" x14ac:dyDescent="0.35">
      <c r="A10" s="6"/>
      <c r="B10"/>
      <c r="C10" s="292" t="s">
        <v>230</v>
      </c>
      <c r="D10" s="19" t="s">
        <v>324</v>
      </c>
      <c r="E10" s="27"/>
      <c r="F10" s="35" cm="1">
        <f t="array" ref="F10">INDEX(
    INDEX(F:F,Control!$B$29):INDEX(F:F,100000),
    MATCH($A$8,INDEX($A:$A,Control!$B$29):INDEX($A:$A,100000),0)+MATCH($D10,INDEX($D:$D,Control!$B$31):INDEX($D:$D,Control!$B$32),0)-1,
    1)</f>
        <v>0</v>
      </c>
      <c r="G10" s="35" cm="1">
        <f t="array" ref="G10">INDEX(
    INDEX(G:G,Control!$B$29):INDEX(G:G,100000),
    MATCH($A$8,INDEX($A:$A,Control!$B$29):INDEX($A:$A,100000),0)+MATCH($D10,INDEX($D:$D,Control!$B$31):INDEX($D:$D,Control!$B$32),0)-1,
    1)</f>
        <v>1.4986999999999999</v>
      </c>
      <c r="H10" s="35" cm="1">
        <f t="array" ref="H10">INDEX(
    INDEX(H:H,Control!$B$29):INDEX(H:H,100000),
    MATCH($A$8,INDEX($A:$A,Control!$B$29):INDEX($A:$A,100000),0)+MATCH($D10,INDEX($D:$D,Control!$B$31):INDEX($D:$D,Control!$B$32),0)-1,
    1)</f>
        <v>1.50257</v>
      </c>
      <c r="I10" s="35" cm="1">
        <f t="array" ref="I10">INDEX(
    INDEX(I:I,Control!$B$29):INDEX(I:I,100000),
    MATCH($A$8,INDEX($A:$A,Control!$B$29):INDEX($A:$A,100000),0)+MATCH($D10,INDEX($D:$D,Control!$B$31):INDEX($D:$D,Control!$B$32),0)-1,
    1)</f>
        <v>1.5064900000000001</v>
      </c>
      <c r="J10" s="35" cm="1">
        <f t="array" ref="J10">INDEX(
    INDEX(J:J,Control!$B$29):INDEX(J:J,100000),
    MATCH($A$8,INDEX($A:$A,Control!$B$29):INDEX($A:$A,100000),0)+MATCH($D10,INDEX($D:$D,Control!$B$31):INDEX($D:$D,Control!$B$32),0)-1,
    1)</f>
        <v>1.49325</v>
      </c>
      <c r="K10" s="35" cm="1">
        <f t="array" ref="K10">INDEX(
    INDEX(K:K,Control!$B$29):INDEX(K:K,100000),
    MATCH($A$8,INDEX($A:$A,Control!$B$29):INDEX($A:$A,100000),0)+MATCH($D10,INDEX($D:$D,Control!$B$31):INDEX($D:$D,Control!$B$32),0)-1,
    1)</f>
        <v>1.5025900000000001</v>
      </c>
      <c r="L10" s="35" cm="1">
        <f t="array" ref="L10">INDEX(
    INDEX(L:L,Control!$B$29):INDEX(L:L,100000),
    MATCH($A$8,INDEX($A:$A,Control!$B$29):INDEX($A:$A,100000),0)+MATCH($D10,INDEX($D:$D,Control!$B$31):INDEX($D:$D,Control!$B$32),0)-1,
    1)</f>
        <v>1.4938100000000001</v>
      </c>
      <c r="M10" s="35" cm="1">
        <f t="array" ref="M10">INDEX(
    INDEX(M:M,Control!$B$29):INDEX(M:M,100000),
    MATCH($A$8,INDEX($A:$A,Control!$B$29):INDEX($A:$A,100000),0)+MATCH($D10,INDEX($D:$D,Control!$B$31):INDEX($D:$D,Control!$B$32),0)-1,
    1)</f>
        <v>1.5028900000000001</v>
      </c>
      <c r="N10" s="35" cm="1">
        <f t="array" ref="N10">INDEX(
    INDEX(N:N,Control!$B$29):INDEX(N:N,100000),
    MATCH($A$8,INDEX($A:$A,Control!$B$29):INDEX($A:$A,100000),0)+MATCH($D10,INDEX($D:$D,Control!$B$31):INDEX($D:$D,Control!$B$32),0)-1,
    1)</f>
        <v>1.5090600000000001</v>
      </c>
      <c r="O10" s="35" cm="1">
        <f t="array" ref="O10">INDEX(
    INDEX(O:O,Control!$B$29):INDEX(O:O,100000),
    MATCH($A$8,INDEX($A:$A,Control!$B$29):INDEX($A:$A,100000),0)+MATCH($D10,INDEX($D:$D,Control!$B$31):INDEX($D:$D,Control!$B$32),0)-1,
    1)</f>
        <v>1.5073799999999999</v>
      </c>
      <c r="P10" s="35" cm="1">
        <f t="array" ref="P10">INDEX(
    INDEX(P:P,Control!$B$29):INDEX(P:P,100000),
    MATCH($A$8,INDEX($A:$A,Control!$B$29):INDEX($A:$A,100000),0)+MATCH($D10,INDEX($D:$D,Control!$B$31):INDEX($D:$D,Control!$B$32),0)-1,
    1)</f>
        <v>1.50431</v>
      </c>
      <c r="Q10" s="35" cm="1">
        <f t="array" ref="Q10">INDEX(
    INDEX(Q:Q,Control!$B$29):INDEX(Q:Q,100000),
    MATCH($A$8,INDEX($A:$A,Control!$B$29):INDEX($A:$A,100000),0)+MATCH($D10,INDEX($D:$D,Control!$B$31):INDEX($D:$D,Control!$B$32),0)-1,
    1)</f>
        <v>1.50376</v>
      </c>
      <c r="R10" s="35" cm="1">
        <f t="array" ref="R10">INDEX(
    INDEX(R:R,Control!$B$29):INDEX(R:R,100000),
    MATCH($A$8,INDEX($A:$A,Control!$B$29):INDEX($A:$A,100000),0)+MATCH($D10,INDEX($D:$D,Control!$B$31):INDEX($D:$D,Control!$B$32),0)-1,
    1)</f>
        <v>1.49793</v>
      </c>
      <c r="S10" s="35" cm="1">
        <f t="array" ref="S10">INDEX(
    INDEX(S:S,Control!$B$29):INDEX(S:S,100000),
    MATCH($A$8,INDEX($A:$A,Control!$B$29):INDEX($A:$A,100000),0)+MATCH($D10,INDEX($D:$D,Control!$B$31):INDEX($D:$D,Control!$B$32),0)-1,
    1)</f>
        <v>1.50027</v>
      </c>
      <c r="T10" s="35" cm="1">
        <f t="array" ref="T10">INDEX(
    INDEX(T:T,Control!$B$29):INDEX(T:T,100000),
    MATCH($A$8,INDEX($A:$A,Control!$B$29):INDEX($A:$A,100000),0)+MATCH($D10,INDEX($D:$D,Control!$B$31):INDEX($D:$D,Control!$B$32),0)-1,
    1)</f>
        <v>1.5024299999999999</v>
      </c>
      <c r="U10" s="35" cm="1">
        <f t="array" ref="U10">INDEX(
    INDEX(U:U,Control!$B$29):INDEX(U:U,100000),
    MATCH($A$8,INDEX($A:$A,Control!$B$29):INDEX($A:$A,100000),0)+MATCH($D10,INDEX($D:$D,Control!$B$31):INDEX($D:$D,Control!$B$32),0)-1,
    1)</f>
        <v>1.50308</v>
      </c>
      <c r="V10" s="35" cm="1">
        <f t="array" ref="V10">INDEX(
    INDEX(V:V,Control!$B$29):INDEX(V:V,100000),
    MATCH($A$8,INDEX($A:$A,Control!$B$29):INDEX($A:$A,100000),0)+MATCH($D10,INDEX($D:$D,Control!$B$31):INDEX($D:$D,Control!$B$32),0)-1,
    1)</f>
        <v>1.50657</v>
      </c>
      <c r="W10" s="35" cm="1">
        <f t="array" ref="W10">INDEX(
    INDEX(W:W,Control!$B$29):INDEX(W:W,100000),
    MATCH($A$8,INDEX($A:$A,Control!$B$29):INDEX($A:$A,100000),0)+MATCH($D10,INDEX($D:$D,Control!$B$31):INDEX($D:$D,Control!$B$32),0)-1,
    1)</f>
        <v>1.5076400000000001</v>
      </c>
      <c r="X10" s="35" cm="1">
        <f t="array" ref="X10">INDEX(
    INDEX(X:X,Control!$B$29):INDEX(X:X,100000),
    MATCH($A$8,INDEX($A:$A,Control!$B$29):INDEX($A:$A,100000),0)+MATCH($D10,INDEX($D:$D,Control!$B$31):INDEX($D:$D,Control!$B$32),0)-1,
    1)</f>
        <v>1.5017</v>
      </c>
      <c r="Y10" s="35" cm="1">
        <f t="array" ref="Y10">INDEX(
    INDEX(Y:Y,Control!$B$29):INDEX(Y:Y,100000),
    MATCH($A$8,INDEX($A:$A,Control!$B$29):INDEX($A:$A,100000),0)+MATCH($D10,INDEX($D:$D,Control!$B$31):INDEX($D:$D,Control!$B$32),0)-1,
    1)</f>
        <v>1.50234</v>
      </c>
      <c r="Z10" s="35" cm="1">
        <f t="array" ref="Z10">INDEX(
    INDEX(Z:Z,Control!$B$29):INDEX(Z:Z,100000),
    MATCH($A$8,INDEX($A:$A,Control!$B$29):INDEX($A:$A,100000),0)+MATCH($D10,INDEX($D:$D,Control!$B$31):INDEX($D:$D,Control!$B$32),0)-1,
    1)</f>
        <v>1.50142</v>
      </c>
      <c r="AA10" s="35" cm="1">
        <f t="array" ref="AA10">INDEX(
    INDEX(AA:AA,Control!$B$29):INDEX(AA:AA,100000),
    MATCH($A$8,INDEX($A:$A,Control!$B$29):INDEX($A:$A,100000),0)+MATCH($D10,INDEX($D:$D,Control!$B$31):INDEX($D:$D,Control!$B$32),0)-1,
    1)</f>
        <v>1.49786</v>
      </c>
      <c r="AB10" s="35" cm="1">
        <f t="array" ref="AB10">INDEX(
    INDEX(AB:AB,Control!$B$29):INDEX(AB:AB,100000),
    MATCH($A$8,INDEX($A:$A,Control!$B$29):INDEX($A:$A,100000),0)+MATCH($D10,INDEX($D:$D,Control!$B$31):INDEX($D:$D,Control!$B$32),0)-1,
    1)</f>
        <v>1.50281</v>
      </c>
      <c r="AC10" s="35" cm="1">
        <f t="array" ref="AC10">INDEX(
    INDEX(AC:AC,Control!$B$29):INDEX(AC:AC,100000),
    MATCH($A$8,INDEX($A:$A,Control!$B$29):INDEX($A:$A,100000),0)+MATCH($D10,INDEX($D:$D,Control!$B$31):INDEX($D:$D,Control!$B$32),0)-1,
    1)</f>
        <v>1.4961800000000001</v>
      </c>
      <c r="AD10" s="35" cm="1">
        <f t="array" ref="AD10">INDEX(
    INDEX(AD:AD,Control!$B$29):INDEX(AD:AD,100000),
    MATCH($A$8,INDEX($A:$A,Control!$B$29):INDEX($A:$A,100000),0)+MATCH($D10,INDEX($D:$D,Control!$B$31):INDEX($D:$D,Control!$B$32),0)-1,
    1)</f>
        <v>1.50187</v>
      </c>
      <c r="AE10" s="35" cm="1">
        <f t="array" ref="AE10">INDEX(
    INDEX(AE:AE,Control!$B$29):INDEX(AE:AE,100000),
    MATCH($A$8,INDEX($A:$A,Control!$B$29):INDEX($A:$A,100000),0)+MATCH($D10,INDEX($D:$D,Control!$B$31):INDEX($D:$D,Control!$B$32),0)-1,
    1)</f>
        <v>1.5001599999999999</v>
      </c>
      <c r="AF10" s="35" cm="1">
        <f t="array" ref="AF10">INDEX(
    INDEX(AF:AF,Control!$B$29):INDEX(AF:AF,100000),
    MATCH($A$8,INDEX($A:$A,Control!$B$29):INDEX($A:$A,100000),0)+MATCH($D10,INDEX($D:$D,Control!$B$31):INDEX($D:$D,Control!$B$32),0)-1,
    1)</f>
        <v>1.50298</v>
      </c>
      <c r="AG10" s="35" cm="1">
        <f t="array" ref="AG10">INDEX(
    INDEX(AG:AG,Control!$B$29):INDEX(AG:AG,100000),
    MATCH($A$8,INDEX($A:$A,Control!$B$29):INDEX($A:$A,100000),0)+MATCH($D10,INDEX($D:$D,Control!$B$31):INDEX($D:$D,Control!$B$32),0)-1,
    1)</f>
        <v>1.50482</v>
      </c>
      <c r="AH10" s="35" cm="1">
        <f t="array" ref="AH10">INDEX(
    INDEX(AH:AH,Control!$B$29):INDEX(AH:AH,100000),
    MATCH($A$8,INDEX($A:$A,Control!$B$29):INDEX($A:$A,100000),0)+MATCH($D10,INDEX($D:$D,Control!$B$31):INDEX($D:$D,Control!$B$32),0)-1,
    1)</f>
        <v>1.50431</v>
      </c>
      <c r="AI10" s="35" cm="1">
        <f t="array" ref="AI10">INDEX(
    INDEX(AI:AI,Control!$B$29):INDEX(AI:AI,100000),
    MATCH($A$8,INDEX($A:$A,Control!$B$29):INDEX($A:$A,100000),0)+MATCH($D10,INDEX($D:$D,Control!$B$31):INDEX($D:$D,Control!$B$32),0)-1,
    1)</f>
        <v>1.4933000000000001</v>
      </c>
      <c r="AJ10" s="35" cm="1">
        <f t="array" ref="AJ10">INDEX(
    INDEX(AJ:AJ,Control!$B$29):INDEX(AJ:AJ,100000),
    MATCH($A$8,INDEX($A:$A,Control!$B$29):INDEX($A:$A,100000),0)+MATCH($D10,INDEX($D:$D,Control!$B$31):INDEX($D:$D,Control!$B$32),0)-1,
    1)</f>
        <v>1.50047</v>
      </c>
      <c r="AK10" s="35" cm="1">
        <f t="array" ref="AK10">INDEX(
    INDEX(AK:AK,Control!$B$29):INDEX(AK:AK,100000),
    MATCH($A$8,INDEX($A:$A,Control!$B$29):INDEX($A:$A,100000),0)+MATCH($D10,INDEX($D:$D,Control!$B$31):INDEX($D:$D,Control!$B$32),0)-1,
    1)</f>
        <v>1.4972700000000001</v>
      </c>
      <c r="AL10" s="35" cm="1">
        <f t="array" ref="AL10">INDEX(
    INDEX(AL:AL,Control!$B$29):INDEX(AL:AL,100000),
    MATCH($A$8,INDEX($A:$A,Control!$B$29):INDEX($A:$A,100000),0)+MATCH($D10,INDEX($D:$D,Control!$B$31):INDEX($D:$D,Control!$B$32),0)-1,
    1)</f>
        <v>1.49457</v>
      </c>
      <c r="AM10" s="35" cm="1">
        <f t="array" ref="AM10">INDEX(
    INDEX(AM:AM,Control!$B$29):INDEX(AM:AM,100000),
    MATCH($A$8,INDEX($A:$A,Control!$B$29):INDEX($A:$A,100000),0)+MATCH($D10,INDEX($D:$D,Control!$B$31):INDEX($D:$D,Control!$B$32),0)-1,
    1)</f>
        <v>1.5007299999999999</v>
      </c>
      <c r="AN10" s="35" cm="1">
        <f t="array" ref="AN10">INDEX(
    INDEX(AN:AN,Control!$B$29):INDEX(AN:AN,100000),
    MATCH($A$8,INDEX($A:$A,Control!$B$29):INDEX($A:$A,100000),0)+MATCH($D10,INDEX($D:$D,Control!$B$31):INDEX($D:$D,Control!$B$32),0)-1,
    1)</f>
        <v>1.4999400000000001</v>
      </c>
      <c r="AO10" s="31"/>
      <c r="AP10" s="31"/>
      <c r="AQ10" s="31"/>
    </row>
    <row r="11" spans="1:48" s="23" customFormat="1" x14ac:dyDescent="0.35">
      <c r="A11"/>
      <c r="B11"/>
      <c r="C11" s="292" t="s">
        <v>230</v>
      </c>
      <c r="D11" s="19" t="s">
        <v>325</v>
      </c>
      <c r="E11" s="19" t="s">
        <v>326</v>
      </c>
      <c r="F11" s="275" cm="1">
        <f t="array" ref="F11">INDEX(
    INDEX(F:F,Control!$B$29):INDEX(F:F,100000),
    MATCH($A$8,INDEX($A:$A,Control!$B$29):INDEX($A:$A,100000),0)+MATCH($D11,INDEX($D:$D,Control!$B$31):INDEX($D:$D,Control!$B$32),0)-1,
    1)</f>
        <v>0</v>
      </c>
      <c r="G11" s="275" cm="1">
        <f t="array" ref="G11">INDEX(
    INDEX(G:G,Control!$B$29):INDEX(G:G,100000),
    MATCH($A$8,INDEX($A:$A,Control!$B$29):INDEX($A:$A,100000),0)+MATCH($D11,INDEX($D:$D,Control!$B$31):INDEX($D:$D,Control!$B$32),0)-1,
    1)</f>
        <v>0.94977</v>
      </c>
      <c r="H11" s="275" cm="1">
        <f t="array" ref="H11">INDEX(
    INDEX(H:H,Control!$B$29):INDEX(H:H,100000),
    MATCH($A$8,INDEX($A:$A,Control!$B$29):INDEX($A:$A,100000),0)+MATCH($D11,INDEX($D:$D,Control!$B$31):INDEX($D:$D,Control!$B$32),0)-1,
    1)</f>
        <v>0.91749000000000003</v>
      </c>
      <c r="I11" s="275" cm="1">
        <f t="array" ref="I11">INDEX(
    INDEX(I:I,Control!$B$29):INDEX(I:I,100000),
    MATCH($A$8,INDEX($A:$A,Control!$B$29):INDEX($A:$A,100000),0)+MATCH($D11,INDEX($D:$D,Control!$B$31):INDEX($D:$D,Control!$B$32),0)-1,
    1)</f>
        <v>0.89312999999999998</v>
      </c>
      <c r="J11" s="275" cm="1">
        <f t="array" ref="J11">INDEX(
    INDEX(J:J,Control!$B$29):INDEX(J:J,100000),
    MATCH($A$8,INDEX($A:$A,Control!$B$29):INDEX($A:$A,100000),0)+MATCH($D11,INDEX($D:$D,Control!$B$31):INDEX($D:$D,Control!$B$32),0)-1,
    1)</f>
        <v>0.87263000000000002</v>
      </c>
      <c r="K11" s="275" cm="1">
        <f t="array" ref="K11">INDEX(
    INDEX(K:K,Control!$B$29):INDEX(K:K,100000),
    MATCH($A$8,INDEX($A:$A,Control!$B$29):INDEX($A:$A,100000),0)+MATCH($D11,INDEX($D:$D,Control!$B$31):INDEX($D:$D,Control!$B$32),0)-1,
    1)</f>
        <v>0.85307999999999995</v>
      </c>
      <c r="L11" s="275" cm="1">
        <f t="array" ref="L11">INDEX(
    INDEX(L:L,Control!$B$29):INDEX(L:L,100000),
    MATCH($A$8,INDEX($A:$A,Control!$B$29):INDEX($A:$A,100000),0)+MATCH($D11,INDEX($D:$D,Control!$B$31):INDEX($D:$D,Control!$B$32),0)-1,
    1)</f>
        <v>0.83438999999999997</v>
      </c>
      <c r="M11" s="275" cm="1">
        <f t="array" ref="M11">INDEX(
    INDEX(M:M,Control!$B$29):INDEX(M:M,100000),
    MATCH($A$8,INDEX($A:$A,Control!$B$29):INDEX($A:$A,100000),0)+MATCH($D11,INDEX($D:$D,Control!$B$31):INDEX($D:$D,Control!$B$32),0)-1,
    1)</f>
        <v>0.81586999999999998</v>
      </c>
      <c r="N11" s="275" cm="1">
        <f t="array" ref="N11">INDEX(
    INDEX(N:N,Control!$B$29):INDEX(N:N,100000),
    MATCH($A$8,INDEX($A:$A,Control!$B$29):INDEX($A:$A,100000),0)+MATCH($D11,INDEX($D:$D,Control!$B$31):INDEX($D:$D,Control!$B$32),0)-1,
    1)</f>
        <v>0.79803999999999997</v>
      </c>
      <c r="O11" s="275" cm="1">
        <f t="array" ref="O11">INDEX(
    INDEX(O:O,Control!$B$29):INDEX(O:O,100000),
    MATCH($A$8,INDEX($A:$A,Control!$B$29):INDEX($A:$A,100000),0)+MATCH($D11,INDEX($D:$D,Control!$B$31):INDEX($D:$D,Control!$B$32),0)-1,
    1)</f>
        <v>0.78113999999999995</v>
      </c>
      <c r="P11" s="275" cm="1">
        <f t="array" ref="P11">INDEX(
    INDEX(P:P,Control!$B$29):INDEX(P:P,100000),
    MATCH($A$8,INDEX($A:$A,Control!$B$29):INDEX($A:$A,100000),0)+MATCH($D11,INDEX($D:$D,Control!$B$31):INDEX($D:$D,Control!$B$32),0)-1,
    1)</f>
        <v>0.76505999999999996</v>
      </c>
      <c r="Q11" s="275" cm="1">
        <f t="array" ref="Q11">INDEX(
    INDEX(Q:Q,Control!$B$29):INDEX(Q:Q,100000),
    MATCH($A$8,INDEX($A:$A,Control!$B$29):INDEX($A:$A,100000),0)+MATCH($D11,INDEX($D:$D,Control!$B$31):INDEX($D:$D,Control!$B$32),0)-1,
    1)</f>
        <v>0.74944999999999995</v>
      </c>
      <c r="R11" s="275" cm="1">
        <f t="array" ref="R11">INDEX(
    INDEX(R:R,Control!$B$29):INDEX(R:R,100000),
    MATCH($A$8,INDEX($A:$A,Control!$B$29):INDEX($A:$A,100000),0)+MATCH($D11,INDEX($D:$D,Control!$B$31):INDEX($D:$D,Control!$B$32),0)-1,
    1)</f>
        <v>0.73441999999999996</v>
      </c>
      <c r="S11" s="275" cm="1">
        <f t="array" ref="S11">INDEX(
    INDEX(S:S,Control!$B$29):INDEX(S:S,100000),
    MATCH($A$8,INDEX($A:$A,Control!$B$29):INDEX($A:$A,100000),0)+MATCH($D11,INDEX($D:$D,Control!$B$31):INDEX($D:$D,Control!$B$32),0)-1,
    1)</f>
        <v>0.71950000000000003</v>
      </c>
      <c r="T11" s="275" cm="1">
        <f t="array" ref="T11">INDEX(
    INDEX(T:T,Control!$B$29):INDEX(T:T,100000),
    MATCH($A$8,INDEX($A:$A,Control!$B$29):INDEX($A:$A,100000),0)+MATCH($D11,INDEX($D:$D,Control!$B$31):INDEX($D:$D,Control!$B$32),0)-1,
    1)</f>
        <v>0.70457999999999998</v>
      </c>
      <c r="U11" s="275" cm="1">
        <f t="array" ref="U11">INDEX(
    INDEX(U:U,Control!$B$29):INDEX(U:U,100000),
    MATCH($A$8,INDEX($A:$A,Control!$B$29):INDEX($A:$A,100000),0)+MATCH($D11,INDEX($D:$D,Control!$B$31):INDEX($D:$D,Control!$B$32),0)-1,
    1)</f>
        <v>0.68964999999999999</v>
      </c>
      <c r="V11" s="275" cm="1">
        <f t="array" ref="V11">INDEX(
    INDEX(V:V,Control!$B$29):INDEX(V:V,100000),
    MATCH($A$8,INDEX($A:$A,Control!$B$29):INDEX($A:$A,100000),0)+MATCH($D11,INDEX($D:$D,Control!$B$31):INDEX($D:$D,Control!$B$32),0)-1,
    1)</f>
        <v>0.67464999999999997</v>
      </c>
      <c r="W11" s="275" cm="1">
        <f t="array" ref="W11">INDEX(
    INDEX(W:W,Control!$B$29):INDEX(W:W,100000),
    MATCH($A$8,INDEX($A:$A,Control!$B$29):INDEX($A:$A,100000),0)+MATCH($D11,INDEX($D:$D,Control!$B$31):INDEX($D:$D,Control!$B$32),0)-1,
    1)</f>
        <v>0.99917999999999996</v>
      </c>
      <c r="X11" s="275" cm="1">
        <f t="array" ref="X11">INDEX(
    INDEX(X:X,Control!$B$29):INDEX(X:X,100000),
    MATCH($A$8,INDEX($A:$A,Control!$B$29):INDEX($A:$A,100000),0)+MATCH($D11,INDEX($D:$D,Control!$B$31):INDEX($D:$D,Control!$B$32),0)-1,
    1)</f>
        <v>0.94903999999999999</v>
      </c>
      <c r="Y11" s="275" cm="1">
        <f t="array" ref="Y11">INDEX(
    INDEX(Y:Y,Control!$B$29):INDEX(Y:Y,100000),
    MATCH($A$8,INDEX($A:$A,Control!$B$29):INDEX($A:$A,100000),0)+MATCH($D11,INDEX($D:$D,Control!$B$31):INDEX($D:$D,Control!$B$32),0)-1,
    1)</f>
        <v>0.91712000000000005</v>
      </c>
      <c r="Z11" s="275" cm="1">
        <f t="array" ref="Z11">INDEX(
    INDEX(Z:Z,Control!$B$29):INDEX(Z:Z,100000),
    MATCH($A$8,INDEX($A:$A,Control!$B$29):INDEX($A:$A,100000),0)+MATCH($D11,INDEX($D:$D,Control!$B$31):INDEX($D:$D,Control!$B$32),0)-1,
    1)</f>
        <v>0.89285999999999999</v>
      </c>
      <c r="AA11" s="275" cm="1">
        <f t="array" ref="AA11">INDEX(
    INDEX(AA:AA,Control!$B$29):INDEX(AA:AA,100000),
    MATCH($A$8,INDEX($A:$A,Control!$B$29):INDEX($A:$A,100000),0)+MATCH($D11,INDEX($D:$D,Control!$B$31):INDEX($D:$D,Control!$B$32),0)-1,
    1)</f>
        <v>0.87224999999999997</v>
      </c>
      <c r="AB11" s="275" cm="1">
        <f t="array" ref="AB11">INDEX(
    INDEX(AB:AB,Control!$B$29):INDEX(AB:AB,100000),
    MATCH($A$8,INDEX($A:$A,Control!$B$29):INDEX($A:$A,100000),0)+MATCH($D11,INDEX($D:$D,Control!$B$31):INDEX($D:$D,Control!$B$32),0)-1,
    1)</f>
        <v>0.85274000000000005</v>
      </c>
      <c r="AC11" s="275" cm="1">
        <f t="array" ref="AC11">INDEX(
    INDEX(AC:AC,Control!$B$29):INDEX(AC:AC,100000),
    MATCH($A$8,INDEX($A:$A,Control!$B$29):INDEX($A:$A,100000),0)+MATCH($D11,INDEX($D:$D,Control!$B$31):INDEX($D:$D,Control!$B$32),0)-1,
    1)</f>
        <v>0.83404999999999996</v>
      </c>
      <c r="AD11" s="275" cm="1">
        <f t="array" ref="AD11">INDEX(
    INDEX(AD:AD,Control!$B$29):INDEX(AD:AD,100000),
    MATCH($A$8,INDEX($A:$A,Control!$B$29):INDEX($A:$A,100000),0)+MATCH($D11,INDEX($D:$D,Control!$B$31):INDEX($D:$D,Control!$B$32),0)-1,
    1)</f>
        <v>0.81559000000000004</v>
      </c>
      <c r="AE11" s="275" cm="1">
        <f t="array" ref="AE11">INDEX(
    INDEX(AE:AE,Control!$B$29):INDEX(AE:AE,100000),
    MATCH($A$8,INDEX($A:$A,Control!$B$29):INDEX($A:$A,100000),0)+MATCH($D11,INDEX($D:$D,Control!$B$31):INDEX($D:$D,Control!$B$32),0)-1,
    1)</f>
        <v>0.79783999999999999</v>
      </c>
      <c r="AF11" s="275" cm="1">
        <f t="array" ref="AF11">INDEX(
    INDEX(AF:AF,Control!$B$29):INDEX(AF:AF,100000),
    MATCH($A$8,INDEX($A:$A,Control!$B$29):INDEX($A:$A,100000),0)+MATCH($D11,INDEX($D:$D,Control!$B$31):INDEX($D:$D,Control!$B$32),0)-1,
    1)</f>
        <v>0.78088000000000002</v>
      </c>
      <c r="AG11" s="275" cm="1">
        <f t="array" ref="AG11">INDEX(
    INDEX(AG:AG,Control!$B$29):INDEX(AG:AG,100000),
    MATCH($A$8,INDEX($A:$A,Control!$B$29):INDEX($A:$A,100000),0)+MATCH($D11,INDEX($D:$D,Control!$B$31):INDEX($D:$D,Control!$B$32),0)-1,
    1)</f>
        <v>0.76478999999999997</v>
      </c>
      <c r="AH11" s="275" cm="1">
        <f t="array" ref="AH11">INDEX(
    INDEX(AH:AH,Control!$B$29):INDEX(AH:AH,100000),
    MATCH($A$8,INDEX($A:$A,Control!$B$29):INDEX($A:$A,100000),0)+MATCH($D11,INDEX($D:$D,Control!$B$31):INDEX($D:$D,Control!$B$32),0)-1,
    1)</f>
        <v>0.74919999999999998</v>
      </c>
      <c r="AI11" s="275" cm="1">
        <f t="array" ref="AI11">INDEX(
    INDEX(AI:AI,Control!$B$29):INDEX(AI:AI,100000),
    MATCH($A$8,INDEX($A:$A,Control!$B$29):INDEX($A:$A,100000),0)+MATCH($D11,INDEX($D:$D,Control!$B$31):INDEX($D:$D,Control!$B$32),0)-1,
    1)</f>
        <v>0.73421999999999998</v>
      </c>
      <c r="AJ11" s="275" cm="1">
        <f t="array" ref="AJ11">INDEX(
    INDEX(AJ:AJ,Control!$B$29):INDEX(AJ:AJ,100000),
    MATCH($A$8,INDEX($A:$A,Control!$B$29):INDEX($A:$A,100000),0)+MATCH($D11,INDEX($D:$D,Control!$B$31):INDEX($D:$D,Control!$B$32),0)-1,
    1)</f>
        <v>0.71921999999999997</v>
      </c>
      <c r="AK11" s="275" cm="1">
        <f t="array" ref="AK11">INDEX(
    INDEX(AK:AK,Control!$B$29):INDEX(AK:AK,100000),
    MATCH($A$8,INDEX($A:$A,Control!$B$29):INDEX($A:$A,100000),0)+MATCH($D11,INDEX($D:$D,Control!$B$31):INDEX($D:$D,Control!$B$32),0)-1,
    1)</f>
        <v>0.70438999999999996</v>
      </c>
      <c r="AL11" s="275" cm="1">
        <f t="array" ref="AL11">INDEX(
    INDEX(AL:AL,Control!$B$29):INDEX(AL:AL,100000),
    MATCH($A$8,INDEX($A:$A,Control!$B$29):INDEX($A:$A,100000),0)+MATCH($D11,INDEX($D:$D,Control!$B$31):INDEX($D:$D,Control!$B$32),0)-1,
    1)</f>
        <v>0.68949000000000005</v>
      </c>
      <c r="AM11" s="275" cm="1">
        <f t="array" ref="AM11">INDEX(
    INDEX(AM:AM,Control!$B$29):INDEX(AM:AM,100000),
    MATCH($A$8,INDEX($A:$A,Control!$B$29):INDEX($A:$A,100000),0)+MATCH($D11,INDEX($D:$D,Control!$B$31):INDEX($D:$D,Control!$B$32),0)-1,
    1)</f>
        <v>0.67444000000000004</v>
      </c>
      <c r="AN11" s="275" cm="1">
        <f t="array" ref="AN11">INDEX(
    INDEX(AN:AN,Control!$B$29):INDEX(AN:AN,100000),
    MATCH($A$8,INDEX($A:$A,Control!$B$29):INDEX($A:$A,100000),0)+MATCH($D11,INDEX($D:$D,Control!$B$31):INDEX($D:$D,Control!$B$32),0)-1,
    1)</f>
        <v>0</v>
      </c>
      <c r="AO11" s="31"/>
      <c r="AP11" s="31"/>
      <c r="AQ11" s="31"/>
    </row>
    <row r="12" spans="1:48" s="23" customFormat="1" x14ac:dyDescent="0.35">
      <c r="A12"/>
      <c r="B12" s="15"/>
      <c r="C12" s="292" t="s">
        <v>230</v>
      </c>
      <c r="D12" s="40" t="s">
        <v>327</v>
      </c>
      <c r="E12" s="40" t="s">
        <v>326</v>
      </c>
      <c r="F12" s="264" cm="1">
        <f t="array" ref="F12">INDEX(
    INDEX(F:F,Control!$B$29):INDEX(F:F,100000),
    MATCH($A$8,INDEX($A:$A,Control!$B$29):INDEX($A:$A,100000),0)+MATCH($D12,INDEX($D:$D,Control!$B$31):INDEX($D:$D,Control!$B$32),0)-1,
    1)</f>
        <v>0</v>
      </c>
      <c r="G12" s="264" cm="1">
        <f t="array" ref="G12">INDEX(
    INDEX(G:G,Control!$B$29):INDEX(G:G,100000),
    MATCH($A$8,INDEX($A:$A,Control!$B$29):INDEX($A:$A,100000),0)+MATCH($D12,INDEX($D:$D,Control!$B$31):INDEX($D:$D,Control!$B$32),0)-1,
    1)</f>
        <v>0.94903999999999999</v>
      </c>
      <c r="H12" s="264" cm="1">
        <f t="array" ref="H12">INDEX(
    INDEX(H:H,Control!$B$29):INDEX(H:H,100000),
    MATCH($A$8,INDEX($A:$A,Control!$B$29):INDEX($A:$A,100000),0)+MATCH($D12,INDEX($D:$D,Control!$B$31):INDEX($D:$D,Control!$B$32),0)-1,
    1)</f>
        <v>0.91608999999999996</v>
      </c>
      <c r="I12" s="264" cm="1">
        <f t="array" ref="I12">INDEX(
    INDEX(I:I,Control!$B$29):INDEX(I:I,100000),
    MATCH($A$8,INDEX($A:$A,Control!$B$29):INDEX($A:$A,100000),0)+MATCH($D12,INDEX($D:$D,Control!$B$31):INDEX($D:$D,Control!$B$32),0)-1,
    1)</f>
        <v>0.89109000000000005</v>
      </c>
      <c r="J12" s="264" cm="1">
        <f t="array" ref="J12">INDEX(
    INDEX(J:J,Control!$B$29):INDEX(J:J,100000),
    MATCH($A$8,INDEX($A:$A,Control!$B$29):INDEX($A:$A,100000),0)+MATCH($D12,INDEX($D:$D,Control!$B$31):INDEX($D:$D,Control!$B$32),0)-1,
    1)</f>
        <v>0.86997000000000002</v>
      </c>
      <c r="K12" s="264" cm="1">
        <f t="array" ref="K12">INDEX(
    INDEX(K:K,Control!$B$29):INDEX(K:K,100000),
    MATCH($A$8,INDEX($A:$A,Control!$B$29):INDEX($A:$A,100000),0)+MATCH($D12,INDEX($D:$D,Control!$B$31):INDEX($D:$D,Control!$B$32),0)-1,
    1)</f>
        <v>0.84982999999999997</v>
      </c>
      <c r="L12" s="264" cm="1">
        <f t="array" ref="L12">INDEX(
    INDEX(L:L,Control!$B$29):INDEX(L:L,100000),
    MATCH($A$8,INDEX($A:$A,Control!$B$29):INDEX($A:$A,100000),0)+MATCH($D12,INDEX($D:$D,Control!$B$31):INDEX($D:$D,Control!$B$32),0)-1,
    1)</f>
        <v>0.83057000000000003</v>
      </c>
      <c r="M12" s="264" cm="1">
        <f t="array" ref="M12">INDEX(
    INDEX(M:M,Control!$B$29):INDEX(M:M,100000),
    MATCH($A$8,INDEX($A:$A,Control!$B$29):INDEX($A:$A,100000),0)+MATCH($D12,INDEX($D:$D,Control!$B$31):INDEX($D:$D,Control!$B$32),0)-1,
    1)</f>
        <v>0.81150999999999995</v>
      </c>
      <c r="N12" s="264" cm="1">
        <f t="array" ref="N12">INDEX(
    INDEX(N:N,Control!$B$29):INDEX(N:N,100000),
    MATCH($A$8,INDEX($A:$A,Control!$B$29):INDEX($A:$A,100000),0)+MATCH($D12,INDEX($D:$D,Control!$B$31):INDEX($D:$D,Control!$B$32),0)-1,
    1)</f>
        <v>0.79317000000000004</v>
      </c>
      <c r="O12" s="264" cm="1">
        <f t="array" ref="O12">INDEX(
    INDEX(O:O,Control!$B$29):INDEX(O:O,100000),
    MATCH($A$8,INDEX($A:$A,Control!$B$29):INDEX($A:$A,100000),0)+MATCH($D12,INDEX($D:$D,Control!$B$31):INDEX($D:$D,Control!$B$32),0)-1,
    1)</f>
        <v>0.77576999999999996</v>
      </c>
      <c r="P12" s="264" cm="1">
        <f t="array" ref="P12">INDEX(
    INDEX(P:P,Control!$B$29):INDEX(P:P,100000),
    MATCH($A$8,INDEX($A:$A,Control!$B$29):INDEX($A:$A,100000),0)+MATCH($D12,INDEX($D:$D,Control!$B$31):INDEX($D:$D,Control!$B$32),0)-1,
    1)</f>
        <v>0.75921000000000005</v>
      </c>
      <c r="Q12" s="264" cm="1">
        <f t="array" ref="Q12">INDEX(
    INDEX(Q:Q,Control!$B$29):INDEX(Q:Q,100000),
    MATCH($A$8,INDEX($A:$A,Control!$B$29):INDEX($A:$A,100000),0)+MATCH($D12,INDEX($D:$D,Control!$B$31):INDEX($D:$D,Control!$B$32),0)-1,
    1)</f>
        <v>0.74314999999999998</v>
      </c>
      <c r="R12" s="264" cm="1">
        <f t="array" ref="R12">INDEX(
    INDEX(R:R,Control!$B$29):INDEX(R:R,100000),
    MATCH($A$8,INDEX($A:$A,Control!$B$29):INDEX($A:$A,100000),0)+MATCH($D12,INDEX($D:$D,Control!$B$31):INDEX($D:$D,Control!$B$32),0)-1,
    1)</f>
        <v>0.72767999999999999</v>
      </c>
      <c r="S12" s="264" cm="1">
        <f t="array" ref="S12">INDEX(
    INDEX(S:S,Control!$B$29):INDEX(S:S,100000),
    MATCH($A$8,INDEX($A:$A,Control!$B$29):INDEX($A:$A,100000),0)+MATCH($D12,INDEX($D:$D,Control!$B$31):INDEX($D:$D,Control!$B$32),0)-1,
    1)</f>
        <v>0.71233999999999997</v>
      </c>
      <c r="T12" s="264" cm="1">
        <f t="array" ref="T12">INDEX(
    INDEX(T:T,Control!$B$29):INDEX(T:T,100000),
    MATCH($A$8,INDEX($A:$A,Control!$B$29):INDEX($A:$A,100000),0)+MATCH($D12,INDEX($D:$D,Control!$B$31):INDEX($D:$D,Control!$B$32),0)-1,
    1)</f>
        <v>0.69703000000000004</v>
      </c>
      <c r="U12" s="264" cm="1">
        <f t="array" ref="U12">INDEX(
    INDEX(U:U,Control!$B$29):INDEX(U:U,100000),
    MATCH($A$8,INDEX($A:$A,Control!$B$29):INDEX($A:$A,100000),0)+MATCH($D12,INDEX($D:$D,Control!$B$31):INDEX($D:$D,Control!$B$32),0)-1,
    1)</f>
        <v>0.68171999999999999</v>
      </c>
      <c r="V12" s="264" cm="1">
        <f t="array" ref="V12">INDEX(
    INDEX(V:V,Control!$B$29):INDEX(V:V,100000),
    MATCH($A$8,INDEX($A:$A,Control!$B$29):INDEX($A:$A,100000),0)+MATCH($D12,INDEX($D:$D,Control!$B$31):INDEX($D:$D,Control!$B$32),0)-1,
    1)</f>
        <v>0.66637999999999997</v>
      </c>
      <c r="W12" s="264" cm="1">
        <f t="array" ref="W12">INDEX(
    INDEX(W:W,Control!$B$29):INDEX(W:W,100000),
    MATCH($A$8,INDEX($A:$A,Control!$B$29):INDEX($A:$A,100000),0)+MATCH($D12,INDEX($D:$D,Control!$B$31):INDEX($D:$D,Control!$B$32),0)-1,
    1)</f>
        <v>0.99916000000000005</v>
      </c>
      <c r="X12" s="264" cm="1">
        <f t="array" ref="X12">INDEX(
    INDEX(X:X,Control!$B$29):INDEX(X:X,100000),
    MATCH($A$8,INDEX($A:$A,Control!$B$29):INDEX($A:$A,100000),0)+MATCH($D12,INDEX($D:$D,Control!$B$31):INDEX($D:$D,Control!$B$32),0)-1,
    1)</f>
        <v>0.94830999999999999</v>
      </c>
      <c r="Y12" s="264" cm="1">
        <f t="array" ref="Y12">INDEX(
    INDEX(Y:Y,Control!$B$29):INDEX(Y:Y,100000),
    MATCH($A$8,INDEX($A:$A,Control!$B$29):INDEX($A:$A,100000),0)+MATCH($D12,INDEX($D:$D,Control!$B$31):INDEX($D:$D,Control!$B$32),0)-1,
    1)</f>
        <v>0.91571999999999998</v>
      </c>
      <c r="Z12" s="264" cm="1">
        <f t="array" ref="Z12">INDEX(
    INDEX(Z:Z,Control!$B$29):INDEX(Z:Z,100000),
    MATCH($A$8,INDEX($A:$A,Control!$B$29):INDEX($A:$A,100000),0)+MATCH($D12,INDEX($D:$D,Control!$B$31):INDEX($D:$D,Control!$B$32),0)-1,
    1)</f>
        <v>0.89080000000000004</v>
      </c>
      <c r="AA12" s="264" cm="1">
        <f t="array" ref="AA12">INDEX(
    INDEX(AA:AA,Control!$B$29):INDEX(AA:AA,100000),
    MATCH($A$8,INDEX($A:$A,Control!$B$29):INDEX($A:$A,100000),0)+MATCH($D12,INDEX($D:$D,Control!$B$31):INDEX($D:$D,Control!$B$32),0)-1,
    1)</f>
        <v>0.86958000000000002</v>
      </c>
      <c r="AB12" s="264" cm="1">
        <f t="array" ref="AB12">INDEX(
    INDEX(AB:AB,Control!$B$29):INDEX(AB:AB,100000),
    MATCH($A$8,INDEX($A:$A,Control!$B$29):INDEX($A:$A,100000),0)+MATCH($D12,INDEX($D:$D,Control!$B$31):INDEX($D:$D,Control!$B$32),0)-1,
    1)</f>
        <v>0.84948000000000001</v>
      </c>
      <c r="AC12" s="264" cm="1">
        <f t="array" ref="AC12">INDEX(
    INDEX(AC:AC,Control!$B$29):INDEX(AC:AC,100000),
    MATCH($A$8,INDEX($A:$A,Control!$B$29):INDEX($A:$A,100000),0)+MATCH($D12,INDEX($D:$D,Control!$B$31):INDEX($D:$D,Control!$B$32),0)-1,
    1)</f>
        <v>0.83021999999999996</v>
      </c>
      <c r="AD12" s="264" cm="1">
        <f t="array" ref="AD12">INDEX(
    INDEX(AD:AD,Control!$B$29):INDEX(AD:AD,100000),
    MATCH($A$8,INDEX($A:$A,Control!$B$29):INDEX($A:$A,100000),0)+MATCH($D12,INDEX($D:$D,Control!$B$31):INDEX($D:$D,Control!$B$32),0)-1,
    1)</f>
        <v>0.81122000000000005</v>
      </c>
      <c r="AE12" s="264" cm="1">
        <f t="array" ref="AE12">INDEX(
    INDEX(AE:AE,Control!$B$29):INDEX(AE:AE,100000),
    MATCH($A$8,INDEX($A:$A,Control!$B$29):INDEX($A:$A,100000),0)+MATCH($D12,INDEX($D:$D,Control!$B$31):INDEX($D:$D,Control!$B$32),0)-1,
    1)</f>
        <v>0.79296</v>
      </c>
      <c r="AF12" s="264" cm="1">
        <f t="array" ref="AF12">INDEX(
    INDEX(AF:AF,Control!$B$29):INDEX(AF:AF,100000),
    MATCH($A$8,INDEX($A:$A,Control!$B$29):INDEX($A:$A,100000),0)+MATCH($D12,INDEX($D:$D,Control!$B$31):INDEX($D:$D,Control!$B$32),0)-1,
    1)</f>
        <v>0.77549999999999997</v>
      </c>
      <c r="AG12" s="264" cm="1">
        <f t="array" ref="AG12">INDEX(
    INDEX(AG:AG,Control!$B$29):INDEX(AG:AG,100000),
    MATCH($A$8,INDEX($A:$A,Control!$B$29):INDEX($A:$A,100000),0)+MATCH($D12,INDEX($D:$D,Control!$B$31):INDEX($D:$D,Control!$B$32),0)-1,
    1)</f>
        <v>0.75892999999999999</v>
      </c>
      <c r="AH12" s="264" cm="1">
        <f t="array" ref="AH12">INDEX(
    INDEX(AH:AH,Control!$B$29):INDEX(AH:AH,100000),
    MATCH($A$8,INDEX($A:$A,Control!$B$29):INDEX($A:$A,100000),0)+MATCH($D12,INDEX($D:$D,Control!$B$31):INDEX($D:$D,Control!$B$32),0)-1,
    1)</f>
        <v>0.74289000000000005</v>
      </c>
      <c r="AI12" s="264" cm="1">
        <f t="array" ref="AI12">INDEX(
    INDEX(AI:AI,Control!$B$29):INDEX(AI:AI,100000),
    MATCH($A$8,INDEX($A:$A,Control!$B$29):INDEX($A:$A,100000),0)+MATCH($D12,INDEX($D:$D,Control!$B$31):INDEX($D:$D,Control!$B$32),0)-1,
    1)</f>
        <v>0.72748000000000002</v>
      </c>
      <c r="AJ12" s="264" cm="1">
        <f t="array" ref="AJ12">INDEX(
    INDEX(AJ:AJ,Control!$B$29):INDEX(AJ:AJ,100000),
    MATCH($A$8,INDEX($A:$A,Control!$B$29):INDEX($A:$A,100000),0)+MATCH($D12,INDEX($D:$D,Control!$B$31):INDEX($D:$D,Control!$B$32),0)-1,
    1)</f>
        <v>0.71204999999999996</v>
      </c>
      <c r="AK12" s="264" cm="1">
        <f t="array" ref="AK12">INDEX(
    INDEX(AK:AK,Control!$B$29):INDEX(AK:AK,100000),
    MATCH($A$8,INDEX($A:$A,Control!$B$29):INDEX($A:$A,100000),0)+MATCH($D12,INDEX($D:$D,Control!$B$31):INDEX($D:$D,Control!$B$32),0)-1,
    1)</f>
        <v>0.69682999999999995</v>
      </c>
      <c r="AL12" s="264" cm="1">
        <f t="array" ref="AL12">INDEX(
    INDEX(AL:AL,Control!$B$29):INDEX(AL:AL,100000),
    MATCH($A$8,INDEX($A:$A,Control!$B$29):INDEX($A:$A,100000),0)+MATCH($D12,INDEX($D:$D,Control!$B$31):INDEX($D:$D,Control!$B$32),0)-1,
    1)</f>
        <v>0.68156000000000005</v>
      </c>
      <c r="AM12" s="264" cm="1">
        <f t="array" ref="AM12">INDEX(
    INDEX(AM:AM,Control!$B$29):INDEX(AM:AM,100000),
    MATCH($A$8,INDEX($A:$A,Control!$B$29):INDEX($A:$A,100000),0)+MATCH($D12,INDEX($D:$D,Control!$B$31):INDEX($D:$D,Control!$B$32),0)-1,
    1)</f>
        <v>0.66617000000000004</v>
      </c>
      <c r="AN12" s="264" cm="1">
        <f t="array" ref="AN12">INDEX(
    INDEX(AN:AN,Control!$B$29):INDEX(AN:AN,100000),
    MATCH($A$8,INDEX($A:$A,Control!$B$29):INDEX($A:$A,100000),0)+MATCH($D12,INDEX($D:$D,Control!$B$31):INDEX($D:$D,Control!$B$32),0)-1,
    1)</f>
        <v>0</v>
      </c>
      <c r="AO12" s="30"/>
      <c r="AP12" s="30"/>
      <c r="AQ12" s="30"/>
    </row>
    <row r="13" spans="1:48" s="23" customFormat="1" x14ac:dyDescent="0.35">
      <c r="A13"/>
      <c r="C13" s="296" t="s">
        <v>447</v>
      </c>
      <c r="D13" s="19" t="s">
        <v>328</v>
      </c>
      <c r="E13" s="19" t="s">
        <v>217</v>
      </c>
      <c r="F13" s="258" cm="1">
        <f t="array" ref="F13">INDEX(
    INDEX(F:F,Control!$B$29):INDEX(F:F,100000),
    MATCH($A$8,INDEX($A:$A,Control!$B$29):INDEX($A:$A,100000),0)+MATCH($D13,INDEX($D:$D,Control!$B$31):INDEX($D:$D,Control!$B$32),0)-1,
    1)</f>
        <v>0</v>
      </c>
      <c r="G13" s="258" cm="1">
        <f t="array" ref="G13">INDEX(
    INDEX(G:G,Control!$B$29):INDEX(G:G,100000),
    MATCH($A$8,INDEX($A:$A,Control!$B$29):INDEX($A:$A,100000),0)+MATCH($D13,INDEX($D:$D,Control!$B$31):INDEX($D:$D,Control!$B$32),0)-1,
    1)</f>
        <v>472.44644</v>
      </c>
      <c r="H13" s="258" cm="1">
        <f t="array" ref="H13">INDEX(
    INDEX(H:H,Control!$B$29):INDEX(H:H,100000),
    MATCH($A$8,INDEX($A:$A,Control!$B$29):INDEX($A:$A,100000),0)+MATCH($D13,INDEX($D:$D,Control!$B$31):INDEX($D:$D,Control!$B$32),0)-1,
    1)</f>
        <v>457.76517000000001</v>
      </c>
      <c r="I13" s="258" cm="1">
        <f t="array" ref="I13">INDEX(
    INDEX(I:I,Control!$B$29):INDEX(I:I,100000),
    MATCH($A$8,INDEX($A:$A,Control!$B$29):INDEX($A:$A,100000),0)+MATCH($D13,INDEX($D:$D,Control!$B$31):INDEX($D:$D,Control!$B$32),0)-1,
    1)</f>
        <v>424.97190000000001</v>
      </c>
      <c r="J13" s="258" cm="1">
        <f t="array" ref="J13">INDEX(
    INDEX(J:J,Control!$B$29):INDEX(J:J,100000),
    MATCH($A$8,INDEX($A:$A,Control!$B$29):INDEX($A:$A,100000),0)+MATCH($D13,INDEX($D:$D,Control!$B$31):INDEX($D:$D,Control!$B$32),0)-1,
    1)</f>
        <v>381.54644000000002</v>
      </c>
      <c r="K13" s="258" cm="1">
        <f t="array" ref="K13">INDEX(
    INDEX(K:K,Control!$B$29):INDEX(K:K,100000),
    MATCH($A$8,INDEX($A:$A,Control!$B$29):INDEX($A:$A,100000),0)+MATCH($D13,INDEX($D:$D,Control!$B$31):INDEX($D:$D,Control!$B$32),0)-1,
    1)</f>
        <v>388.63801999999998</v>
      </c>
      <c r="L13" s="258" cm="1">
        <f t="array" ref="L13">INDEX(
    INDEX(L:L,Control!$B$29):INDEX(L:L,100000),
    MATCH($A$8,INDEX($A:$A,Control!$B$29):INDEX($A:$A,100000),0)+MATCH($D13,INDEX($D:$D,Control!$B$31):INDEX($D:$D,Control!$B$32),0)-1,
    1)</f>
        <v>371.50794999999999</v>
      </c>
      <c r="M13" s="258" cm="1">
        <f t="array" ref="M13">INDEX(
    INDEX(M:M,Control!$B$29):INDEX(M:M,100000),
    MATCH($A$8,INDEX($A:$A,Control!$B$29):INDEX($A:$A,100000),0)+MATCH($D13,INDEX($D:$D,Control!$B$31):INDEX($D:$D,Control!$B$32),0)-1,
    1)</f>
        <v>351.93826000000001</v>
      </c>
      <c r="N13" s="258" cm="1">
        <f t="array" ref="N13">INDEX(
    INDEX(N:N,Control!$B$29):INDEX(N:N,100000),
    MATCH($A$8,INDEX($A:$A,Control!$B$29):INDEX($A:$A,100000),0)+MATCH($D13,INDEX($D:$D,Control!$B$31):INDEX($D:$D,Control!$B$32),0)-1,
    1)</f>
        <v>314.72487999999998</v>
      </c>
      <c r="O13" s="258" cm="1">
        <f t="array" ref="O13">INDEX(
    INDEX(O:O,Control!$B$29):INDEX(O:O,100000),
    MATCH($A$8,INDEX($A:$A,Control!$B$29):INDEX($A:$A,100000),0)+MATCH($D13,INDEX($D:$D,Control!$B$31):INDEX($D:$D,Control!$B$32),0)-1,
    1)</f>
        <v>289.63630000000001</v>
      </c>
      <c r="P13" s="258" cm="1">
        <f t="array" ref="P13">INDEX(
    INDEX(P:P,Control!$B$29):INDEX(P:P,100000),
    MATCH($A$8,INDEX($A:$A,Control!$B$29):INDEX($A:$A,100000),0)+MATCH($D13,INDEX($D:$D,Control!$B$31):INDEX($D:$D,Control!$B$32),0)-1,
    1)</f>
        <v>254.90412000000001</v>
      </c>
      <c r="Q13" s="258" cm="1">
        <f t="array" ref="Q13">INDEX(
    INDEX(Q:Q,Control!$B$29):INDEX(Q:Q,100000),
    MATCH($A$8,INDEX($A:$A,Control!$B$29):INDEX($A:$A,100000),0)+MATCH($D13,INDEX($D:$D,Control!$B$31):INDEX($D:$D,Control!$B$32),0)-1,
    1)</f>
        <v>251.57507000000001</v>
      </c>
      <c r="R13" s="258" cm="1">
        <f t="array" ref="R13">INDEX(
    INDEX(R:R,Control!$B$29):INDEX(R:R,100000),
    MATCH($A$8,INDEX($A:$A,Control!$B$29):INDEX($A:$A,100000),0)+MATCH($D13,INDEX($D:$D,Control!$B$31):INDEX($D:$D,Control!$B$32),0)-1,
    1)</f>
        <v>228.05125000000001</v>
      </c>
      <c r="S13" s="258" cm="1">
        <f t="array" ref="S13">INDEX(
    INDEX(S:S,Control!$B$29):INDEX(S:S,100000),
    MATCH($A$8,INDEX($A:$A,Control!$B$29):INDEX($A:$A,100000),0)+MATCH($D13,INDEX($D:$D,Control!$B$31):INDEX($D:$D,Control!$B$32),0)-1,
    1)</f>
        <v>211.33808999999999</v>
      </c>
      <c r="T13" s="258" cm="1">
        <f t="array" ref="T13">INDEX(
    INDEX(T:T,Control!$B$29):INDEX(T:T,100000),
    MATCH($A$8,INDEX($A:$A,Control!$B$29):INDEX($A:$A,100000),0)+MATCH($D13,INDEX($D:$D,Control!$B$31):INDEX($D:$D,Control!$B$32),0)-1,
    1)</f>
        <v>204.04768000000001</v>
      </c>
      <c r="U13" s="258" cm="1">
        <f t="array" ref="U13">INDEX(
    INDEX(U:U,Control!$B$29):INDEX(U:U,100000),
    MATCH($A$8,INDEX($A:$A,Control!$B$29):INDEX($A:$A,100000),0)+MATCH($D13,INDEX($D:$D,Control!$B$31):INDEX($D:$D,Control!$B$32),0)-1,
    1)</f>
        <v>193.47796</v>
      </c>
      <c r="V13" s="258" cm="1">
        <f t="array" ref="V13">INDEX(
    INDEX(V:V,Control!$B$29):INDEX(V:V,100000),
    MATCH($A$8,INDEX($A:$A,Control!$B$29):INDEX($A:$A,100000),0)+MATCH($D13,INDEX($D:$D,Control!$B$31):INDEX($D:$D,Control!$B$32),0)-1,
    1)</f>
        <v>177.22110000000001</v>
      </c>
      <c r="W13" s="258" cm="1">
        <f t="array" ref="W13">INDEX(
    INDEX(W:W,Control!$B$29):INDEX(W:W,100000),
    MATCH($A$8,INDEX($A:$A,Control!$B$29):INDEX($A:$A,100000),0)+MATCH($D13,INDEX($D:$D,Control!$B$31):INDEX($D:$D,Control!$B$32),0)-1,
    1)</f>
        <v>164.43642</v>
      </c>
      <c r="X13" s="258" cm="1">
        <f t="array" ref="X13">INDEX(
    INDEX(X:X,Control!$B$29):INDEX(X:X,100000),
    MATCH($A$8,INDEX($A:$A,Control!$B$29):INDEX($A:$A,100000),0)+MATCH($D13,INDEX($D:$D,Control!$B$31):INDEX($D:$D,Control!$B$32),0)-1,
    1)</f>
        <v>334.94278000000003</v>
      </c>
      <c r="Y13" s="258" cm="1">
        <f t="array" ref="Y13">INDEX(
    INDEX(Y:Y,Control!$B$29):INDEX(Y:Y,100000),
    MATCH($A$8,INDEX($A:$A,Control!$B$29):INDEX($A:$A,100000),0)+MATCH($D13,INDEX($D:$D,Control!$B$31):INDEX($D:$D,Control!$B$32),0)-1,
    1)</f>
        <v>300.94358</v>
      </c>
      <c r="Z13" s="258" cm="1">
        <f t="array" ref="Z13">INDEX(
    INDEX(Z:Z,Control!$B$29):INDEX(Z:Z,100000),
    MATCH($A$8,INDEX($A:$A,Control!$B$29):INDEX($A:$A,100000),0)+MATCH($D13,INDEX($D:$D,Control!$B$31):INDEX($D:$D,Control!$B$32),0)-1,
    1)</f>
        <v>276.85223000000002</v>
      </c>
      <c r="AA13" s="258" cm="1">
        <f t="array" ref="AA13">INDEX(
    INDEX(AA:AA,Control!$B$29):INDEX(AA:AA,100000),
    MATCH($A$8,INDEX($A:$A,Control!$B$29):INDEX($A:$A,100000),0)+MATCH($D13,INDEX($D:$D,Control!$B$31):INDEX($D:$D,Control!$B$32),0)-1,
    1)</f>
        <v>258.01943</v>
      </c>
      <c r="AB13" s="258" cm="1">
        <f t="array" ref="AB13">INDEX(
    INDEX(AB:AB,Control!$B$29):INDEX(AB:AB,100000),
    MATCH($A$8,INDEX($A:$A,Control!$B$29):INDEX($A:$A,100000),0)+MATCH($D13,INDEX($D:$D,Control!$B$31):INDEX($D:$D,Control!$B$32),0)-1,
    1)</f>
        <v>234.08861999999999</v>
      </c>
      <c r="AC13" s="258" cm="1">
        <f t="array" ref="AC13">INDEX(
    INDEX(AC:AC,Control!$B$29):INDEX(AC:AC,100000),
    MATCH($A$8,INDEX($A:$A,Control!$B$29):INDEX($A:$A,100000),0)+MATCH($D13,INDEX($D:$D,Control!$B$31):INDEX($D:$D,Control!$B$32),0)-1,
    1)</f>
        <v>224.98202000000001</v>
      </c>
      <c r="AD13" s="258" cm="1">
        <f t="array" ref="AD13">INDEX(
    INDEX(AD:AD,Control!$B$29):INDEX(AD:AD,100000),
    MATCH($A$8,INDEX($A:$A,Control!$B$29):INDEX($A:$A,100000),0)+MATCH($D13,INDEX($D:$D,Control!$B$31):INDEX($D:$D,Control!$B$32),0)-1,
    1)</f>
        <v>212.76763</v>
      </c>
      <c r="AE13" s="258" cm="1">
        <f t="array" ref="AE13">INDEX(
    INDEX(AE:AE,Control!$B$29):INDEX(AE:AE,100000),
    MATCH($A$8,INDEX($A:$A,Control!$B$29):INDEX($A:$A,100000),0)+MATCH($D13,INDEX($D:$D,Control!$B$31):INDEX($D:$D,Control!$B$32),0)-1,
    1)</f>
        <v>196.65201999999999</v>
      </c>
      <c r="AF13" s="258" cm="1">
        <f t="array" ref="AF13">INDEX(
    INDEX(AF:AF,Control!$B$29):INDEX(AF:AF,100000),
    MATCH($A$8,INDEX($A:$A,Control!$B$29):INDEX($A:$A,100000),0)+MATCH($D13,INDEX($D:$D,Control!$B$31):INDEX($D:$D,Control!$B$32),0)-1,
    1)</f>
        <v>184.75987000000001</v>
      </c>
      <c r="AG13" s="258" cm="1">
        <f t="array" ref="AG13">INDEX(
    INDEX(AG:AG,Control!$B$29):INDEX(AG:AG,100000),
    MATCH($A$8,INDEX($A:$A,Control!$B$29):INDEX($A:$A,100000),0)+MATCH($D13,INDEX($D:$D,Control!$B$31):INDEX($D:$D,Control!$B$32),0)-1,
    1)</f>
        <v>179.03336999999999</v>
      </c>
      <c r="AH13" s="258" cm="1">
        <f t="array" ref="AH13">INDEX(
    INDEX(AH:AH,Control!$B$29):INDEX(AH:AH,100000),
    MATCH($A$8,INDEX($A:$A,Control!$B$29):INDEX($A:$A,100000),0)+MATCH($D13,INDEX($D:$D,Control!$B$31):INDEX($D:$D,Control!$B$32),0)-1,
    1)</f>
        <v>165.20328000000001</v>
      </c>
      <c r="AI13" s="258" cm="1">
        <f t="array" ref="AI13">INDEX(
    INDEX(AI:AI,Control!$B$29):INDEX(AI:AI,100000),
    MATCH($A$8,INDEX($A:$A,Control!$B$29):INDEX($A:$A,100000),0)+MATCH($D13,INDEX($D:$D,Control!$B$31):INDEX($D:$D,Control!$B$32),0)-1,
    1)</f>
        <v>159.72791000000001</v>
      </c>
      <c r="AJ13" s="258" cm="1">
        <f t="array" ref="AJ13">INDEX(
    INDEX(AJ:AJ,Control!$B$29):INDEX(AJ:AJ,100000),
    MATCH($A$8,INDEX($A:$A,Control!$B$29):INDEX($A:$A,100000),0)+MATCH($D13,INDEX($D:$D,Control!$B$31):INDEX($D:$D,Control!$B$32),0)-1,
    1)</f>
        <v>141.96450999999999</v>
      </c>
      <c r="AK13" s="258" cm="1">
        <f t="array" ref="AK13">INDEX(
    INDEX(AK:AK,Control!$B$29):INDEX(AK:AK,100000),
    MATCH($A$8,INDEX($A:$A,Control!$B$29):INDEX($A:$A,100000),0)+MATCH($D13,INDEX($D:$D,Control!$B$31):INDEX($D:$D,Control!$B$32),0)-1,
    1)</f>
        <v>130.58476999999999</v>
      </c>
      <c r="AL13" s="258" cm="1">
        <f t="array" ref="AL13">INDEX(
    INDEX(AL:AL,Control!$B$29):INDEX(AL:AL,100000),
    MATCH($A$8,INDEX($A:$A,Control!$B$29):INDEX($A:$A,100000),0)+MATCH($D13,INDEX($D:$D,Control!$B$31):INDEX($D:$D,Control!$B$32),0)-1,
    1)</f>
        <v>125.13679</v>
      </c>
      <c r="AM13" s="258" cm="1">
        <f t="array" ref="AM13">INDEX(
    INDEX(AM:AM,Control!$B$29):INDEX(AM:AM,100000),
    MATCH($A$8,INDEX($A:$A,Control!$B$29):INDEX($A:$A,100000),0)+MATCH($D13,INDEX($D:$D,Control!$B$31):INDEX($D:$D,Control!$B$32),0)-1,
    1)</f>
        <v>117.09406</v>
      </c>
      <c r="AN13" s="258" cm="1">
        <f t="array" ref="AN13">INDEX(
    INDEX(AN:AN,Control!$B$29):INDEX(AN:AN,100000),
    MATCH($A$8,INDEX($A:$A,Control!$B$29):INDEX($A:$A,100000),0)+MATCH($D13,INDEX($D:$D,Control!$B$31):INDEX($D:$D,Control!$B$32),0)-1,
    1)</f>
        <v>108.68192000000001</v>
      </c>
      <c r="AO13" s="32"/>
      <c r="AP13" s="32"/>
      <c r="AQ13" s="32"/>
    </row>
    <row r="14" spans="1:48" s="23" customFormat="1" x14ac:dyDescent="0.35">
      <c r="A14"/>
      <c r="B14" t="s">
        <v>218</v>
      </c>
      <c r="C14" s="292" t="s">
        <v>230</v>
      </c>
      <c r="D14" s="19" t="s">
        <v>329</v>
      </c>
      <c r="E14" s="19" t="s">
        <v>217</v>
      </c>
      <c r="F14" s="258" cm="1">
        <f t="array" ref="F14">INDEX(
    INDEX(F:F,Control!$B$29):INDEX(F:F,100000),
    MATCH($A$8,INDEX($A:$A,Control!$B$29):INDEX($A:$A,100000),0)+MATCH($D14,INDEX($D:$D,Control!$B$31):INDEX($D:$D,Control!$B$32),0)-1,
    1)</f>
        <v>0</v>
      </c>
      <c r="G14" s="258" cm="1">
        <f t="array" ref="G14">INDEX(
    INDEX(G:G,Control!$B$29):INDEX(G:G,100000),
    MATCH($A$8,INDEX($A:$A,Control!$B$29):INDEX($A:$A,100000),0)+MATCH($D14,INDEX($D:$D,Control!$B$31):INDEX($D:$D,Control!$B$32),0)-1,
    1)</f>
        <v>-78.98357</v>
      </c>
      <c r="H14" s="258" cm="1">
        <f t="array" ref="H14">INDEX(
    INDEX(H:H,Control!$B$29):INDEX(H:H,100000),
    MATCH($A$8,INDEX($A:$A,Control!$B$29):INDEX($A:$A,100000),0)+MATCH($D14,INDEX($D:$D,Control!$B$31):INDEX($D:$D,Control!$B$32),0)-1,
    1)</f>
        <v>-93.127849999999995</v>
      </c>
      <c r="I14" s="258" cm="1">
        <f t="array" ref="I14">INDEX(
    INDEX(I:I,Control!$B$29):INDEX(I:I,100000),
    MATCH($A$8,INDEX($A:$A,Control!$B$29):INDEX($A:$A,100000),0)+MATCH($D14,INDEX($D:$D,Control!$B$31):INDEX($D:$D,Control!$B$32),0)-1,
    1)</f>
        <v>-68.991029999999995</v>
      </c>
      <c r="J14" s="258" cm="1">
        <f t="array" ref="J14">INDEX(
    INDEX(J:J,Control!$B$29):INDEX(J:J,100000),
    MATCH($A$8,INDEX($A:$A,Control!$B$29):INDEX($A:$A,100000),0)+MATCH($D14,INDEX($D:$D,Control!$B$31):INDEX($D:$D,Control!$B$32),0)-1,
    1)</f>
        <v>-51.024239999999999</v>
      </c>
      <c r="K14" s="258" cm="1">
        <f t="array" ref="K14">INDEX(
    INDEX(K:K,Control!$B$29):INDEX(K:K,100000),
    MATCH($A$8,INDEX($A:$A,Control!$B$29):INDEX($A:$A,100000),0)+MATCH($D14,INDEX($D:$D,Control!$B$31):INDEX($D:$D,Control!$B$32),0)-1,
    1)</f>
        <v>-27.717030000000001</v>
      </c>
      <c r="L14" s="258" cm="1">
        <f t="array" ref="L14">INDEX(
    INDEX(L:L,Control!$B$29):INDEX(L:L,100000),
    MATCH($A$8,INDEX($A:$A,Control!$B$29):INDEX($A:$A,100000),0)+MATCH($D14,INDEX($D:$D,Control!$B$31):INDEX($D:$D,Control!$B$32),0)-1,
    1)</f>
        <v>-24.501370000000001</v>
      </c>
      <c r="M14" s="258" cm="1">
        <f t="array" ref="M14">INDEX(
    INDEX(M:M,Control!$B$29):INDEX(M:M,100000),
    MATCH($A$8,INDEX($A:$A,Control!$B$29):INDEX($A:$A,100000),0)+MATCH($D14,INDEX($D:$D,Control!$B$31):INDEX($D:$D,Control!$B$32),0)-1,
    1)</f>
        <v>-16.53105</v>
      </c>
      <c r="N14" s="258" cm="1">
        <f t="array" ref="N14">INDEX(
    INDEX(N:N,Control!$B$29):INDEX(N:N,100000),
    MATCH($A$8,INDEX($A:$A,Control!$B$29):INDEX($A:$A,100000),0)+MATCH($D14,INDEX($D:$D,Control!$B$31):INDEX($D:$D,Control!$B$32),0)-1,
    1)</f>
        <v>-10.426690000000001</v>
      </c>
      <c r="O14" s="258" cm="1">
        <f t="array" ref="O14">INDEX(
    INDEX(O:O,Control!$B$29):INDEX(O:O,100000),
    MATCH($A$8,INDEX($A:$A,Control!$B$29):INDEX($A:$A,100000),0)+MATCH($D14,INDEX($D:$D,Control!$B$31):INDEX($D:$D,Control!$B$32),0)-1,
    1)</f>
        <v>-1</v>
      </c>
      <c r="P14" s="258" cm="1">
        <f t="array" ref="P14">INDEX(
    INDEX(P:P,Control!$B$29):INDEX(P:P,100000),
    MATCH($A$8,INDEX($A:$A,Control!$B$29):INDEX($A:$A,100000),0)+MATCH($D14,INDEX($D:$D,Control!$B$31):INDEX($D:$D,Control!$B$32),0)-1,
    1)</f>
        <v>0</v>
      </c>
      <c r="Q14" s="258" cm="1">
        <f t="array" ref="Q14">INDEX(
    INDEX(Q:Q,Control!$B$29):INDEX(Q:Q,100000),
    MATCH($A$8,INDEX($A:$A,Control!$B$29):INDEX($A:$A,100000),0)+MATCH($D14,INDEX($D:$D,Control!$B$31):INDEX($D:$D,Control!$B$32),0)-1,
    1)</f>
        <v>-0.45419999999999999</v>
      </c>
      <c r="R14" s="258" cm="1">
        <f t="array" ref="R14">INDEX(
    INDEX(R:R,Control!$B$29):INDEX(R:R,100000),
    MATCH($A$8,INDEX($A:$A,Control!$B$29):INDEX($A:$A,100000),0)+MATCH($D14,INDEX($D:$D,Control!$B$31):INDEX($D:$D,Control!$B$32),0)-1,
    1)</f>
        <v>-0.36413000000000001</v>
      </c>
      <c r="S14" s="258" cm="1">
        <f t="array" ref="S14">INDEX(
    INDEX(S:S,Control!$B$29):INDEX(S:S,100000),
    MATCH($A$8,INDEX($A:$A,Control!$B$29):INDEX($A:$A,100000),0)+MATCH($D14,INDEX($D:$D,Control!$B$31):INDEX($D:$D,Control!$B$32),0)-1,
    1)</f>
        <v>-0.85</v>
      </c>
      <c r="T14" s="258" cm="1">
        <f t="array" ref="T14">INDEX(
    INDEX(T:T,Control!$B$29):INDEX(T:T,100000),
    MATCH($A$8,INDEX($A:$A,Control!$B$29):INDEX($A:$A,100000),0)+MATCH($D14,INDEX($D:$D,Control!$B$31):INDEX($D:$D,Control!$B$32),0)-1,
    1)</f>
        <v>-1.0566599999999999</v>
      </c>
      <c r="U14" s="258" cm="1">
        <f t="array" ref="U14">INDEX(
    INDEX(U:U,Control!$B$29):INDEX(U:U,100000),
    MATCH($A$8,INDEX($A:$A,Control!$B$29):INDEX($A:$A,100000),0)+MATCH($D14,INDEX($D:$D,Control!$B$31):INDEX($D:$D,Control!$B$32),0)-1,
    1)</f>
        <v>-0.87370999999999999</v>
      </c>
      <c r="V14" s="258" cm="1">
        <f t="array" ref="V14">INDEX(
    INDEX(V:V,Control!$B$29):INDEX(V:V,100000),
    MATCH($A$8,INDEX($A:$A,Control!$B$29):INDEX($A:$A,100000),0)+MATCH($D14,INDEX($D:$D,Control!$B$31):INDEX($D:$D,Control!$B$32),0)-1,
    1)</f>
        <v>-2.2525400000000002</v>
      </c>
      <c r="W14" s="258" cm="1">
        <f t="array" ref="W14">INDEX(
    INDEX(W:W,Control!$B$29):INDEX(W:W,100000),
    MATCH($A$8,INDEX($A:$A,Control!$B$29):INDEX($A:$A,100000),0)+MATCH($D14,INDEX($D:$D,Control!$B$31):INDEX($D:$D,Control!$B$32),0)-1,
    1)</f>
        <v>-5.2086600000000001</v>
      </c>
      <c r="X14" s="258" cm="1">
        <f t="array" ref="X14">INDEX(
    INDEX(X:X,Control!$B$29):INDEX(X:X,100000),
    MATCH($A$8,INDEX($A:$A,Control!$B$29):INDEX($A:$A,100000),0)+MATCH($D14,INDEX($D:$D,Control!$B$31):INDEX($D:$D,Control!$B$32),0)-1,
    1)</f>
        <v>-3.2841900000000002</v>
      </c>
      <c r="Y14" s="258" cm="1">
        <f t="array" ref="Y14">INDEX(
    INDEX(Y:Y,Control!$B$29):INDEX(Y:Y,100000),
    MATCH($A$8,INDEX($A:$A,Control!$B$29):INDEX($A:$A,100000),0)+MATCH($D14,INDEX($D:$D,Control!$B$31):INDEX($D:$D,Control!$B$32),0)-1,
    1)</f>
        <v>-2</v>
      </c>
      <c r="Z14" s="258" cm="1">
        <f t="array" ref="Z14">INDEX(
    INDEX(Z:Z,Control!$B$29):INDEX(Z:Z,100000),
    MATCH($A$8,INDEX($A:$A,Control!$B$29):INDEX($A:$A,100000),0)+MATCH($D14,INDEX($D:$D,Control!$B$31):INDEX($D:$D,Control!$B$32),0)-1,
    1)</f>
        <v>0</v>
      </c>
      <c r="AA14" s="258" cm="1">
        <f t="array" ref="AA14">INDEX(
    INDEX(AA:AA,Control!$B$29):INDEX(AA:AA,100000),
    MATCH($A$8,INDEX($A:$A,Control!$B$29):INDEX($A:$A,100000),0)+MATCH($D14,INDEX($D:$D,Control!$B$31):INDEX($D:$D,Control!$B$32),0)-1,
    1)</f>
        <v>0</v>
      </c>
      <c r="AB14" s="258" cm="1">
        <f t="array" ref="AB14">INDEX(
    INDEX(AB:AB,Control!$B$29):INDEX(AB:AB,100000),
    MATCH($A$8,INDEX($A:$A,Control!$B$29):INDEX($A:$A,100000),0)+MATCH($D14,INDEX($D:$D,Control!$B$31):INDEX($D:$D,Control!$B$32),0)-1,
    1)</f>
        <v>0</v>
      </c>
      <c r="AC14" s="258" cm="1">
        <f t="array" ref="AC14">INDEX(
    INDEX(AC:AC,Control!$B$29):INDEX(AC:AC,100000),
    MATCH($A$8,INDEX($A:$A,Control!$B$29):INDEX($A:$A,100000),0)+MATCH($D14,INDEX($D:$D,Control!$B$31):INDEX($D:$D,Control!$B$32),0)-1,
    1)</f>
        <v>0</v>
      </c>
      <c r="AD14" s="258" cm="1">
        <f t="array" ref="AD14">INDEX(
    INDEX(AD:AD,Control!$B$29):INDEX(AD:AD,100000),
    MATCH($A$8,INDEX($A:$A,Control!$B$29):INDEX($A:$A,100000),0)+MATCH($D14,INDEX($D:$D,Control!$B$31):INDEX($D:$D,Control!$B$32),0)-1,
    1)</f>
        <v>0</v>
      </c>
      <c r="AE14" s="258" cm="1">
        <f t="array" ref="AE14">INDEX(
    INDEX(AE:AE,Control!$B$29):INDEX(AE:AE,100000),
    MATCH($A$8,INDEX($A:$A,Control!$B$29):INDEX($A:$A,100000),0)+MATCH($D14,INDEX($D:$D,Control!$B$31):INDEX($D:$D,Control!$B$32),0)-1,
    1)</f>
        <v>0</v>
      </c>
      <c r="AF14" s="258" cm="1">
        <f t="array" ref="AF14">INDEX(
    INDEX(AF:AF,Control!$B$29):INDEX(AF:AF,100000),
    MATCH($A$8,INDEX($A:$A,Control!$B$29):INDEX($A:$A,100000),0)+MATCH($D14,INDEX($D:$D,Control!$B$31):INDEX($D:$D,Control!$B$32),0)-1,
    1)</f>
        <v>0</v>
      </c>
      <c r="AG14" s="258" cm="1">
        <f t="array" ref="AG14">INDEX(
    INDEX(AG:AG,Control!$B$29):INDEX(AG:AG,100000),
    MATCH($A$8,INDEX($A:$A,Control!$B$29):INDEX($A:$A,100000),0)+MATCH($D14,INDEX($D:$D,Control!$B$31):INDEX($D:$D,Control!$B$32),0)-1,
    1)</f>
        <v>0</v>
      </c>
      <c r="AH14" s="258" cm="1">
        <f t="array" ref="AH14">INDEX(
    INDEX(AH:AH,Control!$B$29):INDEX(AH:AH,100000),
    MATCH($A$8,INDEX($A:$A,Control!$B$29):INDEX($A:$A,100000),0)+MATCH($D14,INDEX($D:$D,Control!$B$31):INDEX($D:$D,Control!$B$32),0)-1,
    1)</f>
        <v>0</v>
      </c>
      <c r="AI14" s="258" cm="1">
        <f t="array" ref="AI14">INDEX(
    INDEX(AI:AI,Control!$B$29):INDEX(AI:AI,100000),
    MATCH($A$8,INDEX($A:$A,Control!$B$29):INDEX($A:$A,100000),0)+MATCH($D14,INDEX($D:$D,Control!$B$31):INDEX($D:$D,Control!$B$32),0)-1,
    1)</f>
        <v>0</v>
      </c>
      <c r="AJ14" s="258" cm="1">
        <f t="array" ref="AJ14">INDEX(
    INDEX(AJ:AJ,Control!$B$29):INDEX(AJ:AJ,100000),
    MATCH($A$8,INDEX($A:$A,Control!$B$29):INDEX($A:$A,100000),0)+MATCH($D14,INDEX($D:$D,Control!$B$31):INDEX($D:$D,Control!$B$32),0)-1,
    1)</f>
        <v>0</v>
      </c>
      <c r="AK14" s="258" cm="1">
        <f t="array" ref="AK14">INDEX(
    INDEX(AK:AK,Control!$B$29):INDEX(AK:AK,100000),
    MATCH($A$8,INDEX($A:$A,Control!$B$29):INDEX($A:$A,100000),0)+MATCH($D14,INDEX($D:$D,Control!$B$31):INDEX($D:$D,Control!$B$32),0)-1,
    1)</f>
        <v>0</v>
      </c>
      <c r="AL14" s="258" cm="1">
        <f t="array" ref="AL14">INDEX(
    INDEX(AL:AL,Control!$B$29):INDEX(AL:AL,100000),
    MATCH($A$8,INDEX($A:$A,Control!$B$29):INDEX($A:$A,100000),0)+MATCH($D14,INDEX($D:$D,Control!$B$31):INDEX($D:$D,Control!$B$32),0)-1,
    1)</f>
        <v>0</v>
      </c>
      <c r="AM14" s="258" cm="1">
        <f t="array" ref="AM14">INDEX(
    INDEX(AM:AM,Control!$B$29):INDEX(AM:AM,100000),
    MATCH($A$8,INDEX($A:$A,Control!$B$29):INDEX($A:$A,100000),0)+MATCH($D14,INDEX($D:$D,Control!$B$31):INDEX($D:$D,Control!$B$32),0)-1,
    1)</f>
        <v>0</v>
      </c>
      <c r="AN14" s="258" cm="1">
        <f t="array" ref="AN14">INDEX(
    INDEX(AN:AN,Control!$B$29):INDEX(AN:AN,100000),
    MATCH($A$8,INDEX($A:$A,Control!$B$29):INDEX($A:$A,100000),0)+MATCH($D14,INDEX($D:$D,Control!$B$31):INDEX($D:$D,Control!$B$32),0)-1,
    1)</f>
        <v>0</v>
      </c>
      <c r="AO14" s="32"/>
      <c r="AP14" s="32"/>
      <c r="AQ14" s="32"/>
    </row>
    <row r="15" spans="1:48" s="23" customFormat="1" x14ac:dyDescent="0.35">
      <c r="A15"/>
      <c r="B15"/>
      <c r="C15" s="292" t="s">
        <v>230</v>
      </c>
      <c r="D15" s="19" t="s">
        <v>330</v>
      </c>
      <c r="E15" s="19" t="s">
        <v>217</v>
      </c>
      <c r="F15" s="258" cm="1">
        <f t="array" ref="F15">INDEX(
    INDEX(F:F,Control!$B$29):INDEX(F:F,100000),
    MATCH($A$8,INDEX($A:$A,Control!$B$29):INDEX($A:$A,100000),0)+MATCH($D15,INDEX($D:$D,Control!$B$31):INDEX($D:$D,Control!$B$32),0)-1,
    1)</f>
        <v>0</v>
      </c>
      <c r="G15" s="258" cm="1">
        <f t="array" ref="G15">INDEX(
    INDEX(G:G,Control!$B$29):INDEX(G:G,100000),
    MATCH($A$8,INDEX($A:$A,Control!$B$29):INDEX($A:$A,100000),0)+MATCH($D15,INDEX($D:$D,Control!$B$31):INDEX($D:$D,Control!$B$32),0)-1,
    1)</f>
        <v>204.9066</v>
      </c>
      <c r="H15" s="258" cm="1">
        <f t="array" ref="H15">INDEX(
    INDEX(H:H,Control!$B$29):INDEX(H:H,100000),
    MATCH($A$8,INDEX($A:$A,Control!$B$29):INDEX($A:$A,100000),0)+MATCH($D15,INDEX($D:$D,Control!$B$31):INDEX($D:$D,Control!$B$32),0)-1,
    1)</f>
        <v>250.28088</v>
      </c>
      <c r="I15" s="258" cm="1">
        <f t="array" ref="I15">INDEX(
    INDEX(I:I,Control!$B$29):INDEX(I:I,100000),
    MATCH($A$8,INDEX($A:$A,Control!$B$29):INDEX($A:$A,100000),0)+MATCH($D15,INDEX($D:$D,Control!$B$31):INDEX($D:$D,Control!$B$32),0)-1,
    1)</f>
        <v>260.40796999999998</v>
      </c>
      <c r="J15" s="258" cm="1">
        <f t="array" ref="J15">INDEX(
    INDEX(J:J,Control!$B$29):INDEX(J:J,100000),
    MATCH($A$8,INDEX($A:$A,Control!$B$29):INDEX($A:$A,100000),0)+MATCH($D15,INDEX($D:$D,Control!$B$31):INDEX($D:$D,Control!$B$32),0)-1,
    1)</f>
        <v>291.35111999999998</v>
      </c>
      <c r="K15" s="258" cm="1">
        <f t="array" ref="K15">INDEX(
    INDEX(K:K,Control!$B$29):INDEX(K:K,100000),
    MATCH($A$8,INDEX($A:$A,Control!$B$29):INDEX($A:$A,100000),0)+MATCH($D15,INDEX($D:$D,Control!$B$31):INDEX($D:$D,Control!$B$32),0)-1,
    1)</f>
        <v>310.22376000000003</v>
      </c>
      <c r="L15" s="258" cm="1">
        <f t="array" ref="L15">INDEX(
    INDEX(L:L,Control!$B$29):INDEX(L:L,100000),
    MATCH($A$8,INDEX($A:$A,Control!$B$29):INDEX($A:$A,100000),0)+MATCH($D15,INDEX($D:$D,Control!$B$31):INDEX($D:$D,Control!$B$32),0)-1,
    1)</f>
        <v>273.21033999999997</v>
      </c>
      <c r="M15" s="258" cm="1">
        <f t="array" ref="M15">INDEX(
    INDEX(M:M,Control!$B$29):INDEX(M:M,100000),
    MATCH($A$8,INDEX($A:$A,Control!$B$29):INDEX($A:$A,100000),0)+MATCH($D15,INDEX($D:$D,Control!$B$31):INDEX($D:$D,Control!$B$32),0)-1,
    1)</f>
        <v>310.51310000000001</v>
      </c>
      <c r="N15" s="258" cm="1">
        <f t="array" ref="N15">INDEX(
    INDEX(N:N,Control!$B$29):INDEX(N:N,100000),
    MATCH($A$8,INDEX($A:$A,Control!$B$29):INDEX($A:$A,100000),0)+MATCH($D15,INDEX($D:$D,Control!$B$31):INDEX($D:$D,Control!$B$32),0)-1,
    1)</f>
        <v>310.53514000000001</v>
      </c>
      <c r="O15" s="258" cm="1">
        <f t="array" ref="O15">INDEX(
    INDEX(O:O,Control!$B$29):INDEX(O:O,100000),
    MATCH($A$8,INDEX($A:$A,Control!$B$29):INDEX($A:$A,100000),0)+MATCH($D15,INDEX($D:$D,Control!$B$31):INDEX($D:$D,Control!$B$32),0)-1,
    1)</f>
        <v>277.25797999999998</v>
      </c>
      <c r="P15" s="258" cm="1">
        <f t="array" ref="P15">INDEX(
    INDEX(P:P,Control!$B$29):INDEX(P:P,100000),
    MATCH($A$8,INDEX($A:$A,Control!$B$29):INDEX($A:$A,100000),0)+MATCH($D15,INDEX($D:$D,Control!$B$31):INDEX($D:$D,Control!$B$32),0)-1,
    1)</f>
        <v>311.90971999999999</v>
      </c>
      <c r="Q15" s="258" cm="1">
        <f t="array" ref="Q15">INDEX(
    INDEX(Q:Q,Control!$B$29):INDEX(Q:Q,100000),
    MATCH($A$8,INDEX($A:$A,Control!$B$29):INDEX($A:$A,100000),0)+MATCH($D15,INDEX($D:$D,Control!$B$31):INDEX($D:$D,Control!$B$32),0)-1,
    1)</f>
        <v>346.51636999999999</v>
      </c>
      <c r="R15" s="258" cm="1">
        <f t="array" ref="R15">INDEX(
    INDEX(R:R,Control!$B$29):INDEX(R:R,100000),
    MATCH($A$8,INDEX($A:$A,Control!$B$29):INDEX($A:$A,100000),0)+MATCH($D15,INDEX($D:$D,Control!$B$31):INDEX($D:$D,Control!$B$32),0)-1,
    1)</f>
        <v>339.81799000000001</v>
      </c>
      <c r="S15" s="258" cm="1">
        <f t="array" ref="S15">INDEX(
    INDEX(S:S,Control!$B$29):INDEX(S:S,100000),
    MATCH($A$8,INDEX($A:$A,Control!$B$29):INDEX($A:$A,100000),0)+MATCH($D15,INDEX($D:$D,Control!$B$31):INDEX($D:$D,Control!$B$32),0)-1,
    1)</f>
        <v>336.19180999999998</v>
      </c>
      <c r="T15" s="258" cm="1">
        <f t="array" ref="T15">INDEX(
    INDEX(T:T,Control!$B$29):INDEX(T:T,100000),
    MATCH($A$8,INDEX($A:$A,Control!$B$29):INDEX($A:$A,100000),0)+MATCH($D15,INDEX($D:$D,Control!$B$31):INDEX($D:$D,Control!$B$32),0)-1,
    1)</f>
        <v>332.16726</v>
      </c>
      <c r="U15" s="258" cm="1">
        <f t="array" ref="U15">INDEX(
    INDEX(U:U,Control!$B$29):INDEX(U:U,100000),
    MATCH($A$8,INDEX($A:$A,Control!$B$29):INDEX($A:$A,100000),0)+MATCH($D15,INDEX($D:$D,Control!$B$31):INDEX($D:$D,Control!$B$32),0)-1,
    1)</f>
        <v>334.65258999999998</v>
      </c>
      <c r="V15" s="258" cm="1">
        <f t="array" ref="V15">INDEX(
    INDEX(V:V,Control!$B$29):INDEX(V:V,100000),
    MATCH($A$8,INDEX($A:$A,Control!$B$29):INDEX($A:$A,100000),0)+MATCH($D15,INDEX($D:$D,Control!$B$31):INDEX($D:$D,Control!$B$32),0)-1,
    1)</f>
        <v>342.15095000000002</v>
      </c>
      <c r="W15" s="258" cm="1">
        <f t="array" ref="W15">INDEX(
    INDEX(W:W,Control!$B$29):INDEX(W:W,100000),
    MATCH($A$8,INDEX($A:$A,Control!$B$29):INDEX($A:$A,100000),0)+MATCH($D15,INDEX($D:$D,Control!$B$31):INDEX($D:$D,Control!$B$32),0)-1,
    1)</f>
        <v>357.43552</v>
      </c>
      <c r="X15" s="258" cm="1">
        <f t="array" ref="X15">INDEX(
    INDEX(X:X,Control!$B$29):INDEX(X:X,100000),
    MATCH($A$8,INDEX($A:$A,Control!$B$29):INDEX($A:$A,100000),0)+MATCH($D15,INDEX($D:$D,Control!$B$31):INDEX($D:$D,Control!$B$32),0)-1,
    1)</f>
        <v>403.53546</v>
      </c>
      <c r="Y15" s="258" cm="1">
        <f t="array" ref="Y15">INDEX(
    INDEX(Y:Y,Control!$B$29):INDEX(Y:Y,100000),
    MATCH($A$8,INDEX($A:$A,Control!$B$29):INDEX($A:$A,100000),0)+MATCH($D15,INDEX($D:$D,Control!$B$31):INDEX($D:$D,Control!$B$32),0)-1,
    1)</f>
        <v>403.72737999999998</v>
      </c>
      <c r="Z15" s="258" cm="1">
        <f t="array" ref="Z15">INDEX(
    INDEX(Z:Z,Control!$B$29):INDEX(Z:Z,100000),
    MATCH($A$8,INDEX($A:$A,Control!$B$29):INDEX($A:$A,100000),0)+MATCH($D15,INDEX($D:$D,Control!$B$31):INDEX($D:$D,Control!$B$32),0)-1,
    1)</f>
        <v>385.70575000000002</v>
      </c>
      <c r="AA15" s="258" cm="1">
        <f t="array" ref="AA15">INDEX(
    INDEX(AA:AA,Control!$B$29):INDEX(AA:AA,100000),
    MATCH($A$8,INDEX($A:$A,Control!$B$29):INDEX($A:$A,100000),0)+MATCH($D15,INDEX($D:$D,Control!$B$31):INDEX($D:$D,Control!$B$32),0)-1,
    1)</f>
        <v>395.68783999999999</v>
      </c>
      <c r="AB15" s="258" cm="1">
        <f t="array" ref="AB15">INDEX(
    INDEX(AB:AB,Control!$B$29):INDEX(AB:AB,100000),
    MATCH($A$8,INDEX($A:$A,Control!$B$29):INDEX($A:$A,100000),0)+MATCH($D15,INDEX($D:$D,Control!$B$31):INDEX($D:$D,Control!$B$32),0)-1,
    1)</f>
        <v>401.18664000000001</v>
      </c>
      <c r="AC15" s="258" cm="1">
        <f t="array" ref="AC15">INDEX(
    INDEX(AC:AC,Control!$B$29):INDEX(AC:AC,100000),
    MATCH($A$8,INDEX($A:$A,Control!$B$29):INDEX($A:$A,100000),0)+MATCH($D15,INDEX($D:$D,Control!$B$31):INDEX($D:$D,Control!$B$32),0)-1,
    1)</f>
        <v>399.24721</v>
      </c>
      <c r="AD15" s="258" cm="1">
        <f t="array" ref="AD15">INDEX(
    INDEX(AD:AD,Control!$B$29):INDEX(AD:AD,100000),
    MATCH($A$8,INDEX($A:$A,Control!$B$29):INDEX($A:$A,100000),0)+MATCH($D15,INDEX($D:$D,Control!$B$31):INDEX($D:$D,Control!$B$32),0)-1,
    1)</f>
        <v>389.41140000000001</v>
      </c>
      <c r="AE15" s="258" cm="1">
        <f t="array" ref="AE15">INDEX(
    INDEX(AE:AE,Control!$B$29):INDEX(AE:AE,100000),
    MATCH($A$8,INDEX($A:$A,Control!$B$29):INDEX($A:$A,100000),0)+MATCH($D15,INDEX($D:$D,Control!$B$31):INDEX($D:$D,Control!$B$32),0)-1,
    1)</f>
        <v>392.22023999999999</v>
      </c>
      <c r="AF15" s="258" cm="1">
        <f t="array" ref="AF15">INDEX(
    INDEX(AF:AF,Control!$B$29):INDEX(AF:AF,100000),
    MATCH($A$8,INDEX($A:$A,Control!$B$29):INDEX($A:$A,100000),0)+MATCH($D15,INDEX($D:$D,Control!$B$31):INDEX($D:$D,Control!$B$32),0)-1,
    1)</f>
        <v>385.68835999999999</v>
      </c>
      <c r="AG15" s="258" cm="1">
        <f t="array" ref="AG15">INDEX(
    INDEX(AG:AG,Control!$B$29):INDEX(AG:AG,100000),
    MATCH($A$8,INDEX($A:$A,Control!$B$29):INDEX($A:$A,100000),0)+MATCH($D15,INDEX($D:$D,Control!$B$31):INDEX($D:$D,Control!$B$32),0)-1,
    1)</f>
        <v>380.93257</v>
      </c>
      <c r="AH15" s="258" cm="1">
        <f t="array" ref="AH15">INDEX(
    INDEX(AH:AH,Control!$B$29):INDEX(AH:AH,100000),
    MATCH($A$8,INDEX($A:$A,Control!$B$29):INDEX($A:$A,100000),0)+MATCH($D15,INDEX($D:$D,Control!$B$31):INDEX($D:$D,Control!$B$32),0)-1,
    1)</f>
        <v>378.02641999999997</v>
      </c>
      <c r="AI15" s="258" cm="1">
        <f t="array" ref="AI15">INDEX(
    INDEX(AI:AI,Control!$B$29):INDEX(AI:AI,100000),
    MATCH($A$8,INDEX($A:$A,Control!$B$29):INDEX($A:$A,100000),0)+MATCH($D15,INDEX($D:$D,Control!$B$31):INDEX($D:$D,Control!$B$32),0)-1,
    1)</f>
        <v>375.77177999999998</v>
      </c>
      <c r="AJ15" s="258" cm="1">
        <f t="array" ref="AJ15">INDEX(
    INDEX(AJ:AJ,Control!$B$29):INDEX(AJ:AJ,100000),
    MATCH($A$8,INDEX($A:$A,Control!$B$29):INDEX($A:$A,100000),0)+MATCH($D15,INDEX($D:$D,Control!$B$31):INDEX($D:$D,Control!$B$32),0)-1,
    1)</f>
        <v>375.77836000000002</v>
      </c>
      <c r="AK15" s="258" cm="1">
        <f t="array" ref="AK15">INDEX(
    INDEX(AK:AK,Control!$B$29):INDEX(AK:AK,100000),
    MATCH($A$8,INDEX($A:$A,Control!$B$29):INDEX($A:$A,100000),0)+MATCH($D15,INDEX($D:$D,Control!$B$31):INDEX($D:$D,Control!$B$32),0)-1,
    1)</f>
        <v>385.89506</v>
      </c>
      <c r="AL15" s="258" cm="1">
        <f t="array" ref="AL15">INDEX(
    INDEX(AL:AL,Control!$B$29):INDEX(AL:AL,100000),
    MATCH($A$8,INDEX($A:$A,Control!$B$29):INDEX($A:$A,100000),0)+MATCH($D15,INDEX($D:$D,Control!$B$31):INDEX($D:$D,Control!$B$32),0)-1,
    1)</f>
        <v>368.06148999999999</v>
      </c>
      <c r="AM15" s="258" cm="1">
        <f t="array" ref="AM15">INDEX(
    INDEX(AM:AM,Control!$B$29):INDEX(AM:AM,100000),
    MATCH($A$8,INDEX($A:$A,Control!$B$29):INDEX($A:$A,100000),0)+MATCH($D15,INDEX($D:$D,Control!$B$31):INDEX($D:$D,Control!$B$32),0)-1,
    1)</f>
        <v>360.07807000000003</v>
      </c>
      <c r="AN15" s="258" cm="1">
        <f t="array" ref="AN15">INDEX(
    INDEX(AN:AN,Control!$B$29):INDEX(AN:AN,100000),
    MATCH($A$8,INDEX($A:$A,Control!$B$29):INDEX($A:$A,100000),0)+MATCH($D15,INDEX($D:$D,Control!$B$31):INDEX($D:$D,Control!$B$32),0)-1,
    1)</f>
        <v>351.22188999999997</v>
      </c>
      <c r="AO15" s="32"/>
      <c r="AP15" s="32"/>
      <c r="AQ15" s="32"/>
    </row>
    <row r="16" spans="1:48" s="23" customFormat="1" x14ac:dyDescent="0.35">
      <c r="A16"/>
      <c r="B16"/>
      <c r="C16" s="292" t="s">
        <v>230</v>
      </c>
      <c r="D16" s="19" t="s">
        <v>331</v>
      </c>
      <c r="E16" s="19" t="s">
        <v>217</v>
      </c>
      <c r="F16" s="258" cm="1">
        <f t="array" ref="F16">INDEX(
    INDEX(F:F,Control!$B$29):INDEX(F:F,100000),
    MATCH($A$8,INDEX($A:$A,Control!$B$29):INDEX($A:$A,100000),0)+MATCH($D16,INDEX($D:$D,Control!$B$31):INDEX($D:$D,Control!$B$32),0)-1,
    1)</f>
        <v>0</v>
      </c>
      <c r="G16" s="258" cm="1">
        <f t="array" ref="G16">INDEX(
    INDEX(G:G,Control!$B$29):INDEX(G:G,100000),
    MATCH($A$8,INDEX($A:$A,Control!$B$29):INDEX($A:$A,100000),0)+MATCH($D16,INDEX($D:$D,Control!$B$31):INDEX($D:$D,Control!$B$32),0)-1,
    1)</f>
        <v>-105.25834999999999</v>
      </c>
      <c r="H16" s="258" cm="1">
        <f t="array" ref="H16">INDEX(
    INDEX(H:H,Control!$B$29):INDEX(H:H,100000),
    MATCH($A$8,INDEX($A:$A,Control!$B$29):INDEX($A:$A,100000),0)+MATCH($D16,INDEX($D:$D,Control!$B$31):INDEX($D:$D,Control!$B$32),0)-1,
    1)</f>
        <v>-119.17447</v>
      </c>
      <c r="I16" s="258" cm="1">
        <f t="array" ref="I16">INDEX(
    INDEX(I:I,Control!$B$29):INDEX(I:I,100000),
    MATCH($A$8,INDEX($A:$A,Control!$B$29):INDEX($A:$A,100000),0)+MATCH($D16,INDEX($D:$D,Control!$B$31):INDEX($D:$D,Control!$B$32),0)-1,
    1)</f>
        <v>-117.25715</v>
      </c>
      <c r="J16" s="258" cm="1">
        <f t="array" ref="J16">INDEX(
    INDEX(J:J,Control!$B$29):INDEX(J:J,100000),
    MATCH($A$8,INDEX($A:$A,Control!$B$29):INDEX($A:$A,100000),0)+MATCH($D16,INDEX($D:$D,Control!$B$31):INDEX($D:$D,Control!$B$32),0)-1,
    1)</f>
        <v>-103.30235</v>
      </c>
      <c r="K16" s="258" cm="1">
        <f t="array" ref="K16">INDEX(
    INDEX(K:K,Control!$B$29):INDEX(K:K,100000),
    MATCH($A$8,INDEX($A:$A,Control!$B$29):INDEX($A:$A,100000),0)+MATCH($D16,INDEX($D:$D,Control!$B$31):INDEX($D:$D,Control!$B$32),0)-1,
    1)</f>
        <v>-110.27412</v>
      </c>
      <c r="L16" s="258" cm="1">
        <f t="array" ref="L16">INDEX(
    INDEX(L:L,Control!$B$29):INDEX(L:L,100000),
    MATCH($A$8,INDEX($A:$A,Control!$B$29):INDEX($A:$A,100000),0)+MATCH($D16,INDEX($D:$D,Control!$B$31):INDEX($D:$D,Control!$B$32),0)-1,
    1)</f>
        <v>-112.33638000000001</v>
      </c>
      <c r="M16" s="258" cm="1">
        <f t="array" ref="M16">INDEX(
    INDEX(M:M,Control!$B$29):INDEX(M:M,100000),
    MATCH($A$8,INDEX($A:$A,Control!$B$29):INDEX($A:$A,100000),0)+MATCH($D16,INDEX($D:$D,Control!$B$31):INDEX($D:$D,Control!$B$32),0)-1,
    1)</f>
        <v>-117.19002999999999</v>
      </c>
      <c r="N16" s="258" cm="1">
        <f t="array" ref="N16">INDEX(
    INDEX(N:N,Control!$B$29):INDEX(N:N,100000),
    MATCH($A$8,INDEX($A:$A,Control!$B$29):INDEX($A:$A,100000),0)+MATCH($D16,INDEX($D:$D,Control!$B$31):INDEX($D:$D,Control!$B$32),0)-1,
    1)</f>
        <v>-135.10750999999999</v>
      </c>
      <c r="O16" s="258" cm="1">
        <f t="array" ref="O16">INDEX(
    INDEX(O:O,Control!$B$29):INDEX(O:O,100000),
    MATCH($A$8,INDEX($A:$A,Control!$B$29):INDEX($A:$A,100000),0)+MATCH($D16,INDEX($D:$D,Control!$B$31):INDEX($D:$D,Control!$B$32),0)-1,
    1)</f>
        <v>-136.49153999999999</v>
      </c>
      <c r="P16" s="258" cm="1">
        <f t="array" ref="P16">INDEX(
    INDEX(P:P,Control!$B$29):INDEX(P:P,100000),
    MATCH($A$8,INDEX($A:$A,Control!$B$29):INDEX($A:$A,100000),0)+MATCH($D16,INDEX($D:$D,Control!$B$31):INDEX($D:$D,Control!$B$32),0)-1,
    1)</f>
        <v>-131.92777000000001</v>
      </c>
      <c r="Q16" s="258" cm="1">
        <f t="array" ref="Q16">INDEX(
    INDEX(Q:Q,Control!$B$29):INDEX(Q:Q,100000),
    MATCH($A$8,INDEX($A:$A,Control!$B$29):INDEX($A:$A,100000),0)+MATCH($D16,INDEX($D:$D,Control!$B$31):INDEX($D:$D,Control!$B$32),0)-1,
    1)</f>
        <v>-101.30811</v>
      </c>
      <c r="R16" s="258" cm="1">
        <f t="array" ref="R16">INDEX(
    INDEX(R:R,Control!$B$29):INDEX(R:R,100000),
    MATCH($A$8,INDEX($A:$A,Control!$B$29):INDEX($A:$A,100000),0)+MATCH($D16,INDEX($D:$D,Control!$B$31):INDEX($D:$D,Control!$B$32),0)-1,
    1)</f>
        <v>-114.54639</v>
      </c>
      <c r="S16" s="258" cm="1">
        <f t="array" ref="S16">INDEX(
    INDEX(S:S,Control!$B$29):INDEX(S:S,100000),
    MATCH($A$8,INDEX($A:$A,Control!$B$29):INDEX($A:$A,100000),0)+MATCH($D16,INDEX($D:$D,Control!$B$31):INDEX($D:$D,Control!$B$32),0)-1,
    1)</f>
        <v>-104.19365000000001</v>
      </c>
      <c r="T16" s="258" cm="1">
        <f t="array" ref="T16">INDEX(
    INDEX(T:T,Control!$B$29):INDEX(T:T,100000),
    MATCH($A$8,INDEX($A:$A,Control!$B$29):INDEX($A:$A,100000),0)+MATCH($D16,INDEX($D:$D,Control!$B$31):INDEX($D:$D,Control!$B$32),0)-1,
    1)</f>
        <v>-106.50127000000001</v>
      </c>
      <c r="U16" s="258" cm="1">
        <f t="array" ref="U16">INDEX(
    INDEX(U:U,Control!$B$29):INDEX(U:U,100000),
    MATCH($A$8,INDEX($A:$A,Control!$B$29):INDEX($A:$A,100000),0)+MATCH($D16,INDEX($D:$D,Control!$B$31):INDEX($D:$D,Control!$B$32),0)-1,
    1)</f>
        <v>-99.426950000000005</v>
      </c>
      <c r="V16" s="258" cm="1">
        <f t="array" ref="V16">INDEX(
    INDEX(V:V,Control!$B$29):INDEX(V:V,100000),
    MATCH($A$8,INDEX($A:$A,Control!$B$29):INDEX($A:$A,100000),0)+MATCH($D16,INDEX($D:$D,Control!$B$31):INDEX($D:$D,Control!$B$32),0)-1,
    1)</f>
        <v>-87.868390000000005</v>
      </c>
      <c r="W16" s="258" cm="1">
        <f t="array" ref="W16">INDEX(
    INDEX(W:W,Control!$B$29):INDEX(W:W,100000),
    MATCH($A$8,INDEX($A:$A,Control!$B$29):INDEX($A:$A,100000),0)+MATCH($D16,INDEX($D:$D,Control!$B$31):INDEX($D:$D,Control!$B$32),0)-1,
    1)</f>
        <v>-95.191190000000006</v>
      </c>
      <c r="X16" s="258" cm="1">
        <f t="array" ref="X16">INDEX(
    INDEX(X:X,Control!$B$29):INDEX(X:X,100000),
    MATCH($A$8,INDEX($A:$A,Control!$B$29):INDEX($A:$A,100000),0)+MATCH($D16,INDEX($D:$D,Control!$B$31):INDEX($D:$D,Control!$B$32),0)-1,
    1)</f>
        <v>-120.12017</v>
      </c>
      <c r="Y16" s="258" cm="1">
        <f t="array" ref="Y16">INDEX(
    INDEX(Y:Y,Control!$B$29):INDEX(Y:Y,100000),
    MATCH($A$8,INDEX($A:$A,Control!$B$29):INDEX($A:$A,100000),0)+MATCH($D16,INDEX($D:$D,Control!$B$31):INDEX($D:$D,Control!$B$32),0)-1,
    1)</f>
        <v>-109.52518000000001</v>
      </c>
      <c r="Z16" s="258" cm="1">
        <f t="array" ref="Z16">INDEX(
    INDEX(Z:Z,Control!$B$29):INDEX(Z:Z,100000),
    MATCH($A$8,INDEX($A:$A,Control!$B$29):INDEX($A:$A,100000),0)+MATCH($D16,INDEX($D:$D,Control!$B$31):INDEX($D:$D,Control!$B$32),0)-1,
    1)</f>
        <v>-116.38817</v>
      </c>
      <c r="AA16" s="258" cm="1">
        <f t="array" ref="AA16">INDEX(
    INDEX(AA:AA,Control!$B$29):INDEX(AA:AA,100000),
    MATCH($A$8,INDEX($A:$A,Control!$B$29):INDEX($A:$A,100000),0)+MATCH($D16,INDEX($D:$D,Control!$B$31):INDEX($D:$D,Control!$B$32),0)-1,
    1)</f>
        <v>-105.09112</v>
      </c>
      <c r="AB16" s="258" cm="1">
        <f t="array" ref="AB16">INDEX(
    INDEX(AB:AB,Control!$B$29):INDEX(AB:AB,100000),
    MATCH($A$8,INDEX($A:$A,Control!$B$29):INDEX($A:$A,100000),0)+MATCH($D16,INDEX($D:$D,Control!$B$31):INDEX($D:$D,Control!$B$32),0)-1,
    1)</f>
        <v>-102.51952</v>
      </c>
      <c r="AC16" s="258" cm="1">
        <f t="array" ref="AC16">INDEX(
    INDEX(AC:AC,Control!$B$29):INDEX(AC:AC,100000),
    MATCH($A$8,INDEX($A:$A,Control!$B$29):INDEX($A:$A,100000),0)+MATCH($D16,INDEX($D:$D,Control!$B$31):INDEX($D:$D,Control!$B$32),0)-1,
    1)</f>
        <v>-99.291749999999993</v>
      </c>
      <c r="AD16" s="258" cm="1">
        <f t="array" ref="AD16">INDEX(
    INDEX(AD:AD,Control!$B$29):INDEX(AD:AD,100000),
    MATCH($A$8,INDEX($A:$A,Control!$B$29):INDEX($A:$A,100000),0)+MATCH($D16,INDEX($D:$D,Control!$B$31):INDEX($D:$D,Control!$B$32),0)-1,
    1)</f>
        <v>-99.83605</v>
      </c>
      <c r="AE16" s="258" cm="1">
        <f t="array" ref="AE16">INDEX(
    INDEX(AE:AE,Control!$B$29):INDEX(AE:AE,100000),
    MATCH($A$8,INDEX($A:$A,Control!$B$29):INDEX($A:$A,100000),0)+MATCH($D16,INDEX($D:$D,Control!$B$31):INDEX($D:$D,Control!$B$32),0)-1,
    1)</f>
        <v>-96.124840000000006</v>
      </c>
      <c r="AF16" s="258" cm="1">
        <f t="array" ref="AF16">INDEX(
    INDEX(AF:AF,Control!$B$29):INDEX(AF:AF,100000),
    MATCH($A$8,INDEX($A:$A,Control!$B$29):INDEX($A:$A,100000),0)+MATCH($D16,INDEX($D:$D,Control!$B$31):INDEX($D:$D,Control!$B$32),0)-1,
    1)</f>
        <v>-92.435010000000005</v>
      </c>
      <c r="AG16" s="258" cm="1">
        <f t="array" ref="AG16">INDEX(
    INDEX(AG:AG,Control!$B$29):INDEX(AG:AG,100000),
    MATCH($A$8,INDEX($A:$A,Control!$B$29):INDEX($A:$A,100000),0)+MATCH($D16,INDEX($D:$D,Control!$B$31):INDEX($D:$D,Control!$B$32),0)-1,
    1)</f>
        <v>-89.864680000000007</v>
      </c>
      <c r="AH16" s="258" cm="1">
        <f t="array" ref="AH16">INDEX(
    INDEX(AH:AH,Control!$B$29):INDEX(AH:AH,100000),
    MATCH($A$8,INDEX($A:$A,Control!$B$29):INDEX($A:$A,100000),0)+MATCH($D16,INDEX($D:$D,Control!$B$31):INDEX($D:$D,Control!$B$32),0)-1,
    1)</f>
        <v>-94.431299999999993</v>
      </c>
      <c r="AI16" s="258" cm="1">
        <f t="array" ref="AI16">INDEX(
    INDEX(AI:AI,Control!$B$29):INDEX(AI:AI,100000),
    MATCH($A$8,INDEX($A:$A,Control!$B$29):INDEX($A:$A,100000),0)+MATCH($D16,INDEX($D:$D,Control!$B$31):INDEX($D:$D,Control!$B$32),0)-1,
    1)</f>
        <v>-84.036119999999997</v>
      </c>
      <c r="AJ16" s="258" cm="1">
        <f t="array" ref="AJ16">INDEX(
    INDEX(AJ:AJ,Control!$B$29):INDEX(AJ:AJ,100000),
    MATCH($A$8,INDEX($A:$A,Control!$B$29):INDEX($A:$A,100000),0)+MATCH($D16,INDEX($D:$D,Control!$B$31):INDEX($D:$D,Control!$B$32),0)-1,
    1)</f>
        <v>-80.479389999999995</v>
      </c>
      <c r="AK16" s="258" cm="1">
        <f t="array" ref="AK16">INDEX(
    INDEX(AK:AK,Control!$B$29):INDEX(AK:AK,100000),
    MATCH($A$8,INDEX($A:$A,Control!$B$29):INDEX($A:$A,100000),0)+MATCH($D16,INDEX($D:$D,Control!$B$31):INDEX($D:$D,Control!$B$32),0)-1,
    1)</f>
        <v>-81.958160000000007</v>
      </c>
      <c r="AL16" s="258" cm="1">
        <f t="array" ref="AL16">INDEX(
    INDEX(AL:AL,Control!$B$29):INDEX(AL:AL,100000),
    MATCH($A$8,INDEX($A:$A,Control!$B$29):INDEX($A:$A,100000),0)+MATCH($D16,INDEX($D:$D,Control!$B$31):INDEX($D:$D,Control!$B$32),0)-1,
    1)</f>
        <v>-92.193119999999993</v>
      </c>
      <c r="AM16" s="258" cm="1">
        <f t="array" ref="AM16">INDEX(
    INDEX(AM:AM,Control!$B$29):INDEX(AM:AM,100000),
    MATCH($A$8,INDEX($A:$A,Control!$B$29):INDEX($A:$A,100000),0)+MATCH($D16,INDEX($D:$D,Control!$B$31):INDEX($D:$D,Control!$B$32),0)-1,
    1)</f>
        <v>-97.879329999999996</v>
      </c>
      <c r="AN16" s="258" cm="1">
        <f t="array" ref="AN16">INDEX(
    INDEX(AN:AN,Control!$B$29):INDEX(AN:AN,100000),
    MATCH($A$8,INDEX($A:$A,Control!$B$29):INDEX($A:$A,100000),0)+MATCH($D16,INDEX($D:$D,Control!$B$31):INDEX($D:$D,Control!$B$32),0)-1,
    1)</f>
        <v>-92.007810000000006</v>
      </c>
      <c r="AO16" s="32"/>
      <c r="AP16" s="32"/>
      <c r="AQ16" s="32"/>
    </row>
    <row r="17" spans="1:43" s="23" customFormat="1" x14ac:dyDescent="0.35">
      <c r="A17"/>
      <c r="B17"/>
      <c r="C17" s="292" t="s">
        <v>230</v>
      </c>
      <c r="D17" s="19" t="s">
        <v>332</v>
      </c>
      <c r="E17" s="19" t="s">
        <v>217</v>
      </c>
      <c r="F17" s="258" cm="1">
        <f t="array" ref="F17">INDEX(
    INDEX(F:F,Control!$B$29):INDEX(F:F,100000),
    MATCH($A$8,INDEX($A:$A,Control!$B$29):INDEX($A:$A,100000),0)+MATCH($D17,INDEX($D:$D,Control!$B$31):INDEX($D:$D,Control!$B$32),0)-1,
    1)</f>
        <v>0</v>
      </c>
      <c r="G17" s="258" cm="1">
        <f t="array" ref="G17">INDEX(
    INDEX(G:G,Control!$B$29):INDEX(G:G,100000),
    MATCH($A$8,INDEX($A:$A,Control!$B$29):INDEX($A:$A,100000),0)+MATCH($D17,INDEX($D:$D,Control!$B$31):INDEX($D:$D,Control!$B$32),0)-1,
    1)</f>
        <v>388.79899999999998</v>
      </c>
      <c r="H17" s="258" cm="1">
        <f t="array" ref="H17">INDEX(
    INDEX(H:H,Control!$B$29):INDEX(H:H,100000),
    MATCH($A$8,INDEX($A:$A,Control!$B$29):INDEX($A:$A,100000),0)+MATCH($D17,INDEX($D:$D,Control!$B$31):INDEX($D:$D,Control!$B$32),0)-1,
    1)</f>
        <v>317.54910999999998</v>
      </c>
      <c r="I17" s="258" cm="1">
        <f t="array" ref="I17">INDEX(
    INDEX(I:I,Control!$B$29):INDEX(I:I,100000),
    MATCH($A$8,INDEX($A:$A,Control!$B$29):INDEX($A:$A,100000),0)+MATCH($D17,INDEX($D:$D,Control!$B$31):INDEX($D:$D,Control!$B$32),0)-1,
    1)</f>
        <v>308.28455000000002</v>
      </c>
      <c r="J17" s="258" cm="1">
        <f t="array" ref="J17">INDEX(
    INDEX(J:J,Control!$B$29):INDEX(J:J,100000),
    MATCH($A$8,INDEX($A:$A,Control!$B$29):INDEX($A:$A,100000),0)+MATCH($D17,INDEX($D:$D,Control!$B$31):INDEX($D:$D,Control!$B$32),0)-1,
    1)</f>
        <v>286.93468999999999</v>
      </c>
      <c r="K17" s="258" cm="1">
        <f t="array" ref="K17">INDEX(
    INDEX(K:K,Control!$B$29):INDEX(K:K,100000),
    MATCH($A$8,INDEX($A:$A,Control!$B$29):INDEX($A:$A,100000),0)+MATCH($D17,INDEX($D:$D,Control!$B$31):INDEX($D:$D,Control!$B$32),0)-1,
    1)</f>
        <v>244.26346000000001</v>
      </c>
      <c r="L17" s="258" cm="1">
        <f t="array" ref="L17">INDEX(
    INDEX(L:L,Control!$B$29):INDEX(L:L,100000),
    MATCH($A$8,INDEX($A:$A,Control!$B$29):INDEX($A:$A,100000),0)+MATCH($D17,INDEX($D:$D,Control!$B$31):INDEX($D:$D,Control!$B$32),0)-1,
    1)</f>
        <v>273.98856000000001</v>
      </c>
      <c r="M17" s="258" cm="1">
        <f t="array" ref="M17">INDEX(
    INDEX(M:M,Control!$B$29):INDEX(M:M,100000),
    MATCH($A$8,INDEX($A:$A,Control!$B$29):INDEX($A:$A,100000),0)+MATCH($D17,INDEX($D:$D,Control!$B$31):INDEX($D:$D,Control!$B$32),0)-1,
    1)</f>
        <v>238.22639000000001</v>
      </c>
      <c r="N17" s="258" cm="1">
        <f t="array" ref="N17">INDEX(
    INDEX(N:N,Control!$B$29):INDEX(N:N,100000),
    MATCH($A$8,INDEX($A:$A,Control!$B$29):INDEX($A:$A,100000),0)+MATCH($D17,INDEX($D:$D,Control!$B$31):INDEX($D:$D,Control!$B$32),0)-1,
    1)</f>
        <v>258.56797999999998</v>
      </c>
      <c r="O17" s="258" cm="1">
        <f t="array" ref="O17">INDEX(
    INDEX(O:O,Control!$B$29):INDEX(O:O,100000),
    MATCH($A$8,INDEX($A:$A,Control!$B$29):INDEX($A:$A,100000),0)+MATCH($D17,INDEX($D:$D,Control!$B$31):INDEX($D:$D,Control!$B$32),0)-1,
    1)</f>
        <v>296.33046000000002</v>
      </c>
      <c r="P17" s="258" cm="1">
        <f t="array" ref="P17">INDEX(
    INDEX(P:P,Control!$B$29):INDEX(P:P,100000),
    MATCH($A$8,INDEX($A:$A,Control!$B$29):INDEX($A:$A,100000),0)+MATCH($D17,INDEX($D:$D,Control!$B$31):INDEX($D:$D,Control!$B$32),0)-1,
    1)</f>
        <v>278.31680999999998</v>
      </c>
      <c r="Q17" s="258" cm="1">
        <f t="array" ref="Q17">INDEX(
    INDEX(Q:Q,Control!$B$29):INDEX(Q:Q,100000),
    MATCH($A$8,INDEX($A:$A,Control!$B$29):INDEX($A:$A,100000),0)+MATCH($D17,INDEX($D:$D,Control!$B$31):INDEX($D:$D,Control!$B$32),0)-1,
    1)</f>
        <v>226.49093999999999</v>
      </c>
      <c r="R17" s="258" cm="1">
        <f t="array" ref="R17">INDEX(
    INDEX(R:R,Control!$B$29):INDEX(R:R,100000),
    MATCH($A$8,INDEX($A:$A,Control!$B$29):INDEX($A:$A,100000),0)+MATCH($D17,INDEX($D:$D,Control!$B$31):INDEX($D:$D,Control!$B$32),0)-1,
    1)</f>
        <v>236.28458000000001</v>
      </c>
      <c r="S17" s="258" cm="1">
        <f t="array" ref="S17">INDEX(
    INDEX(S:S,Control!$B$29):INDEX(S:S,100000),
    MATCH($A$8,INDEX($A:$A,Control!$B$29):INDEX($A:$A,100000),0)+MATCH($D17,INDEX($D:$D,Control!$B$31):INDEX($D:$D,Control!$B$32),0)-1,
    1)</f>
        <v>240.98716999999999</v>
      </c>
      <c r="T17" s="258" cm="1">
        <f t="array" ref="T17">INDEX(
    INDEX(T:T,Control!$B$29):INDEX(T:T,100000),
    MATCH($A$8,INDEX($A:$A,Control!$B$29):INDEX($A:$A,100000),0)+MATCH($D17,INDEX($D:$D,Control!$B$31):INDEX($D:$D,Control!$B$32),0)-1,
    1)</f>
        <v>238.75239999999999</v>
      </c>
      <c r="U17" s="258" cm="1">
        <f t="array" ref="U17">INDEX(
    INDEX(U:U,Control!$B$29):INDEX(U:U,100000),
    MATCH($A$8,INDEX($A:$A,Control!$B$29):INDEX($A:$A,100000),0)+MATCH($D17,INDEX($D:$D,Control!$B$31):INDEX($D:$D,Control!$B$32),0)-1,
    1)</f>
        <v>228.26983999999999</v>
      </c>
      <c r="V17" s="258" cm="1">
        <f t="array" ref="V17">INDEX(
    INDEX(V:V,Control!$B$29):INDEX(V:V,100000),
    MATCH($A$8,INDEX($A:$A,Control!$B$29):INDEX($A:$A,100000),0)+MATCH($D17,INDEX($D:$D,Control!$B$31):INDEX($D:$D,Control!$B$32),0)-1,
    1)</f>
        <v>221.93413000000001</v>
      </c>
      <c r="W17" s="258" cm="1">
        <f t="array" ref="W17">INDEX(
    INDEX(W:W,Control!$B$29):INDEX(W:W,100000),
    MATCH($A$8,INDEX($A:$A,Control!$B$29):INDEX($A:$A,100000),0)+MATCH($D17,INDEX($D:$D,Control!$B$31):INDEX($D:$D,Control!$B$32),0)-1,
    1)</f>
        <v>210.38104000000001</v>
      </c>
      <c r="X17" s="258" cm="1">
        <f t="array" ref="X17">INDEX(
    INDEX(X:X,Control!$B$29):INDEX(X:X,100000),
    MATCH($A$8,INDEX($A:$A,Control!$B$29):INDEX($A:$A,100000),0)+MATCH($D17,INDEX($D:$D,Control!$B$31):INDEX($D:$D,Control!$B$32),0)-1,
    1)</f>
        <v>331.72174999999999</v>
      </c>
      <c r="Y17" s="258" cm="1">
        <f t="array" ref="Y17">INDEX(
    INDEX(Y:Y,Control!$B$29):INDEX(Y:Y,100000),
    MATCH($A$8,INDEX($A:$A,Control!$B$29):INDEX($A:$A,100000),0)+MATCH($D17,INDEX($D:$D,Control!$B$31):INDEX($D:$D,Control!$B$32),0)-1,
    1)</f>
        <v>317.34179</v>
      </c>
      <c r="Z17" s="258" cm="1">
        <f t="array" ref="Z17">INDEX(
    INDEX(Z:Z,Control!$B$29):INDEX(Z:Z,100000),
    MATCH($A$8,INDEX($A:$A,Control!$B$29):INDEX($A:$A,100000),0)+MATCH($D17,INDEX($D:$D,Control!$B$31):INDEX($D:$D,Control!$B$32),0)-1,
    1)</f>
        <v>327.38074999999998</v>
      </c>
      <c r="AA17" s="258" cm="1">
        <f t="array" ref="AA17">INDEX(
    INDEX(AA:AA,Control!$B$29):INDEX(AA:AA,100000),
    MATCH($A$8,INDEX($A:$A,Control!$B$29):INDEX($A:$A,100000),0)+MATCH($D17,INDEX($D:$D,Control!$B$31):INDEX($D:$D,Control!$B$32),0)-1,
    1)</f>
        <v>308.70222999999999</v>
      </c>
      <c r="AB17" s="258" cm="1">
        <f t="array" ref="AB17">INDEX(
    INDEX(AB:AB,Control!$B$29):INDEX(AB:AB,100000),
    MATCH($A$8,INDEX($A:$A,Control!$B$29):INDEX($A:$A,100000),0)+MATCH($D17,INDEX($D:$D,Control!$B$31):INDEX($D:$D,Control!$B$32),0)-1,
    1)</f>
        <v>310.20024999999998</v>
      </c>
      <c r="AC17" s="258" cm="1">
        <f t="array" ref="AC17">INDEX(
    INDEX(AC:AC,Control!$B$29):INDEX(AC:AC,100000),
    MATCH($A$8,INDEX($A:$A,Control!$B$29):INDEX($A:$A,100000),0)+MATCH($D17,INDEX($D:$D,Control!$B$31):INDEX($D:$D,Control!$B$32),0)-1,
    1)</f>
        <v>293.05955999999998</v>
      </c>
      <c r="AD17" s="258" cm="1">
        <f t="array" ref="AD17">INDEX(
    INDEX(AD:AD,Control!$B$29):INDEX(AD:AD,100000),
    MATCH($A$8,INDEX($A:$A,Control!$B$29):INDEX($A:$A,100000),0)+MATCH($D17,INDEX($D:$D,Control!$B$31):INDEX($D:$D,Control!$B$32),0)-1,
    1)</f>
        <v>297.58017999999998</v>
      </c>
      <c r="AE17" s="258" cm="1">
        <f t="array" ref="AE17">INDEX(
    INDEX(AE:AE,Control!$B$29):INDEX(AE:AE,100000),
    MATCH($A$8,INDEX($A:$A,Control!$B$29):INDEX($A:$A,100000),0)+MATCH($D17,INDEX($D:$D,Control!$B$31):INDEX($D:$D,Control!$B$32),0)-1,
    1)</f>
        <v>289.49808999999999</v>
      </c>
      <c r="AF17" s="258" cm="1">
        <f t="array" ref="AF17">INDEX(
    INDEX(AF:AF,Control!$B$29):INDEX(AF:AF,100000),
    MATCH($A$8,INDEX($A:$A,Control!$B$29):INDEX($A:$A,100000),0)+MATCH($D17,INDEX($D:$D,Control!$B$31):INDEX($D:$D,Control!$B$32),0)-1,
    1)</f>
        <v>292.32107999999999</v>
      </c>
      <c r="AG17" s="258" cm="1">
        <f t="array" ref="AG17">INDEX(
    INDEX(AG:AG,Control!$B$29):INDEX(AG:AG,100000),
    MATCH($A$8,INDEX($A:$A,Control!$B$29):INDEX($A:$A,100000),0)+MATCH($D17,INDEX($D:$D,Control!$B$31):INDEX($D:$D,Control!$B$32),0)-1,
    1)</f>
        <v>282.83469000000002</v>
      </c>
      <c r="AH17" s="258" cm="1">
        <f t="array" ref="AH17">INDEX(
    INDEX(AH:AH,Control!$B$29):INDEX(AH:AH,100000),
    MATCH($A$8,INDEX($A:$A,Control!$B$29):INDEX($A:$A,100000),0)+MATCH($D17,INDEX($D:$D,Control!$B$31):INDEX($D:$D,Control!$B$32),0)-1,
    1)</f>
        <v>281.38896</v>
      </c>
      <c r="AI17" s="258" cm="1">
        <f t="array" ref="AI17">INDEX(
    INDEX(AI:AI,Control!$B$29):INDEX(AI:AI,100000),
    MATCH($A$8,INDEX($A:$A,Control!$B$29):INDEX($A:$A,100000),0)+MATCH($D17,INDEX($D:$D,Control!$B$31):INDEX($D:$D,Control!$B$32),0)-1,
    1)</f>
        <v>265.94788</v>
      </c>
      <c r="AJ17" s="258" cm="1">
        <f t="array" ref="AJ17">INDEX(
    INDEX(AJ:AJ,Control!$B$29):INDEX(AJ:AJ,100000),
    MATCH($A$8,INDEX($A:$A,Control!$B$29):INDEX($A:$A,100000),0)+MATCH($D17,INDEX($D:$D,Control!$B$31):INDEX($D:$D,Control!$B$32),0)-1,
    1)</f>
        <v>272.76461</v>
      </c>
      <c r="AK17" s="258" cm="1">
        <f t="array" ref="AK17">INDEX(
    INDEX(AK:AK,Control!$B$29):INDEX(AK:AK,100000),
    MATCH($A$8,INDEX($A:$A,Control!$B$29):INDEX($A:$A,100000),0)+MATCH($D17,INDEX($D:$D,Control!$B$31):INDEX($D:$D,Control!$B$32),0)-1,
    1)</f>
        <v>253.46375</v>
      </c>
      <c r="AL17" s="258" cm="1">
        <f t="array" ref="AL17">INDEX(
    INDEX(AL:AL,Control!$B$29):INDEX(AL:AL,100000),
    MATCH($A$8,INDEX($A:$A,Control!$B$29):INDEX($A:$A,100000),0)+MATCH($D17,INDEX($D:$D,Control!$B$31):INDEX($D:$D,Control!$B$32),0)-1,
    1)</f>
        <v>258.71078999999997</v>
      </c>
      <c r="AM17" s="258" cm="1">
        <f t="array" ref="AM17">INDEX(
    INDEX(AM:AM,Control!$B$29):INDEX(AM:AM,100000),
    MATCH($A$8,INDEX($A:$A,Control!$B$29):INDEX($A:$A,100000),0)+MATCH($D17,INDEX($D:$D,Control!$B$31):INDEX($D:$D,Control!$B$32),0)-1,
    1)</f>
        <v>261.04192999999998</v>
      </c>
      <c r="AN17" s="258" cm="1">
        <f t="array" ref="AN17">INDEX(
    INDEX(AN:AN,Control!$B$29):INDEX(AN:AN,100000),
    MATCH($A$8,INDEX($A:$A,Control!$B$29):INDEX($A:$A,100000),0)+MATCH($D17,INDEX($D:$D,Control!$B$31):INDEX($D:$D,Control!$B$32),0)-1,
    1)</f>
        <v>253.38637</v>
      </c>
      <c r="AO17" s="32"/>
      <c r="AP17" s="32"/>
      <c r="AQ17" s="32"/>
    </row>
    <row r="18" spans="1:43" s="23" customFormat="1" x14ac:dyDescent="0.35">
      <c r="A18"/>
      <c r="B18"/>
      <c r="C18" s="292" t="s">
        <v>230</v>
      </c>
      <c r="D18" s="19" t="s">
        <v>333</v>
      </c>
      <c r="E18" s="19" t="s">
        <v>217</v>
      </c>
      <c r="F18" s="258" cm="1">
        <f t="array" ref="F18">INDEX(
    INDEX(F:F,Control!$B$29):INDEX(F:F,100000),
    MATCH($A$8,INDEX($A:$A,Control!$B$29):INDEX($A:$A,100000),0)+MATCH($D18,INDEX($D:$D,Control!$B$31):INDEX($D:$D,Control!$B$32),0)-1,
    1)</f>
        <v>0</v>
      </c>
      <c r="G18" s="258" cm="1">
        <f t="array" ref="G18">INDEX(
    INDEX(G:G,Control!$B$29):INDEX(G:G,100000),
    MATCH($A$8,INDEX($A:$A,Control!$B$29):INDEX($A:$A,100000),0)+MATCH($D18,INDEX($D:$D,Control!$B$31):INDEX($D:$D,Control!$B$32),0)-1,
    1)</f>
        <v>-464.68569000000002</v>
      </c>
      <c r="H18" s="258" cm="1">
        <f t="array" ref="H18">INDEX(
    INDEX(H:H,Control!$B$29):INDEX(H:H,100000),
    MATCH($A$8,INDEX($A:$A,Control!$B$29):INDEX($A:$A,100000),0)+MATCH($D18,INDEX($D:$D,Control!$B$31):INDEX($D:$D,Control!$B$32),0)-1,
    1)</f>
        <v>-398.24547999999999</v>
      </c>
      <c r="I18" s="258" cm="1">
        <f t="array" ref="I18">INDEX(
    INDEX(I:I,Control!$B$29):INDEX(I:I,100000),
    MATCH($A$8,INDEX($A:$A,Control!$B$29):INDEX($A:$A,100000),0)+MATCH($D18,INDEX($D:$D,Control!$B$31):INDEX($D:$D,Control!$B$32),0)-1,
    1)</f>
        <v>-410.22663</v>
      </c>
      <c r="J18" s="258" cm="1">
        <f t="array" ref="J18">INDEX(
    INDEX(J:J,Control!$B$29):INDEX(J:J,100000),
    MATCH($A$8,INDEX($A:$A,Control!$B$29):INDEX($A:$A,100000),0)+MATCH($D18,INDEX($D:$D,Control!$B$31):INDEX($D:$D,Control!$B$32),0)-1,
    1)</f>
        <v>-422.82364000000001</v>
      </c>
      <c r="K18" s="258" cm="1">
        <f t="array" ref="K18">INDEX(
    INDEX(K:K,Control!$B$29):INDEX(K:K,100000),
    MATCH($A$8,INDEX($A:$A,Control!$B$29):INDEX($A:$A,100000),0)+MATCH($D18,INDEX($D:$D,Control!$B$31):INDEX($D:$D,Control!$B$32),0)-1,
    1)</f>
        <v>-422.95992000000001</v>
      </c>
      <c r="L18" s="258" cm="1">
        <f t="array" ref="L18">INDEX(
    INDEX(L:L,Control!$B$29):INDEX(L:L,100000),
    MATCH($A$8,INDEX($A:$A,Control!$B$29):INDEX($A:$A,100000),0)+MATCH($D18,INDEX($D:$D,Control!$B$31):INDEX($D:$D,Control!$B$32),0)-1,
    1)</f>
        <v>-411.04629</v>
      </c>
      <c r="M18" s="258" cm="1">
        <f t="array" ref="M18">INDEX(
    INDEX(M:M,Control!$B$29):INDEX(M:M,100000),
    MATCH($A$8,INDEX($A:$A,Control!$B$29):INDEX($A:$A,100000),0)+MATCH($D18,INDEX($D:$D,Control!$B$31):INDEX($D:$D,Control!$B$32),0)-1,
    1)</f>
        <v>-381.26875000000001</v>
      </c>
      <c r="N18" s="258" cm="1">
        <f t="array" ref="N18">INDEX(
    INDEX(N:N,Control!$B$29):INDEX(N:N,100000),
    MATCH($A$8,INDEX($A:$A,Control!$B$29):INDEX($A:$A,100000),0)+MATCH($D18,INDEX($D:$D,Control!$B$31):INDEX($D:$D,Control!$B$32),0)-1,
    1)</f>
        <v>-359.68171999999998</v>
      </c>
      <c r="O18" s="258" cm="1">
        <f t="array" ref="O18">INDEX(
    INDEX(O:O,Control!$B$29):INDEX(O:O,100000),
    MATCH($A$8,INDEX($A:$A,Control!$B$29):INDEX($A:$A,100000),0)+MATCH($D18,INDEX($D:$D,Control!$B$31):INDEX($D:$D,Control!$B$32),0)-1,
    1)</f>
        <v>-343.74527</v>
      </c>
      <c r="P18" s="258" cm="1">
        <f t="array" ref="P18">INDEX(
    INDEX(P:P,Control!$B$29):INDEX(P:P,100000),
    MATCH($A$8,INDEX($A:$A,Control!$B$29):INDEX($A:$A,100000),0)+MATCH($D18,INDEX($D:$D,Control!$B$31):INDEX($D:$D,Control!$B$32),0)-1,
    1)</f>
        <v>-332.33724999999998</v>
      </c>
      <c r="Q18" s="258" cm="1">
        <f t="array" ref="Q18">INDEX(
    INDEX(Q:Q,Control!$B$29):INDEX(Q:Q,100000),
    MATCH($A$8,INDEX($A:$A,Control!$B$29):INDEX($A:$A,100000),0)+MATCH($D18,INDEX($D:$D,Control!$B$31):INDEX($D:$D,Control!$B$32),0)-1,
    1)</f>
        <v>-378.67387000000002</v>
      </c>
      <c r="R18" s="258" cm="1">
        <f t="array" ref="R18">INDEX(
    INDEX(R:R,Control!$B$29):INDEX(R:R,100000),
    MATCH($A$8,INDEX($A:$A,Control!$B$29):INDEX($A:$A,100000),0)+MATCH($D18,INDEX($D:$D,Control!$B$31):INDEX($D:$D,Control!$B$32),0)-1,
    1)</f>
        <v>-342.27936999999997</v>
      </c>
      <c r="S18" s="258" cm="1">
        <f t="array" ref="S18">INDEX(
    INDEX(S:S,Control!$B$29):INDEX(S:S,100000),
    MATCH($A$8,INDEX($A:$A,Control!$B$29):INDEX($A:$A,100000),0)+MATCH($D18,INDEX($D:$D,Control!$B$31):INDEX($D:$D,Control!$B$32),0)-1,
    1)</f>
        <v>-352.96199999999999</v>
      </c>
      <c r="T18" s="258" cm="1">
        <f t="array" ref="T18">INDEX(
    INDEX(T:T,Control!$B$29):INDEX(T:T,100000),
    MATCH($A$8,INDEX($A:$A,Control!$B$29):INDEX($A:$A,100000),0)+MATCH($D18,INDEX($D:$D,Control!$B$31):INDEX($D:$D,Control!$B$32),0)-1,
    1)</f>
        <v>-329.46870000000001</v>
      </c>
      <c r="U18" s="258" cm="1">
        <f t="array" ref="U18">INDEX(
    INDEX(U:U,Control!$B$29):INDEX(U:U,100000),
    MATCH($A$8,INDEX($A:$A,Control!$B$29):INDEX($A:$A,100000),0)+MATCH($D18,INDEX($D:$D,Control!$B$31):INDEX($D:$D,Control!$B$32),0)-1,
    1)</f>
        <v>-332.68380999999999</v>
      </c>
      <c r="V18" s="258" cm="1">
        <f t="array" ref="V18">INDEX(
    INDEX(V:V,Control!$B$29):INDEX(V:V,100000),
    MATCH($A$8,INDEX($A:$A,Control!$B$29):INDEX($A:$A,100000),0)+MATCH($D18,INDEX($D:$D,Control!$B$31):INDEX($D:$D,Control!$B$32),0)-1,
    1)</f>
        <v>-354.34602999999998</v>
      </c>
      <c r="W18" s="258" cm="1">
        <f t="array" ref="W18">INDEX(
    INDEX(W:W,Control!$B$29):INDEX(W:W,100000),
    MATCH($A$8,INDEX($A:$A,Control!$B$29):INDEX($A:$A,100000),0)+MATCH($D18,INDEX($D:$D,Control!$B$31):INDEX($D:$D,Control!$B$32),0)-1,
    1)</f>
        <v>-325.72152999999997</v>
      </c>
      <c r="X18" s="258" cm="1">
        <f t="array" ref="X18">INDEX(
    INDEX(X:X,Control!$B$29):INDEX(X:X,100000),
    MATCH($A$8,INDEX($A:$A,Control!$B$29):INDEX($A:$A,100000),0)+MATCH($D18,INDEX($D:$D,Control!$B$31):INDEX($D:$D,Control!$B$32),0)-1,
    1)</f>
        <v>-437.09910000000002</v>
      </c>
      <c r="Y18" s="258" cm="1">
        <f t="array" ref="Y18">INDEX(
    INDEX(Y:Y,Control!$B$29):INDEX(Y:Y,100000),
    MATCH($A$8,INDEX($A:$A,Control!$B$29):INDEX($A:$A,100000),0)+MATCH($D18,INDEX($D:$D,Control!$B$31):INDEX($D:$D,Control!$B$32),0)-1,
    1)</f>
        <v>-453.69560000000001</v>
      </c>
      <c r="Z18" s="258" cm="1">
        <f t="array" ref="Z18">INDEX(
    INDEX(Z:Z,Control!$B$29):INDEX(Z:Z,100000),
    MATCH($A$8,INDEX($A:$A,Control!$B$29):INDEX($A:$A,100000),0)+MATCH($D18,INDEX($D:$D,Control!$B$31):INDEX($D:$D,Control!$B$32),0)-1,
    1)</f>
        <v>-425.59861999999998</v>
      </c>
      <c r="AA18" s="258" cm="1">
        <f t="array" ref="AA18">INDEX(
    INDEX(AA:AA,Control!$B$29):INDEX(AA:AA,100000),
    MATCH($A$8,INDEX($A:$A,Control!$B$29):INDEX($A:$A,100000),0)+MATCH($D18,INDEX($D:$D,Control!$B$31):INDEX($D:$D,Control!$B$32),0)-1,
    1)</f>
        <v>-458.93950999999998</v>
      </c>
      <c r="AB18" s="258" cm="1">
        <f t="array" ref="AB18">INDEX(
    INDEX(AB:AB,Control!$B$29):INDEX(AB:AB,100000),
    MATCH($A$8,INDEX($A:$A,Control!$B$29):INDEX($A:$A,100000),0)+MATCH($D18,INDEX($D:$D,Control!$B$31):INDEX($D:$D,Control!$B$32),0)-1,
    1)</f>
        <v>-488.79561000000001</v>
      </c>
      <c r="AC18" s="258" cm="1">
        <f t="array" ref="AC18">INDEX(
    INDEX(AC:AC,Control!$B$29):INDEX(AC:AC,100000),
    MATCH($A$8,INDEX($A:$A,Control!$B$29):INDEX($A:$A,100000),0)+MATCH($D18,INDEX($D:$D,Control!$B$31):INDEX($D:$D,Control!$B$32),0)-1,
    1)</f>
        <v>-473.33551</v>
      </c>
      <c r="AD18" s="258" cm="1">
        <f t="array" ref="AD18">INDEX(
    INDEX(AD:AD,Control!$B$29):INDEX(AD:AD,100000),
    MATCH($A$8,INDEX($A:$A,Control!$B$29):INDEX($A:$A,100000),0)+MATCH($D18,INDEX($D:$D,Control!$B$31):INDEX($D:$D,Control!$B$32),0)-1,
    1)</f>
        <v>-475.44905999999997</v>
      </c>
      <c r="AE18" s="258" cm="1">
        <f t="array" ref="AE18">INDEX(
    INDEX(AE:AE,Control!$B$29):INDEX(AE:AE,100000),
    MATCH($A$8,INDEX($A:$A,Control!$B$29):INDEX($A:$A,100000),0)+MATCH($D18,INDEX($D:$D,Control!$B$31):INDEX($D:$D,Control!$B$32),0)-1,
    1)</f>
        <v>-478.92005</v>
      </c>
      <c r="AF18" s="258" cm="1">
        <f t="array" ref="AF18">INDEX(
    INDEX(AF:AF,Control!$B$29):INDEX(AF:AF,100000),
    MATCH($A$8,INDEX($A:$A,Control!$B$29):INDEX($A:$A,100000),0)+MATCH($D18,INDEX($D:$D,Control!$B$31):INDEX($D:$D,Control!$B$32),0)-1,
    1)</f>
        <v>-486.55540999999999</v>
      </c>
      <c r="AG18" s="258" cm="1">
        <f t="array" ref="AG18">INDEX(
    INDEX(AG:AG,Control!$B$29):INDEX(AG:AG,100000),
    MATCH($A$8,INDEX($A:$A,Control!$B$29):INDEX($A:$A,100000),0)+MATCH($D18,INDEX($D:$D,Control!$B$31):INDEX($D:$D,Control!$B$32),0)-1,
    1)</f>
        <v>-462.63717000000003</v>
      </c>
      <c r="AH18" s="258" cm="1">
        <f t="array" ref="AH18">INDEX(
    INDEX(AH:AH,Control!$B$29):INDEX(AH:AH,100000),
    MATCH($A$8,INDEX($A:$A,Control!$B$29):INDEX($A:$A,100000),0)+MATCH($D18,INDEX($D:$D,Control!$B$31):INDEX($D:$D,Control!$B$32),0)-1,
    1)</f>
        <v>-451.30079000000001</v>
      </c>
      <c r="AI18" s="258" cm="1">
        <f t="array" ref="AI18">INDEX(
    INDEX(AI:AI,Control!$B$29):INDEX(AI:AI,100000),
    MATCH($A$8,INDEX($A:$A,Control!$B$29):INDEX($A:$A,100000),0)+MATCH($D18,INDEX($D:$D,Control!$B$31):INDEX($D:$D,Control!$B$32),0)-1,
    1)</f>
        <v>-448.58080000000001</v>
      </c>
      <c r="AJ18" s="258" cm="1">
        <f t="array" ref="AJ18">INDEX(
    INDEX(AJ:AJ,Control!$B$29):INDEX(AJ:AJ,100000),
    MATCH($A$8,INDEX($A:$A,Control!$B$29):INDEX($A:$A,100000),0)+MATCH($D18,INDEX($D:$D,Control!$B$31):INDEX($D:$D,Control!$B$32),0)-1,
    1)</f>
        <v>-455.02431000000001</v>
      </c>
      <c r="AK18" s="258" cm="1">
        <f t="array" ref="AK18">INDEX(
    INDEX(AK:AK,Control!$B$29):INDEX(AK:AK,100000),
    MATCH($A$8,INDEX($A:$A,Control!$B$29):INDEX($A:$A,100000),0)+MATCH($D18,INDEX($D:$D,Control!$B$31):INDEX($D:$D,Control!$B$32),0)-1,
    1)</f>
        <v>-433.36869999999999</v>
      </c>
      <c r="AL18" s="258" cm="1">
        <f t="array" ref="AL18">INDEX(
    INDEX(AL:AL,Control!$B$29):INDEX(AL:AL,100000),
    MATCH($A$8,INDEX($A:$A,Control!$B$29):INDEX($A:$A,100000),0)+MATCH($D18,INDEX($D:$D,Control!$B$31):INDEX($D:$D,Control!$B$32),0)-1,
    1)</f>
        <v>-390.02033999999998</v>
      </c>
      <c r="AM18" s="258" cm="1">
        <f t="array" ref="AM18">INDEX(
    INDEX(AM:AM,Control!$B$29):INDEX(AM:AM,100000),
    MATCH($A$8,INDEX($A:$A,Control!$B$29):INDEX($A:$A,100000),0)+MATCH($D18,INDEX($D:$D,Control!$B$31):INDEX($D:$D,Control!$B$32),0)-1,
    1)</f>
        <v>-365.89544000000001</v>
      </c>
      <c r="AN18" s="258" cm="1">
        <f t="array" ref="AN18">INDEX(
    INDEX(AN:AN,Control!$B$29):INDEX(AN:AN,100000),
    MATCH($A$8,INDEX($A:$A,Control!$B$29):INDEX($A:$A,100000),0)+MATCH($D18,INDEX($D:$D,Control!$B$31):INDEX($D:$D,Control!$B$32),0)-1,
    1)</f>
        <v>-356.58048000000002</v>
      </c>
      <c r="AO18" s="32"/>
      <c r="AP18" s="32"/>
      <c r="AQ18" s="32"/>
    </row>
    <row r="19" spans="1:43" s="23" customFormat="1" x14ac:dyDescent="0.35">
      <c r="A19"/>
      <c r="B19"/>
      <c r="C19" s="292" t="s">
        <v>230</v>
      </c>
      <c r="D19" s="20" t="s">
        <v>334</v>
      </c>
      <c r="E19" s="19" t="s">
        <v>217</v>
      </c>
      <c r="F19" s="258" cm="1">
        <f t="array" ref="F19">INDEX(
    INDEX(F:F,Control!$B$29):INDEX(F:F,100000),
    MATCH($A$8,INDEX($A:$A,Control!$B$29):INDEX($A:$A,100000),0)+MATCH($D19,INDEX($D:$D,Control!$B$31):INDEX($D:$D,Control!$B$32),0)-1,
    1)</f>
        <v>0</v>
      </c>
      <c r="G19" s="258" cm="1">
        <f t="array" ref="G19">INDEX(
    INDEX(G:G,Control!$B$29):INDEX(G:G,100000),
    MATCH($A$8,INDEX($A:$A,Control!$B$29):INDEX($A:$A,100000),0)+MATCH($D19,INDEX($D:$D,Control!$B$31):INDEX($D:$D,Control!$B$32),0)-1,
    1)</f>
        <v>1066.15219</v>
      </c>
      <c r="H19" s="258" cm="1">
        <f t="array" ref="H19">INDEX(
    INDEX(H:H,Control!$B$29):INDEX(H:H,100000),
    MATCH($A$8,INDEX($A:$A,Control!$B$29):INDEX($A:$A,100000),0)+MATCH($D19,INDEX($D:$D,Control!$B$31):INDEX($D:$D,Control!$B$32),0)-1,
    1)</f>
        <v>1025.5951500000001</v>
      </c>
      <c r="I19" s="258" cm="1">
        <f t="array" ref="I19">INDEX(
    INDEX(I:I,Control!$B$29):INDEX(I:I,100000),
    MATCH($A$8,INDEX($A:$A,Control!$B$29):INDEX($A:$A,100000),0)+MATCH($D19,INDEX($D:$D,Control!$B$31):INDEX($D:$D,Control!$B$32),0)-1,
    1)</f>
        <v>993.66438000000005</v>
      </c>
      <c r="J19" s="258" cm="1">
        <f t="array" ref="J19">INDEX(
    INDEX(J:J,Control!$B$29):INDEX(J:J,100000),
    MATCH($A$8,INDEX($A:$A,Control!$B$29):INDEX($A:$A,100000),0)+MATCH($D19,INDEX($D:$D,Control!$B$31):INDEX($D:$D,Control!$B$32),0)-1,
    1)</f>
        <v>959.83228999999994</v>
      </c>
      <c r="K19" s="258" cm="1">
        <f t="array" ref="K19">INDEX(
    INDEX(K:K,Control!$B$29):INDEX(K:K,100000),
    MATCH($A$8,INDEX($A:$A,Control!$B$29):INDEX($A:$A,100000),0)+MATCH($D19,INDEX($D:$D,Control!$B$31):INDEX($D:$D,Control!$B$32),0)-1,
    1)</f>
        <v>943.12527999999998</v>
      </c>
      <c r="L19" s="258" cm="1">
        <f t="array" ref="L19">INDEX(
    INDEX(L:L,Control!$B$29):INDEX(L:L,100000),
    MATCH($A$8,INDEX($A:$A,Control!$B$29):INDEX($A:$A,100000),0)+MATCH($D19,INDEX($D:$D,Control!$B$31):INDEX($D:$D,Control!$B$32),0)-1,
    1)</f>
        <v>918.70682999999997</v>
      </c>
      <c r="M19" s="258" cm="1">
        <f t="array" ref="M19">INDEX(
    INDEX(M:M,Control!$B$29):INDEX(M:M,100000),
    MATCH($A$8,INDEX($A:$A,Control!$B$29):INDEX($A:$A,100000),0)+MATCH($D19,INDEX($D:$D,Control!$B$31):INDEX($D:$D,Control!$B$32),0)-1,
    1)</f>
        <v>900.67777999999998</v>
      </c>
      <c r="N19" s="258" cm="1">
        <f t="array" ref="N19">INDEX(
    INDEX(N:N,Control!$B$29):INDEX(N:N,100000),
    MATCH($A$8,INDEX($A:$A,Control!$B$29):INDEX($A:$A,100000),0)+MATCH($D19,INDEX($D:$D,Control!$B$31):INDEX($D:$D,Control!$B$32),0)-1,
    1)</f>
        <v>883.82803000000001</v>
      </c>
      <c r="O19" s="258" cm="1">
        <f t="array" ref="O19">INDEX(
    INDEX(O:O,Control!$B$29):INDEX(O:O,100000),
    MATCH($A$8,INDEX($A:$A,Control!$B$29):INDEX($A:$A,100000),0)+MATCH($D19,INDEX($D:$D,Control!$B$31):INDEX($D:$D,Control!$B$32),0)-1,
    1)</f>
        <v>863.22478999999998</v>
      </c>
      <c r="P19" s="258" cm="1">
        <f t="array" ref="P19">INDEX(
    INDEX(P:P,Control!$B$29):INDEX(P:P,100000),
    MATCH($A$8,INDEX($A:$A,Control!$B$29):INDEX($A:$A,100000),0)+MATCH($D19,INDEX($D:$D,Control!$B$31):INDEX($D:$D,Control!$B$32),0)-1,
    1)</f>
        <v>845.13059999999996</v>
      </c>
      <c r="Q19" s="258" cm="1">
        <f t="array" ref="Q19">INDEX(
    INDEX(Q:Q,Control!$B$29):INDEX(Q:Q,100000),
    MATCH($A$8,INDEX($A:$A,Control!$B$29):INDEX($A:$A,100000),0)+MATCH($D19,INDEX($D:$D,Control!$B$31):INDEX($D:$D,Control!$B$32),0)-1,
    1)</f>
        <v>824.58232999999996</v>
      </c>
      <c r="R19" s="258" cm="1">
        <f t="array" ref="R19">INDEX(
    INDEX(R:R,Control!$B$29):INDEX(R:R,100000),
    MATCH($A$8,INDEX($A:$A,Control!$B$29):INDEX($A:$A,100000),0)+MATCH($D19,INDEX($D:$D,Control!$B$31):INDEX($D:$D,Control!$B$32),0)-1,
    1)</f>
        <v>804.15381000000002</v>
      </c>
      <c r="S19" s="258" cm="1">
        <f t="array" ref="S19">INDEX(
    INDEX(S:S,Control!$B$29):INDEX(S:S,100000),
    MATCH($A$8,INDEX($A:$A,Control!$B$29):INDEX($A:$A,100000),0)+MATCH($D19,INDEX($D:$D,Control!$B$31):INDEX($D:$D,Control!$B$32),0)-1,
    1)</f>
        <v>788.51711999999998</v>
      </c>
      <c r="T19" s="258" cm="1">
        <f t="array" ref="T19">INDEX(
    INDEX(T:T,Control!$B$29):INDEX(T:T,100000),
    MATCH($A$8,INDEX($A:$A,Control!$B$29):INDEX($A:$A,100000),0)+MATCH($D19,INDEX($D:$D,Control!$B$31):INDEX($D:$D,Control!$B$32),0)-1,
    1)</f>
        <v>774.96735999999999</v>
      </c>
      <c r="U19" s="258" cm="1">
        <f t="array" ref="U19">INDEX(
    INDEX(U:U,Control!$B$29):INDEX(U:U,100000),
    MATCH($A$8,INDEX($A:$A,Control!$B$29):INDEX($A:$A,100000),0)+MATCH($D19,INDEX($D:$D,Control!$B$31):INDEX($D:$D,Control!$B$32),0)-1,
    1)</f>
        <v>756.40029000000004</v>
      </c>
      <c r="V19" s="258" cm="1">
        <f t="array" ref="V19">INDEX(
    INDEX(V:V,Control!$B$29):INDEX(V:V,100000),
    MATCH($A$8,INDEX($A:$A,Control!$B$29):INDEX($A:$A,100000),0)+MATCH($D19,INDEX($D:$D,Control!$B$31):INDEX($D:$D,Control!$B$32),0)-1,
    1)</f>
        <v>741.30619999999999</v>
      </c>
      <c r="W19" s="258" cm="1">
        <f t="array" ref="W19">INDEX(
    INDEX(W:W,Control!$B$29):INDEX(W:W,100000),
    MATCH($A$8,INDEX($A:$A,Control!$B$29):INDEX($A:$A,100000),0)+MATCH($D19,INDEX($D:$D,Control!$B$31):INDEX($D:$D,Control!$B$32),0)-1,
    1)</f>
        <v>732.25300000000004</v>
      </c>
      <c r="X19" s="258" cm="1">
        <f t="array" ref="X19">INDEX(
    INDEX(X:X,Control!$B$29):INDEX(X:X,100000),
    MATCH($A$8,INDEX($A:$A,Control!$B$29):INDEX($A:$A,100000),0)+MATCH($D19,INDEX($D:$D,Control!$B$31):INDEX($D:$D,Control!$B$32),0)-1,
    1)</f>
        <v>1070.20002</v>
      </c>
      <c r="Y19" s="258" cm="1">
        <f t="array" ref="Y19">INDEX(
    INDEX(Y:Y,Control!$B$29):INDEX(Y:Y,100000),
    MATCH($A$8,INDEX($A:$A,Control!$B$29):INDEX($A:$A,100000),0)+MATCH($D19,INDEX($D:$D,Control!$B$31):INDEX($D:$D,Control!$B$32),0)-1,
    1)</f>
        <v>1022.0128</v>
      </c>
      <c r="Z19" s="258" cm="1">
        <f t="array" ref="Z19">INDEX(
    INDEX(Z:Z,Control!$B$29):INDEX(Z:Z,100000),
    MATCH($A$8,INDEX($A:$A,Control!$B$29):INDEX($A:$A,100000),0)+MATCH($D19,INDEX($D:$D,Control!$B$31):INDEX($D:$D,Control!$B$32),0)-1,
    1)</f>
        <v>989.93879000000004</v>
      </c>
      <c r="AA19" s="258" cm="1">
        <f t="array" ref="AA19">INDEX(
    INDEX(AA:AA,Control!$B$29):INDEX(AA:AA,100000),
    MATCH($A$8,INDEX($A:$A,Control!$B$29):INDEX($A:$A,100000),0)+MATCH($D19,INDEX($D:$D,Control!$B$31):INDEX($D:$D,Control!$B$32),0)-1,
    1)</f>
        <v>962.40950999999995</v>
      </c>
      <c r="AB19" s="258" cm="1">
        <f t="array" ref="AB19">INDEX(
    INDEX(AB:AB,Control!$B$29):INDEX(AB:AB,100000),
    MATCH($A$8,INDEX($A:$A,Control!$B$29):INDEX($A:$A,100000),0)+MATCH($D19,INDEX($D:$D,Control!$B$31):INDEX($D:$D,Control!$B$32),0)-1,
    1)</f>
        <v>945.47553000000005</v>
      </c>
      <c r="AC19" s="258" cm="1">
        <f t="array" ref="AC19">INDEX(
    INDEX(AC:AC,Control!$B$29):INDEX(AC:AC,100000),
    MATCH($A$8,INDEX($A:$A,Control!$B$29):INDEX($A:$A,100000),0)+MATCH($D19,INDEX($D:$D,Control!$B$31):INDEX($D:$D,Control!$B$32),0)-1,
    1)</f>
        <v>917.28875000000005</v>
      </c>
      <c r="AD19" s="258" cm="1">
        <f t="array" ref="AD19">INDEX(
    INDEX(AD:AD,Control!$B$29):INDEX(AD:AD,100000),
    MATCH($A$8,INDEX($A:$A,Control!$B$29):INDEX($A:$A,100000),0)+MATCH($D19,INDEX($D:$D,Control!$B$31):INDEX($D:$D,Control!$B$32),0)-1,
    1)</f>
        <v>899.75928999999996</v>
      </c>
      <c r="AE19" s="258" cm="1">
        <f t="array" ref="AE19">INDEX(
    INDEX(AE:AE,Control!$B$29):INDEX(AE:AE,100000),
    MATCH($A$8,INDEX($A:$A,Control!$B$29):INDEX($A:$A,100000),0)+MATCH($D19,INDEX($D:$D,Control!$B$31):INDEX($D:$D,Control!$B$32),0)-1,
    1)</f>
        <v>878.37040000000002</v>
      </c>
      <c r="AF19" s="258" cm="1">
        <f t="array" ref="AF19">INDEX(
    INDEX(AF:AF,Control!$B$29):INDEX(AF:AF,100000),
    MATCH($A$8,INDEX($A:$A,Control!$B$29):INDEX($A:$A,100000),0)+MATCH($D19,INDEX($D:$D,Control!$B$31):INDEX($D:$D,Control!$B$32),0)-1,
    1)</f>
        <v>862.76935000000003</v>
      </c>
      <c r="AG19" s="258" cm="1">
        <f t="array" ref="AG19">INDEX(
    INDEX(AG:AG,Control!$B$29):INDEX(AG:AG,100000),
    MATCH($A$8,INDEX($A:$A,Control!$B$29):INDEX($A:$A,100000),0)+MATCH($D19,INDEX($D:$D,Control!$B$31):INDEX($D:$D,Control!$B$32),0)-1,
    1)</f>
        <v>842.80061000000001</v>
      </c>
      <c r="AH19" s="258" cm="1">
        <f t="array" ref="AH19">INDEX(
    INDEX(AH:AH,Control!$B$29):INDEX(AH:AH,100000),
    MATCH($A$8,INDEX($A:$A,Control!$B$29):INDEX($A:$A,100000),0)+MATCH($D19,INDEX($D:$D,Control!$B$31):INDEX($D:$D,Control!$B$32),0)-1,
    1)</f>
        <v>824.61869999999999</v>
      </c>
      <c r="AI19" s="258" cm="1">
        <f t="array" ref="AI19">INDEX(
    INDEX(AI:AI,Control!$B$29):INDEX(AI:AI,100000),
    MATCH($A$8,INDEX($A:$A,Control!$B$29):INDEX($A:$A,100000),0)+MATCH($D19,INDEX($D:$D,Control!$B$31):INDEX($D:$D,Control!$B$32),0)-1,
    1)</f>
        <v>801.44754999999998</v>
      </c>
      <c r="AJ19" s="258" cm="1">
        <f t="array" ref="AJ19">INDEX(
    INDEX(AJ:AJ,Control!$B$29):INDEX(AJ:AJ,100000),
    MATCH($A$8,INDEX($A:$A,Control!$B$29):INDEX($A:$A,100000),0)+MATCH($D19,INDEX($D:$D,Control!$B$31):INDEX($D:$D,Control!$B$32),0)-1,
    1)</f>
        <v>790.50748999999996</v>
      </c>
      <c r="AK19" s="258" cm="1">
        <f t="array" ref="AK19">INDEX(
    INDEX(AK:AK,Control!$B$29):INDEX(AK:AK,100000),
    MATCH($A$8,INDEX($A:$A,Control!$B$29):INDEX($A:$A,100000),0)+MATCH($D19,INDEX($D:$D,Control!$B$31):INDEX($D:$D,Control!$B$32),0)-1,
    1)</f>
        <v>769.94356000000005</v>
      </c>
      <c r="AL19" s="258" cm="1">
        <f t="array" ref="AL19">INDEX(
    INDEX(AL:AL,Control!$B$29):INDEX(AL:AL,100000),
    MATCH($A$8,INDEX($A:$A,Control!$B$29):INDEX($A:$A,100000),0)+MATCH($D19,INDEX($D:$D,Control!$B$31):INDEX($D:$D,Control!$B$32),0)-1,
    1)</f>
        <v>751.90913</v>
      </c>
      <c r="AM19" s="258" cm="1">
        <f t="array" ref="AM19">INDEX(
    INDEX(AM:AM,Control!$B$29):INDEX(AM:AM,100000),
    MATCH($A$8,INDEX($A:$A,Control!$B$29):INDEX($A:$A,100000),0)+MATCH($D19,INDEX($D:$D,Control!$B$31):INDEX($D:$D,Control!$B$32),0)-1,
    1)</f>
        <v>738.21402999999998</v>
      </c>
      <c r="AN19" s="258" cm="1">
        <f t="array" ref="AN19">INDEX(
    INDEX(AN:AN,Control!$B$29):INDEX(AN:AN,100000),
    MATCH($A$8,INDEX($A:$A,Control!$B$29):INDEX($A:$A,100000),0)+MATCH($D19,INDEX($D:$D,Control!$B$31):INDEX($D:$D,Control!$B$32),0)-1,
    1)</f>
        <v>713.29025999999999</v>
      </c>
      <c r="AO19" s="32"/>
      <c r="AP19" s="32"/>
      <c r="AQ19" s="32"/>
    </row>
    <row r="20" spans="1:43" s="23" customFormat="1" x14ac:dyDescent="0.35">
      <c r="A20"/>
      <c r="B20"/>
      <c r="C20" s="292" t="s">
        <v>230</v>
      </c>
      <c r="D20" s="20" t="s">
        <v>335</v>
      </c>
      <c r="E20" s="19" t="s">
        <v>217</v>
      </c>
      <c r="F20" s="258" cm="1">
        <f t="array" ref="F20">INDEX(
    INDEX(F:F,Control!$B$29):INDEX(F:F,100000),
    MATCH($A$8,INDEX($A:$A,Control!$B$29):INDEX($A:$A,100000),0)+MATCH($D20,INDEX($D:$D,Control!$B$31):INDEX($D:$D,Control!$B$32),0)-1,
    1)</f>
        <v>0</v>
      </c>
      <c r="G20" s="258" cm="1">
        <f t="array" ref="G20">INDEX(
    INDEX(G:G,Control!$B$29):INDEX(G:G,100000),
    MATCH($A$8,INDEX($A:$A,Control!$B$29):INDEX($A:$A,100000),0)+MATCH($D20,INDEX($D:$D,Control!$B$31):INDEX($D:$D,Control!$B$32),0)-1,
    1)</f>
        <v>-648.92762000000005</v>
      </c>
      <c r="H20" s="258" cm="1">
        <f t="array" ref="H20">INDEX(
    INDEX(H:H,Control!$B$29):INDEX(H:H,100000),
    MATCH($A$8,INDEX($A:$A,Control!$B$29):INDEX($A:$A,100000),0)+MATCH($D20,INDEX($D:$D,Control!$B$31):INDEX($D:$D,Control!$B$32),0)-1,
    1)</f>
        <v>-610.54782</v>
      </c>
      <c r="I20" s="258" cm="1">
        <f t="array" ref="I20">INDEX(
    INDEX(I:I,Control!$B$29):INDEX(I:I,100000),
    MATCH($A$8,INDEX($A:$A,Control!$B$29):INDEX($A:$A,100000),0)+MATCH($D20,INDEX($D:$D,Control!$B$31):INDEX($D:$D,Control!$B$32),0)-1,
    1)</f>
        <v>-596.47479999999996</v>
      </c>
      <c r="J20" s="258" cm="1">
        <f t="array" ref="J20">INDEX(
    INDEX(J:J,Control!$B$29):INDEX(J:J,100000),
    MATCH($A$8,INDEX($A:$A,Control!$B$29):INDEX($A:$A,100000),0)+MATCH($D20,INDEX($D:$D,Control!$B$31):INDEX($D:$D,Control!$B$32),0)-1,
    1)</f>
        <v>-577.15027999999995</v>
      </c>
      <c r="K20" s="258" cm="1">
        <f t="array" ref="K20">INDEX(
    INDEX(K:K,Control!$B$29):INDEX(K:K,100000),
    MATCH($A$8,INDEX($A:$A,Control!$B$29):INDEX($A:$A,100000),0)+MATCH($D20,INDEX($D:$D,Control!$B$31):INDEX($D:$D,Control!$B$32),0)-1,
    1)</f>
        <v>-560.95109000000002</v>
      </c>
      <c r="L20" s="258" cm="1">
        <f t="array" ref="L20">INDEX(
    INDEX(L:L,Control!$B$29):INDEX(L:L,100000),
    MATCH($A$8,INDEX($A:$A,Control!$B$29):INDEX($A:$A,100000),0)+MATCH($D20,INDEX($D:$D,Control!$B$31):INDEX($D:$D,Control!$B$32),0)-1,
    1)</f>
        <v>-547.88403000000005</v>
      </c>
      <c r="M20" s="258" cm="1">
        <f t="array" ref="M20">INDEX(
    INDEX(M:M,Control!$B$29):INDEX(M:M,100000),
    MATCH($A$8,INDEX($A:$A,Control!$B$29):INDEX($A:$A,100000),0)+MATCH($D20,INDEX($D:$D,Control!$B$31):INDEX($D:$D,Control!$B$32),0)-1,
    1)</f>
        <v>-514.98987999999997</v>
      </c>
      <c r="N20" s="258" cm="1">
        <f t="array" ref="N20">INDEX(
    INDEX(N:N,Control!$B$29):INDEX(N:N,100000),
    MATCH($A$8,INDEX($A:$A,Control!$B$29):INDEX($A:$A,100000),0)+MATCH($D20,INDEX($D:$D,Control!$B$31):INDEX($D:$D,Control!$B$32),0)-1,
    1)</f>
        <v>-505.21593000000001</v>
      </c>
      <c r="O20" s="258" cm="1">
        <f t="array" ref="O20">INDEX(
    INDEX(O:O,Control!$B$29):INDEX(O:O,100000),
    MATCH($A$8,INDEX($A:$A,Control!$B$29):INDEX($A:$A,100000),0)+MATCH($D20,INDEX($D:$D,Control!$B$31):INDEX($D:$D,Control!$B$32),0)-1,
    1)</f>
        <v>-481.23680000000002</v>
      </c>
      <c r="P20" s="258" cm="1">
        <f t="array" ref="P20">INDEX(
    INDEX(P:P,Control!$B$29):INDEX(P:P,100000),
    MATCH($A$8,INDEX($A:$A,Control!$B$29):INDEX($A:$A,100000),0)+MATCH($D20,INDEX($D:$D,Control!$B$31):INDEX($D:$D,Control!$B$32),0)-1,
    1)</f>
        <v>-464.26504</v>
      </c>
      <c r="Q20" s="258" cm="1">
        <f t="array" ref="Q20">INDEX(
    INDEX(Q:Q,Control!$B$29):INDEX(Q:Q,100000),
    MATCH($A$8,INDEX($A:$A,Control!$B$29):INDEX($A:$A,100000),0)+MATCH($D20,INDEX($D:$D,Control!$B$31):INDEX($D:$D,Control!$B$32),0)-1,
    1)</f>
        <v>-480.43617999999998</v>
      </c>
      <c r="R20" s="258" cm="1">
        <f t="array" ref="R20">INDEX(
    INDEX(R:R,Control!$B$29):INDEX(R:R,100000),
    MATCH($A$8,INDEX($A:$A,Control!$B$29):INDEX($A:$A,100000),0)+MATCH($D20,INDEX($D:$D,Control!$B$31):INDEX($D:$D,Control!$B$32),0)-1,
    1)</f>
        <v>-457.18984</v>
      </c>
      <c r="S20" s="258" cm="1">
        <f t="array" ref="S20">INDEX(
    INDEX(S:S,Control!$B$29):INDEX(S:S,100000),
    MATCH($A$8,INDEX($A:$A,Control!$B$29):INDEX($A:$A,100000),0)+MATCH($D20,INDEX($D:$D,Control!$B$31):INDEX($D:$D,Control!$B$32),0)-1,
    1)</f>
        <v>-458.00563</v>
      </c>
      <c r="T20" s="258" cm="1">
        <f t="array" ref="T20">INDEX(
    INDEX(T:T,Control!$B$29):INDEX(T:T,100000),
    MATCH($A$8,INDEX($A:$A,Control!$B$29):INDEX($A:$A,100000),0)+MATCH($D20,INDEX($D:$D,Control!$B$31):INDEX($D:$D,Control!$B$32),0)-1,
    1)</f>
        <v>-437.02661000000001</v>
      </c>
      <c r="U20" s="258" cm="1">
        <f t="array" ref="U20">INDEX(
    INDEX(U:U,Control!$B$29):INDEX(U:U,100000),
    MATCH($A$8,INDEX($A:$A,Control!$B$29):INDEX($A:$A,100000),0)+MATCH($D20,INDEX($D:$D,Control!$B$31):INDEX($D:$D,Control!$B$32),0)-1,
    1)</f>
        <v>-432.98448000000002</v>
      </c>
      <c r="V20" s="258" cm="1">
        <f t="array" ref="V20">INDEX(
    INDEX(V:V,Control!$B$29):INDEX(V:V,100000),
    MATCH($A$8,INDEX($A:$A,Control!$B$29):INDEX($A:$A,100000),0)+MATCH($D20,INDEX($D:$D,Control!$B$31):INDEX($D:$D,Control!$B$32),0)-1,
    1)</f>
        <v>-444.46692999999999</v>
      </c>
      <c r="W20" s="258" cm="1">
        <f t="array" ref="W20">INDEX(
    INDEX(W:W,Control!$B$29):INDEX(W:W,100000),
    MATCH($A$8,INDEX($A:$A,Control!$B$29):INDEX($A:$A,100000),0)+MATCH($D20,INDEX($D:$D,Control!$B$31):INDEX($D:$D,Control!$B$32),0)-1,
    1)</f>
        <v>-426.12135999999998</v>
      </c>
      <c r="X20" s="258" cm="1">
        <f t="array" ref="X20">INDEX(
    INDEX(X:X,Control!$B$29):INDEX(X:X,100000),
    MATCH($A$8,INDEX($A:$A,Control!$B$29):INDEX($A:$A,100000),0)+MATCH($D20,INDEX($D:$D,Control!$B$31):INDEX($D:$D,Control!$B$32),0)-1,
    1)</f>
        <v>-560.50343999999996</v>
      </c>
      <c r="Y20" s="258" cm="1">
        <f t="array" ref="Y20">INDEX(
    INDEX(Y:Y,Control!$B$29):INDEX(Y:Y,100000),
    MATCH($A$8,INDEX($A:$A,Control!$B$29):INDEX($A:$A,100000),0)+MATCH($D20,INDEX($D:$D,Control!$B$31):INDEX($D:$D,Control!$B$32),0)-1,
    1)</f>
        <v>-565.22078999999997</v>
      </c>
      <c r="Z20" s="258" cm="1">
        <f t="array" ref="Z20">INDEX(
    INDEX(Z:Z,Control!$B$29):INDEX(Z:Z,100000),
    MATCH($A$8,INDEX($A:$A,Control!$B$29):INDEX($A:$A,100000),0)+MATCH($D20,INDEX($D:$D,Control!$B$31):INDEX($D:$D,Control!$B$32),0)-1,
    1)</f>
        <v>-541.98677999999995</v>
      </c>
      <c r="AA20" s="258" cm="1">
        <f t="array" ref="AA20">INDEX(
    INDEX(AA:AA,Control!$B$29):INDEX(AA:AA,100000),
    MATCH($A$8,INDEX($A:$A,Control!$B$29):INDEX($A:$A,100000),0)+MATCH($D20,INDEX($D:$D,Control!$B$31):INDEX($D:$D,Control!$B$32),0)-1,
    1)</f>
        <v>-564.03057999999999</v>
      </c>
      <c r="AB20" s="258" cm="1">
        <f t="array" ref="AB20">INDEX(
    INDEX(AB:AB,Control!$B$29):INDEX(AB:AB,100000),
    MATCH($A$8,INDEX($A:$A,Control!$B$29):INDEX($A:$A,100000),0)+MATCH($D20,INDEX($D:$D,Control!$B$31):INDEX($D:$D,Control!$B$32),0)-1,
    1)</f>
        <v>-591.31507999999997</v>
      </c>
      <c r="AC20" s="258" cm="1">
        <f t="array" ref="AC20">INDEX(
    INDEX(AC:AC,Control!$B$29):INDEX(AC:AC,100000),
    MATCH($A$8,INDEX($A:$A,Control!$B$29):INDEX($A:$A,100000),0)+MATCH($D20,INDEX($D:$D,Control!$B$31):INDEX($D:$D,Control!$B$32),0)-1,
    1)</f>
        <v>-572.62725999999998</v>
      </c>
      <c r="AD20" s="258" cm="1">
        <f t="array" ref="AD20">INDEX(
    INDEX(AD:AD,Control!$B$29):INDEX(AD:AD,100000),
    MATCH($A$8,INDEX($A:$A,Control!$B$29):INDEX($A:$A,100000),0)+MATCH($D20,INDEX($D:$D,Control!$B$31):INDEX($D:$D,Control!$B$32),0)-1,
    1)</f>
        <v>-575.28511000000003</v>
      </c>
      <c r="AE20" s="258" cm="1">
        <f t="array" ref="AE20">INDEX(
    INDEX(AE:AE,Control!$B$29):INDEX(AE:AE,100000),
    MATCH($A$8,INDEX($A:$A,Control!$B$29):INDEX($A:$A,100000),0)+MATCH($D20,INDEX($D:$D,Control!$B$31):INDEX($D:$D,Control!$B$32),0)-1,
    1)</f>
        <v>-575.04485</v>
      </c>
      <c r="AF20" s="258" cm="1">
        <f t="array" ref="AF20">INDEX(
    INDEX(AF:AF,Control!$B$29):INDEX(AF:AF,100000),
    MATCH($A$8,INDEX($A:$A,Control!$B$29):INDEX($A:$A,100000),0)+MATCH($D20,INDEX($D:$D,Control!$B$31):INDEX($D:$D,Control!$B$32),0)-1,
    1)</f>
        <v>-578.99042999999995</v>
      </c>
      <c r="AG20" s="258" cm="1">
        <f t="array" ref="AG20">INDEX(
    INDEX(AG:AG,Control!$B$29):INDEX(AG:AG,100000),
    MATCH($A$8,INDEX($A:$A,Control!$B$29):INDEX($A:$A,100000),0)+MATCH($D20,INDEX($D:$D,Control!$B$31):INDEX($D:$D,Control!$B$32),0)-1,
    1)</f>
        <v>-552.50183000000004</v>
      </c>
      <c r="AH20" s="258" cm="1">
        <f t="array" ref="AH20">INDEX(
    INDEX(AH:AH,Control!$B$29):INDEX(AH:AH,100000),
    MATCH($A$8,INDEX($A:$A,Control!$B$29):INDEX($A:$A,100000),0)+MATCH($D20,INDEX($D:$D,Control!$B$31):INDEX($D:$D,Control!$B$32),0)-1,
    1)</f>
        <v>-545.73207000000002</v>
      </c>
      <c r="AI20" s="258" cm="1">
        <f t="array" ref="AI20">INDEX(
    INDEX(AI:AI,Control!$B$29):INDEX(AI:AI,100000),
    MATCH($A$8,INDEX($A:$A,Control!$B$29):INDEX($A:$A,100000),0)+MATCH($D20,INDEX($D:$D,Control!$B$31):INDEX($D:$D,Control!$B$32),0)-1,
    1)</f>
        <v>-532.61690999999996</v>
      </c>
      <c r="AJ20" s="258" cm="1">
        <f t="array" ref="AJ20">INDEX(
    INDEX(AJ:AJ,Control!$B$29):INDEX(AJ:AJ,100000),
    MATCH($A$8,INDEX($A:$A,Control!$B$29):INDEX($A:$A,100000),0)+MATCH($D20,INDEX($D:$D,Control!$B$31):INDEX($D:$D,Control!$B$32),0)-1,
    1)</f>
        <v>-535.50369000000001</v>
      </c>
      <c r="AK20" s="258" cm="1">
        <f t="array" ref="AK20">INDEX(
    INDEX(AK:AK,Control!$B$29):INDEX(AK:AK,100000),
    MATCH($A$8,INDEX($A:$A,Control!$B$29):INDEX($A:$A,100000),0)+MATCH($D20,INDEX($D:$D,Control!$B$31):INDEX($D:$D,Control!$B$32),0)-1,
    1)</f>
        <v>-515.32686000000001</v>
      </c>
      <c r="AL20" s="258" cm="1">
        <f t="array" ref="AL20">INDEX(
    INDEX(AL:AL,Control!$B$29):INDEX(AL:AL,100000),
    MATCH($A$8,INDEX($A:$A,Control!$B$29):INDEX($A:$A,100000),0)+MATCH($D20,INDEX($D:$D,Control!$B$31):INDEX($D:$D,Control!$B$32),0)-1,
    1)</f>
        <v>-482.21341000000001</v>
      </c>
      <c r="AM20" s="258" cm="1">
        <f t="array" ref="AM20">INDEX(
    INDEX(AM:AM,Control!$B$29):INDEX(AM:AM,100000),
    MATCH($A$8,INDEX($A:$A,Control!$B$29):INDEX($A:$A,100000),0)+MATCH($D20,INDEX($D:$D,Control!$B$31):INDEX($D:$D,Control!$B$32),0)-1,
    1)</f>
        <v>-463.77481999999998</v>
      </c>
      <c r="AN20" s="258" cm="1">
        <f t="array" ref="AN20">INDEX(
    INDEX(AN:AN,Control!$B$29):INDEX(AN:AN,100000),
    MATCH($A$8,INDEX($A:$A,Control!$B$29):INDEX($A:$A,100000),0)+MATCH($D20,INDEX($D:$D,Control!$B$31):INDEX($D:$D,Control!$B$32),0)-1,
    1)</f>
        <v>-448.58832000000001</v>
      </c>
      <c r="AO20" s="32"/>
      <c r="AP20" s="32"/>
      <c r="AQ20" s="32"/>
    </row>
    <row r="21" spans="1:43" s="23" customFormat="1" x14ac:dyDescent="0.35">
      <c r="A21"/>
      <c r="C21" s="292" t="s">
        <v>230</v>
      </c>
      <c r="D21" s="37" t="s">
        <v>336</v>
      </c>
      <c r="E21" s="33" t="s">
        <v>217</v>
      </c>
      <c r="F21" s="263" cm="1">
        <f t="array" ref="F21">INDEX(
    INDEX(F:F,Control!$B$29):INDEX(F:F,100000),
    MATCH($A$8,INDEX($A:$A,Control!$B$29):INDEX($A:$A,100000),0)+MATCH($D21,INDEX($D:$D,Control!$B$31):INDEX($D:$D,Control!$B$32),0)-1,
    1)</f>
        <v>0</v>
      </c>
      <c r="G21" s="263" cm="1">
        <f t="array" ref="G21">INDEX(
    INDEX(G:G,Control!$B$29):INDEX(G:G,100000),
    MATCH($A$8,INDEX($A:$A,Control!$B$29):INDEX($A:$A,100000),0)+MATCH($D21,INDEX($D:$D,Control!$B$31):INDEX($D:$D,Control!$B$32),0)-1,
    1)</f>
        <v>-650.42989999999998</v>
      </c>
      <c r="H21" s="263" cm="1">
        <f t="array" ref="H21">INDEX(
    INDEX(H:H,Control!$B$29):INDEX(H:H,100000),
    MATCH($A$8,INDEX($A:$A,Control!$B$29):INDEX($A:$A,100000),0)+MATCH($D21,INDEX($D:$D,Control!$B$31):INDEX($D:$D,Control!$B$32),0)-1,
    1)</f>
        <v>-639.81939999999997</v>
      </c>
      <c r="I21" s="263" cm="1">
        <f t="array" ref="I21">INDEX(
    INDEX(I:I,Control!$B$29):INDEX(I:I,100000),
    MATCH($A$8,INDEX($A:$A,Control!$B$29):INDEX($A:$A,100000),0)+MATCH($D21,INDEX($D:$D,Control!$B$31):INDEX($D:$D,Control!$B$32),0)-1,
    1)</f>
        <v>-617.58729000000005</v>
      </c>
      <c r="J21" s="263" cm="1">
        <f t="array" ref="J21">INDEX(
    INDEX(J:J,Control!$B$29):INDEX(J:J,100000),
    MATCH($A$8,INDEX($A:$A,Control!$B$29):INDEX($A:$A,100000),0)+MATCH($D21,INDEX($D:$D,Control!$B$31):INDEX($D:$D,Control!$B$32),0)-1,
    1)</f>
        <v>-597.34502999999995</v>
      </c>
      <c r="K21" s="263" cm="1">
        <f t="array" ref="K21">INDEX(
    INDEX(K:K,Control!$B$29):INDEX(K:K,100000),
    MATCH($A$8,INDEX($A:$A,Control!$B$29):INDEX($A:$A,100000),0)+MATCH($D21,INDEX($D:$D,Control!$B$31):INDEX($D:$D,Control!$B$32),0)-1,
    1)</f>
        <v>-594.61374999999998</v>
      </c>
      <c r="L21" s="263" cm="1">
        <f t="array" ref="L21">INDEX(
    INDEX(L:L,Control!$B$29):INDEX(L:L,100000),
    MATCH($A$8,INDEX($A:$A,Control!$B$29):INDEX($A:$A,100000),0)+MATCH($D21,INDEX($D:$D,Control!$B$31):INDEX($D:$D,Control!$B$32),0)-1,
    1)</f>
        <v>-578.72148000000004</v>
      </c>
      <c r="M21" s="263" cm="1">
        <f t="array" ref="M21">INDEX(
    INDEX(M:M,Control!$B$29):INDEX(M:M,100000),
    MATCH($A$8,INDEX($A:$A,Control!$B$29):INDEX($A:$A,100000),0)+MATCH($D21,INDEX($D:$D,Control!$B$31):INDEX($D:$D,Control!$B$32),0)-1,
    1)</f>
        <v>-591.21184000000005</v>
      </c>
      <c r="N21" s="263" cm="1">
        <f t="array" ref="N21">INDEX(
    INDEX(N:N,Control!$B$29):INDEX(N:N,100000),
    MATCH($A$8,INDEX($A:$A,Control!$B$29):INDEX($A:$A,100000),0)+MATCH($D21,INDEX($D:$D,Control!$B$31):INDEX($D:$D,Control!$B$32),0)-1,
    1)</f>
        <v>-581.89769999999999</v>
      </c>
      <c r="O21" s="263" cm="1">
        <f t="array" ref="O21">INDEX(
    INDEX(O:O,Control!$B$29):INDEX(O:O,100000),
    MATCH($A$8,INDEX($A:$A,Control!$B$29):INDEX($A:$A,100000),0)+MATCH($D21,INDEX($D:$D,Control!$B$31):INDEX($D:$D,Control!$B$32),0)-1,
    1)</f>
        <v>-581.90030000000002</v>
      </c>
      <c r="P21" s="263" cm="1">
        <f t="array" ref="P21">INDEX(
    INDEX(P:P,Control!$B$29):INDEX(P:P,100000),
    MATCH($A$8,INDEX($A:$A,Control!$B$29):INDEX($A:$A,100000),0)+MATCH($D21,INDEX($D:$D,Control!$B$31):INDEX($D:$D,Control!$B$32),0)-1,
    1)</f>
        <v>-577.28048000000001</v>
      </c>
      <c r="Q21" s="263" cm="1">
        <f t="array" ref="Q21">INDEX(
    INDEX(Q:Q,Control!$B$29):INDEX(Q:Q,100000),
    MATCH($A$8,INDEX($A:$A,Control!$B$29):INDEX($A:$A,100000),0)+MATCH($D21,INDEX($D:$D,Control!$B$31):INDEX($D:$D,Control!$B$32),0)-1,
    1)</f>
        <v>-538.78369999999995</v>
      </c>
      <c r="R21" s="263" cm="1">
        <f t="array" ref="R21">INDEX(
    INDEX(R:R,Control!$B$29):INDEX(R:R,100000),
    MATCH($A$8,INDEX($A:$A,Control!$B$29):INDEX($A:$A,100000),0)+MATCH($D21,INDEX($D:$D,Control!$B$31):INDEX($D:$D,Control!$B$32),0)-1,
    1)</f>
        <v>-537.93051000000003</v>
      </c>
      <c r="S21" s="263" cm="1">
        <f t="array" ref="S21">INDEX(
    INDEX(S:S,Control!$B$29):INDEX(S:S,100000),
    MATCH($A$8,INDEX($A:$A,Control!$B$29):INDEX($A:$A,100000),0)+MATCH($D21,INDEX($D:$D,Control!$B$31):INDEX($D:$D,Control!$B$32),0)-1,
    1)</f>
        <v>-519.67227000000003</v>
      </c>
      <c r="T21" s="263" cm="1">
        <f t="array" ref="T21">INDEX(
    INDEX(T:T,Control!$B$29):INDEX(T:T,100000),
    MATCH($A$8,INDEX($A:$A,Control!$B$29):INDEX($A:$A,100000),0)+MATCH($D21,INDEX($D:$D,Control!$B$31):INDEX($D:$D,Control!$B$32),0)-1,
    1)</f>
        <v>-524.56808000000001</v>
      </c>
      <c r="U21" s="263" cm="1">
        <f t="array" ref="U21">INDEX(
    INDEX(U:U,Control!$B$29):INDEX(U:U,100000),
    MATCH($A$8,INDEX($A:$A,Control!$B$29):INDEX($A:$A,100000),0)+MATCH($D21,INDEX($D:$D,Control!$B$31):INDEX($D:$D,Control!$B$32),0)-1,
    1)</f>
        <v>-507.64389999999997</v>
      </c>
      <c r="V21" s="263" cm="1">
        <f t="array" ref="V21">INDEX(
    INDEX(V:V,Control!$B$29):INDEX(V:V,100000),
    MATCH($A$8,INDEX($A:$A,Control!$B$29):INDEX($A:$A,100000),0)+MATCH($D21,INDEX($D:$D,Control!$B$31):INDEX($D:$D,Control!$B$32),0)-1,
    1)</f>
        <v>-479.07997</v>
      </c>
      <c r="W21" s="263" cm="1">
        <f t="array" ref="W21">INDEX(
    INDEX(W:W,Control!$B$29):INDEX(W:W,100000),
    MATCH($A$8,INDEX($A:$A,Control!$B$29):INDEX($A:$A,100000),0)+MATCH($D21,INDEX($D:$D,Control!$B$31):INDEX($D:$D,Control!$B$32),0)-1,
    1)</f>
        <v>-487.27325999999999</v>
      </c>
      <c r="X21" s="263" cm="1">
        <f t="array" ref="X21">INDEX(
    INDEX(X:X,Control!$B$29):INDEX(X:X,100000),
    MATCH($A$8,INDEX($A:$A,Control!$B$29):INDEX($A:$A,100000),0)+MATCH($D21,INDEX($D:$D,Control!$B$31):INDEX($D:$D,Control!$B$32),0)-1,
    1)</f>
        <v>-740.30918999999994</v>
      </c>
      <c r="Y21" s="263" cm="1">
        <f t="array" ref="Y21">INDEX(
    INDEX(Y:Y,Control!$B$29):INDEX(Y:Y,100000),
    MATCH($A$8,INDEX($A:$A,Control!$B$29):INDEX($A:$A,100000),0)+MATCH($D21,INDEX($D:$D,Control!$B$31):INDEX($D:$D,Control!$B$32),0)-1,
    1)</f>
        <v>-680.23478999999998</v>
      </c>
      <c r="Z21" s="263" cm="1">
        <f t="array" ref="Z21">INDEX(
    INDEX(Z:Z,Control!$B$29):INDEX(Z:Z,100000),
    MATCH($A$8,INDEX($A:$A,Control!$B$29):INDEX($A:$A,100000),0)+MATCH($D21,INDEX($D:$D,Control!$B$31):INDEX($D:$D,Control!$B$32),0)-1,
    1)</f>
        <v>-665.97215000000006</v>
      </c>
      <c r="AA21" s="263" cm="1">
        <f t="array" ref="AA21">INDEX(
    INDEX(AA:AA,Control!$B$29):INDEX(AA:AA,100000),
    MATCH($A$8,INDEX($A:$A,Control!$B$29):INDEX($A:$A,100000),0)+MATCH($D21,INDEX($D:$D,Control!$B$31):INDEX($D:$D,Control!$B$32),0)-1,
    1)</f>
        <v>-613.33527000000004</v>
      </c>
      <c r="AB21" s="263" cm="1">
        <f t="array" ref="AB21">INDEX(
    INDEX(AB:AB,Control!$B$29):INDEX(AB:AB,100000),
    MATCH($A$8,INDEX($A:$A,Control!$B$29):INDEX($A:$A,100000),0)+MATCH($D21,INDEX($D:$D,Control!$B$31):INDEX($D:$D,Control!$B$32),0)-1,
    1)</f>
        <v>-567.89018999999996</v>
      </c>
      <c r="AC21" s="263" cm="1">
        <f t="array" ref="AC21">INDEX(
    INDEX(AC:AC,Control!$B$29):INDEX(AC:AC,100000),
    MATCH($A$8,INDEX($A:$A,Control!$B$29):INDEX($A:$A,100000),0)+MATCH($D21,INDEX($D:$D,Control!$B$31):INDEX($D:$D,Control!$B$32),0)-1,
    1)</f>
        <v>-554.23329999999999</v>
      </c>
      <c r="AD21" s="263" cm="1">
        <f t="array" ref="AD21">INDEX(
    INDEX(AD:AD,Control!$B$29):INDEX(AD:AD,100000),
    MATCH($A$8,INDEX($A:$A,Control!$B$29):INDEX($A:$A,100000),0)+MATCH($D21,INDEX($D:$D,Control!$B$31):INDEX($D:$D,Control!$B$32),0)-1,
    1)</f>
        <v>-532.09253000000001</v>
      </c>
      <c r="AE21" s="263" cm="1">
        <f t="array" ref="AE21">INDEX(
    INDEX(AE:AE,Control!$B$29):INDEX(AE:AE,100000),
    MATCH($A$8,INDEX($A:$A,Control!$B$29):INDEX($A:$A,100000),0)+MATCH($D21,INDEX($D:$D,Control!$B$31):INDEX($D:$D,Control!$B$32),0)-1,
    1)</f>
        <v>-508.01450999999997</v>
      </c>
      <c r="AF21" s="263" cm="1">
        <f t="array" ref="AF21">INDEX(
    INDEX(AF:AF,Control!$B$29):INDEX(AF:AF,100000),
    MATCH($A$8,INDEX($A:$A,Control!$B$29):INDEX($A:$A,100000),0)+MATCH($D21,INDEX($D:$D,Control!$B$31):INDEX($D:$D,Control!$B$32),0)-1,
    1)</f>
        <v>-485.78710000000001</v>
      </c>
      <c r="AG21" s="263" cm="1">
        <f t="array" ref="AG21">INDEX(
    INDEX(AG:AG,Control!$B$29):INDEX(AG:AG,100000),
    MATCH($A$8,INDEX($A:$A,Control!$B$29):INDEX($A:$A,100000),0)+MATCH($D21,INDEX($D:$D,Control!$B$31):INDEX($D:$D,Control!$B$32),0)-1,
    1)</f>
        <v>-489.82706999999999</v>
      </c>
      <c r="AH21" s="263" cm="1">
        <f t="array" ref="AH21">INDEX(
    INDEX(AH:AH,Control!$B$29):INDEX(AH:AH,100000),
    MATCH($A$8,INDEX($A:$A,Control!$B$29):INDEX($A:$A,100000),0)+MATCH($D21,INDEX($D:$D,Control!$B$31):INDEX($D:$D,Control!$B$32),0)-1,
    1)</f>
        <v>-475.80144000000001</v>
      </c>
      <c r="AI21" s="263" cm="1">
        <f t="array" ref="AI21">INDEX(
    INDEX(AI:AI,Control!$B$29):INDEX(AI:AI,100000),
    MATCH($A$8,INDEX($A:$A,Control!$B$29):INDEX($A:$A,100000),0)+MATCH($D21,INDEX($D:$D,Control!$B$31):INDEX($D:$D,Control!$B$32),0)-1,
    1)</f>
        <v>-461.76350000000002</v>
      </c>
      <c r="AJ21" s="263" cm="1">
        <f t="array" ref="AJ21">INDEX(
    INDEX(AJ:AJ,Control!$B$29):INDEX(AJ:AJ,100000),
    MATCH($A$8,INDEX($A:$A,Control!$B$29):INDEX($A:$A,100000),0)+MATCH($D21,INDEX($D:$D,Control!$B$31):INDEX($D:$D,Control!$B$32),0)-1,
    1)</f>
        <v>-446.26794000000001</v>
      </c>
      <c r="AK21" s="263" cm="1">
        <f t="array" ref="AK21">INDEX(
    INDEX(AK:AK,Control!$B$29):INDEX(AK:AK,100000),
    MATCH($A$8,INDEX($A:$A,Control!$B$29):INDEX($A:$A,100000),0)+MATCH($D21,INDEX($D:$D,Control!$B$31):INDEX($D:$D,Control!$B$32),0)-1,
    1)</f>
        <v>-442.94922000000003</v>
      </c>
      <c r="AL21" s="263" cm="1">
        <f t="array" ref="AL21">INDEX(
    INDEX(AL:AL,Control!$B$29):INDEX(AL:AL,100000),
    MATCH($A$8,INDEX($A:$A,Control!$B$29):INDEX($A:$A,100000),0)+MATCH($D21,INDEX($D:$D,Control!$B$31):INDEX($D:$D,Control!$B$32),0)-1,
    1)</f>
        <v>-454.38544999999999</v>
      </c>
      <c r="AM21" s="263" cm="1">
        <f t="array" ref="AM21">INDEX(
    INDEX(AM:AM,Control!$B$29):INDEX(AM:AM,100000),
    MATCH($A$8,INDEX($A:$A,Control!$B$29):INDEX($A:$A,100000),0)+MATCH($D21,INDEX($D:$D,Control!$B$31):INDEX($D:$D,Control!$B$32),0)-1,
    1)</f>
        <v>-456.79347999999999</v>
      </c>
      <c r="AN21" s="263" cm="1">
        <f t="array" ref="AN21">INDEX(
    INDEX(AN:AN,Control!$B$29):INDEX(AN:AN,100000),
    MATCH($A$8,INDEX($A:$A,Control!$B$29):INDEX($A:$A,100000),0)+MATCH($D21,INDEX($D:$D,Control!$B$31):INDEX($D:$D,Control!$B$32),0)-1,
    1)</f>
        <v>-441.77614</v>
      </c>
      <c r="AO21" s="32"/>
      <c r="AP21" s="32"/>
      <c r="AQ21" s="32"/>
    </row>
    <row r="22" spans="1:43" x14ac:dyDescent="0.35">
      <c r="C22" s="296" t="s">
        <v>448</v>
      </c>
      <c r="D22" s="19" t="s">
        <v>340</v>
      </c>
      <c r="E22" s="19" t="s">
        <v>219</v>
      </c>
      <c r="F22" s="258" cm="1">
        <f t="array" ref="F22">INDEX(
    INDEX(F:F,Control!$B$29):INDEX(F:F,100000),
    MATCH($A$8,INDEX($A:$A,Control!$B$29):INDEX($A:$A,100000),0)+MATCH($D22,INDEX($D:$D,Control!$B$31):INDEX($D:$D,Control!$B$32),0)-1,
    1)</f>
        <v>0</v>
      </c>
      <c r="G22" s="258" cm="1">
        <f t="array" ref="G22">INDEX(
    INDEX(G:G,Control!$B$29):INDEX(G:G,100000),
    MATCH($A$8,INDEX($A:$A,Control!$B$29):INDEX($A:$A,100000),0)+MATCH($D22,INDEX($D:$D,Control!$B$31):INDEX($D:$D,Control!$B$32),0)-1,
    1)</f>
        <v>106.120781446691</v>
      </c>
      <c r="H22" s="258" cm="1">
        <f t="array" ref="H22">INDEX(
    INDEX(H:H,Control!$B$29):INDEX(H:H,100000),
    MATCH($A$8,INDEX($A:$A,Control!$B$29):INDEX($A:$A,100000),0)+MATCH($D22,INDEX($D:$D,Control!$B$31):INDEX($D:$D,Control!$B$32),0)-1,
    1)</f>
        <v>93.7343248485478</v>
      </c>
      <c r="I22" s="258" cm="1">
        <f t="array" ref="I22">INDEX(
    INDEX(I:I,Control!$B$29):INDEX(I:I,100000),
    MATCH($A$8,INDEX($A:$A,Control!$B$29):INDEX($A:$A,100000),0)+MATCH($D22,INDEX($D:$D,Control!$B$31):INDEX($D:$D,Control!$B$32),0)-1,
    1)</f>
        <v>74.575116005576902</v>
      </c>
      <c r="J22" s="258" cm="1">
        <f t="array" ref="J22">INDEX(
    INDEX(J:J,Control!$B$29):INDEX(J:J,100000),
    MATCH($A$8,INDEX($A:$A,Control!$B$29):INDEX($A:$A,100000),0)+MATCH($D22,INDEX($D:$D,Control!$B$31):INDEX($D:$D,Control!$B$32),0)-1,
    1)</f>
        <v>58.762172562066901</v>
      </c>
      <c r="K22" s="258" cm="1">
        <f t="array" ref="K22">INDEX(
    INDEX(K:K,Control!$B$29):INDEX(K:K,100000),
    MATCH($A$8,INDEX($A:$A,Control!$B$29):INDEX($A:$A,100000),0)+MATCH($D22,INDEX($D:$D,Control!$B$31):INDEX($D:$D,Control!$B$32),0)-1,
    1)</f>
        <v>62.402621568340003</v>
      </c>
      <c r="L22" s="258" cm="1">
        <f t="array" ref="L22">INDEX(
    INDEX(L:L,Control!$B$29):INDEX(L:L,100000),
    MATCH($A$8,INDEX($A:$A,Control!$B$29):INDEX($A:$A,100000),0)+MATCH($D22,INDEX($D:$D,Control!$B$31):INDEX($D:$D,Control!$B$32),0)-1,
    1)</f>
        <v>62.182140566146401</v>
      </c>
      <c r="M22" s="258" cm="1">
        <f t="array" ref="M22">INDEX(
    INDEX(M:M,Control!$B$29):INDEX(M:M,100000),
    MATCH($A$8,INDEX($A:$A,Control!$B$29):INDEX($A:$A,100000),0)+MATCH($D22,INDEX($D:$D,Control!$B$31):INDEX($D:$D,Control!$B$32),0)-1,
    1)</f>
        <v>56.652105122879298</v>
      </c>
      <c r="N22" s="258" cm="1">
        <f t="array" ref="N22">INDEX(
    INDEX(N:N,Control!$B$29):INDEX(N:N,100000),
    MATCH($A$8,INDEX($A:$A,Control!$B$29):INDEX($A:$A,100000),0)+MATCH($D22,INDEX($D:$D,Control!$B$31):INDEX($D:$D,Control!$B$32),0)-1,
    1)</f>
        <v>48.347644559614302</v>
      </c>
      <c r="O22" s="258" cm="1">
        <f t="array" ref="O22">INDEX(
    INDEX(O:O,Control!$B$29):INDEX(O:O,100000),
    MATCH($A$8,INDEX($A:$A,Control!$B$29):INDEX($A:$A,100000),0)+MATCH($D22,INDEX($D:$D,Control!$B$31):INDEX($D:$D,Control!$B$32),0)-1,
    1)</f>
        <v>42.600711387489397</v>
      </c>
      <c r="P22" s="258" cm="1">
        <f t="array" ref="P22">INDEX(
    INDEX(P:P,Control!$B$29):INDEX(P:P,100000),
    MATCH($A$8,INDEX($A:$A,Control!$B$29):INDEX($A:$A,100000),0)+MATCH($D22,INDEX($D:$D,Control!$B$31):INDEX($D:$D,Control!$B$32),0)-1,
    1)</f>
        <v>36.236828389941998</v>
      </c>
      <c r="Q22" s="258" cm="1">
        <f t="array" ref="Q22">INDEX(
    INDEX(Q:Q,Control!$B$29):INDEX(Q:Q,100000),
    MATCH($A$8,INDEX($A:$A,Control!$B$29):INDEX($A:$A,100000),0)+MATCH($D22,INDEX($D:$D,Control!$B$31):INDEX($D:$D,Control!$B$32),0)-1,
    1)</f>
        <v>36.731017151314497</v>
      </c>
      <c r="R22" s="258" cm="1">
        <f t="array" ref="R22">INDEX(
    INDEX(R:R,Control!$B$29):INDEX(R:R,100000),
    MATCH($A$8,INDEX($A:$A,Control!$B$29):INDEX($A:$A,100000),0)+MATCH($D22,INDEX($D:$D,Control!$B$31):INDEX($D:$D,Control!$B$32),0)-1,
    1)</f>
        <v>32.2937129256944</v>
      </c>
      <c r="S22" s="258" cm="1">
        <f t="array" ref="S22">INDEX(
    INDEX(S:S,Control!$B$29):INDEX(S:S,100000),
    MATCH($A$8,INDEX($A:$A,Control!$B$29):INDEX($A:$A,100000),0)+MATCH($D22,INDEX($D:$D,Control!$B$31):INDEX($D:$D,Control!$B$32),0)-1,
    1)</f>
        <v>29.667079548792302</v>
      </c>
      <c r="T22" s="258" cm="1">
        <f t="array" ref="T22">INDEX(
    INDEX(T:T,Control!$B$29):INDEX(T:T,100000),
    MATCH($A$8,INDEX($A:$A,Control!$B$29):INDEX($A:$A,100000),0)+MATCH($D22,INDEX($D:$D,Control!$B$31):INDEX($D:$D,Control!$B$32),0)-1,
    1)</f>
        <v>28.2805303644693</v>
      </c>
      <c r="U22" s="258" cm="1">
        <f t="array" ref="U22">INDEX(
    INDEX(U:U,Control!$B$29):INDEX(U:U,100000),
    MATCH($A$8,INDEX($A:$A,Control!$B$29):INDEX($A:$A,100000),0)+MATCH($D22,INDEX($D:$D,Control!$B$31):INDEX($D:$D,Control!$B$32),0)-1,
    1)</f>
        <v>26.383913189996999</v>
      </c>
      <c r="V22" s="258" cm="1">
        <f t="array" ref="V22">INDEX(
    INDEX(V:V,Control!$B$29):INDEX(V:V,100000),
    MATCH($A$8,INDEX($A:$A,Control!$B$29):INDEX($A:$A,100000),0)+MATCH($D22,INDEX($D:$D,Control!$B$31):INDEX($D:$D,Control!$B$32),0)-1,
    1)</f>
        <v>24.144962826191399</v>
      </c>
      <c r="W22" s="258" cm="1">
        <f t="array" ref="W22">INDEX(
    INDEX(W:W,Control!$B$29):INDEX(W:W,100000),
    MATCH($A$8,INDEX($A:$A,Control!$B$29):INDEX($A:$A,100000),0)+MATCH($D22,INDEX($D:$D,Control!$B$31):INDEX($D:$D,Control!$B$32),0)-1,
    1)</f>
        <v>22.271297405418299</v>
      </c>
      <c r="X22" s="258" cm="1">
        <f t="array" ref="X22">INDEX(
    INDEX(X:X,Control!$B$29):INDEX(X:X,100000),
    MATCH($A$8,INDEX($A:$A,Control!$B$29):INDEX($A:$A,100000),0)+MATCH($D22,INDEX($D:$D,Control!$B$31):INDEX($D:$D,Control!$B$32),0)-1,
    1)</f>
        <v>44.874031924108003</v>
      </c>
      <c r="Y22" s="258" cm="1">
        <f t="array" ref="Y22">INDEX(
    INDEX(Y:Y,Control!$B$29):INDEX(Y:Y,100000),
    MATCH($A$8,INDEX($A:$A,Control!$B$29):INDEX($A:$A,100000),0)+MATCH($D22,INDEX($D:$D,Control!$B$31):INDEX($D:$D,Control!$B$32),0)-1,
    1)</f>
        <v>40.034022099219698</v>
      </c>
      <c r="Z22" s="258" cm="1">
        <f t="array" ref="Z22">INDEX(
    INDEX(Z:Z,Control!$B$29):INDEX(Z:Z,100000),
    MATCH($A$8,INDEX($A:$A,Control!$B$29):INDEX($A:$A,100000),0)+MATCH($D22,INDEX($D:$D,Control!$B$31):INDEX($D:$D,Control!$B$32),0)-1,
    1)</f>
        <v>36.639910076207599</v>
      </c>
      <c r="AA22" s="258" cm="1">
        <f t="array" ref="AA22">INDEX(
    INDEX(AA:AA,Control!$B$29):INDEX(AA:AA,100000),
    MATCH($A$8,INDEX($A:$A,Control!$B$29):INDEX($A:$A,100000),0)+MATCH($D22,INDEX($D:$D,Control!$B$31):INDEX($D:$D,Control!$B$32),0)-1,
    1)</f>
        <v>33.785932109410403</v>
      </c>
      <c r="AB22" s="258" cm="1">
        <f t="array" ref="AB22">INDEX(
    INDEX(AB:AB,Control!$B$29):INDEX(AB:AB,100000),
    MATCH($A$8,INDEX($A:$A,Control!$B$29):INDEX($A:$A,100000),0)+MATCH($D22,INDEX($D:$D,Control!$B$31):INDEX($D:$D,Control!$B$32),0)-1,
    1)</f>
        <v>29.7908330646409</v>
      </c>
      <c r="AC22" s="258" cm="1">
        <f t="array" ref="AC22">INDEX(
    INDEX(AC:AC,Control!$B$29):INDEX(AC:AC,100000),
    MATCH($A$8,INDEX($A:$A,Control!$B$29):INDEX($A:$A,100000),0)+MATCH($D22,INDEX($D:$D,Control!$B$31):INDEX($D:$D,Control!$B$32),0)-1,
    1)</f>
        <v>28.367469142022198</v>
      </c>
      <c r="AD22" s="258" cm="1">
        <f t="array" ref="AD22">INDEX(
    INDEX(AD:AD,Control!$B$29):INDEX(AD:AD,100000),
    MATCH($A$8,INDEX($A:$A,Control!$B$29):INDEX($A:$A,100000),0)+MATCH($D22,INDEX($D:$D,Control!$B$31):INDEX($D:$D,Control!$B$32),0)-1,
    1)</f>
        <v>26.2085730743459</v>
      </c>
      <c r="AE22" s="258" cm="1">
        <f t="array" ref="AE22">INDEX(
    INDEX(AE:AE,Control!$B$29):INDEX(AE:AE,100000),
    MATCH($A$8,INDEX($A:$A,Control!$B$29):INDEX($A:$A,100000),0)+MATCH($D22,INDEX($D:$D,Control!$B$31):INDEX($D:$D,Control!$B$32),0)-1,
    1)</f>
        <v>23.8712341732904</v>
      </c>
      <c r="AF22" s="258" cm="1">
        <f t="array" ref="AF22">INDEX(
    INDEX(AF:AF,Control!$B$29):INDEX(AF:AF,100000),
    MATCH($A$8,INDEX($A:$A,Control!$B$29):INDEX($A:$A,100000),0)+MATCH($D22,INDEX($D:$D,Control!$B$31):INDEX($D:$D,Control!$B$32),0)-1,
    1)</f>
        <v>21.9115806393187</v>
      </c>
      <c r="AG22" s="258" cm="1">
        <f t="array" ref="AG22">INDEX(
    INDEX(AG:AG,Control!$B$29):INDEX(AG:AG,100000),
    MATCH($A$8,INDEX($A:$A,Control!$B$29):INDEX($A:$A,100000),0)+MATCH($D22,INDEX($D:$D,Control!$B$31):INDEX($D:$D,Control!$B$32),0)-1,
    1)</f>
        <v>21.591039602109301</v>
      </c>
      <c r="AH22" s="258" cm="1">
        <f t="array" ref="AH22">INDEX(
    INDEX(AH:AH,Control!$B$29):INDEX(AH:AH,100000),
    MATCH($A$8,INDEX($A:$A,Control!$B$29):INDEX($A:$A,100000),0)+MATCH($D22,INDEX($D:$D,Control!$B$31):INDEX($D:$D,Control!$B$32),0)-1,
    1)</f>
        <v>19.729210474891499</v>
      </c>
      <c r="AI22" s="258" cm="1">
        <f t="array" ref="AI22">INDEX(
    INDEX(AI:AI,Control!$B$29):INDEX(AI:AI,100000),
    MATCH($A$8,INDEX($A:$A,Control!$B$29):INDEX($A:$A,100000),0)+MATCH($D22,INDEX($D:$D,Control!$B$31):INDEX($D:$D,Control!$B$32),0)-1,
    1)</f>
        <v>19.027003816543001</v>
      </c>
      <c r="AJ22" s="258" cm="1">
        <f t="array" ref="AJ22">INDEX(
    INDEX(AJ:AJ,Control!$B$29):INDEX(AJ:AJ,100000),
    MATCH($A$8,INDEX($A:$A,Control!$B$29):INDEX($A:$A,100000),0)+MATCH($D22,INDEX($D:$D,Control!$B$31):INDEX($D:$D,Control!$B$32),0)-1,
    1)</f>
        <v>16.7203577932153</v>
      </c>
      <c r="AK22" s="258" cm="1">
        <f t="array" ref="AK22">INDEX(
    INDEX(AK:AK,Control!$B$29):INDEX(AK:AK,100000),
    MATCH($A$8,INDEX($A:$A,Control!$B$29):INDEX($A:$A,100000),0)+MATCH($D22,INDEX($D:$D,Control!$B$31):INDEX($D:$D,Control!$B$32),0)-1,
    1)</f>
        <v>15.6504111794907</v>
      </c>
      <c r="AL22" s="258" cm="1">
        <f t="array" ref="AL22">INDEX(
    INDEX(AL:AL,Control!$B$29):INDEX(AL:AL,100000),
    MATCH($A$8,INDEX($A:$A,Control!$B$29):INDEX($A:$A,100000),0)+MATCH($D22,INDEX($D:$D,Control!$B$31):INDEX($D:$D,Control!$B$32),0)-1,
    1)</f>
        <v>15.298090791005601</v>
      </c>
      <c r="AM22" s="258" cm="1">
        <f t="array" ref="AM22">INDEX(
    INDEX(AM:AM,Control!$B$29):INDEX(AM:AM,100000),
    MATCH($A$8,INDEX($A:$A,Control!$B$29):INDEX($A:$A,100000),0)+MATCH($D22,INDEX($D:$D,Control!$B$31):INDEX($D:$D,Control!$B$32),0)-1,
    1)</f>
        <v>14.3872080834358</v>
      </c>
      <c r="AN22" s="258" cm="1">
        <f t="array" ref="AN22">INDEX(
    INDEX(AN:AN,Control!$B$29):INDEX(AN:AN,100000),
    MATCH($A$8,INDEX($A:$A,Control!$B$29):INDEX($A:$A,100000),0)+MATCH($D22,INDEX($D:$D,Control!$B$31):INDEX($D:$D,Control!$B$32),0)-1,
    1)</f>
        <v>13.1924214803147</v>
      </c>
      <c r="AO22" s="29"/>
      <c r="AP22" s="29"/>
      <c r="AQ22" s="29"/>
    </row>
    <row r="23" spans="1:43" s="23" customFormat="1" x14ac:dyDescent="0.35">
      <c r="A23"/>
      <c r="B23"/>
      <c r="C23" s="292" t="s">
        <v>230</v>
      </c>
      <c r="D23" s="19" t="s">
        <v>341</v>
      </c>
      <c r="E23" s="19" t="s">
        <v>219</v>
      </c>
      <c r="F23" s="258" cm="1">
        <f t="array" ref="F23">INDEX(
    INDEX(F:F,Control!$B$29):INDEX(F:F,100000),
    MATCH($A$8,INDEX($A:$A,Control!$B$29):INDEX($A:$A,100000),0)+MATCH($D23,INDEX($D:$D,Control!$B$31):INDEX($D:$D,Control!$B$32),0)-1,
    1)</f>
        <v>0</v>
      </c>
      <c r="G23" s="258" cm="1">
        <f t="array" ref="G23">INDEX(
    INDEX(G:G,Control!$B$29):INDEX(G:G,100000),
    MATCH($A$8,INDEX($A:$A,Control!$B$29):INDEX($A:$A,100000),0)+MATCH($D23,INDEX($D:$D,Control!$B$31):INDEX($D:$D,Control!$B$32),0)-1,
    1)</f>
        <v>-1.43812533726445</v>
      </c>
      <c r="H23" s="258" cm="1">
        <f t="array" ref="H23">INDEX(
    INDEX(H:H,Control!$B$29):INDEX(H:H,100000),
    MATCH($A$8,INDEX($A:$A,Control!$B$29):INDEX($A:$A,100000),0)+MATCH($D23,INDEX($D:$D,Control!$B$31):INDEX($D:$D,Control!$B$32),0)-1,
    1)</f>
        <v>-0.88397159353752497</v>
      </c>
      <c r="I23" s="258" cm="1">
        <f t="array" ref="I23">INDEX(
    INDEX(I:I,Control!$B$29):INDEX(I:I,100000),
    MATCH($A$8,INDEX($A:$A,Control!$B$29):INDEX($A:$A,100000),0)+MATCH($D23,INDEX($D:$D,Control!$B$31):INDEX($D:$D,Control!$B$32),0)-1,
    1)</f>
        <v>0.48794153847212302</v>
      </c>
      <c r="J23" s="258" cm="1">
        <f t="array" ref="J23">INDEX(
    INDEX(J:J,Control!$B$29):INDEX(J:J,100000),
    MATCH($A$8,INDEX($A:$A,Control!$B$29):INDEX($A:$A,100000),0)+MATCH($D23,INDEX($D:$D,Control!$B$31):INDEX($D:$D,Control!$B$32),0)-1,
    1)</f>
        <v>0.456506933610697</v>
      </c>
      <c r="K23" s="258" cm="1">
        <f t="array" ref="K23">INDEX(
    INDEX(K:K,Control!$B$29):INDEX(K:K,100000),
    MATCH($A$8,INDEX($A:$A,Control!$B$29):INDEX($A:$A,100000),0)+MATCH($D23,INDEX($D:$D,Control!$B$31):INDEX($D:$D,Control!$B$32),0)-1,
    1)</f>
        <v>0.426388633239979</v>
      </c>
      <c r="L23" s="258" cm="1">
        <f t="array" ref="L23">INDEX(
    INDEX(L:L,Control!$B$29):INDEX(L:L,100000),
    MATCH($A$8,INDEX($A:$A,Control!$B$29):INDEX($A:$A,100000),0)+MATCH($D23,INDEX($D:$D,Control!$B$31):INDEX($D:$D,Control!$B$32),0)-1,
    1)</f>
        <v>0.28556494645632302</v>
      </c>
      <c r="M23" s="258" cm="1">
        <f t="array" ref="M23">INDEX(
    INDEX(M:M,Control!$B$29):INDEX(M:M,100000),
    MATCH($A$8,INDEX($A:$A,Control!$B$29):INDEX($A:$A,100000),0)+MATCH($D23,INDEX($D:$D,Control!$B$31):INDEX($D:$D,Control!$B$32),0)-1,
    1)</f>
        <v>3.5038771919316099E-2</v>
      </c>
      <c r="N23" s="258" cm="1">
        <f t="array" ref="N23">INDEX(
    INDEX(N:N,Control!$B$29):INDEX(N:N,100000),
    MATCH($A$8,INDEX($A:$A,Control!$B$29):INDEX($A:$A,100000),0)+MATCH($D23,INDEX($D:$D,Control!$B$31):INDEX($D:$D,Control!$B$32),0)-1,
    1)</f>
        <v>-1.7947707262189899E-2</v>
      </c>
      <c r="O23" s="258" cm="1">
        <f t="array" ref="O23">INDEX(
    INDEX(O:O,Control!$B$29):INDEX(O:O,100000),
    MATCH($A$8,INDEX($A:$A,Control!$B$29):INDEX($A:$A,100000),0)+MATCH($D23,INDEX($D:$D,Control!$B$31):INDEX($D:$D,Control!$B$32),0)-1,
    1)</f>
        <v>1.4625605452308401E-4</v>
      </c>
      <c r="P23" s="258" cm="1">
        <f t="array" ref="P23">INDEX(
    INDEX(P:P,Control!$B$29):INDEX(P:P,100000),
    MATCH($A$8,INDEX($A:$A,Control!$B$29):INDEX($A:$A,100000),0)+MATCH($D23,INDEX($D:$D,Control!$B$31):INDEX($D:$D,Control!$B$32),0)-1,
    1)</f>
        <v>0</v>
      </c>
      <c r="Q23" s="258" cm="1">
        <f t="array" ref="Q23">INDEX(
    INDEX(Q:Q,Control!$B$29):INDEX(Q:Q,100000),
    MATCH($A$8,INDEX($A:$A,Control!$B$29):INDEX($A:$A,100000),0)+MATCH($D23,INDEX($D:$D,Control!$B$31):INDEX($D:$D,Control!$B$32),0)-1,
    1)</f>
        <v>4.2017275092274799E-2</v>
      </c>
      <c r="R23" s="258" cm="1">
        <f t="array" ref="R23">INDEX(
    INDEX(R:R,Control!$B$29):INDEX(R:R,100000),
    MATCH($A$8,INDEX($A:$A,Control!$B$29):INDEX($A:$A,100000),0)+MATCH($D23,INDEX($D:$D,Control!$B$31):INDEX($D:$D,Control!$B$32),0)-1,
    1)</f>
        <v>3.3680679984458901E-2</v>
      </c>
      <c r="S23" s="258" cm="1">
        <f t="array" ref="S23">INDEX(
    INDEX(S:S,Control!$B$29):INDEX(S:S,100000),
    MATCH($A$8,INDEX($A:$A,Control!$B$29):INDEX($A:$A,100000),0)+MATCH($D23,INDEX($D:$D,Control!$B$31):INDEX($D:$D,Control!$B$32),0)-1,
    1)</f>
        <v>2.3421862445768299E-2</v>
      </c>
      <c r="T23" s="258" cm="1">
        <f t="array" ref="T23">INDEX(
    INDEX(T:T,Control!$B$29):INDEX(T:T,100000),
    MATCH($A$8,INDEX($A:$A,Control!$B$29):INDEX($A:$A,100000),0)+MATCH($D23,INDEX($D:$D,Control!$B$31):INDEX($D:$D,Control!$B$32),0)-1,
    1)</f>
        <v>-2.6649942506313501E-2</v>
      </c>
      <c r="U23" s="258" cm="1">
        <f t="array" ref="U23">INDEX(
    INDEX(U:U,Control!$B$29):INDEX(U:U,100000),
    MATCH($A$8,INDEX($A:$A,Control!$B$29):INDEX($A:$A,100000),0)+MATCH($D23,INDEX($D:$D,Control!$B$31):INDEX($D:$D,Control!$B$32),0)-1,
    1)</f>
        <v>4.07427580457165E-4</v>
      </c>
      <c r="V23" s="258" cm="1">
        <f t="array" ref="V23">INDEX(
    INDEX(V:V,Control!$B$29):INDEX(V:V,100000),
    MATCH($A$8,INDEX($A:$A,Control!$B$29):INDEX($A:$A,100000),0)+MATCH($D23,INDEX($D:$D,Control!$B$31):INDEX($D:$D,Control!$B$32),0)-1,
    1)</f>
        <v>9.6320058764488709E-3</v>
      </c>
      <c r="W23" s="258" cm="1">
        <f t="array" ref="W23">INDEX(
    INDEX(W:W,Control!$B$29):INDEX(W:W,100000),
    MATCH($A$8,INDEX($A:$A,Control!$B$29):INDEX($A:$A,100000),0)+MATCH($D23,INDEX($D:$D,Control!$B$31):INDEX($D:$D,Control!$B$32),0)-1,
    1)</f>
        <v>2.6743964255649798E-3</v>
      </c>
      <c r="X23" s="258" cm="1">
        <f t="array" ref="X23">INDEX(
    INDEX(X:X,Control!$B$29):INDEX(X:X,100000),
    MATCH($A$8,INDEX($A:$A,Control!$B$29):INDEX($A:$A,100000),0)+MATCH($D23,INDEX($D:$D,Control!$B$31):INDEX($D:$D,Control!$B$32),0)-1,
    1)</f>
        <v>1.39570063459172E-2</v>
      </c>
      <c r="Y23" s="258" cm="1">
        <f t="array" ref="Y23">INDEX(
    INDEX(Y:Y,Control!$B$29):INDEX(Y:Y,100000),
    MATCH($A$8,INDEX($A:$A,Control!$B$29):INDEX($A:$A,100000),0)+MATCH($D23,INDEX($D:$D,Control!$B$31):INDEX($D:$D,Control!$B$32),0)-1,
    1)</f>
        <v>9.86183681927086E-3</v>
      </c>
      <c r="Z23" s="258" cm="1">
        <f t="array" ref="Z23">INDEX(
    INDEX(Z:Z,Control!$B$29):INDEX(Z:Z,100000),
    MATCH($A$8,INDEX($A:$A,Control!$B$29):INDEX($A:$A,100000),0)+MATCH($D23,INDEX($D:$D,Control!$B$31):INDEX($D:$D,Control!$B$32),0)-1,
    1)</f>
        <v>0</v>
      </c>
      <c r="AA23" s="258" cm="1">
        <f t="array" ref="AA23">INDEX(
    INDEX(AA:AA,Control!$B$29):INDEX(AA:AA,100000),
    MATCH($A$8,INDEX($A:$A,Control!$B$29):INDEX($A:$A,100000),0)+MATCH($D23,INDEX($D:$D,Control!$B$31):INDEX($D:$D,Control!$B$32),0)-1,
    1)</f>
        <v>0</v>
      </c>
      <c r="AB23" s="258" cm="1">
        <f t="array" ref="AB23">INDEX(
    INDEX(AB:AB,Control!$B$29):INDEX(AB:AB,100000),
    MATCH($A$8,INDEX($A:$A,Control!$B$29):INDEX($A:$A,100000),0)+MATCH($D23,INDEX($D:$D,Control!$B$31):INDEX($D:$D,Control!$B$32),0)-1,
    1)</f>
        <v>0</v>
      </c>
      <c r="AC23" s="258" cm="1">
        <f t="array" ref="AC23">INDEX(
    INDEX(AC:AC,Control!$B$29):INDEX(AC:AC,100000),
    MATCH($A$8,INDEX($A:$A,Control!$B$29):INDEX($A:$A,100000),0)+MATCH($D23,INDEX($D:$D,Control!$B$31):INDEX($D:$D,Control!$B$32),0)-1,
    1)</f>
        <v>0</v>
      </c>
      <c r="AD23" s="258" cm="1">
        <f t="array" ref="AD23">INDEX(
    INDEX(AD:AD,Control!$B$29):INDEX(AD:AD,100000),
    MATCH($A$8,INDEX($A:$A,Control!$B$29):INDEX($A:$A,100000),0)+MATCH($D23,INDEX($D:$D,Control!$B$31):INDEX($D:$D,Control!$B$32),0)-1,
    1)</f>
        <v>0</v>
      </c>
      <c r="AE23" s="258" cm="1">
        <f t="array" ref="AE23">INDEX(
    INDEX(AE:AE,Control!$B$29):INDEX(AE:AE,100000),
    MATCH($A$8,INDEX($A:$A,Control!$B$29):INDEX($A:$A,100000),0)+MATCH($D23,INDEX($D:$D,Control!$B$31):INDEX($D:$D,Control!$B$32),0)-1,
    1)</f>
        <v>0</v>
      </c>
      <c r="AF23" s="258" cm="1">
        <f t="array" ref="AF23">INDEX(
    INDEX(AF:AF,Control!$B$29):INDEX(AF:AF,100000),
    MATCH($A$8,INDEX($A:$A,Control!$B$29):INDEX($A:$A,100000),0)+MATCH($D23,INDEX($D:$D,Control!$B$31):INDEX($D:$D,Control!$B$32),0)-1,
    1)</f>
        <v>0</v>
      </c>
      <c r="AG23" s="258" cm="1">
        <f t="array" ref="AG23">INDEX(
    INDEX(AG:AG,Control!$B$29):INDEX(AG:AG,100000),
    MATCH($A$8,INDEX($A:$A,Control!$B$29):INDEX($A:$A,100000),0)+MATCH($D23,INDEX($D:$D,Control!$B$31):INDEX($D:$D,Control!$B$32),0)-1,
    1)</f>
        <v>0</v>
      </c>
      <c r="AH23" s="258" cm="1">
        <f t="array" ref="AH23">INDEX(
    INDEX(AH:AH,Control!$B$29):INDEX(AH:AH,100000),
    MATCH($A$8,INDEX($A:$A,Control!$B$29):INDEX($A:$A,100000),0)+MATCH($D23,INDEX($D:$D,Control!$B$31):INDEX($D:$D,Control!$B$32),0)-1,
    1)</f>
        <v>0</v>
      </c>
      <c r="AI23" s="258" cm="1">
        <f t="array" ref="AI23">INDEX(
    INDEX(AI:AI,Control!$B$29):INDEX(AI:AI,100000),
    MATCH($A$8,INDEX($A:$A,Control!$B$29):INDEX($A:$A,100000),0)+MATCH($D23,INDEX($D:$D,Control!$B$31):INDEX($D:$D,Control!$B$32),0)-1,
    1)</f>
        <v>0</v>
      </c>
      <c r="AJ23" s="258" cm="1">
        <f t="array" ref="AJ23">INDEX(
    INDEX(AJ:AJ,Control!$B$29):INDEX(AJ:AJ,100000),
    MATCH($A$8,INDEX($A:$A,Control!$B$29):INDEX($A:$A,100000),0)+MATCH($D23,INDEX($D:$D,Control!$B$31):INDEX($D:$D,Control!$B$32),0)-1,
    1)</f>
        <v>0</v>
      </c>
      <c r="AK23" s="258" cm="1">
        <f t="array" ref="AK23">INDEX(
    INDEX(AK:AK,Control!$B$29):INDEX(AK:AK,100000),
    MATCH($A$8,INDEX($A:$A,Control!$B$29):INDEX($A:$A,100000),0)+MATCH($D23,INDEX($D:$D,Control!$B$31):INDEX($D:$D,Control!$B$32),0)-1,
    1)</f>
        <v>0</v>
      </c>
      <c r="AL23" s="258" cm="1">
        <f t="array" ref="AL23">INDEX(
    INDEX(AL:AL,Control!$B$29):INDEX(AL:AL,100000),
    MATCH($A$8,INDEX($A:$A,Control!$B$29):INDEX($A:$A,100000),0)+MATCH($D23,INDEX($D:$D,Control!$B$31):INDEX($D:$D,Control!$B$32),0)-1,
    1)</f>
        <v>0</v>
      </c>
      <c r="AM23" s="258" cm="1">
        <f t="array" ref="AM23">INDEX(
    INDEX(AM:AM,Control!$B$29):INDEX(AM:AM,100000),
    MATCH($A$8,INDEX($A:$A,Control!$B$29):INDEX($A:$A,100000),0)+MATCH($D23,INDEX($D:$D,Control!$B$31):INDEX($D:$D,Control!$B$32),0)-1,
    1)</f>
        <v>0</v>
      </c>
      <c r="AN23" s="258" cm="1">
        <f t="array" ref="AN23">INDEX(
    INDEX(AN:AN,Control!$B$29):INDEX(AN:AN,100000),
    MATCH($A$8,INDEX($A:$A,Control!$B$29):INDEX($A:$A,100000),0)+MATCH($D23,INDEX($D:$D,Control!$B$31):INDEX($D:$D,Control!$B$32),0)-1,
    1)</f>
        <v>0</v>
      </c>
      <c r="AO23" s="29"/>
      <c r="AP23" s="29"/>
      <c r="AQ23" s="29"/>
    </row>
    <row r="24" spans="1:43" s="23" customFormat="1" x14ac:dyDescent="0.35">
      <c r="A24"/>
      <c r="B24"/>
      <c r="C24" s="292" t="s">
        <v>230</v>
      </c>
      <c r="D24" s="19" t="s">
        <v>342</v>
      </c>
      <c r="E24" s="19" t="s">
        <v>219</v>
      </c>
      <c r="F24" s="258" cm="1">
        <f t="array" ref="F24">INDEX(
    INDEX(F:F,Control!$B$29):INDEX(F:F,100000),
    MATCH($A$8,INDEX($A:$A,Control!$B$29):INDEX($A:$A,100000),0)+MATCH($D24,INDEX($D:$D,Control!$B$31):INDEX($D:$D,Control!$B$32),0)-1,
    1)</f>
        <v>0</v>
      </c>
      <c r="G24" s="258" cm="1">
        <f t="array" ref="G24">INDEX(
    INDEX(G:G,Control!$B$29):INDEX(G:G,100000),
    MATCH($A$8,INDEX($A:$A,Control!$B$29):INDEX($A:$A,100000),0)+MATCH($D24,INDEX($D:$D,Control!$B$31):INDEX($D:$D,Control!$B$32),0)-1,
    1)</f>
        <v>32.741768348725898</v>
      </c>
      <c r="H24" s="258" cm="1">
        <f t="array" ref="H24">INDEX(
    INDEX(H:H,Control!$B$29):INDEX(H:H,100000),
    MATCH($A$8,INDEX($A:$A,Control!$B$29):INDEX($A:$A,100000),0)+MATCH($D24,INDEX($D:$D,Control!$B$31):INDEX($D:$D,Control!$B$32),0)-1,
    1)</f>
        <v>37.532322733463303</v>
      </c>
      <c r="I24" s="258" cm="1">
        <f t="array" ref="I24">INDEX(
    INDEX(I:I,Control!$B$29):INDEX(I:I,100000),
    MATCH($A$8,INDEX($A:$A,Control!$B$29):INDEX($A:$A,100000),0)+MATCH($D24,INDEX($D:$D,Control!$B$31):INDEX($D:$D,Control!$B$32),0)-1,
    1)</f>
        <v>36.709883151435903</v>
      </c>
      <c r="J24" s="258" cm="1">
        <f t="array" ref="J24">INDEX(
    INDEX(J:J,Control!$B$29):INDEX(J:J,100000),
    MATCH($A$8,INDEX($A:$A,Control!$B$29):INDEX($A:$A,100000),0)+MATCH($D24,INDEX($D:$D,Control!$B$31):INDEX($D:$D,Control!$B$32),0)-1,
    1)</f>
        <v>38.452837446909598</v>
      </c>
      <c r="K24" s="258" cm="1">
        <f t="array" ref="K24">INDEX(
    INDEX(K:K,Control!$B$29):INDEX(K:K,100000),
    MATCH($A$8,INDEX($A:$A,Control!$B$29):INDEX($A:$A,100000),0)+MATCH($D24,INDEX($D:$D,Control!$B$31):INDEX($D:$D,Control!$B$32),0)-1,
    1)</f>
        <v>42.569934934873402</v>
      </c>
      <c r="L24" s="258" cm="1">
        <f t="array" ref="L24">INDEX(
    INDEX(L:L,Control!$B$29):INDEX(L:L,100000),
    MATCH($A$8,INDEX($A:$A,Control!$B$29):INDEX($A:$A,100000),0)+MATCH($D24,INDEX($D:$D,Control!$B$31):INDEX($D:$D,Control!$B$32),0)-1,
    1)</f>
        <v>37.044945325487198</v>
      </c>
      <c r="M24" s="258" cm="1">
        <f t="array" ref="M24">INDEX(
    INDEX(M:M,Control!$B$29):INDEX(M:M,100000),
    MATCH($A$8,INDEX($A:$A,Control!$B$29):INDEX($A:$A,100000),0)+MATCH($D24,INDEX($D:$D,Control!$B$31):INDEX($D:$D,Control!$B$32),0)-1,
    1)</f>
        <v>42.207690028402801</v>
      </c>
      <c r="N24" s="258" cm="1">
        <f t="array" ref="N24">INDEX(
    INDEX(N:N,Control!$B$29):INDEX(N:N,100000),
    MATCH($A$8,INDEX($A:$A,Control!$B$29):INDEX($A:$A,100000),0)+MATCH($D24,INDEX($D:$D,Control!$B$31):INDEX($D:$D,Control!$B$32),0)-1,
    1)</f>
        <v>40.833321884049397</v>
      </c>
      <c r="O24" s="258" cm="1">
        <f t="array" ref="O24">INDEX(
    INDEX(O:O,Control!$B$29):INDEX(O:O,100000),
    MATCH($A$8,INDEX($A:$A,Control!$B$29):INDEX($A:$A,100000),0)+MATCH($D24,INDEX($D:$D,Control!$B$31):INDEX($D:$D,Control!$B$32),0)-1,
    1)</f>
        <v>36.058082597592701</v>
      </c>
      <c r="P24" s="258" cm="1">
        <f t="array" ref="P24">INDEX(
    INDEX(P:P,Control!$B$29):INDEX(P:P,100000),
    MATCH($A$8,INDEX($A:$A,Control!$B$29):INDEX($A:$A,100000),0)+MATCH($D24,INDEX($D:$D,Control!$B$31):INDEX($D:$D,Control!$B$32),0)-1,
    1)</f>
        <v>40.803537883231797</v>
      </c>
      <c r="Q24" s="258" cm="1">
        <f t="array" ref="Q24">INDEX(
    INDEX(Q:Q,Control!$B$29):INDEX(Q:Q,100000),
    MATCH($A$8,INDEX($A:$A,Control!$B$29):INDEX($A:$A,100000),0)+MATCH($D24,INDEX($D:$D,Control!$B$31):INDEX($D:$D,Control!$B$32),0)-1,
    1)</f>
        <v>47.005473640978103</v>
      </c>
      <c r="R24" s="258" cm="1">
        <f t="array" ref="R24">INDEX(
    INDEX(R:R,Control!$B$29):INDEX(R:R,100000),
    MATCH($A$8,INDEX($A:$A,Control!$B$29):INDEX($A:$A,100000),0)+MATCH($D24,INDEX($D:$D,Control!$B$31):INDEX($D:$D,Control!$B$32),0)-1,
    1)</f>
        <v>45.721303694821202</v>
      </c>
      <c r="S24" s="258" cm="1">
        <f t="array" ref="S24">INDEX(
    INDEX(S:S,Control!$B$29):INDEX(S:S,100000),
    MATCH($A$8,INDEX($A:$A,Control!$B$29):INDEX($A:$A,100000),0)+MATCH($D24,INDEX($D:$D,Control!$B$31):INDEX($D:$D,Control!$B$32),0)-1,
    1)</f>
        <v>45.021583389399702</v>
      </c>
      <c r="T24" s="258" cm="1">
        <f t="array" ref="T24">INDEX(
    INDEX(T:T,Control!$B$29):INDEX(T:T,100000),
    MATCH($A$8,INDEX($A:$A,Control!$B$29):INDEX($A:$A,100000),0)+MATCH($D24,INDEX($D:$D,Control!$B$31):INDEX($D:$D,Control!$B$32),0)-1,
    1)</f>
        <v>43.668871587976703</v>
      </c>
      <c r="U24" s="258" cm="1">
        <f t="array" ref="U24">INDEX(
    INDEX(U:U,Control!$B$29):INDEX(U:U,100000),
    MATCH($A$8,INDEX($A:$A,Control!$B$29):INDEX($A:$A,100000),0)+MATCH($D24,INDEX($D:$D,Control!$B$31):INDEX($D:$D,Control!$B$32),0)-1,
    1)</f>
        <v>43.191032164127698</v>
      </c>
      <c r="V24" s="258" cm="1">
        <f t="array" ref="V24">INDEX(
    INDEX(V:V,Control!$B$29):INDEX(V:V,100000),
    MATCH($A$8,INDEX($A:$A,Control!$B$29):INDEX($A:$A,100000),0)+MATCH($D24,INDEX($D:$D,Control!$B$31):INDEX($D:$D,Control!$B$32),0)-1,
    1)</f>
        <v>45.197435401241599</v>
      </c>
      <c r="W24" s="258" cm="1">
        <f t="array" ref="W24">INDEX(
    INDEX(W:W,Control!$B$29):INDEX(W:W,100000),
    MATCH($A$8,INDEX($A:$A,Control!$B$29):INDEX($A:$A,100000),0)+MATCH($D24,INDEX($D:$D,Control!$B$31):INDEX($D:$D,Control!$B$32),0)-1,
    1)</f>
        <v>48.045437763525499</v>
      </c>
      <c r="X24" s="258" cm="1">
        <f t="array" ref="X24">INDEX(
    INDEX(X:X,Control!$B$29):INDEX(X:X,100000),
    MATCH($A$8,INDEX($A:$A,Control!$B$29):INDEX($A:$A,100000),0)+MATCH($D24,INDEX($D:$D,Control!$B$31):INDEX($D:$D,Control!$B$32),0)-1,
    1)</f>
        <v>54.110749472625102</v>
      </c>
      <c r="Y24" s="258" cm="1">
        <f t="array" ref="Y24">INDEX(
    INDEX(Y:Y,Control!$B$29):INDEX(Y:Y,100000),
    MATCH($A$8,INDEX($A:$A,Control!$B$29):INDEX($A:$A,100000),0)+MATCH($D24,INDEX($D:$D,Control!$B$31):INDEX($D:$D,Control!$B$32),0)-1,
    1)</f>
        <v>54.8268609030143</v>
      </c>
      <c r="Z24" s="258" cm="1">
        <f t="array" ref="Z24">INDEX(
    INDEX(Z:Z,Control!$B$29):INDEX(Z:Z,100000),
    MATCH($A$8,INDEX($A:$A,Control!$B$29):INDEX($A:$A,100000),0)+MATCH($D24,INDEX($D:$D,Control!$B$31):INDEX($D:$D,Control!$B$32),0)-1,
    1)</f>
        <v>51.533592429595899</v>
      </c>
      <c r="AA24" s="258" cm="1">
        <f t="array" ref="AA24">INDEX(
    INDEX(AA:AA,Control!$B$29):INDEX(AA:AA,100000),
    MATCH($A$8,INDEX($A:$A,Control!$B$29):INDEX($A:$A,100000),0)+MATCH($D24,INDEX($D:$D,Control!$B$31):INDEX($D:$D,Control!$B$32),0)-1,
    1)</f>
        <v>53.114609932129397</v>
      </c>
      <c r="AB24" s="258" cm="1">
        <f t="array" ref="AB24">INDEX(
    INDEX(AB:AB,Control!$B$29):INDEX(AB:AB,100000),
    MATCH($A$8,INDEX($A:$A,Control!$B$29):INDEX($A:$A,100000),0)+MATCH($D24,INDEX($D:$D,Control!$B$31):INDEX($D:$D,Control!$B$32),0)-1,
    1)</f>
        <v>51.800018726631798</v>
      </c>
      <c r="AC24" s="258" cm="1">
        <f t="array" ref="AC24">INDEX(
    INDEX(AC:AC,Control!$B$29):INDEX(AC:AC,100000),
    MATCH($A$8,INDEX($A:$A,Control!$B$29):INDEX($A:$A,100000),0)+MATCH($D24,INDEX($D:$D,Control!$B$31):INDEX($D:$D,Control!$B$32),0)-1,
    1)</f>
        <v>51.399956183205902</v>
      </c>
      <c r="AD24" s="258" cm="1">
        <f t="array" ref="AD24">INDEX(
    INDEX(AD:AD,Control!$B$29):INDEX(AD:AD,100000),
    MATCH($A$8,INDEX($A:$A,Control!$B$29):INDEX($A:$A,100000),0)+MATCH($D24,INDEX($D:$D,Control!$B$31):INDEX($D:$D,Control!$B$32),0)-1,
    1)</f>
        <v>49.490249091853897</v>
      </c>
      <c r="AE24" s="258" cm="1">
        <f t="array" ref="AE24">INDEX(
    INDEX(AE:AE,Control!$B$29):INDEX(AE:AE,100000),
    MATCH($A$8,INDEX($A:$A,Control!$B$29):INDEX($A:$A,100000),0)+MATCH($D24,INDEX($D:$D,Control!$B$31):INDEX($D:$D,Control!$B$32),0)-1,
    1)</f>
        <v>49.258339223685397</v>
      </c>
      <c r="AF24" s="258" cm="1">
        <f t="array" ref="AF24">INDEX(
    INDEX(AF:AF,Control!$B$29):INDEX(AF:AF,100000),
    MATCH($A$8,INDEX($A:$A,Control!$B$29):INDEX($A:$A,100000),0)+MATCH($D24,INDEX($D:$D,Control!$B$31):INDEX($D:$D,Control!$B$32),0)-1,
    1)</f>
        <v>46.780134848402099</v>
      </c>
      <c r="AG24" s="258" cm="1">
        <f t="array" ref="AG24">INDEX(
    INDEX(AG:AG,Control!$B$29):INDEX(AG:AG,100000),
    MATCH($A$8,INDEX($A:$A,Control!$B$29):INDEX($A:$A,100000),0)+MATCH($D24,INDEX($D:$D,Control!$B$31):INDEX($D:$D,Control!$B$32),0)-1,
    1)</f>
        <v>46.748136113044701</v>
      </c>
      <c r="AH24" s="258" cm="1">
        <f t="array" ref="AH24">INDEX(
    INDEX(AH:AH,Control!$B$29):INDEX(AH:AH,100000),
    MATCH($A$8,INDEX($A:$A,Control!$B$29):INDEX($A:$A,100000),0)+MATCH($D24,INDEX($D:$D,Control!$B$31):INDEX($D:$D,Control!$B$32),0)-1,
    1)</f>
        <v>46.959946220577201</v>
      </c>
      <c r="AI24" s="258" cm="1">
        <f t="array" ref="AI24">INDEX(
    INDEX(AI:AI,Control!$B$29):INDEX(AI:AI,100000),
    MATCH($A$8,INDEX($A:$A,Control!$B$29):INDEX($A:$A,100000),0)+MATCH($D24,INDEX($D:$D,Control!$B$31):INDEX($D:$D,Control!$B$32),0)-1,
    1)</f>
        <v>46.161534418935702</v>
      </c>
      <c r="AJ24" s="258" cm="1">
        <f t="array" ref="AJ24">INDEX(
    INDEX(AJ:AJ,Control!$B$29):INDEX(AJ:AJ,100000),
    MATCH($A$8,INDEX($A:$A,Control!$B$29):INDEX($A:$A,100000),0)+MATCH($D24,INDEX($D:$D,Control!$B$31):INDEX($D:$D,Control!$B$32),0)-1,
    1)</f>
        <v>45.525665328174497</v>
      </c>
      <c r="AK24" s="258" cm="1">
        <f t="array" ref="AK24">INDEX(
    INDEX(AK:AK,Control!$B$29):INDEX(AK:AK,100000),
    MATCH($A$8,INDEX($A:$A,Control!$B$29):INDEX($A:$A,100000),0)+MATCH($D24,INDEX($D:$D,Control!$B$31):INDEX($D:$D,Control!$B$32),0)-1,
    1)</f>
        <v>47.850133696432003</v>
      </c>
      <c r="AL24" s="258" cm="1">
        <f t="array" ref="AL24">INDEX(
    INDEX(AL:AL,Control!$B$29):INDEX(AL:AL,100000),
    MATCH($A$8,INDEX($A:$A,Control!$B$29):INDEX($A:$A,100000),0)+MATCH($D24,INDEX($D:$D,Control!$B$31):INDEX($D:$D,Control!$B$32),0)-1,
    1)</f>
        <v>46.875723626894001</v>
      </c>
      <c r="AM24" s="258" cm="1">
        <f t="array" ref="AM24">INDEX(
    INDEX(AM:AM,Control!$B$29):INDEX(AM:AM,100000),
    MATCH($A$8,INDEX($A:$A,Control!$B$29):INDEX($A:$A,100000),0)+MATCH($D24,INDEX($D:$D,Control!$B$31):INDEX($D:$D,Control!$B$32),0)-1,
    1)</f>
        <v>46.887862879419401</v>
      </c>
      <c r="AN24" s="258" cm="1">
        <f t="array" ref="AN24">INDEX(
    INDEX(AN:AN,Control!$B$29):INDEX(AN:AN,100000),
    MATCH($A$8,INDEX($A:$A,Control!$B$29):INDEX($A:$A,100000),0)+MATCH($D24,INDEX($D:$D,Control!$B$31):INDEX($D:$D,Control!$B$32),0)-1,
    1)</f>
        <v>45.458115924706902</v>
      </c>
      <c r="AO24" s="29"/>
      <c r="AP24" s="29"/>
      <c r="AQ24" s="29"/>
    </row>
    <row r="25" spans="1:43" s="23" customFormat="1" x14ac:dyDescent="0.35">
      <c r="A25"/>
      <c r="B25"/>
      <c r="C25" s="292" t="s">
        <v>230</v>
      </c>
      <c r="D25" s="19" t="s">
        <v>343</v>
      </c>
      <c r="E25" s="19" t="s">
        <v>219</v>
      </c>
      <c r="F25" s="258" cm="1">
        <f t="array" ref="F25">INDEX(
    INDEX(F:F,Control!$B$29):INDEX(F:F,100000),
    MATCH($A$8,INDEX($A:$A,Control!$B$29):INDEX($A:$A,100000),0)+MATCH($D25,INDEX($D:$D,Control!$B$31):INDEX($D:$D,Control!$B$32),0)-1,
    1)</f>
        <v>0</v>
      </c>
      <c r="G25" s="258" cm="1">
        <f t="array" ref="G25">INDEX(
    INDEX(G:G,Control!$B$29):INDEX(G:G,100000),
    MATCH($A$8,INDEX($A:$A,Control!$B$29):INDEX($A:$A,100000),0)+MATCH($D25,INDEX($D:$D,Control!$B$31):INDEX($D:$D,Control!$B$32),0)-1,
    1)</f>
        <v>-11.5697627896862</v>
      </c>
      <c r="H25" s="258" cm="1">
        <f t="array" ref="H25">INDEX(
    INDEX(H:H,Control!$B$29):INDEX(H:H,100000),
    MATCH($A$8,INDEX($A:$A,Control!$B$29):INDEX($A:$A,100000),0)+MATCH($D25,INDEX($D:$D,Control!$B$31):INDEX($D:$D,Control!$B$32),0)-1,
    1)</f>
        <v>-11.975090551074899</v>
      </c>
      <c r="I25" s="258" cm="1">
        <f t="array" ref="I25">INDEX(
    INDEX(I:I,Control!$B$29):INDEX(I:I,100000),
    MATCH($A$8,INDEX($A:$A,Control!$B$29):INDEX($A:$A,100000),0)+MATCH($D25,INDEX($D:$D,Control!$B$31):INDEX($D:$D,Control!$B$32),0)-1,
    1)</f>
        <v>-10.5574515083047</v>
      </c>
      <c r="J25" s="258" cm="1">
        <f t="array" ref="J25">INDEX(
    INDEX(J:J,Control!$B$29):INDEX(J:J,100000),
    MATCH($A$8,INDEX($A:$A,Control!$B$29):INDEX($A:$A,100000),0)+MATCH($D25,INDEX($D:$D,Control!$B$31):INDEX($D:$D,Control!$B$32),0)-1,
    1)</f>
        <v>-8.5948937469646403</v>
      </c>
      <c r="K25" s="258" cm="1">
        <f t="array" ref="K25">INDEX(
    INDEX(K:K,Control!$B$29):INDEX(K:K,100000),
    MATCH($A$8,INDEX($A:$A,Control!$B$29):INDEX($A:$A,100000),0)+MATCH($D25,INDEX($D:$D,Control!$B$31):INDEX($D:$D,Control!$B$32),0)-1,
    1)</f>
        <v>-9.39398459457359</v>
      </c>
      <c r="L25" s="258" cm="1">
        <f t="array" ref="L25">INDEX(
    INDEX(L:L,Control!$B$29):INDEX(L:L,100000),
    MATCH($A$8,INDEX($A:$A,Control!$B$29):INDEX($A:$A,100000),0)+MATCH($D25,INDEX($D:$D,Control!$B$31):INDEX($D:$D,Control!$B$32),0)-1,
    1)</f>
        <v>-9.4298904559590095</v>
      </c>
      <c r="M25" s="258" cm="1">
        <f t="array" ref="M25">INDEX(
    INDEX(M:M,Control!$B$29):INDEX(M:M,100000),
    MATCH($A$8,INDEX($A:$A,Control!$B$29):INDEX($A:$A,100000),0)+MATCH($D25,INDEX($D:$D,Control!$B$31):INDEX($D:$D,Control!$B$32),0)-1,
    1)</f>
        <v>-10.128795906219599</v>
      </c>
      <c r="N25" s="258" cm="1">
        <f t="array" ref="N25">INDEX(
    INDEX(N:N,Control!$B$29):INDEX(N:N,100000),
    MATCH($A$8,INDEX($A:$A,Control!$B$29):INDEX($A:$A,100000),0)+MATCH($D25,INDEX($D:$D,Control!$B$31):INDEX($D:$D,Control!$B$32),0)-1,
    1)</f>
        <v>-11.7678039343715</v>
      </c>
      <c r="O25" s="258" cm="1">
        <f t="array" ref="O25">INDEX(
    INDEX(O:O,Control!$B$29):INDEX(O:O,100000),
    MATCH($A$8,INDEX($A:$A,Control!$B$29):INDEX($A:$A,100000),0)+MATCH($D25,INDEX($D:$D,Control!$B$31):INDEX($D:$D,Control!$B$32),0)-1,
    1)</f>
        <v>-11.959535174990201</v>
      </c>
      <c r="P25" s="258" cm="1">
        <f t="array" ref="P25">INDEX(
    INDEX(P:P,Control!$B$29):INDEX(P:P,100000),
    MATCH($A$8,INDEX($A:$A,Control!$B$29):INDEX($A:$A,100000),0)+MATCH($D25,INDEX($D:$D,Control!$B$31):INDEX($D:$D,Control!$B$32),0)-1,
    1)</f>
        <v>-11.5417756489671</v>
      </c>
      <c r="Q25" s="258" cm="1">
        <f t="array" ref="Q25">INDEX(
    INDEX(Q:Q,Control!$B$29):INDEX(Q:Q,100000),
    MATCH($A$8,INDEX($A:$A,Control!$B$29):INDEX($A:$A,100000),0)+MATCH($D25,INDEX($D:$D,Control!$B$31):INDEX($D:$D,Control!$B$32),0)-1,
    1)</f>
        <v>-9.04355508793628</v>
      </c>
      <c r="R25" s="258" cm="1">
        <f t="array" ref="R25">INDEX(
    INDEX(R:R,Control!$B$29):INDEX(R:R,100000),
    MATCH($A$8,INDEX($A:$A,Control!$B$29):INDEX($A:$A,100000),0)+MATCH($D25,INDEX($D:$D,Control!$B$31):INDEX($D:$D,Control!$B$32),0)-1,
    1)</f>
        <v>-10.368248408056999</v>
      </c>
      <c r="S25" s="258" cm="1">
        <f t="array" ref="S25">INDEX(
    INDEX(S:S,Control!$B$29):INDEX(S:S,100000),
    MATCH($A$8,INDEX($A:$A,Control!$B$29):INDEX($A:$A,100000),0)+MATCH($D25,INDEX($D:$D,Control!$B$31):INDEX($D:$D,Control!$B$32),0)-1,
    1)</f>
        <v>-9.2494209315385607</v>
      </c>
      <c r="T25" s="258" cm="1">
        <f t="array" ref="T25">INDEX(
    INDEX(T:T,Control!$B$29):INDEX(T:T,100000),
    MATCH($A$8,INDEX($A:$A,Control!$B$29):INDEX($A:$A,100000),0)+MATCH($D25,INDEX($D:$D,Control!$B$31):INDEX($D:$D,Control!$B$32),0)-1,
    1)</f>
        <v>-9.4451533199345992</v>
      </c>
      <c r="U25" s="258" cm="1">
        <f t="array" ref="U25">INDEX(
    INDEX(U:U,Control!$B$29):INDEX(U:U,100000),
    MATCH($A$8,INDEX($A:$A,Control!$B$29):INDEX($A:$A,100000),0)+MATCH($D25,INDEX($D:$D,Control!$B$31):INDEX($D:$D,Control!$B$32),0)-1,
    1)</f>
        <v>-8.8406457060075692</v>
      </c>
      <c r="V25" s="258" cm="1">
        <f t="array" ref="V25">INDEX(
    INDEX(V:V,Control!$B$29):INDEX(V:V,100000),
    MATCH($A$8,INDEX($A:$A,Control!$B$29):INDEX($A:$A,100000),0)+MATCH($D25,INDEX($D:$D,Control!$B$31):INDEX($D:$D,Control!$B$32),0)-1,
    1)</f>
        <v>-8.0589906694699796</v>
      </c>
      <c r="W25" s="258" cm="1">
        <f t="array" ref="W25">INDEX(
    INDEX(W:W,Control!$B$29):INDEX(W:W,100000),
    MATCH($A$8,INDEX($A:$A,Control!$B$29):INDEX($A:$A,100000),0)+MATCH($D25,INDEX($D:$D,Control!$B$31):INDEX($D:$D,Control!$B$32),0)-1,
    1)</f>
        <v>-8.79173350263064</v>
      </c>
      <c r="X25" s="258" cm="1">
        <f t="array" ref="X25">INDEX(
    INDEX(X:X,Control!$B$29):INDEX(X:X,100000),
    MATCH($A$8,INDEX($A:$A,Control!$B$29):INDEX($A:$A,100000),0)+MATCH($D25,INDEX($D:$D,Control!$B$31):INDEX($D:$D,Control!$B$32),0)-1,
    1)</f>
        <v>-11.1446173329097</v>
      </c>
      <c r="Y25" s="258" cm="1">
        <f t="array" ref="Y25">INDEX(
    INDEX(Y:Y,Control!$B$29):INDEX(Y:Y,100000),
    MATCH($A$8,INDEX($A:$A,Control!$B$29):INDEX($A:$A,100000),0)+MATCH($D25,INDEX($D:$D,Control!$B$31):INDEX($D:$D,Control!$B$32),0)-1,
    1)</f>
        <v>-10.264040969209301</v>
      </c>
      <c r="Z25" s="258" cm="1">
        <f t="array" ref="Z25">INDEX(
    INDEX(Z:Z,Control!$B$29):INDEX(Z:Z,100000),
    MATCH($A$8,INDEX($A:$A,Control!$B$29):INDEX($A:$A,100000),0)+MATCH($D25,INDEX($D:$D,Control!$B$31):INDEX($D:$D,Control!$B$32),0)-1,
    1)</f>
        <v>-10.8823697802888</v>
      </c>
      <c r="AA25" s="258" cm="1">
        <f t="array" ref="AA25">INDEX(
    INDEX(AA:AA,Control!$B$29):INDEX(AA:AA,100000),
    MATCH($A$8,INDEX($A:$A,Control!$B$29):INDEX($A:$A,100000),0)+MATCH($D25,INDEX($D:$D,Control!$B$31):INDEX($D:$D,Control!$B$32),0)-1,
    1)</f>
        <v>-9.8111695432396502</v>
      </c>
      <c r="AB25" s="258" cm="1">
        <f t="array" ref="AB25">INDEX(
    INDEX(AB:AB,Control!$B$29):INDEX(AB:AB,100000),
    MATCH($A$8,INDEX($A:$A,Control!$B$29):INDEX($A:$A,100000),0)+MATCH($D25,INDEX($D:$D,Control!$B$31):INDEX($D:$D,Control!$B$32),0)-1,
    1)</f>
        <v>-9.52332718107718</v>
      </c>
      <c r="AC25" s="258" cm="1">
        <f t="array" ref="AC25">INDEX(
    INDEX(AC:AC,Control!$B$29):INDEX(AC:AC,100000),
    MATCH($A$8,INDEX($A:$A,Control!$B$29):INDEX($A:$A,100000),0)+MATCH($D25,INDEX($D:$D,Control!$B$31):INDEX($D:$D,Control!$B$32),0)-1,
    1)</f>
        <v>-9.3895028911885596</v>
      </c>
      <c r="AD25" s="258" cm="1">
        <f t="array" ref="AD25">INDEX(
    INDEX(AD:AD,Control!$B$29):INDEX(AD:AD,100000),
    MATCH($A$8,INDEX($A:$A,Control!$B$29):INDEX($A:$A,100000),0)+MATCH($D25,INDEX($D:$D,Control!$B$31):INDEX($D:$D,Control!$B$32),0)-1,
    1)</f>
        <v>-9.35237474706177</v>
      </c>
      <c r="AE25" s="258" cm="1">
        <f t="array" ref="AE25">INDEX(
    INDEX(AE:AE,Control!$B$29):INDEX(AE:AE,100000),
    MATCH($A$8,INDEX($A:$A,Control!$B$29):INDEX($A:$A,100000),0)+MATCH($D25,INDEX($D:$D,Control!$B$31):INDEX($D:$D,Control!$B$32),0)-1,
    1)</f>
        <v>-8.8508627361021102</v>
      </c>
      <c r="AF25" s="258" cm="1">
        <f t="array" ref="AF25">INDEX(
    INDEX(AF:AF,Control!$B$29):INDEX(AF:AF,100000),
    MATCH($A$8,INDEX($A:$A,Control!$B$29):INDEX($A:$A,100000),0)+MATCH($D25,INDEX($D:$D,Control!$B$31):INDEX($D:$D,Control!$B$32),0)-1,
    1)</f>
        <v>-8.4379818941834408</v>
      </c>
      <c r="AG25" s="258" cm="1">
        <f t="array" ref="AG25">INDEX(
    INDEX(AG:AG,Control!$B$29):INDEX(AG:AG,100000),
    MATCH($A$8,INDEX($A:$A,Control!$B$29):INDEX($A:$A,100000),0)+MATCH($D25,INDEX($D:$D,Control!$B$31):INDEX($D:$D,Control!$B$32),0)-1,
    1)</f>
        <v>-8.4728953037703096</v>
      </c>
      <c r="AH25" s="258" cm="1">
        <f t="array" ref="AH25">INDEX(
    INDEX(AH:AH,Control!$B$29):INDEX(AH:AH,100000),
    MATCH($A$8,INDEX($A:$A,Control!$B$29):INDEX($A:$A,100000),0)+MATCH($D25,INDEX($D:$D,Control!$B$31):INDEX($D:$D,Control!$B$32),0)-1,
    1)</f>
        <v>-8.8791841763743999</v>
      </c>
      <c r="AI25" s="258" cm="1">
        <f t="array" ref="AI25">INDEX(
    INDEX(AI:AI,Control!$B$29):INDEX(AI:AI,100000),
    MATCH($A$8,INDEX($A:$A,Control!$B$29):INDEX($A:$A,100000),0)+MATCH($D25,INDEX($D:$D,Control!$B$31):INDEX($D:$D,Control!$B$32),0)-1,
    1)</f>
        <v>-7.9553264673962296</v>
      </c>
      <c r="AJ25" s="258" cm="1">
        <f t="array" ref="AJ25">INDEX(
    INDEX(AJ:AJ,Control!$B$29):INDEX(AJ:AJ,100000),
    MATCH($A$8,INDEX($A:$A,Control!$B$29):INDEX($A:$A,100000),0)+MATCH($D25,INDEX($D:$D,Control!$B$31):INDEX($D:$D,Control!$B$32),0)-1,
    1)</f>
        <v>-7.5335866873178698</v>
      </c>
      <c r="AK25" s="258" cm="1">
        <f t="array" ref="AK25">INDEX(
    INDEX(AK:AK,Control!$B$29):INDEX(AK:AK,100000),
    MATCH($A$8,INDEX($A:$A,Control!$B$29):INDEX($A:$A,100000),0)+MATCH($D25,INDEX($D:$D,Control!$B$31):INDEX($D:$D,Control!$B$32),0)-1,
    1)</f>
        <v>-7.7692469785987104</v>
      </c>
      <c r="AL25" s="258" cm="1">
        <f t="array" ref="AL25">INDEX(
    INDEX(AL:AL,Control!$B$29):INDEX(AL:AL,100000),
    MATCH($A$8,INDEX($A:$A,Control!$B$29):INDEX($A:$A,100000),0)+MATCH($D25,INDEX($D:$D,Control!$B$31):INDEX($D:$D,Control!$B$32),0)-1,
    1)</f>
        <v>-9.0024153491711392</v>
      </c>
      <c r="AM25" s="258" cm="1">
        <f t="array" ref="AM25">INDEX(
    INDEX(AM:AM,Control!$B$29):INDEX(AM:AM,100000),
    MATCH($A$8,INDEX($A:$A,Control!$B$29):INDEX($A:$A,100000),0)+MATCH($D25,INDEX($D:$D,Control!$B$31):INDEX($D:$D,Control!$B$32),0)-1,
    1)</f>
        <v>-9.8841617613077108</v>
      </c>
      <c r="AN25" s="258" cm="1">
        <f t="array" ref="AN25">INDEX(
    INDEX(AN:AN,Control!$B$29):INDEX(AN:AN,100000),
    MATCH($A$8,INDEX($A:$A,Control!$B$29):INDEX($A:$A,100000),0)+MATCH($D25,INDEX($D:$D,Control!$B$31):INDEX($D:$D,Control!$B$32),0)-1,
    1)</f>
        <v>-9.0667993537444094</v>
      </c>
      <c r="AO25" s="29"/>
      <c r="AP25" s="29"/>
      <c r="AQ25" s="29"/>
    </row>
    <row r="26" spans="1:43" s="23" customFormat="1" x14ac:dyDescent="0.35">
      <c r="A26"/>
      <c r="B26"/>
      <c r="C26" s="292" t="s">
        <v>230</v>
      </c>
      <c r="D26" s="19" t="s">
        <v>344</v>
      </c>
      <c r="E26" s="19" t="s">
        <v>219</v>
      </c>
      <c r="F26" s="258" cm="1">
        <f t="array" ref="F26">INDEX(
    INDEX(F:F,Control!$B$29):INDEX(F:F,100000),
    MATCH($A$8,INDEX($A:$A,Control!$B$29):INDEX($A:$A,100000),0)+MATCH($D26,INDEX($D:$D,Control!$B$31):INDEX($D:$D,Control!$B$32),0)-1,
    1)</f>
        <v>0</v>
      </c>
      <c r="G26" s="258" cm="1">
        <f t="array" ref="G26">INDEX(
    INDEX(G:G,Control!$B$29):INDEX(G:G,100000),
    MATCH($A$8,INDEX($A:$A,Control!$B$29):INDEX($A:$A,100000),0)+MATCH($D26,INDEX($D:$D,Control!$B$31):INDEX($D:$D,Control!$B$32),0)-1,
    1)</f>
        <v>64.417821062447302</v>
      </c>
      <c r="H26" s="258" cm="1">
        <f t="array" ref="H26">INDEX(
    INDEX(H:H,Control!$B$29):INDEX(H:H,100000),
    MATCH($A$8,INDEX($A:$A,Control!$B$29):INDEX($A:$A,100000),0)+MATCH($D26,INDEX($D:$D,Control!$B$31):INDEX($D:$D,Control!$B$32),0)-1,
    1)</f>
        <v>45.515594554134502</v>
      </c>
      <c r="I26" s="258" cm="1">
        <f t="array" ref="I26">INDEX(
    INDEX(I:I,Control!$B$29):INDEX(I:I,100000),
    MATCH($A$8,INDEX($A:$A,Control!$B$29):INDEX($A:$A,100000),0)+MATCH($D26,INDEX($D:$D,Control!$B$31):INDEX($D:$D,Control!$B$32),0)-1,
    1)</f>
        <v>41.308361549140301</v>
      </c>
      <c r="J26" s="258" cm="1">
        <f t="array" ref="J26">INDEX(
    INDEX(J:J,Control!$B$29):INDEX(J:J,100000),
    MATCH($A$8,INDEX($A:$A,Control!$B$29):INDEX($A:$A,100000),0)+MATCH($D26,INDEX($D:$D,Control!$B$31):INDEX($D:$D,Control!$B$32),0)-1,
    1)</f>
        <v>35.119703751772597</v>
      </c>
      <c r="K26" s="258" cm="1">
        <f t="array" ref="K26">INDEX(
    INDEX(K:K,Control!$B$29):INDEX(K:K,100000),
    MATCH($A$8,INDEX($A:$A,Control!$B$29):INDEX($A:$A,100000),0)+MATCH($D26,INDEX($D:$D,Control!$B$31):INDEX($D:$D,Control!$B$32),0)-1,
    1)</f>
        <v>28.9147697449086</v>
      </c>
      <c r="L26" s="258" cm="1">
        <f t="array" ref="L26">INDEX(
    INDEX(L:L,Control!$B$29):INDEX(L:L,100000),
    MATCH($A$8,INDEX($A:$A,Control!$B$29):INDEX($A:$A,100000),0)+MATCH($D26,INDEX($D:$D,Control!$B$31):INDEX($D:$D,Control!$B$32),0)-1,
    1)</f>
        <v>33.957730739169797</v>
      </c>
      <c r="M26" s="258" cm="1">
        <f t="array" ref="M26">INDEX(
    INDEX(M:M,Control!$B$29):INDEX(M:M,100000),
    MATCH($A$8,INDEX($A:$A,Control!$B$29):INDEX($A:$A,100000),0)+MATCH($D26,INDEX($D:$D,Control!$B$31):INDEX($D:$D,Control!$B$32),0)-1,
    1)</f>
        <v>27.817295652350499</v>
      </c>
      <c r="N26" s="258" cm="1">
        <f t="array" ref="N26">INDEX(
    INDEX(N:N,Control!$B$29):INDEX(N:N,100000),
    MATCH($A$8,INDEX($A:$A,Control!$B$29):INDEX($A:$A,100000),0)+MATCH($D26,INDEX($D:$D,Control!$B$31):INDEX($D:$D,Control!$B$32),0)-1,
    1)</f>
        <v>29.583671810270001</v>
      </c>
      <c r="O26" s="258" cm="1">
        <f t="array" ref="O26">INDEX(
    INDEX(O:O,Control!$B$29):INDEX(O:O,100000),
    MATCH($A$8,INDEX($A:$A,Control!$B$29):INDEX($A:$A,100000),0)+MATCH($D26,INDEX($D:$D,Control!$B$31):INDEX($D:$D,Control!$B$32),0)-1,
    1)</f>
        <v>35.597031279430801</v>
      </c>
      <c r="P26" s="258" cm="1">
        <f t="array" ref="P26">INDEX(
    INDEX(P:P,Control!$B$29):INDEX(P:P,100000),
    MATCH($A$8,INDEX($A:$A,Control!$B$29):INDEX($A:$A,100000),0)+MATCH($D26,INDEX($D:$D,Control!$B$31):INDEX($D:$D,Control!$B$32),0)-1,
    1)</f>
        <v>31.6718739693064</v>
      </c>
      <c r="Q26" s="258" cm="1">
        <f t="array" ref="Q26">INDEX(
    INDEX(Q:Q,Control!$B$29):INDEX(Q:Q,100000),
    MATCH($A$8,INDEX($A:$A,Control!$B$29):INDEX($A:$A,100000),0)+MATCH($D26,INDEX($D:$D,Control!$B$31):INDEX($D:$D,Control!$B$32),0)-1,
    1)</f>
        <v>25.1474018238927</v>
      </c>
      <c r="R26" s="258" cm="1">
        <f t="array" ref="R26">INDEX(
    INDEX(R:R,Control!$B$29):INDEX(R:R,100000),
    MATCH($A$8,INDEX($A:$A,Control!$B$29):INDEX($A:$A,100000),0)+MATCH($D26,INDEX($D:$D,Control!$B$31):INDEX($D:$D,Control!$B$32),0)-1,
    1)</f>
        <v>26.6808756618451</v>
      </c>
      <c r="S26" s="258" cm="1">
        <f t="array" ref="S26">INDEX(
    INDEX(S:S,Control!$B$29):INDEX(S:S,100000),
    MATCH($A$8,INDEX($A:$A,Control!$B$29):INDEX($A:$A,100000),0)+MATCH($D26,INDEX($D:$D,Control!$B$31):INDEX($D:$D,Control!$B$32),0)-1,
    1)</f>
        <v>26.877872120426701</v>
      </c>
      <c r="T26" s="258" cm="1">
        <f t="array" ref="T26">INDEX(
    INDEX(T:T,Control!$B$29):INDEX(T:T,100000),
    MATCH($A$8,INDEX($A:$A,Control!$B$29):INDEX($A:$A,100000),0)+MATCH($D26,INDEX($D:$D,Control!$B$31):INDEX($D:$D,Control!$B$32),0)-1,
    1)</f>
        <v>26.186739134777799</v>
      </c>
      <c r="U26" s="258" cm="1">
        <f t="array" ref="U26">INDEX(
    INDEX(U:U,Control!$B$29):INDEX(U:U,100000),
    MATCH($A$8,INDEX($A:$A,Control!$B$29):INDEX($A:$A,100000),0)+MATCH($D26,INDEX($D:$D,Control!$B$31):INDEX($D:$D,Control!$B$32),0)-1,
    1)</f>
        <v>24.2348580654179</v>
      </c>
      <c r="V26" s="258" cm="1">
        <f t="array" ref="V26">INDEX(
    INDEX(V:V,Control!$B$29):INDEX(V:V,100000),
    MATCH($A$8,INDEX($A:$A,Control!$B$29):INDEX($A:$A,100000),0)+MATCH($D26,INDEX($D:$D,Control!$B$31):INDEX($D:$D,Control!$B$32),0)-1,
    1)</f>
        <v>23.5038598580505</v>
      </c>
      <c r="W26" s="258" cm="1">
        <f t="array" ref="W26">INDEX(
    INDEX(W:W,Control!$B$29):INDEX(W:W,100000),
    MATCH($A$8,INDEX($A:$A,Control!$B$29):INDEX($A:$A,100000),0)+MATCH($D26,INDEX($D:$D,Control!$B$31):INDEX($D:$D,Control!$B$32),0)-1,
    1)</f>
        <v>21.7320199918085</v>
      </c>
      <c r="X26" s="258" cm="1">
        <f t="array" ref="X26">INDEX(
    INDEX(X:X,Control!$B$29):INDEX(X:X,100000),
    MATCH($A$8,INDEX($A:$A,Control!$B$29):INDEX($A:$A,100000),0)+MATCH($D26,INDEX($D:$D,Control!$B$31):INDEX($D:$D,Control!$B$32),0)-1,
    1)</f>
        <v>34.834702935812302</v>
      </c>
      <c r="Y26" s="258" cm="1">
        <f t="array" ref="Y26">INDEX(
    INDEX(Y:Y,Control!$B$29):INDEX(Y:Y,100000),
    MATCH($A$8,INDEX($A:$A,Control!$B$29):INDEX($A:$A,100000),0)+MATCH($D26,INDEX($D:$D,Control!$B$31):INDEX($D:$D,Control!$B$32),0)-1,
    1)</f>
        <v>34.248581797310997</v>
      </c>
      <c r="Z26" s="258" cm="1">
        <f t="array" ref="Z26">INDEX(
    INDEX(Z:Z,Control!$B$29):INDEX(Z:Z,100000),
    MATCH($A$8,INDEX($A:$A,Control!$B$29):INDEX($A:$A,100000),0)+MATCH($D26,INDEX($D:$D,Control!$B$31):INDEX($D:$D,Control!$B$32),0)-1,
    1)</f>
        <v>35.698292703465903</v>
      </c>
      <c r="AA26" s="258" cm="1">
        <f t="array" ref="AA26">INDEX(
    INDEX(AA:AA,Control!$B$29):INDEX(AA:AA,100000),
    MATCH($A$8,INDEX($A:$A,Control!$B$29):INDEX($A:$A,100000),0)+MATCH($D26,INDEX($D:$D,Control!$B$31):INDEX($D:$D,Control!$B$32),0)-1,
    1)</f>
        <v>33.405979773481498</v>
      </c>
      <c r="AB26" s="258" cm="1">
        <f t="array" ref="AB26">INDEX(
    INDEX(AB:AB,Control!$B$29):INDEX(AB:AB,100000),
    MATCH($A$8,INDEX($A:$A,Control!$B$29):INDEX($A:$A,100000),0)+MATCH($D26,INDEX($D:$D,Control!$B$31):INDEX($D:$D,Control!$B$32),0)-1,
    1)</f>
        <v>32.758953435132398</v>
      </c>
      <c r="AC26" s="258" cm="1">
        <f t="array" ref="AC26">INDEX(
    INDEX(AC:AC,Control!$B$29):INDEX(AC:AC,100000),
    MATCH($A$8,INDEX($A:$A,Control!$B$29):INDEX($A:$A,100000),0)+MATCH($D26,INDEX($D:$D,Control!$B$31):INDEX($D:$D,Control!$B$32),0)-1,
    1)</f>
        <v>30.2711692882778</v>
      </c>
      <c r="AD26" s="258" cm="1">
        <f t="array" ref="AD26">INDEX(
    INDEX(AD:AD,Control!$B$29):INDEX(AD:AD,100000),
    MATCH($A$8,INDEX($A:$A,Control!$B$29):INDEX($A:$A,100000),0)+MATCH($D26,INDEX($D:$D,Control!$B$31):INDEX($D:$D,Control!$B$32),0)-1,
    1)</f>
        <v>30.3678967746228</v>
      </c>
      <c r="AE26" s="258" cm="1">
        <f t="array" ref="AE26">INDEX(
    INDEX(AE:AE,Control!$B$29):INDEX(AE:AE,100000),
    MATCH($A$8,INDEX($A:$A,Control!$B$29):INDEX($A:$A,100000),0)+MATCH($D26,INDEX($D:$D,Control!$B$31):INDEX($D:$D,Control!$B$32),0)-1,
    1)</f>
        <v>29.7727182076021</v>
      </c>
      <c r="AF26" s="258" cm="1">
        <f t="array" ref="AF26">INDEX(
    INDEX(AF:AF,Control!$B$29):INDEX(AF:AF,100000),
    MATCH($A$8,INDEX($A:$A,Control!$B$29):INDEX($A:$A,100000),0)+MATCH($D26,INDEX($D:$D,Control!$B$31):INDEX($D:$D,Control!$B$32),0)-1,
    1)</f>
        <v>29.868077155151202</v>
      </c>
      <c r="AG26" s="258" cm="1">
        <f t="array" ref="AG26">INDEX(
    INDEX(AG:AG,Control!$B$29):INDEX(AG:AG,100000),
    MATCH($A$8,INDEX($A:$A,Control!$B$29):INDEX($A:$A,100000),0)+MATCH($D26,INDEX($D:$D,Control!$B$31):INDEX($D:$D,Control!$B$32),0)-1,
    1)</f>
        <v>28.748706441858701</v>
      </c>
      <c r="AH26" s="258" cm="1">
        <f t="array" ref="AH26">INDEX(
    INDEX(AH:AH,Control!$B$29):INDEX(AH:AH,100000),
    MATCH($A$8,INDEX($A:$A,Control!$B$29):INDEX($A:$A,100000),0)+MATCH($D26,INDEX($D:$D,Control!$B$31):INDEX($D:$D,Control!$B$32),0)-1,
    1)</f>
        <v>28.067205462086299</v>
      </c>
      <c r="AI26" s="258" cm="1">
        <f t="array" ref="AI26">INDEX(
    INDEX(AI:AI,Control!$B$29):INDEX(AI:AI,100000),
    MATCH($A$8,INDEX($A:$A,Control!$B$29):INDEX($A:$A,100000),0)+MATCH($D26,INDEX($D:$D,Control!$B$31):INDEX($D:$D,Control!$B$32),0)-1,
    1)</f>
        <v>26.346429852595001</v>
      </c>
      <c r="AJ26" s="258" cm="1">
        <f t="array" ref="AJ26">INDEX(
    INDEX(AJ:AJ,Control!$B$29):INDEX(AJ:AJ,100000),
    MATCH($A$8,INDEX($A:$A,Control!$B$29):INDEX($A:$A,100000),0)+MATCH($D26,INDEX($D:$D,Control!$B$31):INDEX($D:$D,Control!$B$32),0)-1,
    1)</f>
        <v>26.893291687317799</v>
      </c>
      <c r="AK26" s="258" cm="1">
        <f t="array" ref="AK26">INDEX(
    INDEX(AK:AK,Control!$B$29):INDEX(AK:AK,100000),
    MATCH($A$8,INDEX($A:$A,Control!$B$29):INDEX($A:$A,100000),0)+MATCH($D26,INDEX($D:$D,Control!$B$31):INDEX($D:$D,Control!$B$32),0)-1,
    1)</f>
        <v>24.630491139763901</v>
      </c>
      <c r="AL26" s="258" cm="1">
        <f t="array" ref="AL26">INDEX(
    INDEX(AL:AL,Control!$B$29):INDEX(AL:AL,100000),
    MATCH($A$8,INDEX($A:$A,Control!$B$29):INDEX($A:$A,100000),0)+MATCH($D26,INDEX($D:$D,Control!$B$31):INDEX($D:$D,Control!$B$32),0)-1,
    1)</f>
        <v>25.4344606714773</v>
      </c>
      <c r="AM26" s="258" cm="1">
        <f t="array" ref="AM26">INDEX(
    INDEX(AM:AM,Control!$B$29):INDEX(AM:AM,100000),
    MATCH($A$8,INDEX($A:$A,Control!$B$29):INDEX($A:$A,100000),0)+MATCH($D26,INDEX($D:$D,Control!$B$31):INDEX($D:$D,Control!$B$32),0)-1,
    1)</f>
        <v>25.653061238684099</v>
      </c>
      <c r="AN26" s="258" cm="1">
        <f t="array" ref="AN26">INDEX(
    INDEX(AN:AN,Control!$B$29):INDEX(AN:AN,100000),
    MATCH($A$8,INDEX($A:$A,Control!$B$29):INDEX($A:$A,100000),0)+MATCH($D26,INDEX($D:$D,Control!$B$31):INDEX($D:$D,Control!$B$32),0)-1,
    1)</f>
        <v>24.166535594233601</v>
      </c>
      <c r="AO26" s="29"/>
      <c r="AP26" s="29"/>
      <c r="AQ26" s="29"/>
    </row>
    <row r="27" spans="1:43" s="23" customFormat="1" x14ac:dyDescent="0.35">
      <c r="A27"/>
      <c r="B27"/>
      <c r="C27" s="292" t="s">
        <v>230</v>
      </c>
      <c r="D27" s="19" t="s">
        <v>345</v>
      </c>
      <c r="E27" s="19" t="s">
        <v>219</v>
      </c>
      <c r="F27" s="258" cm="1">
        <f t="array" ref="F27">INDEX(
    INDEX(F:F,Control!$B$29):INDEX(F:F,100000),
    MATCH($A$8,INDEX($A:$A,Control!$B$29):INDEX($A:$A,100000),0)+MATCH($D27,INDEX($D:$D,Control!$B$31):INDEX($D:$D,Control!$B$32),0)-1,
    1)</f>
        <v>0</v>
      </c>
      <c r="G27" s="258" cm="1">
        <f t="array" ref="G27">INDEX(
    INDEX(G:G,Control!$B$29):INDEX(G:G,100000),
    MATCH($A$8,INDEX($A:$A,Control!$B$29):INDEX($A:$A,100000),0)+MATCH($D27,INDEX($D:$D,Control!$B$31):INDEX($D:$D,Control!$B$32),0)-1,
    1)</f>
        <v>-44.540881525626403</v>
      </c>
      <c r="H27" s="258" cm="1">
        <f t="array" ref="H27">INDEX(
    INDEX(H:H,Control!$B$29):INDEX(H:H,100000),
    MATCH($A$8,INDEX($A:$A,Control!$B$29):INDEX($A:$A,100000),0)+MATCH($D27,INDEX($D:$D,Control!$B$31):INDEX($D:$D,Control!$B$32),0)-1,
    1)</f>
        <v>-34.4844928132568</v>
      </c>
      <c r="I27" s="258" cm="1">
        <f t="array" ref="I27">INDEX(
    INDEX(I:I,Control!$B$29):INDEX(I:I,100000),
    MATCH($A$8,INDEX($A:$A,Control!$B$29):INDEX($A:$A,100000),0)+MATCH($D27,INDEX($D:$D,Control!$B$31):INDEX($D:$D,Control!$B$32),0)-1,
    1)</f>
        <v>-34.488107427175699</v>
      </c>
      <c r="J27" s="258" cm="1">
        <f t="array" ref="J27">INDEX(
    INDEX(J:J,Control!$B$29):INDEX(J:J,100000),
    MATCH($A$8,INDEX($A:$A,Control!$B$29):INDEX($A:$A,100000),0)+MATCH($D27,INDEX($D:$D,Control!$B$31):INDEX($D:$D,Control!$B$32),0)-1,
    1)</f>
        <v>-34.799695504476098</v>
      </c>
      <c r="K27" s="258" cm="1">
        <f t="array" ref="K27">INDEX(
    INDEX(K:K,Control!$B$29):INDEX(K:K,100000),
    MATCH($A$8,INDEX($A:$A,Control!$B$29):INDEX($A:$A,100000),0)+MATCH($D27,INDEX($D:$D,Control!$B$31):INDEX($D:$D,Control!$B$32),0)-1,
    1)</f>
        <v>-35.195067407296101</v>
      </c>
      <c r="L27" s="258" cm="1">
        <f t="array" ref="L27">INDEX(
    INDEX(L:L,Control!$B$29):INDEX(L:L,100000),
    MATCH($A$8,INDEX($A:$A,Control!$B$29):INDEX($A:$A,100000),0)+MATCH($D27,INDEX($D:$D,Control!$B$31):INDEX($D:$D,Control!$B$32),0)-1,
    1)</f>
        <v>-31.068588638120801</v>
      </c>
      <c r="M27" s="258" cm="1">
        <f t="array" ref="M27">INDEX(
    INDEX(M:M,Control!$B$29):INDEX(M:M,100000),
    MATCH($A$8,INDEX($A:$A,Control!$B$29):INDEX($A:$A,100000),0)+MATCH($D27,INDEX($D:$D,Control!$B$31):INDEX($D:$D,Control!$B$32),0)-1,
    1)</f>
        <v>-30.090887807356001</v>
      </c>
      <c r="N27" s="258" cm="1">
        <f t="array" ref="N27">INDEX(
    INDEX(N:N,Control!$B$29):INDEX(N:N,100000),
    MATCH($A$8,INDEX($A:$A,Control!$B$29):INDEX($A:$A,100000),0)+MATCH($D27,INDEX($D:$D,Control!$B$31):INDEX($D:$D,Control!$B$32),0)-1,
    1)</f>
        <v>-26.5383282429903</v>
      </c>
      <c r="O27" s="258" cm="1">
        <f t="array" ref="O27">INDEX(
    INDEX(O:O,Control!$B$29):INDEX(O:O,100000),
    MATCH($A$8,INDEX($A:$A,Control!$B$29):INDEX($A:$A,100000),0)+MATCH($D27,INDEX($D:$D,Control!$B$31):INDEX($D:$D,Control!$B$32),0)-1,
    1)</f>
        <v>-24.752761201345201</v>
      </c>
      <c r="P27" s="258" cm="1">
        <f t="array" ref="P27">INDEX(
    INDEX(P:P,Control!$B$29):INDEX(P:P,100000),
    MATCH($A$8,INDEX($A:$A,Control!$B$29):INDEX($A:$A,100000),0)+MATCH($D27,INDEX($D:$D,Control!$B$31):INDEX($D:$D,Control!$B$32),0)-1,
    1)</f>
        <v>-24.6504968786505</v>
      </c>
      <c r="Q27" s="258" cm="1">
        <f t="array" ref="Q27">INDEX(
    INDEX(Q:Q,Control!$B$29):INDEX(Q:Q,100000),
    MATCH($A$8,INDEX($A:$A,Control!$B$29):INDEX($A:$A,100000),0)+MATCH($D27,INDEX($D:$D,Control!$B$31):INDEX($D:$D,Control!$B$32),0)-1,
    1)</f>
        <v>-29.317715621980799</v>
      </c>
      <c r="R27" s="258" cm="1">
        <f t="array" ref="R27">INDEX(
    INDEX(R:R,Control!$B$29):INDEX(R:R,100000),
    MATCH($A$8,INDEX($A:$A,Control!$B$29):INDEX($A:$A,100000),0)+MATCH($D27,INDEX($D:$D,Control!$B$31):INDEX($D:$D,Control!$B$32),0)-1,
    1)</f>
        <v>-27.554995865424399</v>
      </c>
      <c r="S27" s="258" cm="1">
        <f t="array" ref="S27">INDEX(
    INDEX(S:S,Control!$B$29):INDEX(S:S,100000),
    MATCH($A$8,INDEX($A:$A,Control!$B$29):INDEX($A:$A,100000),0)+MATCH($D27,INDEX($D:$D,Control!$B$31):INDEX($D:$D,Control!$B$32),0)-1,
    1)</f>
        <v>-26.267775435844701</v>
      </c>
      <c r="T27" s="258" cm="1">
        <f t="array" ref="T27">INDEX(
    INDEX(T:T,Control!$B$29):INDEX(T:T,100000),
    MATCH($A$8,INDEX($A:$A,Control!$B$29):INDEX($A:$A,100000),0)+MATCH($D27,INDEX($D:$D,Control!$B$31):INDEX($D:$D,Control!$B$32),0)-1,
    1)</f>
        <v>-22.4457599847422</v>
      </c>
      <c r="U27" s="258" cm="1">
        <f t="array" ref="U27">INDEX(
    INDEX(U:U,Control!$B$29):INDEX(U:U,100000),
    MATCH($A$8,INDEX($A:$A,Control!$B$29):INDEX($A:$A,100000),0)+MATCH($D27,INDEX($D:$D,Control!$B$31):INDEX($D:$D,Control!$B$32),0)-1,
    1)</f>
        <v>-21.501896536877499</v>
      </c>
      <c r="V27" s="258" cm="1">
        <f t="array" ref="V27">INDEX(
    INDEX(V:V,Control!$B$29):INDEX(V:V,100000),
    MATCH($A$8,INDEX($A:$A,Control!$B$29):INDEX($A:$A,100000),0)+MATCH($D27,INDEX($D:$D,Control!$B$31):INDEX($D:$D,Control!$B$32),0)-1,
    1)</f>
        <v>-24.3494392372757</v>
      </c>
      <c r="W27" s="258" cm="1">
        <f t="array" ref="W27">INDEX(
    INDEX(W:W,Control!$B$29):INDEX(W:W,100000),
    MATCH($A$8,INDEX($A:$A,Control!$B$29):INDEX($A:$A,100000),0)+MATCH($D27,INDEX($D:$D,Control!$B$31):INDEX($D:$D,Control!$B$32),0)-1,
    1)</f>
        <v>-24.310044124303801</v>
      </c>
      <c r="X27" s="258" cm="1">
        <f t="array" ref="X27">INDEX(
    INDEX(X:X,Control!$B$29):INDEX(X:X,100000),
    MATCH($A$8,INDEX($A:$A,Control!$B$29):INDEX($A:$A,100000),0)+MATCH($D27,INDEX($D:$D,Control!$B$31):INDEX($D:$D,Control!$B$32),0)-1,
    1)</f>
        <v>-31.625113819303198</v>
      </c>
      <c r="Y27" s="258" cm="1">
        <f t="array" ref="Y27">INDEX(
    INDEX(Y:Y,Control!$B$29):INDEX(Y:Y,100000),
    MATCH($A$8,INDEX($A:$A,Control!$B$29):INDEX($A:$A,100000),0)+MATCH($D27,INDEX($D:$D,Control!$B$31):INDEX($D:$D,Control!$B$32),0)-1,
    1)</f>
        <v>-32.448472725101901</v>
      </c>
      <c r="Z27" s="258" cm="1">
        <f t="array" ref="Z27">INDEX(
    INDEX(Z:Z,Control!$B$29):INDEX(Z:Z,100000),
    MATCH($A$8,INDEX($A:$A,Control!$B$29):INDEX($A:$A,100000),0)+MATCH($D27,INDEX($D:$D,Control!$B$31):INDEX($D:$D,Control!$B$32),0)-1,
    1)</f>
        <v>-26.783683221313801</v>
      </c>
      <c r="AA27" s="258" cm="1">
        <f t="array" ref="AA27">INDEX(
    INDEX(AA:AA,Control!$B$29):INDEX(AA:AA,100000),
    MATCH($A$8,INDEX($A:$A,Control!$B$29):INDEX($A:$A,100000),0)+MATCH($D27,INDEX($D:$D,Control!$B$31):INDEX($D:$D,Control!$B$32),0)-1,
    1)</f>
        <v>-29.485105676382499</v>
      </c>
      <c r="AB27" s="258" cm="1">
        <f t="array" ref="AB27">INDEX(
    INDEX(AB:AB,Control!$B$29):INDEX(AB:AB,100000),
    MATCH($A$8,INDEX($A:$A,Control!$B$29):INDEX($A:$A,100000),0)+MATCH($D27,INDEX($D:$D,Control!$B$31):INDEX($D:$D,Control!$B$32),0)-1,
    1)</f>
        <v>-27.1263611570614</v>
      </c>
      <c r="AC27" s="258" cm="1">
        <f t="array" ref="AC27">INDEX(
    INDEX(AC:AC,Control!$B$29):INDEX(AC:AC,100000),
    MATCH($A$8,INDEX($A:$A,Control!$B$29):INDEX($A:$A,100000),0)+MATCH($D27,INDEX($D:$D,Control!$B$31):INDEX($D:$D,Control!$B$32),0)-1,
    1)</f>
        <v>-25.592970893997201</v>
      </c>
      <c r="AD27" s="258" cm="1">
        <f t="array" ref="AD27">INDEX(
    INDEX(AD:AD,Control!$B$29):INDEX(AD:AD,100000),
    MATCH($A$8,INDEX($A:$A,Control!$B$29):INDEX($A:$A,100000),0)+MATCH($D27,INDEX($D:$D,Control!$B$31):INDEX($D:$D,Control!$B$32),0)-1,
    1)</f>
        <v>-23.641873339215099</v>
      </c>
      <c r="AE27" s="258" cm="1">
        <f t="array" ref="AE27">INDEX(
    INDEX(AE:AE,Control!$B$29):INDEX(AE:AE,100000),
    MATCH($A$8,INDEX($A:$A,Control!$B$29):INDEX($A:$A,100000),0)+MATCH($D27,INDEX($D:$D,Control!$B$31):INDEX($D:$D,Control!$B$32),0)-1,
    1)</f>
        <v>-23.362576509381199</v>
      </c>
      <c r="AF27" s="258" cm="1">
        <f t="array" ref="AF27">INDEX(
    INDEX(AF:AF,Control!$B$29):INDEX(AF:AF,100000),
    MATCH($A$8,INDEX($A:$A,Control!$B$29):INDEX($A:$A,100000),0)+MATCH($D27,INDEX($D:$D,Control!$B$31):INDEX($D:$D,Control!$B$32),0)-1,
    1)</f>
        <v>-21.800499165908501</v>
      </c>
      <c r="AG27" s="258" cm="1">
        <f t="array" ref="AG27">INDEX(
    INDEX(AG:AG,Control!$B$29):INDEX(AG:AG,100000),
    MATCH($A$8,INDEX($A:$A,Control!$B$29):INDEX($A:$A,100000),0)+MATCH($D27,INDEX($D:$D,Control!$B$31):INDEX($D:$D,Control!$B$32),0)-1,
    1)</f>
        <v>-20.827071101308</v>
      </c>
      <c r="AH27" s="258" cm="1">
        <f t="array" ref="AH27">INDEX(
    INDEX(AH:AH,Control!$B$29):INDEX(AH:AH,100000),
    MATCH($A$8,INDEX($A:$A,Control!$B$29):INDEX($A:$A,100000),0)+MATCH($D27,INDEX($D:$D,Control!$B$31):INDEX($D:$D,Control!$B$32),0)-1,
    1)</f>
        <v>-20.861483061565099</v>
      </c>
      <c r="AI27" s="258" cm="1">
        <f t="array" ref="AI27">INDEX(
    INDEX(AI:AI,Control!$B$29):INDEX(AI:AI,100000),
    MATCH($A$8,INDEX($A:$A,Control!$B$29):INDEX($A:$A,100000),0)+MATCH($D27,INDEX($D:$D,Control!$B$31):INDEX($D:$D,Control!$B$32),0)-1,
    1)</f>
        <v>-19.629463845706699</v>
      </c>
      <c r="AJ27" s="258" cm="1">
        <f t="array" ref="AJ27">INDEX(
    INDEX(AJ:AJ,Control!$B$29):INDEX(AJ:AJ,100000),
    MATCH($A$8,INDEX($A:$A,Control!$B$29):INDEX($A:$A,100000),0)+MATCH($D27,INDEX($D:$D,Control!$B$31):INDEX($D:$D,Control!$B$32),0)-1,
    1)</f>
        <v>-18.496825618896899</v>
      </c>
      <c r="AK27" s="258" cm="1">
        <f t="array" ref="AK27">INDEX(
    INDEX(AK:AK,Control!$B$29):INDEX(AK:AK,100000),
    MATCH($A$8,INDEX($A:$A,Control!$B$29):INDEX($A:$A,100000),0)+MATCH($D27,INDEX($D:$D,Control!$B$31):INDEX($D:$D,Control!$B$32),0)-1,
    1)</f>
        <v>-20.249641751189799</v>
      </c>
      <c r="AL27" s="258" cm="1">
        <f t="array" ref="AL27">INDEX(
    INDEX(AL:AL,Control!$B$29):INDEX(AL:AL,100000),
    MATCH($A$8,INDEX($A:$A,Control!$B$29):INDEX($A:$A,100000),0)+MATCH($D27,INDEX($D:$D,Control!$B$31):INDEX($D:$D,Control!$B$32),0)-1,
    1)</f>
        <v>-17.9408227807663</v>
      </c>
      <c r="AM27" s="258" cm="1">
        <f t="array" ref="AM27">INDEX(
    INDEX(AM:AM,Control!$B$29):INDEX(AM:AM,100000),
    MATCH($A$8,INDEX($A:$A,Control!$B$29):INDEX($A:$A,100000),0)+MATCH($D27,INDEX($D:$D,Control!$B$31):INDEX($D:$D,Control!$B$32),0)-1,
    1)</f>
        <v>-16.224591555826201</v>
      </c>
      <c r="AN27" s="258" cm="1">
        <f t="array" ref="AN27">INDEX(
    INDEX(AN:AN,Control!$B$29):INDEX(AN:AN,100000),
    MATCH($A$8,INDEX($A:$A,Control!$B$29):INDEX($A:$A,100000),0)+MATCH($D27,INDEX($D:$D,Control!$B$31):INDEX($D:$D,Control!$B$32),0)-1,
    1)</f>
        <v>-16.150784482597199</v>
      </c>
      <c r="AO27" s="29"/>
      <c r="AP27" s="29"/>
      <c r="AQ27" s="29"/>
    </row>
    <row r="28" spans="1:43" x14ac:dyDescent="0.35">
      <c r="C28" s="292" t="s">
        <v>230</v>
      </c>
      <c r="D28" s="19" t="s">
        <v>220</v>
      </c>
      <c r="E28" s="19" t="s">
        <v>219</v>
      </c>
      <c r="F28" s="258" cm="1">
        <f t="array" ref="F28">INDEX(
    INDEX(F:F,Control!$B$29):INDEX(F:F,100000),
    MATCH($A$8,INDEX($A:$A,Control!$B$29):INDEX($A:$A,100000),0)+MATCH($D28,INDEX($D:$D,Control!$B$31):INDEX($D:$D,Control!$B$32),0)-1,
    1)</f>
        <v>0</v>
      </c>
      <c r="G28" s="258" cm="1">
        <f t="array" ref="G28">INDEX(
    INDEX(G:G,Control!$B$29):INDEX(G:G,100000),
    MATCH($A$8,INDEX($A:$A,Control!$B$29):INDEX($A:$A,100000),0)+MATCH($D28,INDEX($D:$D,Control!$B$31):INDEX($D:$D,Control!$B$32),0)-1,
    1)</f>
        <v>-29.020481531745698</v>
      </c>
      <c r="H28" s="258" cm="1">
        <f t="array" ref="H28">INDEX(
    INDEX(H:H,Control!$B$29):INDEX(H:H,100000),
    MATCH($A$8,INDEX($A:$A,Control!$B$29):INDEX($A:$A,100000),0)+MATCH($D28,INDEX($D:$D,Control!$B$31):INDEX($D:$D,Control!$B$32),0)-1,
    1)</f>
        <v>-28.0876917565806</v>
      </c>
      <c r="I28" s="258" cm="1">
        <f t="array" ref="I28">INDEX(
    INDEX(I:I,Control!$B$29):INDEX(I:I,100000),
    MATCH($A$8,INDEX($A:$A,Control!$B$29):INDEX($A:$A,100000),0)+MATCH($D28,INDEX($D:$D,Control!$B$31):INDEX($D:$D,Control!$B$32),0)-1,
    1)</f>
        <v>-25.9278868119941</v>
      </c>
      <c r="J28" s="258" cm="1">
        <f t="array" ref="J28">INDEX(
    INDEX(J:J,Control!$B$29):INDEX(J:J,100000),
    MATCH($A$8,INDEX($A:$A,Control!$B$29):INDEX($A:$A,100000),0)+MATCH($D28,INDEX($D:$D,Control!$B$31):INDEX($D:$D,Control!$B$32),0)-1,
    1)</f>
        <v>-22.131842257430499</v>
      </c>
      <c r="K28" s="258" cm="1">
        <f t="array" ref="K28">INDEX(
    INDEX(K:K,Control!$B$29):INDEX(K:K,100000),
    MATCH($A$8,INDEX($A:$A,Control!$B$29):INDEX($A:$A,100000),0)+MATCH($D28,INDEX($D:$D,Control!$B$31):INDEX($D:$D,Control!$B$32),0)-1,
    1)</f>
        <v>-24.0643861870102</v>
      </c>
      <c r="L28" s="258" cm="1">
        <f t="array" ref="L28">INDEX(
    INDEX(L:L,Control!$B$29):INDEX(L:L,100000),
    MATCH($A$8,INDEX($A:$A,Control!$B$29):INDEX($A:$A,100000),0)+MATCH($D28,INDEX($D:$D,Control!$B$31):INDEX($D:$D,Control!$B$32),0)-1,
    1)</f>
        <v>-21.553138390265801</v>
      </c>
      <c r="M28" s="258" cm="1">
        <f t="array" ref="M28">INDEX(
    INDEX(M:M,Control!$B$29):INDEX(M:M,100000),
    MATCH($A$8,INDEX($A:$A,Control!$B$29):INDEX($A:$A,100000),0)+MATCH($D28,INDEX($D:$D,Control!$B$31):INDEX($D:$D,Control!$B$32),0)-1,
    1)</f>
        <v>-24.294175342388101</v>
      </c>
      <c r="N28" s="258" cm="1">
        <f t="array" ref="N28">INDEX(
    INDEX(N:N,Control!$B$29):INDEX(N:N,100000),
    MATCH($A$8,INDEX($A:$A,Control!$B$29):INDEX($A:$A,100000),0)+MATCH($D28,INDEX($D:$D,Control!$B$31):INDEX($D:$D,Control!$B$32),0)-1,
    1)</f>
        <v>-22.4537204928527</v>
      </c>
      <c r="O28" s="258" cm="1">
        <f t="array" ref="O28">INDEX(
    INDEX(O:O,Control!$B$29):INDEX(O:O,100000),
    MATCH($A$8,INDEX($A:$A,Control!$B$29):INDEX($A:$A,100000),0)+MATCH($D28,INDEX($D:$D,Control!$B$31):INDEX($D:$D,Control!$B$32),0)-1,
    1)</f>
        <v>-23.027441207302601</v>
      </c>
      <c r="P28" s="258" cm="1">
        <f t="array" ref="P28">INDEX(
    INDEX(P:P,Control!$B$29):INDEX(P:P,100000),
    MATCH($A$8,INDEX($A:$A,Control!$B$29):INDEX($A:$A,100000),0)+MATCH($D28,INDEX($D:$D,Control!$B$31):INDEX($D:$D,Control!$B$32),0)-1,
    1)</f>
        <v>-23.520449473377901</v>
      </c>
      <c r="Q28" s="258" cm="1">
        <f t="array" ref="Q28">INDEX(
    INDEX(Q:Q,Control!$B$29):INDEX(Q:Q,100000),
    MATCH($A$8,INDEX($A:$A,Control!$B$29):INDEX($A:$A,100000),0)+MATCH($D28,INDEX($D:$D,Control!$B$31):INDEX($D:$D,Control!$B$32),0)-1,
    1)</f>
        <v>-22.303672227773099</v>
      </c>
      <c r="R28" s="258" cm="1">
        <f t="array" ref="R28">INDEX(
    INDEX(R:R,Control!$B$29):INDEX(R:R,100000),
    MATCH($A$8,INDEX($A:$A,Control!$B$29):INDEX($A:$A,100000),0)+MATCH($D28,INDEX($D:$D,Control!$B$31):INDEX($D:$D,Control!$B$32),0)-1,
    1)</f>
        <v>-22.768808268600601</v>
      </c>
      <c r="S28" s="258" cm="1">
        <f t="array" ref="S28">INDEX(
    INDEX(S:S,Control!$B$29):INDEX(S:S,100000),
    MATCH($A$8,INDEX($A:$A,Control!$B$29):INDEX($A:$A,100000),0)+MATCH($D28,INDEX($D:$D,Control!$B$31):INDEX($D:$D,Control!$B$32),0)-1,
    1)</f>
        <v>-21.6618693199426</v>
      </c>
      <c r="T28" s="258" cm="1">
        <f t="array" ref="T28">INDEX(
    INDEX(T:T,Control!$B$29):INDEX(T:T,100000),
    MATCH($A$8,INDEX($A:$A,Control!$B$29):INDEX($A:$A,100000),0)+MATCH($D28,INDEX($D:$D,Control!$B$31):INDEX($D:$D,Control!$B$32),0)-1,
    1)</f>
        <v>-21.465541460467499</v>
      </c>
      <c r="U28" s="258" cm="1">
        <f t="array" ref="U28">INDEX(
    INDEX(U:U,Control!$B$29):INDEX(U:U,100000),
    MATCH($A$8,INDEX($A:$A,Control!$B$29):INDEX($A:$A,100000),0)+MATCH($D28,INDEX($D:$D,Control!$B$31):INDEX($D:$D,Control!$B$32),0)-1,
    1)</f>
        <v>-19.635293194165602</v>
      </c>
      <c r="V28" s="258" cm="1">
        <f t="array" ref="V28">INDEX(
    INDEX(V:V,Control!$B$29):INDEX(V:V,100000),
    MATCH($A$8,INDEX($A:$A,Control!$B$29):INDEX($A:$A,100000),0)+MATCH($D28,INDEX($D:$D,Control!$B$31):INDEX($D:$D,Control!$B$32),0)-1,
    1)</f>
        <v>-18.0266124036051</v>
      </c>
      <c r="W28" s="258" cm="1">
        <f t="array" ref="W28">INDEX(
    INDEX(W:W,Control!$B$29):INDEX(W:W,100000),
    MATCH($A$8,INDEX($A:$A,Control!$B$29):INDEX($A:$A,100000),0)+MATCH($D28,INDEX($D:$D,Control!$B$31):INDEX($D:$D,Control!$B$32),0)-1,
    1)</f>
        <v>-18.958169449167901</v>
      </c>
      <c r="X28" s="258" cm="1">
        <f t="array" ref="X28">INDEX(
    INDEX(X:X,Control!$B$29):INDEX(X:X,100000),
    MATCH($A$8,INDEX($A:$A,Control!$B$29):INDEX($A:$A,100000),0)+MATCH($D28,INDEX($D:$D,Control!$B$31):INDEX($D:$D,Control!$B$32),0)-1,
    1)</f>
        <v>-30.174201524129</v>
      </c>
      <c r="Y28" s="258" cm="1">
        <f t="array" ref="Y28">INDEX(
    INDEX(Y:Y,Control!$B$29):INDEX(Y:Y,100000),
    MATCH($A$8,INDEX($A:$A,Control!$B$29):INDEX($A:$A,100000),0)+MATCH($D28,INDEX($D:$D,Control!$B$31):INDEX($D:$D,Control!$B$32),0)-1,
    1)</f>
        <v>-27.804237076053798</v>
      </c>
      <c r="Z28" s="258" cm="1">
        <f t="array" ref="Z28">INDEX(
    INDEX(Z:Z,Control!$B$29):INDEX(Z:Z,100000),
    MATCH($A$8,INDEX($A:$A,Control!$B$29):INDEX($A:$A,100000),0)+MATCH($D28,INDEX($D:$D,Control!$B$31):INDEX($D:$D,Control!$B$32),0)-1,
    1)</f>
        <v>-27.948487333257699</v>
      </c>
      <c r="AA28" s="258" cm="1">
        <f t="array" ref="AA28">INDEX(
    INDEX(AA:AA,Control!$B$29):INDEX(AA:AA,100000),
    MATCH($A$8,INDEX($A:$A,Control!$B$29):INDEX($A:$A,100000),0)+MATCH($D28,INDEX($D:$D,Control!$B$31):INDEX($D:$D,Control!$B$32),0)-1,
    1)</f>
        <v>-24.027738598491201</v>
      </c>
      <c r="AB28" s="258" cm="1">
        <f t="array" ref="AB28">INDEX(
    INDEX(AB:AB,Control!$B$29):INDEX(AB:AB,100000),
    MATCH($A$8,INDEX($A:$A,Control!$B$29):INDEX($A:$A,100000),0)+MATCH($D28,INDEX($D:$D,Control!$B$31):INDEX($D:$D,Control!$B$32),0)-1,
    1)</f>
        <v>-19.1007795491889</v>
      </c>
      <c r="AC28" s="258" cm="1">
        <f t="array" ref="AC28">INDEX(
    INDEX(AC:AC,Control!$B$29):INDEX(AC:AC,100000),
    MATCH($A$8,INDEX($A:$A,Control!$B$29):INDEX($A:$A,100000),0)+MATCH($D28,INDEX($D:$D,Control!$B$31):INDEX($D:$D,Control!$B$32),0)-1,
    1)</f>
        <v>-18.6439696566081</v>
      </c>
      <c r="AD28" s="258" cm="1">
        <f t="array" ref="AD28">INDEX(
    INDEX(AD:AD,Control!$B$29):INDEX(AD:AD,100000),
    MATCH($A$8,INDEX($A:$A,Control!$B$29):INDEX($A:$A,100000),0)+MATCH($D28,INDEX($D:$D,Control!$B$31):INDEX($D:$D,Control!$B$32),0)-1,
    1)</f>
        <v>-17.1364980557777</v>
      </c>
      <c r="AE28" s="258" cm="1">
        <f t="array" ref="AE28">INDEX(
    INDEX(AE:AE,Control!$B$29):INDEX(AE:AE,100000),
    MATCH($A$8,INDEX($A:$A,Control!$B$29):INDEX($A:$A,100000),0)+MATCH($D28,INDEX($D:$D,Control!$B$31):INDEX($D:$D,Control!$B$32),0)-1,
    1)</f>
        <v>-15.6005065243152</v>
      </c>
      <c r="AF28" s="258" cm="1">
        <f t="array" ref="AF28">INDEX(
    INDEX(AF:AF,Control!$B$29):INDEX(AF:AF,100000),
    MATCH($A$8,INDEX($A:$A,Control!$B$29):INDEX($A:$A,100000),0)+MATCH($D28,INDEX($D:$D,Control!$B$31):INDEX($D:$D,Control!$B$32),0)-1,
    1)</f>
        <v>-13.935088831460799</v>
      </c>
      <c r="AG28" s="258" cm="1">
        <f t="array" ref="AG28">INDEX(
    INDEX(AG:AG,Control!$B$29):INDEX(AG:AG,100000),
    MATCH($A$8,INDEX($A:$A,Control!$B$29):INDEX($A:$A,100000),0)+MATCH($D28,INDEX($D:$D,Control!$B$31):INDEX($D:$D,Control!$B$32),0)-1,
    1)</f>
        <v>-14.940703674917399</v>
      </c>
      <c r="AH28" s="258" cm="1">
        <f t="array" ref="AH28">INDEX(
    INDEX(AH:AH,Control!$B$29):INDEX(AH:AH,100000),
    MATCH($A$8,INDEX($A:$A,Control!$B$29):INDEX($A:$A,100000),0)+MATCH($D28,INDEX($D:$D,Control!$B$31):INDEX($D:$D,Control!$B$32),0)-1,
    1)</f>
        <v>-13.940260027674301</v>
      </c>
      <c r="AI28" s="258" cm="1">
        <f t="array" ref="AI28">INDEX(
    INDEX(AI:AI,Control!$B$29):INDEX(AI:AI,100000),
    MATCH($A$8,INDEX($A:$A,Control!$B$29):INDEX($A:$A,100000),0)+MATCH($D28,INDEX($D:$D,Control!$B$31):INDEX($D:$D,Control!$B$32),0)-1,
    1)</f>
        <v>-13.2733742064932</v>
      </c>
      <c r="AJ28" s="258" cm="1">
        <f t="array" ref="AJ28">INDEX(
    INDEX(AJ:AJ,Control!$B$29):INDEX(AJ:AJ,100000),
    MATCH($A$8,INDEX($A:$A,Control!$B$29):INDEX($A:$A,100000),0)+MATCH($D28,INDEX($D:$D,Control!$B$31):INDEX($D:$D,Control!$B$32),0)-1,
    1)</f>
        <v>-12.054538929264</v>
      </c>
      <c r="AK28" s="258" cm="1">
        <f t="array" ref="AK28">INDEX(
    INDEX(AK:AK,Control!$B$29):INDEX(AK:AK,100000),
    MATCH($A$8,INDEX($A:$A,Control!$B$29):INDEX($A:$A,100000),0)+MATCH($D28,INDEX($D:$D,Control!$B$31):INDEX($D:$D,Control!$B$32),0)-1,
    1)</f>
        <v>-12.428108233099101</v>
      </c>
      <c r="AL28" s="258" cm="1">
        <f t="array" ref="AL28">INDEX(
    INDEX(AL:AL,Control!$B$29):INDEX(AL:AL,100000),
    MATCH($A$8,INDEX($A:$A,Control!$B$29):INDEX($A:$A,100000),0)+MATCH($D28,INDEX($D:$D,Control!$B$31):INDEX($D:$D,Control!$B$32),0)-1,
    1)</f>
        <v>-13.963984849090201</v>
      </c>
      <c r="AM28" s="258" cm="1">
        <f t="array" ref="AM28">INDEX(
    INDEX(AM:AM,Control!$B$29):INDEX(AM:AM,100000),
    MATCH($A$8,INDEX($A:$A,Control!$B$29):INDEX($A:$A,100000),0)+MATCH($D28,INDEX($D:$D,Control!$B$31):INDEX($D:$D,Control!$B$32),0)-1,
    1)</f>
        <v>-15.1671602816243</v>
      </c>
      <c r="AN28" s="258" cm="1">
        <f t="array" ref="AN28">INDEX(
    INDEX(AN:AN,Control!$B$29):INDEX(AN:AN,100000),
    MATCH($A$8,INDEX($A:$A,Control!$B$29):INDEX($A:$A,100000),0)+MATCH($D28,INDEX($D:$D,Control!$B$31):INDEX($D:$D,Control!$B$32),0)-1,
    1)</f>
        <v>-14.245057645300401</v>
      </c>
    </row>
    <row r="29" spans="1:43" s="23" customFormat="1" x14ac:dyDescent="0.35">
      <c r="A29"/>
      <c r="B29"/>
      <c r="C29" s="292" t="s">
        <v>230</v>
      </c>
      <c r="D29" s="266" t="s">
        <v>346</v>
      </c>
      <c r="E29" s="19" t="s">
        <v>219</v>
      </c>
      <c r="F29" s="258" cm="1">
        <f t="array" ref="F29">INDEX(
    INDEX(F:F,Control!$B$29):INDEX(F:F,100000),
    MATCH($A$8,INDEX($A:$A,Control!$B$29):INDEX($A:$A,100000),0)+MATCH($D29,INDEX($D:$D,Control!$B$31):INDEX($D:$D,Control!$B$32),0)-1,
    1)</f>
        <v>0</v>
      </c>
      <c r="G29" s="258" cm="1">
        <f t="array" ref="G29">INDEX(
    INDEX(G:G,Control!$B$29):INDEX(G:G,100000),
    MATCH($A$8,INDEX($A:$A,Control!$B$29):INDEX($A:$A,100000),0)+MATCH($D29,INDEX($D:$D,Control!$B$31):INDEX($D:$D,Control!$B$32),0)-1,
    1)</f>
        <v>116.711130120402</v>
      </c>
      <c r="H29" s="258" cm="1">
        <f t="array" ref="H29">INDEX(
    INDEX(H:H,Control!$B$29):INDEX(H:H,100000),
    MATCH($A$8,INDEX($A:$A,Control!$B$29):INDEX($A:$A,100000),0)+MATCH($D29,INDEX($D:$D,Control!$B$31):INDEX($D:$D,Control!$B$32),0)-1,
    1)</f>
        <v>101.350953634251</v>
      </c>
      <c r="I29" s="258" cm="1">
        <f t="array" ref="I29">INDEX(
    INDEX(I:I,Control!$B$29):INDEX(I:I,100000),
    MATCH($A$8,INDEX($A:$A,Control!$B$29):INDEX($A:$A,100000),0)+MATCH($D29,INDEX($D:$D,Control!$B$31):INDEX($D:$D,Control!$B$32),0)-1,
    1)</f>
        <v>82.107856497150806</v>
      </c>
      <c r="J29" s="258" cm="1">
        <f t="array" ref="J29">INDEX(
    INDEX(J:J,Control!$B$29):INDEX(J:J,100000),
    MATCH($A$8,INDEX($A:$A,Control!$B$29):INDEX($A:$A,100000),0)+MATCH($D29,INDEX($D:$D,Control!$B$31):INDEX($D:$D,Control!$B$32),0)-1,
    1)</f>
        <v>67.264820526071603</v>
      </c>
      <c r="K29" s="258" cm="1">
        <f t="array" ref="K29">INDEX(
    INDEX(K:K,Control!$B$29):INDEX(K:K,100000),
    MATCH($A$8,INDEX($A:$A,Control!$B$29):INDEX($A:$A,100000),0)+MATCH($D29,INDEX($D:$D,Control!$B$31):INDEX($D:$D,Control!$B$32),0)-1,
    1)</f>
        <v>65.660318479926104</v>
      </c>
      <c r="L29" s="258" cm="1">
        <f t="array" ref="L29">INDEX(
    INDEX(L:L,Control!$B$29):INDEX(L:L,100000),
    MATCH($A$8,INDEX($A:$A,Control!$B$29):INDEX($A:$A,100000),0)+MATCH($D29,INDEX($D:$D,Control!$B$31):INDEX($D:$D,Control!$B$32),0)-1,
    1)</f>
        <v>71.418795433497294</v>
      </c>
      <c r="M29" s="258" cm="1">
        <f t="array" ref="M29">INDEX(
    INDEX(M:M,Control!$B$29):INDEX(M:M,100000),
    MATCH($A$8,INDEX($A:$A,Control!$B$29):INDEX($A:$A,100000),0)+MATCH($D29,INDEX($D:$D,Control!$B$31):INDEX($D:$D,Control!$B$32),0)-1,
    1)</f>
        <v>62.198207838421901</v>
      </c>
      <c r="N29" s="258" cm="1">
        <f t="array" ref="N29">INDEX(
    INDEX(N:N,Control!$B$29):INDEX(N:N,100000),
    MATCH($A$8,INDEX($A:$A,Control!$B$29):INDEX($A:$A,100000),0)+MATCH($D29,INDEX($D:$D,Control!$B$31):INDEX($D:$D,Control!$B$32),0)-1,
    1)</f>
        <v>57.986837876456903</v>
      </c>
      <c r="O29" s="258" cm="1">
        <f t="array" ref="O29">INDEX(
    INDEX(O:O,Control!$B$29):INDEX(O:O,100000),
    MATCH($A$8,INDEX($A:$A,Control!$B$29):INDEX($A:$A,100000),0)+MATCH($D29,INDEX($D:$D,Control!$B$31):INDEX($D:$D,Control!$B$32),0)-1,
    1)</f>
        <v>54.516244383790301</v>
      </c>
      <c r="P29" s="258" cm="1">
        <f t="array" ref="P29">INDEX(
    INDEX(P:P,Control!$B$29):INDEX(P:P,100000),
    MATCH($A$8,INDEX($A:$A,Control!$B$29):INDEX($A:$A,100000),0)+MATCH($D29,INDEX($D:$D,Control!$B$31):INDEX($D:$D,Control!$B$32),0)-1,
    1)</f>
        <v>48.999476454040597</v>
      </c>
      <c r="Q29" s="258" cm="1">
        <f t="array" ref="Q29">INDEX(
    INDEX(Q:Q,Control!$B$29):INDEX(Q:Q,100000),
    MATCH($A$8,INDEX($A:$A,Control!$B$29):INDEX($A:$A,100000),0)+MATCH($D29,INDEX($D:$D,Control!$B$31):INDEX($D:$D,Control!$B$32),0)-1,
    1)</f>
        <v>48.260946059865297</v>
      </c>
      <c r="R29" s="258" cm="1">
        <f t="array" ref="R29">INDEX(
    INDEX(R:R,Control!$B$29):INDEX(R:R,100000),
    MATCH($A$8,INDEX($A:$A,Control!$B$29):INDEX($A:$A,100000),0)+MATCH($D29,INDEX($D:$D,Control!$B$31):INDEX($D:$D,Control!$B$32),0)-1,
    1)</f>
        <v>44.0374890796801</v>
      </c>
      <c r="S29" s="258" cm="1">
        <f t="array" ref="S29">INDEX(
    INDEX(S:S,Control!$B$29):INDEX(S:S,100000),
    MATCH($A$8,INDEX($A:$A,Control!$B$29):INDEX($A:$A,100000),0)+MATCH($D29,INDEX($D:$D,Control!$B$31):INDEX($D:$D,Control!$B$32),0)-1,
    1)</f>
        <v>44.410880786877499</v>
      </c>
      <c r="T29" s="258" cm="1">
        <f t="array" ref="T29">INDEX(
    INDEX(T:T,Control!$B$29):INDEX(T:T,100000),
    MATCH($A$8,INDEX($A:$A,Control!$B$29):INDEX($A:$A,100000),0)+MATCH($D29,INDEX($D:$D,Control!$B$31):INDEX($D:$D,Control!$B$32),0)-1,
    1)</f>
        <v>44.753078167017399</v>
      </c>
      <c r="U29" s="258" cm="1">
        <f t="array" ref="U29">INDEX(
    INDEX(U:U,Control!$B$29):INDEX(U:U,100000),
    MATCH($A$8,INDEX($A:$A,Control!$B$29):INDEX($A:$A,100000),0)+MATCH($D29,INDEX($D:$D,Control!$B$31):INDEX($D:$D,Control!$B$32),0)-1,
    1)</f>
        <v>43.832406750655601</v>
      </c>
      <c r="V29" s="258" cm="1">
        <f t="array" ref="V29">INDEX(
    INDEX(V:V,Control!$B$29):INDEX(V:V,100000),
    MATCH($A$8,INDEX($A:$A,Control!$B$29):INDEX($A:$A,100000),0)+MATCH($D29,INDEX($D:$D,Control!$B$31):INDEX($D:$D,Control!$B$32),0)-1,
    1)</f>
        <v>42.420816440426002</v>
      </c>
      <c r="W29" s="258" cm="1">
        <f t="array" ref="W29">INDEX(
    INDEX(W:W,Control!$B$29):INDEX(W:W,100000),
    MATCH($A$8,INDEX($A:$A,Control!$B$29):INDEX($A:$A,100000),0)+MATCH($D29,INDEX($D:$D,Control!$B$31):INDEX($D:$D,Control!$B$32),0)-1,
    1)</f>
        <v>39.991461587353399</v>
      </c>
      <c r="X29" s="258" cm="1">
        <f t="array" ref="X29">INDEX(
    INDEX(X:X,Control!$B$29):INDEX(X:X,100000),
    MATCH($A$8,INDEX($A:$A,Control!$B$29):INDEX($A:$A,100000),0)+MATCH($D29,INDEX($D:$D,Control!$B$31):INDEX($D:$D,Control!$B$32),0)-1,
    1)</f>
        <v>60.889540003132403</v>
      </c>
      <c r="Y29" s="258" cm="1">
        <f t="array" ref="Y29">INDEX(
    INDEX(Y:Y,Control!$B$29):INDEX(Y:Y,100000),
    MATCH($A$8,INDEX($A:$A,Control!$B$29):INDEX($A:$A,100000),0)+MATCH($D29,INDEX($D:$D,Control!$B$31):INDEX($D:$D,Control!$B$32),0)-1,
    1)</f>
        <v>58.602502737971797</v>
      </c>
      <c r="Z29" s="258" cm="1">
        <f t="array" ref="Z29">INDEX(
    INDEX(Z:Z,Control!$B$29):INDEX(Z:Z,100000),
    MATCH($A$8,INDEX($A:$A,Control!$B$29):INDEX($A:$A,100000),0)+MATCH($D29,INDEX($D:$D,Control!$B$31):INDEX($D:$D,Control!$B$32),0)-1,
    1)</f>
        <v>58.257223533826</v>
      </c>
      <c r="AA29" s="258" cm="1">
        <f t="array" ref="AA29">INDEX(
    INDEX(AA:AA,Control!$B$29):INDEX(AA:AA,100000),
    MATCH($A$8,INDEX($A:$A,Control!$B$29):INDEX($A:$A,100000),0)+MATCH($D29,INDEX($D:$D,Control!$B$31):INDEX($D:$D,Control!$B$32),0)-1,
    1)</f>
        <v>56.982549784352102</v>
      </c>
      <c r="AB29" s="258" cm="1">
        <f t="array" ref="AB29">INDEX(
    INDEX(AB:AB,Control!$B$29):INDEX(AB:AB,100000),
    MATCH($A$8,INDEX($A:$A,Control!$B$29):INDEX($A:$A,100000),0)+MATCH($D29,INDEX($D:$D,Control!$B$31):INDEX($D:$D,Control!$B$32),0)-1,
    1)</f>
        <v>58.5993686796606</v>
      </c>
      <c r="AC29" s="258" cm="1">
        <f t="array" ref="AC29">INDEX(
    INDEX(AC:AC,Control!$B$29):INDEX(AC:AC,100000),
    MATCH($A$8,INDEX($A:$A,Control!$B$29):INDEX($A:$A,100000),0)+MATCH($D29,INDEX($D:$D,Control!$B$31):INDEX($D:$D,Control!$B$32),0)-1,
    1)</f>
        <v>56.412140724851</v>
      </c>
      <c r="AD29" s="258" cm="1">
        <f t="array" ref="AD29">INDEX(
    INDEX(AD:AD,Control!$B$29):INDEX(AD:AD,100000),
    MATCH($A$8,INDEX($A:$A,Control!$B$29):INDEX($A:$A,100000),0)+MATCH($D29,INDEX($D:$D,Control!$B$31):INDEX($D:$D,Control!$B$32),0)-1,
    1)</f>
        <v>55.935993692490101</v>
      </c>
      <c r="AE29" s="258" cm="1">
        <f t="array" ref="AE29">INDEX(
    INDEX(AE:AE,Control!$B$29):INDEX(AE:AE,100000),
    MATCH($A$8,INDEX($A:$A,Control!$B$29):INDEX($A:$A,100000),0)+MATCH($D29,INDEX($D:$D,Control!$B$31):INDEX($D:$D,Control!$B$32),0)-1,
    1)</f>
        <v>55.088418962806699</v>
      </c>
      <c r="AF29" s="258" cm="1">
        <f t="array" ref="AF29">INDEX(
    INDEX(AF:AF,Control!$B$29):INDEX(AF:AF,100000),
    MATCH($A$8,INDEX($A:$A,Control!$B$29):INDEX($A:$A,100000),0)+MATCH($D29,INDEX($D:$D,Control!$B$31):INDEX($D:$D,Control!$B$32),0)-1,
    1)</f>
        <v>54.386233198180399</v>
      </c>
      <c r="AG29" s="258" cm="1">
        <f t="array" ref="AG29">INDEX(
    INDEX(AG:AG,Control!$B$29):INDEX(AG:AG,100000),
    MATCH($A$8,INDEX($A:$A,Control!$B$29):INDEX($A:$A,100000),0)+MATCH($D29,INDEX($D:$D,Control!$B$31):INDEX($D:$D,Control!$B$32),0)-1,
    1)</f>
        <v>52.847243417600197</v>
      </c>
      <c r="AH29" s="258" cm="1">
        <f t="array" ref="AH29">INDEX(
    INDEX(AH:AH,Control!$B$29):INDEX(AH:AH,100000),
    MATCH($A$8,INDEX($A:$A,Control!$B$29):INDEX($A:$A,100000),0)+MATCH($D29,INDEX($D:$D,Control!$B$31):INDEX($D:$D,Control!$B$32),0)-1,
    1)</f>
        <v>51.075455785663401</v>
      </c>
      <c r="AI29" s="258" cm="1">
        <f t="array" ref="AI29">INDEX(
    INDEX(AI:AI,Control!$B$29):INDEX(AI:AI,100000),
    MATCH($A$8,INDEX($A:$A,Control!$B$29):INDEX($A:$A,100000),0)+MATCH($D29,INDEX($D:$D,Control!$B$31):INDEX($D:$D,Control!$B$32),0)-1,
    1)</f>
        <v>50.676772227894503</v>
      </c>
      <c r="AJ29" s="258" cm="1">
        <f t="array" ref="AJ29">INDEX(
    INDEX(AJ:AJ,Control!$B$29):INDEX(AJ:AJ,100000),
    MATCH($A$8,INDEX($A:$A,Control!$B$29):INDEX($A:$A,100000),0)+MATCH($D29,INDEX($D:$D,Control!$B$31):INDEX($D:$D,Control!$B$32),0)-1,
    1)</f>
        <v>51.054363573228898</v>
      </c>
      <c r="AK29" s="258" cm="1">
        <f t="array" ref="AK29">INDEX(
    INDEX(AK:AK,Control!$B$29):INDEX(AK:AK,100000),
    MATCH($A$8,INDEX($A:$A,Control!$B$29):INDEX($A:$A,100000),0)+MATCH($D29,INDEX($D:$D,Control!$B$31):INDEX($D:$D,Control!$B$32),0)-1,
    1)</f>
        <v>47.684018159076899</v>
      </c>
      <c r="AL29" s="258" cm="1">
        <f t="array" ref="AL29">INDEX(
    INDEX(AL:AL,Control!$B$29):INDEX(AL:AL,100000),
    MATCH($A$8,INDEX($A:$A,Control!$B$29):INDEX($A:$A,100000),0)+MATCH($D29,INDEX($D:$D,Control!$B$31):INDEX($D:$D,Control!$B$32),0)-1,
    1)</f>
        <v>46.701052110349302</v>
      </c>
      <c r="AM29" s="258" cm="1">
        <f t="array" ref="AM29">INDEX(
    INDEX(AM:AM,Control!$B$29):INDEX(AM:AM,100000),
    MATCH($A$8,INDEX($A:$A,Control!$B$29):INDEX($A:$A,100000),0)+MATCH($D29,INDEX($D:$D,Control!$B$31):INDEX($D:$D,Control!$B$32),0)-1,
    1)</f>
        <v>45.652229049642202</v>
      </c>
      <c r="AN29" s="258" cm="1">
        <f t="array" ref="AN29">INDEX(
    INDEX(AN:AN,Control!$B$29):INDEX(AN:AN,100000),
    MATCH($A$8,INDEX($A:$A,Control!$B$29):INDEX($A:$A,100000),0)+MATCH($D29,INDEX($D:$D,Control!$B$31):INDEX($D:$D,Control!$B$32),0)-1,
    1)</f>
        <v>43.354410623890999</v>
      </c>
      <c r="AO29" s="28"/>
      <c r="AP29" s="28"/>
      <c r="AQ29" s="28"/>
    </row>
    <row r="30" spans="1:43" x14ac:dyDescent="0.35">
      <c r="C30" s="292" t="s">
        <v>230</v>
      </c>
      <c r="D30" s="267" t="s">
        <v>347</v>
      </c>
      <c r="E30" s="19" t="s">
        <v>219</v>
      </c>
      <c r="F30" s="258" cm="1">
        <f t="array" ref="F30">INDEX(
    INDEX(F:F,Control!$B$29):INDEX(F:F,100000),
    MATCH($A$8,INDEX($A:$A,Control!$B$29):INDEX($A:$A,100000),0)+MATCH($D30,INDEX($D:$D,Control!$B$31):INDEX($D:$D,Control!$B$32),0)-1,
    1)</f>
        <v>0</v>
      </c>
      <c r="G30" s="258" cm="1">
        <f t="array" ref="G30">INDEX(
    INDEX(G:G,Control!$B$29):INDEX(G:G,100000),
    MATCH($A$8,INDEX($A:$A,Control!$B$29):INDEX($A:$A,100000),0)+MATCH($D30,INDEX($D:$D,Control!$B$31):INDEX($D:$D,Control!$B$32),0)-1,
    1)</f>
        <v>15.015022644337201</v>
      </c>
      <c r="H30" s="258" cm="1">
        <f t="array" ref="H30">INDEX(
    INDEX(H:H,Control!$B$29):INDEX(H:H,100000),
    MATCH($A$8,INDEX($A:$A,Control!$B$29):INDEX($A:$A,100000),0)+MATCH($D30,INDEX($D:$D,Control!$B$31):INDEX($D:$D,Control!$B$32),0)-1,
    1)</f>
        <v>14.857703363975499</v>
      </c>
      <c r="I30" s="258" cm="1">
        <f t="array" ref="I30">INDEX(
    INDEX(I:I,Control!$B$29):INDEX(I:I,100000),
    MATCH($A$8,INDEX($A:$A,Control!$B$29):INDEX($A:$A,100000),0)+MATCH($D30,INDEX($D:$D,Control!$B$31):INDEX($D:$D,Control!$B$32),0)-1,
    1)</f>
        <v>10.071035211544</v>
      </c>
      <c r="J30" s="258" cm="1">
        <f t="array" ref="J30">INDEX(
    INDEX(J:J,Control!$B$29):INDEX(J:J,100000),
    MATCH($A$8,INDEX($A:$A,Control!$B$29):INDEX($A:$A,100000),0)+MATCH($D30,INDEX($D:$D,Control!$B$31):INDEX($D:$D,Control!$B$32),0)-1,
    1)</f>
        <v>10.248861680121999</v>
      </c>
      <c r="K30" s="258" cm="1">
        <f t="array" ref="K30">INDEX(
    INDEX(K:K,Control!$B$29):INDEX(K:K,100000),
    MATCH($A$8,INDEX($A:$A,Control!$B$29):INDEX($A:$A,100000),0)+MATCH($D30,INDEX($D:$D,Control!$B$31):INDEX($D:$D,Control!$B$32),0)-1,
    1)</f>
        <v>8.3225440797205792</v>
      </c>
      <c r="L30" s="258" cm="1">
        <f t="array" ref="L30">INDEX(
    INDEX(L:L,Control!$B$29):INDEX(L:L,100000),
    MATCH($A$8,INDEX($A:$A,Control!$B$29):INDEX($A:$A,100000),0)+MATCH($D30,INDEX($D:$D,Control!$B$31):INDEX($D:$D,Control!$B$32),0)-1,
    1)</f>
        <v>8.4307004320403998</v>
      </c>
      <c r="M30" s="258" cm="1">
        <f t="array" ref="M30">INDEX(
    INDEX(M:M,Control!$B$29):INDEX(M:M,100000),
    MATCH($A$8,INDEX($A:$A,Control!$B$29):INDEX($A:$A,100000),0)+MATCH($D30,INDEX($D:$D,Control!$B$31):INDEX($D:$D,Control!$B$32),0)-1,
    1)</f>
        <v>8.8642138245078606</v>
      </c>
      <c r="N30" s="258" cm="1">
        <f t="array" ref="N30">INDEX(
    INDEX(N:N,Control!$B$29):INDEX(N:N,100000),
    MATCH($A$8,INDEX($A:$A,Control!$B$29):INDEX($A:$A,100000),0)+MATCH($D30,INDEX($D:$D,Control!$B$31):INDEX($D:$D,Control!$B$32),0)-1,
    1)</f>
        <v>8.9845616636582903</v>
      </c>
      <c r="O30" s="258" cm="1">
        <f t="array" ref="O30">INDEX(
    INDEX(O:O,Control!$B$29):INDEX(O:O,100000),
    MATCH($A$8,INDEX($A:$A,Control!$B$29):INDEX($A:$A,100000),0)+MATCH($D30,INDEX($D:$D,Control!$B$31):INDEX($D:$D,Control!$B$32),0)-1,
    1)</f>
        <v>10.5455734273052</v>
      </c>
      <c r="P30" s="258" cm="1">
        <f t="array" ref="P30">INDEX(
    INDEX(P:P,Control!$B$29):INDEX(P:P,100000),
    MATCH($A$8,INDEX($A:$A,Control!$B$29):INDEX($A:$A,100000),0)+MATCH($D30,INDEX($D:$D,Control!$B$31):INDEX($D:$D,Control!$B$32),0)-1,
    1)</f>
        <v>10.2666735781907</v>
      </c>
      <c r="Q30" s="258" cm="1">
        <f t="array" ref="Q30">INDEX(
    INDEX(Q:Q,Control!$B$29):INDEX(Q:Q,100000),
    MATCH($A$8,INDEX($A:$A,Control!$B$29):INDEX($A:$A,100000),0)+MATCH($D30,INDEX($D:$D,Control!$B$31):INDEX($D:$D,Control!$B$32),0)-1,
    1)</f>
        <v>10.420054391941299</v>
      </c>
      <c r="R30" s="258" cm="1">
        <f t="array" ref="R30">INDEX(
    INDEX(R:R,Control!$B$29):INDEX(R:R,100000),
    MATCH($A$8,INDEX($A:$A,Control!$B$29):INDEX($A:$A,100000),0)+MATCH($D30,INDEX($D:$D,Control!$B$31):INDEX($D:$D,Control!$B$32),0)-1,
    1)</f>
        <v>10.7981367397445</v>
      </c>
      <c r="S30" s="258" cm="1">
        <f t="array" ref="S30">INDEX(
    INDEX(S:S,Control!$B$29):INDEX(S:S,100000),
    MATCH($A$8,INDEX($A:$A,Control!$B$29):INDEX($A:$A,100000),0)+MATCH($D30,INDEX($D:$D,Control!$B$31):INDEX($D:$D,Control!$B$32),0)-1,
    1)</f>
        <v>10.9622046923363</v>
      </c>
      <c r="T30" s="258" cm="1">
        <f t="array" ref="T30">INDEX(
    INDEX(T:T,Control!$B$29):INDEX(T:T,100000),
    MATCH($A$8,INDEX($A:$A,Control!$B$29):INDEX($A:$A,100000),0)+MATCH($D30,INDEX($D:$D,Control!$B$31):INDEX($D:$D,Control!$B$32),0)-1,
    1)</f>
        <v>10.615515161950301</v>
      </c>
      <c r="U30" s="258" cm="1">
        <f t="array" ref="U30">INDEX(
    INDEX(U:U,Control!$B$29):INDEX(U:U,100000),
    MATCH($A$8,INDEX($A:$A,Control!$B$29):INDEX($A:$A,100000),0)+MATCH($D30,INDEX($D:$D,Control!$B$31):INDEX($D:$D,Control!$B$32),0)-1,
    1)</f>
        <v>10.383511272032599</v>
      </c>
      <c r="V30" s="258" cm="1">
        <f t="array" ref="V30">INDEX(
    INDEX(V:V,Control!$B$29):INDEX(V:V,100000),
    MATCH($A$8,INDEX($A:$A,Control!$B$29):INDEX($A:$A,100000),0)+MATCH($D30,INDEX($D:$D,Control!$B$31):INDEX($D:$D,Control!$B$32),0)-1,
    1)</f>
        <v>10.635343304199299</v>
      </c>
      <c r="W30" s="258" cm="1">
        <f t="array" ref="W30">INDEX(
    INDEX(W:W,Control!$B$29):INDEX(W:W,100000),
    MATCH($A$8,INDEX($A:$A,Control!$B$29):INDEX($A:$A,100000),0)+MATCH($D30,INDEX($D:$D,Control!$B$31):INDEX($D:$D,Control!$B$32),0)-1,
    1)</f>
        <v>10.2504182624166</v>
      </c>
      <c r="X30" s="258" cm="1">
        <f t="array" ref="X30">INDEX(
    INDEX(X:X,Control!$B$29):INDEX(X:X,100000),
    MATCH($A$8,INDEX($A:$A,Control!$B$29):INDEX($A:$A,100000),0)+MATCH($D30,INDEX($D:$D,Control!$B$31):INDEX($D:$D,Control!$B$32),0)-1,
    1)</f>
        <v>11.153141971516201</v>
      </c>
      <c r="Y30" s="258" cm="1">
        <f t="array" ref="Y30">INDEX(
    INDEX(Y:Y,Control!$B$29):INDEX(Y:Y,100000),
    MATCH($A$8,INDEX($A:$A,Control!$B$29):INDEX($A:$A,100000),0)+MATCH($D30,INDEX($D:$D,Control!$B$31):INDEX($D:$D,Control!$B$32),0)-1,
    1)</f>
        <v>11.5765114619164</v>
      </c>
      <c r="Z30" s="258" cm="1">
        <f t="array" ref="Z30">INDEX(
    INDEX(Z:Z,Control!$B$29):INDEX(Z:Z,100000),
    MATCH($A$8,INDEX($A:$A,Control!$B$29):INDEX($A:$A,100000),0)+MATCH($D30,INDEX($D:$D,Control!$B$31):INDEX($D:$D,Control!$B$32),0)-1,
    1)</f>
        <v>12.114159165204301</v>
      </c>
      <c r="AA30" s="258" cm="1">
        <f t="array" ref="AA30">INDEX(
    INDEX(AA:AA,Control!$B$29):INDEX(AA:AA,100000),
    MATCH($A$8,INDEX($A:$A,Control!$B$29):INDEX($A:$A,100000),0)+MATCH($D30,INDEX($D:$D,Control!$B$31):INDEX($D:$D,Control!$B$32),0)-1,
    1)</f>
        <v>12.5942446641763</v>
      </c>
      <c r="AB30" s="258" cm="1">
        <f t="array" ref="AB30">INDEX(
    INDEX(AB:AB,Control!$B$29):INDEX(AB:AB,100000),
    MATCH($A$8,INDEX($A:$A,Control!$B$29):INDEX($A:$A,100000),0)+MATCH($D30,INDEX($D:$D,Control!$B$31):INDEX($D:$D,Control!$B$32),0)-1,
    1)</f>
        <v>12.467879433068299</v>
      </c>
      <c r="AC30" s="258" cm="1">
        <f t="array" ref="AC30">INDEX(
    INDEX(AC:AC,Control!$B$29):INDEX(AC:AC,100000),
    MATCH($A$8,INDEX($A:$A,Control!$B$29):INDEX($A:$A,100000),0)+MATCH($D30,INDEX($D:$D,Control!$B$31):INDEX($D:$D,Control!$B$32),0)-1,
    1)</f>
        <v>12.349882137651299</v>
      </c>
      <c r="AD30" s="258" cm="1">
        <f t="array" ref="AD30">INDEX(
    INDEX(AD:AD,Control!$B$29):INDEX(AD:AD,100000),
    MATCH($A$8,INDEX($A:$A,Control!$B$29):INDEX($A:$A,100000),0)+MATCH($D30,INDEX($D:$D,Control!$B$31):INDEX($D:$D,Control!$B$32),0)-1,
    1)</f>
        <v>11.8732649965437</v>
      </c>
      <c r="AE30" s="258" cm="1">
        <f t="array" ref="AE30">INDEX(
    INDEX(AE:AE,Control!$B$29):INDEX(AE:AE,100000),
    MATCH($A$8,INDEX($A:$A,Control!$B$29):INDEX($A:$A,100000),0)+MATCH($D30,INDEX($D:$D,Control!$B$31):INDEX($D:$D,Control!$B$32),0)-1,
    1)</f>
        <v>11.9477824563232</v>
      </c>
      <c r="AF30" s="258" cm="1">
        <f t="array" ref="AF30">INDEX(
    INDEX(AF:AF,Control!$B$29):INDEX(AF:AF,100000),
    MATCH($A$8,INDEX($A:$A,Control!$B$29):INDEX($A:$A,100000),0)+MATCH($D30,INDEX($D:$D,Control!$B$31):INDEX($D:$D,Control!$B$32),0)-1,
    1)</f>
        <v>11.9134227303713</v>
      </c>
      <c r="AG30" s="258" cm="1">
        <f t="array" ref="AG30">INDEX(
    INDEX(AG:AG,Control!$B$29):INDEX(AG:AG,100000),
    MATCH($A$8,INDEX($A:$A,Control!$B$29):INDEX($A:$A,100000),0)+MATCH($D30,INDEX($D:$D,Control!$B$31):INDEX($D:$D,Control!$B$32),0)-1,
    1)</f>
        <v>11.862734560618</v>
      </c>
      <c r="AH30" s="258" cm="1">
        <f t="array" ref="AH30">INDEX(
    INDEX(AH:AH,Control!$B$29):INDEX(AH:AH,100000),
    MATCH($A$8,INDEX($A:$A,Control!$B$29):INDEX($A:$A,100000),0)+MATCH($D30,INDEX($D:$D,Control!$B$31):INDEX($D:$D,Control!$B$32),0)-1,
    1)</f>
        <v>11.6287353202421</v>
      </c>
      <c r="AI30" s="258" cm="1">
        <f t="array" ref="AI30">INDEX(
    INDEX(AI:AI,Control!$B$29):INDEX(AI:AI,100000),
    MATCH($A$8,INDEX($A:$A,Control!$B$29):INDEX($A:$A,100000),0)+MATCH($D30,INDEX($D:$D,Control!$B$31):INDEX($D:$D,Control!$B$32),0)-1,
    1)</f>
        <v>11.5423397794631</v>
      </c>
      <c r="AJ30" s="258" cm="1">
        <f t="array" ref="AJ30">INDEX(
    INDEX(AJ:AJ,Control!$B$29):INDEX(AJ:AJ,100000),
    MATCH($A$8,INDEX($A:$A,Control!$B$29):INDEX($A:$A,100000),0)+MATCH($D30,INDEX($D:$D,Control!$B$31):INDEX($D:$D,Control!$B$32),0)-1,
    1)</f>
        <v>11.673656822702799</v>
      </c>
      <c r="AK30" s="258" cm="1">
        <f t="array" ref="AK30">INDEX(
    INDEX(AK:AK,Control!$B$29):INDEX(AK:AK,100000),
    MATCH($A$8,INDEX($A:$A,Control!$B$29):INDEX($A:$A,100000),0)+MATCH($D30,INDEX($D:$D,Control!$B$31):INDEX($D:$D,Control!$B$32),0)-1,
    1)</f>
        <v>11.5514912297319</v>
      </c>
      <c r="AL30" s="258" cm="1">
        <f t="array" ref="AL30">INDEX(
    INDEX(AL:AL,Control!$B$29):INDEX(AL:AL,100000),
    MATCH($A$8,INDEX($A:$A,Control!$B$29):INDEX($A:$A,100000),0)+MATCH($D30,INDEX($D:$D,Control!$B$31):INDEX($D:$D,Control!$B$32),0)-1,
    1)</f>
        <v>11.6115502338357</v>
      </c>
      <c r="AM30" s="258" cm="1">
        <f t="array" ref="AM30">INDEX(
    INDEX(AM:AM,Control!$B$29):INDEX(AM:AM,100000),
    MATCH($A$8,INDEX($A:$A,Control!$B$29):INDEX($A:$A,100000),0)+MATCH($D30,INDEX($D:$D,Control!$B$31):INDEX($D:$D,Control!$B$32),0)-1,
    1)</f>
        <v>11.7244076736223</v>
      </c>
      <c r="AN30" s="258" cm="1">
        <f t="array" ref="AN30">INDEX(
    INDEX(AN:AN,Control!$B$29):INDEX(AN:AN,100000),
    MATCH($A$8,INDEX($A:$A,Control!$B$29):INDEX($A:$A,100000),0)+MATCH($D30,INDEX($D:$D,Control!$B$31):INDEX($D:$D,Control!$B$32),0)-1,
    1)</f>
        <v>11.458869359774599</v>
      </c>
    </row>
    <row r="31" spans="1:43" x14ac:dyDescent="0.35">
      <c r="C31" s="292" t="s">
        <v>230</v>
      </c>
      <c r="D31" s="267" t="s">
        <v>348</v>
      </c>
      <c r="E31" s="19" t="s">
        <v>219</v>
      </c>
      <c r="F31" s="258" cm="1">
        <f t="array" ref="F31">INDEX(
    INDEX(F:F,Control!$B$29):INDEX(F:F,100000),
    MATCH($A$8,INDEX($A:$A,Control!$B$29):INDEX($A:$A,100000),0)+MATCH($D31,INDEX($D:$D,Control!$B$31):INDEX($D:$D,Control!$B$32),0)-1,
    1)</f>
        <v>0</v>
      </c>
      <c r="G31" s="258" cm="1">
        <f t="array" ref="G31">INDEX(
    INDEX(G:G,Control!$B$29):INDEX(G:G,100000),
    MATCH($A$8,INDEX($A:$A,Control!$B$29):INDEX($A:$A,100000),0)+MATCH($D31,INDEX($D:$D,Control!$B$31):INDEX($D:$D,Control!$B$32),0)-1,
    1)</f>
        <v>29.458215456072299</v>
      </c>
      <c r="H31" s="258" cm="1">
        <f t="array" ref="H31">INDEX(
    INDEX(H:H,Control!$B$29):INDEX(H:H,100000),
    MATCH($A$8,INDEX($A:$A,Control!$B$29):INDEX($A:$A,100000),0)+MATCH($D31,INDEX($D:$D,Control!$B$31):INDEX($D:$D,Control!$B$32),0)-1,
    1)</f>
        <v>18.7389316234378</v>
      </c>
      <c r="I31" s="258" cm="1">
        <f t="array" ref="I31">INDEX(
    INDEX(I:I,Control!$B$29):INDEX(I:I,100000),
    MATCH($A$8,INDEX($A:$A,Control!$B$29):INDEX($A:$A,100000),0)+MATCH($D31,INDEX($D:$D,Control!$B$31):INDEX($D:$D,Control!$B$32),0)-1,
    1)</f>
        <v>11.27694772167</v>
      </c>
      <c r="J31" s="258" cm="1">
        <f t="array" ref="J31">INDEX(
    INDEX(J:J,Control!$B$29):INDEX(J:J,100000),
    MATCH($A$8,INDEX($A:$A,Control!$B$29):INDEX($A:$A,100000),0)+MATCH($D31,INDEX($D:$D,Control!$B$31):INDEX($D:$D,Control!$B$32),0)-1,
    1)</f>
        <v>10.3912001617561</v>
      </c>
      <c r="K31" s="258" cm="1">
        <f t="array" ref="K31">INDEX(
    INDEX(K:K,Control!$B$29):INDEX(K:K,100000),
    MATCH($A$8,INDEX($A:$A,Control!$B$29):INDEX($A:$A,100000),0)+MATCH($D31,INDEX($D:$D,Control!$B$31):INDEX($D:$D,Control!$B$32),0)-1,
    1)</f>
        <v>10.6412562275464</v>
      </c>
      <c r="L31" s="258" cm="1">
        <f t="array" ref="L31">INDEX(
    INDEX(L:L,Control!$B$29):INDEX(L:L,100000),
    MATCH($A$8,INDEX($A:$A,Control!$B$29):INDEX($A:$A,100000),0)+MATCH($D31,INDEX($D:$D,Control!$B$31):INDEX($D:$D,Control!$B$32),0)-1,
    1)</f>
        <v>10.6656914355128</v>
      </c>
      <c r="M31" s="258" cm="1">
        <f t="array" ref="M31">INDEX(
    INDEX(M:M,Control!$B$29):INDEX(M:M,100000),
    MATCH($A$8,INDEX($A:$A,Control!$B$29):INDEX($A:$A,100000),0)+MATCH($D31,INDEX($D:$D,Control!$B$31):INDEX($D:$D,Control!$B$32),0)-1,
    1)</f>
        <v>9.1687816111911502</v>
      </c>
      <c r="N31" s="258" cm="1">
        <f t="array" ref="N31">INDEX(
    INDEX(N:N,Control!$B$29):INDEX(N:N,100000),
    MATCH($A$8,INDEX($A:$A,Control!$B$29):INDEX($A:$A,100000),0)+MATCH($D31,INDEX($D:$D,Control!$B$31):INDEX($D:$D,Control!$B$32),0)-1,
    1)</f>
        <v>8.9888553235446391</v>
      </c>
      <c r="O31" s="258" cm="1">
        <f t="array" ref="O31">INDEX(
    INDEX(O:O,Control!$B$29):INDEX(O:O,100000),
    MATCH($A$8,INDEX($A:$A,Control!$B$29):INDEX($A:$A,100000),0)+MATCH($D31,INDEX($D:$D,Control!$B$31):INDEX($D:$D,Control!$B$32),0)-1,
    1)</f>
        <v>9.8592877851777505</v>
      </c>
      <c r="P31" s="258" cm="1">
        <f t="array" ref="P31">INDEX(
    INDEX(P:P,Control!$B$29):INDEX(P:P,100000),
    MATCH($A$8,INDEX($A:$A,Control!$B$29):INDEX($A:$A,100000),0)+MATCH($D31,INDEX($D:$D,Control!$B$31):INDEX($D:$D,Control!$B$32),0)-1,
    1)</f>
        <v>9.0491023711471197</v>
      </c>
      <c r="Q31" s="258" cm="1">
        <f t="array" ref="Q31">INDEX(
    INDEX(Q:Q,Control!$B$29):INDEX(Q:Q,100000),
    MATCH($A$8,INDEX($A:$A,Control!$B$29):INDEX($A:$A,100000),0)+MATCH($D31,INDEX($D:$D,Control!$B$31):INDEX($D:$D,Control!$B$32),0)-1,
    1)</f>
        <v>8.8192296408809803</v>
      </c>
      <c r="R31" s="258" cm="1">
        <f t="array" ref="R31">INDEX(
    INDEX(R:R,Control!$B$29):INDEX(R:R,100000),
    MATCH($A$8,INDEX($A:$A,Control!$B$29):INDEX($A:$A,100000),0)+MATCH($D31,INDEX($D:$D,Control!$B$31):INDEX($D:$D,Control!$B$32),0)-1,
    1)</f>
        <v>8.9623202965097395</v>
      </c>
      <c r="S31" s="258" cm="1">
        <f t="array" ref="S31">INDEX(
    INDEX(S:S,Control!$B$29):INDEX(S:S,100000),
    MATCH($A$8,INDEX($A:$A,Control!$B$29):INDEX($A:$A,100000),0)+MATCH($D31,INDEX($D:$D,Control!$B$31):INDEX($D:$D,Control!$B$32),0)-1,
    1)</f>
        <v>8.9202089996681302</v>
      </c>
      <c r="T31" s="258" cm="1">
        <f t="array" ref="T31">INDEX(
    INDEX(T:T,Control!$B$29):INDEX(T:T,100000),
    MATCH($A$8,INDEX($A:$A,Control!$B$29):INDEX($A:$A,100000),0)+MATCH($D31,INDEX($D:$D,Control!$B$31):INDEX($D:$D,Control!$B$32),0)-1,
    1)</f>
        <v>8.7534248632066305</v>
      </c>
      <c r="U31" s="258" cm="1">
        <f t="array" ref="U31">INDEX(
    INDEX(U:U,Control!$B$29):INDEX(U:U,100000),
    MATCH($A$8,INDEX($A:$A,Control!$B$29):INDEX($A:$A,100000),0)+MATCH($D31,INDEX($D:$D,Control!$B$31):INDEX($D:$D,Control!$B$32),0)-1,
    1)</f>
        <v>8.3912948722074692</v>
      </c>
      <c r="V31" s="258" cm="1">
        <f t="array" ref="V31">INDEX(
    INDEX(V:V,Control!$B$29):INDEX(V:V,100000),
    MATCH($A$8,INDEX($A:$A,Control!$B$29):INDEX($A:$A,100000),0)+MATCH($D31,INDEX($D:$D,Control!$B$31):INDEX($D:$D,Control!$B$32),0)-1,
    1)</f>
        <v>8.5008928913504498</v>
      </c>
      <c r="W31" s="258" cm="1">
        <f t="array" ref="W31">INDEX(
    INDEX(W:W,Control!$B$29):INDEX(W:W,100000),
    MATCH($A$8,INDEX($A:$A,Control!$B$29):INDEX($A:$A,100000),0)+MATCH($D31,INDEX($D:$D,Control!$B$31):INDEX($D:$D,Control!$B$32),0)-1,
    1)</f>
        <v>8.3392068230751804</v>
      </c>
      <c r="X31" s="258" cm="1">
        <f t="array" ref="X31">INDEX(
    INDEX(X:X,Control!$B$29):INDEX(X:X,100000),
    MATCH($A$8,INDEX($A:$A,Control!$B$29):INDEX($A:$A,100000),0)+MATCH($D31,INDEX($D:$D,Control!$B$31):INDEX($D:$D,Control!$B$32),0)-1,
    1)</f>
        <v>7.6305126640225298</v>
      </c>
      <c r="Y31" s="258" cm="1">
        <f t="array" ref="Y31">INDEX(
    INDEX(Y:Y,Control!$B$29):INDEX(Y:Y,100000),
    MATCH($A$8,INDEX($A:$A,Control!$B$29):INDEX($A:$A,100000),0)+MATCH($D31,INDEX($D:$D,Control!$B$31):INDEX($D:$D,Control!$B$32),0)-1,
    1)</f>
        <v>7.7399121928058001</v>
      </c>
      <c r="Z31" s="258" cm="1">
        <f t="array" ref="Z31">INDEX(
    INDEX(Z:Z,Control!$B$29):INDEX(Z:Z,100000),
    MATCH($A$8,INDEX($A:$A,Control!$B$29):INDEX($A:$A,100000),0)+MATCH($D31,INDEX($D:$D,Control!$B$31):INDEX($D:$D,Control!$B$32),0)-1,
    1)</f>
        <v>7.9179580454655802</v>
      </c>
      <c r="AA31" s="258" cm="1">
        <f t="array" ref="AA31">INDEX(
    INDEX(AA:AA,Control!$B$29):INDEX(AA:AA,100000),
    MATCH($A$8,INDEX($A:$A,Control!$B$29):INDEX($A:$A,100000),0)+MATCH($D31,INDEX($D:$D,Control!$B$31):INDEX($D:$D,Control!$B$32),0)-1,
    1)</f>
        <v>7.8139386501165502</v>
      </c>
      <c r="AB31" s="258" cm="1">
        <f t="array" ref="AB31">INDEX(
    INDEX(AB:AB,Control!$B$29):INDEX(AB:AB,100000),
    MATCH($A$8,INDEX($A:$A,Control!$B$29):INDEX($A:$A,100000),0)+MATCH($D31,INDEX($D:$D,Control!$B$31):INDEX($D:$D,Control!$B$32),0)-1,
    1)</f>
        <v>7.63229907725992</v>
      </c>
      <c r="AC31" s="258" cm="1">
        <f t="array" ref="AC31">INDEX(
    INDEX(AC:AC,Control!$B$29):INDEX(AC:AC,100000),
    MATCH($A$8,INDEX($A:$A,Control!$B$29):INDEX($A:$A,100000),0)+MATCH($D31,INDEX($D:$D,Control!$B$31):INDEX($D:$D,Control!$B$32),0)-1,
    1)</f>
        <v>7.59809605422359</v>
      </c>
      <c r="AD31" s="258" cm="1">
        <f t="array" ref="AD31">INDEX(
    INDEX(AD:AD,Control!$B$29):INDEX(AD:AD,100000),
    MATCH($A$8,INDEX($A:$A,Control!$B$29):INDEX($A:$A,100000),0)+MATCH($D31,INDEX($D:$D,Control!$B$31):INDEX($D:$D,Control!$B$32),0)-1,
    1)</f>
        <v>7.4173131239720203</v>
      </c>
      <c r="AE31" s="258" cm="1">
        <f t="array" ref="AE31">INDEX(
    INDEX(AE:AE,Control!$B$29):INDEX(AE:AE,100000),
    MATCH($A$8,INDEX($A:$A,Control!$B$29):INDEX($A:$A,100000),0)+MATCH($D31,INDEX($D:$D,Control!$B$31):INDEX($D:$D,Control!$B$32),0)-1,
    1)</f>
        <v>7.4579618602683997</v>
      </c>
      <c r="AF31" s="258" cm="1">
        <f t="array" ref="AF31">INDEX(
    INDEX(AF:AF,Control!$B$29):INDEX(AF:AF,100000),
    MATCH($A$8,INDEX($A:$A,Control!$B$29):INDEX($A:$A,100000),0)+MATCH($D31,INDEX($D:$D,Control!$B$31):INDEX($D:$D,Control!$B$32),0)-1,
    1)</f>
        <v>7.3113506124700498</v>
      </c>
      <c r="AG31" s="258" cm="1">
        <f t="array" ref="AG31">INDEX(
    INDEX(AG:AG,Control!$B$29):INDEX(AG:AG,100000),
    MATCH($A$8,INDEX($A:$A,Control!$B$29):INDEX($A:$A,100000),0)+MATCH($D31,INDEX($D:$D,Control!$B$31):INDEX($D:$D,Control!$B$32),0)-1,
    1)</f>
        <v>7.4022069629119898</v>
      </c>
      <c r="AH31" s="258" cm="1">
        <f t="array" ref="AH31">INDEX(
    INDEX(AH:AH,Control!$B$29):INDEX(AH:AH,100000),
    MATCH($A$8,INDEX($A:$A,Control!$B$29):INDEX($A:$A,100000),0)+MATCH($D31,INDEX($D:$D,Control!$B$31):INDEX($D:$D,Control!$B$32),0)-1,
    1)</f>
        <v>7.3138265185359002</v>
      </c>
      <c r="AI31" s="258" cm="1">
        <f t="array" ref="AI31">INDEX(
    INDEX(AI:AI,Control!$B$29):INDEX(AI:AI,100000),
    MATCH($A$8,INDEX($A:$A,Control!$B$29):INDEX($A:$A,100000),0)+MATCH($D31,INDEX($D:$D,Control!$B$31):INDEX($D:$D,Control!$B$32),0)-1,
    1)</f>
        <v>7.18510029683351</v>
      </c>
      <c r="AJ31" s="258" cm="1">
        <f t="array" ref="AJ31">INDEX(
    INDEX(AJ:AJ,Control!$B$29):INDEX(AJ:AJ,100000),
    MATCH($A$8,INDEX($A:$A,Control!$B$29):INDEX($A:$A,100000),0)+MATCH($D31,INDEX($D:$D,Control!$B$31):INDEX($D:$D,Control!$B$32),0)-1,
    1)</f>
        <v>7.0564889906025297</v>
      </c>
      <c r="AK31" s="258" cm="1">
        <f t="array" ref="AK31">INDEX(
    INDEX(AK:AK,Control!$B$29):INDEX(AK:AK,100000),
    MATCH($A$8,INDEX($A:$A,Control!$B$29):INDEX($A:$A,100000),0)+MATCH($D31,INDEX($D:$D,Control!$B$31):INDEX($D:$D,Control!$B$32),0)-1,
    1)</f>
        <v>6.9860875940717397</v>
      </c>
      <c r="AL31" s="258" cm="1">
        <f t="array" ref="AL31">INDEX(
    INDEX(AL:AL,Control!$B$29):INDEX(AL:AL,100000),
    MATCH($A$8,INDEX($A:$A,Control!$B$29):INDEX($A:$A,100000),0)+MATCH($D31,INDEX($D:$D,Control!$B$31):INDEX($D:$D,Control!$B$32),0)-1,
    1)</f>
        <v>6.7485468678041798</v>
      </c>
      <c r="AM31" s="258" cm="1">
        <f t="array" ref="AM31">INDEX(
    INDEX(AM:AM,Control!$B$29):INDEX(AM:AM,100000),
    MATCH($A$8,INDEX($A:$A,Control!$B$29):INDEX($A:$A,100000),0)+MATCH($D31,INDEX($D:$D,Control!$B$31):INDEX($D:$D,Control!$B$32),0)-1,
    1)</f>
        <v>6.8520543669623697</v>
      </c>
      <c r="AN31" s="258" cm="1">
        <f t="array" ref="AN31">INDEX(
    INDEX(AN:AN,Control!$B$29):INDEX(AN:AN,100000),
    MATCH($A$8,INDEX($A:$A,Control!$B$29):INDEX($A:$A,100000),0)+MATCH($D31,INDEX($D:$D,Control!$B$31):INDEX($D:$D,Control!$B$32),0)-1,
    1)</f>
        <v>7.25441521981642</v>
      </c>
    </row>
    <row r="32" spans="1:43" x14ac:dyDescent="0.35">
      <c r="C32" s="292" t="s">
        <v>230</v>
      </c>
      <c r="D32" s="267" t="s">
        <v>349</v>
      </c>
      <c r="E32" s="19" t="s">
        <v>219</v>
      </c>
      <c r="F32" s="258" cm="1">
        <f t="array" ref="F32">INDEX(
    INDEX(F:F,Control!$B$29):INDEX(F:F,100000),
    MATCH($A$8,INDEX($A:$A,Control!$B$29):INDEX($A:$A,100000),0)+MATCH($D32,INDEX($D:$D,Control!$B$31):INDEX($D:$D,Control!$B$32),0)-1,
    1)</f>
        <v>0</v>
      </c>
      <c r="G32" s="258" cm="1">
        <f t="array" ref="G32">INDEX(
    INDEX(G:G,Control!$B$29):INDEX(G:G,100000),
    MATCH($A$8,INDEX($A:$A,Control!$B$29):INDEX($A:$A,100000),0)+MATCH($D32,INDEX($D:$D,Control!$B$31):INDEX($D:$D,Control!$B$32),0)-1,
    1)</f>
        <v>7.1438560894579997</v>
      </c>
      <c r="H32" s="258" cm="1">
        <f t="array" ref="H32">INDEX(
    INDEX(H:H,Control!$B$29):INDEX(H:H,100000),
    MATCH($A$8,INDEX($A:$A,Control!$B$29):INDEX($A:$A,100000),0)+MATCH($D32,INDEX($D:$D,Control!$B$31):INDEX($D:$D,Control!$B$32),0)-1,
    1)</f>
        <v>6.7748416170352197</v>
      </c>
      <c r="I32" s="258" cm="1">
        <f t="array" ref="I32">INDEX(
    INDEX(I:I,Control!$B$29):INDEX(I:I,100000),
    MATCH($A$8,INDEX($A:$A,Control!$B$29):INDEX($A:$A,100000),0)+MATCH($D32,INDEX($D:$D,Control!$B$31):INDEX($D:$D,Control!$B$32),0)-1,
    1)</f>
        <v>6.4680590958120101</v>
      </c>
      <c r="J32" s="258" cm="1">
        <f t="array" ref="J32">INDEX(
    INDEX(J:J,Control!$B$29):INDEX(J:J,100000),
    MATCH($A$8,INDEX($A:$A,Control!$B$29):INDEX($A:$A,100000),0)+MATCH($D32,INDEX($D:$D,Control!$B$31):INDEX($D:$D,Control!$B$32),0)-1,
    1)</f>
        <v>6.3106980280062102</v>
      </c>
      <c r="K32" s="258" cm="1">
        <f t="array" ref="K32">INDEX(
    INDEX(K:K,Control!$B$29):INDEX(K:K,100000),
    MATCH($A$8,INDEX($A:$A,Control!$B$29):INDEX($A:$A,100000),0)+MATCH($D32,INDEX($D:$D,Control!$B$31):INDEX($D:$D,Control!$B$32),0)-1,
    1)</f>
        <v>6.1465882879702702</v>
      </c>
      <c r="L32" s="258" cm="1">
        <f t="array" ref="L32">INDEX(
    INDEX(L:L,Control!$B$29):INDEX(L:L,100000),
    MATCH($A$8,INDEX($A:$A,Control!$B$29):INDEX($A:$A,100000),0)+MATCH($D32,INDEX($D:$D,Control!$B$31):INDEX($D:$D,Control!$B$32),0)-1,
    1)</f>
        <v>6.1341774170578898</v>
      </c>
      <c r="M32" s="258" cm="1">
        <f t="array" ref="M32">INDEX(
    INDEX(M:M,Control!$B$29):INDEX(M:M,100000),
    MATCH($A$8,INDEX($A:$A,Control!$B$29):INDEX($A:$A,100000),0)+MATCH($D32,INDEX($D:$D,Control!$B$31):INDEX($D:$D,Control!$B$32),0)-1,
    1)</f>
        <v>5.6373560467040003</v>
      </c>
      <c r="N32" s="258" cm="1">
        <f t="array" ref="N32">INDEX(
    INDEX(N:N,Control!$B$29):INDEX(N:N,100000),
    MATCH($A$8,INDEX($A:$A,Control!$B$29):INDEX($A:$A,100000),0)+MATCH($D32,INDEX($D:$D,Control!$B$31):INDEX($D:$D,Control!$B$32),0)-1,
    1)</f>
        <v>5.2722591471702298</v>
      </c>
      <c r="O32" s="258" cm="1">
        <f t="array" ref="O32">INDEX(
    INDEX(O:O,Control!$B$29):INDEX(O:O,100000),
    MATCH($A$8,INDEX($A:$A,Control!$B$29):INDEX($A:$A,100000),0)+MATCH($D32,INDEX($D:$D,Control!$B$31):INDEX($D:$D,Control!$B$32),0)-1,
    1)</f>
        <v>6.0343994472900304</v>
      </c>
      <c r="P32" s="258" cm="1">
        <f t="array" ref="P32">INDEX(
    INDEX(P:P,Control!$B$29):INDEX(P:P,100000),
    MATCH($A$8,INDEX($A:$A,Control!$B$29):INDEX($A:$A,100000),0)+MATCH($D32,INDEX($D:$D,Control!$B$31):INDEX($D:$D,Control!$B$32),0)-1,
    1)</f>
        <v>5.8941921253075797</v>
      </c>
      <c r="Q32" s="258" cm="1">
        <f t="array" ref="Q32">INDEX(
    INDEX(Q:Q,Control!$B$29):INDEX(Q:Q,100000),
    MATCH($A$8,INDEX($A:$A,Control!$B$29):INDEX($A:$A,100000),0)+MATCH($D32,INDEX($D:$D,Control!$B$31):INDEX($D:$D,Control!$B$32),0)-1,
    1)</f>
        <v>5.6074780241371398</v>
      </c>
      <c r="R32" s="258" cm="1">
        <f t="array" ref="R32">INDEX(
    INDEX(R:R,Control!$B$29):INDEX(R:R,100000),
    MATCH($A$8,INDEX($A:$A,Control!$B$29):INDEX($A:$A,100000),0)+MATCH($D32,INDEX($D:$D,Control!$B$31):INDEX($D:$D,Control!$B$32),0)-1,
    1)</f>
        <v>5.9732121821941897</v>
      </c>
      <c r="S32" s="258" cm="1">
        <f t="array" ref="S32">INDEX(
    INDEX(S:S,Control!$B$29):INDEX(S:S,100000),
    MATCH($A$8,INDEX($A:$A,Control!$B$29):INDEX($A:$A,100000),0)+MATCH($D32,INDEX($D:$D,Control!$B$31):INDEX($D:$D,Control!$B$32),0)-1,
    1)</f>
        <v>6.0426524675095497</v>
      </c>
      <c r="T32" s="258" cm="1">
        <f t="array" ref="T32">INDEX(
    INDEX(T:T,Control!$B$29):INDEX(T:T,100000),
    MATCH($A$8,INDEX($A:$A,Control!$B$29):INDEX($A:$A,100000),0)+MATCH($D32,INDEX($D:$D,Control!$B$31):INDEX($D:$D,Control!$B$32),0)-1,
    1)</f>
        <v>6.0831236071682904</v>
      </c>
      <c r="U32" s="258" cm="1">
        <f t="array" ref="U32">INDEX(
    INDEX(U:U,Control!$B$29):INDEX(U:U,100000),
    MATCH($A$8,INDEX($A:$A,Control!$B$29):INDEX($A:$A,100000),0)+MATCH($D32,INDEX($D:$D,Control!$B$31):INDEX($D:$D,Control!$B$32),0)-1,
    1)</f>
        <v>6.0170158705238599</v>
      </c>
      <c r="V32" s="258" cm="1">
        <f t="array" ref="V32">INDEX(
    INDEX(V:V,Control!$B$29):INDEX(V:V,100000),
    MATCH($A$8,INDEX($A:$A,Control!$B$29):INDEX($A:$A,100000),0)+MATCH($D32,INDEX($D:$D,Control!$B$31):INDEX($D:$D,Control!$B$32),0)-1,
    1)</f>
        <v>6.3082221219403598</v>
      </c>
      <c r="W32" s="258" cm="1">
        <f t="array" ref="W32">INDEX(
    INDEX(W:W,Control!$B$29):INDEX(W:W,100000),
    MATCH($A$8,INDEX($A:$A,Control!$B$29):INDEX($A:$A,100000),0)+MATCH($D32,INDEX($D:$D,Control!$B$31):INDEX($D:$D,Control!$B$32),0)-1,
    1)</f>
        <v>6.1855550796396397</v>
      </c>
      <c r="X32" s="258" cm="1">
        <f t="array" ref="X32">INDEX(
    INDEX(X:X,Control!$B$29):INDEX(X:X,100000),
    MATCH($A$8,INDEX($A:$A,Control!$B$29):INDEX($A:$A,100000),0)+MATCH($D32,INDEX($D:$D,Control!$B$31):INDEX($D:$D,Control!$B$32),0)-1,
    1)</f>
        <v>5.9334514290859897</v>
      </c>
      <c r="Y32" s="258" cm="1">
        <f t="array" ref="Y32">INDEX(
    INDEX(Y:Y,Control!$B$29):INDEX(Y:Y,100000),
    MATCH($A$8,INDEX($A:$A,Control!$B$29):INDEX($A:$A,100000),0)+MATCH($D32,INDEX($D:$D,Control!$B$31):INDEX($D:$D,Control!$B$32),0)-1,
    1)</f>
        <v>5.56319378019976</v>
      </c>
      <c r="Z32" s="258" cm="1">
        <f t="array" ref="Z32">INDEX(
    INDEX(Z:Z,Control!$B$29):INDEX(Z:Z,100000),
    MATCH($A$8,INDEX($A:$A,Control!$B$29):INDEX($A:$A,100000),0)+MATCH($D32,INDEX($D:$D,Control!$B$31):INDEX($D:$D,Control!$B$32),0)-1,
    1)</f>
        <v>6.1501506675840103</v>
      </c>
      <c r="AA32" s="258" cm="1">
        <f t="array" ref="AA32">INDEX(
    INDEX(AA:AA,Control!$B$29):INDEX(AA:AA,100000),
    MATCH($A$8,INDEX($A:$A,Control!$B$29):INDEX($A:$A,100000),0)+MATCH($D32,INDEX($D:$D,Control!$B$31):INDEX($D:$D,Control!$B$32),0)-1,
    1)</f>
        <v>6.3022465174269797</v>
      </c>
      <c r="AB32" s="258" cm="1">
        <f t="array" ref="AB32">INDEX(
    INDEX(AB:AB,Control!$B$29):INDEX(AB:AB,100000),
    MATCH($A$8,INDEX($A:$A,Control!$B$29):INDEX($A:$A,100000),0)+MATCH($D32,INDEX($D:$D,Control!$B$31):INDEX($D:$D,Control!$B$32),0)-1,
    1)</f>
        <v>6.3891539543968099</v>
      </c>
      <c r="AC32" s="258" cm="1">
        <f t="array" ref="AC32">INDEX(
    INDEX(AC:AC,Control!$B$29):INDEX(AC:AC,100000),
    MATCH($A$8,INDEX($A:$A,Control!$B$29):INDEX($A:$A,100000),0)+MATCH($D32,INDEX($D:$D,Control!$B$31):INDEX($D:$D,Control!$B$32),0)-1,
    1)</f>
        <v>6.37276282942919</v>
      </c>
      <c r="AD32" s="258" cm="1">
        <f t="array" ref="AD32">INDEX(
    INDEX(AD:AD,Control!$B$29):INDEX(AD:AD,100000),
    MATCH($A$8,INDEX($A:$A,Control!$B$29):INDEX($A:$A,100000),0)+MATCH($D32,INDEX($D:$D,Control!$B$31):INDEX($D:$D,Control!$B$32),0)-1,
    1)</f>
        <v>6.5045499814155203</v>
      </c>
      <c r="AE32" s="258" cm="1">
        <f t="array" ref="AE32">INDEX(
    INDEX(AE:AE,Control!$B$29):INDEX(AE:AE,100000),
    MATCH($A$8,INDEX($A:$A,Control!$B$29):INDEX($A:$A,100000),0)+MATCH($D32,INDEX($D:$D,Control!$B$31):INDEX($D:$D,Control!$B$32),0)-1,
    1)</f>
        <v>6.6592993339619797</v>
      </c>
      <c r="AF32" s="258" cm="1">
        <f t="array" ref="AF32">INDEX(
    INDEX(AF:AF,Control!$B$29):INDEX(AF:AF,100000),
    MATCH($A$8,INDEX($A:$A,Control!$B$29):INDEX($A:$A,100000),0)+MATCH($D32,INDEX($D:$D,Control!$B$31):INDEX($D:$D,Control!$B$32),0)-1,
    1)</f>
        <v>6.6764635266463701</v>
      </c>
      <c r="AG32" s="258" cm="1">
        <f t="array" ref="AG32">INDEX(
    INDEX(AG:AG,Control!$B$29):INDEX(AG:AG,100000),
    MATCH($A$8,INDEX($A:$A,Control!$B$29):INDEX($A:$A,100000),0)+MATCH($D32,INDEX($D:$D,Control!$B$31):INDEX($D:$D,Control!$B$32),0)-1,
    1)</f>
        <v>6.6299123138638798</v>
      </c>
      <c r="AH32" s="258" cm="1">
        <f t="array" ref="AH32">INDEX(
    INDEX(AH:AH,Control!$B$29):INDEX(AH:AH,100000),
    MATCH($A$8,INDEX($A:$A,Control!$B$29):INDEX($A:$A,100000),0)+MATCH($D32,INDEX($D:$D,Control!$B$31):INDEX($D:$D,Control!$B$32),0)-1,
    1)</f>
        <v>6.5078198489202199</v>
      </c>
      <c r="AI32" s="258" cm="1">
        <f t="array" ref="AI32">INDEX(
    INDEX(AI:AI,Control!$B$29):INDEX(AI:AI,100000),
    MATCH($A$8,INDEX($A:$A,Control!$B$29):INDEX($A:$A,100000),0)+MATCH($D32,INDEX($D:$D,Control!$B$31):INDEX($D:$D,Control!$B$32),0)-1,
    1)</f>
        <v>6.4401346362591401</v>
      </c>
      <c r="AJ32" s="258" cm="1">
        <f t="array" ref="AJ32">INDEX(
    INDEX(AJ:AJ,Control!$B$29):INDEX(AJ:AJ,100000),
    MATCH($A$8,INDEX($A:$A,Control!$B$29):INDEX($A:$A,100000),0)+MATCH($D32,INDEX($D:$D,Control!$B$31):INDEX($D:$D,Control!$B$32),0)-1,
    1)</f>
        <v>6.3105935593958398</v>
      </c>
      <c r="AK32" s="258" cm="1">
        <f t="array" ref="AK32">INDEX(
    INDEX(AK:AK,Control!$B$29):INDEX(AK:AK,100000),
    MATCH($A$8,INDEX($A:$A,Control!$B$29):INDEX($A:$A,100000),0)+MATCH($D32,INDEX($D:$D,Control!$B$31):INDEX($D:$D,Control!$B$32),0)-1,
    1)</f>
        <v>6.2165718100595697</v>
      </c>
      <c r="AL32" s="258" cm="1">
        <f t="array" ref="AL32">INDEX(
    INDEX(AL:AL,Control!$B$29):INDEX(AL:AL,100000),
    MATCH($A$8,INDEX($A:$A,Control!$B$29):INDEX($A:$A,100000),0)+MATCH($D32,INDEX($D:$D,Control!$B$31):INDEX($D:$D,Control!$B$32),0)-1,
    1)</f>
        <v>6.3308291292252097</v>
      </c>
      <c r="AM32" s="258" cm="1">
        <f t="array" ref="AM32">INDEX(
    INDEX(AM:AM,Control!$B$29):INDEX(AM:AM,100000),
    MATCH($A$8,INDEX($A:$A,Control!$B$29):INDEX($A:$A,100000),0)+MATCH($D32,INDEX($D:$D,Control!$B$31):INDEX($D:$D,Control!$B$32),0)-1,
    1)</f>
        <v>6.4531200845285799</v>
      </c>
      <c r="AN32" s="258" cm="1">
        <f t="array" ref="AN32">INDEX(
    INDEX(AN:AN,Control!$B$29):INDEX(AN:AN,100000),
    MATCH($A$8,INDEX($A:$A,Control!$B$29):INDEX($A:$A,100000),0)+MATCH($D32,INDEX($D:$D,Control!$B$31):INDEX($D:$D,Control!$B$32),0)-1,
    1)</f>
        <v>6.3095279795700296</v>
      </c>
    </row>
    <row r="33" spans="3:40" x14ac:dyDescent="0.35">
      <c r="C33" s="292" t="s">
        <v>230</v>
      </c>
      <c r="D33" s="266" t="s">
        <v>350</v>
      </c>
      <c r="E33" s="19" t="s">
        <v>219</v>
      </c>
      <c r="F33" s="24" cm="1">
        <f t="array" ref="F33">INDEX(
    INDEX(F:F,Control!$B$29):INDEX(F:F,100000),
    MATCH($A$8,INDEX($A:$A,Control!$B$29):INDEX($A:$A,100000),0)+MATCH($D33,INDEX($D:$D,Control!$B$31):INDEX($D:$D,Control!$B$32),0)-1,
    1)</f>
        <v>0</v>
      </c>
      <c r="G33" s="24" cm="1">
        <f t="array" ref="G33">INDEX(
    INDEX(G:G,Control!$B$29):INDEX(G:G,100000),
    MATCH($A$8,INDEX($A:$A,Control!$B$29):INDEX($A:$A,100000),0)+MATCH($D33,INDEX($D:$D,Control!$B$31):INDEX($D:$D,Control!$B$32),0)-1,
    1)</f>
        <v>51.617626979780397</v>
      </c>
      <c r="H33" s="24" cm="1">
        <f t="array" ref="H33">INDEX(
    INDEX(H:H,Control!$B$29):INDEX(H:H,100000),
    MATCH($A$8,INDEX($A:$A,Control!$B$29):INDEX($A:$A,100000),0)+MATCH($D33,INDEX($D:$D,Control!$B$31):INDEX($D:$D,Control!$B$32),0)-1,
    1)</f>
        <v>40.376344841692003</v>
      </c>
      <c r="I33" s="258" cm="1">
        <f t="array" ref="I33">INDEX(
    INDEX(I:I,Control!$B$29):INDEX(I:I,100000),
    MATCH($A$8,INDEX($A:$A,Control!$B$29):INDEX($A:$A,100000),0)+MATCH($D33,INDEX($D:$D,Control!$B$31):INDEX($D:$D,Control!$B$32),0)-1,
    1)</f>
        <v>27.816324094274101</v>
      </c>
      <c r="J33" s="258" cm="1">
        <f t="array" ref="J33">INDEX(
    INDEX(J:J,Control!$B$29):INDEX(J:J,100000),
    MATCH($A$8,INDEX($A:$A,Control!$B$29):INDEX($A:$A,100000),0)+MATCH($D33,INDEX($D:$D,Control!$B$31):INDEX($D:$D,Control!$B$32),0)-1,
    1)</f>
        <v>26.948325751262701</v>
      </c>
      <c r="K33" s="258" cm="1">
        <f t="array" ref="K33">INDEX(
    INDEX(K:K,Control!$B$29):INDEX(K:K,100000),
    MATCH($A$8,INDEX($A:$A,Control!$B$29):INDEX($A:$A,100000),0)+MATCH($D33,INDEX($D:$D,Control!$B$31):INDEX($D:$D,Control!$B$32),0)-1,
    1)</f>
        <v>25.109563293215299</v>
      </c>
      <c r="L33" s="258" cm="1">
        <f t="array" ref="L33">INDEX(
    INDEX(L:L,Control!$B$29):INDEX(L:L,100000),
    MATCH($A$8,INDEX($A:$A,Control!$B$29):INDEX($A:$A,100000),0)+MATCH($D33,INDEX($D:$D,Control!$B$31):INDEX($D:$D,Control!$B$32),0)-1,
    1)</f>
        <v>25.2280933785452</v>
      </c>
      <c r="M33" s="258" cm="1">
        <f t="array" ref="M33">INDEX(
    INDEX(M:M,Control!$B$29):INDEX(M:M,100000),
    MATCH($A$8,INDEX($A:$A,Control!$B$29):INDEX($A:$A,100000),0)+MATCH($D33,INDEX($D:$D,Control!$B$31):INDEX($D:$D,Control!$B$32),0)-1,
    1)</f>
        <v>23.674739164038701</v>
      </c>
      <c r="N33" s="258" cm="1">
        <f t="array" ref="N33">INDEX(
    INDEX(N:N,Control!$B$29):INDEX(N:N,100000),
    MATCH($A$8,INDEX($A:$A,Control!$B$29):INDEX($A:$A,100000),0)+MATCH($D33,INDEX($D:$D,Control!$B$31):INDEX($D:$D,Control!$B$32),0)-1,
    1)</f>
        <v>23.250774202559398</v>
      </c>
      <c r="O33" s="258" cm="1">
        <f t="array" ref="O33">INDEX(
    INDEX(O:O,Control!$B$29):INDEX(O:O,100000),
    MATCH($A$8,INDEX($A:$A,Control!$B$29):INDEX($A:$A,100000),0)+MATCH($D33,INDEX($D:$D,Control!$B$31):INDEX($D:$D,Control!$B$32),0)-1,
    1)</f>
        <v>26.442739464498398</v>
      </c>
      <c r="P33" s="258" cm="1">
        <f t="array" ref="P33">INDEX(
    INDEX(P:P,Control!$B$29):INDEX(P:P,100000),
    MATCH($A$8,INDEX($A:$A,Control!$B$29):INDEX($A:$A,100000),0)+MATCH($D33,INDEX($D:$D,Control!$B$31):INDEX($D:$D,Control!$B$32),0)-1,
    1)</f>
        <v>25.214293075114899</v>
      </c>
      <c r="Q33" s="258" cm="1">
        <f t="array" ref="Q33">INDEX(
    INDEX(Q:Q,Control!$B$29):INDEX(Q:Q,100000),
    MATCH($A$8,INDEX($A:$A,Control!$B$29):INDEX($A:$A,100000),0)+MATCH($D33,INDEX($D:$D,Control!$B$31):INDEX($D:$D,Control!$B$32),0)-1,
    1)</f>
        <v>24.8435235300378</v>
      </c>
      <c r="R33" s="258" cm="1">
        <f t="array" ref="R33">INDEX(
    INDEX(R:R,Control!$B$29):INDEX(R:R,100000),
    MATCH($A$8,INDEX($A:$A,Control!$B$29):INDEX($A:$A,100000),0)+MATCH($D33,INDEX($D:$D,Control!$B$31):INDEX($D:$D,Control!$B$32),0)-1,
    1)</f>
        <v>25.7333871532004</v>
      </c>
      <c r="S33" s="258" cm="1">
        <f t="array" ref="S33">INDEX(
    INDEX(S:S,Control!$B$29):INDEX(S:S,100000),
    MATCH($A$8,INDEX($A:$A,Control!$B$29):INDEX($A:$A,100000),0)+MATCH($D33,INDEX($D:$D,Control!$B$31):INDEX($D:$D,Control!$B$32),0)-1,
    1)</f>
        <v>25.9231021496389</v>
      </c>
      <c r="T33" s="258" cm="1">
        <f t="array" ref="T33">INDEX(
    INDEX(T:T,Control!$B$29):INDEX(T:T,100000),
    MATCH($A$8,INDEX($A:$A,Control!$B$29):INDEX($A:$A,100000),0)+MATCH($D33,INDEX($D:$D,Control!$B$31):INDEX($D:$D,Control!$B$32),0)-1,
    1)</f>
        <v>25.448668402488099</v>
      </c>
      <c r="U33" s="258" cm="1">
        <f t="array" ref="U33">INDEX(
    INDEX(U:U,Control!$B$29):INDEX(U:U,100000),
    MATCH($A$8,INDEX($A:$A,Control!$B$29):INDEX($A:$A,100000),0)+MATCH($D33,INDEX($D:$D,Control!$B$31):INDEX($D:$D,Control!$B$32),0)-1,
    1)</f>
        <v>24.792699551091101</v>
      </c>
      <c r="V33" s="258" cm="1">
        <f t="array" ref="V33">INDEX(
    INDEX(V:V,Control!$B$29):INDEX(V:V,100000),
    MATCH($A$8,INDEX($A:$A,Control!$B$29):INDEX($A:$A,100000),0)+MATCH($D33,INDEX($D:$D,Control!$B$31):INDEX($D:$D,Control!$B$32),0)-1,
    1)</f>
        <v>25.450287665948899</v>
      </c>
      <c r="W33" s="258" cm="1">
        <f t="array" ref="W33">INDEX(
    INDEX(W:W,Control!$B$29):INDEX(W:W,100000),
    MATCH($A$8,INDEX($A:$A,Control!$B$29):INDEX($A:$A,100000),0)+MATCH($D33,INDEX($D:$D,Control!$B$31):INDEX($D:$D,Control!$B$32),0)-1,
    1)</f>
        <v>24.776486022761102</v>
      </c>
      <c r="X33" s="258" cm="1">
        <f t="array" ref="X33">INDEX(
    INDEX(X:X,Control!$B$29):INDEX(X:X,100000),
    MATCH($A$8,INDEX($A:$A,Control!$B$29):INDEX($A:$A,100000),0)+MATCH($D33,INDEX($D:$D,Control!$B$31):INDEX($D:$D,Control!$B$32),0)-1,
    1)</f>
        <v>24.7190178401945</v>
      </c>
      <c r="Y33" s="258" cm="1">
        <f t="array" ref="Y33">INDEX(
    INDEX(Y:Y,Control!$B$29):INDEX(Y:Y,100000),
    MATCH($A$8,INDEX($A:$A,Control!$B$29):INDEX($A:$A,100000),0)+MATCH($D33,INDEX($D:$D,Control!$B$31):INDEX($D:$D,Control!$B$32),0)-1,
    1)</f>
        <v>24.883827519920001</v>
      </c>
      <c r="Z33" s="258" cm="1">
        <f t="array" ref="Z33">INDEX(
    INDEX(Z:Z,Control!$B$29):INDEX(Z:Z,100000),
    MATCH($A$8,INDEX($A:$A,Control!$B$29):INDEX($A:$A,100000),0)+MATCH($D33,INDEX($D:$D,Control!$B$31):INDEX($D:$D,Control!$B$32),0)-1,
    1)</f>
        <v>26.188473313709999</v>
      </c>
      <c r="AA33" s="258" cm="1">
        <f t="array" ref="AA33">INDEX(
    INDEX(AA:AA,Control!$B$29):INDEX(AA:AA,100000),
    MATCH($A$8,INDEX($A:$A,Control!$B$29):INDEX($A:$A,100000),0)+MATCH($D33,INDEX($D:$D,Control!$B$31):INDEX($D:$D,Control!$B$32),0)-1,
    1)</f>
        <v>26.7119028391261</v>
      </c>
      <c r="AB33" s="258" cm="1">
        <f t="array" ref="AB33">INDEX(
    INDEX(AB:AB,Control!$B$29):INDEX(AB:AB,100000),
    MATCH($A$8,INDEX($A:$A,Control!$B$29):INDEX($A:$A,100000),0)+MATCH($D33,INDEX($D:$D,Control!$B$31):INDEX($D:$D,Control!$B$32),0)-1,
    1)</f>
        <v>26.490095085580801</v>
      </c>
      <c r="AC33" s="258" cm="1">
        <f t="array" ref="AC33">INDEX(
    INDEX(AC:AC,Control!$B$29):INDEX(AC:AC,100000),
    MATCH($A$8,INDEX($A:$A,Control!$B$29):INDEX($A:$A,100000),0)+MATCH($D33,INDEX($D:$D,Control!$B$31):INDEX($D:$D,Control!$B$32),0)-1,
    1)</f>
        <v>26.324407869528201</v>
      </c>
      <c r="AD33" s="258" cm="1">
        <f t="array" ref="AD33">INDEX(
    INDEX(AD:AD,Control!$B$29):INDEX(AD:AD,100000),
    MATCH($A$8,INDEX($A:$A,Control!$B$29):INDEX($A:$A,100000),0)+MATCH($D33,INDEX($D:$D,Control!$B$31):INDEX($D:$D,Control!$B$32),0)-1,
    1)</f>
        <v>25.789727074774898</v>
      </c>
      <c r="AE33" s="258" cm="1">
        <f t="array" ref="AE33">INDEX(
    INDEX(AE:AE,Control!$B$29):INDEX(AE:AE,100000),
    MATCH($A$8,INDEX($A:$A,Control!$B$29):INDEX($A:$A,100000),0)+MATCH($D33,INDEX($D:$D,Control!$B$31):INDEX($D:$D,Control!$B$32),0)-1,
    1)</f>
        <v>26.0610947370815</v>
      </c>
      <c r="AF33" s="258" cm="1">
        <f t="array" ref="AF33">INDEX(
    INDEX(AF:AF,Control!$B$29):INDEX(AF:AF,100000),
    MATCH($A$8,INDEX($A:$A,Control!$B$29):INDEX($A:$A,100000),0)+MATCH($D33,INDEX($D:$D,Control!$B$31):INDEX($D:$D,Control!$B$32),0)-1,
    1)</f>
        <v>25.8972984028767</v>
      </c>
      <c r="AG33" s="258" cm="1">
        <f t="array" ref="AG33">INDEX(
    INDEX(AG:AG,Control!$B$29):INDEX(AG:AG,100000),
    MATCH($A$8,INDEX($A:$A,Control!$B$29):INDEX($A:$A,100000),0)+MATCH($D33,INDEX($D:$D,Control!$B$31):INDEX($D:$D,Control!$B$32),0)-1,
    1)</f>
        <v>25.892555527965701</v>
      </c>
      <c r="AH33" s="258" cm="1">
        <f t="array" ref="AH33">INDEX(
    INDEX(AH:AH,Control!$B$29):INDEX(AH:AH,100000),
    MATCH($A$8,INDEX($A:$A,Control!$B$29):INDEX($A:$A,100000),0)+MATCH($D33,INDEX($D:$D,Control!$B$31):INDEX($D:$D,Control!$B$32),0)-1,
    1)</f>
        <v>25.451133861692998</v>
      </c>
      <c r="AI33" s="258" cm="1">
        <f t="array" ref="AI33">INDEX(
    INDEX(AI:AI,Control!$B$29):INDEX(AI:AI,100000),
    MATCH($A$8,INDEX($A:$A,Control!$B$29):INDEX($A:$A,100000),0)+MATCH($D33,INDEX($D:$D,Control!$B$31):INDEX($D:$D,Control!$B$32),0)-1,
    1)</f>
        <v>25.1730488677394</v>
      </c>
      <c r="AJ33" s="258" cm="1">
        <f t="array" ref="AJ33">INDEX(
    INDEX(AJ:AJ,Control!$B$29):INDEX(AJ:AJ,100000),
    MATCH($A$8,INDEX($A:$A,Control!$B$29):INDEX($A:$A,100000),0)+MATCH($D33,INDEX($D:$D,Control!$B$31):INDEX($D:$D,Control!$B$32),0)-1,
    1)</f>
        <v>25.0401230079</v>
      </c>
      <c r="AK33" s="258" cm="1">
        <f t="array" ref="AK33">INDEX(
    INDEX(AK:AK,Control!$B$29):INDEX(AK:AK,100000),
    MATCH($A$8,INDEX($A:$A,Control!$B$29):INDEX($A:$A,100000),0)+MATCH($D33,INDEX($D:$D,Control!$B$31):INDEX($D:$D,Control!$B$32),0)-1,
    1)</f>
        <v>24.7485720100692</v>
      </c>
      <c r="AL33" s="258" cm="1">
        <f t="array" ref="AL33">INDEX(
    INDEX(AL:AL,Control!$B$29):INDEX(AL:AL,100000),
    MATCH($A$8,INDEX($A:$A,Control!$B$29):INDEX($A:$A,100000),0)+MATCH($D33,INDEX($D:$D,Control!$B$31):INDEX($D:$D,Control!$B$32),0)-1,
    1)</f>
        <v>24.687395191834401</v>
      </c>
      <c r="AM33" s="258" cm="1">
        <f t="array" ref="AM33">INDEX(
    INDEX(AM:AM,Control!$B$29):INDEX(AM:AM,100000),
    MATCH($A$8,INDEX($A:$A,Control!$B$29):INDEX($A:$A,100000),0)+MATCH($D33,INDEX($D:$D,Control!$B$31):INDEX($D:$D,Control!$B$32),0)-1,
    1)</f>
        <v>25.0259779580554</v>
      </c>
      <c r="AN33" s="258" cm="1">
        <f t="array" ref="AN33">INDEX(
    INDEX(AN:AN,Control!$B$29):INDEX(AN:AN,100000),
    MATCH($A$8,INDEX($A:$A,Control!$B$29):INDEX($A:$A,100000),0)+MATCH($D33,INDEX($D:$D,Control!$B$31):INDEX($D:$D,Control!$B$32),0)-1,
    1)</f>
        <v>25.0260510860826</v>
      </c>
    </row>
    <row r="34" spans="3:40" x14ac:dyDescent="0.35">
      <c r="C34" s="292" t="s">
        <v>230</v>
      </c>
      <c r="D34" s="267" t="s">
        <v>351</v>
      </c>
      <c r="E34" s="19" t="s">
        <v>219</v>
      </c>
      <c r="F34" s="24" cm="1">
        <f t="array" ref="F34">INDEX(
    INDEX(F:F,Control!$B$29):INDEX(F:F,100000),
    MATCH($A$8,INDEX($A:$A,Control!$B$29):INDEX($A:$A,100000),0)+MATCH($D34,INDEX($D:$D,Control!$B$31):INDEX($D:$D,Control!$B$32),0)-1,
    1)</f>
        <v>0</v>
      </c>
      <c r="G34" s="24" cm="1">
        <f t="array" ref="G34">INDEX(
    INDEX(G:G,Control!$B$29):INDEX(G:G,100000),
    MATCH($A$8,INDEX($A:$A,Control!$B$29):INDEX($A:$A,100000),0)+MATCH($D34,INDEX($D:$D,Control!$B$31):INDEX($D:$D,Control!$B$32),0)-1,
    1)</f>
        <v>-22.100167374765199</v>
      </c>
      <c r="H34" s="24" cm="1">
        <f t="array" ref="H34">INDEX(
    INDEX(H:H,Control!$B$29):INDEX(H:H,100000),
    MATCH($A$8,INDEX($A:$A,Control!$B$29):INDEX($A:$A,100000),0)+MATCH($D34,INDEX($D:$D,Control!$B$31):INDEX($D:$D,Control!$B$32),0)-1,
    1)</f>
        <v>-20.793212824685899</v>
      </c>
      <c r="I34" s="258" cm="1">
        <f t="array" ref="I34">INDEX(
    INDEX(I:I,Control!$B$29):INDEX(I:I,100000),
    MATCH($A$8,INDEX($A:$A,Control!$B$29):INDEX($A:$A,100000),0)+MATCH($D34,INDEX($D:$D,Control!$B$31):INDEX($D:$D,Control!$B$32),0)-1,
    1)</f>
        <v>-20.313848159125399</v>
      </c>
      <c r="J34" s="258" cm="1">
        <f t="array" ref="J34">INDEX(
    INDEX(J:J,Control!$B$29):INDEX(J:J,100000),
    MATCH($A$8,INDEX($A:$A,Control!$B$29):INDEX($A:$A,100000),0)+MATCH($D34,INDEX($D:$D,Control!$B$31):INDEX($D:$D,Control!$B$32),0)-1,
    1)</f>
        <v>-19.655727254354701</v>
      </c>
      <c r="K34" s="258" cm="1">
        <f t="array" ref="K34">INDEX(
    INDEX(K:K,Control!$B$29):INDEX(K:K,100000),
    MATCH($A$8,INDEX($A:$A,Control!$B$29):INDEX($A:$A,100000),0)+MATCH($D34,INDEX($D:$D,Control!$B$31):INDEX($D:$D,Control!$B$32),0)-1,
    1)</f>
        <v>-19.104195672748101</v>
      </c>
      <c r="L34" s="258" cm="1">
        <f t="array" ref="L34">INDEX(
    INDEX(L:L,Control!$B$29):INDEX(L:L,100000),
    MATCH($A$8,INDEX($A:$A,Control!$B$29):INDEX($A:$A,100000),0)+MATCH($D34,INDEX($D:$D,Control!$B$31):INDEX($D:$D,Control!$B$32),0)-1,
    1)</f>
        <v>-18.659169839417501</v>
      </c>
      <c r="M34" s="258" cm="1">
        <f t="array" ref="M34">INDEX(
    INDEX(M:M,Control!$B$29):INDEX(M:M,100000),
    MATCH($A$8,INDEX($A:$A,Control!$B$29):INDEX($A:$A,100000),0)+MATCH($D34,INDEX($D:$D,Control!$B$31):INDEX($D:$D,Control!$B$32),0)-1,
    1)</f>
        <v>-17.538858908631699</v>
      </c>
      <c r="N34" s="258" cm="1">
        <f t="array" ref="N34">INDEX(
    INDEX(N:N,Control!$B$29):INDEX(N:N,100000),
    MATCH($A$8,INDEX($A:$A,Control!$B$29):INDEX($A:$A,100000),0)+MATCH($D34,INDEX($D:$D,Control!$B$31):INDEX($D:$D,Control!$B$32),0)-1,
    1)</f>
        <v>-17.205896553648898</v>
      </c>
      <c r="O34" s="258" cm="1">
        <f t="array" ref="O34">INDEX(
    INDEX(O:O,Control!$B$29):INDEX(O:O,100000),
    MATCH($A$8,INDEX($A:$A,Control!$B$29):INDEX($A:$A,100000),0)+MATCH($D34,INDEX($D:$D,Control!$B$31):INDEX($D:$D,Control!$B$32),0)-1,
    1)</f>
        <v>-16.389317660663401</v>
      </c>
      <c r="P34" s="258" cm="1">
        <f t="array" ref="P34">INDEX(
    INDEX(P:P,Control!$B$29):INDEX(P:P,100000),
    MATCH($A$8,INDEX($A:$A,Control!$B$29):INDEX($A:$A,100000),0)+MATCH($D34,INDEX($D:$D,Control!$B$31):INDEX($D:$D,Control!$B$32),0)-1,
    1)</f>
        <v>-15.811334626910201</v>
      </c>
      <c r="Q34" s="258" cm="1">
        <f t="array" ref="Q34">INDEX(
    INDEX(Q:Q,Control!$B$29):INDEX(Q:Q,100000),
    MATCH($A$8,INDEX($A:$A,Control!$B$29):INDEX($A:$A,100000),0)+MATCH($D34,INDEX($D:$D,Control!$B$31):INDEX($D:$D,Control!$B$32),0)-1,
    1)</f>
        <v>-16.3619155441624</v>
      </c>
      <c r="R34" s="258" cm="1">
        <f t="array" ref="R34">INDEX(
    INDEX(R:R,Control!$B$29):INDEX(R:R,100000),
    MATCH($A$8,INDEX($A:$A,Control!$B$29):INDEX($A:$A,100000),0)+MATCH($D34,INDEX($D:$D,Control!$B$31):INDEX($D:$D,Control!$B$32),0)-1,
    1)</f>
        <v>-15.5703673302224</v>
      </c>
      <c r="S34" s="258" cm="1">
        <f t="array" ref="S34">INDEX(
    INDEX(S:S,Control!$B$29):INDEX(S:S,100000),
    MATCH($A$8,INDEX($A:$A,Control!$B$29):INDEX($A:$A,100000),0)+MATCH($D34,INDEX($D:$D,Control!$B$31):INDEX($D:$D,Control!$B$32),0)-1,
    1)</f>
        <v>-15.5980515119714</v>
      </c>
      <c r="T34" s="258" cm="1">
        <f t="array" ref="T34">INDEX(
    INDEX(T:T,Control!$B$29):INDEX(T:T,100000),
    MATCH($A$8,INDEX($A:$A,Control!$B$29):INDEX($A:$A,100000),0)+MATCH($D34,INDEX($D:$D,Control!$B$31):INDEX($D:$D,Control!$B$32),0)-1,
    1)</f>
        <v>-14.8834444295716</v>
      </c>
      <c r="U34" s="258" cm="1">
        <f t="array" ref="U34">INDEX(
    INDEX(U:U,Control!$B$29):INDEX(U:U,100000),
    MATCH($A$8,INDEX($A:$A,Control!$B$29):INDEX($A:$A,100000),0)+MATCH($D34,INDEX($D:$D,Control!$B$31):INDEX($D:$D,Control!$B$32),0)-1,
    1)</f>
        <v>-14.745827929126399</v>
      </c>
      <c r="V34" s="258" cm="1">
        <f t="array" ref="V34">INDEX(
    INDEX(V:V,Control!$B$29):INDEX(V:V,100000),
    MATCH($A$8,INDEX($A:$A,Control!$B$29):INDEX($A:$A,100000),0)+MATCH($D34,INDEX($D:$D,Control!$B$31):INDEX($D:$D,Control!$B$32),0)-1,
    1)</f>
        <v>-15.1370524281146</v>
      </c>
      <c r="W34" s="258" cm="1">
        <f t="array" ref="W34">INDEX(
    INDEX(W:W,Control!$B$29):INDEX(W:W,100000),
    MATCH($A$8,INDEX($A:$A,Control!$B$29):INDEX($A:$A,100000),0)+MATCH($D34,INDEX($D:$D,Control!$B$31):INDEX($D:$D,Control!$B$32),0)-1,
    1)</f>
        <v>-14.5121838820258</v>
      </c>
      <c r="X34" s="258" cm="1">
        <f t="array" ref="X34">INDEX(
    INDEX(X:X,Control!$B$29):INDEX(X:X,100000),
    MATCH($A$8,INDEX($A:$A,Control!$B$29):INDEX($A:$A,100000),0)+MATCH($D34,INDEX($D:$D,Control!$B$31):INDEX($D:$D,Control!$B$32),0)-1,
    1)</f>
        <v>-19.088629849802501</v>
      </c>
      <c r="Y34" s="258" cm="1">
        <f t="array" ref="Y34">INDEX(
    INDEX(Y:Y,Control!$B$29):INDEX(Y:Y,100000),
    MATCH($A$8,INDEX($A:$A,Control!$B$29):INDEX($A:$A,100000),0)+MATCH($D34,INDEX($D:$D,Control!$B$31):INDEX($D:$D,Control!$B$32),0)-1,
    1)</f>
        <v>-19.249480169194701</v>
      </c>
      <c r="Z34" s="258" cm="1">
        <f t="array" ref="Z34">INDEX(
    INDEX(Z:Z,Control!$B$29):INDEX(Z:Z,100000),
    MATCH($A$8,INDEX($A:$A,Control!$B$29):INDEX($A:$A,100000),0)+MATCH($D34,INDEX($D:$D,Control!$B$31):INDEX($D:$D,Control!$B$32),0)-1,
    1)</f>
        <v>-18.457911061532698</v>
      </c>
      <c r="AA34" s="258" cm="1">
        <f t="array" ref="AA34">INDEX(
    INDEX(AA:AA,Control!$B$29):INDEX(AA:AA,100000),
    MATCH($A$8,INDEX($A:$A,Control!$B$29):INDEX($A:$A,100000),0)+MATCH($D34,INDEX($D:$D,Control!$B$31):INDEX($D:$D,Control!$B$32),0)-1,
    1)</f>
        <v>-19.208967242091799</v>
      </c>
      <c r="AB34" s="258" cm="1">
        <f t="array" ref="AB34">INDEX(
    INDEX(AB:AB,Control!$B$29):INDEX(AB:AB,100000),
    MATCH($A$8,INDEX($A:$A,Control!$B$29):INDEX($A:$A,100000),0)+MATCH($D34,INDEX($D:$D,Control!$B$31):INDEX($D:$D,Control!$B$32),0)-1,
    1)</f>
        <v>-20.1382050845043</v>
      </c>
      <c r="AC34" s="258" cm="1">
        <f t="array" ref="AC34">INDEX(
    INDEX(AC:AC,Control!$B$29):INDEX(AC:AC,100000),
    MATCH($A$8,INDEX($A:$A,Control!$B$29):INDEX($A:$A,100000),0)+MATCH($D34,INDEX($D:$D,Control!$B$31):INDEX($D:$D,Control!$B$32),0)-1,
    1)</f>
        <v>-19.501636054053598</v>
      </c>
      <c r="AD34" s="258" cm="1">
        <f t="array" ref="AD34">INDEX(
    INDEX(AD:AD,Control!$B$29):INDEX(AD:AD,100000),
    MATCH($A$8,INDEX($A:$A,Control!$B$29):INDEX($A:$A,100000),0)+MATCH($D34,INDEX($D:$D,Control!$B$31):INDEX($D:$D,Control!$B$32),0)-1,
    1)</f>
        <v>-19.592137211220201</v>
      </c>
      <c r="AE34" s="258" cm="1">
        <f t="array" ref="AE34">INDEX(
    INDEX(AE:AE,Control!$B$29):INDEX(AE:AE,100000),
    MATCH($A$8,INDEX($A:$A,Control!$B$29):INDEX($A:$A,100000),0)+MATCH($D34,INDEX($D:$D,Control!$B$31):INDEX($D:$D,Control!$B$32),0)-1,
    1)</f>
        <v>-19.5837797223904</v>
      </c>
      <c r="AF34" s="258" cm="1">
        <f t="array" ref="AF34">INDEX(
    INDEX(AF:AF,Control!$B$29):INDEX(AF:AF,100000),
    MATCH($A$8,INDEX($A:$A,Control!$B$29):INDEX($A:$A,100000),0)+MATCH($D34,INDEX($D:$D,Control!$B$31):INDEX($D:$D,Control!$B$32),0)-1,
    1)</f>
        <v>-19.718314398829499</v>
      </c>
      <c r="AG34" s="258" cm="1">
        <f t="array" ref="AG34">INDEX(
    INDEX(AG:AG,Control!$B$29):INDEX(AG:AG,100000),
    MATCH($A$8,INDEX($A:$A,Control!$B$29):INDEX($A:$A,100000),0)+MATCH($D34,INDEX($D:$D,Control!$B$31):INDEX($D:$D,Control!$B$32),0)-1,
    1)</f>
        <v>-18.816207054531102</v>
      </c>
      <c r="AH34" s="258" cm="1">
        <f t="array" ref="AH34">INDEX(
    INDEX(AH:AH,Control!$B$29):INDEX(AH:AH,100000),
    MATCH($A$8,INDEX($A:$A,Control!$B$29):INDEX($A:$A,100000),0)+MATCH($D34,INDEX($D:$D,Control!$B$31):INDEX($D:$D,Control!$B$32),0)-1,
    1)</f>
        <v>-18.585937343545599</v>
      </c>
      <c r="AI34" s="258" cm="1">
        <f t="array" ref="AI34">INDEX(
    INDEX(AI:AI,Control!$B$29):INDEX(AI:AI,100000),
    MATCH($A$8,INDEX($A:$A,Control!$B$29):INDEX($A:$A,100000),0)+MATCH($D34,INDEX($D:$D,Control!$B$31):INDEX($D:$D,Control!$B$32),0)-1,
    1)</f>
        <v>-18.139083309533401</v>
      </c>
      <c r="AJ34" s="258" cm="1">
        <f t="array" ref="AJ34">INDEX(
    INDEX(AJ:AJ,Control!$B$29):INDEX(AJ:AJ,100000),
    MATCH($A$8,INDEX($A:$A,Control!$B$29):INDEX($A:$A,100000),0)+MATCH($D34,INDEX($D:$D,Control!$B$31):INDEX($D:$D,Control!$B$32),0)-1,
    1)</f>
        <v>-18.237179334674199</v>
      </c>
      <c r="AK34" s="258" cm="1">
        <f t="array" ref="AK34">INDEX(
    INDEX(AK:AK,Control!$B$29):INDEX(AK:AK,100000),
    MATCH($A$8,INDEX($A:$A,Control!$B$29):INDEX($A:$A,100000),0)+MATCH($D34,INDEX($D:$D,Control!$B$31):INDEX($D:$D,Control!$B$32),0)-1,
    1)</f>
        <v>-17.550120624830001</v>
      </c>
      <c r="AL34" s="258" cm="1">
        <f t="array" ref="AL34">INDEX(
    INDEX(AL:AL,Control!$B$29):INDEX(AL:AL,100000),
    MATCH($A$8,INDEX($A:$A,Control!$B$29):INDEX($A:$A,100000),0)+MATCH($D34,INDEX($D:$D,Control!$B$31):INDEX($D:$D,Control!$B$32),0)-1,
    1)</f>
        <v>-16.4223610821245</v>
      </c>
      <c r="AM34" s="258" cm="1">
        <f t="array" ref="AM34">INDEX(
    INDEX(AM:AM,Control!$B$29):INDEX(AM:AM,100000),
    MATCH($A$8,INDEX($A:$A,Control!$B$29):INDEX($A:$A,100000),0)+MATCH($D34,INDEX($D:$D,Control!$B$31):INDEX($D:$D,Control!$B$32),0)-1,
    1)</f>
        <v>-15.7944838400569</v>
      </c>
      <c r="AN34" s="258" cm="1">
        <f t="array" ref="AN34">INDEX(
    INDEX(AN:AN,Control!$B$29):INDEX(AN:AN,100000),
    MATCH($A$8,INDEX($A:$A,Control!$B$29):INDEX($A:$A,100000),0)+MATCH($D34,INDEX($D:$D,Control!$B$31):INDEX($D:$D,Control!$B$32),0)-1,
    1)</f>
        <v>-15.2771657283477</v>
      </c>
    </row>
    <row r="35" spans="3:40" x14ac:dyDescent="0.35">
      <c r="C35" s="292" t="s">
        <v>230</v>
      </c>
      <c r="D35" s="266" t="s">
        <v>352</v>
      </c>
      <c r="E35" s="19" t="s">
        <v>219</v>
      </c>
      <c r="F35" s="24" cm="1">
        <f t="array" ref="F35">INDEX(
    INDEX(F:F,Control!$B$29):INDEX(F:F,100000),
    MATCH($A$8,INDEX($A:$A,Control!$B$29):INDEX($A:$A,100000),0)+MATCH($D35,INDEX($D:$D,Control!$B$31):INDEX($D:$D,Control!$B$32),0)-1,
    1)</f>
        <v>0</v>
      </c>
      <c r="G35" s="24" cm="1">
        <f t="array" ref="G35">INDEX(
    INDEX(G:G,Control!$B$29):INDEX(G:G,100000),
    MATCH($A$8,INDEX($A:$A,Control!$B$29):INDEX($A:$A,100000),0)+MATCH($D35,INDEX($D:$D,Control!$B$31):INDEX($D:$D,Control!$B$32),0)-1,
    1)</f>
        <v>146.22802559492101</v>
      </c>
      <c r="H35" s="24" cm="1">
        <f t="array" ref="H35">INDEX(
    INDEX(H:H,Control!$B$29):INDEX(H:H,100000),
    MATCH($A$8,INDEX($A:$A,Control!$B$29):INDEX($A:$A,100000),0)+MATCH($D35,INDEX($D:$D,Control!$B$31):INDEX($D:$D,Control!$B$32),0)-1,
    1)</f>
        <v>120.929541266706</v>
      </c>
      <c r="I35" s="258" cm="1">
        <f t="array" ref="I35">INDEX(
    INDEX(I:I,Control!$B$29):INDEX(I:I,100000),
    MATCH($A$8,INDEX($A:$A,Control!$B$29):INDEX($A:$A,100000),0)+MATCH($D35,INDEX($D:$D,Control!$B$31):INDEX($D:$D,Control!$B$32),0)-1,
    1)</f>
        <v>89.610144388800705</v>
      </c>
      <c r="J35" s="258" cm="1">
        <f t="array" ref="J35">INDEX(
    INDEX(J:J,Control!$B$29):INDEX(J:J,100000),
    MATCH($A$8,INDEX($A:$A,Control!$B$29):INDEX($A:$A,100000),0)+MATCH($D35,INDEX($D:$D,Control!$B$31):INDEX($D:$D,Control!$B$32),0)-1,
    1)</f>
        <v>74.559654651241601</v>
      </c>
      <c r="K35" s="258" cm="1">
        <f t="array" ref="K35">INDEX(
    INDEX(K:K,Control!$B$29):INDEX(K:K,100000),
    MATCH($A$8,INDEX($A:$A,Control!$B$29):INDEX($A:$A,100000),0)+MATCH($D35,INDEX($D:$D,Control!$B$31):INDEX($D:$D,Control!$B$32),0)-1,
    1)</f>
        <v>71.666500955554298</v>
      </c>
      <c r="L35" s="258" cm="1">
        <f t="array" ref="L35">INDEX(
    INDEX(L:L,Control!$B$29):INDEX(L:L,100000),
    MATCH($A$8,INDEX($A:$A,Control!$B$29):INDEX($A:$A,100000),0)+MATCH($D35,INDEX($D:$D,Control!$B$31):INDEX($D:$D,Control!$B$32),0)-1,
    1)</f>
        <v>77.990069516358503</v>
      </c>
      <c r="M35" s="258" cm="1">
        <f t="array" ref="M35">INDEX(
    INDEX(M:M,Control!$B$29):INDEX(M:M,100000),
    MATCH($A$8,INDEX($A:$A,Control!$B$29):INDEX($A:$A,100000),0)+MATCH($D35,INDEX($D:$D,Control!$B$31):INDEX($D:$D,Control!$B$32),0)-1,
    1)</f>
        <v>68.329501921833497</v>
      </c>
      <c r="N35" s="258" cm="1">
        <f t="array" ref="N35">INDEX(
    INDEX(N:N,Control!$B$29):INDEX(N:N,100000),
    MATCH($A$8,INDEX($A:$A,Control!$B$29):INDEX($A:$A,100000),0)+MATCH($D35,INDEX($D:$D,Control!$B$31):INDEX($D:$D,Control!$B$32),0)-1,
    1)</f>
        <v>64.026951756734405</v>
      </c>
      <c r="O35" s="258" cm="1">
        <f t="array" ref="O35">INDEX(
    INDEX(O:O,Control!$B$29):INDEX(O:O,100000),
    MATCH($A$8,INDEX($A:$A,Control!$B$29):INDEX($A:$A,100000),0)+MATCH($D35,INDEX($D:$D,Control!$B$31):INDEX($D:$D,Control!$B$32),0)-1,
    1)</f>
        <v>64.566260510927194</v>
      </c>
      <c r="P35" s="258" cm="1">
        <f t="array" ref="P35">INDEX(
    INDEX(P:P,Control!$B$29):INDEX(P:P,100000),
    MATCH($A$8,INDEX($A:$A,Control!$B$29):INDEX($A:$A,100000),0)+MATCH($D35,INDEX($D:$D,Control!$B$31):INDEX($D:$D,Control!$B$32),0)-1,
    1)</f>
        <v>58.398109901775797</v>
      </c>
      <c r="Q35" s="258" cm="1">
        <f t="array" ref="Q35">INDEX(
    INDEX(Q:Q,Control!$B$29):INDEX(Q:Q,100000),
    MATCH($A$8,INDEX($A:$A,Control!$B$29):INDEX($A:$A,100000),0)+MATCH($D35,INDEX($D:$D,Control!$B$31):INDEX($D:$D,Control!$B$32),0)-1,
    1)</f>
        <v>56.745520954275399</v>
      </c>
      <c r="R35" s="258" cm="1">
        <f t="array" ref="R35">INDEX(
    INDEX(R:R,Control!$B$29):INDEX(R:R,100000),
    MATCH($A$8,INDEX($A:$A,Control!$B$29):INDEX($A:$A,100000),0)+MATCH($D35,INDEX($D:$D,Control!$B$31):INDEX($D:$D,Control!$B$32),0)-1,
    1)</f>
        <v>54.200613371268503</v>
      </c>
      <c r="S35" s="258" cm="1">
        <f t="array" ref="S35">INDEX(
    INDEX(S:S,Control!$B$29):INDEX(S:S,100000),
    MATCH($A$8,INDEX($A:$A,Control!$B$29):INDEX($A:$A,100000),0)+MATCH($D35,INDEX($D:$D,Control!$B$31):INDEX($D:$D,Control!$B$32),0)-1,
    1)</f>
        <v>54.737790965809701</v>
      </c>
      <c r="T35" s="258" cm="1">
        <f t="array" ref="T35">INDEX(
    INDEX(T:T,Control!$B$29):INDEX(T:T,100000),
    MATCH($A$8,INDEX($A:$A,Control!$B$29):INDEX($A:$A,100000),0)+MATCH($D35,INDEX($D:$D,Control!$B$31):INDEX($D:$D,Control!$B$32),0)-1,
    1)</f>
        <v>55.321488432550296</v>
      </c>
      <c r="U35" s="258" cm="1">
        <f t="array" ref="U35">INDEX(
    INDEX(U:U,Control!$B$29):INDEX(U:U,100000),
    MATCH($A$8,INDEX($A:$A,Control!$B$29):INDEX($A:$A,100000),0)+MATCH($D35,INDEX($D:$D,Control!$B$31):INDEX($D:$D,Control!$B$32),0)-1,
    1)</f>
        <v>53.878505304903499</v>
      </c>
      <c r="V35" s="258" cm="1">
        <f t="array" ref="V35">INDEX(
    INDEX(V:V,Control!$B$29):INDEX(V:V,100000),
    MATCH($A$8,INDEX($A:$A,Control!$B$29):INDEX($A:$A,100000),0)+MATCH($D35,INDEX($D:$D,Control!$B$31):INDEX($D:$D,Control!$B$32),0)-1,
    1)</f>
        <v>52.728274564106698</v>
      </c>
      <c r="W35" s="258" cm="1">
        <f t="array" ref="W35">INDEX(
    INDEX(W:W,Control!$B$29):INDEX(W:W,100000),
    MATCH($A$8,INDEX($A:$A,Control!$B$29):INDEX($A:$A,100000),0)+MATCH($D35,INDEX($D:$D,Control!$B$31):INDEX($D:$D,Control!$B$32),0)-1,
    1)</f>
        <v>50.254384742431803</v>
      </c>
      <c r="X35" s="258" cm="1">
        <f t="array" ref="X35">INDEX(
    INDEX(X:X,Control!$B$29):INDEX(X:X,100000),
    MATCH($A$8,INDEX($A:$A,Control!$B$29):INDEX($A:$A,100000),0)+MATCH($D35,INDEX($D:$D,Control!$B$31):INDEX($D:$D,Control!$B$32),0)-1,
    1)</f>
        <v>66.518120686565098</v>
      </c>
      <c r="Y35" s="258" cm="1">
        <f t="array" ref="Y35">INDEX(
    INDEX(Y:Y,Control!$B$29):INDEX(Y:Y,100000),
    MATCH($A$8,INDEX($A:$A,Control!$B$29):INDEX($A:$A,100000),0)+MATCH($D35,INDEX($D:$D,Control!$B$31):INDEX($D:$D,Control!$B$32),0)-1,
    1)</f>
        <v>64.232587769393902</v>
      </c>
      <c r="Z35" s="258" cm="1">
        <f t="array" ref="Z35">INDEX(
    INDEX(Z:Z,Control!$B$29):INDEX(Z:Z,100000),
    MATCH($A$8,INDEX($A:$A,Control!$B$29):INDEX($A:$A,100000),0)+MATCH($D35,INDEX($D:$D,Control!$B$31):INDEX($D:$D,Control!$B$32),0)-1,
    1)</f>
        <v>65.9816012442692</v>
      </c>
      <c r="AA35" s="258" cm="1">
        <f t="array" ref="AA35">INDEX(
    INDEX(AA:AA,Control!$B$29):INDEX(AA:AA,100000),
    MATCH($A$8,INDEX($A:$A,Control!$B$29):INDEX($A:$A,100000),0)+MATCH($D35,INDEX($D:$D,Control!$B$31):INDEX($D:$D,Control!$B$32),0)-1,
    1)</f>
        <v>64.483604946399595</v>
      </c>
      <c r="AB35" s="258" cm="1">
        <f t="array" ref="AB35">INDEX(
    INDEX(AB:AB,Control!$B$29):INDEX(AB:AB,100000),
    MATCH($A$8,INDEX($A:$A,Control!$B$29):INDEX($A:$A,100000),0)+MATCH($D35,INDEX($D:$D,Control!$B$31):INDEX($D:$D,Control!$B$32),0)-1,
    1)</f>
        <v>64.950266228938602</v>
      </c>
      <c r="AC35" s="258" cm="1">
        <f t="array" ref="AC35">INDEX(
    INDEX(AC:AC,Control!$B$29):INDEX(AC:AC,100000),
    MATCH($A$8,INDEX($A:$A,Control!$B$29):INDEX($A:$A,100000),0)+MATCH($D35,INDEX($D:$D,Control!$B$31):INDEX($D:$D,Control!$B$32),0)-1,
    1)</f>
        <v>63.231412841878097</v>
      </c>
      <c r="AD35" s="258" cm="1">
        <f t="array" ref="AD35">INDEX(
    INDEX(AD:AD,Control!$B$29):INDEX(AD:AD,100000),
    MATCH($A$8,INDEX($A:$A,Control!$B$29):INDEX($A:$A,100000),0)+MATCH($D35,INDEX($D:$D,Control!$B$31):INDEX($D:$D,Control!$B$32),0)-1,
    1)</f>
        <v>62.139068158089401</v>
      </c>
      <c r="AE35" s="258" cm="1">
        <f t="array" ref="AE35">INDEX(
    INDEX(AE:AE,Control!$B$29):INDEX(AE:AE,100000),
    MATCH($A$8,INDEX($A:$A,Control!$B$29):INDEX($A:$A,100000),0)+MATCH($D35,INDEX($D:$D,Control!$B$31):INDEX($D:$D,Control!$B$32),0)-1,
    1)</f>
        <v>61.569630656664799</v>
      </c>
      <c r="AF35" s="258" cm="1">
        <f t="array" ref="AF35">INDEX(
    INDEX(AF:AF,Control!$B$29):INDEX(AF:AF,100000),
    MATCH($A$8,INDEX($A:$A,Control!$B$29):INDEX($A:$A,100000),0)+MATCH($D35,INDEX($D:$D,Control!$B$31):INDEX($D:$D,Control!$B$32),0)-1,
    1)</f>
        <v>60.568633325786699</v>
      </c>
      <c r="AG35" s="258" cm="1">
        <f t="array" ref="AG35">INDEX(
    INDEX(AG:AG,Control!$B$29):INDEX(AG:AG,100000),
    MATCH($A$8,INDEX($A:$A,Control!$B$29):INDEX($A:$A,100000),0)+MATCH($D35,INDEX($D:$D,Control!$B$31):INDEX($D:$D,Control!$B$32),0)-1,
    1)</f>
        <v>59.925764838130497</v>
      </c>
      <c r="AH35" s="258" cm="1">
        <f t="array" ref="AH35">INDEX(
    INDEX(AH:AH,Control!$B$29):INDEX(AH:AH,100000),
    MATCH($A$8,INDEX($A:$A,Control!$B$29):INDEX($A:$A,100000),0)+MATCH($D35,INDEX($D:$D,Control!$B$31):INDEX($D:$D,Control!$B$32),0)-1,
    1)</f>
        <v>57.939806108066698</v>
      </c>
      <c r="AI35" s="258" cm="1">
        <f t="array" ref="AI35">INDEX(
    INDEX(AI:AI,Control!$B$29):INDEX(AI:AI,100000),
    MATCH($A$8,INDEX($A:$A,Control!$B$29):INDEX($A:$A,100000),0)+MATCH($D35,INDEX($D:$D,Control!$B$31):INDEX($D:$D,Control!$B$32),0)-1,
    1)</f>
        <v>57.705096481140302</v>
      </c>
      <c r="AJ35" s="258" cm="1">
        <f t="array" ref="AJ35">INDEX(
    INDEX(AJ:AJ,Control!$B$29):INDEX(AJ:AJ,100000),
    MATCH($A$8,INDEX($A:$A,Control!$B$29):INDEX($A:$A,100000),0)+MATCH($D35,INDEX($D:$D,Control!$B$31):INDEX($D:$D,Control!$B$32),0)-1,
    1)</f>
        <v>57.857965398700003</v>
      </c>
      <c r="AK35" s="258" cm="1">
        <f t="array" ref="AK35">INDEX(
    INDEX(AK:AK,Control!$B$29):INDEX(AK:AK,100000),
    MATCH($A$8,INDEX($A:$A,Control!$B$29):INDEX($A:$A,100000),0)+MATCH($D35,INDEX($D:$D,Control!$B$31):INDEX($D:$D,Control!$B$32),0)-1,
    1)</f>
        <v>54.8880899555542</v>
      </c>
      <c r="AL35" s="258" cm="1">
        <f t="array" ref="AL35">INDEX(
    INDEX(AL:AL,Control!$B$29):INDEX(AL:AL,100000),
    MATCH($A$8,INDEX($A:$A,Control!$B$29):INDEX($A:$A,100000),0)+MATCH($D35,INDEX($D:$D,Control!$B$31):INDEX($D:$D,Control!$B$32),0)-1,
    1)</f>
        <v>54.969773962005398</v>
      </c>
      <c r="AM35" s="258" cm="1">
        <f t="array" ref="AM35">INDEX(
    INDEX(AM:AM,Control!$B$29):INDEX(AM:AM,100000),
    MATCH($A$8,INDEX($A:$A,Control!$B$29):INDEX($A:$A,100000),0)+MATCH($D35,INDEX($D:$D,Control!$B$31):INDEX($D:$D,Control!$B$32),0)-1,
    1)</f>
        <v>54.887275100393303</v>
      </c>
      <c r="AN35" s="258" cm="1">
        <f t="array" ref="AN35">INDEX(
    INDEX(AN:AN,Control!$B$29):INDEX(AN:AN,100000),
    MATCH($A$8,INDEX($A:$A,Control!$B$29):INDEX($A:$A,100000),0)+MATCH($D35,INDEX($D:$D,Control!$B$31):INDEX($D:$D,Control!$B$32),0)-1,
    1)</f>
        <v>53.099911198649799</v>
      </c>
    </row>
    <row r="36" spans="3:40" x14ac:dyDescent="0.35">
      <c r="C36" s="297"/>
      <c r="D36" s="41" t="s">
        <v>354</v>
      </c>
      <c r="E36" s="42" t="s">
        <v>124</v>
      </c>
      <c r="F36" s="262" cm="1">
        <f t="array" ref="F36">INDEX(
    INDEX(F:F,Control!$B$29):INDEX(F:F,100000),
    MATCH($A$8,INDEX($A:$A,Control!$B$29):INDEX($A:$A,100000),0)+MATCH($D36,INDEX($D:$D,Control!$B$31):INDEX($D:$D,Control!$B$32),0)-1,
    1)</f>
        <v>0</v>
      </c>
      <c r="G36" s="262" cm="1">
        <f t="array" ref="G36">INDEX(
    INDEX(G:G,Control!$B$29):INDEX(G:G,100000),
    MATCH($A$8,INDEX($A:$A,Control!$B$29):INDEX($A:$A,100000),0)+MATCH($D36,INDEX($D:$D,Control!$B$31):INDEX($D:$D,Control!$B$32),0)-1,
    1)</f>
        <v>1</v>
      </c>
      <c r="H36" s="262" cm="1">
        <f t="array" ref="H36">INDEX(
    INDEX(H:H,Control!$B$29):INDEX(H:H,100000),
    MATCH($A$8,INDEX($A:$A,Control!$B$29):INDEX($A:$A,100000),0)+MATCH($D36,INDEX($D:$D,Control!$B$31):INDEX($D:$D,Control!$B$32),0)-1,
    1)</f>
        <v>1</v>
      </c>
      <c r="I36" s="262" cm="1">
        <f t="array" ref="I36">INDEX(
    INDEX(I:I,Control!$B$29):INDEX(I:I,100000),
    MATCH($A$8,INDEX($A:$A,Control!$B$29):INDEX($A:$A,100000),0)+MATCH($D36,INDEX($D:$D,Control!$B$31):INDEX($D:$D,Control!$B$32),0)-1,
    1)</f>
        <v>1</v>
      </c>
      <c r="J36" s="262" cm="1">
        <f t="array" ref="J36">INDEX(
    INDEX(J:J,Control!$B$29):INDEX(J:J,100000),
    MATCH($A$8,INDEX($A:$A,Control!$B$29):INDEX($A:$A,100000),0)+MATCH($D36,INDEX($D:$D,Control!$B$31):INDEX($D:$D,Control!$B$32),0)-1,
    1)</f>
        <v>1</v>
      </c>
      <c r="K36" s="262" cm="1">
        <f t="array" ref="K36">INDEX(
    INDEX(K:K,Control!$B$29):INDEX(K:K,100000),
    MATCH($A$8,INDEX($A:$A,Control!$B$29):INDEX($A:$A,100000),0)+MATCH($D36,INDEX($D:$D,Control!$B$31):INDEX($D:$D,Control!$B$32),0)-1,
    1)</f>
        <v>1</v>
      </c>
      <c r="L36" s="262" cm="1">
        <f t="array" ref="L36">INDEX(
    INDEX(L:L,Control!$B$29):INDEX(L:L,100000),
    MATCH($A$8,INDEX($A:$A,Control!$B$29):INDEX($A:$A,100000),0)+MATCH($D36,INDEX($D:$D,Control!$B$31):INDEX($D:$D,Control!$B$32),0)-1,
    1)</f>
        <v>1</v>
      </c>
      <c r="M36" s="262" cm="1">
        <f t="array" ref="M36">INDEX(
    INDEX(M:M,Control!$B$29):INDEX(M:M,100000),
    MATCH($A$8,INDEX($A:$A,Control!$B$29):INDEX($A:$A,100000),0)+MATCH($D36,INDEX($D:$D,Control!$B$31):INDEX($D:$D,Control!$B$32),0)-1,
    1)</f>
        <v>1</v>
      </c>
      <c r="N36" s="262" cm="1">
        <f t="array" ref="N36">INDEX(
    INDEX(N:N,Control!$B$29):INDEX(N:N,100000),
    MATCH($A$8,INDEX($A:$A,Control!$B$29):INDEX($A:$A,100000),0)+MATCH($D36,INDEX($D:$D,Control!$B$31):INDEX($D:$D,Control!$B$32),0)-1,
    1)</f>
        <v>1</v>
      </c>
      <c r="O36" s="262" cm="1">
        <f t="array" ref="O36">INDEX(
    INDEX(O:O,Control!$B$29):INDEX(O:O,100000),
    MATCH($A$8,INDEX($A:$A,Control!$B$29):INDEX($A:$A,100000),0)+MATCH($D36,INDEX($D:$D,Control!$B$31):INDEX($D:$D,Control!$B$32),0)-1,
    1)</f>
        <v>1</v>
      </c>
      <c r="P36" s="262" cm="1">
        <f t="array" ref="P36">INDEX(
    INDEX(P:P,Control!$B$29):INDEX(P:P,100000),
    MATCH($A$8,INDEX($A:$A,Control!$B$29):INDEX($A:$A,100000),0)+MATCH($D36,INDEX($D:$D,Control!$B$31):INDEX($D:$D,Control!$B$32),0)-1,
    1)</f>
        <v>1</v>
      </c>
      <c r="Q36" s="262" cm="1">
        <f t="array" ref="Q36">INDEX(
    INDEX(Q:Q,Control!$B$29):INDEX(Q:Q,100000),
    MATCH($A$8,INDEX($A:$A,Control!$B$29):INDEX($A:$A,100000),0)+MATCH($D36,INDEX($D:$D,Control!$B$31):INDEX($D:$D,Control!$B$32),0)-1,
    1)</f>
        <v>1</v>
      </c>
      <c r="R36" s="262" cm="1">
        <f t="array" ref="R36">INDEX(
    INDEX(R:R,Control!$B$29):INDEX(R:R,100000),
    MATCH($A$8,INDEX($A:$A,Control!$B$29):INDEX($A:$A,100000),0)+MATCH($D36,INDEX($D:$D,Control!$B$31):INDEX($D:$D,Control!$B$32),0)-1,
    1)</f>
        <v>1</v>
      </c>
      <c r="S36" s="262" cm="1">
        <f t="array" ref="S36">INDEX(
    INDEX(S:S,Control!$B$29):INDEX(S:S,100000),
    MATCH($A$8,INDEX($A:$A,Control!$B$29):INDEX($A:$A,100000),0)+MATCH($D36,INDEX($D:$D,Control!$B$31):INDEX($D:$D,Control!$B$32),0)-1,
    1)</f>
        <v>1</v>
      </c>
      <c r="T36" s="262" cm="1">
        <f t="array" ref="T36">INDEX(
    INDEX(T:T,Control!$B$29):INDEX(T:T,100000),
    MATCH($A$8,INDEX($A:$A,Control!$B$29):INDEX($A:$A,100000),0)+MATCH($D36,INDEX($D:$D,Control!$B$31):INDEX($D:$D,Control!$B$32),0)-1,
    1)</f>
        <v>1</v>
      </c>
      <c r="U36" s="262" cm="1">
        <f t="array" ref="U36">INDEX(
    INDEX(U:U,Control!$B$29):INDEX(U:U,100000),
    MATCH($A$8,INDEX($A:$A,Control!$B$29):INDEX($A:$A,100000),0)+MATCH($D36,INDEX($D:$D,Control!$B$31):INDEX($D:$D,Control!$B$32),0)-1,
    1)</f>
        <v>1</v>
      </c>
      <c r="V36" s="262" cm="1">
        <f t="array" ref="V36">INDEX(
    INDEX(V:V,Control!$B$29):INDEX(V:V,100000),
    MATCH($A$8,INDEX($A:$A,Control!$B$29):INDEX($A:$A,100000),0)+MATCH($D36,INDEX($D:$D,Control!$B$31):INDEX($D:$D,Control!$B$32),0)-1,
    1)</f>
        <v>1</v>
      </c>
      <c r="W36" s="262" cm="1">
        <f t="array" ref="W36">INDEX(
    INDEX(W:W,Control!$B$29):INDEX(W:W,100000),
    MATCH($A$8,INDEX($A:$A,Control!$B$29):INDEX($A:$A,100000),0)+MATCH($D36,INDEX($D:$D,Control!$B$31):INDEX($D:$D,Control!$B$32),0)-1,
    1)</f>
        <v>1</v>
      </c>
      <c r="X36" s="262" cm="1">
        <f t="array" ref="X36">INDEX(
    INDEX(X:X,Control!$B$29):INDEX(X:X,100000),
    MATCH($A$8,INDEX($A:$A,Control!$B$29):INDEX($A:$A,100000),0)+MATCH($D36,INDEX($D:$D,Control!$B$31):INDEX($D:$D,Control!$B$32),0)-1,
    1)</f>
        <v>1</v>
      </c>
      <c r="Y36" s="262" cm="1">
        <f t="array" ref="Y36">INDEX(
    INDEX(Y:Y,Control!$B$29):INDEX(Y:Y,100000),
    MATCH($A$8,INDEX($A:$A,Control!$B$29):INDEX($A:$A,100000),0)+MATCH($D36,INDEX($D:$D,Control!$B$31):INDEX($D:$D,Control!$B$32),0)-1,
    1)</f>
        <v>1</v>
      </c>
      <c r="Z36" s="262" cm="1">
        <f t="array" ref="Z36">INDEX(
    INDEX(Z:Z,Control!$B$29):INDEX(Z:Z,100000),
    MATCH($A$8,INDEX($A:$A,Control!$B$29):INDEX($A:$A,100000),0)+MATCH($D36,INDEX($D:$D,Control!$B$31):INDEX($D:$D,Control!$B$32),0)-1,
    1)</f>
        <v>1</v>
      </c>
      <c r="AA36" s="262" cm="1">
        <f t="array" ref="AA36">INDEX(
    INDEX(AA:AA,Control!$B$29):INDEX(AA:AA,100000),
    MATCH($A$8,INDEX($A:$A,Control!$B$29):INDEX($A:$A,100000),0)+MATCH($D36,INDEX($D:$D,Control!$B$31):INDEX($D:$D,Control!$B$32),0)-1,
    1)</f>
        <v>1</v>
      </c>
      <c r="AB36" s="262" cm="1">
        <f t="array" ref="AB36">INDEX(
    INDEX(AB:AB,Control!$B$29):INDEX(AB:AB,100000),
    MATCH($A$8,INDEX($A:$A,Control!$B$29):INDEX($A:$A,100000),0)+MATCH($D36,INDEX($D:$D,Control!$B$31):INDEX($D:$D,Control!$B$32),0)-1,
    1)</f>
        <v>1</v>
      </c>
      <c r="AC36" s="262" cm="1">
        <f t="array" ref="AC36">INDEX(
    INDEX(AC:AC,Control!$B$29):INDEX(AC:AC,100000),
    MATCH($A$8,INDEX($A:$A,Control!$B$29):INDEX($A:$A,100000),0)+MATCH($D36,INDEX($D:$D,Control!$B$31):INDEX($D:$D,Control!$B$32),0)-1,
    1)</f>
        <v>1</v>
      </c>
      <c r="AD36" s="262" cm="1">
        <f t="array" ref="AD36">INDEX(
    INDEX(AD:AD,Control!$B$29):INDEX(AD:AD,100000),
    MATCH($A$8,INDEX($A:$A,Control!$B$29):INDEX($A:$A,100000),0)+MATCH($D36,INDEX($D:$D,Control!$B$31):INDEX($D:$D,Control!$B$32),0)-1,
    1)</f>
        <v>1</v>
      </c>
      <c r="AE36" s="262" cm="1">
        <f t="array" ref="AE36">INDEX(
    INDEX(AE:AE,Control!$B$29):INDEX(AE:AE,100000),
    MATCH($A$8,INDEX($A:$A,Control!$B$29):INDEX($A:$A,100000),0)+MATCH($D36,INDEX($D:$D,Control!$B$31):INDEX($D:$D,Control!$B$32),0)-1,
    1)</f>
        <v>1</v>
      </c>
      <c r="AF36" s="262" cm="1">
        <f t="array" ref="AF36">INDEX(
    INDEX(AF:AF,Control!$B$29):INDEX(AF:AF,100000),
    MATCH($A$8,INDEX($A:$A,Control!$B$29):INDEX($A:$A,100000),0)+MATCH($D36,INDEX($D:$D,Control!$B$31):INDEX($D:$D,Control!$B$32),0)-1,
    1)</f>
        <v>1</v>
      </c>
      <c r="AG36" s="262" cm="1">
        <f t="array" ref="AG36">INDEX(
    INDEX(AG:AG,Control!$B$29):INDEX(AG:AG,100000),
    MATCH($A$8,INDEX($A:$A,Control!$B$29):INDEX($A:$A,100000),0)+MATCH($D36,INDEX($D:$D,Control!$B$31):INDEX($D:$D,Control!$B$32),0)-1,
    1)</f>
        <v>1</v>
      </c>
      <c r="AH36" s="262" cm="1">
        <f t="array" ref="AH36">INDEX(
    INDEX(AH:AH,Control!$B$29):INDEX(AH:AH,100000),
    MATCH($A$8,INDEX($A:$A,Control!$B$29):INDEX($A:$A,100000),0)+MATCH($D36,INDEX($D:$D,Control!$B$31):INDEX($D:$D,Control!$B$32),0)-1,
    1)</f>
        <v>1</v>
      </c>
      <c r="AI36" s="262" cm="1">
        <f t="array" ref="AI36">INDEX(
    INDEX(AI:AI,Control!$B$29):INDEX(AI:AI,100000),
    MATCH($A$8,INDEX($A:$A,Control!$B$29):INDEX($A:$A,100000),0)+MATCH($D36,INDEX($D:$D,Control!$B$31):INDEX($D:$D,Control!$B$32),0)-1,
    1)</f>
        <v>1</v>
      </c>
      <c r="AJ36" s="262" cm="1">
        <f t="array" ref="AJ36">INDEX(
    INDEX(AJ:AJ,Control!$B$29):INDEX(AJ:AJ,100000),
    MATCH($A$8,INDEX($A:$A,Control!$B$29):INDEX($A:$A,100000),0)+MATCH($D36,INDEX($D:$D,Control!$B$31):INDEX($D:$D,Control!$B$32),0)-1,
    1)</f>
        <v>1</v>
      </c>
      <c r="AK36" s="262" cm="1">
        <f t="array" ref="AK36">INDEX(
    INDEX(AK:AK,Control!$B$29):INDEX(AK:AK,100000),
    MATCH($A$8,INDEX($A:$A,Control!$B$29):INDEX($A:$A,100000),0)+MATCH($D36,INDEX($D:$D,Control!$B$31):INDEX($D:$D,Control!$B$32),0)-1,
    1)</f>
        <v>1</v>
      </c>
      <c r="AL36" s="262" cm="1">
        <f t="array" ref="AL36">INDEX(
    INDEX(AL:AL,Control!$B$29):INDEX(AL:AL,100000),
    MATCH($A$8,INDEX($A:$A,Control!$B$29):INDEX($A:$A,100000),0)+MATCH($D36,INDEX($D:$D,Control!$B$31):INDEX($D:$D,Control!$B$32),0)-1,
    1)</f>
        <v>1</v>
      </c>
      <c r="AM36" s="262" cm="1">
        <f t="array" ref="AM36">INDEX(
    INDEX(AM:AM,Control!$B$29):INDEX(AM:AM,100000),
    MATCH($A$8,INDEX($A:$A,Control!$B$29):INDEX($A:$A,100000),0)+MATCH($D36,INDEX($D:$D,Control!$B$31):INDEX($D:$D,Control!$B$32),0)-1,
    1)</f>
        <v>1</v>
      </c>
      <c r="AN36" s="262" cm="1">
        <f t="array" ref="AN36">INDEX(
    INDEX(AN:AN,Control!$B$29):INDEX(AN:AN,100000),
    MATCH($A$8,INDEX($A:$A,Control!$B$29):INDEX($A:$A,100000),0)+MATCH($D36,INDEX($D:$D,Control!$B$31):INDEX($D:$D,Control!$B$32),0)-1,
    1)</f>
        <v>1</v>
      </c>
    </row>
    <row r="37" spans="3:40" x14ac:dyDescent="0.35">
      <c r="C37" s="296" t="s">
        <v>449</v>
      </c>
      <c r="D37" s="268" t="s">
        <v>353</v>
      </c>
      <c r="E37" s="21" t="s">
        <v>221</v>
      </c>
      <c r="F37" s="25" cm="1">
        <f t="array" ref="F37">INDEX(
    INDEX(F:F,Control!$B$29):INDEX(F:F,100000),
    MATCH($A$8,INDEX($A:$A,Control!$B$29):INDEX($A:$A,100000),0)+MATCH($D37,INDEX($D:$D,Control!$B$31):INDEX($D:$D,Control!$B$32),0)-1,
    1)</f>
        <v>0</v>
      </c>
      <c r="G37" s="25" cm="1">
        <f t="array" ref="G37">INDEX(
    INDEX(G:G,Control!$B$29):INDEX(G:G,100000),
    MATCH($A$8,INDEX($A:$A,Control!$B$29):INDEX($A:$A,100000),0)+MATCH($D37,INDEX($D:$D,Control!$B$31):INDEX($D:$D,Control!$B$32),0)-1,
    1)</f>
        <v>0</v>
      </c>
      <c r="H37" s="25" cm="1">
        <f t="array" ref="H37">INDEX(
    INDEX(H:H,Control!$B$29):INDEX(H:H,100000),
    MATCH($A$8,INDEX($A:$A,Control!$B$29):INDEX($A:$A,100000),0)+MATCH($D37,INDEX($D:$D,Control!$B$31):INDEX($D:$D,Control!$B$32),0)-1,
    1)</f>
        <v>0</v>
      </c>
      <c r="I37" s="25" cm="1">
        <f t="array" ref="I37">INDEX(
    INDEX(I:I,Control!$B$29):INDEX(I:I,100000),
    MATCH($A$8,INDEX($A:$A,Control!$B$29):INDEX($A:$A,100000),0)+MATCH($D37,INDEX($D:$D,Control!$B$31):INDEX($D:$D,Control!$B$32),0)-1,
    1)</f>
        <v>0</v>
      </c>
      <c r="J37" s="25" cm="1">
        <f t="array" ref="J37">INDEX(
    INDEX(J:J,Control!$B$29):INDEX(J:J,100000),
    MATCH($A$8,INDEX($A:$A,Control!$B$29):INDEX($A:$A,100000),0)+MATCH($D37,INDEX($D:$D,Control!$B$31):INDEX($D:$D,Control!$B$32),0)-1,
    1)</f>
        <v>0</v>
      </c>
      <c r="K37" s="25" cm="1">
        <f t="array" ref="K37">INDEX(
    INDEX(K:K,Control!$B$29):INDEX(K:K,100000),
    MATCH($A$8,INDEX($A:$A,Control!$B$29):INDEX($A:$A,100000),0)+MATCH($D37,INDEX($D:$D,Control!$B$31):INDEX($D:$D,Control!$B$32),0)-1,
    1)</f>
        <v>0</v>
      </c>
      <c r="L37" s="25" cm="1">
        <f t="array" ref="L37">INDEX(
    INDEX(L:L,Control!$B$29):INDEX(L:L,100000),
    MATCH($A$8,INDEX($A:$A,Control!$B$29):INDEX($A:$A,100000),0)+MATCH($D37,INDEX($D:$D,Control!$B$31):INDEX($D:$D,Control!$B$32),0)-1,
    1)</f>
        <v>0</v>
      </c>
      <c r="M37" s="25" cm="1">
        <f t="array" ref="M37">INDEX(
    INDEX(M:M,Control!$B$29):INDEX(M:M,100000),
    MATCH($A$8,INDEX($A:$A,Control!$B$29):INDEX($A:$A,100000),0)+MATCH($D37,INDEX($D:$D,Control!$B$31):INDEX($D:$D,Control!$B$32),0)-1,
    1)</f>
        <v>0</v>
      </c>
      <c r="N37" s="25" cm="1">
        <f t="array" ref="N37">INDEX(
    INDEX(N:N,Control!$B$29):INDEX(N:N,100000),
    MATCH($A$8,INDEX($A:$A,Control!$B$29):INDEX($A:$A,100000),0)+MATCH($D37,INDEX($D:$D,Control!$B$31):INDEX($D:$D,Control!$B$32),0)-1,
    1)</f>
        <v>0</v>
      </c>
      <c r="O37" s="25" cm="1">
        <f t="array" ref="O37">INDEX(
    INDEX(O:O,Control!$B$29):INDEX(O:O,100000),
    MATCH($A$8,INDEX($A:$A,Control!$B$29):INDEX($A:$A,100000),0)+MATCH($D37,INDEX($D:$D,Control!$B$31):INDEX($D:$D,Control!$B$32),0)-1,
    1)</f>
        <v>0</v>
      </c>
      <c r="P37" s="25" cm="1">
        <f t="array" ref="P37">INDEX(
    INDEX(P:P,Control!$B$29):INDEX(P:P,100000),
    MATCH($A$8,INDEX($A:$A,Control!$B$29):INDEX($A:$A,100000),0)+MATCH($D37,INDEX($D:$D,Control!$B$31):INDEX($D:$D,Control!$B$32),0)-1,
    1)</f>
        <v>0</v>
      </c>
      <c r="Q37" s="25" cm="1">
        <f t="array" ref="Q37">INDEX(
    INDEX(Q:Q,Control!$B$29):INDEX(Q:Q,100000),
    MATCH($A$8,INDEX($A:$A,Control!$B$29):INDEX($A:$A,100000),0)+MATCH($D37,INDEX($D:$D,Control!$B$31):INDEX($D:$D,Control!$B$32),0)-1,
    1)</f>
        <v>0</v>
      </c>
      <c r="R37" s="25" cm="1">
        <f t="array" ref="R37">INDEX(
    INDEX(R:R,Control!$B$29):INDEX(R:R,100000),
    MATCH($A$8,INDEX($A:$A,Control!$B$29):INDEX($A:$A,100000),0)+MATCH($D37,INDEX($D:$D,Control!$B$31):INDEX($D:$D,Control!$B$32),0)-1,
    1)</f>
        <v>0</v>
      </c>
      <c r="S37" s="25" cm="1">
        <f t="array" ref="S37">INDEX(
    INDEX(S:S,Control!$B$29):INDEX(S:S,100000),
    MATCH($A$8,INDEX($A:$A,Control!$B$29):INDEX($A:$A,100000),0)+MATCH($D37,INDEX($D:$D,Control!$B$31):INDEX($D:$D,Control!$B$32),0)-1,
    1)</f>
        <v>0</v>
      </c>
      <c r="T37" s="25" cm="1">
        <f t="array" ref="T37">INDEX(
    INDEX(T:T,Control!$B$29):INDEX(T:T,100000),
    MATCH($A$8,INDEX($A:$A,Control!$B$29):INDEX($A:$A,100000),0)+MATCH($D37,INDEX($D:$D,Control!$B$31):INDEX($D:$D,Control!$B$32),0)-1,
    1)</f>
        <v>0</v>
      </c>
      <c r="U37" s="25" cm="1">
        <f t="array" ref="U37">INDEX(
    INDEX(U:U,Control!$B$29):INDEX(U:U,100000),
    MATCH($A$8,INDEX($A:$A,Control!$B$29):INDEX($A:$A,100000),0)+MATCH($D37,INDEX($D:$D,Control!$B$31):INDEX($D:$D,Control!$B$32),0)-1,
    1)</f>
        <v>0</v>
      </c>
      <c r="V37" s="25" cm="1">
        <f t="array" ref="V37">INDEX(
    INDEX(V:V,Control!$B$29):INDEX(V:V,100000),
    MATCH($A$8,INDEX($A:$A,Control!$B$29):INDEX($A:$A,100000),0)+MATCH($D37,INDEX($D:$D,Control!$B$31):INDEX($D:$D,Control!$B$32),0)-1,
    1)</f>
        <v>0</v>
      </c>
      <c r="W37" s="25" cm="1">
        <f t="array" ref="W37">INDEX(
    INDEX(W:W,Control!$B$29):INDEX(W:W,100000),
    MATCH($A$8,INDEX($A:$A,Control!$B$29):INDEX($A:$A,100000),0)+MATCH($D37,INDEX($D:$D,Control!$B$31):INDEX($D:$D,Control!$B$32),0)-1,
    1)</f>
        <v>0</v>
      </c>
      <c r="X37" s="25" cm="1">
        <f t="array" ref="X37">INDEX(
    INDEX(X:X,Control!$B$29):INDEX(X:X,100000),
    MATCH($A$8,INDEX($A:$A,Control!$B$29):INDEX($A:$A,100000),0)+MATCH($D37,INDEX($D:$D,Control!$B$31):INDEX($D:$D,Control!$B$32),0)-1,
    1)</f>
        <v>0</v>
      </c>
      <c r="Y37" s="25" cm="1">
        <f t="array" ref="Y37">INDEX(
    INDEX(Y:Y,Control!$B$29):INDEX(Y:Y,100000),
    MATCH($A$8,INDEX($A:$A,Control!$B$29):INDEX($A:$A,100000),0)+MATCH($D37,INDEX($D:$D,Control!$B$31):INDEX($D:$D,Control!$B$32),0)-1,
    1)</f>
        <v>0</v>
      </c>
      <c r="Z37" s="25" cm="1">
        <f t="array" ref="Z37">INDEX(
    INDEX(Z:Z,Control!$B$29):INDEX(Z:Z,100000),
    MATCH($A$8,INDEX($A:$A,Control!$B$29):INDEX($A:$A,100000),0)+MATCH($D37,INDEX($D:$D,Control!$B$31):INDEX($D:$D,Control!$B$32),0)-1,
    1)</f>
        <v>0</v>
      </c>
      <c r="AA37" s="25" cm="1">
        <f t="array" ref="AA37">INDEX(
    INDEX(AA:AA,Control!$B$29):INDEX(AA:AA,100000),
    MATCH($A$8,INDEX($A:$A,Control!$B$29):INDEX($A:$A,100000),0)+MATCH($D37,INDEX($D:$D,Control!$B$31):INDEX($D:$D,Control!$B$32),0)-1,
    1)</f>
        <v>0</v>
      </c>
      <c r="AB37" s="25" cm="1">
        <f t="array" ref="AB37">INDEX(
    INDEX(AB:AB,Control!$B$29):INDEX(AB:AB,100000),
    MATCH($A$8,INDEX($A:$A,Control!$B$29):INDEX($A:$A,100000),0)+MATCH($D37,INDEX($D:$D,Control!$B$31):INDEX($D:$D,Control!$B$32),0)-1,
    1)</f>
        <v>0</v>
      </c>
      <c r="AC37" s="25" cm="1">
        <f t="array" ref="AC37">INDEX(
    INDEX(AC:AC,Control!$B$29):INDEX(AC:AC,100000),
    MATCH($A$8,INDEX($A:$A,Control!$B$29):INDEX($A:$A,100000),0)+MATCH($D37,INDEX($D:$D,Control!$B$31):INDEX($D:$D,Control!$B$32),0)-1,
    1)</f>
        <v>0</v>
      </c>
      <c r="AD37" s="25" cm="1">
        <f t="array" ref="AD37">INDEX(
    INDEX(AD:AD,Control!$B$29):INDEX(AD:AD,100000),
    MATCH($A$8,INDEX($A:$A,Control!$B$29):INDEX($A:$A,100000),0)+MATCH($D37,INDEX($D:$D,Control!$B$31):INDEX($D:$D,Control!$B$32),0)-1,
    1)</f>
        <v>0</v>
      </c>
      <c r="AE37" s="25" cm="1">
        <f t="array" ref="AE37">INDEX(
    INDEX(AE:AE,Control!$B$29):INDEX(AE:AE,100000),
    MATCH($A$8,INDEX($A:$A,Control!$B$29):INDEX($A:$A,100000),0)+MATCH($D37,INDEX($D:$D,Control!$B$31):INDEX($D:$D,Control!$B$32),0)-1,
    1)</f>
        <v>0</v>
      </c>
      <c r="AF37" s="25" cm="1">
        <f t="array" ref="AF37">INDEX(
    INDEX(AF:AF,Control!$B$29):INDEX(AF:AF,100000),
    MATCH($A$8,INDEX($A:$A,Control!$B$29):INDEX($A:$A,100000),0)+MATCH($D37,INDEX($D:$D,Control!$B$31):INDEX($D:$D,Control!$B$32),0)-1,
    1)</f>
        <v>0</v>
      </c>
      <c r="AG37" s="25" cm="1">
        <f t="array" ref="AG37">INDEX(
    INDEX(AG:AG,Control!$B$29):INDEX(AG:AG,100000),
    MATCH($A$8,INDEX($A:$A,Control!$B$29):INDEX($A:$A,100000),0)+MATCH($D37,INDEX($D:$D,Control!$B$31):INDEX($D:$D,Control!$B$32),0)-1,
    1)</f>
        <v>0</v>
      </c>
      <c r="AH37" s="25" cm="1">
        <f t="array" ref="AH37">INDEX(
    INDEX(AH:AH,Control!$B$29):INDEX(AH:AH,100000),
    MATCH($A$8,INDEX($A:$A,Control!$B$29):INDEX($A:$A,100000),0)+MATCH($D37,INDEX($D:$D,Control!$B$31):INDEX($D:$D,Control!$B$32),0)-1,
    1)</f>
        <v>0</v>
      </c>
      <c r="AI37" s="25" cm="1">
        <f t="array" ref="AI37">INDEX(
    INDEX(AI:AI,Control!$B$29):INDEX(AI:AI,100000),
    MATCH($A$8,INDEX($A:$A,Control!$B$29):INDEX($A:$A,100000),0)+MATCH($D37,INDEX($D:$D,Control!$B$31):INDEX($D:$D,Control!$B$32),0)-1,
    1)</f>
        <v>0</v>
      </c>
      <c r="AJ37" s="25" cm="1">
        <f t="array" ref="AJ37">INDEX(
    INDEX(AJ:AJ,Control!$B$29):INDEX(AJ:AJ,100000),
    MATCH($A$8,INDEX($A:$A,Control!$B$29):INDEX($A:$A,100000),0)+MATCH($D37,INDEX($D:$D,Control!$B$31):INDEX($D:$D,Control!$B$32),0)-1,
    1)</f>
        <v>0</v>
      </c>
      <c r="AK37" s="25" cm="1">
        <f t="array" ref="AK37">INDEX(
    INDEX(AK:AK,Control!$B$29):INDEX(AK:AK,100000),
    MATCH($A$8,INDEX($A:$A,Control!$B$29):INDEX($A:$A,100000),0)+MATCH($D37,INDEX($D:$D,Control!$B$31):INDEX($D:$D,Control!$B$32),0)-1,
    1)</f>
        <v>0</v>
      </c>
      <c r="AL37" s="25" cm="1">
        <f t="array" ref="AL37">INDEX(
    INDEX(AL:AL,Control!$B$29):INDEX(AL:AL,100000),
    MATCH($A$8,INDEX($A:$A,Control!$B$29):INDEX($A:$A,100000),0)+MATCH($D37,INDEX($D:$D,Control!$B$31):INDEX($D:$D,Control!$B$32),0)-1,
    1)</f>
        <v>0</v>
      </c>
      <c r="AM37" s="25" cm="1">
        <f t="array" ref="AM37">INDEX(
    INDEX(AM:AM,Control!$B$29):INDEX(AM:AM,100000),
    MATCH($A$8,INDEX($A:$A,Control!$B$29):INDEX($A:$A,100000),0)+MATCH($D37,INDEX($D:$D,Control!$B$31):INDEX($D:$D,Control!$B$32),0)-1,
    1)</f>
        <v>0</v>
      </c>
      <c r="AN37" s="25" cm="1">
        <f t="array" ref="AN37">INDEX(
    INDEX(AN:AN,Control!$B$29):INDEX(AN:AN,100000),
    MATCH($A$8,INDEX($A:$A,Control!$B$29):INDEX($A:$A,100000),0)+MATCH($D37,INDEX($D:$D,Control!$B$31):INDEX($D:$D,Control!$B$32),0)-1,
    1)</f>
        <v>0</v>
      </c>
    </row>
    <row r="38" spans="3:40" x14ac:dyDescent="0.35">
      <c r="C38" s="292" t="s">
        <v>230</v>
      </c>
      <c r="D38" s="21" t="s">
        <v>358</v>
      </c>
      <c r="E38" s="21" t="s">
        <v>221</v>
      </c>
      <c r="F38" s="25" cm="1">
        <f t="array" ref="F38">INDEX(
    INDEX(F:F,Control!$B$29):INDEX(F:F,100000),
    MATCH($A$8,INDEX($A:$A,Control!$B$29):INDEX($A:$A,100000),0)+MATCH($D38,INDEX($D:$D,Control!$B$31):INDEX($D:$D,Control!$B$32),0)-1,
    1)</f>
        <v>0</v>
      </c>
      <c r="G38" s="25" cm="1">
        <f t="array" ref="G38">INDEX(
    INDEX(G:G,Control!$B$29):INDEX(G:G,100000),
    MATCH($A$8,INDEX($A:$A,Control!$B$29):INDEX($A:$A,100000),0)+MATCH($D38,INDEX($D:$D,Control!$B$31):INDEX($D:$D,Control!$B$32),0)-1,
    1)</f>
        <v>5.6787599999999996</v>
      </c>
      <c r="H38" s="25" cm="1">
        <f t="array" ref="H38">INDEX(
    INDEX(H:H,Control!$B$29):INDEX(H:H,100000),
    MATCH($A$8,INDEX($A:$A,Control!$B$29):INDEX($A:$A,100000),0)+MATCH($D38,INDEX($D:$D,Control!$B$31):INDEX($D:$D,Control!$B$32),0)-1,
    1)</f>
        <v>9.9772200000000009</v>
      </c>
      <c r="I38" s="25" cm="1">
        <f t="array" ref="I38">INDEX(
    INDEX(I:I,Control!$B$29):INDEX(I:I,100000),
    MATCH($A$8,INDEX($A:$A,Control!$B$29):INDEX($A:$A,100000),0)+MATCH($D38,INDEX($D:$D,Control!$B$31):INDEX($D:$D,Control!$B$32),0)-1,
    1)</f>
        <v>6.95784</v>
      </c>
      <c r="J38" s="25" cm="1">
        <f t="array" ref="J38">INDEX(
    INDEX(J:J,Control!$B$29):INDEX(J:J,100000),
    MATCH($A$8,INDEX($A:$A,Control!$B$29):INDEX($A:$A,100000),0)+MATCH($D38,INDEX($D:$D,Control!$B$31):INDEX($D:$D,Control!$B$32),0)-1,
    1)</f>
        <v>10.30335</v>
      </c>
      <c r="K38" s="25" cm="1">
        <f t="array" ref="K38">INDEX(
    INDEX(K:K,Control!$B$29):INDEX(K:K,100000),
    MATCH($A$8,INDEX($A:$A,Control!$B$29):INDEX($A:$A,100000),0)+MATCH($D38,INDEX($D:$D,Control!$B$31):INDEX($D:$D,Control!$B$32),0)-1,
    1)</f>
        <v>10.59817</v>
      </c>
      <c r="L38" s="25" cm="1">
        <f t="array" ref="L38">INDEX(
    INDEX(L:L,Control!$B$29):INDEX(L:L,100000),
    MATCH($A$8,INDEX($A:$A,Control!$B$29):INDEX($A:$A,100000),0)+MATCH($D38,INDEX($D:$D,Control!$B$31):INDEX($D:$D,Control!$B$32),0)-1,
    1)</f>
        <v>9.9269300000000005</v>
      </c>
      <c r="M38" s="25" cm="1">
        <f t="array" ref="M38">INDEX(
    INDEX(M:M,Control!$B$29):INDEX(M:M,100000),
    MATCH($A$8,INDEX($A:$A,Control!$B$29):INDEX($A:$A,100000),0)+MATCH($D38,INDEX($D:$D,Control!$B$31):INDEX($D:$D,Control!$B$32),0)-1,
    1)</f>
        <v>16.85989</v>
      </c>
      <c r="N38" s="25" cm="1">
        <f t="array" ref="N38">INDEX(
    INDEX(N:N,Control!$B$29):INDEX(N:N,100000),
    MATCH($A$8,INDEX($A:$A,Control!$B$29):INDEX($A:$A,100000),0)+MATCH($D38,INDEX($D:$D,Control!$B$31):INDEX($D:$D,Control!$B$32),0)-1,
    1)</f>
        <v>21.34646</v>
      </c>
      <c r="O38" s="25" cm="1">
        <f t="array" ref="O38">INDEX(
    INDEX(O:O,Control!$B$29):INDEX(O:O,100000),
    MATCH($A$8,INDEX($A:$A,Control!$B$29):INDEX($A:$A,100000),0)+MATCH($D38,INDEX($D:$D,Control!$B$31):INDEX($D:$D,Control!$B$32),0)-1,
    1)</f>
        <v>21.574190000000002</v>
      </c>
      <c r="P38" s="25" cm="1">
        <f t="array" ref="P38">INDEX(
    INDEX(P:P,Control!$B$29):INDEX(P:P,100000),
    MATCH($A$8,INDEX($A:$A,Control!$B$29):INDEX($A:$A,100000),0)+MATCH($D38,INDEX($D:$D,Control!$B$31):INDEX($D:$D,Control!$B$32),0)-1,
    1)</f>
        <v>22.034939999999999</v>
      </c>
      <c r="Q38" s="25" cm="1">
        <f t="array" ref="Q38">INDEX(
    INDEX(Q:Q,Control!$B$29):INDEX(Q:Q,100000),
    MATCH($A$8,INDEX($A:$A,Control!$B$29):INDEX($A:$A,100000),0)+MATCH($D38,INDEX($D:$D,Control!$B$31):INDEX($D:$D,Control!$B$32),0)-1,
    1)</f>
        <v>18.039639999999999</v>
      </c>
      <c r="R38" s="25" cm="1">
        <f t="array" ref="R38">INDEX(
    INDEX(R:R,Control!$B$29):INDEX(R:R,100000),
    MATCH($A$8,INDEX($A:$A,Control!$B$29):INDEX($A:$A,100000),0)+MATCH($D38,INDEX($D:$D,Control!$B$31):INDEX($D:$D,Control!$B$32),0)-1,
    1)</f>
        <v>16.596779999999999</v>
      </c>
      <c r="S38" s="25" cm="1">
        <f t="array" ref="S38">INDEX(
    INDEX(S:S,Control!$B$29):INDEX(S:S,100000),
    MATCH($A$8,INDEX($A:$A,Control!$B$29):INDEX($A:$A,100000),0)+MATCH($D38,INDEX($D:$D,Control!$B$31):INDEX($D:$D,Control!$B$32),0)-1,
    1)</f>
        <v>17.71602</v>
      </c>
      <c r="T38" s="25" cm="1">
        <f t="array" ref="T38">INDEX(
    INDEX(T:T,Control!$B$29):INDEX(T:T,100000),
    MATCH($A$8,INDEX($A:$A,Control!$B$29):INDEX($A:$A,100000),0)+MATCH($D38,INDEX($D:$D,Control!$B$31):INDEX($D:$D,Control!$B$32),0)-1,
    1)</f>
        <v>15.505089999999999</v>
      </c>
      <c r="U38" s="25" cm="1">
        <f t="array" ref="U38">INDEX(
    INDEX(U:U,Control!$B$29):INDEX(U:U,100000),
    MATCH($A$8,INDEX($A:$A,Control!$B$29):INDEX($A:$A,100000),0)+MATCH($D38,INDEX($D:$D,Control!$B$31):INDEX($D:$D,Control!$B$32),0)-1,
    1)</f>
        <v>15.76582</v>
      </c>
      <c r="V38" s="25" cm="1">
        <f t="array" ref="V38">INDEX(
    INDEX(V:V,Control!$B$29):INDEX(V:V,100000),
    MATCH($A$8,INDEX($A:$A,Control!$B$29):INDEX($A:$A,100000),0)+MATCH($D38,INDEX($D:$D,Control!$B$31):INDEX($D:$D,Control!$B$32),0)-1,
    1)</f>
        <v>14.28721</v>
      </c>
      <c r="W38" s="25" cm="1">
        <f t="array" ref="W38">INDEX(
    INDEX(W:W,Control!$B$29):INDEX(W:W,100000),
    MATCH($A$8,INDEX($A:$A,Control!$B$29):INDEX($A:$A,100000),0)+MATCH($D38,INDEX($D:$D,Control!$B$31):INDEX($D:$D,Control!$B$32),0)-1,
    1)</f>
        <v>11.981009999999999</v>
      </c>
      <c r="X38" s="25" cm="1">
        <f t="array" ref="X38">INDEX(
    INDEX(X:X,Control!$B$29):INDEX(X:X,100000),
    MATCH($A$8,INDEX($A:$A,Control!$B$29):INDEX($A:$A,100000),0)+MATCH($D38,INDEX($D:$D,Control!$B$31):INDEX($D:$D,Control!$B$32),0)-1,
    1)</f>
        <v>21.112030000000001</v>
      </c>
      <c r="Y38" s="25" cm="1">
        <f t="array" ref="Y38">INDEX(
    INDEX(Y:Y,Control!$B$29):INDEX(Y:Y,100000),
    MATCH($A$8,INDEX($A:$A,Control!$B$29):INDEX($A:$A,100000),0)+MATCH($D38,INDEX($D:$D,Control!$B$31):INDEX($D:$D,Control!$B$32),0)-1,
    1)</f>
        <v>21.649229999999999</v>
      </c>
      <c r="Z38" s="25" cm="1">
        <f t="array" ref="Z38">INDEX(
    INDEX(Z:Z,Control!$B$29):INDEX(Z:Z,100000),
    MATCH($A$8,INDEX($A:$A,Control!$B$29):INDEX($A:$A,100000),0)+MATCH($D38,INDEX($D:$D,Control!$B$31):INDEX($D:$D,Control!$B$32),0)-1,
    1)</f>
        <v>21.426220000000001</v>
      </c>
      <c r="AA38" s="25" cm="1">
        <f t="array" ref="AA38">INDEX(
    INDEX(AA:AA,Control!$B$29):INDEX(AA:AA,100000),
    MATCH($A$8,INDEX($A:$A,Control!$B$29):INDEX($A:$A,100000),0)+MATCH($D38,INDEX($D:$D,Control!$B$31):INDEX($D:$D,Control!$B$32),0)-1,
    1)</f>
        <v>19.681249999999999</v>
      </c>
      <c r="AB38" s="25" cm="1">
        <f t="array" ref="AB38">INDEX(
    INDEX(AB:AB,Control!$B$29):INDEX(AB:AB,100000),
    MATCH($A$8,INDEX($A:$A,Control!$B$29):INDEX($A:$A,100000),0)+MATCH($D38,INDEX($D:$D,Control!$B$31):INDEX($D:$D,Control!$B$32),0)-1,
    1)</f>
        <v>14.059530000000001</v>
      </c>
      <c r="AC38" s="25" cm="1">
        <f t="array" ref="AC38">INDEX(
    INDEX(AC:AC,Control!$B$29):INDEX(AC:AC,100000),
    MATCH($A$8,INDEX($A:$A,Control!$B$29):INDEX($A:$A,100000),0)+MATCH($D38,INDEX($D:$D,Control!$B$31):INDEX($D:$D,Control!$B$32),0)-1,
    1)</f>
        <v>12.834059999999999</v>
      </c>
      <c r="AD38" s="25" cm="1">
        <f t="array" ref="AD38">INDEX(
    INDEX(AD:AD,Control!$B$29):INDEX(AD:AD,100000),
    MATCH($A$8,INDEX($A:$A,Control!$B$29):INDEX($A:$A,100000),0)+MATCH($D38,INDEX($D:$D,Control!$B$31):INDEX($D:$D,Control!$B$32),0)-1,
    1)</f>
        <v>13.20406</v>
      </c>
      <c r="AE38" s="25" cm="1">
        <f t="array" ref="AE38">INDEX(
    INDEX(AE:AE,Control!$B$29):INDEX(AE:AE,100000),
    MATCH($A$8,INDEX($A:$A,Control!$B$29):INDEX($A:$A,100000),0)+MATCH($D38,INDEX($D:$D,Control!$B$31):INDEX($D:$D,Control!$B$32),0)-1,
    1)</f>
        <v>12.057829999999999</v>
      </c>
      <c r="AF38" s="25" cm="1">
        <f t="array" ref="AF38">INDEX(
    INDEX(AF:AF,Control!$B$29):INDEX(AF:AF,100000),
    MATCH($A$8,INDEX($A:$A,Control!$B$29):INDEX($A:$A,100000),0)+MATCH($D38,INDEX($D:$D,Control!$B$31):INDEX($D:$D,Control!$B$32),0)-1,
    1)</f>
        <v>13.879110000000001</v>
      </c>
      <c r="AG38" s="25" cm="1">
        <f t="array" ref="AG38">INDEX(
    INDEX(AG:AG,Control!$B$29):INDEX(AG:AG,100000),
    MATCH($A$8,INDEX($A:$A,Control!$B$29):INDEX($A:$A,100000),0)+MATCH($D38,INDEX($D:$D,Control!$B$31):INDEX($D:$D,Control!$B$32),0)-1,
    1)</f>
        <v>13.63227</v>
      </c>
      <c r="AH38" s="25" cm="1">
        <f t="array" ref="AH38">INDEX(
    INDEX(AH:AH,Control!$B$29):INDEX(AH:AH,100000),
    MATCH($A$8,INDEX($A:$A,Control!$B$29):INDEX($A:$A,100000),0)+MATCH($D38,INDEX($D:$D,Control!$B$31):INDEX($D:$D,Control!$B$32),0)-1,
    1)</f>
        <v>13.02628</v>
      </c>
      <c r="AI38" s="25" cm="1">
        <f t="array" ref="AI38">INDEX(
    INDEX(AI:AI,Control!$B$29):INDEX(AI:AI,100000),
    MATCH($A$8,INDEX($A:$A,Control!$B$29):INDEX($A:$A,100000),0)+MATCH($D38,INDEX($D:$D,Control!$B$31):INDEX($D:$D,Control!$B$32),0)-1,
    1)</f>
        <v>11.832789999999999</v>
      </c>
      <c r="AJ38" s="25" cm="1">
        <f t="array" ref="AJ38">INDEX(
    INDEX(AJ:AJ,Control!$B$29):INDEX(AJ:AJ,100000),
    MATCH($A$8,INDEX($A:$A,Control!$B$29):INDEX($A:$A,100000),0)+MATCH($D38,INDEX($D:$D,Control!$B$31):INDEX($D:$D,Control!$B$32),0)-1,
    1)</f>
        <v>12.323090000000001</v>
      </c>
      <c r="AK38" s="25" cm="1">
        <f t="array" ref="AK38">INDEX(
    INDEX(AK:AK,Control!$B$29):INDEX(AK:AK,100000),
    MATCH($A$8,INDEX($A:$A,Control!$B$29):INDEX($A:$A,100000),0)+MATCH($D38,INDEX($D:$D,Control!$B$31):INDEX($D:$D,Control!$B$32),0)-1,
    1)</f>
        <v>12.17266</v>
      </c>
      <c r="AL38" s="25" cm="1">
        <f t="array" ref="AL38">INDEX(
    INDEX(AL:AL,Control!$B$29):INDEX(AL:AL,100000),
    MATCH($A$8,INDEX($A:$A,Control!$B$29):INDEX($A:$A,100000),0)+MATCH($D38,INDEX($D:$D,Control!$B$31):INDEX($D:$D,Control!$B$32),0)-1,
    1)</f>
        <v>12.22822</v>
      </c>
      <c r="AM38" s="25" cm="1">
        <f t="array" ref="AM38">INDEX(
    INDEX(AM:AM,Control!$B$29):INDEX(AM:AM,100000),
    MATCH($A$8,INDEX($A:$A,Control!$B$29):INDEX($A:$A,100000),0)+MATCH($D38,INDEX($D:$D,Control!$B$31):INDEX($D:$D,Control!$B$32),0)-1,
    1)</f>
        <v>12.69407</v>
      </c>
      <c r="AN38" s="25" cm="1">
        <f t="array" ref="AN38">INDEX(
    INDEX(AN:AN,Control!$B$29):INDEX(AN:AN,100000),
    MATCH($A$8,INDEX($A:$A,Control!$B$29):INDEX($A:$A,100000),0)+MATCH($D38,INDEX($D:$D,Control!$B$31):INDEX($D:$D,Control!$B$32),0)-1,
    1)</f>
        <v>15.12237</v>
      </c>
    </row>
    <row r="39" spans="3:40" x14ac:dyDescent="0.35">
      <c r="C39" s="292" t="s">
        <v>230</v>
      </c>
      <c r="D39" s="21" t="s">
        <v>359</v>
      </c>
      <c r="E39" s="21" t="s">
        <v>221</v>
      </c>
      <c r="F39" s="25" cm="1">
        <f t="array" ref="F39">INDEX(
    INDEX(F:F,Control!$B$29):INDEX(F:F,100000),
    MATCH($A$8,INDEX($A:$A,Control!$B$29):INDEX($A:$A,100000),0)+MATCH($D39,INDEX($D:$D,Control!$B$31):INDEX($D:$D,Control!$B$32),0)-1,
    1)</f>
        <v>0</v>
      </c>
      <c r="G39" s="25" cm="1">
        <f t="array" ref="G39">INDEX(
    INDEX(G:G,Control!$B$29):INDEX(G:G,100000),
    MATCH($A$8,INDEX($A:$A,Control!$B$29):INDEX($A:$A,100000),0)+MATCH($D39,INDEX($D:$D,Control!$B$31):INDEX($D:$D,Control!$B$32),0)-1,
    1)</f>
        <v>1170.3988899999999</v>
      </c>
      <c r="H39" s="25" cm="1">
        <f t="array" ref="H39">INDEX(
    INDEX(H:H,Control!$B$29):INDEX(H:H,100000),
    MATCH($A$8,INDEX($A:$A,Control!$B$29):INDEX($A:$A,100000),0)+MATCH($D39,INDEX($D:$D,Control!$B$31):INDEX($D:$D,Control!$B$32),0)-1,
    1)</f>
        <v>1177.2355600000001</v>
      </c>
      <c r="I39" s="25" cm="1">
        <f t="array" ref="I39">INDEX(
    INDEX(I:I,Control!$B$29):INDEX(I:I,100000),
    MATCH($A$8,INDEX($A:$A,Control!$B$29):INDEX($A:$A,100000),0)+MATCH($D39,INDEX($D:$D,Control!$B$31):INDEX($D:$D,Control!$B$32),0)-1,
    1)</f>
        <v>1201.01505</v>
      </c>
      <c r="J39" s="25" cm="1">
        <f t="array" ref="J39">INDEX(
    INDEX(J:J,Control!$B$29):INDEX(J:J,100000),
    MATCH($A$8,INDEX($A:$A,Control!$B$29):INDEX($A:$A,100000),0)+MATCH($D39,INDEX($D:$D,Control!$B$31):INDEX($D:$D,Control!$B$32),0)-1,
    1)</f>
        <v>1217.4051999999999</v>
      </c>
      <c r="K39" s="25" cm="1">
        <f t="array" ref="K39">INDEX(
    INDEX(K:K,Control!$B$29):INDEX(K:K,100000),
    MATCH($A$8,INDEX($A:$A,Control!$B$29):INDEX($A:$A,100000),0)+MATCH($D39,INDEX($D:$D,Control!$B$31):INDEX($D:$D,Control!$B$32),0)-1,
    1)</f>
        <v>1219.7683999999999</v>
      </c>
      <c r="L39" s="25" cm="1">
        <f t="array" ref="L39">INDEX(
    INDEX(L:L,Control!$B$29):INDEX(L:L,100000),
    MATCH($A$8,INDEX($A:$A,Control!$B$29):INDEX($A:$A,100000),0)+MATCH($D39,INDEX($D:$D,Control!$B$31):INDEX($D:$D,Control!$B$32),0)-1,
    1)</f>
        <v>1236.5493200000001</v>
      </c>
      <c r="M39" s="25" cm="1">
        <f t="array" ref="M39">INDEX(
    INDEX(M:M,Control!$B$29):INDEX(M:M,100000),
    MATCH($A$8,INDEX($A:$A,Control!$B$29):INDEX($A:$A,100000),0)+MATCH($D39,INDEX($D:$D,Control!$B$31):INDEX($D:$D,Control!$B$32),0)-1,
    1)</f>
        <v>1216.9944700000001</v>
      </c>
      <c r="N39" s="25" cm="1">
        <f t="array" ref="N39">INDEX(
    INDEX(N:N,Control!$B$29):INDEX(N:N,100000),
    MATCH($A$8,INDEX($A:$A,Control!$B$29):INDEX($A:$A,100000),0)+MATCH($D39,INDEX($D:$D,Control!$B$31):INDEX($D:$D,Control!$B$32),0)-1,
    1)</f>
        <v>1221.67722</v>
      </c>
      <c r="O39" s="25" cm="1">
        <f t="array" ref="O39">INDEX(
    INDEX(O:O,Control!$B$29):INDEX(O:O,100000),
    MATCH($A$8,INDEX($A:$A,Control!$B$29):INDEX($A:$A,100000),0)+MATCH($D39,INDEX($D:$D,Control!$B$31):INDEX($D:$D,Control!$B$32),0)-1,
    1)</f>
        <v>1221.45397</v>
      </c>
      <c r="P39" s="25" cm="1">
        <f t="array" ref="P39">INDEX(
    INDEX(P:P,Control!$B$29):INDEX(P:P,100000),
    MATCH($A$8,INDEX($A:$A,Control!$B$29):INDEX($A:$A,100000),0)+MATCH($D39,INDEX($D:$D,Control!$B$31):INDEX($D:$D,Control!$B$32),0)-1,
    1)</f>
        <v>1226.20244</v>
      </c>
      <c r="Q39" s="25" cm="1">
        <f t="array" ref="Q39">INDEX(
    INDEX(Q:Q,Control!$B$29):INDEX(Q:Q,100000),
    MATCH($A$8,INDEX($A:$A,Control!$B$29):INDEX($A:$A,100000),0)+MATCH($D39,INDEX($D:$D,Control!$B$31):INDEX($D:$D,Control!$B$32),0)-1,
    1)</f>
        <v>1266.7052799999999</v>
      </c>
      <c r="R39" s="25" cm="1">
        <f t="array" ref="R39">INDEX(
    INDEX(R:R,Control!$B$29):INDEX(R:R,100000),
    MATCH($A$8,INDEX($A:$A,Control!$B$29):INDEX($A:$A,100000),0)+MATCH($D39,INDEX($D:$D,Control!$B$31):INDEX($D:$D,Control!$B$32),0)-1,
    1)</f>
        <v>1268.9326900000001</v>
      </c>
      <c r="S39" s="25" cm="1">
        <f t="array" ref="S39">INDEX(
    INDEX(S:S,Control!$B$29):INDEX(S:S,100000),
    MATCH($A$8,INDEX($A:$A,Control!$B$29):INDEX($A:$A,100000),0)+MATCH($D39,INDEX($D:$D,Control!$B$31):INDEX($D:$D,Control!$B$32),0)-1,
    1)</f>
        <v>1285.5576100000001</v>
      </c>
      <c r="T39" s="25" cm="1">
        <f t="array" ref="T39">INDEX(
    INDEX(T:T,Control!$B$29):INDEX(T:T,100000),
    MATCH($A$8,INDEX($A:$A,Control!$B$29):INDEX($A:$A,100000),0)+MATCH($D39,INDEX($D:$D,Control!$B$31):INDEX($D:$D,Control!$B$32),0)-1,
    1)</f>
        <v>1283.6672100000001</v>
      </c>
      <c r="U39" s="25" cm="1">
        <f t="array" ref="U39">INDEX(
    INDEX(U:U,Control!$B$29):INDEX(U:U,100000),
    MATCH($A$8,INDEX($A:$A,Control!$B$29):INDEX($A:$A,100000),0)+MATCH($D39,INDEX($D:$D,Control!$B$31):INDEX($D:$D,Control!$B$32),0)-1,
    1)</f>
        <v>1299.11706</v>
      </c>
      <c r="V39" s="25" cm="1">
        <f t="array" ref="V39">INDEX(
    INDEX(V:V,Control!$B$29):INDEX(V:V,100000),
    MATCH($A$8,INDEX($A:$A,Control!$B$29):INDEX($A:$A,100000),0)+MATCH($D39,INDEX($D:$D,Control!$B$31):INDEX($D:$D,Control!$B$32),0)-1,
    1)</f>
        <v>1328.258</v>
      </c>
      <c r="W39" s="25" cm="1">
        <f t="array" ref="W39">INDEX(
    INDEX(W:W,Control!$B$29):INDEX(W:W,100000),
    MATCH($A$8,INDEX($A:$A,Control!$B$29):INDEX($A:$A,100000),0)+MATCH($D39,INDEX($D:$D,Control!$B$31):INDEX($D:$D,Control!$B$32),0)-1,
    1)</f>
        <v>1322.54783</v>
      </c>
      <c r="X39" s="25" cm="1">
        <f t="array" ref="X39">INDEX(
    INDEX(X:X,Control!$B$29):INDEX(X:X,100000),
    MATCH($A$8,INDEX($A:$A,Control!$B$29):INDEX($A:$A,100000),0)+MATCH($D39,INDEX($D:$D,Control!$B$31):INDEX($D:$D,Control!$B$32),0)-1,
    1)</f>
        <v>1068.95965</v>
      </c>
      <c r="Y39" s="25" cm="1">
        <f t="array" ref="Y39">INDEX(
    INDEX(Y:Y,Control!$B$29):INDEX(Y:Y,100000),
    MATCH($A$8,INDEX($A:$A,Control!$B$29):INDEX($A:$A,100000),0)+MATCH($D39,INDEX($D:$D,Control!$B$31):INDEX($D:$D,Control!$B$32),0)-1,
    1)</f>
        <v>1125.99649</v>
      </c>
      <c r="Z39" s="25" cm="1">
        <f t="array" ref="Z39">INDEX(
    INDEX(Z:Z,Control!$B$29):INDEX(Z:Z,100000),
    MATCH($A$8,INDEX($A:$A,Control!$B$29):INDEX($A:$A,100000),0)+MATCH($D39,INDEX($D:$D,Control!$B$31):INDEX($D:$D,Control!$B$32),0)-1,
    1)</f>
        <v>1140.0479700000001</v>
      </c>
      <c r="AA39" s="25" cm="1">
        <f t="array" ref="AA39">INDEX(
    INDEX(AA:AA,Control!$B$29):INDEX(AA:AA,100000),
    MATCH($A$8,INDEX($A:$A,Control!$B$29):INDEX($A:$A,100000),0)+MATCH($D39,INDEX($D:$D,Control!$B$31):INDEX($D:$D,Control!$B$32),0)-1,
    1)</f>
        <v>1192.7982999999999</v>
      </c>
      <c r="AB39" s="25" cm="1">
        <f t="array" ref="AB39">INDEX(
    INDEX(AB:AB,Control!$B$29):INDEX(AB:AB,100000),
    MATCH($A$8,INDEX($A:$A,Control!$B$29):INDEX($A:$A,100000),0)+MATCH($D39,INDEX($D:$D,Control!$B$31):INDEX($D:$D,Control!$B$32),0)-1,
    1)</f>
        <v>1243.04719</v>
      </c>
      <c r="AC39" s="25" cm="1">
        <f t="array" ref="AC39">INDEX(
    INDEX(AC:AC,Control!$B$29):INDEX(AC:AC,100000),
    MATCH($A$8,INDEX($A:$A,Control!$B$29):INDEX($A:$A,100000),0)+MATCH($D39,INDEX($D:$D,Control!$B$31):INDEX($D:$D,Control!$B$32),0)-1,
    1)</f>
        <v>1256.76854</v>
      </c>
      <c r="AD39" s="25" cm="1">
        <f t="array" ref="AD39">INDEX(
    INDEX(AD:AD,Control!$B$29):INDEX(AD:AD,100000),
    MATCH($A$8,INDEX($A:$A,Control!$B$29):INDEX($A:$A,100000),0)+MATCH($D39,INDEX($D:$D,Control!$B$31):INDEX($D:$D,Control!$B$32),0)-1,
    1)</f>
        <v>1277.88643</v>
      </c>
      <c r="AE39" s="25" cm="1">
        <f t="array" ref="AE39">INDEX(
    INDEX(AE:AE,Control!$B$29):INDEX(AE:AE,100000),
    MATCH($A$8,INDEX($A:$A,Control!$B$29):INDEX($A:$A,100000),0)+MATCH($D39,INDEX($D:$D,Control!$B$31):INDEX($D:$D,Control!$B$32),0)-1,
    1)</f>
        <v>1302.35394</v>
      </c>
      <c r="AF39" s="25" cm="1">
        <f t="array" ref="AF39">INDEX(
    INDEX(AF:AF,Control!$B$29):INDEX(AF:AF,100000),
    MATCH($A$8,INDEX($A:$A,Control!$B$29):INDEX($A:$A,100000),0)+MATCH($D39,INDEX($D:$D,Control!$B$31):INDEX($D:$D,Control!$B$32),0)-1,
    1)</f>
        <v>1322.86212</v>
      </c>
      <c r="AG39" s="25" cm="1">
        <f t="array" ref="AG39">INDEX(
    INDEX(AG:AG,Control!$B$29):INDEX(AG:AG,100000),
    MATCH($A$8,INDEX($A:$A,Control!$B$29):INDEX($A:$A,100000),0)+MATCH($D39,INDEX($D:$D,Control!$B$31):INDEX($D:$D,Control!$B$32),0)-1,
    1)</f>
        <v>1318.4688900000001</v>
      </c>
      <c r="AH39" s="25" cm="1">
        <f t="array" ref="AH39">INDEX(
    INDEX(AH:AH,Control!$B$29):INDEX(AH:AH,100000),
    MATCH($A$8,INDEX($A:$A,Control!$B$29):INDEX($A:$A,100000),0)+MATCH($D39,INDEX($D:$D,Control!$B$31):INDEX($D:$D,Control!$B$32),0)-1,
    1)</f>
        <v>1332.66128</v>
      </c>
      <c r="AI39" s="25" cm="1">
        <f t="array" ref="AI39">INDEX(
    INDEX(AI:AI,Control!$B$29):INDEX(AI:AI,100000),
    MATCH($A$8,INDEX($A:$A,Control!$B$29):INDEX($A:$A,100000),0)+MATCH($D39,INDEX($D:$D,Control!$B$31):INDEX($D:$D,Control!$B$32),0)-1,
    1)</f>
        <v>1347.4358</v>
      </c>
      <c r="AJ39" s="25" cm="1">
        <f t="array" ref="AJ39">INDEX(
    INDEX(AJ:AJ,Control!$B$29):INDEX(AJ:AJ,100000),
    MATCH($A$8,INDEX($A:$A,Control!$B$29):INDEX($A:$A,100000),0)+MATCH($D39,INDEX($D:$D,Control!$B$31):INDEX($D:$D,Control!$B$32),0)-1,
    1)</f>
        <v>1362.70499</v>
      </c>
      <c r="AK39" s="25" cm="1">
        <f t="array" ref="AK39">INDEX(
    INDEX(AK:AK,Control!$B$29):INDEX(AK:AK,100000),
    MATCH($A$8,INDEX($A:$A,Control!$B$29):INDEX($A:$A,100000),0)+MATCH($D39,INDEX($D:$D,Control!$B$31):INDEX($D:$D,Control!$B$32),0)-1,
    1)</f>
        <v>1365.35599</v>
      </c>
      <c r="AL39" s="25" cm="1">
        <f t="array" ref="AL39">INDEX(
    INDEX(AL:AL,Control!$B$29):INDEX(AL:AL,100000),
    MATCH($A$8,INDEX($A:$A,Control!$B$29):INDEX($A:$A,100000),0)+MATCH($D39,INDEX($D:$D,Control!$B$31):INDEX($D:$D,Control!$B$32),0)-1,
    1)</f>
        <v>1354.2091600000001</v>
      </c>
      <c r="AM39" s="25" cm="1">
        <f t="array" ref="AM39">INDEX(
    INDEX(AM:AM,Control!$B$29):INDEX(AM:AM,100000),
    MATCH($A$8,INDEX($A:$A,Control!$B$29):INDEX($A:$A,100000),0)+MATCH($D39,INDEX($D:$D,Control!$B$31):INDEX($D:$D,Control!$B$32),0)-1,
    1)</f>
        <v>1351.4215799999999</v>
      </c>
      <c r="AN39" s="25" cm="1">
        <f t="array" ref="AN39">INDEX(
    INDEX(AN:AN,Control!$B$29):INDEX(AN:AN,100000),
    MATCH($A$8,INDEX($A:$A,Control!$B$29):INDEX($A:$A,100000),0)+MATCH($D39,INDEX($D:$D,Control!$B$31):INDEX($D:$D,Control!$B$32),0)-1,
    1)</f>
        <v>1364.3469299999999</v>
      </c>
    </row>
    <row r="40" spans="3:40" x14ac:dyDescent="0.35">
      <c r="C40" s="292" t="s">
        <v>230</v>
      </c>
      <c r="D40" s="21" t="s">
        <v>360</v>
      </c>
      <c r="E40" s="21" t="s">
        <v>221</v>
      </c>
      <c r="F40" s="25" cm="1">
        <f t="array" ref="F40">INDEX(
    INDEX(F:F,Control!$B$29):INDEX(F:F,100000),
    MATCH($A$8,INDEX($A:$A,Control!$B$29):INDEX($A:$A,100000),0)+MATCH($D40,INDEX($D:$D,Control!$B$31):INDEX($D:$D,Control!$B$32),0)-1,
    1)</f>
        <v>0</v>
      </c>
      <c r="G40" s="25" cm="1">
        <f t="array" ref="G40">INDEX(
    INDEX(G:G,Control!$B$29):INDEX(G:G,100000),
    MATCH($A$8,INDEX($A:$A,Control!$B$29):INDEX($A:$A,100000),0)+MATCH($D40,INDEX($D:$D,Control!$B$31):INDEX($D:$D,Control!$B$32),0)-1,
    1)</f>
        <v>650.42989999999998</v>
      </c>
      <c r="H40" s="25" cm="1">
        <f t="array" ref="H40">INDEX(
    INDEX(H:H,Control!$B$29):INDEX(H:H,100000),
    MATCH($A$8,INDEX($A:$A,Control!$B$29):INDEX($A:$A,100000),0)+MATCH($D40,INDEX($D:$D,Control!$B$31):INDEX($D:$D,Control!$B$32),0)-1,
    1)</f>
        <v>639.81939999999997</v>
      </c>
      <c r="I40" s="25" cm="1">
        <f t="array" ref="I40">INDEX(
    INDEX(I:I,Control!$B$29):INDEX(I:I,100000),
    MATCH($A$8,INDEX($A:$A,Control!$B$29):INDEX($A:$A,100000),0)+MATCH($D40,INDEX($D:$D,Control!$B$31):INDEX($D:$D,Control!$B$32),0)-1,
    1)</f>
        <v>617.58729000000005</v>
      </c>
      <c r="J40" s="25" cm="1">
        <f t="array" ref="J40">INDEX(
    INDEX(J:J,Control!$B$29):INDEX(J:J,100000),
    MATCH($A$8,INDEX($A:$A,Control!$B$29):INDEX($A:$A,100000),0)+MATCH($D40,INDEX($D:$D,Control!$B$31):INDEX($D:$D,Control!$B$32),0)-1,
    1)</f>
        <v>597.34502999999995</v>
      </c>
      <c r="K40" s="25" cm="1">
        <f t="array" ref="K40">INDEX(
    INDEX(K:K,Control!$B$29):INDEX(K:K,100000),
    MATCH($A$8,INDEX($A:$A,Control!$B$29):INDEX($A:$A,100000),0)+MATCH($D40,INDEX($D:$D,Control!$B$31):INDEX($D:$D,Control!$B$32),0)-1,
    1)</f>
        <v>594.61374999999998</v>
      </c>
      <c r="L40" s="25" cm="1">
        <f t="array" ref="L40">INDEX(
    INDEX(L:L,Control!$B$29):INDEX(L:L,100000),
    MATCH($A$8,INDEX($A:$A,Control!$B$29):INDEX($A:$A,100000),0)+MATCH($D40,INDEX($D:$D,Control!$B$31):INDEX($D:$D,Control!$B$32),0)-1,
    1)</f>
        <v>578.72148000000004</v>
      </c>
      <c r="M40" s="25" cm="1">
        <f t="array" ref="M40">INDEX(
    INDEX(M:M,Control!$B$29):INDEX(M:M,100000),
    MATCH($A$8,INDEX($A:$A,Control!$B$29):INDEX($A:$A,100000),0)+MATCH($D40,INDEX($D:$D,Control!$B$31):INDEX($D:$D,Control!$B$32),0)-1,
    1)</f>
        <v>591.21184000000005</v>
      </c>
      <c r="N40" s="25" cm="1">
        <f t="array" ref="N40">INDEX(
    INDEX(N:N,Control!$B$29):INDEX(N:N,100000),
    MATCH($A$8,INDEX($A:$A,Control!$B$29):INDEX($A:$A,100000),0)+MATCH($D40,INDEX($D:$D,Control!$B$31):INDEX($D:$D,Control!$B$32),0)-1,
    1)</f>
        <v>581.89769999999999</v>
      </c>
      <c r="O40" s="25" cm="1">
        <f t="array" ref="O40">INDEX(
    INDEX(O:O,Control!$B$29):INDEX(O:O,100000),
    MATCH($A$8,INDEX($A:$A,Control!$B$29):INDEX($A:$A,100000),0)+MATCH($D40,INDEX($D:$D,Control!$B$31):INDEX($D:$D,Control!$B$32),0)-1,
    1)</f>
        <v>581.90030000000002</v>
      </c>
      <c r="P40" s="25" cm="1">
        <f t="array" ref="P40">INDEX(
    INDEX(P:P,Control!$B$29):INDEX(P:P,100000),
    MATCH($A$8,INDEX($A:$A,Control!$B$29):INDEX($A:$A,100000),0)+MATCH($D40,INDEX($D:$D,Control!$B$31):INDEX($D:$D,Control!$B$32),0)-1,
    1)</f>
        <v>577.28048000000001</v>
      </c>
      <c r="Q40" s="25" cm="1">
        <f t="array" ref="Q40">INDEX(
    INDEX(Q:Q,Control!$B$29):INDEX(Q:Q,100000),
    MATCH($A$8,INDEX($A:$A,Control!$B$29):INDEX($A:$A,100000),0)+MATCH($D40,INDEX($D:$D,Control!$B$31):INDEX($D:$D,Control!$B$32),0)-1,
    1)</f>
        <v>538.78369999999995</v>
      </c>
      <c r="R40" s="25" cm="1">
        <f t="array" ref="R40">INDEX(
    INDEX(R:R,Control!$B$29):INDEX(R:R,100000),
    MATCH($A$8,INDEX($A:$A,Control!$B$29):INDEX($A:$A,100000),0)+MATCH($D40,INDEX($D:$D,Control!$B$31):INDEX($D:$D,Control!$B$32),0)-1,
    1)</f>
        <v>537.93051000000003</v>
      </c>
      <c r="S40" s="25" cm="1">
        <f t="array" ref="S40">INDEX(
    INDEX(S:S,Control!$B$29):INDEX(S:S,100000),
    MATCH($A$8,INDEX($A:$A,Control!$B$29):INDEX($A:$A,100000),0)+MATCH($D40,INDEX($D:$D,Control!$B$31):INDEX($D:$D,Control!$B$32),0)-1,
    1)</f>
        <v>519.67227000000003</v>
      </c>
      <c r="T40" s="25" cm="1">
        <f t="array" ref="T40">INDEX(
    INDEX(T:T,Control!$B$29):INDEX(T:T,100000),
    MATCH($A$8,INDEX($A:$A,Control!$B$29):INDEX($A:$A,100000),0)+MATCH($D40,INDEX($D:$D,Control!$B$31):INDEX($D:$D,Control!$B$32),0)-1,
    1)</f>
        <v>524.56808000000001</v>
      </c>
      <c r="U40" s="25" cm="1">
        <f t="array" ref="U40">INDEX(
    INDEX(U:U,Control!$B$29):INDEX(U:U,100000),
    MATCH($A$8,INDEX($A:$A,Control!$B$29):INDEX($A:$A,100000),0)+MATCH($D40,INDEX($D:$D,Control!$B$31):INDEX($D:$D,Control!$B$32),0)-1,
    1)</f>
        <v>507.64389999999997</v>
      </c>
      <c r="V40" s="25" cm="1">
        <f t="array" ref="V40">INDEX(
    INDEX(V:V,Control!$B$29):INDEX(V:V,100000),
    MATCH($A$8,INDEX($A:$A,Control!$B$29):INDEX($A:$A,100000),0)+MATCH($D40,INDEX($D:$D,Control!$B$31):INDEX($D:$D,Control!$B$32),0)-1,
    1)</f>
        <v>479.07997</v>
      </c>
      <c r="W40" s="25" cm="1">
        <f t="array" ref="W40">INDEX(
    INDEX(W:W,Control!$B$29):INDEX(W:W,100000),
    MATCH($A$8,INDEX($A:$A,Control!$B$29):INDEX($A:$A,100000),0)+MATCH($D40,INDEX($D:$D,Control!$B$31):INDEX($D:$D,Control!$B$32),0)-1,
    1)</f>
        <v>487.27325999999999</v>
      </c>
      <c r="X40" s="25" cm="1">
        <f t="array" ref="X40">INDEX(
    INDEX(X:X,Control!$B$29):INDEX(X:X,100000),
    MATCH($A$8,INDEX($A:$A,Control!$B$29):INDEX($A:$A,100000),0)+MATCH($D40,INDEX($D:$D,Control!$B$31):INDEX($D:$D,Control!$B$32),0)-1,
    1)</f>
        <v>740.30918999999994</v>
      </c>
      <c r="Y40" s="25" cm="1">
        <f t="array" ref="Y40">INDEX(
    INDEX(Y:Y,Control!$B$29):INDEX(Y:Y,100000),
    MATCH($A$8,INDEX($A:$A,Control!$B$29):INDEX($A:$A,100000),0)+MATCH($D40,INDEX($D:$D,Control!$B$31):INDEX($D:$D,Control!$B$32),0)-1,
    1)</f>
        <v>680.23478999999998</v>
      </c>
      <c r="Z40" s="25" cm="1">
        <f t="array" ref="Z40">INDEX(
    INDEX(Z:Z,Control!$B$29):INDEX(Z:Z,100000),
    MATCH($A$8,INDEX($A:$A,Control!$B$29):INDEX($A:$A,100000),0)+MATCH($D40,INDEX($D:$D,Control!$B$31):INDEX($D:$D,Control!$B$32),0)-1,
    1)</f>
        <v>665.97215000000006</v>
      </c>
      <c r="AA40" s="25" cm="1">
        <f t="array" ref="AA40">INDEX(
    INDEX(AA:AA,Control!$B$29):INDEX(AA:AA,100000),
    MATCH($A$8,INDEX($A:$A,Control!$B$29):INDEX($A:$A,100000),0)+MATCH($D40,INDEX($D:$D,Control!$B$31):INDEX($D:$D,Control!$B$32),0)-1,
    1)</f>
        <v>613.33527000000004</v>
      </c>
      <c r="AB40" s="25" cm="1">
        <f t="array" ref="AB40">INDEX(
    INDEX(AB:AB,Control!$B$29):INDEX(AB:AB,100000),
    MATCH($A$8,INDEX($A:$A,Control!$B$29):INDEX($A:$A,100000),0)+MATCH($D40,INDEX($D:$D,Control!$B$31):INDEX($D:$D,Control!$B$32),0)-1,
    1)</f>
        <v>567.89018999999996</v>
      </c>
      <c r="AC40" s="25" cm="1">
        <f t="array" ref="AC40">INDEX(
    INDEX(AC:AC,Control!$B$29):INDEX(AC:AC,100000),
    MATCH($A$8,INDEX($A:$A,Control!$B$29):INDEX($A:$A,100000),0)+MATCH($D40,INDEX($D:$D,Control!$B$31):INDEX($D:$D,Control!$B$32),0)-1,
    1)</f>
        <v>554.23329999999999</v>
      </c>
      <c r="AD40" s="25" cm="1">
        <f t="array" ref="AD40">INDEX(
    INDEX(AD:AD,Control!$B$29):INDEX(AD:AD,100000),
    MATCH($A$8,INDEX($A:$A,Control!$B$29):INDEX($A:$A,100000),0)+MATCH($D40,INDEX($D:$D,Control!$B$31):INDEX($D:$D,Control!$B$32),0)-1,
    1)</f>
        <v>532.09253000000001</v>
      </c>
      <c r="AE40" s="25" cm="1">
        <f t="array" ref="AE40">INDEX(
    INDEX(AE:AE,Control!$B$29):INDEX(AE:AE,100000),
    MATCH($A$8,INDEX($A:$A,Control!$B$29):INDEX($A:$A,100000),0)+MATCH($D40,INDEX($D:$D,Control!$B$31):INDEX($D:$D,Control!$B$32),0)-1,
    1)</f>
        <v>508.01450999999997</v>
      </c>
      <c r="AF40" s="25" cm="1">
        <f t="array" ref="AF40">INDEX(
    INDEX(AF:AF,Control!$B$29):INDEX(AF:AF,100000),
    MATCH($A$8,INDEX($A:$A,Control!$B$29):INDEX($A:$A,100000),0)+MATCH($D40,INDEX($D:$D,Control!$B$31):INDEX($D:$D,Control!$B$32),0)-1,
    1)</f>
        <v>485.78710000000001</v>
      </c>
      <c r="AG40" s="25" cm="1">
        <f t="array" ref="AG40">INDEX(
    INDEX(AG:AG,Control!$B$29):INDEX(AG:AG,100000),
    MATCH($A$8,INDEX($A:$A,Control!$B$29):INDEX($A:$A,100000),0)+MATCH($D40,INDEX($D:$D,Control!$B$31):INDEX($D:$D,Control!$B$32),0)-1,
    1)</f>
        <v>489.82706999999999</v>
      </c>
      <c r="AH40" s="25" cm="1">
        <f t="array" ref="AH40">INDEX(
    INDEX(AH:AH,Control!$B$29):INDEX(AH:AH,100000),
    MATCH($A$8,INDEX($A:$A,Control!$B$29):INDEX($A:$A,100000),0)+MATCH($D40,INDEX($D:$D,Control!$B$31):INDEX($D:$D,Control!$B$32),0)-1,
    1)</f>
        <v>475.80144000000001</v>
      </c>
      <c r="AI40" s="25" cm="1">
        <f t="array" ref="AI40">INDEX(
    INDEX(AI:AI,Control!$B$29):INDEX(AI:AI,100000),
    MATCH($A$8,INDEX($A:$A,Control!$B$29):INDEX($A:$A,100000),0)+MATCH($D40,INDEX($D:$D,Control!$B$31):INDEX($D:$D,Control!$B$32),0)-1,
    1)</f>
        <v>461.76350000000002</v>
      </c>
      <c r="AJ40" s="25" cm="1">
        <f t="array" ref="AJ40">INDEX(
    INDEX(AJ:AJ,Control!$B$29):INDEX(AJ:AJ,100000),
    MATCH($A$8,INDEX($A:$A,Control!$B$29):INDEX($A:$A,100000),0)+MATCH($D40,INDEX($D:$D,Control!$B$31):INDEX($D:$D,Control!$B$32),0)-1,
    1)</f>
        <v>446.26794000000001</v>
      </c>
      <c r="AK40" s="25" cm="1">
        <f t="array" ref="AK40">INDEX(
    INDEX(AK:AK,Control!$B$29):INDEX(AK:AK,100000),
    MATCH($A$8,INDEX($A:$A,Control!$B$29):INDEX($A:$A,100000),0)+MATCH($D40,INDEX($D:$D,Control!$B$31):INDEX($D:$D,Control!$B$32),0)-1,
    1)</f>
        <v>442.94922000000003</v>
      </c>
      <c r="AL40" s="25" cm="1">
        <f t="array" ref="AL40">INDEX(
    INDEX(AL:AL,Control!$B$29):INDEX(AL:AL,100000),
    MATCH($A$8,INDEX($A:$A,Control!$B$29):INDEX($A:$A,100000),0)+MATCH($D40,INDEX($D:$D,Control!$B$31):INDEX($D:$D,Control!$B$32),0)-1,
    1)</f>
        <v>454.38544999999999</v>
      </c>
      <c r="AM40" s="25" cm="1">
        <f t="array" ref="AM40">INDEX(
    INDEX(AM:AM,Control!$B$29):INDEX(AM:AM,100000),
    MATCH($A$8,INDEX($A:$A,Control!$B$29):INDEX($A:$A,100000),0)+MATCH($D40,INDEX($D:$D,Control!$B$31):INDEX($D:$D,Control!$B$32),0)-1,
    1)</f>
        <v>456.79347999999999</v>
      </c>
      <c r="AN40" s="25" cm="1">
        <f t="array" ref="AN40">INDEX(
    INDEX(AN:AN,Control!$B$29):INDEX(AN:AN,100000),
    MATCH($A$8,INDEX($A:$A,Control!$B$29):INDEX($A:$A,100000),0)+MATCH($D40,INDEX($D:$D,Control!$B$31):INDEX($D:$D,Control!$B$32),0)-1,
    1)</f>
        <v>441.77614</v>
      </c>
    </row>
    <row r="41" spans="3:40" x14ac:dyDescent="0.35">
      <c r="C41" s="292" t="s">
        <v>230</v>
      </c>
      <c r="D41" s="36" t="s">
        <v>361</v>
      </c>
      <c r="E41" s="43" t="s">
        <v>221</v>
      </c>
      <c r="F41" s="261" cm="1">
        <f t="array" ref="F41">INDEX(
    INDEX(F:F,Control!$B$29):INDEX(F:F,100000),
    MATCH($A$8,INDEX($A:$A,Control!$B$29):INDEX($A:$A,100000),0)+MATCH($D41,INDEX($D:$D,Control!$B$31):INDEX($D:$D,Control!$B$32),0)-1,
    1)</f>
        <v>0</v>
      </c>
      <c r="G41" s="261" cm="1">
        <f t="array" ref="G41">INDEX(
    INDEX(G:G,Control!$B$29):INDEX(G:G,100000),
    MATCH($A$8,INDEX($A:$A,Control!$B$29):INDEX($A:$A,100000),0)+MATCH($D41,INDEX($D:$D,Control!$B$31):INDEX($D:$D,Control!$B$32),0)-1,
    1)</f>
        <v>1862.7052100000001</v>
      </c>
      <c r="H41" s="261" cm="1">
        <f t="array" ref="H41">INDEX(
    INDEX(H:H,Control!$B$29):INDEX(H:H,100000),
    MATCH($A$8,INDEX($A:$A,Control!$B$29):INDEX($A:$A,100000),0)+MATCH($D41,INDEX($D:$D,Control!$B$31):INDEX($D:$D,Control!$B$32),0)-1,
    1)</f>
        <v>1863.4413999999999</v>
      </c>
      <c r="I41" s="261" cm="1">
        <f t="array" ref="I41">INDEX(
    INDEX(I:I,Control!$B$29):INDEX(I:I,100000),
    MATCH($A$8,INDEX($A:$A,Control!$B$29):INDEX($A:$A,100000),0)+MATCH($D41,INDEX($D:$D,Control!$B$31):INDEX($D:$D,Control!$B$32),0)-1,
    1)</f>
        <v>1862.7052100000001</v>
      </c>
      <c r="J41" s="261" cm="1">
        <f t="array" ref="J41">INDEX(
    INDEX(J:J,Control!$B$29):INDEX(J:J,100000),
    MATCH($A$8,INDEX($A:$A,Control!$B$29):INDEX($A:$A,100000),0)+MATCH($D41,INDEX($D:$D,Control!$B$31):INDEX($D:$D,Control!$B$32),0)-1,
    1)</f>
        <v>1862.7052100000001</v>
      </c>
      <c r="K41" s="261" cm="1">
        <f t="array" ref="K41">INDEX(
    INDEX(K:K,Control!$B$29):INDEX(K:K,100000),
    MATCH($A$8,INDEX($A:$A,Control!$B$29):INDEX($A:$A,100000),0)+MATCH($D41,INDEX($D:$D,Control!$B$31):INDEX($D:$D,Control!$B$32),0)-1,
    1)</f>
        <v>1862.7052100000001</v>
      </c>
      <c r="L41" s="261" cm="1">
        <f t="array" ref="L41">INDEX(
    INDEX(L:L,Control!$B$29):INDEX(L:L,100000),
    MATCH($A$8,INDEX($A:$A,Control!$B$29):INDEX($A:$A,100000),0)+MATCH($D41,INDEX($D:$D,Control!$B$31):INDEX($D:$D,Control!$B$32),0)-1,
    1)</f>
        <v>1863.4413999999999</v>
      </c>
      <c r="M41" s="261" cm="1">
        <f t="array" ref="M41">INDEX(
    INDEX(M:M,Control!$B$29):INDEX(M:M,100000),
    MATCH($A$8,INDEX($A:$A,Control!$B$29):INDEX($A:$A,100000),0)+MATCH($D41,INDEX($D:$D,Control!$B$31):INDEX($D:$D,Control!$B$32),0)-1,
    1)</f>
        <v>1862.7052100000001</v>
      </c>
      <c r="N41" s="261" cm="1">
        <f t="array" ref="N41">INDEX(
    INDEX(N:N,Control!$B$29):INDEX(N:N,100000),
    MATCH($A$8,INDEX($A:$A,Control!$B$29):INDEX($A:$A,100000),0)+MATCH($D41,INDEX($D:$D,Control!$B$31):INDEX($D:$D,Control!$B$32),0)-1,
    1)</f>
        <v>1862.7052100000001</v>
      </c>
      <c r="O41" s="261" cm="1">
        <f t="array" ref="O41">INDEX(
    INDEX(O:O,Control!$B$29):INDEX(O:O,100000),
    MATCH($A$8,INDEX($A:$A,Control!$B$29):INDEX($A:$A,100000),0)+MATCH($D41,INDEX($D:$D,Control!$B$31):INDEX($D:$D,Control!$B$32),0)-1,
    1)</f>
        <v>1862.7052100000001</v>
      </c>
      <c r="P41" s="261" cm="1">
        <f t="array" ref="P41">INDEX(
    INDEX(P:P,Control!$B$29):INDEX(P:P,100000),
    MATCH($A$8,INDEX($A:$A,Control!$B$29):INDEX($A:$A,100000),0)+MATCH($D41,INDEX($D:$D,Control!$B$31):INDEX($D:$D,Control!$B$32),0)-1,
    1)</f>
        <v>1863.4413999999999</v>
      </c>
      <c r="Q41" s="261" cm="1">
        <f t="array" ref="Q41">INDEX(
    INDEX(Q:Q,Control!$B$29):INDEX(Q:Q,100000),
    MATCH($A$8,INDEX($A:$A,Control!$B$29):INDEX($A:$A,100000),0)+MATCH($D41,INDEX($D:$D,Control!$B$31):INDEX($D:$D,Control!$B$32),0)-1,
    1)</f>
        <v>1862.7052100000001</v>
      </c>
      <c r="R41" s="261" cm="1">
        <f t="array" ref="R41">INDEX(
    INDEX(R:R,Control!$B$29):INDEX(R:R,100000),
    MATCH($A$8,INDEX($A:$A,Control!$B$29):INDEX($A:$A,100000),0)+MATCH($D41,INDEX($D:$D,Control!$B$31):INDEX($D:$D,Control!$B$32),0)-1,
    1)</f>
        <v>1862.7052100000001</v>
      </c>
      <c r="S41" s="261" cm="1">
        <f t="array" ref="S41">INDEX(
    INDEX(S:S,Control!$B$29):INDEX(S:S,100000),
    MATCH($A$8,INDEX($A:$A,Control!$B$29):INDEX($A:$A,100000),0)+MATCH($D41,INDEX($D:$D,Control!$B$31):INDEX($D:$D,Control!$B$32),0)-1,
    1)</f>
        <v>1862.7052100000001</v>
      </c>
      <c r="T41" s="261" cm="1">
        <f t="array" ref="T41">INDEX(
    INDEX(T:T,Control!$B$29):INDEX(T:T,100000),
    MATCH($A$8,INDEX($A:$A,Control!$B$29):INDEX($A:$A,100000),0)+MATCH($D41,INDEX($D:$D,Control!$B$31):INDEX($D:$D,Control!$B$32),0)-1,
    1)</f>
        <v>1863.4413999999999</v>
      </c>
      <c r="U41" s="261" cm="1">
        <f t="array" ref="U41">INDEX(
    INDEX(U:U,Control!$B$29):INDEX(U:U,100000),
    MATCH($A$8,INDEX($A:$A,Control!$B$29):INDEX($A:$A,100000),0)+MATCH($D41,INDEX($D:$D,Control!$B$31):INDEX($D:$D,Control!$B$32),0)-1,
    1)</f>
        <v>1862.7052100000001</v>
      </c>
      <c r="V41" s="261" cm="1">
        <f t="array" ref="V41">INDEX(
    INDEX(V:V,Control!$B$29):INDEX(V:V,100000),
    MATCH($A$8,INDEX($A:$A,Control!$B$29):INDEX($A:$A,100000),0)+MATCH($D41,INDEX($D:$D,Control!$B$31):INDEX($D:$D,Control!$B$32),0)-1,
    1)</f>
        <v>1862.7052100000001</v>
      </c>
      <c r="W41" s="261" cm="1">
        <f t="array" ref="W41">INDEX(
    INDEX(W:W,Control!$B$29):INDEX(W:W,100000),
    MATCH($A$8,INDEX($A:$A,Control!$B$29):INDEX($A:$A,100000),0)+MATCH($D41,INDEX($D:$D,Control!$B$31):INDEX($D:$D,Control!$B$32),0)-1,
    1)</f>
        <v>1862.7052100000001</v>
      </c>
      <c r="X41" s="261" cm="1">
        <f t="array" ref="X41">INDEX(
    INDEX(X:X,Control!$B$29):INDEX(X:X,100000),
    MATCH($A$8,INDEX($A:$A,Control!$B$29):INDEX($A:$A,100000),0)+MATCH($D41,INDEX($D:$D,Control!$B$31):INDEX($D:$D,Control!$B$32),0)-1,
    1)</f>
        <v>1863.4413999999999</v>
      </c>
      <c r="Y41" s="261" cm="1">
        <f t="array" ref="Y41">INDEX(
    INDEX(Y:Y,Control!$B$29):INDEX(Y:Y,100000),
    MATCH($A$8,INDEX($A:$A,Control!$B$29):INDEX($A:$A,100000),0)+MATCH($D41,INDEX($D:$D,Control!$B$31):INDEX($D:$D,Control!$B$32),0)-1,
    1)</f>
        <v>1862.7052100000001</v>
      </c>
      <c r="Z41" s="261" cm="1">
        <f t="array" ref="Z41">INDEX(
    INDEX(Z:Z,Control!$B$29):INDEX(Z:Z,100000),
    MATCH($A$8,INDEX($A:$A,Control!$B$29):INDEX($A:$A,100000),0)+MATCH($D41,INDEX($D:$D,Control!$B$31):INDEX($D:$D,Control!$B$32),0)-1,
    1)</f>
        <v>1862.7052100000001</v>
      </c>
      <c r="AA41" s="261" cm="1">
        <f t="array" ref="AA41">INDEX(
    INDEX(AA:AA,Control!$B$29):INDEX(AA:AA,100000),
    MATCH($A$8,INDEX($A:$A,Control!$B$29):INDEX($A:$A,100000),0)+MATCH($D41,INDEX($D:$D,Control!$B$31):INDEX($D:$D,Control!$B$32),0)-1,
    1)</f>
        <v>1862.7052100000001</v>
      </c>
      <c r="AB41" s="261" cm="1">
        <f t="array" ref="AB41">INDEX(
    INDEX(AB:AB,Control!$B$29):INDEX(AB:AB,100000),
    MATCH($A$8,INDEX($A:$A,Control!$B$29):INDEX($A:$A,100000),0)+MATCH($D41,INDEX($D:$D,Control!$B$31):INDEX($D:$D,Control!$B$32),0)-1,
    1)</f>
        <v>1863.4413999999999</v>
      </c>
      <c r="AC41" s="261" cm="1">
        <f t="array" ref="AC41">INDEX(
    INDEX(AC:AC,Control!$B$29):INDEX(AC:AC,100000),
    MATCH($A$8,INDEX($A:$A,Control!$B$29):INDEX($A:$A,100000),0)+MATCH($D41,INDEX($D:$D,Control!$B$31):INDEX($D:$D,Control!$B$32),0)-1,
    1)</f>
        <v>1862.7052100000001</v>
      </c>
      <c r="AD41" s="261" cm="1">
        <f t="array" ref="AD41">INDEX(
    INDEX(AD:AD,Control!$B$29):INDEX(AD:AD,100000),
    MATCH($A$8,INDEX($A:$A,Control!$B$29):INDEX($A:$A,100000),0)+MATCH($D41,INDEX($D:$D,Control!$B$31):INDEX($D:$D,Control!$B$32),0)-1,
    1)</f>
        <v>1862.7052100000001</v>
      </c>
      <c r="AE41" s="261" cm="1">
        <f t="array" ref="AE41">INDEX(
    INDEX(AE:AE,Control!$B$29):INDEX(AE:AE,100000),
    MATCH($A$8,INDEX($A:$A,Control!$B$29):INDEX($A:$A,100000),0)+MATCH($D41,INDEX($D:$D,Control!$B$31):INDEX($D:$D,Control!$B$32),0)-1,
    1)</f>
        <v>1862.7052100000001</v>
      </c>
      <c r="AF41" s="261" cm="1">
        <f t="array" ref="AF41">INDEX(
    INDEX(AF:AF,Control!$B$29):INDEX(AF:AF,100000),
    MATCH($A$8,INDEX($A:$A,Control!$B$29):INDEX($A:$A,100000),0)+MATCH($D41,INDEX($D:$D,Control!$B$31):INDEX($D:$D,Control!$B$32),0)-1,
    1)</f>
        <v>1863.4413999999999</v>
      </c>
      <c r="AG41" s="261" cm="1">
        <f t="array" ref="AG41">INDEX(
    INDEX(AG:AG,Control!$B$29):INDEX(AG:AG,100000),
    MATCH($A$8,INDEX($A:$A,Control!$B$29):INDEX($A:$A,100000),0)+MATCH($D41,INDEX($D:$D,Control!$B$31):INDEX($D:$D,Control!$B$32),0)-1,
    1)</f>
        <v>1862.7052100000001</v>
      </c>
      <c r="AH41" s="261" cm="1">
        <f t="array" ref="AH41">INDEX(
    INDEX(AH:AH,Control!$B$29):INDEX(AH:AH,100000),
    MATCH($A$8,INDEX($A:$A,Control!$B$29):INDEX($A:$A,100000),0)+MATCH($D41,INDEX($D:$D,Control!$B$31):INDEX($D:$D,Control!$B$32),0)-1,
    1)</f>
        <v>1862.7052100000001</v>
      </c>
      <c r="AI41" s="261" cm="1">
        <f t="array" ref="AI41">INDEX(
    INDEX(AI:AI,Control!$B$29):INDEX(AI:AI,100000),
    MATCH($A$8,INDEX($A:$A,Control!$B$29):INDEX($A:$A,100000),0)+MATCH($D41,INDEX($D:$D,Control!$B$31):INDEX($D:$D,Control!$B$32),0)-1,
    1)</f>
        <v>1862.7052100000001</v>
      </c>
      <c r="AJ41" s="261" cm="1">
        <f t="array" ref="AJ41">INDEX(
    INDEX(AJ:AJ,Control!$B$29):INDEX(AJ:AJ,100000),
    MATCH($A$8,INDEX($A:$A,Control!$B$29):INDEX($A:$A,100000),0)+MATCH($D41,INDEX($D:$D,Control!$B$31):INDEX($D:$D,Control!$B$32),0)-1,
    1)</f>
        <v>1863.4413999999999</v>
      </c>
      <c r="AK41" s="261" cm="1">
        <f t="array" ref="AK41">INDEX(
    INDEX(AK:AK,Control!$B$29):INDEX(AK:AK,100000),
    MATCH($A$8,INDEX($A:$A,Control!$B$29):INDEX($A:$A,100000),0)+MATCH($D41,INDEX($D:$D,Control!$B$31):INDEX($D:$D,Control!$B$32),0)-1,
    1)</f>
        <v>1862.7052100000001</v>
      </c>
      <c r="AL41" s="261" cm="1">
        <f t="array" ref="AL41">INDEX(
    INDEX(AL:AL,Control!$B$29):INDEX(AL:AL,100000),
    MATCH($A$8,INDEX($A:$A,Control!$B$29):INDEX($A:$A,100000),0)+MATCH($D41,INDEX($D:$D,Control!$B$31):INDEX($D:$D,Control!$B$32),0)-1,
    1)</f>
        <v>1862.7052100000001</v>
      </c>
      <c r="AM41" s="261" cm="1">
        <f t="array" ref="AM41">INDEX(
    INDEX(AM:AM,Control!$B$29):INDEX(AM:AM,100000),
    MATCH($A$8,INDEX($A:$A,Control!$B$29):INDEX($A:$A,100000),0)+MATCH($D41,INDEX($D:$D,Control!$B$31):INDEX($D:$D,Control!$B$32),0)-1,
    1)</f>
        <v>1862.7052100000001</v>
      </c>
      <c r="AN41" s="261" cm="1">
        <f t="array" ref="AN41">INDEX(
    INDEX(AN:AN,Control!$B$29):INDEX(AN:AN,100000),
    MATCH($A$8,INDEX($A:$A,Control!$B$29):INDEX($A:$A,100000),0)+MATCH($D41,INDEX($D:$D,Control!$B$31):INDEX($D:$D,Control!$B$32),0)-1,
    1)</f>
        <v>1863.4413999999999</v>
      </c>
    </row>
    <row r="42" spans="3:40" x14ac:dyDescent="0.35">
      <c r="C42" s="296" t="s">
        <v>450</v>
      </c>
      <c r="D42" s="21" t="s">
        <v>222</v>
      </c>
      <c r="E42" s="21" t="s">
        <v>223</v>
      </c>
      <c r="F42" s="25" cm="1">
        <f t="array" ref="F42">INDEX(
    INDEX(F:F,Control!$B$29):INDEX(F:F,100000),
    MATCH($A$8,INDEX($A:$A,Control!$B$29):INDEX($A:$A,100000),0)+MATCH($D42,INDEX($D:$D,Control!$B$31):INDEX($D:$D,Control!$B$32),0)-1,
    1)</f>
        <v>0</v>
      </c>
      <c r="G42" s="25" cm="1">
        <f t="array" ref="G42">INDEX(
    INDEX(G:G,Control!$B$29):INDEX(G:G,100000),
    MATCH($A$8,INDEX($A:$A,Control!$B$29):INDEX($A:$A,100000),0)+MATCH($D42,INDEX($D:$D,Control!$B$31):INDEX($D:$D,Control!$B$32),0)-1,
    1)</f>
        <v>94.578065580230501</v>
      </c>
      <c r="H42" s="25" cm="1">
        <f t="array" ref="H42">INDEX(
    INDEX(H:H,Control!$B$29):INDEX(H:H,100000),
    MATCH($A$8,INDEX($A:$A,Control!$B$29):INDEX($A:$A,100000),0)+MATCH($D42,INDEX($D:$D,Control!$B$31):INDEX($D:$D,Control!$B$32),0)-1,
    1)</f>
        <v>85.123478744779106</v>
      </c>
      <c r="I42" s="25" cm="1">
        <f t="array" ref="I42">INDEX(
    INDEX(I:I,Control!$B$29):INDEX(I:I,100000),
    MATCH($A$8,INDEX($A:$A,Control!$B$29):INDEX($A:$A,100000),0)+MATCH($D42,INDEX($D:$D,Control!$B$31):INDEX($D:$D,Control!$B$32),0)-1,
    1)</f>
        <v>82.645723584520496</v>
      </c>
      <c r="J42" s="25" cm="1">
        <f t="array" ref="J42">INDEX(
    INDEX(J:J,Control!$B$29):INDEX(J:J,100000),
    MATCH($A$8,INDEX($A:$A,Control!$B$29):INDEX($A:$A,100000),0)+MATCH($D42,INDEX($D:$D,Control!$B$31):INDEX($D:$D,Control!$B$32),0)-1,
    1)</f>
        <v>74.076497775124594</v>
      </c>
      <c r="K42" s="25" cm="1">
        <f t="array" ref="K42">INDEX(
    INDEX(K:K,Control!$B$29):INDEX(K:K,100000),
    MATCH($A$8,INDEX($A:$A,Control!$B$29):INDEX($A:$A,100000),0)+MATCH($D42,INDEX($D:$D,Control!$B$31):INDEX($D:$D,Control!$B$32),0)-1,
    1)</f>
        <v>75.008786100959895</v>
      </c>
      <c r="L42" s="25" cm="1">
        <f t="array" ref="L42">INDEX(
    INDEX(L:L,Control!$B$29):INDEX(L:L,100000),
    MATCH($A$8,INDEX($A:$A,Control!$B$29):INDEX($A:$A,100000),0)+MATCH($D42,INDEX($D:$D,Control!$B$31):INDEX($D:$D,Control!$B$32),0)-1,
    1)</f>
        <v>69.7680555804005</v>
      </c>
      <c r="M42" s="25" cm="1">
        <f t="array" ref="M42">INDEX(
    INDEX(M:M,Control!$B$29):INDEX(M:M,100000),
    MATCH($A$8,INDEX($A:$A,Control!$B$29):INDEX($A:$A,100000),0)+MATCH($D42,INDEX($D:$D,Control!$B$31):INDEX($D:$D,Control!$B$32),0)-1,
    1)</f>
        <v>68.308294793927601</v>
      </c>
      <c r="N42" s="25" cm="1">
        <f t="array" ref="N42">INDEX(
    INDEX(N:N,Control!$B$29):INDEX(N:N,100000),
    MATCH($A$8,INDEX($A:$A,Control!$B$29):INDEX($A:$A,100000),0)+MATCH($D42,INDEX($D:$D,Control!$B$31):INDEX($D:$D,Control!$B$32),0)-1,
    1)</f>
        <v>62.307659601510302</v>
      </c>
      <c r="O42" s="25" cm="1">
        <f t="array" ref="O42">INDEX(
    INDEX(O:O,Control!$B$29):INDEX(O:O,100000),
    MATCH($A$8,INDEX($A:$A,Control!$B$29):INDEX($A:$A,100000),0)+MATCH($D42,INDEX($D:$D,Control!$B$31):INDEX($D:$D,Control!$B$32),0)-1,
    1)</f>
        <v>60.810321455886097</v>
      </c>
      <c r="P42" s="25" cm="1">
        <f t="array" ref="P42">INDEX(
    INDEX(P:P,Control!$B$29):INDEX(P:P,100000),
    MATCH($A$8,INDEX($A:$A,Control!$B$29):INDEX($A:$A,100000),0)+MATCH($D42,INDEX($D:$D,Control!$B$31):INDEX($D:$D,Control!$B$32),0)-1,
    1)</f>
        <v>59.933589537047503</v>
      </c>
      <c r="Q42" s="25" cm="1">
        <f t="array" ref="Q42">INDEX(
    INDEX(Q:Q,Control!$B$29):INDEX(Q:Q,100000),
    MATCH($A$8,INDEX($A:$A,Control!$B$29):INDEX($A:$A,100000),0)+MATCH($D42,INDEX($D:$D,Control!$B$31):INDEX($D:$D,Control!$B$32),0)-1,
    1)</f>
        <v>66.570950462830993</v>
      </c>
      <c r="R42" s="25" cm="1">
        <f t="array" ref="R42">INDEX(
    INDEX(R:R,Control!$B$29):INDEX(R:R,100000),
    MATCH($A$8,INDEX($A:$A,Control!$B$29):INDEX($A:$A,100000),0)+MATCH($D42,INDEX($D:$D,Control!$B$31):INDEX($D:$D,Control!$B$32),0)-1,
    1)</f>
        <v>66.470712831177494</v>
      </c>
      <c r="S42" s="25" cm="1">
        <f t="array" ref="S42">INDEX(
    INDEX(S:S,Control!$B$29):INDEX(S:S,100000),
    MATCH($A$8,INDEX($A:$A,Control!$B$29):INDEX($A:$A,100000),0)+MATCH($D42,INDEX($D:$D,Control!$B$31):INDEX($D:$D,Control!$B$32),0)-1,
    1)</f>
        <v>65.9911078878132</v>
      </c>
      <c r="T42" s="25" cm="1">
        <f t="array" ref="T42">INDEX(
    INDEX(T:T,Control!$B$29):INDEX(T:T,100000),
    MATCH($A$8,INDEX($A:$A,Control!$B$29):INDEX($A:$A,100000),0)+MATCH($D42,INDEX($D:$D,Control!$B$31):INDEX($D:$D,Control!$B$32),0)-1,
    1)</f>
        <v>62.664628843156997</v>
      </c>
      <c r="U42" s="25" cm="1">
        <f t="array" ref="U42">INDEX(
    INDEX(U:U,Control!$B$29):INDEX(U:U,100000),
    MATCH($A$8,INDEX($A:$A,Control!$B$29):INDEX($A:$A,100000),0)+MATCH($D42,INDEX($D:$D,Control!$B$31):INDEX($D:$D,Control!$B$32),0)-1,
    1)</f>
        <v>60.735678633774199</v>
      </c>
      <c r="V42" s="25" cm="1">
        <f t="array" ref="V42">INDEX(
    INDEX(V:V,Control!$B$29):INDEX(V:V,100000),
    MATCH($A$8,INDEX($A:$A,Control!$B$29):INDEX($A:$A,100000),0)+MATCH($D42,INDEX($D:$D,Control!$B$31):INDEX($D:$D,Control!$B$32),0)-1,
    1)</f>
        <v>62.787922697120003</v>
      </c>
      <c r="W42" s="25" cm="1">
        <f t="array" ref="W42">INDEX(
    INDEX(W:W,Control!$B$29):INDEX(W:W,100000),
    MATCH($A$8,INDEX($A:$A,Control!$B$29):INDEX($A:$A,100000),0)+MATCH($D42,INDEX($D:$D,Control!$B$31):INDEX($D:$D,Control!$B$32),0)-1,
    1)</f>
        <v>61.623985674642199</v>
      </c>
      <c r="X42" s="25" cm="1">
        <f t="array" ref="X42">INDEX(
    INDEX(X:X,Control!$B$29):INDEX(X:X,100000),
    MATCH($A$8,INDEX($A:$A,Control!$B$29):INDEX($A:$A,100000),0)+MATCH($D42,INDEX($D:$D,Control!$B$31):INDEX($D:$D,Control!$B$32),0)-1,
    1)</f>
        <v>47.692992012707997</v>
      </c>
      <c r="Y42" s="25" cm="1">
        <f t="array" ref="Y42">INDEX(
    INDEX(Y:Y,Control!$B$29):INDEX(Y:Y,100000),
    MATCH($A$8,INDEX($A:$A,Control!$B$29):INDEX($A:$A,100000),0)+MATCH($D42,INDEX($D:$D,Control!$B$31):INDEX($D:$D,Control!$B$32),0)-1,
    1)</f>
        <v>53.310331873664403</v>
      </c>
      <c r="Z42" s="25" cm="1">
        <f t="array" ref="Z42">INDEX(
    INDEX(Z:Z,Control!$B$29):INDEX(Z:Z,100000),
    MATCH($A$8,INDEX($A:$A,Control!$B$29):INDEX($A:$A,100000),0)+MATCH($D42,INDEX($D:$D,Control!$B$31):INDEX($D:$D,Control!$B$32),0)-1,
    1)</f>
        <v>54.270596893357798</v>
      </c>
      <c r="AA42" s="25" cm="1">
        <f t="array" ref="AA42">INDEX(
    INDEX(AA:AA,Control!$B$29):INDEX(AA:AA,100000),
    MATCH($A$8,INDEX($A:$A,Control!$B$29):INDEX($A:$A,100000),0)+MATCH($D42,INDEX($D:$D,Control!$B$31):INDEX($D:$D,Control!$B$32),0)-1,
    1)</f>
        <v>58.209993275076002</v>
      </c>
      <c r="AB42" s="25" cm="1">
        <f t="array" ref="AB42">INDEX(
    INDEX(AB:AB,Control!$B$29):INDEX(AB:AB,100000),
    MATCH($A$8,INDEX($A:$A,Control!$B$29):INDEX($A:$A,100000),0)+MATCH($D42,INDEX($D:$D,Control!$B$31):INDEX($D:$D,Control!$B$32),0)-1,
    1)</f>
        <v>59.043819935634197</v>
      </c>
      <c r="AC42" s="25" cm="1">
        <f t="array" ref="AC42">INDEX(
    INDEX(AC:AC,Control!$B$29):INDEX(AC:AC,100000),
    MATCH($A$8,INDEX($A:$A,Control!$B$29):INDEX($A:$A,100000),0)+MATCH($D42,INDEX($D:$D,Control!$B$31):INDEX($D:$D,Control!$B$32),0)-1,
    1)</f>
        <v>59.430332900294601</v>
      </c>
      <c r="AD42" s="25" cm="1">
        <f t="array" ref="AD42">INDEX(
    INDEX(AD:AD,Control!$B$29):INDEX(AD:AD,100000),
    MATCH($A$8,INDEX($A:$A,Control!$B$29):INDEX($A:$A,100000),0)+MATCH($D42,INDEX($D:$D,Control!$B$31):INDEX($D:$D,Control!$B$32),0)-1,
    1)</f>
        <v>59.555559423549497</v>
      </c>
      <c r="AE42" s="25" cm="1">
        <f t="array" ref="AE42">INDEX(
    INDEX(AE:AE,Control!$B$29):INDEX(AE:AE,100000),
    MATCH($A$8,INDEX($A:$A,Control!$B$29):INDEX($A:$A,100000),0)+MATCH($D42,INDEX($D:$D,Control!$B$31):INDEX($D:$D,Control!$B$32),0)-1,
    1)</f>
        <v>60.5283920170708</v>
      </c>
      <c r="AF42" s="25" cm="1">
        <f t="array" ref="AF42">INDEX(
    INDEX(AF:AF,Control!$B$29):INDEX(AF:AF,100000),
    MATCH($A$8,INDEX($A:$A,Control!$B$29):INDEX($A:$A,100000),0)+MATCH($D42,INDEX($D:$D,Control!$B$31):INDEX($D:$D,Control!$B$32),0)-1,
    1)</f>
        <v>60.639557065369402</v>
      </c>
      <c r="AG42" s="25" cm="1">
        <f t="array" ref="AG42">INDEX(
    INDEX(AG:AG,Control!$B$29):INDEX(AG:AG,100000),
    MATCH($A$8,INDEX($A:$A,Control!$B$29):INDEX($A:$A,100000),0)+MATCH($D42,INDEX($D:$D,Control!$B$31):INDEX($D:$D,Control!$B$32),0)-1,
    1)</f>
        <v>59.502029707593998</v>
      </c>
      <c r="AH42" s="25" cm="1">
        <f t="array" ref="AH42">INDEX(
    INDEX(AH:AH,Control!$B$29):INDEX(AH:AH,100000),
    MATCH($A$8,INDEX($A:$A,Control!$B$29):INDEX($A:$A,100000),0)+MATCH($D42,INDEX($D:$D,Control!$B$31):INDEX($D:$D,Control!$B$32),0)-1,
    1)</f>
        <v>59.435128009510699</v>
      </c>
      <c r="AI42" s="25" cm="1">
        <f t="array" ref="AI42">INDEX(
    INDEX(AI:AI,Control!$B$29):INDEX(AI:AI,100000),
    MATCH($A$8,INDEX($A:$A,Control!$B$29):INDEX($A:$A,100000),0)+MATCH($D42,INDEX($D:$D,Control!$B$31):INDEX($D:$D,Control!$B$32),0)-1,
    1)</f>
        <v>59.540150303519397</v>
      </c>
      <c r="AJ42" s="25" cm="1">
        <f t="array" ref="AJ42">INDEX(
    INDEX(AJ:AJ,Control!$B$29):INDEX(AJ:AJ,100000),
    MATCH($A$8,INDEX($A:$A,Control!$B$29):INDEX($A:$A,100000),0)+MATCH($D42,INDEX($D:$D,Control!$B$31):INDEX($D:$D,Control!$B$32),0)-1,
    1)</f>
        <v>59.079589987826203</v>
      </c>
      <c r="AK42" s="25" cm="1">
        <f t="array" ref="AK42">INDEX(
    INDEX(AK:AK,Control!$B$29):INDEX(AK:AK,100000),
    MATCH($A$8,INDEX($A:$A,Control!$B$29):INDEX($A:$A,100000),0)+MATCH($D42,INDEX($D:$D,Control!$B$31):INDEX($D:$D,Control!$B$32),0)-1,
    1)</f>
        <v>59.0489597912646</v>
      </c>
      <c r="AL42" s="25" cm="1">
        <f t="array" ref="AL42">INDEX(
    INDEX(AL:AL,Control!$B$29):INDEX(AL:AL,100000),
    MATCH($A$8,INDEX($A:$A,Control!$B$29):INDEX($A:$A,100000),0)+MATCH($D42,INDEX($D:$D,Control!$B$31):INDEX($D:$D,Control!$B$32),0)-1,
    1)</f>
        <v>57.341681526233501</v>
      </c>
      <c r="AM42" s="25" cm="1">
        <f t="array" ref="AM42">INDEX(
    INDEX(AM:AM,Control!$B$29):INDEX(AM:AM,100000),
    MATCH($A$8,INDEX($A:$A,Control!$B$29):INDEX($A:$A,100000),0)+MATCH($D42,INDEX($D:$D,Control!$B$31):INDEX($D:$D,Control!$B$32),0)-1,
    1)</f>
        <v>57.481460526913402</v>
      </c>
      <c r="AN42" s="25" cm="1">
        <f t="array" ref="AN42">INDEX(
    INDEX(AN:AN,Control!$B$29):INDEX(AN:AN,100000),
    MATCH($A$8,INDEX($A:$A,Control!$B$29):INDEX($A:$A,100000),0)+MATCH($D42,INDEX($D:$D,Control!$B$31):INDEX($D:$D,Control!$B$32),0)-1,
    1)</f>
        <v>57.461224957084099</v>
      </c>
    </row>
    <row r="43" spans="3:40" x14ac:dyDescent="0.35">
      <c r="C43" s="292" t="s">
        <v>230</v>
      </c>
      <c r="D43" s="21" t="s">
        <v>224</v>
      </c>
      <c r="E43" s="21" t="s">
        <v>223</v>
      </c>
      <c r="F43" s="25" cm="1">
        <f t="array" ref="F43">INDEX(
    INDEX(F:F,Control!$B$29):INDEX(F:F,100000),
    MATCH($A$8,INDEX($A:$A,Control!$B$29):INDEX($A:$A,100000),0)+MATCH($D43,INDEX($D:$D,Control!$B$31):INDEX($D:$D,Control!$B$32),0)-1,
    1)</f>
        <v>0</v>
      </c>
      <c r="G43" s="25" cm="1">
        <f t="array" ref="G43">INDEX(
    INDEX(G:G,Control!$B$29):INDEX(G:G,100000),
    MATCH($A$8,INDEX($A:$A,Control!$B$29):INDEX($A:$A,100000),0)+MATCH($D43,INDEX($D:$D,Control!$B$31):INDEX($D:$D,Control!$B$32),0)-1,
    1)</f>
        <v>2.20717101252994</v>
      </c>
      <c r="H43" s="25" cm="1">
        <f t="array" ref="H43">INDEX(
    INDEX(H:H,Control!$B$29):INDEX(H:H,100000),
    MATCH($A$8,INDEX($A:$A,Control!$B$29):INDEX($A:$A,100000),0)+MATCH($D43,INDEX($D:$D,Control!$B$31):INDEX($D:$D,Control!$B$32),0)-1,
    1)</f>
        <v>1.74135592573496</v>
      </c>
      <c r="I43" s="25" cm="1">
        <f t="array" ref="I43">INDEX(
    INDEX(I:I,Control!$B$29):INDEX(I:I,100000),
    MATCH($A$8,INDEX($A:$A,Control!$B$29):INDEX($A:$A,100000),0)+MATCH($D43,INDEX($D:$D,Control!$B$31):INDEX($D:$D,Control!$B$32),0)-1,
    1)</f>
        <v>1.2488491089895</v>
      </c>
      <c r="J43" s="25" cm="1">
        <f t="array" ref="J43">INDEX(
    INDEX(J:J,Control!$B$29):INDEX(J:J,100000),
    MATCH($A$8,INDEX($A:$A,Control!$B$29):INDEX($A:$A,100000),0)+MATCH($D43,INDEX($D:$D,Control!$B$31):INDEX($D:$D,Control!$B$32),0)-1,
    1)</f>
        <v>0.65916559087450599</v>
      </c>
      <c r="K43" s="25" cm="1">
        <f t="array" ref="K43">INDEX(
    INDEX(K:K,Control!$B$29):INDEX(K:K,100000),
    MATCH($A$8,INDEX($A:$A,Control!$B$29):INDEX($A:$A,100000),0)+MATCH($D43,INDEX($D:$D,Control!$B$31):INDEX($D:$D,Control!$B$32),0)-1,
    1)</f>
        <v>0.92523669463510905</v>
      </c>
      <c r="L43" s="25" cm="1">
        <f t="array" ref="L43">INDEX(
    INDEX(L:L,Control!$B$29):INDEX(L:L,100000),
    MATCH($A$8,INDEX($A:$A,Control!$B$29):INDEX($A:$A,100000),0)+MATCH($D43,INDEX($D:$D,Control!$B$31):INDEX($D:$D,Control!$B$32),0)-1,
    1)</f>
        <v>0.88341790990254399</v>
      </c>
      <c r="M43" s="25" cm="1">
        <f t="array" ref="M43">INDEX(
    INDEX(M:M,Control!$B$29):INDEX(M:M,100000),
    MATCH($A$8,INDEX($A:$A,Control!$B$29):INDEX($A:$A,100000),0)+MATCH($D43,INDEX($D:$D,Control!$B$31):INDEX($D:$D,Control!$B$32),0)-1,
    1)</f>
        <v>1.03033211667098</v>
      </c>
      <c r="N43" s="25" cm="1">
        <f t="array" ref="N43">INDEX(
    INDEX(N:N,Control!$B$29):INDEX(N:N,100000),
    MATCH($A$8,INDEX($A:$A,Control!$B$29):INDEX($A:$A,100000),0)+MATCH($D43,INDEX($D:$D,Control!$B$31):INDEX($D:$D,Control!$B$32),0)-1,
    1)</f>
        <v>0.99811399723175498</v>
      </c>
      <c r="O43" s="25" cm="1">
        <f t="array" ref="O43">INDEX(
    INDEX(O:O,Control!$B$29):INDEX(O:O,100000),
    MATCH($A$8,INDEX($A:$A,Control!$B$29):INDEX($A:$A,100000),0)+MATCH($D43,INDEX($D:$D,Control!$B$31):INDEX($D:$D,Control!$B$32),0)-1,
    1)</f>
        <v>0.62178672208282004</v>
      </c>
      <c r="P43" s="25" cm="1">
        <f t="array" ref="P43">INDEX(
    INDEX(P:P,Control!$B$29):INDEX(P:P,100000),
    MATCH($A$8,INDEX($A:$A,Control!$B$29):INDEX($A:$A,100000),0)+MATCH($D43,INDEX($D:$D,Control!$B$31):INDEX($D:$D,Control!$B$32),0)-1,
    1)</f>
        <v>0.73651414999514297</v>
      </c>
      <c r="Q43" s="25" cm="1">
        <f t="array" ref="Q43">INDEX(
    INDEX(Q:Q,Control!$B$29):INDEX(Q:Q,100000),
    MATCH($A$8,INDEX($A:$A,Control!$B$29):INDEX($A:$A,100000),0)+MATCH($D43,INDEX($D:$D,Control!$B$31):INDEX($D:$D,Control!$B$32),0)-1,
    1)</f>
        <v>0.50872034507543795</v>
      </c>
      <c r="R43" s="25" cm="1">
        <f t="array" ref="R43">INDEX(
    INDEX(R:R,Control!$B$29):INDEX(R:R,100000),
    MATCH($A$8,INDEX($A:$A,Control!$B$29):INDEX($A:$A,100000),0)+MATCH($D43,INDEX($D:$D,Control!$B$31):INDEX($D:$D,Control!$B$32),0)-1,
    1)</f>
        <v>0.55084208877808705</v>
      </c>
      <c r="S43" s="25" cm="1">
        <f t="array" ref="S43">INDEX(
    INDEX(S:S,Control!$B$29):INDEX(S:S,100000),
    MATCH($A$8,INDEX($A:$A,Control!$B$29):INDEX($A:$A,100000),0)+MATCH($D43,INDEX($D:$D,Control!$B$31):INDEX($D:$D,Control!$B$32),0)-1,
    1)</f>
        <v>0.41877287154374099</v>
      </c>
      <c r="T43" s="25" cm="1">
        <f t="array" ref="T43">INDEX(
    INDEX(T:T,Control!$B$29):INDEX(T:T,100000),
    MATCH($A$8,INDEX($A:$A,Control!$B$29):INDEX($A:$A,100000),0)+MATCH($D43,INDEX($D:$D,Control!$B$31):INDEX($D:$D,Control!$B$32),0)-1,
    1)</f>
        <v>0.49262173221686201</v>
      </c>
      <c r="U43" s="25" cm="1">
        <f t="array" ref="U43">INDEX(
    INDEX(U:U,Control!$B$29):INDEX(U:U,100000),
    MATCH($A$8,INDEX($A:$A,Control!$B$29):INDEX($A:$A,100000),0)+MATCH($D43,INDEX($D:$D,Control!$B$31):INDEX($D:$D,Control!$B$32),0)-1,
    1)</f>
        <v>0.49463797639707302</v>
      </c>
      <c r="V43" s="25" cm="1">
        <f t="array" ref="V43">INDEX(
    INDEX(V:V,Control!$B$29):INDEX(V:V,100000),
    MATCH($A$8,INDEX($A:$A,Control!$B$29):INDEX($A:$A,100000),0)+MATCH($D43,INDEX($D:$D,Control!$B$31):INDEX($D:$D,Control!$B$32),0)-1,
    1)</f>
        <v>0.39978047817781498</v>
      </c>
      <c r="W43" s="25" cm="1">
        <f t="array" ref="W43">INDEX(
    INDEX(W:W,Control!$B$29):INDEX(W:W,100000),
    MATCH($A$8,INDEX($A:$A,Control!$B$29):INDEX($A:$A,100000),0)+MATCH($D43,INDEX($D:$D,Control!$B$31):INDEX($D:$D,Control!$B$32),0)-1,
    1)</f>
        <v>0.50554449932008005</v>
      </c>
      <c r="X43" s="25" cm="1">
        <f t="array" ref="X43">INDEX(
    INDEX(X:X,Control!$B$29):INDEX(X:X,100000),
    MATCH($A$8,INDEX($A:$A,Control!$B$29):INDEX($A:$A,100000),0)+MATCH($D43,INDEX($D:$D,Control!$B$31):INDEX($D:$D,Control!$B$32),0)-1,
    1)</f>
        <v>1.6927989156332901</v>
      </c>
      <c r="Y43" s="25" cm="1">
        <f t="array" ref="Y43">INDEX(
    INDEX(Y:Y,Control!$B$29):INDEX(Y:Y,100000),
    MATCH($A$8,INDEX($A:$A,Control!$B$29):INDEX($A:$A,100000),0)+MATCH($D43,INDEX($D:$D,Control!$B$31):INDEX($D:$D,Control!$B$32),0)-1,
    1)</f>
        <v>1.51167123896749</v>
      </c>
      <c r="Z43" s="25" cm="1">
        <f t="array" ref="Z43">INDEX(
    INDEX(Z:Z,Control!$B$29):INDEX(Z:Z,100000),
    MATCH($A$8,INDEX($A:$A,Control!$B$29):INDEX($A:$A,100000),0)+MATCH($D43,INDEX($D:$D,Control!$B$31):INDEX($D:$D,Control!$B$32),0)-1,
    1)</f>
        <v>1.39651548975263</v>
      </c>
      <c r="AA43" s="25" cm="1">
        <f t="array" ref="AA43">INDEX(
    INDEX(AA:AA,Control!$B$29):INDEX(AA:AA,100000),
    MATCH($A$8,INDEX($A:$A,Control!$B$29):INDEX($A:$A,100000),0)+MATCH($D43,INDEX($D:$D,Control!$B$31):INDEX($D:$D,Control!$B$32),0)-1,
    1)</f>
        <v>0.89965233195460703</v>
      </c>
      <c r="AB43" s="25" cm="1">
        <f t="array" ref="AB43">INDEX(
    INDEX(AB:AB,Control!$B$29):INDEX(AB:AB,100000),
    MATCH($A$8,INDEX($A:$A,Control!$B$29):INDEX($A:$A,100000),0)+MATCH($D43,INDEX($D:$D,Control!$B$31):INDEX($D:$D,Control!$B$32),0)-1,
    1)</f>
        <v>0.63087549118532604</v>
      </c>
      <c r="AC43" s="25" cm="1">
        <f t="array" ref="AC43">INDEX(
    INDEX(AC:AC,Control!$B$29):INDEX(AC:AC,100000),
    MATCH($A$8,INDEX($A:$A,Control!$B$29):INDEX($A:$A,100000),0)+MATCH($D43,INDEX($D:$D,Control!$B$31):INDEX($D:$D,Control!$B$32),0)-1,
    1)</f>
        <v>0.55962789891050901</v>
      </c>
      <c r="AD43" s="25" cm="1">
        <f t="array" ref="AD43">INDEX(
    INDEX(AD:AD,Control!$B$29):INDEX(AD:AD,100000),
    MATCH($A$8,INDEX($A:$A,Control!$B$29):INDEX($A:$A,100000),0)+MATCH($D43,INDEX($D:$D,Control!$B$31):INDEX($D:$D,Control!$B$32),0)-1,
    1)</f>
        <v>0.45448024256944802</v>
      </c>
      <c r="AE43" s="25" cm="1">
        <f t="array" ref="AE43">INDEX(
    INDEX(AE:AE,Control!$B$29):INDEX(AE:AE,100000),
    MATCH($A$8,INDEX($A:$A,Control!$B$29):INDEX($A:$A,100000),0)+MATCH($D43,INDEX($D:$D,Control!$B$31):INDEX($D:$D,Control!$B$32),0)-1,
    1)</f>
        <v>0.46676575114938801</v>
      </c>
      <c r="AF43" s="25" cm="1">
        <f t="array" ref="AF43">INDEX(
    INDEX(AF:AF,Control!$B$29):INDEX(AF:AF,100000),
    MATCH($A$8,INDEX($A:$A,Control!$B$29):INDEX($A:$A,100000),0)+MATCH($D43,INDEX($D:$D,Control!$B$31):INDEX($D:$D,Control!$B$32),0)-1,
    1)</f>
        <v>0.27591204685779902</v>
      </c>
      <c r="AG43" s="25" cm="1">
        <f t="array" ref="AG43">INDEX(
    INDEX(AG:AG,Control!$B$29):INDEX(AG:AG,100000),
    MATCH($A$8,INDEX($A:$A,Control!$B$29):INDEX($A:$A,100000),0)+MATCH($D43,INDEX($D:$D,Control!$B$31):INDEX($D:$D,Control!$B$32),0)-1,
    1)</f>
        <v>0.275546406721491</v>
      </c>
      <c r="AH43" s="25" cm="1">
        <f t="array" ref="AH43">INDEX(
    INDEX(AH:AH,Control!$B$29):INDEX(AH:AH,100000),
    MATCH($A$8,INDEX($A:$A,Control!$B$29):INDEX($A:$A,100000),0)+MATCH($D43,INDEX($D:$D,Control!$B$31):INDEX($D:$D,Control!$B$32),0)-1,
    1)</f>
        <v>0.25111119875509902</v>
      </c>
      <c r="AI43" s="25" cm="1">
        <f t="array" ref="AI43">INDEX(
    INDEX(AI:AI,Control!$B$29):INDEX(AI:AI,100000),
    MATCH($A$8,INDEX($A:$A,Control!$B$29):INDEX($A:$A,100000),0)+MATCH($D43,INDEX($D:$D,Control!$B$31):INDEX($D:$D,Control!$B$32),0)-1,
    1)</f>
        <v>0.265506973264585</v>
      </c>
      <c r="AJ43" s="25" cm="1">
        <f t="array" ref="AJ43">INDEX(
    INDEX(AJ:AJ,Control!$B$29):INDEX(AJ:AJ,100000),
    MATCH($A$8,INDEX($A:$A,Control!$B$29):INDEX($A:$A,100000),0)+MATCH($D43,INDEX($D:$D,Control!$B$31):INDEX($D:$D,Control!$B$32),0)-1,
    1)</f>
        <v>0.26242514925856297</v>
      </c>
      <c r="AK43" s="25" cm="1">
        <f t="array" ref="AK43">INDEX(
    INDEX(AK:AK,Control!$B$29):INDEX(AK:AK,100000),
    MATCH($A$8,INDEX($A:$A,Control!$B$29):INDEX($A:$A,100000),0)+MATCH($D43,INDEX($D:$D,Control!$B$31):INDEX($D:$D,Control!$B$32),0)-1,
    1)</f>
        <v>0.23877345586997301</v>
      </c>
      <c r="AL43" s="25" cm="1">
        <f t="array" ref="AL43">INDEX(
    INDEX(AL:AL,Control!$B$29):INDEX(AL:AL,100000),
    MATCH($A$8,INDEX($A:$A,Control!$B$29):INDEX($A:$A,100000),0)+MATCH($D43,INDEX($D:$D,Control!$B$31):INDEX($D:$D,Control!$B$32),0)-1,
    1)</f>
        <v>0.43068229312633499</v>
      </c>
      <c r="AM43" s="25" cm="1">
        <f t="array" ref="AM43">INDEX(
    INDEX(AM:AM,Control!$B$29):INDEX(AM:AM,100000),
    MATCH($A$8,INDEX($A:$A,Control!$B$29):INDEX($A:$A,100000),0)+MATCH($D43,INDEX($D:$D,Control!$B$31):INDEX($D:$D,Control!$B$32),0)-1,
    1)</f>
        <v>0.44520342996827</v>
      </c>
      <c r="AN43" s="25" cm="1">
        <f t="array" ref="AN43">INDEX(
    INDEX(AN:AN,Control!$B$29):INDEX(AN:AN,100000),
    MATCH($A$8,INDEX($A:$A,Control!$B$29):INDEX($A:$A,100000),0)+MATCH($D43,INDEX($D:$D,Control!$B$31):INDEX($D:$D,Control!$B$32),0)-1,
    1)</f>
        <v>0.42756912853720103</v>
      </c>
    </row>
    <row r="44" spans="3:40" x14ac:dyDescent="0.35">
      <c r="C44" s="292" t="s">
        <v>230</v>
      </c>
      <c r="D44" s="21" t="s">
        <v>225</v>
      </c>
      <c r="E44" s="21" t="s">
        <v>223</v>
      </c>
      <c r="F44" s="25" cm="1">
        <f t="array" ref="F44">INDEX(
    INDEX(F:F,Control!$B$29):INDEX(F:F,100000),
    MATCH($A$8,INDEX($A:$A,Control!$B$29):INDEX($A:$A,100000),0)+MATCH($D44,INDEX($D:$D,Control!$B$31):INDEX($D:$D,Control!$B$32),0)-1,
    1)</f>
        <v>0</v>
      </c>
      <c r="G44" s="25" cm="1">
        <f t="array" ref="G44">INDEX(
    INDEX(G:G,Control!$B$29):INDEX(G:G,100000),
    MATCH($A$8,INDEX($A:$A,Control!$B$29):INDEX($A:$A,100000),0)+MATCH($D44,INDEX($D:$D,Control!$B$31):INDEX($D:$D,Control!$B$32),0)-1,
    1)</f>
        <v>29.020481531745698</v>
      </c>
      <c r="H44" s="25" cm="1">
        <f t="array" ref="H44">INDEX(
    INDEX(H:H,Control!$B$29):INDEX(H:H,100000),
    MATCH($A$8,INDEX($A:$A,Control!$B$29):INDEX($A:$A,100000),0)+MATCH($D44,INDEX($D:$D,Control!$B$31):INDEX($D:$D,Control!$B$32),0)-1,
    1)</f>
        <v>28.0876917565806</v>
      </c>
      <c r="I44" s="25" cm="1">
        <f t="array" ref="I44">INDEX(
    INDEX(I:I,Control!$B$29):INDEX(I:I,100000),
    MATCH($A$8,INDEX($A:$A,Control!$B$29):INDEX($A:$A,100000),0)+MATCH($D44,INDEX($D:$D,Control!$B$31):INDEX($D:$D,Control!$B$32),0)-1,
    1)</f>
        <v>25.9278868119941</v>
      </c>
      <c r="J44" s="25" cm="1">
        <f t="array" ref="J44">INDEX(
    INDEX(J:J,Control!$B$29):INDEX(J:J,100000),
    MATCH($A$8,INDEX($A:$A,Control!$B$29):INDEX($A:$A,100000),0)+MATCH($D44,INDEX($D:$D,Control!$B$31):INDEX($D:$D,Control!$B$32),0)-1,
    1)</f>
        <v>22.131842257430499</v>
      </c>
      <c r="K44" s="25" cm="1">
        <f t="array" ref="K44">INDEX(
    INDEX(K:K,Control!$B$29):INDEX(K:K,100000),
    MATCH($A$8,INDEX($A:$A,Control!$B$29):INDEX($A:$A,100000),0)+MATCH($D44,INDEX($D:$D,Control!$B$31):INDEX($D:$D,Control!$B$32),0)-1,
    1)</f>
        <v>24.0643861870102</v>
      </c>
      <c r="L44" s="25" cm="1">
        <f t="array" ref="L44">INDEX(
    INDEX(L:L,Control!$B$29):INDEX(L:L,100000),
    MATCH($A$8,INDEX($A:$A,Control!$B$29):INDEX($A:$A,100000),0)+MATCH($D44,INDEX($D:$D,Control!$B$31):INDEX($D:$D,Control!$B$32),0)-1,
    1)</f>
        <v>21.553138390265801</v>
      </c>
      <c r="M44" s="25" cm="1">
        <f t="array" ref="M44">INDEX(
    INDEX(M:M,Control!$B$29):INDEX(M:M,100000),
    MATCH($A$8,INDEX($A:$A,Control!$B$29):INDEX($A:$A,100000),0)+MATCH($D44,INDEX($D:$D,Control!$B$31):INDEX($D:$D,Control!$B$32),0)-1,
    1)</f>
        <v>24.294175342388101</v>
      </c>
      <c r="N44" s="25" cm="1">
        <f t="array" ref="N44">INDEX(
    INDEX(N:N,Control!$B$29):INDEX(N:N,100000),
    MATCH($A$8,INDEX($A:$A,Control!$B$29):INDEX($A:$A,100000),0)+MATCH($D44,INDEX($D:$D,Control!$B$31):INDEX($D:$D,Control!$B$32),0)-1,
    1)</f>
        <v>22.4537204928527</v>
      </c>
      <c r="O44" s="25" cm="1">
        <f t="array" ref="O44">INDEX(
    INDEX(O:O,Control!$B$29):INDEX(O:O,100000),
    MATCH($A$8,INDEX($A:$A,Control!$B$29):INDEX($A:$A,100000),0)+MATCH($D44,INDEX($D:$D,Control!$B$31):INDEX($D:$D,Control!$B$32),0)-1,
    1)</f>
        <v>23.027441207302601</v>
      </c>
      <c r="P44" s="25" cm="1">
        <f t="array" ref="P44">INDEX(
    INDEX(P:P,Control!$B$29):INDEX(P:P,100000),
    MATCH($A$8,INDEX($A:$A,Control!$B$29):INDEX($A:$A,100000),0)+MATCH($D44,INDEX($D:$D,Control!$B$31):INDEX($D:$D,Control!$B$32),0)-1,
    1)</f>
        <v>23.520449473377901</v>
      </c>
      <c r="Q44" s="25" cm="1">
        <f t="array" ref="Q44">INDEX(
    INDEX(Q:Q,Control!$B$29):INDEX(Q:Q,100000),
    MATCH($A$8,INDEX($A:$A,Control!$B$29):INDEX($A:$A,100000),0)+MATCH($D44,INDEX($D:$D,Control!$B$31):INDEX($D:$D,Control!$B$32),0)-1,
    1)</f>
        <v>22.303672227773099</v>
      </c>
      <c r="R44" s="25" cm="1">
        <f t="array" ref="R44">INDEX(
    INDEX(R:R,Control!$B$29):INDEX(R:R,100000),
    MATCH($A$8,INDEX($A:$A,Control!$B$29):INDEX($A:$A,100000),0)+MATCH($D44,INDEX($D:$D,Control!$B$31):INDEX($D:$D,Control!$B$32),0)-1,
    1)</f>
        <v>22.768808268600601</v>
      </c>
      <c r="S44" s="25" cm="1">
        <f t="array" ref="S44">INDEX(
    INDEX(S:S,Control!$B$29):INDEX(S:S,100000),
    MATCH($A$8,INDEX($A:$A,Control!$B$29):INDEX($A:$A,100000),0)+MATCH($D44,INDEX($D:$D,Control!$B$31):INDEX($D:$D,Control!$B$32),0)-1,
    1)</f>
        <v>21.6618693199426</v>
      </c>
      <c r="T44" s="25" cm="1">
        <f t="array" ref="T44">INDEX(
    INDEX(T:T,Control!$B$29):INDEX(T:T,100000),
    MATCH($A$8,INDEX($A:$A,Control!$B$29):INDEX($A:$A,100000),0)+MATCH($D44,INDEX($D:$D,Control!$B$31):INDEX($D:$D,Control!$B$32),0)-1,
    1)</f>
        <v>21.465541460467499</v>
      </c>
      <c r="U44" s="25" cm="1">
        <f t="array" ref="U44">INDEX(
    INDEX(U:U,Control!$B$29):INDEX(U:U,100000),
    MATCH($A$8,INDEX($A:$A,Control!$B$29):INDEX($A:$A,100000),0)+MATCH($D44,INDEX($D:$D,Control!$B$31):INDEX($D:$D,Control!$B$32),0)-1,
    1)</f>
        <v>19.635293194165602</v>
      </c>
      <c r="V44" s="25" cm="1">
        <f t="array" ref="V44">INDEX(
    INDEX(V:V,Control!$B$29):INDEX(V:V,100000),
    MATCH($A$8,INDEX($A:$A,Control!$B$29):INDEX($A:$A,100000),0)+MATCH($D44,INDEX($D:$D,Control!$B$31):INDEX($D:$D,Control!$B$32),0)-1,
    1)</f>
        <v>18.0266124036051</v>
      </c>
      <c r="W44" s="25" cm="1">
        <f t="array" ref="W44">INDEX(
    INDEX(W:W,Control!$B$29):INDEX(W:W,100000),
    MATCH($A$8,INDEX($A:$A,Control!$B$29):INDEX($A:$A,100000),0)+MATCH($D44,INDEX($D:$D,Control!$B$31):INDEX($D:$D,Control!$B$32),0)-1,
    1)</f>
        <v>18.958169449167901</v>
      </c>
      <c r="X44" s="25" cm="1">
        <f t="array" ref="X44">INDEX(
    INDEX(X:X,Control!$B$29):INDEX(X:X,100000),
    MATCH($A$8,INDEX($A:$A,Control!$B$29):INDEX($A:$A,100000),0)+MATCH($D44,INDEX($D:$D,Control!$B$31):INDEX($D:$D,Control!$B$32),0)-1,
    1)</f>
        <v>30.174201524129</v>
      </c>
      <c r="Y44" s="25" cm="1">
        <f t="array" ref="Y44">INDEX(
    INDEX(Y:Y,Control!$B$29):INDEX(Y:Y,100000),
    MATCH($A$8,INDEX($A:$A,Control!$B$29):INDEX($A:$A,100000),0)+MATCH($D44,INDEX($D:$D,Control!$B$31):INDEX($D:$D,Control!$B$32),0)-1,
    1)</f>
        <v>27.804237076053798</v>
      </c>
      <c r="Z44" s="25" cm="1">
        <f t="array" ref="Z44">INDEX(
    INDEX(Z:Z,Control!$B$29):INDEX(Z:Z,100000),
    MATCH($A$8,INDEX($A:$A,Control!$B$29):INDEX($A:$A,100000),0)+MATCH($D44,INDEX($D:$D,Control!$B$31):INDEX($D:$D,Control!$B$32),0)-1,
    1)</f>
        <v>27.948487333257699</v>
      </c>
      <c r="AA44" s="25" cm="1">
        <f t="array" ref="AA44">INDEX(
    INDEX(AA:AA,Control!$B$29):INDEX(AA:AA,100000),
    MATCH($A$8,INDEX($A:$A,Control!$B$29):INDEX($A:$A,100000),0)+MATCH($D44,INDEX($D:$D,Control!$B$31):INDEX($D:$D,Control!$B$32),0)-1,
    1)</f>
        <v>24.027738598491201</v>
      </c>
      <c r="AB44" s="25" cm="1">
        <f t="array" ref="AB44">INDEX(
    INDEX(AB:AB,Control!$B$29):INDEX(AB:AB,100000),
    MATCH($A$8,INDEX($A:$A,Control!$B$29):INDEX($A:$A,100000),0)+MATCH($D44,INDEX($D:$D,Control!$B$31):INDEX($D:$D,Control!$B$32),0)-1,
    1)</f>
        <v>19.1007795491889</v>
      </c>
      <c r="AC44" s="25" cm="1">
        <f t="array" ref="AC44">INDEX(
    INDEX(AC:AC,Control!$B$29):INDEX(AC:AC,100000),
    MATCH($A$8,INDEX($A:$A,Control!$B$29):INDEX($A:$A,100000),0)+MATCH($D44,INDEX($D:$D,Control!$B$31):INDEX($D:$D,Control!$B$32),0)-1,
    1)</f>
        <v>18.6439696566081</v>
      </c>
      <c r="AD44" s="25" cm="1">
        <f t="array" ref="AD44">INDEX(
    INDEX(AD:AD,Control!$B$29):INDEX(AD:AD,100000),
    MATCH($A$8,INDEX($A:$A,Control!$B$29):INDEX($A:$A,100000),0)+MATCH($D44,INDEX($D:$D,Control!$B$31):INDEX($D:$D,Control!$B$32),0)-1,
    1)</f>
        <v>17.1364980557777</v>
      </c>
      <c r="AE44" s="25" cm="1">
        <f t="array" ref="AE44">INDEX(
    INDEX(AE:AE,Control!$B$29):INDEX(AE:AE,100000),
    MATCH($A$8,INDEX($A:$A,Control!$B$29):INDEX($A:$A,100000),0)+MATCH($D44,INDEX($D:$D,Control!$B$31):INDEX($D:$D,Control!$B$32),0)-1,
    1)</f>
        <v>15.6005065243152</v>
      </c>
      <c r="AF44" s="25" cm="1">
        <f t="array" ref="AF44">INDEX(
    INDEX(AF:AF,Control!$B$29):INDEX(AF:AF,100000),
    MATCH($A$8,INDEX($A:$A,Control!$B$29):INDEX($A:$A,100000),0)+MATCH($D44,INDEX($D:$D,Control!$B$31):INDEX($D:$D,Control!$B$32),0)-1,
    1)</f>
        <v>13.935088831460799</v>
      </c>
      <c r="AG44" s="25" cm="1">
        <f t="array" ref="AG44">INDEX(
    INDEX(AG:AG,Control!$B$29):INDEX(AG:AG,100000),
    MATCH($A$8,INDEX($A:$A,Control!$B$29):INDEX($A:$A,100000),0)+MATCH($D44,INDEX($D:$D,Control!$B$31):INDEX($D:$D,Control!$B$32),0)-1,
    1)</f>
        <v>14.940703674917399</v>
      </c>
      <c r="AH44" s="25" cm="1">
        <f t="array" ref="AH44">INDEX(
    INDEX(AH:AH,Control!$B$29):INDEX(AH:AH,100000),
    MATCH($A$8,INDEX($A:$A,Control!$B$29):INDEX($A:$A,100000),0)+MATCH($D44,INDEX($D:$D,Control!$B$31):INDEX($D:$D,Control!$B$32),0)-1,
    1)</f>
        <v>13.940260027674301</v>
      </c>
      <c r="AI44" s="25" cm="1">
        <f t="array" ref="AI44">INDEX(
    INDEX(AI:AI,Control!$B$29):INDEX(AI:AI,100000),
    MATCH($A$8,INDEX($A:$A,Control!$B$29):INDEX($A:$A,100000),0)+MATCH($D44,INDEX($D:$D,Control!$B$31):INDEX($D:$D,Control!$B$32),0)-1,
    1)</f>
        <v>13.2733742064932</v>
      </c>
      <c r="AJ44" s="25" cm="1">
        <f t="array" ref="AJ44">INDEX(
    INDEX(AJ:AJ,Control!$B$29):INDEX(AJ:AJ,100000),
    MATCH($A$8,INDEX($A:$A,Control!$B$29):INDEX($A:$A,100000),0)+MATCH($D44,INDEX($D:$D,Control!$B$31):INDEX($D:$D,Control!$B$32),0)-1,
    1)</f>
        <v>12.054538929264</v>
      </c>
      <c r="AK44" s="25" cm="1">
        <f t="array" ref="AK44">INDEX(
    INDEX(AK:AK,Control!$B$29):INDEX(AK:AK,100000),
    MATCH($A$8,INDEX($A:$A,Control!$B$29):INDEX($A:$A,100000),0)+MATCH($D44,INDEX($D:$D,Control!$B$31):INDEX($D:$D,Control!$B$32),0)-1,
    1)</f>
        <v>12.428108233099101</v>
      </c>
      <c r="AL44" s="25" cm="1">
        <f t="array" ref="AL44">INDEX(
    INDEX(AL:AL,Control!$B$29):INDEX(AL:AL,100000),
    MATCH($A$8,INDEX($A:$A,Control!$B$29):INDEX($A:$A,100000),0)+MATCH($D44,INDEX($D:$D,Control!$B$31):INDEX($D:$D,Control!$B$32),0)-1,
    1)</f>
        <v>13.963984849090201</v>
      </c>
      <c r="AM44" s="25" cm="1">
        <f t="array" ref="AM44">INDEX(
    INDEX(AM:AM,Control!$B$29):INDEX(AM:AM,100000),
    MATCH($A$8,INDEX($A:$A,Control!$B$29):INDEX($A:$A,100000),0)+MATCH($D44,INDEX($D:$D,Control!$B$31):INDEX($D:$D,Control!$B$32),0)-1,
    1)</f>
        <v>15.1671602816243</v>
      </c>
      <c r="AN44" s="25" cm="1">
        <f t="array" ref="AN44">INDEX(
    INDEX(AN:AN,Control!$B$29):INDEX(AN:AN,100000),
    MATCH($A$8,INDEX($A:$A,Control!$B$29):INDEX($A:$A,100000),0)+MATCH($D44,INDEX($D:$D,Control!$B$31):INDEX($D:$D,Control!$B$32),0)-1,
    1)</f>
        <v>14.245057645300401</v>
      </c>
    </row>
    <row r="45" spans="3:40" ht="15.5" x14ac:dyDescent="0.45">
      <c r="C45" s="292" t="s">
        <v>230</v>
      </c>
      <c r="D45" s="272" t="s">
        <v>355</v>
      </c>
      <c r="E45" s="21" t="s">
        <v>223</v>
      </c>
      <c r="F45" s="25" cm="1">
        <f t="array" ref="F45">INDEX(
    INDEX(F:F,Control!$B$29):INDEX(F:F,100000),
    MATCH($A$8,INDEX($A:$A,Control!$B$29):INDEX($A:$A,100000),0)+MATCH($D45,INDEX($D:$D,Control!$B$31):INDEX($D:$D,Control!$B$32),0)-1,
    1)</f>
        <v>0</v>
      </c>
      <c r="G45" s="25" cm="1">
        <f t="array" ref="G45">INDEX(
    INDEX(G:G,Control!$B$29):INDEX(G:G,100000),
    MATCH($A$8,INDEX($A:$A,Control!$B$29):INDEX($A:$A,100000),0)+MATCH($D45,INDEX($D:$D,Control!$B$31):INDEX($D:$D,Control!$B$32),0)-1,
    1)</f>
        <v>125.80568678392299</v>
      </c>
      <c r="H45" s="25" cm="1">
        <f t="array" ref="H45">INDEX(
    INDEX(H:H,Control!$B$29):INDEX(H:H,100000),
    MATCH($A$8,INDEX($A:$A,Control!$B$29):INDEX($A:$A,100000),0)+MATCH($D45,INDEX($D:$D,Control!$B$31):INDEX($D:$D,Control!$B$32),0)-1,
    1)</f>
        <v>114.9525786614</v>
      </c>
      <c r="I45" s="25" cm="1">
        <f t="array" ref="I45">INDEX(
    INDEX(I:I,Control!$B$29):INDEX(I:I,100000),
    MATCH($A$8,INDEX($A:$A,Control!$B$29):INDEX($A:$A,100000),0)+MATCH($D45,INDEX($D:$D,Control!$B$31):INDEX($D:$D,Control!$B$32),0)-1,
    1)</f>
        <v>109.822375930615</v>
      </c>
      <c r="J45" s="25" cm="1">
        <f t="array" ref="J45">INDEX(
    INDEX(J:J,Control!$B$29):INDEX(J:J,100000),
    MATCH($A$8,INDEX($A:$A,Control!$B$29):INDEX($A:$A,100000),0)+MATCH($D45,INDEX($D:$D,Control!$B$31):INDEX($D:$D,Control!$B$32),0)-1,
    1)</f>
        <v>96.867495176568596</v>
      </c>
      <c r="K45" s="25" cm="1">
        <f t="array" ref="K45">INDEX(
    INDEX(K:K,Control!$B$29):INDEX(K:K,100000),
    MATCH($A$8,INDEX($A:$A,Control!$B$29):INDEX($A:$A,100000),0)+MATCH($D45,INDEX($D:$D,Control!$B$31):INDEX($D:$D,Control!$B$32),0)-1,
    1)</f>
        <v>99.9983985357443</v>
      </c>
      <c r="L45" s="25" cm="1">
        <f t="array" ref="L45">INDEX(
    INDEX(L:L,Control!$B$29):INDEX(L:L,100000),
    MATCH($A$8,INDEX($A:$A,Control!$B$29):INDEX($A:$A,100000),0)+MATCH($D45,INDEX($D:$D,Control!$B$31):INDEX($D:$D,Control!$B$32),0)-1,
    1)</f>
        <v>92.204570093124701</v>
      </c>
      <c r="M45" s="25" cm="1">
        <f t="array" ref="M45">INDEX(
    INDEX(M:M,Control!$B$29):INDEX(M:M,100000),
    MATCH($A$8,INDEX($A:$A,Control!$B$29):INDEX($A:$A,100000),0)+MATCH($D45,INDEX($D:$D,Control!$B$31):INDEX($D:$D,Control!$B$32),0)-1,
    1)</f>
        <v>93.632739571820494</v>
      </c>
      <c r="N45" s="25" cm="1">
        <f t="array" ref="N45">INDEX(
    INDEX(N:N,Control!$B$29):INDEX(N:N,100000),
    MATCH($A$8,INDEX($A:$A,Control!$B$29):INDEX($A:$A,100000),0)+MATCH($D45,INDEX($D:$D,Control!$B$31):INDEX($D:$D,Control!$B$32),0)-1,
    1)</f>
        <v>85.759441857289701</v>
      </c>
      <c r="O45" s="25" cm="1">
        <f t="array" ref="O45">INDEX(
    INDEX(O:O,Control!$B$29):INDEX(O:O,100000),
    MATCH($A$8,INDEX($A:$A,Control!$B$29):INDEX($A:$A,100000),0)+MATCH($D45,INDEX($D:$D,Control!$B$31):INDEX($D:$D,Control!$B$32),0)-1,
    1)</f>
        <v>84.459538938410603</v>
      </c>
      <c r="P45" s="25" cm="1">
        <f t="array" ref="P45">INDEX(
    INDEX(P:P,Control!$B$29):INDEX(P:P,100000),
    MATCH($A$8,INDEX($A:$A,Control!$B$29):INDEX($A:$A,100000),0)+MATCH($D45,INDEX($D:$D,Control!$B$31):INDEX($D:$D,Control!$B$32),0)-1,
    1)</f>
        <v>84.190532266698497</v>
      </c>
      <c r="Q45" s="25" cm="1">
        <f t="array" ref="Q45">INDEX(
    INDEX(Q:Q,Control!$B$29):INDEX(Q:Q,100000),
    MATCH($A$8,INDEX($A:$A,Control!$B$29):INDEX($A:$A,100000),0)+MATCH($D45,INDEX($D:$D,Control!$B$31):INDEX($D:$D,Control!$B$32),0)-1,
    1)</f>
        <v>89.3832908013744</v>
      </c>
      <c r="R45" s="25" cm="1">
        <f t="array" ref="R45">INDEX(
    INDEX(R:R,Control!$B$29):INDEX(R:R,100000),
    MATCH($A$8,INDEX($A:$A,Control!$B$29):INDEX($A:$A,100000),0)+MATCH($D45,INDEX($D:$D,Control!$B$31):INDEX($D:$D,Control!$B$32),0)-1,
    1)</f>
        <v>89.790342294834204</v>
      </c>
      <c r="S45" s="25" cm="1">
        <f t="array" ref="S45">INDEX(
    INDEX(S:S,Control!$B$29):INDEX(S:S,100000),
    MATCH($A$8,INDEX($A:$A,Control!$B$29):INDEX($A:$A,100000),0)+MATCH($D45,INDEX($D:$D,Control!$B$31):INDEX($D:$D,Control!$B$32),0)-1,
    1)</f>
        <v>88.071697844994503</v>
      </c>
      <c r="T45" s="25" cm="1">
        <f t="array" ref="T45">INDEX(
    INDEX(T:T,Control!$B$29):INDEX(T:T,100000),
    MATCH($A$8,INDEX($A:$A,Control!$B$29):INDEX($A:$A,100000),0)+MATCH($D45,INDEX($D:$D,Control!$B$31):INDEX($D:$D,Control!$B$32),0)-1,
    1)</f>
        <v>84.622760695258293</v>
      </c>
      <c r="U45" s="25" cm="1">
        <f t="array" ref="U45">INDEX(
    INDEX(U:U,Control!$B$29):INDEX(U:U,100000),
    MATCH($A$8,INDEX($A:$A,Control!$B$29):INDEX($A:$A,100000),0)+MATCH($D45,INDEX($D:$D,Control!$B$31):INDEX($D:$D,Control!$B$32),0)-1,
    1)</f>
        <v>80.865630698058993</v>
      </c>
      <c r="V45" s="25" cm="1">
        <f t="array" ref="V45">INDEX(
    INDEX(V:V,Control!$B$29):INDEX(V:V,100000),
    MATCH($A$8,INDEX($A:$A,Control!$B$29):INDEX($A:$A,100000),0)+MATCH($D45,INDEX($D:$D,Control!$B$31):INDEX($D:$D,Control!$B$32),0)-1,
    1)</f>
        <v>81.214221557153706</v>
      </c>
      <c r="W45" s="25" cm="1">
        <f t="array" ref="W45">INDEX(
    INDEX(W:W,Control!$B$29):INDEX(W:W,100000),
    MATCH($A$8,INDEX($A:$A,Control!$B$29):INDEX($A:$A,100000),0)+MATCH($D45,INDEX($D:$D,Control!$B$31):INDEX($D:$D,Control!$B$32),0)-1,
    1)</f>
        <v>81.087730963713298</v>
      </c>
      <c r="X45" s="25" cm="1">
        <f t="array" ref="X45">INDEX(
    INDEX(X:X,Control!$B$29):INDEX(X:X,100000),
    MATCH($A$8,INDEX($A:$A,Control!$B$29):INDEX($A:$A,100000),0)+MATCH($D45,INDEX($D:$D,Control!$B$31):INDEX($D:$D,Control!$B$32),0)-1,
    1)</f>
        <v>79.560044686775498</v>
      </c>
      <c r="Y45" s="25" cm="1">
        <f t="array" ref="Y45">INDEX(
    INDEX(Y:Y,Control!$B$29):INDEX(Y:Y,100000),
    MATCH($A$8,INDEX($A:$A,Control!$B$29):INDEX($A:$A,100000),0)+MATCH($D45,INDEX($D:$D,Control!$B$31):INDEX($D:$D,Control!$B$32),0)-1,
    1)</f>
        <v>82.626219294963704</v>
      </c>
      <c r="Z45" s="25" cm="1">
        <f t="array" ref="Z45">INDEX(
    INDEX(Z:Z,Control!$B$29):INDEX(Z:Z,100000),
    MATCH($A$8,INDEX($A:$A,Control!$B$29):INDEX($A:$A,100000),0)+MATCH($D45,INDEX($D:$D,Control!$B$31):INDEX($D:$D,Control!$B$32),0)-1,
    1)</f>
        <v>83.615672844395505</v>
      </c>
      <c r="AA45" s="25" cm="1">
        <f t="array" ref="AA45">INDEX(
    INDEX(AA:AA,Control!$B$29):INDEX(AA:AA,100000),
    MATCH($A$8,INDEX($A:$A,Control!$B$29):INDEX($A:$A,100000),0)+MATCH($D45,INDEX($D:$D,Control!$B$31):INDEX($D:$D,Control!$B$32),0)-1,
    1)</f>
        <v>83.137394652382895</v>
      </c>
      <c r="AB45" s="25" cm="1">
        <f t="array" ref="AB45">INDEX(
    INDEX(AB:AB,Control!$B$29):INDEX(AB:AB,100000),
    MATCH($A$8,INDEX($A:$A,Control!$B$29):INDEX($A:$A,100000),0)+MATCH($D45,INDEX($D:$D,Control!$B$31):INDEX($D:$D,Control!$B$32),0)-1,
    1)</f>
        <v>78.775558550896804</v>
      </c>
      <c r="AC45" s="25" cm="1">
        <f t="array" ref="AC45">INDEX(
    INDEX(AC:AC,Control!$B$29):INDEX(AC:AC,100000),
    MATCH($A$8,INDEX($A:$A,Control!$B$29):INDEX($A:$A,100000),0)+MATCH($D45,INDEX($D:$D,Control!$B$31):INDEX($D:$D,Control!$B$32),0)-1,
    1)</f>
        <v>78.633972243257404</v>
      </c>
      <c r="AD45" s="25" cm="1">
        <f t="array" ref="AD45">INDEX(
    INDEX(AD:AD,Control!$B$29):INDEX(AD:AD,100000),
    MATCH($A$8,INDEX($A:$A,Control!$B$29):INDEX($A:$A,100000),0)+MATCH($D45,INDEX($D:$D,Control!$B$31):INDEX($D:$D,Control!$B$32),0)-1,
    1)</f>
        <v>77.146558615618702</v>
      </c>
      <c r="AE45" s="25" cm="1">
        <f t="array" ref="AE45">INDEX(
    INDEX(AE:AE,Control!$B$29):INDEX(AE:AE,100000),
    MATCH($A$8,INDEX($A:$A,Control!$B$29):INDEX($A:$A,100000),0)+MATCH($D45,INDEX($D:$D,Control!$B$31):INDEX($D:$D,Control!$B$32),0)-1,
    1)</f>
        <v>76.595664292535403</v>
      </c>
      <c r="AF45" s="25" cm="1">
        <f t="array" ref="AF45">INDEX(
    INDEX(AF:AF,Control!$B$29):INDEX(AF:AF,100000),
    MATCH($A$8,INDEX($A:$A,Control!$B$29):INDEX($A:$A,100000),0)+MATCH($D45,INDEX($D:$D,Control!$B$31):INDEX($D:$D,Control!$B$32),0)-1,
    1)</f>
        <v>74.850516156243899</v>
      </c>
      <c r="AG45" s="25" cm="1">
        <f t="array" ref="AG45">INDEX(
    INDEX(AG:AG,Control!$B$29):INDEX(AG:AG,100000),
    MATCH($A$8,INDEX($A:$A,Control!$B$29):INDEX($A:$A,100000),0)+MATCH($D45,INDEX($D:$D,Control!$B$31):INDEX($D:$D,Control!$B$32),0)-1,
    1)</f>
        <v>74.718206661205699</v>
      </c>
      <c r="AH45" s="25" cm="1">
        <f t="array" ref="AH45">INDEX(
    INDEX(AH:AH,Control!$B$29):INDEX(AH:AH,100000),
    MATCH($A$8,INDEX($A:$A,Control!$B$29):INDEX($A:$A,100000),0)+MATCH($D45,INDEX($D:$D,Control!$B$31):INDEX($D:$D,Control!$B$32),0)-1,
    1)</f>
        <v>73.626509682801199</v>
      </c>
      <c r="AI45" s="25" cm="1">
        <f t="array" ref="AI45">INDEX(
    INDEX(AI:AI,Control!$B$29):INDEX(AI:AI,100000),
    MATCH($A$8,INDEX($A:$A,Control!$B$29):INDEX($A:$A,100000),0)+MATCH($D45,INDEX($D:$D,Control!$B$31):INDEX($D:$D,Control!$B$32),0)-1,
    1)</f>
        <v>73.079031483277205</v>
      </c>
      <c r="AJ45" s="25" cm="1">
        <f t="array" ref="AJ45">INDEX(
    INDEX(AJ:AJ,Control!$B$29):INDEX(AJ:AJ,100000),
    MATCH($A$8,INDEX($A:$A,Control!$B$29):INDEX($A:$A,100000),0)+MATCH($D45,INDEX($D:$D,Control!$B$31):INDEX($D:$D,Control!$B$32),0)-1,
    1)</f>
        <v>71.396543619487701</v>
      </c>
      <c r="AK45" s="25" cm="1">
        <f t="array" ref="AK45">INDEX(
    INDEX(AK:AK,Control!$B$29):INDEX(AK:AK,100000),
    MATCH($A$8,INDEX($A:$A,Control!$B$29):INDEX($A:$A,100000),0)+MATCH($D45,INDEX($D:$D,Control!$B$31):INDEX($D:$D,Control!$B$32),0)-1,
    1)</f>
        <v>71.715862373955801</v>
      </c>
      <c r="AL45" s="25" cm="1">
        <f t="array" ref="AL45">INDEX(
    INDEX(AL:AL,Control!$B$29):INDEX(AL:AL,100000),
    MATCH($A$8,INDEX($A:$A,Control!$B$29):INDEX($A:$A,100000),0)+MATCH($D45,INDEX($D:$D,Control!$B$31):INDEX($D:$D,Control!$B$32),0)-1,
    1)</f>
        <v>71.736327774727997</v>
      </c>
      <c r="AM45" s="25" cm="1">
        <f t="array" ref="AM45">INDEX(
    INDEX(AM:AM,Control!$B$29):INDEX(AM:AM,100000),
    MATCH($A$8,INDEX($A:$A,Control!$B$29):INDEX($A:$A,100000),0)+MATCH($D45,INDEX($D:$D,Control!$B$31):INDEX($D:$D,Control!$B$32),0)-1,
    1)</f>
        <v>73.093782451061898</v>
      </c>
      <c r="AN45" s="25" cm="1">
        <f t="array" ref="AN45">INDEX(
    INDEX(AN:AN,Control!$B$29):INDEX(AN:AN,100000),
    MATCH($A$8,INDEX($A:$A,Control!$B$29):INDEX($A:$A,100000),0)+MATCH($D45,INDEX($D:$D,Control!$B$31):INDEX($D:$D,Control!$B$32),0)-1,
    1)</f>
        <v>72.133945752671096</v>
      </c>
    </row>
    <row r="46" spans="3:40" x14ac:dyDescent="0.35">
      <c r="C46" s="298"/>
      <c r="D46" s="44" t="s">
        <v>356</v>
      </c>
      <c r="E46" s="259" t="s">
        <v>124</v>
      </c>
      <c r="F46" s="260" cm="1">
        <f t="array" ref="F46">INDEX(
    INDEX(F:F,Control!$B$29):INDEX(F:F,100000),
    MATCH($A$8,INDEX($A:$A,Control!$B$29):INDEX($A:$A,100000),0)+MATCH($D46,INDEX($D:$D,Control!$B$31):INDEX($D:$D,Control!$B$32),0)-1,
    1)</f>
        <v>0</v>
      </c>
      <c r="G46" s="260" cm="1">
        <f t="array" ref="G46">INDEX(
    INDEX(G:G,Control!$B$29):INDEX(G:G,100000),
    MATCH($A$8,INDEX($A:$A,Control!$B$29):INDEX($A:$A,100000),0)+MATCH($D46,INDEX($D:$D,Control!$B$31):INDEX($D:$D,Control!$B$32),0)-1,
    1)</f>
        <v>1</v>
      </c>
      <c r="H46" s="260" cm="1">
        <f t="array" ref="H46">INDEX(
    INDEX(H:H,Control!$B$29):INDEX(H:H,100000),
    MATCH($A$8,INDEX($A:$A,Control!$B$29):INDEX($A:$A,100000),0)+MATCH($D46,INDEX($D:$D,Control!$B$31):INDEX($D:$D,Control!$B$32),0)-1,
    1)</f>
        <v>1</v>
      </c>
      <c r="I46" s="260" cm="1">
        <f t="array" ref="I46">INDEX(
    INDEX(I:I,Control!$B$29):INDEX(I:I,100000),
    MATCH($A$8,INDEX($A:$A,Control!$B$29):INDEX($A:$A,100000),0)+MATCH($D46,INDEX($D:$D,Control!$B$31):INDEX($D:$D,Control!$B$32),0)-1,
    1)</f>
        <v>1</v>
      </c>
      <c r="J46" s="260" cm="1">
        <f t="array" ref="J46">INDEX(
    INDEX(J:J,Control!$B$29):INDEX(J:J,100000),
    MATCH($A$8,INDEX($A:$A,Control!$B$29):INDEX($A:$A,100000),0)+MATCH($D46,INDEX($D:$D,Control!$B$31):INDEX($D:$D,Control!$B$32),0)-1,
    1)</f>
        <v>1</v>
      </c>
      <c r="K46" s="260" cm="1">
        <f t="array" ref="K46">INDEX(
    INDEX(K:K,Control!$B$29):INDEX(K:K,100000),
    MATCH($A$8,INDEX($A:$A,Control!$B$29):INDEX($A:$A,100000),0)+MATCH($D46,INDEX($D:$D,Control!$B$31):INDEX($D:$D,Control!$B$32),0)-1,
    1)</f>
        <v>1</v>
      </c>
      <c r="L46" s="260" cm="1">
        <f t="array" ref="L46">INDEX(
    INDEX(L:L,Control!$B$29):INDEX(L:L,100000),
    MATCH($A$8,INDEX($A:$A,Control!$B$29):INDEX($A:$A,100000),0)+MATCH($D46,INDEX($D:$D,Control!$B$31):INDEX($D:$D,Control!$B$32),0)-1,
    1)</f>
        <v>1</v>
      </c>
      <c r="M46" s="260" cm="1">
        <f t="array" ref="M46">INDEX(
    INDEX(M:M,Control!$B$29):INDEX(M:M,100000),
    MATCH($A$8,INDEX($A:$A,Control!$B$29):INDEX($A:$A,100000),0)+MATCH($D46,INDEX($D:$D,Control!$B$31):INDEX($D:$D,Control!$B$32),0)-1,
    1)</f>
        <v>1</v>
      </c>
      <c r="N46" s="260" cm="1">
        <f t="array" ref="N46">INDEX(
    INDEX(N:N,Control!$B$29):INDEX(N:N,100000),
    MATCH($A$8,INDEX($A:$A,Control!$B$29):INDEX($A:$A,100000),0)+MATCH($D46,INDEX($D:$D,Control!$B$31):INDEX($D:$D,Control!$B$32),0)-1,
    1)</f>
        <v>1</v>
      </c>
      <c r="O46" s="260" cm="1">
        <f t="array" ref="O46">INDEX(
    INDEX(O:O,Control!$B$29):INDEX(O:O,100000),
    MATCH($A$8,INDEX($A:$A,Control!$B$29):INDEX($A:$A,100000),0)+MATCH($D46,INDEX($D:$D,Control!$B$31):INDEX($D:$D,Control!$B$32),0)-1,
    1)</f>
        <v>1</v>
      </c>
      <c r="P46" s="260" cm="1">
        <f t="array" ref="P46">INDEX(
    INDEX(P:P,Control!$B$29):INDEX(P:P,100000),
    MATCH($A$8,INDEX($A:$A,Control!$B$29):INDEX($A:$A,100000),0)+MATCH($D46,INDEX($D:$D,Control!$B$31):INDEX($D:$D,Control!$B$32),0)-1,
    1)</f>
        <v>1</v>
      </c>
      <c r="Q46" s="260" cm="1">
        <f t="array" ref="Q46">INDEX(
    INDEX(Q:Q,Control!$B$29):INDEX(Q:Q,100000),
    MATCH($A$8,INDEX($A:$A,Control!$B$29):INDEX($A:$A,100000),0)+MATCH($D46,INDEX($D:$D,Control!$B$31):INDEX($D:$D,Control!$B$32),0)-1,
    1)</f>
        <v>1</v>
      </c>
      <c r="R46" s="260" cm="1">
        <f t="array" ref="R46">INDEX(
    INDEX(R:R,Control!$B$29):INDEX(R:R,100000),
    MATCH($A$8,INDEX($A:$A,Control!$B$29):INDEX($A:$A,100000),0)+MATCH($D46,INDEX($D:$D,Control!$B$31):INDEX($D:$D,Control!$B$32),0)-1,
    1)</f>
        <v>1</v>
      </c>
      <c r="S46" s="260" cm="1">
        <f t="array" ref="S46">INDEX(
    INDEX(S:S,Control!$B$29):INDEX(S:S,100000),
    MATCH($A$8,INDEX($A:$A,Control!$B$29):INDEX($A:$A,100000),0)+MATCH($D46,INDEX($D:$D,Control!$B$31):INDEX($D:$D,Control!$B$32),0)-1,
    1)</f>
        <v>1</v>
      </c>
      <c r="T46" s="260" cm="1">
        <f t="array" ref="T46">INDEX(
    INDEX(T:T,Control!$B$29):INDEX(T:T,100000),
    MATCH($A$8,INDEX($A:$A,Control!$B$29):INDEX($A:$A,100000),0)+MATCH($D46,INDEX($D:$D,Control!$B$31):INDEX($D:$D,Control!$B$32),0)-1,
    1)</f>
        <v>1</v>
      </c>
      <c r="U46" s="260" cm="1">
        <f t="array" ref="U46">INDEX(
    INDEX(U:U,Control!$B$29):INDEX(U:U,100000),
    MATCH($A$8,INDEX($A:$A,Control!$B$29):INDEX($A:$A,100000),0)+MATCH($D46,INDEX($D:$D,Control!$B$31):INDEX($D:$D,Control!$B$32),0)-1,
    1)</f>
        <v>1</v>
      </c>
      <c r="V46" s="260" cm="1">
        <f t="array" ref="V46">INDEX(
    INDEX(V:V,Control!$B$29):INDEX(V:V,100000),
    MATCH($A$8,INDEX($A:$A,Control!$B$29):INDEX($A:$A,100000),0)+MATCH($D46,INDEX($D:$D,Control!$B$31):INDEX($D:$D,Control!$B$32),0)-1,
    1)</f>
        <v>1</v>
      </c>
      <c r="W46" s="260" cm="1">
        <f t="array" ref="W46">INDEX(
    INDEX(W:W,Control!$B$29):INDEX(W:W,100000),
    MATCH($A$8,INDEX($A:$A,Control!$B$29):INDEX($A:$A,100000),0)+MATCH($D46,INDEX($D:$D,Control!$B$31):INDEX($D:$D,Control!$B$32),0)-1,
    1)</f>
        <v>1</v>
      </c>
      <c r="X46" s="260" cm="1">
        <f t="array" ref="X46">INDEX(
    INDEX(X:X,Control!$B$29):INDEX(X:X,100000),
    MATCH($A$8,INDEX($A:$A,Control!$B$29):INDEX($A:$A,100000),0)+MATCH($D46,INDEX($D:$D,Control!$B$31):INDEX($D:$D,Control!$B$32),0)-1,
    1)</f>
        <v>1</v>
      </c>
      <c r="Y46" s="260" cm="1">
        <f t="array" ref="Y46">INDEX(
    INDEX(Y:Y,Control!$B$29):INDEX(Y:Y,100000),
    MATCH($A$8,INDEX($A:$A,Control!$B$29):INDEX($A:$A,100000),0)+MATCH($D46,INDEX($D:$D,Control!$B$31):INDEX($D:$D,Control!$B$32),0)-1,
    1)</f>
        <v>1</v>
      </c>
      <c r="Z46" s="260" cm="1">
        <f t="array" ref="Z46">INDEX(
    INDEX(Z:Z,Control!$B$29):INDEX(Z:Z,100000),
    MATCH($A$8,INDEX($A:$A,Control!$B$29):INDEX($A:$A,100000),0)+MATCH($D46,INDEX($D:$D,Control!$B$31):INDEX($D:$D,Control!$B$32),0)-1,
    1)</f>
        <v>1</v>
      </c>
      <c r="AA46" s="260" cm="1">
        <f t="array" ref="AA46">INDEX(
    INDEX(AA:AA,Control!$B$29):INDEX(AA:AA,100000),
    MATCH($A$8,INDEX($A:$A,Control!$B$29):INDEX($A:$A,100000),0)+MATCH($D46,INDEX($D:$D,Control!$B$31):INDEX($D:$D,Control!$B$32),0)-1,
    1)</f>
        <v>1</v>
      </c>
      <c r="AB46" s="260" cm="1">
        <f t="array" ref="AB46">INDEX(
    INDEX(AB:AB,Control!$B$29):INDEX(AB:AB,100000),
    MATCH($A$8,INDEX($A:$A,Control!$B$29):INDEX($A:$A,100000),0)+MATCH($D46,INDEX($D:$D,Control!$B$31):INDEX($D:$D,Control!$B$32),0)-1,
    1)</f>
        <v>1</v>
      </c>
      <c r="AC46" s="260" cm="1">
        <f t="array" ref="AC46">INDEX(
    INDEX(AC:AC,Control!$B$29):INDEX(AC:AC,100000),
    MATCH($A$8,INDEX($A:$A,Control!$B$29):INDEX($A:$A,100000),0)+MATCH($D46,INDEX($D:$D,Control!$B$31):INDEX($D:$D,Control!$B$32),0)-1,
    1)</f>
        <v>1</v>
      </c>
      <c r="AD46" s="260" cm="1">
        <f t="array" ref="AD46">INDEX(
    INDEX(AD:AD,Control!$B$29):INDEX(AD:AD,100000),
    MATCH($A$8,INDEX($A:$A,Control!$B$29):INDEX($A:$A,100000),0)+MATCH($D46,INDEX($D:$D,Control!$B$31):INDEX($D:$D,Control!$B$32),0)-1,
    1)</f>
        <v>1</v>
      </c>
      <c r="AE46" s="260" cm="1">
        <f t="array" ref="AE46">INDEX(
    INDEX(AE:AE,Control!$B$29):INDEX(AE:AE,100000),
    MATCH($A$8,INDEX($A:$A,Control!$B$29):INDEX($A:$A,100000),0)+MATCH($D46,INDEX($D:$D,Control!$B$31):INDEX($D:$D,Control!$B$32),0)-1,
    1)</f>
        <v>1</v>
      </c>
      <c r="AF46" s="260" cm="1">
        <f t="array" ref="AF46">INDEX(
    INDEX(AF:AF,Control!$B$29):INDEX(AF:AF,100000),
    MATCH($A$8,INDEX($A:$A,Control!$B$29):INDEX($A:$A,100000),0)+MATCH($D46,INDEX($D:$D,Control!$B$31):INDEX($D:$D,Control!$B$32),0)-1,
    1)</f>
        <v>1</v>
      </c>
      <c r="AG46" s="260" cm="1">
        <f t="array" ref="AG46">INDEX(
    INDEX(AG:AG,Control!$B$29):INDEX(AG:AG,100000),
    MATCH($A$8,INDEX($A:$A,Control!$B$29):INDEX($A:$A,100000),0)+MATCH($D46,INDEX($D:$D,Control!$B$31):INDEX($D:$D,Control!$B$32),0)-1,
    1)</f>
        <v>1</v>
      </c>
      <c r="AH46" s="260" cm="1">
        <f t="array" ref="AH46">INDEX(
    INDEX(AH:AH,Control!$B$29):INDEX(AH:AH,100000),
    MATCH($A$8,INDEX($A:$A,Control!$B$29):INDEX($A:$A,100000),0)+MATCH($D46,INDEX($D:$D,Control!$B$31):INDEX($D:$D,Control!$B$32),0)-1,
    1)</f>
        <v>1</v>
      </c>
      <c r="AI46" s="260" cm="1">
        <f t="array" ref="AI46">INDEX(
    INDEX(AI:AI,Control!$B$29):INDEX(AI:AI,100000),
    MATCH($A$8,INDEX($A:$A,Control!$B$29):INDEX($A:$A,100000),0)+MATCH($D46,INDEX($D:$D,Control!$B$31):INDEX($D:$D,Control!$B$32),0)-1,
    1)</f>
        <v>1</v>
      </c>
      <c r="AJ46" s="260" cm="1">
        <f t="array" ref="AJ46">INDEX(
    INDEX(AJ:AJ,Control!$B$29):INDEX(AJ:AJ,100000),
    MATCH($A$8,INDEX($A:$A,Control!$B$29):INDEX($A:$A,100000),0)+MATCH($D46,INDEX($D:$D,Control!$B$31):INDEX($D:$D,Control!$B$32),0)-1,
    1)</f>
        <v>1</v>
      </c>
      <c r="AK46" s="260" cm="1">
        <f t="array" ref="AK46">INDEX(
    INDEX(AK:AK,Control!$B$29):INDEX(AK:AK,100000),
    MATCH($A$8,INDEX($A:$A,Control!$B$29):INDEX($A:$A,100000),0)+MATCH($D46,INDEX($D:$D,Control!$B$31):INDEX($D:$D,Control!$B$32),0)-1,
    1)</f>
        <v>1</v>
      </c>
      <c r="AL46" s="260" cm="1">
        <f t="array" ref="AL46">INDEX(
    INDEX(AL:AL,Control!$B$29):INDEX(AL:AL,100000),
    MATCH($A$8,INDEX($A:$A,Control!$B$29):INDEX($A:$A,100000),0)+MATCH($D46,INDEX($D:$D,Control!$B$31):INDEX($D:$D,Control!$B$32),0)-1,
    1)</f>
        <v>1</v>
      </c>
      <c r="AM46" s="260" cm="1">
        <f t="array" ref="AM46">INDEX(
    INDEX(AM:AM,Control!$B$29):INDEX(AM:AM,100000),
    MATCH($A$8,INDEX($A:$A,Control!$B$29):INDEX($A:$A,100000),0)+MATCH($D46,INDEX($D:$D,Control!$B$31):INDEX($D:$D,Control!$B$32),0)-1,
    1)</f>
        <v>1</v>
      </c>
      <c r="AN46" s="260" cm="1">
        <f t="array" ref="AN46">INDEX(
    INDEX(AN:AN,Control!$B$29):INDEX(AN:AN,100000),
    MATCH($A$8,INDEX($A:$A,Control!$B$29):INDEX($A:$A,100000),0)+MATCH($D46,INDEX($D:$D,Control!$B$31):INDEX($D:$D,Control!$B$32),0)-1,
    1)</f>
        <v>1</v>
      </c>
    </row>
    <row r="47" spans="3:40" x14ac:dyDescent="0.35">
      <c r="C47" s="298" t="s">
        <v>451</v>
      </c>
      <c r="D47" s="273" t="s">
        <v>357</v>
      </c>
      <c r="E47" s="22" t="s">
        <v>226</v>
      </c>
      <c r="F47" s="26" cm="1">
        <f t="array" ref="F47">INDEX(
    INDEX(F:F,Control!$B$29):INDEX(F:F,100000),
    MATCH($A$8,INDEX($A:$A,Control!$B$29):INDEX($A:$A,100000),0)+MATCH($D47,INDEX($D:$D,Control!$B$31):INDEX($D:$D,Control!$B$32),0)-1,
    1)</f>
        <v>0</v>
      </c>
      <c r="G47" s="26" cm="1">
        <f t="array" ref="G47">INDEX(
    INDEX(G:G,Control!$B$29):INDEX(G:G,100000),
    MATCH($A$8,INDEX($A:$A,Control!$B$29):INDEX($A:$A,100000),0)+MATCH($D47,INDEX($D:$D,Control!$B$31):INDEX($D:$D,Control!$B$32),0)-1,
    1)</f>
        <v>272.03371237884397</v>
      </c>
      <c r="H47" s="26" cm="1">
        <f t="array" ref="H47">INDEX(
    INDEX(H:H,Control!$B$29):INDEX(H:H,100000),
    MATCH($A$8,INDEX($A:$A,Control!$B$29):INDEX($A:$A,100000),0)+MATCH($D47,INDEX($D:$D,Control!$B$31):INDEX($D:$D,Control!$B$32),0)-1,
    1)</f>
        <v>235.88211992810599</v>
      </c>
      <c r="I47" s="26" cm="1">
        <f t="array" ref="I47">INDEX(
    INDEX(I:I,Control!$B$29):INDEX(I:I,100000),
    MATCH($A$8,INDEX($A:$A,Control!$B$29):INDEX($A:$A,100000),0)+MATCH($D47,INDEX($D:$D,Control!$B$31):INDEX($D:$D,Control!$B$32),0)-1,
    1)</f>
        <v>199.432520319416</v>
      </c>
      <c r="J47" s="26" cm="1">
        <f t="array" ref="J47">INDEX(
    INDEX(J:J,Control!$B$29):INDEX(J:J,100000),
    MATCH($A$8,INDEX($A:$A,Control!$B$29):INDEX($A:$A,100000),0)+MATCH($D47,INDEX($D:$D,Control!$B$31):INDEX($D:$D,Control!$B$32),0)-1,
    1)</f>
        <v>171.42714982781001</v>
      </c>
      <c r="K47" s="26" cm="1">
        <f t="array" ref="K47">INDEX(
    INDEX(K:K,Control!$B$29):INDEX(K:K,100000),
    MATCH($A$8,INDEX($A:$A,Control!$B$29):INDEX($A:$A,100000),0)+MATCH($D47,INDEX($D:$D,Control!$B$31):INDEX($D:$D,Control!$B$32),0)-1,
    1)</f>
        <v>171.664899491298</v>
      </c>
      <c r="L47" s="26" cm="1">
        <f t="array" ref="L47">INDEX(
    INDEX(L:L,Control!$B$29):INDEX(L:L,100000),
    MATCH($A$8,INDEX($A:$A,Control!$B$29):INDEX($A:$A,100000),0)+MATCH($D47,INDEX($D:$D,Control!$B$31):INDEX($D:$D,Control!$B$32),0)-1,
    1)</f>
        <v>170.194639609483</v>
      </c>
      <c r="M47" s="26" cm="1">
        <f t="array" ref="M47">INDEX(
    INDEX(M:M,Control!$B$29):INDEX(M:M,100000),
    MATCH($A$8,INDEX($A:$A,Control!$B$29):INDEX($A:$A,100000),0)+MATCH($D47,INDEX($D:$D,Control!$B$31):INDEX($D:$D,Control!$B$32),0)-1,
    1)</f>
        <v>161.96224149365401</v>
      </c>
      <c r="N47" s="26" cm="1">
        <f t="array" ref="N47">INDEX(
    INDEX(N:N,Control!$B$29):INDEX(N:N,100000),
    MATCH($A$8,INDEX($A:$A,Control!$B$29):INDEX($A:$A,100000),0)+MATCH($D47,INDEX($D:$D,Control!$B$31):INDEX($D:$D,Control!$B$32),0)-1,
    1)</f>
        <v>149.78639361402401</v>
      </c>
      <c r="O47" s="26" cm="1">
        <f t="array" ref="O47">INDEX(
    INDEX(O:O,Control!$B$29):INDEX(O:O,100000),
    MATCH($A$8,INDEX($A:$A,Control!$B$29):INDEX($A:$A,100000),0)+MATCH($D47,INDEX($D:$D,Control!$B$31):INDEX($D:$D,Control!$B$32),0)-1,
    1)</f>
        <v>149.025799449337</v>
      </c>
      <c r="P47" s="26" cm="1">
        <f t="array" ref="P47">INDEX(
    INDEX(P:P,Control!$B$29):INDEX(P:P,100000),
    MATCH($A$8,INDEX($A:$A,Control!$B$29):INDEX($A:$A,100000),0)+MATCH($D47,INDEX($D:$D,Control!$B$31):INDEX($D:$D,Control!$B$32),0)-1,
    1)</f>
        <v>142.588642168474</v>
      </c>
      <c r="Q47" s="26" cm="1">
        <f t="array" ref="Q47">INDEX(
    INDEX(Q:Q,Control!$B$29):INDEX(Q:Q,100000),
    MATCH($A$8,INDEX($A:$A,Control!$B$29):INDEX($A:$A,100000),0)+MATCH($D47,INDEX($D:$D,Control!$B$31):INDEX($D:$D,Control!$B$32),0)-1,
    1)</f>
        <v>146.128811755649</v>
      </c>
      <c r="R47" s="26" cm="1">
        <f t="array" ref="R47">INDEX(
    INDEX(R:R,Control!$B$29):INDEX(R:R,100000),
    MATCH($A$8,INDEX($A:$A,Control!$B$29):INDEX($A:$A,100000),0)+MATCH($D47,INDEX($D:$D,Control!$B$31):INDEX($D:$D,Control!$B$32),0)-1,
    1)</f>
        <v>143.990955666102</v>
      </c>
      <c r="S47" s="26" cm="1">
        <f t="array" ref="S47">INDEX(
    INDEX(S:S,Control!$B$29):INDEX(S:S,100000),
    MATCH($A$8,INDEX($A:$A,Control!$B$29):INDEX($A:$A,100000),0)+MATCH($D47,INDEX($D:$D,Control!$B$31):INDEX($D:$D,Control!$B$32),0)-1,
    1)</f>
        <v>142.809488810804</v>
      </c>
      <c r="T47" s="26" cm="1">
        <f t="array" ref="T47">INDEX(
    INDEX(T:T,Control!$B$29):INDEX(T:T,100000),
    MATCH($A$8,INDEX($A:$A,Control!$B$29):INDEX($A:$A,100000),0)+MATCH($D47,INDEX($D:$D,Control!$B$31):INDEX($D:$D,Control!$B$32),0)-1,
    1)</f>
        <v>139.94424912780801</v>
      </c>
      <c r="U47" s="26" cm="1">
        <f t="array" ref="U47">INDEX(
    INDEX(U:U,Control!$B$29):INDEX(U:U,100000),
    MATCH($A$8,INDEX($A:$A,Control!$B$29):INDEX($A:$A,100000),0)+MATCH($D47,INDEX($D:$D,Control!$B$31):INDEX($D:$D,Control!$B$32),0)-1,
    1)</f>
        <v>134.74413600296199</v>
      </c>
      <c r="V47" s="26" cm="1">
        <f t="array" ref="V47">INDEX(
    INDEX(V:V,Control!$B$29):INDEX(V:V,100000),
    MATCH($A$8,INDEX($A:$A,Control!$B$29):INDEX($A:$A,100000),0)+MATCH($D47,INDEX($D:$D,Control!$B$31):INDEX($D:$D,Control!$B$32),0)-1,
    1)</f>
        <v>133.94249612126001</v>
      </c>
      <c r="W47" s="26" cm="1">
        <f t="array" ref="W47">INDEX(
    INDEX(W:W,Control!$B$29):INDEX(W:W,100000),
    MATCH($A$8,INDEX($A:$A,Control!$B$29):INDEX($A:$A,100000),0)+MATCH($D47,INDEX($D:$D,Control!$B$31):INDEX($D:$D,Control!$B$32),0)-1,
    1)</f>
        <v>131.34211570614499</v>
      </c>
      <c r="X47" s="26" cm="1">
        <f t="array" ref="X47">INDEX(
    INDEX(X:X,Control!$B$29):INDEX(X:X,100000),
    MATCH($A$8,INDEX($A:$A,Control!$B$29):INDEX($A:$A,100000),0)+MATCH($D47,INDEX($D:$D,Control!$B$31):INDEX($D:$D,Control!$B$32),0)-1,
    1)</f>
        <v>146.07816537334</v>
      </c>
      <c r="Y47" s="26" cm="1">
        <f t="array" ref="Y47">INDEX(
    INDEX(Y:Y,Control!$B$29):INDEX(Y:Y,100000),
    MATCH($A$8,INDEX($A:$A,Control!$B$29):INDEX($A:$A,100000),0)+MATCH($D47,INDEX($D:$D,Control!$B$31):INDEX($D:$D,Control!$B$32),0)-1,
    1)</f>
        <v>146.85880706435699</v>
      </c>
      <c r="Z47" s="26" cm="1">
        <f t="array" ref="Z47">INDEX(
    INDEX(Z:Z,Control!$B$29):INDEX(Z:Z,100000),
    MATCH($A$8,INDEX($A:$A,Control!$B$29):INDEX($A:$A,100000),0)+MATCH($D47,INDEX($D:$D,Control!$B$31):INDEX($D:$D,Control!$B$32),0)-1,
    1)</f>
        <v>149.59727408866399</v>
      </c>
      <c r="AA47" s="26" cm="1">
        <f t="array" ref="AA47">INDEX(
    INDEX(AA:AA,Control!$B$29):INDEX(AA:AA,100000),
    MATCH($A$8,INDEX($A:$A,Control!$B$29):INDEX($A:$A,100000),0)+MATCH($D47,INDEX($D:$D,Control!$B$31):INDEX($D:$D,Control!$B$32),0)-1,
    1)</f>
        <v>147.62099959878199</v>
      </c>
      <c r="AB47" s="26" cm="1">
        <f t="array" ref="AB47">INDEX(
    INDEX(AB:AB,Control!$B$29):INDEX(AB:AB,100000),
    MATCH($A$8,INDEX($A:$A,Control!$B$29):INDEX($A:$A,100000),0)+MATCH($D47,INDEX($D:$D,Control!$B$31):INDEX($D:$D,Control!$B$32),0)-1,
    1)</f>
        <v>143.72582477983499</v>
      </c>
      <c r="AC47" s="26" cm="1">
        <f t="array" ref="AC47">INDEX(
    INDEX(AC:AC,Control!$B$29):INDEX(AC:AC,100000),
    MATCH($A$8,INDEX($A:$A,Control!$B$29):INDEX($A:$A,100000),0)+MATCH($D47,INDEX($D:$D,Control!$B$31):INDEX($D:$D,Control!$B$32),0)-1,
    1)</f>
        <v>141.86538508513499</v>
      </c>
      <c r="AD47" s="26" cm="1">
        <f t="array" ref="AD47">INDEX(
    INDEX(AD:AD,Control!$B$29):INDEX(AD:AD,100000),
    MATCH($A$8,INDEX($A:$A,Control!$B$29):INDEX($A:$A,100000),0)+MATCH($D47,INDEX($D:$D,Control!$B$31):INDEX($D:$D,Control!$B$32),0)-1,
    1)</f>
        <v>139.285626773708</v>
      </c>
      <c r="AE47" s="26" cm="1">
        <f t="array" ref="AE47">INDEX(
    INDEX(AE:AE,Control!$B$29):INDEX(AE:AE,100000),
    MATCH($A$8,INDEX($A:$A,Control!$B$29):INDEX($A:$A,100000),0)+MATCH($D47,INDEX($D:$D,Control!$B$31):INDEX($D:$D,Control!$B$32),0)-1,
    1)</f>
        <v>138.16529494919999</v>
      </c>
      <c r="AF47" s="26" cm="1">
        <f t="array" ref="AF47">INDEX(
    INDEX(AF:AF,Control!$B$29):INDEX(AF:AF,100000),
    MATCH($A$8,INDEX($A:$A,Control!$B$29):INDEX($A:$A,100000),0)+MATCH($D47,INDEX($D:$D,Control!$B$31):INDEX($D:$D,Control!$B$32),0)-1,
    1)</f>
        <v>135.41914948203001</v>
      </c>
      <c r="AG47" s="26" cm="1">
        <f t="array" ref="AG47">INDEX(
    INDEX(AG:AG,Control!$B$29):INDEX(AG:AG,100000),
    MATCH($A$8,INDEX($A:$A,Control!$B$29):INDEX($A:$A,100000),0)+MATCH($D47,INDEX($D:$D,Control!$B$31):INDEX($D:$D,Control!$B$32),0)-1,
    1)</f>
        <v>134.643971499336</v>
      </c>
      <c r="AH47" s="26" cm="1">
        <f t="array" ref="AH47">INDEX(
    INDEX(AH:AH,Control!$B$29):INDEX(AH:AH,100000),
    MATCH($A$8,INDEX($A:$A,Control!$B$29):INDEX($A:$A,100000),0)+MATCH($D47,INDEX($D:$D,Control!$B$31):INDEX($D:$D,Control!$B$32),0)-1,
    1)</f>
        <v>131.566315790868</v>
      </c>
      <c r="AI47" s="26" cm="1">
        <f t="array" ref="AI47">INDEX(
    INDEX(AI:AI,Control!$B$29):INDEX(AI:AI,100000),
    MATCH($A$8,INDEX($A:$A,Control!$B$29):INDEX($A:$A,100000),0)+MATCH($D47,INDEX($D:$D,Control!$B$31):INDEX($D:$D,Control!$B$32),0)-1,
    1)</f>
        <v>130.784127964417</v>
      </c>
      <c r="AJ47" s="26" cm="1">
        <f t="array" ref="AJ47">INDEX(
    INDEX(AJ:AJ,Control!$B$29):INDEX(AJ:AJ,100000),
    MATCH($A$8,INDEX($A:$A,Control!$B$29):INDEX($A:$A,100000),0)+MATCH($D47,INDEX($D:$D,Control!$B$31):INDEX($D:$D,Control!$B$32),0)-1,
    1)</f>
        <v>129.25450901818701</v>
      </c>
      <c r="AK47" s="26" cm="1">
        <f t="array" ref="AK47">INDEX(
    INDEX(AK:AK,Control!$B$29):INDEX(AK:AK,100000),
    MATCH($A$8,INDEX($A:$A,Control!$B$29):INDEX($A:$A,100000),0)+MATCH($D47,INDEX($D:$D,Control!$B$31):INDEX($D:$D,Control!$B$32),0)-1,
    1)</f>
        <v>126.60395232950999</v>
      </c>
      <c r="AL47" s="26" cm="1">
        <f t="array" ref="AL47">INDEX(
    INDEX(AL:AL,Control!$B$29):INDEX(AL:AL,100000),
    MATCH($A$8,INDEX($A:$A,Control!$B$29):INDEX($A:$A,100000),0)+MATCH($D47,INDEX($D:$D,Control!$B$31):INDEX($D:$D,Control!$B$32),0)-1,
    1)</f>
        <v>126.706101736733</v>
      </c>
      <c r="AM47" s="26" cm="1">
        <f t="array" ref="AM47">INDEX(
    INDEX(AM:AM,Control!$B$29):INDEX(AM:AM,100000),
    MATCH($A$8,INDEX($A:$A,Control!$B$29):INDEX($A:$A,100000),0)+MATCH($D47,INDEX($D:$D,Control!$B$31):INDEX($D:$D,Control!$B$32),0)-1,
    1)</f>
        <v>127.981057551455</v>
      </c>
      <c r="AN47" s="26" cm="1">
        <f t="array" ref="AN47">INDEX(
    INDEX(AN:AN,Control!$B$29):INDEX(AN:AN,100000),
    MATCH($A$8,INDEX($A:$A,Control!$B$29):INDEX($A:$A,100000),0)+MATCH($D47,INDEX($D:$D,Control!$B$31):INDEX($D:$D,Control!$B$32),0)-1,
    1)</f>
        <v>125.23385695132001</v>
      </c>
    </row>
    <row r="48" spans="3:40" s="1" customFormat="1" x14ac:dyDescent="0.35">
      <c r="C48" s="285"/>
      <c r="D48" s="286"/>
      <c r="E48" s="287"/>
      <c r="F48" s="288"/>
      <c r="G48" s="288"/>
      <c r="H48" s="288"/>
      <c r="I48" s="288"/>
      <c r="J48" s="288"/>
      <c r="K48" s="288"/>
      <c r="L48" s="288"/>
      <c r="M48" s="288"/>
      <c r="N48" s="288"/>
      <c r="O48" s="288"/>
      <c r="P48" s="288"/>
      <c r="Q48" s="288"/>
      <c r="R48" s="288"/>
      <c r="S48" s="288"/>
      <c r="T48" s="288"/>
      <c r="U48" s="288"/>
      <c r="V48" s="288"/>
      <c r="W48" s="288"/>
      <c r="X48" s="288"/>
      <c r="Y48" s="288"/>
      <c r="Z48" s="288"/>
      <c r="AA48" s="288"/>
      <c r="AB48" s="288"/>
      <c r="AC48" s="288"/>
      <c r="AD48" s="288"/>
      <c r="AE48" s="288"/>
      <c r="AF48" s="288"/>
      <c r="AG48" s="288"/>
      <c r="AH48" s="288"/>
      <c r="AI48" s="288"/>
      <c r="AJ48" s="288"/>
      <c r="AK48" s="288"/>
      <c r="AL48" s="288"/>
      <c r="AM48" s="288"/>
      <c r="AN48" s="288"/>
    </row>
    <row r="49" spans="1:100" s="1" customFormat="1" x14ac:dyDescent="0.35">
      <c r="C49" s="285"/>
      <c r="D49" s="286"/>
      <c r="E49" s="287"/>
      <c r="F49" s="288"/>
      <c r="G49" s="288"/>
      <c r="H49" s="288"/>
      <c r="I49" s="288"/>
      <c r="J49" s="288"/>
      <c r="K49" s="288"/>
      <c r="L49" s="288"/>
      <c r="M49" s="288"/>
      <c r="N49" s="288"/>
      <c r="O49" s="288"/>
      <c r="P49" s="288"/>
      <c r="Q49" s="288"/>
      <c r="R49" s="288"/>
      <c r="S49" s="288"/>
      <c r="T49" s="288"/>
      <c r="U49" s="288"/>
      <c r="V49" s="288"/>
      <c r="W49" s="288"/>
      <c r="X49" s="288"/>
      <c r="Y49" s="288"/>
      <c r="Z49" s="288"/>
      <c r="AA49" s="288"/>
      <c r="AB49" s="288"/>
      <c r="AC49" s="288"/>
      <c r="AD49" s="288"/>
      <c r="AE49" s="288"/>
      <c r="AF49" s="288"/>
      <c r="AG49" s="288"/>
      <c r="AH49" s="288"/>
      <c r="AI49" s="288"/>
      <c r="AJ49" s="288"/>
      <c r="AK49" s="288"/>
      <c r="AL49" s="288"/>
      <c r="AM49" s="288"/>
      <c r="AN49" s="288"/>
    </row>
    <row r="50" spans="1:100" s="1" customFormat="1" x14ac:dyDescent="0.35">
      <c r="C50" s="285"/>
      <c r="D50" s="286"/>
      <c r="E50" s="287"/>
      <c r="F50" s="288"/>
      <c r="G50" s="288"/>
      <c r="H50" s="288"/>
      <c r="I50" s="288"/>
      <c r="J50" s="288"/>
      <c r="K50" s="288"/>
      <c r="L50" s="288"/>
      <c r="M50" s="288"/>
      <c r="N50" s="288"/>
      <c r="O50" s="288"/>
      <c r="P50" s="288"/>
      <c r="Q50" s="288"/>
      <c r="R50" s="288"/>
      <c r="S50" s="288"/>
      <c r="T50" s="288"/>
      <c r="U50" s="288"/>
      <c r="V50" s="288"/>
      <c r="W50" s="288"/>
      <c r="X50" s="288"/>
      <c r="Y50" s="288"/>
      <c r="Z50" s="288"/>
      <c r="AA50" s="288"/>
      <c r="AB50" s="288"/>
      <c r="AC50" s="288"/>
      <c r="AD50" s="288"/>
      <c r="AE50" s="288"/>
      <c r="AF50" s="288"/>
      <c r="AG50" s="288"/>
      <c r="AH50" s="288"/>
      <c r="AI50" s="288"/>
      <c r="AJ50" s="288"/>
      <c r="AK50" s="288"/>
      <c r="AL50" s="288"/>
      <c r="AM50" s="288"/>
      <c r="AN50" s="288"/>
    </row>
    <row r="51" spans="1:100" s="127" customFormat="1" ht="13" x14ac:dyDescent="0.3">
      <c r="A51" s="181" t="s">
        <v>227</v>
      </c>
      <c r="B51" s="126"/>
      <c r="C51" s="185"/>
      <c r="D51" s="185"/>
      <c r="E51" s="185"/>
      <c r="F51" s="185"/>
      <c r="G51" s="185"/>
      <c r="H51" s="185"/>
      <c r="I51" s="185"/>
      <c r="J51" s="185"/>
      <c r="K51" s="185"/>
      <c r="L51" s="185"/>
      <c r="M51" s="185"/>
      <c r="N51" s="185"/>
      <c r="O51" s="185"/>
      <c r="P51" s="185"/>
      <c r="Q51" s="185"/>
      <c r="R51" s="185"/>
      <c r="S51" s="185"/>
      <c r="T51" s="185"/>
      <c r="U51" s="185"/>
      <c r="V51" s="185"/>
      <c r="W51" s="185"/>
      <c r="X51" s="185"/>
      <c r="Y51" s="185"/>
      <c r="Z51" s="185"/>
      <c r="AA51" s="185"/>
      <c r="AB51" s="185"/>
      <c r="AC51" s="185"/>
      <c r="AD51" s="185"/>
      <c r="AE51" s="185"/>
      <c r="AF51" s="185"/>
      <c r="AG51" s="185"/>
      <c r="AH51" s="185"/>
      <c r="AI51" s="185"/>
      <c r="AJ51" s="185"/>
      <c r="AK51" s="185"/>
      <c r="AL51" s="185"/>
      <c r="AM51" s="185"/>
      <c r="AN51" s="185"/>
    </row>
    <row r="52" spans="1:100" s="127" customFormat="1" ht="13" x14ac:dyDescent="0.3">
      <c r="A52" s="182"/>
      <c r="B52" s="129" t="s">
        <v>56</v>
      </c>
      <c r="C52" s="129"/>
      <c r="D52" s="129" t="s">
        <v>59</v>
      </c>
      <c r="E52" s="129" t="s">
        <v>60</v>
      </c>
      <c r="F52" s="139">
        <v>2026</v>
      </c>
      <c r="G52" s="139">
        <v>2027</v>
      </c>
      <c r="H52" s="139">
        <v>2028</v>
      </c>
      <c r="I52" s="139">
        <v>2029</v>
      </c>
      <c r="J52" s="139">
        <v>2030</v>
      </c>
      <c r="K52" s="139">
        <v>2031</v>
      </c>
      <c r="L52" s="139">
        <v>2032</v>
      </c>
      <c r="M52" s="139">
        <v>2033</v>
      </c>
      <c r="N52" s="139">
        <v>2034</v>
      </c>
      <c r="O52" s="139">
        <v>2035</v>
      </c>
      <c r="P52" s="139">
        <v>2036</v>
      </c>
      <c r="Q52" s="139">
        <v>2037</v>
      </c>
      <c r="R52" s="139">
        <v>2038</v>
      </c>
      <c r="S52" s="139">
        <v>2039</v>
      </c>
      <c r="T52" s="139">
        <v>2040</v>
      </c>
      <c r="U52" s="139">
        <v>2041</v>
      </c>
      <c r="V52" s="139">
        <v>2042</v>
      </c>
      <c r="W52" s="139">
        <v>2043</v>
      </c>
      <c r="X52" s="139">
        <v>2044</v>
      </c>
      <c r="Y52" s="139">
        <v>2045</v>
      </c>
      <c r="Z52" s="139">
        <v>2046</v>
      </c>
      <c r="AA52" s="139">
        <v>2047</v>
      </c>
      <c r="AB52" s="139">
        <v>2048</v>
      </c>
      <c r="AC52" s="139">
        <v>2049</v>
      </c>
      <c r="AD52" s="139">
        <v>2050</v>
      </c>
      <c r="AE52" s="139">
        <v>2051</v>
      </c>
      <c r="AF52" s="139">
        <v>2052</v>
      </c>
      <c r="AG52" s="139">
        <v>2053</v>
      </c>
      <c r="AH52" s="139">
        <v>2054</v>
      </c>
      <c r="AI52" s="139">
        <v>2055</v>
      </c>
      <c r="AJ52" s="139">
        <v>2056</v>
      </c>
      <c r="AK52" s="139">
        <v>2057</v>
      </c>
      <c r="AL52" s="139">
        <v>2058</v>
      </c>
      <c r="AM52" s="139">
        <v>2059</v>
      </c>
      <c r="AN52" s="139">
        <v>2060</v>
      </c>
    </row>
    <row r="53" spans="1:100" x14ac:dyDescent="0.35">
      <c r="A53">
        <v>1</v>
      </c>
      <c r="B53" s="9" t="s">
        <v>461</v>
      </c>
      <c r="C53" t="s">
        <v>230</v>
      </c>
      <c r="D53" t="s">
        <v>322</v>
      </c>
      <c r="E53" t="s">
        <v>124</v>
      </c>
      <c r="F53" s="17">
        <v>0</v>
      </c>
      <c r="G53" s="17">
        <v>1</v>
      </c>
      <c r="H53" s="17">
        <v>1</v>
      </c>
      <c r="I53" s="17">
        <v>1</v>
      </c>
      <c r="J53" s="17">
        <v>1</v>
      </c>
      <c r="K53" s="17">
        <v>1</v>
      </c>
      <c r="L53" s="17">
        <v>1</v>
      </c>
      <c r="M53" s="17">
        <v>1</v>
      </c>
      <c r="N53" s="17">
        <v>1</v>
      </c>
      <c r="O53" s="17">
        <v>1</v>
      </c>
      <c r="P53" s="17">
        <v>1</v>
      </c>
      <c r="Q53" s="17">
        <v>1</v>
      </c>
      <c r="R53" s="17">
        <v>1</v>
      </c>
      <c r="S53" s="17">
        <v>1</v>
      </c>
      <c r="T53" s="17">
        <v>1</v>
      </c>
      <c r="U53" s="17">
        <v>1</v>
      </c>
      <c r="V53" s="17">
        <v>1</v>
      </c>
      <c r="W53" s="17">
        <v>1</v>
      </c>
      <c r="X53" s="17">
        <v>1</v>
      </c>
      <c r="Y53" s="17">
        <v>1</v>
      </c>
      <c r="Z53" s="17">
        <v>1</v>
      </c>
      <c r="AA53" s="17">
        <v>1</v>
      </c>
      <c r="AB53" s="17">
        <v>1</v>
      </c>
      <c r="AC53" s="17">
        <v>1</v>
      </c>
      <c r="AD53" s="17">
        <v>1</v>
      </c>
      <c r="AE53" s="17">
        <v>1</v>
      </c>
      <c r="AF53" s="17">
        <v>1</v>
      </c>
      <c r="AG53" s="17">
        <v>1</v>
      </c>
      <c r="AH53" s="17">
        <v>1</v>
      </c>
      <c r="AI53" s="17">
        <v>1</v>
      </c>
      <c r="AJ53" s="17">
        <v>1</v>
      </c>
      <c r="AK53" s="17">
        <v>1</v>
      </c>
      <c r="AL53" s="17">
        <v>1</v>
      </c>
      <c r="AM53" s="17">
        <v>1</v>
      </c>
      <c r="AN53" s="17">
        <v>0.98360999999999998</v>
      </c>
      <c r="AO53" s="17"/>
      <c r="AP53" s="17"/>
      <c r="AQ53" s="17"/>
      <c r="AR53" s="17"/>
      <c r="AS53" s="17"/>
      <c r="AT53" s="17"/>
      <c r="AU53" s="17"/>
      <c r="AV53" s="17"/>
      <c r="AW53" s="17"/>
      <c r="AX53" s="17"/>
      <c r="AY53" s="17"/>
      <c r="AZ53" s="17"/>
      <c r="BA53" s="17"/>
      <c r="BB53" s="17"/>
      <c r="BC53" s="17"/>
      <c r="BD53" s="17"/>
      <c r="BE53" s="17"/>
      <c r="BF53" s="17"/>
      <c r="BG53" s="17"/>
      <c r="BH53" s="17"/>
      <c r="BI53" s="17"/>
      <c r="BJ53" s="17"/>
      <c r="BK53" s="17"/>
      <c r="BL53" s="17"/>
      <c r="BM53" s="17"/>
      <c r="BN53" s="17"/>
      <c r="BO53" s="17"/>
      <c r="BP53" s="17"/>
      <c r="BQ53" s="17"/>
      <c r="BR53" s="17"/>
      <c r="BS53" s="17"/>
      <c r="BT53" s="17"/>
      <c r="BU53" s="17"/>
      <c r="BV53" s="17"/>
      <c r="BW53" s="17"/>
      <c r="BX53" s="17"/>
      <c r="BY53" s="17"/>
      <c r="BZ53" s="17"/>
      <c r="CA53" s="17"/>
      <c r="CB53" s="17"/>
      <c r="CC53" s="17"/>
      <c r="CD53" s="17"/>
      <c r="CE53" s="17"/>
      <c r="CF53" s="17"/>
      <c r="CG53" s="17"/>
      <c r="CH53" s="17"/>
      <c r="CI53" s="17"/>
      <c r="CJ53" s="17"/>
      <c r="CK53" s="17"/>
      <c r="CL53" s="17"/>
      <c r="CM53" s="17"/>
      <c r="CN53" s="17"/>
      <c r="CO53" s="17"/>
      <c r="CP53" s="17"/>
      <c r="CQ53" s="17"/>
      <c r="CR53" s="17"/>
      <c r="CS53" s="17"/>
      <c r="CT53" s="17"/>
      <c r="CU53" s="17"/>
      <c r="CV53" s="17"/>
    </row>
    <row r="54" spans="1:100" x14ac:dyDescent="0.35">
      <c r="B54" s="9">
        <v>2027</v>
      </c>
      <c r="C54" t="s">
        <v>337</v>
      </c>
      <c r="D54" t="s">
        <v>323</v>
      </c>
      <c r="F54" s="17">
        <v>0</v>
      </c>
      <c r="G54" s="17">
        <v>0</v>
      </c>
      <c r="H54" s="17">
        <v>0</v>
      </c>
      <c r="I54" s="17">
        <v>0</v>
      </c>
      <c r="J54" s="17">
        <v>0</v>
      </c>
      <c r="K54" s="17">
        <v>0</v>
      </c>
      <c r="L54" s="17">
        <v>0</v>
      </c>
      <c r="M54" s="17">
        <v>0</v>
      </c>
      <c r="N54" s="17">
        <v>0</v>
      </c>
      <c r="O54" s="17">
        <v>0</v>
      </c>
      <c r="P54" s="17">
        <v>0</v>
      </c>
      <c r="Q54" s="17">
        <v>0</v>
      </c>
      <c r="R54" s="17">
        <v>0</v>
      </c>
      <c r="S54" s="17">
        <v>0</v>
      </c>
      <c r="T54" s="17">
        <v>0</v>
      </c>
      <c r="U54" s="17">
        <v>0</v>
      </c>
      <c r="V54" s="17">
        <v>0</v>
      </c>
      <c r="W54" s="17">
        <v>1</v>
      </c>
      <c r="X54" s="17">
        <v>1</v>
      </c>
      <c r="Y54" s="17">
        <v>1</v>
      </c>
      <c r="Z54" s="17">
        <v>1</v>
      </c>
      <c r="AA54" s="17">
        <v>1</v>
      </c>
      <c r="AB54" s="17">
        <v>1</v>
      </c>
      <c r="AC54" s="17">
        <v>1</v>
      </c>
      <c r="AD54" s="17">
        <v>1</v>
      </c>
      <c r="AE54" s="17">
        <v>1</v>
      </c>
      <c r="AF54" s="17">
        <v>1</v>
      </c>
      <c r="AG54" s="17">
        <v>1</v>
      </c>
      <c r="AH54" s="17">
        <v>1</v>
      </c>
      <c r="AI54" s="17">
        <v>1</v>
      </c>
      <c r="AJ54" s="17">
        <v>1</v>
      </c>
      <c r="AK54" s="17">
        <v>1</v>
      </c>
      <c r="AL54" s="17">
        <v>1</v>
      </c>
      <c r="AM54" s="17">
        <v>1</v>
      </c>
      <c r="AN54" s="17">
        <v>1</v>
      </c>
      <c r="AO54" s="17"/>
      <c r="AP54" s="17"/>
      <c r="AQ54" s="17"/>
      <c r="AR54" s="17"/>
      <c r="AS54" s="17"/>
      <c r="AT54" s="17"/>
      <c r="AU54" s="17"/>
      <c r="AV54" s="17"/>
      <c r="AW54" s="17"/>
      <c r="AX54" s="17"/>
      <c r="AY54" s="17"/>
      <c r="AZ54" s="17"/>
      <c r="BA54" s="17"/>
      <c r="BB54" s="17"/>
      <c r="BC54" s="17"/>
      <c r="BD54" s="17"/>
      <c r="BE54" s="17"/>
      <c r="BF54" s="17"/>
      <c r="BG54" s="17"/>
      <c r="BH54" s="17"/>
      <c r="BI54" s="17"/>
      <c r="BJ54" s="17"/>
      <c r="BK54" s="17"/>
      <c r="BL54" s="17"/>
      <c r="BM54" s="17"/>
      <c r="BN54" s="17"/>
      <c r="BO54" s="17"/>
      <c r="BP54" s="17"/>
      <c r="BQ54" s="17"/>
      <c r="BR54" s="17"/>
      <c r="BS54" s="17"/>
      <c r="BT54" s="17"/>
      <c r="BU54" s="17"/>
      <c r="BV54" s="17"/>
      <c r="BW54" s="17"/>
      <c r="BX54" s="17"/>
      <c r="BY54" s="17"/>
      <c r="BZ54" s="17"/>
      <c r="CA54" s="17"/>
      <c r="CB54" s="17"/>
      <c r="CC54" s="17"/>
      <c r="CD54" s="17"/>
      <c r="CE54" s="17"/>
      <c r="CF54" s="17"/>
      <c r="CG54" s="17"/>
      <c r="CH54" s="17"/>
      <c r="CI54" s="17"/>
      <c r="CJ54" s="17"/>
      <c r="CK54" s="17"/>
      <c r="CL54" s="17"/>
      <c r="CM54" s="17"/>
      <c r="CN54" s="17"/>
      <c r="CO54" s="17"/>
      <c r="CP54" s="17"/>
      <c r="CQ54" s="17"/>
      <c r="CR54" s="17"/>
      <c r="CS54" s="17"/>
      <c r="CT54" s="17"/>
      <c r="CU54" s="17"/>
      <c r="CV54" s="17"/>
    </row>
    <row r="55" spans="1:100" x14ac:dyDescent="0.35">
      <c r="B55" s="9" t="s">
        <v>77</v>
      </c>
      <c r="C55" t="s">
        <v>230</v>
      </c>
      <c r="D55" t="s">
        <v>324</v>
      </c>
      <c r="F55" s="17">
        <v>0</v>
      </c>
      <c r="G55" s="17">
        <v>1.4986999999999999</v>
      </c>
      <c r="H55" s="17">
        <v>1.50257</v>
      </c>
      <c r="I55" s="17">
        <v>1.5064900000000001</v>
      </c>
      <c r="J55" s="17">
        <v>1.49325</v>
      </c>
      <c r="K55" s="17">
        <v>1.5025900000000001</v>
      </c>
      <c r="L55" s="17">
        <v>1.4938100000000001</v>
      </c>
      <c r="M55" s="17">
        <v>1.5028900000000001</v>
      </c>
      <c r="N55" s="17">
        <v>1.5090600000000001</v>
      </c>
      <c r="O55" s="17">
        <v>1.5073799999999999</v>
      </c>
      <c r="P55" s="17">
        <v>1.50431</v>
      </c>
      <c r="Q55" s="17">
        <v>1.50376</v>
      </c>
      <c r="R55" s="17">
        <v>1.49793</v>
      </c>
      <c r="S55" s="17">
        <v>1.50027</v>
      </c>
      <c r="T55" s="17">
        <v>1.5024299999999999</v>
      </c>
      <c r="U55" s="17">
        <v>1.50308</v>
      </c>
      <c r="V55" s="17">
        <v>1.50657</v>
      </c>
      <c r="W55" s="17">
        <v>1.5076400000000001</v>
      </c>
      <c r="X55" s="17">
        <v>1.5017</v>
      </c>
      <c r="Y55" s="17">
        <v>1.50234</v>
      </c>
      <c r="Z55" s="17">
        <v>1.50142</v>
      </c>
      <c r="AA55" s="17">
        <v>1.49786</v>
      </c>
      <c r="AB55" s="17">
        <v>1.50281</v>
      </c>
      <c r="AC55" s="17">
        <v>1.4961800000000001</v>
      </c>
      <c r="AD55" s="17">
        <v>1.50187</v>
      </c>
      <c r="AE55" s="17">
        <v>1.5001599999999999</v>
      </c>
      <c r="AF55" s="17">
        <v>1.50298</v>
      </c>
      <c r="AG55" s="17">
        <v>1.50482</v>
      </c>
      <c r="AH55" s="17">
        <v>1.50431</v>
      </c>
      <c r="AI55" s="17">
        <v>1.4933000000000001</v>
      </c>
      <c r="AJ55" s="17">
        <v>1.50047</v>
      </c>
      <c r="AK55" s="17">
        <v>1.4972700000000001</v>
      </c>
      <c r="AL55" s="17">
        <v>1.49457</v>
      </c>
      <c r="AM55" s="17">
        <v>1.5007299999999999</v>
      </c>
      <c r="AN55" s="17">
        <v>1.4999400000000001</v>
      </c>
      <c r="AO55" s="17"/>
      <c r="AP55" s="17"/>
      <c r="AQ55" s="17"/>
      <c r="AR55" s="17"/>
      <c r="AS55" s="17"/>
      <c r="AT55" s="17"/>
      <c r="AU55" s="17"/>
      <c r="AV55" s="17"/>
      <c r="AW55" s="17"/>
      <c r="AX55" s="17"/>
      <c r="AY55" s="17"/>
      <c r="AZ55" s="17"/>
      <c r="BA55" s="17"/>
      <c r="BB55" s="17"/>
      <c r="BC55" s="17"/>
      <c r="BD55" s="17"/>
      <c r="BE55" s="17"/>
      <c r="BF55" s="17"/>
      <c r="BG55" s="17"/>
      <c r="BH55" s="17"/>
      <c r="BI55" s="17"/>
      <c r="BJ55" s="17"/>
      <c r="BK55" s="17"/>
      <c r="BL55" s="17"/>
      <c r="BM55" s="17"/>
      <c r="BN55" s="17"/>
      <c r="BO55" s="17"/>
      <c r="BP55" s="17"/>
      <c r="BQ55" s="17"/>
      <c r="BR55" s="17"/>
      <c r="BS55" s="17"/>
      <c r="BT55" s="17"/>
      <c r="BU55" s="17"/>
      <c r="BV55" s="17"/>
      <c r="BW55" s="17"/>
      <c r="BX55" s="17"/>
      <c r="BY55" s="17"/>
      <c r="BZ55" s="17"/>
      <c r="CA55" s="17"/>
      <c r="CB55" s="17"/>
      <c r="CC55" s="17"/>
      <c r="CD55" s="17"/>
      <c r="CE55" s="17"/>
      <c r="CF55" s="17"/>
      <c r="CG55" s="17"/>
      <c r="CH55" s="17"/>
      <c r="CI55" s="17"/>
      <c r="CJ55" s="17"/>
      <c r="CK55" s="17"/>
      <c r="CL55" s="17"/>
      <c r="CM55" s="17"/>
      <c r="CN55" s="17"/>
      <c r="CO55" s="17"/>
      <c r="CP55" s="17"/>
      <c r="CQ55" s="17"/>
      <c r="CR55" s="17"/>
      <c r="CS55" s="17"/>
      <c r="CT55" s="17"/>
      <c r="CU55" s="17"/>
      <c r="CV55" s="17"/>
    </row>
    <row r="56" spans="1:100" x14ac:dyDescent="0.35">
      <c r="B56" s="9" t="s">
        <v>462</v>
      </c>
      <c r="C56" t="s">
        <v>230</v>
      </c>
      <c r="D56" t="s">
        <v>325</v>
      </c>
      <c r="E56" t="s">
        <v>326</v>
      </c>
      <c r="F56" s="17">
        <v>0</v>
      </c>
      <c r="G56" s="17">
        <v>0.94977</v>
      </c>
      <c r="H56" s="17">
        <v>0.91749000000000003</v>
      </c>
      <c r="I56" s="17">
        <v>0.89312999999999998</v>
      </c>
      <c r="J56" s="17">
        <v>0.87263000000000002</v>
      </c>
      <c r="K56" s="17">
        <v>0.85307999999999995</v>
      </c>
      <c r="L56" s="17">
        <v>0.83438999999999997</v>
      </c>
      <c r="M56" s="17">
        <v>0.81586999999999998</v>
      </c>
      <c r="N56" s="17">
        <v>0.79803999999999997</v>
      </c>
      <c r="O56" s="17">
        <v>0.78113999999999995</v>
      </c>
      <c r="P56" s="17">
        <v>0.76505999999999996</v>
      </c>
      <c r="Q56" s="17">
        <v>0.74944999999999995</v>
      </c>
      <c r="R56" s="17">
        <v>0.73441999999999996</v>
      </c>
      <c r="S56" s="17">
        <v>0.71950000000000003</v>
      </c>
      <c r="T56" s="17">
        <v>0.70457999999999998</v>
      </c>
      <c r="U56" s="17">
        <v>0.68964999999999999</v>
      </c>
      <c r="V56" s="17">
        <v>0.67464999999999997</v>
      </c>
      <c r="W56" s="17">
        <v>0.99917999999999996</v>
      </c>
      <c r="X56" s="17">
        <v>0.94903999999999999</v>
      </c>
      <c r="Y56" s="17">
        <v>0.91712000000000005</v>
      </c>
      <c r="Z56" s="17">
        <v>0.89285999999999999</v>
      </c>
      <c r="AA56" s="17">
        <v>0.87224999999999997</v>
      </c>
      <c r="AB56" s="17">
        <v>0.85274000000000005</v>
      </c>
      <c r="AC56" s="17">
        <v>0.83404999999999996</v>
      </c>
      <c r="AD56" s="17">
        <v>0.81559000000000004</v>
      </c>
      <c r="AE56" s="17">
        <v>0.79783999999999999</v>
      </c>
      <c r="AF56" s="17">
        <v>0.78088000000000002</v>
      </c>
      <c r="AG56" s="17">
        <v>0.76478999999999997</v>
      </c>
      <c r="AH56" s="17">
        <v>0.74919999999999998</v>
      </c>
      <c r="AI56" s="17">
        <v>0.73421999999999998</v>
      </c>
      <c r="AJ56" s="17">
        <v>0.71921999999999997</v>
      </c>
      <c r="AK56" s="17">
        <v>0.70438999999999996</v>
      </c>
      <c r="AL56" s="17">
        <v>0.68949000000000005</v>
      </c>
      <c r="AM56" s="17">
        <v>0.67444000000000004</v>
      </c>
      <c r="AN56" s="17">
        <v>0</v>
      </c>
      <c r="AO56" s="17"/>
      <c r="AP56" s="17"/>
      <c r="AQ56" s="17"/>
      <c r="AR56" s="17"/>
      <c r="AS56" s="17"/>
      <c r="AT56" s="17"/>
      <c r="AU56" s="17"/>
      <c r="AV56" s="17"/>
      <c r="AW56" s="17"/>
      <c r="AX56" s="17"/>
      <c r="AY56" s="17"/>
      <c r="AZ56" s="17"/>
      <c r="BA56" s="17"/>
      <c r="BB56" s="17"/>
      <c r="BC56" s="17"/>
      <c r="BD56" s="17"/>
      <c r="BE56" s="17"/>
      <c r="BF56" s="17"/>
      <c r="BG56" s="17"/>
      <c r="BH56" s="17"/>
      <c r="BI56" s="17"/>
      <c r="BJ56" s="17"/>
      <c r="BK56" s="17"/>
      <c r="BL56" s="17"/>
      <c r="BM56" s="17"/>
      <c r="BN56" s="17"/>
      <c r="BO56" s="17"/>
      <c r="BP56" s="17"/>
      <c r="BQ56" s="17"/>
      <c r="BR56" s="17"/>
      <c r="BS56" s="17"/>
      <c r="BT56" s="17"/>
      <c r="BU56" s="17"/>
      <c r="BV56" s="17"/>
      <c r="BW56" s="17"/>
      <c r="BX56" s="17"/>
      <c r="BY56" s="17"/>
      <c r="BZ56" s="17"/>
      <c r="CA56" s="17"/>
      <c r="CB56" s="17"/>
      <c r="CC56" s="17"/>
      <c r="CD56" s="17"/>
      <c r="CE56" s="17"/>
      <c r="CF56" s="17"/>
      <c r="CG56" s="17"/>
      <c r="CH56" s="17"/>
      <c r="CI56" s="17"/>
      <c r="CJ56" s="17"/>
      <c r="CK56" s="17"/>
      <c r="CL56" s="17"/>
      <c r="CM56" s="17"/>
      <c r="CN56" s="17"/>
      <c r="CO56" s="17"/>
      <c r="CP56" s="17"/>
      <c r="CQ56" s="17"/>
      <c r="CR56" s="17"/>
      <c r="CS56" s="17"/>
      <c r="CT56" s="17"/>
      <c r="CU56" s="17"/>
      <c r="CV56" s="17"/>
    </row>
    <row r="57" spans="1:100" x14ac:dyDescent="0.35">
      <c r="B57" s="9" t="s">
        <v>463</v>
      </c>
      <c r="C57" t="s">
        <v>230</v>
      </c>
      <c r="D57" t="s">
        <v>327</v>
      </c>
      <c r="E57" t="s">
        <v>326</v>
      </c>
      <c r="F57" s="17">
        <v>0</v>
      </c>
      <c r="G57" s="17">
        <v>0.94903999999999999</v>
      </c>
      <c r="H57" s="17">
        <v>0.91608999999999996</v>
      </c>
      <c r="I57" s="17">
        <v>0.89109000000000005</v>
      </c>
      <c r="J57" s="17">
        <v>0.86997000000000002</v>
      </c>
      <c r="K57" s="17">
        <v>0.84982999999999997</v>
      </c>
      <c r="L57" s="17">
        <v>0.83057000000000003</v>
      </c>
      <c r="M57" s="17">
        <v>0.81150999999999995</v>
      </c>
      <c r="N57" s="17">
        <v>0.79317000000000004</v>
      </c>
      <c r="O57" s="17">
        <v>0.77576999999999996</v>
      </c>
      <c r="P57" s="17">
        <v>0.75921000000000005</v>
      </c>
      <c r="Q57" s="17">
        <v>0.74314999999999998</v>
      </c>
      <c r="R57" s="17">
        <v>0.72767999999999999</v>
      </c>
      <c r="S57" s="17">
        <v>0.71233999999999997</v>
      </c>
      <c r="T57" s="17">
        <v>0.69703000000000004</v>
      </c>
      <c r="U57" s="17">
        <v>0.68171999999999999</v>
      </c>
      <c r="V57" s="17">
        <v>0.66637999999999997</v>
      </c>
      <c r="W57" s="17">
        <v>0.99916000000000005</v>
      </c>
      <c r="X57" s="17">
        <v>0.94830999999999999</v>
      </c>
      <c r="Y57" s="17">
        <v>0.91571999999999998</v>
      </c>
      <c r="Z57" s="17">
        <v>0.89080000000000004</v>
      </c>
      <c r="AA57" s="17">
        <v>0.86958000000000002</v>
      </c>
      <c r="AB57" s="17">
        <v>0.84948000000000001</v>
      </c>
      <c r="AC57" s="17">
        <v>0.83021999999999996</v>
      </c>
      <c r="AD57" s="17">
        <v>0.81122000000000005</v>
      </c>
      <c r="AE57" s="17">
        <v>0.79296</v>
      </c>
      <c r="AF57" s="17">
        <v>0.77549999999999997</v>
      </c>
      <c r="AG57" s="17">
        <v>0.75892999999999999</v>
      </c>
      <c r="AH57" s="17">
        <v>0.74289000000000005</v>
      </c>
      <c r="AI57" s="17">
        <v>0.72748000000000002</v>
      </c>
      <c r="AJ57" s="17">
        <v>0.71204999999999996</v>
      </c>
      <c r="AK57" s="17">
        <v>0.69682999999999995</v>
      </c>
      <c r="AL57" s="17">
        <v>0.68156000000000005</v>
      </c>
      <c r="AM57" s="17">
        <v>0.66617000000000004</v>
      </c>
      <c r="AN57" s="17">
        <v>0</v>
      </c>
      <c r="AO57" s="17"/>
      <c r="AP57" s="17"/>
      <c r="AQ57" s="17"/>
      <c r="AR57" s="17"/>
      <c r="AS57" s="17"/>
      <c r="AT57" s="17"/>
      <c r="AU57" s="17"/>
      <c r="AV57" s="17"/>
      <c r="AW57" s="17"/>
      <c r="AX57" s="17"/>
      <c r="AY57" s="17"/>
      <c r="AZ57" s="17"/>
      <c r="BA57" s="17"/>
      <c r="BB57" s="17"/>
      <c r="BC57" s="17"/>
      <c r="BD57" s="17"/>
      <c r="BE57" s="17"/>
      <c r="BF57" s="17"/>
      <c r="BG57" s="17"/>
      <c r="BH57" s="17"/>
      <c r="BI57" s="17"/>
      <c r="BJ57" s="17"/>
      <c r="BK57" s="17"/>
      <c r="BL57" s="17"/>
      <c r="BM57" s="17"/>
      <c r="BN57" s="17"/>
      <c r="BO57" s="17"/>
      <c r="BP57" s="17"/>
      <c r="BQ57" s="17"/>
      <c r="BR57" s="17"/>
      <c r="BS57" s="17"/>
      <c r="BT57" s="17"/>
      <c r="BU57" s="17"/>
      <c r="BV57" s="17"/>
      <c r="BW57" s="17"/>
      <c r="BX57" s="17"/>
      <c r="BY57" s="17"/>
      <c r="BZ57" s="17"/>
      <c r="CA57" s="17"/>
      <c r="CB57" s="17"/>
      <c r="CC57" s="17"/>
      <c r="CD57" s="17"/>
      <c r="CE57" s="17"/>
      <c r="CF57" s="17"/>
      <c r="CG57" s="17"/>
      <c r="CH57" s="17"/>
      <c r="CI57" s="17"/>
      <c r="CJ57" s="17"/>
      <c r="CK57" s="17"/>
      <c r="CL57" s="17"/>
      <c r="CM57" s="17"/>
      <c r="CN57" s="17"/>
      <c r="CO57" s="17"/>
      <c r="CP57" s="17"/>
      <c r="CQ57" s="17"/>
      <c r="CR57" s="17"/>
      <c r="CS57" s="17"/>
      <c r="CT57" s="17"/>
      <c r="CU57" s="17"/>
      <c r="CV57" s="17"/>
    </row>
    <row r="58" spans="1:100" x14ac:dyDescent="0.35">
      <c r="B58" s="9" t="s">
        <v>143</v>
      </c>
      <c r="C58" t="s">
        <v>338</v>
      </c>
      <c r="D58" t="s">
        <v>328</v>
      </c>
      <c r="E58" t="s">
        <v>217</v>
      </c>
      <c r="F58" s="17">
        <v>0</v>
      </c>
      <c r="G58" s="17">
        <v>472.44644</v>
      </c>
      <c r="H58" s="17">
        <v>457.76517000000001</v>
      </c>
      <c r="I58" s="17">
        <v>424.97190000000001</v>
      </c>
      <c r="J58" s="17">
        <v>381.54644000000002</v>
      </c>
      <c r="K58" s="17">
        <v>388.63801999999998</v>
      </c>
      <c r="L58" s="17">
        <v>371.50794999999999</v>
      </c>
      <c r="M58" s="17">
        <v>351.93826000000001</v>
      </c>
      <c r="N58" s="17">
        <v>314.72487999999998</v>
      </c>
      <c r="O58" s="17">
        <v>289.63630000000001</v>
      </c>
      <c r="P58" s="17">
        <v>254.90412000000001</v>
      </c>
      <c r="Q58" s="17">
        <v>251.57507000000001</v>
      </c>
      <c r="R58" s="17">
        <v>228.05125000000001</v>
      </c>
      <c r="S58" s="17">
        <v>211.33808999999999</v>
      </c>
      <c r="T58" s="17">
        <v>204.04768000000001</v>
      </c>
      <c r="U58" s="17">
        <v>193.47796</v>
      </c>
      <c r="V58" s="17">
        <v>177.22110000000001</v>
      </c>
      <c r="W58" s="17">
        <v>164.43642</v>
      </c>
      <c r="X58" s="17">
        <v>334.94278000000003</v>
      </c>
      <c r="Y58" s="17">
        <v>300.94358</v>
      </c>
      <c r="Z58" s="17">
        <v>276.85223000000002</v>
      </c>
      <c r="AA58" s="17">
        <v>258.01943</v>
      </c>
      <c r="AB58" s="17">
        <v>234.08861999999999</v>
      </c>
      <c r="AC58" s="17">
        <v>224.98202000000001</v>
      </c>
      <c r="AD58" s="17">
        <v>212.76763</v>
      </c>
      <c r="AE58" s="17">
        <v>196.65201999999999</v>
      </c>
      <c r="AF58" s="17">
        <v>184.75987000000001</v>
      </c>
      <c r="AG58" s="17">
        <v>179.03336999999999</v>
      </c>
      <c r="AH58" s="17">
        <v>165.20328000000001</v>
      </c>
      <c r="AI58" s="17">
        <v>159.72791000000001</v>
      </c>
      <c r="AJ58" s="17">
        <v>141.96450999999999</v>
      </c>
      <c r="AK58" s="17">
        <v>130.58476999999999</v>
      </c>
      <c r="AL58" s="17">
        <v>125.13679</v>
      </c>
      <c r="AM58" s="17">
        <v>117.09406</v>
      </c>
      <c r="AN58" s="17">
        <v>108.68192000000001</v>
      </c>
      <c r="AO58" s="17"/>
      <c r="AP58" s="17"/>
      <c r="AQ58" s="17"/>
      <c r="AR58" s="17"/>
      <c r="AS58" s="17"/>
      <c r="AT58" s="17"/>
      <c r="AU58" s="17"/>
      <c r="AV58" s="17"/>
      <c r="AW58" s="17"/>
      <c r="AX58" s="17"/>
      <c r="AY58" s="17"/>
      <c r="AZ58" s="17"/>
      <c r="BA58" s="17"/>
      <c r="BB58" s="17"/>
      <c r="BC58" s="17"/>
      <c r="BD58" s="17"/>
      <c r="BE58" s="17"/>
      <c r="BF58" s="17"/>
      <c r="BG58" s="17"/>
      <c r="BH58" s="17"/>
      <c r="BI58" s="17"/>
      <c r="BJ58" s="17"/>
      <c r="BK58" s="17"/>
      <c r="BL58" s="17"/>
      <c r="BM58" s="17"/>
      <c r="BN58" s="17"/>
      <c r="BO58" s="17"/>
      <c r="BP58" s="17"/>
      <c r="BQ58" s="17"/>
      <c r="BR58" s="17"/>
      <c r="BS58" s="17"/>
      <c r="BT58" s="17"/>
      <c r="BU58" s="17"/>
      <c r="BV58" s="17"/>
      <c r="BW58" s="17"/>
      <c r="BX58" s="17"/>
      <c r="BY58" s="17"/>
      <c r="BZ58" s="17"/>
      <c r="CA58" s="17"/>
      <c r="CB58" s="17"/>
      <c r="CC58" s="17"/>
      <c r="CD58" s="17"/>
      <c r="CE58" s="17"/>
      <c r="CF58" s="17"/>
      <c r="CG58" s="17"/>
      <c r="CH58" s="17"/>
      <c r="CI58" s="17"/>
      <c r="CJ58" s="17"/>
      <c r="CK58" s="17"/>
      <c r="CL58" s="17"/>
      <c r="CM58" s="17"/>
      <c r="CN58" s="17"/>
      <c r="CO58" s="17"/>
      <c r="CP58" s="17"/>
      <c r="CQ58" s="17"/>
      <c r="CR58" s="17"/>
      <c r="CS58" s="17"/>
      <c r="CT58" s="17"/>
      <c r="CU58" s="17"/>
      <c r="CV58" s="17"/>
    </row>
    <row r="59" spans="1:100" x14ac:dyDescent="0.35">
      <c r="B59" s="9"/>
      <c r="C59" t="s">
        <v>230</v>
      </c>
      <c r="D59" t="s">
        <v>329</v>
      </c>
      <c r="E59" t="s">
        <v>217</v>
      </c>
      <c r="F59" s="17">
        <v>0</v>
      </c>
      <c r="G59" s="17">
        <v>-78.98357</v>
      </c>
      <c r="H59" s="17">
        <v>-93.127849999999995</v>
      </c>
      <c r="I59" s="17">
        <v>-68.991029999999995</v>
      </c>
      <c r="J59" s="17">
        <v>-51.024239999999999</v>
      </c>
      <c r="K59" s="17">
        <v>-27.717030000000001</v>
      </c>
      <c r="L59" s="17">
        <v>-24.501370000000001</v>
      </c>
      <c r="M59" s="17">
        <v>-16.53105</v>
      </c>
      <c r="N59" s="17">
        <v>-10.426690000000001</v>
      </c>
      <c r="O59" s="17">
        <v>-1</v>
      </c>
      <c r="P59" s="17">
        <v>0</v>
      </c>
      <c r="Q59" s="17">
        <v>-0.45419999999999999</v>
      </c>
      <c r="R59" s="17">
        <v>-0.36413000000000001</v>
      </c>
      <c r="S59" s="17">
        <v>-0.85</v>
      </c>
      <c r="T59" s="17">
        <v>-1.0566599999999999</v>
      </c>
      <c r="U59" s="17">
        <v>-0.87370999999999999</v>
      </c>
      <c r="V59" s="17">
        <v>-2.2525400000000002</v>
      </c>
      <c r="W59" s="17">
        <v>-5.2086600000000001</v>
      </c>
      <c r="X59" s="17">
        <v>-3.2841900000000002</v>
      </c>
      <c r="Y59" s="17">
        <v>-2</v>
      </c>
      <c r="Z59" s="17">
        <v>0</v>
      </c>
      <c r="AA59" s="17">
        <v>0</v>
      </c>
      <c r="AB59" s="17">
        <v>0</v>
      </c>
      <c r="AC59" s="17">
        <v>0</v>
      </c>
      <c r="AD59" s="17">
        <v>0</v>
      </c>
      <c r="AE59" s="17">
        <v>0</v>
      </c>
      <c r="AF59" s="17">
        <v>0</v>
      </c>
      <c r="AG59" s="17">
        <v>0</v>
      </c>
      <c r="AH59" s="17">
        <v>0</v>
      </c>
      <c r="AI59" s="17">
        <v>0</v>
      </c>
      <c r="AJ59" s="17">
        <v>0</v>
      </c>
      <c r="AK59" s="17">
        <v>0</v>
      </c>
      <c r="AL59" s="17">
        <v>0</v>
      </c>
      <c r="AM59" s="17">
        <v>0</v>
      </c>
      <c r="AN59" s="17">
        <v>0</v>
      </c>
      <c r="AO59" s="17"/>
      <c r="AP59" s="17"/>
      <c r="AQ59" s="17"/>
      <c r="AR59" s="17"/>
      <c r="AS59" s="17"/>
      <c r="AT59" s="17"/>
      <c r="AU59" s="17"/>
      <c r="AV59" s="17"/>
      <c r="AW59" s="17"/>
      <c r="AX59" s="17"/>
      <c r="AY59" s="17"/>
      <c r="AZ59" s="17"/>
      <c r="BA59" s="17"/>
      <c r="BB59" s="17"/>
      <c r="BC59" s="17"/>
      <c r="BD59" s="17"/>
      <c r="BE59" s="17"/>
      <c r="BF59" s="17"/>
      <c r="BG59" s="17"/>
      <c r="BH59" s="17"/>
      <c r="BI59" s="17"/>
      <c r="BJ59" s="17"/>
      <c r="BK59" s="17"/>
      <c r="BL59" s="17"/>
      <c r="BM59" s="17"/>
      <c r="BN59" s="17"/>
      <c r="BO59" s="17"/>
      <c r="BP59" s="17"/>
      <c r="BQ59" s="17"/>
      <c r="BR59" s="17"/>
      <c r="BS59" s="17"/>
      <c r="BT59" s="17"/>
      <c r="BU59" s="17"/>
      <c r="BV59" s="17"/>
      <c r="BW59" s="17"/>
      <c r="BX59" s="17"/>
      <c r="BY59" s="17"/>
      <c r="BZ59" s="17"/>
      <c r="CA59" s="17"/>
      <c r="CB59" s="17"/>
      <c r="CC59" s="17"/>
      <c r="CD59" s="17"/>
      <c r="CE59" s="17"/>
      <c r="CF59" s="17"/>
      <c r="CG59" s="17"/>
      <c r="CH59" s="17"/>
      <c r="CI59" s="17"/>
      <c r="CJ59" s="17"/>
      <c r="CK59" s="17"/>
      <c r="CL59" s="17"/>
      <c r="CM59" s="17"/>
      <c r="CN59" s="17"/>
      <c r="CO59" s="17"/>
      <c r="CP59" s="17"/>
      <c r="CQ59" s="17"/>
      <c r="CR59" s="17"/>
      <c r="CS59" s="17"/>
      <c r="CT59" s="17"/>
      <c r="CU59" s="17"/>
      <c r="CV59" s="17"/>
    </row>
    <row r="60" spans="1:100" x14ac:dyDescent="0.35">
      <c r="B60" s="9"/>
      <c r="C60" t="s">
        <v>230</v>
      </c>
      <c r="D60" t="s">
        <v>330</v>
      </c>
      <c r="E60" t="s">
        <v>217</v>
      </c>
      <c r="F60" s="17">
        <v>0</v>
      </c>
      <c r="G60" s="17">
        <v>204.9066</v>
      </c>
      <c r="H60" s="17">
        <v>250.28088</v>
      </c>
      <c r="I60" s="17">
        <v>260.40796999999998</v>
      </c>
      <c r="J60" s="17">
        <v>291.35111999999998</v>
      </c>
      <c r="K60" s="17">
        <v>310.22376000000003</v>
      </c>
      <c r="L60" s="17">
        <v>273.21033999999997</v>
      </c>
      <c r="M60" s="17">
        <v>310.51310000000001</v>
      </c>
      <c r="N60" s="17">
        <v>310.53514000000001</v>
      </c>
      <c r="O60" s="17">
        <v>277.25797999999998</v>
      </c>
      <c r="P60" s="17">
        <v>311.90971999999999</v>
      </c>
      <c r="Q60" s="17">
        <v>346.51636999999999</v>
      </c>
      <c r="R60" s="17">
        <v>339.81799000000001</v>
      </c>
      <c r="S60" s="17">
        <v>336.19180999999998</v>
      </c>
      <c r="T60" s="17">
        <v>332.16726</v>
      </c>
      <c r="U60" s="17">
        <v>334.65258999999998</v>
      </c>
      <c r="V60" s="17">
        <v>342.15095000000002</v>
      </c>
      <c r="W60" s="17">
        <v>357.43552</v>
      </c>
      <c r="X60" s="17">
        <v>403.53546</v>
      </c>
      <c r="Y60" s="17">
        <v>403.72737999999998</v>
      </c>
      <c r="Z60" s="17">
        <v>385.70575000000002</v>
      </c>
      <c r="AA60" s="17">
        <v>395.68783999999999</v>
      </c>
      <c r="AB60" s="17">
        <v>401.18664000000001</v>
      </c>
      <c r="AC60" s="17">
        <v>399.24721</v>
      </c>
      <c r="AD60" s="17">
        <v>389.41140000000001</v>
      </c>
      <c r="AE60" s="17">
        <v>392.22023999999999</v>
      </c>
      <c r="AF60" s="17">
        <v>385.68835999999999</v>
      </c>
      <c r="AG60" s="17">
        <v>380.93257</v>
      </c>
      <c r="AH60" s="17">
        <v>378.02641999999997</v>
      </c>
      <c r="AI60" s="17">
        <v>375.77177999999998</v>
      </c>
      <c r="AJ60" s="17">
        <v>375.77836000000002</v>
      </c>
      <c r="AK60" s="17">
        <v>385.89506</v>
      </c>
      <c r="AL60" s="17">
        <v>368.06148999999999</v>
      </c>
      <c r="AM60" s="17">
        <v>360.07807000000003</v>
      </c>
      <c r="AN60" s="17">
        <v>351.22188999999997</v>
      </c>
      <c r="AO60" s="17"/>
      <c r="AP60" s="17"/>
      <c r="AQ60" s="17"/>
      <c r="AR60" s="17"/>
      <c r="AS60" s="17"/>
      <c r="AT60" s="17"/>
      <c r="AU60" s="17"/>
      <c r="AV60" s="17"/>
      <c r="AW60" s="17"/>
      <c r="AX60" s="17"/>
      <c r="AY60" s="17"/>
      <c r="AZ60" s="17"/>
      <c r="BA60" s="17"/>
      <c r="BB60" s="17"/>
      <c r="BC60" s="17"/>
      <c r="BD60" s="17"/>
      <c r="BE60" s="17"/>
      <c r="BF60" s="17"/>
      <c r="BG60" s="17"/>
      <c r="BH60" s="17"/>
      <c r="BI60" s="17"/>
      <c r="BJ60" s="17"/>
      <c r="BK60" s="17"/>
      <c r="BL60" s="17"/>
      <c r="BM60" s="17"/>
      <c r="BN60" s="17"/>
      <c r="BO60" s="17"/>
      <c r="BP60" s="17"/>
      <c r="BQ60" s="17"/>
      <c r="BR60" s="17"/>
      <c r="BS60" s="17"/>
      <c r="BT60" s="17"/>
      <c r="BU60" s="17"/>
      <c r="BV60" s="17"/>
      <c r="BW60" s="17"/>
      <c r="BX60" s="17"/>
      <c r="BY60" s="17"/>
      <c r="BZ60" s="17"/>
      <c r="CA60" s="17"/>
      <c r="CB60" s="17"/>
      <c r="CC60" s="17"/>
      <c r="CD60" s="17"/>
      <c r="CE60" s="17"/>
      <c r="CF60" s="17"/>
      <c r="CG60" s="17"/>
      <c r="CH60" s="17"/>
      <c r="CI60" s="17"/>
      <c r="CJ60" s="17"/>
      <c r="CK60" s="17"/>
      <c r="CL60" s="17"/>
      <c r="CM60" s="17"/>
      <c r="CN60" s="17"/>
      <c r="CO60" s="17"/>
      <c r="CP60" s="17"/>
      <c r="CQ60" s="17"/>
      <c r="CR60" s="17"/>
      <c r="CS60" s="17"/>
      <c r="CT60" s="17"/>
      <c r="CU60" s="17"/>
      <c r="CV60" s="17"/>
    </row>
    <row r="61" spans="1:100" x14ac:dyDescent="0.35">
      <c r="B61" s="9"/>
      <c r="C61" t="s">
        <v>230</v>
      </c>
      <c r="D61" t="s">
        <v>331</v>
      </c>
      <c r="E61" t="s">
        <v>217</v>
      </c>
      <c r="F61" s="17">
        <v>0</v>
      </c>
      <c r="G61" s="17">
        <v>-105.25834999999999</v>
      </c>
      <c r="H61" s="17">
        <v>-119.17447</v>
      </c>
      <c r="I61" s="17">
        <v>-117.25715</v>
      </c>
      <c r="J61" s="17">
        <v>-103.30235</v>
      </c>
      <c r="K61" s="17">
        <v>-110.27412</v>
      </c>
      <c r="L61" s="17">
        <v>-112.33638000000001</v>
      </c>
      <c r="M61" s="17">
        <v>-117.19002999999999</v>
      </c>
      <c r="N61" s="17">
        <v>-135.10750999999999</v>
      </c>
      <c r="O61" s="17">
        <v>-136.49153999999999</v>
      </c>
      <c r="P61" s="17">
        <v>-131.92777000000001</v>
      </c>
      <c r="Q61" s="17">
        <v>-101.30811</v>
      </c>
      <c r="R61" s="17">
        <v>-114.54639</v>
      </c>
      <c r="S61" s="17">
        <v>-104.19365000000001</v>
      </c>
      <c r="T61" s="17">
        <v>-106.50127000000001</v>
      </c>
      <c r="U61" s="17">
        <v>-99.426950000000005</v>
      </c>
      <c r="V61" s="17">
        <v>-87.868390000000005</v>
      </c>
      <c r="W61" s="17">
        <v>-95.191190000000006</v>
      </c>
      <c r="X61" s="17">
        <v>-120.12017</v>
      </c>
      <c r="Y61" s="17">
        <v>-109.52518000000001</v>
      </c>
      <c r="Z61" s="17">
        <v>-116.38817</v>
      </c>
      <c r="AA61" s="17">
        <v>-105.09112</v>
      </c>
      <c r="AB61" s="17">
        <v>-102.51952</v>
      </c>
      <c r="AC61" s="17">
        <v>-99.291749999999993</v>
      </c>
      <c r="AD61" s="17">
        <v>-99.83605</v>
      </c>
      <c r="AE61" s="17">
        <v>-96.124840000000006</v>
      </c>
      <c r="AF61" s="17">
        <v>-92.435010000000005</v>
      </c>
      <c r="AG61" s="17">
        <v>-89.864680000000007</v>
      </c>
      <c r="AH61" s="17">
        <v>-94.431299999999993</v>
      </c>
      <c r="AI61" s="17">
        <v>-84.036119999999997</v>
      </c>
      <c r="AJ61" s="17">
        <v>-80.479389999999995</v>
      </c>
      <c r="AK61" s="17">
        <v>-81.958160000000007</v>
      </c>
      <c r="AL61" s="17">
        <v>-92.193119999999993</v>
      </c>
      <c r="AM61" s="17">
        <v>-97.879329999999996</v>
      </c>
      <c r="AN61" s="17">
        <v>-92.007810000000006</v>
      </c>
      <c r="AO61" s="17"/>
      <c r="AP61" s="17"/>
      <c r="AQ61" s="17"/>
      <c r="AR61" s="17"/>
      <c r="AS61" s="17"/>
      <c r="AT61" s="17"/>
      <c r="AU61" s="17"/>
      <c r="AV61" s="17"/>
      <c r="AW61" s="17"/>
      <c r="AX61" s="17"/>
      <c r="AY61" s="17"/>
      <c r="AZ61" s="17"/>
      <c r="BA61" s="17"/>
      <c r="BB61" s="17"/>
      <c r="BC61" s="17"/>
      <c r="BD61" s="17"/>
      <c r="BE61" s="17"/>
      <c r="BF61" s="17"/>
      <c r="BG61" s="17"/>
      <c r="BH61" s="17"/>
      <c r="BI61" s="17"/>
      <c r="BJ61" s="17"/>
      <c r="BK61" s="17"/>
      <c r="BL61" s="17"/>
      <c r="BM61" s="17"/>
      <c r="BN61" s="17"/>
      <c r="BO61" s="17"/>
      <c r="BP61" s="17"/>
      <c r="BQ61" s="17"/>
      <c r="BR61" s="17"/>
      <c r="BS61" s="17"/>
      <c r="BT61" s="17"/>
      <c r="BU61" s="17"/>
      <c r="BV61" s="17"/>
      <c r="BW61" s="17"/>
      <c r="BX61" s="17"/>
      <c r="BY61" s="17"/>
      <c r="BZ61" s="17"/>
      <c r="CA61" s="17"/>
      <c r="CB61" s="17"/>
      <c r="CC61" s="17"/>
      <c r="CD61" s="17"/>
      <c r="CE61" s="17"/>
      <c r="CF61" s="17"/>
      <c r="CG61" s="17"/>
      <c r="CH61" s="17"/>
      <c r="CI61" s="17"/>
      <c r="CJ61" s="17"/>
      <c r="CK61" s="17"/>
      <c r="CL61" s="17"/>
      <c r="CM61" s="17"/>
      <c r="CN61" s="17"/>
      <c r="CO61" s="17"/>
      <c r="CP61" s="17"/>
      <c r="CQ61" s="17"/>
      <c r="CR61" s="17"/>
      <c r="CS61" s="17"/>
      <c r="CT61" s="17"/>
      <c r="CU61" s="17"/>
      <c r="CV61" s="17"/>
    </row>
    <row r="62" spans="1:100" x14ac:dyDescent="0.35">
      <c r="B62" s="9"/>
      <c r="C62" t="s">
        <v>230</v>
      </c>
      <c r="D62" t="s">
        <v>332</v>
      </c>
      <c r="E62" t="s">
        <v>217</v>
      </c>
      <c r="F62" s="17">
        <v>0</v>
      </c>
      <c r="G62" s="17">
        <v>388.79899999999998</v>
      </c>
      <c r="H62" s="17">
        <v>317.54910999999998</v>
      </c>
      <c r="I62" s="17">
        <v>308.28455000000002</v>
      </c>
      <c r="J62" s="17">
        <v>286.93468999999999</v>
      </c>
      <c r="K62" s="17">
        <v>244.26346000000001</v>
      </c>
      <c r="L62" s="17">
        <v>273.98856000000001</v>
      </c>
      <c r="M62" s="17">
        <v>238.22639000000001</v>
      </c>
      <c r="N62" s="17">
        <v>258.56797999999998</v>
      </c>
      <c r="O62" s="17">
        <v>296.33046000000002</v>
      </c>
      <c r="P62" s="17">
        <v>278.31680999999998</v>
      </c>
      <c r="Q62" s="17">
        <v>226.49093999999999</v>
      </c>
      <c r="R62" s="17">
        <v>236.28458000000001</v>
      </c>
      <c r="S62" s="17">
        <v>240.98716999999999</v>
      </c>
      <c r="T62" s="17">
        <v>238.75239999999999</v>
      </c>
      <c r="U62" s="17">
        <v>228.26983999999999</v>
      </c>
      <c r="V62" s="17">
        <v>221.93413000000001</v>
      </c>
      <c r="W62" s="17">
        <v>210.38104000000001</v>
      </c>
      <c r="X62" s="17">
        <v>331.72174999999999</v>
      </c>
      <c r="Y62" s="17">
        <v>317.34179</v>
      </c>
      <c r="Z62" s="17">
        <v>327.38074999999998</v>
      </c>
      <c r="AA62" s="17">
        <v>308.70222999999999</v>
      </c>
      <c r="AB62" s="17">
        <v>310.20024999999998</v>
      </c>
      <c r="AC62" s="17">
        <v>293.05955999999998</v>
      </c>
      <c r="AD62" s="17">
        <v>297.58017999999998</v>
      </c>
      <c r="AE62" s="17">
        <v>289.49808999999999</v>
      </c>
      <c r="AF62" s="17">
        <v>292.32107999999999</v>
      </c>
      <c r="AG62" s="17">
        <v>282.83469000000002</v>
      </c>
      <c r="AH62" s="17">
        <v>281.38896</v>
      </c>
      <c r="AI62" s="17">
        <v>265.94788</v>
      </c>
      <c r="AJ62" s="17">
        <v>272.76461</v>
      </c>
      <c r="AK62" s="17">
        <v>253.46375</v>
      </c>
      <c r="AL62" s="17">
        <v>258.71078999999997</v>
      </c>
      <c r="AM62" s="17">
        <v>261.04192999999998</v>
      </c>
      <c r="AN62" s="17">
        <v>253.38637</v>
      </c>
      <c r="AO62" s="17"/>
      <c r="AP62" s="17"/>
      <c r="AQ62" s="17"/>
      <c r="AR62" s="17"/>
      <c r="AS62" s="17"/>
      <c r="AT62" s="17"/>
      <c r="AU62" s="17"/>
      <c r="AV62" s="17"/>
      <c r="AW62" s="17"/>
      <c r="AX62" s="17"/>
      <c r="AY62" s="17"/>
      <c r="AZ62" s="17"/>
      <c r="BA62" s="17"/>
      <c r="BB62" s="17"/>
      <c r="BC62" s="17"/>
      <c r="BD62" s="17"/>
      <c r="BE62" s="17"/>
      <c r="BF62" s="17"/>
      <c r="BG62" s="17"/>
      <c r="BH62" s="17"/>
      <c r="BI62" s="17"/>
      <c r="BJ62" s="17"/>
      <c r="BK62" s="17"/>
      <c r="BL62" s="17"/>
      <c r="BM62" s="17"/>
      <c r="BN62" s="17"/>
      <c r="BO62" s="17"/>
      <c r="BP62" s="17"/>
      <c r="BQ62" s="17"/>
      <c r="BR62" s="17"/>
      <c r="BS62" s="17"/>
      <c r="BT62" s="17"/>
      <c r="BU62" s="17"/>
      <c r="BV62" s="17"/>
      <c r="BW62" s="17"/>
      <c r="BX62" s="17"/>
      <c r="BY62" s="17"/>
      <c r="BZ62" s="17"/>
      <c r="CA62" s="17"/>
      <c r="CB62" s="17"/>
      <c r="CC62" s="17"/>
      <c r="CD62" s="17"/>
      <c r="CE62" s="17"/>
      <c r="CF62" s="17"/>
      <c r="CG62" s="17"/>
      <c r="CH62" s="17"/>
      <c r="CI62" s="17"/>
      <c r="CJ62" s="17"/>
      <c r="CK62" s="17"/>
      <c r="CL62" s="17"/>
      <c r="CM62" s="17"/>
      <c r="CN62" s="17"/>
      <c r="CO62" s="17"/>
      <c r="CP62" s="17"/>
      <c r="CQ62" s="17"/>
      <c r="CR62" s="17"/>
      <c r="CS62" s="17"/>
      <c r="CT62" s="17"/>
      <c r="CU62" s="17"/>
      <c r="CV62" s="17"/>
    </row>
    <row r="63" spans="1:100" x14ac:dyDescent="0.35">
      <c r="B63" s="9"/>
      <c r="C63" t="s">
        <v>230</v>
      </c>
      <c r="D63" t="s">
        <v>333</v>
      </c>
      <c r="E63" t="s">
        <v>217</v>
      </c>
      <c r="F63" s="17">
        <v>0</v>
      </c>
      <c r="G63" s="17">
        <v>-464.68569000000002</v>
      </c>
      <c r="H63" s="17">
        <v>-398.24547999999999</v>
      </c>
      <c r="I63" s="17">
        <v>-410.22663</v>
      </c>
      <c r="J63" s="17">
        <v>-422.82364000000001</v>
      </c>
      <c r="K63" s="17">
        <v>-422.95992000000001</v>
      </c>
      <c r="L63" s="17">
        <v>-411.04629</v>
      </c>
      <c r="M63" s="17">
        <v>-381.26875000000001</v>
      </c>
      <c r="N63" s="17">
        <v>-359.68171999999998</v>
      </c>
      <c r="O63" s="17">
        <v>-343.74527</v>
      </c>
      <c r="P63" s="17">
        <v>-332.33724999999998</v>
      </c>
      <c r="Q63" s="17">
        <v>-378.67387000000002</v>
      </c>
      <c r="R63" s="17">
        <v>-342.27936999999997</v>
      </c>
      <c r="S63" s="17">
        <v>-352.96199999999999</v>
      </c>
      <c r="T63" s="17">
        <v>-329.46870000000001</v>
      </c>
      <c r="U63" s="17">
        <v>-332.68380999999999</v>
      </c>
      <c r="V63" s="17">
        <v>-354.34602999999998</v>
      </c>
      <c r="W63" s="17">
        <v>-325.72152999999997</v>
      </c>
      <c r="X63" s="17">
        <v>-437.09910000000002</v>
      </c>
      <c r="Y63" s="17">
        <v>-453.69560000000001</v>
      </c>
      <c r="Z63" s="17">
        <v>-425.59861999999998</v>
      </c>
      <c r="AA63" s="17">
        <v>-458.93950999999998</v>
      </c>
      <c r="AB63" s="17">
        <v>-488.79561000000001</v>
      </c>
      <c r="AC63" s="17">
        <v>-473.33551</v>
      </c>
      <c r="AD63" s="17">
        <v>-475.44905999999997</v>
      </c>
      <c r="AE63" s="17">
        <v>-478.92005</v>
      </c>
      <c r="AF63" s="17">
        <v>-486.55540999999999</v>
      </c>
      <c r="AG63" s="17">
        <v>-462.63717000000003</v>
      </c>
      <c r="AH63" s="17">
        <v>-451.30079000000001</v>
      </c>
      <c r="AI63" s="17">
        <v>-448.58080000000001</v>
      </c>
      <c r="AJ63" s="17">
        <v>-455.02431000000001</v>
      </c>
      <c r="AK63" s="17">
        <v>-433.36869999999999</v>
      </c>
      <c r="AL63" s="17">
        <v>-390.02033999999998</v>
      </c>
      <c r="AM63" s="17">
        <v>-365.89544000000001</v>
      </c>
      <c r="AN63" s="17">
        <v>-356.58048000000002</v>
      </c>
      <c r="AO63" s="17"/>
      <c r="AP63" s="17"/>
      <c r="AQ63" s="17"/>
      <c r="AR63" s="17"/>
      <c r="AS63" s="17"/>
      <c r="AT63" s="17"/>
      <c r="AU63" s="17"/>
      <c r="AV63" s="17"/>
      <c r="AW63" s="17"/>
      <c r="AX63" s="17"/>
      <c r="AY63" s="17"/>
      <c r="AZ63" s="17"/>
      <c r="BA63" s="17"/>
      <c r="BB63" s="17"/>
      <c r="BC63" s="17"/>
      <c r="BD63" s="17"/>
      <c r="BE63" s="17"/>
      <c r="BF63" s="17"/>
      <c r="BG63" s="17"/>
      <c r="BH63" s="17"/>
      <c r="BI63" s="17"/>
      <c r="BJ63" s="17"/>
      <c r="BK63" s="17"/>
      <c r="BL63" s="17"/>
      <c r="BM63" s="17"/>
      <c r="BN63" s="17"/>
      <c r="BO63" s="17"/>
      <c r="BP63" s="17"/>
      <c r="BQ63" s="17"/>
      <c r="BR63" s="17"/>
      <c r="BS63" s="17"/>
      <c r="BT63" s="17"/>
      <c r="BU63" s="17"/>
      <c r="BV63" s="17"/>
      <c r="BW63" s="17"/>
      <c r="BX63" s="17"/>
      <c r="BY63" s="17"/>
      <c r="BZ63" s="17"/>
      <c r="CA63" s="17"/>
      <c r="CB63" s="17"/>
      <c r="CC63" s="17"/>
      <c r="CD63" s="17"/>
      <c r="CE63" s="17"/>
      <c r="CF63" s="17"/>
      <c r="CG63" s="17"/>
      <c r="CH63" s="17"/>
      <c r="CI63" s="17"/>
      <c r="CJ63" s="17"/>
      <c r="CK63" s="17"/>
      <c r="CL63" s="17"/>
      <c r="CM63" s="17"/>
      <c r="CN63" s="17"/>
      <c r="CO63" s="17"/>
      <c r="CP63" s="17"/>
      <c r="CQ63" s="17"/>
      <c r="CR63" s="17"/>
      <c r="CS63" s="17"/>
      <c r="CT63" s="17"/>
      <c r="CU63" s="17"/>
      <c r="CV63" s="17"/>
    </row>
    <row r="64" spans="1:100" x14ac:dyDescent="0.35">
      <c r="B64" s="9"/>
      <c r="C64" t="s">
        <v>230</v>
      </c>
      <c r="D64" t="s">
        <v>334</v>
      </c>
      <c r="E64" t="s">
        <v>217</v>
      </c>
      <c r="F64" s="17">
        <v>0</v>
      </c>
      <c r="G64" s="17">
        <v>1066.15219</v>
      </c>
      <c r="H64" s="17">
        <v>1025.5951500000001</v>
      </c>
      <c r="I64" s="17">
        <v>993.66438000000005</v>
      </c>
      <c r="J64" s="17">
        <v>959.83228999999994</v>
      </c>
      <c r="K64" s="17">
        <v>943.12527999999998</v>
      </c>
      <c r="L64" s="17">
        <v>918.70682999999997</v>
      </c>
      <c r="M64" s="17">
        <v>900.67777999999998</v>
      </c>
      <c r="N64" s="17">
        <v>883.82803000000001</v>
      </c>
      <c r="O64" s="17">
        <v>863.22478999999998</v>
      </c>
      <c r="P64" s="17">
        <v>845.13059999999996</v>
      </c>
      <c r="Q64" s="17">
        <v>824.58232999999996</v>
      </c>
      <c r="R64" s="17">
        <v>804.15381000000002</v>
      </c>
      <c r="S64" s="17">
        <v>788.51711999999998</v>
      </c>
      <c r="T64" s="17">
        <v>774.96735999999999</v>
      </c>
      <c r="U64" s="17">
        <v>756.40029000000004</v>
      </c>
      <c r="V64" s="17">
        <v>741.30619999999999</v>
      </c>
      <c r="W64" s="17">
        <v>732.25300000000004</v>
      </c>
      <c r="X64" s="17">
        <v>1070.20002</v>
      </c>
      <c r="Y64" s="17">
        <v>1022.0128</v>
      </c>
      <c r="Z64" s="17">
        <v>989.93879000000004</v>
      </c>
      <c r="AA64" s="17">
        <v>962.40950999999995</v>
      </c>
      <c r="AB64" s="17">
        <v>945.47553000000005</v>
      </c>
      <c r="AC64" s="17">
        <v>917.28875000000005</v>
      </c>
      <c r="AD64" s="17">
        <v>899.75928999999996</v>
      </c>
      <c r="AE64" s="17">
        <v>878.37040000000002</v>
      </c>
      <c r="AF64" s="17">
        <v>862.76935000000003</v>
      </c>
      <c r="AG64" s="17">
        <v>842.80061000000001</v>
      </c>
      <c r="AH64" s="17">
        <v>824.61869999999999</v>
      </c>
      <c r="AI64" s="17">
        <v>801.44754999999998</v>
      </c>
      <c r="AJ64" s="17">
        <v>790.50748999999996</v>
      </c>
      <c r="AK64" s="17">
        <v>769.94356000000005</v>
      </c>
      <c r="AL64" s="17">
        <v>751.90913</v>
      </c>
      <c r="AM64" s="17">
        <v>738.21402999999998</v>
      </c>
      <c r="AN64" s="17">
        <v>713.29025999999999</v>
      </c>
      <c r="AO64" s="17"/>
      <c r="AP64" s="17"/>
      <c r="AQ64" s="17"/>
      <c r="AR64" s="17"/>
      <c r="AS64" s="17"/>
      <c r="AT64" s="17"/>
      <c r="AU64" s="17"/>
      <c r="AV64" s="17"/>
      <c r="AW64" s="17"/>
      <c r="AX64" s="17"/>
      <c r="AY64" s="17"/>
      <c r="AZ64" s="17"/>
      <c r="BA64" s="17"/>
      <c r="BB64" s="17"/>
      <c r="BC64" s="17"/>
      <c r="BD64" s="17"/>
      <c r="BE64" s="17"/>
      <c r="BF64" s="17"/>
      <c r="BG64" s="17"/>
      <c r="BH64" s="17"/>
      <c r="BI64" s="17"/>
      <c r="BJ64" s="17"/>
      <c r="BK64" s="17"/>
      <c r="BL64" s="17"/>
      <c r="BM64" s="17"/>
      <c r="BN64" s="17"/>
      <c r="BO64" s="17"/>
      <c r="BP64" s="17"/>
      <c r="BQ64" s="17"/>
      <c r="BR64" s="17"/>
      <c r="BS64" s="17"/>
      <c r="BT64" s="17"/>
      <c r="BU64" s="17"/>
      <c r="BV64" s="17"/>
      <c r="BW64" s="17"/>
      <c r="BX64" s="17"/>
      <c r="BY64" s="17"/>
      <c r="BZ64" s="17"/>
      <c r="CA64" s="17"/>
      <c r="CB64" s="17"/>
      <c r="CC64" s="17"/>
      <c r="CD64" s="17"/>
      <c r="CE64" s="17"/>
      <c r="CF64" s="17"/>
      <c r="CG64" s="17"/>
      <c r="CH64" s="17"/>
      <c r="CI64" s="17"/>
      <c r="CJ64" s="17"/>
      <c r="CK64" s="17"/>
      <c r="CL64" s="17"/>
      <c r="CM64" s="17"/>
      <c r="CN64" s="17"/>
      <c r="CO64" s="17"/>
      <c r="CP64" s="17"/>
      <c r="CQ64" s="17"/>
      <c r="CR64" s="17"/>
      <c r="CS64" s="17"/>
      <c r="CT64" s="17"/>
      <c r="CU64" s="17"/>
      <c r="CV64" s="17"/>
    </row>
    <row r="65" spans="2:100" x14ac:dyDescent="0.35">
      <c r="B65" s="9"/>
      <c r="C65" t="s">
        <v>230</v>
      </c>
      <c r="D65" t="s">
        <v>335</v>
      </c>
      <c r="E65" t="s">
        <v>217</v>
      </c>
      <c r="F65" s="17">
        <v>0</v>
      </c>
      <c r="G65" s="17">
        <v>-648.92762000000005</v>
      </c>
      <c r="H65" s="17">
        <v>-610.54782</v>
      </c>
      <c r="I65" s="17">
        <v>-596.47479999999996</v>
      </c>
      <c r="J65" s="17">
        <v>-577.15027999999995</v>
      </c>
      <c r="K65" s="17">
        <v>-560.95109000000002</v>
      </c>
      <c r="L65" s="17">
        <v>-547.88403000000005</v>
      </c>
      <c r="M65" s="17">
        <v>-514.98987999999997</v>
      </c>
      <c r="N65" s="17">
        <v>-505.21593000000001</v>
      </c>
      <c r="O65" s="17">
        <v>-481.23680000000002</v>
      </c>
      <c r="P65" s="17">
        <v>-464.26504</v>
      </c>
      <c r="Q65" s="17">
        <v>-480.43617999999998</v>
      </c>
      <c r="R65" s="17">
        <v>-457.18984</v>
      </c>
      <c r="S65" s="17">
        <v>-458.00563</v>
      </c>
      <c r="T65" s="17">
        <v>-437.02661000000001</v>
      </c>
      <c r="U65" s="17">
        <v>-432.98448000000002</v>
      </c>
      <c r="V65" s="17">
        <v>-444.46692999999999</v>
      </c>
      <c r="W65" s="17">
        <v>-426.12135999999998</v>
      </c>
      <c r="X65" s="17">
        <v>-560.50343999999996</v>
      </c>
      <c r="Y65" s="17">
        <v>-565.22078999999997</v>
      </c>
      <c r="Z65" s="17">
        <v>-541.98677999999995</v>
      </c>
      <c r="AA65" s="17">
        <v>-564.03057999999999</v>
      </c>
      <c r="AB65" s="17">
        <v>-591.31507999999997</v>
      </c>
      <c r="AC65" s="17">
        <v>-572.62725999999998</v>
      </c>
      <c r="AD65" s="17">
        <v>-575.28511000000003</v>
      </c>
      <c r="AE65" s="17">
        <v>-575.04485</v>
      </c>
      <c r="AF65" s="17">
        <v>-578.99042999999995</v>
      </c>
      <c r="AG65" s="17">
        <v>-552.50183000000004</v>
      </c>
      <c r="AH65" s="17">
        <v>-545.73207000000002</v>
      </c>
      <c r="AI65" s="17">
        <v>-532.61690999999996</v>
      </c>
      <c r="AJ65" s="17">
        <v>-535.50369000000001</v>
      </c>
      <c r="AK65" s="17">
        <v>-515.32686000000001</v>
      </c>
      <c r="AL65" s="17">
        <v>-482.21341000000001</v>
      </c>
      <c r="AM65" s="17">
        <v>-463.77481999999998</v>
      </c>
      <c r="AN65" s="17">
        <v>-448.58832000000001</v>
      </c>
      <c r="AO65" s="17"/>
      <c r="AP65" s="17"/>
      <c r="AQ65" s="17"/>
      <c r="AR65" s="17"/>
      <c r="AS65" s="17"/>
      <c r="AT65" s="17"/>
      <c r="AU65" s="17"/>
      <c r="AV65" s="17"/>
      <c r="AW65" s="17"/>
      <c r="AX65" s="17"/>
      <c r="AY65" s="17"/>
      <c r="AZ65" s="17"/>
      <c r="BA65" s="17"/>
      <c r="BB65" s="17"/>
      <c r="BC65" s="17"/>
      <c r="BD65" s="17"/>
      <c r="BE65" s="17"/>
      <c r="BF65" s="17"/>
      <c r="BG65" s="17"/>
      <c r="BH65" s="17"/>
      <c r="BI65" s="17"/>
      <c r="BJ65" s="17"/>
      <c r="BK65" s="17"/>
      <c r="BL65" s="17"/>
      <c r="BM65" s="17"/>
      <c r="BN65" s="17"/>
      <c r="BO65" s="17"/>
      <c r="BP65" s="17"/>
      <c r="BQ65" s="17"/>
      <c r="BR65" s="17"/>
      <c r="BS65" s="17"/>
      <c r="BT65" s="17"/>
      <c r="BU65" s="17"/>
      <c r="BV65" s="17"/>
      <c r="BW65" s="17"/>
      <c r="BX65" s="17"/>
      <c r="BY65" s="17"/>
      <c r="BZ65" s="17"/>
      <c r="CA65" s="17"/>
      <c r="CB65" s="17"/>
      <c r="CC65" s="17"/>
      <c r="CD65" s="17"/>
      <c r="CE65" s="17"/>
      <c r="CF65" s="17"/>
      <c r="CG65" s="17"/>
      <c r="CH65" s="17"/>
      <c r="CI65" s="17"/>
      <c r="CJ65" s="17"/>
      <c r="CK65" s="17"/>
      <c r="CL65" s="17"/>
      <c r="CM65" s="17"/>
      <c r="CN65" s="17"/>
      <c r="CO65" s="17"/>
      <c r="CP65" s="17"/>
      <c r="CQ65" s="17"/>
      <c r="CR65" s="17"/>
      <c r="CS65" s="17"/>
      <c r="CT65" s="17"/>
      <c r="CU65" s="17"/>
      <c r="CV65" s="17"/>
    </row>
    <row r="66" spans="2:100" x14ac:dyDescent="0.35">
      <c r="B66" s="9"/>
      <c r="D66" t="s">
        <v>336</v>
      </c>
      <c r="E66" t="s">
        <v>217</v>
      </c>
      <c r="F66" s="17">
        <v>0</v>
      </c>
      <c r="G66" s="17">
        <v>-650.42989999999998</v>
      </c>
      <c r="H66" s="17">
        <v>-639.81939999999997</v>
      </c>
      <c r="I66" s="17">
        <v>-617.58729000000005</v>
      </c>
      <c r="J66" s="17">
        <v>-597.34502999999995</v>
      </c>
      <c r="K66" s="17">
        <v>-594.61374999999998</v>
      </c>
      <c r="L66" s="17">
        <v>-578.72148000000004</v>
      </c>
      <c r="M66" s="17">
        <v>-591.21184000000005</v>
      </c>
      <c r="N66" s="17">
        <v>-581.89769999999999</v>
      </c>
      <c r="O66" s="17">
        <v>-581.90030000000002</v>
      </c>
      <c r="P66" s="17">
        <v>-577.28048000000001</v>
      </c>
      <c r="Q66" s="17">
        <v>-538.78369999999995</v>
      </c>
      <c r="R66" s="17">
        <v>-537.93051000000003</v>
      </c>
      <c r="S66" s="17">
        <v>-519.67227000000003</v>
      </c>
      <c r="T66" s="17">
        <v>-524.56808000000001</v>
      </c>
      <c r="U66" s="17">
        <v>-507.64389999999997</v>
      </c>
      <c r="V66" s="17">
        <v>-479.07997</v>
      </c>
      <c r="W66" s="17">
        <v>-487.27325999999999</v>
      </c>
      <c r="X66" s="17">
        <v>-740.30918999999994</v>
      </c>
      <c r="Y66" s="17">
        <v>-680.23478999999998</v>
      </c>
      <c r="Z66" s="17">
        <v>-665.97215000000006</v>
      </c>
      <c r="AA66" s="17">
        <v>-613.33527000000004</v>
      </c>
      <c r="AB66" s="17">
        <v>-567.89018999999996</v>
      </c>
      <c r="AC66" s="17">
        <v>-554.23329999999999</v>
      </c>
      <c r="AD66" s="17">
        <v>-532.09253000000001</v>
      </c>
      <c r="AE66" s="17">
        <v>-508.01450999999997</v>
      </c>
      <c r="AF66" s="17">
        <v>-485.78710000000001</v>
      </c>
      <c r="AG66" s="17">
        <v>-489.82706999999999</v>
      </c>
      <c r="AH66" s="17">
        <v>-475.80144000000001</v>
      </c>
      <c r="AI66" s="17">
        <v>-461.76350000000002</v>
      </c>
      <c r="AJ66" s="17">
        <v>-446.26794000000001</v>
      </c>
      <c r="AK66" s="17">
        <v>-442.94922000000003</v>
      </c>
      <c r="AL66" s="17">
        <v>-454.38544999999999</v>
      </c>
      <c r="AM66" s="17">
        <v>-456.79347999999999</v>
      </c>
      <c r="AN66" s="17">
        <v>-441.77614</v>
      </c>
      <c r="AO66" s="17"/>
      <c r="AP66" s="17"/>
      <c r="AQ66" s="17"/>
      <c r="AR66" s="17"/>
      <c r="AS66" s="17"/>
      <c r="AT66" s="17"/>
      <c r="AU66" s="17"/>
      <c r="AV66" s="17"/>
      <c r="AW66" s="17"/>
      <c r="AX66" s="17"/>
      <c r="AY66" s="17"/>
      <c r="AZ66" s="17"/>
      <c r="BA66" s="17"/>
      <c r="BB66" s="17"/>
      <c r="BC66" s="17"/>
      <c r="BD66" s="17"/>
      <c r="BE66" s="17"/>
      <c r="BF66" s="17"/>
      <c r="BG66" s="17"/>
      <c r="BH66" s="17"/>
      <c r="BI66" s="17"/>
      <c r="BJ66" s="17"/>
      <c r="BK66" s="17"/>
      <c r="BL66" s="17"/>
      <c r="BM66" s="17"/>
      <c r="BN66" s="17"/>
      <c r="BO66" s="17"/>
      <c r="BP66" s="17"/>
      <c r="BQ66" s="17"/>
      <c r="BR66" s="17"/>
      <c r="BS66" s="17"/>
      <c r="BT66" s="17"/>
      <c r="BU66" s="17"/>
      <c r="BV66" s="17"/>
      <c r="BW66" s="17"/>
      <c r="BX66" s="17"/>
      <c r="BY66" s="17"/>
      <c r="BZ66" s="17"/>
      <c r="CA66" s="17"/>
      <c r="CB66" s="17"/>
      <c r="CC66" s="17"/>
      <c r="CD66" s="17"/>
      <c r="CE66" s="17"/>
      <c r="CF66" s="17"/>
      <c r="CG66" s="17"/>
      <c r="CH66" s="17"/>
      <c r="CI66" s="17"/>
      <c r="CJ66" s="17"/>
      <c r="CK66" s="17"/>
      <c r="CL66" s="17"/>
      <c r="CM66" s="17"/>
      <c r="CN66" s="17"/>
      <c r="CO66" s="17"/>
      <c r="CP66" s="17"/>
      <c r="CQ66" s="17"/>
      <c r="CR66" s="17"/>
      <c r="CS66" s="17"/>
      <c r="CT66" s="17"/>
      <c r="CU66" s="17"/>
      <c r="CV66" s="17"/>
    </row>
    <row r="67" spans="2:100" x14ac:dyDescent="0.35">
      <c r="B67" s="9"/>
      <c r="C67" t="s">
        <v>339</v>
      </c>
      <c r="D67" t="s">
        <v>340</v>
      </c>
      <c r="E67" t="s">
        <v>219</v>
      </c>
      <c r="F67" s="17">
        <v>0</v>
      </c>
      <c r="G67" s="17">
        <v>106.120781446691</v>
      </c>
      <c r="H67" s="17">
        <v>93.7343248485478</v>
      </c>
      <c r="I67" s="17">
        <v>74.575116005576902</v>
      </c>
      <c r="J67" s="17">
        <v>58.762172562066901</v>
      </c>
      <c r="K67" s="17">
        <v>62.402621568340003</v>
      </c>
      <c r="L67" s="17">
        <v>62.182140566146401</v>
      </c>
      <c r="M67" s="17">
        <v>56.652105122879298</v>
      </c>
      <c r="N67" s="17">
        <v>48.347644559614302</v>
      </c>
      <c r="O67" s="17">
        <v>42.600711387489397</v>
      </c>
      <c r="P67" s="17">
        <v>36.236828389941998</v>
      </c>
      <c r="Q67" s="17">
        <v>36.731017151314497</v>
      </c>
      <c r="R67" s="17">
        <v>32.2937129256944</v>
      </c>
      <c r="S67" s="17">
        <v>29.667079548792302</v>
      </c>
      <c r="T67" s="17">
        <v>28.2805303644693</v>
      </c>
      <c r="U67" s="17">
        <v>26.383913189996999</v>
      </c>
      <c r="V67" s="17">
        <v>24.144962826191399</v>
      </c>
      <c r="W67" s="17">
        <v>22.271297405418299</v>
      </c>
      <c r="X67" s="17">
        <v>44.874031924108003</v>
      </c>
      <c r="Y67" s="17">
        <v>40.034022099219698</v>
      </c>
      <c r="Z67" s="17">
        <v>36.639910076207599</v>
      </c>
      <c r="AA67" s="17">
        <v>33.785932109410403</v>
      </c>
      <c r="AB67" s="17">
        <v>29.7908330646409</v>
      </c>
      <c r="AC67" s="17">
        <v>28.367469142022198</v>
      </c>
      <c r="AD67" s="17">
        <v>26.2085730743459</v>
      </c>
      <c r="AE67" s="17">
        <v>23.8712341732904</v>
      </c>
      <c r="AF67" s="17">
        <v>21.9115806393187</v>
      </c>
      <c r="AG67" s="17">
        <v>21.591039602109301</v>
      </c>
      <c r="AH67" s="17">
        <v>19.729210474891499</v>
      </c>
      <c r="AI67" s="17">
        <v>19.027003816543001</v>
      </c>
      <c r="AJ67" s="17">
        <v>16.7203577932153</v>
      </c>
      <c r="AK67" s="17">
        <v>15.6504111794907</v>
      </c>
      <c r="AL67" s="17">
        <v>15.298090791005601</v>
      </c>
      <c r="AM67" s="17">
        <v>14.3872080834358</v>
      </c>
      <c r="AN67" s="17">
        <v>13.1924214803147</v>
      </c>
      <c r="AO67" s="17"/>
      <c r="AP67" s="17"/>
      <c r="AQ67" s="17"/>
      <c r="AR67" s="17"/>
      <c r="AS67" s="17"/>
      <c r="AT67" s="17"/>
      <c r="AU67" s="17"/>
      <c r="AV67" s="17"/>
      <c r="AW67" s="17"/>
      <c r="AX67" s="17"/>
      <c r="AY67" s="17"/>
      <c r="AZ67" s="17"/>
      <c r="BA67" s="17"/>
      <c r="BB67" s="17"/>
      <c r="BC67" s="17"/>
      <c r="BD67" s="17"/>
      <c r="BE67" s="17"/>
      <c r="BF67" s="17"/>
      <c r="BG67" s="17"/>
      <c r="BH67" s="17"/>
      <c r="BI67" s="17"/>
      <c r="BJ67" s="17"/>
      <c r="BK67" s="17"/>
      <c r="BL67" s="17"/>
      <c r="BM67" s="17"/>
      <c r="BN67" s="17"/>
      <c r="BO67" s="17"/>
      <c r="BP67" s="17"/>
      <c r="BQ67" s="17"/>
      <c r="BR67" s="17"/>
      <c r="BS67" s="17"/>
      <c r="BT67" s="17"/>
      <c r="BU67" s="17"/>
      <c r="BV67" s="17"/>
      <c r="BW67" s="17"/>
      <c r="BX67" s="17"/>
      <c r="BY67" s="17"/>
      <c r="BZ67" s="17"/>
      <c r="CA67" s="17"/>
      <c r="CB67" s="17"/>
      <c r="CC67" s="17"/>
      <c r="CD67" s="17"/>
      <c r="CE67" s="17"/>
      <c r="CF67" s="17"/>
      <c r="CG67" s="17"/>
      <c r="CH67" s="17"/>
      <c r="CI67" s="17"/>
      <c r="CJ67" s="17"/>
      <c r="CK67" s="17"/>
      <c r="CL67" s="17"/>
      <c r="CM67" s="17"/>
      <c r="CN67" s="17"/>
      <c r="CO67" s="17"/>
      <c r="CP67" s="17"/>
      <c r="CQ67" s="17"/>
      <c r="CR67" s="17"/>
      <c r="CS67" s="17"/>
      <c r="CT67" s="17"/>
      <c r="CU67" s="17"/>
      <c r="CV67" s="17"/>
    </row>
    <row r="68" spans="2:100" x14ac:dyDescent="0.35">
      <c r="B68" s="9"/>
      <c r="C68" t="s">
        <v>230</v>
      </c>
      <c r="D68" t="s">
        <v>341</v>
      </c>
      <c r="E68" t="s">
        <v>219</v>
      </c>
      <c r="F68" s="17">
        <v>0</v>
      </c>
      <c r="G68" s="17">
        <v>-1.43812533726445</v>
      </c>
      <c r="H68" s="17">
        <v>-0.88397159353752497</v>
      </c>
      <c r="I68" s="17">
        <v>0.48794153847212302</v>
      </c>
      <c r="J68" s="17">
        <v>0.456506933610697</v>
      </c>
      <c r="K68" s="17">
        <v>0.426388633239979</v>
      </c>
      <c r="L68" s="17">
        <v>0.28556494645632302</v>
      </c>
      <c r="M68" s="17">
        <v>3.5038771919316099E-2</v>
      </c>
      <c r="N68" s="17">
        <v>-1.7947707262189899E-2</v>
      </c>
      <c r="O68" s="17">
        <v>1.4625605452308401E-4</v>
      </c>
      <c r="P68" s="17">
        <v>0</v>
      </c>
      <c r="Q68" s="17">
        <v>4.2017275092274799E-2</v>
      </c>
      <c r="R68" s="17">
        <v>3.3680679984458901E-2</v>
      </c>
      <c r="S68" s="17">
        <v>2.3421862445768299E-2</v>
      </c>
      <c r="T68" s="17">
        <v>-2.6649942506313501E-2</v>
      </c>
      <c r="U68" s="17">
        <v>4.07427580457165E-4</v>
      </c>
      <c r="V68" s="17">
        <v>9.6320058764488709E-3</v>
      </c>
      <c r="W68" s="17">
        <v>2.6743964255649798E-3</v>
      </c>
      <c r="X68" s="17">
        <v>1.39570063459172E-2</v>
      </c>
      <c r="Y68" s="17">
        <v>9.86183681927086E-3</v>
      </c>
      <c r="Z68" s="17">
        <v>0</v>
      </c>
      <c r="AA68" s="17">
        <v>0</v>
      </c>
      <c r="AB68" s="17">
        <v>0</v>
      </c>
      <c r="AC68" s="17">
        <v>0</v>
      </c>
      <c r="AD68" s="17">
        <v>0</v>
      </c>
      <c r="AE68" s="17">
        <v>0</v>
      </c>
      <c r="AF68" s="17">
        <v>0</v>
      </c>
      <c r="AG68" s="17">
        <v>0</v>
      </c>
      <c r="AH68" s="17">
        <v>0</v>
      </c>
      <c r="AI68" s="17">
        <v>0</v>
      </c>
      <c r="AJ68" s="17">
        <v>0</v>
      </c>
      <c r="AK68" s="17">
        <v>0</v>
      </c>
      <c r="AL68" s="17">
        <v>0</v>
      </c>
      <c r="AM68" s="17">
        <v>0</v>
      </c>
      <c r="AN68" s="17">
        <v>0</v>
      </c>
      <c r="AO68" s="17"/>
      <c r="AP68" s="17"/>
      <c r="AQ68" s="17"/>
      <c r="AR68" s="17"/>
      <c r="AS68" s="17"/>
      <c r="AT68" s="17"/>
      <c r="AU68" s="17"/>
      <c r="AV68" s="17"/>
      <c r="AW68" s="17"/>
      <c r="AX68" s="17"/>
      <c r="AY68" s="17"/>
      <c r="AZ68" s="17"/>
      <c r="BA68" s="17"/>
      <c r="BB68" s="17"/>
      <c r="BC68" s="17"/>
      <c r="BD68" s="17"/>
      <c r="BE68" s="17"/>
      <c r="BF68" s="17"/>
      <c r="BG68" s="17"/>
      <c r="BH68" s="17"/>
      <c r="BI68" s="17"/>
      <c r="BJ68" s="17"/>
      <c r="BK68" s="17"/>
      <c r="BL68" s="17"/>
      <c r="BM68" s="17"/>
      <c r="BN68" s="17"/>
      <c r="BO68" s="17"/>
      <c r="BP68" s="17"/>
      <c r="BQ68" s="17"/>
      <c r="BR68" s="17"/>
      <c r="BS68" s="17"/>
      <c r="BT68" s="17"/>
      <c r="BU68" s="17"/>
      <c r="BV68" s="17"/>
      <c r="BW68" s="17"/>
      <c r="BX68" s="17"/>
      <c r="BY68" s="17"/>
      <c r="BZ68" s="17"/>
      <c r="CA68" s="17"/>
      <c r="CB68" s="17"/>
      <c r="CC68" s="17"/>
      <c r="CD68" s="17"/>
      <c r="CE68" s="17"/>
      <c r="CF68" s="17"/>
      <c r="CG68" s="17"/>
      <c r="CH68" s="17"/>
      <c r="CI68" s="17"/>
      <c r="CJ68" s="17"/>
      <c r="CK68" s="17"/>
      <c r="CL68" s="17"/>
      <c r="CM68" s="17"/>
      <c r="CN68" s="17"/>
      <c r="CO68" s="17"/>
      <c r="CP68" s="17"/>
      <c r="CQ68" s="17"/>
      <c r="CR68" s="17"/>
      <c r="CS68" s="17"/>
      <c r="CT68" s="17"/>
      <c r="CU68" s="17"/>
      <c r="CV68" s="17"/>
    </row>
    <row r="69" spans="2:100" x14ac:dyDescent="0.35">
      <c r="B69" s="9"/>
      <c r="C69" t="s">
        <v>230</v>
      </c>
      <c r="D69" t="s">
        <v>342</v>
      </c>
      <c r="E69" t="s">
        <v>219</v>
      </c>
      <c r="F69" s="17">
        <v>0</v>
      </c>
      <c r="G69" s="17">
        <v>32.741768348725898</v>
      </c>
      <c r="H69" s="17">
        <v>37.532322733463303</v>
      </c>
      <c r="I69" s="17">
        <v>36.709883151435903</v>
      </c>
      <c r="J69" s="17">
        <v>38.452837446909598</v>
      </c>
      <c r="K69" s="17">
        <v>42.569934934873402</v>
      </c>
      <c r="L69" s="17">
        <v>37.044945325487198</v>
      </c>
      <c r="M69" s="17">
        <v>42.207690028402801</v>
      </c>
      <c r="N69" s="17">
        <v>40.833321884049397</v>
      </c>
      <c r="O69" s="17">
        <v>36.058082597592701</v>
      </c>
      <c r="P69" s="17">
        <v>40.803537883231797</v>
      </c>
      <c r="Q69" s="17">
        <v>47.005473640978103</v>
      </c>
      <c r="R69" s="17">
        <v>45.721303694821202</v>
      </c>
      <c r="S69" s="17">
        <v>45.021583389399702</v>
      </c>
      <c r="T69" s="17">
        <v>43.668871587976703</v>
      </c>
      <c r="U69" s="17">
        <v>43.191032164127698</v>
      </c>
      <c r="V69" s="17">
        <v>45.197435401241599</v>
      </c>
      <c r="W69" s="17">
        <v>48.045437763525499</v>
      </c>
      <c r="X69" s="17">
        <v>54.110749472625102</v>
      </c>
      <c r="Y69" s="17">
        <v>54.8268609030143</v>
      </c>
      <c r="Z69" s="17">
        <v>51.533592429595899</v>
      </c>
      <c r="AA69" s="17">
        <v>53.114609932129397</v>
      </c>
      <c r="AB69" s="17">
        <v>51.800018726631798</v>
      </c>
      <c r="AC69" s="17">
        <v>51.399956183205902</v>
      </c>
      <c r="AD69" s="17">
        <v>49.490249091853897</v>
      </c>
      <c r="AE69" s="17">
        <v>49.258339223685397</v>
      </c>
      <c r="AF69" s="17">
        <v>46.780134848402099</v>
      </c>
      <c r="AG69" s="17">
        <v>46.748136113044701</v>
      </c>
      <c r="AH69" s="17">
        <v>46.959946220577201</v>
      </c>
      <c r="AI69" s="17">
        <v>46.161534418935702</v>
      </c>
      <c r="AJ69" s="17">
        <v>45.525665328174497</v>
      </c>
      <c r="AK69" s="17">
        <v>47.850133696432003</v>
      </c>
      <c r="AL69" s="17">
        <v>46.875723626894001</v>
      </c>
      <c r="AM69" s="17">
        <v>46.887862879419401</v>
      </c>
      <c r="AN69" s="17">
        <v>45.458115924706902</v>
      </c>
      <c r="AO69" s="17"/>
      <c r="AP69" s="17"/>
      <c r="AQ69" s="17"/>
      <c r="AR69" s="17"/>
      <c r="AS69" s="17"/>
      <c r="AT69" s="17"/>
      <c r="AU69" s="17"/>
      <c r="AV69" s="17"/>
      <c r="AW69" s="17"/>
      <c r="AX69" s="17"/>
      <c r="AY69" s="17"/>
      <c r="AZ69" s="17"/>
      <c r="BA69" s="17"/>
      <c r="BB69" s="17"/>
      <c r="BC69" s="17"/>
      <c r="BD69" s="17"/>
      <c r="BE69" s="17"/>
      <c r="BF69" s="17"/>
      <c r="BG69" s="17"/>
      <c r="BH69" s="17"/>
      <c r="BI69" s="17"/>
      <c r="BJ69" s="17"/>
      <c r="BK69" s="17"/>
      <c r="BL69" s="17"/>
      <c r="BM69" s="17"/>
      <c r="BN69" s="17"/>
      <c r="BO69" s="17"/>
      <c r="BP69" s="17"/>
      <c r="BQ69" s="17"/>
      <c r="BR69" s="17"/>
      <c r="BS69" s="17"/>
      <c r="BT69" s="17"/>
      <c r="BU69" s="17"/>
      <c r="BV69" s="17"/>
      <c r="BW69" s="17"/>
      <c r="BX69" s="17"/>
      <c r="BY69" s="17"/>
      <c r="BZ69" s="17"/>
      <c r="CA69" s="17"/>
      <c r="CB69" s="17"/>
      <c r="CC69" s="17"/>
      <c r="CD69" s="17"/>
      <c r="CE69" s="17"/>
      <c r="CF69" s="17"/>
      <c r="CG69" s="17"/>
      <c r="CH69" s="17"/>
      <c r="CI69" s="17"/>
      <c r="CJ69" s="17"/>
      <c r="CK69" s="17"/>
      <c r="CL69" s="17"/>
      <c r="CM69" s="17"/>
      <c r="CN69" s="17"/>
      <c r="CO69" s="17"/>
      <c r="CP69" s="17"/>
      <c r="CQ69" s="17"/>
      <c r="CR69" s="17"/>
      <c r="CS69" s="17"/>
      <c r="CT69" s="17"/>
      <c r="CU69" s="17"/>
      <c r="CV69" s="17"/>
    </row>
    <row r="70" spans="2:100" x14ac:dyDescent="0.35">
      <c r="B70" s="9"/>
      <c r="C70" t="s">
        <v>230</v>
      </c>
      <c r="D70" t="s">
        <v>343</v>
      </c>
      <c r="E70" t="s">
        <v>219</v>
      </c>
      <c r="F70" s="17">
        <v>0</v>
      </c>
      <c r="G70" s="17">
        <v>-11.5697627896862</v>
      </c>
      <c r="H70" s="17">
        <v>-11.975090551074899</v>
      </c>
      <c r="I70" s="17">
        <v>-10.5574515083047</v>
      </c>
      <c r="J70" s="17">
        <v>-8.5948937469646403</v>
      </c>
      <c r="K70" s="17">
        <v>-9.39398459457359</v>
      </c>
      <c r="L70" s="17">
        <v>-9.4298904559590095</v>
      </c>
      <c r="M70" s="17">
        <v>-10.128795906219599</v>
      </c>
      <c r="N70" s="17">
        <v>-11.7678039343715</v>
      </c>
      <c r="O70" s="17">
        <v>-11.959535174990201</v>
      </c>
      <c r="P70" s="17">
        <v>-11.5417756489671</v>
      </c>
      <c r="Q70" s="17">
        <v>-9.04355508793628</v>
      </c>
      <c r="R70" s="17">
        <v>-10.368248408056999</v>
      </c>
      <c r="S70" s="17">
        <v>-9.2494209315385607</v>
      </c>
      <c r="T70" s="17">
        <v>-9.4451533199345992</v>
      </c>
      <c r="U70" s="17">
        <v>-8.8406457060075692</v>
      </c>
      <c r="V70" s="17">
        <v>-8.0589906694699796</v>
      </c>
      <c r="W70" s="17">
        <v>-8.79173350263064</v>
      </c>
      <c r="X70" s="17">
        <v>-11.1446173329097</v>
      </c>
      <c r="Y70" s="17">
        <v>-10.264040969209301</v>
      </c>
      <c r="Z70" s="17">
        <v>-10.8823697802888</v>
      </c>
      <c r="AA70" s="17">
        <v>-9.8111695432396502</v>
      </c>
      <c r="AB70" s="17">
        <v>-9.52332718107718</v>
      </c>
      <c r="AC70" s="17">
        <v>-9.3895028911885596</v>
      </c>
      <c r="AD70" s="17">
        <v>-9.35237474706177</v>
      </c>
      <c r="AE70" s="17">
        <v>-8.8508627361021102</v>
      </c>
      <c r="AF70" s="17">
        <v>-8.4379818941834408</v>
      </c>
      <c r="AG70" s="17">
        <v>-8.4728953037703096</v>
      </c>
      <c r="AH70" s="17">
        <v>-8.8791841763743999</v>
      </c>
      <c r="AI70" s="17">
        <v>-7.9553264673962296</v>
      </c>
      <c r="AJ70" s="17">
        <v>-7.5335866873178698</v>
      </c>
      <c r="AK70" s="17">
        <v>-7.7692469785987104</v>
      </c>
      <c r="AL70" s="17">
        <v>-9.0024153491711392</v>
      </c>
      <c r="AM70" s="17">
        <v>-9.8841617613077108</v>
      </c>
      <c r="AN70" s="17">
        <v>-9.0667993537444094</v>
      </c>
      <c r="AO70" s="17"/>
      <c r="AP70" s="17"/>
      <c r="AQ70" s="17"/>
      <c r="AR70" s="17"/>
      <c r="AS70" s="17"/>
      <c r="AT70" s="17"/>
      <c r="AU70" s="17"/>
      <c r="AV70" s="17"/>
      <c r="AW70" s="17"/>
      <c r="AX70" s="17"/>
      <c r="AY70" s="17"/>
      <c r="AZ70" s="17"/>
      <c r="BA70" s="17"/>
      <c r="BB70" s="17"/>
      <c r="BC70" s="17"/>
      <c r="BD70" s="17"/>
      <c r="BE70" s="17"/>
      <c r="BF70" s="17"/>
      <c r="BG70" s="17"/>
      <c r="BH70" s="17"/>
      <c r="BI70" s="17"/>
      <c r="BJ70" s="17"/>
      <c r="BK70" s="17"/>
      <c r="BL70" s="17"/>
      <c r="BM70" s="17"/>
      <c r="BN70" s="17"/>
      <c r="BO70" s="17"/>
      <c r="BP70" s="17"/>
      <c r="BQ70" s="17"/>
      <c r="BR70" s="17"/>
      <c r="BS70" s="17"/>
      <c r="BT70" s="17"/>
      <c r="BU70" s="17"/>
      <c r="BV70" s="17"/>
      <c r="BW70" s="17"/>
      <c r="BX70" s="17"/>
      <c r="BY70" s="17"/>
      <c r="BZ70" s="17"/>
      <c r="CA70" s="17"/>
      <c r="CB70" s="17"/>
      <c r="CC70" s="17"/>
      <c r="CD70" s="17"/>
      <c r="CE70" s="17"/>
      <c r="CF70" s="17"/>
      <c r="CG70" s="17"/>
      <c r="CH70" s="17"/>
      <c r="CI70" s="17"/>
      <c r="CJ70" s="17"/>
      <c r="CK70" s="17"/>
      <c r="CL70" s="17"/>
      <c r="CM70" s="17"/>
      <c r="CN70" s="17"/>
      <c r="CO70" s="17"/>
      <c r="CP70" s="17"/>
      <c r="CQ70" s="17"/>
      <c r="CR70" s="17"/>
      <c r="CS70" s="17"/>
      <c r="CT70" s="17"/>
      <c r="CU70" s="17"/>
      <c r="CV70" s="17"/>
    </row>
    <row r="71" spans="2:100" x14ac:dyDescent="0.35">
      <c r="B71" s="9"/>
      <c r="C71" t="s">
        <v>230</v>
      </c>
      <c r="D71" t="s">
        <v>344</v>
      </c>
      <c r="E71" t="s">
        <v>219</v>
      </c>
      <c r="F71" s="17">
        <v>0</v>
      </c>
      <c r="G71" s="17">
        <v>64.417821062447302</v>
      </c>
      <c r="H71" s="17">
        <v>45.515594554134502</v>
      </c>
      <c r="I71" s="17">
        <v>41.308361549140301</v>
      </c>
      <c r="J71" s="17">
        <v>35.119703751772597</v>
      </c>
      <c r="K71" s="17">
        <v>28.9147697449086</v>
      </c>
      <c r="L71" s="17">
        <v>33.957730739169797</v>
      </c>
      <c r="M71" s="17">
        <v>27.817295652350499</v>
      </c>
      <c r="N71" s="17">
        <v>29.583671810270001</v>
      </c>
      <c r="O71" s="17">
        <v>35.597031279430801</v>
      </c>
      <c r="P71" s="17">
        <v>31.6718739693064</v>
      </c>
      <c r="Q71" s="17">
        <v>25.1474018238927</v>
      </c>
      <c r="R71" s="17">
        <v>26.6808756618451</v>
      </c>
      <c r="S71" s="17">
        <v>26.877872120426701</v>
      </c>
      <c r="T71" s="17">
        <v>26.186739134777799</v>
      </c>
      <c r="U71" s="17">
        <v>24.2348580654179</v>
      </c>
      <c r="V71" s="17">
        <v>23.5038598580505</v>
      </c>
      <c r="W71" s="17">
        <v>21.7320199918085</v>
      </c>
      <c r="X71" s="17">
        <v>34.834702935812302</v>
      </c>
      <c r="Y71" s="17">
        <v>34.248581797310997</v>
      </c>
      <c r="Z71" s="17">
        <v>35.698292703465903</v>
      </c>
      <c r="AA71" s="17">
        <v>33.405979773481498</v>
      </c>
      <c r="AB71" s="17">
        <v>32.758953435132398</v>
      </c>
      <c r="AC71" s="17">
        <v>30.2711692882778</v>
      </c>
      <c r="AD71" s="17">
        <v>30.3678967746228</v>
      </c>
      <c r="AE71" s="17">
        <v>29.7727182076021</v>
      </c>
      <c r="AF71" s="17">
        <v>29.868077155151202</v>
      </c>
      <c r="AG71" s="17">
        <v>28.748706441858701</v>
      </c>
      <c r="AH71" s="17">
        <v>28.067205462086299</v>
      </c>
      <c r="AI71" s="17">
        <v>26.346429852595001</v>
      </c>
      <c r="AJ71" s="17">
        <v>26.893291687317799</v>
      </c>
      <c r="AK71" s="17">
        <v>24.630491139763901</v>
      </c>
      <c r="AL71" s="17">
        <v>25.4344606714773</v>
      </c>
      <c r="AM71" s="17">
        <v>25.653061238684099</v>
      </c>
      <c r="AN71" s="17">
        <v>24.166535594233601</v>
      </c>
      <c r="AO71" s="17"/>
      <c r="AP71" s="17"/>
      <c r="AQ71" s="17"/>
      <c r="AR71" s="17"/>
      <c r="AS71" s="17"/>
      <c r="AT71" s="17"/>
      <c r="AU71" s="17"/>
      <c r="AV71" s="17"/>
      <c r="AW71" s="17"/>
      <c r="AX71" s="17"/>
      <c r="AY71" s="17"/>
      <c r="AZ71" s="17"/>
      <c r="BA71" s="17"/>
      <c r="BB71" s="17"/>
      <c r="BC71" s="17"/>
      <c r="BD71" s="17"/>
      <c r="BE71" s="17"/>
      <c r="BF71" s="17"/>
      <c r="BG71" s="17"/>
      <c r="BH71" s="17"/>
      <c r="BI71" s="17"/>
      <c r="BJ71" s="17"/>
      <c r="BK71" s="17"/>
      <c r="BL71" s="17"/>
      <c r="BM71" s="17"/>
      <c r="BN71" s="17"/>
      <c r="BO71" s="17"/>
      <c r="BP71" s="17"/>
      <c r="BQ71" s="17"/>
      <c r="BR71" s="17"/>
      <c r="BS71" s="17"/>
      <c r="BT71" s="17"/>
      <c r="BU71" s="17"/>
      <c r="BV71" s="17"/>
      <c r="BW71" s="17"/>
      <c r="BX71" s="17"/>
      <c r="BY71" s="17"/>
      <c r="BZ71" s="17"/>
      <c r="CA71" s="17"/>
      <c r="CB71" s="17"/>
      <c r="CC71" s="17"/>
      <c r="CD71" s="17"/>
      <c r="CE71" s="17"/>
      <c r="CF71" s="17"/>
      <c r="CG71" s="17"/>
      <c r="CH71" s="17"/>
      <c r="CI71" s="17"/>
      <c r="CJ71" s="17"/>
      <c r="CK71" s="17"/>
      <c r="CL71" s="17"/>
      <c r="CM71" s="17"/>
      <c r="CN71" s="17"/>
      <c r="CO71" s="17"/>
      <c r="CP71" s="17"/>
      <c r="CQ71" s="17"/>
      <c r="CR71" s="17"/>
      <c r="CS71" s="17"/>
      <c r="CT71" s="17"/>
      <c r="CU71" s="17"/>
      <c r="CV71" s="17"/>
    </row>
    <row r="72" spans="2:100" x14ac:dyDescent="0.35">
      <c r="B72" s="9"/>
      <c r="C72" t="s">
        <v>230</v>
      </c>
      <c r="D72" t="s">
        <v>345</v>
      </c>
      <c r="E72" t="s">
        <v>219</v>
      </c>
      <c r="F72" s="17">
        <v>0</v>
      </c>
      <c r="G72" s="17">
        <v>-44.540881525626403</v>
      </c>
      <c r="H72" s="17">
        <v>-34.4844928132568</v>
      </c>
      <c r="I72" s="17">
        <v>-34.488107427175699</v>
      </c>
      <c r="J72" s="17">
        <v>-34.799695504476098</v>
      </c>
      <c r="K72" s="17">
        <v>-35.195067407296101</v>
      </c>
      <c r="L72" s="17">
        <v>-31.068588638120801</v>
      </c>
      <c r="M72" s="17">
        <v>-30.090887807356001</v>
      </c>
      <c r="N72" s="17">
        <v>-26.5383282429903</v>
      </c>
      <c r="O72" s="17">
        <v>-24.752761201345201</v>
      </c>
      <c r="P72" s="17">
        <v>-24.6504968786505</v>
      </c>
      <c r="Q72" s="17">
        <v>-29.317715621980799</v>
      </c>
      <c r="R72" s="17">
        <v>-27.554995865424399</v>
      </c>
      <c r="S72" s="17">
        <v>-26.267775435844701</v>
      </c>
      <c r="T72" s="17">
        <v>-22.4457599847422</v>
      </c>
      <c r="U72" s="17">
        <v>-21.501896536877499</v>
      </c>
      <c r="V72" s="17">
        <v>-24.3494392372757</v>
      </c>
      <c r="W72" s="17">
        <v>-24.310044124303801</v>
      </c>
      <c r="X72" s="17">
        <v>-31.625113819303198</v>
      </c>
      <c r="Y72" s="17">
        <v>-32.448472725101901</v>
      </c>
      <c r="Z72" s="17">
        <v>-26.783683221313801</v>
      </c>
      <c r="AA72" s="17">
        <v>-29.485105676382499</v>
      </c>
      <c r="AB72" s="17">
        <v>-27.1263611570614</v>
      </c>
      <c r="AC72" s="17">
        <v>-25.592970893997201</v>
      </c>
      <c r="AD72" s="17">
        <v>-23.641873339215099</v>
      </c>
      <c r="AE72" s="17">
        <v>-23.362576509381199</v>
      </c>
      <c r="AF72" s="17">
        <v>-21.800499165908501</v>
      </c>
      <c r="AG72" s="17">
        <v>-20.827071101308</v>
      </c>
      <c r="AH72" s="17">
        <v>-20.861483061565099</v>
      </c>
      <c r="AI72" s="17">
        <v>-19.629463845706699</v>
      </c>
      <c r="AJ72" s="17">
        <v>-18.496825618896899</v>
      </c>
      <c r="AK72" s="17">
        <v>-20.249641751189799</v>
      </c>
      <c r="AL72" s="17">
        <v>-17.9408227807663</v>
      </c>
      <c r="AM72" s="17">
        <v>-16.224591555826201</v>
      </c>
      <c r="AN72" s="17">
        <v>-16.150784482597199</v>
      </c>
      <c r="AO72" s="17"/>
      <c r="AP72" s="17"/>
      <c r="AQ72" s="17"/>
      <c r="AR72" s="17"/>
      <c r="AS72" s="17"/>
      <c r="AT72" s="17"/>
      <c r="AU72" s="17"/>
      <c r="AV72" s="17"/>
      <c r="AW72" s="17"/>
      <c r="AX72" s="17"/>
      <c r="AY72" s="17"/>
      <c r="AZ72" s="17"/>
      <c r="BA72" s="17"/>
      <c r="BB72" s="17"/>
      <c r="BC72" s="17"/>
      <c r="BD72" s="17"/>
      <c r="BE72" s="17"/>
      <c r="BF72" s="17"/>
      <c r="BG72" s="17"/>
      <c r="BH72" s="17"/>
      <c r="BI72" s="17"/>
      <c r="BJ72" s="17"/>
      <c r="BK72" s="17"/>
      <c r="BL72" s="17"/>
      <c r="BM72" s="17"/>
      <c r="BN72" s="17"/>
      <c r="BO72" s="17"/>
      <c r="BP72" s="17"/>
      <c r="BQ72" s="17"/>
      <c r="BR72" s="17"/>
      <c r="BS72" s="17"/>
      <c r="BT72" s="17"/>
      <c r="BU72" s="17"/>
      <c r="BV72" s="17"/>
      <c r="BW72" s="17"/>
      <c r="BX72" s="17"/>
      <c r="BY72" s="17"/>
      <c r="BZ72" s="17"/>
      <c r="CA72" s="17"/>
      <c r="CB72" s="17"/>
      <c r="CC72" s="17"/>
      <c r="CD72" s="17"/>
      <c r="CE72" s="17"/>
      <c r="CF72" s="17"/>
      <c r="CG72" s="17"/>
      <c r="CH72" s="17"/>
      <c r="CI72" s="17"/>
      <c r="CJ72" s="17"/>
      <c r="CK72" s="17"/>
      <c r="CL72" s="17"/>
      <c r="CM72" s="17"/>
      <c r="CN72" s="17"/>
      <c r="CO72" s="17"/>
      <c r="CP72" s="17"/>
      <c r="CQ72" s="17"/>
      <c r="CR72" s="17"/>
      <c r="CS72" s="17"/>
      <c r="CT72" s="17"/>
      <c r="CU72" s="17"/>
      <c r="CV72" s="17"/>
    </row>
    <row r="73" spans="2:100" x14ac:dyDescent="0.35">
      <c r="B73" s="9"/>
      <c r="D73" t="s">
        <v>220</v>
      </c>
      <c r="E73" t="s">
        <v>219</v>
      </c>
      <c r="F73" s="17">
        <v>0</v>
      </c>
      <c r="G73" s="17">
        <v>-29.020481531745698</v>
      </c>
      <c r="H73" s="17">
        <v>-28.0876917565806</v>
      </c>
      <c r="I73" s="17">
        <v>-25.9278868119941</v>
      </c>
      <c r="J73" s="17">
        <v>-22.131842257430499</v>
      </c>
      <c r="K73" s="17">
        <v>-24.0643861870102</v>
      </c>
      <c r="L73" s="17">
        <v>-21.553138390265801</v>
      </c>
      <c r="M73" s="17">
        <v>-24.294175342388101</v>
      </c>
      <c r="N73" s="17">
        <v>-22.4537204928527</v>
      </c>
      <c r="O73" s="17">
        <v>-23.027441207302601</v>
      </c>
      <c r="P73" s="17">
        <v>-23.520449473377901</v>
      </c>
      <c r="Q73" s="17">
        <v>-22.303672227773099</v>
      </c>
      <c r="R73" s="17">
        <v>-22.768808268600601</v>
      </c>
      <c r="S73" s="17">
        <v>-21.6618693199426</v>
      </c>
      <c r="T73" s="17">
        <v>-21.465541460467499</v>
      </c>
      <c r="U73" s="17">
        <v>-19.635293194165602</v>
      </c>
      <c r="V73" s="17">
        <v>-18.0266124036051</v>
      </c>
      <c r="W73" s="17">
        <v>-18.958169449167901</v>
      </c>
      <c r="X73" s="17">
        <v>-30.174201524129</v>
      </c>
      <c r="Y73" s="17">
        <v>-27.804237076053798</v>
      </c>
      <c r="Z73" s="17">
        <v>-27.948487333257699</v>
      </c>
      <c r="AA73" s="17">
        <v>-24.027738598491201</v>
      </c>
      <c r="AB73" s="17">
        <v>-19.1007795491889</v>
      </c>
      <c r="AC73" s="17">
        <v>-18.6439696566081</v>
      </c>
      <c r="AD73" s="17">
        <v>-17.1364980557777</v>
      </c>
      <c r="AE73" s="17">
        <v>-15.6005065243152</v>
      </c>
      <c r="AF73" s="17">
        <v>-13.935088831460799</v>
      </c>
      <c r="AG73" s="17">
        <v>-14.940703674917399</v>
      </c>
      <c r="AH73" s="17">
        <v>-13.940260027674301</v>
      </c>
      <c r="AI73" s="17">
        <v>-13.2733742064932</v>
      </c>
      <c r="AJ73" s="17">
        <v>-12.054538929264</v>
      </c>
      <c r="AK73" s="17">
        <v>-12.428108233099101</v>
      </c>
      <c r="AL73" s="17">
        <v>-13.963984849090201</v>
      </c>
      <c r="AM73" s="17">
        <v>-15.1671602816243</v>
      </c>
      <c r="AN73" s="17">
        <v>-14.245057645300401</v>
      </c>
      <c r="AO73" s="17"/>
      <c r="AP73" s="17"/>
      <c r="AQ73" s="17"/>
      <c r="AR73" s="17"/>
      <c r="AS73" s="17"/>
      <c r="AT73" s="17"/>
      <c r="AU73" s="17"/>
      <c r="AV73" s="17"/>
      <c r="AW73" s="17"/>
      <c r="AX73" s="17"/>
      <c r="AY73" s="17"/>
      <c r="AZ73" s="17"/>
      <c r="BA73" s="17"/>
      <c r="BB73" s="17"/>
      <c r="BC73" s="17"/>
      <c r="BD73" s="17"/>
      <c r="BE73" s="17"/>
      <c r="BF73" s="17"/>
      <c r="BG73" s="17"/>
      <c r="BH73" s="17"/>
      <c r="BI73" s="17"/>
      <c r="BJ73" s="17"/>
      <c r="BK73" s="17"/>
      <c r="BL73" s="17"/>
      <c r="BM73" s="17"/>
      <c r="BN73" s="17"/>
      <c r="BO73" s="17"/>
      <c r="BP73" s="17"/>
      <c r="BQ73" s="17"/>
      <c r="BR73" s="17"/>
      <c r="BS73" s="17"/>
      <c r="BT73" s="17"/>
      <c r="BU73" s="17"/>
      <c r="BV73" s="17"/>
      <c r="BW73" s="17"/>
      <c r="BX73" s="17"/>
      <c r="BY73" s="17"/>
      <c r="BZ73" s="17"/>
      <c r="CA73" s="17"/>
      <c r="CB73" s="17"/>
      <c r="CC73" s="17"/>
      <c r="CD73" s="17"/>
      <c r="CE73" s="17"/>
      <c r="CF73" s="17"/>
      <c r="CG73" s="17"/>
      <c r="CH73" s="17"/>
      <c r="CI73" s="17"/>
      <c r="CJ73" s="17"/>
      <c r="CK73" s="17"/>
      <c r="CL73" s="17"/>
      <c r="CM73" s="17"/>
      <c r="CN73" s="17"/>
      <c r="CO73" s="17"/>
      <c r="CP73" s="17"/>
      <c r="CQ73" s="17"/>
      <c r="CR73" s="17"/>
      <c r="CS73" s="17"/>
      <c r="CT73" s="17"/>
      <c r="CU73" s="17"/>
      <c r="CV73" s="17"/>
    </row>
    <row r="74" spans="2:100" x14ac:dyDescent="0.35">
      <c r="B74" s="9"/>
      <c r="C74" t="s">
        <v>230</v>
      </c>
      <c r="D74" t="s">
        <v>346</v>
      </c>
      <c r="E74" t="s">
        <v>219</v>
      </c>
      <c r="F74" s="17">
        <v>0</v>
      </c>
      <c r="G74" s="17">
        <v>116.711130120402</v>
      </c>
      <c r="H74" s="17">
        <v>101.350953634251</v>
      </c>
      <c r="I74" s="17">
        <v>82.107856497150806</v>
      </c>
      <c r="J74" s="17">
        <v>67.264820526071603</v>
      </c>
      <c r="K74" s="17">
        <v>65.660318479926104</v>
      </c>
      <c r="L74" s="17">
        <v>71.418795433497294</v>
      </c>
      <c r="M74" s="17">
        <v>62.198207838421901</v>
      </c>
      <c r="N74" s="17">
        <v>57.986837876456903</v>
      </c>
      <c r="O74" s="17">
        <v>54.516244383790301</v>
      </c>
      <c r="P74" s="17">
        <v>48.999476454040597</v>
      </c>
      <c r="Q74" s="17">
        <v>48.260946059865297</v>
      </c>
      <c r="R74" s="17">
        <v>44.0374890796801</v>
      </c>
      <c r="S74" s="17">
        <v>44.410880786877499</v>
      </c>
      <c r="T74" s="17">
        <v>44.753078167017399</v>
      </c>
      <c r="U74" s="17">
        <v>43.832406750655601</v>
      </c>
      <c r="V74" s="17">
        <v>42.420816440426002</v>
      </c>
      <c r="W74" s="17">
        <v>39.991461587353399</v>
      </c>
      <c r="X74" s="17">
        <v>60.889540003132403</v>
      </c>
      <c r="Y74" s="17">
        <v>58.602502737971797</v>
      </c>
      <c r="Z74" s="17">
        <v>58.257223533826</v>
      </c>
      <c r="AA74" s="17">
        <v>56.982549784352102</v>
      </c>
      <c r="AB74" s="17">
        <v>58.5993686796606</v>
      </c>
      <c r="AC74" s="17">
        <v>56.412140724851</v>
      </c>
      <c r="AD74" s="17">
        <v>55.935993692490101</v>
      </c>
      <c r="AE74" s="17">
        <v>55.088418962806699</v>
      </c>
      <c r="AF74" s="17">
        <v>54.386233198180399</v>
      </c>
      <c r="AG74" s="17">
        <v>52.847243417600197</v>
      </c>
      <c r="AH74" s="17">
        <v>51.075455785663401</v>
      </c>
      <c r="AI74" s="17">
        <v>50.676772227894503</v>
      </c>
      <c r="AJ74" s="17">
        <v>51.054363573228898</v>
      </c>
      <c r="AK74" s="17">
        <v>47.684018159076899</v>
      </c>
      <c r="AL74" s="17">
        <v>46.701052110349302</v>
      </c>
      <c r="AM74" s="17">
        <v>45.652229049642202</v>
      </c>
      <c r="AN74" s="17">
        <v>43.354410623890999</v>
      </c>
      <c r="AO74" s="17"/>
      <c r="AP74" s="17"/>
      <c r="AQ74" s="17"/>
      <c r="AR74" s="17"/>
      <c r="AS74" s="17"/>
      <c r="AT74" s="17"/>
      <c r="AU74" s="17"/>
      <c r="AV74" s="17"/>
      <c r="AW74" s="17"/>
      <c r="AX74" s="17"/>
      <c r="AY74" s="17"/>
      <c r="AZ74" s="17"/>
      <c r="BA74" s="17"/>
      <c r="BB74" s="17"/>
      <c r="BC74" s="17"/>
      <c r="BD74" s="17"/>
      <c r="BE74" s="17"/>
      <c r="BF74" s="17"/>
      <c r="BG74" s="17"/>
      <c r="BH74" s="17"/>
      <c r="BI74" s="17"/>
      <c r="BJ74" s="17"/>
      <c r="BK74" s="17"/>
      <c r="BL74" s="17"/>
      <c r="BM74" s="17"/>
      <c r="BN74" s="17"/>
      <c r="BO74" s="17"/>
      <c r="BP74" s="17"/>
      <c r="BQ74" s="17"/>
      <c r="BR74" s="17"/>
      <c r="BS74" s="17"/>
      <c r="BT74" s="17"/>
      <c r="BU74" s="17"/>
      <c r="BV74" s="17"/>
      <c r="BW74" s="17"/>
      <c r="BX74" s="17"/>
      <c r="BY74" s="17"/>
      <c r="BZ74" s="17"/>
      <c r="CA74" s="17"/>
      <c r="CB74" s="17"/>
      <c r="CC74" s="17"/>
      <c r="CD74" s="17"/>
      <c r="CE74" s="17"/>
      <c r="CF74" s="17"/>
      <c r="CG74" s="17"/>
      <c r="CH74" s="17"/>
      <c r="CI74" s="17"/>
      <c r="CJ74" s="17"/>
      <c r="CK74" s="17"/>
      <c r="CL74" s="17"/>
      <c r="CM74" s="17"/>
      <c r="CN74" s="17"/>
      <c r="CO74" s="17"/>
      <c r="CP74" s="17"/>
      <c r="CQ74" s="17"/>
      <c r="CR74" s="17"/>
      <c r="CS74" s="17"/>
      <c r="CT74" s="17"/>
      <c r="CU74" s="17"/>
      <c r="CV74" s="17"/>
    </row>
    <row r="75" spans="2:100" x14ac:dyDescent="0.35">
      <c r="B75" s="9"/>
      <c r="C75" t="s">
        <v>230</v>
      </c>
      <c r="D75" t="s">
        <v>347</v>
      </c>
      <c r="E75" t="s">
        <v>219</v>
      </c>
      <c r="F75" s="17">
        <v>0</v>
      </c>
      <c r="G75" s="17">
        <v>15.015022644337201</v>
      </c>
      <c r="H75" s="17">
        <v>14.857703363975499</v>
      </c>
      <c r="I75" s="17">
        <v>10.071035211544</v>
      </c>
      <c r="J75" s="17">
        <v>10.248861680121999</v>
      </c>
      <c r="K75" s="17">
        <v>8.3225440797205792</v>
      </c>
      <c r="L75" s="17">
        <v>8.4307004320403998</v>
      </c>
      <c r="M75" s="17">
        <v>8.8642138245078606</v>
      </c>
      <c r="N75" s="17">
        <v>8.9845616636582903</v>
      </c>
      <c r="O75" s="17">
        <v>10.5455734273052</v>
      </c>
      <c r="P75" s="17">
        <v>10.2666735781907</v>
      </c>
      <c r="Q75" s="17">
        <v>10.420054391941299</v>
      </c>
      <c r="R75" s="17">
        <v>10.7981367397445</v>
      </c>
      <c r="S75" s="17">
        <v>10.9622046923363</v>
      </c>
      <c r="T75" s="17">
        <v>10.615515161950301</v>
      </c>
      <c r="U75" s="17">
        <v>10.383511272032599</v>
      </c>
      <c r="V75" s="17">
        <v>10.635343304199299</v>
      </c>
      <c r="W75" s="17">
        <v>10.2504182624166</v>
      </c>
      <c r="X75" s="17">
        <v>11.153141971516201</v>
      </c>
      <c r="Y75" s="17">
        <v>11.5765114619164</v>
      </c>
      <c r="Z75" s="17">
        <v>12.114159165204301</v>
      </c>
      <c r="AA75" s="17">
        <v>12.5942446641763</v>
      </c>
      <c r="AB75" s="17">
        <v>12.467879433068299</v>
      </c>
      <c r="AC75" s="17">
        <v>12.349882137651299</v>
      </c>
      <c r="AD75" s="17">
        <v>11.8732649965437</v>
      </c>
      <c r="AE75" s="17">
        <v>11.9477824563232</v>
      </c>
      <c r="AF75" s="17">
        <v>11.9134227303713</v>
      </c>
      <c r="AG75" s="17">
        <v>11.862734560618</v>
      </c>
      <c r="AH75" s="17">
        <v>11.6287353202421</v>
      </c>
      <c r="AI75" s="17">
        <v>11.5423397794631</v>
      </c>
      <c r="AJ75" s="17">
        <v>11.673656822702799</v>
      </c>
      <c r="AK75" s="17">
        <v>11.5514912297319</v>
      </c>
      <c r="AL75" s="17">
        <v>11.6115502338357</v>
      </c>
      <c r="AM75" s="17">
        <v>11.7244076736223</v>
      </c>
      <c r="AN75" s="17">
        <v>11.458869359774599</v>
      </c>
      <c r="AO75" s="17"/>
      <c r="AP75" s="17"/>
      <c r="AQ75" s="17"/>
      <c r="AR75" s="17"/>
      <c r="AS75" s="17"/>
      <c r="AT75" s="17"/>
      <c r="AU75" s="17"/>
      <c r="AV75" s="17"/>
      <c r="AW75" s="17"/>
      <c r="AX75" s="17"/>
      <c r="AY75" s="17"/>
      <c r="AZ75" s="17"/>
      <c r="BA75" s="17"/>
      <c r="BB75" s="17"/>
      <c r="BC75" s="17"/>
      <c r="BD75" s="17"/>
      <c r="BE75" s="17"/>
      <c r="BF75" s="17"/>
      <c r="BG75" s="17"/>
      <c r="BH75" s="17"/>
      <c r="BI75" s="17"/>
      <c r="BJ75" s="17"/>
      <c r="BK75" s="17"/>
      <c r="BL75" s="17"/>
      <c r="BM75" s="17"/>
      <c r="BN75" s="17"/>
      <c r="BO75" s="17"/>
      <c r="BP75" s="17"/>
      <c r="BQ75" s="17"/>
      <c r="BR75" s="17"/>
      <c r="BS75" s="17"/>
      <c r="BT75" s="17"/>
      <c r="BU75" s="17"/>
      <c r="BV75" s="17"/>
      <c r="BW75" s="17"/>
      <c r="BX75" s="17"/>
      <c r="BY75" s="17"/>
      <c r="BZ75" s="17"/>
      <c r="CA75" s="17"/>
      <c r="CB75" s="17"/>
      <c r="CC75" s="17"/>
      <c r="CD75" s="17"/>
      <c r="CE75" s="17"/>
      <c r="CF75" s="17"/>
      <c r="CG75" s="17"/>
      <c r="CH75" s="17"/>
      <c r="CI75" s="17"/>
      <c r="CJ75" s="17"/>
      <c r="CK75" s="17"/>
      <c r="CL75" s="17"/>
      <c r="CM75" s="17"/>
      <c r="CN75" s="17"/>
      <c r="CO75" s="17"/>
      <c r="CP75" s="17"/>
      <c r="CQ75" s="17"/>
      <c r="CR75" s="17"/>
      <c r="CS75" s="17"/>
      <c r="CT75" s="17"/>
      <c r="CU75" s="17"/>
      <c r="CV75" s="17"/>
    </row>
    <row r="76" spans="2:100" x14ac:dyDescent="0.35">
      <c r="B76" s="9"/>
      <c r="C76" t="s">
        <v>230</v>
      </c>
      <c r="D76" t="s">
        <v>348</v>
      </c>
      <c r="E76" t="s">
        <v>219</v>
      </c>
      <c r="F76" s="17">
        <v>0</v>
      </c>
      <c r="G76" s="17">
        <v>29.458215456072299</v>
      </c>
      <c r="H76" s="17">
        <v>18.7389316234378</v>
      </c>
      <c r="I76" s="17">
        <v>11.27694772167</v>
      </c>
      <c r="J76" s="17">
        <v>10.3912001617561</v>
      </c>
      <c r="K76" s="17">
        <v>10.6412562275464</v>
      </c>
      <c r="L76" s="17">
        <v>10.6656914355128</v>
      </c>
      <c r="M76" s="17">
        <v>9.1687816111911502</v>
      </c>
      <c r="N76" s="17">
        <v>8.9888553235446391</v>
      </c>
      <c r="O76" s="17">
        <v>9.8592877851777505</v>
      </c>
      <c r="P76" s="17">
        <v>9.0491023711471197</v>
      </c>
      <c r="Q76" s="17">
        <v>8.8192296408809803</v>
      </c>
      <c r="R76" s="17">
        <v>8.9623202965097395</v>
      </c>
      <c r="S76" s="17">
        <v>8.9202089996681302</v>
      </c>
      <c r="T76" s="17">
        <v>8.7534248632066305</v>
      </c>
      <c r="U76" s="17">
        <v>8.3912948722074692</v>
      </c>
      <c r="V76" s="17">
        <v>8.5008928913504498</v>
      </c>
      <c r="W76" s="17">
        <v>8.3392068230751804</v>
      </c>
      <c r="X76" s="17">
        <v>7.6305126640225298</v>
      </c>
      <c r="Y76" s="17">
        <v>7.7399121928058001</v>
      </c>
      <c r="Z76" s="17">
        <v>7.9179580454655802</v>
      </c>
      <c r="AA76" s="17">
        <v>7.8139386501165502</v>
      </c>
      <c r="AB76" s="17">
        <v>7.63229907725992</v>
      </c>
      <c r="AC76" s="17">
        <v>7.59809605422359</v>
      </c>
      <c r="AD76" s="17">
        <v>7.4173131239720203</v>
      </c>
      <c r="AE76" s="17">
        <v>7.4579618602683997</v>
      </c>
      <c r="AF76" s="17">
        <v>7.3113506124700498</v>
      </c>
      <c r="AG76" s="17">
        <v>7.4022069629119898</v>
      </c>
      <c r="AH76" s="17">
        <v>7.3138265185359002</v>
      </c>
      <c r="AI76" s="17">
        <v>7.18510029683351</v>
      </c>
      <c r="AJ76" s="17">
        <v>7.0564889906025297</v>
      </c>
      <c r="AK76" s="17">
        <v>6.9860875940717397</v>
      </c>
      <c r="AL76" s="17">
        <v>6.7485468678041798</v>
      </c>
      <c r="AM76" s="17">
        <v>6.8520543669623697</v>
      </c>
      <c r="AN76" s="17">
        <v>7.25441521981642</v>
      </c>
      <c r="AO76" s="17"/>
      <c r="AP76" s="17"/>
      <c r="AQ76" s="17"/>
      <c r="AR76" s="17"/>
      <c r="AS76" s="17"/>
      <c r="AT76" s="17"/>
      <c r="AU76" s="17"/>
      <c r="AV76" s="17"/>
      <c r="AW76" s="17"/>
      <c r="AX76" s="17"/>
      <c r="AY76" s="17"/>
      <c r="AZ76" s="17"/>
      <c r="BA76" s="17"/>
      <c r="BB76" s="17"/>
      <c r="BC76" s="17"/>
      <c r="BD76" s="17"/>
      <c r="BE76" s="17"/>
      <c r="BF76" s="17"/>
      <c r="BG76" s="17"/>
      <c r="BH76" s="17"/>
      <c r="BI76" s="17"/>
      <c r="BJ76" s="17"/>
      <c r="BK76" s="17"/>
      <c r="BL76" s="17"/>
      <c r="BM76" s="17"/>
      <c r="BN76" s="17"/>
      <c r="BO76" s="17"/>
      <c r="BP76" s="17"/>
      <c r="BQ76" s="17"/>
      <c r="BR76" s="17"/>
      <c r="BS76" s="17"/>
      <c r="BT76" s="17"/>
      <c r="BU76" s="17"/>
      <c r="BV76" s="17"/>
      <c r="BW76" s="17"/>
      <c r="BX76" s="17"/>
      <c r="BY76" s="17"/>
      <c r="BZ76" s="17"/>
      <c r="CA76" s="17"/>
      <c r="CB76" s="17"/>
      <c r="CC76" s="17"/>
      <c r="CD76" s="17"/>
      <c r="CE76" s="17"/>
      <c r="CF76" s="17"/>
      <c r="CG76" s="17"/>
      <c r="CH76" s="17"/>
      <c r="CI76" s="17"/>
      <c r="CJ76" s="17"/>
      <c r="CK76" s="17"/>
      <c r="CL76" s="17"/>
      <c r="CM76" s="17"/>
      <c r="CN76" s="17"/>
      <c r="CO76" s="17"/>
      <c r="CP76" s="17"/>
      <c r="CQ76" s="17"/>
      <c r="CR76" s="17"/>
      <c r="CS76" s="17"/>
      <c r="CT76" s="17"/>
      <c r="CU76" s="17"/>
      <c r="CV76" s="17"/>
    </row>
    <row r="77" spans="2:100" x14ac:dyDescent="0.35">
      <c r="B77" s="9"/>
      <c r="C77" t="s">
        <v>230</v>
      </c>
      <c r="D77" t="s">
        <v>349</v>
      </c>
      <c r="E77" t="s">
        <v>219</v>
      </c>
      <c r="F77" s="17">
        <v>0</v>
      </c>
      <c r="G77" s="17">
        <v>7.1438560894579997</v>
      </c>
      <c r="H77" s="17">
        <v>6.7748416170352197</v>
      </c>
      <c r="I77" s="17">
        <v>6.4680590958120101</v>
      </c>
      <c r="J77" s="17">
        <v>6.3106980280062102</v>
      </c>
      <c r="K77" s="17">
        <v>6.1465882879702702</v>
      </c>
      <c r="L77" s="17">
        <v>6.1341774170578898</v>
      </c>
      <c r="M77" s="17">
        <v>5.6373560467040003</v>
      </c>
      <c r="N77" s="17">
        <v>5.2722591471702298</v>
      </c>
      <c r="O77" s="17">
        <v>6.0343994472900304</v>
      </c>
      <c r="P77" s="17">
        <v>5.8941921253075797</v>
      </c>
      <c r="Q77" s="17">
        <v>5.6074780241371398</v>
      </c>
      <c r="R77" s="17">
        <v>5.9732121821941897</v>
      </c>
      <c r="S77" s="17">
        <v>6.0426524675095497</v>
      </c>
      <c r="T77" s="17">
        <v>6.0831236071682904</v>
      </c>
      <c r="U77" s="17">
        <v>6.0170158705238599</v>
      </c>
      <c r="V77" s="17">
        <v>6.3082221219403598</v>
      </c>
      <c r="W77" s="17">
        <v>6.1855550796396397</v>
      </c>
      <c r="X77" s="17">
        <v>5.9334514290859897</v>
      </c>
      <c r="Y77" s="17">
        <v>5.56319378019976</v>
      </c>
      <c r="Z77" s="17">
        <v>6.1501506675840103</v>
      </c>
      <c r="AA77" s="17">
        <v>6.3022465174269797</v>
      </c>
      <c r="AB77" s="17">
        <v>6.3891539543968099</v>
      </c>
      <c r="AC77" s="17">
        <v>6.37276282942919</v>
      </c>
      <c r="AD77" s="17">
        <v>6.5045499814155203</v>
      </c>
      <c r="AE77" s="17">
        <v>6.6592993339619797</v>
      </c>
      <c r="AF77" s="17">
        <v>6.6764635266463701</v>
      </c>
      <c r="AG77" s="17">
        <v>6.6299123138638798</v>
      </c>
      <c r="AH77" s="17">
        <v>6.5078198489202199</v>
      </c>
      <c r="AI77" s="17">
        <v>6.4401346362591401</v>
      </c>
      <c r="AJ77" s="17">
        <v>6.3105935593958398</v>
      </c>
      <c r="AK77" s="17">
        <v>6.2165718100595697</v>
      </c>
      <c r="AL77" s="17">
        <v>6.3308291292252097</v>
      </c>
      <c r="AM77" s="17">
        <v>6.4531200845285799</v>
      </c>
      <c r="AN77" s="17">
        <v>6.3095279795700296</v>
      </c>
      <c r="AO77" s="17"/>
      <c r="AP77" s="17"/>
      <c r="AQ77" s="17"/>
      <c r="AR77" s="17"/>
      <c r="AS77" s="17"/>
      <c r="AT77" s="17"/>
      <c r="AU77" s="17"/>
      <c r="AV77" s="17"/>
      <c r="AW77" s="17"/>
      <c r="AX77" s="17"/>
      <c r="AY77" s="17"/>
      <c r="AZ77" s="17"/>
      <c r="BA77" s="17"/>
      <c r="BB77" s="17"/>
      <c r="BC77" s="17"/>
      <c r="BD77" s="17"/>
      <c r="BE77" s="17"/>
      <c r="BF77" s="17"/>
      <c r="BG77" s="17"/>
      <c r="BH77" s="17"/>
      <c r="BI77" s="17"/>
      <c r="BJ77" s="17"/>
      <c r="BK77" s="17"/>
      <c r="BL77" s="17"/>
      <c r="BM77" s="17"/>
      <c r="BN77" s="17"/>
      <c r="BO77" s="17"/>
      <c r="BP77" s="17"/>
      <c r="BQ77" s="17"/>
      <c r="BR77" s="17"/>
      <c r="BS77" s="17"/>
      <c r="BT77" s="17"/>
      <c r="BU77" s="17"/>
      <c r="BV77" s="17"/>
      <c r="BW77" s="17"/>
      <c r="BX77" s="17"/>
      <c r="BY77" s="17"/>
      <c r="BZ77" s="17"/>
      <c r="CA77" s="17"/>
      <c r="CB77" s="17"/>
      <c r="CC77" s="17"/>
      <c r="CD77" s="17"/>
      <c r="CE77" s="17"/>
      <c r="CF77" s="17"/>
      <c r="CG77" s="17"/>
      <c r="CH77" s="17"/>
      <c r="CI77" s="17"/>
      <c r="CJ77" s="17"/>
      <c r="CK77" s="17"/>
      <c r="CL77" s="17"/>
      <c r="CM77" s="17"/>
      <c r="CN77" s="17"/>
      <c r="CO77" s="17"/>
      <c r="CP77" s="17"/>
      <c r="CQ77" s="17"/>
      <c r="CR77" s="17"/>
      <c r="CS77" s="17"/>
      <c r="CT77" s="17"/>
      <c r="CU77" s="17"/>
      <c r="CV77" s="17"/>
    </row>
    <row r="78" spans="2:100" x14ac:dyDescent="0.35">
      <c r="B78" s="9"/>
      <c r="C78" t="s">
        <v>230</v>
      </c>
      <c r="D78" t="s">
        <v>350</v>
      </c>
      <c r="E78" t="s">
        <v>219</v>
      </c>
      <c r="F78" s="17">
        <v>0</v>
      </c>
      <c r="G78" s="17">
        <v>51.617626979780397</v>
      </c>
      <c r="H78" s="17">
        <v>40.376344841692003</v>
      </c>
      <c r="I78" s="17">
        <v>27.816324094274101</v>
      </c>
      <c r="J78" s="17">
        <v>26.948325751262701</v>
      </c>
      <c r="K78" s="17">
        <v>25.109563293215299</v>
      </c>
      <c r="L78" s="17">
        <v>25.2280933785452</v>
      </c>
      <c r="M78" s="17">
        <v>23.674739164038701</v>
      </c>
      <c r="N78" s="17">
        <v>23.250774202559398</v>
      </c>
      <c r="O78" s="17">
        <v>26.442739464498398</v>
      </c>
      <c r="P78" s="17">
        <v>25.214293075114899</v>
      </c>
      <c r="Q78" s="17">
        <v>24.8435235300378</v>
      </c>
      <c r="R78" s="17">
        <v>25.7333871532004</v>
      </c>
      <c r="S78" s="17">
        <v>25.9231021496389</v>
      </c>
      <c r="T78" s="17">
        <v>25.448668402488099</v>
      </c>
      <c r="U78" s="17">
        <v>24.792699551091101</v>
      </c>
      <c r="V78" s="17">
        <v>25.450287665948899</v>
      </c>
      <c r="W78" s="17">
        <v>24.776486022761102</v>
      </c>
      <c r="X78" s="17">
        <v>24.7190178401945</v>
      </c>
      <c r="Y78" s="17">
        <v>24.883827519920001</v>
      </c>
      <c r="Z78" s="17">
        <v>26.188473313709999</v>
      </c>
      <c r="AA78" s="17">
        <v>26.7119028391261</v>
      </c>
      <c r="AB78" s="17">
        <v>26.490095085580801</v>
      </c>
      <c r="AC78" s="17">
        <v>26.324407869528201</v>
      </c>
      <c r="AD78" s="17">
        <v>25.789727074774898</v>
      </c>
      <c r="AE78" s="17">
        <v>26.0610947370815</v>
      </c>
      <c r="AF78" s="17">
        <v>25.8972984028767</v>
      </c>
      <c r="AG78" s="17">
        <v>25.892555527965701</v>
      </c>
      <c r="AH78" s="17">
        <v>25.451133861692998</v>
      </c>
      <c r="AI78" s="17">
        <v>25.1730488677394</v>
      </c>
      <c r="AJ78" s="17">
        <v>25.0401230079</v>
      </c>
      <c r="AK78" s="17">
        <v>24.7485720100692</v>
      </c>
      <c r="AL78" s="17">
        <v>24.687395191834401</v>
      </c>
      <c r="AM78" s="17">
        <v>25.0259779580554</v>
      </c>
      <c r="AN78" s="17">
        <v>25.0260510860826</v>
      </c>
      <c r="AO78" s="17"/>
      <c r="AP78" s="17"/>
      <c r="AQ78" s="17"/>
      <c r="AR78" s="17"/>
      <c r="AS78" s="17"/>
      <c r="AT78" s="17"/>
      <c r="AU78" s="17"/>
      <c r="AV78" s="17"/>
      <c r="AW78" s="17"/>
      <c r="AX78" s="17"/>
      <c r="AY78" s="17"/>
      <c r="AZ78" s="17"/>
      <c r="BA78" s="17"/>
      <c r="BB78" s="17"/>
      <c r="BC78" s="17"/>
      <c r="BD78" s="17"/>
      <c r="BE78" s="17"/>
      <c r="BF78" s="17"/>
      <c r="BG78" s="17"/>
      <c r="BH78" s="17"/>
      <c r="BI78" s="17"/>
      <c r="BJ78" s="17"/>
      <c r="BK78" s="17"/>
      <c r="BL78" s="17"/>
      <c r="BM78" s="17"/>
      <c r="BN78" s="17"/>
      <c r="BO78" s="17"/>
      <c r="BP78" s="17"/>
      <c r="BQ78" s="17"/>
      <c r="BR78" s="17"/>
      <c r="BS78" s="17"/>
      <c r="BT78" s="17"/>
      <c r="BU78" s="17"/>
      <c r="BV78" s="17"/>
      <c r="BW78" s="17"/>
      <c r="BX78" s="17"/>
      <c r="BY78" s="17"/>
      <c r="BZ78" s="17"/>
      <c r="CA78" s="17"/>
      <c r="CB78" s="17"/>
      <c r="CC78" s="17"/>
      <c r="CD78" s="17"/>
      <c r="CE78" s="17"/>
      <c r="CF78" s="17"/>
      <c r="CG78" s="17"/>
      <c r="CH78" s="17"/>
      <c r="CI78" s="17"/>
      <c r="CJ78" s="17"/>
      <c r="CK78" s="17"/>
      <c r="CL78" s="17"/>
      <c r="CM78" s="17"/>
      <c r="CN78" s="17"/>
      <c r="CO78" s="17"/>
      <c r="CP78" s="17"/>
      <c r="CQ78" s="17"/>
      <c r="CR78" s="17"/>
      <c r="CS78" s="17"/>
      <c r="CT78" s="17"/>
      <c r="CU78" s="17"/>
      <c r="CV78" s="17"/>
    </row>
    <row r="79" spans="2:100" x14ac:dyDescent="0.35">
      <c r="B79" s="9"/>
      <c r="D79" t="s">
        <v>351</v>
      </c>
      <c r="E79" t="s">
        <v>219</v>
      </c>
      <c r="F79" s="17">
        <v>0</v>
      </c>
      <c r="G79" s="17">
        <v>-22.100167374765199</v>
      </c>
      <c r="H79" s="17">
        <v>-20.793212824685899</v>
      </c>
      <c r="I79" s="17">
        <v>-20.313848159125399</v>
      </c>
      <c r="J79" s="17">
        <v>-19.655727254354701</v>
      </c>
      <c r="K79" s="17">
        <v>-19.104195672748101</v>
      </c>
      <c r="L79" s="17">
        <v>-18.659169839417501</v>
      </c>
      <c r="M79" s="17">
        <v>-17.538858908631699</v>
      </c>
      <c r="N79" s="17">
        <v>-17.205896553648898</v>
      </c>
      <c r="O79" s="17">
        <v>-16.389317660663401</v>
      </c>
      <c r="P79" s="17">
        <v>-15.811334626910201</v>
      </c>
      <c r="Q79" s="17">
        <v>-16.3619155441624</v>
      </c>
      <c r="R79" s="17">
        <v>-15.5703673302224</v>
      </c>
      <c r="S79" s="17">
        <v>-15.5980515119714</v>
      </c>
      <c r="T79" s="17">
        <v>-14.8834444295716</v>
      </c>
      <c r="U79" s="17">
        <v>-14.745827929126399</v>
      </c>
      <c r="V79" s="17">
        <v>-15.1370524281146</v>
      </c>
      <c r="W79" s="17">
        <v>-14.5121838820258</v>
      </c>
      <c r="X79" s="17">
        <v>-19.088629849802501</v>
      </c>
      <c r="Y79" s="17">
        <v>-19.249480169194701</v>
      </c>
      <c r="Z79" s="17">
        <v>-18.457911061532698</v>
      </c>
      <c r="AA79" s="17">
        <v>-19.208967242091799</v>
      </c>
      <c r="AB79" s="17">
        <v>-20.1382050845043</v>
      </c>
      <c r="AC79" s="17">
        <v>-19.501636054053598</v>
      </c>
      <c r="AD79" s="17">
        <v>-19.592137211220201</v>
      </c>
      <c r="AE79" s="17">
        <v>-19.5837797223904</v>
      </c>
      <c r="AF79" s="17">
        <v>-19.718314398829499</v>
      </c>
      <c r="AG79" s="17">
        <v>-18.816207054531102</v>
      </c>
      <c r="AH79" s="17">
        <v>-18.585937343545599</v>
      </c>
      <c r="AI79" s="17">
        <v>-18.139083309533401</v>
      </c>
      <c r="AJ79" s="17">
        <v>-18.237179334674199</v>
      </c>
      <c r="AK79" s="17">
        <v>-17.550120624830001</v>
      </c>
      <c r="AL79" s="17">
        <v>-16.4223610821245</v>
      </c>
      <c r="AM79" s="17">
        <v>-15.7944838400569</v>
      </c>
      <c r="AN79" s="17">
        <v>-15.2771657283477</v>
      </c>
      <c r="AO79" s="17"/>
      <c r="AP79" s="17"/>
      <c r="AQ79" s="17"/>
      <c r="AR79" s="17"/>
      <c r="AS79" s="17"/>
      <c r="AT79" s="17"/>
      <c r="AU79" s="17"/>
      <c r="AV79" s="17"/>
      <c r="AW79" s="17"/>
      <c r="AX79" s="17"/>
      <c r="AY79" s="17"/>
      <c r="AZ79" s="17"/>
      <c r="BA79" s="17"/>
      <c r="BB79" s="17"/>
      <c r="BC79" s="17"/>
      <c r="BD79" s="17"/>
      <c r="BE79" s="17"/>
      <c r="BF79" s="17"/>
      <c r="BG79" s="17"/>
      <c r="BH79" s="17"/>
      <c r="BI79" s="17"/>
      <c r="BJ79" s="17"/>
      <c r="BK79" s="17"/>
      <c r="BL79" s="17"/>
      <c r="BM79" s="17"/>
      <c r="BN79" s="17"/>
      <c r="BO79" s="17"/>
      <c r="BP79" s="17"/>
      <c r="BQ79" s="17"/>
      <c r="BR79" s="17"/>
      <c r="BS79" s="17"/>
      <c r="BT79" s="17"/>
      <c r="BU79" s="17"/>
      <c r="BV79" s="17"/>
      <c r="BW79" s="17"/>
      <c r="BX79" s="17"/>
      <c r="BY79" s="17"/>
      <c r="BZ79" s="17"/>
      <c r="CA79" s="17"/>
      <c r="CB79" s="17"/>
      <c r="CC79" s="17"/>
      <c r="CD79" s="17"/>
      <c r="CE79" s="17"/>
      <c r="CF79" s="17"/>
      <c r="CG79" s="17"/>
      <c r="CH79" s="17"/>
      <c r="CI79" s="17"/>
      <c r="CJ79" s="17"/>
      <c r="CK79" s="17"/>
      <c r="CL79" s="17"/>
      <c r="CM79" s="17"/>
      <c r="CN79" s="17"/>
      <c r="CO79" s="17"/>
      <c r="CP79" s="17"/>
      <c r="CQ79" s="17"/>
      <c r="CR79" s="17"/>
      <c r="CS79" s="17"/>
      <c r="CT79" s="17"/>
      <c r="CU79" s="17"/>
      <c r="CV79" s="17"/>
    </row>
    <row r="80" spans="2:100" x14ac:dyDescent="0.35">
      <c r="B80" s="9"/>
      <c r="C80" t="s">
        <v>230</v>
      </c>
      <c r="D80" t="s">
        <v>352</v>
      </c>
      <c r="E80" t="s">
        <v>219</v>
      </c>
      <c r="F80" s="17">
        <v>0</v>
      </c>
      <c r="G80" s="17">
        <v>146.22802559492101</v>
      </c>
      <c r="H80" s="17">
        <v>120.929541266706</v>
      </c>
      <c r="I80" s="17">
        <v>89.610144388800705</v>
      </c>
      <c r="J80" s="17">
        <v>74.559654651241601</v>
      </c>
      <c r="K80" s="17">
        <v>71.666500955554298</v>
      </c>
      <c r="L80" s="17">
        <v>77.990069516358503</v>
      </c>
      <c r="M80" s="17">
        <v>68.329501921833497</v>
      </c>
      <c r="N80" s="17">
        <v>64.026951756734405</v>
      </c>
      <c r="O80" s="17">
        <v>64.566260510927194</v>
      </c>
      <c r="P80" s="17">
        <v>58.398109901775797</v>
      </c>
      <c r="Q80" s="17">
        <v>56.745520954275399</v>
      </c>
      <c r="R80" s="17">
        <v>54.200613371268503</v>
      </c>
      <c r="S80" s="17">
        <v>54.737790965809701</v>
      </c>
      <c r="T80" s="17">
        <v>55.321488432550296</v>
      </c>
      <c r="U80" s="17">
        <v>53.878505304903499</v>
      </c>
      <c r="V80" s="17">
        <v>52.728274564106698</v>
      </c>
      <c r="W80" s="17">
        <v>50.254384742431803</v>
      </c>
      <c r="X80" s="17">
        <v>66.518120686565098</v>
      </c>
      <c r="Y80" s="17">
        <v>64.232587769393902</v>
      </c>
      <c r="Z80" s="17">
        <v>65.9816012442692</v>
      </c>
      <c r="AA80" s="17">
        <v>64.483604946399595</v>
      </c>
      <c r="AB80" s="17">
        <v>64.950266228938602</v>
      </c>
      <c r="AC80" s="17">
        <v>63.231412841878097</v>
      </c>
      <c r="AD80" s="17">
        <v>62.139068158089401</v>
      </c>
      <c r="AE80" s="17">
        <v>61.569630656664799</v>
      </c>
      <c r="AF80" s="17">
        <v>60.568633325786699</v>
      </c>
      <c r="AG80" s="17">
        <v>59.925764838130497</v>
      </c>
      <c r="AH80" s="17">
        <v>57.939806108066698</v>
      </c>
      <c r="AI80" s="17">
        <v>57.705096481140302</v>
      </c>
      <c r="AJ80" s="17">
        <v>57.857965398700003</v>
      </c>
      <c r="AK80" s="17">
        <v>54.8880899555542</v>
      </c>
      <c r="AL80" s="17">
        <v>54.969773962005398</v>
      </c>
      <c r="AM80" s="17">
        <v>54.887275100393303</v>
      </c>
      <c r="AN80" s="17">
        <v>53.099911198649799</v>
      </c>
      <c r="AO80" s="17"/>
      <c r="AP80" s="17"/>
      <c r="AQ80" s="17"/>
      <c r="AR80" s="17"/>
      <c r="AS80" s="17"/>
      <c r="AT80" s="17"/>
      <c r="AU80" s="17"/>
      <c r="AV80" s="17"/>
      <c r="AW80" s="17"/>
      <c r="AX80" s="17"/>
      <c r="AY80" s="17"/>
      <c r="AZ80" s="17"/>
      <c r="BA80" s="17"/>
      <c r="BB80" s="17"/>
      <c r="BC80" s="17"/>
      <c r="BD80" s="17"/>
      <c r="BE80" s="17"/>
      <c r="BF80" s="17"/>
      <c r="BG80" s="17"/>
      <c r="BH80" s="17"/>
      <c r="BI80" s="17"/>
      <c r="BJ80" s="17"/>
      <c r="BK80" s="17"/>
      <c r="BL80" s="17"/>
      <c r="BM80" s="17"/>
      <c r="BN80" s="17"/>
      <c r="BO80" s="17"/>
      <c r="BP80" s="17"/>
      <c r="BQ80" s="17"/>
      <c r="BR80" s="17"/>
      <c r="BS80" s="17"/>
      <c r="BT80" s="17"/>
      <c r="BU80" s="17"/>
      <c r="BV80" s="17"/>
      <c r="BW80" s="17"/>
      <c r="BX80" s="17"/>
      <c r="BY80" s="17"/>
      <c r="BZ80" s="17"/>
      <c r="CA80" s="17"/>
      <c r="CB80" s="17"/>
      <c r="CC80" s="17"/>
      <c r="CD80" s="17"/>
      <c r="CE80" s="17"/>
      <c r="CF80" s="17"/>
      <c r="CG80" s="17"/>
      <c r="CH80" s="17"/>
      <c r="CI80" s="17"/>
      <c r="CJ80" s="17"/>
      <c r="CK80" s="17"/>
      <c r="CL80" s="17"/>
      <c r="CM80" s="17"/>
      <c r="CN80" s="17"/>
      <c r="CO80" s="17"/>
      <c r="CP80" s="17"/>
      <c r="CQ80" s="17"/>
      <c r="CR80" s="17"/>
      <c r="CS80" s="17"/>
      <c r="CT80" s="17"/>
      <c r="CU80" s="17"/>
      <c r="CV80" s="17"/>
    </row>
    <row r="81" spans="1:100" x14ac:dyDescent="0.35">
      <c r="B81" s="9"/>
      <c r="C81" t="s">
        <v>230</v>
      </c>
      <c r="D81" t="s">
        <v>354</v>
      </c>
      <c r="E81" t="s">
        <v>124</v>
      </c>
      <c r="F81" s="17">
        <v>0</v>
      </c>
      <c r="G81" s="17">
        <v>1</v>
      </c>
      <c r="H81" s="17">
        <v>1</v>
      </c>
      <c r="I81" s="17">
        <v>1</v>
      </c>
      <c r="J81" s="17">
        <v>1</v>
      </c>
      <c r="K81" s="17">
        <v>1</v>
      </c>
      <c r="L81" s="17">
        <v>1</v>
      </c>
      <c r="M81" s="17">
        <v>1</v>
      </c>
      <c r="N81" s="17">
        <v>1</v>
      </c>
      <c r="O81" s="17">
        <v>1</v>
      </c>
      <c r="P81" s="17">
        <v>1</v>
      </c>
      <c r="Q81" s="17">
        <v>1</v>
      </c>
      <c r="R81" s="17">
        <v>1</v>
      </c>
      <c r="S81" s="17">
        <v>1</v>
      </c>
      <c r="T81" s="17">
        <v>1</v>
      </c>
      <c r="U81" s="17">
        <v>1</v>
      </c>
      <c r="V81" s="17">
        <v>1</v>
      </c>
      <c r="W81" s="17">
        <v>1</v>
      </c>
      <c r="X81" s="17">
        <v>1</v>
      </c>
      <c r="Y81" s="17">
        <v>1</v>
      </c>
      <c r="Z81" s="17">
        <v>1</v>
      </c>
      <c r="AA81" s="17">
        <v>1</v>
      </c>
      <c r="AB81" s="17">
        <v>1</v>
      </c>
      <c r="AC81" s="17">
        <v>1</v>
      </c>
      <c r="AD81" s="17">
        <v>1</v>
      </c>
      <c r="AE81" s="17">
        <v>1</v>
      </c>
      <c r="AF81" s="17">
        <v>1</v>
      </c>
      <c r="AG81" s="17">
        <v>1</v>
      </c>
      <c r="AH81" s="17">
        <v>1</v>
      </c>
      <c r="AI81" s="17">
        <v>1</v>
      </c>
      <c r="AJ81" s="17">
        <v>1</v>
      </c>
      <c r="AK81" s="17">
        <v>1</v>
      </c>
      <c r="AL81" s="17">
        <v>1</v>
      </c>
      <c r="AM81" s="17">
        <v>1</v>
      </c>
      <c r="AN81" s="17">
        <v>1</v>
      </c>
      <c r="AO81" s="17"/>
      <c r="AP81" s="17"/>
      <c r="AQ81" s="17"/>
      <c r="AR81" s="17"/>
      <c r="AS81" s="17"/>
      <c r="AT81" s="17"/>
      <c r="AU81" s="17"/>
      <c r="AV81" s="17"/>
      <c r="AW81" s="17"/>
      <c r="AX81" s="17"/>
      <c r="AY81" s="17"/>
      <c r="AZ81" s="17"/>
      <c r="BA81" s="17"/>
      <c r="BB81" s="17"/>
      <c r="BC81" s="17"/>
      <c r="BD81" s="17"/>
      <c r="BE81" s="17"/>
      <c r="BF81" s="17"/>
      <c r="BG81" s="17"/>
      <c r="BH81" s="17"/>
      <c r="BI81" s="17"/>
      <c r="BJ81" s="17"/>
      <c r="BK81" s="17"/>
      <c r="BL81" s="17"/>
      <c r="BM81" s="17"/>
      <c r="BN81" s="17"/>
      <c r="BO81" s="17"/>
      <c r="BP81" s="17"/>
      <c r="BQ81" s="17"/>
      <c r="BR81" s="17"/>
      <c r="BS81" s="17"/>
      <c r="BT81" s="17"/>
      <c r="BU81" s="17"/>
      <c r="BV81" s="17"/>
      <c r="BW81" s="17"/>
      <c r="BX81" s="17"/>
      <c r="BY81" s="17"/>
      <c r="BZ81" s="17"/>
      <c r="CA81" s="17"/>
      <c r="CB81" s="17"/>
      <c r="CC81" s="17"/>
      <c r="CD81" s="17"/>
      <c r="CE81" s="17"/>
      <c r="CF81" s="17"/>
      <c r="CG81" s="17"/>
      <c r="CH81" s="17"/>
      <c r="CI81" s="17"/>
      <c r="CJ81" s="17"/>
      <c r="CK81" s="17"/>
      <c r="CL81" s="17"/>
      <c r="CM81" s="17"/>
      <c r="CN81" s="17"/>
      <c r="CO81" s="17"/>
      <c r="CP81" s="17"/>
      <c r="CQ81" s="17"/>
      <c r="CR81" s="17"/>
      <c r="CS81" s="17"/>
      <c r="CT81" s="17"/>
      <c r="CU81" s="17"/>
      <c r="CV81" s="17"/>
    </row>
    <row r="82" spans="1:100" x14ac:dyDescent="0.35">
      <c r="B82" s="9"/>
      <c r="C82" t="s">
        <v>338</v>
      </c>
      <c r="D82" t="s">
        <v>353</v>
      </c>
      <c r="E82" t="s">
        <v>221</v>
      </c>
      <c r="F82" s="17">
        <v>0</v>
      </c>
      <c r="G82" s="17">
        <v>0</v>
      </c>
      <c r="H82" s="17">
        <v>0</v>
      </c>
      <c r="I82" s="17">
        <v>0</v>
      </c>
      <c r="J82" s="17">
        <v>0</v>
      </c>
      <c r="K82" s="17">
        <v>0</v>
      </c>
      <c r="L82" s="17">
        <v>0</v>
      </c>
      <c r="M82" s="17">
        <v>0</v>
      </c>
      <c r="N82" s="17">
        <v>0</v>
      </c>
      <c r="O82" s="17">
        <v>0</v>
      </c>
      <c r="P82" s="17">
        <v>0</v>
      </c>
      <c r="Q82" s="17">
        <v>0</v>
      </c>
      <c r="R82" s="17">
        <v>0</v>
      </c>
      <c r="S82" s="17">
        <v>0</v>
      </c>
      <c r="T82" s="17">
        <v>0</v>
      </c>
      <c r="U82" s="17">
        <v>0</v>
      </c>
      <c r="V82" s="17">
        <v>0</v>
      </c>
      <c r="W82" s="17">
        <v>0</v>
      </c>
      <c r="X82" s="17">
        <v>0</v>
      </c>
      <c r="Y82" s="17">
        <v>0</v>
      </c>
      <c r="Z82" s="17">
        <v>0</v>
      </c>
      <c r="AA82" s="17">
        <v>0</v>
      </c>
      <c r="AB82" s="17">
        <v>0</v>
      </c>
      <c r="AC82" s="17">
        <v>0</v>
      </c>
      <c r="AD82" s="17">
        <v>0</v>
      </c>
      <c r="AE82" s="17">
        <v>0</v>
      </c>
      <c r="AF82" s="17">
        <v>0</v>
      </c>
      <c r="AG82" s="17">
        <v>0</v>
      </c>
      <c r="AH82" s="17">
        <v>0</v>
      </c>
      <c r="AI82" s="17">
        <v>0</v>
      </c>
      <c r="AJ82" s="17">
        <v>0</v>
      </c>
      <c r="AK82" s="17">
        <v>0</v>
      </c>
      <c r="AL82" s="17">
        <v>0</v>
      </c>
      <c r="AM82" s="17">
        <v>0</v>
      </c>
      <c r="AN82" s="17">
        <v>0</v>
      </c>
      <c r="AO82" s="17"/>
      <c r="AP82" s="17"/>
      <c r="AQ82" s="17"/>
      <c r="AR82" s="17"/>
      <c r="AS82" s="17"/>
      <c r="AT82" s="17"/>
      <c r="AU82" s="17"/>
      <c r="AV82" s="17"/>
      <c r="AW82" s="17"/>
      <c r="AX82" s="17"/>
      <c r="AY82" s="17"/>
      <c r="AZ82" s="17"/>
      <c r="BA82" s="17"/>
      <c r="BB82" s="17"/>
      <c r="BC82" s="17"/>
      <c r="BD82" s="17"/>
      <c r="BE82" s="17"/>
      <c r="BF82" s="17"/>
      <c r="BG82" s="17"/>
      <c r="BH82" s="17"/>
      <c r="BI82" s="17"/>
      <c r="BJ82" s="17"/>
      <c r="BK82" s="17"/>
      <c r="BL82" s="17"/>
      <c r="BM82" s="17"/>
      <c r="BN82" s="17"/>
      <c r="BO82" s="17"/>
      <c r="BP82" s="17"/>
      <c r="BQ82" s="17"/>
      <c r="BR82" s="17"/>
      <c r="BS82" s="17"/>
      <c r="BT82" s="17"/>
      <c r="BU82" s="17"/>
      <c r="BV82" s="17"/>
      <c r="BW82" s="17"/>
      <c r="BX82" s="17"/>
      <c r="BY82" s="17"/>
      <c r="BZ82" s="17"/>
      <c r="CA82" s="17"/>
      <c r="CB82" s="17"/>
      <c r="CC82" s="17"/>
      <c r="CD82" s="17"/>
      <c r="CE82" s="17"/>
      <c r="CF82" s="17"/>
      <c r="CG82" s="17"/>
      <c r="CH82" s="17"/>
      <c r="CI82" s="17"/>
      <c r="CJ82" s="17"/>
      <c r="CK82" s="17"/>
      <c r="CL82" s="17"/>
      <c r="CM82" s="17"/>
      <c r="CN82" s="17"/>
      <c r="CO82" s="17"/>
      <c r="CP82" s="17"/>
      <c r="CQ82" s="17"/>
      <c r="CR82" s="17"/>
      <c r="CS82" s="17"/>
      <c r="CT82" s="17"/>
      <c r="CU82" s="17"/>
      <c r="CV82" s="17"/>
    </row>
    <row r="83" spans="1:100" x14ac:dyDescent="0.35">
      <c r="B83" s="9"/>
      <c r="C83" t="s">
        <v>230</v>
      </c>
      <c r="D83" t="s">
        <v>358</v>
      </c>
      <c r="E83" t="s">
        <v>221</v>
      </c>
      <c r="F83" s="17">
        <v>0</v>
      </c>
      <c r="G83" s="17">
        <v>5.6787599999999996</v>
      </c>
      <c r="H83" s="17">
        <v>9.9772200000000009</v>
      </c>
      <c r="I83" s="17">
        <v>6.95784</v>
      </c>
      <c r="J83" s="17">
        <v>10.30335</v>
      </c>
      <c r="K83" s="17">
        <v>10.59817</v>
      </c>
      <c r="L83" s="17">
        <v>9.9269300000000005</v>
      </c>
      <c r="M83" s="17">
        <v>16.85989</v>
      </c>
      <c r="N83" s="17">
        <v>21.34646</v>
      </c>
      <c r="O83" s="17">
        <v>21.574190000000002</v>
      </c>
      <c r="P83" s="17">
        <v>22.034939999999999</v>
      </c>
      <c r="Q83" s="17">
        <v>18.039639999999999</v>
      </c>
      <c r="R83" s="17">
        <v>16.596779999999999</v>
      </c>
      <c r="S83" s="17">
        <v>17.71602</v>
      </c>
      <c r="T83" s="17">
        <v>15.505089999999999</v>
      </c>
      <c r="U83" s="17">
        <v>15.76582</v>
      </c>
      <c r="V83" s="17">
        <v>14.28721</v>
      </c>
      <c r="W83" s="17">
        <v>11.981009999999999</v>
      </c>
      <c r="X83" s="17">
        <v>21.112030000000001</v>
      </c>
      <c r="Y83" s="17">
        <v>21.649229999999999</v>
      </c>
      <c r="Z83" s="17">
        <v>21.426220000000001</v>
      </c>
      <c r="AA83" s="17">
        <v>19.681249999999999</v>
      </c>
      <c r="AB83" s="17">
        <v>14.059530000000001</v>
      </c>
      <c r="AC83" s="17">
        <v>12.834059999999999</v>
      </c>
      <c r="AD83" s="17">
        <v>13.20406</v>
      </c>
      <c r="AE83" s="17">
        <v>12.057829999999999</v>
      </c>
      <c r="AF83" s="17">
        <v>13.879110000000001</v>
      </c>
      <c r="AG83" s="17">
        <v>13.63227</v>
      </c>
      <c r="AH83" s="17">
        <v>13.02628</v>
      </c>
      <c r="AI83" s="17">
        <v>11.832789999999999</v>
      </c>
      <c r="AJ83" s="17">
        <v>12.323090000000001</v>
      </c>
      <c r="AK83" s="17">
        <v>12.17266</v>
      </c>
      <c r="AL83" s="17">
        <v>12.22822</v>
      </c>
      <c r="AM83" s="17">
        <v>12.69407</v>
      </c>
      <c r="AN83" s="17">
        <v>15.12237</v>
      </c>
      <c r="AO83" s="17"/>
      <c r="AP83" s="17"/>
      <c r="AQ83" s="17"/>
      <c r="AR83" s="17"/>
      <c r="AS83" s="17"/>
      <c r="AT83" s="17"/>
      <c r="AU83" s="17"/>
      <c r="AV83" s="17"/>
      <c r="AW83" s="17"/>
      <c r="AX83" s="17"/>
      <c r="AY83" s="17"/>
      <c r="AZ83" s="17"/>
      <c r="BA83" s="17"/>
      <c r="BB83" s="17"/>
      <c r="BC83" s="17"/>
      <c r="BD83" s="17"/>
      <c r="BE83" s="17"/>
      <c r="BF83" s="17"/>
      <c r="BG83" s="17"/>
      <c r="BH83" s="17"/>
      <c r="BI83" s="17"/>
      <c r="BJ83" s="17"/>
      <c r="BK83" s="17"/>
      <c r="BL83" s="17"/>
      <c r="BM83" s="17"/>
      <c r="BN83" s="17"/>
      <c r="BO83" s="17"/>
      <c r="BP83" s="17"/>
      <c r="BQ83" s="17"/>
      <c r="BR83" s="17"/>
      <c r="BS83" s="17"/>
      <c r="BT83" s="17"/>
      <c r="BU83" s="17"/>
      <c r="BV83" s="17"/>
      <c r="BW83" s="17"/>
      <c r="BX83" s="17"/>
      <c r="BY83" s="17"/>
      <c r="BZ83" s="17"/>
      <c r="CA83" s="17"/>
      <c r="CB83" s="17"/>
      <c r="CC83" s="17"/>
      <c r="CD83" s="17"/>
      <c r="CE83" s="17"/>
      <c r="CF83" s="17"/>
      <c r="CG83" s="17"/>
      <c r="CH83" s="17"/>
      <c r="CI83" s="17"/>
      <c r="CJ83" s="17"/>
      <c r="CK83" s="17"/>
      <c r="CL83" s="17"/>
      <c r="CM83" s="17"/>
      <c r="CN83" s="17"/>
      <c r="CO83" s="17"/>
      <c r="CP83" s="17"/>
      <c r="CQ83" s="17"/>
      <c r="CR83" s="17"/>
      <c r="CS83" s="17"/>
      <c r="CT83" s="17"/>
      <c r="CU83" s="17"/>
      <c r="CV83" s="17"/>
    </row>
    <row r="84" spans="1:100" x14ac:dyDescent="0.35">
      <c r="B84" s="9"/>
      <c r="C84" t="s">
        <v>230</v>
      </c>
      <c r="D84" t="s">
        <v>359</v>
      </c>
      <c r="E84" t="s">
        <v>221</v>
      </c>
      <c r="F84" s="17">
        <v>0</v>
      </c>
      <c r="G84" s="17">
        <v>1170.3988899999999</v>
      </c>
      <c r="H84" s="17">
        <v>1177.2355600000001</v>
      </c>
      <c r="I84" s="17">
        <v>1201.01505</v>
      </c>
      <c r="J84" s="17">
        <v>1217.4051999999999</v>
      </c>
      <c r="K84" s="17">
        <v>1219.7683999999999</v>
      </c>
      <c r="L84" s="17">
        <v>1236.5493200000001</v>
      </c>
      <c r="M84" s="17">
        <v>1216.9944700000001</v>
      </c>
      <c r="N84" s="17">
        <v>1221.67722</v>
      </c>
      <c r="O84" s="17">
        <v>1221.45397</v>
      </c>
      <c r="P84" s="17">
        <v>1226.20244</v>
      </c>
      <c r="Q84" s="17">
        <v>1266.7052799999999</v>
      </c>
      <c r="R84" s="17">
        <v>1268.9326900000001</v>
      </c>
      <c r="S84" s="17">
        <v>1285.5576100000001</v>
      </c>
      <c r="T84" s="17">
        <v>1283.6672100000001</v>
      </c>
      <c r="U84" s="17">
        <v>1299.11706</v>
      </c>
      <c r="V84" s="17">
        <v>1328.258</v>
      </c>
      <c r="W84" s="17">
        <v>1322.54783</v>
      </c>
      <c r="X84" s="17">
        <v>1068.95965</v>
      </c>
      <c r="Y84" s="17">
        <v>1125.99649</v>
      </c>
      <c r="Z84" s="17">
        <v>1140.0479700000001</v>
      </c>
      <c r="AA84" s="17">
        <v>1192.7982999999999</v>
      </c>
      <c r="AB84" s="17">
        <v>1243.04719</v>
      </c>
      <c r="AC84" s="17">
        <v>1256.76854</v>
      </c>
      <c r="AD84" s="17">
        <v>1277.88643</v>
      </c>
      <c r="AE84" s="17">
        <v>1302.35394</v>
      </c>
      <c r="AF84" s="17">
        <v>1322.86212</v>
      </c>
      <c r="AG84" s="17">
        <v>1318.4688900000001</v>
      </c>
      <c r="AH84" s="17">
        <v>1332.66128</v>
      </c>
      <c r="AI84" s="17">
        <v>1347.4358</v>
      </c>
      <c r="AJ84" s="17">
        <v>1362.70499</v>
      </c>
      <c r="AK84" s="17">
        <v>1365.35599</v>
      </c>
      <c r="AL84" s="17">
        <v>1354.2091600000001</v>
      </c>
      <c r="AM84" s="17">
        <v>1351.4215799999999</v>
      </c>
      <c r="AN84" s="17">
        <v>1364.3469299999999</v>
      </c>
      <c r="AO84" s="17"/>
      <c r="AP84" s="17"/>
      <c r="AQ84" s="17"/>
      <c r="AR84" s="17"/>
      <c r="AS84" s="17"/>
      <c r="AT84" s="17"/>
      <c r="AU84" s="17"/>
      <c r="AV84" s="17"/>
      <c r="AW84" s="17"/>
      <c r="AX84" s="17"/>
      <c r="AY84" s="17"/>
      <c r="AZ84" s="17"/>
      <c r="BA84" s="17"/>
      <c r="BB84" s="17"/>
      <c r="BC84" s="17"/>
      <c r="BD84" s="17"/>
      <c r="BE84" s="17"/>
      <c r="BF84" s="17"/>
      <c r="BG84" s="17"/>
      <c r="BH84" s="17"/>
      <c r="BI84" s="17"/>
      <c r="BJ84" s="17"/>
      <c r="BK84" s="17"/>
      <c r="BL84" s="17"/>
      <c r="BM84" s="17"/>
      <c r="BN84" s="17"/>
      <c r="BO84" s="17"/>
      <c r="BP84" s="17"/>
      <c r="BQ84" s="17"/>
      <c r="BR84" s="17"/>
      <c r="BS84" s="17"/>
      <c r="BT84" s="17"/>
      <c r="BU84" s="17"/>
      <c r="BV84" s="17"/>
      <c r="BW84" s="17"/>
      <c r="BX84" s="17"/>
      <c r="BY84" s="17"/>
      <c r="BZ84" s="17"/>
      <c r="CA84" s="17"/>
      <c r="CB84" s="17"/>
      <c r="CC84" s="17"/>
      <c r="CD84" s="17"/>
      <c r="CE84" s="17"/>
      <c r="CF84" s="17"/>
      <c r="CG84" s="17"/>
      <c r="CH84" s="17"/>
      <c r="CI84" s="17"/>
      <c r="CJ84" s="17"/>
      <c r="CK84" s="17"/>
      <c r="CL84" s="17"/>
      <c r="CM84" s="17"/>
      <c r="CN84" s="17"/>
      <c r="CO84" s="17"/>
      <c r="CP84" s="17"/>
      <c r="CQ84" s="17"/>
      <c r="CR84" s="17"/>
      <c r="CS84" s="17"/>
      <c r="CT84" s="17"/>
      <c r="CU84" s="17"/>
      <c r="CV84" s="17"/>
    </row>
    <row r="85" spans="1:100" x14ac:dyDescent="0.35">
      <c r="B85" s="9"/>
      <c r="C85" t="s">
        <v>230</v>
      </c>
      <c r="D85" t="s">
        <v>360</v>
      </c>
      <c r="E85" t="s">
        <v>221</v>
      </c>
      <c r="F85" s="17">
        <v>0</v>
      </c>
      <c r="G85" s="17">
        <v>650.42989999999998</v>
      </c>
      <c r="H85" s="17">
        <v>639.81939999999997</v>
      </c>
      <c r="I85" s="17">
        <v>617.58729000000005</v>
      </c>
      <c r="J85" s="17">
        <v>597.34502999999995</v>
      </c>
      <c r="K85" s="17">
        <v>594.61374999999998</v>
      </c>
      <c r="L85" s="17">
        <v>578.72148000000004</v>
      </c>
      <c r="M85" s="17">
        <v>591.21184000000005</v>
      </c>
      <c r="N85" s="17">
        <v>581.89769999999999</v>
      </c>
      <c r="O85" s="17">
        <v>581.90030000000002</v>
      </c>
      <c r="P85" s="17">
        <v>577.28048000000001</v>
      </c>
      <c r="Q85" s="17">
        <v>538.78369999999995</v>
      </c>
      <c r="R85" s="17">
        <v>537.93051000000003</v>
      </c>
      <c r="S85" s="17">
        <v>519.67227000000003</v>
      </c>
      <c r="T85" s="17">
        <v>524.56808000000001</v>
      </c>
      <c r="U85" s="17">
        <v>507.64389999999997</v>
      </c>
      <c r="V85" s="17">
        <v>479.07997</v>
      </c>
      <c r="W85" s="17">
        <v>487.27325999999999</v>
      </c>
      <c r="X85" s="17">
        <v>740.30918999999994</v>
      </c>
      <c r="Y85" s="17">
        <v>680.23478999999998</v>
      </c>
      <c r="Z85" s="17">
        <v>665.97215000000006</v>
      </c>
      <c r="AA85" s="17">
        <v>613.33527000000004</v>
      </c>
      <c r="AB85" s="17">
        <v>567.89018999999996</v>
      </c>
      <c r="AC85" s="17">
        <v>554.23329999999999</v>
      </c>
      <c r="AD85" s="17">
        <v>532.09253000000001</v>
      </c>
      <c r="AE85" s="17">
        <v>508.01450999999997</v>
      </c>
      <c r="AF85" s="17">
        <v>485.78710000000001</v>
      </c>
      <c r="AG85" s="17">
        <v>489.82706999999999</v>
      </c>
      <c r="AH85" s="17">
        <v>475.80144000000001</v>
      </c>
      <c r="AI85" s="17">
        <v>461.76350000000002</v>
      </c>
      <c r="AJ85" s="17">
        <v>446.26794000000001</v>
      </c>
      <c r="AK85" s="17">
        <v>442.94922000000003</v>
      </c>
      <c r="AL85" s="17">
        <v>454.38544999999999</v>
      </c>
      <c r="AM85" s="17">
        <v>456.79347999999999</v>
      </c>
      <c r="AN85" s="17">
        <v>441.77614</v>
      </c>
      <c r="AO85" s="17"/>
      <c r="AP85" s="17"/>
      <c r="AQ85" s="17"/>
      <c r="AR85" s="17"/>
      <c r="AS85" s="17"/>
      <c r="AT85" s="17"/>
      <c r="AU85" s="17"/>
      <c r="AV85" s="17"/>
      <c r="AW85" s="17"/>
      <c r="AX85" s="17"/>
      <c r="AY85" s="17"/>
      <c r="AZ85" s="17"/>
      <c r="BA85" s="17"/>
      <c r="BB85" s="17"/>
      <c r="BC85" s="17"/>
      <c r="BD85" s="17"/>
      <c r="BE85" s="17"/>
      <c r="BF85" s="17"/>
      <c r="BG85" s="17"/>
      <c r="BH85" s="17"/>
      <c r="BI85" s="17"/>
      <c r="BJ85" s="17"/>
      <c r="BK85" s="17"/>
      <c r="BL85" s="17"/>
      <c r="BM85" s="17"/>
      <c r="BN85" s="17"/>
      <c r="BO85" s="17"/>
      <c r="BP85" s="17"/>
      <c r="BQ85" s="17"/>
      <c r="BR85" s="17"/>
      <c r="BS85" s="17"/>
      <c r="BT85" s="17"/>
      <c r="BU85" s="17"/>
      <c r="BV85" s="17"/>
      <c r="BW85" s="17"/>
      <c r="BX85" s="17"/>
      <c r="BY85" s="17"/>
      <c r="BZ85" s="17"/>
      <c r="CA85" s="17"/>
      <c r="CB85" s="17"/>
      <c r="CC85" s="17"/>
      <c r="CD85" s="17"/>
      <c r="CE85" s="17"/>
      <c r="CF85" s="17"/>
      <c r="CG85" s="17"/>
      <c r="CH85" s="17"/>
      <c r="CI85" s="17"/>
      <c r="CJ85" s="17"/>
      <c r="CK85" s="17"/>
      <c r="CL85" s="17"/>
      <c r="CM85" s="17"/>
      <c r="CN85" s="17"/>
      <c r="CO85" s="17"/>
      <c r="CP85" s="17"/>
      <c r="CQ85" s="17"/>
      <c r="CR85" s="17"/>
      <c r="CS85" s="17"/>
      <c r="CT85" s="17"/>
      <c r="CU85" s="17"/>
      <c r="CV85" s="17"/>
    </row>
    <row r="86" spans="1:100" x14ac:dyDescent="0.35">
      <c r="B86" s="9"/>
      <c r="C86" t="s">
        <v>230</v>
      </c>
      <c r="D86" t="s">
        <v>361</v>
      </c>
      <c r="E86" t="s">
        <v>221</v>
      </c>
      <c r="F86" s="17">
        <v>0</v>
      </c>
      <c r="G86" s="17">
        <v>1862.7052100000001</v>
      </c>
      <c r="H86" s="17">
        <v>1863.4413999999999</v>
      </c>
      <c r="I86" s="17">
        <v>1862.7052100000001</v>
      </c>
      <c r="J86" s="17">
        <v>1862.7052100000001</v>
      </c>
      <c r="K86" s="17">
        <v>1862.7052100000001</v>
      </c>
      <c r="L86" s="17">
        <v>1863.4413999999999</v>
      </c>
      <c r="M86" s="17">
        <v>1862.7052100000001</v>
      </c>
      <c r="N86" s="17">
        <v>1862.7052100000001</v>
      </c>
      <c r="O86" s="17">
        <v>1862.7052100000001</v>
      </c>
      <c r="P86" s="17">
        <v>1863.4413999999999</v>
      </c>
      <c r="Q86" s="17">
        <v>1862.7052100000001</v>
      </c>
      <c r="R86" s="17">
        <v>1862.7052100000001</v>
      </c>
      <c r="S86" s="17">
        <v>1862.7052100000001</v>
      </c>
      <c r="T86" s="17">
        <v>1863.4413999999999</v>
      </c>
      <c r="U86" s="17">
        <v>1862.7052100000001</v>
      </c>
      <c r="V86" s="17">
        <v>1862.7052100000001</v>
      </c>
      <c r="W86" s="17">
        <v>1862.7052100000001</v>
      </c>
      <c r="X86" s="17">
        <v>1863.4413999999999</v>
      </c>
      <c r="Y86" s="17">
        <v>1862.7052100000001</v>
      </c>
      <c r="Z86" s="17">
        <v>1862.7052100000001</v>
      </c>
      <c r="AA86" s="17">
        <v>1862.7052100000001</v>
      </c>
      <c r="AB86" s="17">
        <v>1863.4413999999999</v>
      </c>
      <c r="AC86" s="17">
        <v>1862.7052100000001</v>
      </c>
      <c r="AD86" s="17">
        <v>1862.7052100000001</v>
      </c>
      <c r="AE86" s="17">
        <v>1862.7052100000001</v>
      </c>
      <c r="AF86" s="17">
        <v>1863.4413999999999</v>
      </c>
      <c r="AG86" s="17">
        <v>1862.7052100000001</v>
      </c>
      <c r="AH86" s="17">
        <v>1862.7052100000001</v>
      </c>
      <c r="AI86" s="17">
        <v>1862.7052100000001</v>
      </c>
      <c r="AJ86" s="17">
        <v>1863.4413999999999</v>
      </c>
      <c r="AK86" s="17">
        <v>1862.7052100000001</v>
      </c>
      <c r="AL86" s="17">
        <v>1862.7052100000001</v>
      </c>
      <c r="AM86" s="17">
        <v>1862.7052100000001</v>
      </c>
      <c r="AN86" s="17">
        <v>1863.4413999999999</v>
      </c>
      <c r="AO86" s="17"/>
      <c r="AP86" s="17"/>
      <c r="AQ86" s="17"/>
      <c r="AR86" s="17"/>
      <c r="AS86" s="17"/>
      <c r="AT86" s="17"/>
      <c r="AU86" s="17"/>
      <c r="AV86" s="17"/>
      <c r="AW86" s="17"/>
      <c r="AX86" s="17"/>
      <c r="AY86" s="17"/>
      <c r="AZ86" s="17"/>
      <c r="BA86" s="17"/>
      <c r="BB86" s="17"/>
      <c r="BC86" s="17"/>
      <c r="BD86" s="17"/>
      <c r="BE86" s="17"/>
      <c r="BF86" s="17"/>
      <c r="BG86" s="17"/>
      <c r="BH86" s="17"/>
      <c r="BI86" s="17"/>
      <c r="BJ86" s="17"/>
      <c r="BK86" s="17"/>
      <c r="BL86" s="17"/>
      <c r="BM86" s="17"/>
      <c r="BN86" s="17"/>
      <c r="BO86" s="17"/>
      <c r="BP86" s="17"/>
      <c r="BQ86" s="17"/>
      <c r="BR86" s="17"/>
      <c r="BS86" s="17"/>
      <c r="BT86" s="17"/>
      <c r="BU86" s="17"/>
      <c r="BV86" s="17"/>
      <c r="BW86" s="17"/>
      <c r="BX86" s="17"/>
      <c r="BY86" s="17"/>
      <c r="BZ86" s="17"/>
      <c r="CA86" s="17"/>
      <c r="CB86" s="17"/>
      <c r="CC86" s="17"/>
      <c r="CD86" s="17"/>
      <c r="CE86" s="17"/>
      <c r="CF86" s="17"/>
      <c r="CG86" s="17"/>
      <c r="CH86" s="17"/>
      <c r="CI86" s="17"/>
      <c r="CJ86" s="17"/>
      <c r="CK86" s="17"/>
      <c r="CL86" s="17"/>
      <c r="CM86" s="17"/>
      <c r="CN86" s="17"/>
      <c r="CO86" s="17"/>
      <c r="CP86" s="17"/>
      <c r="CQ86" s="17"/>
      <c r="CR86" s="17"/>
      <c r="CS86" s="17"/>
      <c r="CT86" s="17"/>
      <c r="CU86" s="17"/>
      <c r="CV86" s="17"/>
    </row>
    <row r="87" spans="1:100" x14ac:dyDescent="0.35">
      <c r="B87" s="9"/>
      <c r="C87" t="s">
        <v>339</v>
      </c>
      <c r="D87" t="s">
        <v>222</v>
      </c>
      <c r="E87" t="s">
        <v>223</v>
      </c>
      <c r="F87" s="17">
        <v>0</v>
      </c>
      <c r="G87" s="17">
        <v>94.578065580230501</v>
      </c>
      <c r="H87" s="17">
        <v>85.123478744779106</v>
      </c>
      <c r="I87" s="17">
        <v>82.645723584520496</v>
      </c>
      <c r="J87" s="17">
        <v>74.076497775124594</v>
      </c>
      <c r="K87" s="17">
        <v>75.008786100959895</v>
      </c>
      <c r="L87" s="17">
        <v>69.7680555804005</v>
      </c>
      <c r="M87" s="17">
        <v>68.308294793927601</v>
      </c>
      <c r="N87" s="17">
        <v>62.307659601510302</v>
      </c>
      <c r="O87" s="17">
        <v>60.810321455886097</v>
      </c>
      <c r="P87" s="17">
        <v>59.933589537047503</v>
      </c>
      <c r="Q87" s="17">
        <v>66.570950462830993</v>
      </c>
      <c r="R87" s="17">
        <v>66.470712831177494</v>
      </c>
      <c r="S87" s="17">
        <v>65.9911078878132</v>
      </c>
      <c r="T87" s="17">
        <v>62.664628843156997</v>
      </c>
      <c r="U87" s="17">
        <v>60.735678633774199</v>
      </c>
      <c r="V87" s="17">
        <v>62.787922697120003</v>
      </c>
      <c r="W87" s="17">
        <v>61.623985674642199</v>
      </c>
      <c r="X87" s="17">
        <v>47.692992012707997</v>
      </c>
      <c r="Y87" s="17">
        <v>53.310331873664403</v>
      </c>
      <c r="Z87" s="17">
        <v>54.270596893357798</v>
      </c>
      <c r="AA87" s="17">
        <v>58.209993275076002</v>
      </c>
      <c r="AB87" s="17">
        <v>59.043819935634197</v>
      </c>
      <c r="AC87" s="17">
        <v>59.430332900294601</v>
      </c>
      <c r="AD87" s="17">
        <v>59.555559423549497</v>
      </c>
      <c r="AE87" s="17">
        <v>60.5283920170708</v>
      </c>
      <c r="AF87" s="17">
        <v>60.639557065369402</v>
      </c>
      <c r="AG87" s="17">
        <v>59.502029707593998</v>
      </c>
      <c r="AH87" s="17">
        <v>59.435128009510699</v>
      </c>
      <c r="AI87" s="17">
        <v>59.540150303519397</v>
      </c>
      <c r="AJ87" s="17">
        <v>59.079589987826203</v>
      </c>
      <c r="AK87" s="17">
        <v>59.0489597912646</v>
      </c>
      <c r="AL87" s="17">
        <v>57.341681526233501</v>
      </c>
      <c r="AM87" s="17">
        <v>57.481460526913402</v>
      </c>
      <c r="AN87" s="17">
        <v>57.461224957084099</v>
      </c>
      <c r="AO87" s="17"/>
      <c r="AP87" s="17"/>
      <c r="AQ87" s="17"/>
      <c r="AR87" s="17"/>
      <c r="AS87" s="17"/>
      <c r="AT87" s="17"/>
      <c r="AU87" s="17"/>
      <c r="AV87" s="17"/>
      <c r="AW87" s="17"/>
      <c r="AX87" s="17"/>
      <c r="AY87" s="17"/>
      <c r="AZ87" s="17"/>
      <c r="BA87" s="17"/>
      <c r="BB87" s="17"/>
      <c r="BC87" s="17"/>
      <c r="BD87" s="17"/>
      <c r="BE87" s="17"/>
      <c r="BF87" s="17"/>
      <c r="BG87" s="17"/>
      <c r="BH87" s="17"/>
      <c r="BI87" s="17"/>
      <c r="BJ87" s="17"/>
      <c r="BK87" s="17"/>
      <c r="BL87" s="17"/>
      <c r="BM87" s="17"/>
      <c r="BN87" s="17"/>
      <c r="BO87" s="17"/>
      <c r="BP87" s="17"/>
      <c r="BQ87" s="17"/>
      <c r="BR87" s="17"/>
      <c r="BS87" s="17"/>
      <c r="BT87" s="17"/>
      <c r="BU87" s="17"/>
      <c r="BV87" s="17"/>
      <c r="BW87" s="17"/>
      <c r="BX87" s="17"/>
      <c r="BY87" s="17"/>
      <c r="BZ87" s="17"/>
      <c r="CA87" s="17"/>
      <c r="CB87" s="17"/>
      <c r="CC87" s="17"/>
      <c r="CD87" s="17"/>
      <c r="CE87" s="17"/>
      <c r="CF87" s="17"/>
      <c r="CG87" s="17"/>
      <c r="CH87" s="17"/>
      <c r="CI87" s="17"/>
      <c r="CJ87" s="17"/>
      <c r="CK87" s="17"/>
      <c r="CL87" s="17"/>
      <c r="CM87" s="17"/>
      <c r="CN87" s="17"/>
      <c r="CO87" s="17"/>
      <c r="CP87" s="17"/>
      <c r="CQ87" s="17"/>
      <c r="CR87" s="17"/>
      <c r="CS87" s="17"/>
      <c r="CT87" s="17"/>
      <c r="CU87" s="17"/>
      <c r="CV87" s="17"/>
    </row>
    <row r="88" spans="1:100" x14ac:dyDescent="0.35">
      <c r="B88" s="9"/>
      <c r="C88" t="s">
        <v>230</v>
      </c>
      <c r="D88" t="s">
        <v>224</v>
      </c>
      <c r="E88" t="s">
        <v>223</v>
      </c>
      <c r="F88" s="17">
        <v>0</v>
      </c>
      <c r="G88" s="17">
        <v>2.20717101252994</v>
      </c>
      <c r="H88" s="17">
        <v>1.74135592573496</v>
      </c>
      <c r="I88" s="17">
        <v>1.2488491089895</v>
      </c>
      <c r="J88" s="17">
        <v>0.65916559087450599</v>
      </c>
      <c r="K88" s="17">
        <v>0.92523669463510905</v>
      </c>
      <c r="L88" s="17">
        <v>0.88341790990254399</v>
      </c>
      <c r="M88" s="17">
        <v>1.03033211667098</v>
      </c>
      <c r="N88" s="17">
        <v>0.99811399723175498</v>
      </c>
      <c r="O88" s="17">
        <v>0.62178672208282004</v>
      </c>
      <c r="P88" s="17">
        <v>0.73651414999514297</v>
      </c>
      <c r="Q88" s="17">
        <v>0.50872034507543795</v>
      </c>
      <c r="R88" s="17">
        <v>0.55084208877808705</v>
      </c>
      <c r="S88" s="17">
        <v>0.41877287154374099</v>
      </c>
      <c r="T88" s="17">
        <v>0.49262173221686201</v>
      </c>
      <c r="U88" s="17">
        <v>0.49463797639707302</v>
      </c>
      <c r="V88" s="17">
        <v>0.39978047817781498</v>
      </c>
      <c r="W88" s="17">
        <v>0.50554449932008005</v>
      </c>
      <c r="X88" s="17">
        <v>1.6927989156332901</v>
      </c>
      <c r="Y88" s="17">
        <v>1.51167123896749</v>
      </c>
      <c r="Z88" s="17">
        <v>1.39651548975263</v>
      </c>
      <c r="AA88" s="17">
        <v>0.89965233195460703</v>
      </c>
      <c r="AB88" s="17">
        <v>0.63087549118532604</v>
      </c>
      <c r="AC88" s="17">
        <v>0.55962789891050901</v>
      </c>
      <c r="AD88" s="17">
        <v>0.45448024256944802</v>
      </c>
      <c r="AE88" s="17">
        <v>0.46676575114938801</v>
      </c>
      <c r="AF88" s="17">
        <v>0.27591204685779902</v>
      </c>
      <c r="AG88" s="17">
        <v>0.275546406721491</v>
      </c>
      <c r="AH88" s="17">
        <v>0.25111119875509902</v>
      </c>
      <c r="AI88" s="17">
        <v>0.265506973264585</v>
      </c>
      <c r="AJ88" s="17">
        <v>0.26242514925856297</v>
      </c>
      <c r="AK88" s="17">
        <v>0.23877345586997301</v>
      </c>
      <c r="AL88" s="17">
        <v>0.43068229312633499</v>
      </c>
      <c r="AM88" s="17">
        <v>0.44520342996827</v>
      </c>
      <c r="AN88" s="17">
        <v>0.42756912853720103</v>
      </c>
      <c r="AO88" s="17"/>
      <c r="AP88" s="17"/>
      <c r="AQ88" s="17"/>
      <c r="AR88" s="17"/>
      <c r="AS88" s="17"/>
      <c r="AT88" s="17"/>
      <c r="AU88" s="17"/>
      <c r="AV88" s="17"/>
      <c r="AW88" s="17"/>
      <c r="AX88" s="17"/>
      <c r="AY88" s="17"/>
      <c r="AZ88" s="17"/>
      <c r="BA88" s="17"/>
      <c r="BB88" s="17"/>
      <c r="BC88" s="17"/>
      <c r="BD88" s="17"/>
      <c r="BE88" s="17"/>
      <c r="BF88" s="17"/>
      <c r="BG88" s="17"/>
      <c r="BH88" s="17"/>
      <c r="BI88" s="17"/>
      <c r="BJ88" s="17"/>
      <c r="BK88" s="17"/>
      <c r="BL88" s="17"/>
      <c r="BM88" s="17"/>
      <c r="BN88" s="17"/>
      <c r="BO88" s="17"/>
      <c r="BP88" s="17"/>
      <c r="BQ88" s="17"/>
      <c r="BR88" s="17"/>
      <c r="BS88" s="17"/>
      <c r="BT88" s="17"/>
      <c r="BU88" s="17"/>
      <c r="BV88" s="17"/>
      <c r="BW88" s="17"/>
      <c r="BX88" s="17"/>
      <c r="BY88" s="17"/>
      <c r="BZ88" s="17"/>
      <c r="CA88" s="17"/>
      <c r="CB88" s="17"/>
      <c r="CC88" s="17"/>
      <c r="CD88" s="17"/>
      <c r="CE88" s="17"/>
      <c r="CF88" s="17"/>
      <c r="CG88" s="17"/>
      <c r="CH88" s="17"/>
      <c r="CI88" s="17"/>
      <c r="CJ88" s="17"/>
      <c r="CK88" s="17"/>
      <c r="CL88" s="17"/>
      <c r="CM88" s="17"/>
      <c r="CN88" s="17"/>
      <c r="CO88" s="17"/>
      <c r="CP88" s="17"/>
      <c r="CQ88" s="17"/>
      <c r="CR88" s="17"/>
      <c r="CS88" s="17"/>
      <c r="CT88" s="17"/>
      <c r="CU88" s="17"/>
      <c r="CV88" s="17"/>
    </row>
    <row r="89" spans="1:100" x14ac:dyDescent="0.35">
      <c r="B89" s="9"/>
      <c r="C89" t="s">
        <v>230</v>
      </c>
      <c r="D89" t="s">
        <v>225</v>
      </c>
      <c r="E89" t="s">
        <v>223</v>
      </c>
      <c r="F89" s="17">
        <v>0</v>
      </c>
      <c r="G89" s="17">
        <v>29.020481531745698</v>
      </c>
      <c r="H89" s="17">
        <v>28.0876917565806</v>
      </c>
      <c r="I89" s="17">
        <v>25.9278868119941</v>
      </c>
      <c r="J89" s="17">
        <v>22.131842257430499</v>
      </c>
      <c r="K89" s="17">
        <v>24.0643861870102</v>
      </c>
      <c r="L89" s="17">
        <v>21.553138390265801</v>
      </c>
      <c r="M89" s="17">
        <v>24.294175342388101</v>
      </c>
      <c r="N89" s="17">
        <v>22.4537204928527</v>
      </c>
      <c r="O89" s="17">
        <v>23.027441207302601</v>
      </c>
      <c r="P89" s="17">
        <v>23.520449473377901</v>
      </c>
      <c r="Q89" s="17">
        <v>22.303672227773099</v>
      </c>
      <c r="R89" s="17">
        <v>22.768808268600601</v>
      </c>
      <c r="S89" s="17">
        <v>21.6618693199426</v>
      </c>
      <c r="T89" s="17">
        <v>21.465541460467499</v>
      </c>
      <c r="U89" s="17">
        <v>19.635293194165602</v>
      </c>
      <c r="V89" s="17">
        <v>18.0266124036051</v>
      </c>
      <c r="W89" s="17">
        <v>18.958169449167901</v>
      </c>
      <c r="X89" s="17">
        <v>30.174201524129</v>
      </c>
      <c r="Y89" s="17">
        <v>27.804237076053798</v>
      </c>
      <c r="Z89" s="17">
        <v>27.948487333257699</v>
      </c>
      <c r="AA89" s="17">
        <v>24.027738598491201</v>
      </c>
      <c r="AB89" s="17">
        <v>19.1007795491889</v>
      </c>
      <c r="AC89" s="17">
        <v>18.6439696566081</v>
      </c>
      <c r="AD89" s="17">
        <v>17.1364980557777</v>
      </c>
      <c r="AE89" s="17">
        <v>15.6005065243152</v>
      </c>
      <c r="AF89" s="17">
        <v>13.935088831460799</v>
      </c>
      <c r="AG89" s="17">
        <v>14.940703674917399</v>
      </c>
      <c r="AH89" s="17">
        <v>13.940260027674301</v>
      </c>
      <c r="AI89" s="17">
        <v>13.2733742064932</v>
      </c>
      <c r="AJ89" s="17">
        <v>12.054538929264</v>
      </c>
      <c r="AK89" s="17">
        <v>12.428108233099101</v>
      </c>
      <c r="AL89" s="17">
        <v>13.963984849090201</v>
      </c>
      <c r="AM89" s="17">
        <v>15.1671602816243</v>
      </c>
      <c r="AN89" s="17">
        <v>14.245057645300401</v>
      </c>
      <c r="AO89" s="17"/>
      <c r="AP89" s="17"/>
      <c r="AQ89" s="17"/>
      <c r="AR89" s="17"/>
      <c r="AS89" s="17"/>
      <c r="AT89" s="17"/>
      <c r="AU89" s="17"/>
      <c r="AV89" s="17"/>
      <c r="AW89" s="17"/>
      <c r="AX89" s="17"/>
      <c r="AY89" s="17"/>
      <c r="AZ89" s="17"/>
      <c r="BA89" s="17"/>
      <c r="BB89" s="17"/>
      <c r="BC89" s="17"/>
      <c r="BD89" s="17"/>
      <c r="BE89" s="17"/>
      <c r="BF89" s="17"/>
      <c r="BG89" s="17"/>
      <c r="BH89" s="17"/>
      <c r="BI89" s="17"/>
      <c r="BJ89" s="17"/>
      <c r="BK89" s="17"/>
      <c r="BL89" s="17"/>
      <c r="BM89" s="17"/>
      <c r="BN89" s="17"/>
      <c r="BO89" s="17"/>
      <c r="BP89" s="17"/>
      <c r="BQ89" s="17"/>
      <c r="BR89" s="17"/>
      <c r="BS89" s="17"/>
      <c r="BT89" s="17"/>
      <c r="BU89" s="17"/>
      <c r="BV89" s="17"/>
      <c r="BW89" s="17"/>
      <c r="BX89" s="17"/>
      <c r="BY89" s="17"/>
      <c r="BZ89" s="17"/>
      <c r="CA89" s="17"/>
      <c r="CB89" s="17"/>
      <c r="CC89" s="17"/>
      <c r="CD89" s="17"/>
      <c r="CE89" s="17"/>
      <c r="CF89" s="17"/>
      <c r="CG89" s="17"/>
      <c r="CH89" s="17"/>
      <c r="CI89" s="17"/>
      <c r="CJ89" s="17"/>
      <c r="CK89" s="17"/>
      <c r="CL89" s="17"/>
      <c r="CM89" s="17"/>
      <c r="CN89" s="17"/>
      <c r="CO89" s="17"/>
      <c r="CP89" s="17"/>
      <c r="CQ89" s="17"/>
      <c r="CR89" s="17"/>
      <c r="CS89" s="17"/>
      <c r="CT89" s="17"/>
      <c r="CU89" s="17"/>
      <c r="CV89" s="17"/>
    </row>
    <row r="90" spans="1:100" x14ac:dyDescent="0.35">
      <c r="B90" s="9"/>
      <c r="C90" t="s">
        <v>230</v>
      </c>
      <c r="D90" t="s">
        <v>355</v>
      </c>
      <c r="E90" t="s">
        <v>223</v>
      </c>
      <c r="F90" s="17">
        <v>0</v>
      </c>
      <c r="G90" s="17">
        <v>125.80568678392299</v>
      </c>
      <c r="H90" s="17">
        <v>114.9525786614</v>
      </c>
      <c r="I90" s="17">
        <v>109.822375930615</v>
      </c>
      <c r="J90" s="17">
        <v>96.867495176568596</v>
      </c>
      <c r="K90" s="17">
        <v>99.9983985357443</v>
      </c>
      <c r="L90" s="17">
        <v>92.204570093124701</v>
      </c>
      <c r="M90" s="17">
        <v>93.632739571820494</v>
      </c>
      <c r="N90" s="17">
        <v>85.759441857289701</v>
      </c>
      <c r="O90" s="17">
        <v>84.459538938410603</v>
      </c>
      <c r="P90" s="17">
        <v>84.190532266698497</v>
      </c>
      <c r="Q90" s="17">
        <v>89.3832908013744</v>
      </c>
      <c r="R90" s="17">
        <v>89.790342294834204</v>
      </c>
      <c r="S90" s="17">
        <v>88.071697844994503</v>
      </c>
      <c r="T90" s="17">
        <v>84.622760695258293</v>
      </c>
      <c r="U90" s="17">
        <v>80.865630698058993</v>
      </c>
      <c r="V90" s="17">
        <v>81.214221557153706</v>
      </c>
      <c r="W90" s="17">
        <v>81.087730963713298</v>
      </c>
      <c r="X90" s="17">
        <v>79.560044686775498</v>
      </c>
      <c r="Y90" s="17">
        <v>82.626219294963704</v>
      </c>
      <c r="Z90" s="17">
        <v>83.615672844395505</v>
      </c>
      <c r="AA90" s="17">
        <v>83.137394652382895</v>
      </c>
      <c r="AB90" s="17">
        <v>78.775558550896804</v>
      </c>
      <c r="AC90" s="17">
        <v>78.633972243257404</v>
      </c>
      <c r="AD90" s="17">
        <v>77.146558615618702</v>
      </c>
      <c r="AE90" s="17">
        <v>76.595664292535403</v>
      </c>
      <c r="AF90" s="17">
        <v>74.850516156243899</v>
      </c>
      <c r="AG90" s="17">
        <v>74.718206661205699</v>
      </c>
      <c r="AH90" s="17">
        <v>73.626509682801199</v>
      </c>
      <c r="AI90" s="17">
        <v>73.079031483277205</v>
      </c>
      <c r="AJ90" s="17">
        <v>71.396543619487701</v>
      </c>
      <c r="AK90" s="17">
        <v>71.715862373955801</v>
      </c>
      <c r="AL90" s="17">
        <v>71.736327774727997</v>
      </c>
      <c r="AM90" s="17">
        <v>73.093782451061898</v>
      </c>
      <c r="AN90" s="17">
        <v>72.133945752671096</v>
      </c>
      <c r="AO90" s="17"/>
      <c r="AP90" s="17"/>
      <c r="AQ90" s="17"/>
      <c r="AR90" s="17"/>
      <c r="AS90" s="17"/>
      <c r="AT90" s="17"/>
      <c r="AU90" s="17"/>
      <c r="AV90" s="17"/>
      <c r="AW90" s="17"/>
      <c r="AX90" s="17"/>
      <c r="AY90" s="17"/>
      <c r="AZ90" s="17"/>
      <c r="BA90" s="17"/>
      <c r="BB90" s="17"/>
      <c r="BC90" s="17"/>
      <c r="BD90" s="17"/>
      <c r="BE90" s="17"/>
      <c r="BF90" s="17"/>
      <c r="BG90" s="17"/>
      <c r="BH90" s="17"/>
      <c r="BI90" s="17"/>
      <c r="BJ90" s="17"/>
      <c r="BK90" s="17"/>
      <c r="BL90" s="17"/>
      <c r="BM90" s="17"/>
      <c r="BN90" s="17"/>
      <c r="BO90" s="17"/>
      <c r="BP90" s="17"/>
      <c r="BQ90" s="17"/>
      <c r="BR90" s="17"/>
      <c r="BS90" s="17"/>
      <c r="BT90" s="17"/>
      <c r="BU90" s="17"/>
      <c r="BV90" s="17"/>
      <c r="BW90" s="17"/>
      <c r="BX90" s="17"/>
      <c r="BY90" s="17"/>
      <c r="BZ90" s="17"/>
      <c r="CA90" s="17"/>
      <c r="CB90" s="17"/>
      <c r="CC90" s="17"/>
      <c r="CD90" s="17"/>
      <c r="CE90" s="17"/>
      <c r="CF90" s="17"/>
      <c r="CG90" s="17"/>
      <c r="CH90" s="17"/>
      <c r="CI90" s="17"/>
      <c r="CJ90" s="17"/>
      <c r="CK90" s="17"/>
      <c r="CL90" s="17"/>
      <c r="CM90" s="17"/>
      <c r="CN90" s="17"/>
      <c r="CO90" s="17"/>
      <c r="CP90" s="17"/>
      <c r="CQ90" s="17"/>
      <c r="CR90" s="17"/>
      <c r="CS90" s="17"/>
      <c r="CT90" s="17"/>
      <c r="CU90" s="17"/>
      <c r="CV90" s="17"/>
    </row>
    <row r="91" spans="1:100" x14ac:dyDescent="0.35">
      <c r="B91" s="9"/>
      <c r="C91" t="s">
        <v>230</v>
      </c>
      <c r="D91" t="s">
        <v>356</v>
      </c>
      <c r="E91" t="s">
        <v>124</v>
      </c>
      <c r="F91" s="17">
        <v>0</v>
      </c>
      <c r="G91" s="17">
        <v>1</v>
      </c>
      <c r="H91" s="17">
        <v>1</v>
      </c>
      <c r="I91" s="17">
        <v>1</v>
      </c>
      <c r="J91" s="17">
        <v>1</v>
      </c>
      <c r="K91" s="17">
        <v>1</v>
      </c>
      <c r="L91" s="17">
        <v>1</v>
      </c>
      <c r="M91" s="17">
        <v>1</v>
      </c>
      <c r="N91" s="17">
        <v>1</v>
      </c>
      <c r="O91" s="17">
        <v>1</v>
      </c>
      <c r="P91" s="17">
        <v>1</v>
      </c>
      <c r="Q91" s="17">
        <v>1</v>
      </c>
      <c r="R91" s="17">
        <v>1</v>
      </c>
      <c r="S91" s="17">
        <v>1</v>
      </c>
      <c r="T91" s="17">
        <v>1</v>
      </c>
      <c r="U91" s="17">
        <v>1</v>
      </c>
      <c r="V91" s="17">
        <v>1</v>
      </c>
      <c r="W91" s="17">
        <v>1</v>
      </c>
      <c r="X91" s="17">
        <v>1</v>
      </c>
      <c r="Y91" s="17">
        <v>1</v>
      </c>
      <c r="Z91" s="17">
        <v>1</v>
      </c>
      <c r="AA91" s="17">
        <v>1</v>
      </c>
      <c r="AB91" s="17">
        <v>1</v>
      </c>
      <c r="AC91" s="17">
        <v>1</v>
      </c>
      <c r="AD91" s="17">
        <v>1</v>
      </c>
      <c r="AE91" s="17">
        <v>1</v>
      </c>
      <c r="AF91" s="17">
        <v>1</v>
      </c>
      <c r="AG91" s="17">
        <v>1</v>
      </c>
      <c r="AH91" s="17">
        <v>1</v>
      </c>
      <c r="AI91" s="17">
        <v>1</v>
      </c>
      <c r="AJ91" s="17">
        <v>1</v>
      </c>
      <c r="AK91" s="17">
        <v>1</v>
      </c>
      <c r="AL91" s="17">
        <v>1</v>
      </c>
      <c r="AM91" s="17">
        <v>1</v>
      </c>
      <c r="AN91" s="17">
        <v>1</v>
      </c>
      <c r="AO91" s="17"/>
      <c r="AP91" s="17"/>
      <c r="AQ91" s="17"/>
      <c r="AR91" s="17"/>
      <c r="AS91" s="17"/>
      <c r="AT91" s="17"/>
      <c r="AU91" s="17"/>
      <c r="AV91" s="17"/>
      <c r="AW91" s="17"/>
      <c r="AX91" s="17"/>
      <c r="AY91" s="17"/>
      <c r="AZ91" s="17"/>
      <c r="BA91" s="17"/>
      <c r="BB91" s="17"/>
      <c r="BC91" s="17"/>
      <c r="BD91" s="17"/>
      <c r="BE91" s="17"/>
      <c r="BF91" s="17"/>
      <c r="BG91" s="17"/>
      <c r="BH91" s="17"/>
      <c r="BI91" s="17"/>
      <c r="BJ91" s="17"/>
      <c r="BK91" s="17"/>
      <c r="BL91" s="17"/>
      <c r="BM91" s="17"/>
      <c r="BN91" s="17"/>
      <c r="BO91" s="17"/>
      <c r="BP91" s="17"/>
      <c r="BQ91" s="17"/>
      <c r="BR91" s="17"/>
      <c r="BS91" s="17"/>
      <c r="BT91" s="17"/>
      <c r="BU91" s="17"/>
      <c r="BV91" s="17"/>
      <c r="BW91" s="17"/>
      <c r="BX91" s="17"/>
      <c r="BY91" s="17"/>
      <c r="BZ91" s="17"/>
      <c r="CA91" s="17"/>
      <c r="CB91" s="17"/>
      <c r="CC91" s="17"/>
      <c r="CD91" s="17"/>
      <c r="CE91" s="17"/>
      <c r="CF91" s="17"/>
      <c r="CG91" s="17"/>
      <c r="CH91" s="17"/>
      <c r="CI91" s="17"/>
      <c r="CJ91" s="17"/>
      <c r="CK91" s="17"/>
      <c r="CL91" s="17"/>
      <c r="CM91" s="17"/>
      <c r="CN91" s="17"/>
      <c r="CO91" s="17"/>
      <c r="CP91" s="17"/>
      <c r="CQ91" s="17"/>
      <c r="CR91" s="17"/>
      <c r="CS91" s="17"/>
      <c r="CT91" s="17"/>
      <c r="CU91" s="17"/>
      <c r="CV91" s="17"/>
    </row>
    <row r="92" spans="1:100" x14ac:dyDescent="0.35">
      <c r="B92" s="9"/>
      <c r="C92" t="s">
        <v>339</v>
      </c>
      <c r="D92" t="s">
        <v>357</v>
      </c>
      <c r="E92" t="s">
        <v>226</v>
      </c>
      <c r="F92" s="17">
        <v>0</v>
      </c>
      <c r="G92" s="17">
        <v>272.03371237884397</v>
      </c>
      <c r="H92" s="17">
        <v>235.88211992810599</v>
      </c>
      <c r="I92" s="17">
        <v>199.432520319416</v>
      </c>
      <c r="J92" s="17">
        <v>171.42714982781001</v>
      </c>
      <c r="K92" s="17">
        <v>171.664899491298</v>
      </c>
      <c r="L92" s="17">
        <v>170.194639609483</v>
      </c>
      <c r="M92" s="17">
        <v>161.96224149365401</v>
      </c>
      <c r="N92" s="17">
        <v>149.78639361402401</v>
      </c>
      <c r="O92" s="17">
        <v>149.025799449337</v>
      </c>
      <c r="P92" s="17">
        <v>142.588642168474</v>
      </c>
      <c r="Q92" s="17">
        <v>146.128811755649</v>
      </c>
      <c r="R92" s="17">
        <v>143.990955666102</v>
      </c>
      <c r="S92" s="17">
        <v>142.809488810804</v>
      </c>
      <c r="T92" s="17">
        <v>139.94424912780801</v>
      </c>
      <c r="U92" s="17">
        <v>134.74413600296199</v>
      </c>
      <c r="V92" s="17">
        <v>133.94249612126001</v>
      </c>
      <c r="W92" s="17">
        <v>131.34211570614499</v>
      </c>
      <c r="X92" s="17">
        <v>146.07816537334</v>
      </c>
      <c r="Y92" s="17">
        <v>146.85880706435699</v>
      </c>
      <c r="Z92" s="17">
        <v>149.59727408866399</v>
      </c>
      <c r="AA92" s="17">
        <v>147.62099959878199</v>
      </c>
      <c r="AB92" s="17">
        <v>143.72582477983499</v>
      </c>
      <c r="AC92" s="17">
        <v>141.86538508513499</v>
      </c>
      <c r="AD92" s="17">
        <v>139.285626773708</v>
      </c>
      <c r="AE92" s="17">
        <v>138.16529494919999</v>
      </c>
      <c r="AF92" s="17">
        <v>135.41914948203001</v>
      </c>
      <c r="AG92" s="17">
        <v>134.643971499336</v>
      </c>
      <c r="AH92" s="17">
        <v>131.566315790868</v>
      </c>
      <c r="AI92" s="17">
        <v>130.784127964417</v>
      </c>
      <c r="AJ92" s="17">
        <v>129.25450901818701</v>
      </c>
      <c r="AK92" s="17">
        <v>126.60395232950999</v>
      </c>
      <c r="AL92" s="17">
        <v>126.706101736733</v>
      </c>
      <c r="AM92" s="17">
        <v>127.981057551455</v>
      </c>
      <c r="AN92" s="17">
        <v>125.23385695132001</v>
      </c>
      <c r="AO92" s="17"/>
      <c r="AP92" s="17"/>
      <c r="AQ92" s="17"/>
      <c r="AR92" s="17"/>
      <c r="AS92" s="17"/>
      <c r="AT92" s="17"/>
      <c r="AU92" s="17"/>
      <c r="AV92" s="17"/>
      <c r="AW92" s="17"/>
      <c r="AX92" s="17"/>
      <c r="AY92" s="17"/>
      <c r="AZ92" s="17"/>
      <c r="BA92" s="17"/>
      <c r="BB92" s="17"/>
      <c r="BC92" s="17"/>
      <c r="BD92" s="17"/>
      <c r="BE92" s="17"/>
      <c r="BF92" s="17"/>
      <c r="BG92" s="17"/>
      <c r="BH92" s="17"/>
      <c r="BI92" s="17"/>
      <c r="BJ92" s="17"/>
      <c r="BK92" s="17"/>
      <c r="BL92" s="17"/>
      <c r="BM92" s="17"/>
      <c r="BN92" s="17"/>
      <c r="BO92" s="17"/>
      <c r="BP92" s="17"/>
      <c r="BQ92" s="17"/>
      <c r="BR92" s="17"/>
      <c r="BS92" s="17"/>
      <c r="BT92" s="17"/>
      <c r="BU92" s="17"/>
      <c r="BV92" s="17"/>
      <c r="BW92" s="17"/>
      <c r="BX92" s="17"/>
      <c r="BY92" s="17"/>
      <c r="BZ92" s="17"/>
      <c r="CA92" s="17"/>
      <c r="CB92" s="17"/>
      <c r="CC92" s="17"/>
      <c r="CD92" s="17"/>
      <c r="CE92" s="17"/>
      <c r="CF92" s="17"/>
      <c r="CG92" s="17"/>
      <c r="CH92" s="17"/>
      <c r="CI92" s="17"/>
      <c r="CJ92" s="17"/>
      <c r="CK92" s="17"/>
      <c r="CL92" s="17"/>
      <c r="CM92" s="17"/>
      <c r="CN92" s="17"/>
      <c r="CO92" s="17"/>
      <c r="CP92" s="17"/>
      <c r="CQ92" s="17"/>
      <c r="CR92" s="17"/>
      <c r="CS92" s="17"/>
      <c r="CT92" s="17"/>
      <c r="CU92" s="17"/>
      <c r="CV92" s="17"/>
    </row>
    <row r="93" spans="1:100" x14ac:dyDescent="0.35">
      <c r="B93" s="9"/>
      <c r="F93" s="17"/>
      <c r="G93" s="17"/>
      <c r="H93" s="17"/>
      <c r="I93" s="17"/>
      <c r="J93" s="17"/>
      <c r="K93" s="17"/>
      <c r="L93" s="17"/>
      <c r="M93" s="17"/>
      <c r="N93" s="17"/>
      <c r="O93" s="17"/>
      <c r="P93" s="17"/>
      <c r="Q93" s="17"/>
      <c r="R93" s="17"/>
      <c r="S93" s="17"/>
      <c r="T93" s="17"/>
      <c r="U93" s="17"/>
      <c r="V93" s="17"/>
      <c r="W93" s="17"/>
      <c r="X93" s="17"/>
      <c r="Y93" s="17"/>
      <c r="Z93" s="17"/>
      <c r="AA93" s="17"/>
      <c r="AB93" s="17"/>
      <c r="AC93" s="17"/>
      <c r="AD93" s="17"/>
      <c r="AE93" s="17"/>
      <c r="AF93" s="17"/>
      <c r="AG93" s="17"/>
      <c r="AH93" s="17"/>
      <c r="AI93" s="17"/>
      <c r="AJ93" s="17"/>
      <c r="AK93" s="17"/>
      <c r="AL93" s="17"/>
      <c r="AM93" s="17"/>
      <c r="AN93" s="17"/>
      <c r="AO93" s="17"/>
      <c r="AP93" s="17"/>
      <c r="AQ93" s="17"/>
      <c r="AR93" s="17"/>
      <c r="AS93" s="17"/>
      <c r="AT93" s="17"/>
      <c r="AU93" s="17"/>
      <c r="AV93" s="17"/>
      <c r="AW93" s="17"/>
      <c r="AX93" s="17"/>
      <c r="AY93" s="17"/>
      <c r="AZ93" s="17"/>
      <c r="BA93" s="17"/>
      <c r="BB93" s="17"/>
      <c r="BC93" s="17"/>
      <c r="BD93" s="17"/>
      <c r="BE93" s="17"/>
      <c r="BF93" s="17"/>
      <c r="BG93" s="17"/>
      <c r="BH93" s="17"/>
      <c r="BI93" s="17"/>
      <c r="BJ93" s="17"/>
      <c r="BK93" s="17"/>
      <c r="BL93" s="17"/>
      <c r="BM93" s="17"/>
      <c r="BN93" s="17"/>
      <c r="BO93" s="17"/>
      <c r="BP93" s="17"/>
      <c r="BQ93" s="17"/>
      <c r="BR93" s="17"/>
      <c r="BS93" s="17"/>
      <c r="BT93" s="17"/>
      <c r="BU93" s="17"/>
      <c r="BV93" s="17"/>
      <c r="BW93" s="17"/>
      <c r="BX93" s="17"/>
      <c r="BY93" s="17"/>
      <c r="BZ93" s="17"/>
      <c r="CA93" s="17"/>
      <c r="CB93" s="17"/>
      <c r="CC93" s="17"/>
      <c r="CD93" s="17"/>
      <c r="CE93" s="17"/>
      <c r="CF93" s="17"/>
      <c r="CG93" s="17"/>
      <c r="CH93" s="17"/>
      <c r="CI93" s="17"/>
      <c r="CJ93" s="17"/>
      <c r="CK93" s="17"/>
      <c r="CL93" s="17"/>
      <c r="CM93" s="17"/>
      <c r="CN93" s="17"/>
      <c r="CO93" s="17"/>
      <c r="CP93" s="17"/>
      <c r="CQ93" s="17"/>
      <c r="CR93" s="17"/>
      <c r="CS93" s="17"/>
      <c r="CT93" s="17"/>
      <c r="CU93" s="17"/>
      <c r="CV93" s="17"/>
    </row>
    <row r="94" spans="1:100" x14ac:dyDescent="0.35">
      <c r="B94" s="9"/>
      <c r="F94" s="17"/>
      <c r="G94" s="17"/>
      <c r="H94" s="17"/>
      <c r="I94" s="17"/>
      <c r="J94" s="17"/>
      <c r="K94" s="17"/>
      <c r="L94" s="17"/>
      <c r="M94" s="17"/>
      <c r="N94" s="17"/>
      <c r="O94" s="17"/>
      <c r="P94" s="17"/>
      <c r="Q94" s="17"/>
      <c r="R94" s="17"/>
      <c r="S94" s="17"/>
      <c r="T94" s="17"/>
      <c r="U94" s="17"/>
      <c r="V94" s="17"/>
      <c r="W94" s="17"/>
      <c r="X94" s="17"/>
      <c r="Y94" s="17"/>
      <c r="Z94" s="17"/>
      <c r="AA94" s="17"/>
      <c r="AB94" s="17"/>
      <c r="AC94" s="17"/>
      <c r="AD94" s="17"/>
      <c r="AE94" s="17"/>
      <c r="AF94" s="17"/>
      <c r="AG94" s="17"/>
      <c r="AH94" s="17"/>
      <c r="AI94" s="17"/>
      <c r="AJ94" s="17"/>
      <c r="AK94" s="17"/>
      <c r="AL94" s="17"/>
      <c r="AM94" s="17"/>
      <c r="AN94" s="17"/>
      <c r="AO94" s="17"/>
      <c r="AP94" s="17"/>
      <c r="AQ94" s="17"/>
      <c r="AR94" s="17"/>
      <c r="AS94" s="17"/>
      <c r="AT94" s="17"/>
      <c r="AU94" s="17"/>
      <c r="AV94" s="17"/>
      <c r="AW94" s="17"/>
      <c r="AX94" s="17"/>
      <c r="AY94" s="17"/>
      <c r="AZ94" s="17"/>
      <c r="BA94" s="17"/>
      <c r="BB94" s="17"/>
      <c r="BC94" s="17"/>
      <c r="BD94" s="17"/>
      <c r="BE94" s="17"/>
      <c r="BF94" s="17"/>
      <c r="BG94" s="17"/>
      <c r="BH94" s="17"/>
      <c r="BI94" s="17"/>
      <c r="BJ94" s="17"/>
      <c r="BK94" s="17"/>
      <c r="BL94" s="17"/>
      <c r="BM94" s="17"/>
      <c r="BN94" s="17"/>
      <c r="BO94" s="17"/>
      <c r="BP94" s="17"/>
      <c r="BQ94" s="17"/>
      <c r="BR94" s="17"/>
      <c r="BS94" s="17"/>
      <c r="BT94" s="17"/>
      <c r="BU94" s="17"/>
      <c r="BV94" s="17"/>
      <c r="BW94" s="17"/>
      <c r="BX94" s="17"/>
      <c r="BY94" s="17"/>
      <c r="BZ94" s="17"/>
      <c r="CA94" s="17"/>
      <c r="CB94" s="17"/>
      <c r="CC94" s="17"/>
      <c r="CD94" s="17"/>
      <c r="CE94" s="17"/>
      <c r="CF94" s="17"/>
      <c r="CG94" s="17"/>
      <c r="CH94" s="17"/>
      <c r="CI94" s="17"/>
      <c r="CJ94" s="17"/>
      <c r="CK94" s="17"/>
      <c r="CL94" s="17"/>
      <c r="CM94" s="17"/>
      <c r="CN94" s="17"/>
      <c r="CO94" s="17"/>
      <c r="CP94" s="17"/>
      <c r="CQ94" s="17"/>
      <c r="CR94" s="17"/>
      <c r="CS94" s="17"/>
      <c r="CT94" s="17"/>
      <c r="CU94" s="17"/>
      <c r="CV94" s="17"/>
    </row>
    <row r="95" spans="1:100" x14ac:dyDescent="0.35">
      <c r="B95" s="9"/>
      <c r="F95" s="17"/>
      <c r="G95" s="17"/>
      <c r="H95" s="17"/>
      <c r="I95" s="17"/>
      <c r="J95" s="17"/>
      <c r="K95" s="17"/>
      <c r="L95" s="17"/>
      <c r="M95" s="17"/>
      <c r="N95" s="17"/>
      <c r="O95" s="17"/>
      <c r="P95" s="17"/>
      <c r="Q95" s="17"/>
      <c r="R95" s="17"/>
      <c r="S95" s="17"/>
      <c r="T95" s="17"/>
      <c r="U95" s="17"/>
      <c r="V95" s="17"/>
      <c r="W95" s="17"/>
      <c r="X95" s="17"/>
      <c r="Y95" s="17"/>
      <c r="Z95" s="17"/>
      <c r="AA95" s="17"/>
      <c r="AB95" s="17"/>
      <c r="AC95" s="17"/>
      <c r="AD95" s="17"/>
      <c r="AE95" s="17"/>
      <c r="AF95" s="17"/>
      <c r="AG95" s="17"/>
      <c r="AH95" s="17"/>
      <c r="AI95" s="17"/>
      <c r="AJ95" s="17"/>
      <c r="AK95" s="17"/>
      <c r="AL95" s="17"/>
      <c r="AM95" s="17"/>
      <c r="AN95" s="17"/>
      <c r="AO95" s="17"/>
      <c r="AP95" s="17"/>
      <c r="AQ95" s="17"/>
      <c r="AR95" s="17"/>
      <c r="AS95" s="17"/>
      <c r="AT95" s="17"/>
      <c r="AU95" s="17"/>
      <c r="AV95" s="17"/>
      <c r="AW95" s="17"/>
      <c r="AX95" s="17"/>
      <c r="AY95" s="17"/>
      <c r="AZ95" s="17"/>
      <c r="BA95" s="17"/>
      <c r="BB95" s="17"/>
      <c r="BC95" s="17"/>
      <c r="BD95" s="17"/>
      <c r="BE95" s="17"/>
      <c r="BF95" s="17"/>
      <c r="BG95" s="17"/>
      <c r="BH95" s="17"/>
      <c r="BI95" s="17"/>
      <c r="BJ95" s="17"/>
      <c r="BK95" s="17"/>
      <c r="BL95" s="17"/>
      <c r="BM95" s="17"/>
      <c r="BN95" s="17"/>
      <c r="BO95" s="17"/>
      <c r="BP95" s="17"/>
      <c r="BQ95" s="17"/>
      <c r="BR95" s="17"/>
      <c r="BS95" s="17"/>
      <c r="BT95" s="17"/>
      <c r="BU95" s="17"/>
      <c r="BV95" s="17"/>
      <c r="BW95" s="17"/>
      <c r="BX95" s="17"/>
      <c r="BY95" s="17"/>
      <c r="BZ95" s="17"/>
      <c r="CA95" s="17"/>
      <c r="CB95" s="17"/>
      <c r="CC95" s="17"/>
      <c r="CD95" s="17"/>
      <c r="CE95" s="17"/>
      <c r="CF95" s="17"/>
      <c r="CG95" s="17"/>
      <c r="CH95" s="17"/>
      <c r="CI95" s="17"/>
      <c r="CJ95" s="17"/>
      <c r="CK95" s="17"/>
      <c r="CL95" s="17"/>
      <c r="CM95" s="17"/>
      <c r="CN95" s="17"/>
      <c r="CO95" s="17"/>
      <c r="CP95" s="17"/>
      <c r="CQ95" s="17"/>
      <c r="CR95" s="17"/>
      <c r="CS95" s="17"/>
      <c r="CT95" s="17"/>
      <c r="CU95" s="17"/>
      <c r="CV95" s="17"/>
    </row>
    <row r="96" spans="1:100" x14ac:dyDescent="0.35">
      <c r="A96">
        <v>2</v>
      </c>
      <c r="B96" s="9" t="s">
        <v>464</v>
      </c>
      <c r="C96" t="s">
        <v>230</v>
      </c>
      <c r="D96" t="s">
        <v>322</v>
      </c>
      <c r="E96" t="s">
        <v>124</v>
      </c>
      <c r="F96" s="17">
        <v>0</v>
      </c>
      <c r="G96" s="17">
        <v>1</v>
      </c>
      <c r="H96" s="17">
        <v>1</v>
      </c>
      <c r="I96" s="17">
        <v>1</v>
      </c>
      <c r="J96" s="17">
        <v>1</v>
      </c>
      <c r="K96" s="17">
        <v>1</v>
      </c>
      <c r="L96" s="17">
        <v>1</v>
      </c>
      <c r="M96" s="17">
        <v>1</v>
      </c>
      <c r="N96" s="17">
        <v>1</v>
      </c>
      <c r="O96" s="17">
        <v>1</v>
      </c>
      <c r="P96" s="17">
        <v>1</v>
      </c>
      <c r="Q96" s="17">
        <v>1</v>
      </c>
      <c r="R96" s="17">
        <v>1</v>
      </c>
      <c r="S96" s="17">
        <v>1</v>
      </c>
      <c r="T96" s="17">
        <v>1</v>
      </c>
      <c r="U96" s="17">
        <v>1</v>
      </c>
      <c r="V96" s="17">
        <v>1</v>
      </c>
      <c r="W96" s="17">
        <v>1</v>
      </c>
      <c r="X96" s="17">
        <v>1</v>
      </c>
      <c r="Y96" s="17">
        <v>1</v>
      </c>
      <c r="Z96" s="17">
        <v>1</v>
      </c>
      <c r="AA96" s="17">
        <v>1</v>
      </c>
      <c r="AB96" s="17">
        <v>1</v>
      </c>
      <c r="AC96" s="17">
        <v>1</v>
      </c>
      <c r="AD96" s="17">
        <v>1</v>
      </c>
      <c r="AE96" s="17">
        <v>1</v>
      </c>
      <c r="AF96" s="17">
        <v>1</v>
      </c>
      <c r="AG96" s="17">
        <v>1</v>
      </c>
      <c r="AH96" s="17">
        <v>1</v>
      </c>
      <c r="AI96" s="17">
        <v>1</v>
      </c>
      <c r="AJ96" s="17">
        <v>1</v>
      </c>
      <c r="AK96" s="17">
        <v>1</v>
      </c>
      <c r="AL96" s="17">
        <v>1</v>
      </c>
      <c r="AM96" s="17">
        <v>1</v>
      </c>
      <c r="AN96" s="17">
        <v>1</v>
      </c>
      <c r="AO96" s="17"/>
      <c r="AP96" s="17"/>
      <c r="AQ96" s="17"/>
      <c r="AR96" s="17"/>
      <c r="AS96" s="17"/>
      <c r="AT96" s="17"/>
      <c r="AU96" s="17"/>
      <c r="AV96" s="17"/>
      <c r="AW96" s="17"/>
      <c r="AX96" s="17"/>
      <c r="AY96" s="17"/>
      <c r="AZ96" s="17"/>
      <c r="BA96" s="17"/>
      <c r="BB96" s="17"/>
      <c r="BC96" s="17"/>
      <c r="BD96" s="17"/>
      <c r="BE96" s="17"/>
      <c r="BF96" s="17"/>
      <c r="BG96" s="17"/>
      <c r="BH96" s="17"/>
      <c r="BI96" s="17"/>
      <c r="BJ96" s="17"/>
      <c r="BK96" s="17"/>
      <c r="BL96" s="17"/>
      <c r="BM96" s="17"/>
      <c r="BN96" s="17"/>
      <c r="BO96" s="17"/>
      <c r="BP96" s="17"/>
      <c r="BQ96" s="17"/>
      <c r="BR96" s="17"/>
      <c r="BS96" s="17"/>
      <c r="BT96" s="17"/>
      <c r="BU96" s="17"/>
      <c r="BV96" s="17"/>
      <c r="BW96" s="17"/>
      <c r="BX96" s="17"/>
      <c r="BY96" s="17"/>
      <c r="BZ96" s="17"/>
      <c r="CA96" s="17"/>
      <c r="CB96" s="17"/>
      <c r="CC96" s="17"/>
      <c r="CD96" s="17"/>
      <c r="CE96" s="17"/>
      <c r="CF96" s="17"/>
      <c r="CG96" s="17"/>
      <c r="CH96" s="17"/>
      <c r="CI96" s="17"/>
      <c r="CJ96" s="17"/>
      <c r="CK96" s="17"/>
      <c r="CL96" s="17"/>
      <c r="CM96" s="17"/>
      <c r="CN96" s="17"/>
      <c r="CO96" s="17"/>
      <c r="CP96" s="17"/>
      <c r="CQ96" s="17"/>
      <c r="CR96" s="17"/>
      <c r="CS96" s="17"/>
      <c r="CT96" s="17"/>
      <c r="CU96" s="17"/>
      <c r="CV96" s="17"/>
    </row>
    <row r="97" spans="2:100" x14ac:dyDescent="0.35">
      <c r="B97" s="9">
        <v>2027</v>
      </c>
      <c r="C97" t="s">
        <v>337</v>
      </c>
      <c r="D97" t="s">
        <v>323</v>
      </c>
      <c r="F97" s="17">
        <v>0</v>
      </c>
      <c r="G97" s="17">
        <v>0</v>
      </c>
      <c r="H97" s="17">
        <v>0</v>
      </c>
      <c r="I97" s="17">
        <v>0</v>
      </c>
      <c r="J97" s="17">
        <v>0</v>
      </c>
      <c r="K97" s="17">
        <v>0</v>
      </c>
      <c r="L97" s="17">
        <v>0</v>
      </c>
      <c r="M97" s="17">
        <v>0</v>
      </c>
      <c r="N97" s="17">
        <v>0</v>
      </c>
      <c r="O97" s="17">
        <v>0</v>
      </c>
      <c r="P97" s="17">
        <v>0</v>
      </c>
      <c r="Q97" s="17">
        <v>0</v>
      </c>
      <c r="R97" s="17">
        <v>0</v>
      </c>
      <c r="S97" s="17">
        <v>0</v>
      </c>
      <c r="T97" s="17">
        <v>0</v>
      </c>
      <c r="U97" s="17">
        <v>0</v>
      </c>
      <c r="V97" s="17">
        <v>0</v>
      </c>
      <c r="W97" s="17">
        <v>0</v>
      </c>
      <c r="X97" s="17">
        <v>0</v>
      </c>
      <c r="Y97" s="17">
        <v>0</v>
      </c>
      <c r="Z97" s="17">
        <v>0</v>
      </c>
      <c r="AA97" s="17">
        <v>0</v>
      </c>
      <c r="AB97" s="17">
        <v>1</v>
      </c>
      <c r="AC97" s="17">
        <v>1</v>
      </c>
      <c r="AD97" s="17">
        <v>1</v>
      </c>
      <c r="AE97" s="17">
        <v>1</v>
      </c>
      <c r="AF97" s="17">
        <v>1</v>
      </c>
      <c r="AG97" s="17">
        <v>1</v>
      </c>
      <c r="AH97" s="17">
        <v>1</v>
      </c>
      <c r="AI97" s="17">
        <v>1</v>
      </c>
      <c r="AJ97" s="17">
        <v>1</v>
      </c>
      <c r="AK97" s="17">
        <v>1</v>
      </c>
      <c r="AL97" s="17">
        <v>1</v>
      </c>
      <c r="AM97" s="17">
        <v>1</v>
      </c>
      <c r="AN97" s="17">
        <v>1</v>
      </c>
      <c r="AO97" s="17"/>
      <c r="AP97" s="17"/>
      <c r="AQ97" s="17"/>
      <c r="AR97" s="17"/>
      <c r="AS97" s="17"/>
      <c r="AT97" s="17"/>
      <c r="AU97" s="17"/>
      <c r="AV97" s="17"/>
      <c r="AW97" s="17"/>
      <c r="AX97" s="17"/>
      <c r="AY97" s="17"/>
      <c r="AZ97" s="17"/>
      <c r="BA97" s="17"/>
      <c r="BB97" s="17"/>
      <c r="BC97" s="17"/>
      <c r="BD97" s="17"/>
      <c r="BE97" s="17"/>
      <c r="BF97" s="17"/>
      <c r="BG97" s="17"/>
      <c r="BH97" s="17"/>
      <c r="BI97" s="17"/>
      <c r="BJ97" s="17"/>
      <c r="BK97" s="17"/>
      <c r="BL97" s="17"/>
      <c r="BM97" s="17"/>
      <c r="BN97" s="17"/>
      <c r="BO97" s="17"/>
      <c r="BP97" s="17"/>
      <c r="BQ97" s="17"/>
      <c r="BR97" s="17"/>
      <c r="BS97" s="17"/>
      <c r="BT97" s="17"/>
      <c r="BU97" s="17"/>
      <c r="BV97" s="17"/>
      <c r="BW97" s="17"/>
      <c r="BX97" s="17"/>
      <c r="BY97" s="17"/>
      <c r="BZ97" s="17"/>
      <c r="CA97" s="17"/>
      <c r="CB97" s="17"/>
      <c r="CC97" s="17"/>
      <c r="CD97" s="17"/>
      <c r="CE97" s="17"/>
      <c r="CF97" s="17"/>
      <c r="CG97" s="17"/>
      <c r="CH97" s="17"/>
      <c r="CI97" s="17"/>
      <c r="CJ97" s="17"/>
      <c r="CK97" s="17"/>
      <c r="CL97" s="17"/>
      <c r="CM97" s="17"/>
      <c r="CN97" s="17"/>
      <c r="CO97" s="17"/>
      <c r="CP97" s="17"/>
      <c r="CQ97" s="17"/>
      <c r="CR97" s="17"/>
      <c r="CS97" s="17"/>
      <c r="CT97" s="17"/>
      <c r="CU97" s="17"/>
      <c r="CV97" s="17"/>
    </row>
    <row r="98" spans="2:100" x14ac:dyDescent="0.35">
      <c r="B98" s="9" t="s">
        <v>77</v>
      </c>
      <c r="C98" t="s">
        <v>230</v>
      </c>
      <c r="D98" t="s">
        <v>324</v>
      </c>
      <c r="F98" s="17">
        <v>0</v>
      </c>
      <c r="G98" s="17">
        <v>0.99878999999999996</v>
      </c>
      <c r="H98" s="17">
        <v>1.0028999999999999</v>
      </c>
      <c r="I98" s="17">
        <v>1.0011699999999999</v>
      </c>
      <c r="J98" s="17">
        <v>1.0055000000000001</v>
      </c>
      <c r="K98" s="17">
        <v>1.00379</v>
      </c>
      <c r="L98" s="17">
        <v>1.0038199999999999</v>
      </c>
      <c r="M98" s="17">
        <v>1.0031000000000001</v>
      </c>
      <c r="N98" s="17">
        <v>1.00295</v>
      </c>
      <c r="O98" s="17">
        <v>1.0045900000000001</v>
      </c>
      <c r="P98" s="17">
        <v>0.99241000000000001</v>
      </c>
      <c r="Q98" s="17">
        <v>1.0114300000000001</v>
      </c>
      <c r="R98" s="17">
        <v>0.99741000000000002</v>
      </c>
      <c r="S98" s="17">
        <v>1.0050399999999999</v>
      </c>
      <c r="T98" s="17">
        <v>0.99309000000000003</v>
      </c>
      <c r="U98" s="17">
        <v>1.0069300000000001</v>
      </c>
      <c r="V98" s="17">
        <v>0.99626999999999999</v>
      </c>
      <c r="W98" s="17">
        <v>0.99639</v>
      </c>
      <c r="X98" s="17">
        <v>1.00332</v>
      </c>
      <c r="Y98" s="17">
        <v>1.00692</v>
      </c>
      <c r="Z98" s="17">
        <v>1.00444</v>
      </c>
      <c r="AA98" s="17">
        <v>1.0027299999999999</v>
      </c>
      <c r="AB98" s="17">
        <v>1.00023</v>
      </c>
      <c r="AC98" s="17">
        <v>0.99970999999999999</v>
      </c>
      <c r="AD98" s="17">
        <v>0.99994000000000005</v>
      </c>
      <c r="AE98" s="17">
        <v>1.00078</v>
      </c>
      <c r="AF98" s="17">
        <v>0.99736000000000002</v>
      </c>
      <c r="AG98" s="17">
        <v>0.99775999999999998</v>
      </c>
      <c r="AH98" s="17">
        <v>0.99997999999999998</v>
      </c>
      <c r="AI98" s="17">
        <v>1.0003299999999999</v>
      </c>
      <c r="AJ98" s="17">
        <v>1.0004200000000001</v>
      </c>
      <c r="AK98" s="17">
        <v>1.0049999999999999</v>
      </c>
      <c r="AL98" s="17">
        <v>0.99866999999999995</v>
      </c>
      <c r="AM98" s="17">
        <v>0.99695</v>
      </c>
      <c r="AN98" s="17">
        <v>0.99909000000000003</v>
      </c>
      <c r="AO98" s="17"/>
      <c r="AP98" s="17"/>
      <c r="AQ98" s="17"/>
      <c r="AR98" s="17"/>
      <c r="AS98" s="17"/>
      <c r="AT98" s="17"/>
      <c r="AU98" s="17"/>
      <c r="AV98" s="17"/>
      <c r="AW98" s="17"/>
      <c r="AX98" s="17"/>
      <c r="AY98" s="17"/>
      <c r="AZ98" s="17"/>
      <c r="BA98" s="17"/>
      <c r="BB98" s="17"/>
      <c r="BC98" s="17"/>
      <c r="BD98" s="17"/>
      <c r="BE98" s="17"/>
      <c r="BF98" s="17"/>
      <c r="BG98" s="17"/>
      <c r="BH98" s="17"/>
      <c r="BI98" s="17"/>
      <c r="BJ98" s="17"/>
      <c r="BK98" s="17"/>
      <c r="BL98" s="17"/>
      <c r="BM98" s="17"/>
      <c r="BN98" s="17"/>
      <c r="BO98" s="17"/>
      <c r="BP98" s="17"/>
      <c r="BQ98" s="17"/>
      <c r="BR98" s="17"/>
      <c r="BS98" s="17"/>
      <c r="BT98" s="17"/>
      <c r="BU98" s="17"/>
      <c r="BV98" s="17"/>
      <c r="BW98" s="17"/>
      <c r="BX98" s="17"/>
      <c r="BY98" s="17"/>
      <c r="BZ98" s="17"/>
      <c r="CA98" s="17"/>
      <c r="CB98" s="17"/>
      <c r="CC98" s="17"/>
      <c r="CD98" s="17"/>
      <c r="CE98" s="17"/>
      <c r="CF98" s="17"/>
      <c r="CG98" s="17"/>
      <c r="CH98" s="17"/>
      <c r="CI98" s="17"/>
      <c r="CJ98" s="17"/>
      <c r="CK98" s="17"/>
      <c r="CL98" s="17"/>
      <c r="CM98" s="17"/>
      <c r="CN98" s="17"/>
      <c r="CO98" s="17"/>
      <c r="CP98" s="17"/>
      <c r="CQ98" s="17"/>
      <c r="CR98" s="17"/>
      <c r="CS98" s="17"/>
      <c r="CT98" s="17"/>
      <c r="CU98" s="17"/>
      <c r="CV98" s="17"/>
    </row>
    <row r="99" spans="2:100" x14ac:dyDescent="0.35">
      <c r="B99" s="9" t="s">
        <v>462</v>
      </c>
      <c r="C99" t="s">
        <v>230</v>
      </c>
      <c r="D99" t="s">
        <v>325</v>
      </c>
      <c r="E99" t="s">
        <v>326</v>
      </c>
      <c r="F99" s="17">
        <v>0</v>
      </c>
      <c r="G99" s="17">
        <v>0.95472000000000001</v>
      </c>
      <c r="H99" s="17">
        <v>0.92383000000000004</v>
      </c>
      <c r="I99" s="17">
        <v>0.90132999999999996</v>
      </c>
      <c r="J99" s="17">
        <v>0.88338000000000005</v>
      </c>
      <c r="K99" s="17">
        <v>0.86770999999999998</v>
      </c>
      <c r="L99" s="17">
        <v>0.85289000000000004</v>
      </c>
      <c r="M99" s="17">
        <v>0.83850999999999998</v>
      </c>
      <c r="N99" s="17">
        <v>0.82435000000000003</v>
      </c>
      <c r="O99" s="17">
        <v>0.81032999999999999</v>
      </c>
      <c r="P99" s="17">
        <v>0.79683999999999999</v>
      </c>
      <c r="Q99" s="17">
        <v>0.78351000000000004</v>
      </c>
      <c r="R99" s="17">
        <v>0.77100999999999997</v>
      </c>
      <c r="S99" s="17">
        <v>0.75871</v>
      </c>
      <c r="T99" s="17">
        <v>0.74663000000000002</v>
      </c>
      <c r="U99" s="17">
        <v>0.73428000000000004</v>
      </c>
      <c r="V99" s="17">
        <v>0.72202</v>
      </c>
      <c r="W99" s="17">
        <v>0.70972000000000002</v>
      </c>
      <c r="X99" s="17">
        <v>0.69730999999999999</v>
      </c>
      <c r="Y99" s="17">
        <v>0.68488000000000004</v>
      </c>
      <c r="Z99" s="17">
        <v>0.67262</v>
      </c>
      <c r="AA99" s="17">
        <v>0.66025</v>
      </c>
      <c r="AB99" s="17">
        <v>0.95553999999999994</v>
      </c>
      <c r="AC99" s="17">
        <v>0.92452000000000001</v>
      </c>
      <c r="AD99" s="17">
        <v>0.90181999999999995</v>
      </c>
      <c r="AE99" s="17">
        <v>0.88382000000000005</v>
      </c>
      <c r="AF99" s="17">
        <v>0.86809000000000003</v>
      </c>
      <c r="AG99" s="17">
        <v>0.85328000000000004</v>
      </c>
      <c r="AH99" s="17">
        <v>0.83884000000000003</v>
      </c>
      <c r="AI99" s="17">
        <v>0.82464000000000004</v>
      </c>
      <c r="AJ99" s="17">
        <v>0.81061000000000005</v>
      </c>
      <c r="AK99" s="17">
        <v>0.79695000000000005</v>
      </c>
      <c r="AL99" s="17">
        <v>0.78393000000000002</v>
      </c>
      <c r="AM99" s="17">
        <v>0.77124999999999999</v>
      </c>
      <c r="AN99" s="17">
        <v>0.75899000000000005</v>
      </c>
      <c r="AO99" s="17"/>
      <c r="AP99" s="17"/>
      <c r="AQ99" s="17"/>
      <c r="AR99" s="17"/>
      <c r="AS99" s="17"/>
      <c r="AT99" s="17"/>
      <c r="AU99" s="17"/>
      <c r="AV99" s="17"/>
      <c r="AW99" s="17"/>
      <c r="AX99" s="17"/>
      <c r="AY99" s="17"/>
      <c r="AZ99" s="17"/>
      <c r="BA99" s="17"/>
      <c r="BB99" s="17"/>
      <c r="BC99" s="17"/>
      <c r="BD99" s="17"/>
      <c r="BE99" s="17"/>
      <c r="BF99" s="17"/>
      <c r="BG99" s="17"/>
      <c r="BH99" s="17"/>
      <c r="BI99" s="17"/>
      <c r="BJ99" s="17"/>
      <c r="BK99" s="17"/>
      <c r="BL99" s="17"/>
      <c r="BM99" s="17"/>
      <c r="BN99" s="17"/>
      <c r="BO99" s="17"/>
      <c r="BP99" s="17"/>
      <c r="BQ99" s="17"/>
      <c r="BR99" s="17"/>
      <c r="BS99" s="17"/>
      <c r="BT99" s="17"/>
      <c r="BU99" s="17"/>
      <c r="BV99" s="17"/>
      <c r="BW99" s="17"/>
      <c r="BX99" s="17"/>
      <c r="BY99" s="17"/>
      <c r="BZ99" s="17"/>
      <c r="CA99" s="17"/>
      <c r="CB99" s="17"/>
      <c r="CC99" s="17"/>
      <c r="CD99" s="17"/>
      <c r="CE99" s="17"/>
      <c r="CF99" s="17"/>
      <c r="CG99" s="17"/>
      <c r="CH99" s="17"/>
      <c r="CI99" s="17"/>
      <c r="CJ99" s="17"/>
      <c r="CK99" s="17"/>
      <c r="CL99" s="17"/>
      <c r="CM99" s="17"/>
      <c r="CN99" s="17"/>
      <c r="CO99" s="17"/>
      <c r="CP99" s="17"/>
      <c r="CQ99" s="17"/>
      <c r="CR99" s="17"/>
      <c r="CS99" s="17"/>
      <c r="CT99" s="17"/>
      <c r="CU99" s="17"/>
      <c r="CV99" s="17"/>
    </row>
    <row r="100" spans="2:100" x14ac:dyDescent="0.35">
      <c r="B100" s="9" t="s">
        <v>444</v>
      </c>
      <c r="C100" t="s">
        <v>230</v>
      </c>
      <c r="D100" t="s">
        <v>327</v>
      </c>
      <c r="E100" t="s">
        <v>326</v>
      </c>
      <c r="F100" s="17">
        <v>0</v>
      </c>
      <c r="G100" s="17">
        <v>0.95399999999999996</v>
      </c>
      <c r="H100" s="17">
        <v>0.92242999999999997</v>
      </c>
      <c r="I100" s="17">
        <v>0.89927000000000001</v>
      </c>
      <c r="J100" s="17">
        <v>0.88068999999999997</v>
      </c>
      <c r="K100" s="17">
        <v>0.86439999999999995</v>
      </c>
      <c r="L100" s="17">
        <v>0.84897999999999996</v>
      </c>
      <c r="M100" s="17">
        <v>0.83403000000000005</v>
      </c>
      <c r="N100" s="17">
        <v>0.81930999999999998</v>
      </c>
      <c r="O100" s="17">
        <v>0.80474999999999997</v>
      </c>
      <c r="P100" s="17">
        <v>0.79074999999999995</v>
      </c>
      <c r="Q100" s="17">
        <v>0.77692000000000005</v>
      </c>
      <c r="R100" s="17">
        <v>0.76393</v>
      </c>
      <c r="S100" s="17">
        <v>0.75116000000000005</v>
      </c>
      <c r="T100" s="17">
        <v>0.73863000000000001</v>
      </c>
      <c r="U100" s="17">
        <v>0.72584000000000004</v>
      </c>
      <c r="V100" s="17">
        <v>0.71316999999999997</v>
      </c>
      <c r="W100" s="17">
        <v>0.70047000000000004</v>
      </c>
      <c r="X100" s="17">
        <v>0.68769000000000002</v>
      </c>
      <c r="Y100" s="17">
        <v>0.67488999999999999</v>
      </c>
      <c r="Z100" s="17">
        <v>0.6623</v>
      </c>
      <c r="AA100" s="17">
        <v>0.64961000000000002</v>
      </c>
      <c r="AB100" s="17">
        <v>0.95484000000000002</v>
      </c>
      <c r="AC100" s="17">
        <v>0.92313000000000001</v>
      </c>
      <c r="AD100" s="17">
        <v>0.89976999999999996</v>
      </c>
      <c r="AE100" s="17">
        <v>0.88114000000000003</v>
      </c>
      <c r="AF100" s="17">
        <v>0.86480000000000001</v>
      </c>
      <c r="AG100" s="17">
        <v>0.84938999999999998</v>
      </c>
      <c r="AH100" s="17">
        <v>0.83436999999999995</v>
      </c>
      <c r="AI100" s="17">
        <v>0.81962000000000002</v>
      </c>
      <c r="AJ100" s="17">
        <v>0.80505000000000004</v>
      </c>
      <c r="AK100" s="17">
        <v>0.79086999999999996</v>
      </c>
      <c r="AL100" s="17">
        <v>0.77734999999999999</v>
      </c>
      <c r="AM100" s="17">
        <v>0.76417999999999997</v>
      </c>
      <c r="AN100" s="17">
        <v>0.75144999999999995</v>
      </c>
      <c r="AO100" s="17"/>
      <c r="AP100" s="17"/>
      <c r="AQ100" s="17"/>
      <c r="AR100" s="17"/>
      <c r="AS100" s="17"/>
      <c r="AT100" s="17"/>
      <c r="AU100" s="17"/>
      <c r="AV100" s="17"/>
      <c r="AW100" s="17"/>
      <c r="AX100" s="17"/>
      <c r="AY100" s="17"/>
      <c r="AZ100" s="17"/>
      <c r="BA100" s="17"/>
      <c r="BB100" s="17"/>
      <c r="BC100" s="17"/>
      <c r="BD100" s="17"/>
      <c r="BE100" s="17"/>
      <c r="BF100" s="17"/>
      <c r="BG100" s="17"/>
      <c r="BH100" s="17"/>
      <c r="BI100" s="17"/>
      <c r="BJ100" s="17"/>
      <c r="BK100" s="17"/>
      <c r="BL100" s="17"/>
      <c r="BM100" s="17"/>
      <c r="BN100" s="17"/>
      <c r="BO100" s="17"/>
      <c r="BP100" s="17"/>
      <c r="BQ100" s="17"/>
      <c r="BR100" s="17"/>
      <c r="BS100" s="17"/>
      <c r="BT100" s="17"/>
      <c r="BU100" s="17"/>
      <c r="BV100" s="17"/>
      <c r="BW100" s="17"/>
      <c r="BX100" s="17"/>
      <c r="BY100" s="17"/>
      <c r="BZ100" s="17"/>
      <c r="CA100" s="17"/>
      <c r="CB100" s="17"/>
      <c r="CC100" s="17"/>
      <c r="CD100" s="17"/>
      <c r="CE100" s="17"/>
      <c r="CF100" s="17"/>
      <c r="CG100" s="17"/>
      <c r="CH100" s="17"/>
      <c r="CI100" s="17"/>
      <c r="CJ100" s="17"/>
      <c r="CK100" s="17"/>
      <c r="CL100" s="17"/>
      <c r="CM100" s="17"/>
      <c r="CN100" s="17"/>
      <c r="CO100" s="17"/>
      <c r="CP100" s="17"/>
      <c r="CQ100" s="17"/>
      <c r="CR100" s="17"/>
      <c r="CS100" s="17"/>
      <c r="CT100" s="17"/>
      <c r="CU100" s="17"/>
      <c r="CV100" s="17"/>
    </row>
    <row r="101" spans="2:100" x14ac:dyDescent="0.35">
      <c r="B101" s="9" t="s">
        <v>143</v>
      </c>
      <c r="C101" t="s">
        <v>338</v>
      </c>
      <c r="D101" t="s">
        <v>328</v>
      </c>
      <c r="E101" t="s">
        <v>217</v>
      </c>
      <c r="F101" s="17">
        <v>0</v>
      </c>
      <c r="G101" s="17">
        <v>387.22937999999999</v>
      </c>
      <c r="H101" s="17">
        <v>378.21420999999998</v>
      </c>
      <c r="I101" s="17">
        <v>369.72922999999997</v>
      </c>
      <c r="J101" s="17">
        <v>351.43328000000002</v>
      </c>
      <c r="K101" s="17">
        <v>346.43367000000001</v>
      </c>
      <c r="L101" s="17">
        <v>330.25364999999999</v>
      </c>
      <c r="M101" s="17">
        <v>313.83271999999999</v>
      </c>
      <c r="N101" s="17">
        <v>285.9932</v>
      </c>
      <c r="O101" s="17">
        <v>263.08224999999999</v>
      </c>
      <c r="P101" s="17">
        <v>227.76082</v>
      </c>
      <c r="Q101" s="17">
        <v>233.90303</v>
      </c>
      <c r="R101" s="17">
        <v>209.57928999999999</v>
      </c>
      <c r="S101" s="17">
        <v>195.27381</v>
      </c>
      <c r="T101" s="17">
        <v>187.12183999999999</v>
      </c>
      <c r="U101" s="17">
        <v>179.67121</v>
      </c>
      <c r="V101" s="17">
        <v>168.13795999999999</v>
      </c>
      <c r="W101" s="17">
        <v>158.50514999999999</v>
      </c>
      <c r="X101" s="17">
        <v>138.76635999999999</v>
      </c>
      <c r="Y101" s="17">
        <v>127.44611999999999</v>
      </c>
      <c r="Z101" s="17">
        <v>118.19479</v>
      </c>
      <c r="AA101" s="17">
        <v>109.89691999999999</v>
      </c>
      <c r="AB101" s="17">
        <v>261.27305000000001</v>
      </c>
      <c r="AC101" s="17">
        <v>240.77689000000001</v>
      </c>
      <c r="AD101" s="17">
        <v>225.64395999999999</v>
      </c>
      <c r="AE101" s="17">
        <v>211.72928999999999</v>
      </c>
      <c r="AF101" s="17">
        <v>204.93485999999999</v>
      </c>
      <c r="AG101" s="17">
        <v>196.15790999999999</v>
      </c>
      <c r="AH101" s="17">
        <v>189.71536</v>
      </c>
      <c r="AI101" s="17">
        <v>183.07194000000001</v>
      </c>
      <c r="AJ101" s="17">
        <v>172.31262000000001</v>
      </c>
      <c r="AK101" s="17">
        <v>163.4213</v>
      </c>
      <c r="AL101" s="17">
        <v>157.63557</v>
      </c>
      <c r="AM101" s="17">
        <v>149.23192</v>
      </c>
      <c r="AN101" s="17">
        <v>144.25649000000001</v>
      </c>
      <c r="AO101" s="17"/>
      <c r="AP101" s="17"/>
      <c r="AQ101" s="17"/>
      <c r="AR101" s="17"/>
      <c r="AS101" s="17"/>
      <c r="AT101" s="17"/>
      <c r="AU101" s="17"/>
      <c r="AV101" s="17"/>
      <c r="AW101" s="17"/>
      <c r="AX101" s="17"/>
      <c r="AY101" s="17"/>
      <c r="AZ101" s="17"/>
      <c r="BA101" s="17"/>
      <c r="BB101" s="17"/>
      <c r="BC101" s="17"/>
      <c r="BD101" s="17"/>
      <c r="BE101" s="17"/>
      <c r="BF101" s="17"/>
      <c r="BG101" s="17"/>
      <c r="BH101" s="17"/>
      <c r="BI101" s="17"/>
      <c r="BJ101" s="17"/>
      <c r="BK101" s="17"/>
      <c r="BL101" s="17"/>
      <c r="BM101" s="17"/>
      <c r="BN101" s="17"/>
      <c r="BO101" s="17"/>
      <c r="BP101" s="17"/>
      <c r="BQ101" s="17"/>
      <c r="BR101" s="17"/>
      <c r="BS101" s="17"/>
      <c r="BT101" s="17"/>
      <c r="BU101" s="17"/>
      <c r="BV101" s="17"/>
      <c r="BW101" s="17"/>
      <c r="BX101" s="17"/>
      <c r="BY101" s="17"/>
      <c r="BZ101" s="17"/>
      <c r="CA101" s="17"/>
      <c r="CB101" s="17"/>
      <c r="CC101" s="17"/>
      <c r="CD101" s="17"/>
      <c r="CE101" s="17"/>
      <c r="CF101" s="17"/>
      <c r="CG101" s="17"/>
      <c r="CH101" s="17"/>
      <c r="CI101" s="17"/>
      <c r="CJ101" s="17"/>
      <c r="CK101" s="17"/>
      <c r="CL101" s="17"/>
      <c r="CM101" s="17"/>
      <c r="CN101" s="17"/>
      <c r="CO101" s="17"/>
      <c r="CP101" s="17"/>
      <c r="CQ101" s="17"/>
      <c r="CR101" s="17"/>
      <c r="CS101" s="17"/>
      <c r="CT101" s="17"/>
      <c r="CU101" s="17"/>
      <c r="CV101" s="17"/>
    </row>
    <row r="102" spans="2:100" x14ac:dyDescent="0.35">
      <c r="B102" s="9"/>
      <c r="C102" t="s">
        <v>230</v>
      </c>
      <c r="D102" t="s">
        <v>329</v>
      </c>
      <c r="E102" t="s">
        <v>217</v>
      </c>
      <c r="F102" s="17">
        <v>0</v>
      </c>
      <c r="G102" s="17">
        <v>-40.570219999999999</v>
      </c>
      <c r="H102" s="17">
        <v>-64.799499999999995</v>
      </c>
      <c r="I102" s="17">
        <v>-57.051389999999998</v>
      </c>
      <c r="J102" s="17">
        <v>-45.104939999999999</v>
      </c>
      <c r="K102" s="17">
        <v>-24.449020000000001</v>
      </c>
      <c r="L102" s="17">
        <v>-18.676449999999999</v>
      </c>
      <c r="M102" s="17">
        <v>-14.56399</v>
      </c>
      <c r="N102" s="17">
        <v>-9.36707</v>
      </c>
      <c r="O102" s="17">
        <v>-0.85</v>
      </c>
      <c r="P102" s="17">
        <v>0</v>
      </c>
      <c r="Q102" s="17">
        <v>-0.45419999999999999</v>
      </c>
      <c r="R102" s="17">
        <v>-0.45419999999999999</v>
      </c>
      <c r="S102" s="17">
        <v>-0.85</v>
      </c>
      <c r="T102" s="17">
        <v>-0.85</v>
      </c>
      <c r="U102" s="17">
        <v>-0.87370999999999999</v>
      </c>
      <c r="V102" s="17">
        <v>-1.13239</v>
      </c>
      <c r="W102" s="17">
        <v>-5.0753199999999996</v>
      </c>
      <c r="X102" s="17">
        <v>-2.6503999999999999</v>
      </c>
      <c r="Y102" s="17">
        <v>-1.52624</v>
      </c>
      <c r="Z102" s="17">
        <v>0</v>
      </c>
      <c r="AA102" s="17">
        <v>0</v>
      </c>
      <c r="AB102" s="17">
        <v>0</v>
      </c>
      <c r="AC102" s="17">
        <v>0</v>
      </c>
      <c r="AD102" s="17">
        <v>0</v>
      </c>
      <c r="AE102" s="17">
        <v>0</v>
      </c>
      <c r="AF102" s="17">
        <v>0</v>
      </c>
      <c r="AG102" s="17">
        <v>0</v>
      </c>
      <c r="AH102" s="17">
        <v>0</v>
      </c>
      <c r="AI102" s="17">
        <v>0</v>
      </c>
      <c r="AJ102" s="17">
        <v>0</v>
      </c>
      <c r="AK102" s="17">
        <v>0</v>
      </c>
      <c r="AL102" s="17">
        <v>0</v>
      </c>
      <c r="AM102" s="17">
        <v>0</v>
      </c>
      <c r="AN102" s="17">
        <v>0</v>
      </c>
      <c r="AO102" s="17"/>
      <c r="AP102" s="17"/>
      <c r="AQ102" s="17"/>
      <c r="AR102" s="17"/>
      <c r="AS102" s="17"/>
      <c r="AT102" s="17"/>
      <c r="AU102" s="17"/>
      <c r="AV102" s="17"/>
      <c r="AW102" s="17"/>
      <c r="AX102" s="17"/>
      <c r="AY102" s="17"/>
      <c r="AZ102" s="17"/>
      <c r="BA102" s="17"/>
      <c r="BB102" s="17"/>
      <c r="BC102" s="17"/>
      <c r="BD102" s="17"/>
      <c r="BE102" s="17"/>
      <c r="BF102" s="17"/>
      <c r="BG102" s="17"/>
      <c r="BH102" s="17"/>
      <c r="BI102" s="17"/>
      <c r="BJ102" s="17"/>
      <c r="BK102" s="17"/>
      <c r="BL102" s="17"/>
      <c r="BM102" s="17"/>
      <c r="BN102" s="17"/>
      <c r="BO102" s="17"/>
      <c r="BP102" s="17"/>
      <c r="BQ102" s="17"/>
      <c r="BR102" s="17"/>
      <c r="BS102" s="17"/>
      <c r="BT102" s="17"/>
      <c r="BU102" s="17"/>
      <c r="BV102" s="17"/>
      <c r="BW102" s="17"/>
      <c r="BX102" s="17"/>
      <c r="BY102" s="17"/>
      <c r="BZ102" s="17"/>
      <c r="CA102" s="17"/>
      <c r="CB102" s="17"/>
      <c r="CC102" s="17"/>
      <c r="CD102" s="17"/>
      <c r="CE102" s="17"/>
      <c r="CF102" s="17"/>
      <c r="CG102" s="17"/>
      <c r="CH102" s="17"/>
      <c r="CI102" s="17"/>
      <c r="CJ102" s="17"/>
      <c r="CK102" s="17"/>
      <c r="CL102" s="17"/>
      <c r="CM102" s="17"/>
      <c r="CN102" s="17"/>
      <c r="CO102" s="17"/>
      <c r="CP102" s="17"/>
      <c r="CQ102" s="17"/>
      <c r="CR102" s="17"/>
      <c r="CS102" s="17"/>
      <c r="CT102" s="17"/>
      <c r="CU102" s="17"/>
      <c r="CV102" s="17"/>
    </row>
    <row r="103" spans="2:100" x14ac:dyDescent="0.35">
      <c r="B103" s="9"/>
      <c r="C103" t="s">
        <v>230</v>
      </c>
      <c r="D103" t="s">
        <v>330</v>
      </c>
      <c r="E103" t="s">
        <v>217</v>
      </c>
      <c r="F103" s="17">
        <v>0</v>
      </c>
      <c r="G103" s="17">
        <v>95.40231</v>
      </c>
      <c r="H103" s="17">
        <v>133.52157</v>
      </c>
      <c r="I103" s="17">
        <v>131.10535999999999</v>
      </c>
      <c r="J103" s="17">
        <v>146.37836999999999</v>
      </c>
      <c r="K103" s="17">
        <v>161.27771999999999</v>
      </c>
      <c r="L103" s="17">
        <v>148.46981</v>
      </c>
      <c r="M103" s="17">
        <v>167.66864000000001</v>
      </c>
      <c r="N103" s="17">
        <v>171.47310999999999</v>
      </c>
      <c r="O103" s="17">
        <v>152.78574</v>
      </c>
      <c r="P103" s="17">
        <v>187.93953999999999</v>
      </c>
      <c r="Q103" s="17">
        <v>204.49127999999999</v>
      </c>
      <c r="R103" s="17">
        <v>200.34102999999999</v>
      </c>
      <c r="S103" s="17">
        <v>201.07372000000001</v>
      </c>
      <c r="T103" s="17">
        <v>188.43735000000001</v>
      </c>
      <c r="U103" s="17">
        <v>194.08368999999999</v>
      </c>
      <c r="V103" s="17">
        <v>191.18779000000001</v>
      </c>
      <c r="W103" s="17">
        <v>201.45885000000001</v>
      </c>
      <c r="X103" s="17">
        <v>208.35145</v>
      </c>
      <c r="Y103" s="17">
        <v>206.94810000000001</v>
      </c>
      <c r="Z103" s="17">
        <v>193.73181</v>
      </c>
      <c r="AA103" s="17">
        <v>195.29715999999999</v>
      </c>
      <c r="AB103" s="17">
        <v>209.63567</v>
      </c>
      <c r="AC103" s="17">
        <v>200.82377</v>
      </c>
      <c r="AD103" s="17">
        <v>193.30124000000001</v>
      </c>
      <c r="AE103" s="17">
        <v>189.31197</v>
      </c>
      <c r="AF103" s="17">
        <v>180.99566999999999</v>
      </c>
      <c r="AG103" s="17">
        <v>178.66776999999999</v>
      </c>
      <c r="AH103" s="17">
        <v>178.31729000000001</v>
      </c>
      <c r="AI103" s="17">
        <v>169.08079000000001</v>
      </c>
      <c r="AJ103" s="17">
        <v>171.50335000000001</v>
      </c>
      <c r="AK103" s="17">
        <v>187.02431999999999</v>
      </c>
      <c r="AL103" s="17">
        <v>183.64998</v>
      </c>
      <c r="AM103" s="17">
        <v>177.81586999999999</v>
      </c>
      <c r="AN103" s="17">
        <v>182.2921</v>
      </c>
      <c r="AO103" s="17"/>
      <c r="AP103" s="17"/>
      <c r="AQ103" s="17"/>
      <c r="AR103" s="17"/>
      <c r="AS103" s="17"/>
      <c r="AT103" s="17"/>
      <c r="AU103" s="17"/>
      <c r="AV103" s="17"/>
      <c r="AW103" s="17"/>
      <c r="AX103" s="17"/>
      <c r="AY103" s="17"/>
      <c r="AZ103" s="17"/>
      <c r="BA103" s="17"/>
      <c r="BB103" s="17"/>
      <c r="BC103" s="17"/>
      <c r="BD103" s="17"/>
      <c r="BE103" s="17"/>
      <c r="BF103" s="17"/>
      <c r="BG103" s="17"/>
      <c r="BH103" s="17"/>
      <c r="BI103" s="17"/>
      <c r="BJ103" s="17"/>
      <c r="BK103" s="17"/>
      <c r="BL103" s="17"/>
      <c r="BM103" s="17"/>
      <c r="BN103" s="17"/>
      <c r="BO103" s="17"/>
      <c r="BP103" s="17"/>
      <c r="BQ103" s="17"/>
      <c r="BR103" s="17"/>
      <c r="BS103" s="17"/>
      <c r="BT103" s="17"/>
      <c r="BU103" s="17"/>
      <c r="BV103" s="17"/>
      <c r="BW103" s="17"/>
      <c r="BX103" s="17"/>
      <c r="BY103" s="17"/>
      <c r="BZ103" s="17"/>
      <c r="CA103" s="17"/>
      <c r="CB103" s="17"/>
      <c r="CC103" s="17"/>
      <c r="CD103" s="17"/>
      <c r="CE103" s="17"/>
      <c r="CF103" s="17"/>
      <c r="CG103" s="17"/>
      <c r="CH103" s="17"/>
      <c r="CI103" s="17"/>
      <c r="CJ103" s="17"/>
      <c r="CK103" s="17"/>
      <c r="CL103" s="17"/>
      <c r="CM103" s="17"/>
      <c r="CN103" s="17"/>
      <c r="CO103" s="17"/>
      <c r="CP103" s="17"/>
      <c r="CQ103" s="17"/>
      <c r="CR103" s="17"/>
      <c r="CS103" s="17"/>
      <c r="CT103" s="17"/>
      <c r="CU103" s="17"/>
      <c r="CV103" s="17"/>
    </row>
    <row r="104" spans="2:100" x14ac:dyDescent="0.35">
      <c r="B104" s="9"/>
      <c r="C104" t="s">
        <v>230</v>
      </c>
      <c r="D104" t="s">
        <v>331</v>
      </c>
      <c r="E104" t="s">
        <v>217</v>
      </c>
      <c r="F104" s="17">
        <v>0</v>
      </c>
      <c r="G104" s="17">
        <v>-60.594520000000003</v>
      </c>
      <c r="H104" s="17">
        <v>-59.555370000000003</v>
      </c>
      <c r="I104" s="17">
        <v>-60.493569999999998</v>
      </c>
      <c r="J104" s="17">
        <v>-57.540709999999997</v>
      </c>
      <c r="K104" s="17">
        <v>-62.813319999999997</v>
      </c>
      <c r="L104" s="17">
        <v>-56.285319999999999</v>
      </c>
      <c r="M104" s="17">
        <v>-58.730229999999999</v>
      </c>
      <c r="N104" s="17">
        <v>-56.469970000000004</v>
      </c>
      <c r="O104" s="17">
        <v>-64.295140000000004</v>
      </c>
      <c r="P104" s="17">
        <v>-65.822789999999998</v>
      </c>
      <c r="Q104" s="17">
        <v>-46.206949999999999</v>
      </c>
      <c r="R104" s="17">
        <v>-53.0364</v>
      </c>
      <c r="S104" s="17">
        <v>-54.191719999999997</v>
      </c>
      <c r="T104" s="17">
        <v>-53.486359999999998</v>
      </c>
      <c r="U104" s="17">
        <v>-51.948810000000002</v>
      </c>
      <c r="V104" s="17">
        <v>-45.54372</v>
      </c>
      <c r="W104" s="17">
        <v>-48.665520000000001</v>
      </c>
      <c r="X104" s="17">
        <v>-45.467350000000003</v>
      </c>
      <c r="Y104" s="17">
        <v>-42.935899999999997</v>
      </c>
      <c r="Z104" s="17">
        <v>-46.782719999999998</v>
      </c>
      <c r="AA104" s="17">
        <v>-42.665120000000002</v>
      </c>
      <c r="AB104" s="17">
        <v>-40.691850000000002</v>
      </c>
      <c r="AC104" s="17">
        <v>-41.921289999999999</v>
      </c>
      <c r="AD104" s="17">
        <v>-43.558300000000003</v>
      </c>
      <c r="AE104" s="17">
        <v>-40.748849999999997</v>
      </c>
      <c r="AF104" s="17">
        <v>-39.211759999999998</v>
      </c>
      <c r="AG104" s="17">
        <v>-41.701390000000004</v>
      </c>
      <c r="AH104" s="17">
        <v>-40.224670000000003</v>
      </c>
      <c r="AI104" s="17">
        <v>-41.03145</v>
      </c>
      <c r="AJ104" s="17">
        <v>-43.867139999999999</v>
      </c>
      <c r="AK104" s="17">
        <v>-40.622230000000002</v>
      </c>
      <c r="AL104" s="17">
        <v>-46.881019999999999</v>
      </c>
      <c r="AM104" s="17">
        <v>-45.305689999999998</v>
      </c>
      <c r="AN104" s="17">
        <v>-44.712319999999998</v>
      </c>
      <c r="AO104" s="17"/>
      <c r="AP104" s="17"/>
      <c r="AQ104" s="17"/>
      <c r="AR104" s="17"/>
      <c r="AS104" s="17"/>
      <c r="AT104" s="17"/>
      <c r="AU104" s="17"/>
      <c r="AV104" s="17"/>
      <c r="AW104" s="17"/>
      <c r="AX104" s="17"/>
      <c r="AY104" s="17"/>
      <c r="AZ104" s="17"/>
      <c r="BA104" s="17"/>
      <c r="BB104" s="17"/>
      <c r="BC104" s="17"/>
      <c r="BD104" s="17"/>
      <c r="BE104" s="17"/>
      <c r="BF104" s="17"/>
      <c r="BG104" s="17"/>
      <c r="BH104" s="17"/>
      <c r="BI104" s="17"/>
      <c r="BJ104" s="17"/>
      <c r="BK104" s="17"/>
      <c r="BL104" s="17"/>
      <c r="BM104" s="17"/>
      <c r="BN104" s="17"/>
      <c r="BO104" s="17"/>
      <c r="BP104" s="17"/>
      <c r="BQ104" s="17"/>
      <c r="BR104" s="17"/>
      <c r="BS104" s="17"/>
      <c r="BT104" s="17"/>
      <c r="BU104" s="17"/>
      <c r="BV104" s="17"/>
      <c r="BW104" s="17"/>
      <c r="BX104" s="17"/>
      <c r="BY104" s="17"/>
      <c r="BZ104" s="17"/>
      <c r="CA104" s="17"/>
      <c r="CB104" s="17"/>
      <c r="CC104" s="17"/>
      <c r="CD104" s="17"/>
      <c r="CE104" s="17"/>
      <c r="CF104" s="17"/>
      <c r="CG104" s="17"/>
      <c r="CH104" s="17"/>
      <c r="CI104" s="17"/>
      <c r="CJ104" s="17"/>
      <c r="CK104" s="17"/>
      <c r="CL104" s="17"/>
      <c r="CM104" s="17"/>
      <c r="CN104" s="17"/>
      <c r="CO104" s="17"/>
      <c r="CP104" s="17"/>
      <c r="CQ104" s="17"/>
      <c r="CR104" s="17"/>
      <c r="CS104" s="17"/>
      <c r="CT104" s="17"/>
      <c r="CU104" s="17"/>
      <c r="CV104" s="17"/>
    </row>
    <row r="105" spans="2:100" x14ac:dyDescent="0.35">
      <c r="B105" s="9"/>
      <c r="C105" t="s">
        <v>230</v>
      </c>
      <c r="D105" t="s">
        <v>332</v>
      </c>
      <c r="E105" t="s">
        <v>217</v>
      </c>
      <c r="F105" s="17">
        <v>0</v>
      </c>
      <c r="G105" s="17">
        <v>229.71928</v>
      </c>
      <c r="H105" s="17">
        <v>176.96226999999999</v>
      </c>
      <c r="I105" s="17">
        <v>164.86832999999999</v>
      </c>
      <c r="J105" s="17">
        <v>155.45359999999999</v>
      </c>
      <c r="K105" s="17">
        <v>131.68852999999999</v>
      </c>
      <c r="L105" s="17">
        <v>150.79257999999999</v>
      </c>
      <c r="M105" s="17">
        <v>134.72415000000001</v>
      </c>
      <c r="N105" s="17">
        <v>147.78505000000001</v>
      </c>
      <c r="O105" s="17">
        <v>179.63910999999999</v>
      </c>
      <c r="P105" s="17">
        <v>163.83949999999999</v>
      </c>
      <c r="Q105" s="17">
        <v>140.30789999999999</v>
      </c>
      <c r="R105" s="17">
        <v>151.08020999999999</v>
      </c>
      <c r="S105" s="17">
        <v>159.43042</v>
      </c>
      <c r="T105" s="17">
        <v>165.96343999999999</v>
      </c>
      <c r="U105" s="17">
        <v>164.4539</v>
      </c>
      <c r="V105" s="17">
        <v>163.98025000000001</v>
      </c>
      <c r="W105" s="17">
        <v>154.12994</v>
      </c>
      <c r="X105" s="17">
        <v>162.61283</v>
      </c>
      <c r="Y105" s="17">
        <v>166.40183999999999</v>
      </c>
      <c r="Z105" s="17">
        <v>178.34756999999999</v>
      </c>
      <c r="AA105" s="17">
        <v>174.97385</v>
      </c>
      <c r="AB105" s="17">
        <v>239.14484999999999</v>
      </c>
      <c r="AC105" s="17">
        <v>243.50995</v>
      </c>
      <c r="AD105" s="17">
        <v>246.31599</v>
      </c>
      <c r="AE105" s="17">
        <v>249.48229000000001</v>
      </c>
      <c r="AF105" s="17">
        <v>251.40065999999999</v>
      </c>
      <c r="AG105" s="17">
        <v>249.44262000000001</v>
      </c>
      <c r="AH105" s="17">
        <v>246.52828</v>
      </c>
      <c r="AI105" s="17">
        <v>251.77049</v>
      </c>
      <c r="AJ105" s="17">
        <v>251.0797</v>
      </c>
      <c r="AK105" s="17">
        <v>234.99014</v>
      </c>
      <c r="AL105" s="17">
        <v>230.39354</v>
      </c>
      <c r="AM105" s="17">
        <v>233.90501</v>
      </c>
      <c r="AN105" s="17">
        <v>227.66876999999999</v>
      </c>
      <c r="AO105" s="17"/>
      <c r="AP105" s="17"/>
      <c r="AQ105" s="17"/>
      <c r="AR105" s="17"/>
      <c r="AS105" s="17"/>
      <c r="AT105" s="17"/>
      <c r="AU105" s="17"/>
      <c r="AV105" s="17"/>
      <c r="AW105" s="17"/>
      <c r="AX105" s="17"/>
      <c r="AY105" s="17"/>
      <c r="AZ105" s="17"/>
      <c r="BA105" s="17"/>
      <c r="BB105" s="17"/>
      <c r="BC105" s="17"/>
      <c r="BD105" s="17"/>
      <c r="BE105" s="17"/>
      <c r="BF105" s="17"/>
      <c r="BG105" s="17"/>
      <c r="BH105" s="17"/>
      <c r="BI105" s="17"/>
      <c r="BJ105" s="17"/>
      <c r="BK105" s="17"/>
      <c r="BL105" s="17"/>
      <c r="BM105" s="17"/>
      <c r="BN105" s="17"/>
      <c r="BO105" s="17"/>
      <c r="BP105" s="17"/>
      <c r="BQ105" s="17"/>
      <c r="BR105" s="17"/>
      <c r="BS105" s="17"/>
      <c r="BT105" s="17"/>
      <c r="BU105" s="17"/>
      <c r="BV105" s="17"/>
      <c r="BW105" s="17"/>
      <c r="BX105" s="17"/>
      <c r="BY105" s="17"/>
      <c r="BZ105" s="17"/>
      <c r="CA105" s="17"/>
      <c r="CB105" s="17"/>
      <c r="CC105" s="17"/>
      <c r="CD105" s="17"/>
      <c r="CE105" s="17"/>
      <c r="CF105" s="17"/>
      <c r="CG105" s="17"/>
      <c r="CH105" s="17"/>
      <c r="CI105" s="17"/>
      <c r="CJ105" s="17"/>
      <c r="CK105" s="17"/>
      <c r="CL105" s="17"/>
      <c r="CM105" s="17"/>
      <c r="CN105" s="17"/>
      <c r="CO105" s="17"/>
      <c r="CP105" s="17"/>
      <c r="CQ105" s="17"/>
      <c r="CR105" s="17"/>
      <c r="CS105" s="17"/>
      <c r="CT105" s="17"/>
      <c r="CU105" s="17"/>
      <c r="CV105" s="17"/>
    </row>
    <row r="106" spans="2:100" x14ac:dyDescent="0.35">
      <c r="B106" s="9"/>
      <c r="C106" t="s">
        <v>230</v>
      </c>
      <c r="D106" t="s">
        <v>333</v>
      </c>
      <c r="E106" t="s">
        <v>217</v>
      </c>
      <c r="F106" s="17">
        <v>0</v>
      </c>
      <c r="G106" s="17">
        <v>-246.5137</v>
      </c>
      <c r="H106" s="17">
        <v>-210.36662000000001</v>
      </c>
      <c r="I106" s="17">
        <v>-199.77543</v>
      </c>
      <c r="J106" s="17">
        <v>-177.34907000000001</v>
      </c>
      <c r="K106" s="17">
        <v>-186.92168000000001</v>
      </c>
      <c r="L106" s="17">
        <v>-209.68375</v>
      </c>
      <c r="M106" s="17">
        <v>-190.83609000000001</v>
      </c>
      <c r="N106" s="17">
        <v>-186.27771999999999</v>
      </c>
      <c r="O106" s="17">
        <v>-178.15643</v>
      </c>
      <c r="P106" s="17">
        <v>-179.82257000000001</v>
      </c>
      <c r="Q106" s="17">
        <v>-223.04413</v>
      </c>
      <c r="R106" s="17">
        <v>-199.50485</v>
      </c>
      <c r="S106" s="17">
        <v>-204.14604</v>
      </c>
      <c r="T106" s="17">
        <v>-197.07128</v>
      </c>
      <c r="U106" s="17">
        <v>-207.86557999999999</v>
      </c>
      <c r="V106" s="17">
        <v>-221.14144999999999</v>
      </c>
      <c r="W106" s="17">
        <v>-199.79155</v>
      </c>
      <c r="X106" s="17">
        <v>-215.00385</v>
      </c>
      <c r="Y106" s="17">
        <v>-221.20856000000001</v>
      </c>
      <c r="Z106" s="17">
        <v>-212.9504</v>
      </c>
      <c r="AA106" s="17">
        <v>-216.20191</v>
      </c>
      <c r="AB106" s="17">
        <v>-338.11176999999998</v>
      </c>
      <c r="AC106" s="17">
        <v>-322.78341</v>
      </c>
      <c r="AD106" s="17">
        <v>-323.68401</v>
      </c>
      <c r="AE106" s="17">
        <v>-328.11198999999999</v>
      </c>
      <c r="AF106" s="17">
        <v>-325.73647</v>
      </c>
      <c r="AG106" s="17">
        <v>-307.90269000000001</v>
      </c>
      <c r="AH106" s="17">
        <v>-303.64152000000001</v>
      </c>
      <c r="AI106" s="17">
        <v>-306.96668</v>
      </c>
      <c r="AJ106" s="17">
        <v>-298.44882000000001</v>
      </c>
      <c r="AK106" s="17">
        <v>-288.84471000000002</v>
      </c>
      <c r="AL106" s="17">
        <v>-267.69779</v>
      </c>
      <c r="AM106" s="17">
        <v>-255.37074999999999</v>
      </c>
      <c r="AN106" s="17">
        <v>-246.07016999999999</v>
      </c>
      <c r="AO106" s="17"/>
      <c r="AP106" s="17"/>
      <c r="AQ106" s="17"/>
      <c r="AR106" s="17"/>
      <c r="AS106" s="17"/>
      <c r="AT106" s="17"/>
      <c r="AU106" s="17"/>
      <c r="AV106" s="17"/>
      <c r="AW106" s="17"/>
      <c r="AX106" s="17"/>
      <c r="AY106" s="17"/>
      <c r="AZ106" s="17"/>
      <c r="BA106" s="17"/>
      <c r="BB106" s="17"/>
      <c r="BC106" s="17"/>
      <c r="BD106" s="17"/>
      <c r="BE106" s="17"/>
      <c r="BF106" s="17"/>
      <c r="BG106" s="17"/>
      <c r="BH106" s="17"/>
      <c r="BI106" s="17"/>
      <c r="BJ106" s="17"/>
      <c r="BK106" s="17"/>
      <c r="BL106" s="17"/>
      <c r="BM106" s="17"/>
      <c r="BN106" s="17"/>
      <c r="BO106" s="17"/>
      <c r="BP106" s="17"/>
      <c r="BQ106" s="17"/>
      <c r="BR106" s="17"/>
      <c r="BS106" s="17"/>
      <c r="BT106" s="17"/>
      <c r="BU106" s="17"/>
      <c r="BV106" s="17"/>
      <c r="BW106" s="17"/>
      <c r="BX106" s="17"/>
      <c r="BY106" s="17"/>
      <c r="BZ106" s="17"/>
      <c r="CA106" s="17"/>
      <c r="CB106" s="17"/>
      <c r="CC106" s="17"/>
      <c r="CD106" s="17"/>
      <c r="CE106" s="17"/>
      <c r="CF106" s="17"/>
      <c r="CG106" s="17"/>
      <c r="CH106" s="17"/>
      <c r="CI106" s="17"/>
      <c r="CJ106" s="17"/>
      <c r="CK106" s="17"/>
      <c r="CL106" s="17"/>
      <c r="CM106" s="17"/>
      <c r="CN106" s="17"/>
      <c r="CO106" s="17"/>
      <c r="CP106" s="17"/>
      <c r="CQ106" s="17"/>
      <c r="CR106" s="17"/>
      <c r="CS106" s="17"/>
      <c r="CT106" s="17"/>
      <c r="CU106" s="17"/>
      <c r="CV106" s="17"/>
    </row>
    <row r="107" spans="2:100" x14ac:dyDescent="0.35">
      <c r="B107" s="9"/>
      <c r="C107" t="s">
        <v>230</v>
      </c>
      <c r="D107" t="s">
        <v>334</v>
      </c>
      <c r="E107" t="s">
        <v>217</v>
      </c>
      <c r="F107" s="17">
        <v>0</v>
      </c>
      <c r="G107" s="17">
        <v>712.35090000000002</v>
      </c>
      <c r="H107" s="17">
        <v>688.69816000000003</v>
      </c>
      <c r="I107" s="17">
        <v>665.70295999999996</v>
      </c>
      <c r="J107" s="17">
        <v>653.26518999999996</v>
      </c>
      <c r="K107" s="17">
        <v>639.39988000000005</v>
      </c>
      <c r="L107" s="17">
        <v>629.51611000000003</v>
      </c>
      <c r="M107" s="17">
        <v>616.22558000000004</v>
      </c>
      <c r="N107" s="17">
        <v>605.25129000000004</v>
      </c>
      <c r="O107" s="17">
        <v>595.50710000000004</v>
      </c>
      <c r="P107" s="17">
        <v>579.53989999999999</v>
      </c>
      <c r="Q107" s="17">
        <v>578.70225000000005</v>
      </c>
      <c r="R107" s="17">
        <v>561.00058999999999</v>
      </c>
      <c r="S107" s="17">
        <v>555.77797999999996</v>
      </c>
      <c r="T107" s="17">
        <v>541.52265999999997</v>
      </c>
      <c r="U107" s="17">
        <v>538.20884999999998</v>
      </c>
      <c r="V107" s="17">
        <v>523.30606</v>
      </c>
      <c r="W107" s="17">
        <v>514.09401000000003</v>
      </c>
      <c r="X107" s="17">
        <v>509.73059999999998</v>
      </c>
      <c r="Y107" s="17">
        <v>500.79606999999999</v>
      </c>
      <c r="Z107" s="17">
        <v>490.27415000000002</v>
      </c>
      <c r="AA107" s="17">
        <v>480.16791999999998</v>
      </c>
      <c r="AB107" s="17">
        <v>710.05359999999996</v>
      </c>
      <c r="AC107" s="17">
        <v>685.11069999999995</v>
      </c>
      <c r="AD107" s="17">
        <v>665.26125999999999</v>
      </c>
      <c r="AE107" s="17">
        <v>650.52353000000005</v>
      </c>
      <c r="AF107" s="17">
        <v>637.33117000000004</v>
      </c>
      <c r="AG107" s="17">
        <v>624.26842999999997</v>
      </c>
      <c r="AH107" s="17">
        <v>614.56091000000004</v>
      </c>
      <c r="AI107" s="17">
        <v>603.92325000000005</v>
      </c>
      <c r="AJ107" s="17">
        <v>594.89563999999996</v>
      </c>
      <c r="AK107" s="17">
        <v>585.43579</v>
      </c>
      <c r="AL107" s="17">
        <v>571.67911000000004</v>
      </c>
      <c r="AM107" s="17">
        <v>560.95277999999996</v>
      </c>
      <c r="AN107" s="17">
        <v>554.21736999999996</v>
      </c>
      <c r="AO107" s="17"/>
      <c r="AP107" s="17"/>
      <c r="AQ107" s="17"/>
      <c r="AR107" s="17"/>
      <c r="AS107" s="17"/>
      <c r="AT107" s="17"/>
      <c r="AU107" s="17"/>
      <c r="AV107" s="17"/>
      <c r="AW107" s="17"/>
      <c r="AX107" s="17"/>
      <c r="AY107" s="17"/>
      <c r="AZ107" s="17"/>
      <c r="BA107" s="17"/>
      <c r="BB107" s="17"/>
      <c r="BC107" s="17"/>
      <c r="BD107" s="17"/>
      <c r="BE107" s="17"/>
      <c r="BF107" s="17"/>
      <c r="BG107" s="17"/>
      <c r="BH107" s="17"/>
      <c r="BI107" s="17"/>
      <c r="BJ107" s="17"/>
      <c r="BK107" s="17"/>
      <c r="BL107" s="17"/>
      <c r="BM107" s="17"/>
      <c r="BN107" s="17"/>
      <c r="BO107" s="17"/>
      <c r="BP107" s="17"/>
      <c r="BQ107" s="17"/>
      <c r="BR107" s="17"/>
      <c r="BS107" s="17"/>
      <c r="BT107" s="17"/>
      <c r="BU107" s="17"/>
      <c r="BV107" s="17"/>
      <c r="BW107" s="17"/>
      <c r="BX107" s="17"/>
      <c r="BY107" s="17"/>
      <c r="BZ107" s="17"/>
      <c r="CA107" s="17"/>
      <c r="CB107" s="17"/>
      <c r="CC107" s="17"/>
      <c r="CD107" s="17"/>
      <c r="CE107" s="17"/>
      <c r="CF107" s="17"/>
      <c r="CG107" s="17"/>
      <c r="CH107" s="17"/>
      <c r="CI107" s="17"/>
      <c r="CJ107" s="17"/>
      <c r="CK107" s="17"/>
      <c r="CL107" s="17"/>
      <c r="CM107" s="17"/>
      <c r="CN107" s="17"/>
      <c r="CO107" s="17"/>
      <c r="CP107" s="17"/>
      <c r="CQ107" s="17"/>
      <c r="CR107" s="17"/>
      <c r="CS107" s="17"/>
      <c r="CT107" s="17"/>
      <c r="CU107" s="17"/>
      <c r="CV107" s="17"/>
    </row>
    <row r="108" spans="2:100" x14ac:dyDescent="0.35">
      <c r="B108" s="9"/>
      <c r="C108" t="s">
        <v>230</v>
      </c>
      <c r="D108" t="s">
        <v>335</v>
      </c>
      <c r="E108" t="s">
        <v>217</v>
      </c>
      <c r="F108" s="17">
        <v>0</v>
      </c>
      <c r="G108" s="17">
        <v>-347.67851999999999</v>
      </c>
      <c r="H108" s="17">
        <v>-334.72149999999999</v>
      </c>
      <c r="I108" s="17">
        <v>-317.32044999999999</v>
      </c>
      <c r="J108" s="17">
        <v>-279.99471999999997</v>
      </c>
      <c r="K108" s="17">
        <v>-274.18403000000001</v>
      </c>
      <c r="L108" s="17">
        <v>-284.64553000000001</v>
      </c>
      <c r="M108" s="17">
        <v>-264.13033000000001</v>
      </c>
      <c r="N108" s="17">
        <v>-252.11475999999999</v>
      </c>
      <c r="O108" s="17">
        <v>-243.30160000000001</v>
      </c>
      <c r="P108" s="17">
        <v>-245.64536000000001</v>
      </c>
      <c r="Q108" s="17">
        <v>-269.70530000000002</v>
      </c>
      <c r="R108" s="17">
        <v>-252.99540999999999</v>
      </c>
      <c r="S108" s="17">
        <v>-259.18777</v>
      </c>
      <c r="T108" s="17">
        <v>-251.40764999999999</v>
      </c>
      <c r="U108" s="17">
        <v>-260.68810000000002</v>
      </c>
      <c r="V108" s="17">
        <v>-267.81759</v>
      </c>
      <c r="W108" s="17">
        <v>-253.53238999999999</v>
      </c>
      <c r="X108" s="17">
        <v>-263.12162999999998</v>
      </c>
      <c r="Y108" s="17">
        <v>-265.67070000000001</v>
      </c>
      <c r="Z108" s="17">
        <v>-259.73315000000002</v>
      </c>
      <c r="AA108" s="17">
        <v>-258.86703</v>
      </c>
      <c r="AB108" s="17">
        <v>-378.80365999999998</v>
      </c>
      <c r="AC108" s="17">
        <v>-364.70470999999998</v>
      </c>
      <c r="AD108" s="17">
        <v>-367.24234000000001</v>
      </c>
      <c r="AE108" s="17">
        <v>-368.86086</v>
      </c>
      <c r="AF108" s="17">
        <v>-364.94823000000002</v>
      </c>
      <c r="AG108" s="17">
        <v>-349.60404999999997</v>
      </c>
      <c r="AH108" s="17">
        <v>-343.86617999999999</v>
      </c>
      <c r="AI108" s="17">
        <v>-347.99813999999998</v>
      </c>
      <c r="AJ108" s="17">
        <v>-342.31594999999999</v>
      </c>
      <c r="AK108" s="17">
        <v>-329.46695999999997</v>
      </c>
      <c r="AL108" s="17">
        <v>-314.57882999999998</v>
      </c>
      <c r="AM108" s="17">
        <v>-300.67644000000001</v>
      </c>
      <c r="AN108" s="17">
        <v>-290.78250000000003</v>
      </c>
      <c r="AO108" s="17"/>
      <c r="AP108" s="17"/>
      <c r="AQ108" s="17"/>
      <c r="AR108" s="17"/>
      <c r="AS108" s="17"/>
      <c r="AT108" s="17"/>
      <c r="AU108" s="17"/>
      <c r="AV108" s="17"/>
      <c r="AW108" s="17"/>
      <c r="AX108" s="17"/>
      <c r="AY108" s="17"/>
      <c r="AZ108" s="17"/>
      <c r="BA108" s="17"/>
      <c r="BB108" s="17"/>
      <c r="BC108" s="17"/>
      <c r="BD108" s="17"/>
      <c r="BE108" s="17"/>
      <c r="BF108" s="17"/>
      <c r="BG108" s="17"/>
      <c r="BH108" s="17"/>
      <c r="BI108" s="17"/>
      <c r="BJ108" s="17"/>
      <c r="BK108" s="17"/>
      <c r="BL108" s="17"/>
      <c r="BM108" s="17"/>
      <c r="BN108" s="17"/>
      <c r="BO108" s="17"/>
      <c r="BP108" s="17"/>
      <c r="BQ108" s="17"/>
      <c r="BR108" s="17"/>
      <c r="BS108" s="17"/>
      <c r="BT108" s="17"/>
      <c r="BU108" s="17"/>
      <c r="BV108" s="17"/>
      <c r="BW108" s="17"/>
      <c r="BX108" s="17"/>
      <c r="BY108" s="17"/>
      <c r="BZ108" s="17"/>
      <c r="CA108" s="17"/>
      <c r="CB108" s="17"/>
      <c r="CC108" s="17"/>
      <c r="CD108" s="17"/>
      <c r="CE108" s="17"/>
      <c r="CF108" s="17"/>
      <c r="CG108" s="17"/>
      <c r="CH108" s="17"/>
      <c r="CI108" s="17"/>
      <c r="CJ108" s="17"/>
      <c r="CK108" s="17"/>
      <c r="CL108" s="17"/>
      <c r="CM108" s="17"/>
      <c r="CN108" s="17"/>
      <c r="CO108" s="17"/>
      <c r="CP108" s="17"/>
      <c r="CQ108" s="17"/>
      <c r="CR108" s="17"/>
      <c r="CS108" s="17"/>
      <c r="CT108" s="17"/>
      <c r="CU108" s="17"/>
      <c r="CV108" s="17"/>
    </row>
    <row r="109" spans="2:100" x14ac:dyDescent="0.35">
      <c r="B109" s="9"/>
      <c r="D109" t="s">
        <v>336</v>
      </c>
      <c r="E109" t="s">
        <v>217</v>
      </c>
      <c r="F109" s="17">
        <v>0</v>
      </c>
      <c r="G109" s="17">
        <v>-517.39936</v>
      </c>
      <c r="H109" s="17">
        <v>-503.75826000000001</v>
      </c>
      <c r="I109" s="17">
        <v>-494.19893999999999</v>
      </c>
      <c r="J109" s="17">
        <v>-515.26978999999994</v>
      </c>
      <c r="K109" s="17">
        <v>-504.78771999999998</v>
      </c>
      <c r="L109" s="17">
        <v>-483.86295999999999</v>
      </c>
      <c r="M109" s="17">
        <v>-489.08415000000002</v>
      </c>
      <c r="N109" s="17">
        <v>-489.72665000000001</v>
      </c>
      <c r="O109" s="17">
        <v>-487.43203999999997</v>
      </c>
      <c r="P109" s="17">
        <v>-465.75252</v>
      </c>
      <c r="Q109" s="17">
        <v>-443.86824999999999</v>
      </c>
      <c r="R109" s="17">
        <v>-439.47313000000003</v>
      </c>
      <c r="S109" s="17">
        <v>-428.34503999999998</v>
      </c>
      <c r="T109" s="17">
        <v>-417.96161999999998</v>
      </c>
      <c r="U109" s="17">
        <v>-406.94002</v>
      </c>
      <c r="V109" s="17">
        <v>-383.06171999999998</v>
      </c>
      <c r="W109" s="17">
        <v>-386.70184999999998</v>
      </c>
      <c r="X109" s="17">
        <v>-371.93938000000003</v>
      </c>
      <c r="Y109" s="17">
        <v>-360.44081</v>
      </c>
      <c r="Z109" s="17">
        <v>-353.99731000000003</v>
      </c>
      <c r="AA109" s="17">
        <v>-343.14010999999999</v>
      </c>
      <c r="AB109" s="17">
        <v>-484.85581999999999</v>
      </c>
      <c r="AC109" s="17">
        <v>-469.45094</v>
      </c>
      <c r="AD109" s="17">
        <v>-444.41289999999998</v>
      </c>
      <c r="AE109" s="17">
        <v>-426.23549000000003</v>
      </c>
      <c r="AF109" s="17">
        <v>-414.20780000000002</v>
      </c>
      <c r="AG109" s="17">
        <v>-415.66845000000001</v>
      </c>
      <c r="AH109" s="17">
        <v>-410.54324000000003</v>
      </c>
      <c r="AI109" s="17">
        <v>-394.779</v>
      </c>
      <c r="AJ109" s="17">
        <v>-389.49482</v>
      </c>
      <c r="AK109" s="17">
        <v>-392.62927000000002</v>
      </c>
      <c r="AL109" s="17">
        <v>-390.39303000000001</v>
      </c>
      <c r="AM109" s="17">
        <v>-391.85037999999997</v>
      </c>
      <c r="AN109" s="17">
        <v>-394.13305000000003</v>
      </c>
      <c r="AO109" s="17"/>
      <c r="AP109" s="17"/>
      <c r="AQ109" s="17"/>
      <c r="AR109" s="17"/>
      <c r="AS109" s="17"/>
      <c r="AT109" s="17"/>
      <c r="AU109" s="17"/>
      <c r="AV109" s="17"/>
      <c r="AW109" s="17"/>
      <c r="AX109" s="17"/>
      <c r="AY109" s="17"/>
      <c r="AZ109" s="17"/>
      <c r="BA109" s="17"/>
      <c r="BB109" s="17"/>
      <c r="BC109" s="17"/>
      <c r="BD109" s="17"/>
      <c r="BE109" s="17"/>
      <c r="BF109" s="17"/>
      <c r="BG109" s="17"/>
      <c r="BH109" s="17"/>
      <c r="BI109" s="17"/>
      <c r="BJ109" s="17"/>
      <c r="BK109" s="17"/>
      <c r="BL109" s="17"/>
      <c r="BM109" s="17"/>
      <c r="BN109" s="17"/>
      <c r="BO109" s="17"/>
      <c r="BP109" s="17"/>
      <c r="BQ109" s="17"/>
      <c r="BR109" s="17"/>
      <c r="BS109" s="17"/>
      <c r="BT109" s="17"/>
      <c r="BU109" s="17"/>
      <c r="BV109" s="17"/>
      <c r="BW109" s="17"/>
      <c r="BX109" s="17"/>
      <c r="BY109" s="17"/>
      <c r="BZ109" s="17"/>
      <c r="CA109" s="17"/>
      <c r="CB109" s="17"/>
      <c r="CC109" s="17"/>
      <c r="CD109" s="17"/>
      <c r="CE109" s="17"/>
      <c r="CF109" s="17"/>
      <c r="CG109" s="17"/>
      <c r="CH109" s="17"/>
      <c r="CI109" s="17"/>
      <c r="CJ109" s="17"/>
      <c r="CK109" s="17"/>
      <c r="CL109" s="17"/>
      <c r="CM109" s="17"/>
      <c r="CN109" s="17"/>
      <c r="CO109" s="17"/>
      <c r="CP109" s="17"/>
      <c r="CQ109" s="17"/>
      <c r="CR109" s="17"/>
      <c r="CS109" s="17"/>
      <c r="CT109" s="17"/>
      <c r="CU109" s="17"/>
      <c r="CV109" s="17"/>
    </row>
    <row r="110" spans="2:100" x14ac:dyDescent="0.35">
      <c r="B110" s="9"/>
      <c r="C110" t="s">
        <v>339</v>
      </c>
      <c r="D110" t="s">
        <v>340</v>
      </c>
      <c r="E110" t="s">
        <v>219</v>
      </c>
      <c r="F110" s="17">
        <v>0</v>
      </c>
      <c r="G110" s="17">
        <v>91.105539418272002</v>
      </c>
      <c r="H110" s="17">
        <v>81.119280484046101</v>
      </c>
      <c r="I110" s="17">
        <v>66.417653223968699</v>
      </c>
      <c r="J110" s="17">
        <v>54.794705464741298</v>
      </c>
      <c r="K110" s="17">
        <v>56.289849769547601</v>
      </c>
      <c r="L110" s="17">
        <v>56.384571458573397</v>
      </c>
      <c r="M110" s="17">
        <v>51.030471602036499</v>
      </c>
      <c r="N110" s="17">
        <v>44.118003037694997</v>
      </c>
      <c r="O110" s="17">
        <v>38.520292828627802</v>
      </c>
      <c r="P110" s="17">
        <v>32.055733431263299</v>
      </c>
      <c r="Q110" s="17">
        <v>33.876652650658798</v>
      </c>
      <c r="R110" s="17">
        <v>29.359837365683401</v>
      </c>
      <c r="S110" s="17">
        <v>27.096859221491901</v>
      </c>
      <c r="T110" s="17">
        <v>25.5061992662209</v>
      </c>
      <c r="U110" s="17">
        <v>24.088915416726</v>
      </c>
      <c r="V110" s="17">
        <v>22.557844356812101</v>
      </c>
      <c r="W110" s="17">
        <v>21.165110630754999</v>
      </c>
      <c r="X110" s="17">
        <v>18.238558320331201</v>
      </c>
      <c r="Y110" s="17">
        <v>16.6732737905199</v>
      </c>
      <c r="Z110" s="17">
        <v>15.326506253027199</v>
      </c>
      <c r="AA110" s="17">
        <v>14.251273527617601</v>
      </c>
      <c r="AB110" s="17">
        <v>32.117631082909703</v>
      </c>
      <c r="AC110" s="17">
        <v>29.351532111158701</v>
      </c>
      <c r="AD110" s="17">
        <v>26.805600735770199</v>
      </c>
      <c r="AE110" s="17">
        <v>24.711600568858</v>
      </c>
      <c r="AF110" s="17">
        <v>23.343490094265999</v>
      </c>
      <c r="AG110" s="17">
        <v>22.5346941127533</v>
      </c>
      <c r="AH110" s="17">
        <v>21.7803576178284</v>
      </c>
      <c r="AI110" s="17">
        <v>20.872786565207502</v>
      </c>
      <c r="AJ110" s="17">
        <v>19.373985859038001</v>
      </c>
      <c r="AK110" s="17">
        <v>18.762489295077</v>
      </c>
      <c r="AL110" s="17">
        <v>18.357203321132499</v>
      </c>
      <c r="AM110" s="17">
        <v>17.471236377136801</v>
      </c>
      <c r="AN110" s="17">
        <v>16.615408627234</v>
      </c>
      <c r="AO110" s="17"/>
      <c r="AP110" s="17"/>
      <c r="AQ110" s="17"/>
      <c r="AR110" s="17"/>
      <c r="AS110" s="17"/>
      <c r="AT110" s="17"/>
      <c r="AU110" s="17"/>
      <c r="AV110" s="17"/>
      <c r="AW110" s="17"/>
      <c r="AX110" s="17"/>
      <c r="AY110" s="17"/>
      <c r="AZ110" s="17"/>
      <c r="BA110" s="17"/>
      <c r="BB110" s="17"/>
      <c r="BC110" s="17"/>
      <c r="BD110" s="17"/>
      <c r="BE110" s="17"/>
      <c r="BF110" s="17"/>
      <c r="BG110" s="17"/>
      <c r="BH110" s="17"/>
      <c r="BI110" s="17"/>
      <c r="BJ110" s="17"/>
      <c r="BK110" s="17"/>
      <c r="BL110" s="17"/>
      <c r="BM110" s="17"/>
      <c r="BN110" s="17"/>
      <c r="BO110" s="17"/>
      <c r="BP110" s="17"/>
      <c r="BQ110" s="17"/>
      <c r="BR110" s="17"/>
      <c r="BS110" s="17"/>
      <c r="BT110" s="17"/>
      <c r="BU110" s="17"/>
      <c r="BV110" s="17"/>
      <c r="BW110" s="17"/>
      <c r="BX110" s="17"/>
      <c r="BY110" s="17"/>
      <c r="BZ110" s="17"/>
      <c r="CA110" s="17"/>
      <c r="CB110" s="17"/>
      <c r="CC110" s="17"/>
      <c r="CD110" s="17"/>
      <c r="CE110" s="17"/>
      <c r="CF110" s="17"/>
      <c r="CG110" s="17"/>
      <c r="CH110" s="17"/>
      <c r="CI110" s="17"/>
      <c r="CJ110" s="17"/>
      <c r="CK110" s="17"/>
      <c r="CL110" s="17"/>
      <c r="CM110" s="17"/>
      <c r="CN110" s="17"/>
      <c r="CO110" s="17"/>
      <c r="CP110" s="17"/>
      <c r="CQ110" s="17"/>
      <c r="CR110" s="17"/>
      <c r="CS110" s="17"/>
      <c r="CT110" s="17"/>
      <c r="CU110" s="17"/>
      <c r="CV110" s="17"/>
    </row>
    <row r="111" spans="2:100" x14ac:dyDescent="0.35">
      <c r="B111" s="9"/>
      <c r="C111" t="s">
        <v>230</v>
      </c>
      <c r="D111" t="s">
        <v>341</v>
      </c>
      <c r="E111" t="s">
        <v>219</v>
      </c>
      <c r="F111" s="17">
        <v>0</v>
      </c>
      <c r="G111" s="17">
        <v>-0.54036388715761097</v>
      </c>
      <c r="H111" s="17">
        <v>-4.38245820517386E-2</v>
      </c>
      <c r="I111" s="17">
        <v>0.39611362995369997</v>
      </c>
      <c r="J111" s="17">
        <v>0.45947384214530801</v>
      </c>
      <c r="K111" s="17">
        <v>0.39645837636793302</v>
      </c>
      <c r="L111" s="17">
        <v>0.23484543611992401</v>
      </c>
      <c r="M111" s="17">
        <v>5.82725908664119E-2</v>
      </c>
      <c r="N111" s="17">
        <v>-1.8856584172440499E-2</v>
      </c>
      <c r="O111" s="17">
        <v>1.25362332448358E-4</v>
      </c>
      <c r="P111" s="17">
        <v>0</v>
      </c>
      <c r="Q111" s="17">
        <v>4.2017275092274799E-2</v>
      </c>
      <c r="R111" s="17">
        <v>4.2017275092274799E-2</v>
      </c>
      <c r="S111" s="17">
        <v>2.3421862445768299E-2</v>
      </c>
      <c r="T111" s="17">
        <v>1.42077310108139E-3</v>
      </c>
      <c r="U111" s="17">
        <v>4.07427580457165E-4</v>
      </c>
      <c r="V111" s="17">
        <v>6.8218002573981699E-3</v>
      </c>
      <c r="W111" s="17">
        <v>2.43411862170562E-3</v>
      </c>
      <c r="X111" s="17">
        <v>1.9650545611280101E-2</v>
      </c>
      <c r="Y111" s="17">
        <v>7.5112930858641401E-3</v>
      </c>
      <c r="Z111" s="17">
        <v>0</v>
      </c>
      <c r="AA111" s="17">
        <v>0</v>
      </c>
      <c r="AB111" s="17">
        <v>0</v>
      </c>
      <c r="AC111" s="17">
        <v>0</v>
      </c>
      <c r="AD111" s="17">
        <v>0</v>
      </c>
      <c r="AE111" s="17">
        <v>0</v>
      </c>
      <c r="AF111" s="17">
        <v>0</v>
      </c>
      <c r="AG111" s="17">
        <v>0</v>
      </c>
      <c r="AH111" s="17">
        <v>0</v>
      </c>
      <c r="AI111" s="17">
        <v>0</v>
      </c>
      <c r="AJ111" s="17">
        <v>0</v>
      </c>
      <c r="AK111" s="17">
        <v>0</v>
      </c>
      <c r="AL111" s="17">
        <v>0</v>
      </c>
      <c r="AM111" s="17">
        <v>0</v>
      </c>
      <c r="AN111" s="17">
        <v>0</v>
      </c>
      <c r="AO111" s="17"/>
      <c r="AP111" s="17"/>
      <c r="AQ111" s="17"/>
      <c r="AR111" s="17"/>
      <c r="AS111" s="17"/>
      <c r="AT111" s="17"/>
      <c r="AU111" s="17"/>
      <c r="AV111" s="17"/>
      <c r="AW111" s="17"/>
      <c r="AX111" s="17"/>
      <c r="AY111" s="17"/>
      <c r="AZ111" s="17"/>
      <c r="BA111" s="17"/>
      <c r="BB111" s="17"/>
      <c r="BC111" s="17"/>
      <c r="BD111" s="17"/>
      <c r="BE111" s="17"/>
      <c r="BF111" s="17"/>
      <c r="BG111" s="17"/>
      <c r="BH111" s="17"/>
      <c r="BI111" s="17"/>
      <c r="BJ111" s="17"/>
      <c r="BK111" s="17"/>
      <c r="BL111" s="17"/>
      <c r="BM111" s="17"/>
      <c r="BN111" s="17"/>
      <c r="BO111" s="17"/>
      <c r="BP111" s="17"/>
      <c r="BQ111" s="17"/>
      <c r="BR111" s="17"/>
      <c r="BS111" s="17"/>
      <c r="BT111" s="17"/>
      <c r="BU111" s="17"/>
      <c r="BV111" s="17"/>
      <c r="BW111" s="17"/>
      <c r="BX111" s="17"/>
      <c r="BY111" s="17"/>
      <c r="BZ111" s="17"/>
      <c r="CA111" s="17"/>
      <c r="CB111" s="17"/>
      <c r="CC111" s="17"/>
      <c r="CD111" s="17"/>
      <c r="CE111" s="17"/>
      <c r="CF111" s="17"/>
      <c r="CG111" s="17"/>
      <c r="CH111" s="17"/>
      <c r="CI111" s="17"/>
      <c r="CJ111" s="17"/>
      <c r="CK111" s="17"/>
      <c r="CL111" s="17"/>
      <c r="CM111" s="17"/>
      <c r="CN111" s="17"/>
      <c r="CO111" s="17"/>
      <c r="CP111" s="17"/>
      <c r="CQ111" s="17"/>
      <c r="CR111" s="17"/>
      <c r="CS111" s="17"/>
      <c r="CT111" s="17"/>
      <c r="CU111" s="17"/>
      <c r="CV111" s="17"/>
    </row>
    <row r="112" spans="2:100" x14ac:dyDescent="0.35">
      <c r="B112" s="9"/>
      <c r="C112" t="s">
        <v>230</v>
      </c>
      <c r="D112" t="s">
        <v>342</v>
      </c>
      <c r="E112" t="s">
        <v>219</v>
      </c>
      <c r="F112" s="17">
        <v>0</v>
      </c>
      <c r="G112" s="17">
        <v>15.7985267752784</v>
      </c>
      <c r="H112" s="17">
        <v>21.020129093278499</v>
      </c>
      <c r="I112" s="17">
        <v>19.5317021201191</v>
      </c>
      <c r="J112" s="17">
        <v>21.180509303924101</v>
      </c>
      <c r="K112" s="17">
        <v>24.141943683351599</v>
      </c>
      <c r="L112" s="17">
        <v>22.063749617189</v>
      </c>
      <c r="M112" s="17">
        <v>24.526941853161599</v>
      </c>
      <c r="N112" s="17">
        <v>23.994131046534001</v>
      </c>
      <c r="O112" s="17">
        <v>21.231594454396799</v>
      </c>
      <c r="P112" s="17">
        <v>25.276713069813098</v>
      </c>
      <c r="Q112" s="17">
        <v>28.622853106941601</v>
      </c>
      <c r="R112" s="17">
        <v>27.767035803899802</v>
      </c>
      <c r="S112" s="17">
        <v>27.488115061063201</v>
      </c>
      <c r="T112" s="17">
        <v>25.585783453603501</v>
      </c>
      <c r="U112" s="17">
        <v>25.752954123923399</v>
      </c>
      <c r="V112" s="17">
        <v>26.284511307226499</v>
      </c>
      <c r="W112" s="17">
        <v>27.871514861134401</v>
      </c>
      <c r="X112" s="17">
        <v>28.688689225199099</v>
      </c>
      <c r="Y112" s="17">
        <v>28.741539895187099</v>
      </c>
      <c r="Z112" s="17">
        <v>26.2824741693242</v>
      </c>
      <c r="AA112" s="17">
        <v>26.498201849745801</v>
      </c>
      <c r="AB112" s="17">
        <v>28.634825209690401</v>
      </c>
      <c r="AC112" s="17">
        <v>27.610510484976999</v>
      </c>
      <c r="AD112" s="17">
        <v>26.020414660202</v>
      </c>
      <c r="AE112" s="17">
        <v>25.621114737631899</v>
      </c>
      <c r="AF112" s="17">
        <v>23.619339459957502</v>
      </c>
      <c r="AG112" s="17">
        <v>23.3746739744625</v>
      </c>
      <c r="AH112" s="17">
        <v>23.701013019547599</v>
      </c>
      <c r="AI112" s="17">
        <v>22.282997889780098</v>
      </c>
      <c r="AJ112" s="17">
        <v>22.703348237340499</v>
      </c>
      <c r="AK112" s="17">
        <v>24.8288143496972</v>
      </c>
      <c r="AL112" s="17">
        <v>25.8181007493524</v>
      </c>
      <c r="AM112" s="17">
        <v>25.292466936257501</v>
      </c>
      <c r="AN112" s="17">
        <v>25.580340639003101</v>
      </c>
      <c r="AO112" s="17"/>
      <c r="AP112" s="17"/>
      <c r="AQ112" s="17"/>
      <c r="AR112" s="17"/>
      <c r="AS112" s="17"/>
      <c r="AT112" s="17"/>
      <c r="AU112" s="17"/>
      <c r="AV112" s="17"/>
      <c r="AW112" s="17"/>
      <c r="AX112" s="17"/>
      <c r="AY112" s="17"/>
      <c r="AZ112" s="17"/>
      <c r="BA112" s="17"/>
      <c r="BB112" s="17"/>
      <c r="BC112" s="17"/>
      <c r="BD112" s="17"/>
      <c r="BE112" s="17"/>
      <c r="BF112" s="17"/>
      <c r="BG112" s="17"/>
      <c r="BH112" s="17"/>
      <c r="BI112" s="17"/>
      <c r="BJ112" s="17"/>
      <c r="BK112" s="17"/>
      <c r="BL112" s="17"/>
      <c r="BM112" s="17"/>
      <c r="BN112" s="17"/>
      <c r="BO112" s="17"/>
      <c r="BP112" s="17"/>
      <c r="BQ112" s="17"/>
      <c r="BR112" s="17"/>
      <c r="BS112" s="17"/>
      <c r="BT112" s="17"/>
      <c r="BU112" s="17"/>
      <c r="BV112" s="17"/>
      <c r="BW112" s="17"/>
      <c r="BX112" s="17"/>
      <c r="BY112" s="17"/>
      <c r="BZ112" s="17"/>
      <c r="CA112" s="17"/>
      <c r="CB112" s="17"/>
      <c r="CC112" s="17"/>
      <c r="CD112" s="17"/>
      <c r="CE112" s="17"/>
      <c r="CF112" s="17"/>
      <c r="CG112" s="17"/>
      <c r="CH112" s="17"/>
      <c r="CI112" s="17"/>
      <c r="CJ112" s="17"/>
      <c r="CK112" s="17"/>
      <c r="CL112" s="17"/>
      <c r="CM112" s="17"/>
      <c r="CN112" s="17"/>
      <c r="CO112" s="17"/>
      <c r="CP112" s="17"/>
      <c r="CQ112" s="17"/>
      <c r="CR112" s="17"/>
      <c r="CS112" s="17"/>
      <c r="CT112" s="17"/>
      <c r="CU112" s="17"/>
      <c r="CV112" s="17"/>
    </row>
    <row r="113" spans="2:100" x14ac:dyDescent="0.35">
      <c r="B113" s="9"/>
      <c r="C113" t="s">
        <v>230</v>
      </c>
      <c r="D113" t="s">
        <v>343</v>
      </c>
      <c r="E113" t="s">
        <v>219</v>
      </c>
      <c r="F113" s="17">
        <v>0</v>
      </c>
      <c r="G113" s="17">
        <v>-6.1665104519685201</v>
      </c>
      <c r="H113" s="17">
        <v>-5.4662573566340704</v>
      </c>
      <c r="I113" s="17">
        <v>-4.6674381274120904</v>
      </c>
      <c r="J113" s="17">
        <v>-4.3611988429628301</v>
      </c>
      <c r="K113" s="17">
        <v>-4.6569912663747299</v>
      </c>
      <c r="L113" s="17">
        <v>-4.2121848171258804</v>
      </c>
      <c r="M113" s="17">
        <v>-4.61757525968076</v>
      </c>
      <c r="N113" s="17">
        <v>-4.5729880567732897</v>
      </c>
      <c r="O113" s="17">
        <v>-5.2396649407336602</v>
      </c>
      <c r="P113" s="17">
        <v>-5.4777802443582804</v>
      </c>
      <c r="Q113" s="17">
        <v>-3.8674906371980802</v>
      </c>
      <c r="R113" s="17">
        <v>-4.4240471589636003</v>
      </c>
      <c r="S113" s="17">
        <v>-4.5613084661335197</v>
      </c>
      <c r="T113" s="17">
        <v>-4.4164313972673703</v>
      </c>
      <c r="U113" s="17">
        <v>-4.1462546771190798</v>
      </c>
      <c r="V113" s="17">
        <v>-3.7280772766544699</v>
      </c>
      <c r="W113" s="17">
        <v>-3.8898573666790699</v>
      </c>
      <c r="X113" s="17">
        <v>-3.5996331202000902</v>
      </c>
      <c r="Y113" s="17">
        <v>-3.4634164991339098</v>
      </c>
      <c r="Z113" s="17">
        <v>-3.8938271738732699</v>
      </c>
      <c r="AA113" s="17">
        <v>-3.6654587915965098</v>
      </c>
      <c r="AB113" s="17">
        <v>-3.5314569050702498</v>
      </c>
      <c r="AC113" s="17">
        <v>-3.67433862347827</v>
      </c>
      <c r="AD113" s="17">
        <v>-3.6926833114598798</v>
      </c>
      <c r="AE113" s="17">
        <v>-3.3596791690328902</v>
      </c>
      <c r="AF113" s="17">
        <v>-3.02447073892702</v>
      </c>
      <c r="AG113" s="17">
        <v>-3.3830174565903599</v>
      </c>
      <c r="AH113" s="17">
        <v>-3.12307866025869</v>
      </c>
      <c r="AI113" s="17">
        <v>-3.35303496541313</v>
      </c>
      <c r="AJ113" s="17">
        <v>-3.5214592590575</v>
      </c>
      <c r="AK113" s="17">
        <v>-3.2874704655426399</v>
      </c>
      <c r="AL113" s="17">
        <v>-4.0406682526144504</v>
      </c>
      <c r="AM113" s="17">
        <v>-4.0112812325163496</v>
      </c>
      <c r="AN113" s="17">
        <v>-3.9804525455950901</v>
      </c>
      <c r="AO113" s="17"/>
      <c r="AP113" s="17"/>
      <c r="AQ113" s="17"/>
      <c r="AR113" s="17"/>
      <c r="AS113" s="17"/>
      <c r="AT113" s="17"/>
      <c r="AU113" s="17"/>
      <c r="AV113" s="17"/>
      <c r="AW113" s="17"/>
      <c r="AX113" s="17"/>
      <c r="AY113" s="17"/>
      <c r="AZ113" s="17"/>
      <c r="BA113" s="17"/>
      <c r="BB113" s="17"/>
      <c r="BC113" s="17"/>
      <c r="BD113" s="17"/>
      <c r="BE113" s="17"/>
      <c r="BF113" s="17"/>
      <c r="BG113" s="17"/>
      <c r="BH113" s="17"/>
      <c r="BI113" s="17"/>
      <c r="BJ113" s="17"/>
      <c r="BK113" s="17"/>
      <c r="BL113" s="17"/>
      <c r="BM113" s="17"/>
      <c r="BN113" s="17"/>
      <c r="BO113" s="17"/>
      <c r="BP113" s="17"/>
      <c r="BQ113" s="17"/>
      <c r="BR113" s="17"/>
      <c r="BS113" s="17"/>
      <c r="BT113" s="17"/>
      <c r="BU113" s="17"/>
      <c r="BV113" s="17"/>
      <c r="BW113" s="17"/>
      <c r="BX113" s="17"/>
      <c r="BY113" s="17"/>
      <c r="BZ113" s="17"/>
      <c r="CA113" s="17"/>
      <c r="CB113" s="17"/>
      <c r="CC113" s="17"/>
      <c r="CD113" s="17"/>
      <c r="CE113" s="17"/>
      <c r="CF113" s="17"/>
      <c r="CG113" s="17"/>
      <c r="CH113" s="17"/>
      <c r="CI113" s="17"/>
      <c r="CJ113" s="17"/>
      <c r="CK113" s="17"/>
      <c r="CL113" s="17"/>
      <c r="CM113" s="17"/>
      <c r="CN113" s="17"/>
      <c r="CO113" s="17"/>
      <c r="CP113" s="17"/>
      <c r="CQ113" s="17"/>
      <c r="CR113" s="17"/>
      <c r="CS113" s="17"/>
      <c r="CT113" s="17"/>
      <c r="CU113" s="17"/>
      <c r="CV113" s="17"/>
    </row>
    <row r="114" spans="2:100" x14ac:dyDescent="0.35">
      <c r="B114" s="9"/>
      <c r="C114" t="s">
        <v>230</v>
      </c>
      <c r="D114" t="s">
        <v>344</v>
      </c>
      <c r="E114" t="s">
        <v>219</v>
      </c>
      <c r="F114" s="17">
        <v>0</v>
      </c>
      <c r="G114" s="17">
        <v>39.568875611531098</v>
      </c>
      <c r="H114" s="17">
        <v>25.410349316203099</v>
      </c>
      <c r="I114" s="17">
        <v>21.928055339174701</v>
      </c>
      <c r="J114" s="17">
        <v>18.674307341060601</v>
      </c>
      <c r="K114" s="17">
        <v>15.4431767970925</v>
      </c>
      <c r="L114" s="17">
        <v>18.331169743427399</v>
      </c>
      <c r="M114" s="17">
        <v>15.031716728274899</v>
      </c>
      <c r="N114" s="17">
        <v>16.147493721370498</v>
      </c>
      <c r="O114" s="17">
        <v>20.899958850765699</v>
      </c>
      <c r="P114" s="17">
        <v>17.506452745693799</v>
      </c>
      <c r="Q114" s="17">
        <v>14.6270157785485</v>
      </c>
      <c r="R114" s="17">
        <v>16.2540099165074</v>
      </c>
      <c r="S114" s="17">
        <v>17.038443818080999</v>
      </c>
      <c r="T114" s="17">
        <v>17.690401074839698</v>
      </c>
      <c r="U114" s="17">
        <v>16.968272252493001</v>
      </c>
      <c r="V114" s="17">
        <v>17.443291023861899</v>
      </c>
      <c r="W114" s="17">
        <v>15.9831228098086</v>
      </c>
      <c r="X114" s="17">
        <v>16.945957757317199</v>
      </c>
      <c r="Y114" s="17">
        <v>17.4920151837402</v>
      </c>
      <c r="Z114" s="17">
        <v>19.215580105128499</v>
      </c>
      <c r="AA114" s="17">
        <v>18.380760992771801</v>
      </c>
      <c r="AB114" s="17">
        <v>25.391649434946199</v>
      </c>
      <c r="AC114" s="17">
        <v>25.532222397064999</v>
      </c>
      <c r="AD114" s="17">
        <v>25.6425308027585</v>
      </c>
      <c r="AE114" s="17">
        <v>26.460864768398299</v>
      </c>
      <c r="AF114" s="17">
        <v>26.625361042292599</v>
      </c>
      <c r="AG114" s="17">
        <v>26.523556381483498</v>
      </c>
      <c r="AH114" s="17">
        <v>25.7919522561759</v>
      </c>
      <c r="AI114" s="17">
        <v>26.381729796040201</v>
      </c>
      <c r="AJ114" s="17">
        <v>26.363270192587201</v>
      </c>
      <c r="AK114" s="17">
        <v>24.3667496860147</v>
      </c>
      <c r="AL114" s="17">
        <v>24.427122095949599</v>
      </c>
      <c r="AM114" s="17">
        <v>25.162800497061699</v>
      </c>
      <c r="AN114" s="17">
        <v>23.879246915706101</v>
      </c>
      <c r="AO114" s="17"/>
      <c r="AP114" s="17"/>
      <c r="AQ114" s="17"/>
      <c r="AR114" s="17"/>
      <c r="AS114" s="17"/>
      <c r="AT114" s="17"/>
      <c r="AU114" s="17"/>
      <c r="AV114" s="17"/>
      <c r="AW114" s="17"/>
      <c r="AX114" s="17"/>
      <c r="AY114" s="17"/>
      <c r="AZ114" s="17"/>
      <c r="BA114" s="17"/>
      <c r="BB114" s="17"/>
      <c r="BC114" s="17"/>
      <c r="BD114" s="17"/>
      <c r="BE114" s="17"/>
      <c r="BF114" s="17"/>
      <c r="BG114" s="17"/>
      <c r="BH114" s="17"/>
      <c r="BI114" s="17"/>
      <c r="BJ114" s="17"/>
      <c r="BK114" s="17"/>
      <c r="BL114" s="17"/>
      <c r="BM114" s="17"/>
      <c r="BN114" s="17"/>
      <c r="BO114" s="17"/>
      <c r="BP114" s="17"/>
      <c r="BQ114" s="17"/>
      <c r="BR114" s="17"/>
      <c r="BS114" s="17"/>
      <c r="BT114" s="17"/>
      <c r="BU114" s="17"/>
      <c r="BV114" s="17"/>
      <c r="BW114" s="17"/>
      <c r="BX114" s="17"/>
      <c r="BY114" s="17"/>
      <c r="BZ114" s="17"/>
      <c r="CA114" s="17"/>
      <c r="CB114" s="17"/>
      <c r="CC114" s="17"/>
      <c r="CD114" s="17"/>
      <c r="CE114" s="17"/>
      <c r="CF114" s="17"/>
      <c r="CG114" s="17"/>
      <c r="CH114" s="17"/>
      <c r="CI114" s="17"/>
      <c r="CJ114" s="17"/>
      <c r="CK114" s="17"/>
      <c r="CL114" s="17"/>
      <c r="CM114" s="17"/>
      <c r="CN114" s="17"/>
      <c r="CO114" s="17"/>
      <c r="CP114" s="17"/>
      <c r="CQ114" s="17"/>
      <c r="CR114" s="17"/>
      <c r="CS114" s="17"/>
      <c r="CT114" s="17"/>
      <c r="CU114" s="17"/>
      <c r="CV114" s="17"/>
    </row>
    <row r="115" spans="2:100" x14ac:dyDescent="0.35">
      <c r="B115" s="9"/>
      <c r="C115" t="s">
        <v>230</v>
      </c>
      <c r="D115" t="s">
        <v>345</v>
      </c>
      <c r="E115" t="s">
        <v>219</v>
      </c>
      <c r="F115" s="17">
        <v>0</v>
      </c>
      <c r="G115" s="17">
        <v>-22.471511497199302</v>
      </c>
      <c r="H115" s="17">
        <v>-16.613883385522499</v>
      </c>
      <c r="I115" s="17">
        <v>-15.0598814656316</v>
      </c>
      <c r="J115" s="17">
        <v>-13.936258879897</v>
      </c>
      <c r="K115" s="17">
        <v>-15.0264097228679</v>
      </c>
      <c r="L115" s="17">
        <v>-14.1817914548581</v>
      </c>
      <c r="M115" s="17">
        <v>-13.8394060312196</v>
      </c>
      <c r="N115" s="17">
        <v>-11.673280735705401</v>
      </c>
      <c r="O115" s="17">
        <v>-10.2943995473839</v>
      </c>
      <c r="P115" s="17">
        <v>-11.1260114734021</v>
      </c>
      <c r="Q115" s="17">
        <v>-15.5244951634073</v>
      </c>
      <c r="R115" s="17">
        <v>-14.791606074192099</v>
      </c>
      <c r="S115" s="17">
        <v>-13.1421616318639</v>
      </c>
      <c r="T115" s="17">
        <v>-10.2984320357443</v>
      </c>
      <c r="U115" s="17">
        <v>-10.038012683804901</v>
      </c>
      <c r="V115" s="17">
        <v>-12.3101631719873</v>
      </c>
      <c r="W115" s="17">
        <v>-12.819050666839299</v>
      </c>
      <c r="X115" s="17">
        <v>-13.9931733788285</v>
      </c>
      <c r="Y115" s="17">
        <v>-14.090057568089099</v>
      </c>
      <c r="Z115" s="17">
        <v>-10.8034959794567</v>
      </c>
      <c r="AA115" s="17">
        <v>-11.171204594249801</v>
      </c>
      <c r="AB115" s="17">
        <v>-14.2669542660347</v>
      </c>
      <c r="AC115" s="17">
        <v>-12.6614075337855</v>
      </c>
      <c r="AD115" s="17">
        <v>-10.995551072767499</v>
      </c>
      <c r="AE115" s="17">
        <v>-11.1046163019976</v>
      </c>
      <c r="AF115" s="17">
        <v>-9.9638504173007103</v>
      </c>
      <c r="AG115" s="17">
        <v>-9.1470207996503206</v>
      </c>
      <c r="AH115" s="17">
        <v>-9.7346044986968199</v>
      </c>
      <c r="AI115" s="17">
        <v>-8.6246568540600901</v>
      </c>
      <c r="AJ115" s="17">
        <v>-7.8616181238910796</v>
      </c>
      <c r="AK115" s="17">
        <v>-9.4709257261137694</v>
      </c>
      <c r="AL115" s="17">
        <v>-8.7514608533316007</v>
      </c>
      <c r="AM115" s="17">
        <v>-8.1606699679466406</v>
      </c>
      <c r="AN115" s="17">
        <v>-8.44689306664832</v>
      </c>
      <c r="AO115" s="17"/>
      <c r="AP115" s="17"/>
      <c r="AQ115" s="17"/>
      <c r="AR115" s="17"/>
      <c r="AS115" s="17"/>
      <c r="AT115" s="17"/>
      <c r="AU115" s="17"/>
      <c r="AV115" s="17"/>
      <c r="AW115" s="17"/>
      <c r="AX115" s="17"/>
      <c r="AY115" s="17"/>
      <c r="AZ115" s="17"/>
      <c r="BA115" s="17"/>
      <c r="BB115" s="17"/>
      <c r="BC115" s="17"/>
      <c r="BD115" s="17"/>
      <c r="BE115" s="17"/>
      <c r="BF115" s="17"/>
      <c r="BG115" s="17"/>
      <c r="BH115" s="17"/>
      <c r="BI115" s="17"/>
      <c r="BJ115" s="17"/>
      <c r="BK115" s="17"/>
      <c r="BL115" s="17"/>
      <c r="BM115" s="17"/>
      <c r="BN115" s="17"/>
      <c r="BO115" s="17"/>
      <c r="BP115" s="17"/>
      <c r="BQ115" s="17"/>
      <c r="BR115" s="17"/>
      <c r="BS115" s="17"/>
      <c r="BT115" s="17"/>
      <c r="BU115" s="17"/>
      <c r="BV115" s="17"/>
      <c r="BW115" s="17"/>
      <c r="BX115" s="17"/>
      <c r="BY115" s="17"/>
      <c r="BZ115" s="17"/>
      <c r="CA115" s="17"/>
      <c r="CB115" s="17"/>
      <c r="CC115" s="17"/>
      <c r="CD115" s="17"/>
      <c r="CE115" s="17"/>
      <c r="CF115" s="17"/>
      <c r="CG115" s="17"/>
      <c r="CH115" s="17"/>
      <c r="CI115" s="17"/>
      <c r="CJ115" s="17"/>
      <c r="CK115" s="17"/>
      <c r="CL115" s="17"/>
      <c r="CM115" s="17"/>
      <c r="CN115" s="17"/>
      <c r="CO115" s="17"/>
      <c r="CP115" s="17"/>
      <c r="CQ115" s="17"/>
      <c r="CR115" s="17"/>
      <c r="CS115" s="17"/>
      <c r="CT115" s="17"/>
      <c r="CU115" s="17"/>
      <c r="CV115" s="17"/>
    </row>
    <row r="116" spans="2:100" x14ac:dyDescent="0.35">
      <c r="B116" s="9"/>
      <c r="D116" t="s">
        <v>220</v>
      </c>
      <c r="E116" t="s">
        <v>219</v>
      </c>
      <c r="F116" s="17">
        <v>0</v>
      </c>
      <c r="G116" s="17">
        <v>-17.0865829537411</v>
      </c>
      <c r="H116" s="17">
        <v>-16.695159964393198</v>
      </c>
      <c r="I116" s="17">
        <v>-16.538885370135301</v>
      </c>
      <c r="J116" s="17">
        <v>-15.9968290914896</v>
      </c>
      <c r="K116" s="17">
        <v>-16.745075066429699</v>
      </c>
      <c r="L116" s="17">
        <v>-13.834433325365801</v>
      </c>
      <c r="M116" s="17">
        <v>-15.4323642959188</v>
      </c>
      <c r="N116" s="17">
        <v>-14.1344253869147</v>
      </c>
      <c r="O116" s="17">
        <v>-14.167625511291501</v>
      </c>
      <c r="P116" s="17">
        <v>-12.7408350182526</v>
      </c>
      <c r="Q116" s="17">
        <v>-12.9178152910865</v>
      </c>
      <c r="R116" s="17">
        <v>-12.8149241567295</v>
      </c>
      <c r="S116" s="17">
        <v>-12.2733797742747</v>
      </c>
      <c r="T116" s="17">
        <v>-11.1029761448148</v>
      </c>
      <c r="U116" s="17">
        <v>-9.8831693095091602</v>
      </c>
      <c r="V116" s="17">
        <v>-8.6334322173314693</v>
      </c>
      <c r="W116" s="17">
        <v>-9.0729421080343808</v>
      </c>
      <c r="X116" s="17">
        <v>-7.9651151761882399</v>
      </c>
      <c r="Y116" s="17">
        <v>-8.0070070889480593</v>
      </c>
      <c r="Z116" s="17">
        <v>-8.1313351821537196</v>
      </c>
      <c r="AA116" s="17">
        <v>-7.3412495287589801</v>
      </c>
      <c r="AB116" s="17">
        <v>-8.9566267572443792</v>
      </c>
      <c r="AC116" s="17">
        <v>-9.0368064157061401</v>
      </c>
      <c r="AD116" s="17">
        <v>-7.8905454821035397</v>
      </c>
      <c r="AE116" s="17">
        <v>-7.0890100690118496</v>
      </c>
      <c r="AF116" s="17">
        <v>-6.5317953950009704</v>
      </c>
      <c r="AG116" s="17">
        <v>-6.9513204405393996</v>
      </c>
      <c r="AH116" s="17">
        <v>-6.6501478836932497</v>
      </c>
      <c r="AI116" s="17">
        <v>-6.0956389466910501</v>
      </c>
      <c r="AJ116" s="17">
        <v>-5.8599891022712498</v>
      </c>
      <c r="AK116" s="17">
        <v>-6.2924055743297904</v>
      </c>
      <c r="AL116" s="17">
        <v>-6.7076787474260096</v>
      </c>
      <c r="AM116" s="17">
        <v>-7.46421953002978</v>
      </c>
      <c r="AN116" s="17">
        <v>-7.5567891656818604</v>
      </c>
      <c r="AO116" s="17"/>
      <c r="AP116" s="17"/>
      <c r="AQ116" s="17"/>
      <c r="AR116" s="17"/>
      <c r="AS116" s="17"/>
      <c r="AT116" s="17"/>
      <c r="AU116" s="17"/>
      <c r="AV116" s="17"/>
      <c r="AW116" s="17"/>
      <c r="AX116" s="17"/>
      <c r="AY116" s="17"/>
      <c r="AZ116" s="17"/>
      <c r="BA116" s="17"/>
      <c r="BB116" s="17"/>
      <c r="BC116" s="17"/>
      <c r="BD116" s="17"/>
      <c r="BE116" s="17"/>
      <c r="BF116" s="17"/>
      <c r="BG116" s="17"/>
      <c r="BH116" s="17"/>
      <c r="BI116" s="17"/>
      <c r="BJ116" s="17"/>
      <c r="BK116" s="17"/>
      <c r="BL116" s="17"/>
      <c r="BM116" s="17"/>
      <c r="BN116" s="17"/>
      <c r="BO116" s="17"/>
      <c r="BP116" s="17"/>
      <c r="BQ116" s="17"/>
      <c r="BR116" s="17"/>
      <c r="BS116" s="17"/>
      <c r="BT116" s="17"/>
      <c r="BU116" s="17"/>
      <c r="BV116" s="17"/>
      <c r="BW116" s="17"/>
      <c r="BX116" s="17"/>
      <c r="BY116" s="17"/>
      <c r="BZ116" s="17"/>
      <c r="CA116" s="17"/>
      <c r="CB116" s="17"/>
      <c r="CC116" s="17"/>
      <c r="CD116" s="17"/>
      <c r="CE116" s="17"/>
      <c r="CF116" s="17"/>
      <c r="CG116" s="17"/>
      <c r="CH116" s="17"/>
      <c r="CI116" s="17"/>
      <c r="CJ116" s="17"/>
      <c r="CK116" s="17"/>
      <c r="CL116" s="17"/>
      <c r="CM116" s="17"/>
      <c r="CN116" s="17"/>
      <c r="CO116" s="17"/>
      <c r="CP116" s="17"/>
      <c r="CQ116" s="17"/>
      <c r="CR116" s="17"/>
      <c r="CS116" s="17"/>
      <c r="CT116" s="17"/>
      <c r="CU116" s="17"/>
      <c r="CV116" s="17"/>
    </row>
    <row r="117" spans="2:100" x14ac:dyDescent="0.35">
      <c r="B117" s="9"/>
      <c r="C117" t="s">
        <v>230</v>
      </c>
      <c r="D117" t="s">
        <v>346</v>
      </c>
      <c r="E117" t="s">
        <v>219</v>
      </c>
      <c r="F117" s="17">
        <v>0</v>
      </c>
      <c r="G117" s="17">
        <v>100.20793122757</v>
      </c>
      <c r="H117" s="17">
        <v>88.730644051787195</v>
      </c>
      <c r="I117" s="17">
        <v>72.007298456315098</v>
      </c>
      <c r="J117" s="17">
        <v>60.8147195843828</v>
      </c>
      <c r="K117" s="17">
        <v>59.842994358131499</v>
      </c>
      <c r="L117" s="17">
        <v>64.785978892265106</v>
      </c>
      <c r="M117" s="17">
        <v>56.758046740659204</v>
      </c>
      <c r="N117" s="17">
        <v>53.860077042033602</v>
      </c>
      <c r="O117" s="17">
        <v>50.9502814967137</v>
      </c>
      <c r="P117" s="17">
        <v>45.494262063896201</v>
      </c>
      <c r="Q117" s="17">
        <v>44.858758613271299</v>
      </c>
      <c r="R117" s="17">
        <v>41.392322971297602</v>
      </c>
      <c r="S117" s="17">
        <v>41.6699796439487</v>
      </c>
      <c r="T117" s="17">
        <v>42.965964989938797</v>
      </c>
      <c r="U117" s="17">
        <v>42.743060315984501</v>
      </c>
      <c r="V117" s="17">
        <v>41.620764481601597</v>
      </c>
      <c r="W117" s="17">
        <v>39.240353172489101</v>
      </c>
      <c r="X117" s="17">
        <v>38.334902832658798</v>
      </c>
      <c r="Y117" s="17">
        <v>37.353890346945199</v>
      </c>
      <c r="Z117" s="17">
        <v>37.995881298274298</v>
      </c>
      <c r="AA117" s="17">
        <v>36.952344349252002</v>
      </c>
      <c r="AB117" s="17">
        <v>59.3890991397801</v>
      </c>
      <c r="AC117" s="17">
        <v>57.121764654536001</v>
      </c>
      <c r="AD117" s="17">
        <v>55.8897454386777</v>
      </c>
      <c r="AE117" s="17">
        <v>55.2402849817069</v>
      </c>
      <c r="AF117" s="17">
        <v>54.068094939009498</v>
      </c>
      <c r="AG117" s="17">
        <v>52.951597112502398</v>
      </c>
      <c r="AH117" s="17">
        <v>51.765481404042198</v>
      </c>
      <c r="AI117" s="17">
        <v>51.464193931724701</v>
      </c>
      <c r="AJ117" s="17">
        <v>51.197485569440801</v>
      </c>
      <c r="AK117" s="17">
        <v>48.907272458524901</v>
      </c>
      <c r="AL117" s="17">
        <v>49.102597419340398</v>
      </c>
      <c r="AM117" s="17">
        <v>48.290333079963403</v>
      </c>
      <c r="AN117" s="17">
        <v>46.090882297740002</v>
      </c>
      <c r="AO117" s="17"/>
      <c r="AP117" s="17"/>
      <c r="AQ117" s="17"/>
      <c r="AR117" s="17"/>
      <c r="AS117" s="17"/>
      <c r="AT117" s="17"/>
      <c r="AU117" s="17"/>
      <c r="AV117" s="17"/>
      <c r="AW117" s="17"/>
      <c r="AX117" s="17"/>
      <c r="AY117" s="17"/>
      <c r="AZ117" s="17"/>
      <c r="BA117" s="17"/>
      <c r="BB117" s="17"/>
      <c r="BC117" s="17"/>
      <c r="BD117" s="17"/>
      <c r="BE117" s="17"/>
      <c r="BF117" s="17"/>
      <c r="BG117" s="17"/>
      <c r="BH117" s="17"/>
      <c r="BI117" s="17"/>
      <c r="BJ117" s="17"/>
      <c r="BK117" s="17"/>
      <c r="BL117" s="17"/>
      <c r="BM117" s="17"/>
      <c r="BN117" s="17"/>
      <c r="BO117" s="17"/>
      <c r="BP117" s="17"/>
      <c r="BQ117" s="17"/>
      <c r="BR117" s="17"/>
      <c r="BS117" s="17"/>
      <c r="BT117" s="17"/>
      <c r="BU117" s="17"/>
      <c r="BV117" s="17"/>
      <c r="BW117" s="17"/>
      <c r="BX117" s="17"/>
      <c r="BY117" s="17"/>
      <c r="BZ117" s="17"/>
      <c r="CA117" s="17"/>
      <c r="CB117" s="17"/>
      <c r="CC117" s="17"/>
      <c r="CD117" s="17"/>
      <c r="CE117" s="17"/>
      <c r="CF117" s="17"/>
      <c r="CG117" s="17"/>
      <c r="CH117" s="17"/>
      <c r="CI117" s="17"/>
      <c r="CJ117" s="17"/>
      <c r="CK117" s="17"/>
      <c r="CL117" s="17"/>
      <c r="CM117" s="17"/>
      <c r="CN117" s="17"/>
      <c r="CO117" s="17"/>
      <c r="CP117" s="17"/>
      <c r="CQ117" s="17"/>
      <c r="CR117" s="17"/>
      <c r="CS117" s="17"/>
      <c r="CT117" s="17"/>
      <c r="CU117" s="17"/>
      <c r="CV117" s="17"/>
    </row>
    <row r="118" spans="2:100" x14ac:dyDescent="0.35">
      <c r="B118" s="9"/>
      <c r="C118" t="s">
        <v>230</v>
      </c>
      <c r="D118" t="s">
        <v>347</v>
      </c>
      <c r="E118" t="s">
        <v>219</v>
      </c>
      <c r="F118" s="17">
        <v>0</v>
      </c>
      <c r="G118" s="17">
        <v>13.292700899412299</v>
      </c>
      <c r="H118" s="17">
        <v>14.342432837029699</v>
      </c>
      <c r="I118" s="17">
        <v>9.4054134605484592</v>
      </c>
      <c r="J118" s="17">
        <v>10.2339749031438</v>
      </c>
      <c r="K118" s="17">
        <v>7.84679402807906</v>
      </c>
      <c r="L118" s="17">
        <v>7.9043248918118199</v>
      </c>
      <c r="M118" s="17">
        <v>8.7069258847293192</v>
      </c>
      <c r="N118" s="17">
        <v>9.13622919219873</v>
      </c>
      <c r="O118" s="17">
        <v>10.7991814258482</v>
      </c>
      <c r="P118" s="17">
        <v>10.785109504030901</v>
      </c>
      <c r="Q118" s="17">
        <v>10.9423034220601</v>
      </c>
      <c r="R118" s="17">
        <v>11.282369642548399</v>
      </c>
      <c r="S118" s="17">
        <v>11.4406395872644</v>
      </c>
      <c r="T118" s="17">
        <v>11.080682543361</v>
      </c>
      <c r="U118" s="17">
        <v>10.7298038216991</v>
      </c>
      <c r="V118" s="17">
        <v>10.9640224461568</v>
      </c>
      <c r="W118" s="17">
        <v>10.7105084693631</v>
      </c>
      <c r="X118" s="17">
        <v>10.827732697063301</v>
      </c>
      <c r="Y118" s="17">
        <v>11.2372078622838</v>
      </c>
      <c r="Z118" s="17">
        <v>11.7077031428236</v>
      </c>
      <c r="AA118" s="17">
        <v>11.8810896954607</v>
      </c>
      <c r="AB118" s="17">
        <v>12.901507741007199</v>
      </c>
      <c r="AC118" s="17">
        <v>12.7863833323755</v>
      </c>
      <c r="AD118" s="17">
        <v>12.213184960977401</v>
      </c>
      <c r="AE118" s="17">
        <v>12.1341753509518</v>
      </c>
      <c r="AF118" s="17">
        <v>11.965855525917799</v>
      </c>
      <c r="AG118" s="17">
        <v>11.9223443496972</v>
      </c>
      <c r="AH118" s="17">
        <v>11.783495119649601</v>
      </c>
      <c r="AI118" s="17">
        <v>11.566064600879001</v>
      </c>
      <c r="AJ118" s="17">
        <v>11.6082594726089</v>
      </c>
      <c r="AK118" s="17">
        <v>11.8525802116897</v>
      </c>
      <c r="AL118" s="17">
        <v>11.798162512546099</v>
      </c>
      <c r="AM118" s="17">
        <v>12.0716508876432</v>
      </c>
      <c r="AN118" s="17">
        <v>11.889426290568499</v>
      </c>
      <c r="AO118" s="17"/>
      <c r="AP118" s="17"/>
      <c r="AQ118" s="17"/>
      <c r="AR118" s="17"/>
      <c r="AS118" s="17"/>
      <c r="AT118" s="17"/>
      <c r="AU118" s="17"/>
      <c r="AV118" s="17"/>
      <c r="AW118" s="17"/>
      <c r="AX118" s="17"/>
      <c r="AY118" s="17"/>
      <c r="AZ118" s="17"/>
      <c r="BA118" s="17"/>
      <c r="BB118" s="17"/>
      <c r="BC118" s="17"/>
      <c r="BD118" s="17"/>
      <c r="BE118" s="17"/>
      <c r="BF118" s="17"/>
      <c r="BG118" s="17"/>
      <c r="BH118" s="17"/>
      <c r="BI118" s="17"/>
      <c r="BJ118" s="17"/>
      <c r="BK118" s="17"/>
      <c r="BL118" s="17"/>
      <c r="BM118" s="17"/>
      <c r="BN118" s="17"/>
      <c r="BO118" s="17"/>
      <c r="BP118" s="17"/>
      <c r="BQ118" s="17"/>
      <c r="BR118" s="17"/>
      <c r="BS118" s="17"/>
      <c r="BT118" s="17"/>
      <c r="BU118" s="17"/>
      <c r="BV118" s="17"/>
      <c r="BW118" s="17"/>
      <c r="BX118" s="17"/>
      <c r="BY118" s="17"/>
      <c r="BZ118" s="17"/>
      <c r="CA118" s="17"/>
      <c r="CB118" s="17"/>
      <c r="CC118" s="17"/>
      <c r="CD118" s="17"/>
      <c r="CE118" s="17"/>
      <c r="CF118" s="17"/>
      <c r="CG118" s="17"/>
      <c r="CH118" s="17"/>
      <c r="CI118" s="17"/>
      <c r="CJ118" s="17"/>
      <c r="CK118" s="17"/>
      <c r="CL118" s="17"/>
      <c r="CM118" s="17"/>
      <c r="CN118" s="17"/>
      <c r="CO118" s="17"/>
      <c r="CP118" s="17"/>
      <c r="CQ118" s="17"/>
      <c r="CR118" s="17"/>
      <c r="CS118" s="17"/>
      <c r="CT118" s="17"/>
      <c r="CU118" s="17"/>
      <c r="CV118" s="17"/>
    </row>
    <row r="119" spans="2:100" x14ac:dyDescent="0.35">
      <c r="B119" s="9"/>
      <c r="C119" t="s">
        <v>230</v>
      </c>
      <c r="D119" t="s">
        <v>348</v>
      </c>
      <c r="E119" t="s">
        <v>219</v>
      </c>
      <c r="F119" s="17">
        <v>0</v>
      </c>
      <c r="G119" s="17">
        <v>30.545796371228001</v>
      </c>
      <c r="H119" s="17">
        <v>18.884017629524699</v>
      </c>
      <c r="I119" s="17">
        <v>11.2812727221394</v>
      </c>
      <c r="J119" s="17">
        <v>10.464672935431899</v>
      </c>
      <c r="K119" s="17">
        <v>10.6651690924609</v>
      </c>
      <c r="L119" s="17">
        <v>10.5706458937949</v>
      </c>
      <c r="M119" s="17">
        <v>8.9093129236061603</v>
      </c>
      <c r="N119" s="17">
        <v>8.8420873728307292</v>
      </c>
      <c r="O119" s="17">
        <v>9.8386552346289502</v>
      </c>
      <c r="P119" s="17">
        <v>8.9926370872401709</v>
      </c>
      <c r="Q119" s="17">
        <v>8.5862124054425895</v>
      </c>
      <c r="R119" s="17">
        <v>8.8395905730428002</v>
      </c>
      <c r="S119" s="17">
        <v>8.7733470272048795</v>
      </c>
      <c r="T119" s="17">
        <v>8.5327558175143992</v>
      </c>
      <c r="U119" s="17">
        <v>8.14409079948034</v>
      </c>
      <c r="V119" s="17">
        <v>8.1923135100288107</v>
      </c>
      <c r="W119" s="17">
        <v>8.1319828875380402</v>
      </c>
      <c r="X119" s="17">
        <v>7.3024289931441402</v>
      </c>
      <c r="Y119" s="17">
        <v>7.3769255592015703</v>
      </c>
      <c r="Z119" s="17">
        <v>7.4750842655086398</v>
      </c>
      <c r="AA119" s="17">
        <v>7.3548931292737798</v>
      </c>
      <c r="AB119" s="17">
        <v>6.9759645857265404</v>
      </c>
      <c r="AC119" s="17">
        <v>6.92197520788545</v>
      </c>
      <c r="AD119" s="17">
        <v>6.7754057475312397</v>
      </c>
      <c r="AE119" s="17">
        <v>6.7486304426924804</v>
      </c>
      <c r="AF119" s="17">
        <v>6.5830268015281996</v>
      </c>
      <c r="AG119" s="17">
        <v>6.7263472880997801</v>
      </c>
      <c r="AH119" s="17">
        <v>6.6467631007171502</v>
      </c>
      <c r="AI119" s="17">
        <v>6.4413987064446596</v>
      </c>
      <c r="AJ119" s="17">
        <v>6.2626111266512297</v>
      </c>
      <c r="AK119" s="17">
        <v>6.3262325103687704</v>
      </c>
      <c r="AL119" s="17">
        <v>5.9901047564916103</v>
      </c>
      <c r="AM119" s="17">
        <v>6.22179524057825</v>
      </c>
      <c r="AN119" s="17">
        <v>6.8458175909230699</v>
      </c>
      <c r="AO119" s="17"/>
      <c r="AP119" s="17"/>
      <c r="AQ119" s="17"/>
      <c r="AR119" s="17"/>
      <c r="AS119" s="17"/>
      <c r="AT119" s="17"/>
      <c r="AU119" s="17"/>
      <c r="AV119" s="17"/>
      <c r="AW119" s="17"/>
      <c r="AX119" s="17"/>
      <c r="AY119" s="17"/>
      <c r="AZ119" s="17"/>
      <c r="BA119" s="17"/>
      <c r="BB119" s="17"/>
      <c r="BC119" s="17"/>
      <c r="BD119" s="17"/>
      <c r="BE119" s="17"/>
      <c r="BF119" s="17"/>
      <c r="BG119" s="17"/>
      <c r="BH119" s="17"/>
      <c r="BI119" s="17"/>
      <c r="BJ119" s="17"/>
      <c r="BK119" s="17"/>
      <c r="BL119" s="17"/>
      <c r="BM119" s="17"/>
      <c r="BN119" s="17"/>
      <c r="BO119" s="17"/>
      <c r="BP119" s="17"/>
      <c r="BQ119" s="17"/>
      <c r="BR119" s="17"/>
      <c r="BS119" s="17"/>
      <c r="BT119" s="17"/>
      <c r="BU119" s="17"/>
      <c r="BV119" s="17"/>
      <c r="BW119" s="17"/>
      <c r="BX119" s="17"/>
      <c r="BY119" s="17"/>
      <c r="BZ119" s="17"/>
      <c r="CA119" s="17"/>
      <c r="CB119" s="17"/>
      <c r="CC119" s="17"/>
      <c r="CD119" s="17"/>
      <c r="CE119" s="17"/>
      <c r="CF119" s="17"/>
      <c r="CG119" s="17"/>
      <c r="CH119" s="17"/>
      <c r="CI119" s="17"/>
      <c r="CJ119" s="17"/>
      <c r="CK119" s="17"/>
      <c r="CL119" s="17"/>
      <c r="CM119" s="17"/>
      <c r="CN119" s="17"/>
      <c r="CO119" s="17"/>
      <c r="CP119" s="17"/>
      <c r="CQ119" s="17"/>
      <c r="CR119" s="17"/>
      <c r="CS119" s="17"/>
      <c r="CT119" s="17"/>
      <c r="CU119" s="17"/>
      <c r="CV119" s="17"/>
    </row>
    <row r="120" spans="2:100" x14ac:dyDescent="0.35">
      <c r="B120" s="9"/>
      <c r="C120" t="s">
        <v>230</v>
      </c>
      <c r="D120" t="s">
        <v>349</v>
      </c>
      <c r="E120" t="s">
        <v>219</v>
      </c>
      <c r="F120" s="17">
        <v>0</v>
      </c>
      <c r="G120" s="17">
        <v>8.2250539725199108</v>
      </c>
      <c r="H120" s="17">
        <v>7.5973647739509804</v>
      </c>
      <c r="I120" s="17">
        <v>7.0796183409392599</v>
      </c>
      <c r="J120" s="17">
        <v>6.6529894298954204</v>
      </c>
      <c r="K120" s="17">
        <v>6.41602328098491</v>
      </c>
      <c r="L120" s="17">
        <v>6.5801957021870701</v>
      </c>
      <c r="M120" s="17">
        <v>6.01045524179239</v>
      </c>
      <c r="N120" s="17">
        <v>5.5641444445541604</v>
      </c>
      <c r="O120" s="17">
        <v>6.3550240593877403</v>
      </c>
      <c r="P120" s="17">
        <v>6.24309639023343</v>
      </c>
      <c r="Q120" s="17">
        <v>5.9038032374619496</v>
      </c>
      <c r="R120" s="17">
        <v>6.2916847409182104</v>
      </c>
      <c r="S120" s="17">
        <v>6.3941997882778603</v>
      </c>
      <c r="T120" s="17">
        <v>6.4521067390079603</v>
      </c>
      <c r="U120" s="17">
        <v>6.3769624675662104</v>
      </c>
      <c r="V120" s="17">
        <v>6.6585158193841796</v>
      </c>
      <c r="W120" s="17">
        <v>6.6160075418231497</v>
      </c>
      <c r="X120" s="17">
        <v>6.6926875018374004</v>
      </c>
      <c r="Y120" s="17">
        <v>6.1961064092873697</v>
      </c>
      <c r="Z120" s="17">
        <v>6.6264752965825897</v>
      </c>
      <c r="AA120" s="17">
        <v>6.6676463759308398</v>
      </c>
      <c r="AB120" s="17">
        <v>6.7444934857216801</v>
      </c>
      <c r="AC120" s="17">
        <v>6.7562984386939</v>
      </c>
      <c r="AD120" s="17">
        <v>6.8979578743605501</v>
      </c>
      <c r="AE120" s="17">
        <v>7.0615348244835801</v>
      </c>
      <c r="AF120" s="17">
        <v>7.0421454503982304</v>
      </c>
      <c r="AG120" s="17">
        <v>6.9861189346548596</v>
      </c>
      <c r="AH120" s="17">
        <v>6.8687066634559297</v>
      </c>
      <c r="AI120" s="17">
        <v>6.81798715311953</v>
      </c>
      <c r="AJ120" s="17">
        <v>6.6709684777407201</v>
      </c>
      <c r="AK120" s="17">
        <v>6.5063781820970599</v>
      </c>
      <c r="AL120" s="17">
        <v>6.7148139535145299</v>
      </c>
      <c r="AM120" s="17">
        <v>6.8871244794648003</v>
      </c>
      <c r="AN120" s="17">
        <v>6.8273162000258996</v>
      </c>
      <c r="AO120" s="17"/>
      <c r="AP120" s="17"/>
      <c r="AQ120" s="17"/>
      <c r="AR120" s="17"/>
      <c r="AS120" s="17"/>
      <c r="AT120" s="17"/>
      <c r="AU120" s="17"/>
      <c r="AV120" s="17"/>
      <c r="AW120" s="17"/>
      <c r="AX120" s="17"/>
      <c r="AY120" s="17"/>
      <c r="AZ120" s="17"/>
      <c r="BA120" s="17"/>
      <c r="BB120" s="17"/>
      <c r="BC120" s="17"/>
      <c r="BD120" s="17"/>
      <c r="BE120" s="17"/>
      <c r="BF120" s="17"/>
      <c r="BG120" s="17"/>
      <c r="BH120" s="17"/>
      <c r="BI120" s="17"/>
      <c r="BJ120" s="17"/>
      <c r="BK120" s="17"/>
      <c r="BL120" s="17"/>
      <c r="BM120" s="17"/>
      <c r="BN120" s="17"/>
      <c r="BO120" s="17"/>
      <c r="BP120" s="17"/>
      <c r="BQ120" s="17"/>
      <c r="BR120" s="17"/>
      <c r="BS120" s="17"/>
      <c r="BT120" s="17"/>
      <c r="BU120" s="17"/>
      <c r="BV120" s="17"/>
      <c r="BW120" s="17"/>
      <c r="BX120" s="17"/>
      <c r="BY120" s="17"/>
      <c r="BZ120" s="17"/>
      <c r="CA120" s="17"/>
      <c r="CB120" s="17"/>
      <c r="CC120" s="17"/>
      <c r="CD120" s="17"/>
      <c r="CE120" s="17"/>
      <c r="CF120" s="17"/>
      <c r="CG120" s="17"/>
      <c r="CH120" s="17"/>
      <c r="CI120" s="17"/>
      <c r="CJ120" s="17"/>
      <c r="CK120" s="17"/>
      <c r="CL120" s="17"/>
      <c r="CM120" s="17"/>
      <c r="CN120" s="17"/>
      <c r="CO120" s="17"/>
      <c r="CP120" s="17"/>
      <c r="CQ120" s="17"/>
      <c r="CR120" s="17"/>
      <c r="CS120" s="17"/>
      <c r="CT120" s="17"/>
      <c r="CU120" s="17"/>
      <c r="CV120" s="17"/>
    </row>
    <row r="121" spans="2:100" x14ac:dyDescent="0.35">
      <c r="B121" s="9"/>
      <c r="C121" t="s">
        <v>230</v>
      </c>
      <c r="D121" t="s">
        <v>350</v>
      </c>
      <c r="E121" t="s">
        <v>219</v>
      </c>
      <c r="F121" s="17">
        <v>0</v>
      </c>
      <c r="G121" s="17">
        <v>52.0645436949588</v>
      </c>
      <c r="H121" s="17">
        <v>40.829592354658999</v>
      </c>
      <c r="I121" s="17">
        <v>27.766335864210301</v>
      </c>
      <c r="J121" s="17">
        <v>27.3489210846014</v>
      </c>
      <c r="K121" s="17">
        <v>24.9264298192303</v>
      </c>
      <c r="L121" s="17">
        <v>25.052586113117499</v>
      </c>
      <c r="M121" s="17">
        <v>23.631739884008901</v>
      </c>
      <c r="N121" s="17">
        <v>23.548081420821699</v>
      </c>
      <c r="O121" s="17">
        <v>26.997822978857702</v>
      </c>
      <c r="P121" s="17">
        <v>26.027100651265901</v>
      </c>
      <c r="Q121" s="17">
        <v>25.429038750598899</v>
      </c>
      <c r="R121" s="17">
        <v>26.412955463680898</v>
      </c>
      <c r="S121" s="17">
        <v>26.605804518430599</v>
      </c>
      <c r="T121" s="17">
        <v>26.0612096525529</v>
      </c>
      <c r="U121" s="17">
        <v>25.251139153993702</v>
      </c>
      <c r="V121" s="17">
        <v>25.820963189276601</v>
      </c>
      <c r="W121" s="17">
        <v>25.460515142904502</v>
      </c>
      <c r="X121" s="17">
        <v>24.825189288917301</v>
      </c>
      <c r="Y121" s="17">
        <v>24.814481256354</v>
      </c>
      <c r="Z121" s="17">
        <v>25.815760652480002</v>
      </c>
      <c r="AA121" s="17">
        <v>25.905112654932601</v>
      </c>
      <c r="AB121" s="17">
        <v>26.6231985420578</v>
      </c>
      <c r="AC121" s="17">
        <v>26.4685641049828</v>
      </c>
      <c r="AD121" s="17">
        <v>25.881638558181699</v>
      </c>
      <c r="AE121" s="17">
        <v>25.939838021020801</v>
      </c>
      <c r="AF121" s="17">
        <v>25.5880608693097</v>
      </c>
      <c r="AG121" s="17">
        <v>25.632616731633998</v>
      </c>
      <c r="AH121" s="17">
        <v>25.3001035916758</v>
      </c>
      <c r="AI121" s="17">
        <v>24.830109760465898</v>
      </c>
      <c r="AJ121" s="17">
        <v>24.541233159060699</v>
      </c>
      <c r="AK121" s="17">
        <v>24.680573391576999</v>
      </c>
      <c r="AL121" s="17">
        <v>24.500072526573501</v>
      </c>
      <c r="AM121" s="17">
        <v>25.177091802960799</v>
      </c>
      <c r="AN121" s="17">
        <v>25.565735927272801</v>
      </c>
      <c r="AO121" s="17"/>
      <c r="AP121" s="17"/>
      <c r="AQ121" s="17"/>
      <c r="AR121" s="17"/>
      <c r="AS121" s="17"/>
      <c r="AT121" s="17"/>
      <c r="AU121" s="17"/>
      <c r="AV121" s="17"/>
      <c r="AW121" s="17"/>
      <c r="AX121" s="17"/>
      <c r="AY121" s="17"/>
      <c r="AZ121" s="17"/>
      <c r="BA121" s="17"/>
      <c r="BB121" s="17"/>
      <c r="BC121" s="17"/>
      <c r="BD121" s="17"/>
      <c r="BE121" s="17"/>
      <c r="BF121" s="17"/>
      <c r="BG121" s="17"/>
      <c r="BH121" s="17"/>
      <c r="BI121" s="17"/>
      <c r="BJ121" s="17"/>
      <c r="BK121" s="17"/>
      <c r="BL121" s="17"/>
      <c r="BM121" s="17"/>
      <c r="BN121" s="17"/>
      <c r="BO121" s="17"/>
      <c r="BP121" s="17"/>
      <c r="BQ121" s="17"/>
      <c r="BR121" s="17"/>
      <c r="BS121" s="17"/>
      <c r="BT121" s="17"/>
      <c r="BU121" s="17"/>
      <c r="BV121" s="17"/>
      <c r="BW121" s="17"/>
      <c r="BX121" s="17"/>
      <c r="BY121" s="17"/>
      <c r="BZ121" s="17"/>
      <c r="CA121" s="17"/>
      <c r="CB121" s="17"/>
      <c r="CC121" s="17"/>
      <c r="CD121" s="17"/>
      <c r="CE121" s="17"/>
      <c r="CF121" s="17"/>
      <c r="CG121" s="17"/>
      <c r="CH121" s="17"/>
      <c r="CI121" s="17"/>
      <c r="CJ121" s="17"/>
      <c r="CK121" s="17"/>
      <c r="CL121" s="17"/>
      <c r="CM121" s="17"/>
      <c r="CN121" s="17"/>
      <c r="CO121" s="17"/>
      <c r="CP121" s="17"/>
      <c r="CQ121" s="17"/>
      <c r="CR121" s="17"/>
      <c r="CS121" s="17"/>
      <c r="CT121" s="17"/>
      <c r="CU121" s="17"/>
      <c r="CV121" s="17"/>
    </row>
    <row r="122" spans="2:100" x14ac:dyDescent="0.35">
      <c r="B122" s="9"/>
      <c r="D122" t="s">
        <v>351</v>
      </c>
      <c r="E122" t="s">
        <v>219</v>
      </c>
      <c r="F122" s="17">
        <v>0</v>
      </c>
      <c r="G122" s="17">
        <v>-11.8406185558019</v>
      </c>
      <c r="H122" s="17">
        <v>-11.399416273610999</v>
      </c>
      <c r="I122" s="17">
        <v>-10.8066509314899</v>
      </c>
      <c r="J122" s="17">
        <v>-9.5357484988506105</v>
      </c>
      <c r="K122" s="17">
        <v>-9.3376760135822003</v>
      </c>
      <c r="L122" s="17">
        <v>-9.6941020184549593</v>
      </c>
      <c r="M122" s="17">
        <v>-8.9954263991371395</v>
      </c>
      <c r="N122" s="17">
        <v>-8.5861392774153291</v>
      </c>
      <c r="O122" s="17">
        <v>-8.2859800660898095</v>
      </c>
      <c r="P122" s="17">
        <v>-8.3659089998866794</v>
      </c>
      <c r="Q122" s="17">
        <v>-9.1852040767418899</v>
      </c>
      <c r="R122" s="17">
        <v>-8.6162053434808605</v>
      </c>
      <c r="S122" s="17">
        <v>-8.8271170209641898</v>
      </c>
      <c r="T122" s="17">
        <v>-8.5619965815579793</v>
      </c>
      <c r="U122" s="17">
        <v>-8.8780663622434108</v>
      </c>
      <c r="V122" s="17">
        <v>-9.1209349876400303</v>
      </c>
      <c r="W122" s="17">
        <v>-8.6344037754079501</v>
      </c>
      <c r="X122" s="17">
        <v>-8.9610144388800705</v>
      </c>
      <c r="Y122" s="17">
        <v>-9.0478487478226395</v>
      </c>
      <c r="Z122" s="17">
        <v>-8.8455452838341007</v>
      </c>
      <c r="AA122" s="17">
        <v>-8.8160120076814703</v>
      </c>
      <c r="AB122" s="17">
        <v>-12.900671992124201</v>
      </c>
      <c r="AC122" s="17">
        <v>-12.420638727457399</v>
      </c>
      <c r="AD122" s="17">
        <v>-12.506919352764999</v>
      </c>
      <c r="AE122" s="17">
        <v>-12.5622250350968</v>
      </c>
      <c r="AF122" s="17">
        <v>-12.428724597900301</v>
      </c>
      <c r="AG122" s="17">
        <v>-11.9062248431166</v>
      </c>
      <c r="AH122" s="17">
        <v>-11.7109207760231</v>
      </c>
      <c r="AI122" s="17">
        <v>-11.8516504410574</v>
      </c>
      <c r="AJ122" s="17">
        <v>-11.658059659174</v>
      </c>
      <c r="AK122" s="17">
        <v>-11.220304841125399</v>
      </c>
      <c r="AL122" s="17">
        <v>-10.7133813561484</v>
      </c>
      <c r="AM122" s="17">
        <v>-10.240054976267499</v>
      </c>
      <c r="AN122" s="17">
        <v>-9.9028825362866595</v>
      </c>
      <c r="AO122" s="17"/>
      <c r="AP122" s="17"/>
      <c r="AQ122" s="17"/>
      <c r="AR122" s="17"/>
      <c r="AS122" s="17"/>
      <c r="AT122" s="17"/>
      <c r="AU122" s="17"/>
      <c r="AV122" s="17"/>
      <c r="AW122" s="17"/>
      <c r="AX122" s="17"/>
      <c r="AY122" s="17"/>
      <c r="AZ122" s="17"/>
      <c r="BA122" s="17"/>
      <c r="BB122" s="17"/>
      <c r="BC122" s="17"/>
      <c r="BD122" s="17"/>
      <c r="BE122" s="17"/>
      <c r="BF122" s="17"/>
      <c r="BG122" s="17"/>
      <c r="BH122" s="17"/>
      <c r="BI122" s="17"/>
      <c r="BJ122" s="17"/>
      <c r="BK122" s="17"/>
      <c r="BL122" s="17"/>
      <c r="BM122" s="17"/>
      <c r="BN122" s="17"/>
      <c r="BO122" s="17"/>
      <c r="BP122" s="17"/>
      <c r="BQ122" s="17"/>
      <c r="BR122" s="17"/>
      <c r="BS122" s="17"/>
      <c r="BT122" s="17"/>
      <c r="BU122" s="17"/>
      <c r="BV122" s="17"/>
      <c r="BW122" s="17"/>
      <c r="BX122" s="17"/>
      <c r="BY122" s="17"/>
      <c r="BZ122" s="17"/>
      <c r="CA122" s="17"/>
      <c r="CB122" s="17"/>
      <c r="CC122" s="17"/>
      <c r="CD122" s="17"/>
      <c r="CE122" s="17"/>
      <c r="CF122" s="17"/>
      <c r="CG122" s="17"/>
      <c r="CH122" s="17"/>
      <c r="CI122" s="17"/>
      <c r="CJ122" s="17"/>
      <c r="CK122" s="17"/>
      <c r="CL122" s="17"/>
      <c r="CM122" s="17"/>
      <c r="CN122" s="17"/>
      <c r="CO122" s="17"/>
      <c r="CP122" s="17"/>
      <c r="CQ122" s="17"/>
      <c r="CR122" s="17"/>
      <c r="CS122" s="17"/>
      <c r="CT122" s="17"/>
      <c r="CU122" s="17"/>
      <c r="CV122" s="17"/>
    </row>
    <row r="123" spans="2:100" x14ac:dyDescent="0.35">
      <c r="B123" s="9"/>
      <c r="C123" t="s">
        <v>230</v>
      </c>
      <c r="D123" t="s">
        <v>352</v>
      </c>
      <c r="E123" t="s">
        <v>219</v>
      </c>
      <c r="F123" s="17">
        <v>0</v>
      </c>
      <c r="G123" s="17">
        <v>140.43075944631801</v>
      </c>
      <c r="H123" s="17">
        <v>118.15523106217999</v>
      </c>
      <c r="I123" s="17">
        <v>88.966993835896503</v>
      </c>
      <c r="J123" s="17">
        <v>78.630159138978797</v>
      </c>
      <c r="K123" s="17">
        <v>75.433148043158695</v>
      </c>
      <c r="L123" s="17">
        <v>80.146938892993504</v>
      </c>
      <c r="M123" s="17">
        <v>71.389491988287503</v>
      </c>
      <c r="N123" s="17">
        <v>68.816524136534298</v>
      </c>
      <c r="O123" s="17">
        <v>69.6576844935407</v>
      </c>
      <c r="P123" s="17">
        <v>63.149384089012798</v>
      </c>
      <c r="Q123" s="17">
        <v>61.105696004856497</v>
      </c>
      <c r="R123" s="17">
        <v>59.189470072217098</v>
      </c>
      <c r="S123" s="17">
        <v>59.451132600619999</v>
      </c>
      <c r="T123" s="17">
        <v>60.469607530013597</v>
      </c>
      <c r="U123" s="17">
        <v>59.115767467598502</v>
      </c>
      <c r="V123" s="17">
        <v>58.314179820201701</v>
      </c>
      <c r="W123" s="17">
        <v>56.064396061500297</v>
      </c>
      <c r="X123" s="17">
        <v>54.196883841878197</v>
      </c>
      <c r="Y123" s="17">
        <v>53.1163754516447</v>
      </c>
      <c r="Z123" s="17">
        <v>54.959462910161498</v>
      </c>
      <c r="AA123" s="17">
        <v>54.040222713761899</v>
      </c>
      <c r="AB123" s="17">
        <v>73.110528769304807</v>
      </c>
      <c r="AC123" s="17">
        <v>71.166179886752801</v>
      </c>
      <c r="AD123" s="17">
        <v>69.269447796809203</v>
      </c>
      <c r="AE123" s="17">
        <v>68.622599055097695</v>
      </c>
      <c r="AF123" s="17">
        <v>67.230398118953502</v>
      </c>
      <c r="AG123" s="17">
        <v>66.680015692061104</v>
      </c>
      <c r="AH123" s="17">
        <v>65.353201659149704</v>
      </c>
      <c r="AI123" s="17">
        <v>64.438004397971497</v>
      </c>
      <c r="AJ123" s="17">
        <v>64.081651521126005</v>
      </c>
      <c r="AK123" s="17">
        <v>62.372565949135499</v>
      </c>
      <c r="AL123" s="17">
        <v>62.892224157717003</v>
      </c>
      <c r="AM123" s="17">
        <v>63.230441283801703</v>
      </c>
      <c r="AN123" s="17">
        <v>61.750194202834599</v>
      </c>
      <c r="AO123" s="17"/>
      <c r="AP123" s="17"/>
      <c r="AQ123" s="17"/>
      <c r="AR123" s="17"/>
      <c r="AS123" s="17"/>
      <c r="AT123" s="17"/>
      <c r="AU123" s="17"/>
      <c r="AV123" s="17"/>
      <c r="AW123" s="17"/>
      <c r="AX123" s="17"/>
      <c r="AY123" s="17"/>
      <c r="AZ123" s="17"/>
      <c r="BA123" s="17"/>
      <c r="BB123" s="17"/>
      <c r="BC123" s="17"/>
      <c r="BD123" s="17"/>
      <c r="BE123" s="17"/>
      <c r="BF123" s="17"/>
      <c r="BG123" s="17"/>
      <c r="BH123" s="17"/>
      <c r="BI123" s="17"/>
      <c r="BJ123" s="17"/>
      <c r="BK123" s="17"/>
      <c r="BL123" s="17"/>
      <c r="BM123" s="17"/>
      <c r="BN123" s="17"/>
      <c r="BO123" s="17"/>
      <c r="BP123" s="17"/>
      <c r="BQ123" s="17"/>
      <c r="BR123" s="17"/>
      <c r="BS123" s="17"/>
      <c r="BT123" s="17"/>
      <c r="BU123" s="17"/>
      <c r="BV123" s="17"/>
      <c r="BW123" s="17"/>
      <c r="BX123" s="17"/>
      <c r="BY123" s="17"/>
      <c r="BZ123" s="17"/>
      <c r="CA123" s="17"/>
      <c r="CB123" s="17"/>
      <c r="CC123" s="17"/>
      <c r="CD123" s="17"/>
      <c r="CE123" s="17"/>
      <c r="CF123" s="17"/>
      <c r="CG123" s="17"/>
      <c r="CH123" s="17"/>
      <c r="CI123" s="17"/>
      <c r="CJ123" s="17"/>
      <c r="CK123" s="17"/>
      <c r="CL123" s="17"/>
      <c r="CM123" s="17"/>
      <c r="CN123" s="17"/>
      <c r="CO123" s="17"/>
      <c r="CP123" s="17"/>
      <c r="CQ123" s="17"/>
      <c r="CR123" s="17"/>
      <c r="CS123" s="17"/>
      <c r="CT123" s="17"/>
      <c r="CU123" s="17"/>
      <c r="CV123" s="17"/>
    </row>
    <row r="124" spans="2:100" x14ac:dyDescent="0.35">
      <c r="B124" s="9"/>
      <c r="C124" t="s">
        <v>230</v>
      </c>
      <c r="D124" t="s">
        <v>354</v>
      </c>
      <c r="E124" t="s">
        <v>124</v>
      </c>
      <c r="F124" s="17">
        <v>0</v>
      </c>
      <c r="G124" s="17">
        <v>1</v>
      </c>
      <c r="H124" s="17">
        <v>1</v>
      </c>
      <c r="I124" s="17">
        <v>1</v>
      </c>
      <c r="J124" s="17">
        <v>1</v>
      </c>
      <c r="K124" s="17">
        <v>1</v>
      </c>
      <c r="L124" s="17">
        <v>1</v>
      </c>
      <c r="M124" s="17">
        <v>1</v>
      </c>
      <c r="N124" s="17">
        <v>1</v>
      </c>
      <c r="O124" s="17">
        <v>1</v>
      </c>
      <c r="P124" s="17">
        <v>1</v>
      </c>
      <c r="Q124" s="17">
        <v>1</v>
      </c>
      <c r="R124" s="17">
        <v>1</v>
      </c>
      <c r="S124" s="17">
        <v>1</v>
      </c>
      <c r="T124" s="17">
        <v>1</v>
      </c>
      <c r="U124" s="17">
        <v>1</v>
      </c>
      <c r="V124" s="17">
        <v>1</v>
      </c>
      <c r="W124" s="17">
        <v>1</v>
      </c>
      <c r="X124" s="17">
        <v>1</v>
      </c>
      <c r="Y124" s="17">
        <v>1</v>
      </c>
      <c r="Z124" s="17">
        <v>1</v>
      </c>
      <c r="AA124" s="17">
        <v>1</v>
      </c>
      <c r="AB124" s="17">
        <v>1</v>
      </c>
      <c r="AC124" s="17">
        <v>1</v>
      </c>
      <c r="AD124" s="17">
        <v>1</v>
      </c>
      <c r="AE124" s="17">
        <v>1</v>
      </c>
      <c r="AF124" s="17">
        <v>1</v>
      </c>
      <c r="AG124" s="17">
        <v>1</v>
      </c>
      <c r="AH124" s="17">
        <v>1</v>
      </c>
      <c r="AI124" s="17">
        <v>1</v>
      </c>
      <c r="AJ124" s="17">
        <v>1</v>
      </c>
      <c r="AK124" s="17">
        <v>1</v>
      </c>
      <c r="AL124" s="17">
        <v>1</v>
      </c>
      <c r="AM124" s="17">
        <v>1</v>
      </c>
      <c r="AN124" s="17">
        <v>1</v>
      </c>
      <c r="AO124" s="17"/>
      <c r="AP124" s="17"/>
      <c r="AQ124" s="17"/>
      <c r="AR124" s="17"/>
      <c r="AS124" s="17"/>
      <c r="AT124" s="17"/>
      <c r="AU124" s="17"/>
      <c r="AV124" s="17"/>
      <c r="AW124" s="17"/>
      <c r="AX124" s="17"/>
      <c r="AY124" s="17"/>
      <c r="AZ124" s="17"/>
      <c r="BA124" s="17"/>
      <c r="BB124" s="17"/>
      <c r="BC124" s="17"/>
      <c r="BD124" s="17"/>
      <c r="BE124" s="17"/>
      <c r="BF124" s="17"/>
      <c r="BG124" s="17"/>
      <c r="BH124" s="17"/>
      <c r="BI124" s="17"/>
      <c r="BJ124" s="17"/>
      <c r="BK124" s="17"/>
      <c r="BL124" s="17"/>
      <c r="BM124" s="17"/>
      <c r="BN124" s="17"/>
      <c r="BO124" s="17"/>
      <c r="BP124" s="17"/>
      <c r="BQ124" s="17"/>
      <c r="BR124" s="17"/>
      <c r="BS124" s="17"/>
      <c r="BT124" s="17"/>
      <c r="BU124" s="17"/>
      <c r="BV124" s="17"/>
      <c r="BW124" s="17"/>
      <c r="BX124" s="17"/>
      <c r="BY124" s="17"/>
      <c r="BZ124" s="17"/>
      <c r="CA124" s="17"/>
      <c r="CB124" s="17"/>
      <c r="CC124" s="17"/>
      <c r="CD124" s="17"/>
      <c r="CE124" s="17"/>
      <c r="CF124" s="17"/>
      <c r="CG124" s="17"/>
      <c r="CH124" s="17"/>
      <c r="CI124" s="17"/>
      <c r="CJ124" s="17"/>
      <c r="CK124" s="17"/>
      <c r="CL124" s="17"/>
      <c r="CM124" s="17"/>
      <c r="CN124" s="17"/>
      <c r="CO124" s="17"/>
      <c r="CP124" s="17"/>
      <c r="CQ124" s="17"/>
      <c r="CR124" s="17"/>
      <c r="CS124" s="17"/>
      <c r="CT124" s="17"/>
      <c r="CU124" s="17"/>
      <c r="CV124" s="17"/>
    </row>
    <row r="125" spans="2:100" x14ac:dyDescent="0.35">
      <c r="B125" s="9"/>
      <c r="C125" t="s">
        <v>338</v>
      </c>
      <c r="D125" t="s">
        <v>353</v>
      </c>
      <c r="E125" t="s">
        <v>221</v>
      </c>
      <c r="F125" s="17">
        <v>0</v>
      </c>
      <c r="G125" s="17">
        <v>0</v>
      </c>
      <c r="H125" s="17">
        <v>0</v>
      </c>
      <c r="I125" s="17">
        <v>0</v>
      </c>
      <c r="J125" s="17">
        <v>0</v>
      </c>
      <c r="K125" s="17">
        <v>0</v>
      </c>
      <c r="L125" s="17">
        <v>0</v>
      </c>
      <c r="M125" s="17">
        <v>0</v>
      </c>
      <c r="N125" s="17">
        <v>0</v>
      </c>
      <c r="O125" s="17">
        <v>0</v>
      </c>
      <c r="P125" s="17">
        <v>0</v>
      </c>
      <c r="Q125" s="17">
        <v>0</v>
      </c>
      <c r="R125" s="17">
        <v>0</v>
      </c>
      <c r="S125" s="17">
        <v>0</v>
      </c>
      <c r="T125" s="17">
        <v>0</v>
      </c>
      <c r="U125" s="17">
        <v>0</v>
      </c>
      <c r="V125" s="17">
        <v>0</v>
      </c>
      <c r="W125" s="17">
        <v>0</v>
      </c>
      <c r="X125" s="17">
        <v>0</v>
      </c>
      <c r="Y125" s="17">
        <v>0</v>
      </c>
      <c r="Z125" s="17">
        <v>0</v>
      </c>
      <c r="AA125" s="17">
        <v>0</v>
      </c>
      <c r="AB125" s="17">
        <v>0</v>
      </c>
      <c r="AC125" s="17">
        <v>0</v>
      </c>
      <c r="AD125" s="17">
        <v>0</v>
      </c>
      <c r="AE125" s="17">
        <v>0</v>
      </c>
      <c r="AF125" s="17">
        <v>0</v>
      </c>
      <c r="AG125" s="17">
        <v>0</v>
      </c>
      <c r="AH125" s="17">
        <v>0</v>
      </c>
      <c r="AI125" s="17">
        <v>0</v>
      </c>
      <c r="AJ125" s="17">
        <v>0</v>
      </c>
      <c r="AK125" s="17">
        <v>0</v>
      </c>
      <c r="AL125" s="17">
        <v>0</v>
      </c>
      <c r="AM125" s="17">
        <v>0</v>
      </c>
      <c r="AN125" s="17">
        <v>0</v>
      </c>
      <c r="AO125" s="17"/>
      <c r="AP125" s="17"/>
      <c r="AQ125" s="17"/>
      <c r="AR125" s="17"/>
      <c r="AS125" s="17"/>
      <c r="AT125" s="17"/>
      <c r="AU125" s="17"/>
      <c r="AV125" s="17"/>
      <c r="AW125" s="17"/>
      <c r="AX125" s="17"/>
      <c r="AY125" s="17"/>
      <c r="AZ125" s="17"/>
      <c r="BA125" s="17"/>
      <c r="BB125" s="17"/>
      <c r="BC125" s="17"/>
      <c r="BD125" s="17"/>
      <c r="BE125" s="17"/>
      <c r="BF125" s="17"/>
      <c r="BG125" s="17"/>
      <c r="BH125" s="17"/>
      <c r="BI125" s="17"/>
      <c r="BJ125" s="17"/>
      <c r="BK125" s="17"/>
      <c r="BL125" s="17"/>
      <c r="BM125" s="17"/>
      <c r="BN125" s="17"/>
      <c r="BO125" s="17"/>
      <c r="BP125" s="17"/>
      <c r="BQ125" s="17"/>
      <c r="BR125" s="17"/>
      <c r="BS125" s="17"/>
      <c r="BT125" s="17"/>
      <c r="BU125" s="17"/>
      <c r="BV125" s="17"/>
      <c r="BW125" s="17"/>
      <c r="BX125" s="17"/>
      <c r="BY125" s="17"/>
      <c r="BZ125" s="17"/>
      <c r="CA125" s="17"/>
      <c r="CB125" s="17"/>
      <c r="CC125" s="17"/>
      <c r="CD125" s="17"/>
      <c r="CE125" s="17"/>
      <c r="CF125" s="17"/>
      <c r="CG125" s="17"/>
      <c r="CH125" s="17"/>
      <c r="CI125" s="17"/>
      <c r="CJ125" s="17"/>
      <c r="CK125" s="17"/>
      <c r="CL125" s="17"/>
      <c r="CM125" s="17"/>
      <c r="CN125" s="17"/>
      <c r="CO125" s="17"/>
      <c r="CP125" s="17"/>
      <c r="CQ125" s="17"/>
      <c r="CR125" s="17"/>
      <c r="CS125" s="17"/>
      <c r="CT125" s="17"/>
      <c r="CU125" s="17"/>
      <c r="CV125" s="17"/>
    </row>
    <row r="126" spans="2:100" x14ac:dyDescent="0.35">
      <c r="B126" s="9"/>
      <c r="C126" t="s">
        <v>230</v>
      </c>
      <c r="D126" t="s">
        <v>358</v>
      </c>
      <c r="E126" t="s">
        <v>221</v>
      </c>
      <c r="F126" s="17">
        <v>0</v>
      </c>
      <c r="G126" s="17">
        <v>0.83401000000000003</v>
      </c>
      <c r="H126" s="17">
        <v>3.0703999999999998</v>
      </c>
      <c r="I126" s="17">
        <v>1.67953</v>
      </c>
      <c r="J126" s="17">
        <v>6.3817000000000004</v>
      </c>
      <c r="K126" s="17">
        <v>4.0417300000000003</v>
      </c>
      <c r="L126" s="17">
        <v>4.6249500000000001</v>
      </c>
      <c r="M126" s="17">
        <v>6.7860399999999998</v>
      </c>
      <c r="N126" s="17">
        <v>11.62749</v>
      </c>
      <c r="O126" s="17">
        <v>12.65929</v>
      </c>
      <c r="P126" s="17">
        <v>10.549849999999999</v>
      </c>
      <c r="Q126" s="17">
        <v>10.33792</v>
      </c>
      <c r="R126" s="17">
        <v>7.7726899999999999</v>
      </c>
      <c r="S126" s="17">
        <v>10.55452</v>
      </c>
      <c r="T126" s="17">
        <v>10.01521</v>
      </c>
      <c r="U126" s="17">
        <v>10.08243</v>
      </c>
      <c r="V126" s="17">
        <v>8.5620399999999997</v>
      </c>
      <c r="W126" s="17">
        <v>6.3897899999999996</v>
      </c>
      <c r="X126" s="17">
        <v>6.2554600000000002</v>
      </c>
      <c r="Y126" s="17">
        <v>6.5247799999999998</v>
      </c>
      <c r="Z126" s="17">
        <v>7.0611800000000002</v>
      </c>
      <c r="AA126" s="17">
        <v>8.5414899999999996</v>
      </c>
      <c r="AB126" s="17">
        <v>10.910019999999999</v>
      </c>
      <c r="AC126" s="17">
        <v>10.52361</v>
      </c>
      <c r="AD126" s="17">
        <v>8.0690299999999997</v>
      </c>
      <c r="AE126" s="17">
        <v>8.2972599999999996</v>
      </c>
      <c r="AF126" s="17">
        <v>8.6512399999999996</v>
      </c>
      <c r="AG126" s="17">
        <v>8.94773</v>
      </c>
      <c r="AH126" s="17">
        <v>7.4253499999999999</v>
      </c>
      <c r="AI126" s="17">
        <v>7.8063099999999999</v>
      </c>
      <c r="AJ126" s="17">
        <v>6.7585600000000001</v>
      </c>
      <c r="AK126" s="17">
        <v>7.0071700000000003</v>
      </c>
      <c r="AL126" s="17">
        <v>6.2994599999999998</v>
      </c>
      <c r="AM126" s="17">
        <v>6.4328000000000003</v>
      </c>
      <c r="AN126" s="17">
        <v>8.0424299999999995</v>
      </c>
      <c r="AO126" s="17"/>
      <c r="AP126" s="17"/>
      <c r="AQ126" s="17"/>
      <c r="AR126" s="17"/>
      <c r="AS126" s="17"/>
      <c r="AT126" s="17"/>
      <c r="AU126" s="17"/>
      <c r="AV126" s="17"/>
      <c r="AW126" s="17"/>
      <c r="AX126" s="17"/>
      <c r="AY126" s="17"/>
      <c r="AZ126" s="17"/>
      <c r="BA126" s="17"/>
      <c r="BB126" s="17"/>
      <c r="BC126" s="17"/>
      <c r="BD126" s="17"/>
      <c r="BE126" s="17"/>
      <c r="BF126" s="17"/>
      <c r="BG126" s="17"/>
      <c r="BH126" s="17"/>
      <c r="BI126" s="17"/>
      <c r="BJ126" s="17"/>
      <c r="BK126" s="17"/>
      <c r="BL126" s="17"/>
      <c r="BM126" s="17"/>
      <c r="BN126" s="17"/>
      <c r="BO126" s="17"/>
      <c r="BP126" s="17"/>
      <c r="BQ126" s="17"/>
      <c r="BR126" s="17"/>
      <c r="BS126" s="17"/>
      <c r="BT126" s="17"/>
      <c r="BU126" s="17"/>
      <c r="BV126" s="17"/>
      <c r="BW126" s="17"/>
      <c r="BX126" s="17"/>
      <c r="BY126" s="17"/>
      <c r="BZ126" s="17"/>
      <c r="CA126" s="17"/>
      <c r="CB126" s="17"/>
      <c r="CC126" s="17"/>
      <c r="CD126" s="17"/>
      <c r="CE126" s="17"/>
      <c r="CF126" s="17"/>
      <c r="CG126" s="17"/>
      <c r="CH126" s="17"/>
      <c r="CI126" s="17"/>
      <c r="CJ126" s="17"/>
      <c r="CK126" s="17"/>
      <c r="CL126" s="17"/>
      <c r="CM126" s="17"/>
      <c r="CN126" s="17"/>
      <c r="CO126" s="17"/>
      <c r="CP126" s="17"/>
      <c r="CQ126" s="17"/>
      <c r="CR126" s="17"/>
      <c r="CS126" s="17"/>
      <c r="CT126" s="17"/>
      <c r="CU126" s="17"/>
      <c r="CV126" s="17"/>
    </row>
    <row r="127" spans="2:100" x14ac:dyDescent="0.35">
      <c r="B127" s="9"/>
      <c r="C127" t="s">
        <v>230</v>
      </c>
      <c r="D127" t="s">
        <v>359</v>
      </c>
      <c r="E127" t="s">
        <v>221</v>
      </c>
      <c r="F127" s="17">
        <v>0</v>
      </c>
      <c r="G127" s="17">
        <v>1304.1376700000001</v>
      </c>
      <c r="H127" s="17">
        <v>1315.91425</v>
      </c>
      <c r="I127" s="17">
        <v>1325.82188</v>
      </c>
      <c r="J127" s="17">
        <v>1300.8221000000001</v>
      </c>
      <c r="K127" s="17">
        <v>1313.25947</v>
      </c>
      <c r="L127" s="17">
        <v>1333.7050200000001</v>
      </c>
      <c r="M127" s="17">
        <v>1325.8298</v>
      </c>
      <c r="N127" s="17">
        <v>1320.5106800000001</v>
      </c>
      <c r="O127" s="17">
        <v>1321.7354</v>
      </c>
      <c r="P127" s="17">
        <v>1345.5246</v>
      </c>
      <c r="Q127" s="17">
        <v>1366.2439400000001</v>
      </c>
      <c r="R127" s="17">
        <v>1372.99548</v>
      </c>
      <c r="S127" s="17">
        <v>1381.09148</v>
      </c>
      <c r="T127" s="17">
        <v>1392.4005</v>
      </c>
      <c r="U127" s="17">
        <v>1402.3124499999999</v>
      </c>
      <c r="V127" s="17">
        <v>1426.9490000000001</v>
      </c>
      <c r="W127" s="17">
        <v>1425.52521</v>
      </c>
      <c r="X127" s="17">
        <v>1440.6893399999999</v>
      </c>
      <c r="Y127" s="17">
        <v>1450.86744</v>
      </c>
      <c r="Z127" s="17">
        <v>1456.5971199999999</v>
      </c>
      <c r="AA127" s="17">
        <v>1465.6929500000001</v>
      </c>
      <c r="AB127" s="17">
        <v>1326.64526</v>
      </c>
      <c r="AC127" s="17">
        <v>1341.2489599999999</v>
      </c>
      <c r="AD127" s="17">
        <v>1367.9166399999999</v>
      </c>
      <c r="AE127" s="17">
        <v>1385.3272400000001</v>
      </c>
      <c r="AF127" s="17">
        <v>1397.36493</v>
      </c>
      <c r="AG127" s="17">
        <v>1394.9464</v>
      </c>
      <c r="AH127" s="17">
        <v>1401.39446</v>
      </c>
      <c r="AI127" s="17">
        <v>1416.3162400000001</v>
      </c>
      <c r="AJ127" s="17">
        <v>1423.17238</v>
      </c>
      <c r="AK127" s="17">
        <v>1419.17644</v>
      </c>
      <c r="AL127" s="17">
        <v>1422.03232</v>
      </c>
      <c r="AM127" s="17">
        <v>1420.4894300000001</v>
      </c>
      <c r="AN127" s="17">
        <v>1417.4280699999999</v>
      </c>
      <c r="AO127" s="17"/>
      <c r="AP127" s="17"/>
      <c r="AQ127" s="17"/>
      <c r="AR127" s="17"/>
      <c r="AS127" s="17"/>
      <c r="AT127" s="17"/>
      <c r="AU127" s="17"/>
      <c r="AV127" s="17"/>
      <c r="AW127" s="17"/>
      <c r="AX127" s="17"/>
      <c r="AY127" s="17"/>
      <c r="AZ127" s="17"/>
      <c r="BA127" s="17"/>
      <c r="BB127" s="17"/>
      <c r="BC127" s="17"/>
      <c r="BD127" s="17"/>
      <c r="BE127" s="17"/>
      <c r="BF127" s="17"/>
      <c r="BG127" s="17"/>
      <c r="BH127" s="17"/>
      <c r="BI127" s="17"/>
      <c r="BJ127" s="17"/>
      <c r="BK127" s="17"/>
      <c r="BL127" s="17"/>
      <c r="BM127" s="17"/>
      <c r="BN127" s="17"/>
      <c r="BO127" s="17"/>
      <c r="BP127" s="17"/>
      <c r="BQ127" s="17"/>
      <c r="BR127" s="17"/>
      <c r="BS127" s="17"/>
      <c r="BT127" s="17"/>
      <c r="BU127" s="17"/>
      <c r="BV127" s="17"/>
      <c r="BW127" s="17"/>
      <c r="BX127" s="17"/>
      <c r="BY127" s="17"/>
      <c r="BZ127" s="17"/>
      <c r="CA127" s="17"/>
      <c r="CB127" s="17"/>
      <c r="CC127" s="17"/>
      <c r="CD127" s="17"/>
      <c r="CE127" s="17"/>
      <c r="CF127" s="17"/>
      <c r="CG127" s="17"/>
      <c r="CH127" s="17"/>
      <c r="CI127" s="17"/>
      <c r="CJ127" s="17"/>
      <c r="CK127" s="17"/>
      <c r="CL127" s="17"/>
      <c r="CM127" s="17"/>
      <c r="CN127" s="17"/>
      <c r="CO127" s="17"/>
      <c r="CP127" s="17"/>
      <c r="CQ127" s="17"/>
      <c r="CR127" s="17"/>
      <c r="CS127" s="17"/>
      <c r="CT127" s="17"/>
      <c r="CU127" s="17"/>
      <c r="CV127" s="17"/>
    </row>
    <row r="128" spans="2:100" x14ac:dyDescent="0.35">
      <c r="B128" s="9"/>
      <c r="C128" t="s">
        <v>230</v>
      </c>
      <c r="D128" t="s">
        <v>360</v>
      </c>
      <c r="E128" t="s">
        <v>221</v>
      </c>
      <c r="F128" s="17">
        <v>0</v>
      </c>
      <c r="G128" s="17">
        <v>517.39936</v>
      </c>
      <c r="H128" s="17">
        <v>503.75826000000001</v>
      </c>
      <c r="I128" s="17">
        <v>494.19893999999999</v>
      </c>
      <c r="J128" s="17">
        <v>515.26978999999994</v>
      </c>
      <c r="K128" s="17">
        <v>504.78771999999998</v>
      </c>
      <c r="L128" s="17">
        <v>483.86295999999999</v>
      </c>
      <c r="M128" s="17">
        <v>489.08415000000002</v>
      </c>
      <c r="N128" s="17">
        <v>489.72665000000001</v>
      </c>
      <c r="O128" s="17">
        <v>487.43203999999997</v>
      </c>
      <c r="P128" s="17">
        <v>465.75252</v>
      </c>
      <c r="Q128" s="17">
        <v>443.86824999999999</v>
      </c>
      <c r="R128" s="17">
        <v>439.47313000000003</v>
      </c>
      <c r="S128" s="17">
        <v>428.34503999999998</v>
      </c>
      <c r="T128" s="17">
        <v>417.96161999999998</v>
      </c>
      <c r="U128" s="17">
        <v>406.94002</v>
      </c>
      <c r="V128" s="17">
        <v>383.06171999999998</v>
      </c>
      <c r="W128" s="17">
        <v>386.70184999999998</v>
      </c>
      <c r="X128" s="17">
        <v>371.93938000000003</v>
      </c>
      <c r="Y128" s="17">
        <v>360.44081</v>
      </c>
      <c r="Z128" s="17">
        <v>353.99731000000003</v>
      </c>
      <c r="AA128" s="17">
        <v>343.14010999999999</v>
      </c>
      <c r="AB128" s="17">
        <v>484.85581999999999</v>
      </c>
      <c r="AC128" s="17">
        <v>469.45094</v>
      </c>
      <c r="AD128" s="17">
        <v>444.41289999999998</v>
      </c>
      <c r="AE128" s="17">
        <v>426.23549000000003</v>
      </c>
      <c r="AF128" s="17">
        <v>414.20780000000002</v>
      </c>
      <c r="AG128" s="17">
        <v>415.66845000000001</v>
      </c>
      <c r="AH128" s="17">
        <v>410.54324000000003</v>
      </c>
      <c r="AI128" s="17">
        <v>394.779</v>
      </c>
      <c r="AJ128" s="17">
        <v>389.49482</v>
      </c>
      <c r="AK128" s="17">
        <v>392.62927000000002</v>
      </c>
      <c r="AL128" s="17">
        <v>390.39303000000001</v>
      </c>
      <c r="AM128" s="17">
        <v>391.85037999999997</v>
      </c>
      <c r="AN128" s="17">
        <v>394.13305000000003</v>
      </c>
      <c r="AO128" s="17"/>
      <c r="AP128" s="17"/>
      <c r="AQ128" s="17"/>
      <c r="AR128" s="17"/>
      <c r="AS128" s="17"/>
      <c r="AT128" s="17"/>
      <c r="AU128" s="17"/>
      <c r="AV128" s="17"/>
      <c r="AW128" s="17"/>
      <c r="AX128" s="17"/>
      <c r="AY128" s="17"/>
      <c r="AZ128" s="17"/>
      <c r="BA128" s="17"/>
      <c r="BB128" s="17"/>
      <c r="BC128" s="17"/>
      <c r="BD128" s="17"/>
      <c r="BE128" s="17"/>
      <c r="BF128" s="17"/>
      <c r="BG128" s="17"/>
      <c r="BH128" s="17"/>
      <c r="BI128" s="17"/>
      <c r="BJ128" s="17"/>
      <c r="BK128" s="17"/>
      <c r="BL128" s="17"/>
      <c r="BM128" s="17"/>
      <c r="BN128" s="17"/>
      <c r="BO128" s="17"/>
      <c r="BP128" s="17"/>
      <c r="BQ128" s="17"/>
      <c r="BR128" s="17"/>
      <c r="BS128" s="17"/>
      <c r="BT128" s="17"/>
      <c r="BU128" s="17"/>
      <c r="BV128" s="17"/>
      <c r="BW128" s="17"/>
      <c r="BX128" s="17"/>
      <c r="BY128" s="17"/>
      <c r="BZ128" s="17"/>
      <c r="CA128" s="17"/>
      <c r="CB128" s="17"/>
      <c r="CC128" s="17"/>
      <c r="CD128" s="17"/>
      <c r="CE128" s="17"/>
      <c r="CF128" s="17"/>
      <c r="CG128" s="17"/>
      <c r="CH128" s="17"/>
      <c r="CI128" s="17"/>
      <c r="CJ128" s="17"/>
      <c r="CK128" s="17"/>
      <c r="CL128" s="17"/>
      <c r="CM128" s="17"/>
      <c r="CN128" s="17"/>
      <c r="CO128" s="17"/>
      <c r="CP128" s="17"/>
      <c r="CQ128" s="17"/>
      <c r="CR128" s="17"/>
      <c r="CS128" s="17"/>
      <c r="CT128" s="17"/>
      <c r="CU128" s="17"/>
      <c r="CV128" s="17"/>
    </row>
    <row r="129" spans="1:100" x14ac:dyDescent="0.35">
      <c r="B129" s="9"/>
      <c r="C129" t="s">
        <v>230</v>
      </c>
      <c r="D129" t="s">
        <v>361</v>
      </c>
      <c r="E129" t="s">
        <v>221</v>
      </c>
      <c r="F129" s="17">
        <v>0</v>
      </c>
      <c r="G129" s="17">
        <v>1862.7052100000001</v>
      </c>
      <c r="H129" s="17">
        <v>1863.4413999999999</v>
      </c>
      <c r="I129" s="17">
        <v>1862.7052100000001</v>
      </c>
      <c r="J129" s="17">
        <v>1862.7052100000001</v>
      </c>
      <c r="K129" s="17">
        <v>1862.7052100000001</v>
      </c>
      <c r="L129" s="17">
        <v>1863.4413999999999</v>
      </c>
      <c r="M129" s="17">
        <v>1862.7052100000001</v>
      </c>
      <c r="N129" s="17">
        <v>1862.7052100000001</v>
      </c>
      <c r="O129" s="17">
        <v>1862.7052100000001</v>
      </c>
      <c r="P129" s="17">
        <v>1863.4413999999999</v>
      </c>
      <c r="Q129" s="17">
        <v>1862.7052100000001</v>
      </c>
      <c r="R129" s="17">
        <v>1862.7052100000001</v>
      </c>
      <c r="S129" s="17">
        <v>1862.7052100000001</v>
      </c>
      <c r="T129" s="17">
        <v>1863.4413999999999</v>
      </c>
      <c r="U129" s="17">
        <v>1862.7052100000001</v>
      </c>
      <c r="V129" s="17">
        <v>1862.7052100000001</v>
      </c>
      <c r="W129" s="17">
        <v>1862.7052100000001</v>
      </c>
      <c r="X129" s="17">
        <v>1863.4413999999999</v>
      </c>
      <c r="Y129" s="17">
        <v>1862.7052100000001</v>
      </c>
      <c r="Z129" s="17">
        <v>1862.7052100000001</v>
      </c>
      <c r="AA129" s="17">
        <v>1862.7052100000001</v>
      </c>
      <c r="AB129" s="17">
        <v>1863.4413999999999</v>
      </c>
      <c r="AC129" s="17">
        <v>1862.7052100000001</v>
      </c>
      <c r="AD129" s="17">
        <v>1862.7052100000001</v>
      </c>
      <c r="AE129" s="17">
        <v>1862.7052100000001</v>
      </c>
      <c r="AF129" s="17">
        <v>1863.4413999999999</v>
      </c>
      <c r="AG129" s="17">
        <v>1862.7052100000001</v>
      </c>
      <c r="AH129" s="17">
        <v>1862.7052100000001</v>
      </c>
      <c r="AI129" s="17">
        <v>1862.7052100000001</v>
      </c>
      <c r="AJ129" s="17">
        <v>1863.4413999999999</v>
      </c>
      <c r="AK129" s="17">
        <v>1862.7052100000001</v>
      </c>
      <c r="AL129" s="17">
        <v>1862.7052100000001</v>
      </c>
      <c r="AM129" s="17">
        <v>1862.7052100000001</v>
      </c>
      <c r="AN129" s="17">
        <v>1863.4413999999999</v>
      </c>
      <c r="AO129" s="17"/>
      <c r="AP129" s="17"/>
      <c r="AQ129" s="17"/>
      <c r="AR129" s="17"/>
      <c r="AS129" s="17"/>
      <c r="AT129" s="17"/>
      <c r="AU129" s="17"/>
      <c r="AV129" s="17"/>
      <c r="AW129" s="17"/>
      <c r="AX129" s="17"/>
      <c r="AY129" s="17"/>
      <c r="AZ129" s="17"/>
      <c r="BA129" s="17"/>
      <c r="BB129" s="17"/>
      <c r="BC129" s="17"/>
      <c r="BD129" s="17"/>
      <c r="BE129" s="17"/>
      <c r="BF129" s="17"/>
      <c r="BG129" s="17"/>
      <c r="BH129" s="17"/>
      <c r="BI129" s="17"/>
      <c r="BJ129" s="17"/>
      <c r="BK129" s="17"/>
      <c r="BL129" s="17"/>
      <c r="BM129" s="17"/>
      <c r="BN129" s="17"/>
      <c r="BO129" s="17"/>
      <c r="BP129" s="17"/>
      <c r="BQ129" s="17"/>
      <c r="BR129" s="17"/>
      <c r="BS129" s="17"/>
      <c r="BT129" s="17"/>
      <c r="BU129" s="17"/>
      <c r="BV129" s="17"/>
      <c r="BW129" s="17"/>
      <c r="BX129" s="17"/>
      <c r="BY129" s="17"/>
      <c r="BZ129" s="17"/>
      <c r="CA129" s="17"/>
      <c r="CB129" s="17"/>
      <c r="CC129" s="17"/>
      <c r="CD129" s="17"/>
      <c r="CE129" s="17"/>
      <c r="CF129" s="17"/>
      <c r="CG129" s="17"/>
      <c r="CH129" s="17"/>
      <c r="CI129" s="17"/>
      <c r="CJ129" s="17"/>
      <c r="CK129" s="17"/>
      <c r="CL129" s="17"/>
      <c r="CM129" s="17"/>
      <c r="CN129" s="17"/>
      <c r="CO129" s="17"/>
      <c r="CP129" s="17"/>
      <c r="CQ129" s="17"/>
      <c r="CR129" s="17"/>
      <c r="CS129" s="17"/>
      <c r="CT129" s="17"/>
      <c r="CU129" s="17"/>
      <c r="CV129" s="17"/>
    </row>
    <row r="130" spans="1:100" x14ac:dyDescent="0.35">
      <c r="B130" s="9"/>
      <c r="C130" t="s">
        <v>339</v>
      </c>
      <c r="D130" t="s">
        <v>222</v>
      </c>
      <c r="E130" t="s">
        <v>223</v>
      </c>
      <c r="F130" s="17">
        <v>0</v>
      </c>
      <c r="G130" s="17">
        <v>108.113436614679</v>
      </c>
      <c r="H130" s="17">
        <v>97.892259116306704</v>
      </c>
      <c r="I130" s="17">
        <v>92.985577424277906</v>
      </c>
      <c r="J130" s="17">
        <v>80.784343672327196</v>
      </c>
      <c r="K130" s="17">
        <v>82.996508284433006</v>
      </c>
      <c r="L130" s="17">
        <v>78.1158601701094</v>
      </c>
      <c r="M130" s="17">
        <v>77.993287149558</v>
      </c>
      <c r="N130" s="17">
        <v>71.502997133458507</v>
      </c>
      <c r="O130" s="17">
        <v>70.201736122644505</v>
      </c>
      <c r="P130" s="17">
        <v>71.368546031907599</v>
      </c>
      <c r="Q130" s="17">
        <v>76.242267877363503</v>
      </c>
      <c r="R130" s="17">
        <v>76.921386972819406</v>
      </c>
      <c r="S130" s="17">
        <v>75.725618364760706</v>
      </c>
      <c r="T130" s="17">
        <v>73.485675549156497</v>
      </c>
      <c r="U130" s="17">
        <v>70.935387832715406</v>
      </c>
      <c r="V130" s="17">
        <v>72.477699715105501</v>
      </c>
      <c r="W130" s="17">
        <v>71.920182082124498</v>
      </c>
      <c r="X130" s="17">
        <v>71.444379796177799</v>
      </c>
      <c r="Y130" s="17">
        <v>74.498331576952296</v>
      </c>
      <c r="Z130" s="17">
        <v>75.442571111814402</v>
      </c>
      <c r="AA130" s="17">
        <v>75.813664509583603</v>
      </c>
      <c r="AB130" s="17">
        <v>69.598220960516002</v>
      </c>
      <c r="AC130" s="17">
        <v>69.402279634899301</v>
      </c>
      <c r="AD130" s="17">
        <v>69.191587341497694</v>
      </c>
      <c r="AE130" s="17">
        <v>69.384593099162998</v>
      </c>
      <c r="AF130" s="17">
        <v>68.274990200940493</v>
      </c>
      <c r="AG130" s="17">
        <v>67.704863206687406</v>
      </c>
      <c r="AH130" s="17">
        <v>66.868644214951701</v>
      </c>
      <c r="AI130" s="17">
        <v>66.827494029325507</v>
      </c>
      <c r="AJ130" s="17">
        <v>65.498998051787197</v>
      </c>
      <c r="AK130" s="17">
        <v>65.418776605881305</v>
      </c>
      <c r="AL130" s="17">
        <v>64.914005174277904</v>
      </c>
      <c r="AM130" s="17">
        <v>65.575709352384493</v>
      </c>
      <c r="AN130" s="17">
        <v>64.437649204696299</v>
      </c>
      <c r="AO130" s="17"/>
      <c r="AP130" s="17"/>
      <c r="AQ130" s="17"/>
      <c r="AR130" s="17"/>
      <c r="AS130" s="17"/>
      <c r="AT130" s="17"/>
      <c r="AU130" s="17"/>
      <c r="AV130" s="17"/>
      <c r="AW130" s="17"/>
      <c r="AX130" s="17"/>
      <c r="AY130" s="17"/>
      <c r="AZ130" s="17"/>
      <c r="BA130" s="17"/>
      <c r="BB130" s="17"/>
      <c r="BC130" s="17"/>
      <c r="BD130" s="17"/>
      <c r="BE130" s="17"/>
      <c r="BF130" s="17"/>
      <c r="BG130" s="17"/>
      <c r="BH130" s="17"/>
      <c r="BI130" s="17"/>
      <c r="BJ130" s="17"/>
      <c r="BK130" s="17"/>
      <c r="BL130" s="17"/>
      <c r="BM130" s="17"/>
      <c r="BN130" s="17"/>
      <c r="BO130" s="17"/>
      <c r="BP130" s="17"/>
      <c r="BQ130" s="17"/>
      <c r="BR130" s="17"/>
      <c r="BS130" s="17"/>
      <c r="BT130" s="17"/>
      <c r="BU130" s="17"/>
      <c r="BV130" s="17"/>
      <c r="BW130" s="17"/>
      <c r="BX130" s="17"/>
      <c r="BY130" s="17"/>
      <c r="BZ130" s="17"/>
      <c r="CA130" s="17"/>
      <c r="CB130" s="17"/>
      <c r="CC130" s="17"/>
      <c r="CD130" s="17"/>
      <c r="CE130" s="17"/>
      <c r="CF130" s="17"/>
      <c r="CG130" s="17"/>
      <c r="CH130" s="17"/>
      <c r="CI130" s="17"/>
      <c r="CJ130" s="17"/>
      <c r="CK130" s="17"/>
      <c r="CL130" s="17"/>
      <c r="CM130" s="17"/>
      <c r="CN130" s="17"/>
      <c r="CO130" s="17"/>
      <c r="CP130" s="17"/>
      <c r="CQ130" s="17"/>
      <c r="CR130" s="17"/>
      <c r="CS130" s="17"/>
      <c r="CT130" s="17"/>
      <c r="CU130" s="17"/>
      <c r="CV130" s="17"/>
    </row>
    <row r="131" spans="1:100" x14ac:dyDescent="0.35">
      <c r="B131" s="9"/>
      <c r="C131" t="s">
        <v>230</v>
      </c>
      <c r="D131" t="s">
        <v>224</v>
      </c>
      <c r="E131" t="s">
        <v>223</v>
      </c>
      <c r="F131" s="17">
        <v>0</v>
      </c>
      <c r="G131" s="17">
        <v>0.67362404655021602</v>
      </c>
      <c r="H131" s="17">
        <v>0.49667511429935801</v>
      </c>
      <c r="I131" s="17">
        <v>0.33438312808392101</v>
      </c>
      <c r="J131" s="17">
        <v>0.14507555922586199</v>
      </c>
      <c r="K131" s="17">
        <v>0.292950877209739</v>
      </c>
      <c r="L131" s="17">
        <v>0.34372262185132402</v>
      </c>
      <c r="M131" s="17">
        <v>0.358964592104837</v>
      </c>
      <c r="N131" s="17">
        <v>0.33316084534255003</v>
      </c>
      <c r="O131" s="17">
        <v>0.22944440896360799</v>
      </c>
      <c r="P131" s="17">
        <v>0.28485455990578201</v>
      </c>
      <c r="Q131" s="17">
        <v>0.37656755295279398</v>
      </c>
      <c r="R131" s="17">
        <v>0.25913438803179401</v>
      </c>
      <c r="S131" s="17">
        <v>0.20672248620734299</v>
      </c>
      <c r="T131" s="17">
        <v>0.14582773322055201</v>
      </c>
      <c r="U131" s="17">
        <v>0.140572962118759</v>
      </c>
      <c r="V131" s="17">
        <v>0.20939688263290801</v>
      </c>
      <c r="W131" s="17">
        <v>0.19383105968723599</v>
      </c>
      <c r="X131" s="17">
        <v>0.234615605177102</v>
      </c>
      <c r="Y131" s="17">
        <v>0.20827906850191</v>
      </c>
      <c r="Z131" s="17">
        <v>0.13668672981286001</v>
      </c>
      <c r="AA131" s="17">
        <v>0.136979241921906</v>
      </c>
      <c r="AB131" s="17">
        <v>0.28962877539985699</v>
      </c>
      <c r="AC131" s="17">
        <v>0.27553595986045398</v>
      </c>
      <c r="AD131" s="17">
        <v>0.16338890662436001</v>
      </c>
      <c r="AE131" s="17">
        <v>0.19444742448844099</v>
      </c>
      <c r="AF131" s="17">
        <v>0.100509250040471</v>
      </c>
      <c r="AG131" s="17">
        <v>0.13712549797642901</v>
      </c>
      <c r="AH131" s="17">
        <v>0.17048232526873</v>
      </c>
      <c r="AI131" s="17">
        <v>0.20082000972123201</v>
      </c>
      <c r="AJ131" s="17">
        <v>8.0597532903257094E-2</v>
      </c>
      <c r="AK131" s="17">
        <v>6.3412446496794603E-2</v>
      </c>
      <c r="AL131" s="17">
        <v>0.150048265079647</v>
      </c>
      <c r="AM131" s="17">
        <v>0.109117463535258</v>
      </c>
      <c r="AN131" s="17">
        <v>0.17881892037654501</v>
      </c>
      <c r="AO131" s="17"/>
      <c r="AP131" s="17"/>
      <c r="AQ131" s="17"/>
      <c r="AR131" s="17"/>
      <c r="AS131" s="17"/>
      <c r="AT131" s="17"/>
      <c r="AU131" s="17"/>
      <c r="AV131" s="17"/>
      <c r="AW131" s="17"/>
      <c r="AX131" s="17"/>
      <c r="AY131" s="17"/>
      <c r="AZ131" s="17"/>
      <c r="BA131" s="17"/>
      <c r="BB131" s="17"/>
      <c r="BC131" s="17"/>
      <c r="BD131" s="17"/>
      <c r="BE131" s="17"/>
      <c r="BF131" s="17"/>
      <c r="BG131" s="17"/>
      <c r="BH131" s="17"/>
      <c r="BI131" s="17"/>
      <c r="BJ131" s="17"/>
      <c r="BK131" s="17"/>
      <c r="BL131" s="17"/>
      <c r="BM131" s="17"/>
      <c r="BN131" s="17"/>
      <c r="BO131" s="17"/>
      <c r="BP131" s="17"/>
      <c r="BQ131" s="17"/>
      <c r="BR131" s="17"/>
      <c r="BS131" s="17"/>
      <c r="BT131" s="17"/>
      <c r="BU131" s="17"/>
      <c r="BV131" s="17"/>
      <c r="BW131" s="17"/>
      <c r="BX131" s="17"/>
      <c r="BY131" s="17"/>
      <c r="BZ131" s="17"/>
      <c r="CA131" s="17"/>
      <c r="CB131" s="17"/>
      <c r="CC131" s="17"/>
      <c r="CD131" s="17"/>
      <c r="CE131" s="17"/>
      <c r="CF131" s="17"/>
      <c r="CG131" s="17"/>
      <c r="CH131" s="17"/>
      <c r="CI131" s="17"/>
      <c r="CJ131" s="17"/>
      <c r="CK131" s="17"/>
      <c r="CL131" s="17"/>
      <c r="CM131" s="17"/>
      <c r="CN131" s="17"/>
      <c r="CO131" s="17"/>
      <c r="CP131" s="17"/>
      <c r="CQ131" s="17"/>
      <c r="CR131" s="17"/>
      <c r="CS131" s="17"/>
      <c r="CT131" s="17"/>
      <c r="CU131" s="17"/>
      <c r="CV131" s="17"/>
    </row>
    <row r="132" spans="1:100" x14ac:dyDescent="0.35">
      <c r="B132" s="9"/>
      <c r="C132" t="s">
        <v>230</v>
      </c>
      <c r="D132" t="s">
        <v>225</v>
      </c>
      <c r="E132" t="s">
        <v>223</v>
      </c>
      <c r="F132" s="17">
        <v>0</v>
      </c>
      <c r="G132" s="17">
        <v>17.0865829537411</v>
      </c>
      <c r="H132" s="17">
        <v>16.695159964393198</v>
      </c>
      <c r="I132" s="17">
        <v>16.538885370135301</v>
      </c>
      <c r="J132" s="17">
        <v>15.9968290914896</v>
      </c>
      <c r="K132" s="17">
        <v>16.745075066429699</v>
      </c>
      <c r="L132" s="17">
        <v>13.834433325365801</v>
      </c>
      <c r="M132" s="17">
        <v>15.4323642959188</v>
      </c>
      <c r="N132" s="17">
        <v>14.1344253869147</v>
      </c>
      <c r="O132" s="17">
        <v>14.167625511291501</v>
      </c>
      <c r="P132" s="17">
        <v>12.7408350182526</v>
      </c>
      <c r="Q132" s="17">
        <v>12.9178152910865</v>
      </c>
      <c r="R132" s="17">
        <v>12.8149241567295</v>
      </c>
      <c r="S132" s="17">
        <v>12.2733797742747</v>
      </c>
      <c r="T132" s="17">
        <v>11.1029761448148</v>
      </c>
      <c r="U132" s="17">
        <v>9.8831693095091602</v>
      </c>
      <c r="V132" s="17">
        <v>8.6334322173314693</v>
      </c>
      <c r="W132" s="17">
        <v>9.0729421080343808</v>
      </c>
      <c r="X132" s="17">
        <v>7.9651151761882399</v>
      </c>
      <c r="Y132" s="17">
        <v>8.0070070889480593</v>
      </c>
      <c r="Z132" s="17">
        <v>8.1313351821537196</v>
      </c>
      <c r="AA132" s="17">
        <v>7.3412495287589801</v>
      </c>
      <c r="AB132" s="17">
        <v>8.9566267572443792</v>
      </c>
      <c r="AC132" s="17">
        <v>9.0368064157061401</v>
      </c>
      <c r="AD132" s="17">
        <v>7.8905454821035397</v>
      </c>
      <c r="AE132" s="17">
        <v>7.0890100690118496</v>
      </c>
      <c r="AF132" s="17">
        <v>6.5317953950009704</v>
      </c>
      <c r="AG132" s="17">
        <v>6.9513204405393996</v>
      </c>
      <c r="AH132" s="17">
        <v>6.6501478836932497</v>
      </c>
      <c r="AI132" s="17">
        <v>6.0956389466910501</v>
      </c>
      <c r="AJ132" s="17">
        <v>5.8599891022712498</v>
      </c>
      <c r="AK132" s="17">
        <v>6.2924055743297904</v>
      </c>
      <c r="AL132" s="17">
        <v>6.7076787474260096</v>
      </c>
      <c r="AM132" s="17">
        <v>7.46421953002978</v>
      </c>
      <c r="AN132" s="17">
        <v>7.5567891656818604</v>
      </c>
      <c r="AO132" s="17"/>
      <c r="AP132" s="17"/>
      <c r="AQ132" s="17"/>
      <c r="AR132" s="17"/>
      <c r="AS132" s="17"/>
      <c r="AT132" s="17"/>
      <c r="AU132" s="17"/>
      <c r="AV132" s="17"/>
      <c r="AW132" s="17"/>
      <c r="AX132" s="17"/>
      <c r="AY132" s="17"/>
      <c r="AZ132" s="17"/>
      <c r="BA132" s="17"/>
      <c r="BB132" s="17"/>
      <c r="BC132" s="17"/>
      <c r="BD132" s="17"/>
      <c r="BE132" s="17"/>
      <c r="BF132" s="17"/>
      <c r="BG132" s="17"/>
      <c r="BH132" s="17"/>
      <c r="BI132" s="17"/>
      <c r="BJ132" s="17"/>
      <c r="BK132" s="17"/>
      <c r="BL132" s="17"/>
      <c r="BM132" s="17"/>
      <c r="BN132" s="17"/>
      <c r="BO132" s="17"/>
      <c r="BP132" s="17"/>
      <c r="BQ132" s="17"/>
      <c r="BR132" s="17"/>
      <c r="BS132" s="17"/>
      <c r="BT132" s="17"/>
      <c r="BU132" s="17"/>
      <c r="BV132" s="17"/>
      <c r="BW132" s="17"/>
      <c r="BX132" s="17"/>
      <c r="BY132" s="17"/>
      <c r="BZ132" s="17"/>
      <c r="CA132" s="17"/>
      <c r="CB132" s="17"/>
      <c r="CC132" s="17"/>
      <c r="CD132" s="17"/>
      <c r="CE132" s="17"/>
      <c r="CF132" s="17"/>
      <c r="CG132" s="17"/>
      <c r="CH132" s="17"/>
      <c r="CI132" s="17"/>
      <c r="CJ132" s="17"/>
      <c r="CK132" s="17"/>
      <c r="CL132" s="17"/>
      <c r="CM132" s="17"/>
      <c r="CN132" s="17"/>
      <c r="CO132" s="17"/>
      <c r="CP132" s="17"/>
      <c r="CQ132" s="17"/>
      <c r="CR132" s="17"/>
      <c r="CS132" s="17"/>
      <c r="CT132" s="17"/>
      <c r="CU132" s="17"/>
      <c r="CV132" s="17"/>
    </row>
    <row r="133" spans="1:100" x14ac:dyDescent="0.35">
      <c r="B133" s="9"/>
      <c r="C133" t="s">
        <v>230</v>
      </c>
      <c r="D133" t="s">
        <v>355</v>
      </c>
      <c r="E133" t="s">
        <v>223</v>
      </c>
      <c r="F133" s="17">
        <v>0</v>
      </c>
      <c r="G133" s="17">
        <v>125.87363316811</v>
      </c>
      <c r="H133" s="17">
        <v>115.08410464185999</v>
      </c>
      <c r="I133" s="17">
        <v>109.85885636935799</v>
      </c>
      <c r="J133" s="17">
        <v>96.926269216764794</v>
      </c>
      <c r="K133" s="17">
        <v>100.034555121794</v>
      </c>
      <c r="L133" s="17">
        <v>92.294057904770696</v>
      </c>
      <c r="M133" s="17">
        <v>93.784657825025903</v>
      </c>
      <c r="N133" s="17">
        <v>85.970604259437906</v>
      </c>
      <c r="O133" s="17">
        <v>84.598795596038599</v>
      </c>
      <c r="P133" s="17">
        <v>84.394246056927003</v>
      </c>
      <c r="Q133" s="17">
        <v>89.536650721402793</v>
      </c>
      <c r="R133" s="17">
        <v>89.995476858163897</v>
      </c>
      <c r="S133" s="17">
        <v>88.205772859548006</v>
      </c>
      <c r="T133" s="17">
        <v>84.734458533469805</v>
      </c>
      <c r="U133" s="17">
        <v>80.959130104343302</v>
      </c>
      <c r="V133" s="17">
        <v>81.320528815069906</v>
      </c>
      <c r="W133" s="17">
        <v>81.186955249846207</v>
      </c>
      <c r="X133" s="17">
        <v>79.644141918126294</v>
      </c>
      <c r="Y133" s="17">
        <v>82.713701309290599</v>
      </c>
      <c r="Z133" s="17">
        <v>83.710572130058907</v>
      </c>
      <c r="AA133" s="17">
        <v>83.291893280264503</v>
      </c>
      <c r="AB133" s="17">
        <v>78.844497386882395</v>
      </c>
      <c r="AC133" s="17">
        <v>78.714611563604805</v>
      </c>
      <c r="AD133" s="17">
        <v>77.245615751974995</v>
      </c>
      <c r="AE133" s="17">
        <v>76.668061039524304</v>
      </c>
      <c r="AF133" s="17">
        <v>74.907294845981994</v>
      </c>
      <c r="AG133" s="17">
        <v>74.793309145203295</v>
      </c>
      <c r="AH133" s="17">
        <v>73.689295317635796</v>
      </c>
      <c r="AI133" s="17">
        <v>73.1239007514326</v>
      </c>
      <c r="AJ133" s="17">
        <v>71.439553346378602</v>
      </c>
      <c r="AK133" s="17">
        <v>71.774552839263706</v>
      </c>
      <c r="AL133" s="17">
        <v>71.7717112930615</v>
      </c>
      <c r="AM133" s="17">
        <v>73.1490463459496</v>
      </c>
      <c r="AN133" s="17">
        <v>72.173246843893594</v>
      </c>
      <c r="AO133" s="17"/>
      <c r="AP133" s="17"/>
      <c r="AQ133" s="17"/>
      <c r="AR133" s="17"/>
      <c r="AS133" s="17"/>
      <c r="AT133" s="17"/>
      <c r="AU133" s="17"/>
      <c r="AV133" s="17"/>
      <c r="AW133" s="17"/>
      <c r="AX133" s="17"/>
      <c r="AY133" s="17"/>
      <c r="AZ133" s="17"/>
      <c r="BA133" s="17"/>
      <c r="BB133" s="17"/>
      <c r="BC133" s="17"/>
      <c r="BD133" s="17"/>
      <c r="BE133" s="17"/>
      <c r="BF133" s="17"/>
      <c r="BG133" s="17"/>
      <c r="BH133" s="17"/>
      <c r="BI133" s="17"/>
      <c r="BJ133" s="17"/>
      <c r="BK133" s="17"/>
      <c r="BL133" s="17"/>
      <c r="BM133" s="17"/>
      <c r="BN133" s="17"/>
      <c r="BO133" s="17"/>
      <c r="BP133" s="17"/>
      <c r="BQ133" s="17"/>
      <c r="BR133" s="17"/>
      <c r="BS133" s="17"/>
      <c r="BT133" s="17"/>
      <c r="BU133" s="17"/>
      <c r="BV133" s="17"/>
      <c r="BW133" s="17"/>
      <c r="BX133" s="17"/>
      <c r="BY133" s="17"/>
      <c r="BZ133" s="17"/>
      <c r="CA133" s="17"/>
      <c r="CB133" s="17"/>
      <c r="CC133" s="17"/>
      <c r="CD133" s="17"/>
      <c r="CE133" s="17"/>
      <c r="CF133" s="17"/>
      <c r="CG133" s="17"/>
      <c r="CH133" s="17"/>
      <c r="CI133" s="17"/>
      <c r="CJ133" s="17"/>
      <c r="CK133" s="17"/>
      <c r="CL133" s="17"/>
      <c r="CM133" s="17"/>
      <c r="CN133" s="17"/>
      <c r="CO133" s="17"/>
      <c r="CP133" s="17"/>
      <c r="CQ133" s="17"/>
      <c r="CR133" s="17"/>
      <c r="CS133" s="17"/>
      <c r="CT133" s="17"/>
      <c r="CU133" s="17"/>
      <c r="CV133" s="17"/>
    </row>
    <row r="134" spans="1:100" x14ac:dyDescent="0.35">
      <c r="B134" s="9"/>
      <c r="C134" t="s">
        <v>230</v>
      </c>
      <c r="D134" t="s">
        <v>356</v>
      </c>
      <c r="E134" t="s">
        <v>124</v>
      </c>
      <c r="F134" s="17">
        <v>0</v>
      </c>
      <c r="G134" s="17">
        <v>1</v>
      </c>
      <c r="H134" s="17">
        <v>1</v>
      </c>
      <c r="I134" s="17">
        <v>1</v>
      </c>
      <c r="J134" s="17">
        <v>1</v>
      </c>
      <c r="K134" s="17">
        <v>1</v>
      </c>
      <c r="L134" s="17">
        <v>1</v>
      </c>
      <c r="M134" s="17">
        <v>1</v>
      </c>
      <c r="N134" s="17">
        <v>1</v>
      </c>
      <c r="O134" s="17">
        <v>1</v>
      </c>
      <c r="P134" s="17">
        <v>1</v>
      </c>
      <c r="Q134" s="17">
        <v>1</v>
      </c>
      <c r="R134" s="17">
        <v>1</v>
      </c>
      <c r="S134" s="17">
        <v>1</v>
      </c>
      <c r="T134" s="17">
        <v>1</v>
      </c>
      <c r="U134" s="17">
        <v>1</v>
      </c>
      <c r="V134" s="17">
        <v>1</v>
      </c>
      <c r="W134" s="17">
        <v>1</v>
      </c>
      <c r="X134" s="17">
        <v>1</v>
      </c>
      <c r="Y134" s="17">
        <v>1</v>
      </c>
      <c r="Z134" s="17">
        <v>1</v>
      </c>
      <c r="AA134" s="17">
        <v>1</v>
      </c>
      <c r="AB134" s="17">
        <v>1</v>
      </c>
      <c r="AC134" s="17">
        <v>1</v>
      </c>
      <c r="AD134" s="17">
        <v>1</v>
      </c>
      <c r="AE134" s="17">
        <v>1</v>
      </c>
      <c r="AF134" s="17">
        <v>1</v>
      </c>
      <c r="AG134" s="17">
        <v>1</v>
      </c>
      <c r="AH134" s="17">
        <v>1</v>
      </c>
      <c r="AI134" s="17">
        <v>1</v>
      </c>
      <c r="AJ134" s="17">
        <v>1</v>
      </c>
      <c r="AK134" s="17">
        <v>1</v>
      </c>
      <c r="AL134" s="17">
        <v>1</v>
      </c>
      <c r="AM134" s="17">
        <v>1</v>
      </c>
      <c r="AN134" s="17">
        <v>1</v>
      </c>
      <c r="AO134" s="17"/>
      <c r="AP134" s="17"/>
      <c r="AQ134" s="17"/>
      <c r="AR134" s="17"/>
      <c r="AS134" s="17"/>
      <c r="AT134" s="17"/>
      <c r="AU134" s="17"/>
      <c r="AV134" s="17"/>
      <c r="AW134" s="17"/>
      <c r="AX134" s="17"/>
      <c r="AY134" s="17"/>
      <c r="AZ134" s="17"/>
      <c r="BA134" s="17"/>
      <c r="BB134" s="17"/>
      <c r="BC134" s="17"/>
      <c r="BD134" s="17"/>
      <c r="BE134" s="17"/>
      <c r="BF134" s="17"/>
      <c r="BG134" s="17"/>
      <c r="BH134" s="17"/>
      <c r="BI134" s="17"/>
      <c r="BJ134" s="17"/>
      <c r="BK134" s="17"/>
      <c r="BL134" s="17"/>
      <c r="BM134" s="17"/>
      <c r="BN134" s="17"/>
      <c r="BO134" s="17"/>
      <c r="BP134" s="17"/>
      <c r="BQ134" s="17"/>
      <c r="BR134" s="17"/>
      <c r="BS134" s="17"/>
      <c r="BT134" s="17"/>
      <c r="BU134" s="17"/>
      <c r="BV134" s="17"/>
      <c r="BW134" s="17"/>
      <c r="BX134" s="17"/>
      <c r="BY134" s="17"/>
      <c r="BZ134" s="17"/>
      <c r="CA134" s="17"/>
      <c r="CB134" s="17"/>
      <c r="CC134" s="17"/>
      <c r="CD134" s="17"/>
      <c r="CE134" s="17"/>
      <c r="CF134" s="17"/>
      <c r="CG134" s="17"/>
      <c r="CH134" s="17"/>
      <c r="CI134" s="17"/>
      <c r="CJ134" s="17"/>
      <c r="CK134" s="17"/>
      <c r="CL134" s="17"/>
      <c r="CM134" s="17"/>
      <c r="CN134" s="17"/>
      <c r="CO134" s="17"/>
      <c r="CP134" s="17"/>
      <c r="CQ134" s="17"/>
      <c r="CR134" s="17"/>
      <c r="CS134" s="17"/>
      <c r="CT134" s="17"/>
      <c r="CU134" s="17"/>
      <c r="CV134" s="17"/>
    </row>
    <row r="135" spans="1:100" x14ac:dyDescent="0.35">
      <c r="B135" s="9"/>
      <c r="C135" t="s">
        <v>339</v>
      </c>
      <c r="D135" t="s">
        <v>357</v>
      </c>
      <c r="E135" t="s">
        <v>226</v>
      </c>
      <c r="F135" s="17">
        <v>0</v>
      </c>
      <c r="G135" s="17">
        <v>266.30439261442802</v>
      </c>
      <c r="H135" s="17">
        <v>233.23933570404</v>
      </c>
      <c r="I135" s="17">
        <v>198.825850205254</v>
      </c>
      <c r="J135" s="17">
        <v>175.55642835574301</v>
      </c>
      <c r="K135" s="17">
        <v>175.46770316495301</v>
      </c>
      <c r="L135" s="17">
        <v>172.440996797764</v>
      </c>
      <c r="M135" s="17">
        <v>165.17414981331299</v>
      </c>
      <c r="N135" s="17">
        <v>154.78712839597199</v>
      </c>
      <c r="O135" s="17">
        <v>154.25648008957899</v>
      </c>
      <c r="P135" s="17">
        <v>147.54363014593901</v>
      </c>
      <c r="Q135" s="17">
        <v>150.64234672625901</v>
      </c>
      <c r="R135" s="17">
        <v>149.18494693038099</v>
      </c>
      <c r="S135" s="17">
        <v>147.65690546016799</v>
      </c>
      <c r="T135" s="17">
        <v>145.204066063483</v>
      </c>
      <c r="U135" s="17">
        <v>140.07489757194099</v>
      </c>
      <c r="V135" s="17">
        <v>139.63470863527101</v>
      </c>
      <c r="W135" s="17">
        <v>137.25135131134601</v>
      </c>
      <c r="X135" s="17">
        <v>133.84102576000399</v>
      </c>
      <c r="Y135" s="17">
        <v>135.83007676093499</v>
      </c>
      <c r="Z135" s="17">
        <v>138.67003504022</v>
      </c>
      <c r="AA135" s="17">
        <v>137.332115994026</v>
      </c>
      <c r="AB135" s="17">
        <v>151.95502615618699</v>
      </c>
      <c r="AC135" s="17">
        <v>149.88079145035701</v>
      </c>
      <c r="AD135" s="17">
        <v>146.51506354878401</v>
      </c>
      <c r="AE135" s="17">
        <v>145.29066009462201</v>
      </c>
      <c r="AF135" s="17">
        <v>142.13769296493501</v>
      </c>
      <c r="AG135" s="17">
        <v>141.47332483726399</v>
      </c>
      <c r="AH135" s="17">
        <v>139.042496976785</v>
      </c>
      <c r="AI135" s="17">
        <v>137.561905149404</v>
      </c>
      <c r="AJ135" s="17">
        <v>135.521204867504</v>
      </c>
      <c r="AK135" s="17">
        <v>134.14711878839901</v>
      </c>
      <c r="AL135" s="17">
        <v>134.66393545077801</v>
      </c>
      <c r="AM135" s="17">
        <v>136.379487629751</v>
      </c>
      <c r="AN135" s="17">
        <v>133.92344104672799</v>
      </c>
      <c r="AO135" s="17"/>
      <c r="AP135" s="17"/>
      <c r="AQ135" s="17"/>
      <c r="AR135" s="17"/>
      <c r="AS135" s="17"/>
      <c r="AT135" s="17"/>
      <c r="AU135" s="17"/>
      <c r="AV135" s="17"/>
      <c r="AW135" s="17"/>
      <c r="AX135" s="17"/>
      <c r="AY135" s="17"/>
      <c r="AZ135" s="17"/>
      <c r="BA135" s="17"/>
      <c r="BB135" s="17"/>
      <c r="BC135" s="17"/>
      <c r="BD135" s="17"/>
      <c r="BE135" s="17"/>
      <c r="BF135" s="17"/>
      <c r="BG135" s="17"/>
      <c r="BH135" s="17"/>
      <c r="BI135" s="17"/>
      <c r="BJ135" s="17"/>
      <c r="BK135" s="17"/>
      <c r="BL135" s="17"/>
      <c r="BM135" s="17"/>
      <c r="BN135" s="17"/>
      <c r="BO135" s="17"/>
      <c r="BP135" s="17"/>
      <c r="BQ135" s="17"/>
      <c r="BR135" s="17"/>
      <c r="BS135" s="17"/>
      <c r="BT135" s="17"/>
      <c r="BU135" s="17"/>
      <c r="BV135" s="17"/>
      <c r="BW135" s="17"/>
      <c r="BX135" s="17"/>
      <c r="BY135" s="17"/>
      <c r="BZ135" s="17"/>
      <c r="CA135" s="17"/>
      <c r="CB135" s="17"/>
      <c r="CC135" s="17"/>
      <c r="CD135" s="17"/>
      <c r="CE135" s="17"/>
      <c r="CF135" s="17"/>
      <c r="CG135" s="17"/>
      <c r="CH135" s="17"/>
      <c r="CI135" s="17"/>
      <c r="CJ135" s="17"/>
      <c r="CK135" s="17"/>
      <c r="CL135" s="17"/>
      <c r="CM135" s="17"/>
      <c r="CN135" s="17"/>
      <c r="CO135" s="17"/>
      <c r="CP135" s="17"/>
      <c r="CQ135" s="17"/>
      <c r="CR135" s="17"/>
      <c r="CS135" s="17"/>
      <c r="CT135" s="17"/>
      <c r="CU135" s="17"/>
      <c r="CV135" s="17"/>
    </row>
    <row r="136" spans="1:100" x14ac:dyDescent="0.35">
      <c r="B136" s="9"/>
      <c r="F136" s="17"/>
      <c r="G136" s="17"/>
      <c r="H136" s="17"/>
      <c r="I136" s="17"/>
      <c r="J136" s="17"/>
      <c r="K136" s="17"/>
      <c r="L136" s="17"/>
      <c r="M136" s="17"/>
      <c r="N136" s="17"/>
      <c r="O136" s="17"/>
      <c r="P136" s="17"/>
      <c r="Q136" s="17"/>
      <c r="R136" s="17"/>
      <c r="S136" s="17"/>
      <c r="T136" s="17"/>
      <c r="U136" s="17"/>
      <c r="V136" s="17"/>
      <c r="W136" s="17"/>
      <c r="X136" s="17"/>
      <c r="Y136" s="17"/>
      <c r="Z136" s="17"/>
      <c r="AA136" s="17"/>
      <c r="AB136" s="17"/>
      <c r="AC136" s="17"/>
      <c r="AD136" s="17"/>
      <c r="AE136" s="17"/>
      <c r="AF136" s="17"/>
      <c r="AG136" s="17"/>
      <c r="AH136" s="17"/>
      <c r="AI136" s="17"/>
      <c r="AJ136" s="17"/>
      <c r="AK136" s="17"/>
      <c r="AL136" s="17"/>
      <c r="AM136" s="17"/>
      <c r="AN136" s="17"/>
      <c r="AO136" s="17"/>
      <c r="AP136" s="17"/>
      <c r="AQ136" s="17"/>
      <c r="AR136" s="17"/>
      <c r="AS136" s="17"/>
      <c r="AT136" s="17"/>
      <c r="AU136" s="17"/>
      <c r="AV136" s="17"/>
      <c r="AW136" s="17"/>
      <c r="AX136" s="17"/>
      <c r="AY136" s="17"/>
      <c r="AZ136" s="17"/>
      <c r="BA136" s="17"/>
      <c r="BB136" s="17"/>
      <c r="BC136" s="17"/>
      <c r="BD136" s="17"/>
      <c r="BE136" s="17"/>
      <c r="BF136" s="17"/>
      <c r="BG136" s="17"/>
      <c r="BH136" s="17"/>
      <c r="BI136" s="17"/>
      <c r="BJ136" s="17"/>
      <c r="BK136" s="17"/>
      <c r="BL136" s="17"/>
      <c r="BM136" s="17"/>
      <c r="BN136" s="17"/>
      <c r="BO136" s="17"/>
      <c r="BP136" s="17"/>
      <c r="BQ136" s="17"/>
      <c r="BR136" s="17"/>
      <c r="BS136" s="17"/>
      <c r="BT136" s="17"/>
      <c r="BU136" s="17"/>
      <c r="BV136" s="17"/>
      <c r="BW136" s="17"/>
      <c r="BX136" s="17"/>
      <c r="BY136" s="17"/>
      <c r="BZ136" s="17"/>
      <c r="CA136" s="17"/>
      <c r="CB136" s="17"/>
      <c r="CC136" s="17"/>
      <c r="CD136" s="17"/>
      <c r="CE136" s="17"/>
      <c r="CF136" s="17"/>
      <c r="CG136" s="17"/>
      <c r="CH136" s="17"/>
      <c r="CI136" s="17"/>
      <c r="CJ136" s="17"/>
      <c r="CK136" s="17"/>
      <c r="CL136" s="17"/>
      <c r="CM136" s="17"/>
      <c r="CN136" s="17"/>
      <c r="CO136" s="17"/>
      <c r="CP136" s="17"/>
      <c r="CQ136" s="17"/>
      <c r="CR136" s="17"/>
      <c r="CS136" s="17"/>
      <c r="CT136" s="17"/>
      <c r="CU136" s="17"/>
      <c r="CV136" s="17"/>
    </row>
    <row r="137" spans="1:100" x14ac:dyDescent="0.35">
      <c r="B137" s="9"/>
      <c r="F137" s="17"/>
      <c r="G137" s="17"/>
      <c r="H137" s="17"/>
      <c r="I137" s="17"/>
      <c r="J137" s="17"/>
      <c r="K137" s="17"/>
      <c r="L137" s="17"/>
      <c r="M137" s="17"/>
      <c r="N137" s="17"/>
      <c r="O137" s="17"/>
      <c r="P137" s="17"/>
      <c r="Q137" s="17"/>
      <c r="R137" s="17"/>
      <c r="S137" s="17"/>
      <c r="T137" s="17"/>
      <c r="U137" s="17"/>
      <c r="V137" s="17"/>
      <c r="W137" s="17"/>
      <c r="X137" s="17"/>
      <c r="Y137" s="17"/>
      <c r="Z137" s="17"/>
      <c r="AA137" s="17"/>
      <c r="AB137" s="17"/>
      <c r="AC137" s="17"/>
      <c r="AD137" s="17"/>
      <c r="AE137" s="17"/>
      <c r="AF137" s="17"/>
      <c r="AG137" s="17"/>
      <c r="AH137" s="17"/>
      <c r="AI137" s="17"/>
      <c r="AJ137" s="17"/>
      <c r="AK137" s="17"/>
      <c r="AL137" s="17"/>
      <c r="AM137" s="17"/>
      <c r="AN137" s="17"/>
      <c r="AO137" s="17"/>
      <c r="AP137" s="17"/>
      <c r="AQ137" s="17"/>
      <c r="AR137" s="17"/>
      <c r="AS137" s="17"/>
      <c r="AT137" s="17"/>
      <c r="AU137" s="17"/>
      <c r="AV137" s="17"/>
      <c r="AW137" s="17"/>
      <c r="AX137" s="17"/>
      <c r="AY137" s="17"/>
      <c r="AZ137" s="17"/>
      <c r="BA137" s="17"/>
      <c r="BB137" s="17"/>
      <c r="BC137" s="17"/>
      <c r="BD137" s="17"/>
      <c r="BE137" s="17"/>
      <c r="BF137" s="17"/>
      <c r="BG137" s="17"/>
      <c r="BH137" s="17"/>
      <c r="BI137" s="17"/>
      <c r="BJ137" s="17"/>
      <c r="BK137" s="17"/>
      <c r="BL137" s="17"/>
      <c r="BM137" s="17"/>
      <c r="BN137" s="17"/>
      <c r="BO137" s="17"/>
      <c r="BP137" s="17"/>
      <c r="BQ137" s="17"/>
      <c r="BR137" s="17"/>
      <c r="BS137" s="17"/>
      <c r="BT137" s="17"/>
      <c r="BU137" s="17"/>
      <c r="BV137" s="17"/>
      <c r="BW137" s="17"/>
      <c r="BX137" s="17"/>
      <c r="BY137" s="17"/>
      <c r="BZ137" s="17"/>
      <c r="CA137" s="17"/>
      <c r="CB137" s="17"/>
      <c r="CC137" s="17"/>
      <c r="CD137" s="17"/>
      <c r="CE137" s="17"/>
      <c r="CF137" s="17"/>
      <c r="CG137" s="17"/>
      <c r="CH137" s="17"/>
      <c r="CI137" s="17"/>
      <c r="CJ137" s="17"/>
      <c r="CK137" s="17"/>
      <c r="CL137" s="17"/>
      <c r="CM137" s="17"/>
      <c r="CN137" s="17"/>
      <c r="CO137" s="17"/>
      <c r="CP137" s="17"/>
      <c r="CQ137" s="17"/>
      <c r="CR137" s="17"/>
      <c r="CS137" s="17"/>
      <c r="CT137" s="17"/>
      <c r="CU137" s="17"/>
      <c r="CV137" s="17"/>
    </row>
    <row r="138" spans="1:100" x14ac:dyDescent="0.35">
      <c r="B138" s="9"/>
      <c r="F138" s="17"/>
      <c r="G138" s="17"/>
      <c r="H138" s="17"/>
      <c r="I138" s="17"/>
      <c r="J138" s="17"/>
      <c r="K138" s="17"/>
      <c r="L138" s="17"/>
      <c r="M138" s="17"/>
      <c r="N138" s="17"/>
      <c r="O138" s="17"/>
      <c r="P138" s="17"/>
      <c r="Q138" s="17"/>
      <c r="R138" s="17"/>
      <c r="S138" s="17"/>
      <c r="T138" s="17"/>
      <c r="U138" s="17"/>
      <c r="V138" s="17"/>
      <c r="W138" s="17"/>
      <c r="X138" s="17"/>
      <c r="Y138" s="17"/>
      <c r="Z138" s="17"/>
      <c r="AA138" s="17"/>
      <c r="AB138" s="17"/>
      <c r="AC138" s="17"/>
      <c r="AD138" s="17"/>
      <c r="AE138" s="17"/>
      <c r="AF138" s="17"/>
      <c r="AG138" s="17"/>
      <c r="AH138" s="17"/>
      <c r="AI138" s="17"/>
      <c r="AJ138" s="17"/>
      <c r="AK138" s="17"/>
      <c r="AL138" s="17"/>
      <c r="AM138" s="17"/>
      <c r="AN138" s="17"/>
      <c r="AO138" s="17"/>
      <c r="AP138" s="17"/>
      <c r="AQ138" s="17"/>
      <c r="AR138" s="17"/>
      <c r="AS138" s="17"/>
      <c r="AT138" s="17"/>
      <c r="AU138" s="17"/>
      <c r="AV138" s="17"/>
      <c r="AW138" s="17"/>
      <c r="AX138" s="17"/>
      <c r="AY138" s="17"/>
      <c r="AZ138" s="17"/>
      <c r="BA138" s="17"/>
      <c r="BB138" s="17"/>
      <c r="BC138" s="17"/>
      <c r="BD138" s="17"/>
      <c r="BE138" s="17"/>
      <c r="BF138" s="17"/>
      <c r="BG138" s="17"/>
      <c r="BH138" s="17"/>
      <c r="BI138" s="17"/>
      <c r="BJ138" s="17"/>
      <c r="BK138" s="17"/>
      <c r="BL138" s="17"/>
      <c r="BM138" s="17"/>
      <c r="BN138" s="17"/>
      <c r="BO138" s="17"/>
      <c r="BP138" s="17"/>
      <c r="BQ138" s="17"/>
      <c r="BR138" s="17"/>
      <c r="BS138" s="17"/>
      <c r="BT138" s="17"/>
      <c r="BU138" s="17"/>
      <c r="BV138" s="17"/>
      <c r="BW138" s="17"/>
      <c r="BX138" s="17"/>
      <c r="BY138" s="17"/>
      <c r="BZ138" s="17"/>
      <c r="CA138" s="17"/>
      <c r="CB138" s="17"/>
      <c r="CC138" s="17"/>
      <c r="CD138" s="17"/>
      <c r="CE138" s="17"/>
      <c r="CF138" s="17"/>
      <c r="CG138" s="17"/>
      <c r="CH138" s="17"/>
      <c r="CI138" s="17"/>
      <c r="CJ138" s="17"/>
      <c r="CK138" s="17"/>
      <c r="CL138" s="17"/>
      <c r="CM138" s="17"/>
      <c r="CN138" s="17"/>
      <c r="CO138" s="17"/>
      <c r="CP138" s="17"/>
      <c r="CQ138" s="17"/>
      <c r="CR138" s="17"/>
      <c r="CS138" s="17"/>
      <c r="CT138" s="17"/>
      <c r="CU138" s="17"/>
      <c r="CV138" s="17"/>
    </row>
    <row r="139" spans="1:100" x14ac:dyDescent="0.35">
      <c r="A139">
        <v>3</v>
      </c>
      <c r="B139" s="9" t="s">
        <v>465</v>
      </c>
      <c r="C139" t="s">
        <v>230</v>
      </c>
      <c r="D139" t="s">
        <v>322</v>
      </c>
      <c r="E139" t="s">
        <v>124</v>
      </c>
      <c r="F139" s="17">
        <v>0</v>
      </c>
      <c r="G139" s="17">
        <v>1</v>
      </c>
      <c r="H139" s="17">
        <v>1</v>
      </c>
      <c r="I139" s="17">
        <v>1</v>
      </c>
      <c r="J139" s="17">
        <v>1</v>
      </c>
      <c r="K139" s="17">
        <v>1</v>
      </c>
      <c r="L139" s="17">
        <v>1</v>
      </c>
      <c r="M139" s="17">
        <v>1</v>
      </c>
      <c r="N139" s="17">
        <v>1</v>
      </c>
      <c r="O139" s="17">
        <v>1</v>
      </c>
      <c r="P139" s="17">
        <v>1</v>
      </c>
      <c r="Q139" s="17">
        <v>1</v>
      </c>
      <c r="R139" s="17">
        <v>1</v>
      </c>
      <c r="S139" s="17">
        <v>1</v>
      </c>
      <c r="T139" s="17">
        <v>1</v>
      </c>
      <c r="U139" s="17">
        <v>1</v>
      </c>
      <c r="V139" s="17">
        <v>1</v>
      </c>
      <c r="W139" s="17">
        <v>1</v>
      </c>
      <c r="X139" s="17">
        <v>1</v>
      </c>
      <c r="Y139" s="17">
        <v>1</v>
      </c>
      <c r="Z139" s="17">
        <v>1</v>
      </c>
      <c r="AA139" s="17">
        <v>1</v>
      </c>
      <c r="AB139" s="17">
        <v>1</v>
      </c>
      <c r="AC139" s="17">
        <v>1</v>
      </c>
      <c r="AD139" s="17">
        <v>1</v>
      </c>
      <c r="AE139" s="17">
        <v>1</v>
      </c>
      <c r="AF139" s="17">
        <v>1</v>
      </c>
      <c r="AG139" s="17">
        <v>1</v>
      </c>
      <c r="AH139" s="17">
        <v>1</v>
      </c>
      <c r="AI139" s="17">
        <v>1</v>
      </c>
      <c r="AJ139" s="17">
        <v>1</v>
      </c>
      <c r="AK139" s="17">
        <v>1</v>
      </c>
      <c r="AL139" s="17">
        <v>1</v>
      </c>
      <c r="AM139" s="17">
        <v>1</v>
      </c>
      <c r="AN139" s="17">
        <v>1</v>
      </c>
      <c r="AO139" s="17"/>
      <c r="AP139" s="17"/>
      <c r="AQ139" s="17"/>
      <c r="AR139" s="17"/>
      <c r="AS139" s="17"/>
      <c r="AT139" s="17"/>
      <c r="AU139" s="17"/>
      <c r="AV139" s="17"/>
      <c r="AW139" s="17"/>
      <c r="AX139" s="17"/>
      <c r="AY139" s="17"/>
      <c r="AZ139" s="17"/>
      <c r="BA139" s="17"/>
      <c r="BB139" s="17"/>
      <c r="BC139" s="17"/>
      <c r="BD139" s="17"/>
      <c r="BE139" s="17"/>
      <c r="BF139" s="17"/>
      <c r="BG139" s="17"/>
      <c r="BH139" s="17"/>
      <c r="BI139" s="17"/>
      <c r="BJ139" s="17"/>
      <c r="BK139" s="17"/>
      <c r="BL139" s="17"/>
      <c r="BM139" s="17"/>
      <c r="BN139" s="17"/>
      <c r="BO139" s="17"/>
      <c r="BP139" s="17"/>
      <c r="BQ139" s="17"/>
      <c r="BR139" s="17"/>
      <c r="BS139" s="17"/>
      <c r="BT139" s="17"/>
      <c r="BU139" s="17"/>
      <c r="BV139" s="17"/>
      <c r="BW139" s="17"/>
      <c r="BX139" s="17"/>
      <c r="BY139" s="17"/>
      <c r="BZ139" s="17"/>
      <c r="CA139" s="17"/>
      <c r="CB139" s="17"/>
      <c r="CC139" s="17"/>
      <c r="CD139" s="17"/>
      <c r="CE139" s="17"/>
      <c r="CF139" s="17"/>
      <c r="CG139" s="17"/>
      <c r="CH139" s="17"/>
      <c r="CI139" s="17"/>
      <c r="CJ139" s="17"/>
      <c r="CK139" s="17"/>
      <c r="CL139" s="17"/>
      <c r="CM139" s="17"/>
      <c r="CN139" s="17"/>
      <c r="CO139" s="17"/>
      <c r="CP139" s="17"/>
      <c r="CQ139" s="17"/>
      <c r="CR139" s="17"/>
      <c r="CS139" s="17"/>
      <c r="CT139" s="17"/>
      <c r="CU139" s="17"/>
      <c r="CV139" s="17"/>
    </row>
    <row r="140" spans="1:100" x14ac:dyDescent="0.35">
      <c r="B140" s="9">
        <v>2027</v>
      </c>
      <c r="C140" t="s">
        <v>337</v>
      </c>
      <c r="D140" t="s">
        <v>323</v>
      </c>
      <c r="F140" s="17">
        <v>0</v>
      </c>
      <c r="G140" s="17">
        <v>0</v>
      </c>
      <c r="H140" s="17">
        <v>0</v>
      </c>
      <c r="I140" s="17">
        <v>0</v>
      </c>
      <c r="J140" s="17">
        <v>0</v>
      </c>
      <c r="K140" s="17">
        <v>0</v>
      </c>
      <c r="L140" s="17">
        <v>0</v>
      </c>
      <c r="M140" s="17">
        <v>0</v>
      </c>
      <c r="N140" s="17">
        <v>0</v>
      </c>
      <c r="O140" s="17">
        <v>0</v>
      </c>
      <c r="P140" s="17">
        <v>0</v>
      </c>
      <c r="Q140" s="17">
        <v>0</v>
      </c>
      <c r="R140" s="17">
        <v>0</v>
      </c>
      <c r="S140" s="17">
        <v>0</v>
      </c>
      <c r="T140" s="17">
        <v>0</v>
      </c>
      <c r="U140" s="17">
        <v>0</v>
      </c>
      <c r="V140" s="17">
        <v>0</v>
      </c>
      <c r="W140" s="17">
        <v>0</v>
      </c>
      <c r="X140" s="17">
        <v>0</v>
      </c>
      <c r="Y140" s="17">
        <v>0</v>
      </c>
      <c r="Z140" s="17">
        <v>0</v>
      </c>
      <c r="AA140" s="17">
        <v>0</v>
      </c>
      <c r="AB140" s="17">
        <v>1</v>
      </c>
      <c r="AC140" s="17">
        <v>1</v>
      </c>
      <c r="AD140" s="17">
        <v>1</v>
      </c>
      <c r="AE140" s="17">
        <v>1</v>
      </c>
      <c r="AF140" s="17">
        <v>1</v>
      </c>
      <c r="AG140" s="17">
        <v>1</v>
      </c>
      <c r="AH140" s="17">
        <v>1</v>
      </c>
      <c r="AI140" s="17">
        <v>1</v>
      </c>
      <c r="AJ140" s="17">
        <v>1</v>
      </c>
      <c r="AK140" s="17">
        <v>1</v>
      </c>
      <c r="AL140" s="17">
        <v>1</v>
      </c>
      <c r="AM140" s="17">
        <v>1</v>
      </c>
      <c r="AN140" s="17">
        <v>1</v>
      </c>
      <c r="AO140" s="17"/>
      <c r="AP140" s="17"/>
      <c r="AQ140" s="17"/>
      <c r="AR140" s="17"/>
      <c r="AS140" s="17"/>
      <c r="AT140" s="17"/>
      <c r="AU140" s="17"/>
      <c r="AV140" s="17"/>
      <c r="AW140" s="17"/>
      <c r="AX140" s="17"/>
      <c r="AY140" s="17"/>
      <c r="AZ140" s="17"/>
      <c r="BA140" s="17"/>
      <c r="BB140" s="17"/>
      <c r="BC140" s="17"/>
      <c r="BD140" s="17"/>
      <c r="BE140" s="17"/>
      <c r="BF140" s="17"/>
      <c r="BG140" s="17"/>
      <c r="BH140" s="17"/>
      <c r="BI140" s="17"/>
      <c r="BJ140" s="17"/>
      <c r="BK140" s="17"/>
      <c r="BL140" s="17"/>
      <c r="BM140" s="17"/>
      <c r="BN140" s="17"/>
      <c r="BO140" s="17"/>
      <c r="BP140" s="17"/>
      <c r="BQ140" s="17"/>
      <c r="BR140" s="17"/>
      <c r="BS140" s="17"/>
      <c r="BT140" s="17"/>
      <c r="BU140" s="17"/>
      <c r="BV140" s="17"/>
      <c r="BW140" s="17"/>
      <c r="BX140" s="17"/>
      <c r="BY140" s="17"/>
      <c r="BZ140" s="17"/>
      <c r="CA140" s="17"/>
      <c r="CB140" s="17"/>
      <c r="CC140" s="17"/>
      <c r="CD140" s="17"/>
      <c r="CE140" s="17"/>
      <c r="CF140" s="17"/>
      <c r="CG140" s="17"/>
      <c r="CH140" s="17"/>
      <c r="CI140" s="17"/>
      <c r="CJ140" s="17"/>
      <c r="CK140" s="17"/>
      <c r="CL140" s="17"/>
      <c r="CM140" s="17"/>
      <c r="CN140" s="17"/>
      <c r="CO140" s="17"/>
      <c r="CP140" s="17"/>
      <c r="CQ140" s="17"/>
      <c r="CR140" s="17"/>
      <c r="CS140" s="17"/>
      <c r="CT140" s="17"/>
      <c r="CU140" s="17"/>
      <c r="CV140" s="17"/>
    </row>
    <row r="141" spans="1:100" x14ac:dyDescent="0.35">
      <c r="B141" s="9" t="s">
        <v>77</v>
      </c>
      <c r="C141" t="s">
        <v>230</v>
      </c>
      <c r="D141" t="s">
        <v>324</v>
      </c>
      <c r="F141" s="17">
        <v>0</v>
      </c>
      <c r="G141" s="17">
        <v>1.0029399999999999</v>
      </c>
      <c r="H141" s="17">
        <v>1.00034</v>
      </c>
      <c r="I141" s="17">
        <v>0.99763000000000002</v>
      </c>
      <c r="J141" s="17">
        <v>0.999</v>
      </c>
      <c r="K141" s="17">
        <v>0.99995999999999996</v>
      </c>
      <c r="L141" s="17">
        <v>0.99475000000000002</v>
      </c>
      <c r="M141" s="17">
        <v>0.99524000000000001</v>
      </c>
      <c r="N141" s="17">
        <v>1.00238</v>
      </c>
      <c r="O141" s="17">
        <v>1.0028900000000001</v>
      </c>
      <c r="P141" s="17">
        <v>0.99912999999999996</v>
      </c>
      <c r="Q141" s="17">
        <v>0.99714000000000003</v>
      </c>
      <c r="R141" s="17">
        <v>0.99970000000000003</v>
      </c>
      <c r="S141" s="17">
        <v>1.0019899999999999</v>
      </c>
      <c r="T141" s="17">
        <v>1.0050300000000001</v>
      </c>
      <c r="U141" s="17">
        <v>0.99321999999999999</v>
      </c>
      <c r="V141" s="17">
        <v>1.0022</v>
      </c>
      <c r="W141" s="17">
        <v>1.00848</v>
      </c>
      <c r="X141" s="17">
        <v>1.0005200000000001</v>
      </c>
      <c r="Y141" s="17">
        <v>0.99888999999999994</v>
      </c>
      <c r="Z141" s="17">
        <v>0.99875999999999998</v>
      </c>
      <c r="AA141" s="17">
        <v>0.99643999999999999</v>
      </c>
      <c r="AB141" s="17">
        <v>1.0042800000000001</v>
      </c>
      <c r="AC141" s="17">
        <v>1.0061500000000001</v>
      </c>
      <c r="AD141" s="17">
        <v>1.0019899999999999</v>
      </c>
      <c r="AE141" s="17">
        <v>0.99668999999999996</v>
      </c>
      <c r="AF141" s="17">
        <v>1.00267</v>
      </c>
      <c r="AG141" s="17">
        <v>0.99855000000000005</v>
      </c>
      <c r="AH141" s="17">
        <v>1.00074</v>
      </c>
      <c r="AI141" s="17">
        <v>1.0021599999999999</v>
      </c>
      <c r="AJ141" s="17">
        <v>0.99895</v>
      </c>
      <c r="AK141" s="17">
        <v>1.0005599999999999</v>
      </c>
      <c r="AL141" s="17">
        <v>0.99758999999999998</v>
      </c>
      <c r="AM141" s="17">
        <v>0.99851000000000001</v>
      </c>
      <c r="AN141" s="17">
        <v>1.0009600000000001</v>
      </c>
      <c r="AO141" s="17"/>
      <c r="AP141" s="17"/>
      <c r="AQ141" s="17"/>
      <c r="AR141" s="17"/>
      <c r="AS141" s="17"/>
      <c r="AT141" s="17"/>
      <c r="AU141" s="17"/>
      <c r="AV141" s="17"/>
      <c r="AW141" s="17"/>
      <c r="AX141" s="17"/>
      <c r="AY141" s="17"/>
      <c r="AZ141" s="17"/>
      <c r="BA141" s="17"/>
      <c r="BB141" s="17"/>
      <c r="BC141" s="17"/>
      <c r="BD141" s="17"/>
      <c r="BE141" s="17"/>
      <c r="BF141" s="17"/>
      <c r="BG141" s="17"/>
      <c r="BH141" s="17"/>
      <c r="BI141" s="17"/>
      <c r="BJ141" s="17"/>
      <c r="BK141" s="17"/>
      <c r="BL141" s="17"/>
      <c r="BM141" s="17"/>
      <c r="BN141" s="17"/>
      <c r="BO141" s="17"/>
      <c r="BP141" s="17"/>
      <c r="BQ141" s="17"/>
      <c r="BR141" s="17"/>
      <c r="BS141" s="17"/>
      <c r="BT141" s="17"/>
      <c r="BU141" s="17"/>
      <c r="BV141" s="17"/>
      <c r="BW141" s="17"/>
      <c r="BX141" s="17"/>
      <c r="BY141" s="17"/>
      <c r="BZ141" s="17"/>
      <c r="CA141" s="17"/>
      <c r="CB141" s="17"/>
      <c r="CC141" s="17"/>
      <c r="CD141" s="17"/>
      <c r="CE141" s="17"/>
      <c r="CF141" s="17"/>
      <c r="CG141" s="17"/>
      <c r="CH141" s="17"/>
      <c r="CI141" s="17"/>
      <c r="CJ141" s="17"/>
      <c r="CK141" s="17"/>
      <c r="CL141" s="17"/>
      <c r="CM141" s="17"/>
      <c r="CN141" s="17"/>
      <c r="CO141" s="17"/>
      <c r="CP141" s="17"/>
      <c r="CQ141" s="17"/>
      <c r="CR141" s="17"/>
      <c r="CS141" s="17"/>
      <c r="CT141" s="17"/>
      <c r="CU141" s="17"/>
      <c r="CV141" s="17"/>
    </row>
    <row r="142" spans="1:100" x14ac:dyDescent="0.35">
      <c r="B142" s="9" t="s">
        <v>462</v>
      </c>
      <c r="C142" t="s">
        <v>230</v>
      </c>
      <c r="D142" t="s">
        <v>325</v>
      </c>
      <c r="E142" t="s">
        <v>326</v>
      </c>
      <c r="F142" s="17">
        <v>0</v>
      </c>
      <c r="G142" s="17">
        <v>0.96038999999999997</v>
      </c>
      <c r="H142" s="17">
        <v>0.93286000000000002</v>
      </c>
      <c r="I142" s="17">
        <v>0.91139999999999999</v>
      </c>
      <c r="J142" s="17">
        <v>0.89359</v>
      </c>
      <c r="K142" s="17">
        <v>0.87777000000000005</v>
      </c>
      <c r="L142" s="17">
        <v>0.86311000000000004</v>
      </c>
      <c r="M142" s="17">
        <v>0.84919999999999995</v>
      </c>
      <c r="N142" s="17">
        <v>0.83574000000000004</v>
      </c>
      <c r="O142" s="17">
        <v>0.82272999999999996</v>
      </c>
      <c r="P142" s="17">
        <v>0.81047000000000002</v>
      </c>
      <c r="Q142" s="17">
        <v>0.79878000000000005</v>
      </c>
      <c r="R142" s="17">
        <v>0.78754999999999997</v>
      </c>
      <c r="S142" s="17">
        <v>0.77693999999999996</v>
      </c>
      <c r="T142" s="17">
        <v>0.76670000000000005</v>
      </c>
      <c r="U142" s="17">
        <v>0.75682000000000005</v>
      </c>
      <c r="V142" s="17">
        <v>0.74673999999999996</v>
      </c>
      <c r="W142" s="17">
        <v>0.73668</v>
      </c>
      <c r="X142" s="17">
        <v>0.72672999999999999</v>
      </c>
      <c r="Y142" s="17">
        <v>0.71675999999999995</v>
      </c>
      <c r="Z142" s="17">
        <v>0.70686000000000004</v>
      </c>
      <c r="AA142" s="17">
        <v>0.69689000000000001</v>
      </c>
      <c r="AB142" s="17">
        <v>0.99961</v>
      </c>
      <c r="AC142" s="17">
        <v>0.96009</v>
      </c>
      <c r="AD142" s="17">
        <v>0.93269999999999997</v>
      </c>
      <c r="AE142" s="17">
        <v>0.91132999999999997</v>
      </c>
      <c r="AF142" s="17">
        <v>0.89339000000000002</v>
      </c>
      <c r="AG142" s="17">
        <v>0.87768000000000002</v>
      </c>
      <c r="AH142" s="17">
        <v>0.86297000000000001</v>
      </c>
      <c r="AI142" s="17">
        <v>0.84904000000000002</v>
      </c>
      <c r="AJ142" s="17">
        <v>0.83567000000000002</v>
      </c>
      <c r="AK142" s="17">
        <v>0.82265999999999995</v>
      </c>
      <c r="AL142" s="17">
        <v>0.81040999999999996</v>
      </c>
      <c r="AM142" s="17">
        <v>0.79869000000000001</v>
      </c>
      <c r="AN142" s="17">
        <v>0.78746000000000005</v>
      </c>
      <c r="AO142" s="17"/>
      <c r="AP142" s="17"/>
      <c r="AQ142" s="17"/>
      <c r="AR142" s="17"/>
      <c r="AS142" s="17"/>
      <c r="AT142" s="17"/>
      <c r="AU142" s="17"/>
      <c r="AV142" s="17"/>
      <c r="AW142" s="17"/>
      <c r="AX142" s="17"/>
      <c r="AY142" s="17"/>
      <c r="AZ142" s="17"/>
      <c r="BA142" s="17"/>
      <c r="BB142" s="17"/>
      <c r="BC142" s="17"/>
      <c r="BD142" s="17"/>
      <c r="BE142" s="17"/>
      <c r="BF142" s="17"/>
      <c r="BG142" s="17"/>
      <c r="BH142" s="17"/>
      <c r="BI142" s="17"/>
      <c r="BJ142" s="17"/>
      <c r="BK142" s="17"/>
      <c r="BL142" s="17"/>
      <c r="BM142" s="17"/>
      <c r="BN142" s="17"/>
      <c r="BO142" s="17"/>
      <c r="BP142" s="17"/>
      <c r="BQ142" s="17"/>
      <c r="BR142" s="17"/>
      <c r="BS142" s="17"/>
      <c r="BT142" s="17"/>
      <c r="BU142" s="17"/>
      <c r="BV142" s="17"/>
      <c r="BW142" s="17"/>
      <c r="BX142" s="17"/>
      <c r="BY142" s="17"/>
      <c r="BZ142" s="17"/>
      <c r="CA142" s="17"/>
      <c r="CB142" s="17"/>
      <c r="CC142" s="17"/>
      <c r="CD142" s="17"/>
      <c r="CE142" s="17"/>
      <c r="CF142" s="17"/>
      <c r="CG142" s="17"/>
      <c r="CH142" s="17"/>
      <c r="CI142" s="17"/>
      <c r="CJ142" s="17"/>
      <c r="CK142" s="17"/>
      <c r="CL142" s="17"/>
      <c r="CM142" s="17"/>
      <c r="CN142" s="17"/>
      <c r="CO142" s="17"/>
      <c r="CP142" s="17"/>
      <c r="CQ142" s="17"/>
      <c r="CR142" s="17"/>
      <c r="CS142" s="17"/>
      <c r="CT142" s="17"/>
      <c r="CU142" s="17"/>
      <c r="CV142" s="17"/>
    </row>
    <row r="143" spans="1:100" x14ac:dyDescent="0.35">
      <c r="B143" s="9" t="s">
        <v>444</v>
      </c>
      <c r="C143" t="s">
        <v>230</v>
      </c>
      <c r="D143" t="s">
        <v>327</v>
      </c>
      <c r="E143" t="s">
        <v>326</v>
      </c>
      <c r="F143" s="17">
        <v>0</v>
      </c>
      <c r="G143" s="17">
        <v>0.95965999999999996</v>
      </c>
      <c r="H143" s="17">
        <v>0.93144000000000005</v>
      </c>
      <c r="I143" s="17">
        <v>0.90932000000000002</v>
      </c>
      <c r="J143" s="17">
        <v>0.89085999999999999</v>
      </c>
      <c r="K143" s="17">
        <v>0.87441999999999998</v>
      </c>
      <c r="L143" s="17">
        <v>0.85916000000000003</v>
      </c>
      <c r="M143" s="17">
        <v>0.84465999999999997</v>
      </c>
      <c r="N143" s="17">
        <v>0.83062999999999998</v>
      </c>
      <c r="O143" s="17">
        <v>0.81708000000000003</v>
      </c>
      <c r="P143" s="17">
        <v>0.80427000000000004</v>
      </c>
      <c r="Q143" s="17">
        <v>0.79205999999999999</v>
      </c>
      <c r="R143" s="17">
        <v>0.78032000000000001</v>
      </c>
      <c r="S143" s="17">
        <v>0.76920999999999995</v>
      </c>
      <c r="T143" s="17">
        <v>0.75848000000000004</v>
      </c>
      <c r="U143" s="17">
        <v>0.74812000000000001</v>
      </c>
      <c r="V143" s="17">
        <v>0.73758000000000001</v>
      </c>
      <c r="W143" s="17">
        <v>0.72707999999999995</v>
      </c>
      <c r="X143" s="17">
        <v>0.7167</v>
      </c>
      <c r="Y143" s="17">
        <v>0.70630999999999999</v>
      </c>
      <c r="Z143" s="17">
        <v>0.69601000000000002</v>
      </c>
      <c r="AA143" s="17">
        <v>0.68566000000000005</v>
      </c>
      <c r="AB143" s="17">
        <v>0.99958000000000002</v>
      </c>
      <c r="AC143" s="17">
        <v>0.95935999999999999</v>
      </c>
      <c r="AD143" s="17">
        <v>0.93128</v>
      </c>
      <c r="AE143" s="17">
        <v>0.90924000000000005</v>
      </c>
      <c r="AF143" s="17">
        <v>0.89066999999999996</v>
      </c>
      <c r="AG143" s="17">
        <v>0.87431999999999999</v>
      </c>
      <c r="AH143" s="17">
        <v>0.85901000000000005</v>
      </c>
      <c r="AI143" s="17">
        <v>0.84450000000000003</v>
      </c>
      <c r="AJ143" s="17">
        <v>0.83055000000000001</v>
      </c>
      <c r="AK143" s="17">
        <v>0.81699999999999995</v>
      </c>
      <c r="AL143" s="17">
        <v>0.80420999999999998</v>
      </c>
      <c r="AM143" s="17">
        <v>0.79196999999999995</v>
      </c>
      <c r="AN143" s="17">
        <v>0.78022000000000002</v>
      </c>
      <c r="AO143" s="17"/>
      <c r="AP143" s="17"/>
      <c r="AQ143" s="17"/>
      <c r="AR143" s="17"/>
      <c r="AS143" s="17"/>
      <c r="AT143" s="17"/>
      <c r="AU143" s="17"/>
      <c r="AV143" s="17"/>
      <c r="AW143" s="17"/>
      <c r="AX143" s="17"/>
      <c r="AY143" s="17"/>
      <c r="AZ143" s="17"/>
      <c r="BA143" s="17"/>
      <c r="BB143" s="17"/>
      <c r="BC143" s="17"/>
      <c r="BD143" s="17"/>
      <c r="BE143" s="17"/>
      <c r="BF143" s="17"/>
      <c r="BG143" s="17"/>
      <c r="BH143" s="17"/>
      <c r="BI143" s="17"/>
      <c r="BJ143" s="17"/>
      <c r="BK143" s="17"/>
      <c r="BL143" s="17"/>
      <c r="BM143" s="17"/>
      <c r="BN143" s="17"/>
      <c r="BO143" s="17"/>
      <c r="BP143" s="17"/>
      <c r="BQ143" s="17"/>
      <c r="BR143" s="17"/>
      <c r="BS143" s="17"/>
      <c r="BT143" s="17"/>
      <c r="BU143" s="17"/>
      <c r="BV143" s="17"/>
      <c r="BW143" s="17"/>
      <c r="BX143" s="17"/>
      <c r="BY143" s="17"/>
      <c r="BZ143" s="17"/>
      <c r="CA143" s="17"/>
      <c r="CB143" s="17"/>
      <c r="CC143" s="17"/>
      <c r="CD143" s="17"/>
      <c r="CE143" s="17"/>
      <c r="CF143" s="17"/>
      <c r="CG143" s="17"/>
      <c r="CH143" s="17"/>
      <c r="CI143" s="17"/>
      <c r="CJ143" s="17"/>
      <c r="CK143" s="17"/>
      <c r="CL143" s="17"/>
      <c r="CM143" s="17"/>
      <c r="CN143" s="17"/>
      <c r="CO143" s="17"/>
      <c r="CP143" s="17"/>
      <c r="CQ143" s="17"/>
      <c r="CR143" s="17"/>
      <c r="CS143" s="17"/>
      <c r="CT143" s="17"/>
      <c r="CU143" s="17"/>
      <c r="CV143" s="17"/>
    </row>
    <row r="144" spans="1:100" x14ac:dyDescent="0.35">
      <c r="B144" s="9" t="s">
        <v>144</v>
      </c>
      <c r="C144" t="s">
        <v>338</v>
      </c>
      <c r="D144" t="s">
        <v>328</v>
      </c>
      <c r="E144" t="s">
        <v>217</v>
      </c>
      <c r="F144" s="17">
        <v>0</v>
      </c>
      <c r="G144" s="17">
        <v>748.23276999999996</v>
      </c>
      <c r="H144" s="17">
        <v>767.96334000000002</v>
      </c>
      <c r="I144" s="17">
        <v>720.84982000000002</v>
      </c>
      <c r="J144" s="17">
        <v>687.84858999999994</v>
      </c>
      <c r="K144" s="17">
        <v>690.34551999999996</v>
      </c>
      <c r="L144" s="17">
        <v>659.68496000000005</v>
      </c>
      <c r="M144" s="17">
        <v>635.99877000000004</v>
      </c>
      <c r="N144" s="17">
        <v>570.73590999999999</v>
      </c>
      <c r="O144" s="17">
        <v>551.22257999999999</v>
      </c>
      <c r="P144" s="17">
        <v>500.91744999999997</v>
      </c>
      <c r="Q144" s="17">
        <v>524.69047</v>
      </c>
      <c r="R144" s="17">
        <v>475.73394000000002</v>
      </c>
      <c r="S144" s="17">
        <v>448.83690999999999</v>
      </c>
      <c r="T144" s="17">
        <v>432.28411</v>
      </c>
      <c r="U144" s="17">
        <v>416.10242</v>
      </c>
      <c r="V144" s="17">
        <v>404.51161999999999</v>
      </c>
      <c r="W144" s="17">
        <v>388.42406999999997</v>
      </c>
      <c r="X144" s="17">
        <v>362.48052999999999</v>
      </c>
      <c r="Y144" s="17">
        <v>347.55824000000001</v>
      </c>
      <c r="Z144" s="17">
        <v>323.19432999999998</v>
      </c>
      <c r="AA144" s="17">
        <v>319.17554000000001</v>
      </c>
      <c r="AB144" s="17">
        <v>319.09888999999998</v>
      </c>
      <c r="AC144" s="17">
        <v>600.36842000000001</v>
      </c>
      <c r="AD144" s="17">
        <v>564.76757999999995</v>
      </c>
      <c r="AE144" s="17">
        <v>539.13198999999997</v>
      </c>
      <c r="AF144" s="17">
        <v>515.05493000000001</v>
      </c>
      <c r="AG144" s="17">
        <v>512.48737000000006</v>
      </c>
      <c r="AH144" s="17">
        <v>499.12072000000001</v>
      </c>
      <c r="AI144" s="17">
        <v>488.72859999999997</v>
      </c>
      <c r="AJ144" s="17">
        <v>475.61748999999998</v>
      </c>
      <c r="AK144" s="17">
        <v>459.22851000000003</v>
      </c>
      <c r="AL144" s="17">
        <v>448.44281000000001</v>
      </c>
      <c r="AM144" s="17">
        <v>434.15897999999999</v>
      </c>
      <c r="AN144" s="17">
        <v>420.58701000000002</v>
      </c>
      <c r="AO144" s="17"/>
      <c r="AP144" s="17"/>
      <c r="AQ144" s="17"/>
      <c r="AR144" s="17"/>
      <c r="AS144" s="17"/>
      <c r="AT144" s="17"/>
      <c r="AU144" s="17"/>
      <c r="AV144" s="17"/>
      <c r="AW144" s="17"/>
      <c r="AX144" s="17"/>
      <c r="AY144" s="17"/>
      <c r="AZ144" s="17"/>
      <c r="BA144" s="17"/>
      <c r="BB144" s="17"/>
      <c r="BC144" s="17"/>
      <c r="BD144" s="17"/>
      <c r="BE144" s="17"/>
      <c r="BF144" s="17"/>
      <c r="BG144" s="17"/>
      <c r="BH144" s="17"/>
      <c r="BI144" s="17"/>
      <c r="BJ144" s="17"/>
      <c r="BK144" s="17"/>
      <c r="BL144" s="17"/>
      <c r="BM144" s="17"/>
      <c r="BN144" s="17"/>
      <c r="BO144" s="17"/>
      <c r="BP144" s="17"/>
      <c r="BQ144" s="17"/>
      <c r="BR144" s="17"/>
      <c r="BS144" s="17"/>
      <c r="BT144" s="17"/>
      <c r="BU144" s="17"/>
      <c r="BV144" s="17"/>
      <c r="BW144" s="17"/>
      <c r="BX144" s="17"/>
      <c r="BY144" s="17"/>
      <c r="BZ144" s="17"/>
      <c r="CA144" s="17"/>
      <c r="CB144" s="17"/>
      <c r="CC144" s="17"/>
      <c r="CD144" s="17"/>
      <c r="CE144" s="17"/>
      <c r="CF144" s="17"/>
      <c r="CG144" s="17"/>
      <c r="CH144" s="17"/>
      <c r="CI144" s="17"/>
      <c r="CJ144" s="17"/>
      <c r="CK144" s="17"/>
      <c r="CL144" s="17"/>
      <c r="CM144" s="17"/>
      <c r="CN144" s="17"/>
      <c r="CO144" s="17"/>
      <c r="CP144" s="17"/>
      <c r="CQ144" s="17"/>
      <c r="CR144" s="17"/>
      <c r="CS144" s="17"/>
      <c r="CT144" s="17"/>
      <c r="CU144" s="17"/>
      <c r="CV144" s="17"/>
    </row>
    <row r="145" spans="2:100" x14ac:dyDescent="0.35">
      <c r="B145" s="9"/>
      <c r="C145" t="s">
        <v>230</v>
      </c>
      <c r="D145" t="s">
        <v>329</v>
      </c>
      <c r="E145" t="s">
        <v>217</v>
      </c>
      <c r="F145" s="17">
        <v>0</v>
      </c>
      <c r="G145" s="17">
        <v>-99.344350000000006</v>
      </c>
      <c r="H145" s="17">
        <v>-109.05079000000001</v>
      </c>
      <c r="I145" s="17">
        <v>-86.304869999999994</v>
      </c>
      <c r="J145" s="17">
        <v>-72.142650000000003</v>
      </c>
      <c r="K145" s="17">
        <v>-54.013500000000001</v>
      </c>
      <c r="L145" s="17">
        <v>-37.479849999999999</v>
      </c>
      <c r="M145" s="17">
        <v>-30.22129</v>
      </c>
      <c r="N145" s="17">
        <v>-15.333489999999999</v>
      </c>
      <c r="O145" s="17">
        <v>-6.67049</v>
      </c>
      <c r="P145" s="17">
        <v>-4.1612600000000004</v>
      </c>
      <c r="Q145" s="17">
        <v>-4.5237600000000002</v>
      </c>
      <c r="R145" s="17">
        <v>-3.8208000000000002</v>
      </c>
      <c r="S145" s="17">
        <v>-3.5664400000000001</v>
      </c>
      <c r="T145" s="17">
        <v>-2.10589</v>
      </c>
      <c r="U145" s="17">
        <v>-2.7136800000000001</v>
      </c>
      <c r="V145" s="17">
        <v>-2.4515600000000002</v>
      </c>
      <c r="W145" s="17">
        <v>-6.7218</v>
      </c>
      <c r="X145" s="17">
        <v>-4.31853</v>
      </c>
      <c r="Y145" s="17">
        <v>-2.8605200000000002</v>
      </c>
      <c r="Z145" s="17">
        <v>-0.67608999999999997</v>
      </c>
      <c r="AA145" s="17">
        <v>-0.62470000000000003</v>
      </c>
      <c r="AB145" s="17">
        <v>-0.7218</v>
      </c>
      <c r="AC145" s="17">
        <v>-4.9149399999999996</v>
      </c>
      <c r="AD145" s="17">
        <v>-3.1389999999999998</v>
      </c>
      <c r="AE145" s="17">
        <v>-2.39771</v>
      </c>
      <c r="AF145" s="17">
        <v>-0.54149000000000003</v>
      </c>
      <c r="AG145" s="17">
        <v>-1.35</v>
      </c>
      <c r="AH145" s="17">
        <v>-1.35822</v>
      </c>
      <c r="AI145" s="17">
        <v>-0.67671999999999999</v>
      </c>
      <c r="AJ145" s="17">
        <v>-0.70884999999999998</v>
      </c>
      <c r="AK145" s="17">
        <v>-0.85594999999999999</v>
      </c>
      <c r="AL145" s="17">
        <v>-1.9529300000000001</v>
      </c>
      <c r="AM145" s="17">
        <v>-1.9390000000000001</v>
      </c>
      <c r="AN145" s="17">
        <v>-2.0817899999999998</v>
      </c>
      <c r="AO145" s="17"/>
      <c r="AP145" s="17"/>
      <c r="AQ145" s="17"/>
      <c r="AR145" s="17"/>
      <c r="AS145" s="17"/>
      <c r="AT145" s="17"/>
      <c r="AU145" s="17"/>
      <c r="AV145" s="17"/>
      <c r="AW145" s="17"/>
      <c r="AX145" s="17"/>
      <c r="AY145" s="17"/>
      <c r="AZ145" s="17"/>
      <c r="BA145" s="17"/>
      <c r="BB145" s="17"/>
      <c r="BC145" s="17"/>
      <c r="BD145" s="17"/>
      <c r="BE145" s="17"/>
      <c r="BF145" s="17"/>
      <c r="BG145" s="17"/>
      <c r="BH145" s="17"/>
      <c r="BI145" s="17"/>
      <c r="BJ145" s="17"/>
      <c r="BK145" s="17"/>
      <c r="BL145" s="17"/>
      <c r="BM145" s="17"/>
      <c r="BN145" s="17"/>
      <c r="BO145" s="17"/>
      <c r="BP145" s="17"/>
      <c r="BQ145" s="17"/>
      <c r="BR145" s="17"/>
      <c r="BS145" s="17"/>
      <c r="BT145" s="17"/>
      <c r="BU145" s="17"/>
      <c r="BV145" s="17"/>
      <c r="BW145" s="17"/>
      <c r="BX145" s="17"/>
      <c r="BY145" s="17"/>
      <c r="BZ145" s="17"/>
      <c r="CA145" s="17"/>
      <c r="CB145" s="17"/>
      <c r="CC145" s="17"/>
      <c r="CD145" s="17"/>
      <c r="CE145" s="17"/>
      <c r="CF145" s="17"/>
      <c r="CG145" s="17"/>
      <c r="CH145" s="17"/>
      <c r="CI145" s="17"/>
      <c r="CJ145" s="17"/>
      <c r="CK145" s="17"/>
      <c r="CL145" s="17"/>
      <c r="CM145" s="17"/>
      <c r="CN145" s="17"/>
      <c r="CO145" s="17"/>
      <c r="CP145" s="17"/>
      <c r="CQ145" s="17"/>
      <c r="CR145" s="17"/>
      <c r="CS145" s="17"/>
      <c r="CT145" s="17"/>
      <c r="CU145" s="17"/>
      <c r="CV145" s="17"/>
    </row>
    <row r="146" spans="2:100" x14ac:dyDescent="0.35">
      <c r="B146" s="9"/>
      <c r="C146" t="s">
        <v>230</v>
      </c>
      <c r="D146" t="s">
        <v>330</v>
      </c>
      <c r="E146" t="s">
        <v>217</v>
      </c>
      <c r="F146" s="17">
        <v>0</v>
      </c>
      <c r="G146" s="17">
        <v>222.47246999999999</v>
      </c>
      <c r="H146" s="17">
        <v>240.70093</v>
      </c>
      <c r="I146" s="17">
        <v>265.26064000000002</v>
      </c>
      <c r="J146" s="17">
        <v>295.14544000000001</v>
      </c>
      <c r="K146" s="17">
        <v>321.98111999999998</v>
      </c>
      <c r="L146" s="17">
        <v>277.92437000000001</v>
      </c>
      <c r="M146" s="17">
        <v>325.11642999999998</v>
      </c>
      <c r="N146" s="17">
        <v>348.81675000000001</v>
      </c>
      <c r="O146" s="17">
        <v>306.5102</v>
      </c>
      <c r="P146" s="17">
        <v>364.80864000000003</v>
      </c>
      <c r="Q146" s="17">
        <v>361.26339999999999</v>
      </c>
      <c r="R146" s="17">
        <v>363.19233000000003</v>
      </c>
      <c r="S146" s="17">
        <v>369.23439000000002</v>
      </c>
      <c r="T146" s="17">
        <v>357.49036999999998</v>
      </c>
      <c r="U146" s="17">
        <v>350.82100000000003</v>
      </c>
      <c r="V146" s="17">
        <v>349.85264000000001</v>
      </c>
      <c r="W146" s="17">
        <v>368.63184999999999</v>
      </c>
      <c r="X146" s="17">
        <v>371.13058999999998</v>
      </c>
      <c r="Y146" s="17">
        <v>358.47048000000001</v>
      </c>
      <c r="Z146" s="17">
        <v>345.30682999999999</v>
      </c>
      <c r="AA146" s="17">
        <v>342.48212999999998</v>
      </c>
      <c r="AB146" s="17">
        <v>332.28478999999999</v>
      </c>
      <c r="AC146" s="17">
        <v>423.19706000000002</v>
      </c>
      <c r="AD146" s="17">
        <v>393.67374000000001</v>
      </c>
      <c r="AE146" s="17">
        <v>380.22462000000002</v>
      </c>
      <c r="AF146" s="17">
        <v>373.80178000000001</v>
      </c>
      <c r="AG146" s="17">
        <v>337.89503999999999</v>
      </c>
      <c r="AH146" s="17">
        <v>343.04325</v>
      </c>
      <c r="AI146" s="17">
        <v>332.00963999999999</v>
      </c>
      <c r="AJ146" s="17">
        <v>334.42991000000001</v>
      </c>
      <c r="AK146" s="17">
        <v>338.12768999999997</v>
      </c>
      <c r="AL146" s="17">
        <v>330.68117999999998</v>
      </c>
      <c r="AM146" s="17">
        <v>320.84147999999999</v>
      </c>
      <c r="AN146" s="17">
        <v>324.07837999999998</v>
      </c>
      <c r="AO146" s="17"/>
      <c r="AP146" s="17"/>
      <c r="AQ146" s="17"/>
      <c r="AR146" s="17"/>
      <c r="AS146" s="17"/>
      <c r="AT146" s="17"/>
      <c r="AU146" s="17"/>
      <c r="AV146" s="17"/>
      <c r="AW146" s="17"/>
      <c r="AX146" s="17"/>
      <c r="AY146" s="17"/>
      <c r="AZ146" s="17"/>
      <c r="BA146" s="17"/>
      <c r="BB146" s="17"/>
      <c r="BC146" s="17"/>
      <c r="BD146" s="17"/>
      <c r="BE146" s="17"/>
      <c r="BF146" s="17"/>
      <c r="BG146" s="17"/>
      <c r="BH146" s="17"/>
      <c r="BI146" s="17"/>
      <c r="BJ146" s="17"/>
      <c r="BK146" s="17"/>
      <c r="BL146" s="17"/>
      <c r="BM146" s="17"/>
      <c r="BN146" s="17"/>
      <c r="BO146" s="17"/>
      <c r="BP146" s="17"/>
      <c r="BQ146" s="17"/>
      <c r="BR146" s="17"/>
      <c r="BS146" s="17"/>
      <c r="BT146" s="17"/>
      <c r="BU146" s="17"/>
      <c r="BV146" s="17"/>
      <c r="BW146" s="17"/>
      <c r="BX146" s="17"/>
      <c r="BY146" s="17"/>
      <c r="BZ146" s="17"/>
      <c r="CA146" s="17"/>
      <c r="CB146" s="17"/>
      <c r="CC146" s="17"/>
      <c r="CD146" s="17"/>
      <c r="CE146" s="17"/>
      <c r="CF146" s="17"/>
      <c r="CG146" s="17"/>
      <c r="CH146" s="17"/>
      <c r="CI146" s="17"/>
      <c r="CJ146" s="17"/>
      <c r="CK146" s="17"/>
      <c r="CL146" s="17"/>
      <c r="CM146" s="17"/>
      <c r="CN146" s="17"/>
      <c r="CO146" s="17"/>
      <c r="CP146" s="17"/>
      <c r="CQ146" s="17"/>
      <c r="CR146" s="17"/>
      <c r="CS146" s="17"/>
      <c r="CT146" s="17"/>
      <c r="CU146" s="17"/>
      <c r="CV146" s="17"/>
    </row>
    <row r="147" spans="2:100" x14ac:dyDescent="0.35">
      <c r="B147" s="9"/>
      <c r="C147" t="s">
        <v>230</v>
      </c>
      <c r="D147" t="s">
        <v>331</v>
      </c>
      <c r="E147" t="s">
        <v>217</v>
      </c>
      <c r="F147" s="17">
        <v>0</v>
      </c>
      <c r="G147" s="17">
        <v>-117.18711999999999</v>
      </c>
      <c r="H147" s="17">
        <v>-117.88732</v>
      </c>
      <c r="I147" s="17">
        <v>-135.09685999999999</v>
      </c>
      <c r="J147" s="17">
        <v>-136.07581999999999</v>
      </c>
      <c r="K147" s="17">
        <v>-126.00905</v>
      </c>
      <c r="L147" s="17">
        <v>-115.17052</v>
      </c>
      <c r="M147" s="17">
        <v>-122.27679000000001</v>
      </c>
      <c r="N147" s="17">
        <v>-137.42155</v>
      </c>
      <c r="O147" s="17">
        <v>-131.50583</v>
      </c>
      <c r="P147" s="17">
        <v>-130.84737999999999</v>
      </c>
      <c r="Q147" s="17">
        <v>-100.39843999999999</v>
      </c>
      <c r="R147" s="17">
        <v>-114.31892000000001</v>
      </c>
      <c r="S147" s="17">
        <v>-111.5035</v>
      </c>
      <c r="T147" s="17">
        <v>-114.43383</v>
      </c>
      <c r="U147" s="17">
        <v>-102.11908</v>
      </c>
      <c r="V147" s="17">
        <v>-94.834209999999999</v>
      </c>
      <c r="W147" s="17">
        <v>-107.84526</v>
      </c>
      <c r="X147" s="17">
        <v>-102.32105</v>
      </c>
      <c r="Y147" s="17">
        <v>-96.854619999999997</v>
      </c>
      <c r="Z147" s="17">
        <v>-98.658090000000001</v>
      </c>
      <c r="AA147" s="17">
        <v>-92.462239999999994</v>
      </c>
      <c r="AB147" s="17">
        <v>-89.796890000000005</v>
      </c>
      <c r="AC147" s="17">
        <v>-134.8237</v>
      </c>
      <c r="AD147" s="17">
        <v>-117.90537</v>
      </c>
      <c r="AE147" s="17">
        <v>-109.17310000000001</v>
      </c>
      <c r="AF147" s="17">
        <v>-107.80704</v>
      </c>
      <c r="AG147" s="17">
        <v>-107.07568000000001</v>
      </c>
      <c r="AH147" s="17">
        <v>-99.745459999999994</v>
      </c>
      <c r="AI147" s="17">
        <v>-96.683539999999994</v>
      </c>
      <c r="AJ147" s="17">
        <v>-85.342979999999997</v>
      </c>
      <c r="AK147" s="17">
        <v>-99.231129999999993</v>
      </c>
      <c r="AL147" s="17">
        <v>-100.55875</v>
      </c>
      <c r="AM147" s="17">
        <v>-108.49126</v>
      </c>
      <c r="AN147" s="17">
        <v>-111.29478</v>
      </c>
      <c r="AO147" s="17"/>
      <c r="AP147" s="17"/>
      <c r="AQ147" s="17"/>
      <c r="AR147" s="17"/>
      <c r="AS147" s="17"/>
      <c r="AT147" s="17"/>
      <c r="AU147" s="17"/>
      <c r="AV147" s="17"/>
      <c r="AW147" s="17"/>
      <c r="AX147" s="17"/>
      <c r="AY147" s="17"/>
      <c r="AZ147" s="17"/>
      <c r="BA147" s="17"/>
      <c r="BB147" s="17"/>
      <c r="BC147" s="17"/>
      <c r="BD147" s="17"/>
      <c r="BE147" s="17"/>
      <c r="BF147" s="17"/>
      <c r="BG147" s="17"/>
      <c r="BH147" s="17"/>
      <c r="BI147" s="17"/>
      <c r="BJ147" s="17"/>
      <c r="BK147" s="17"/>
      <c r="BL147" s="17"/>
      <c r="BM147" s="17"/>
      <c r="BN147" s="17"/>
      <c r="BO147" s="17"/>
      <c r="BP147" s="17"/>
      <c r="BQ147" s="17"/>
      <c r="BR147" s="17"/>
      <c r="BS147" s="17"/>
      <c r="BT147" s="17"/>
      <c r="BU147" s="17"/>
      <c r="BV147" s="17"/>
      <c r="BW147" s="17"/>
      <c r="BX147" s="17"/>
      <c r="BY147" s="17"/>
      <c r="BZ147" s="17"/>
      <c r="CA147" s="17"/>
      <c r="CB147" s="17"/>
      <c r="CC147" s="17"/>
      <c r="CD147" s="17"/>
      <c r="CE147" s="17"/>
      <c r="CF147" s="17"/>
      <c r="CG147" s="17"/>
      <c r="CH147" s="17"/>
      <c r="CI147" s="17"/>
      <c r="CJ147" s="17"/>
      <c r="CK147" s="17"/>
      <c r="CL147" s="17"/>
      <c r="CM147" s="17"/>
      <c r="CN147" s="17"/>
      <c r="CO147" s="17"/>
      <c r="CP147" s="17"/>
      <c r="CQ147" s="17"/>
      <c r="CR147" s="17"/>
      <c r="CS147" s="17"/>
      <c r="CT147" s="17"/>
      <c r="CU147" s="17"/>
      <c r="CV147" s="17"/>
    </row>
    <row r="148" spans="2:100" x14ac:dyDescent="0.35">
      <c r="B148" s="9"/>
      <c r="C148" t="s">
        <v>230</v>
      </c>
      <c r="D148" t="s">
        <v>332</v>
      </c>
      <c r="E148" t="s">
        <v>217</v>
      </c>
      <c r="F148" s="17">
        <v>0</v>
      </c>
      <c r="G148" s="17">
        <v>464.07949000000002</v>
      </c>
      <c r="H148" s="17">
        <v>376.13603999999998</v>
      </c>
      <c r="I148" s="17">
        <v>354.44565</v>
      </c>
      <c r="J148" s="17">
        <v>329.78246000000001</v>
      </c>
      <c r="K148" s="17">
        <v>276.25477999999998</v>
      </c>
      <c r="L148" s="17">
        <v>324.70245999999997</v>
      </c>
      <c r="M148" s="17">
        <v>276.70708999999999</v>
      </c>
      <c r="N148" s="17">
        <v>306.27145000000002</v>
      </c>
      <c r="O148" s="17">
        <v>348.56920000000002</v>
      </c>
      <c r="P148" s="17">
        <v>320.07686999999999</v>
      </c>
      <c r="Q148" s="17">
        <v>276.0016</v>
      </c>
      <c r="R148" s="17">
        <v>308.53336000000002</v>
      </c>
      <c r="S148" s="17">
        <v>315.32868000000002</v>
      </c>
      <c r="T148" s="17">
        <v>334.12948999999998</v>
      </c>
      <c r="U148" s="17">
        <v>325.46566999999999</v>
      </c>
      <c r="V148" s="17">
        <v>332.52785</v>
      </c>
      <c r="W148" s="17">
        <v>321.21100000000001</v>
      </c>
      <c r="X148" s="17">
        <v>323.84104000000002</v>
      </c>
      <c r="Y148" s="17">
        <v>331.61700000000002</v>
      </c>
      <c r="Z148" s="17">
        <v>353.92284000000001</v>
      </c>
      <c r="AA148" s="17">
        <v>343.37592999999998</v>
      </c>
      <c r="AB148" s="17">
        <v>353.90127000000001</v>
      </c>
      <c r="AC148" s="17">
        <v>415.30178000000001</v>
      </c>
      <c r="AD148" s="17">
        <v>424.59089999999998</v>
      </c>
      <c r="AE148" s="17">
        <v>419.81621999999999</v>
      </c>
      <c r="AF148" s="17">
        <v>432.16302999999999</v>
      </c>
      <c r="AG148" s="17">
        <v>436.24806000000001</v>
      </c>
      <c r="AH148" s="17">
        <v>424.10881000000001</v>
      </c>
      <c r="AI148" s="17">
        <v>425.54347000000001</v>
      </c>
      <c r="AJ148" s="17">
        <v>414.86470000000003</v>
      </c>
      <c r="AK148" s="17">
        <v>406.04798</v>
      </c>
      <c r="AL148" s="17">
        <v>401.53329000000002</v>
      </c>
      <c r="AM148" s="17">
        <v>408.48903999999999</v>
      </c>
      <c r="AN148" s="17">
        <v>407.30191000000002</v>
      </c>
      <c r="AO148" s="17"/>
      <c r="AP148" s="17"/>
      <c r="AQ148" s="17"/>
      <c r="AR148" s="17"/>
      <c r="AS148" s="17"/>
      <c r="AT148" s="17"/>
      <c r="AU148" s="17"/>
      <c r="AV148" s="17"/>
      <c r="AW148" s="17"/>
      <c r="AX148" s="17"/>
      <c r="AY148" s="17"/>
      <c r="AZ148" s="17"/>
      <c r="BA148" s="17"/>
      <c r="BB148" s="17"/>
      <c r="BC148" s="17"/>
      <c r="BD148" s="17"/>
      <c r="BE148" s="17"/>
      <c r="BF148" s="17"/>
      <c r="BG148" s="17"/>
      <c r="BH148" s="17"/>
      <c r="BI148" s="17"/>
      <c r="BJ148" s="17"/>
      <c r="BK148" s="17"/>
      <c r="BL148" s="17"/>
      <c r="BM148" s="17"/>
      <c r="BN148" s="17"/>
      <c r="BO148" s="17"/>
      <c r="BP148" s="17"/>
      <c r="BQ148" s="17"/>
      <c r="BR148" s="17"/>
      <c r="BS148" s="17"/>
      <c r="BT148" s="17"/>
      <c r="BU148" s="17"/>
      <c r="BV148" s="17"/>
      <c r="BW148" s="17"/>
      <c r="BX148" s="17"/>
      <c r="BY148" s="17"/>
      <c r="BZ148" s="17"/>
      <c r="CA148" s="17"/>
      <c r="CB148" s="17"/>
      <c r="CC148" s="17"/>
      <c r="CD148" s="17"/>
      <c r="CE148" s="17"/>
      <c r="CF148" s="17"/>
      <c r="CG148" s="17"/>
      <c r="CH148" s="17"/>
      <c r="CI148" s="17"/>
      <c r="CJ148" s="17"/>
      <c r="CK148" s="17"/>
      <c r="CL148" s="17"/>
      <c r="CM148" s="17"/>
      <c r="CN148" s="17"/>
      <c r="CO148" s="17"/>
      <c r="CP148" s="17"/>
      <c r="CQ148" s="17"/>
      <c r="CR148" s="17"/>
      <c r="CS148" s="17"/>
      <c r="CT148" s="17"/>
      <c r="CU148" s="17"/>
      <c r="CV148" s="17"/>
    </row>
    <row r="149" spans="2:100" x14ac:dyDescent="0.35">
      <c r="B149" s="9"/>
      <c r="C149" t="s">
        <v>230</v>
      </c>
      <c r="D149" t="s">
        <v>333</v>
      </c>
      <c r="E149" t="s">
        <v>217</v>
      </c>
      <c r="F149" s="17">
        <v>0</v>
      </c>
      <c r="G149" s="17">
        <v>-534.75486000000001</v>
      </c>
      <c r="H149" s="17">
        <v>-436.52699000000001</v>
      </c>
      <c r="I149" s="17">
        <v>-399.02085</v>
      </c>
      <c r="J149" s="17">
        <v>-381.93259</v>
      </c>
      <c r="K149" s="17">
        <v>-401.18126999999998</v>
      </c>
      <c r="L149" s="17">
        <v>-423.113</v>
      </c>
      <c r="M149" s="17">
        <v>-389.06195000000002</v>
      </c>
      <c r="N149" s="17">
        <v>-376.12468000000001</v>
      </c>
      <c r="O149" s="17">
        <v>-373.35831000000002</v>
      </c>
      <c r="P149" s="17">
        <v>-373.92833999999999</v>
      </c>
      <c r="Q149" s="17">
        <v>-421.97116</v>
      </c>
      <c r="R149" s="17">
        <v>-380.24137000000002</v>
      </c>
      <c r="S149" s="17">
        <v>-399.15708999999998</v>
      </c>
      <c r="T149" s="17">
        <v>-387.24874</v>
      </c>
      <c r="U149" s="17">
        <v>-383.40357999999998</v>
      </c>
      <c r="V149" s="17">
        <v>-410.91498000000001</v>
      </c>
      <c r="W149" s="17">
        <v>-385.38175999999999</v>
      </c>
      <c r="X149" s="17">
        <v>-393.40116</v>
      </c>
      <c r="Y149" s="17">
        <v>-403.38348999999999</v>
      </c>
      <c r="Z149" s="17">
        <v>-398.01501999999999</v>
      </c>
      <c r="AA149" s="17">
        <v>-421.34724</v>
      </c>
      <c r="AB149" s="17">
        <v>-458.42917</v>
      </c>
      <c r="AC149" s="17">
        <v>-567.45678999999996</v>
      </c>
      <c r="AD149" s="17">
        <v>-567.05990999999995</v>
      </c>
      <c r="AE149" s="17">
        <v>-557.38562000000002</v>
      </c>
      <c r="AF149" s="17">
        <v>-573.34613000000002</v>
      </c>
      <c r="AG149" s="17">
        <v>-536.14634999999998</v>
      </c>
      <c r="AH149" s="17">
        <v>-534.02670999999998</v>
      </c>
      <c r="AI149" s="17">
        <v>-537.92807000000005</v>
      </c>
      <c r="AJ149" s="17">
        <v>-546.29588999999999</v>
      </c>
      <c r="AK149" s="17">
        <v>-514.93566999999996</v>
      </c>
      <c r="AL149" s="17">
        <v>-483.56601999999998</v>
      </c>
      <c r="AM149" s="17">
        <v>-466.43696</v>
      </c>
      <c r="AN149" s="17">
        <v>-466.13448</v>
      </c>
      <c r="AO149" s="17"/>
      <c r="AP149" s="17"/>
      <c r="AQ149" s="17"/>
      <c r="AR149" s="17"/>
      <c r="AS149" s="17"/>
      <c r="AT149" s="17"/>
      <c r="AU149" s="17"/>
      <c r="AV149" s="17"/>
      <c r="AW149" s="17"/>
      <c r="AX149" s="17"/>
      <c r="AY149" s="17"/>
      <c r="AZ149" s="17"/>
      <c r="BA149" s="17"/>
      <c r="BB149" s="17"/>
      <c r="BC149" s="17"/>
      <c r="BD149" s="17"/>
      <c r="BE149" s="17"/>
      <c r="BF149" s="17"/>
      <c r="BG149" s="17"/>
      <c r="BH149" s="17"/>
      <c r="BI149" s="17"/>
      <c r="BJ149" s="17"/>
      <c r="BK149" s="17"/>
      <c r="BL149" s="17"/>
      <c r="BM149" s="17"/>
      <c r="BN149" s="17"/>
      <c r="BO149" s="17"/>
      <c r="BP149" s="17"/>
      <c r="BQ149" s="17"/>
      <c r="BR149" s="17"/>
      <c r="BS149" s="17"/>
      <c r="BT149" s="17"/>
      <c r="BU149" s="17"/>
      <c r="BV149" s="17"/>
      <c r="BW149" s="17"/>
      <c r="BX149" s="17"/>
      <c r="BY149" s="17"/>
      <c r="BZ149" s="17"/>
      <c r="CA149" s="17"/>
      <c r="CB149" s="17"/>
      <c r="CC149" s="17"/>
      <c r="CD149" s="17"/>
      <c r="CE149" s="17"/>
      <c r="CF149" s="17"/>
      <c r="CG149" s="17"/>
      <c r="CH149" s="17"/>
      <c r="CI149" s="17"/>
      <c r="CJ149" s="17"/>
      <c r="CK149" s="17"/>
      <c r="CL149" s="17"/>
      <c r="CM149" s="17"/>
      <c r="CN149" s="17"/>
      <c r="CO149" s="17"/>
      <c r="CP149" s="17"/>
      <c r="CQ149" s="17"/>
      <c r="CR149" s="17"/>
      <c r="CS149" s="17"/>
      <c r="CT149" s="17"/>
      <c r="CU149" s="17"/>
      <c r="CV149" s="17"/>
    </row>
    <row r="150" spans="2:100" x14ac:dyDescent="0.35">
      <c r="B150" s="9"/>
      <c r="C150" t="s">
        <v>230</v>
      </c>
      <c r="D150" t="s">
        <v>334</v>
      </c>
      <c r="E150" t="s">
        <v>217</v>
      </c>
      <c r="F150" s="17">
        <v>0</v>
      </c>
      <c r="G150" s="17">
        <v>1434.7847899999999</v>
      </c>
      <c r="H150" s="17">
        <v>1384.80033</v>
      </c>
      <c r="I150" s="17">
        <v>1340.5560800000001</v>
      </c>
      <c r="J150" s="17">
        <v>1312.77664</v>
      </c>
      <c r="K150" s="17">
        <v>1288.58149</v>
      </c>
      <c r="L150" s="17">
        <v>1262.3118400000001</v>
      </c>
      <c r="M150" s="17">
        <v>1237.8223399999999</v>
      </c>
      <c r="N150" s="17">
        <v>1225.82421</v>
      </c>
      <c r="O150" s="17">
        <v>1206.3020799999999</v>
      </c>
      <c r="P150" s="17">
        <v>1185.8030100000001</v>
      </c>
      <c r="Q150" s="17">
        <v>1161.9554900000001</v>
      </c>
      <c r="R150" s="17">
        <v>1147.4597799999999</v>
      </c>
      <c r="S150" s="17">
        <v>1133.40002</v>
      </c>
      <c r="T150" s="17">
        <v>1123.9041</v>
      </c>
      <c r="U150" s="17">
        <v>1092.38912</v>
      </c>
      <c r="V150" s="17">
        <v>1086.89211</v>
      </c>
      <c r="W150" s="17">
        <v>1078.2669900000001</v>
      </c>
      <c r="X150" s="17">
        <v>1057.4522400000001</v>
      </c>
      <c r="Y150" s="17">
        <v>1037.64581</v>
      </c>
      <c r="Z150" s="17">
        <v>1022.42413</v>
      </c>
      <c r="AA150" s="17">
        <v>1005.03355</v>
      </c>
      <c r="AB150" s="17">
        <v>1005.28497</v>
      </c>
      <c r="AC150" s="17">
        <v>1438.86736</v>
      </c>
      <c r="AD150" s="17">
        <v>1383.03214</v>
      </c>
      <c r="AE150" s="17">
        <v>1339.1729</v>
      </c>
      <c r="AF150" s="17">
        <v>1321.0198</v>
      </c>
      <c r="AG150" s="17">
        <v>1286.6306</v>
      </c>
      <c r="AH150" s="17">
        <v>1266.27295</v>
      </c>
      <c r="AI150" s="17">
        <v>1246.2818199999999</v>
      </c>
      <c r="AJ150" s="17">
        <v>1224.91212</v>
      </c>
      <c r="AK150" s="17">
        <v>1203.40419</v>
      </c>
      <c r="AL150" s="17">
        <v>1180.65732</v>
      </c>
      <c r="AM150" s="17">
        <v>1163.4895300000001</v>
      </c>
      <c r="AN150" s="17">
        <v>1151.9674199999999</v>
      </c>
      <c r="AO150" s="17"/>
      <c r="AP150" s="17"/>
      <c r="AQ150" s="17"/>
      <c r="AR150" s="17"/>
      <c r="AS150" s="17"/>
      <c r="AT150" s="17"/>
      <c r="AU150" s="17"/>
      <c r="AV150" s="17"/>
      <c r="AW150" s="17"/>
      <c r="AX150" s="17"/>
      <c r="AY150" s="17"/>
      <c r="AZ150" s="17"/>
      <c r="BA150" s="17"/>
      <c r="BB150" s="17"/>
      <c r="BC150" s="17"/>
      <c r="BD150" s="17"/>
      <c r="BE150" s="17"/>
      <c r="BF150" s="17"/>
      <c r="BG150" s="17"/>
      <c r="BH150" s="17"/>
      <c r="BI150" s="17"/>
      <c r="BJ150" s="17"/>
      <c r="BK150" s="17"/>
      <c r="BL150" s="17"/>
      <c r="BM150" s="17"/>
      <c r="BN150" s="17"/>
      <c r="BO150" s="17"/>
      <c r="BP150" s="17"/>
      <c r="BQ150" s="17"/>
      <c r="BR150" s="17"/>
      <c r="BS150" s="17"/>
      <c r="BT150" s="17"/>
      <c r="BU150" s="17"/>
      <c r="BV150" s="17"/>
      <c r="BW150" s="17"/>
      <c r="BX150" s="17"/>
      <c r="BY150" s="17"/>
      <c r="BZ150" s="17"/>
      <c r="CA150" s="17"/>
      <c r="CB150" s="17"/>
      <c r="CC150" s="17"/>
      <c r="CD150" s="17"/>
      <c r="CE150" s="17"/>
      <c r="CF150" s="17"/>
      <c r="CG150" s="17"/>
      <c r="CH150" s="17"/>
      <c r="CI150" s="17"/>
      <c r="CJ150" s="17"/>
      <c r="CK150" s="17"/>
      <c r="CL150" s="17"/>
      <c r="CM150" s="17"/>
      <c r="CN150" s="17"/>
      <c r="CO150" s="17"/>
      <c r="CP150" s="17"/>
      <c r="CQ150" s="17"/>
      <c r="CR150" s="17"/>
      <c r="CS150" s="17"/>
      <c r="CT150" s="17"/>
      <c r="CU150" s="17"/>
      <c r="CV150" s="17"/>
    </row>
    <row r="151" spans="2:100" x14ac:dyDescent="0.35">
      <c r="B151" s="9"/>
      <c r="C151" t="s">
        <v>230</v>
      </c>
      <c r="D151" t="s">
        <v>335</v>
      </c>
      <c r="E151" t="s">
        <v>217</v>
      </c>
      <c r="F151" s="17">
        <v>0</v>
      </c>
      <c r="G151" s="17">
        <v>-751.28639999999996</v>
      </c>
      <c r="H151" s="17">
        <v>-663.46514000000002</v>
      </c>
      <c r="I151" s="17">
        <v>-620.42262000000005</v>
      </c>
      <c r="J151" s="17">
        <v>-590.15108999999995</v>
      </c>
      <c r="K151" s="17">
        <v>-581.20381999999995</v>
      </c>
      <c r="L151" s="17">
        <v>-575.76334999999995</v>
      </c>
      <c r="M151" s="17">
        <v>-541.56006000000002</v>
      </c>
      <c r="N151" s="17">
        <v>-528.87974999999994</v>
      </c>
      <c r="O151" s="17">
        <v>-511.53462999999999</v>
      </c>
      <c r="P151" s="17">
        <v>-508.93700999999999</v>
      </c>
      <c r="Q151" s="17">
        <v>-526.89341999999999</v>
      </c>
      <c r="R151" s="17">
        <v>-498.38110999999998</v>
      </c>
      <c r="S151" s="17">
        <v>-514.22703999999999</v>
      </c>
      <c r="T151" s="17">
        <v>-503.78845999999999</v>
      </c>
      <c r="U151" s="17">
        <v>-488.23638</v>
      </c>
      <c r="V151" s="17">
        <v>-508.20078000000001</v>
      </c>
      <c r="W151" s="17">
        <v>-499.94889000000001</v>
      </c>
      <c r="X151" s="17">
        <v>-500.04075</v>
      </c>
      <c r="Y151" s="17">
        <v>-503.09868999999998</v>
      </c>
      <c r="Z151" s="17">
        <v>-497.34921000000003</v>
      </c>
      <c r="AA151" s="17">
        <v>-514.43421000000001</v>
      </c>
      <c r="AB151" s="17">
        <v>-548.94786999999997</v>
      </c>
      <c r="AC151" s="17">
        <v>-707.19545000000005</v>
      </c>
      <c r="AD151" s="17">
        <v>-688.10432000000003</v>
      </c>
      <c r="AE151" s="17">
        <v>-668.95650999999998</v>
      </c>
      <c r="AF151" s="17">
        <v>-681.69469000000004</v>
      </c>
      <c r="AG151" s="17">
        <v>-644.57209</v>
      </c>
      <c r="AH151" s="17">
        <v>-635.13037999999995</v>
      </c>
      <c r="AI151" s="17">
        <v>-635.28835000000004</v>
      </c>
      <c r="AJ151" s="17">
        <v>-632.34774000000004</v>
      </c>
      <c r="AK151" s="17">
        <v>-615.02274</v>
      </c>
      <c r="AL151" s="17">
        <v>-586.07772</v>
      </c>
      <c r="AM151" s="17">
        <v>-576.86721</v>
      </c>
      <c r="AN151" s="17">
        <v>-579.51104999999995</v>
      </c>
      <c r="AO151" s="17"/>
      <c r="AP151" s="17"/>
      <c r="AQ151" s="17"/>
      <c r="AR151" s="17"/>
      <c r="AS151" s="17"/>
      <c r="AT151" s="17"/>
      <c r="AU151" s="17"/>
      <c r="AV151" s="17"/>
      <c r="AW151" s="17"/>
      <c r="AX151" s="17"/>
      <c r="AY151" s="17"/>
      <c r="AZ151" s="17"/>
      <c r="BA151" s="17"/>
      <c r="BB151" s="17"/>
      <c r="BC151" s="17"/>
      <c r="BD151" s="17"/>
      <c r="BE151" s="17"/>
      <c r="BF151" s="17"/>
      <c r="BG151" s="17"/>
      <c r="BH151" s="17"/>
      <c r="BI151" s="17"/>
      <c r="BJ151" s="17"/>
      <c r="BK151" s="17"/>
      <c r="BL151" s="17"/>
      <c r="BM151" s="17"/>
      <c r="BN151" s="17"/>
      <c r="BO151" s="17"/>
      <c r="BP151" s="17"/>
      <c r="BQ151" s="17"/>
      <c r="BR151" s="17"/>
      <c r="BS151" s="17"/>
      <c r="BT151" s="17"/>
      <c r="BU151" s="17"/>
      <c r="BV151" s="17"/>
      <c r="BW151" s="17"/>
      <c r="BX151" s="17"/>
      <c r="BY151" s="17"/>
      <c r="BZ151" s="17"/>
      <c r="CA151" s="17"/>
      <c r="CB151" s="17"/>
      <c r="CC151" s="17"/>
      <c r="CD151" s="17"/>
      <c r="CE151" s="17"/>
      <c r="CF151" s="17"/>
      <c r="CG151" s="17"/>
      <c r="CH151" s="17"/>
      <c r="CI151" s="17"/>
      <c r="CJ151" s="17"/>
      <c r="CK151" s="17"/>
      <c r="CL151" s="17"/>
      <c r="CM151" s="17"/>
      <c r="CN151" s="17"/>
      <c r="CO151" s="17"/>
      <c r="CP151" s="17"/>
      <c r="CQ151" s="17"/>
      <c r="CR151" s="17"/>
      <c r="CS151" s="17"/>
      <c r="CT151" s="17"/>
      <c r="CU151" s="17"/>
      <c r="CV151" s="17"/>
    </row>
    <row r="152" spans="2:100" x14ac:dyDescent="0.35">
      <c r="B152" s="9"/>
      <c r="D152" t="s">
        <v>336</v>
      </c>
      <c r="E152" t="s">
        <v>217</v>
      </c>
      <c r="F152" s="17">
        <v>0</v>
      </c>
      <c r="G152" s="17">
        <v>-992.69295999999997</v>
      </c>
      <c r="H152" s="17">
        <v>-1020.71599</v>
      </c>
      <c r="I152" s="17">
        <v>-1012.63813</v>
      </c>
      <c r="J152" s="17">
        <v>-1008.4149</v>
      </c>
      <c r="K152" s="17">
        <v>-990.22906</v>
      </c>
      <c r="L152" s="17">
        <v>-965.72765000000004</v>
      </c>
      <c r="M152" s="17">
        <v>-971.98779999999999</v>
      </c>
      <c r="N152" s="17">
        <v>-972.86153999999999</v>
      </c>
      <c r="O152" s="17">
        <v>-967.99640999999997</v>
      </c>
      <c r="P152" s="17">
        <v>-946.54845999999998</v>
      </c>
      <c r="Q152" s="17">
        <v>-903.12287000000003</v>
      </c>
      <c r="R152" s="17">
        <v>-915.28429000000006</v>
      </c>
      <c r="S152" s="17">
        <v>-884.89008000000001</v>
      </c>
      <c r="T152" s="17">
        <v>-884.94627000000003</v>
      </c>
      <c r="U152" s="17">
        <v>-864.12540999999999</v>
      </c>
      <c r="V152" s="17">
        <v>-842.22331999999994</v>
      </c>
      <c r="W152" s="17">
        <v>-840.99189999999999</v>
      </c>
      <c r="X152" s="17">
        <v>-817.12540000000001</v>
      </c>
      <c r="Y152" s="17">
        <v>-792.76727000000005</v>
      </c>
      <c r="Z152" s="17">
        <v>-779.27491999999995</v>
      </c>
      <c r="AA152" s="17">
        <v>-745.06587999999999</v>
      </c>
      <c r="AB152" s="17">
        <v>-713.83808999999997</v>
      </c>
      <c r="AC152" s="17">
        <v>-1040.09275</v>
      </c>
      <c r="AD152" s="17">
        <v>-993.65772000000004</v>
      </c>
      <c r="AE152" s="17">
        <v>-961.99608999999998</v>
      </c>
      <c r="AF152" s="17">
        <v>-930.54359999999997</v>
      </c>
      <c r="AG152" s="17">
        <v>-926.40611000000001</v>
      </c>
      <c r="AH152" s="17">
        <v>-914.09784000000002</v>
      </c>
      <c r="AI152" s="17">
        <v>-891.80399</v>
      </c>
      <c r="AJ152" s="17">
        <v>-870.13693000000001</v>
      </c>
      <c r="AK152" s="17">
        <v>-864.32259999999997</v>
      </c>
      <c r="AL152" s="17">
        <v>-866.71025999999995</v>
      </c>
      <c r="AM152" s="17">
        <v>-855.43430000000001</v>
      </c>
      <c r="AN152" s="17">
        <v>-841.29448000000002</v>
      </c>
      <c r="AO152" s="17"/>
      <c r="AP152" s="17"/>
      <c r="AQ152" s="17"/>
      <c r="AR152" s="17"/>
      <c r="AS152" s="17"/>
      <c r="AT152" s="17"/>
      <c r="AU152" s="17"/>
      <c r="AV152" s="17"/>
      <c r="AW152" s="17"/>
      <c r="AX152" s="17"/>
      <c r="AY152" s="17"/>
      <c r="AZ152" s="17"/>
      <c r="BA152" s="17"/>
      <c r="BB152" s="17"/>
      <c r="BC152" s="17"/>
      <c r="BD152" s="17"/>
      <c r="BE152" s="17"/>
      <c r="BF152" s="17"/>
      <c r="BG152" s="17"/>
      <c r="BH152" s="17"/>
      <c r="BI152" s="17"/>
      <c r="BJ152" s="17"/>
      <c r="BK152" s="17"/>
      <c r="BL152" s="17"/>
      <c r="BM152" s="17"/>
      <c r="BN152" s="17"/>
      <c r="BO152" s="17"/>
      <c r="BP152" s="17"/>
      <c r="BQ152" s="17"/>
      <c r="BR152" s="17"/>
      <c r="BS152" s="17"/>
      <c r="BT152" s="17"/>
      <c r="BU152" s="17"/>
      <c r="BV152" s="17"/>
      <c r="BW152" s="17"/>
      <c r="BX152" s="17"/>
      <c r="BY152" s="17"/>
      <c r="BZ152" s="17"/>
      <c r="CA152" s="17"/>
      <c r="CB152" s="17"/>
      <c r="CC152" s="17"/>
      <c r="CD152" s="17"/>
      <c r="CE152" s="17"/>
      <c r="CF152" s="17"/>
      <c r="CG152" s="17"/>
      <c r="CH152" s="17"/>
      <c r="CI152" s="17"/>
      <c r="CJ152" s="17"/>
      <c r="CK152" s="17"/>
      <c r="CL152" s="17"/>
      <c r="CM152" s="17"/>
      <c r="CN152" s="17"/>
      <c r="CO152" s="17"/>
      <c r="CP152" s="17"/>
      <c r="CQ152" s="17"/>
      <c r="CR152" s="17"/>
      <c r="CS152" s="17"/>
      <c r="CT152" s="17"/>
      <c r="CU152" s="17"/>
      <c r="CV152" s="17"/>
    </row>
    <row r="153" spans="2:100" x14ac:dyDescent="0.35">
      <c r="B153" s="9"/>
      <c r="C153" t="s">
        <v>339</v>
      </c>
      <c r="D153" t="s">
        <v>340</v>
      </c>
      <c r="E153" t="s">
        <v>219</v>
      </c>
      <c r="F153" s="17">
        <v>0</v>
      </c>
      <c r="G153" s="17">
        <v>157.61306698774499</v>
      </c>
      <c r="H153" s="17">
        <v>146.80056581407399</v>
      </c>
      <c r="I153" s="17">
        <v>119.62116594352599</v>
      </c>
      <c r="J153" s="17">
        <v>101.847806345188</v>
      </c>
      <c r="K153" s="17">
        <v>105.82245043604701</v>
      </c>
      <c r="L153" s="17">
        <v>103.491055798921</v>
      </c>
      <c r="M153" s="17">
        <v>95.885020130309798</v>
      </c>
      <c r="N153" s="17">
        <v>81.921077068663706</v>
      </c>
      <c r="O153" s="17">
        <v>76.596500041418395</v>
      </c>
      <c r="P153" s="17">
        <v>67.277858208646293</v>
      </c>
      <c r="Q153" s="17">
        <v>73.143028953992101</v>
      </c>
      <c r="R153" s="17">
        <v>64.619926036076194</v>
      </c>
      <c r="S153" s="17">
        <v>59.835911386348101</v>
      </c>
      <c r="T153" s="17">
        <v>56.577347385295901</v>
      </c>
      <c r="U153" s="17">
        <v>53.355984656397702</v>
      </c>
      <c r="V153" s="17">
        <v>51.991185836754497</v>
      </c>
      <c r="W153" s="17">
        <v>49.780744956719801</v>
      </c>
      <c r="X153" s="17">
        <v>45.699835395389499</v>
      </c>
      <c r="Y153" s="17">
        <v>43.579289754581303</v>
      </c>
      <c r="Z153" s="17">
        <v>39.871479388339303</v>
      </c>
      <c r="AA153" s="17">
        <v>38.869583627412098</v>
      </c>
      <c r="AB153" s="17">
        <v>37.274159903508</v>
      </c>
      <c r="AC153" s="17">
        <v>70.955477146490296</v>
      </c>
      <c r="AD153" s="17">
        <v>65.174758825770496</v>
      </c>
      <c r="AE153" s="17">
        <v>61.0394420121576</v>
      </c>
      <c r="AF153" s="17">
        <v>56.703179826490903</v>
      </c>
      <c r="AG153" s="17">
        <v>56.958292173023302</v>
      </c>
      <c r="AH153" s="17">
        <v>55.3731690541021</v>
      </c>
      <c r="AI153" s="17">
        <v>53.724936447654201</v>
      </c>
      <c r="AJ153" s="17">
        <v>51.485087653799397</v>
      </c>
      <c r="AK153" s="17">
        <v>50.434572201604198</v>
      </c>
      <c r="AL153" s="17">
        <v>50.708812750696097</v>
      </c>
      <c r="AM153" s="17">
        <v>49.392497813127299</v>
      </c>
      <c r="AN153" s="17">
        <v>47.154696604035799</v>
      </c>
      <c r="AO153" s="17"/>
      <c r="AP153" s="17"/>
      <c r="AQ153" s="17"/>
      <c r="AR153" s="17"/>
      <c r="AS153" s="17"/>
      <c r="AT153" s="17"/>
      <c r="AU153" s="17"/>
      <c r="AV153" s="17"/>
      <c r="AW153" s="17"/>
      <c r="AX153" s="17"/>
      <c r="AY153" s="17"/>
      <c r="AZ153" s="17"/>
      <c r="BA153" s="17"/>
      <c r="BB153" s="17"/>
      <c r="BC153" s="17"/>
      <c r="BD153" s="17"/>
      <c r="BE153" s="17"/>
      <c r="BF153" s="17"/>
      <c r="BG153" s="17"/>
      <c r="BH153" s="17"/>
      <c r="BI153" s="17"/>
      <c r="BJ153" s="17"/>
      <c r="BK153" s="17"/>
      <c r="BL153" s="17"/>
      <c r="BM153" s="17"/>
      <c r="BN153" s="17"/>
      <c r="BO153" s="17"/>
      <c r="BP153" s="17"/>
      <c r="BQ153" s="17"/>
      <c r="BR153" s="17"/>
      <c r="BS153" s="17"/>
      <c r="BT153" s="17"/>
      <c r="BU153" s="17"/>
      <c r="BV153" s="17"/>
      <c r="BW153" s="17"/>
      <c r="BX153" s="17"/>
      <c r="BY153" s="17"/>
      <c r="BZ153" s="17"/>
      <c r="CA153" s="17"/>
      <c r="CB153" s="17"/>
      <c r="CC153" s="17"/>
      <c r="CD153" s="17"/>
      <c r="CE153" s="17"/>
      <c r="CF153" s="17"/>
      <c r="CG153" s="17"/>
      <c r="CH153" s="17"/>
      <c r="CI153" s="17"/>
      <c r="CJ153" s="17"/>
      <c r="CK153" s="17"/>
      <c r="CL153" s="17"/>
      <c r="CM153" s="17"/>
      <c r="CN153" s="17"/>
      <c r="CO153" s="17"/>
      <c r="CP153" s="17"/>
      <c r="CQ153" s="17"/>
      <c r="CR153" s="17"/>
      <c r="CS153" s="17"/>
      <c r="CT153" s="17"/>
      <c r="CU153" s="17"/>
      <c r="CV153" s="17"/>
    </row>
    <row r="154" spans="2:100" x14ac:dyDescent="0.35">
      <c r="B154" s="9"/>
      <c r="C154" t="s">
        <v>230</v>
      </c>
      <c r="D154" t="s">
        <v>341</v>
      </c>
      <c r="E154" t="s">
        <v>219</v>
      </c>
      <c r="F154" s="17">
        <v>0</v>
      </c>
      <c r="G154" s="17">
        <v>-2.4165678951628502</v>
      </c>
      <c r="H154" s="17">
        <v>-0.600903446869131</v>
      </c>
      <c r="I154" s="17">
        <v>0.48008549897202601</v>
      </c>
      <c r="J154" s="17">
        <v>0.45755161971443298</v>
      </c>
      <c r="K154" s="17">
        <v>0.40668585332351198</v>
      </c>
      <c r="L154" s="17">
        <v>0.26883952193550398</v>
      </c>
      <c r="M154" s="17">
        <v>6.2681166224179199E-2</v>
      </c>
      <c r="N154" s="17">
        <v>-5.7666672926244798E-2</v>
      </c>
      <c r="O154" s="17">
        <v>-2.7694628610049801E-2</v>
      </c>
      <c r="P154" s="17">
        <v>-2.1510086875930801E-2</v>
      </c>
      <c r="Q154" s="17">
        <v>1.34764507381985E-2</v>
      </c>
      <c r="R154" s="17">
        <v>1.8438709730945999E-2</v>
      </c>
      <c r="S154" s="17">
        <v>2.1938408178462702E-3</v>
      </c>
      <c r="T154" s="17">
        <v>-1.2483998939649001E-2</v>
      </c>
      <c r="U154" s="17">
        <v>-8.4201699961147392E-3</v>
      </c>
      <c r="V154" s="17">
        <v>-2.08937220747264E-4</v>
      </c>
      <c r="W154" s="17">
        <v>-1.1804952972220401E-3</v>
      </c>
      <c r="X154" s="17">
        <v>1.8187985066049302E-2</v>
      </c>
      <c r="Y154" s="17">
        <v>4.0742758045716502E-3</v>
      </c>
      <c r="Z154" s="17">
        <v>-4.5443845512529897E-3</v>
      </c>
      <c r="AA154" s="17">
        <v>-4.2100849980573696E-3</v>
      </c>
      <c r="AB154" s="17">
        <v>-4.8682372434112496E-3</v>
      </c>
      <c r="AC154" s="17">
        <v>-5.5034063944829299E-2</v>
      </c>
      <c r="AD154" s="17">
        <v>-3.0661537144661001E-2</v>
      </c>
      <c r="AE154" s="17">
        <v>-2.19697487615748E-2</v>
      </c>
      <c r="AF154" s="17">
        <v>-6.8218002573981699E-3</v>
      </c>
      <c r="AG154" s="17">
        <v>-5.7039861264003098E-3</v>
      </c>
      <c r="AH154" s="17">
        <v>-4.4712565239914499E-3</v>
      </c>
      <c r="AI154" s="17">
        <v>-4.1787444149452799E-4</v>
      </c>
      <c r="AJ154" s="17">
        <v>-4.7010874668134399E-4</v>
      </c>
      <c r="AK154" s="17">
        <v>-3.0295897008353302E-4</v>
      </c>
      <c r="AL154" s="17">
        <v>-1.44897962588227E-2</v>
      </c>
      <c r="AM154" s="17">
        <v>-1.14184191138379E-2</v>
      </c>
      <c r="AN154" s="17">
        <v>-1.01125614841675E-2</v>
      </c>
      <c r="AO154" s="17"/>
      <c r="AP154" s="17"/>
      <c r="AQ154" s="17"/>
      <c r="AR154" s="17"/>
      <c r="AS154" s="17"/>
      <c r="AT154" s="17"/>
      <c r="AU154" s="17"/>
      <c r="AV154" s="17"/>
      <c r="AW154" s="17"/>
      <c r="AX154" s="17"/>
      <c r="AY154" s="17"/>
      <c r="AZ154" s="17"/>
      <c r="BA154" s="17"/>
      <c r="BB154" s="17"/>
      <c r="BC154" s="17"/>
      <c r="BD154" s="17"/>
      <c r="BE154" s="17"/>
      <c r="BF154" s="17"/>
      <c r="BG154" s="17"/>
      <c r="BH154" s="17"/>
      <c r="BI154" s="17"/>
      <c r="BJ154" s="17"/>
      <c r="BK154" s="17"/>
      <c r="BL154" s="17"/>
      <c r="BM154" s="17"/>
      <c r="BN154" s="17"/>
      <c r="BO154" s="17"/>
      <c r="BP154" s="17"/>
      <c r="BQ154" s="17"/>
      <c r="BR154" s="17"/>
      <c r="BS154" s="17"/>
      <c r="BT154" s="17"/>
      <c r="BU154" s="17"/>
      <c r="BV154" s="17"/>
      <c r="BW154" s="17"/>
      <c r="BX154" s="17"/>
      <c r="BY154" s="17"/>
      <c r="BZ154" s="17"/>
      <c r="CA154" s="17"/>
      <c r="CB154" s="17"/>
      <c r="CC154" s="17"/>
      <c r="CD154" s="17"/>
      <c r="CE154" s="17"/>
      <c r="CF154" s="17"/>
      <c r="CG154" s="17"/>
      <c r="CH154" s="17"/>
      <c r="CI154" s="17"/>
      <c r="CJ154" s="17"/>
      <c r="CK154" s="17"/>
      <c r="CL154" s="17"/>
      <c r="CM154" s="17"/>
      <c r="CN154" s="17"/>
      <c r="CO154" s="17"/>
      <c r="CP154" s="17"/>
      <c r="CQ154" s="17"/>
      <c r="CR154" s="17"/>
      <c r="CS154" s="17"/>
      <c r="CT154" s="17"/>
      <c r="CU154" s="17"/>
      <c r="CV154" s="17"/>
    </row>
    <row r="155" spans="2:100" x14ac:dyDescent="0.35">
      <c r="B155" s="9"/>
      <c r="C155" t="s">
        <v>230</v>
      </c>
      <c r="D155" t="s">
        <v>342</v>
      </c>
      <c r="E155" t="s">
        <v>219</v>
      </c>
      <c r="F155" s="17">
        <v>0</v>
      </c>
      <c r="G155" s="17">
        <v>38.155269057121302</v>
      </c>
      <c r="H155" s="17">
        <v>39.146571700956699</v>
      </c>
      <c r="I155" s="17">
        <v>41.017552278443297</v>
      </c>
      <c r="J155" s="17">
        <v>42.957805991468597</v>
      </c>
      <c r="K155" s="17">
        <v>48.442930379136101</v>
      </c>
      <c r="L155" s="17">
        <v>41.750838348377897</v>
      </c>
      <c r="M155" s="17">
        <v>47.7886016849219</v>
      </c>
      <c r="N155" s="17">
        <v>49.045014321302503</v>
      </c>
      <c r="O155" s="17">
        <v>43.4168097248672</v>
      </c>
      <c r="P155" s="17">
        <v>50.981632526686802</v>
      </c>
      <c r="Q155" s="17">
        <v>52.066465917389699</v>
      </c>
      <c r="R155" s="17">
        <v>52.0591322209415</v>
      </c>
      <c r="S155" s="17">
        <v>52.451067106480203</v>
      </c>
      <c r="T155" s="17">
        <v>50.488770516666101</v>
      </c>
      <c r="U155" s="17">
        <v>48.995005197516598</v>
      </c>
      <c r="V155" s="17">
        <v>50.221424895858902</v>
      </c>
      <c r="W155" s="17">
        <v>53.6290029227481</v>
      </c>
      <c r="X155" s="17">
        <v>52.977693371373697</v>
      </c>
      <c r="Y155" s="17">
        <v>52.432534374999904</v>
      </c>
      <c r="Z155" s="17">
        <v>49.2334965881386</v>
      </c>
      <c r="AA155" s="17">
        <v>49.533457309104399</v>
      </c>
      <c r="AB155" s="17">
        <v>47.304400122701203</v>
      </c>
      <c r="AC155" s="17">
        <v>59.113040836867803</v>
      </c>
      <c r="AD155" s="17">
        <v>54.769486742197103</v>
      </c>
      <c r="AE155" s="17">
        <v>52.602107823358402</v>
      </c>
      <c r="AF155" s="17">
        <v>50.541986826790399</v>
      </c>
      <c r="AG155" s="17">
        <v>47.007343629103801</v>
      </c>
      <c r="AH155" s="17">
        <v>47.649115196351097</v>
      </c>
      <c r="AI155" s="17">
        <v>45.975548951887497</v>
      </c>
      <c r="AJ155" s="17">
        <v>46.582198172327203</v>
      </c>
      <c r="AK155" s="17">
        <v>47.408649348993002</v>
      </c>
      <c r="AL155" s="17">
        <v>47.746782900189402</v>
      </c>
      <c r="AM155" s="17">
        <v>47.393480506766799</v>
      </c>
      <c r="AN155" s="17">
        <v>46.900148387999401</v>
      </c>
      <c r="AO155" s="17"/>
      <c r="AP155" s="17"/>
      <c r="AQ155" s="17"/>
      <c r="AR155" s="17"/>
      <c r="AS155" s="17"/>
      <c r="AT155" s="17"/>
      <c r="AU155" s="17"/>
      <c r="AV155" s="17"/>
      <c r="AW155" s="17"/>
      <c r="AX155" s="17"/>
      <c r="AY155" s="17"/>
      <c r="AZ155" s="17"/>
      <c r="BA155" s="17"/>
      <c r="BB155" s="17"/>
      <c r="BC155" s="17"/>
      <c r="BD155" s="17"/>
      <c r="BE155" s="17"/>
      <c r="BF155" s="17"/>
      <c r="BG155" s="17"/>
      <c r="BH155" s="17"/>
      <c r="BI155" s="17"/>
      <c r="BJ155" s="17"/>
      <c r="BK155" s="17"/>
      <c r="BL155" s="17"/>
      <c r="BM155" s="17"/>
      <c r="BN155" s="17"/>
      <c r="BO155" s="17"/>
      <c r="BP155" s="17"/>
      <c r="BQ155" s="17"/>
      <c r="BR155" s="17"/>
      <c r="BS155" s="17"/>
      <c r="BT155" s="17"/>
      <c r="BU155" s="17"/>
      <c r="BV155" s="17"/>
      <c r="BW155" s="17"/>
      <c r="BX155" s="17"/>
      <c r="BY155" s="17"/>
      <c r="BZ155" s="17"/>
      <c r="CA155" s="17"/>
      <c r="CB155" s="17"/>
      <c r="CC155" s="17"/>
      <c r="CD155" s="17"/>
      <c r="CE155" s="17"/>
      <c r="CF155" s="17"/>
      <c r="CG155" s="17"/>
      <c r="CH155" s="17"/>
      <c r="CI155" s="17"/>
      <c r="CJ155" s="17"/>
      <c r="CK155" s="17"/>
      <c r="CL155" s="17"/>
      <c r="CM155" s="17"/>
      <c r="CN155" s="17"/>
      <c r="CO155" s="17"/>
      <c r="CP155" s="17"/>
      <c r="CQ155" s="17"/>
      <c r="CR155" s="17"/>
      <c r="CS155" s="17"/>
      <c r="CT155" s="17"/>
      <c r="CU155" s="17"/>
      <c r="CV155" s="17"/>
    </row>
    <row r="156" spans="2:100" x14ac:dyDescent="0.35">
      <c r="B156" s="9"/>
      <c r="C156" t="s">
        <v>230</v>
      </c>
      <c r="D156" t="s">
        <v>343</v>
      </c>
      <c r="E156" t="s">
        <v>219</v>
      </c>
      <c r="F156" s="17">
        <v>0</v>
      </c>
      <c r="G156" s="17">
        <v>-12.861235091708201</v>
      </c>
      <c r="H156" s="17">
        <v>-11.586749385733</v>
      </c>
      <c r="I156" s="17">
        <v>-11.1899149223677</v>
      </c>
      <c r="J156" s="17">
        <v>-10.491563155742</v>
      </c>
      <c r="K156" s="17">
        <v>-10.050757854270501</v>
      </c>
      <c r="L156" s="17">
        <v>-8.9171376225231498</v>
      </c>
      <c r="M156" s="17">
        <v>-10.1590918032279</v>
      </c>
      <c r="N156" s="17">
        <v>-11.450522317805801</v>
      </c>
      <c r="O156" s="17">
        <v>-10.8384302827656</v>
      </c>
      <c r="P156" s="17">
        <v>-10.725948929976299</v>
      </c>
      <c r="Q156" s="17">
        <v>-8.5579014120313399</v>
      </c>
      <c r="R156" s="17">
        <v>-9.5556288754047092</v>
      </c>
      <c r="S156" s="17">
        <v>-9.1801164554166892</v>
      </c>
      <c r="T156" s="17">
        <v>-9.0449967547594294</v>
      </c>
      <c r="U156" s="17">
        <v>-7.9064769451855197</v>
      </c>
      <c r="V156" s="17">
        <v>-7.1188880915787003</v>
      </c>
      <c r="W156" s="17">
        <v>-8.3577082139723498</v>
      </c>
      <c r="X156" s="17">
        <v>-7.5739951458103896</v>
      </c>
      <c r="Y156" s="17">
        <v>-7.5042936889691099</v>
      </c>
      <c r="Z156" s="17">
        <v>-7.6068818643560103</v>
      </c>
      <c r="AA156" s="17">
        <v>-7.2416491556287603</v>
      </c>
      <c r="AB156" s="17">
        <v>-6.7513466265621904</v>
      </c>
      <c r="AC156" s="17">
        <v>-11.9542908507495</v>
      </c>
      <c r="AD156" s="17">
        <v>-9.95787481278734</v>
      </c>
      <c r="AE156" s="17">
        <v>-8.9241370194181808</v>
      </c>
      <c r="AF156" s="17">
        <v>-8.6593613264262093</v>
      </c>
      <c r="AG156" s="17">
        <v>-8.7943974521951596</v>
      </c>
      <c r="AH156" s="17">
        <v>-8.0752773258272299</v>
      </c>
      <c r="AI156" s="17">
        <v>-7.7962834549634099</v>
      </c>
      <c r="AJ156" s="17">
        <v>-6.9054900611684902</v>
      </c>
      <c r="AK156" s="17">
        <v>-7.5589621127776301</v>
      </c>
      <c r="AL156" s="17">
        <v>-8.5721300367642304</v>
      </c>
      <c r="AM156" s="17">
        <v>-9.6655194066567294</v>
      </c>
      <c r="AN156" s="17">
        <v>-9.5365842477336003</v>
      </c>
      <c r="AO156" s="17"/>
      <c r="AP156" s="17"/>
      <c r="AQ156" s="17"/>
      <c r="AR156" s="17"/>
      <c r="AS156" s="17"/>
      <c r="AT156" s="17"/>
      <c r="AU156" s="17"/>
      <c r="AV156" s="17"/>
      <c r="AW156" s="17"/>
      <c r="AX156" s="17"/>
      <c r="AY156" s="17"/>
      <c r="AZ156" s="17"/>
      <c r="BA156" s="17"/>
      <c r="BB156" s="17"/>
      <c r="BC156" s="17"/>
      <c r="BD156" s="17"/>
      <c r="BE156" s="17"/>
      <c r="BF156" s="17"/>
      <c r="BG156" s="17"/>
      <c r="BH156" s="17"/>
      <c r="BI156" s="17"/>
      <c r="BJ156" s="17"/>
      <c r="BK156" s="17"/>
      <c r="BL156" s="17"/>
      <c r="BM156" s="17"/>
      <c r="BN156" s="17"/>
      <c r="BO156" s="17"/>
      <c r="BP156" s="17"/>
      <c r="BQ156" s="17"/>
      <c r="BR156" s="17"/>
      <c r="BS156" s="17"/>
      <c r="BT156" s="17"/>
      <c r="BU156" s="17"/>
      <c r="BV156" s="17"/>
      <c r="BW156" s="17"/>
      <c r="BX156" s="17"/>
      <c r="BY156" s="17"/>
      <c r="BZ156" s="17"/>
      <c r="CA156" s="17"/>
      <c r="CB156" s="17"/>
      <c r="CC156" s="17"/>
      <c r="CD156" s="17"/>
      <c r="CE156" s="17"/>
      <c r="CF156" s="17"/>
      <c r="CG156" s="17"/>
      <c r="CH156" s="17"/>
      <c r="CI156" s="17"/>
      <c r="CJ156" s="17"/>
      <c r="CK156" s="17"/>
      <c r="CL156" s="17"/>
      <c r="CM156" s="17"/>
      <c r="CN156" s="17"/>
      <c r="CO156" s="17"/>
      <c r="CP156" s="17"/>
      <c r="CQ156" s="17"/>
      <c r="CR156" s="17"/>
      <c r="CS156" s="17"/>
      <c r="CT156" s="17"/>
      <c r="CU156" s="17"/>
      <c r="CV156" s="17"/>
    </row>
    <row r="157" spans="2:100" x14ac:dyDescent="0.35">
      <c r="B157" s="9"/>
      <c r="C157" t="s">
        <v>230</v>
      </c>
      <c r="D157" t="s">
        <v>344</v>
      </c>
      <c r="E157" t="s">
        <v>219</v>
      </c>
      <c r="F157" s="17">
        <v>0</v>
      </c>
      <c r="G157" s="17">
        <v>78.421744261283393</v>
      </c>
      <c r="H157" s="17">
        <v>53.407101147453503</v>
      </c>
      <c r="I157" s="17">
        <v>45.662122227044598</v>
      </c>
      <c r="J157" s="17">
        <v>37.347267037047502</v>
      </c>
      <c r="K157" s="17">
        <v>30.433847808351601</v>
      </c>
      <c r="L157" s="17">
        <v>37.409206476138003</v>
      </c>
      <c r="M157" s="17">
        <v>29.607010097827398</v>
      </c>
      <c r="N157" s="17">
        <v>31.418673398343898</v>
      </c>
      <c r="O157" s="17">
        <v>37.697101072605697</v>
      </c>
      <c r="P157" s="17">
        <v>32.437900501732102</v>
      </c>
      <c r="Q157" s="17">
        <v>27.139221242998399</v>
      </c>
      <c r="R157" s="17">
        <v>31.489555350482402</v>
      </c>
      <c r="S157" s="17">
        <v>31.744396078627801</v>
      </c>
      <c r="T157" s="17">
        <v>33.745523650917796</v>
      </c>
      <c r="U157" s="17">
        <v>31.557355478614902</v>
      </c>
      <c r="V157" s="17">
        <v>32.3802860631111</v>
      </c>
      <c r="W157" s="17">
        <v>31.0145783665576</v>
      </c>
      <c r="X157" s="17">
        <v>31.544140199402602</v>
      </c>
      <c r="Y157" s="17">
        <v>33.130433366760002</v>
      </c>
      <c r="Z157" s="17">
        <v>36.218013593213698</v>
      </c>
      <c r="AA157" s="17">
        <v>34.361825770956003</v>
      </c>
      <c r="AB157" s="17">
        <v>34.748547672837198</v>
      </c>
      <c r="AC157" s="17">
        <v>39.381793224074002</v>
      </c>
      <c r="AD157" s="17">
        <v>39.959786704688199</v>
      </c>
      <c r="AE157" s="17">
        <v>39.845863685075699</v>
      </c>
      <c r="AF157" s="17">
        <v>41.093542745629001</v>
      </c>
      <c r="AG157" s="17">
        <v>41.457135297173402</v>
      </c>
      <c r="AH157" s="17">
        <v>39.606390289516199</v>
      </c>
      <c r="AI157" s="17">
        <v>40.070920412403602</v>
      </c>
      <c r="AJ157" s="17">
        <v>39.639778457391699</v>
      </c>
      <c r="AK157" s="17">
        <v>37.570495563693903</v>
      </c>
      <c r="AL157" s="17">
        <v>38.020786614987301</v>
      </c>
      <c r="AM157" s="17">
        <v>38.862897636348102</v>
      </c>
      <c r="AN157" s="17">
        <v>37.760022516633697</v>
      </c>
      <c r="AO157" s="17"/>
      <c r="AP157" s="17"/>
      <c r="AQ157" s="17"/>
      <c r="AR157" s="17"/>
      <c r="AS157" s="17"/>
      <c r="AT157" s="17"/>
      <c r="AU157" s="17"/>
      <c r="AV157" s="17"/>
      <c r="AW157" s="17"/>
      <c r="AX157" s="17"/>
      <c r="AY157" s="17"/>
      <c r="AZ157" s="17"/>
      <c r="BA157" s="17"/>
      <c r="BB157" s="17"/>
      <c r="BC157" s="17"/>
      <c r="BD157" s="17"/>
      <c r="BE157" s="17"/>
      <c r="BF157" s="17"/>
      <c r="BG157" s="17"/>
      <c r="BH157" s="17"/>
      <c r="BI157" s="17"/>
      <c r="BJ157" s="17"/>
      <c r="BK157" s="17"/>
      <c r="BL157" s="17"/>
      <c r="BM157" s="17"/>
      <c r="BN157" s="17"/>
      <c r="BO157" s="17"/>
      <c r="BP157" s="17"/>
      <c r="BQ157" s="17"/>
      <c r="BR157" s="17"/>
      <c r="BS157" s="17"/>
      <c r="BT157" s="17"/>
      <c r="BU157" s="17"/>
      <c r="BV157" s="17"/>
      <c r="BW157" s="17"/>
      <c r="BX157" s="17"/>
      <c r="BY157" s="17"/>
      <c r="BZ157" s="17"/>
      <c r="CA157" s="17"/>
      <c r="CB157" s="17"/>
      <c r="CC157" s="17"/>
      <c r="CD157" s="17"/>
      <c r="CE157" s="17"/>
      <c r="CF157" s="17"/>
      <c r="CG157" s="17"/>
      <c r="CH157" s="17"/>
      <c r="CI157" s="17"/>
      <c r="CJ157" s="17"/>
      <c r="CK157" s="17"/>
      <c r="CL157" s="17"/>
      <c r="CM157" s="17"/>
      <c r="CN157" s="17"/>
      <c r="CO157" s="17"/>
      <c r="CP157" s="17"/>
      <c r="CQ157" s="17"/>
      <c r="CR157" s="17"/>
      <c r="CS157" s="17"/>
      <c r="CT157" s="17"/>
      <c r="CU157" s="17"/>
      <c r="CV157" s="17"/>
    </row>
    <row r="158" spans="2:100" x14ac:dyDescent="0.35">
      <c r="B158" s="9"/>
      <c r="C158" t="s">
        <v>230</v>
      </c>
      <c r="D158" t="s">
        <v>345</v>
      </c>
      <c r="E158" t="s">
        <v>219</v>
      </c>
      <c r="F158" s="17">
        <v>0</v>
      </c>
      <c r="G158" s="17">
        <v>-51.103004158218901</v>
      </c>
      <c r="H158" s="17">
        <v>-35.930150337329202</v>
      </c>
      <c r="I158" s="17">
        <v>-31.359575505455499</v>
      </c>
      <c r="J158" s="17">
        <v>-30.686275311597399</v>
      </c>
      <c r="K158" s="17">
        <v>-32.019890251044103</v>
      </c>
      <c r="L158" s="17">
        <v>-29.400653251756399</v>
      </c>
      <c r="M158" s="17">
        <v>-27.812845289548601</v>
      </c>
      <c r="N158" s="17">
        <v>-24.006834429555401</v>
      </c>
      <c r="O158" s="17">
        <v>-22.709908866071999</v>
      </c>
      <c r="P158" s="17">
        <v>-24.429242808740199</v>
      </c>
      <c r="Q158" s="17">
        <v>-29.810661206889801</v>
      </c>
      <c r="R158" s="17">
        <v>-27.914054479278601</v>
      </c>
      <c r="S158" s="17">
        <v>-26.501492610972601</v>
      </c>
      <c r="T158" s="17">
        <v>-22.192475838891401</v>
      </c>
      <c r="U158" s="17">
        <v>-20.370867126667399</v>
      </c>
      <c r="V158" s="17">
        <v>-24.034769335969301</v>
      </c>
      <c r="W158" s="17">
        <v>-25.944298830683799</v>
      </c>
      <c r="X158" s="17">
        <v>-26.6358392439131</v>
      </c>
      <c r="Y158" s="17">
        <v>-26.131182727781098</v>
      </c>
      <c r="Z158" s="17">
        <v>-20.9910136915673</v>
      </c>
      <c r="AA158" s="17">
        <v>-22.667431929094001</v>
      </c>
      <c r="AB158" s="17">
        <v>-20.3182253939001</v>
      </c>
      <c r="AC158" s="17">
        <v>-28.0803894007155</v>
      </c>
      <c r="AD158" s="17">
        <v>-24.691270977279299</v>
      </c>
      <c r="AE158" s="17">
        <v>-22.992590478882001</v>
      </c>
      <c r="AF158" s="17">
        <v>-21.561955540981302</v>
      </c>
      <c r="AG158" s="17">
        <v>-18.984871625979402</v>
      </c>
      <c r="AH158" s="17">
        <v>-19.811249674617901</v>
      </c>
      <c r="AI158" s="17">
        <v>-18.015580518349701</v>
      </c>
      <c r="AJ158" s="17">
        <v>-17.675065082836799</v>
      </c>
      <c r="AK158" s="17">
        <v>-18.6273591475587</v>
      </c>
      <c r="AL158" s="17">
        <v>-17.2547356289985</v>
      </c>
      <c r="AM158" s="17">
        <v>-15.046415461754499</v>
      </c>
      <c r="AN158" s="17">
        <v>-15.4392174367593</v>
      </c>
      <c r="AO158" s="17"/>
      <c r="AP158" s="17"/>
      <c r="AQ158" s="17"/>
      <c r="AR158" s="17"/>
      <c r="AS158" s="17"/>
      <c r="AT158" s="17"/>
      <c r="AU158" s="17"/>
      <c r="AV158" s="17"/>
      <c r="AW158" s="17"/>
      <c r="AX158" s="17"/>
      <c r="AY158" s="17"/>
      <c r="AZ158" s="17"/>
      <c r="BA158" s="17"/>
      <c r="BB158" s="17"/>
      <c r="BC158" s="17"/>
      <c r="BD158" s="17"/>
      <c r="BE158" s="17"/>
      <c r="BF158" s="17"/>
      <c r="BG158" s="17"/>
      <c r="BH158" s="17"/>
      <c r="BI158" s="17"/>
      <c r="BJ158" s="17"/>
      <c r="BK158" s="17"/>
      <c r="BL158" s="17"/>
      <c r="BM158" s="17"/>
      <c r="BN158" s="17"/>
      <c r="BO158" s="17"/>
      <c r="BP158" s="17"/>
      <c r="BQ158" s="17"/>
      <c r="BR158" s="17"/>
      <c r="BS158" s="17"/>
      <c r="BT158" s="17"/>
      <c r="BU158" s="17"/>
      <c r="BV158" s="17"/>
      <c r="BW158" s="17"/>
      <c r="BX158" s="17"/>
      <c r="BY158" s="17"/>
      <c r="BZ158" s="17"/>
      <c r="CA158" s="17"/>
      <c r="CB158" s="17"/>
      <c r="CC158" s="17"/>
      <c r="CD158" s="17"/>
      <c r="CE158" s="17"/>
      <c r="CF158" s="17"/>
      <c r="CG158" s="17"/>
      <c r="CH158" s="17"/>
      <c r="CI158" s="17"/>
      <c r="CJ158" s="17"/>
      <c r="CK158" s="17"/>
      <c r="CL158" s="17"/>
      <c r="CM158" s="17"/>
      <c r="CN158" s="17"/>
      <c r="CO158" s="17"/>
      <c r="CP158" s="17"/>
      <c r="CQ158" s="17"/>
      <c r="CR158" s="17"/>
      <c r="CS158" s="17"/>
      <c r="CT158" s="17"/>
      <c r="CU158" s="17"/>
      <c r="CV158" s="17"/>
    </row>
    <row r="159" spans="2:100" x14ac:dyDescent="0.35">
      <c r="B159" s="9"/>
      <c r="D159" t="s">
        <v>220</v>
      </c>
      <c r="E159" t="s">
        <v>219</v>
      </c>
      <c r="F159" s="17">
        <v>0</v>
      </c>
      <c r="G159" s="17">
        <v>-36.284340713939898</v>
      </c>
      <c r="H159" s="17">
        <v>-36.845149108147702</v>
      </c>
      <c r="I159" s="17">
        <v>-36.451302447039097</v>
      </c>
      <c r="J159" s="17">
        <v>-30.0276007231917</v>
      </c>
      <c r="K159" s="17">
        <v>-31.327033533324101</v>
      </c>
      <c r="L159" s="17">
        <v>-26.4885385032862</v>
      </c>
      <c r="M159" s="17">
        <v>-29.502248975344799</v>
      </c>
      <c r="N159" s="17">
        <v>-26.085362795271301</v>
      </c>
      <c r="O159" s="17">
        <v>-25.745348809088199</v>
      </c>
      <c r="P159" s="17">
        <v>-25.046526933715899</v>
      </c>
      <c r="Q159" s="17">
        <v>-25.435066589417499</v>
      </c>
      <c r="R159" s="17">
        <v>-26.9942501523829</v>
      </c>
      <c r="S159" s="17">
        <v>-24.809759275165099</v>
      </c>
      <c r="T159" s="17">
        <v>-24.0999995362866</v>
      </c>
      <c r="U159" s="17">
        <v>-21.660761952672701</v>
      </c>
      <c r="V159" s="17">
        <v>-20.374533974891499</v>
      </c>
      <c r="W159" s="17">
        <v>-20.365904867674601</v>
      </c>
      <c r="X159" s="17">
        <v>-18.4877472966554</v>
      </c>
      <c r="Y159" s="17">
        <v>-18.536847543531</v>
      </c>
      <c r="Z159" s="17">
        <v>-19.062993252816799</v>
      </c>
      <c r="AA159" s="17">
        <v>-16.860105453312102</v>
      </c>
      <c r="AB159" s="17">
        <v>-13.5025261033477</v>
      </c>
      <c r="AC159" s="17">
        <v>-23.3675283215129</v>
      </c>
      <c r="AD159" s="17">
        <v>-20.840202805632</v>
      </c>
      <c r="AE159" s="17">
        <v>-19.569164563799099</v>
      </c>
      <c r="AF159" s="17">
        <v>-17.541021408866399</v>
      </c>
      <c r="AG159" s="17">
        <v>-18.111503596394801</v>
      </c>
      <c r="AH159" s="17">
        <v>-17.4185319632033</v>
      </c>
      <c r="AI159" s="17">
        <v>-16.410190489015999</v>
      </c>
      <c r="AJ159" s="17">
        <v>-15.488443045967401</v>
      </c>
      <c r="AK159" s="17">
        <v>-15.787348633968399</v>
      </c>
      <c r="AL159" s="17">
        <v>-16.825129362559</v>
      </c>
      <c r="AM159" s="17">
        <v>-17.6526774596338</v>
      </c>
      <c r="AN159" s="17">
        <v>-17.112292678754098</v>
      </c>
      <c r="AO159" s="17"/>
      <c r="AP159" s="17"/>
      <c r="AQ159" s="17"/>
      <c r="AR159" s="17"/>
      <c r="AS159" s="17"/>
      <c r="AT159" s="17"/>
      <c r="AU159" s="17"/>
      <c r="AV159" s="17"/>
      <c r="AW159" s="17"/>
      <c r="AX159" s="17"/>
      <c r="AY159" s="17"/>
      <c r="AZ159" s="17"/>
      <c r="BA159" s="17"/>
      <c r="BB159" s="17"/>
      <c r="BC159" s="17"/>
      <c r="BD159" s="17"/>
      <c r="BE159" s="17"/>
      <c r="BF159" s="17"/>
      <c r="BG159" s="17"/>
      <c r="BH159" s="17"/>
      <c r="BI159" s="17"/>
      <c r="BJ159" s="17"/>
      <c r="BK159" s="17"/>
      <c r="BL159" s="17"/>
      <c r="BM159" s="17"/>
      <c r="BN159" s="17"/>
      <c r="BO159" s="17"/>
      <c r="BP159" s="17"/>
      <c r="BQ159" s="17"/>
      <c r="BR159" s="17"/>
      <c r="BS159" s="17"/>
      <c r="BT159" s="17"/>
      <c r="BU159" s="17"/>
      <c r="BV159" s="17"/>
      <c r="BW159" s="17"/>
      <c r="BX159" s="17"/>
      <c r="BY159" s="17"/>
      <c r="BZ159" s="17"/>
      <c r="CA159" s="17"/>
      <c r="CB159" s="17"/>
      <c r="CC159" s="17"/>
      <c r="CD159" s="17"/>
      <c r="CE159" s="17"/>
      <c r="CF159" s="17"/>
      <c r="CG159" s="17"/>
      <c r="CH159" s="17"/>
      <c r="CI159" s="17"/>
      <c r="CJ159" s="17"/>
      <c r="CK159" s="17"/>
      <c r="CL159" s="17"/>
      <c r="CM159" s="17"/>
      <c r="CN159" s="17"/>
      <c r="CO159" s="17"/>
      <c r="CP159" s="17"/>
      <c r="CQ159" s="17"/>
      <c r="CR159" s="17"/>
      <c r="CS159" s="17"/>
      <c r="CT159" s="17"/>
      <c r="CU159" s="17"/>
      <c r="CV159" s="17"/>
    </row>
    <row r="160" spans="2:100" x14ac:dyDescent="0.35">
      <c r="B160" s="9"/>
      <c r="C160" t="s">
        <v>230</v>
      </c>
      <c r="D160" t="s">
        <v>346</v>
      </c>
      <c r="E160" t="s">
        <v>219</v>
      </c>
      <c r="F160" s="17">
        <v>0</v>
      </c>
      <c r="G160" s="17">
        <v>171.524911553398</v>
      </c>
      <c r="H160" s="17">
        <v>154.391369959293</v>
      </c>
      <c r="I160" s="17">
        <v>127.780133073123</v>
      </c>
      <c r="J160" s="17">
        <v>111.404897781138</v>
      </c>
      <c r="K160" s="17">
        <v>111.708253731941</v>
      </c>
      <c r="L160" s="17">
        <v>118.113610767807</v>
      </c>
      <c r="M160" s="17">
        <v>105.869064329995</v>
      </c>
      <c r="N160" s="17">
        <v>100.78438901961199</v>
      </c>
      <c r="O160" s="17">
        <v>98.388986464911198</v>
      </c>
      <c r="P160" s="17">
        <v>90.474183371478901</v>
      </c>
      <c r="Q160" s="17">
        <v>88.5585633567797</v>
      </c>
      <c r="R160" s="17">
        <v>83.7230874695816</v>
      </c>
      <c r="S160" s="17">
        <v>83.542116495831394</v>
      </c>
      <c r="T160" s="17">
        <v>85.461748105168994</v>
      </c>
      <c r="U160" s="17">
        <v>83.961829584868497</v>
      </c>
      <c r="V160" s="17">
        <v>83.064465115481099</v>
      </c>
      <c r="W160" s="17">
        <v>79.755212944675506</v>
      </c>
      <c r="X160" s="17">
        <v>77.542243924269798</v>
      </c>
      <c r="Y160" s="17">
        <v>76.973976471281404</v>
      </c>
      <c r="Z160" s="17">
        <v>77.657566823261305</v>
      </c>
      <c r="AA160" s="17">
        <v>75.991511871883702</v>
      </c>
      <c r="AB160" s="17">
        <v>78.750214466020196</v>
      </c>
      <c r="AC160" s="17">
        <v>105.993037229926</v>
      </c>
      <c r="AD160" s="17">
        <v>104.384022139812</v>
      </c>
      <c r="AE160" s="17">
        <v>101.979509922286</v>
      </c>
      <c r="AF160" s="17">
        <v>100.56953887551801</v>
      </c>
      <c r="AG160" s="17">
        <v>99.526294438604793</v>
      </c>
      <c r="AH160" s="17">
        <v>97.319186107241094</v>
      </c>
      <c r="AI160" s="17">
        <v>97.548912581452697</v>
      </c>
      <c r="AJ160" s="17">
        <v>97.637585537937895</v>
      </c>
      <c r="AK160" s="17">
        <v>93.439786048460405</v>
      </c>
      <c r="AL160" s="17">
        <v>93.809907888153205</v>
      </c>
      <c r="AM160" s="17">
        <v>93.272939230832705</v>
      </c>
      <c r="AN160" s="17">
        <v>89.716639690215601</v>
      </c>
      <c r="AO160" s="17"/>
      <c r="AP160" s="17"/>
      <c r="AQ160" s="17"/>
      <c r="AR160" s="17"/>
      <c r="AS160" s="17"/>
      <c r="AT160" s="17"/>
      <c r="AU160" s="17"/>
      <c r="AV160" s="17"/>
      <c r="AW160" s="17"/>
      <c r="AX160" s="17"/>
      <c r="AY160" s="17"/>
      <c r="AZ160" s="17"/>
      <c r="BA160" s="17"/>
      <c r="BB160" s="17"/>
      <c r="BC160" s="17"/>
      <c r="BD160" s="17"/>
      <c r="BE160" s="17"/>
      <c r="BF160" s="17"/>
      <c r="BG160" s="17"/>
      <c r="BH160" s="17"/>
      <c r="BI160" s="17"/>
      <c r="BJ160" s="17"/>
      <c r="BK160" s="17"/>
      <c r="BL160" s="17"/>
      <c r="BM160" s="17"/>
      <c r="BN160" s="17"/>
      <c r="BO160" s="17"/>
      <c r="BP160" s="17"/>
      <c r="BQ160" s="17"/>
      <c r="BR160" s="17"/>
      <c r="BS160" s="17"/>
      <c r="BT160" s="17"/>
      <c r="BU160" s="17"/>
      <c r="BV160" s="17"/>
      <c r="BW160" s="17"/>
      <c r="BX160" s="17"/>
      <c r="BY160" s="17"/>
      <c r="BZ160" s="17"/>
      <c r="CA160" s="17"/>
      <c r="CB160" s="17"/>
      <c r="CC160" s="17"/>
      <c r="CD160" s="17"/>
      <c r="CE160" s="17"/>
      <c r="CF160" s="17"/>
      <c r="CG160" s="17"/>
      <c r="CH160" s="17"/>
      <c r="CI160" s="17"/>
      <c r="CJ160" s="17"/>
      <c r="CK160" s="17"/>
      <c r="CL160" s="17"/>
      <c r="CM160" s="17"/>
      <c r="CN160" s="17"/>
      <c r="CO160" s="17"/>
      <c r="CP160" s="17"/>
      <c r="CQ160" s="17"/>
      <c r="CR160" s="17"/>
      <c r="CS160" s="17"/>
      <c r="CT160" s="17"/>
      <c r="CU160" s="17"/>
      <c r="CV160" s="17"/>
    </row>
    <row r="161" spans="2:100" x14ac:dyDescent="0.35">
      <c r="B161" s="9"/>
      <c r="C161" t="s">
        <v>230</v>
      </c>
      <c r="D161" t="s">
        <v>347</v>
      </c>
      <c r="E161" t="s">
        <v>219</v>
      </c>
      <c r="F161" s="17">
        <v>0</v>
      </c>
      <c r="G161" s="17">
        <v>9.7881028740691498</v>
      </c>
      <c r="H161" s="17">
        <v>10.896755107937199</v>
      </c>
      <c r="I161" s="17">
        <v>5.5815489150424096</v>
      </c>
      <c r="J161" s="17">
        <v>5.8249189897688201</v>
      </c>
      <c r="K161" s="17">
        <v>4.2861485932704104</v>
      </c>
      <c r="L161" s="17">
        <v>4.6434103470261601</v>
      </c>
      <c r="M161" s="17">
        <v>5.2007921708136298</v>
      </c>
      <c r="N161" s="17">
        <v>5.4509109177701802</v>
      </c>
      <c r="O161" s="17">
        <v>6.9037767759583604</v>
      </c>
      <c r="P161" s="17">
        <v>6.8998174156251997</v>
      </c>
      <c r="Q161" s="17">
        <v>7.1950039210969301</v>
      </c>
      <c r="R161" s="17">
        <v>7.6164094016220902</v>
      </c>
      <c r="S161" s="17">
        <v>7.7392540405604402</v>
      </c>
      <c r="T161" s="17">
        <v>7.6985739636809498</v>
      </c>
      <c r="U161" s="17">
        <v>7.4309671713478496</v>
      </c>
      <c r="V161" s="17">
        <v>7.8582124471928996</v>
      </c>
      <c r="W161" s="17">
        <v>7.4978270819869799</v>
      </c>
      <c r="X161" s="17">
        <v>7.8077958958265796</v>
      </c>
      <c r="Y161" s="17">
        <v>8.2371723313232508</v>
      </c>
      <c r="Z161" s="17">
        <v>8.8492748132244294</v>
      </c>
      <c r="AA161" s="17">
        <v>9.0665172884963994</v>
      </c>
      <c r="AB161" s="17">
        <v>9.1142489965761104</v>
      </c>
      <c r="AC161" s="17">
        <v>8.7256153191251702</v>
      </c>
      <c r="AD161" s="17">
        <v>8.5680348672375803</v>
      </c>
      <c r="AE161" s="17">
        <v>8.7672356134980198</v>
      </c>
      <c r="AF161" s="17">
        <v>8.8071321757997101</v>
      </c>
      <c r="AG161" s="17">
        <v>8.7667550578903004</v>
      </c>
      <c r="AH161" s="17">
        <v>8.5446025579307694</v>
      </c>
      <c r="AI161" s="17">
        <v>8.4820885414831899</v>
      </c>
      <c r="AJ161" s="17">
        <v>8.8731563375558498</v>
      </c>
      <c r="AK161" s="17">
        <v>8.7019949663196901</v>
      </c>
      <c r="AL161" s="17">
        <v>8.7623360356715008</v>
      </c>
      <c r="AM161" s="17">
        <v>8.8890042257495292</v>
      </c>
      <c r="AN161" s="17">
        <v>8.8376787974729591</v>
      </c>
      <c r="AO161" s="17"/>
      <c r="AP161" s="17"/>
      <c r="AQ161" s="17"/>
      <c r="AR161" s="17"/>
      <c r="AS161" s="17"/>
      <c r="AT161" s="17"/>
      <c r="AU161" s="17"/>
      <c r="AV161" s="17"/>
      <c r="AW161" s="17"/>
      <c r="AX161" s="17"/>
      <c r="AY161" s="17"/>
      <c r="AZ161" s="17"/>
      <c r="BA161" s="17"/>
      <c r="BB161" s="17"/>
      <c r="BC161" s="17"/>
      <c r="BD161" s="17"/>
      <c r="BE161" s="17"/>
      <c r="BF161" s="17"/>
      <c r="BG161" s="17"/>
      <c r="BH161" s="17"/>
      <c r="BI161" s="17"/>
      <c r="BJ161" s="17"/>
      <c r="BK161" s="17"/>
      <c r="BL161" s="17"/>
      <c r="BM161" s="17"/>
      <c r="BN161" s="17"/>
      <c r="BO161" s="17"/>
      <c r="BP161" s="17"/>
      <c r="BQ161" s="17"/>
      <c r="BR161" s="17"/>
      <c r="BS161" s="17"/>
      <c r="BT161" s="17"/>
      <c r="BU161" s="17"/>
      <c r="BV161" s="17"/>
      <c r="BW161" s="17"/>
      <c r="BX161" s="17"/>
      <c r="BY161" s="17"/>
      <c r="BZ161" s="17"/>
      <c r="CA161" s="17"/>
      <c r="CB161" s="17"/>
      <c r="CC161" s="17"/>
      <c r="CD161" s="17"/>
      <c r="CE161" s="17"/>
      <c r="CF161" s="17"/>
      <c r="CG161" s="17"/>
      <c r="CH161" s="17"/>
      <c r="CI161" s="17"/>
      <c r="CJ161" s="17"/>
      <c r="CK161" s="17"/>
      <c r="CL161" s="17"/>
      <c r="CM161" s="17"/>
      <c r="CN161" s="17"/>
      <c r="CO161" s="17"/>
      <c r="CP161" s="17"/>
      <c r="CQ161" s="17"/>
      <c r="CR161" s="17"/>
      <c r="CS161" s="17"/>
      <c r="CT161" s="17"/>
      <c r="CU161" s="17"/>
      <c r="CV161" s="17"/>
    </row>
    <row r="162" spans="2:100" x14ac:dyDescent="0.35">
      <c r="B162" s="9"/>
      <c r="C162" t="s">
        <v>230</v>
      </c>
      <c r="D162" t="s">
        <v>348</v>
      </c>
      <c r="E162" t="s">
        <v>219</v>
      </c>
      <c r="F162" s="17">
        <v>0</v>
      </c>
      <c r="G162" s="17">
        <v>26.340861675662101</v>
      </c>
      <c r="H162" s="17">
        <v>15.652970660444799</v>
      </c>
      <c r="I162" s="17">
        <v>8.9403505477481708</v>
      </c>
      <c r="J162" s="17">
        <v>8.3845357531162996</v>
      </c>
      <c r="K162" s="17">
        <v>8.4919921657466109</v>
      </c>
      <c r="L162" s="17">
        <v>8.6066778062147904</v>
      </c>
      <c r="M162" s="17">
        <v>7.1869598380981596</v>
      </c>
      <c r="N162" s="17">
        <v>7.4744156664022503</v>
      </c>
      <c r="O162" s="17">
        <v>8.5313141506912498</v>
      </c>
      <c r="P162" s="17">
        <v>7.9217189154390297</v>
      </c>
      <c r="Q162" s="17">
        <v>7.53212412677264</v>
      </c>
      <c r="R162" s="17">
        <v>7.8947451202405601</v>
      </c>
      <c r="S162" s="17">
        <v>7.8515577967121004</v>
      </c>
      <c r="T162" s="17">
        <v>7.67177776512011</v>
      </c>
      <c r="U162" s="17">
        <v>7.3102119046169696</v>
      </c>
      <c r="V162" s="17">
        <v>7.4952049198666</v>
      </c>
      <c r="W162" s="17">
        <v>7.4194233899015698</v>
      </c>
      <c r="X162" s="17">
        <v>6.8385047881969099</v>
      </c>
      <c r="Y162" s="17">
        <v>6.93172212923331</v>
      </c>
      <c r="Z162" s="17">
        <v>7.0438273950252501</v>
      </c>
      <c r="AA162" s="17">
        <v>6.9135968253334799</v>
      </c>
      <c r="AB162" s="17">
        <v>6.6911936007090498</v>
      </c>
      <c r="AC162" s="17">
        <v>6.4681322238392802</v>
      </c>
      <c r="AD162" s="17">
        <v>6.3606653643479198</v>
      </c>
      <c r="AE162" s="17">
        <v>6.5223932200673396</v>
      </c>
      <c r="AF162" s="17">
        <v>6.4032990042413998</v>
      </c>
      <c r="AG162" s="17">
        <v>6.4871037234831297</v>
      </c>
      <c r="AH162" s="17">
        <v>6.3974383151994401</v>
      </c>
      <c r="AI162" s="17">
        <v>6.2805901744965302</v>
      </c>
      <c r="AJ162" s="17">
        <v>6.1279093004354701</v>
      </c>
      <c r="AK162" s="17">
        <v>6.0274418378391497</v>
      </c>
      <c r="AL162" s="17">
        <v>5.7151329271271702</v>
      </c>
      <c r="AM162" s="17">
        <v>5.8502839683675401</v>
      </c>
      <c r="AN162" s="17">
        <v>6.4071434491031498</v>
      </c>
      <c r="AO162" s="17"/>
      <c r="AP162" s="17"/>
      <c r="AQ162" s="17"/>
      <c r="AR162" s="17"/>
      <c r="AS162" s="17"/>
      <c r="AT162" s="17"/>
      <c r="AU162" s="17"/>
      <c r="AV162" s="17"/>
      <c r="AW162" s="17"/>
      <c r="AX162" s="17"/>
      <c r="AY162" s="17"/>
      <c r="AZ162" s="17"/>
      <c r="BA162" s="17"/>
      <c r="BB162" s="17"/>
      <c r="BC162" s="17"/>
      <c r="BD162" s="17"/>
      <c r="BE162" s="17"/>
      <c r="BF162" s="17"/>
      <c r="BG162" s="17"/>
      <c r="BH162" s="17"/>
      <c r="BI162" s="17"/>
      <c r="BJ162" s="17"/>
      <c r="BK162" s="17"/>
      <c r="BL162" s="17"/>
      <c r="BM162" s="17"/>
      <c r="BN162" s="17"/>
      <c r="BO162" s="17"/>
      <c r="BP162" s="17"/>
      <c r="BQ162" s="17"/>
      <c r="BR162" s="17"/>
      <c r="BS162" s="17"/>
      <c r="BT162" s="17"/>
      <c r="BU162" s="17"/>
      <c r="BV162" s="17"/>
      <c r="BW162" s="17"/>
      <c r="BX162" s="17"/>
      <c r="BY162" s="17"/>
      <c r="BZ162" s="17"/>
      <c r="CA162" s="17"/>
      <c r="CB162" s="17"/>
      <c r="CC162" s="17"/>
      <c r="CD162" s="17"/>
      <c r="CE162" s="17"/>
      <c r="CF162" s="17"/>
      <c r="CG162" s="17"/>
      <c r="CH162" s="17"/>
      <c r="CI162" s="17"/>
      <c r="CJ162" s="17"/>
      <c r="CK162" s="17"/>
      <c r="CL162" s="17"/>
      <c r="CM162" s="17"/>
      <c r="CN162" s="17"/>
      <c r="CO162" s="17"/>
      <c r="CP162" s="17"/>
      <c r="CQ162" s="17"/>
      <c r="CR162" s="17"/>
      <c r="CS162" s="17"/>
      <c r="CT162" s="17"/>
      <c r="CU162" s="17"/>
      <c r="CV162" s="17"/>
    </row>
    <row r="163" spans="2:100" x14ac:dyDescent="0.35">
      <c r="B163" s="9"/>
      <c r="C163" t="s">
        <v>230</v>
      </c>
      <c r="D163" t="s">
        <v>349</v>
      </c>
      <c r="E163" t="s">
        <v>219</v>
      </c>
      <c r="F163" s="17">
        <v>0</v>
      </c>
      <c r="G163" s="17">
        <v>4.9066085640014796</v>
      </c>
      <c r="H163" s="17">
        <v>4.7502608417163099</v>
      </c>
      <c r="I163" s="17">
        <v>5.02591171704817</v>
      </c>
      <c r="J163" s="17">
        <v>5.0907031492019001</v>
      </c>
      <c r="K163" s="17">
        <v>5.0719928210839802</v>
      </c>
      <c r="L163" s="17">
        <v>5.1459774909505898</v>
      </c>
      <c r="M163" s="17">
        <v>4.7433450197095697</v>
      </c>
      <c r="N163" s="17">
        <v>4.6079537006653499</v>
      </c>
      <c r="O163" s="17">
        <v>5.2830612014828704</v>
      </c>
      <c r="P163" s="17">
        <v>5.23478625662921</v>
      </c>
      <c r="Q163" s="17">
        <v>4.8000610282814202</v>
      </c>
      <c r="R163" s="17">
        <v>5.2196278612639997</v>
      </c>
      <c r="S163" s="17">
        <v>5.3092932695476902</v>
      </c>
      <c r="T163" s="17">
        <v>5.4266219658583097</v>
      </c>
      <c r="U163" s="17">
        <v>5.3954485325228196</v>
      </c>
      <c r="V163" s="17">
        <v>5.5847247607977701</v>
      </c>
      <c r="W163" s="17">
        <v>5.5107609846532402</v>
      </c>
      <c r="X163" s="17">
        <v>5.6980209687479704</v>
      </c>
      <c r="Y163" s="17">
        <v>5.2428094459059098</v>
      </c>
      <c r="Z163" s="17">
        <v>5.9823636324629197</v>
      </c>
      <c r="AA163" s="17">
        <v>6.0394557280321104</v>
      </c>
      <c r="AB163" s="17">
        <v>6.0945524731431702</v>
      </c>
      <c r="AC163" s="17">
        <v>5.7574949486336804</v>
      </c>
      <c r="AD163" s="17">
        <v>5.9565285451175196</v>
      </c>
      <c r="AE163" s="17">
        <v>6.0691979414054904</v>
      </c>
      <c r="AF163" s="17">
        <v>6.0810551286828902</v>
      </c>
      <c r="AG163" s="17">
        <v>6.08545325717962</v>
      </c>
      <c r="AH163" s="17">
        <v>5.97441357121349</v>
      </c>
      <c r="AI163" s="17">
        <v>5.9197973817101497</v>
      </c>
      <c r="AJ163" s="17">
        <v>5.7766231511930899</v>
      </c>
      <c r="AK163" s="17">
        <v>5.6737424636971401</v>
      </c>
      <c r="AL163" s="17">
        <v>5.7575785235219801</v>
      </c>
      <c r="AM163" s="17">
        <v>5.9265565008013299</v>
      </c>
      <c r="AN163" s="17">
        <v>5.9234642299342699</v>
      </c>
      <c r="AO163" s="17"/>
      <c r="AP163" s="17"/>
      <c r="AQ163" s="17"/>
      <c r="AR163" s="17"/>
      <c r="AS163" s="17"/>
      <c r="AT163" s="17"/>
      <c r="AU163" s="17"/>
      <c r="AV163" s="17"/>
      <c r="AW163" s="17"/>
      <c r="AX163" s="17"/>
      <c r="AY163" s="17"/>
      <c r="AZ163" s="17"/>
      <c r="BA163" s="17"/>
      <c r="BB163" s="17"/>
      <c r="BC163" s="17"/>
      <c r="BD163" s="17"/>
      <c r="BE163" s="17"/>
      <c r="BF163" s="17"/>
      <c r="BG163" s="17"/>
      <c r="BH163" s="17"/>
      <c r="BI163" s="17"/>
      <c r="BJ163" s="17"/>
      <c r="BK163" s="17"/>
      <c r="BL163" s="17"/>
      <c r="BM163" s="17"/>
      <c r="BN163" s="17"/>
      <c r="BO163" s="17"/>
      <c r="BP163" s="17"/>
      <c r="BQ163" s="17"/>
      <c r="BR163" s="17"/>
      <c r="BS163" s="17"/>
      <c r="BT163" s="17"/>
      <c r="BU163" s="17"/>
      <c r="BV163" s="17"/>
      <c r="BW163" s="17"/>
      <c r="BX163" s="17"/>
      <c r="BY163" s="17"/>
      <c r="BZ163" s="17"/>
      <c r="CA163" s="17"/>
      <c r="CB163" s="17"/>
      <c r="CC163" s="17"/>
      <c r="CD163" s="17"/>
      <c r="CE163" s="17"/>
      <c r="CF163" s="17"/>
      <c r="CG163" s="17"/>
      <c r="CH163" s="17"/>
      <c r="CI163" s="17"/>
      <c r="CJ163" s="17"/>
      <c r="CK163" s="17"/>
      <c r="CL163" s="17"/>
      <c r="CM163" s="17"/>
      <c r="CN163" s="17"/>
      <c r="CO163" s="17"/>
      <c r="CP163" s="17"/>
      <c r="CQ163" s="17"/>
      <c r="CR163" s="17"/>
      <c r="CS163" s="17"/>
      <c r="CT163" s="17"/>
      <c r="CU163" s="17"/>
      <c r="CV163" s="17"/>
    </row>
    <row r="164" spans="2:100" x14ac:dyDescent="0.35">
      <c r="B164" s="9"/>
      <c r="C164" t="s">
        <v>230</v>
      </c>
      <c r="D164" t="s">
        <v>350</v>
      </c>
      <c r="E164" t="s">
        <v>219</v>
      </c>
      <c r="F164" s="17">
        <v>0</v>
      </c>
      <c r="G164" s="17">
        <v>41.036304394005299</v>
      </c>
      <c r="H164" s="17">
        <v>31.304374291734099</v>
      </c>
      <c r="I164" s="17">
        <v>19.547946989032202</v>
      </c>
      <c r="J164" s="17">
        <v>19.2977969014925</v>
      </c>
      <c r="K164" s="17">
        <v>17.849235150051801</v>
      </c>
      <c r="L164" s="17">
        <v>18.394289677815099</v>
      </c>
      <c r="M164" s="17">
        <v>17.135119070120702</v>
      </c>
      <c r="N164" s="17">
        <v>17.5377515413617</v>
      </c>
      <c r="O164" s="17">
        <v>20.7214951236644</v>
      </c>
      <c r="P164" s="17">
        <v>20.0611385906316</v>
      </c>
      <c r="Q164" s="17">
        <v>19.525517578384999</v>
      </c>
      <c r="R164" s="17">
        <v>20.7304898710176</v>
      </c>
      <c r="S164" s="17">
        <v>20.8985694182477</v>
      </c>
      <c r="T164" s="17">
        <v>20.7941530421793</v>
      </c>
      <c r="U164" s="17">
        <v>20.1373588887602</v>
      </c>
      <c r="V164" s="17">
        <v>20.942435787743602</v>
      </c>
      <c r="W164" s="17">
        <v>20.429432229642799</v>
      </c>
      <c r="X164" s="17">
        <v>20.346285662646501</v>
      </c>
      <c r="Y164" s="17">
        <v>20.414315621721801</v>
      </c>
      <c r="Z164" s="17">
        <v>21.880041565846899</v>
      </c>
      <c r="AA164" s="17">
        <v>22.0209070400747</v>
      </c>
      <c r="AB164" s="17">
        <v>21.900799478728199</v>
      </c>
      <c r="AC164" s="17">
        <v>20.9535825884705</v>
      </c>
      <c r="AD164" s="17">
        <v>20.8809560105387</v>
      </c>
      <c r="AE164" s="17">
        <v>21.356089697379002</v>
      </c>
      <c r="AF164" s="17">
        <v>21.288843252881499</v>
      </c>
      <c r="AG164" s="17">
        <v>21.337515178454598</v>
      </c>
      <c r="AH164" s="17">
        <v>20.9171543840332</v>
      </c>
      <c r="AI164" s="17">
        <v>20.685568368556901</v>
      </c>
      <c r="AJ164" s="17">
        <v>20.7765396344703</v>
      </c>
      <c r="AK164" s="17">
        <v>20.398864714247502</v>
      </c>
      <c r="AL164" s="17">
        <v>20.233010348418301</v>
      </c>
      <c r="AM164" s="17">
        <v>20.663525491768102</v>
      </c>
      <c r="AN164" s="17">
        <v>21.1716190251813</v>
      </c>
      <c r="AO164" s="17"/>
      <c r="AP164" s="17"/>
      <c r="AQ164" s="17"/>
      <c r="AR164" s="17"/>
      <c r="AS164" s="17"/>
      <c r="AT164" s="17"/>
      <c r="AU164" s="17"/>
      <c r="AV164" s="17"/>
      <c r="AW164" s="17"/>
      <c r="AX164" s="17"/>
      <c r="AY164" s="17"/>
      <c r="AZ164" s="17"/>
      <c r="BA164" s="17"/>
      <c r="BB164" s="17"/>
      <c r="BC164" s="17"/>
      <c r="BD164" s="17"/>
      <c r="BE164" s="17"/>
      <c r="BF164" s="17"/>
      <c r="BG164" s="17"/>
      <c r="BH164" s="17"/>
      <c r="BI164" s="17"/>
      <c r="BJ164" s="17"/>
      <c r="BK164" s="17"/>
      <c r="BL164" s="17"/>
      <c r="BM164" s="17"/>
      <c r="BN164" s="17"/>
      <c r="BO164" s="17"/>
      <c r="BP164" s="17"/>
      <c r="BQ164" s="17"/>
      <c r="BR164" s="17"/>
      <c r="BS164" s="17"/>
      <c r="BT164" s="17"/>
      <c r="BU164" s="17"/>
      <c r="BV164" s="17"/>
      <c r="BW164" s="17"/>
      <c r="BX164" s="17"/>
      <c r="BY164" s="17"/>
      <c r="BZ164" s="17"/>
      <c r="CA164" s="17"/>
      <c r="CB164" s="17"/>
      <c r="CC164" s="17"/>
      <c r="CD164" s="17"/>
      <c r="CE164" s="17"/>
      <c r="CF164" s="17"/>
      <c r="CG164" s="17"/>
      <c r="CH164" s="17"/>
      <c r="CI164" s="17"/>
      <c r="CJ164" s="17"/>
      <c r="CK164" s="17"/>
      <c r="CL164" s="17"/>
      <c r="CM164" s="17"/>
      <c r="CN164" s="17"/>
      <c r="CO164" s="17"/>
      <c r="CP164" s="17"/>
      <c r="CQ164" s="17"/>
      <c r="CR164" s="17"/>
      <c r="CS164" s="17"/>
      <c r="CT164" s="17"/>
      <c r="CU164" s="17"/>
      <c r="CV164" s="17"/>
    </row>
    <row r="165" spans="2:100" x14ac:dyDescent="0.35">
      <c r="B165" s="9"/>
      <c r="D165" t="s">
        <v>351</v>
      </c>
      <c r="E165" t="s">
        <v>219</v>
      </c>
      <c r="F165" s="17">
        <v>0</v>
      </c>
      <c r="G165" s="17">
        <v>-25.585574516382799</v>
      </c>
      <c r="H165" s="17">
        <v>-22.595014288382998</v>
      </c>
      <c r="I165" s="17">
        <v>-21.1292361099527</v>
      </c>
      <c r="J165" s="17">
        <v>-20.098277181619501</v>
      </c>
      <c r="K165" s="17">
        <v>-19.793322861077801</v>
      </c>
      <c r="L165" s="17">
        <v>-19.608277611523</v>
      </c>
      <c r="M165" s="17">
        <v>-18.443609308772501</v>
      </c>
      <c r="N165" s="17">
        <v>-18.0117047329048</v>
      </c>
      <c r="O165" s="17">
        <v>-17.420997422408199</v>
      </c>
      <c r="P165" s="17">
        <v>-17.3324289345334</v>
      </c>
      <c r="Q165" s="17">
        <v>-17.944009073382698</v>
      </c>
      <c r="R165" s="17">
        <v>-16.9727748496001</v>
      </c>
      <c r="S165" s="17">
        <v>-17.512532818817501</v>
      </c>
      <c r="T165" s="17">
        <v>-17.157151500048499</v>
      </c>
      <c r="U165" s="17">
        <v>-16.627516539176298</v>
      </c>
      <c r="V165" s="17">
        <v>-17.307429596071</v>
      </c>
      <c r="W165" s="17">
        <v>-17.0265866308036</v>
      </c>
      <c r="X165" s="17">
        <v>-17.0294804113109</v>
      </c>
      <c r="Y165" s="17">
        <v>-17.133625168992399</v>
      </c>
      <c r="Z165" s="17">
        <v>-16.937610715348299</v>
      </c>
      <c r="AA165" s="17">
        <v>-17.519574003156698</v>
      </c>
      <c r="AB165" s="17">
        <v>-18.695086147663901</v>
      </c>
      <c r="AC165" s="17">
        <v>-24.0845590756734</v>
      </c>
      <c r="AD165" s="17">
        <v>-23.4342106355144</v>
      </c>
      <c r="AE165" s="17">
        <v>-22.782128016423201</v>
      </c>
      <c r="AF165" s="17">
        <v>-23.215819005528299</v>
      </c>
      <c r="AG165" s="17">
        <v>-21.951853288617801</v>
      </c>
      <c r="AH165" s="17">
        <v>-21.6301944372774</v>
      </c>
      <c r="AI165" s="17">
        <v>-21.635679039322</v>
      </c>
      <c r="AJ165" s="17">
        <v>-21.535493641973702</v>
      </c>
      <c r="AK165" s="17">
        <v>-20.9453191213899</v>
      </c>
      <c r="AL165" s="17">
        <v>-19.959636888792598</v>
      </c>
      <c r="AM165" s="17">
        <v>-19.646001226728899</v>
      </c>
      <c r="AN165" s="17">
        <v>-19.736032275148901</v>
      </c>
      <c r="AO165" s="17"/>
      <c r="AP165" s="17"/>
      <c r="AQ165" s="17"/>
      <c r="AR165" s="17"/>
      <c r="AS165" s="17"/>
      <c r="AT165" s="17"/>
      <c r="AU165" s="17"/>
      <c r="AV165" s="17"/>
      <c r="AW165" s="17"/>
      <c r="AX165" s="17"/>
      <c r="AY165" s="17"/>
      <c r="AZ165" s="17"/>
      <c r="BA165" s="17"/>
      <c r="BB165" s="17"/>
      <c r="BC165" s="17"/>
      <c r="BD165" s="17"/>
      <c r="BE165" s="17"/>
      <c r="BF165" s="17"/>
      <c r="BG165" s="17"/>
      <c r="BH165" s="17"/>
      <c r="BI165" s="17"/>
      <c r="BJ165" s="17"/>
      <c r="BK165" s="17"/>
      <c r="BL165" s="17"/>
      <c r="BM165" s="17"/>
      <c r="BN165" s="17"/>
      <c r="BO165" s="17"/>
      <c r="BP165" s="17"/>
      <c r="BQ165" s="17"/>
      <c r="BR165" s="17"/>
      <c r="BS165" s="17"/>
      <c r="BT165" s="17"/>
      <c r="BU165" s="17"/>
      <c r="BV165" s="17"/>
      <c r="BW165" s="17"/>
      <c r="BX165" s="17"/>
      <c r="BY165" s="17"/>
      <c r="BZ165" s="17"/>
      <c r="CA165" s="17"/>
      <c r="CB165" s="17"/>
      <c r="CC165" s="17"/>
      <c r="CD165" s="17"/>
      <c r="CE165" s="17"/>
      <c r="CF165" s="17"/>
      <c r="CG165" s="17"/>
      <c r="CH165" s="17"/>
      <c r="CI165" s="17"/>
      <c r="CJ165" s="17"/>
      <c r="CK165" s="17"/>
      <c r="CL165" s="17"/>
      <c r="CM165" s="17"/>
      <c r="CN165" s="17"/>
      <c r="CO165" s="17"/>
      <c r="CP165" s="17"/>
      <c r="CQ165" s="17"/>
      <c r="CR165" s="17"/>
      <c r="CS165" s="17"/>
      <c r="CT165" s="17"/>
      <c r="CU165" s="17"/>
      <c r="CV165" s="17"/>
    </row>
    <row r="166" spans="2:100" x14ac:dyDescent="0.35">
      <c r="B166" s="9"/>
      <c r="C166" t="s">
        <v>230</v>
      </c>
      <c r="D166" t="s">
        <v>352</v>
      </c>
      <c r="E166" t="s">
        <v>219</v>
      </c>
      <c r="F166" s="17">
        <v>0</v>
      </c>
      <c r="G166" s="17">
        <v>186.97507730052399</v>
      </c>
      <c r="H166" s="17">
        <v>163.09638406845301</v>
      </c>
      <c r="I166" s="17">
        <v>126.198708143009</v>
      </c>
      <c r="J166" s="17">
        <v>110.60631882972</v>
      </c>
      <c r="K166" s="17">
        <v>109.765179366436</v>
      </c>
      <c r="L166" s="17">
        <v>116.90162863141801</v>
      </c>
      <c r="M166" s="17">
        <v>104.556949030564</v>
      </c>
      <c r="N166" s="17">
        <v>100.30600635898899</v>
      </c>
      <c r="O166" s="17">
        <v>101.68626653296801</v>
      </c>
      <c r="P166" s="17">
        <v>93.198379983609001</v>
      </c>
      <c r="Q166" s="17">
        <v>90.141565762910304</v>
      </c>
      <c r="R166" s="17">
        <v>87.480792044138099</v>
      </c>
      <c r="S166" s="17">
        <v>86.9300126365262</v>
      </c>
      <c r="T166" s="17">
        <v>89.101476278030404</v>
      </c>
      <c r="U166" s="17">
        <v>87.471327188038202</v>
      </c>
      <c r="V166" s="17">
        <v>86.695135859823196</v>
      </c>
      <c r="W166" s="17">
        <v>83.156188555389093</v>
      </c>
      <c r="X166" s="17">
        <v>80.857168740618704</v>
      </c>
      <c r="Y166" s="17">
        <v>80.251741802920407</v>
      </c>
      <c r="Z166" s="17">
        <v>82.595327926876195</v>
      </c>
      <c r="AA166" s="17">
        <v>80.491716647809596</v>
      </c>
      <c r="AB166" s="17">
        <v>81.954987579591005</v>
      </c>
      <c r="AC166" s="17">
        <v>102.859605730379</v>
      </c>
      <c r="AD166" s="17">
        <v>101.83491491866801</v>
      </c>
      <c r="AE166" s="17">
        <v>100.556448958638</v>
      </c>
      <c r="AF166" s="17">
        <v>98.644736069966896</v>
      </c>
      <c r="AG166" s="17">
        <v>98.913930785177698</v>
      </c>
      <c r="AH166" s="17">
        <v>96.605268517669799</v>
      </c>
      <c r="AI166" s="17">
        <v>96.595124615602501</v>
      </c>
      <c r="AJ166" s="17">
        <v>96.879634429094097</v>
      </c>
      <c r="AK166" s="17">
        <v>92.897332789095302</v>
      </c>
      <c r="AL166" s="17">
        <v>94.085506529179895</v>
      </c>
      <c r="AM166" s="17">
        <v>94.292552868079298</v>
      </c>
      <c r="AN166" s="17">
        <v>91.148956572743302</v>
      </c>
      <c r="AO166" s="17"/>
      <c r="AP166" s="17"/>
      <c r="AQ166" s="17"/>
      <c r="AR166" s="17"/>
      <c r="AS166" s="17"/>
      <c r="AT166" s="17"/>
      <c r="AU166" s="17"/>
      <c r="AV166" s="17"/>
      <c r="AW166" s="17"/>
      <c r="AX166" s="17"/>
      <c r="AY166" s="17"/>
      <c r="AZ166" s="17"/>
      <c r="BA166" s="17"/>
      <c r="BB166" s="17"/>
      <c r="BC166" s="17"/>
      <c r="BD166" s="17"/>
      <c r="BE166" s="17"/>
      <c r="BF166" s="17"/>
      <c r="BG166" s="17"/>
      <c r="BH166" s="17"/>
      <c r="BI166" s="17"/>
      <c r="BJ166" s="17"/>
      <c r="BK166" s="17"/>
      <c r="BL166" s="17"/>
      <c r="BM166" s="17"/>
      <c r="BN166" s="17"/>
      <c r="BO166" s="17"/>
      <c r="BP166" s="17"/>
      <c r="BQ166" s="17"/>
      <c r="BR166" s="17"/>
      <c r="BS166" s="17"/>
      <c r="BT166" s="17"/>
      <c r="BU166" s="17"/>
      <c r="BV166" s="17"/>
      <c r="BW166" s="17"/>
      <c r="BX166" s="17"/>
      <c r="BY166" s="17"/>
      <c r="BZ166" s="17"/>
      <c r="CA166" s="17"/>
      <c r="CB166" s="17"/>
      <c r="CC166" s="17"/>
      <c r="CD166" s="17"/>
      <c r="CE166" s="17"/>
      <c r="CF166" s="17"/>
      <c r="CG166" s="17"/>
      <c r="CH166" s="17"/>
      <c r="CI166" s="17"/>
      <c r="CJ166" s="17"/>
      <c r="CK166" s="17"/>
      <c r="CL166" s="17"/>
      <c r="CM166" s="17"/>
      <c r="CN166" s="17"/>
      <c r="CO166" s="17"/>
      <c r="CP166" s="17"/>
      <c r="CQ166" s="17"/>
      <c r="CR166" s="17"/>
      <c r="CS166" s="17"/>
      <c r="CT166" s="17"/>
      <c r="CU166" s="17"/>
      <c r="CV166" s="17"/>
    </row>
    <row r="167" spans="2:100" x14ac:dyDescent="0.35">
      <c r="B167" s="9"/>
      <c r="C167" t="s">
        <v>230</v>
      </c>
      <c r="D167" t="s">
        <v>354</v>
      </c>
      <c r="E167" t="s">
        <v>124</v>
      </c>
      <c r="F167" s="17">
        <v>0</v>
      </c>
      <c r="G167" s="17">
        <v>1</v>
      </c>
      <c r="H167" s="17">
        <v>1</v>
      </c>
      <c r="I167" s="17">
        <v>1</v>
      </c>
      <c r="J167" s="17">
        <v>1</v>
      </c>
      <c r="K167" s="17">
        <v>1</v>
      </c>
      <c r="L167" s="17">
        <v>1</v>
      </c>
      <c r="M167" s="17">
        <v>1</v>
      </c>
      <c r="N167" s="17">
        <v>1</v>
      </c>
      <c r="O167" s="17">
        <v>1</v>
      </c>
      <c r="P167" s="17">
        <v>1</v>
      </c>
      <c r="Q167" s="17">
        <v>1</v>
      </c>
      <c r="R167" s="17">
        <v>1</v>
      </c>
      <c r="S167" s="17">
        <v>1</v>
      </c>
      <c r="T167" s="17">
        <v>1</v>
      </c>
      <c r="U167" s="17">
        <v>1</v>
      </c>
      <c r="V167" s="17">
        <v>1</v>
      </c>
      <c r="W167" s="17">
        <v>1</v>
      </c>
      <c r="X167" s="17">
        <v>1</v>
      </c>
      <c r="Y167" s="17">
        <v>1</v>
      </c>
      <c r="Z167" s="17">
        <v>1</v>
      </c>
      <c r="AA167" s="17">
        <v>1</v>
      </c>
      <c r="AB167" s="17">
        <v>1</v>
      </c>
      <c r="AC167" s="17">
        <v>1</v>
      </c>
      <c r="AD167" s="17">
        <v>1</v>
      </c>
      <c r="AE167" s="17">
        <v>1</v>
      </c>
      <c r="AF167" s="17">
        <v>1</v>
      </c>
      <c r="AG167" s="17">
        <v>1</v>
      </c>
      <c r="AH167" s="17">
        <v>1</v>
      </c>
      <c r="AI167" s="17">
        <v>1</v>
      </c>
      <c r="AJ167" s="17">
        <v>1</v>
      </c>
      <c r="AK167" s="17">
        <v>1</v>
      </c>
      <c r="AL167" s="17">
        <v>1</v>
      </c>
      <c r="AM167" s="17">
        <v>1</v>
      </c>
      <c r="AN167" s="17">
        <v>1</v>
      </c>
      <c r="AO167" s="17"/>
      <c r="AP167" s="17"/>
      <c r="AQ167" s="17"/>
      <c r="AR167" s="17"/>
      <c r="AS167" s="17"/>
      <c r="AT167" s="17"/>
      <c r="AU167" s="17"/>
      <c r="AV167" s="17"/>
      <c r="AW167" s="17"/>
      <c r="AX167" s="17"/>
      <c r="AY167" s="17"/>
      <c r="AZ167" s="17"/>
      <c r="BA167" s="17"/>
      <c r="BB167" s="17"/>
      <c r="BC167" s="17"/>
      <c r="BD167" s="17"/>
      <c r="BE167" s="17"/>
      <c r="BF167" s="17"/>
      <c r="BG167" s="17"/>
      <c r="BH167" s="17"/>
      <c r="BI167" s="17"/>
      <c r="BJ167" s="17"/>
      <c r="BK167" s="17"/>
      <c r="BL167" s="17"/>
      <c r="BM167" s="17"/>
      <c r="BN167" s="17"/>
      <c r="BO167" s="17"/>
      <c r="BP167" s="17"/>
      <c r="BQ167" s="17"/>
      <c r="BR167" s="17"/>
      <c r="BS167" s="17"/>
      <c r="BT167" s="17"/>
      <c r="BU167" s="17"/>
      <c r="BV167" s="17"/>
      <c r="BW167" s="17"/>
      <c r="BX167" s="17"/>
      <c r="BY167" s="17"/>
      <c r="BZ167" s="17"/>
      <c r="CA167" s="17"/>
      <c r="CB167" s="17"/>
      <c r="CC167" s="17"/>
      <c r="CD167" s="17"/>
      <c r="CE167" s="17"/>
      <c r="CF167" s="17"/>
      <c r="CG167" s="17"/>
      <c r="CH167" s="17"/>
      <c r="CI167" s="17"/>
      <c r="CJ167" s="17"/>
      <c r="CK167" s="17"/>
      <c r="CL167" s="17"/>
      <c r="CM167" s="17"/>
      <c r="CN167" s="17"/>
      <c r="CO167" s="17"/>
      <c r="CP167" s="17"/>
      <c r="CQ167" s="17"/>
      <c r="CR167" s="17"/>
      <c r="CS167" s="17"/>
      <c r="CT167" s="17"/>
      <c r="CU167" s="17"/>
      <c r="CV167" s="17"/>
    </row>
    <row r="168" spans="2:100" x14ac:dyDescent="0.35">
      <c r="B168" s="9"/>
      <c r="C168" t="s">
        <v>338</v>
      </c>
      <c r="D168" t="s">
        <v>353</v>
      </c>
      <c r="E168" t="s">
        <v>221</v>
      </c>
      <c r="F168" s="17">
        <v>0</v>
      </c>
      <c r="G168" s="17">
        <v>0</v>
      </c>
      <c r="H168" s="17">
        <v>0</v>
      </c>
      <c r="I168" s="17">
        <v>0</v>
      </c>
      <c r="J168" s="17">
        <v>0</v>
      </c>
      <c r="K168" s="17">
        <v>0</v>
      </c>
      <c r="L168" s="17">
        <v>0</v>
      </c>
      <c r="M168" s="17">
        <v>0</v>
      </c>
      <c r="N168" s="17">
        <v>0</v>
      </c>
      <c r="O168" s="17">
        <v>0</v>
      </c>
      <c r="P168" s="17">
        <v>0</v>
      </c>
      <c r="Q168" s="17">
        <v>0</v>
      </c>
      <c r="R168" s="17">
        <v>0</v>
      </c>
      <c r="S168" s="17">
        <v>0</v>
      </c>
      <c r="T168" s="17">
        <v>0</v>
      </c>
      <c r="U168" s="17">
        <v>0</v>
      </c>
      <c r="V168" s="17">
        <v>0</v>
      </c>
      <c r="W168" s="17">
        <v>0</v>
      </c>
      <c r="X168" s="17">
        <v>0</v>
      </c>
      <c r="Y168" s="17">
        <v>0</v>
      </c>
      <c r="Z168" s="17">
        <v>0</v>
      </c>
      <c r="AA168" s="17">
        <v>0</v>
      </c>
      <c r="AB168" s="17">
        <v>0</v>
      </c>
      <c r="AC168" s="17">
        <v>0</v>
      </c>
      <c r="AD168" s="17">
        <v>0</v>
      </c>
      <c r="AE168" s="17">
        <v>0</v>
      </c>
      <c r="AF168" s="17">
        <v>0</v>
      </c>
      <c r="AG168" s="17">
        <v>0</v>
      </c>
      <c r="AH168" s="17">
        <v>0</v>
      </c>
      <c r="AI168" s="17">
        <v>0</v>
      </c>
      <c r="AJ168" s="17">
        <v>0</v>
      </c>
      <c r="AK168" s="17">
        <v>0</v>
      </c>
      <c r="AL168" s="17">
        <v>0</v>
      </c>
      <c r="AM168" s="17">
        <v>0</v>
      </c>
      <c r="AN168" s="17">
        <v>0</v>
      </c>
      <c r="AO168" s="17"/>
      <c r="AP168" s="17"/>
      <c r="AQ168" s="17"/>
      <c r="AR168" s="17"/>
      <c r="AS168" s="17"/>
      <c r="AT168" s="17"/>
      <c r="AU168" s="17"/>
      <c r="AV168" s="17"/>
      <c r="AW168" s="17"/>
      <c r="AX168" s="17"/>
      <c r="AY168" s="17"/>
      <c r="AZ168" s="17"/>
      <c r="BA168" s="17"/>
      <c r="BB168" s="17"/>
      <c r="BC168" s="17"/>
      <c r="BD168" s="17"/>
      <c r="BE168" s="17"/>
      <c r="BF168" s="17"/>
      <c r="BG168" s="17"/>
      <c r="BH168" s="17"/>
      <c r="BI168" s="17"/>
      <c r="BJ168" s="17"/>
      <c r="BK168" s="17"/>
      <c r="BL168" s="17"/>
      <c r="BM168" s="17"/>
      <c r="BN168" s="17"/>
      <c r="BO168" s="17"/>
      <c r="BP168" s="17"/>
      <c r="BQ168" s="17"/>
      <c r="BR168" s="17"/>
      <c r="BS168" s="17"/>
      <c r="BT168" s="17"/>
      <c r="BU168" s="17"/>
      <c r="BV168" s="17"/>
      <c r="BW168" s="17"/>
      <c r="BX168" s="17"/>
      <c r="BY168" s="17"/>
      <c r="BZ168" s="17"/>
      <c r="CA168" s="17"/>
      <c r="CB168" s="17"/>
      <c r="CC168" s="17"/>
      <c r="CD168" s="17"/>
      <c r="CE168" s="17"/>
      <c r="CF168" s="17"/>
      <c r="CG168" s="17"/>
      <c r="CH168" s="17"/>
      <c r="CI168" s="17"/>
      <c r="CJ168" s="17"/>
      <c r="CK168" s="17"/>
      <c r="CL168" s="17"/>
      <c r="CM168" s="17"/>
      <c r="CN168" s="17"/>
      <c r="CO168" s="17"/>
      <c r="CP168" s="17"/>
      <c r="CQ168" s="17"/>
      <c r="CR168" s="17"/>
      <c r="CS168" s="17"/>
      <c r="CT168" s="17"/>
      <c r="CU168" s="17"/>
      <c r="CV168" s="17"/>
    </row>
    <row r="169" spans="2:100" x14ac:dyDescent="0.35">
      <c r="B169" s="9"/>
      <c r="C169" t="s">
        <v>230</v>
      </c>
      <c r="D169" t="s">
        <v>358</v>
      </c>
      <c r="E169" t="s">
        <v>221</v>
      </c>
      <c r="F169" s="17">
        <v>0</v>
      </c>
      <c r="G169" s="17">
        <v>9.4013100000000005</v>
      </c>
      <c r="H169" s="17">
        <v>12.609030000000001</v>
      </c>
      <c r="I169" s="17">
        <v>11.93017</v>
      </c>
      <c r="J169" s="17">
        <v>16.228210000000001</v>
      </c>
      <c r="K169" s="17">
        <v>14.057449999999999</v>
      </c>
      <c r="L169" s="17">
        <v>15.089370000000001</v>
      </c>
      <c r="M169" s="17">
        <v>16.89706</v>
      </c>
      <c r="N169" s="17">
        <v>18.771840000000001</v>
      </c>
      <c r="O169" s="17">
        <v>19.53284</v>
      </c>
      <c r="P169" s="17">
        <v>19.192139999999998</v>
      </c>
      <c r="Q169" s="17">
        <v>19.996870000000001</v>
      </c>
      <c r="R169" s="17">
        <v>16.390650000000001</v>
      </c>
      <c r="S169" s="17">
        <v>17.774920000000002</v>
      </c>
      <c r="T169" s="17">
        <v>19.611979999999999</v>
      </c>
      <c r="U169" s="17">
        <v>19.46912</v>
      </c>
      <c r="V169" s="17">
        <v>15.98508</v>
      </c>
      <c r="W169" s="17">
        <v>13.901350000000001</v>
      </c>
      <c r="X169" s="17">
        <v>12.51708</v>
      </c>
      <c r="Y169" s="17">
        <v>12.20252</v>
      </c>
      <c r="Z169" s="17">
        <v>14.15978</v>
      </c>
      <c r="AA169" s="17">
        <v>12.330550000000001</v>
      </c>
      <c r="AB169" s="17">
        <v>11.30697</v>
      </c>
      <c r="AC169" s="17">
        <v>15.23657</v>
      </c>
      <c r="AD169" s="17">
        <v>13.50543</v>
      </c>
      <c r="AE169" s="17">
        <v>14.5307</v>
      </c>
      <c r="AF169" s="17">
        <v>14.89903</v>
      </c>
      <c r="AG169" s="17">
        <v>15.066229999999999</v>
      </c>
      <c r="AH169" s="17">
        <v>13.962199999999999</v>
      </c>
      <c r="AI169" s="17">
        <v>12.67972</v>
      </c>
      <c r="AJ169" s="17">
        <v>14.901300000000001</v>
      </c>
      <c r="AK169" s="17">
        <v>15.944839999999999</v>
      </c>
      <c r="AL169" s="17">
        <v>15.52014</v>
      </c>
      <c r="AM169" s="17">
        <v>16.089559999999999</v>
      </c>
      <c r="AN169" s="17">
        <v>16.378240000000002</v>
      </c>
      <c r="AO169" s="17"/>
      <c r="AP169" s="17"/>
      <c r="AQ169" s="17"/>
      <c r="AR169" s="17"/>
      <c r="AS169" s="17"/>
      <c r="AT169" s="17"/>
      <c r="AU169" s="17"/>
      <c r="AV169" s="17"/>
      <c r="AW169" s="17"/>
      <c r="AX169" s="17"/>
      <c r="AY169" s="17"/>
      <c r="AZ169" s="17"/>
      <c r="BA169" s="17"/>
      <c r="BB169" s="17"/>
      <c r="BC169" s="17"/>
      <c r="BD169" s="17"/>
      <c r="BE169" s="17"/>
      <c r="BF169" s="17"/>
      <c r="BG169" s="17"/>
      <c r="BH169" s="17"/>
      <c r="BI169" s="17"/>
      <c r="BJ169" s="17"/>
      <c r="BK169" s="17"/>
      <c r="BL169" s="17"/>
      <c r="BM169" s="17"/>
      <c r="BN169" s="17"/>
      <c r="BO169" s="17"/>
      <c r="BP169" s="17"/>
      <c r="BQ169" s="17"/>
      <c r="BR169" s="17"/>
      <c r="BS169" s="17"/>
      <c r="BT169" s="17"/>
      <c r="BU169" s="17"/>
      <c r="BV169" s="17"/>
      <c r="BW169" s="17"/>
      <c r="BX169" s="17"/>
      <c r="BY169" s="17"/>
      <c r="BZ169" s="17"/>
      <c r="CA169" s="17"/>
      <c r="CB169" s="17"/>
      <c r="CC169" s="17"/>
      <c r="CD169" s="17"/>
      <c r="CE169" s="17"/>
      <c r="CF169" s="17"/>
      <c r="CG169" s="17"/>
      <c r="CH169" s="17"/>
      <c r="CI169" s="17"/>
      <c r="CJ169" s="17"/>
      <c r="CK169" s="17"/>
      <c r="CL169" s="17"/>
      <c r="CM169" s="17"/>
      <c r="CN169" s="17"/>
      <c r="CO169" s="17"/>
      <c r="CP169" s="17"/>
      <c r="CQ169" s="17"/>
      <c r="CR169" s="17"/>
      <c r="CS169" s="17"/>
      <c r="CT169" s="17"/>
      <c r="CU169" s="17"/>
      <c r="CV169" s="17"/>
    </row>
    <row r="170" spans="2:100" x14ac:dyDescent="0.35">
      <c r="B170" s="9"/>
      <c r="C170" t="s">
        <v>230</v>
      </c>
      <c r="D170" t="s">
        <v>359</v>
      </c>
      <c r="E170" t="s">
        <v>221</v>
      </c>
      <c r="F170" s="17">
        <v>0</v>
      </c>
      <c r="G170" s="17">
        <v>834.79295000000002</v>
      </c>
      <c r="H170" s="17">
        <v>805.21311000000003</v>
      </c>
      <c r="I170" s="17">
        <v>812.99283000000003</v>
      </c>
      <c r="J170" s="17">
        <v>812.92028000000005</v>
      </c>
      <c r="K170" s="17">
        <v>832.6662</v>
      </c>
      <c r="L170" s="17">
        <v>856.14585</v>
      </c>
      <c r="M170" s="17">
        <v>847.60591999999997</v>
      </c>
      <c r="N170" s="17">
        <v>844.93987000000004</v>
      </c>
      <c r="O170" s="17">
        <v>848.92096000000004</v>
      </c>
      <c r="P170" s="17">
        <v>870.76986999999997</v>
      </c>
      <c r="Q170" s="17">
        <v>911.39805000000001</v>
      </c>
      <c r="R170" s="17">
        <v>903.09946000000002</v>
      </c>
      <c r="S170" s="17">
        <v>931.23907999999994</v>
      </c>
      <c r="T170" s="17">
        <v>930.11680000000001</v>
      </c>
      <c r="U170" s="17">
        <v>949.73778000000004</v>
      </c>
      <c r="V170" s="17">
        <v>974.36195999999995</v>
      </c>
      <c r="W170" s="17">
        <v>977.57776000000001</v>
      </c>
      <c r="X170" s="17">
        <v>1002.78518</v>
      </c>
      <c r="Y170" s="17">
        <v>1026.00351</v>
      </c>
      <c r="Z170" s="17">
        <v>1037.1922999999999</v>
      </c>
      <c r="AA170" s="17">
        <v>1072.1496099999999</v>
      </c>
      <c r="AB170" s="17">
        <v>1104.14759</v>
      </c>
      <c r="AC170" s="17">
        <v>783.15453000000002</v>
      </c>
      <c r="AD170" s="17">
        <v>829.87581</v>
      </c>
      <c r="AE170" s="17">
        <v>859.59335999999996</v>
      </c>
      <c r="AF170" s="17">
        <v>890.45893999999998</v>
      </c>
      <c r="AG170" s="17">
        <v>893.59601999999995</v>
      </c>
      <c r="AH170" s="17">
        <v>906.60607000000005</v>
      </c>
      <c r="AI170" s="17">
        <v>929.47492</v>
      </c>
      <c r="AJ170" s="17">
        <v>949.05092999999999</v>
      </c>
      <c r="AK170" s="17">
        <v>952.96483999999998</v>
      </c>
      <c r="AL170" s="17">
        <v>951.0607</v>
      </c>
      <c r="AM170" s="17">
        <v>961.44592999999998</v>
      </c>
      <c r="AN170" s="17">
        <v>975.59558000000004</v>
      </c>
      <c r="AO170" s="17"/>
      <c r="AP170" s="17"/>
      <c r="AQ170" s="17"/>
      <c r="AR170" s="17"/>
      <c r="AS170" s="17"/>
      <c r="AT170" s="17"/>
      <c r="AU170" s="17"/>
      <c r="AV170" s="17"/>
      <c r="AW170" s="17"/>
      <c r="AX170" s="17"/>
      <c r="AY170" s="17"/>
      <c r="AZ170" s="17"/>
      <c r="BA170" s="17"/>
      <c r="BB170" s="17"/>
      <c r="BC170" s="17"/>
      <c r="BD170" s="17"/>
      <c r="BE170" s="17"/>
      <c r="BF170" s="17"/>
      <c r="BG170" s="17"/>
      <c r="BH170" s="17"/>
      <c r="BI170" s="17"/>
      <c r="BJ170" s="17"/>
      <c r="BK170" s="17"/>
      <c r="BL170" s="17"/>
      <c r="BM170" s="17"/>
      <c r="BN170" s="17"/>
      <c r="BO170" s="17"/>
      <c r="BP170" s="17"/>
      <c r="BQ170" s="17"/>
      <c r="BR170" s="17"/>
      <c r="BS170" s="17"/>
      <c r="BT170" s="17"/>
      <c r="BU170" s="17"/>
      <c r="BV170" s="17"/>
      <c r="BW170" s="17"/>
      <c r="BX170" s="17"/>
      <c r="BY170" s="17"/>
      <c r="BZ170" s="17"/>
      <c r="CA170" s="17"/>
      <c r="CB170" s="17"/>
      <c r="CC170" s="17"/>
      <c r="CD170" s="17"/>
      <c r="CE170" s="17"/>
      <c r="CF170" s="17"/>
      <c r="CG170" s="17"/>
      <c r="CH170" s="17"/>
      <c r="CI170" s="17"/>
      <c r="CJ170" s="17"/>
      <c r="CK170" s="17"/>
      <c r="CL170" s="17"/>
      <c r="CM170" s="17"/>
      <c r="CN170" s="17"/>
      <c r="CO170" s="17"/>
      <c r="CP170" s="17"/>
      <c r="CQ170" s="17"/>
      <c r="CR170" s="17"/>
      <c r="CS170" s="17"/>
      <c r="CT170" s="17"/>
      <c r="CU170" s="17"/>
      <c r="CV170" s="17"/>
    </row>
    <row r="171" spans="2:100" x14ac:dyDescent="0.35">
      <c r="B171" s="9"/>
      <c r="C171" t="s">
        <v>230</v>
      </c>
      <c r="D171" t="s">
        <v>360</v>
      </c>
      <c r="E171" t="s">
        <v>221</v>
      </c>
      <c r="F171" s="17">
        <v>0</v>
      </c>
      <c r="G171" s="17">
        <v>992.69295999999997</v>
      </c>
      <c r="H171" s="17">
        <v>1020.71599</v>
      </c>
      <c r="I171" s="17">
        <v>1012.63813</v>
      </c>
      <c r="J171" s="17">
        <v>1008.4149</v>
      </c>
      <c r="K171" s="17">
        <v>990.22906</v>
      </c>
      <c r="L171" s="17">
        <v>965.72765000000004</v>
      </c>
      <c r="M171" s="17">
        <v>971.98779999999999</v>
      </c>
      <c r="N171" s="17">
        <v>972.86153999999999</v>
      </c>
      <c r="O171" s="17">
        <v>967.99640999999997</v>
      </c>
      <c r="P171" s="17">
        <v>946.54845999999998</v>
      </c>
      <c r="Q171" s="17">
        <v>903.12287000000003</v>
      </c>
      <c r="R171" s="17">
        <v>915.28429000000006</v>
      </c>
      <c r="S171" s="17">
        <v>884.89008000000001</v>
      </c>
      <c r="T171" s="17">
        <v>884.94627000000003</v>
      </c>
      <c r="U171" s="17">
        <v>864.12540999999999</v>
      </c>
      <c r="V171" s="17">
        <v>842.22331999999994</v>
      </c>
      <c r="W171" s="17">
        <v>840.99189999999999</v>
      </c>
      <c r="X171" s="17">
        <v>817.12540000000001</v>
      </c>
      <c r="Y171" s="17">
        <v>792.76727000000005</v>
      </c>
      <c r="Z171" s="17">
        <v>779.27491999999995</v>
      </c>
      <c r="AA171" s="17">
        <v>745.06587999999999</v>
      </c>
      <c r="AB171" s="17">
        <v>713.83808999999997</v>
      </c>
      <c r="AC171" s="17">
        <v>1040.09275</v>
      </c>
      <c r="AD171" s="17">
        <v>993.65772000000004</v>
      </c>
      <c r="AE171" s="17">
        <v>961.99608999999998</v>
      </c>
      <c r="AF171" s="17">
        <v>930.54359999999997</v>
      </c>
      <c r="AG171" s="17">
        <v>926.40611000000001</v>
      </c>
      <c r="AH171" s="17">
        <v>914.09784000000002</v>
      </c>
      <c r="AI171" s="17">
        <v>891.80399</v>
      </c>
      <c r="AJ171" s="17">
        <v>870.13693000000001</v>
      </c>
      <c r="AK171" s="17">
        <v>864.32259999999997</v>
      </c>
      <c r="AL171" s="17">
        <v>866.71025999999995</v>
      </c>
      <c r="AM171" s="17">
        <v>855.43430000000001</v>
      </c>
      <c r="AN171" s="17">
        <v>841.29448000000002</v>
      </c>
      <c r="AO171" s="17"/>
      <c r="AP171" s="17"/>
      <c r="AQ171" s="17"/>
      <c r="AR171" s="17"/>
      <c r="AS171" s="17"/>
      <c r="AT171" s="17"/>
      <c r="AU171" s="17"/>
      <c r="AV171" s="17"/>
      <c r="AW171" s="17"/>
      <c r="AX171" s="17"/>
      <c r="AY171" s="17"/>
      <c r="AZ171" s="17"/>
      <c r="BA171" s="17"/>
      <c r="BB171" s="17"/>
      <c r="BC171" s="17"/>
      <c r="BD171" s="17"/>
      <c r="BE171" s="17"/>
      <c r="BF171" s="17"/>
      <c r="BG171" s="17"/>
      <c r="BH171" s="17"/>
      <c r="BI171" s="17"/>
      <c r="BJ171" s="17"/>
      <c r="BK171" s="17"/>
      <c r="BL171" s="17"/>
      <c r="BM171" s="17"/>
      <c r="BN171" s="17"/>
      <c r="BO171" s="17"/>
      <c r="BP171" s="17"/>
      <c r="BQ171" s="17"/>
      <c r="BR171" s="17"/>
      <c r="BS171" s="17"/>
      <c r="BT171" s="17"/>
      <c r="BU171" s="17"/>
      <c r="BV171" s="17"/>
      <c r="BW171" s="17"/>
      <c r="BX171" s="17"/>
      <c r="BY171" s="17"/>
      <c r="BZ171" s="17"/>
      <c r="CA171" s="17"/>
      <c r="CB171" s="17"/>
      <c r="CC171" s="17"/>
      <c r="CD171" s="17"/>
      <c r="CE171" s="17"/>
      <c r="CF171" s="17"/>
      <c r="CG171" s="17"/>
      <c r="CH171" s="17"/>
      <c r="CI171" s="17"/>
      <c r="CJ171" s="17"/>
      <c r="CK171" s="17"/>
      <c r="CL171" s="17"/>
      <c r="CM171" s="17"/>
      <c r="CN171" s="17"/>
      <c r="CO171" s="17"/>
      <c r="CP171" s="17"/>
      <c r="CQ171" s="17"/>
      <c r="CR171" s="17"/>
      <c r="CS171" s="17"/>
      <c r="CT171" s="17"/>
      <c r="CU171" s="17"/>
      <c r="CV171" s="17"/>
    </row>
    <row r="172" spans="2:100" x14ac:dyDescent="0.35">
      <c r="B172" s="9"/>
      <c r="C172" t="s">
        <v>230</v>
      </c>
      <c r="D172" t="s">
        <v>361</v>
      </c>
      <c r="E172" t="s">
        <v>221</v>
      </c>
      <c r="F172" s="17">
        <v>0</v>
      </c>
      <c r="G172" s="17">
        <v>1862.7052100000001</v>
      </c>
      <c r="H172" s="17">
        <v>1863.4413999999999</v>
      </c>
      <c r="I172" s="17">
        <v>1862.7052100000001</v>
      </c>
      <c r="J172" s="17">
        <v>1862.7052100000001</v>
      </c>
      <c r="K172" s="17">
        <v>1862.7052100000001</v>
      </c>
      <c r="L172" s="17">
        <v>1863.4413999999999</v>
      </c>
      <c r="M172" s="17">
        <v>1862.7052100000001</v>
      </c>
      <c r="N172" s="17">
        <v>1862.7052100000001</v>
      </c>
      <c r="O172" s="17">
        <v>1862.7052100000001</v>
      </c>
      <c r="P172" s="17">
        <v>1863.4413999999999</v>
      </c>
      <c r="Q172" s="17">
        <v>1862.7052100000001</v>
      </c>
      <c r="R172" s="17">
        <v>1862.7052100000001</v>
      </c>
      <c r="S172" s="17">
        <v>1862.7052100000001</v>
      </c>
      <c r="T172" s="17">
        <v>1863.4413999999999</v>
      </c>
      <c r="U172" s="17">
        <v>1862.7052100000001</v>
      </c>
      <c r="V172" s="17">
        <v>1862.7052100000001</v>
      </c>
      <c r="W172" s="17">
        <v>1862.7052100000001</v>
      </c>
      <c r="X172" s="17">
        <v>1863.4413999999999</v>
      </c>
      <c r="Y172" s="17">
        <v>1862.7052100000001</v>
      </c>
      <c r="Z172" s="17">
        <v>1862.7052100000001</v>
      </c>
      <c r="AA172" s="17">
        <v>1862.7052100000001</v>
      </c>
      <c r="AB172" s="17">
        <v>1863.4413999999999</v>
      </c>
      <c r="AC172" s="17">
        <v>1862.7052100000001</v>
      </c>
      <c r="AD172" s="17">
        <v>1862.7052100000001</v>
      </c>
      <c r="AE172" s="17">
        <v>1862.7052100000001</v>
      </c>
      <c r="AF172" s="17">
        <v>1863.4413999999999</v>
      </c>
      <c r="AG172" s="17">
        <v>1862.7052100000001</v>
      </c>
      <c r="AH172" s="17">
        <v>1862.7052100000001</v>
      </c>
      <c r="AI172" s="17">
        <v>1862.7052100000001</v>
      </c>
      <c r="AJ172" s="17">
        <v>1863.4413999999999</v>
      </c>
      <c r="AK172" s="17">
        <v>1862.7052100000001</v>
      </c>
      <c r="AL172" s="17">
        <v>1862.7052100000001</v>
      </c>
      <c r="AM172" s="17">
        <v>1862.7052100000001</v>
      </c>
      <c r="AN172" s="17">
        <v>1863.4413999999999</v>
      </c>
      <c r="AO172" s="17"/>
      <c r="AP172" s="17"/>
      <c r="AQ172" s="17"/>
      <c r="AR172" s="17"/>
      <c r="AS172" s="17"/>
      <c r="AT172" s="17"/>
      <c r="AU172" s="17"/>
      <c r="AV172" s="17"/>
      <c r="AW172" s="17"/>
      <c r="AX172" s="17"/>
      <c r="AY172" s="17"/>
      <c r="AZ172" s="17"/>
      <c r="BA172" s="17"/>
      <c r="BB172" s="17"/>
      <c r="BC172" s="17"/>
      <c r="BD172" s="17"/>
      <c r="BE172" s="17"/>
      <c r="BF172" s="17"/>
      <c r="BG172" s="17"/>
      <c r="BH172" s="17"/>
      <c r="BI172" s="17"/>
      <c r="BJ172" s="17"/>
      <c r="BK172" s="17"/>
      <c r="BL172" s="17"/>
      <c r="BM172" s="17"/>
      <c r="BN172" s="17"/>
      <c r="BO172" s="17"/>
      <c r="BP172" s="17"/>
      <c r="BQ172" s="17"/>
      <c r="BR172" s="17"/>
      <c r="BS172" s="17"/>
      <c r="BT172" s="17"/>
      <c r="BU172" s="17"/>
      <c r="BV172" s="17"/>
      <c r="BW172" s="17"/>
      <c r="BX172" s="17"/>
      <c r="BY172" s="17"/>
      <c r="BZ172" s="17"/>
      <c r="CA172" s="17"/>
      <c r="CB172" s="17"/>
      <c r="CC172" s="17"/>
      <c r="CD172" s="17"/>
      <c r="CE172" s="17"/>
      <c r="CF172" s="17"/>
      <c r="CG172" s="17"/>
      <c r="CH172" s="17"/>
      <c r="CI172" s="17"/>
      <c r="CJ172" s="17"/>
      <c r="CK172" s="17"/>
      <c r="CL172" s="17"/>
      <c r="CM172" s="17"/>
      <c r="CN172" s="17"/>
      <c r="CO172" s="17"/>
      <c r="CP172" s="17"/>
      <c r="CQ172" s="17"/>
      <c r="CR172" s="17"/>
      <c r="CS172" s="17"/>
      <c r="CT172" s="17"/>
      <c r="CU172" s="17"/>
      <c r="CV172" s="17"/>
    </row>
    <row r="173" spans="2:100" x14ac:dyDescent="0.35">
      <c r="B173" s="9"/>
      <c r="C173" t="s">
        <v>339</v>
      </c>
      <c r="D173" t="s">
        <v>222</v>
      </c>
      <c r="E173" t="s">
        <v>223</v>
      </c>
      <c r="F173" s="17">
        <v>0</v>
      </c>
      <c r="G173" s="17">
        <v>88.112712221427103</v>
      </c>
      <c r="H173" s="17">
        <v>77.120054929166898</v>
      </c>
      <c r="I173" s="17">
        <v>72.420221085677895</v>
      </c>
      <c r="J173" s="17">
        <v>66.048032833605802</v>
      </c>
      <c r="K173" s="17">
        <v>67.609138619002096</v>
      </c>
      <c r="L173" s="17">
        <v>64.556335992941698</v>
      </c>
      <c r="M173" s="17">
        <v>62.9671803856601</v>
      </c>
      <c r="N173" s="17">
        <v>58.8920792790665</v>
      </c>
      <c r="O173" s="17">
        <v>57.665137237672397</v>
      </c>
      <c r="P173" s="17">
        <v>58.229873651630101</v>
      </c>
      <c r="Q173" s="17">
        <v>62.455576706938402</v>
      </c>
      <c r="R173" s="17">
        <v>61.536817066146398</v>
      </c>
      <c r="S173" s="17">
        <v>62.0443360222026</v>
      </c>
      <c r="T173" s="17">
        <v>59.4191129715405</v>
      </c>
      <c r="U173" s="17">
        <v>58.247863146336499</v>
      </c>
      <c r="V173" s="17">
        <v>60.0305155137521</v>
      </c>
      <c r="W173" s="17">
        <v>59.755219831695499</v>
      </c>
      <c r="X173" s="17">
        <v>60.209856777180597</v>
      </c>
      <c r="Y173" s="17">
        <v>63.261969910412397</v>
      </c>
      <c r="Z173" s="17">
        <v>63.785274073495998</v>
      </c>
      <c r="AA173" s="17">
        <v>65.595986709658007</v>
      </c>
      <c r="AB173" s="17">
        <v>64.815345018641096</v>
      </c>
      <c r="AC173" s="17">
        <v>54.2172343271789</v>
      </c>
      <c r="AD173" s="17">
        <v>55.423230412193199</v>
      </c>
      <c r="AE173" s="17">
        <v>56.317920485155</v>
      </c>
      <c r="AF173" s="17">
        <v>56.690737614995399</v>
      </c>
      <c r="AG173" s="17">
        <v>55.897402987818097</v>
      </c>
      <c r="AH173" s="17">
        <v>55.452784582067899</v>
      </c>
      <c r="AI173" s="17">
        <v>55.881419290430898</v>
      </c>
      <c r="AJ173" s="17">
        <v>55.124084546388303</v>
      </c>
      <c r="AK173" s="17">
        <v>55.249227494754898</v>
      </c>
      <c r="AL173" s="17">
        <v>53.995750426325799</v>
      </c>
      <c r="AM173" s="17">
        <v>54.357932651630101</v>
      </c>
      <c r="AN173" s="17">
        <v>54.265039163285898</v>
      </c>
      <c r="AO173" s="17"/>
      <c r="AP173" s="17"/>
      <c r="AQ173" s="17"/>
      <c r="AR173" s="17"/>
      <c r="AS173" s="17"/>
      <c r="AT173" s="17"/>
      <c r="AU173" s="17"/>
      <c r="AV173" s="17"/>
      <c r="AW173" s="17"/>
      <c r="AX173" s="17"/>
      <c r="AY173" s="17"/>
      <c r="AZ173" s="17"/>
      <c r="BA173" s="17"/>
      <c r="BB173" s="17"/>
      <c r="BC173" s="17"/>
      <c r="BD173" s="17"/>
      <c r="BE173" s="17"/>
      <c r="BF173" s="17"/>
      <c r="BG173" s="17"/>
      <c r="BH173" s="17"/>
      <c r="BI173" s="17"/>
      <c r="BJ173" s="17"/>
      <c r="BK173" s="17"/>
      <c r="BL173" s="17"/>
      <c r="BM173" s="17"/>
      <c r="BN173" s="17"/>
      <c r="BO173" s="17"/>
      <c r="BP173" s="17"/>
      <c r="BQ173" s="17"/>
      <c r="BR173" s="17"/>
      <c r="BS173" s="17"/>
      <c r="BT173" s="17"/>
      <c r="BU173" s="17"/>
      <c r="BV173" s="17"/>
      <c r="BW173" s="17"/>
      <c r="BX173" s="17"/>
      <c r="BY173" s="17"/>
      <c r="BZ173" s="17"/>
      <c r="CA173" s="17"/>
      <c r="CB173" s="17"/>
      <c r="CC173" s="17"/>
      <c r="CD173" s="17"/>
      <c r="CE173" s="17"/>
      <c r="CF173" s="17"/>
      <c r="CG173" s="17"/>
      <c r="CH173" s="17"/>
      <c r="CI173" s="17"/>
      <c r="CJ173" s="17"/>
      <c r="CK173" s="17"/>
      <c r="CL173" s="17"/>
      <c r="CM173" s="17"/>
      <c r="CN173" s="17"/>
      <c r="CO173" s="17"/>
      <c r="CP173" s="17"/>
      <c r="CQ173" s="17"/>
      <c r="CR173" s="17"/>
      <c r="CS173" s="17"/>
      <c r="CT173" s="17"/>
      <c r="CU173" s="17"/>
      <c r="CV173" s="17"/>
    </row>
    <row r="174" spans="2:100" x14ac:dyDescent="0.35">
      <c r="B174" s="9"/>
      <c r="C174" t="s">
        <v>230</v>
      </c>
      <c r="D174" t="s">
        <v>224</v>
      </c>
      <c r="E174" t="s">
        <v>223</v>
      </c>
      <c r="F174" s="17">
        <v>0</v>
      </c>
      <c r="G174" s="17">
        <v>1.5891138198374599</v>
      </c>
      <c r="H174" s="17">
        <v>1.29608981460046</v>
      </c>
      <c r="I174" s="17">
        <v>1.2174876321553401</v>
      </c>
      <c r="J174" s="17">
        <v>1.03245282946156</v>
      </c>
      <c r="K174" s="17">
        <v>1.3527640357281601</v>
      </c>
      <c r="L174" s="17">
        <v>1.44390245141811</v>
      </c>
      <c r="M174" s="17">
        <v>1.4880508861620101</v>
      </c>
      <c r="N174" s="17">
        <v>1.18884233919089</v>
      </c>
      <c r="O174" s="17">
        <v>1.28040907618338</v>
      </c>
      <c r="P174" s="17">
        <v>1.1740809245451</v>
      </c>
      <c r="Q174" s="17">
        <v>1.6948987347018001</v>
      </c>
      <c r="R174" s="17">
        <v>1.48655698503367</v>
      </c>
      <c r="S174" s="17">
        <v>1.37529791498575</v>
      </c>
      <c r="T174" s="17">
        <v>1.27200979990934</v>
      </c>
      <c r="U174" s="17">
        <v>1.1306846637958901</v>
      </c>
      <c r="V174" s="17">
        <v>1.0204389392686</v>
      </c>
      <c r="W174" s="17">
        <v>1.11207880428835</v>
      </c>
      <c r="X174" s="17">
        <v>0.96638688026128305</v>
      </c>
      <c r="Y174" s="17">
        <v>0.94084430502492999</v>
      </c>
      <c r="Z174" s="17">
        <v>0.91294073919413299</v>
      </c>
      <c r="AA174" s="17">
        <v>0.89896283912614094</v>
      </c>
      <c r="AB174" s="17">
        <v>0.596891852230784</v>
      </c>
      <c r="AC174" s="17">
        <v>1.2511996527229099</v>
      </c>
      <c r="AD174" s="17">
        <v>1.0823888252201599</v>
      </c>
      <c r="AE174" s="17">
        <v>0.911676669008612</v>
      </c>
      <c r="AF174" s="17">
        <v>0.80547387970277795</v>
      </c>
      <c r="AG174" s="17">
        <v>0.86839532373081596</v>
      </c>
      <c r="AH174" s="17">
        <v>0.94102190166256505</v>
      </c>
      <c r="AI174" s="17">
        <v>0.95117625059088196</v>
      </c>
      <c r="AJ174" s="17">
        <v>0.90887691025059802</v>
      </c>
      <c r="AK174" s="17">
        <v>0.85858572121673205</v>
      </c>
      <c r="AL174" s="17">
        <v>1.08468713464838</v>
      </c>
      <c r="AM174" s="17">
        <v>1.23969765872077</v>
      </c>
      <c r="AN174" s="17">
        <v>0.93926682900828795</v>
      </c>
      <c r="AO174" s="17"/>
      <c r="AP174" s="17"/>
      <c r="AQ174" s="17"/>
      <c r="AR174" s="17"/>
      <c r="AS174" s="17"/>
      <c r="AT174" s="17"/>
      <c r="AU174" s="17"/>
      <c r="AV174" s="17"/>
      <c r="AW174" s="17"/>
      <c r="AX174" s="17"/>
      <c r="AY174" s="17"/>
      <c r="AZ174" s="17"/>
      <c r="BA174" s="17"/>
      <c r="BB174" s="17"/>
      <c r="BC174" s="17"/>
      <c r="BD174" s="17"/>
      <c r="BE174" s="17"/>
      <c r="BF174" s="17"/>
      <c r="BG174" s="17"/>
      <c r="BH174" s="17"/>
      <c r="BI174" s="17"/>
      <c r="BJ174" s="17"/>
      <c r="BK174" s="17"/>
      <c r="BL174" s="17"/>
      <c r="BM174" s="17"/>
      <c r="BN174" s="17"/>
      <c r="BO174" s="17"/>
      <c r="BP174" s="17"/>
      <c r="BQ174" s="17"/>
      <c r="BR174" s="17"/>
      <c r="BS174" s="17"/>
      <c r="BT174" s="17"/>
      <c r="BU174" s="17"/>
      <c r="BV174" s="17"/>
      <c r="BW174" s="17"/>
      <c r="BX174" s="17"/>
      <c r="BY174" s="17"/>
      <c r="BZ174" s="17"/>
      <c r="CA174" s="17"/>
      <c r="CB174" s="17"/>
      <c r="CC174" s="17"/>
      <c r="CD174" s="17"/>
      <c r="CE174" s="17"/>
      <c r="CF174" s="17"/>
      <c r="CG174" s="17"/>
      <c r="CH174" s="17"/>
      <c r="CI174" s="17"/>
      <c r="CJ174" s="17"/>
      <c r="CK174" s="17"/>
      <c r="CL174" s="17"/>
      <c r="CM174" s="17"/>
      <c r="CN174" s="17"/>
      <c r="CO174" s="17"/>
      <c r="CP174" s="17"/>
      <c r="CQ174" s="17"/>
      <c r="CR174" s="17"/>
      <c r="CS174" s="17"/>
      <c r="CT174" s="17"/>
      <c r="CU174" s="17"/>
      <c r="CV174" s="17"/>
    </row>
    <row r="175" spans="2:100" x14ac:dyDescent="0.35">
      <c r="B175" s="9"/>
      <c r="C175" t="s">
        <v>230</v>
      </c>
      <c r="D175" t="s">
        <v>225</v>
      </c>
      <c r="E175" t="s">
        <v>223</v>
      </c>
      <c r="F175" s="17">
        <v>0</v>
      </c>
      <c r="G175" s="17">
        <v>36.284340713939898</v>
      </c>
      <c r="H175" s="17">
        <v>36.845149108147702</v>
      </c>
      <c r="I175" s="17">
        <v>36.451302447039097</v>
      </c>
      <c r="J175" s="17">
        <v>30.0276007231917</v>
      </c>
      <c r="K175" s="17">
        <v>31.327033533324101</v>
      </c>
      <c r="L175" s="17">
        <v>26.4885385032862</v>
      </c>
      <c r="M175" s="17">
        <v>29.502248975344799</v>
      </c>
      <c r="N175" s="17">
        <v>26.085362795271301</v>
      </c>
      <c r="O175" s="17">
        <v>25.745348809088199</v>
      </c>
      <c r="P175" s="17">
        <v>25.046526933715899</v>
      </c>
      <c r="Q175" s="17">
        <v>25.435066589417499</v>
      </c>
      <c r="R175" s="17">
        <v>26.9942501523829</v>
      </c>
      <c r="S175" s="17">
        <v>24.809759275165099</v>
      </c>
      <c r="T175" s="17">
        <v>24.0999995362866</v>
      </c>
      <c r="U175" s="17">
        <v>21.660761952672701</v>
      </c>
      <c r="V175" s="17">
        <v>20.374533974891499</v>
      </c>
      <c r="W175" s="17">
        <v>20.365904867674601</v>
      </c>
      <c r="X175" s="17">
        <v>18.4877472966554</v>
      </c>
      <c r="Y175" s="17">
        <v>18.536847543531</v>
      </c>
      <c r="Z175" s="17">
        <v>19.062993252816799</v>
      </c>
      <c r="AA175" s="17">
        <v>16.860105453312102</v>
      </c>
      <c r="AB175" s="17">
        <v>13.5025261033477</v>
      </c>
      <c r="AC175" s="17">
        <v>23.3675283215129</v>
      </c>
      <c r="AD175" s="17">
        <v>20.840202805632</v>
      </c>
      <c r="AE175" s="17">
        <v>19.569164563799099</v>
      </c>
      <c r="AF175" s="17">
        <v>17.541021408866399</v>
      </c>
      <c r="AG175" s="17">
        <v>18.111503596394801</v>
      </c>
      <c r="AH175" s="17">
        <v>17.4185319632033</v>
      </c>
      <c r="AI175" s="17">
        <v>16.410190489015999</v>
      </c>
      <c r="AJ175" s="17">
        <v>15.488443045967401</v>
      </c>
      <c r="AK175" s="17">
        <v>15.787348633968399</v>
      </c>
      <c r="AL175" s="17">
        <v>16.825129362559</v>
      </c>
      <c r="AM175" s="17">
        <v>17.6526774596338</v>
      </c>
      <c r="AN175" s="17">
        <v>17.112292678754098</v>
      </c>
      <c r="AO175" s="17"/>
      <c r="AP175" s="17"/>
      <c r="AQ175" s="17"/>
      <c r="AR175" s="17"/>
      <c r="AS175" s="17"/>
      <c r="AT175" s="17"/>
      <c r="AU175" s="17"/>
      <c r="AV175" s="17"/>
      <c r="AW175" s="17"/>
      <c r="AX175" s="17"/>
      <c r="AY175" s="17"/>
      <c r="AZ175" s="17"/>
      <c r="BA175" s="17"/>
      <c r="BB175" s="17"/>
      <c r="BC175" s="17"/>
      <c r="BD175" s="17"/>
      <c r="BE175" s="17"/>
      <c r="BF175" s="17"/>
      <c r="BG175" s="17"/>
      <c r="BH175" s="17"/>
      <c r="BI175" s="17"/>
      <c r="BJ175" s="17"/>
      <c r="BK175" s="17"/>
      <c r="BL175" s="17"/>
      <c r="BM175" s="17"/>
      <c r="BN175" s="17"/>
      <c r="BO175" s="17"/>
      <c r="BP175" s="17"/>
      <c r="BQ175" s="17"/>
      <c r="BR175" s="17"/>
      <c r="BS175" s="17"/>
      <c r="BT175" s="17"/>
      <c r="BU175" s="17"/>
      <c r="BV175" s="17"/>
      <c r="BW175" s="17"/>
      <c r="BX175" s="17"/>
      <c r="BY175" s="17"/>
      <c r="BZ175" s="17"/>
      <c r="CA175" s="17"/>
      <c r="CB175" s="17"/>
      <c r="CC175" s="17"/>
      <c r="CD175" s="17"/>
      <c r="CE175" s="17"/>
      <c r="CF175" s="17"/>
      <c r="CG175" s="17"/>
      <c r="CH175" s="17"/>
      <c r="CI175" s="17"/>
      <c r="CJ175" s="17"/>
      <c r="CK175" s="17"/>
      <c r="CL175" s="17"/>
      <c r="CM175" s="17"/>
      <c r="CN175" s="17"/>
      <c r="CO175" s="17"/>
      <c r="CP175" s="17"/>
      <c r="CQ175" s="17"/>
      <c r="CR175" s="17"/>
      <c r="CS175" s="17"/>
      <c r="CT175" s="17"/>
      <c r="CU175" s="17"/>
      <c r="CV175" s="17"/>
    </row>
    <row r="176" spans="2:100" x14ac:dyDescent="0.35">
      <c r="B176" s="9"/>
      <c r="C176" t="s">
        <v>230</v>
      </c>
      <c r="D176" t="s">
        <v>355</v>
      </c>
      <c r="E176" t="s">
        <v>223</v>
      </c>
      <c r="F176" s="17">
        <v>0</v>
      </c>
      <c r="G176" s="17">
        <v>125.98628167067599</v>
      </c>
      <c r="H176" s="17">
        <v>115.26131474563699</v>
      </c>
      <c r="I176" s="17">
        <v>110.088979824289</v>
      </c>
      <c r="J176" s="17">
        <v>97.108034151953902</v>
      </c>
      <c r="K176" s="17">
        <v>100.288936188054</v>
      </c>
      <c r="L176" s="17">
        <v>92.488829181951303</v>
      </c>
      <c r="M176" s="17">
        <v>93.957542928333197</v>
      </c>
      <c r="N176" s="17">
        <v>86.166326200972904</v>
      </c>
      <c r="O176" s="17">
        <v>84.690884676083002</v>
      </c>
      <c r="P176" s="17">
        <v>84.450439722447001</v>
      </c>
      <c r="Q176" s="17">
        <v>89.585542031057699</v>
      </c>
      <c r="R176" s="17">
        <v>90.017665991007206</v>
      </c>
      <c r="S176" s="17">
        <v>88.229351424909296</v>
      </c>
      <c r="T176" s="17">
        <v>84.791122307736501</v>
      </c>
      <c r="U176" s="17">
        <v>81.039341103388196</v>
      </c>
      <c r="V176" s="17">
        <v>81.425509321634394</v>
      </c>
      <c r="W176" s="17">
        <v>81.233109481909196</v>
      </c>
      <c r="X176" s="17">
        <v>79.664043188402502</v>
      </c>
      <c r="Y176" s="17">
        <v>82.739640865246301</v>
      </c>
      <c r="Z176" s="17">
        <v>83.761208065507006</v>
      </c>
      <c r="AA176" s="17">
        <v>83.355117683262606</v>
      </c>
      <c r="AB176" s="17">
        <v>78.914825655385897</v>
      </c>
      <c r="AC176" s="17">
        <v>78.835951854553798</v>
      </c>
      <c r="AD176" s="17">
        <v>77.345863830489506</v>
      </c>
      <c r="AE176" s="17">
        <v>76.798772164823802</v>
      </c>
      <c r="AF176" s="17">
        <v>75.037201562981593</v>
      </c>
      <c r="AG176" s="17">
        <v>74.8773750359709</v>
      </c>
      <c r="AH176" s="17">
        <v>73.812317553211798</v>
      </c>
      <c r="AI176" s="17">
        <v>73.242838264343007</v>
      </c>
      <c r="AJ176" s="17">
        <v>71.521362715162198</v>
      </c>
      <c r="AK176" s="17">
        <v>71.895214084245197</v>
      </c>
      <c r="AL176" s="17">
        <v>71.905525136089096</v>
      </c>
      <c r="AM176" s="17">
        <v>73.250391344872995</v>
      </c>
      <c r="AN176" s="17">
        <v>72.3166404584925</v>
      </c>
      <c r="AO176" s="17"/>
      <c r="AP176" s="17"/>
      <c r="AQ176" s="17"/>
      <c r="AR176" s="17"/>
      <c r="AS176" s="17"/>
      <c r="AT176" s="17"/>
      <c r="AU176" s="17"/>
      <c r="AV176" s="17"/>
      <c r="AW176" s="17"/>
      <c r="AX176" s="17"/>
      <c r="AY176" s="17"/>
      <c r="AZ176" s="17"/>
      <c r="BA176" s="17"/>
      <c r="BB176" s="17"/>
      <c r="BC176" s="17"/>
      <c r="BD176" s="17"/>
      <c r="BE176" s="17"/>
      <c r="BF176" s="17"/>
      <c r="BG176" s="17"/>
      <c r="BH176" s="17"/>
      <c r="BI176" s="17"/>
      <c r="BJ176" s="17"/>
      <c r="BK176" s="17"/>
      <c r="BL176" s="17"/>
      <c r="BM176" s="17"/>
      <c r="BN176" s="17"/>
      <c r="BO176" s="17"/>
      <c r="BP176" s="17"/>
      <c r="BQ176" s="17"/>
      <c r="BR176" s="17"/>
      <c r="BS176" s="17"/>
      <c r="BT176" s="17"/>
      <c r="BU176" s="17"/>
      <c r="BV176" s="17"/>
      <c r="BW176" s="17"/>
      <c r="BX176" s="17"/>
      <c r="BY176" s="17"/>
      <c r="BZ176" s="17"/>
      <c r="CA176" s="17"/>
      <c r="CB176" s="17"/>
      <c r="CC176" s="17"/>
      <c r="CD176" s="17"/>
      <c r="CE176" s="17"/>
      <c r="CF176" s="17"/>
      <c r="CG176" s="17"/>
      <c r="CH176" s="17"/>
      <c r="CI176" s="17"/>
      <c r="CJ176" s="17"/>
      <c r="CK176" s="17"/>
      <c r="CL176" s="17"/>
      <c r="CM176" s="17"/>
      <c r="CN176" s="17"/>
      <c r="CO176" s="17"/>
      <c r="CP176" s="17"/>
      <c r="CQ176" s="17"/>
      <c r="CR176" s="17"/>
      <c r="CS176" s="17"/>
      <c r="CT176" s="17"/>
      <c r="CU176" s="17"/>
      <c r="CV176" s="17"/>
    </row>
    <row r="177" spans="1:100" x14ac:dyDescent="0.35">
      <c r="B177" s="9"/>
      <c r="C177" t="s">
        <v>230</v>
      </c>
      <c r="D177" t="s">
        <v>356</v>
      </c>
      <c r="E177" t="s">
        <v>124</v>
      </c>
      <c r="F177" s="17">
        <v>0</v>
      </c>
      <c r="G177" s="17">
        <v>1</v>
      </c>
      <c r="H177" s="17">
        <v>1</v>
      </c>
      <c r="I177" s="17">
        <v>1</v>
      </c>
      <c r="J177" s="17">
        <v>1</v>
      </c>
      <c r="K177" s="17">
        <v>1</v>
      </c>
      <c r="L177" s="17">
        <v>1</v>
      </c>
      <c r="M177" s="17">
        <v>1</v>
      </c>
      <c r="N177" s="17">
        <v>1</v>
      </c>
      <c r="O177" s="17">
        <v>1</v>
      </c>
      <c r="P177" s="17">
        <v>1</v>
      </c>
      <c r="Q177" s="17">
        <v>1</v>
      </c>
      <c r="R177" s="17">
        <v>1</v>
      </c>
      <c r="S177" s="17">
        <v>1</v>
      </c>
      <c r="T177" s="17">
        <v>1</v>
      </c>
      <c r="U177" s="17">
        <v>1</v>
      </c>
      <c r="V177" s="17">
        <v>1</v>
      </c>
      <c r="W177" s="17">
        <v>1</v>
      </c>
      <c r="X177" s="17">
        <v>1</v>
      </c>
      <c r="Y177" s="17">
        <v>1</v>
      </c>
      <c r="Z177" s="17">
        <v>1</v>
      </c>
      <c r="AA177" s="17">
        <v>1</v>
      </c>
      <c r="AB177" s="17">
        <v>1</v>
      </c>
      <c r="AC177" s="17">
        <v>1</v>
      </c>
      <c r="AD177" s="17">
        <v>1</v>
      </c>
      <c r="AE177" s="17">
        <v>1</v>
      </c>
      <c r="AF177" s="17">
        <v>1</v>
      </c>
      <c r="AG177" s="17">
        <v>1</v>
      </c>
      <c r="AH177" s="17">
        <v>1</v>
      </c>
      <c r="AI177" s="17">
        <v>1</v>
      </c>
      <c r="AJ177" s="17">
        <v>1</v>
      </c>
      <c r="AK177" s="17">
        <v>1</v>
      </c>
      <c r="AL177" s="17">
        <v>1</v>
      </c>
      <c r="AM177" s="17">
        <v>1</v>
      </c>
      <c r="AN177" s="17">
        <v>1</v>
      </c>
      <c r="AO177" s="17"/>
      <c r="AP177" s="17"/>
      <c r="AQ177" s="17"/>
      <c r="AR177" s="17"/>
      <c r="AS177" s="17"/>
      <c r="AT177" s="17"/>
      <c r="AU177" s="17"/>
      <c r="AV177" s="17"/>
      <c r="AW177" s="17"/>
      <c r="AX177" s="17"/>
      <c r="AY177" s="17"/>
      <c r="AZ177" s="17"/>
      <c r="BA177" s="17"/>
      <c r="BB177" s="17"/>
      <c r="BC177" s="17"/>
      <c r="BD177" s="17"/>
      <c r="BE177" s="17"/>
      <c r="BF177" s="17"/>
      <c r="BG177" s="17"/>
      <c r="BH177" s="17"/>
      <c r="BI177" s="17"/>
      <c r="BJ177" s="17"/>
      <c r="BK177" s="17"/>
      <c r="BL177" s="17"/>
      <c r="BM177" s="17"/>
      <c r="BN177" s="17"/>
      <c r="BO177" s="17"/>
      <c r="BP177" s="17"/>
      <c r="BQ177" s="17"/>
      <c r="BR177" s="17"/>
      <c r="BS177" s="17"/>
      <c r="BT177" s="17"/>
      <c r="BU177" s="17"/>
      <c r="BV177" s="17"/>
      <c r="BW177" s="17"/>
      <c r="BX177" s="17"/>
      <c r="BY177" s="17"/>
      <c r="BZ177" s="17"/>
      <c r="CA177" s="17"/>
      <c r="CB177" s="17"/>
      <c r="CC177" s="17"/>
      <c r="CD177" s="17"/>
      <c r="CE177" s="17"/>
      <c r="CF177" s="17"/>
      <c r="CG177" s="17"/>
      <c r="CH177" s="17"/>
      <c r="CI177" s="17"/>
      <c r="CJ177" s="17"/>
      <c r="CK177" s="17"/>
      <c r="CL177" s="17"/>
      <c r="CM177" s="17"/>
      <c r="CN177" s="17"/>
      <c r="CO177" s="17"/>
      <c r="CP177" s="17"/>
      <c r="CQ177" s="17"/>
      <c r="CR177" s="17"/>
      <c r="CS177" s="17"/>
      <c r="CT177" s="17"/>
      <c r="CU177" s="17"/>
      <c r="CV177" s="17"/>
    </row>
    <row r="178" spans="1:100" x14ac:dyDescent="0.35">
      <c r="B178" s="9"/>
      <c r="C178" t="s">
        <v>339</v>
      </c>
      <c r="D178" t="s">
        <v>357</v>
      </c>
      <c r="E178" t="s">
        <v>226</v>
      </c>
      <c r="F178" s="17">
        <v>0</v>
      </c>
      <c r="G178" s="17">
        <v>312.96135897120001</v>
      </c>
      <c r="H178" s="17">
        <v>278.35769881408999</v>
      </c>
      <c r="I178" s="17">
        <v>236.28768796729901</v>
      </c>
      <c r="J178" s="17">
        <v>207.71435298167401</v>
      </c>
      <c r="K178" s="17">
        <v>210.05411555449001</v>
      </c>
      <c r="L178" s="17">
        <v>209.39045781337001</v>
      </c>
      <c r="M178" s="17">
        <v>198.514491958897</v>
      </c>
      <c r="N178" s="17">
        <v>186.47233255996201</v>
      </c>
      <c r="O178" s="17">
        <v>186.37715120905099</v>
      </c>
      <c r="P178" s="17">
        <v>177.648819706056</v>
      </c>
      <c r="Q178" s="17">
        <v>179.727107793968</v>
      </c>
      <c r="R178" s="17">
        <v>177.49845803514501</v>
      </c>
      <c r="S178" s="17">
        <v>175.15936406143501</v>
      </c>
      <c r="T178" s="17">
        <v>173.89259858576699</v>
      </c>
      <c r="U178" s="17">
        <v>168.51066829142599</v>
      </c>
      <c r="V178" s="17">
        <v>168.12064518145701</v>
      </c>
      <c r="W178" s="17">
        <v>164.389298037298</v>
      </c>
      <c r="X178" s="17">
        <v>160.52121192902101</v>
      </c>
      <c r="Y178" s="17">
        <v>162.99138266816601</v>
      </c>
      <c r="Z178" s="17">
        <v>166.35653599238299</v>
      </c>
      <c r="AA178" s="17">
        <v>163.84683433107199</v>
      </c>
      <c r="AB178" s="17">
        <v>160.86981323497699</v>
      </c>
      <c r="AC178" s="17">
        <v>181.695557584933</v>
      </c>
      <c r="AD178" s="17">
        <v>179.18077874915801</v>
      </c>
      <c r="AE178" s="17">
        <v>177.355221123462</v>
      </c>
      <c r="AF178" s="17">
        <v>173.68193763294801</v>
      </c>
      <c r="AG178" s="17">
        <v>173.791305821148</v>
      </c>
      <c r="AH178" s="17">
        <v>170.41758607088099</v>
      </c>
      <c r="AI178" s="17">
        <v>169.837962879945</v>
      </c>
      <c r="AJ178" s="17">
        <v>168.400997144256</v>
      </c>
      <c r="AK178" s="17">
        <v>164.79254687334</v>
      </c>
      <c r="AL178" s="17">
        <v>165.99103166526899</v>
      </c>
      <c r="AM178" s="17">
        <v>167.54294421295199</v>
      </c>
      <c r="AN178" s="17">
        <v>163.46559703123501</v>
      </c>
      <c r="AO178" s="17"/>
      <c r="AP178" s="17"/>
      <c r="AQ178" s="17"/>
      <c r="AR178" s="17"/>
      <c r="AS178" s="17"/>
      <c r="AT178" s="17"/>
      <c r="AU178" s="17"/>
      <c r="AV178" s="17"/>
      <c r="AW178" s="17"/>
      <c r="AX178" s="17"/>
      <c r="AY178" s="17"/>
      <c r="AZ178" s="17"/>
      <c r="BA178" s="17"/>
      <c r="BB178" s="17"/>
      <c r="BC178" s="17"/>
      <c r="BD178" s="17"/>
      <c r="BE178" s="17"/>
      <c r="BF178" s="17"/>
      <c r="BG178" s="17"/>
      <c r="BH178" s="17"/>
      <c r="BI178" s="17"/>
      <c r="BJ178" s="17"/>
      <c r="BK178" s="17"/>
      <c r="BL178" s="17"/>
      <c r="BM178" s="17"/>
      <c r="BN178" s="17"/>
      <c r="BO178" s="17"/>
      <c r="BP178" s="17"/>
      <c r="BQ178" s="17"/>
      <c r="BR178" s="17"/>
      <c r="BS178" s="17"/>
      <c r="BT178" s="17"/>
      <c r="BU178" s="17"/>
      <c r="BV178" s="17"/>
      <c r="BW178" s="17"/>
      <c r="BX178" s="17"/>
      <c r="BY178" s="17"/>
      <c r="BZ178" s="17"/>
      <c r="CA178" s="17"/>
      <c r="CB178" s="17"/>
      <c r="CC178" s="17"/>
      <c r="CD178" s="17"/>
      <c r="CE178" s="17"/>
      <c r="CF178" s="17"/>
      <c r="CG178" s="17"/>
      <c r="CH178" s="17"/>
      <c r="CI178" s="17"/>
      <c r="CJ178" s="17"/>
      <c r="CK178" s="17"/>
      <c r="CL178" s="17"/>
      <c r="CM178" s="17"/>
      <c r="CN178" s="17"/>
      <c r="CO178" s="17"/>
      <c r="CP178" s="17"/>
      <c r="CQ178" s="17"/>
      <c r="CR178" s="17"/>
      <c r="CS178" s="17"/>
      <c r="CT178" s="17"/>
      <c r="CU178" s="17"/>
      <c r="CV178" s="17"/>
    </row>
    <row r="179" spans="1:100" x14ac:dyDescent="0.35">
      <c r="B179" s="9"/>
      <c r="F179" s="17"/>
      <c r="G179" s="17"/>
      <c r="H179" s="17"/>
      <c r="I179" s="17"/>
      <c r="J179" s="17"/>
      <c r="K179" s="17"/>
      <c r="L179" s="17"/>
      <c r="M179" s="17"/>
      <c r="N179" s="17"/>
      <c r="O179" s="17"/>
      <c r="P179" s="17"/>
      <c r="Q179" s="17"/>
      <c r="R179" s="17"/>
      <c r="S179" s="17"/>
      <c r="T179" s="17"/>
      <c r="U179" s="17"/>
      <c r="V179" s="17"/>
      <c r="W179" s="17"/>
      <c r="X179" s="17"/>
      <c r="Y179" s="17"/>
      <c r="Z179" s="17"/>
      <c r="AA179" s="17"/>
      <c r="AB179" s="17"/>
      <c r="AC179" s="17"/>
      <c r="AD179" s="17"/>
      <c r="AE179" s="17"/>
      <c r="AF179" s="17"/>
      <c r="AG179" s="17"/>
      <c r="AH179" s="17"/>
      <c r="AI179" s="17"/>
      <c r="AJ179" s="17"/>
      <c r="AK179" s="17"/>
      <c r="AL179" s="17"/>
      <c r="AM179" s="17"/>
      <c r="AN179" s="17"/>
      <c r="AO179" s="17"/>
      <c r="AP179" s="17"/>
      <c r="AQ179" s="17"/>
      <c r="AR179" s="17"/>
      <c r="AS179" s="17"/>
      <c r="AT179" s="17"/>
      <c r="AU179" s="17"/>
      <c r="AV179" s="17"/>
      <c r="AW179" s="17"/>
      <c r="AX179" s="17"/>
      <c r="AY179" s="17"/>
      <c r="AZ179" s="17"/>
      <c r="BA179" s="17"/>
      <c r="BB179" s="17"/>
      <c r="BC179" s="17"/>
      <c r="BD179" s="17"/>
      <c r="BE179" s="17"/>
      <c r="BF179" s="17"/>
      <c r="BG179" s="17"/>
      <c r="BH179" s="17"/>
      <c r="BI179" s="17"/>
      <c r="BJ179" s="17"/>
      <c r="BK179" s="17"/>
      <c r="BL179" s="17"/>
      <c r="BM179" s="17"/>
      <c r="BN179" s="17"/>
      <c r="BO179" s="17"/>
      <c r="BP179" s="17"/>
      <c r="BQ179" s="17"/>
      <c r="BR179" s="17"/>
      <c r="BS179" s="17"/>
      <c r="BT179" s="17"/>
      <c r="BU179" s="17"/>
      <c r="BV179" s="17"/>
      <c r="BW179" s="17"/>
      <c r="BX179" s="17"/>
      <c r="BY179" s="17"/>
      <c r="BZ179" s="17"/>
      <c r="CA179" s="17"/>
      <c r="CB179" s="17"/>
      <c r="CC179" s="17"/>
      <c r="CD179" s="17"/>
      <c r="CE179" s="17"/>
      <c r="CF179" s="17"/>
      <c r="CG179" s="17"/>
      <c r="CH179" s="17"/>
      <c r="CI179" s="17"/>
      <c r="CJ179" s="17"/>
      <c r="CK179" s="17"/>
      <c r="CL179" s="17"/>
      <c r="CM179" s="17"/>
      <c r="CN179" s="17"/>
      <c r="CO179" s="17"/>
      <c r="CP179" s="17"/>
      <c r="CQ179" s="17"/>
      <c r="CR179" s="17"/>
      <c r="CS179" s="17"/>
      <c r="CT179" s="17"/>
      <c r="CU179" s="17"/>
      <c r="CV179" s="17"/>
    </row>
    <row r="180" spans="1:100" x14ac:dyDescent="0.35">
      <c r="B180" s="9"/>
      <c r="F180" s="17"/>
      <c r="G180" s="17"/>
      <c r="H180" s="17"/>
      <c r="I180" s="17"/>
      <c r="J180" s="17"/>
      <c r="K180" s="17"/>
      <c r="L180" s="17"/>
      <c r="M180" s="17"/>
      <c r="N180" s="17"/>
      <c r="O180" s="17"/>
      <c r="P180" s="17"/>
      <c r="Q180" s="17"/>
      <c r="R180" s="17"/>
      <c r="S180" s="17"/>
      <c r="T180" s="17"/>
      <c r="U180" s="17"/>
      <c r="V180" s="17"/>
      <c r="W180" s="17"/>
      <c r="X180" s="17"/>
      <c r="Y180" s="17"/>
      <c r="Z180" s="17"/>
      <c r="AA180" s="17"/>
      <c r="AB180" s="17"/>
      <c r="AC180" s="17"/>
      <c r="AD180" s="17"/>
      <c r="AE180" s="17"/>
      <c r="AF180" s="17"/>
      <c r="AG180" s="17"/>
      <c r="AH180" s="17"/>
      <c r="AI180" s="17"/>
      <c r="AJ180" s="17"/>
      <c r="AK180" s="17"/>
      <c r="AL180" s="17"/>
      <c r="AM180" s="17"/>
      <c r="AN180" s="17"/>
      <c r="AO180" s="17"/>
      <c r="AP180" s="17"/>
      <c r="AQ180" s="17"/>
      <c r="AR180" s="17"/>
      <c r="AS180" s="17"/>
      <c r="AT180" s="17"/>
      <c r="AU180" s="17"/>
      <c r="AV180" s="17"/>
      <c r="AW180" s="17"/>
      <c r="AX180" s="17"/>
      <c r="AY180" s="17"/>
      <c r="AZ180" s="17"/>
      <c r="BA180" s="17"/>
      <c r="BB180" s="17"/>
      <c r="BC180" s="17"/>
      <c r="BD180" s="17"/>
      <c r="BE180" s="17"/>
      <c r="BF180" s="17"/>
      <c r="BG180" s="17"/>
      <c r="BH180" s="17"/>
      <c r="BI180" s="17"/>
      <c r="BJ180" s="17"/>
      <c r="BK180" s="17"/>
      <c r="BL180" s="17"/>
      <c r="BM180" s="17"/>
      <c r="BN180" s="17"/>
      <c r="BO180" s="17"/>
      <c r="BP180" s="17"/>
      <c r="BQ180" s="17"/>
      <c r="BR180" s="17"/>
      <c r="BS180" s="17"/>
      <c r="BT180" s="17"/>
      <c r="BU180" s="17"/>
      <c r="BV180" s="17"/>
      <c r="BW180" s="17"/>
      <c r="BX180" s="17"/>
      <c r="BY180" s="17"/>
      <c r="BZ180" s="17"/>
      <c r="CA180" s="17"/>
      <c r="CB180" s="17"/>
      <c r="CC180" s="17"/>
      <c r="CD180" s="17"/>
      <c r="CE180" s="17"/>
      <c r="CF180" s="17"/>
      <c r="CG180" s="17"/>
      <c r="CH180" s="17"/>
      <c r="CI180" s="17"/>
      <c r="CJ180" s="17"/>
      <c r="CK180" s="17"/>
      <c r="CL180" s="17"/>
      <c r="CM180" s="17"/>
      <c r="CN180" s="17"/>
      <c r="CO180" s="17"/>
      <c r="CP180" s="17"/>
      <c r="CQ180" s="17"/>
      <c r="CR180" s="17"/>
      <c r="CS180" s="17"/>
      <c r="CT180" s="17"/>
      <c r="CU180" s="17"/>
      <c r="CV180" s="17"/>
    </row>
    <row r="181" spans="1:100" x14ac:dyDescent="0.35">
      <c r="B181" s="9"/>
      <c r="F181" s="17"/>
      <c r="G181" s="17"/>
      <c r="H181" s="17"/>
      <c r="I181" s="17"/>
      <c r="J181" s="17"/>
      <c r="K181" s="17"/>
      <c r="L181" s="17"/>
      <c r="M181" s="17"/>
      <c r="N181" s="17"/>
      <c r="O181" s="17"/>
      <c r="P181" s="17"/>
      <c r="Q181" s="17"/>
      <c r="R181" s="17"/>
      <c r="S181" s="17"/>
      <c r="T181" s="17"/>
      <c r="U181" s="17"/>
      <c r="V181" s="17"/>
      <c r="W181" s="17"/>
      <c r="X181" s="17"/>
      <c r="Y181" s="17"/>
      <c r="Z181" s="17"/>
      <c r="AA181" s="17"/>
      <c r="AB181" s="17"/>
      <c r="AC181" s="17"/>
      <c r="AD181" s="17"/>
      <c r="AE181" s="17"/>
      <c r="AF181" s="17"/>
      <c r="AG181" s="17"/>
      <c r="AH181" s="17"/>
      <c r="AI181" s="17"/>
      <c r="AJ181" s="17"/>
      <c r="AK181" s="17"/>
      <c r="AL181" s="17"/>
      <c r="AM181" s="17"/>
      <c r="AN181" s="17"/>
      <c r="AO181" s="17"/>
      <c r="AP181" s="17"/>
      <c r="AQ181" s="17"/>
      <c r="AR181" s="17"/>
      <c r="AS181" s="17"/>
      <c r="AT181" s="17"/>
      <c r="AU181" s="17"/>
      <c r="AV181" s="17"/>
      <c r="AW181" s="17"/>
      <c r="AX181" s="17"/>
      <c r="AY181" s="17"/>
      <c r="AZ181" s="17"/>
      <c r="BA181" s="17"/>
      <c r="BB181" s="17"/>
      <c r="BC181" s="17"/>
      <c r="BD181" s="17"/>
      <c r="BE181" s="17"/>
      <c r="BF181" s="17"/>
      <c r="BG181" s="17"/>
      <c r="BH181" s="17"/>
      <c r="BI181" s="17"/>
      <c r="BJ181" s="17"/>
      <c r="BK181" s="17"/>
      <c r="BL181" s="17"/>
      <c r="BM181" s="17"/>
      <c r="BN181" s="17"/>
      <c r="BO181" s="17"/>
      <c r="BP181" s="17"/>
      <c r="BQ181" s="17"/>
      <c r="BR181" s="17"/>
      <c r="BS181" s="17"/>
      <c r="BT181" s="17"/>
      <c r="BU181" s="17"/>
      <c r="BV181" s="17"/>
      <c r="BW181" s="17"/>
      <c r="BX181" s="17"/>
      <c r="BY181" s="17"/>
      <c r="BZ181" s="17"/>
      <c r="CA181" s="17"/>
      <c r="CB181" s="17"/>
      <c r="CC181" s="17"/>
      <c r="CD181" s="17"/>
      <c r="CE181" s="17"/>
      <c r="CF181" s="17"/>
      <c r="CG181" s="17"/>
      <c r="CH181" s="17"/>
      <c r="CI181" s="17"/>
      <c r="CJ181" s="17"/>
      <c r="CK181" s="17"/>
      <c r="CL181" s="17"/>
      <c r="CM181" s="17"/>
      <c r="CN181" s="17"/>
      <c r="CO181" s="17"/>
      <c r="CP181" s="17"/>
      <c r="CQ181" s="17"/>
      <c r="CR181" s="17"/>
      <c r="CS181" s="17"/>
      <c r="CT181" s="17"/>
      <c r="CU181" s="17"/>
      <c r="CV181" s="17"/>
    </row>
    <row r="182" spans="1:100" x14ac:dyDescent="0.35">
      <c r="A182">
        <v>4</v>
      </c>
      <c r="B182" s="9" t="s">
        <v>466</v>
      </c>
      <c r="C182" t="s">
        <v>230</v>
      </c>
      <c r="D182" t="s">
        <v>322</v>
      </c>
      <c r="E182" t="s">
        <v>124</v>
      </c>
      <c r="F182" s="17">
        <v>0</v>
      </c>
      <c r="G182" s="17">
        <v>1</v>
      </c>
      <c r="H182" s="17">
        <v>1</v>
      </c>
      <c r="I182" s="17">
        <v>1</v>
      </c>
      <c r="J182" s="17">
        <v>1</v>
      </c>
      <c r="K182" s="17">
        <v>1</v>
      </c>
      <c r="L182" s="17">
        <v>1</v>
      </c>
      <c r="M182" s="17">
        <v>1</v>
      </c>
      <c r="N182" s="17">
        <v>1</v>
      </c>
      <c r="O182" s="17">
        <v>1</v>
      </c>
      <c r="P182" s="17">
        <v>1</v>
      </c>
      <c r="Q182" s="17">
        <v>1</v>
      </c>
      <c r="R182" s="17">
        <v>1</v>
      </c>
      <c r="S182" s="17">
        <v>1</v>
      </c>
      <c r="T182" s="17">
        <v>1</v>
      </c>
      <c r="U182" s="17">
        <v>1</v>
      </c>
      <c r="V182" s="17">
        <v>1</v>
      </c>
      <c r="W182" s="17">
        <v>1</v>
      </c>
      <c r="X182" s="17">
        <v>1</v>
      </c>
      <c r="Y182" s="17">
        <v>1</v>
      </c>
      <c r="Z182" s="17">
        <v>1</v>
      </c>
      <c r="AA182" s="17">
        <v>1</v>
      </c>
      <c r="AB182" s="17">
        <v>1</v>
      </c>
      <c r="AC182" s="17">
        <v>1</v>
      </c>
      <c r="AD182" s="17">
        <v>1</v>
      </c>
      <c r="AE182" s="17">
        <v>1</v>
      </c>
      <c r="AF182" s="17">
        <v>1</v>
      </c>
      <c r="AG182" s="17">
        <v>1</v>
      </c>
      <c r="AH182" s="17">
        <v>1</v>
      </c>
      <c r="AI182" s="17">
        <v>1</v>
      </c>
      <c r="AJ182" s="17">
        <v>1</v>
      </c>
      <c r="AK182" s="17">
        <v>1</v>
      </c>
      <c r="AL182" s="17">
        <v>1</v>
      </c>
      <c r="AM182" s="17">
        <v>1</v>
      </c>
      <c r="AN182" s="17">
        <v>1</v>
      </c>
      <c r="AO182" s="17"/>
      <c r="AP182" s="17"/>
      <c r="AQ182" s="17"/>
      <c r="AR182" s="17"/>
      <c r="AS182" s="17"/>
      <c r="AT182" s="17"/>
      <c r="AU182" s="17"/>
      <c r="AV182" s="17"/>
      <c r="AW182" s="17"/>
      <c r="AX182" s="17"/>
      <c r="AY182" s="17"/>
      <c r="AZ182" s="17"/>
      <c r="BA182" s="17"/>
      <c r="BB182" s="17"/>
      <c r="BC182" s="17"/>
      <c r="BD182" s="17"/>
      <c r="BE182" s="17"/>
      <c r="BF182" s="17"/>
      <c r="BG182" s="17"/>
      <c r="BH182" s="17"/>
      <c r="BI182" s="17"/>
      <c r="BJ182" s="17"/>
      <c r="BK182" s="17"/>
      <c r="BL182" s="17"/>
      <c r="BM182" s="17"/>
      <c r="BN182" s="17"/>
      <c r="BO182" s="17"/>
      <c r="BP182" s="17"/>
      <c r="BQ182" s="17"/>
      <c r="BR182" s="17"/>
      <c r="BS182" s="17"/>
      <c r="BT182" s="17"/>
      <c r="BU182" s="17"/>
      <c r="BV182" s="17"/>
      <c r="BW182" s="17"/>
      <c r="BX182" s="17"/>
      <c r="BY182" s="17"/>
      <c r="BZ182" s="17"/>
      <c r="CA182" s="17"/>
      <c r="CB182" s="17"/>
      <c r="CC182" s="17"/>
      <c r="CD182" s="17"/>
      <c r="CE182" s="17"/>
      <c r="CF182" s="17"/>
      <c r="CG182" s="17"/>
      <c r="CH182" s="17"/>
      <c r="CI182" s="17"/>
      <c r="CJ182" s="17"/>
      <c r="CK182" s="17"/>
      <c r="CL182" s="17"/>
      <c r="CM182" s="17"/>
      <c r="CN182" s="17"/>
      <c r="CO182" s="17"/>
      <c r="CP182" s="17"/>
      <c r="CQ182" s="17"/>
      <c r="CR182" s="17"/>
      <c r="CS182" s="17"/>
      <c r="CT182" s="17"/>
      <c r="CU182" s="17"/>
      <c r="CV182" s="17"/>
    </row>
    <row r="183" spans="1:100" x14ac:dyDescent="0.35">
      <c r="B183" s="9">
        <v>2027</v>
      </c>
      <c r="C183" t="s">
        <v>337</v>
      </c>
      <c r="D183" t="s">
        <v>323</v>
      </c>
      <c r="F183" s="17">
        <v>0</v>
      </c>
      <c r="G183" s="17">
        <v>0</v>
      </c>
      <c r="H183" s="17">
        <v>0</v>
      </c>
      <c r="I183" s="17">
        <v>0</v>
      </c>
      <c r="J183" s="17">
        <v>0</v>
      </c>
      <c r="K183" s="17">
        <v>0</v>
      </c>
      <c r="L183" s="17">
        <v>0</v>
      </c>
      <c r="M183" s="17">
        <v>0</v>
      </c>
      <c r="N183" s="17">
        <v>0</v>
      </c>
      <c r="O183" s="17">
        <v>0</v>
      </c>
      <c r="P183" s="17">
        <v>0</v>
      </c>
      <c r="Q183" s="17">
        <v>0</v>
      </c>
      <c r="R183" s="17">
        <v>0</v>
      </c>
      <c r="S183" s="17">
        <v>0</v>
      </c>
      <c r="T183" s="17">
        <v>0</v>
      </c>
      <c r="U183" s="17">
        <v>0</v>
      </c>
      <c r="V183" s="17">
        <v>0</v>
      </c>
      <c r="W183" s="17">
        <v>0</v>
      </c>
      <c r="X183" s="17">
        <v>0</v>
      </c>
      <c r="Y183" s="17">
        <v>0</v>
      </c>
      <c r="Z183" s="17">
        <v>0</v>
      </c>
      <c r="AA183" s="17">
        <v>0</v>
      </c>
      <c r="AB183" s="17">
        <v>1</v>
      </c>
      <c r="AC183" s="17">
        <v>1</v>
      </c>
      <c r="AD183" s="17">
        <v>1</v>
      </c>
      <c r="AE183" s="17">
        <v>1</v>
      </c>
      <c r="AF183" s="17">
        <v>1</v>
      </c>
      <c r="AG183" s="17">
        <v>1</v>
      </c>
      <c r="AH183" s="17">
        <v>1</v>
      </c>
      <c r="AI183" s="17">
        <v>1</v>
      </c>
      <c r="AJ183" s="17">
        <v>1</v>
      </c>
      <c r="AK183" s="17">
        <v>1</v>
      </c>
      <c r="AL183" s="17">
        <v>1</v>
      </c>
      <c r="AM183" s="17">
        <v>1</v>
      </c>
      <c r="AN183" s="17">
        <v>1</v>
      </c>
      <c r="AO183" s="17"/>
      <c r="AP183" s="17"/>
      <c r="AQ183" s="17"/>
      <c r="AR183" s="17"/>
      <c r="AS183" s="17"/>
      <c r="AT183" s="17"/>
      <c r="AU183" s="17"/>
      <c r="AV183" s="17"/>
      <c r="AW183" s="17"/>
      <c r="AX183" s="17"/>
      <c r="AY183" s="17"/>
      <c r="AZ183" s="17"/>
      <c r="BA183" s="17"/>
      <c r="BB183" s="17"/>
      <c r="BC183" s="17"/>
      <c r="BD183" s="17"/>
      <c r="BE183" s="17"/>
      <c r="BF183" s="17"/>
      <c r="BG183" s="17"/>
      <c r="BH183" s="17"/>
      <c r="BI183" s="17"/>
      <c r="BJ183" s="17"/>
      <c r="BK183" s="17"/>
      <c r="BL183" s="17"/>
      <c r="BM183" s="17"/>
      <c r="BN183" s="17"/>
      <c r="BO183" s="17"/>
      <c r="BP183" s="17"/>
      <c r="BQ183" s="17"/>
      <c r="BR183" s="17"/>
      <c r="BS183" s="17"/>
      <c r="BT183" s="17"/>
      <c r="BU183" s="17"/>
      <c r="BV183" s="17"/>
      <c r="BW183" s="17"/>
      <c r="BX183" s="17"/>
      <c r="BY183" s="17"/>
      <c r="BZ183" s="17"/>
      <c r="CA183" s="17"/>
      <c r="CB183" s="17"/>
      <c r="CC183" s="17"/>
      <c r="CD183" s="17"/>
      <c r="CE183" s="17"/>
      <c r="CF183" s="17"/>
      <c r="CG183" s="17"/>
      <c r="CH183" s="17"/>
      <c r="CI183" s="17"/>
      <c r="CJ183" s="17"/>
      <c r="CK183" s="17"/>
      <c r="CL183" s="17"/>
      <c r="CM183" s="17"/>
      <c r="CN183" s="17"/>
      <c r="CO183" s="17"/>
      <c r="CP183" s="17"/>
      <c r="CQ183" s="17"/>
      <c r="CR183" s="17"/>
      <c r="CS183" s="17"/>
      <c r="CT183" s="17"/>
      <c r="CU183" s="17"/>
      <c r="CV183" s="17"/>
    </row>
    <row r="184" spans="1:100" x14ac:dyDescent="0.35">
      <c r="B184" s="9" t="s">
        <v>77</v>
      </c>
      <c r="C184" t="s">
        <v>230</v>
      </c>
      <c r="D184" t="s">
        <v>324</v>
      </c>
      <c r="F184" s="17">
        <v>0</v>
      </c>
      <c r="G184" s="17">
        <v>0.99904000000000004</v>
      </c>
      <c r="H184" s="17">
        <v>0.99931999999999999</v>
      </c>
      <c r="I184" s="17">
        <v>0.99550000000000005</v>
      </c>
      <c r="J184" s="17">
        <v>0.99951000000000001</v>
      </c>
      <c r="K184" s="17">
        <v>1.0031600000000001</v>
      </c>
      <c r="L184" s="17">
        <v>1.0027900000000001</v>
      </c>
      <c r="M184" s="17">
        <v>1.0038199999999999</v>
      </c>
      <c r="N184" s="17">
        <v>1.00237</v>
      </c>
      <c r="O184" s="17">
        <v>0.99302000000000001</v>
      </c>
      <c r="P184" s="17">
        <v>0.99890999999999996</v>
      </c>
      <c r="Q184" s="17">
        <v>1.01397</v>
      </c>
      <c r="R184" s="17">
        <v>1.0098</v>
      </c>
      <c r="S184" s="17">
        <v>0.99799000000000004</v>
      </c>
      <c r="T184" s="17">
        <v>1.0006699999999999</v>
      </c>
      <c r="U184" s="17">
        <v>1.0174399999999999</v>
      </c>
      <c r="V184" s="17">
        <v>0.99141999999999997</v>
      </c>
      <c r="W184" s="17">
        <v>1.00518</v>
      </c>
      <c r="X184" s="17">
        <v>0.99695999999999996</v>
      </c>
      <c r="Y184" s="17">
        <v>0.98165999999999998</v>
      </c>
      <c r="Z184" s="17">
        <v>0.99090999999999996</v>
      </c>
      <c r="AA184" s="17">
        <v>1.0005900000000001</v>
      </c>
      <c r="AB184" s="17">
        <v>0.99975999999999998</v>
      </c>
      <c r="AC184" s="17">
        <v>1.0064200000000001</v>
      </c>
      <c r="AD184" s="17">
        <v>1.00922</v>
      </c>
      <c r="AE184" s="17">
        <v>1.0084599999999999</v>
      </c>
      <c r="AF184" s="17">
        <v>0.99133000000000004</v>
      </c>
      <c r="AG184" s="17">
        <v>0.99338000000000004</v>
      </c>
      <c r="AH184" s="17">
        <v>1.0040100000000001</v>
      </c>
      <c r="AI184" s="17">
        <v>0.99407999999999996</v>
      </c>
      <c r="AJ184" s="17">
        <v>0.99812000000000001</v>
      </c>
      <c r="AK184" s="17">
        <v>0.99917</v>
      </c>
      <c r="AL184" s="17">
        <v>1.0062599999999999</v>
      </c>
      <c r="AM184" s="17">
        <v>1.00064</v>
      </c>
      <c r="AN184" s="17">
        <v>0.99965999999999999</v>
      </c>
      <c r="AO184" s="17"/>
      <c r="AP184" s="17"/>
      <c r="AQ184" s="17"/>
      <c r="AR184" s="17"/>
      <c r="AS184" s="17"/>
      <c r="AT184" s="17"/>
      <c r="AU184" s="17"/>
      <c r="AV184" s="17"/>
      <c r="AW184" s="17"/>
      <c r="AX184" s="17"/>
      <c r="AY184" s="17"/>
      <c r="AZ184" s="17"/>
      <c r="BA184" s="17"/>
      <c r="BB184" s="17"/>
      <c r="BC184" s="17"/>
      <c r="BD184" s="17"/>
      <c r="BE184" s="17"/>
      <c r="BF184" s="17"/>
      <c r="BG184" s="17"/>
      <c r="BH184" s="17"/>
      <c r="BI184" s="17"/>
      <c r="BJ184" s="17"/>
      <c r="BK184" s="17"/>
      <c r="BL184" s="17"/>
      <c r="BM184" s="17"/>
      <c r="BN184" s="17"/>
      <c r="BO184" s="17"/>
      <c r="BP184" s="17"/>
      <c r="BQ184" s="17"/>
      <c r="BR184" s="17"/>
      <c r="BS184" s="17"/>
      <c r="BT184" s="17"/>
      <c r="BU184" s="17"/>
      <c r="BV184" s="17"/>
      <c r="BW184" s="17"/>
      <c r="BX184" s="17"/>
      <c r="BY184" s="17"/>
      <c r="BZ184" s="17"/>
      <c r="CA184" s="17"/>
      <c r="CB184" s="17"/>
      <c r="CC184" s="17"/>
      <c r="CD184" s="17"/>
      <c r="CE184" s="17"/>
      <c r="CF184" s="17"/>
      <c r="CG184" s="17"/>
      <c r="CH184" s="17"/>
      <c r="CI184" s="17"/>
      <c r="CJ184" s="17"/>
      <c r="CK184" s="17"/>
      <c r="CL184" s="17"/>
      <c r="CM184" s="17"/>
      <c r="CN184" s="17"/>
      <c r="CO184" s="17"/>
      <c r="CP184" s="17"/>
      <c r="CQ184" s="17"/>
      <c r="CR184" s="17"/>
      <c r="CS184" s="17"/>
      <c r="CT184" s="17"/>
      <c r="CU184" s="17"/>
      <c r="CV184" s="17"/>
    </row>
    <row r="185" spans="1:100" x14ac:dyDescent="0.35">
      <c r="B185" s="9" t="s">
        <v>456</v>
      </c>
      <c r="C185" t="s">
        <v>230</v>
      </c>
      <c r="D185" t="s">
        <v>325</v>
      </c>
      <c r="E185" t="s">
        <v>326</v>
      </c>
      <c r="F185" s="17">
        <v>0</v>
      </c>
      <c r="G185" s="17">
        <v>0.95470999999999995</v>
      </c>
      <c r="H185" s="17">
        <v>0.92391999999999996</v>
      </c>
      <c r="I185" s="17">
        <v>0.90146000000000004</v>
      </c>
      <c r="J185" s="17">
        <v>0.88349</v>
      </c>
      <c r="K185" s="17">
        <v>0.86773</v>
      </c>
      <c r="L185" s="17">
        <v>0.85289999999999999</v>
      </c>
      <c r="M185" s="17">
        <v>0.83850000000000002</v>
      </c>
      <c r="N185" s="17">
        <v>0.82435000000000003</v>
      </c>
      <c r="O185" s="17">
        <v>0.81047999999999998</v>
      </c>
      <c r="P185" s="17">
        <v>0.79676999999999998</v>
      </c>
      <c r="Q185" s="17">
        <v>0.78347999999999995</v>
      </c>
      <c r="R185" s="17">
        <v>0.77085000000000004</v>
      </c>
      <c r="S185" s="17">
        <v>0.75880000000000003</v>
      </c>
      <c r="T185" s="17">
        <v>0.74653999999999998</v>
      </c>
      <c r="U185" s="17">
        <v>0.73414000000000001</v>
      </c>
      <c r="V185" s="17">
        <v>0.72208000000000006</v>
      </c>
      <c r="W185" s="17">
        <v>0.70960999999999996</v>
      </c>
      <c r="X185" s="17">
        <v>0.69738999999999995</v>
      </c>
      <c r="Y185" s="17">
        <v>0.68518999999999997</v>
      </c>
      <c r="Z185" s="17">
        <v>0.67279</v>
      </c>
      <c r="AA185" s="17">
        <v>0.66027999999999998</v>
      </c>
      <c r="AB185" s="17">
        <v>0.95540000000000003</v>
      </c>
      <c r="AC185" s="17">
        <v>0.92432000000000003</v>
      </c>
      <c r="AD185" s="17">
        <v>0.90163000000000004</v>
      </c>
      <c r="AE185" s="17">
        <v>0.88371</v>
      </c>
      <c r="AF185" s="17">
        <v>0.86819000000000002</v>
      </c>
      <c r="AG185" s="17">
        <v>0.85336000000000001</v>
      </c>
      <c r="AH185" s="17">
        <v>0.83879999999999999</v>
      </c>
      <c r="AI185" s="17">
        <v>0.82474999999999998</v>
      </c>
      <c r="AJ185" s="17">
        <v>0.81064000000000003</v>
      </c>
      <c r="AK185" s="17">
        <v>0.79703999999999997</v>
      </c>
      <c r="AL185" s="17">
        <v>0.78383000000000003</v>
      </c>
      <c r="AM185" s="17">
        <v>0.77120999999999995</v>
      </c>
      <c r="AN185" s="17">
        <v>0.75899000000000005</v>
      </c>
      <c r="AO185" s="17"/>
      <c r="AP185" s="17"/>
      <c r="AQ185" s="17"/>
      <c r="AR185" s="17"/>
      <c r="AS185" s="17"/>
      <c r="AT185" s="17"/>
      <c r="AU185" s="17"/>
      <c r="AV185" s="17"/>
      <c r="AW185" s="17"/>
      <c r="AX185" s="17"/>
      <c r="AY185" s="17"/>
      <c r="AZ185" s="17"/>
      <c r="BA185" s="17"/>
      <c r="BB185" s="17"/>
      <c r="BC185" s="17"/>
      <c r="BD185" s="17"/>
      <c r="BE185" s="17"/>
      <c r="BF185" s="17"/>
      <c r="BG185" s="17"/>
      <c r="BH185" s="17"/>
      <c r="BI185" s="17"/>
      <c r="BJ185" s="17"/>
      <c r="BK185" s="17"/>
      <c r="BL185" s="17"/>
      <c r="BM185" s="17"/>
      <c r="BN185" s="17"/>
      <c r="BO185" s="17"/>
      <c r="BP185" s="17"/>
      <c r="BQ185" s="17"/>
      <c r="BR185" s="17"/>
      <c r="BS185" s="17"/>
      <c r="BT185" s="17"/>
      <c r="BU185" s="17"/>
      <c r="BV185" s="17"/>
      <c r="BW185" s="17"/>
      <c r="BX185" s="17"/>
      <c r="BY185" s="17"/>
      <c r="BZ185" s="17"/>
      <c r="CA185" s="17"/>
      <c r="CB185" s="17"/>
      <c r="CC185" s="17"/>
      <c r="CD185" s="17"/>
      <c r="CE185" s="17"/>
      <c r="CF185" s="17"/>
      <c r="CG185" s="17"/>
      <c r="CH185" s="17"/>
      <c r="CI185" s="17"/>
      <c r="CJ185" s="17"/>
      <c r="CK185" s="17"/>
      <c r="CL185" s="17"/>
      <c r="CM185" s="17"/>
      <c r="CN185" s="17"/>
      <c r="CO185" s="17"/>
      <c r="CP185" s="17"/>
      <c r="CQ185" s="17"/>
      <c r="CR185" s="17"/>
      <c r="CS185" s="17"/>
      <c r="CT185" s="17"/>
      <c r="CU185" s="17"/>
      <c r="CV185" s="17"/>
    </row>
    <row r="186" spans="1:100" x14ac:dyDescent="0.35">
      <c r="B186" s="9" t="s">
        <v>444</v>
      </c>
      <c r="C186" t="s">
        <v>230</v>
      </c>
      <c r="D186" t="s">
        <v>327</v>
      </c>
      <c r="E186" t="s">
        <v>326</v>
      </c>
      <c r="F186" s="17">
        <v>0</v>
      </c>
      <c r="G186" s="17">
        <v>0.95399</v>
      </c>
      <c r="H186" s="17">
        <v>0.92251000000000005</v>
      </c>
      <c r="I186" s="17">
        <v>0.89939999999999998</v>
      </c>
      <c r="J186" s="17">
        <v>0.88078999999999996</v>
      </c>
      <c r="K186" s="17">
        <v>0.86443000000000003</v>
      </c>
      <c r="L186" s="17">
        <v>0.84899999999999998</v>
      </c>
      <c r="M186" s="17">
        <v>0.83401999999999998</v>
      </c>
      <c r="N186" s="17">
        <v>0.81932000000000005</v>
      </c>
      <c r="O186" s="17">
        <v>0.80491000000000001</v>
      </c>
      <c r="P186" s="17">
        <v>0.79068000000000005</v>
      </c>
      <c r="Q186" s="17">
        <v>0.77688999999999997</v>
      </c>
      <c r="R186" s="17">
        <v>0.76376999999999995</v>
      </c>
      <c r="S186" s="17">
        <v>0.75124999999999997</v>
      </c>
      <c r="T186" s="17">
        <v>0.73853999999999997</v>
      </c>
      <c r="U186" s="17">
        <v>0.72570999999999997</v>
      </c>
      <c r="V186" s="17">
        <v>0.71323000000000003</v>
      </c>
      <c r="W186" s="17">
        <v>0.70037000000000005</v>
      </c>
      <c r="X186" s="17">
        <v>0.68776999999999999</v>
      </c>
      <c r="Y186" s="17">
        <v>0.67520000000000002</v>
      </c>
      <c r="Z186" s="17">
        <v>0.66246000000000005</v>
      </c>
      <c r="AA186" s="17">
        <v>0.64963000000000004</v>
      </c>
      <c r="AB186" s="17">
        <v>0.95469000000000004</v>
      </c>
      <c r="AC186" s="17">
        <v>0.92293000000000003</v>
      </c>
      <c r="AD186" s="17">
        <v>0.89958000000000005</v>
      </c>
      <c r="AE186" s="17">
        <v>0.88102000000000003</v>
      </c>
      <c r="AF186" s="17">
        <v>0.86489000000000005</v>
      </c>
      <c r="AG186" s="17">
        <v>0.84945999999999999</v>
      </c>
      <c r="AH186" s="17">
        <v>0.83433000000000002</v>
      </c>
      <c r="AI186" s="17">
        <v>0.81972</v>
      </c>
      <c r="AJ186" s="17">
        <v>0.80508000000000002</v>
      </c>
      <c r="AK186" s="17">
        <v>0.79096</v>
      </c>
      <c r="AL186" s="17">
        <v>0.77725</v>
      </c>
      <c r="AM186" s="17">
        <v>0.76414000000000004</v>
      </c>
      <c r="AN186" s="17">
        <v>0.75144</v>
      </c>
      <c r="AO186" s="17"/>
      <c r="AP186" s="17"/>
      <c r="AQ186" s="17"/>
      <c r="AR186" s="17"/>
      <c r="AS186" s="17"/>
      <c r="AT186" s="17"/>
      <c r="AU186" s="17"/>
      <c r="AV186" s="17"/>
      <c r="AW186" s="17"/>
      <c r="AX186" s="17"/>
      <c r="AY186" s="17"/>
      <c r="AZ186" s="17"/>
      <c r="BA186" s="17"/>
      <c r="BB186" s="17"/>
      <c r="BC186" s="17"/>
      <c r="BD186" s="17"/>
      <c r="BE186" s="17"/>
      <c r="BF186" s="17"/>
      <c r="BG186" s="17"/>
      <c r="BH186" s="17"/>
      <c r="BI186" s="17"/>
      <c r="BJ186" s="17"/>
      <c r="BK186" s="17"/>
      <c r="BL186" s="17"/>
      <c r="BM186" s="17"/>
      <c r="BN186" s="17"/>
      <c r="BO186" s="17"/>
      <c r="BP186" s="17"/>
      <c r="BQ186" s="17"/>
      <c r="BR186" s="17"/>
      <c r="BS186" s="17"/>
      <c r="BT186" s="17"/>
      <c r="BU186" s="17"/>
      <c r="BV186" s="17"/>
      <c r="BW186" s="17"/>
      <c r="BX186" s="17"/>
      <c r="BY186" s="17"/>
      <c r="BZ186" s="17"/>
      <c r="CA186" s="17"/>
      <c r="CB186" s="17"/>
      <c r="CC186" s="17"/>
      <c r="CD186" s="17"/>
      <c r="CE186" s="17"/>
      <c r="CF186" s="17"/>
      <c r="CG186" s="17"/>
      <c r="CH186" s="17"/>
      <c r="CI186" s="17"/>
      <c r="CJ186" s="17"/>
      <c r="CK186" s="17"/>
      <c r="CL186" s="17"/>
      <c r="CM186" s="17"/>
      <c r="CN186" s="17"/>
      <c r="CO186" s="17"/>
      <c r="CP186" s="17"/>
      <c r="CQ186" s="17"/>
      <c r="CR186" s="17"/>
      <c r="CS186" s="17"/>
      <c r="CT186" s="17"/>
      <c r="CU186" s="17"/>
      <c r="CV186" s="17"/>
    </row>
    <row r="187" spans="1:100" x14ac:dyDescent="0.35">
      <c r="B187" s="9" t="s">
        <v>143</v>
      </c>
      <c r="C187" t="s">
        <v>338</v>
      </c>
      <c r="D187" t="s">
        <v>328</v>
      </c>
      <c r="E187" t="s">
        <v>217</v>
      </c>
      <c r="F187" s="17">
        <v>0</v>
      </c>
      <c r="G187" s="17">
        <v>330.95155</v>
      </c>
      <c r="H187" s="17">
        <v>332.18867999999998</v>
      </c>
      <c r="I187" s="17">
        <v>309.34118000000001</v>
      </c>
      <c r="J187" s="17">
        <v>281.09473000000003</v>
      </c>
      <c r="K187" s="17">
        <v>274.59649000000002</v>
      </c>
      <c r="L187" s="17">
        <v>268.50175999999999</v>
      </c>
      <c r="M187" s="17">
        <v>246.13374999999999</v>
      </c>
      <c r="N187" s="17">
        <v>215.05188000000001</v>
      </c>
      <c r="O187" s="17">
        <v>186.21054000000001</v>
      </c>
      <c r="P187" s="17">
        <v>153.89802</v>
      </c>
      <c r="Q187" s="17">
        <v>163.62272999999999</v>
      </c>
      <c r="R187" s="17">
        <v>141.10917000000001</v>
      </c>
      <c r="S187" s="17">
        <v>133.10556</v>
      </c>
      <c r="T187" s="17">
        <v>132.51002</v>
      </c>
      <c r="U187" s="17">
        <v>130.97671</v>
      </c>
      <c r="V187" s="17">
        <v>125.50373999999999</v>
      </c>
      <c r="W187" s="17">
        <v>116.60312</v>
      </c>
      <c r="X187" s="17">
        <v>100.92453</v>
      </c>
      <c r="Y187" s="17">
        <v>87.805440000000004</v>
      </c>
      <c r="Z187" s="17">
        <v>77.371099999999998</v>
      </c>
      <c r="AA187" s="17">
        <v>71.876469999999998</v>
      </c>
      <c r="AB187" s="17">
        <v>192.44226</v>
      </c>
      <c r="AC187" s="17">
        <v>171.01194000000001</v>
      </c>
      <c r="AD187" s="17">
        <v>162.20652999999999</v>
      </c>
      <c r="AE187" s="17">
        <v>152.30445</v>
      </c>
      <c r="AF187" s="17">
        <v>146.05677</v>
      </c>
      <c r="AG187" s="17">
        <v>138.14657</v>
      </c>
      <c r="AH187" s="17">
        <v>133.12914000000001</v>
      </c>
      <c r="AI187" s="17">
        <v>128.99144999999999</v>
      </c>
      <c r="AJ187" s="17">
        <v>123.52064</v>
      </c>
      <c r="AK187" s="17">
        <v>116.32996</v>
      </c>
      <c r="AL187" s="17">
        <v>113.65604999999999</v>
      </c>
      <c r="AM187" s="17">
        <v>104.54049000000001</v>
      </c>
      <c r="AN187" s="17">
        <v>99.599239999999995</v>
      </c>
      <c r="AO187" s="17"/>
      <c r="AP187" s="17"/>
      <c r="AQ187" s="17"/>
      <c r="AR187" s="17"/>
      <c r="AS187" s="17"/>
      <c r="AT187" s="17"/>
      <c r="AU187" s="17"/>
      <c r="AV187" s="17"/>
      <c r="AW187" s="17"/>
      <c r="AX187" s="17"/>
      <c r="AY187" s="17"/>
      <c r="AZ187" s="17"/>
      <c r="BA187" s="17"/>
      <c r="BB187" s="17"/>
      <c r="BC187" s="17"/>
      <c r="BD187" s="17"/>
      <c r="BE187" s="17"/>
      <c r="BF187" s="17"/>
      <c r="BG187" s="17"/>
      <c r="BH187" s="17"/>
      <c r="BI187" s="17"/>
      <c r="BJ187" s="17"/>
      <c r="BK187" s="17"/>
      <c r="BL187" s="17"/>
      <c r="BM187" s="17"/>
      <c r="BN187" s="17"/>
      <c r="BO187" s="17"/>
      <c r="BP187" s="17"/>
      <c r="BQ187" s="17"/>
      <c r="BR187" s="17"/>
      <c r="BS187" s="17"/>
      <c r="BT187" s="17"/>
      <c r="BU187" s="17"/>
      <c r="BV187" s="17"/>
      <c r="BW187" s="17"/>
      <c r="BX187" s="17"/>
      <c r="BY187" s="17"/>
      <c r="BZ187" s="17"/>
      <c r="CA187" s="17"/>
      <c r="CB187" s="17"/>
      <c r="CC187" s="17"/>
      <c r="CD187" s="17"/>
      <c r="CE187" s="17"/>
      <c r="CF187" s="17"/>
      <c r="CG187" s="17"/>
      <c r="CH187" s="17"/>
      <c r="CI187" s="17"/>
      <c r="CJ187" s="17"/>
      <c r="CK187" s="17"/>
      <c r="CL187" s="17"/>
      <c r="CM187" s="17"/>
      <c r="CN187" s="17"/>
      <c r="CO187" s="17"/>
      <c r="CP187" s="17"/>
      <c r="CQ187" s="17"/>
      <c r="CR187" s="17"/>
      <c r="CS187" s="17"/>
      <c r="CT187" s="17"/>
      <c r="CU187" s="17"/>
      <c r="CV187" s="17"/>
    </row>
    <row r="188" spans="1:100" x14ac:dyDescent="0.35">
      <c r="B188" s="9"/>
      <c r="C188" t="s">
        <v>230</v>
      </c>
      <c r="D188" t="s">
        <v>329</v>
      </c>
      <c r="E188" t="s">
        <v>217</v>
      </c>
      <c r="F188" s="17">
        <v>0</v>
      </c>
      <c r="G188" s="17">
        <v>-352.83656999999999</v>
      </c>
      <c r="H188" s="17">
        <v>-344.45146999999997</v>
      </c>
      <c r="I188" s="17">
        <v>-287.00191000000001</v>
      </c>
      <c r="J188" s="17">
        <v>-262.56506999999999</v>
      </c>
      <c r="K188" s="17">
        <v>-221.03941</v>
      </c>
      <c r="L188" s="17">
        <v>-202.32193000000001</v>
      </c>
      <c r="M188" s="17">
        <v>-190.56512000000001</v>
      </c>
      <c r="N188" s="17">
        <v>-185.12812</v>
      </c>
      <c r="O188" s="17">
        <v>-181.62968000000001</v>
      </c>
      <c r="P188" s="17">
        <v>-164.48238000000001</v>
      </c>
      <c r="Q188" s="17">
        <v>-152.11582999999999</v>
      </c>
      <c r="R188" s="17">
        <v>-149.82786999999999</v>
      </c>
      <c r="S188" s="17">
        <v>-143.49610000000001</v>
      </c>
      <c r="T188" s="17">
        <v>-130.87028000000001</v>
      </c>
      <c r="U188" s="17">
        <v>-122.25654</v>
      </c>
      <c r="V188" s="17">
        <v>-111.29810999999999</v>
      </c>
      <c r="W188" s="17">
        <v>-113.29091</v>
      </c>
      <c r="X188" s="17">
        <v>-101.13356</v>
      </c>
      <c r="Y188" s="17">
        <v>-88.068089999999998</v>
      </c>
      <c r="Z188" s="17">
        <v>-81.555409999999995</v>
      </c>
      <c r="AA188" s="17">
        <v>-81.146469999999994</v>
      </c>
      <c r="AB188" s="17">
        <v>-189.64786000000001</v>
      </c>
      <c r="AC188" s="17">
        <v>-173.67944</v>
      </c>
      <c r="AD188" s="17">
        <v>-149.87450000000001</v>
      </c>
      <c r="AE188" s="17">
        <v>-143.01786999999999</v>
      </c>
      <c r="AF188" s="17">
        <v>-130.29032000000001</v>
      </c>
      <c r="AG188" s="17">
        <v>-129.99263999999999</v>
      </c>
      <c r="AH188" s="17">
        <v>-123.21583</v>
      </c>
      <c r="AI188" s="17">
        <v>-110.90264000000001</v>
      </c>
      <c r="AJ188" s="17">
        <v>-99.243949999999998</v>
      </c>
      <c r="AK188" s="17">
        <v>-103.92728</v>
      </c>
      <c r="AL188" s="17">
        <v>-96.546409999999995</v>
      </c>
      <c r="AM188" s="17">
        <v>-89.073980000000006</v>
      </c>
      <c r="AN188" s="17">
        <v>-86.625820000000004</v>
      </c>
      <c r="AO188" s="17"/>
      <c r="AP188" s="17"/>
      <c r="AQ188" s="17"/>
      <c r="AR188" s="17"/>
      <c r="AS188" s="17"/>
      <c r="AT188" s="17"/>
      <c r="AU188" s="17"/>
      <c r="AV188" s="17"/>
      <c r="AW188" s="17"/>
      <c r="AX188" s="17"/>
      <c r="AY188" s="17"/>
      <c r="AZ188" s="17"/>
      <c r="BA188" s="17"/>
      <c r="BB188" s="17"/>
      <c r="BC188" s="17"/>
      <c r="BD188" s="17"/>
      <c r="BE188" s="17"/>
      <c r="BF188" s="17"/>
      <c r="BG188" s="17"/>
      <c r="BH188" s="17"/>
      <c r="BI188" s="17"/>
      <c r="BJ188" s="17"/>
      <c r="BK188" s="17"/>
      <c r="BL188" s="17"/>
      <c r="BM188" s="17"/>
      <c r="BN188" s="17"/>
      <c r="BO188" s="17"/>
      <c r="BP188" s="17"/>
      <c r="BQ188" s="17"/>
      <c r="BR188" s="17"/>
      <c r="BS188" s="17"/>
      <c r="BT188" s="17"/>
      <c r="BU188" s="17"/>
      <c r="BV188" s="17"/>
      <c r="BW188" s="17"/>
      <c r="BX188" s="17"/>
      <c r="BY188" s="17"/>
      <c r="BZ188" s="17"/>
      <c r="CA188" s="17"/>
      <c r="CB188" s="17"/>
      <c r="CC188" s="17"/>
      <c r="CD188" s="17"/>
      <c r="CE188" s="17"/>
      <c r="CF188" s="17"/>
      <c r="CG188" s="17"/>
      <c r="CH188" s="17"/>
      <c r="CI188" s="17"/>
      <c r="CJ188" s="17"/>
      <c r="CK188" s="17"/>
      <c r="CL188" s="17"/>
      <c r="CM188" s="17"/>
      <c r="CN188" s="17"/>
      <c r="CO188" s="17"/>
      <c r="CP188" s="17"/>
      <c r="CQ188" s="17"/>
      <c r="CR188" s="17"/>
      <c r="CS188" s="17"/>
      <c r="CT188" s="17"/>
      <c r="CU188" s="17"/>
      <c r="CV188" s="17"/>
    </row>
    <row r="189" spans="1:100" x14ac:dyDescent="0.35">
      <c r="B189" s="9"/>
      <c r="C189" t="s">
        <v>230</v>
      </c>
      <c r="D189" t="s">
        <v>330</v>
      </c>
      <c r="E189" t="s">
        <v>217</v>
      </c>
      <c r="F189" s="17">
        <v>0</v>
      </c>
      <c r="G189" s="17">
        <v>130.46915000000001</v>
      </c>
      <c r="H189" s="17">
        <v>160.09917999999999</v>
      </c>
      <c r="I189" s="17">
        <v>162.98497</v>
      </c>
      <c r="J189" s="17">
        <v>188.39543</v>
      </c>
      <c r="K189" s="17">
        <v>211.24897999999999</v>
      </c>
      <c r="L189" s="17">
        <v>188.47049999999999</v>
      </c>
      <c r="M189" s="17">
        <v>224.63309000000001</v>
      </c>
      <c r="N189" s="17">
        <v>235.77723</v>
      </c>
      <c r="O189" s="17">
        <v>214.91486</v>
      </c>
      <c r="P189" s="17">
        <v>260.88824</v>
      </c>
      <c r="Q189" s="17">
        <v>272.89987000000002</v>
      </c>
      <c r="R189" s="17">
        <v>264.95375000000001</v>
      </c>
      <c r="S189" s="17">
        <v>257.30279000000002</v>
      </c>
      <c r="T189" s="17">
        <v>252.86456999999999</v>
      </c>
      <c r="U189" s="17">
        <v>252.71702999999999</v>
      </c>
      <c r="V189" s="17">
        <v>240.45813000000001</v>
      </c>
      <c r="W189" s="17">
        <v>252.24338</v>
      </c>
      <c r="X189" s="17">
        <v>260.37029999999999</v>
      </c>
      <c r="Y189" s="17">
        <v>251.49648999999999</v>
      </c>
      <c r="Z189" s="17">
        <v>248.67787000000001</v>
      </c>
      <c r="AA189" s="17">
        <v>258.68241999999998</v>
      </c>
      <c r="AB189" s="17">
        <v>283.78098</v>
      </c>
      <c r="AC189" s="17">
        <v>291.68522999999999</v>
      </c>
      <c r="AD189" s="17">
        <v>269.68043999999998</v>
      </c>
      <c r="AE189" s="17">
        <v>266.89042000000001</v>
      </c>
      <c r="AF189" s="17">
        <v>256.42194000000001</v>
      </c>
      <c r="AG189" s="17">
        <v>247.25843</v>
      </c>
      <c r="AH189" s="17">
        <v>254.77676</v>
      </c>
      <c r="AI189" s="17">
        <v>245.36705000000001</v>
      </c>
      <c r="AJ189" s="17">
        <v>234.39997</v>
      </c>
      <c r="AK189" s="17">
        <v>254.76123999999999</v>
      </c>
      <c r="AL189" s="17">
        <v>247.3663</v>
      </c>
      <c r="AM189" s="17">
        <v>242.85658000000001</v>
      </c>
      <c r="AN189" s="17">
        <v>245.22676000000001</v>
      </c>
      <c r="AO189" s="17"/>
      <c r="AP189" s="17"/>
      <c r="AQ189" s="17"/>
      <c r="AR189" s="17"/>
      <c r="AS189" s="17"/>
      <c r="AT189" s="17"/>
      <c r="AU189" s="17"/>
      <c r="AV189" s="17"/>
      <c r="AW189" s="17"/>
      <c r="AX189" s="17"/>
      <c r="AY189" s="17"/>
      <c r="AZ189" s="17"/>
      <c r="BA189" s="17"/>
      <c r="BB189" s="17"/>
      <c r="BC189" s="17"/>
      <c r="BD189" s="17"/>
      <c r="BE189" s="17"/>
      <c r="BF189" s="17"/>
      <c r="BG189" s="17"/>
      <c r="BH189" s="17"/>
      <c r="BI189" s="17"/>
      <c r="BJ189" s="17"/>
      <c r="BK189" s="17"/>
      <c r="BL189" s="17"/>
      <c r="BM189" s="17"/>
      <c r="BN189" s="17"/>
      <c r="BO189" s="17"/>
      <c r="BP189" s="17"/>
      <c r="BQ189" s="17"/>
      <c r="BR189" s="17"/>
      <c r="BS189" s="17"/>
      <c r="BT189" s="17"/>
      <c r="BU189" s="17"/>
      <c r="BV189" s="17"/>
      <c r="BW189" s="17"/>
      <c r="BX189" s="17"/>
      <c r="BY189" s="17"/>
      <c r="BZ189" s="17"/>
      <c r="CA189" s="17"/>
      <c r="CB189" s="17"/>
      <c r="CC189" s="17"/>
      <c r="CD189" s="17"/>
      <c r="CE189" s="17"/>
      <c r="CF189" s="17"/>
      <c r="CG189" s="17"/>
      <c r="CH189" s="17"/>
      <c r="CI189" s="17"/>
      <c r="CJ189" s="17"/>
      <c r="CK189" s="17"/>
      <c r="CL189" s="17"/>
      <c r="CM189" s="17"/>
      <c r="CN189" s="17"/>
      <c r="CO189" s="17"/>
      <c r="CP189" s="17"/>
      <c r="CQ189" s="17"/>
      <c r="CR189" s="17"/>
      <c r="CS189" s="17"/>
      <c r="CT189" s="17"/>
      <c r="CU189" s="17"/>
      <c r="CV189" s="17"/>
    </row>
    <row r="190" spans="1:100" x14ac:dyDescent="0.35">
      <c r="B190" s="9"/>
      <c r="C190" t="s">
        <v>230</v>
      </c>
      <c r="D190" t="s">
        <v>331</v>
      </c>
      <c r="E190" t="s">
        <v>217</v>
      </c>
      <c r="F190" s="17">
        <v>0</v>
      </c>
      <c r="G190" s="17">
        <v>-190.00151</v>
      </c>
      <c r="H190" s="17">
        <v>-188.11923999999999</v>
      </c>
      <c r="I190" s="17">
        <v>-216.15639999999999</v>
      </c>
      <c r="J190" s="17">
        <v>-243.56621999999999</v>
      </c>
      <c r="K190" s="17">
        <v>-242.57481999999999</v>
      </c>
      <c r="L190" s="17">
        <v>-223.97009</v>
      </c>
      <c r="M190" s="17">
        <v>-238.27587</v>
      </c>
      <c r="N190" s="17">
        <v>-260.26956999999999</v>
      </c>
      <c r="O190" s="17">
        <v>-250.17001999999999</v>
      </c>
      <c r="P190" s="17">
        <v>-260.00353000000001</v>
      </c>
      <c r="Q190" s="17">
        <v>-224.6174</v>
      </c>
      <c r="R190" s="17">
        <v>-239.66237000000001</v>
      </c>
      <c r="S190" s="17">
        <v>-228.79894999999999</v>
      </c>
      <c r="T190" s="17">
        <v>-235.91915</v>
      </c>
      <c r="U190" s="17">
        <v>-239.61185</v>
      </c>
      <c r="V190" s="17">
        <v>-219.57186999999999</v>
      </c>
      <c r="W190" s="17">
        <v>-246.15702999999999</v>
      </c>
      <c r="X190" s="17">
        <v>-233.85086000000001</v>
      </c>
      <c r="Y190" s="17">
        <v>-229.71598</v>
      </c>
      <c r="Z190" s="17">
        <v>-234.62988999999999</v>
      </c>
      <c r="AA190" s="17">
        <v>-221.57472999999999</v>
      </c>
      <c r="AB190" s="17">
        <v>-229.79764</v>
      </c>
      <c r="AC190" s="17">
        <v>-235.1292</v>
      </c>
      <c r="AD190" s="17">
        <v>-230.29435000000001</v>
      </c>
      <c r="AE190" s="17">
        <v>-213.52131</v>
      </c>
      <c r="AF190" s="17">
        <v>-201.58106000000001</v>
      </c>
      <c r="AG190" s="17">
        <v>-213.56164000000001</v>
      </c>
      <c r="AH190" s="17">
        <v>-209.25452999999999</v>
      </c>
      <c r="AI190" s="17">
        <v>-209.02427</v>
      </c>
      <c r="AJ190" s="17">
        <v>-202.67352</v>
      </c>
      <c r="AK190" s="17">
        <v>-209.51945000000001</v>
      </c>
      <c r="AL190" s="17">
        <v>-212.79848999999999</v>
      </c>
      <c r="AM190" s="17">
        <v>-212.67202</v>
      </c>
      <c r="AN190" s="17">
        <v>-214.18642</v>
      </c>
      <c r="AO190" s="17"/>
      <c r="AP190" s="17"/>
      <c r="AQ190" s="17"/>
      <c r="AR190" s="17"/>
      <c r="AS190" s="17"/>
      <c r="AT190" s="17"/>
      <c r="AU190" s="17"/>
      <c r="AV190" s="17"/>
      <c r="AW190" s="17"/>
      <c r="AX190" s="17"/>
      <c r="AY190" s="17"/>
      <c r="AZ190" s="17"/>
      <c r="BA190" s="17"/>
      <c r="BB190" s="17"/>
      <c r="BC190" s="17"/>
      <c r="BD190" s="17"/>
      <c r="BE190" s="17"/>
      <c r="BF190" s="17"/>
      <c r="BG190" s="17"/>
      <c r="BH190" s="17"/>
      <c r="BI190" s="17"/>
      <c r="BJ190" s="17"/>
      <c r="BK190" s="17"/>
      <c r="BL190" s="17"/>
      <c r="BM190" s="17"/>
      <c r="BN190" s="17"/>
      <c r="BO190" s="17"/>
      <c r="BP190" s="17"/>
      <c r="BQ190" s="17"/>
      <c r="BR190" s="17"/>
      <c r="BS190" s="17"/>
      <c r="BT190" s="17"/>
      <c r="BU190" s="17"/>
      <c r="BV190" s="17"/>
      <c r="BW190" s="17"/>
      <c r="BX190" s="17"/>
      <c r="BY190" s="17"/>
      <c r="BZ190" s="17"/>
      <c r="CA190" s="17"/>
      <c r="CB190" s="17"/>
      <c r="CC190" s="17"/>
      <c r="CD190" s="17"/>
      <c r="CE190" s="17"/>
      <c r="CF190" s="17"/>
      <c r="CG190" s="17"/>
      <c r="CH190" s="17"/>
      <c r="CI190" s="17"/>
      <c r="CJ190" s="17"/>
      <c r="CK190" s="17"/>
      <c r="CL190" s="17"/>
      <c r="CM190" s="17"/>
      <c r="CN190" s="17"/>
      <c r="CO190" s="17"/>
      <c r="CP190" s="17"/>
      <c r="CQ190" s="17"/>
      <c r="CR190" s="17"/>
      <c r="CS190" s="17"/>
      <c r="CT190" s="17"/>
      <c r="CU190" s="17"/>
      <c r="CV190" s="17"/>
    </row>
    <row r="191" spans="1:100" x14ac:dyDescent="0.35">
      <c r="B191" s="9"/>
      <c r="C191" t="s">
        <v>230</v>
      </c>
      <c r="D191" t="s">
        <v>332</v>
      </c>
      <c r="E191" t="s">
        <v>217</v>
      </c>
      <c r="F191" s="17">
        <v>0</v>
      </c>
      <c r="G191" s="17">
        <v>251.10227</v>
      </c>
      <c r="H191" s="17">
        <v>193.99248</v>
      </c>
      <c r="I191" s="17">
        <v>189.65342000000001</v>
      </c>
      <c r="J191" s="17">
        <v>179.92035999999999</v>
      </c>
      <c r="K191" s="17">
        <v>153.16111000000001</v>
      </c>
      <c r="L191" s="17">
        <v>171.90754999999999</v>
      </c>
      <c r="M191" s="17">
        <v>145.89850999999999</v>
      </c>
      <c r="N191" s="17">
        <v>154.07783000000001</v>
      </c>
      <c r="O191" s="17">
        <v>187.57988</v>
      </c>
      <c r="P191" s="17">
        <v>168.61331000000001</v>
      </c>
      <c r="Q191" s="17">
        <v>143.62221</v>
      </c>
      <c r="R191" s="17">
        <v>161.87602000000001</v>
      </c>
      <c r="S191" s="17">
        <v>161.50368</v>
      </c>
      <c r="T191" s="17">
        <v>160.24866</v>
      </c>
      <c r="U191" s="17">
        <v>160.08476999999999</v>
      </c>
      <c r="V191" s="17">
        <v>154.82047</v>
      </c>
      <c r="W191" s="17">
        <v>149.74283</v>
      </c>
      <c r="X191" s="17">
        <v>145.23478</v>
      </c>
      <c r="Y191" s="17">
        <v>149.03990999999999</v>
      </c>
      <c r="Z191" s="17">
        <v>157.67735999999999</v>
      </c>
      <c r="AA191" s="17">
        <v>148.58897999999999</v>
      </c>
      <c r="AB191" s="17">
        <v>234.20490000000001</v>
      </c>
      <c r="AC191" s="17">
        <v>226.96234000000001</v>
      </c>
      <c r="AD191" s="17">
        <v>239.47152</v>
      </c>
      <c r="AE191" s="17">
        <v>236.27054999999999</v>
      </c>
      <c r="AF191" s="17">
        <v>231.03711000000001</v>
      </c>
      <c r="AG191" s="17">
        <v>236.14888999999999</v>
      </c>
      <c r="AH191" s="17">
        <v>229.11051</v>
      </c>
      <c r="AI191" s="17">
        <v>225.82416000000001</v>
      </c>
      <c r="AJ191" s="17">
        <v>235.61942999999999</v>
      </c>
      <c r="AK191" s="17">
        <v>210.97900999999999</v>
      </c>
      <c r="AL191" s="17">
        <v>214.96312</v>
      </c>
      <c r="AM191" s="17">
        <v>215.61617000000001</v>
      </c>
      <c r="AN191" s="17">
        <v>209.70256000000001</v>
      </c>
      <c r="AO191" s="17"/>
      <c r="AP191" s="17"/>
      <c r="AQ191" s="17"/>
      <c r="AR191" s="17"/>
      <c r="AS191" s="17"/>
      <c r="AT191" s="17"/>
      <c r="AU191" s="17"/>
      <c r="AV191" s="17"/>
      <c r="AW191" s="17"/>
      <c r="AX191" s="17"/>
      <c r="AY191" s="17"/>
      <c r="AZ191" s="17"/>
      <c r="BA191" s="17"/>
      <c r="BB191" s="17"/>
      <c r="BC191" s="17"/>
      <c r="BD191" s="17"/>
      <c r="BE191" s="17"/>
      <c r="BF191" s="17"/>
      <c r="BG191" s="17"/>
      <c r="BH191" s="17"/>
      <c r="BI191" s="17"/>
      <c r="BJ191" s="17"/>
      <c r="BK191" s="17"/>
      <c r="BL191" s="17"/>
      <c r="BM191" s="17"/>
      <c r="BN191" s="17"/>
      <c r="BO191" s="17"/>
      <c r="BP191" s="17"/>
      <c r="BQ191" s="17"/>
      <c r="BR191" s="17"/>
      <c r="BS191" s="17"/>
      <c r="BT191" s="17"/>
      <c r="BU191" s="17"/>
      <c r="BV191" s="17"/>
      <c r="BW191" s="17"/>
      <c r="BX191" s="17"/>
      <c r="BY191" s="17"/>
      <c r="BZ191" s="17"/>
      <c r="CA191" s="17"/>
      <c r="CB191" s="17"/>
      <c r="CC191" s="17"/>
      <c r="CD191" s="17"/>
      <c r="CE191" s="17"/>
      <c r="CF191" s="17"/>
      <c r="CG191" s="17"/>
      <c r="CH191" s="17"/>
      <c r="CI191" s="17"/>
      <c r="CJ191" s="17"/>
      <c r="CK191" s="17"/>
      <c r="CL191" s="17"/>
      <c r="CM191" s="17"/>
      <c r="CN191" s="17"/>
      <c r="CO191" s="17"/>
      <c r="CP191" s="17"/>
      <c r="CQ191" s="17"/>
      <c r="CR191" s="17"/>
      <c r="CS191" s="17"/>
      <c r="CT191" s="17"/>
      <c r="CU191" s="17"/>
      <c r="CV191" s="17"/>
    </row>
    <row r="192" spans="1:100" x14ac:dyDescent="0.35">
      <c r="B192" s="9"/>
      <c r="C192" t="s">
        <v>230</v>
      </c>
      <c r="D192" t="s">
        <v>333</v>
      </c>
      <c r="E192" t="s">
        <v>217</v>
      </c>
      <c r="F192" s="17">
        <v>0</v>
      </c>
      <c r="G192" s="17">
        <v>-338.47579000000002</v>
      </c>
      <c r="H192" s="17">
        <v>-318.48174999999998</v>
      </c>
      <c r="I192" s="17">
        <v>-319.02350999999999</v>
      </c>
      <c r="J192" s="17">
        <v>-300.97609999999997</v>
      </c>
      <c r="K192" s="17">
        <v>-330.51715000000002</v>
      </c>
      <c r="L192" s="17">
        <v>-356.47753</v>
      </c>
      <c r="M192" s="17">
        <v>-340.05443000000002</v>
      </c>
      <c r="N192" s="17">
        <v>-311.14999999999998</v>
      </c>
      <c r="O192" s="17">
        <v>-305.35217999999998</v>
      </c>
      <c r="P192" s="17">
        <v>-306.03241000000003</v>
      </c>
      <c r="Q192" s="17">
        <v>-352.53840000000002</v>
      </c>
      <c r="R192" s="17">
        <v>-324.93070999999998</v>
      </c>
      <c r="S192" s="17">
        <v>-323.17723000000001</v>
      </c>
      <c r="T192" s="17">
        <v>-321.05921999999998</v>
      </c>
      <c r="U192" s="17">
        <v>-325.37268999999998</v>
      </c>
      <c r="V192" s="17">
        <v>-328.78998999999999</v>
      </c>
      <c r="W192" s="17">
        <v>-298.44299000000001</v>
      </c>
      <c r="X192" s="17">
        <v>-307.51276000000001</v>
      </c>
      <c r="Y192" s="17">
        <v>-303.64164</v>
      </c>
      <c r="Z192" s="17">
        <v>-300.15710000000001</v>
      </c>
      <c r="AA192" s="17">
        <v>-308.86043000000001</v>
      </c>
      <c r="AB192" s="17">
        <v>-459.93376000000001</v>
      </c>
      <c r="AC192" s="17">
        <v>-446.37007</v>
      </c>
      <c r="AD192" s="17">
        <v>-453.13256999999999</v>
      </c>
      <c r="AE192" s="17">
        <v>-458.10849999999999</v>
      </c>
      <c r="AF192" s="17">
        <v>-455.97998000000001</v>
      </c>
      <c r="AG192" s="17">
        <v>-431.57479000000001</v>
      </c>
      <c r="AH192" s="17">
        <v>-438.42399</v>
      </c>
      <c r="AI192" s="17">
        <v>-430.85253999999998</v>
      </c>
      <c r="AJ192" s="17">
        <v>-440.23827999999997</v>
      </c>
      <c r="AK192" s="17">
        <v>-417.10127999999997</v>
      </c>
      <c r="AL192" s="17">
        <v>-414.54694000000001</v>
      </c>
      <c r="AM192" s="17">
        <v>-405.82722000000001</v>
      </c>
      <c r="AN192" s="17">
        <v>-396.69285000000002</v>
      </c>
      <c r="AO192" s="17"/>
      <c r="AP192" s="17"/>
      <c r="AQ192" s="17"/>
      <c r="AR192" s="17"/>
      <c r="AS192" s="17"/>
      <c r="AT192" s="17"/>
      <c r="AU192" s="17"/>
      <c r="AV192" s="17"/>
      <c r="AW192" s="17"/>
      <c r="AX192" s="17"/>
      <c r="AY192" s="17"/>
      <c r="AZ192" s="17"/>
      <c r="BA192" s="17"/>
      <c r="BB192" s="17"/>
      <c r="BC192" s="17"/>
      <c r="BD192" s="17"/>
      <c r="BE192" s="17"/>
      <c r="BF192" s="17"/>
      <c r="BG192" s="17"/>
      <c r="BH192" s="17"/>
      <c r="BI192" s="17"/>
      <c r="BJ192" s="17"/>
      <c r="BK192" s="17"/>
      <c r="BL192" s="17"/>
      <c r="BM192" s="17"/>
      <c r="BN192" s="17"/>
      <c r="BO192" s="17"/>
      <c r="BP192" s="17"/>
      <c r="BQ192" s="17"/>
      <c r="BR192" s="17"/>
      <c r="BS192" s="17"/>
      <c r="BT192" s="17"/>
      <c r="BU192" s="17"/>
      <c r="BV192" s="17"/>
      <c r="BW192" s="17"/>
      <c r="BX192" s="17"/>
      <c r="BY192" s="17"/>
      <c r="BZ192" s="17"/>
      <c r="CA192" s="17"/>
      <c r="CB192" s="17"/>
      <c r="CC192" s="17"/>
      <c r="CD192" s="17"/>
      <c r="CE192" s="17"/>
      <c r="CF192" s="17"/>
      <c r="CG192" s="17"/>
      <c r="CH192" s="17"/>
      <c r="CI192" s="17"/>
      <c r="CJ192" s="17"/>
      <c r="CK192" s="17"/>
      <c r="CL192" s="17"/>
      <c r="CM192" s="17"/>
      <c r="CN192" s="17"/>
      <c r="CO192" s="17"/>
      <c r="CP192" s="17"/>
      <c r="CQ192" s="17"/>
      <c r="CR192" s="17"/>
      <c r="CS192" s="17"/>
      <c r="CT192" s="17"/>
      <c r="CU192" s="17"/>
      <c r="CV192" s="17"/>
    </row>
    <row r="193" spans="2:100" x14ac:dyDescent="0.35">
      <c r="B193" s="9"/>
      <c r="C193" t="s">
        <v>230</v>
      </c>
      <c r="D193" t="s">
        <v>334</v>
      </c>
      <c r="E193" t="s">
        <v>217</v>
      </c>
      <c r="F193" s="17">
        <v>0</v>
      </c>
      <c r="G193" s="17">
        <v>712.52306999999996</v>
      </c>
      <c r="H193" s="17">
        <v>686.28030999999999</v>
      </c>
      <c r="I193" s="17">
        <v>661.97949000000006</v>
      </c>
      <c r="J193" s="17">
        <v>649.41051000000004</v>
      </c>
      <c r="K193" s="17">
        <v>639.00662</v>
      </c>
      <c r="L193" s="17">
        <v>628.87981000000002</v>
      </c>
      <c r="M193" s="17">
        <v>616.66543999999999</v>
      </c>
      <c r="N193" s="17">
        <v>604.90698999999995</v>
      </c>
      <c r="O193" s="17">
        <v>588.70528000000002</v>
      </c>
      <c r="P193" s="17">
        <v>583.39955999999995</v>
      </c>
      <c r="Q193" s="17">
        <v>580.14484000000004</v>
      </c>
      <c r="R193" s="17">
        <v>567.93899999999996</v>
      </c>
      <c r="S193" s="17">
        <v>551.91209000000003</v>
      </c>
      <c r="T193" s="17">
        <v>545.62323000000004</v>
      </c>
      <c r="U193" s="17">
        <v>543.77859000000001</v>
      </c>
      <c r="V193" s="17">
        <v>520.78236000000004</v>
      </c>
      <c r="W193" s="17">
        <v>518.58939999999996</v>
      </c>
      <c r="X193" s="17">
        <v>506.52958000000001</v>
      </c>
      <c r="Y193" s="17">
        <v>488.34186</v>
      </c>
      <c r="Z193" s="17">
        <v>483.72635000000002</v>
      </c>
      <c r="AA193" s="17">
        <v>479.14783</v>
      </c>
      <c r="AB193" s="17">
        <v>710.42819999999995</v>
      </c>
      <c r="AC193" s="17">
        <v>689.65961000000004</v>
      </c>
      <c r="AD193" s="17">
        <v>671.35847000000001</v>
      </c>
      <c r="AE193" s="17">
        <v>655.46550000000002</v>
      </c>
      <c r="AF193" s="17">
        <v>633.51580000000001</v>
      </c>
      <c r="AG193" s="17">
        <v>621.5539</v>
      </c>
      <c r="AH193" s="17">
        <v>617.01644999999996</v>
      </c>
      <c r="AI193" s="17">
        <v>600.18272000000002</v>
      </c>
      <c r="AJ193" s="17">
        <v>593.54010000000005</v>
      </c>
      <c r="AK193" s="17">
        <v>582.07011999999997</v>
      </c>
      <c r="AL193" s="17">
        <v>575.98555999999996</v>
      </c>
      <c r="AM193" s="17">
        <v>563.01324</v>
      </c>
      <c r="AN193" s="17">
        <v>554.52858000000003</v>
      </c>
      <c r="AO193" s="17"/>
      <c r="AP193" s="17"/>
      <c r="AQ193" s="17"/>
      <c r="AR193" s="17"/>
      <c r="AS193" s="17"/>
      <c r="AT193" s="17"/>
      <c r="AU193" s="17"/>
      <c r="AV193" s="17"/>
      <c r="AW193" s="17"/>
      <c r="AX193" s="17"/>
      <c r="AY193" s="17"/>
      <c r="AZ193" s="17"/>
      <c r="BA193" s="17"/>
      <c r="BB193" s="17"/>
      <c r="BC193" s="17"/>
      <c r="BD193" s="17"/>
      <c r="BE193" s="17"/>
      <c r="BF193" s="17"/>
      <c r="BG193" s="17"/>
      <c r="BH193" s="17"/>
      <c r="BI193" s="17"/>
      <c r="BJ193" s="17"/>
      <c r="BK193" s="17"/>
      <c r="BL193" s="17"/>
      <c r="BM193" s="17"/>
      <c r="BN193" s="17"/>
      <c r="BO193" s="17"/>
      <c r="BP193" s="17"/>
      <c r="BQ193" s="17"/>
      <c r="BR193" s="17"/>
      <c r="BS193" s="17"/>
      <c r="BT193" s="17"/>
      <c r="BU193" s="17"/>
      <c r="BV193" s="17"/>
      <c r="BW193" s="17"/>
      <c r="BX193" s="17"/>
      <c r="BY193" s="17"/>
      <c r="BZ193" s="17"/>
      <c r="CA193" s="17"/>
      <c r="CB193" s="17"/>
      <c r="CC193" s="17"/>
      <c r="CD193" s="17"/>
      <c r="CE193" s="17"/>
      <c r="CF193" s="17"/>
      <c r="CG193" s="17"/>
      <c r="CH193" s="17"/>
      <c r="CI193" s="17"/>
      <c r="CJ193" s="17"/>
      <c r="CK193" s="17"/>
      <c r="CL193" s="17"/>
      <c r="CM193" s="17"/>
      <c r="CN193" s="17"/>
      <c r="CO193" s="17"/>
      <c r="CP193" s="17"/>
      <c r="CQ193" s="17"/>
      <c r="CR193" s="17"/>
      <c r="CS193" s="17"/>
      <c r="CT193" s="17"/>
      <c r="CU193" s="17"/>
      <c r="CV193" s="17"/>
    </row>
    <row r="194" spans="2:100" x14ac:dyDescent="0.35">
      <c r="B194" s="9"/>
      <c r="C194" t="s">
        <v>230</v>
      </c>
      <c r="D194" t="s">
        <v>335</v>
      </c>
      <c r="E194" t="s">
        <v>217</v>
      </c>
      <c r="F194" s="17">
        <v>0</v>
      </c>
      <c r="G194" s="17">
        <v>-881.31388000000004</v>
      </c>
      <c r="H194" s="17">
        <v>-851.05246999999997</v>
      </c>
      <c r="I194" s="17">
        <v>-822.18191000000002</v>
      </c>
      <c r="J194" s="17">
        <v>-807.10748000000001</v>
      </c>
      <c r="K194" s="17">
        <v>-794.13143000000002</v>
      </c>
      <c r="L194" s="17">
        <v>-782.76964999999996</v>
      </c>
      <c r="M194" s="17">
        <v>-768.89541999999994</v>
      </c>
      <c r="N194" s="17">
        <v>-756.54772000000003</v>
      </c>
      <c r="O194" s="17">
        <v>-737.15195000000006</v>
      </c>
      <c r="P194" s="17">
        <v>-730.51832000000002</v>
      </c>
      <c r="Q194" s="17">
        <v>-729.27165000000002</v>
      </c>
      <c r="R194" s="17">
        <v>-714.42093999999997</v>
      </c>
      <c r="S194" s="17">
        <v>-695.47226000000001</v>
      </c>
      <c r="T194" s="17">
        <v>-687.84865000000002</v>
      </c>
      <c r="U194" s="17">
        <v>-687.24116000000004</v>
      </c>
      <c r="V194" s="17">
        <v>-659.65997000000004</v>
      </c>
      <c r="W194" s="17">
        <v>-657.89093000000003</v>
      </c>
      <c r="X194" s="17">
        <v>-642.49725999999998</v>
      </c>
      <c r="Y194" s="17">
        <v>-621.42569000000003</v>
      </c>
      <c r="Z194" s="17">
        <v>-616.3424</v>
      </c>
      <c r="AA194" s="17">
        <v>-611.58160999999996</v>
      </c>
      <c r="AB194" s="17">
        <v>-879.37938999999994</v>
      </c>
      <c r="AC194" s="17">
        <v>-855.17876000000001</v>
      </c>
      <c r="AD194" s="17">
        <v>-833.30145000000005</v>
      </c>
      <c r="AE194" s="17">
        <v>-814.64774999999997</v>
      </c>
      <c r="AF194" s="17">
        <v>-787.85148000000004</v>
      </c>
      <c r="AG194" s="17">
        <v>-775.12915999999996</v>
      </c>
      <c r="AH194" s="17">
        <v>-770.89440000000002</v>
      </c>
      <c r="AI194" s="17">
        <v>-750.77946999999995</v>
      </c>
      <c r="AJ194" s="17">
        <v>-742.15584000000001</v>
      </c>
      <c r="AK194" s="17">
        <v>-730.54804000000001</v>
      </c>
      <c r="AL194" s="17">
        <v>-723.89188999999999</v>
      </c>
      <c r="AM194" s="17">
        <v>-707.57327999999995</v>
      </c>
      <c r="AN194" s="17">
        <v>-697.50521000000003</v>
      </c>
      <c r="AO194" s="17"/>
      <c r="AP194" s="17"/>
      <c r="AQ194" s="17"/>
      <c r="AR194" s="17"/>
      <c r="AS194" s="17"/>
      <c r="AT194" s="17"/>
      <c r="AU194" s="17"/>
      <c r="AV194" s="17"/>
      <c r="AW194" s="17"/>
      <c r="AX194" s="17"/>
      <c r="AY194" s="17"/>
      <c r="AZ194" s="17"/>
      <c r="BA194" s="17"/>
      <c r="BB194" s="17"/>
      <c r="BC194" s="17"/>
      <c r="BD194" s="17"/>
      <c r="BE194" s="17"/>
      <c r="BF194" s="17"/>
      <c r="BG194" s="17"/>
      <c r="BH194" s="17"/>
      <c r="BI194" s="17"/>
      <c r="BJ194" s="17"/>
      <c r="BK194" s="17"/>
      <c r="BL194" s="17"/>
      <c r="BM194" s="17"/>
      <c r="BN194" s="17"/>
      <c r="BO194" s="17"/>
      <c r="BP194" s="17"/>
      <c r="BQ194" s="17"/>
      <c r="BR194" s="17"/>
      <c r="BS194" s="17"/>
      <c r="BT194" s="17"/>
      <c r="BU194" s="17"/>
      <c r="BV194" s="17"/>
      <c r="BW194" s="17"/>
      <c r="BX194" s="17"/>
      <c r="BY194" s="17"/>
      <c r="BZ194" s="17"/>
      <c r="CA194" s="17"/>
      <c r="CB194" s="17"/>
      <c r="CC194" s="17"/>
      <c r="CD194" s="17"/>
      <c r="CE194" s="17"/>
      <c r="CF194" s="17"/>
      <c r="CG194" s="17"/>
      <c r="CH194" s="17"/>
      <c r="CI194" s="17"/>
      <c r="CJ194" s="17"/>
      <c r="CK194" s="17"/>
      <c r="CL194" s="17"/>
      <c r="CM194" s="17"/>
      <c r="CN194" s="17"/>
      <c r="CO194" s="17"/>
      <c r="CP194" s="17"/>
      <c r="CQ194" s="17"/>
      <c r="CR194" s="17"/>
      <c r="CS194" s="17"/>
      <c r="CT194" s="17"/>
      <c r="CU194" s="17"/>
      <c r="CV194" s="17"/>
    </row>
    <row r="195" spans="2:100" x14ac:dyDescent="0.35">
      <c r="B195" s="9"/>
      <c r="D195" t="s">
        <v>336</v>
      </c>
      <c r="E195" t="s">
        <v>217</v>
      </c>
      <c r="F195" s="17">
        <v>0</v>
      </c>
      <c r="G195" s="17">
        <v>0</v>
      </c>
      <c r="H195" s="17">
        <v>0</v>
      </c>
      <c r="I195" s="17">
        <v>0</v>
      </c>
      <c r="J195" s="17">
        <v>0</v>
      </c>
      <c r="K195" s="17">
        <v>0</v>
      </c>
      <c r="L195" s="17">
        <v>0</v>
      </c>
      <c r="M195" s="17">
        <v>0</v>
      </c>
      <c r="N195" s="17">
        <v>0</v>
      </c>
      <c r="O195" s="17">
        <v>0</v>
      </c>
      <c r="P195" s="17">
        <v>0</v>
      </c>
      <c r="Q195" s="17">
        <v>0</v>
      </c>
      <c r="R195" s="17">
        <v>0</v>
      </c>
      <c r="S195" s="17">
        <v>0</v>
      </c>
      <c r="T195" s="17">
        <v>0</v>
      </c>
      <c r="U195" s="17">
        <v>0</v>
      </c>
      <c r="V195" s="17">
        <v>0</v>
      </c>
      <c r="W195" s="17">
        <v>0</v>
      </c>
      <c r="X195" s="17">
        <v>0</v>
      </c>
      <c r="Y195" s="17">
        <v>0</v>
      </c>
      <c r="Z195" s="17">
        <v>0</v>
      </c>
      <c r="AA195" s="17">
        <v>0</v>
      </c>
      <c r="AB195" s="17">
        <v>0</v>
      </c>
      <c r="AC195" s="17">
        <v>0</v>
      </c>
      <c r="AD195" s="17">
        <v>0</v>
      </c>
      <c r="AE195" s="17">
        <v>0</v>
      </c>
      <c r="AF195" s="17">
        <v>0</v>
      </c>
      <c r="AG195" s="17">
        <v>0</v>
      </c>
      <c r="AH195" s="17">
        <v>0</v>
      </c>
      <c r="AI195" s="17">
        <v>0</v>
      </c>
      <c r="AJ195" s="17">
        <v>0</v>
      </c>
      <c r="AK195" s="17">
        <v>0</v>
      </c>
      <c r="AL195" s="17">
        <v>0</v>
      </c>
      <c r="AM195" s="17">
        <v>0</v>
      </c>
      <c r="AN195" s="17">
        <v>0</v>
      </c>
      <c r="AO195" s="17"/>
      <c r="AP195" s="17"/>
      <c r="AQ195" s="17"/>
      <c r="AR195" s="17"/>
      <c r="AS195" s="17"/>
      <c r="AT195" s="17"/>
      <c r="AU195" s="17"/>
      <c r="AV195" s="17"/>
      <c r="AW195" s="17"/>
      <c r="AX195" s="17"/>
      <c r="AY195" s="17"/>
      <c r="AZ195" s="17"/>
      <c r="BA195" s="17"/>
      <c r="BB195" s="17"/>
      <c r="BC195" s="17"/>
      <c r="BD195" s="17"/>
      <c r="BE195" s="17"/>
      <c r="BF195" s="17"/>
      <c r="BG195" s="17"/>
      <c r="BH195" s="17"/>
      <c r="BI195" s="17"/>
      <c r="BJ195" s="17"/>
      <c r="BK195" s="17"/>
      <c r="BL195" s="17"/>
      <c r="BM195" s="17"/>
      <c r="BN195" s="17"/>
      <c r="BO195" s="17"/>
      <c r="BP195" s="17"/>
      <c r="BQ195" s="17"/>
      <c r="BR195" s="17"/>
      <c r="BS195" s="17"/>
      <c r="BT195" s="17"/>
      <c r="BU195" s="17"/>
      <c r="BV195" s="17"/>
      <c r="BW195" s="17"/>
      <c r="BX195" s="17"/>
      <c r="BY195" s="17"/>
      <c r="BZ195" s="17"/>
      <c r="CA195" s="17"/>
      <c r="CB195" s="17"/>
      <c r="CC195" s="17"/>
      <c r="CD195" s="17"/>
      <c r="CE195" s="17"/>
      <c r="CF195" s="17"/>
      <c r="CG195" s="17"/>
      <c r="CH195" s="17"/>
      <c r="CI195" s="17"/>
      <c r="CJ195" s="17"/>
      <c r="CK195" s="17"/>
      <c r="CL195" s="17"/>
      <c r="CM195" s="17"/>
      <c r="CN195" s="17"/>
      <c r="CO195" s="17"/>
      <c r="CP195" s="17"/>
      <c r="CQ195" s="17"/>
      <c r="CR195" s="17"/>
      <c r="CS195" s="17"/>
      <c r="CT195" s="17"/>
      <c r="CU195" s="17"/>
      <c r="CV195" s="17"/>
    </row>
    <row r="196" spans="2:100" x14ac:dyDescent="0.35">
      <c r="B196" s="9"/>
      <c r="C196" t="s">
        <v>339</v>
      </c>
      <c r="D196" t="s">
        <v>340</v>
      </c>
      <c r="E196" t="s">
        <v>219</v>
      </c>
      <c r="F196" s="17">
        <v>0</v>
      </c>
      <c r="G196" s="17">
        <v>80.997574552960799</v>
      </c>
      <c r="H196" s="17">
        <v>74.160741262529896</v>
      </c>
      <c r="I196" s="17">
        <v>56.9401146348183</v>
      </c>
      <c r="J196" s="17">
        <v>44.6084518228161</v>
      </c>
      <c r="K196" s="17">
        <v>45.216636731828302</v>
      </c>
      <c r="L196" s="17">
        <v>47.285585325972903</v>
      </c>
      <c r="M196" s="17">
        <v>40.911474851469897</v>
      </c>
      <c r="N196" s="17">
        <v>33.950877598329299</v>
      </c>
      <c r="O196" s="17">
        <v>27.530654679207402</v>
      </c>
      <c r="P196" s="17">
        <v>21.684559902115801</v>
      </c>
      <c r="Q196" s="17">
        <v>23.8052935864226</v>
      </c>
      <c r="R196" s="17">
        <v>19.7212290730589</v>
      </c>
      <c r="S196" s="17">
        <v>18.377522465850198</v>
      </c>
      <c r="T196" s="17">
        <v>18.013877680000601</v>
      </c>
      <c r="U196" s="17">
        <v>17.548271530426401</v>
      </c>
      <c r="V196" s="17">
        <v>16.840151948730799</v>
      </c>
      <c r="W196" s="17">
        <v>15.4934157518212</v>
      </c>
      <c r="X196" s="17">
        <v>13.118092064033799</v>
      </c>
      <c r="Y196" s="17">
        <v>11.5426636321553</v>
      </c>
      <c r="Z196" s="17">
        <v>10.0600869011769</v>
      </c>
      <c r="AA196" s="17">
        <v>9.4132590531875202</v>
      </c>
      <c r="AB196" s="17">
        <v>24.395227829202501</v>
      </c>
      <c r="AC196" s="17">
        <v>21.4823609067376</v>
      </c>
      <c r="AD196" s="17">
        <v>20.033349940272199</v>
      </c>
      <c r="AE196" s="17">
        <v>18.541809802523701</v>
      </c>
      <c r="AF196" s="17">
        <v>17.4672456762206</v>
      </c>
      <c r="AG196" s="17">
        <v>16.4919371766334</v>
      </c>
      <c r="AH196" s="17">
        <v>15.789208175233099</v>
      </c>
      <c r="AI196" s="17">
        <v>15.366152090664</v>
      </c>
      <c r="AJ196" s="17">
        <v>14.532356770688899</v>
      </c>
      <c r="AK196" s="17">
        <v>13.779367920837901</v>
      </c>
      <c r="AL196" s="17">
        <v>13.7422502235721</v>
      </c>
      <c r="AM196" s="17">
        <v>12.5445907336657</v>
      </c>
      <c r="AN196" s="17">
        <v>11.7860546006038</v>
      </c>
      <c r="AO196" s="17"/>
      <c r="AP196" s="17"/>
      <c r="AQ196" s="17"/>
      <c r="AR196" s="17"/>
      <c r="AS196" s="17"/>
      <c r="AT196" s="17"/>
      <c r="AU196" s="17"/>
      <c r="AV196" s="17"/>
      <c r="AW196" s="17"/>
      <c r="AX196" s="17"/>
      <c r="AY196" s="17"/>
      <c r="AZ196" s="17"/>
      <c r="BA196" s="17"/>
      <c r="BB196" s="17"/>
      <c r="BC196" s="17"/>
      <c r="BD196" s="17"/>
      <c r="BE196" s="17"/>
      <c r="BF196" s="17"/>
      <c r="BG196" s="17"/>
      <c r="BH196" s="17"/>
      <c r="BI196" s="17"/>
      <c r="BJ196" s="17"/>
      <c r="BK196" s="17"/>
      <c r="BL196" s="17"/>
      <c r="BM196" s="17"/>
      <c r="BN196" s="17"/>
      <c r="BO196" s="17"/>
      <c r="BP196" s="17"/>
      <c r="BQ196" s="17"/>
      <c r="BR196" s="17"/>
      <c r="BS196" s="17"/>
      <c r="BT196" s="17"/>
      <c r="BU196" s="17"/>
      <c r="BV196" s="17"/>
      <c r="BW196" s="17"/>
      <c r="BX196" s="17"/>
      <c r="BY196" s="17"/>
      <c r="BZ196" s="17"/>
      <c r="CA196" s="17"/>
      <c r="CB196" s="17"/>
      <c r="CC196" s="17"/>
      <c r="CD196" s="17"/>
      <c r="CE196" s="17"/>
      <c r="CF196" s="17"/>
      <c r="CG196" s="17"/>
      <c r="CH196" s="17"/>
      <c r="CI196" s="17"/>
      <c r="CJ196" s="17"/>
      <c r="CK196" s="17"/>
      <c r="CL196" s="17"/>
      <c r="CM196" s="17"/>
      <c r="CN196" s="17"/>
      <c r="CO196" s="17"/>
      <c r="CP196" s="17"/>
      <c r="CQ196" s="17"/>
      <c r="CR196" s="17"/>
      <c r="CS196" s="17"/>
      <c r="CT196" s="17"/>
      <c r="CU196" s="17"/>
      <c r="CV196" s="17"/>
    </row>
    <row r="197" spans="2:100" x14ac:dyDescent="0.35">
      <c r="B197" s="9"/>
      <c r="C197" t="s">
        <v>230</v>
      </c>
      <c r="D197" t="s">
        <v>341</v>
      </c>
      <c r="E197" t="s">
        <v>219</v>
      </c>
      <c r="F197" s="17">
        <v>0</v>
      </c>
      <c r="G197" s="17">
        <v>-2.8328962012238499</v>
      </c>
      <c r="H197" s="17">
        <v>-1.52491785876286</v>
      </c>
      <c r="I197" s="17">
        <v>-6.38407677993265E-2</v>
      </c>
      <c r="J197" s="17">
        <v>-0.32140812667551599</v>
      </c>
      <c r="K197" s="17">
        <v>-2.6952901476397E-2</v>
      </c>
      <c r="L197" s="17">
        <v>-0.58781352998931502</v>
      </c>
      <c r="M197" s="17">
        <v>-0.80738565527261497</v>
      </c>
      <c r="N197" s="17">
        <v>-0.65312730519491002</v>
      </c>
      <c r="O197" s="17">
        <v>-0.769359081096613</v>
      </c>
      <c r="P197" s="17">
        <v>-0.587521017880269</v>
      </c>
      <c r="Q197" s="17">
        <v>-0.67321661896975904</v>
      </c>
      <c r="R197" s="17">
        <v>-0.57386697050443503</v>
      </c>
      <c r="S197" s="17">
        <v>-0.62010477745580495</v>
      </c>
      <c r="T197" s="17">
        <v>-0.59838575335912703</v>
      </c>
      <c r="U197" s="17">
        <v>-0.65928050634591695</v>
      </c>
      <c r="V197" s="17">
        <v>-0.56674221127695301</v>
      </c>
      <c r="W197" s="17">
        <v>-0.461719917268341</v>
      </c>
      <c r="X197" s="17">
        <v>-0.54545150848280699</v>
      </c>
      <c r="Y197" s="17">
        <v>-0.52155953729035798</v>
      </c>
      <c r="Z197" s="17">
        <v>-0.47004606551512002</v>
      </c>
      <c r="AA197" s="17">
        <v>-0.40533820824969202</v>
      </c>
      <c r="AB197" s="17">
        <v>-1.09753677372434</v>
      </c>
      <c r="AC197" s="17">
        <v>-0.92417111480929803</v>
      </c>
      <c r="AD197" s="17">
        <v>-0.76089712365634898</v>
      </c>
      <c r="AE197" s="17">
        <v>-0.73748570807161795</v>
      </c>
      <c r="AF197" s="17">
        <v>-0.61993762767920702</v>
      </c>
      <c r="AG197" s="17">
        <v>-0.69208365000323702</v>
      </c>
      <c r="AH197" s="17">
        <v>-0.57390875794858498</v>
      </c>
      <c r="AI197" s="17">
        <v>-0.52653224314414204</v>
      </c>
      <c r="AJ197" s="17">
        <v>-0.44622722234993201</v>
      </c>
      <c r="AK197" s="17">
        <v>-0.47414123504176597</v>
      </c>
      <c r="AL197" s="17">
        <v>-0.45833513429223599</v>
      </c>
      <c r="AM197" s="17">
        <v>-0.40044907728420598</v>
      </c>
      <c r="AN197" s="17">
        <v>-0.386335368022728</v>
      </c>
      <c r="AO197" s="17"/>
      <c r="AP197" s="17"/>
      <c r="AQ197" s="17"/>
      <c r="AR197" s="17"/>
      <c r="AS197" s="17"/>
      <c r="AT197" s="17"/>
      <c r="AU197" s="17"/>
      <c r="AV197" s="17"/>
      <c r="AW197" s="17"/>
      <c r="AX197" s="17"/>
      <c r="AY197" s="17"/>
      <c r="AZ197" s="17"/>
      <c r="BA197" s="17"/>
      <c r="BB197" s="17"/>
      <c r="BC197" s="17"/>
      <c r="BD197" s="17"/>
      <c r="BE197" s="17"/>
      <c r="BF197" s="17"/>
      <c r="BG197" s="17"/>
      <c r="BH197" s="17"/>
      <c r="BI197" s="17"/>
      <c r="BJ197" s="17"/>
      <c r="BK197" s="17"/>
      <c r="BL197" s="17"/>
      <c r="BM197" s="17"/>
      <c r="BN197" s="17"/>
      <c r="BO197" s="17"/>
      <c r="BP197" s="17"/>
      <c r="BQ197" s="17"/>
      <c r="BR197" s="17"/>
      <c r="BS197" s="17"/>
      <c r="BT197" s="17"/>
      <c r="BU197" s="17"/>
      <c r="BV197" s="17"/>
      <c r="BW197" s="17"/>
      <c r="BX197" s="17"/>
      <c r="BY197" s="17"/>
      <c r="BZ197" s="17"/>
      <c r="CA197" s="17"/>
      <c r="CB197" s="17"/>
      <c r="CC197" s="17"/>
      <c r="CD197" s="17"/>
      <c r="CE197" s="17"/>
      <c r="CF197" s="17"/>
      <c r="CG197" s="17"/>
      <c r="CH197" s="17"/>
      <c r="CI197" s="17"/>
      <c r="CJ197" s="17"/>
      <c r="CK197" s="17"/>
      <c r="CL197" s="17"/>
      <c r="CM197" s="17"/>
      <c r="CN197" s="17"/>
      <c r="CO197" s="17"/>
      <c r="CP197" s="17"/>
      <c r="CQ197" s="17"/>
      <c r="CR197" s="17"/>
      <c r="CS197" s="17"/>
      <c r="CT197" s="17"/>
      <c r="CU197" s="17"/>
      <c r="CV197" s="17"/>
    </row>
    <row r="198" spans="2:100" x14ac:dyDescent="0.35">
      <c r="B198" s="9"/>
      <c r="C198" t="s">
        <v>230</v>
      </c>
      <c r="D198" t="s">
        <v>342</v>
      </c>
      <c r="E198" t="s">
        <v>219</v>
      </c>
      <c r="F198" s="17">
        <v>0</v>
      </c>
      <c r="G198" s="17">
        <v>21.815291921137401</v>
      </c>
      <c r="H198" s="17">
        <v>25.506951440215602</v>
      </c>
      <c r="I198" s="17">
        <v>24.752792541928301</v>
      </c>
      <c r="J198" s="17">
        <v>26.3128431943599</v>
      </c>
      <c r="K198" s="17">
        <v>30.669455865327301</v>
      </c>
      <c r="L198" s="17">
        <v>27.631936996964601</v>
      </c>
      <c r="M198" s="17">
        <v>31.977340186038901</v>
      </c>
      <c r="N198" s="17">
        <v>31.048039662460301</v>
      </c>
      <c r="O198" s="17">
        <v>27.879266432024199</v>
      </c>
      <c r="P198" s="17">
        <v>33.082503168320599</v>
      </c>
      <c r="Q198" s="17">
        <v>36.252373319165599</v>
      </c>
      <c r="R198" s="17">
        <v>34.850038927815099</v>
      </c>
      <c r="S198" s="17">
        <v>33.445145055510501</v>
      </c>
      <c r="T198" s="17">
        <v>32.342217701490902</v>
      </c>
      <c r="U198" s="17">
        <v>31.7144031405895</v>
      </c>
      <c r="V198" s="17">
        <v>31.621488758523199</v>
      </c>
      <c r="W198" s="17">
        <v>32.940384070768303</v>
      </c>
      <c r="X198" s="17">
        <v>34.079614266892698</v>
      </c>
      <c r="Y198" s="17">
        <v>33.100534450471002</v>
      </c>
      <c r="Z198" s="17">
        <v>31.656297699499699</v>
      </c>
      <c r="AA198" s="17">
        <v>32.737213517313599</v>
      </c>
      <c r="AB198" s="17">
        <v>36.403225992545103</v>
      </c>
      <c r="AC198" s="17">
        <v>36.619110375882201</v>
      </c>
      <c r="AD198" s="17">
        <v>33.8604077817457</v>
      </c>
      <c r="AE198" s="17">
        <v>33.5278841949265</v>
      </c>
      <c r="AF198" s="17">
        <v>31.698116484232301</v>
      </c>
      <c r="AG198" s="17">
        <v>29.972201019110599</v>
      </c>
      <c r="AH198" s="17">
        <v>31.324996395421799</v>
      </c>
      <c r="AI198" s="17">
        <v>29.960437853582501</v>
      </c>
      <c r="AJ198" s="17">
        <v>28.8324798205173</v>
      </c>
      <c r="AK198" s="17">
        <v>31.080738337507199</v>
      </c>
      <c r="AL198" s="17">
        <v>30.996964958848601</v>
      </c>
      <c r="AM198" s="17">
        <v>31.203906829137701</v>
      </c>
      <c r="AN198" s="17">
        <v>30.680080323002301</v>
      </c>
      <c r="AO198" s="17"/>
      <c r="AP198" s="17"/>
      <c r="AQ198" s="17"/>
      <c r="AR198" s="17"/>
      <c r="AS198" s="17"/>
      <c r="AT198" s="17"/>
      <c r="AU198" s="17"/>
      <c r="AV198" s="17"/>
      <c r="AW198" s="17"/>
      <c r="AX198" s="17"/>
      <c r="AY198" s="17"/>
      <c r="AZ198" s="17"/>
      <c r="BA198" s="17"/>
      <c r="BB198" s="17"/>
      <c r="BC198" s="17"/>
      <c r="BD198" s="17"/>
      <c r="BE198" s="17"/>
      <c r="BF198" s="17"/>
      <c r="BG198" s="17"/>
      <c r="BH198" s="17"/>
      <c r="BI198" s="17"/>
      <c r="BJ198" s="17"/>
      <c r="BK198" s="17"/>
      <c r="BL198" s="17"/>
      <c r="BM198" s="17"/>
      <c r="BN198" s="17"/>
      <c r="BO198" s="17"/>
      <c r="BP198" s="17"/>
      <c r="BQ198" s="17"/>
      <c r="BR198" s="17"/>
      <c r="BS198" s="17"/>
      <c r="BT198" s="17"/>
      <c r="BU198" s="17"/>
      <c r="BV198" s="17"/>
      <c r="BW198" s="17"/>
      <c r="BX198" s="17"/>
      <c r="BY198" s="17"/>
      <c r="BZ198" s="17"/>
      <c r="CA198" s="17"/>
      <c r="CB198" s="17"/>
      <c r="CC198" s="17"/>
      <c r="CD198" s="17"/>
      <c r="CE198" s="17"/>
      <c r="CF198" s="17"/>
      <c r="CG198" s="17"/>
      <c r="CH198" s="17"/>
      <c r="CI198" s="17"/>
      <c r="CJ198" s="17"/>
      <c r="CK198" s="17"/>
      <c r="CL198" s="17"/>
      <c r="CM198" s="17"/>
      <c r="CN198" s="17"/>
      <c r="CO198" s="17"/>
      <c r="CP198" s="17"/>
      <c r="CQ198" s="17"/>
      <c r="CR198" s="17"/>
      <c r="CS198" s="17"/>
      <c r="CT198" s="17"/>
      <c r="CU198" s="17"/>
      <c r="CV198" s="17"/>
    </row>
    <row r="199" spans="2:100" x14ac:dyDescent="0.35">
      <c r="B199" s="9"/>
      <c r="C199" t="s">
        <v>230</v>
      </c>
      <c r="D199" t="s">
        <v>343</v>
      </c>
      <c r="E199" t="s">
        <v>219</v>
      </c>
      <c r="F199" s="17">
        <v>0</v>
      </c>
      <c r="G199" s="17">
        <v>-15.102598680413401</v>
      </c>
      <c r="H199" s="17">
        <v>-13.796678369576799</v>
      </c>
      <c r="I199" s="17">
        <v>-14.6543970013274</v>
      </c>
      <c r="J199" s="17">
        <v>-13.789125289046799</v>
      </c>
      <c r="K199" s="17">
        <v>-13.846781515111999</v>
      </c>
      <c r="L199" s="17">
        <v>-11.562711158486</v>
      </c>
      <c r="M199" s="17">
        <v>-12.7969033214401</v>
      </c>
      <c r="N199" s="17">
        <v>-12.980057689147101</v>
      </c>
      <c r="O199" s="17">
        <v>-12.856074342355701</v>
      </c>
      <c r="P199" s="17">
        <v>-13.337643295595001</v>
      </c>
      <c r="Q199" s="17">
        <v>-10.977780962142999</v>
      </c>
      <c r="R199" s="17">
        <v>-12.309014017273199</v>
      </c>
      <c r="S199" s="17">
        <v>-11.457051605954099</v>
      </c>
      <c r="T199" s="17">
        <v>-11.0005969066486</v>
      </c>
      <c r="U199" s="17">
        <v>-10.742371395527099</v>
      </c>
      <c r="V199" s="17">
        <v>-8.9513824330036194</v>
      </c>
      <c r="W199" s="17">
        <v>-10.6091948110227</v>
      </c>
      <c r="X199" s="17">
        <v>-9.0389584690798408</v>
      </c>
      <c r="Y199" s="17">
        <v>-8.9797352138590298</v>
      </c>
      <c r="Z199" s="17">
        <v>-10.0289134678414</v>
      </c>
      <c r="AA199" s="17">
        <v>-9.0075134173573694</v>
      </c>
      <c r="AB199" s="17">
        <v>-9.7248157899048095</v>
      </c>
      <c r="AC199" s="17">
        <v>-9.7345731581136992</v>
      </c>
      <c r="AD199" s="17">
        <v>-9.2147895871997001</v>
      </c>
      <c r="AE199" s="17">
        <v>-8.5098771918425804</v>
      </c>
      <c r="AF199" s="17">
        <v>-7.4878085422521501</v>
      </c>
      <c r="AG199" s="17">
        <v>-7.9789886076458503</v>
      </c>
      <c r="AH199" s="17">
        <v>-7.4152237517645503</v>
      </c>
      <c r="AI199" s="17">
        <v>-7.6309514321860998</v>
      </c>
      <c r="AJ199" s="17">
        <v>-6.6907025982402999</v>
      </c>
      <c r="AK199" s="17">
        <v>-7.1328033104804698</v>
      </c>
      <c r="AL199" s="17">
        <v>-7.79350458992747</v>
      </c>
      <c r="AM199" s="17">
        <v>-9.1269105921534006</v>
      </c>
      <c r="AN199" s="17">
        <v>-9.1215200118581201</v>
      </c>
      <c r="AO199" s="17"/>
      <c r="AP199" s="17"/>
      <c r="AQ199" s="17"/>
      <c r="AR199" s="17"/>
      <c r="AS199" s="17"/>
      <c r="AT199" s="17"/>
      <c r="AU199" s="17"/>
      <c r="AV199" s="17"/>
      <c r="AW199" s="17"/>
      <c r="AX199" s="17"/>
      <c r="AY199" s="17"/>
      <c r="AZ199" s="17"/>
      <c r="BA199" s="17"/>
      <c r="BB199" s="17"/>
      <c r="BC199" s="17"/>
      <c r="BD199" s="17"/>
      <c r="BE199" s="17"/>
      <c r="BF199" s="17"/>
      <c r="BG199" s="17"/>
      <c r="BH199" s="17"/>
      <c r="BI199" s="17"/>
      <c r="BJ199" s="17"/>
      <c r="BK199" s="17"/>
      <c r="BL199" s="17"/>
      <c r="BM199" s="17"/>
      <c r="BN199" s="17"/>
      <c r="BO199" s="17"/>
      <c r="BP199" s="17"/>
      <c r="BQ199" s="17"/>
      <c r="BR199" s="17"/>
      <c r="BS199" s="17"/>
      <c r="BT199" s="17"/>
      <c r="BU199" s="17"/>
      <c r="BV199" s="17"/>
      <c r="BW199" s="17"/>
      <c r="BX199" s="17"/>
      <c r="BY199" s="17"/>
      <c r="BZ199" s="17"/>
      <c r="CA199" s="17"/>
      <c r="CB199" s="17"/>
      <c r="CC199" s="17"/>
      <c r="CD199" s="17"/>
      <c r="CE199" s="17"/>
      <c r="CF199" s="17"/>
      <c r="CG199" s="17"/>
      <c r="CH199" s="17"/>
      <c r="CI199" s="17"/>
      <c r="CJ199" s="17"/>
      <c r="CK199" s="17"/>
      <c r="CL199" s="17"/>
      <c r="CM199" s="17"/>
      <c r="CN199" s="17"/>
      <c r="CO199" s="17"/>
      <c r="CP199" s="17"/>
      <c r="CQ199" s="17"/>
      <c r="CR199" s="17"/>
      <c r="CS199" s="17"/>
      <c r="CT199" s="17"/>
      <c r="CU199" s="17"/>
      <c r="CV199" s="17"/>
    </row>
    <row r="200" spans="2:100" x14ac:dyDescent="0.35">
      <c r="B200" s="9"/>
      <c r="C200" t="s">
        <v>230</v>
      </c>
      <c r="D200" t="s">
        <v>344</v>
      </c>
      <c r="E200" t="s">
        <v>219</v>
      </c>
      <c r="F200" s="17">
        <v>0</v>
      </c>
      <c r="G200" s="17">
        <v>45.472804211325503</v>
      </c>
      <c r="H200" s="17">
        <v>30.098148375777001</v>
      </c>
      <c r="I200" s="17">
        <v>27.734890812487802</v>
      </c>
      <c r="J200" s="17">
        <v>22.844683820315002</v>
      </c>
      <c r="K200" s="17">
        <v>19.023138477959201</v>
      </c>
      <c r="L200" s="17">
        <v>22.104367012902198</v>
      </c>
      <c r="M200" s="17">
        <v>17.107737847341799</v>
      </c>
      <c r="N200" s="17">
        <v>17.569175699362098</v>
      </c>
      <c r="O200" s="17">
        <v>22.740183869358201</v>
      </c>
      <c r="P200" s="17">
        <v>19.318878667065899</v>
      </c>
      <c r="Q200" s="17">
        <v>15.840502262926501</v>
      </c>
      <c r="R200" s="17">
        <v>18.519787819457001</v>
      </c>
      <c r="S200" s="17">
        <v>18.436505443267102</v>
      </c>
      <c r="T200" s="17">
        <v>18.315593473620702</v>
      </c>
      <c r="U200" s="17">
        <v>18.286070644329101</v>
      </c>
      <c r="V200" s="17">
        <v>17.795893477595001</v>
      </c>
      <c r="W200" s="17">
        <v>17.090991529098901</v>
      </c>
      <c r="X200" s="17">
        <v>16.4917804737178</v>
      </c>
      <c r="Y200" s="17">
        <v>17.1748171420627</v>
      </c>
      <c r="Z200" s="17">
        <v>19.054176102101199</v>
      </c>
      <c r="AA200" s="17">
        <v>17.774487859329401</v>
      </c>
      <c r="AB200" s="17">
        <v>25.518745946326799</v>
      </c>
      <c r="AC200" s="17">
        <v>24.858817734596499</v>
      </c>
      <c r="AD200" s="17">
        <v>26.488977271449802</v>
      </c>
      <c r="AE200" s="17">
        <v>26.9961096936476</v>
      </c>
      <c r="AF200" s="17">
        <v>26.693579044866599</v>
      </c>
      <c r="AG200" s="17">
        <v>27.180632600150499</v>
      </c>
      <c r="AH200" s="17">
        <v>25.9433795069125</v>
      </c>
      <c r="AI200" s="17">
        <v>25.754970368103599</v>
      </c>
      <c r="AJ200" s="17">
        <v>26.830370243289799</v>
      </c>
      <c r="AK200" s="17">
        <v>23.446788656203399</v>
      </c>
      <c r="AL200" s="17">
        <v>24.243487172634801</v>
      </c>
      <c r="AM200" s="17">
        <v>24.748404860292599</v>
      </c>
      <c r="AN200" s="17">
        <v>23.662725273845702</v>
      </c>
      <c r="AO200" s="17"/>
      <c r="AP200" s="17"/>
      <c r="AQ200" s="17"/>
      <c r="AR200" s="17"/>
      <c r="AS200" s="17"/>
      <c r="AT200" s="17"/>
      <c r="AU200" s="17"/>
      <c r="AV200" s="17"/>
      <c r="AW200" s="17"/>
      <c r="AX200" s="17"/>
      <c r="AY200" s="17"/>
      <c r="AZ200" s="17"/>
      <c r="BA200" s="17"/>
      <c r="BB200" s="17"/>
      <c r="BC200" s="17"/>
      <c r="BD200" s="17"/>
      <c r="BE200" s="17"/>
      <c r="BF200" s="17"/>
      <c r="BG200" s="17"/>
      <c r="BH200" s="17"/>
      <c r="BI200" s="17"/>
      <c r="BJ200" s="17"/>
      <c r="BK200" s="17"/>
      <c r="BL200" s="17"/>
      <c r="BM200" s="17"/>
      <c r="BN200" s="17"/>
      <c r="BO200" s="17"/>
      <c r="BP200" s="17"/>
      <c r="BQ200" s="17"/>
      <c r="BR200" s="17"/>
      <c r="BS200" s="17"/>
      <c r="BT200" s="17"/>
      <c r="BU200" s="17"/>
      <c r="BV200" s="17"/>
      <c r="BW200" s="17"/>
      <c r="BX200" s="17"/>
      <c r="BY200" s="17"/>
      <c r="BZ200" s="17"/>
      <c r="CA200" s="17"/>
      <c r="CB200" s="17"/>
      <c r="CC200" s="17"/>
      <c r="CD200" s="17"/>
      <c r="CE200" s="17"/>
      <c r="CF200" s="17"/>
      <c r="CG200" s="17"/>
      <c r="CH200" s="17"/>
      <c r="CI200" s="17"/>
      <c r="CJ200" s="17"/>
      <c r="CK200" s="17"/>
      <c r="CL200" s="17"/>
      <c r="CM200" s="17"/>
      <c r="CN200" s="17"/>
      <c r="CO200" s="17"/>
      <c r="CP200" s="17"/>
      <c r="CQ200" s="17"/>
      <c r="CR200" s="17"/>
      <c r="CS200" s="17"/>
      <c r="CT200" s="17"/>
      <c r="CU200" s="17"/>
      <c r="CV200" s="17"/>
    </row>
    <row r="201" spans="2:100" x14ac:dyDescent="0.35">
      <c r="B201" s="9"/>
      <c r="C201" t="s">
        <v>230</v>
      </c>
      <c r="D201" t="s">
        <v>345</v>
      </c>
      <c r="E201" t="s">
        <v>219</v>
      </c>
      <c r="F201" s="17">
        <v>0</v>
      </c>
      <c r="G201" s="17">
        <v>-30.392217067117699</v>
      </c>
      <c r="H201" s="17">
        <v>-25.0113836931862</v>
      </c>
      <c r="I201" s="17">
        <v>-23.388975727222601</v>
      </c>
      <c r="J201" s="17">
        <v>-23.817098539394799</v>
      </c>
      <c r="K201" s="17">
        <v>-24.950750111725299</v>
      </c>
      <c r="L201" s="17">
        <v>-21.4772941791345</v>
      </c>
      <c r="M201" s="17">
        <v>-21.737765765379098</v>
      </c>
      <c r="N201" s="17">
        <v>-17.380181536335201</v>
      </c>
      <c r="O201" s="17">
        <v>-15.6720675224211</v>
      </c>
      <c r="P201" s="17">
        <v>-17.6151314410655</v>
      </c>
      <c r="Q201" s="17">
        <v>-21.827075980387502</v>
      </c>
      <c r="R201" s="17">
        <v>-21.107694682493602</v>
      </c>
      <c r="S201" s="17">
        <v>-18.037811438637199</v>
      </c>
      <c r="T201" s="17">
        <v>-14.8850219055882</v>
      </c>
      <c r="U201" s="17">
        <v>-14.4619971616023</v>
      </c>
      <c r="V201" s="17">
        <v>-16.407672795505999</v>
      </c>
      <c r="W201" s="17">
        <v>-16.996781736264001</v>
      </c>
      <c r="X201" s="17">
        <v>-17.6585485955368</v>
      </c>
      <c r="Y201" s="17">
        <v>-16.689058997547399</v>
      </c>
      <c r="Z201" s="17">
        <v>-13.6538070980298</v>
      </c>
      <c r="AA201" s="17">
        <v>-15.1484290597843</v>
      </c>
      <c r="AB201" s="17">
        <v>-19.265714591246802</v>
      </c>
      <c r="AC201" s="17">
        <v>-17.769974815361302</v>
      </c>
      <c r="AD201" s="17">
        <v>-15.9621350659845</v>
      </c>
      <c r="AE201" s="17">
        <v>-16.080926322840401</v>
      </c>
      <c r="AF201" s="17">
        <v>-14.442074997603999</v>
      </c>
      <c r="AG201" s="17">
        <v>-12.790697885983899</v>
      </c>
      <c r="AH201" s="17">
        <v>-14.3870409336592</v>
      </c>
      <c r="AI201" s="17">
        <v>-12.3969870340688</v>
      </c>
      <c r="AJ201" s="17">
        <v>-12.136724385045</v>
      </c>
      <c r="AK201" s="17">
        <v>-12.945739750639399</v>
      </c>
      <c r="AL201" s="17">
        <v>-11.9557220707116</v>
      </c>
      <c r="AM201" s="17">
        <v>-10.706747599389599</v>
      </c>
      <c r="AN201" s="17">
        <v>-10.7897792509146</v>
      </c>
      <c r="AO201" s="17"/>
      <c r="AP201" s="17"/>
      <c r="AQ201" s="17"/>
      <c r="AR201" s="17"/>
      <c r="AS201" s="17"/>
      <c r="AT201" s="17"/>
      <c r="AU201" s="17"/>
      <c r="AV201" s="17"/>
      <c r="AW201" s="17"/>
      <c r="AX201" s="17"/>
      <c r="AY201" s="17"/>
      <c r="AZ201" s="17"/>
      <c r="BA201" s="17"/>
      <c r="BB201" s="17"/>
      <c r="BC201" s="17"/>
      <c r="BD201" s="17"/>
      <c r="BE201" s="17"/>
      <c r="BF201" s="17"/>
      <c r="BG201" s="17"/>
      <c r="BH201" s="17"/>
      <c r="BI201" s="17"/>
      <c r="BJ201" s="17"/>
      <c r="BK201" s="17"/>
      <c r="BL201" s="17"/>
      <c r="BM201" s="17"/>
      <c r="BN201" s="17"/>
      <c r="BO201" s="17"/>
      <c r="BP201" s="17"/>
      <c r="BQ201" s="17"/>
      <c r="BR201" s="17"/>
      <c r="BS201" s="17"/>
      <c r="BT201" s="17"/>
      <c r="BU201" s="17"/>
      <c r="BV201" s="17"/>
      <c r="BW201" s="17"/>
      <c r="BX201" s="17"/>
      <c r="BY201" s="17"/>
      <c r="BZ201" s="17"/>
      <c r="CA201" s="17"/>
      <c r="CB201" s="17"/>
      <c r="CC201" s="17"/>
      <c r="CD201" s="17"/>
      <c r="CE201" s="17"/>
      <c r="CF201" s="17"/>
      <c r="CG201" s="17"/>
      <c r="CH201" s="17"/>
      <c r="CI201" s="17"/>
      <c r="CJ201" s="17"/>
      <c r="CK201" s="17"/>
      <c r="CL201" s="17"/>
      <c r="CM201" s="17"/>
      <c r="CN201" s="17"/>
      <c r="CO201" s="17"/>
      <c r="CP201" s="17"/>
      <c r="CQ201" s="17"/>
      <c r="CR201" s="17"/>
      <c r="CS201" s="17"/>
      <c r="CT201" s="17"/>
      <c r="CU201" s="17"/>
      <c r="CV201" s="17"/>
    </row>
    <row r="202" spans="2:100" x14ac:dyDescent="0.35">
      <c r="B202" s="9"/>
      <c r="D202" t="s">
        <v>220</v>
      </c>
      <c r="E202" t="s">
        <v>219</v>
      </c>
      <c r="F202" s="17">
        <v>0</v>
      </c>
      <c r="G202" s="17">
        <v>0</v>
      </c>
      <c r="H202" s="17">
        <v>0</v>
      </c>
      <c r="I202" s="17">
        <v>0</v>
      </c>
      <c r="J202" s="17">
        <v>0</v>
      </c>
      <c r="K202" s="17">
        <v>0</v>
      </c>
      <c r="L202" s="17">
        <v>0</v>
      </c>
      <c r="M202" s="17">
        <v>0</v>
      </c>
      <c r="N202" s="17">
        <v>0</v>
      </c>
      <c r="O202" s="17">
        <v>0</v>
      </c>
      <c r="P202" s="17">
        <v>0</v>
      </c>
      <c r="Q202" s="17">
        <v>0</v>
      </c>
      <c r="R202" s="17">
        <v>0</v>
      </c>
      <c r="S202" s="17">
        <v>0</v>
      </c>
      <c r="T202" s="17">
        <v>0</v>
      </c>
      <c r="U202" s="17">
        <v>0</v>
      </c>
      <c r="V202" s="17">
        <v>0</v>
      </c>
      <c r="W202" s="17">
        <v>0</v>
      </c>
      <c r="X202" s="17">
        <v>0</v>
      </c>
      <c r="Y202" s="17">
        <v>0</v>
      </c>
      <c r="Z202" s="17">
        <v>0</v>
      </c>
      <c r="AA202" s="17">
        <v>0</v>
      </c>
      <c r="AB202" s="17">
        <v>0</v>
      </c>
      <c r="AC202" s="17">
        <v>0</v>
      </c>
      <c r="AD202" s="17">
        <v>0</v>
      </c>
      <c r="AE202" s="17">
        <v>0</v>
      </c>
      <c r="AF202" s="17">
        <v>0</v>
      </c>
      <c r="AG202" s="17">
        <v>0</v>
      </c>
      <c r="AH202" s="17">
        <v>0</v>
      </c>
      <c r="AI202" s="17">
        <v>0</v>
      </c>
      <c r="AJ202" s="17">
        <v>0</v>
      </c>
      <c r="AK202" s="17">
        <v>0</v>
      </c>
      <c r="AL202" s="17">
        <v>0</v>
      </c>
      <c r="AM202" s="17">
        <v>0</v>
      </c>
      <c r="AN202" s="17">
        <v>0</v>
      </c>
      <c r="AO202" s="17"/>
      <c r="AP202" s="17"/>
      <c r="AQ202" s="17"/>
      <c r="AR202" s="17"/>
      <c r="AS202" s="17"/>
      <c r="AT202" s="17"/>
      <c r="AU202" s="17"/>
      <c r="AV202" s="17"/>
      <c r="AW202" s="17"/>
      <c r="AX202" s="17"/>
      <c r="AY202" s="17"/>
      <c r="AZ202" s="17"/>
      <c r="BA202" s="17"/>
      <c r="BB202" s="17"/>
      <c r="BC202" s="17"/>
      <c r="BD202" s="17"/>
      <c r="BE202" s="17"/>
      <c r="BF202" s="17"/>
      <c r="BG202" s="17"/>
      <c r="BH202" s="17"/>
      <c r="BI202" s="17"/>
      <c r="BJ202" s="17"/>
      <c r="BK202" s="17"/>
      <c r="BL202" s="17"/>
      <c r="BM202" s="17"/>
      <c r="BN202" s="17"/>
      <c r="BO202" s="17"/>
      <c r="BP202" s="17"/>
      <c r="BQ202" s="17"/>
      <c r="BR202" s="17"/>
      <c r="BS202" s="17"/>
      <c r="BT202" s="17"/>
      <c r="BU202" s="17"/>
      <c r="BV202" s="17"/>
      <c r="BW202" s="17"/>
      <c r="BX202" s="17"/>
      <c r="BY202" s="17"/>
      <c r="BZ202" s="17"/>
      <c r="CA202" s="17"/>
      <c r="CB202" s="17"/>
      <c r="CC202" s="17"/>
      <c r="CD202" s="17"/>
      <c r="CE202" s="17"/>
      <c r="CF202" s="17"/>
      <c r="CG202" s="17"/>
      <c r="CH202" s="17"/>
      <c r="CI202" s="17"/>
      <c r="CJ202" s="17"/>
      <c r="CK202" s="17"/>
      <c r="CL202" s="17"/>
      <c r="CM202" s="17"/>
      <c r="CN202" s="17"/>
      <c r="CO202" s="17"/>
      <c r="CP202" s="17"/>
      <c r="CQ202" s="17"/>
      <c r="CR202" s="17"/>
      <c r="CS202" s="17"/>
      <c r="CT202" s="17"/>
      <c r="CU202" s="17"/>
      <c r="CV202" s="17"/>
    </row>
    <row r="203" spans="2:100" x14ac:dyDescent="0.35">
      <c r="B203" s="9"/>
      <c r="C203" t="s">
        <v>230</v>
      </c>
      <c r="D203" t="s">
        <v>346</v>
      </c>
      <c r="E203" t="s">
        <v>219</v>
      </c>
      <c r="F203" s="17">
        <v>0</v>
      </c>
      <c r="G203" s="17">
        <v>99.957990077251793</v>
      </c>
      <c r="H203" s="17">
        <v>89.432861156996694</v>
      </c>
      <c r="I203" s="17">
        <v>71.320668067773397</v>
      </c>
      <c r="J203" s="17">
        <v>55.838430457262099</v>
      </c>
      <c r="K203" s="17">
        <v>56.084715206218</v>
      </c>
      <c r="L203" s="17">
        <v>63.394070468229899</v>
      </c>
      <c r="M203" s="17">
        <v>54.654550377063998</v>
      </c>
      <c r="N203" s="17">
        <v>51.554747323196501</v>
      </c>
      <c r="O203" s="17">
        <v>48.852666715882599</v>
      </c>
      <c r="P203" s="17">
        <v>42.545666876683597</v>
      </c>
      <c r="Q203" s="17">
        <v>42.419970244681998</v>
      </c>
      <c r="R203" s="17">
        <v>39.100407022032599</v>
      </c>
      <c r="S203" s="17">
        <v>40.144215589441799</v>
      </c>
      <c r="T203" s="17">
        <v>42.187673842655201</v>
      </c>
      <c r="U203" s="17">
        <v>41.685106698730799</v>
      </c>
      <c r="V203" s="17">
        <v>40.3317367450624</v>
      </c>
      <c r="W203" s="17">
        <v>37.457220249465699</v>
      </c>
      <c r="X203" s="17">
        <v>36.446549125267097</v>
      </c>
      <c r="Y203" s="17">
        <v>35.627724157158497</v>
      </c>
      <c r="Z203" s="17">
        <v>36.6178254119746</v>
      </c>
      <c r="AA203" s="17">
        <v>35.363648403856097</v>
      </c>
      <c r="AB203" s="17">
        <v>56.229028144588099</v>
      </c>
      <c r="AC203" s="17">
        <v>54.531486354043899</v>
      </c>
      <c r="AD203" s="17">
        <v>54.444934110349301</v>
      </c>
      <c r="AE203" s="17">
        <v>53.737451787177001</v>
      </c>
      <c r="AF203" s="17">
        <v>53.3091409315061</v>
      </c>
      <c r="AG203" s="17">
        <v>52.182969311678399</v>
      </c>
      <c r="AH203" s="17">
        <v>50.681462868500198</v>
      </c>
      <c r="AI203" s="17">
        <v>50.527162730978397</v>
      </c>
      <c r="AJ203" s="17">
        <v>50.921594416305098</v>
      </c>
      <c r="AK203" s="17">
        <v>47.754189724664897</v>
      </c>
      <c r="AL203" s="17">
        <v>48.775140560124299</v>
      </c>
      <c r="AM203" s="17">
        <v>48.262774260546799</v>
      </c>
      <c r="AN203" s="17">
        <v>45.831204672934298</v>
      </c>
      <c r="AO203" s="17"/>
      <c r="AP203" s="17"/>
      <c r="AQ203" s="17"/>
      <c r="AR203" s="17"/>
      <c r="AS203" s="17"/>
      <c r="AT203" s="17"/>
      <c r="AU203" s="17"/>
      <c r="AV203" s="17"/>
      <c r="AW203" s="17"/>
      <c r="AX203" s="17"/>
      <c r="AY203" s="17"/>
      <c r="AZ203" s="17"/>
      <c r="BA203" s="17"/>
      <c r="BB203" s="17"/>
      <c r="BC203" s="17"/>
      <c r="BD203" s="17"/>
      <c r="BE203" s="17"/>
      <c r="BF203" s="17"/>
      <c r="BG203" s="17"/>
      <c r="BH203" s="17"/>
      <c r="BI203" s="17"/>
      <c r="BJ203" s="17"/>
      <c r="BK203" s="17"/>
      <c r="BL203" s="17"/>
      <c r="BM203" s="17"/>
      <c r="BN203" s="17"/>
      <c r="BO203" s="17"/>
      <c r="BP203" s="17"/>
      <c r="BQ203" s="17"/>
      <c r="BR203" s="17"/>
      <c r="BS203" s="17"/>
      <c r="BT203" s="17"/>
      <c r="BU203" s="17"/>
      <c r="BV203" s="17"/>
      <c r="BW203" s="17"/>
      <c r="BX203" s="17"/>
      <c r="BY203" s="17"/>
      <c r="BZ203" s="17"/>
      <c r="CA203" s="17"/>
      <c r="CB203" s="17"/>
      <c r="CC203" s="17"/>
      <c r="CD203" s="17"/>
      <c r="CE203" s="17"/>
      <c r="CF203" s="17"/>
      <c r="CG203" s="17"/>
      <c r="CH203" s="17"/>
      <c r="CI203" s="17"/>
      <c r="CJ203" s="17"/>
      <c r="CK203" s="17"/>
      <c r="CL203" s="17"/>
      <c r="CM203" s="17"/>
      <c r="CN203" s="17"/>
      <c r="CO203" s="17"/>
      <c r="CP203" s="17"/>
      <c r="CQ203" s="17"/>
      <c r="CR203" s="17"/>
      <c r="CS203" s="17"/>
      <c r="CT203" s="17"/>
      <c r="CU203" s="17"/>
      <c r="CV203" s="17"/>
    </row>
    <row r="204" spans="2:100" x14ac:dyDescent="0.35">
      <c r="B204" s="9"/>
      <c r="C204" t="s">
        <v>230</v>
      </c>
      <c r="D204" t="s">
        <v>347</v>
      </c>
      <c r="E204" t="s">
        <v>219</v>
      </c>
      <c r="F204" s="17">
        <v>0</v>
      </c>
      <c r="G204" s="17">
        <v>10.260489036456599</v>
      </c>
      <c r="H204" s="17">
        <v>11.629477047375801</v>
      </c>
      <c r="I204" s="17">
        <v>7.1985245132665199</v>
      </c>
      <c r="J204" s="17">
        <v>7.7695185969856801</v>
      </c>
      <c r="K204" s="17">
        <v>5.8106381307307498</v>
      </c>
      <c r="L204" s="17">
        <v>4.9712328463786104</v>
      </c>
      <c r="M204" s="17">
        <v>5.9654606113044704</v>
      </c>
      <c r="N204" s="17">
        <v>5.8684406128504802</v>
      </c>
      <c r="O204" s="17">
        <v>7.5616782966473401</v>
      </c>
      <c r="P204" s="17">
        <v>7.4326073285307199</v>
      </c>
      <c r="Q204" s="17">
        <v>7.7997936002719603</v>
      </c>
      <c r="R204" s="17">
        <v>8.2247823541329392</v>
      </c>
      <c r="S204" s="17">
        <v>8.2523620672715801</v>
      </c>
      <c r="T204" s="17">
        <v>7.6463709990772504</v>
      </c>
      <c r="U204" s="17">
        <v>7.151962853623</v>
      </c>
      <c r="V204" s="17">
        <v>7.50407430488732</v>
      </c>
      <c r="W204" s="17">
        <v>7.0745829539192497</v>
      </c>
      <c r="X204" s="17">
        <v>7.3076837642459296</v>
      </c>
      <c r="Y204" s="17">
        <v>7.7942358702000902</v>
      </c>
      <c r="Z204" s="17">
        <v>8.3542711966910499</v>
      </c>
      <c r="AA204" s="17">
        <v>8.9720045366913794</v>
      </c>
      <c r="AB204" s="17">
        <v>9.4984218643641096</v>
      </c>
      <c r="AC204" s="17">
        <v>9.45457638859029</v>
      </c>
      <c r="AD204" s="17">
        <v>9.1665877703732992</v>
      </c>
      <c r="AE204" s="17">
        <v>9.2700639289483906</v>
      </c>
      <c r="AF204" s="17">
        <v>9.3724849545586899</v>
      </c>
      <c r="AG204" s="17">
        <v>9.3263516162176998</v>
      </c>
      <c r="AH204" s="17">
        <v>9.1657833620734301</v>
      </c>
      <c r="AI204" s="17">
        <v>9.0316561132147193</v>
      </c>
      <c r="AJ204" s="17">
        <v>9.1587003902900896</v>
      </c>
      <c r="AK204" s="17">
        <v>9.1546574550686408</v>
      </c>
      <c r="AL204" s="17">
        <v>8.9863167363125598</v>
      </c>
      <c r="AM204" s="17">
        <v>9.0851858291701699</v>
      </c>
      <c r="AN204" s="17">
        <v>8.9144214386534308</v>
      </c>
      <c r="AO204" s="17"/>
      <c r="AP204" s="17"/>
      <c r="AQ204" s="17"/>
      <c r="AR204" s="17"/>
      <c r="AS204" s="17"/>
      <c r="AT204" s="17"/>
      <c r="AU204" s="17"/>
      <c r="AV204" s="17"/>
      <c r="AW204" s="17"/>
      <c r="AX204" s="17"/>
      <c r="AY204" s="17"/>
      <c r="AZ204" s="17"/>
      <c r="BA204" s="17"/>
      <c r="BB204" s="17"/>
      <c r="BC204" s="17"/>
      <c r="BD204" s="17"/>
      <c r="BE204" s="17"/>
      <c r="BF204" s="17"/>
      <c r="BG204" s="17"/>
      <c r="BH204" s="17"/>
      <c r="BI204" s="17"/>
      <c r="BJ204" s="17"/>
      <c r="BK204" s="17"/>
      <c r="BL204" s="17"/>
      <c r="BM204" s="17"/>
      <c r="BN204" s="17"/>
      <c r="BO204" s="17"/>
      <c r="BP204" s="17"/>
      <c r="BQ204" s="17"/>
      <c r="BR204" s="17"/>
      <c r="BS204" s="17"/>
      <c r="BT204" s="17"/>
      <c r="BU204" s="17"/>
      <c r="BV204" s="17"/>
      <c r="BW204" s="17"/>
      <c r="BX204" s="17"/>
      <c r="BY204" s="17"/>
      <c r="BZ204" s="17"/>
      <c r="CA204" s="17"/>
      <c r="CB204" s="17"/>
      <c r="CC204" s="17"/>
      <c r="CD204" s="17"/>
      <c r="CE204" s="17"/>
      <c r="CF204" s="17"/>
      <c r="CG204" s="17"/>
      <c r="CH204" s="17"/>
      <c r="CI204" s="17"/>
      <c r="CJ204" s="17"/>
      <c r="CK204" s="17"/>
      <c r="CL204" s="17"/>
      <c r="CM204" s="17"/>
      <c r="CN204" s="17"/>
      <c r="CO204" s="17"/>
      <c r="CP204" s="17"/>
      <c r="CQ204" s="17"/>
      <c r="CR204" s="17"/>
      <c r="CS204" s="17"/>
      <c r="CT204" s="17"/>
      <c r="CU204" s="17"/>
      <c r="CV204" s="17"/>
    </row>
    <row r="205" spans="2:100" x14ac:dyDescent="0.35">
      <c r="B205" s="9"/>
      <c r="C205" t="s">
        <v>230</v>
      </c>
      <c r="D205" t="s">
        <v>348</v>
      </c>
      <c r="E205" t="s">
        <v>219</v>
      </c>
      <c r="F205" s="17">
        <v>0</v>
      </c>
      <c r="G205" s="17">
        <v>29.757904558651099</v>
      </c>
      <c r="H205" s="17">
        <v>18.4344787522259</v>
      </c>
      <c r="I205" s="17">
        <v>11.2225718099705</v>
      </c>
      <c r="J205" s="17">
        <v>10.3578433344638</v>
      </c>
      <c r="K205" s="17">
        <v>10.585564011356199</v>
      </c>
      <c r="L205" s="17">
        <v>10.6082859341125</v>
      </c>
      <c r="M205" s="17">
        <v>9.0912972428770296</v>
      </c>
      <c r="N205" s="17">
        <v>8.9244399783882606</v>
      </c>
      <c r="O205" s="17">
        <v>9.8215850636939006</v>
      </c>
      <c r="P205" s="17">
        <v>9.0580971185002905</v>
      </c>
      <c r="Q205" s="17">
        <v>8.6952045066453998</v>
      </c>
      <c r="R205" s="17">
        <v>8.9041939616978496</v>
      </c>
      <c r="S205" s="17">
        <v>8.87235192925597</v>
      </c>
      <c r="T205" s="17">
        <v>8.6876096386712405</v>
      </c>
      <c r="U205" s="17">
        <v>8.2892185930113893</v>
      </c>
      <c r="V205" s="17">
        <v>8.3862908257705708</v>
      </c>
      <c r="W205" s="17">
        <v>8.2396900248332496</v>
      </c>
      <c r="X205" s="17">
        <v>7.4598945295603096</v>
      </c>
      <c r="Y205" s="17">
        <v>7.5350596947241399</v>
      </c>
      <c r="Z205" s="17">
        <v>7.7200527099737704</v>
      </c>
      <c r="AA205" s="17">
        <v>7.60190915850223</v>
      </c>
      <c r="AB205" s="17">
        <v>7.3781791825260603</v>
      </c>
      <c r="AC205" s="17">
        <v>7.3498577422537696</v>
      </c>
      <c r="AD205" s="17">
        <v>7.1953382206501297</v>
      </c>
      <c r="AE205" s="17">
        <v>7.2727076734928398</v>
      </c>
      <c r="AF205" s="17">
        <v>7.0857924358123396</v>
      </c>
      <c r="AG205" s="17">
        <v>7.1916713724260104</v>
      </c>
      <c r="AH205" s="17">
        <v>7.0869311436654101</v>
      </c>
      <c r="AI205" s="17">
        <v>6.9643267825309199</v>
      </c>
      <c r="AJ205" s="17">
        <v>6.7467813482888603</v>
      </c>
      <c r="AK205" s="17">
        <v>6.6923114148400504</v>
      </c>
      <c r="AL205" s="17">
        <v>6.3268802157530901</v>
      </c>
      <c r="AM205" s="17">
        <v>6.4929957531082003</v>
      </c>
      <c r="AN205" s="17">
        <v>7.07387256736871</v>
      </c>
      <c r="AO205" s="17"/>
      <c r="AP205" s="17"/>
      <c r="AQ205" s="17"/>
      <c r="AR205" s="17"/>
      <c r="AS205" s="17"/>
      <c r="AT205" s="17"/>
      <c r="AU205" s="17"/>
      <c r="AV205" s="17"/>
      <c r="AW205" s="17"/>
      <c r="AX205" s="17"/>
      <c r="AY205" s="17"/>
      <c r="AZ205" s="17"/>
      <c r="BA205" s="17"/>
      <c r="BB205" s="17"/>
      <c r="BC205" s="17"/>
      <c r="BD205" s="17"/>
      <c r="BE205" s="17"/>
      <c r="BF205" s="17"/>
      <c r="BG205" s="17"/>
      <c r="BH205" s="17"/>
      <c r="BI205" s="17"/>
      <c r="BJ205" s="17"/>
      <c r="BK205" s="17"/>
      <c r="BL205" s="17"/>
      <c r="BM205" s="17"/>
      <c r="BN205" s="17"/>
      <c r="BO205" s="17"/>
      <c r="BP205" s="17"/>
      <c r="BQ205" s="17"/>
      <c r="BR205" s="17"/>
      <c r="BS205" s="17"/>
      <c r="BT205" s="17"/>
      <c r="BU205" s="17"/>
      <c r="BV205" s="17"/>
      <c r="BW205" s="17"/>
      <c r="BX205" s="17"/>
      <c r="BY205" s="17"/>
      <c r="BZ205" s="17"/>
      <c r="CA205" s="17"/>
      <c r="CB205" s="17"/>
      <c r="CC205" s="17"/>
      <c r="CD205" s="17"/>
      <c r="CE205" s="17"/>
      <c r="CF205" s="17"/>
      <c r="CG205" s="17"/>
      <c r="CH205" s="17"/>
      <c r="CI205" s="17"/>
      <c r="CJ205" s="17"/>
      <c r="CK205" s="17"/>
      <c r="CL205" s="17"/>
      <c r="CM205" s="17"/>
      <c r="CN205" s="17"/>
      <c r="CO205" s="17"/>
      <c r="CP205" s="17"/>
      <c r="CQ205" s="17"/>
      <c r="CR205" s="17"/>
      <c r="CS205" s="17"/>
      <c r="CT205" s="17"/>
      <c r="CU205" s="17"/>
      <c r="CV205" s="17"/>
    </row>
    <row r="206" spans="2:100" x14ac:dyDescent="0.35">
      <c r="B206" s="9"/>
      <c r="C206" t="s">
        <v>230</v>
      </c>
      <c r="D206" t="s">
        <v>349</v>
      </c>
      <c r="E206" t="s">
        <v>219</v>
      </c>
      <c r="F206" s="17">
        <v>0</v>
      </c>
      <c r="G206" s="17">
        <v>8.4639736844443991</v>
      </c>
      <c r="H206" s="17">
        <v>7.5500300465906802</v>
      </c>
      <c r="I206" s="17">
        <v>6.9301133126335497</v>
      </c>
      <c r="J206" s="17">
        <v>6.7012748216101103</v>
      </c>
      <c r="K206" s="17">
        <v>6.5576409292074</v>
      </c>
      <c r="L206" s="17">
        <v>6.5732485395972198</v>
      </c>
      <c r="M206" s="17">
        <v>6.0645595351049</v>
      </c>
      <c r="N206" s="17">
        <v>5.7317538830376202</v>
      </c>
      <c r="O206" s="17">
        <v>6.6294944394223903</v>
      </c>
      <c r="P206" s="17">
        <v>6.5149028207035498</v>
      </c>
      <c r="Q206" s="17">
        <v>6.16332415935213</v>
      </c>
      <c r="R206" s="17">
        <v>6.6190684721070996</v>
      </c>
      <c r="S206" s="17">
        <v>6.7029358725150496</v>
      </c>
      <c r="T206" s="17">
        <v>6.74458750747102</v>
      </c>
      <c r="U206" s="17">
        <v>6.6295571205886104</v>
      </c>
      <c r="V206" s="17">
        <v>6.9497951988279398</v>
      </c>
      <c r="W206" s="17">
        <v>6.9222259325503401</v>
      </c>
      <c r="X206" s="17">
        <v>7.0886862163196902</v>
      </c>
      <c r="Y206" s="17">
        <v>6.5814075380674097</v>
      </c>
      <c r="Z206" s="17">
        <v>6.9991252766463701</v>
      </c>
      <c r="AA206" s="17">
        <v>7.0479330114129297</v>
      </c>
      <c r="AB206" s="17">
        <v>6.9254226720277803</v>
      </c>
      <c r="AC206" s="17">
        <v>6.9701874715728804</v>
      </c>
      <c r="AD206" s="17">
        <v>7.0908696102765001</v>
      </c>
      <c r="AE206" s="17">
        <v>7.2430908224519204</v>
      </c>
      <c r="AF206" s="17">
        <v>7.2526392534400603</v>
      </c>
      <c r="AG206" s="17">
        <v>7.22901890063459</v>
      </c>
      <c r="AH206" s="17">
        <v>7.1245607371219899</v>
      </c>
      <c r="AI206" s="17">
        <v>7.0626944260587301</v>
      </c>
      <c r="AJ206" s="17">
        <v>6.8848470637586603</v>
      </c>
      <c r="AK206" s="17">
        <v>6.79943352791717</v>
      </c>
      <c r="AL206" s="17">
        <v>6.9557812502023504</v>
      </c>
      <c r="AM206" s="17">
        <v>7.1344852551074904</v>
      </c>
      <c r="AN206" s="17">
        <v>7.0966989587353497</v>
      </c>
      <c r="AO206" s="17"/>
      <c r="AP206" s="17"/>
      <c r="AQ206" s="17"/>
      <c r="AR206" s="17"/>
      <c r="AS206" s="17"/>
      <c r="AT206" s="17"/>
      <c r="AU206" s="17"/>
      <c r="AV206" s="17"/>
      <c r="AW206" s="17"/>
      <c r="AX206" s="17"/>
      <c r="AY206" s="17"/>
      <c r="AZ206" s="17"/>
      <c r="BA206" s="17"/>
      <c r="BB206" s="17"/>
      <c r="BC206" s="17"/>
      <c r="BD206" s="17"/>
      <c r="BE206" s="17"/>
      <c r="BF206" s="17"/>
      <c r="BG206" s="17"/>
      <c r="BH206" s="17"/>
      <c r="BI206" s="17"/>
      <c r="BJ206" s="17"/>
      <c r="BK206" s="17"/>
      <c r="BL206" s="17"/>
      <c r="BM206" s="17"/>
      <c r="BN206" s="17"/>
      <c r="BO206" s="17"/>
      <c r="BP206" s="17"/>
      <c r="BQ206" s="17"/>
      <c r="BR206" s="17"/>
      <c r="BS206" s="17"/>
      <c r="BT206" s="17"/>
      <c r="BU206" s="17"/>
      <c r="BV206" s="17"/>
      <c r="BW206" s="17"/>
      <c r="BX206" s="17"/>
      <c r="BY206" s="17"/>
      <c r="BZ206" s="17"/>
      <c r="CA206" s="17"/>
      <c r="CB206" s="17"/>
      <c r="CC206" s="17"/>
      <c r="CD206" s="17"/>
      <c r="CE206" s="17"/>
      <c r="CF206" s="17"/>
      <c r="CG206" s="17"/>
      <c r="CH206" s="17"/>
      <c r="CI206" s="17"/>
      <c r="CJ206" s="17"/>
      <c r="CK206" s="17"/>
      <c r="CL206" s="17"/>
      <c r="CM206" s="17"/>
      <c r="CN206" s="17"/>
      <c r="CO206" s="17"/>
      <c r="CP206" s="17"/>
      <c r="CQ206" s="17"/>
      <c r="CR206" s="17"/>
      <c r="CS206" s="17"/>
      <c r="CT206" s="17"/>
      <c r="CU206" s="17"/>
      <c r="CV206" s="17"/>
    </row>
    <row r="207" spans="2:100" x14ac:dyDescent="0.35">
      <c r="B207" s="9"/>
      <c r="C207" t="s">
        <v>230</v>
      </c>
      <c r="D207" t="s">
        <v>350</v>
      </c>
      <c r="E207" t="s">
        <v>219</v>
      </c>
      <c r="F207" s="17">
        <v>0</v>
      </c>
      <c r="G207" s="17">
        <v>48.482764260271601</v>
      </c>
      <c r="H207" s="17">
        <v>37.618373527828098</v>
      </c>
      <c r="I207" s="17">
        <v>25.351387232508198</v>
      </c>
      <c r="J207" s="17">
        <v>24.826192187576801</v>
      </c>
      <c r="K207" s="17">
        <v>22.952892406939998</v>
      </c>
      <c r="L207" s="17">
        <v>22.151189844071698</v>
      </c>
      <c r="M207" s="17">
        <v>21.125402111951999</v>
      </c>
      <c r="N207" s="17">
        <v>20.529701201879401</v>
      </c>
      <c r="O207" s="17">
        <v>24.016884309873401</v>
      </c>
      <c r="P207" s="17">
        <v>23.0111963383895</v>
      </c>
      <c r="Q207" s="17">
        <v>22.656044850563301</v>
      </c>
      <c r="R207" s="17">
        <v>23.747532891746999</v>
      </c>
      <c r="S207" s="17">
        <v>23.8255709436961</v>
      </c>
      <c r="T207" s="17">
        <v>23.074347613360398</v>
      </c>
      <c r="U207" s="17">
        <v>22.071678784716301</v>
      </c>
      <c r="V207" s="17">
        <v>22.846668723912099</v>
      </c>
      <c r="W207" s="17">
        <v>22.238306218262299</v>
      </c>
      <c r="X207" s="17">
        <v>21.858991140856698</v>
      </c>
      <c r="Y207" s="17">
        <v>21.914881847406502</v>
      </c>
      <c r="Z207" s="17">
        <v>23.079842662266</v>
      </c>
      <c r="AA207" s="17">
        <v>23.623695801010101</v>
      </c>
      <c r="AB207" s="17">
        <v>23.8034027045748</v>
      </c>
      <c r="AC207" s="17">
        <v>23.778267556918902</v>
      </c>
      <c r="AD207" s="17">
        <v>23.447279658672201</v>
      </c>
      <c r="AE207" s="17">
        <v>23.781234465453601</v>
      </c>
      <c r="AF207" s="17">
        <v>23.708116885052998</v>
      </c>
      <c r="AG207" s="17">
        <v>23.744555536351399</v>
      </c>
      <c r="AH207" s="17">
        <v>23.3787691439891</v>
      </c>
      <c r="AI207" s="17">
        <v>23.063838071156798</v>
      </c>
      <c r="AJ207" s="17">
        <v>22.789409478566299</v>
      </c>
      <c r="AK207" s="17">
        <v>22.641649076053799</v>
      </c>
      <c r="AL207" s="17">
        <v>22.265844143956802</v>
      </c>
      <c r="AM207" s="17">
        <v>22.709710375712199</v>
      </c>
      <c r="AN207" s="17">
        <v>23.089568689891799</v>
      </c>
      <c r="AO207" s="17"/>
      <c r="AP207" s="17"/>
      <c r="AQ207" s="17"/>
      <c r="AR207" s="17"/>
      <c r="AS207" s="17"/>
      <c r="AT207" s="17"/>
      <c r="AU207" s="17"/>
      <c r="AV207" s="17"/>
      <c r="AW207" s="17"/>
      <c r="AX207" s="17"/>
      <c r="AY207" s="17"/>
      <c r="AZ207" s="17"/>
      <c r="BA207" s="17"/>
      <c r="BB207" s="17"/>
      <c r="BC207" s="17"/>
      <c r="BD207" s="17"/>
      <c r="BE207" s="17"/>
      <c r="BF207" s="17"/>
      <c r="BG207" s="17"/>
      <c r="BH207" s="17"/>
      <c r="BI207" s="17"/>
      <c r="BJ207" s="17"/>
      <c r="BK207" s="17"/>
      <c r="BL207" s="17"/>
      <c r="BM207" s="17"/>
      <c r="BN207" s="17"/>
      <c r="BO207" s="17"/>
      <c r="BP207" s="17"/>
      <c r="BQ207" s="17"/>
      <c r="BR207" s="17"/>
      <c r="BS207" s="17"/>
      <c r="BT207" s="17"/>
      <c r="BU207" s="17"/>
      <c r="BV207" s="17"/>
      <c r="BW207" s="17"/>
      <c r="BX207" s="17"/>
      <c r="BY207" s="17"/>
      <c r="BZ207" s="17"/>
      <c r="CA207" s="17"/>
      <c r="CB207" s="17"/>
      <c r="CC207" s="17"/>
      <c r="CD207" s="17"/>
      <c r="CE207" s="17"/>
      <c r="CF207" s="17"/>
      <c r="CG207" s="17"/>
      <c r="CH207" s="17"/>
      <c r="CI207" s="17"/>
      <c r="CJ207" s="17"/>
      <c r="CK207" s="17"/>
      <c r="CL207" s="17"/>
      <c r="CM207" s="17"/>
      <c r="CN207" s="17"/>
      <c r="CO207" s="17"/>
      <c r="CP207" s="17"/>
      <c r="CQ207" s="17"/>
      <c r="CR207" s="17"/>
      <c r="CS207" s="17"/>
      <c r="CT207" s="17"/>
      <c r="CU207" s="17"/>
      <c r="CV207" s="17"/>
    </row>
    <row r="208" spans="2:100" x14ac:dyDescent="0.35">
      <c r="B208" s="9"/>
      <c r="D208" t="s">
        <v>351</v>
      </c>
      <c r="E208" t="s">
        <v>219</v>
      </c>
      <c r="F208" s="17">
        <v>0</v>
      </c>
      <c r="G208" s="17">
        <v>-30.014542146895</v>
      </c>
      <c r="H208" s="17">
        <v>-28.983980199281199</v>
      </c>
      <c r="I208" s="17">
        <v>-28.000366445169298</v>
      </c>
      <c r="J208" s="17">
        <v>-27.487112162403601</v>
      </c>
      <c r="K208" s="17">
        <v>-27.045189046801099</v>
      </c>
      <c r="L208" s="17">
        <v>-26.658341782587499</v>
      </c>
      <c r="M208" s="17">
        <v>-26.185997407644201</v>
      </c>
      <c r="N208" s="17">
        <v>-25.765281419947499</v>
      </c>
      <c r="O208" s="17">
        <v>-25.104642821666701</v>
      </c>
      <c r="P208" s="17">
        <v>-24.878802579761</v>
      </c>
      <c r="Q208" s="17">
        <v>-24.836430111393501</v>
      </c>
      <c r="R208" s="17">
        <v>-24.330530418798102</v>
      </c>
      <c r="S208" s="17">
        <v>-23.685102450187699</v>
      </c>
      <c r="T208" s="17">
        <v>-23.425497953409302</v>
      </c>
      <c r="U208" s="17">
        <v>-23.4046564656397</v>
      </c>
      <c r="V208" s="17">
        <v>-22.465609020713199</v>
      </c>
      <c r="W208" s="17">
        <v>-22.4053201856666</v>
      </c>
      <c r="X208" s="17">
        <v>-21.881169826838999</v>
      </c>
      <c r="Y208" s="17">
        <v>-21.1632719832124</v>
      </c>
      <c r="Z208" s="17">
        <v>-20.990177942684301</v>
      </c>
      <c r="AA208" s="17">
        <v>-20.828220256022099</v>
      </c>
      <c r="AB208" s="17">
        <v>-29.9483299416402</v>
      </c>
      <c r="AC208" s="17">
        <v>-29.124166627541602</v>
      </c>
      <c r="AD208" s="17">
        <v>-28.379148732661999</v>
      </c>
      <c r="AE208" s="17">
        <v>-27.7438333255358</v>
      </c>
      <c r="AF208" s="17">
        <v>-26.831477610559698</v>
      </c>
      <c r="AG208" s="17">
        <v>-26.397995558675401</v>
      </c>
      <c r="AH208" s="17">
        <v>-26.2537766420546</v>
      </c>
      <c r="AI208" s="17">
        <v>-25.5688908793061</v>
      </c>
      <c r="AJ208" s="17">
        <v>-25.275156487518601</v>
      </c>
      <c r="AK208" s="17">
        <v>-24.8798368190037</v>
      </c>
      <c r="AL208" s="17">
        <v>-24.653160828215</v>
      </c>
      <c r="AM208" s="17">
        <v>-24.0975340770818</v>
      </c>
      <c r="AN208" s="17">
        <v>-23.7545322886421</v>
      </c>
      <c r="AO208" s="17"/>
      <c r="AP208" s="17"/>
      <c r="AQ208" s="17"/>
      <c r="AR208" s="17"/>
      <c r="AS208" s="17"/>
      <c r="AT208" s="17"/>
      <c r="AU208" s="17"/>
      <c r="AV208" s="17"/>
      <c r="AW208" s="17"/>
      <c r="AX208" s="17"/>
      <c r="AY208" s="17"/>
      <c r="AZ208" s="17"/>
      <c r="BA208" s="17"/>
      <c r="BB208" s="17"/>
      <c r="BC208" s="17"/>
      <c r="BD208" s="17"/>
      <c r="BE208" s="17"/>
      <c r="BF208" s="17"/>
      <c r="BG208" s="17"/>
      <c r="BH208" s="17"/>
      <c r="BI208" s="17"/>
      <c r="BJ208" s="17"/>
      <c r="BK208" s="17"/>
      <c r="BL208" s="17"/>
      <c r="BM208" s="17"/>
      <c r="BN208" s="17"/>
      <c r="BO208" s="17"/>
      <c r="BP208" s="17"/>
      <c r="BQ208" s="17"/>
      <c r="BR208" s="17"/>
      <c r="BS208" s="17"/>
      <c r="BT208" s="17"/>
      <c r="BU208" s="17"/>
      <c r="BV208" s="17"/>
      <c r="BW208" s="17"/>
      <c r="BX208" s="17"/>
      <c r="BY208" s="17"/>
      <c r="BZ208" s="17"/>
      <c r="CA208" s="17"/>
      <c r="CB208" s="17"/>
      <c r="CC208" s="17"/>
      <c r="CD208" s="17"/>
      <c r="CE208" s="17"/>
      <c r="CF208" s="17"/>
      <c r="CG208" s="17"/>
      <c r="CH208" s="17"/>
      <c r="CI208" s="17"/>
      <c r="CJ208" s="17"/>
      <c r="CK208" s="17"/>
      <c r="CL208" s="17"/>
      <c r="CM208" s="17"/>
      <c r="CN208" s="17"/>
      <c r="CO208" s="17"/>
      <c r="CP208" s="17"/>
      <c r="CQ208" s="17"/>
      <c r="CR208" s="17"/>
      <c r="CS208" s="17"/>
      <c r="CT208" s="17"/>
      <c r="CU208" s="17"/>
      <c r="CV208" s="17"/>
    </row>
    <row r="209" spans="2:100" x14ac:dyDescent="0.35">
      <c r="B209" s="9"/>
      <c r="C209" t="s">
        <v>230</v>
      </c>
      <c r="D209" t="s">
        <v>352</v>
      </c>
      <c r="E209" t="s">
        <v>219</v>
      </c>
      <c r="F209" s="17">
        <v>0</v>
      </c>
      <c r="G209" s="17">
        <v>118.425752528742</v>
      </c>
      <c r="H209" s="17">
        <v>98.062814569602693</v>
      </c>
      <c r="I209" s="17">
        <v>68.671354555559105</v>
      </c>
      <c r="J209" s="17">
        <v>53.179735663836297</v>
      </c>
      <c r="K209" s="17">
        <v>51.993306549544997</v>
      </c>
      <c r="L209" s="17">
        <v>58.888903433311199</v>
      </c>
      <c r="M209" s="17">
        <v>49.5896718683465</v>
      </c>
      <c r="N209" s="17">
        <v>46.314257080440903</v>
      </c>
      <c r="O209" s="17">
        <v>47.761074206088502</v>
      </c>
      <c r="P209" s="17">
        <v>40.672482011518099</v>
      </c>
      <c r="Q209" s="17">
        <v>40.2422698271385</v>
      </c>
      <c r="R209" s="17">
        <v>38.517618432202298</v>
      </c>
      <c r="S209" s="17">
        <v>40.286783902018698</v>
      </c>
      <c r="T209" s="17">
        <v>41.840576884688801</v>
      </c>
      <c r="U209" s="17">
        <v>40.3513246095075</v>
      </c>
      <c r="V209" s="17">
        <v>40.706267160112901</v>
      </c>
      <c r="W209" s="17">
        <v>37.288096016131902</v>
      </c>
      <c r="X209" s="17">
        <v>36.421800511469598</v>
      </c>
      <c r="Y209" s="17">
        <v>36.375291086131199</v>
      </c>
      <c r="Z209" s="17">
        <v>38.7010966526015</v>
      </c>
      <c r="AA209" s="17">
        <v>38.1574524510781</v>
      </c>
      <c r="AB209" s="17">
        <v>50.0825965595334</v>
      </c>
      <c r="AC209" s="17">
        <v>49.181815966586797</v>
      </c>
      <c r="AD209" s="17">
        <v>49.518507850959899</v>
      </c>
      <c r="AE209" s="17">
        <v>49.779418205368103</v>
      </c>
      <c r="AF209" s="17">
        <v>50.1885277304523</v>
      </c>
      <c r="AG209" s="17">
        <v>49.531838045643603</v>
      </c>
      <c r="AH209" s="17">
        <v>47.804480913698697</v>
      </c>
      <c r="AI209" s="17">
        <v>48.016719342533797</v>
      </c>
      <c r="AJ209" s="17">
        <v>48.436933880900703</v>
      </c>
      <c r="AK209" s="17">
        <v>45.5209015595415</v>
      </c>
      <c r="AL209" s="17">
        <v>46.3909056998721</v>
      </c>
      <c r="AM209" s="17">
        <v>46.877833892823602</v>
      </c>
      <c r="AN209" s="17">
        <v>45.1619474142977</v>
      </c>
      <c r="AO209" s="17"/>
      <c r="AP209" s="17"/>
      <c r="AQ209" s="17"/>
      <c r="AR209" s="17"/>
      <c r="AS209" s="17"/>
      <c r="AT209" s="17"/>
      <c r="AU209" s="17"/>
      <c r="AV209" s="17"/>
      <c r="AW209" s="17"/>
      <c r="AX209" s="17"/>
      <c r="AY209" s="17"/>
      <c r="AZ209" s="17"/>
      <c r="BA209" s="17"/>
      <c r="BB209" s="17"/>
      <c r="BC209" s="17"/>
      <c r="BD209" s="17"/>
      <c r="BE209" s="17"/>
      <c r="BF209" s="17"/>
      <c r="BG209" s="17"/>
      <c r="BH209" s="17"/>
      <c r="BI209" s="17"/>
      <c r="BJ209" s="17"/>
      <c r="BK209" s="17"/>
      <c r="BL209" s="17"/>
      <c r="BM209" s="17"/>
      <c r="BN209" s="17"/>
      <c r="BO209" s="17"/>
      <c r="BP209" s="17"/>
      <c r="BQ209" s="17"/>
      <c r="BR209" s="17"/>
      <c r="BS209" s="17"/>
      <c r="BT209" s="17"/>
      <c r="BU209" s="17"/>
      <c r="BV209" s="17"/>
      <c r="BW209" s="17"/>
      <c r="BX209" s="17"/>
      <c r="BY209" s="17"/>
      <c r="BZ209" s="17"/>
      <c r="CA209" s="17"/>
      <c r="CB209" s="17"/>
      <c r="CC209" s="17"/>
      <c r="CD209" s="17"/>
      <c r="CE209" s="17"/>
      <c r="CF209" s="17"/>
      <c r="CG209" s="17"/>
      <c r="CH209" s="17"/>
      <c r="CI209" s="17"/>
      <c r="CJ209" s="17"/>
      <c r="CK209" s="17"/>
      <c r="CL209" s="17"/>
      <c r="CM209" s="17"/>
      <c r="CN209" s="17"/>
      <c r="CO209" s="17"/>
      <c r="CP209" s="17"/>
      <c r="CQ209" s="17"/>
      <c r="CR209" s="17"/>
      <c r="CS209" s="17"/>
      <c r="CT209" s="17"/>
      <c r="CU209" s="17"/>
      <c r="CV209" s="17"/>
    </row>
    <row r="210" spans="2:100" x14ac:dyDescent="0.35">
      <c r="B210" s="9"/>
      <c r="C210" t="s">
        <v>230</v>
      </c>
      <c r="D210" t="s">
        <v>354</v>
      </c>
      <c r="E210" t="s">
        <v>124</v>
      </c>
      <c r="F210" s="17">
        <v>0</v>
      </c>
      <c r="G210" s="17">
        <v>0</v>
      </c>
      <c r="H210" s="17">
        <v>0</v>
      </c>
      <c r="I210" s="17">
        <v>0</v>
      </c>
      <c r="J210" s="17">
        <v>0</v>
      </c>
      <c r="K210" s="17">
        <v>0</v>
      </c>
      <c r="L210" s="17">
        <v>0</v>
      </c>
      <c r="M210" s="17">
        <v>0</v>
      </c>
      <c r="N210" s="17">
        <v>0</v>
      </c>
      <c r="O210" s="17">
        <v>0</v>
      </c>
      <c r="P210" s="17">
        <v>0</v>
      </c>
      <c r="Q210" s="17">
        <v>0</v>
      </c>
      <c r="R210" s="17">
        <v>0</v>
      </c>
      <c r="S210" s="17">
        <v>0</v>
      </c>
      <c r="T210" s="17">
        <v>0</v>
      </c>
      <c r="U210" s="17">
        <v>0</v>
      </c>
      <c r="V210" s="17">
        <v>0</v>
      </c>
      <c r="W210" s="17">
        <v>0</v>
      </c>
      <c r="X210" s="17">
        <v>0</v>
      </c>
      <c r="Y210" s="17">
        <v>0</v>
      </c>
      <c r="Z210" s="17">
        <v>0</v>
      </c>
      <c r="AA210" s="17">
        <v>0</v>
      </c>
      <c r="AB210" s="17">
        <v>0</v>
      </c>
      <c r="AC210" s="17">
        <v>0</v>
      </c>
      <c r="AD210" s="17">
        <v>0</v>
      </c>
      <c r="AE210" s="17">
        <v>0</v>
      </c>
      <c r="AF210" s="17">
        <v>0</v>
      </c>
      <c r="AG210" s="17">
        <v>0</v>
      </c>
      <c r="AH210" s="17">
        <v>0</v>
      </c>
      <c r="AI210" s="17">
        <v>0</v>
      </c>
      <c r="AJ210" s="17">
        <v>0</v>
      </c>
      <c r="AK210" s="17">
        <v>0</v>
      </c>
      <c r="AL210" s="17">
        <v>0</v>
      </c>
      <c r="AM210" s="17">
        <v>0</v>
      </c>
      <c r="AN210" s="17">
        <v>0</v>
      </c>
      <c r="AO210" s="17"/>
      <c r="AP210" s="17"/>
      <c r="AQ210" s="17"/>
      <c r="AR210" s="17"/>
      <c r="AS210" s="17"/>
      <c r="AT210" s="17"/>
      <c r="AU210" s="17"/>
      <c r="AV210" s="17"/>
      <c r="AW210" s="17"/>
      <c r="AX210" s="17"/>
      <c r="AY210" s="17"/>
      <c r="AZ210" s="17"/>
      <c r="BA210" s="17"/>
      <c r="BB210" s="17"/>
      <c r="BC210" s="17"/>
      <c r="BD210" s="17"/>
      <c r="BE210" s="17"/>
      <c r="BF210" s="17"/>
      <c r="BG210" s="17"/>
      <c r="BH210" s="17"/>
      <c r="BI210" s="17"/>
      <c r="BJ210" s="17"/>
      <c r="BK210" s="17"/>
      <c r="BL210" s="17"/>
      <c r="BM210" s="17"/>
      <c r="BN210" s="17"/>
      <c r="BO210" s="17"/>
      <c r="BP210" s="17"/>
      <c r="BQ210" s="17"/>
      <c r="BR210" s="17"/>
      <c r="BS210" s="17"/>
      <c r="BT210" s="17"/>
      <c r="BU210" s="17"/>
      <c r="BV210" s="17"/>
      <c r="BW210" s="17"/>
      <c r="BX210" s="17"/>
      <c r="BY210" s="17"/>
      <c r="BZ210" s="17"/>
      <c r="CA210" s="17"/>
      <c r="CB210" s="17"/>
      <c r="CC210" s="17"/>
      <c r="CD210" s="17"/>
      <c r="CE210" s="17"/>
      <c r="CF210" s="17"/>
      <c r="CG210" s="17"/>
      <c r="CH210" s="17"/>
      <c r="CI210" s="17"/>
      <c r="CJ210" s="17"/>
      <c r="CK210" s="17"/>
      <c r="CL210" s="17"/>
      <c r="CM210" s="17"/>
      <c r="CN210" s="17"/>
      <c r="CO210" s="17"/>
      <c r="CP210" s="17"/>
      <c r="CQ210" s="17"/>
      <c r="CR210" s="17"/>
      <c r="CS210" s="17"/>
      <c r="CT210" s="17"/>
      <c r="CU210" s="17"/>
      <c r="CV210" s="17"/>
    </row>
    <row r="211" spans="2:100" x14ac:dyDescent="0.35">
      <c r="B211" s="9"/>
      <c r="C211" t="s">
        <v>338</v>
      </c>
      <c r="D211" t="s">
        <v>353</v>
      </c>
      <c r="E211" t="s">
        <v>221</v>
      </c>
      <c r="F211" s="17">
        <v>0</v>
      </c>
      <c r="G211" s="17">
        <v>0</v>
      </c>
      <c r="H211" s="17">
        <v>0</v>
      </c>
      <c r="I211" s="17">
        <v>0</v>
      </c>
      <c r="J211" s="17">
        <v>0</v>
      </c>
      <c r="K211" s="17">
        <v>0</v>
      </c>
      <c r="L211" s="17">
        <v>0</v>
      </c>
      <c r="M211" s="17">
        <v>0</v>
      </c>
      <c r="N211" s="17">
        <v>0</v>
      </c>
      <c r="O211" s="17">
        <v>0</v>
      </c>
      <c r="P211" s="17">
        <v>0</v>
      </c>
      <c r="Q211" s="17">
        <v>0</v>
      </c>
      <c r="R211" s="17">
        <v>0</v>
      </c>
      <c r="S211" s="17">
        <v>0</v>
      </c>
      <c r="T211" s="17">
        <v>0</v>
      </c>
      <c r="U211" s="17">
        <v>0</v>
      </c>
      <c r="V211" s="17">
        <v>0</v>
      </c>
      <c r="W211" s="17">
        <v>0</v>
      </c>
      <c r="X211" s="17">
        <v>0</v>
      </c>
      <c r="Y211" s="17">
        <v>0</v>
      </c>
      <c r="Z211" s="17">
        <v>0</v>
      </c>
      <c r="AA211" s="17">
        <v>0</v>
      </c>
      <c r="AB211" s="17">
        <v>0</v>
      </c>
      <c r="AC211" s="17">
        <v>0</v>
      </c>
      <c r="AD211" s="17">
        <v>0</v>
      </c>
      <c r="AE211" s="17">
        <v>0</v>
      </c>
      <c r="AF211" s="17">
        <v>0</v>
      </c>
      <c r="AG211" s="17">
        <v>0</v>
      </c>
      <c r="AH211" s="17">
        <v>0</v>
      </c>
      <c r="AI211" s="17">
        <v>0</v>
      </c>
      <c r="AJ211" s="17">
        <v>0</v>
      </c>
      <c r="AK211" s="17">
        <v>0</v>
      </c>
      <c r="AL211" s="17">
        <v>0</v>
      </c>
      <c r="AM211" s="17">
        <v>0</v>
      </c>
      <c r="AN211" s="17">
        <v>0</v>
      </c>
      <c r="AO211" s="17"/>
      <c r="AP211" s="17"/>
      <c r="AQ211" s="17"/>
      <c r="AR211" s="17"/>
      <c r="AS211" s="17"/>
      <c r="AT211" s="17"/>
      <c r="AU211" s="17"/>
      <c r="AV211" s="17"/>
      <c r="AW211" s="17"/>
      <c r="AX211" s="17"/>
      <c r="AY211" s="17"/>
      <c r="AZ211" s="17"/>
      <c r="BA211" s="17"/>
      <c r="BB211" s="17"/>
      <c r="BC211" s="17"/>
      <c r="BD211" s="17"/>
      <c r="BE211" s="17"/>
      <c r="BF211" s="17"/>
      <c r="BG211" s="17"/>
      <c r="BH211" s="17"/>
      <c r="BI211" s="17"/>
      <c r="BJ211" s="17"/>
      <c r="BK211" s="17"/>
      <c r="BL211" s="17"/>
      <c r="BM211" s="17"/>
      <c r="BN211" s="17"/>
      <c r="BO211" s="17"/>
      <c r="BP211" s="17"/>
      <c r="BQ211" s="17"/>
      <c r="BR211" s="17"/>
      <c r="BS211" s="17"/>
      <c r="BT211" s="17"/>
      <c r="BU211" s="17"/>
      <c r="BV211" s="17"/>
      <c r="BW211" s="17"/>
      <c r="BX211" s="17"/>
      <c r="BY211" s="17"/>
      <c r="BZ211" s="17"/>
      <c r="CA211" s="17"/>
      <c r="CB211" s="17"/>
      <c r="CC211" s="17"/>
      <c r="CD211" s="17"/>
      <c r="CE211" s="17"/>
      <c r="CF211" s="17"/>
      <c r="CG211" s="17"/>
      <c r="CH211" s="17"/>
      <c r="CI211" s="17"/>
      <c r="CJ211" s="17"/>
      <c r="CK211" s="17"/>
      <c r="CL211" s="17"/>
      <c r="CM211" s="17"/>
      <c r="CN211" s="17"/>
      <c r="CO211" s="17"/>
      <c r="CP211" s="17"/>
      <c r="CQ211" s="17"/>
      <c r="CR211" s="17"/>
      <c r="CS211" s="17"/>
      <c r="CT211" s="17"/>
      <c r="CU211" s="17"/>
      <c r="CV211" s="17"/>
    </row>
    <row r="212" spans="2:100" x14ac:dyDescent="0.35">
      <c r="B212" s="9"/>
      <c r="C212" t="s">
        <v>230</v>
      </c>
      <c r="D212" t="s">
        <v>358</v>
      </c>
      <c r="E212" t="s">
        <v>221</v>
      </c>
      <c r="F212" s="17">
        <v>0</v>
      </c>
      <c r="G212" s="17">
        <v>0</v>
      </c>
      <c r="H212" s="17">
        <v>0</v>
      </c>
      <c r="I212" s="17">
        <v>0</v>
      </c>
      <c r="J212" s="17">
        <v>0</v>
      </c>
      <c r="K212" s="17">
        <v>0</v>
      </c>
      <c r="L212" s="17">
        <v>0</v>
      </c>
      <c r="M212" s="17">
        <v>0</v>
      </c>
      <c r="N212" s="17">
        <v>0</v>
      </c>
      <c r="O212" s="17">
        <v>0</v>
      </c>
      <c r="P212" s="17">
        <v>0</v>
      </c>
      <c r="Q212" s="17">
        <v>0</v>
      </c>
      <c r="R212" s="17">
        <v>0</v>
      </c>
      <c r="S212" s="17">
        <v>0</v>
      </c>
      <c r="T212" s="17">
        <v>0</v>
      </c>
      <c r="U212" s="17">
        <v>0</v>
      </c>
      <c r="V212" s="17">
        <v>0</v>
      </c>
      <c r="W212" s="17">
        <v>0</v>
      </c>
      <c r="X212" s="17">
        <v>0</v>
      </c>
      <c r="Y212" s="17">
        <v>0</v>
      </c>
      <c r="Z212" s="17">
        <v>0</v>
      </c>
      <c r="AA212" s="17">
        <v>0</v>
      </c>
      <c r="AB212" s="17">
        <v>0</v>
      </c>
      <c r="AC212" s="17">
        <v>0</v>
      </c>
      <c r="AD212" s="17">
        <v>0</v>
      </c>
      <c r="AE212" s="17">
        <v>0</v>
      </c>
      <c r="AF212" s="17">
        <v>0</v>
      </c>
      <c r="AG212" s="17">
        <v>0</v>
      </c>
      <c r="AH212" s="17">
        <v>0</v>
      </c>
      <c r="AI212" s="17">
        <v>0</v>
      </c>
      <c r="AJ212" s="17">
        <v>0</v>
      </c>
      <c r="AK212" s="17">
        <v>0</v>
      </c>
      <c r="AL212" s="17">
        <v>0</v>
      </c>
      <c r="AM212" s="17">
        <v>0</v>
      </c>
      <c r="AN212" s="17">
        <v>0</v>
      </c>
      <c r="AO212" s="17"/>
      <c r="AP212" s="17"/>
      <c r="AQ212" s="17"/>
      <c r="AR212" s="17"/>
      <c r="AS212" s="17"/>
      <c r="AT212" s="17"/>
      <c r="AU212" s="17"/>
      <c r="AV212" s="17"/>
      <c r="AW212" s="17"/>
      <c r="AX212" s="17"/>
      <c r="AY212" s="17"/>
      <c r="AZ212" s="17"/>
      <c r="BA212" s="17"/>
      <c r="BB212" s="17"/>
      <c r="BC212" s="17"/>
      <c r="BD212" s="17"/>
      <c r="BE212" s="17"/>
      <c r="BF212" s="17"/>
      <c r="BG212" s="17"/>
      <c r="BH212" s="17"/>
      <c r="BI212" s="17"/>
      <c r="BJ212" s="17"/>
      <c r="BK212" s="17"/>
      <c r="BL212" s="17"/>
      <c r="BM212" s="17"/>
      <c r="BN212" s="17"/>
      <c r="BO212" s="17"/>
      <c r="BP212" s="17"/>
      <c r="BQ212" s="17"/>
      <c r="BR212" s="17"/>
      <c r="BS212" s="17"/>
      <c r="BT212" s="17"/>
      <c r="BU212" s="17"/>
      <c r="BV212" s="17"/>
      <c r="BW212" s="17"/>
      <c r="BX212" s="17"/>
      <c r="BY212" s="17"/>
      <c r="BZ212" s="17"/>
      <c r="CA212" s="17"/>
      <c r="CB212" s="17"/>
      <c r="CC212" s="17"/>
      <c r="CD212" s="17"/>
      <c r="CE212" s="17"/>
      <c r="CF212" s="17"/>
      <c r="CG212" s="17"/>
      <c r="CH212" s="17"/>
      <c r="CI212" s="17"/>
      <c r="CJ212" s="17"/>
      <c r="CK212" s="17"/>
      <c r="CL212" s="17"/>
      <c r="CM212" s="17"/>
      <c r="CN212" s="17"/>
      <c r="CO212" s="17"/>
      <c r="CP212" s="17"/>
      <c r="CQ212" s="17"/>
      <c r="CR212" s="17"/>
      <c r="CS212" s="17"/>
      <c r="CT212" s="17"/>
      <c r="CU212" s="17"/>
      <c r="CV212" s="17"/>
    </row>
    <row r="213" spans="2:100" x14ac:dyDescent="0.35">
      <c r="B213" s="9"/>
      <c r="C213" t="s">
        <v>230</v>
      </c>
      <c r="D213" t="s">
        <v>359</v>
      </c>
      <c r="E213" t="s">
        <v>221</v>
      </c>
      <c r="F213" s="17">
        <v>0</v>
      </c>
      <c r="G213" s="17">
        <v>0</v>
      </c>
      <c r="H213" s="17">
        <v>0</v>
      </c>
      <c r="I213" s="17">
        <v>0</v>
      </c>
      <c r="J213" s="17">
        <v>0</v>
      </c>
      <c r="K213" s="17">
        <v>0</v>
      </c>
      <c r="L213" s="17">
        <v>0</v>
      </c>
      <c r="M213" s="17">
        <v>0</v>
      </c>
      <c r="N213" s="17">
        <v>0</v>
      </c>
      <c r="O213" s="17">
        <v>0</v>
      </c>
      <c r="P213" s="17">
        <v>0</v>
      </c>
      <c r="Q213" s="17">
        <v>0</v>
      </c>
      <c r="R213" s="17">
        <v>0</v>
      </c>
      <c r="S213" s="17">
        <v>0</v>
      </c>
      <c r="T213" s="17">
        <v>0</v>
      </c>
      <c r="U213" s="17">
        <v>0</v>
      </c>
      <c r="V213" s="17">
        <v>0</v>
      </c>
      <c r="W213" s="17">
        <v>0</v>
      </c>
      <c r="X213" s="17">
        <v>0</v>
      </c>
      <c r="Y213" s="17">
        <v>0</v>
      </c>
      <c r="Z213" s="17">
        <v>0</v>
      </c>
      <c r="AA213" s="17">
        <v>0</v>
      </c>
      <c r="AB213" s="17">
        <v>0</v>
      </c>
      <c r="AC213" s="17">
        <v>0</v>
      </c>
      <c r="AD213" s="17">
        <v>0</v>
      </c>
      <c r="AE213" s="17">
        <v>0</v>
      </c>
      <c r="AF213" s="17">
        <v>0</v>
      </c>
      <c r="AG213" s="17">
        <v>0</v>
      </c>
      <c r="AH213" s="17">
        <v>0</v>
      </c>
      <c r="AI213" s="17">
        <v>0</v>
      </c>
      <c r="AJ213" s="17">
        <v>0</v>
      </c>
      <c r="AK213" s="17">
        <v>0</v>
      </c>
      <c r="AL213" s="17">
        <v>0</v>
      </c>
      <c r="AM213" s="17">
        <v>0</v>
      </c>
      <c r="AN213" s="17">
        <v>0</v>
      </c>
      <c r="AO213" s="17"/>
      <c r="AP213" s="17"/>
      <c r="AQ213" s="17"/>
      <c r="AR213" s="17"/>
      <c r="AS213" s="17"/>
      <c r="AT213" s="17"/>
      <c r="AU213" s="17"/>
      <c r="AV213" s="17"/>
      <c r="AW213" s="17"/>
      <c r="AX213" s="17"/>
      <c r="AY213" s="17"/>
      <c r="AZ213" s="17"/>
      <c r="BA213" s="17"/>
      <c r="BB213" s="17"/>
      <c r="BC213" s="17"/>
      <c r="BD213" s="17"/>
      <c r="BE213" s="17"/>
      <c r="BF213" s="17"/>
      <c r="BG213" s="17"/>
      <c r="BH213" s="17"/>
      <c r="BI213" s="17"/>
      <c r="BJ213" s="17"/>
      <c r="BK213" s="17"/>
      <c r="BL213" s="17"/>
      <c r="BM213" s="17"/>
      <c r="BN213" s="17"/>
      <c r="BO213" s="17"/>
      <c r="BP213" s="17"/>
      <c r="BQ213" s="17"/>
      <c r="BR213" s="17"/>
      <c r="BS213" s="17"/>
      <c r="BT213" s="17"/>
      <c r="BU213" s="17"/>
      <c r="BV213" s="17"/>
      <c r="BW213" s="17"/>
      <c r="BX213" s="17"/>
      <c r="BY213" s="17"/>
      <c r="BZ213" s="17"/>
      <c r="CA213" s="17"/>
      <c r="CB213" s="17"/>
      <c r="CC213" s="17"/>
      <c r="CD213" s="17"/>
      <c r="CE213" s="17"/>
      <c r="CF213" s="17"/>
      <c r="CG213" s="17"/>
      <c r="CH213" s="17"/>
      <c r="CI213" s="17"/>
      <c r="CJ213" s="17"/>
      <c r="CK213" s="17"/>
      <c r="CL213" s="17"/>
      <c r="CM213" s="17"/>
      <c r="CN213" s="17"/>
      <c r="CO213" s="17"/>
      <c r="CP213" s="17"/>
      <c r="CQ213" s="17"/>
      <c r="CR213" s="17"/>
      <c r="CS213" s="17"/>
      <c r="CT213" s="17"/>
      <c r="CU213" s="17"/>
      <c r="CV213" s="17"/>
    </row>
    <row r="214" spans="2:100" x14ac:dyDescent="0.35">
      <c r="B214" s="9"/>
      <c r="C214" t="s">
        <v>230</v>
      </c>
      <c r="D214" t="s">
        <v>360</v>
      </c>
      <c r="E214" t="s">
        <v>221</v>
      </c>
      <c r="F214" s="17">
        <v>0</v>
      </c>
      <c r="G214" s="17">
        <v>0</v>
      </c>
      <c r="H214" s="17">
        <v>0</v>
      </c>
      <c r="I214" s="17">
        <v>0</v>
      </c>
      <c r="J214" s="17">
        <v>0</v>
      </c>
      <c r="K214" s="17">
        <v>0</v>
      </c>
      <c r="L214" s="17">
        <v>0</v>
      </c>
      <c r="M214" s="17">
        <v>0</v>
      </c>
      <c r="N214" s="17">
        <v>0</v>
      </c>
      <c r="O214" s="17">
        <v>0</v>
      </c>
      <c r="P214" s="17">
        <v>0</v>
      </c>
      <c r="Q214" s="17">
        <v>0</v>
      </c>
      <c r="R214" s="17">
        <v>0</v>
      </c>
      <c r="S214" s="17">
        <v>0</v>
      </c>
      <c r="T214" s="17">
        <v>0</v>
      </c>
      <c r="U214" s="17">
        <v>0</v>
      </c>
      <c r="V214" s="17">
        <v>0</v>
      </c>
      <c r="W214" s="17">
        <v>0</v>
      </c>
      <c r="X214" s="17">
        <v>0</v>
      </c>
      <c r="Y214" s="17">
        <v>0</v>
      </c>
      <c r="Z214" s="17">
        <v>0</v>
      </c>
      <c r="AA214" s="17">
        <v>0</v>
      </c>
      <c r="AB214" s="17">
        <v>0</v>
      </c>
      <c r="AC214" s="17">
        <v>0</v>
      </c>
      <c r="AD214" s="17">
        <v>0</v>
      </c>
      <c r="AE214" s="17">
        <v>0</v>
      </c>
      <c r="AF214" s="17">
        <v>0</v>
      </c>
      <c r="AG214" s="17">
        <v>0</v>
      </c>
      <c r="AH214" s="17">
        <v>0</v>
      </c>
      <c r="AI214" s="17">
        <v>0</v>
      </c>
      <c r="AJ214" s="17">
        <v>0</v>
      </c>
      <c r="AK214" s="17">
        <v>0</v>
      </c>
      <c r="AL214" s="17">
        <v>0</v>
      </c>
      <c r="AM214" s="17">
        <v>0</v>
      </c>
      <c r="AN214" s="17">
        <v>0</v>
      </c>
      <c r="AO214" s="17"/>
      <c r="AP214" s="17"/>
      <c r="AQ214" s="17"/>
      <c r="AR214" s="17"/>
      <c r="AS214" s="17"/>
      <c r="AT214" s="17"/>
      <c r="AU214" s="17"/>
      <c r="AV214" s="17"/>
      <c r="AW214" s="17"/>
      <c r="AX214" s="17"/>
      <c r="AY214" s="17"/>
      <c r="AZ214" s="17"/>
      <c r="BA214" s="17"/>
      <c r="BB214" s="17"/>
      <c r="BC214" s="17"/>
      <c r="BD214" s="17"/>
      <c r="BE214" s="17"/>
      <c r="BF214" s="17"/>
      <c r="BG214" s="17"/>
      <c r="BH214" s="17"/>
      <c r="BI214" s="17"/>
      <c r="BJ214" s="17"/>
      <c r="BK214" s="17"/>
      <c r="BL214" s="17"/>
      <c r="BM214" s="17"/>
      <c r="BN214" s="17"/>
      <c r="BO214" s="17"/>
      <c r="BP214" s="17"/>
      <c r="BQ214" s="17"/>
      <c r="BR214" s="17"/>
      <c r="BS214" s="17"/>
      <c r="BT214" s="17"/>
      <c r="BU214" s="17"/>
      <c r="BV214" s="17"/>
      <c r="BW214" s="17"/>
      <c r="BX214" s="17"/>
      <c r="BY214" s="17"/>
      <c r="BZ214" s="17"/>
      <c r="CA214" s="17"/>
      <c r="CB214" s="17"/>
      <c r="CC214" s="17"/>
      <c r="CD214" s="17"/>
      <c r="CE214" s="17"/>
      <c r="CF214" s="17"/>
      <c r="CG214" s="17"/>
      <c r="CH214" s="17"/>
      <c r="CI214" s="17"/>
      <c r="CJ214" s="17"/>
      <c r="CK214" s="17"/>
      <c r="CL214" s="17"/>
      <c r="CM214" s="17"/>
      <c r="CN214" s="17"/>
      <c r="CO214" s="17"/>
      <c r="CP214" s="17"/>
      <c r="CQ214" s="17"/>
      <c r="CR214" s="17"/>
      <c r="CS214" s="17"/>
      <c r="CT214" s="17"/>
      <c r="CU214" s="17"/>
      <c r="CV214" s="17"/>
    </row>
    <row r="215" spans="2:100" x14ac:dyDescent="0.35">
      <c r="B215" s="9"/>
      <c r="C215" t="s">
        <v>230</v>
      </c>
      <c r="D215" t="s">
        <v>361</v>
      </c>
      <c r="E215" t="s">
        <v>221</v>
      </c>
      <c r="F215" s="17">
        <v>0</v>
      </c>
      <c r="G215" s="17">
        <v>0</v>
      </c>
      <c r="H215" s="17">
        <v>0</v>
      </c>
      <c r="I215" s="17">
        <v>0</v>
      </c>
      <c r="J215" s="17">
        <v>0</v>
      </c>
      <c r="K215" s="17">
        <v>0</v>
      </c>
      <c r="L215" s="17">
        <v>0</v>
      </c>
      <c r="M215" s="17">
        <v>0</v>
      </c>
      <c r="N215" s="17">
        <v>0</v>
      </c>
      <c r="O215" s="17">
        <v>0</v>
      </c>
      <c r="P215" s="17">
        <v>0</v>
      </c>
      <c r="Q215" s="17">
        <v>0</v>
      </c>
      <c r="R215" s="17">
        <v>0</v>
      </c>
      <c r="S215" s="17">
        <v>0</v>
      </c>
      <c r="T215" s="17">
        <v>0</v>
      </c>
      <c r="U215" s="17">
        <v>0</v>
      </c>
      <c r="V215" s="17">
        <v>0</v>
      </c>
      <c r="W215" s="17">
        <v>0</v>
      </c>
      <c r="X215" s="17">
        <v>0</v>
      </c>
      <c r="Y215" s="17">
        <v>0</v>
      </c>
      <c r="Z215" s="17">
        <v>0</v>
      </c>
      <c r="AA215" s="17">
        <v>0</v>
      </c>
      <c r="AB215" s="17">
        <v>0</v>
      </c>
      <c r="AC215" s="17">
        <v>0</v>
      </c>
      <c r="AD215" s="17">
        <v>0</v>
      </c>
      <c r="AE215" s="17">
        <v>0</v>
      </c>
      <c r="AF215" s="17">
        <v>0</v>
      </c>
      <c r="AG215" s="17">
        <v>0</v>
      </c>
      <c r="AH215" s="17">
        <v>0</v>
      </c>
      <c r="AI215" s="17">
        <v>0</v>
      </c>
      <c r="AJ215" s="17">
        <v>0</v>
      </c>
      <c r="AK215" s="17">
        <v>0</v>
      </c>
      <c r="AL215" s="17">
        <v>0</v>
      </c>
      <c r="AM215" s="17">
        <v>0</v>
      </c>
      <c r="AN215" s="17">
        <v>0</v>
      </c>
      <c r="AO215" s="17"/>
      <c r="AP215" s="17"/>
      <c r="AQ215" s="17"/>
      <c r="AR215" s="17"/>
      <c r="AS215" s="17"/>
      <c r="AT215" s="17"/>
      <c r="AU215" s="17"/>
      <c r="AV215" s="17"/>
      <c r="AW215" s="17"/>
      <c r="AX215" s="17"/>
      <c r="AY215" s="17"/>
      <c r="AZ215" s="17"/>
      <c r="BA215" s="17"/>
      <c r="BB215" s="17"/>
      <c r="BC215" s="17"/>
      <c r="BD215" s="17"/>
      <c r="BE215" s="17"/>
      <c r="BF215" s="17"/>
      <c r="BG215" s="17"/>
      <c r="BH215" s="17"/>
      <c r="BI215" s="17"/>
      <c r="BJ215" s="17"/>
      <c r="BK215" s="17"/>
      <c r="BL215" s="17"/>
      <c r="BM215" s="17"/>
      <c r="BN215" s="17"/>
      <c r="BO215" s="17"/>
      <c r="BP215" s="17"/>
      <c r="BQ215" s="17"/>
      <c r="BR215" s="17"/>
      <c r="BS215" s="17"/>
      <c r="BT215" s="17"/>
      <c r="BU215" s="17"/>
      <c r="BV215" s="17"/>
      <c r="BW215" s="17"/>
      <c r="BX215" s="17"/>
      <c r="BY215" s="17"/>
      <c r="BZ215" s="17"/>
      <c r="CA215" s="17"/>
      <c r="CB215" s="17"/>
      <c r="CC215" s="17"/>
      <c r="CD215" s="17"/>
      <c r="CE215" s="17"/>
      <c r="CF215" s="17"/>
      <c r="CG215" s="17"/>
      <c r="CH215" s="17"/>
      <c r="CI215" s="17"/>
      <c r="CJ215" s="17"/>
      <c r="CK215" s="17"/>
      <c r="CL215" s="17"/>
      <c r="CM215" s="17"/>
      <c r="CN215" s="17"/>
      <c r="CO215" s="17"/>
      <c r="CP215" s="17"/>
      <c r="CQ215" s="17"/>
      <c r="CR215" s="17"/>
      <c r="CS215" s="17"/>
      <c r="CT215" s="17"/>
      <c r="CU215" s="17"/>
      <c r="CV215" s="17"/>
    </row>
    <row r="216" spans="2:100" x14ac:dyDescent="0.35">
      <c r="B216" s="9"/>
      <c r="C216" t="s">
        <v>339</v>
      </c>
      <c r="D216" t="s">
        <v>222</v>
      </c>
      <c r="E216" t="s">
        <v>223</v>
      </c>
      <c r="F216" s="17">
        <v>0</v>
      </c>
      <c r="G216" s="17">
        <v>0</v>
      </c>
      <c r="H216" s="17">
        <v>0</v>
      </c>
      <c r="I216" s="17">
        <v>0</v>
      </c>
      <c r="J216" s="17">
        <v>0</v>
      </c>
      <c r="K216" s="17">
        <v>0</v>
      </c>
      <c r="L216" s="17">
        <v>0</v>
      </c>
      <c r="M216" s="17">
        <v>0</v>
      </c>
      <c r="N216" s="17">
        <v>0</v>
      </c>
      <c r="O216" s="17">
        <v>0</v>
      </c>
      <c r="P216" s="17">
        <v>0</v>
      </c>
      <c r="Q216" s="17">
        <v>0</v>
      </c>
      <c r="R216" s="17">
        <v>0</v>
      </c>
      <c r="S216" s="17">
        <v>0</v>
      </c>
      <c r="T216" s="17">
        <v>0</v>
      </c>
      <c r="U216" s="17">
        <v>0</v>
      </c>
      <c r="V216" s="17">
        <v>0</v>
      </c>
      <c r="W216" s="17">
        <v>0</v>
      </c>
      <c r="X216" s="17">
        <v>0</v>
      </c>
      <c r="Y216" s="17">
        <v>0</v>
      </c>
      <c r="Z216" s="17">
        <v>0</v>
      </c>
      <c r="AA216" s="17">
        <v>0</v>
      </c>
      <c r="AB216" s="17">
        <v>0</v>
      </c>
      <c r="AC216" s="17">
        <v>0</v>
      </c>
      <c r="AD216" s="17">
        <v>0</v>
      </c>
      <c r="AE216" s="17">
        <v>0</v>
      </c>
      <c r="AF216" s="17">
        <v>0</v>
      </c>
      <c r="AG216" s="17">
        <v>0</v>
      </c>
      <c r="AH216" s="17">
        <v>0</v>
      </c>
      <c r="AI216" s="17">
        <v>0</v>
      </c>
      <c r="AJ216" s="17">
        <v>0</v>
      </c>
      <c r="AK216" s="17">
        <v>0</v>
      </c>
      <c r="AL216" s="17">
        <v>0</v>
      </c>
      <c r="AM216" s="17">
        <v>0</v>
      </c>
      <c r="AN216" s="17">
        <v>0</v>
      </c>
      <c r="AO216" s="17"/>
      <c r="AP216" s="17"/>
      <c r="AQ216" s="17"/>
      <c r="AR216" s="17"/>
      <c r="AS216" s="17"/>
      <c r="AT216" s="17"/>
      <c r="AU216" s="17"/>
      <c r="AV216" s="17"/>
      <c r="AW216" s="17"/>
      <c r="AX216" s="17"/>
      <c r="AY216" s="17"/>
      <c r="AZ216" s="17"/>
      <c r="BA216" s="17"/>
      <c r="BB216" s="17"/>
      <c r="BC216" s="17"/>
      <c r="BD216" s="17"/>
      <c r="BE216" s="17"/>
      <c r="BF216" s="17"/>
      <c r="BG216" s="17"/>
      <c r="BH216" s="17"/>
      <c r="BI216" s="17"/>
      <c r="BJ216" s="17"/>
      <c r="BK216" s="17"/>
      <c r="BL216" s="17"/>
      <c r="BM216" s="17"/>
      <c r="BN216" s="17"/>
      <c r="BO216" s="17"/>
      <c r="BP216" s="17"/>
      <c r="BQ216" s="17"/>
      <c r="BR216" s="17"/>
      <c r="BS216" s="17"/>
      <c r="BT216" s="17"/>
      <c r="BU216" s="17"/>
      <c r="BV216" s="17"/>
      <c r="BW216" s="17"/>
      <c r="BX216" s="17"/>
      <c r="BY216" s="17"/>
      <c r="BZ216" s="17"/>
      <c r="CA216" s="17"/>
      <c r="CB216" s="17"/>
      <c r="CC216" s="17"/>
      <c r="CD216" s="17"/>
      <c r="CE216" s="17"/>
      <c r="CF216" s="17"/>
      <c r="CG216" s="17"/>
      <c r="CH216" s="17"/>
      <c r="CI216" s="17"/>
      <c r="CJ216" s="17"/>
      <c r="CK216" s="17"/>
      <c r="CL216" s="17"/>
      <c r="CM216" s="17"/>
      <c r="CN216" s="17"/>
      <c r="CO216" s="17"/>
      <c r="CP216" s="17"/>
      <c r="CQ216" s="17"/>
      <c r="CR216" s="17"/>
      <c r="CS216" s="17"/>
      <c r="CT216" s="17"/>
      <c r="CU216" s="17"/>
      <c r="CV216" s="17"/>
    </row>
    <row r="217" spans="2:100" x14ac:dyDescent="0.35">
      <c r="B217" s="9"/>
      <c r="C217" t="s">
        <v>230</v>
      </c>
      <c r="D217" t="s">
        <v>224</v>
      </c>
      <c r="E217" t="s">
        <v>223</v>
      </c>
      <c r="F217" s="17">
        <v>0</v>
      </c>
      <c r="G217" s="17">
        <v>0</v>
      </c>
      <c r="H217" s="17">
        <v>0</v>
      </c>
      <c r="I217" s="17">
        <v>0</v>
      </c>
      <c r="J217" s="17">
        <v>0</v>
      </c>
      <c r="K217" s="17">
        <v>0</v>
      </c>
      <c r="L217" s="17">
        <v>0</v>
      </c>
      <c r="M217" s="17">
        <v>0</v>
      </c>
      <c r="N217" s="17">
        <v>0</v>
      </c>
      <c r="O217" s="17">
        <v>0</v>
      </c>
      <c r="P217" s="17">
        <v>0</v>
      </c>
      <c r="Q217" s="17">
        <v>0</v>
      </c>
      <c r="R217" s="17">
        <v>0</v>
      </c>
      <c r="S217" s="17">
        <v>0</v>
      </c>
      <c r="T217" s="17">
        <v>0</v>
      </c>
      <c r="U217" s="17">
        <v>0</v>
      </c>
      <c r="V217" s="17">
        <v>0</v>
      </c>
      <c r="W217" s="17">
        <v>0</v>
      </c>
      <c r="X217" s="17">
        <v>0</v>
      </c>
      <c r="Y217" s="17">
        <v>0</v>
      </c>
      <c r="Z217" s="17">
        <v>0</v>
      </c>
      <c r="AA217" s="17">
        <v>0</v>
      </c>
      <c r="AB217" s="17">
        <v>0</v>
      </c>
      <c r="AC217" s="17">
        <v>0</v>
      </c>
      <c r="AD217" s="17">
        <v>0</v>
      </c>
      <c r="AE217" s="17">
        <v>0</v>
      </c>
      <c r="AF217" s="17">
        <v>0</v>
      </c>
      <c r="AG217" s="17">
        <v>0</v>
      </c>
      <c r="AH217" s="17">
        <v>0</v>
      </c>
      <c r="AI217" s="17">
        <v>0</v>
      </c>
      <c r="AJ217" s="17">
        <v>0</v>
      </c>
      <c r="AK217" s="17">
        <v>0</v>
      </c>
      <c r="AL217" s="17">
        <v>0</v>
      </c>
      <c r="AM217" s="17">
        <v>0</v>
      </c>
      <c r="AN217" s="17">
        <v>0</v>
      </c>
      <c r="AO217" s="17"/>
      <c r="AP217" s="17"/>
      <c r="AQ217" s="17"/>
      <c r="AR217" s="17"/>
      <c r="AS217" s="17"/>
      <c r="AT217" s="17"/>
      <c r="AU217" s="17"/>
      <c r="AV217" s="17"/>
      <c r="AW217" s="17"/>
      <c r="AX217" s="17"/>
      <c r="AY217" s="17"/>
      <c r="AZ217" s="17"/>
      <c r="BA217" s="17"/>
      <c r="BB217" s="17"/>
      <c r="BC217" s="17"/>
      <c r="BD217" s="17"/>
      <c r="BE217" s="17"/>
      <c r="BF217" s="17"/>
      <c r="BG217" s="17"/>
      <c r="BH217" s="17"/>
      <c r="BI217" s="17"/>
      <c r="BJ217" s="17"/>
      <c r="BK217" s="17"/>
      <c r="BL217" s="17"/>
      <c r="BM217" s="17"/>
      <c r="BN217" s="17"/>
      <c r="BO217" s="17"/>
      <c r="BP217" s="17"/>
      <c r="BQ217" s="17"/>
      <c r="BR217" s="17"/>
      <c r="BS217" s="17"/>
      <c r="BT217" s="17"/>
      <c r="BU217" s="17"/>
      <c r="BV217" s="17"/>
      <c r="BW217" s="17"/>
      <c r="BX217" s="17"/>
      <c r="BY217" s="17"/>
      <c r="BZ217" s="17"/>
      <c r="CA217" s="17"/>
      <c r="CB217" s="17"/>
      <c r="CC217" s="17"/>
      <c r="CD217" s="17"/>
      <c r="CE217" s="17"/>
      <c r="CF217" s="17"/>
      <c r="CG217" s="17"/>
      <c r="CH217" s="17"/>
      <c r="CI217" s="17"/>
      <c r="CJ217" s="17"/>
      <c r="CK217" s="17"/>
      <c r="CL217" s="17"/>
      <c r="CM217" s="17"/>
      <c r="CN217" s="17"/>
      <c r="CO217" s="17"/>
      <c r="CP217" s="17"/>
      <c r="CQ217" s="17"/>
      <c r="CR217" s="17"/>
      <c r="CS217" s="17"/>
      <c r="CT217" s="17"/>
      <c r="CU217" s="17"/>
      <c r="CV217" s="17"/>
    </row>
    <row r="218" spans="2:100" x14ac:dyDescent="0.35">
      <c r="B218" s="9"/>
      <c r="C218" t="s">
        <v>230</v>
      </c>
      <c r="D218" t="s">
        <v>225</v>
      </c>
      <c r="E218" t="s">
        <v>223</v>
      </c>
      <c r="F218" s="17">
        <v>0</v>
      </c>
      <c r="G218" s="17">
        <v>0</v>
      </c>
      <c r="H218" s="17">
        <v>0</v>
      </c>
      <c r="I218" s="17">
        <v>0</v>
      </c>
      <c r="J218" s="17">
        <v>0</v>
      </c>
      <c r="K218" s="17">
        <v>0</v>
      </c>
      <c r="L218" s="17">
        <v>0</v>
      </c>
      <c r="M218" s="17">
        <v>0</v>
      </c>
      <c r="N218" s="17">
        <v>0</v>
      </c>
      <c r="O218" s="17">
        <v>0</v>
      </c>
      <c r="P218" s="17">
        <v>0</v>
      </c>
      <c r="Q218" s="17">
        <v>0</v>
      </c>
      <c r="R218" s="17">
        <v>0</v>
      </c>
      <c r="S218" s="17">
        <v>0</v>
      </c>
      <c r="T218" s="17">
        <v>0</v>
      </c>
      <c r="U218" s="17">
        <v>0</v>
      </c>
      <c r="V218" s="17">
        <v>0</v>
      </c>
      <c r="W218" s="17">
        <v>0</v>
      </c>
      <c r="X218" s="17">
        <v>0</v>
      </c>
      <c r="Y218" s="17">
        <v>0</v>
      </c>
      <c r="Z218" s="17">
        <v>0</v>
      </c>
      <c r="AA218" s="17">
        <v>0</v>
      </c>
      <c r="AB218" s="17">
        <v>0</v>
      </c>
      <c r="AC218" s="17">
        <v>0</v>
      </c>
      <c r="AD218" s="17">
        <v>0</v>
      </c>
      <c r="AE218" s="17">
        <v>0</v>
      </c>
      <c r="AF218" s="17">
        <v>0</v>
      </c>
      <c r="AG218" s="17">
        <v>0</v>
      </c>
      <c r="AH218" s="17">
        <v>0</v>
      </c>
      <c r="AI218" s="17">
        <v>0</v>
      </c>
      <c r="AJ218" s="17">
        <v>0</v>
      </c>
      <c r="AK218" s="17">
        <v>0</v>
      </c>
      <c r="AL218" s="17">
        <v>0</v>
      </c>
      <c r="AM218" s="17">
        <v>0</v>
      </c>
      <c r="AN218" s="17">
        <v>0</v>
      </c>
      <c r="AO218" s="17"/>
      <c r="AP218" s="17"/>
      <c r="AQ218" s="17"/>
      <c r="AR218" s="17"/>
      <c r="AS218" s="17"/>
      <c r="AT218" s="17"/>
      <c r="AU218" s="17"/>
      <c r="AV218" s="17"/>
      <c r="AW218" s="17"/>
      <c r="AX218" s="17"/>
      <c r="AY218" s="17"/>
      <c r="AZ218" s="17"/>
      <c r="BA218" s="17"/>
      <c r="BB218" s="17"/>
      <c r="BC218" s="17"/>
      <c r="BD218" s="17"/>
      <c r="BE218" s="17"/>
      <c r="BF218" s="17"/>
      <c r="BG218" s="17"/>
      <c r="BH218" s="17"/>
      <c r="BI218" s="17"/>
      <c r="BJ218" s="17"/>
      <c r="BK218" s="17"/>
      <c r="BL218" s="17"/>
      <c r="BM218" s="17"/>
      <c r="BN218" s="17"/>
      <c r="BO218" s="17"/>
      <c r="BP218" s="17"/>
      <c r="BQ218" s="17"/>
      <c r="BR218" s="17"/>
      <c r="BS218" s="17"/>
      <c r="BT218" s="17"/>
      <c r="BU218" s="17"/>
      <c r="BV218" s="17"/>
      <c r="BW218" s="17"/>
      <c r="BX218" s="17"/>
      <c r="BY218" s="17"/>
      <c r="BZ218" s="17"/>
      <c r="CA218" s="17"/>
      <c r="CB218" s="17"/>
      <c r="CC218" s="17"/>
      <c r="CD218" s="17"/>
      <c r="CE218" s="17"/>
      <c r="CF218" s="17"/>
      <c r="CG218" s="17"/>
      <c r="CH218" s="17"/>
      <c r="CI218" s="17"/>
      <c r="CJ218" s="17"/>
      <c r="CK218" s="17"/>
      <c r="CL218" s="17"/>
      <c r="CM218" s="17"/>
      <c r="CN218" s="17"/>
      <c r="CO218" s="17"/>
      <c r="CP218" s="17"/>
      <c r="CQ218" s="17"/>
      <c r="CR218" s="17"/>
      <c r="CS218" s="17"/>
      <c r="CT218" s="17"/>
      <c r="CU218" s="17"/>
      <c r="CV218" s="17"/>
    </row>
    <row r="219" spans="2:100" x14ac:dyDescent="0.35">
      <c r="B219" s="9"/>
      <c r="C219" t="s">
        <v>230</v>
      </c>
      <c r="D219" t="s">
        <v>355</v>
      </c>
      <c r="E219" t="s">
        <v>223</v>
      </c>
      <c r="F219" s="17">
        <v>0</v>
      </c>
      <c r="G219" s="17">
        <v>0</v>
      </c>
      <c r="H219" s="17">
        <v>0</v>
      </c>
      <c r="I219" s="17">
        <v>0</v>
      </c>
      <c r="J219" s="17">
        <v>0</v>
      </c>
      <c r="K219" s="17">
        <v>0</v>
      </c>
      <c r="L219" s="17">
        <v>0</v>
      </c>
      <c r="M219" s="17">
        <v>0</v>
      </c>
      <c r="N219" s="17">
        <v>0</v>
      </c>
      <c r="O219" s="17">
        <v>0</v>
      </c>
      <c r="P219" s="17">
        <v>0</v>
      </c>
      <c r="Q219" s="17">
        <v>0</v>
      </c>
      <c r="R219" s="17">
        <v>0</v>
      </c>
      <c r="S219" s="17">
        <v>0</v>
      </c>
      <c r="T219" s="17">
        <v>0</v>
      </c>
      <c r="U219" s="17">
        <v>0</v>
      </c>
      <c r="V219" s="17">
        <v>0</v>
      </c>
      <c r="W219" s="17">
        <v>0</v>
      </c>
      <c r="X219" s="17">
        <v>0</v>
      </c>
      <c r="Y219" s="17">
        <v>0</v>
      </c>
      <c r="Z219" s="17">
        <v>0</v>
      </c>
      <c r="AA219" s="17">
        <v>0</v>
      </c>
      <c r="AB219" s="17">
        <v>0</v>
      </c>
      <c r="AC219" s="17">
        <v>0</v>
      </c>
      <c r="AD219" s="17">
        <v>0</v>
      </c>
      <c r="AE219" s="17">
        <v>0</v>
      </c>
      <c r="AF219" s="17">
        <v>0</v>
      </c>
      <c r="AG219" s="17">
        <v>0</v>
      </c>
      <c r="AH219" s="17">
        <v>0</v>
      </c>
      <c r="AI219" s="17">
        <v>0</v>
      </c>
      <c r="AJ219" s="17">
        <v>0</v>
      </c>
      <c r="AK219" s="17">
        <v>0</v>
      </c>
      <c r="AL219" s="17">
        <v>0</v>
      </c>
      <c r="AM219" s="17">
        <v>0</v>
      </c>
      <c r="AN219" s="17">
        <v>0</v>
      </c>
      <c r="AO219" s="17"/>
      <c r="AP219" s="17"/>
      <c r="AQ219" s="17"/>
      <c r="AR219" s="17"/>
      <c r="AS219" s="17"/>
      <c r="AT219" s="17"/>
      <c r="AU219" s="17"/>
      <c r="AV219" s="17"/>
      <c r="AW219" s="17"/>
      <c r="AX219" s="17"/>
      <c r="AY219" s="17"/>
      <c r="AZ219" s="17"/>
      <c r="BA219" s="17"/>
      <c r="BB219" s="17"/>
      <c r="BC219" s="17"/>
      <c r="BD219" s="17"/>
      <c r="BE219" s="17"/>
      <c r="BF219" s="17"/>
      <c r="BG219" s="17"/>
      <c r="BH219" s="17"/>
      <c r="BI219" s="17"/>
      <c r="BJ219" s="17"/>
      <c r="BK219" s="17"/>
      <c r="BL219" s="17"/>
      <c r="BM219" s="17"/>
      <c r="BN219" s="17"/>
      <c r="BO219" s="17"/>
      <c r="BP219" s="17"/>
      <c r="BQ219" s="17"/>
      <c r="BR219" s="17"/>
      <c r="BS219" s="17"/>
      <c r="BT219" s="17"/>
      <c r="BU219" s="17"/>
      <c r="BV219" s="17"/>
      <c r="BW219" s="17"/>
      <c r="BX219" s="17"/>
      <c r="BY219" s="17"/>
      <c r="BZ219" s="17"/>
      <c r="CA219" s="17"/>
      <c r="CB219" s="17"/>
      <c r="CC219" s="17"/>
      <c r="CD219" s="17"/>
      <c r="CE219" s="17"/>
      <c r="CF219" s="17"/>
      <c r="CG219" s="17"/>
      <c r="CH219" s="17"/>
      <c r="CI219" s="17"/>
      <c r="CJ219" s="17"/>
      <c r="CK219" s="17"/>
      <c r="CL219" s="17"/>
      <c r="CM219" s="17"/>
      <c r="CN219" s="17"/>
      <c r="CO219" s="17"/>
      <c r="CP219" s="17"/>
      <c r="CQ219" s="17"/>
      <c r="CR219" s="17"/>
      <c r="CS219" s="17"/>
      <c r="CT219" s="17"/>
      <c r="CU219" s="17"/>
      <c r="CV219" s="17"/>
    </row>
    <row r="220" spans="2:100" x14ac:dyDescent="0.35">
      <c r="B220" s="9"/>
      <c r="C220" t="s">
        <v>230</v>
      </c>
      <c r="D220" t="s">
        <v>356</v>
      </c>
      <c r="E220" t="s">
        <v>124</v>
      </c>
      <c r="F220" s="17">
        <v>0</v>
      </c>
      <c r="G220" s="17">
        <v>1</v>
      </c>
      <c r="H220" s="17">
        <v>1</v>
      </c>
      <c r="I220" s="17">
        <v>1</v>
      </c>
      <c r="J220" s="17">
        <v>1</v>
      </c>
      <c r="K220" s="17">
        <v>1</v>
      </c>
      <c r="L220" s="17">
        <v>1</v>
      </c>
      <c r="M220" s="17">
        <v>1</v>
      </c>
      <c r="N220" s="17">
        <v>1</v>
      </c>
      <c r="O220" s="17">
        <v>1</v>
      </c>
      <c r="P220" s="17">
        <v>1</v>
      </c>
      <c r="Q220" s="17">
        <v>1</v>
      </c>
      <c r="R220" s="17">
        <v>1</v>
      </c>
      <c r="S220" s="17">
        <v>1</v>
      </c>
      <c r="T220" s="17">
        <v>1</v>
      </c>
      <c r="U220" s="17">
        <v>1</v>
      </c>
      <c r="V220" s="17">
        <v>1</v>
      </c>
      <c r="W220" s="17">
        <v>1</v>
      </c>
      <c r="X220" s="17">
        <v>1</v>
      </c>
      <c r="Y220" s="17">
        <v>1</v>
      </c>
      <c r="Z220" s="17">
        <v>1</v>
      </c>
      <c r="AA220" s="17">
        <v>1</v>
      </c>
      <c r="AB220" s="17">
        <v>1</v>
      </c>
      <c r="AC220" s="17">
        <v>1</v>
      </c>
      <c r="AD220" s="17">
        <v>1</v>
      </c>
      <c r="AE220" s="17">
        <v>1</v>
      </c>
      <c r="AF220" s="17">
        <v>1</v>
      </c>
      <c r="AG220" s="17">
        <v>1</v>
      </c>
      <c r="AH220" s="17">
        <v>1</v>
      </c>
      <c r="AI220" s="17">
        <v>1</v>
      </c>
      <c r="AJ220" s="17">
        <v>1</v>
      </c>
      <c r="AK220" s="17">
        <v>1</v>
      </c>
      <c r="AL220" s="17">
        <v>1</v>
      </c>
      <c r="AM220" s="17">
        <v>1</v>
      </c>
      <c r="AN220" s="17">
        <v>1</v>
      </c>
      <c r="AO220" s="17"/>
      <c r="AP220" s="17"/>
      <c r="AQ220" s="17"/>
      <c r="AR220" s="17"/>
      <c r="AS220" s="17"/>
      <c r="AT220" s="17"/>
      <c r="AU220" s="17"/>
      <c r="AV220" s="17"/>
      <c r="AW220" s="17"/>
      <c r="AX220" s="17"/>
      <c r="AY220" s="17"/>
      <c r="AZ220" s="17"/>
      <c r="BA220" s="17"/>
      <c r="BB220" s="17"/>
      <c r="BC220" s="17"/>
      <c r="BD220" s="17"/>
      <c r="BE220" s="17"/>
      <c r="BF220" s="17"/>
      <c r="BG220" s="17"/>
      <c r="BH220" s="17"/>
      <c r="BI220" s="17"/>
      <c r="BJ220" s="17"/>
      <c r="BK220" s="17"/>
      <c r="BL220" s="17"/>
      <c r="BM220" s="17"/>
      <c r="BN220" s="17"/>
      <c r="BO220" s="17"/>
      <c r="BP220" s="17"/>
      <c r="BQ220" s="17"/>
      <c r="BR220" s="17"/>
      <c r="BS220" s="17"/>
      <c r="BT220" s="17"/>
      <c r="BU220" s="17"/>
      <c r="BV220" s="17"/>
      <c r="BW220" s="17"/>
      <c r="BX220" s="17"/>
      <c r="BY220" s="17"/>
      <c r="BZ220" s="17"/>
      <c r="CA220" s="17"/>
      <c r="CB220" s="17"/>
      <c r="CC220" s="17"/>
      <c r="CD220" s="17"/>
      <c r="CE220" s="17"/>
      <c r="CF220" s="17"/>
      <c r="CG220" s="17"/>
      <c r="CH220" s="17"/>
      <c r="CI220" s="17"/>
      <c r="CJ220" s="17"/>
      <c r="CK220" s="17"/>
      <c r="CL220" s="17"/>
      <c r="CM220" s="17"/>
      <c r="CN220" s="17"/>
      <c r="CO220" s="17"/>
      <c r="CP220" s="17"/>
      <c r="CQ220" s="17"/>
      <c r="CR220" s="17"/>
      <c r="CS220" s="17"/>
      <c r="CT220" s="17"/>
      <c r="CU220" s="17"/>
      <c r="CV220" s="17"/>
    </row>
    <row r="221" spans="2:100" x14ac:dyDescent="0.35">
      <c r="B221" s="9"/>
      <c r="C221" t="s">
        <v>339</v>
      </c>
      <c r="D221" t="s">
        <v>357</v>
      </c>
      <c r="E221" t="s">
        <v>226</v>
      </c>
      <c r="F221" s="17">
        <v>0</v>
      </c>
      <c r="G221" s="17">
        <v>118.425752528742</v>
      </c>
      <c r="H221" s="17">
        <v>98.062814569602693</v>
      </c>
      <c r="I221" s="17">
        <v>68.671354555559105</v>
      </c>
      <c r="J221" s="17">
        <v>53.179735663836297</v>
      </c>
      <c r="K221" s="17">
        <v>51.993306549544997</v>
      </c>
      <c r="L221" s="17">
        <v>58.888903433311199</v>
      </c>
      <c r="M221" s="17">
        <v>49.5896718683465</v>
      </c>
      <c r="N221" s="17">
        <v>46.314257080440903</v>
      </c>
      <c r="O221" s="17">
        <v>47.761074206088502</v>
      </c>
      <c r="P221" s="17">
        <v>40.672482011518099</v>
      </c>
      <c r="Q221" s="17">
        <v>40.2422698271385</v>
      </c>
      <c r="R221" s="17">
        <v>38.517618432202298</v>
      </c>
      <c r="S221" s="17">
        <v>40.286783902018698</v>
      </c>
      <c r="T221" s="17">
        <v>41.840576884688801</v>
      </c>
      <c r="U221" s="17">
        <v>40.3513246095075</v>
      </c>
      <c r="V221" s="17">
        <v>40.706267160112901</v>
      </c>
      <c r="W221" s="17">
        <v>37.288096016131902</v>
      </c>
      <c r="X221" s="17">
        <v>36.421800511469598</v>
      </c>
      <c r="Y221" s="17">
        <v>36.375291086131199</v>
      </c>
      <c r="Z221" s="17">
        <v>38.7010966526015</v>
      </c>
      <c r="AA221" s="17">
        <v>38.1574524510781</v>
      </c>
      <c r="AB221" s="17">
        <v>50.0825965595334</v>
      </c>
      <c r="AC221" s="17">
        <v>49.181815966586797</v>
      </c>
      <c r="AD221" s="17">
        <v>49.518507850959899</v>
      </c>
      <c r="AE221" s="17">
        <v>49.779418205368103</v>
      </c>
      <c r="AF221" s="17">
        <v>50.1885277304523</v>
      </c>
      <c r="AG221" s="17">
        <v>49.531838045643603</v>
      </c>
      <c r="AH221" s="17">
        <v>47.804480913698697</v>
      </c>
      <c r="AI221" s="17">
        <v>48.016719342533797</v>
      </c>
      <c r="AJ221" s="17">
        <v>48.436933880900703</v>
      </c>
      <c r="AK221" s="17">
        <v>45.5209015595415</v>
      </c>
      <c r="AL221" s="17">
        <v>46.3909056998721</v>
      </c>
      <c r="AM221" s="17">
        <v>46.877833892823602</v>
      </c>
      <c r="AN221" s="17">
        <v>45.1619474142977</v>
      </c>
      <c r="AO221" s="17"/>
      <c r="AP221" s="17"/>
      <c r="AQ221" s="17"/>
      <c r="AR221" s="17"/>
      <c r="AS221" s="17"/>
      <c r="AT221" s="17"/>
      <c r="AU221" s="17"/>
      <c r="AV221" s="17"/>
      <c r="AW221" s="17"/>
      <c r="AX221" s="17"/>
      <c r="AY221" s="17"/>
      <c r="AZ221" s="17"/>
      <c r="BA221" s="17"/>
      <c r="BB221" s="17"/>
      <c r="BC221" s="17"/>
      <c r="BD221" s="17"/>
      <c r="BE221" s="17"/>
      <c r="BF221" s="17"/>
      <c r="BG221" s="17"/>
      <c r="BH221" s="17"/>
      <c r="BI221" s="17"/>
      <c r="BJ221" s="17"/>
      <c r="BK221" s="17"/>
      <c r="BL221" s="17"/>
      <c r="BM221" s="17"/>
      <c r="BN221" s="17"/>
      <c r="BO221" s="17"/>
      <c r="BP221" s="17"/>
      <c r="BQ221" s="17"/>
      <c r="BR221" s="17"/>
      <c r="BS221" s="17"/>
      <c r="BT221" s="17"/>
      <c r="BU221" s="17"/>
      <c r="BV221" s="17"/>
      <c r="BW221" s="17"/>
      <c r="BX221" s="17"/>
      <c r="BY221" s="17"/>
      <c r="BZ221" s="17"/>
      <c r="CA221" s="17"/>
      <c r="CB221" s="17"/>
      <c r="CC221" s="17"/>
      <c r="CD221" s="17"/>
      <c r="CE221" s="17"/>
      <c r="CF221" s="17"/>
      <c r="CG221" s="17"/>
      <c r="CH221" s="17"/>
      <c r="CI221" s="17"/>
      <c r="CJ221" s="17"/>
      <c r="CK221" s="17"/>
      <c r="CL221" s="17"/>
      <c r="CM221" s="17"/>
      <c r="CN221" s="17"/>
      <c r="CO221" s="17"/>
      <c r="CP221" s="17"/>
      <c r="CQ221" s="17"/>
      <c r="CR221" s="17"/>
      <c r="CS221" s="17"/>
      <c r="CT221" s="17"/>
      <c r="CU221" s="17"/>
      <c r="CV221" s="17"/>
    </row>
    <row r="222" spans="2:100" x14ac:dyDescent="0.35">
      <c r="B222" s="9"/>
      <c r="F222" s="17"/>
      <c r="G222" s="17"/>
      <c r="H222" s="17"/>
      <c r="I222" s="17"/>
      <c r="J222" s="17"/>
      <c r="K222" s="17"/>
      <c r="L222" s="17"/>
      <c r="M222" s="17"/>
      <c r="N222" s="17"/>
      <c r="O222" s="17"/>
      <c r="P222" s="17"/>
      <c r="Q222" s="17"/>
      <c r="R222" s="17"/>
      <c r="S222" s="17"/>
      <c r="T222" s="17"/>
      <c r="U222" s="17"/>
      <c r="V222" s="17"/>
      <c r="W222" s="17"/>
      <c r="X222" s="17"/>
      <c r="Y222" s="17"/>
      <c r="Z222" s="17"/>
      <c r="AA222" s="17"/>
      <c r="AB222" s="17"/>
      <c r="AC222" s="17"/>
      <c r="AD222" s="17"/>
      <c r="AE222" s="17"/>
      <c r="AF222" s="17"/>
      <c r="AG222" s="17"/>
      <c r="AH222" s="17"/>
      <c r="AI222" s="17"/>
      <c r="AJ222" s="17"/>
      <c r="AK222" s="17"/>
      <c r="AL222" s="17"/>
      <c r="AM222" s="17"/>
      <c r="AN222" s="17"/>
      <c r="AO222" s="17"/>
      <c r="AP222" s="17"/>
      <c r="AQ222" s="17"/>
      <c r="AR222" s="17"/>
      <c r="AS222" s="17"/>
      <c r="AT222" s="17"/>
      <c r="AU222" s="17"/>
      <c r="AV222" s="17"/>
      <c r="AW222" s="17"/>
      <c r="AX222" s="17"/>
      <c r="AY222" s="17"/>
      <c r="AZ222" s="17"/>
      <c r="BA222" s="17"/>
      <c r="BB222" s="17"/>
      <c r="BC222" s="17"/>
      <c r="BD222" s="17"/>
      <c r="BE222" s="17"/>
      <c r="BF222" s="17"/>
      <c r="BG222" s="17"/>
      <c r="BH222" s="17"/>
      <c r="BI222" s="17"/>
      <c r="BJ222" s="17"/>
      <c r="BK222" s="17"/>
      <c r="BL222" s="17"/>
      <c r="BM222" s="17"/>
      <c r="BN222" s="17"/>
      <c r="BO222" s="17"/>
      <c r="BP222" s="17"/>
      <c r="BQ222" s="17"/>
      <c r="BR222" s="17"/>
      <c r="BS222" s="17"/>
      <c r="BT222" s="17"/>
      <c r="BU222" s="17"/>
      <c r="BV222" s="17"/>
      <c r="BW222" s="17"/>
      <c r="BX222" s="17"/>
      <c r="BY222" s="17"/>
      <c r="BZ222" s="17"/>
      <c r="CA222" s="17"/>
      <c r="CB222" s="17"/>
      <c r="CC222" s="17"/>
      <c r="CD222" s="17"/>
      <c r="CE222" s="17"/>
      <c r="CF222" s="17"/>
      <c r="CG222" s="17"/>
      <c r="CH222" s="17"/>
      <c r="CI222" s="17"/>
      <c r="CJ222" s="17"/>
      <c r="CK222" s="17"/>
      <c r="CL222" s="17"/>
      <c r="CM222" s="17"/>
      <c r="CN222" s="17"/>
      <c r="CO222" s="17"/>
      <c r="CP222" s="17"/>
      <c r="CQ222" s="17"/>
      <c r="CR222" s="17"/>
      <c r="CS222" s="17"/>
      <c r="CT222" s="17"/>
      <c r="CU222" s="17"/>
      <c r="CV222" s="17"/>
    </row>
    <row r="223" spans="2:100" x14ac:dyDescent="0.35">
      <c r="B223" s="9"/>
      <c r="F223" s="17"/>
      <c r="G223" s="17"/>
      <c r="H223" s="17"/>
      <c r="I223" s="17"/>
      <c r="J223" s="17"/>
      <c r="K223" s="17"/>
      <c r="L223" s="17"/>
      <c r="M223" s="17"/>
      <c r="N223" s="17"/>
      <c r="O223" s="17"/>
      <c r="P223" s="17"/>
      <c r="Q223" s="17"/>
      <c r="R223" s="17"/>
      <c r="S223" s="17"/>
      <c r="T223" s="17"/>
      <c r="U223" s="17"/>
      <c r="V223" s="17"/>
      <c r="W223" s="17"/>
      <c r="X223" s="17"/>
      <c r="Y223" s="17"/>
      <c r="Z223" s="17"/>
      <c r="AA223" s="17"/>
      <c r="AB223" s="17"/>
      <c r="AC223" s="17"/>
      <c r="AD223" s="17"/>
      <c r="AE223" s="17"/>
      <c r="AF223" s="17"/>
      <c r="AG223" s="17"/>
      <c r="AH223" s="17"/>
      <c r="AI223" s="17"/>
      <c r="AJ223" s="17"/>
      <c r="AK223" s="17"/>
      <c r="AL223" s="17"/>
      <c r="AM223" s="17"/>
      <c r="AN223" s="17"/>
      <c r="AO223" s="17"/>
      <c r="AP223" s="17"/>
      <c r="AQ223" s="17"/>
      <c r="AR223" s="17"/>
      <c r="AS223" s="17"/>
      <c r="AT223" s="17"/>
      <c r="AU223" s="17"/>
      <c r="AV223" s="17"/>
      <c r="AW223" s="17"/>
      <c r="AX223" s="17"/>
      <c r="AY223" s="17"/>
      <c r="AZ223" s="17"/>
      <c r="BA223" s="17"/>
      <c r="BB223" s="17"/>
      <c r="BC223" s="17"/>
      <c r="BD223" s="17"/>
      <c r="BE223" s="17"/>
      <c r="BF223" s="17"/>
      <c r="BG223" s="17"/>
      <c r="BH223" s="17"/>
      <c r="BI223" s="17"/>
      <c r="BJ223" s="17"/>
      <c r="BK223" s="17"/>
      <c r="BL223" s="17"/>
      <c r="BM223" s="17"/>
      <c r="BN223" s="17"/>
      <c r="BO223" s="17"/>
      <c r="BP223" s="17"/>
      <c r="BQ223" s="17"/>
      <c r="BR223" s="17"/>
      <c r="BS223" s="17"/>
      <c r="BT223" s="17"/>
      <c r="BU223" s="17"/>
      <c r="BV223" s="17"/>
      <c r="BW223" s="17"/>
      <c r="BX223" s="17"/>
      <c r="BY223" s="17"/>
      <c r="BZ223" s="17"/>
      <c r="CA223" s="17"/>
      <c r="CB223" s="17"/>
      <c r="CC223" s="17"/>
      <c r="CD223" s="17"/>
      <c r="CE223" s="17"/>
      <c r="CF223" s="17"/>
      <c r="CG223" s="17"/>
      <c r="CH223" s="17"/>
      <c r="CI223" s="17"/>
      <c r="CJ223" s="17"/>
      <c r="CK223" s="17"/>
      <c r="CL223" s="17"/>
      <c r="CM223" s="17"/>
      <c r="CN223" s="17"/>
      <c r="CO223" s="17"/>
      <c r="CP223" s="17"/>
      <c r="CQ223" s="17"/>
      <c r="CR223" s="17"/>
      <c r="CS223" s="17"/>
      <c r="CT223" s="17"/>
      <c r="CU223" s="17"/>
      <c r="CV223" s="17"/>
    </row>
    <row r="224" spans="2:100" x14ac:dyDescent="0.35">
      <c r="B224" s="9"/>
      <c r="F224" s="17"/>
      <c r="G224" s="17"/>
      <c r="H224" s="17"/>
      <c r="I224" s="17"/>
      <c r="J224" s="17"/>
      <c r="K224" s="17"/>
      <c r="L224" s="17"/>
      <c r="M224" s="17"/>
      <c r="N224" s="17"/>
      <c r="O224" s="17"/>
      <c r="P224" s="17"/>
      <c r="Q224" s="17"/>
      <c r="R224" s="17"/>
      <c r="S224" s="17"/>
      <c r="T224" s="17"/>
      <c r="U224" s="17"/>
      <c r="V224" s="17"/>
      <c r="W224" s="17"/>
      <c r="X224" s="17"/>
      <c r="Y224" s="17"/>
      <c r="Z224" s="17"/>
      <c r="AA224" s="17"/>
      <c r="AB224" s="17"/>
      <c r="AC224" s="17"/>
      <c r="AD224" s="17"/>
      <c r="AE224" s="17"/>
      <c r="AF224" s="17"/>
      <c r="AG224" s="17"/>
      <c r="AH224" s="17"/>
      <c r="AI224" s="17"/>
      <c r="AJ224" s="17"/>
      <c r="AK224" s="17"/>
      <c r="AL224" s="17"/>
      <c r="AM224" s="17"/>
      <c r="AN224" s="17"/>
      <c r="AO224" s="17"/>
      <c r="AP224" s="17"/>
      <c r="AQ224" s="17"/>
      <c r="AR224" s="17"/>
      <c r="AS224" s="17"/>
      <c r="AT224" s="17"/>
      <c r="AU224" s="17"/>
      <c r="AV224" s="17"/>
      <c r="AW224" s="17"/>
      <c r="AX224" s="17"/>
      <c r="AY224" s="17"/>
      <c r="AZ224" s="17"/>
      <c r="BA224" s="17"/>
      <c r="BB224" s="17"/>
      <c r="BC224" s="17"/>
      <c r="BD224" s="17"/>
      <c r="BE224" s="17"/>
      <c r="BF224" s="17"/>
      <c r="BG224" s="17"/>
      <c r="BH224" s="17"/>
      <c r="BI224" s="17"/>
      <c r="BJ224" s="17"/>
      <c r="BK224" s="17"/>
      <c r="BL224" s="17"/>
      <c r="BM224" s="17"/>
      <c r="BN224" s="17"/>
      <c r="BO224" s="17"/>
      <c r="BP224" s="17"/>
      <c r="BQ224" s="17"/>
      <c r="BR224" s="17"/>
      <c r="BS224" s="17"/>
      <c r="BT224" s="17"/>
      <c r="BU224" s="17"/>
      <c r="BV224" s="17"/>
      <c r="BW224" s="17"/>
      <c r="BX224" s="17"/>
      <c r="BY224" s="17"/>
      <c r="BZ224" s="17"/>
      <c r="CA224" s="17"/>
      <c r="CB224" s="17"/>
      <c r="CC224" s="17"/>
      <c r="CD224" s="17"/>
      <c r="CE224" s="17"/>
      <c r="CF224" s="17"/>
      <c r="CG224" s="17"/>
      <c r="CH224" s="17"/>
      <c r="CI224" s="17"/>
      <c r="CJ224" s="17"/>
      <c r="CK224" s="17"/>
      <c r="CL224" s="17"/>
      <c r="CM224" s="17"/>
      <c r="CN224" s="17"/>
      <c r="CO224" s="17"/>
      <c r="CP224" s="17"/>
      <c r="CQ224" s="17"/>
      <c r="CR224" s="17"/>
      <c r="CS224" s="17"/>
      <c r="CT224" s="17"/>
      <c r="CU224" s="17"/>
      <c r="CV224" s="17"/>
    </row>
    <row r="225" spans="1:100" x14ac:dyDescent="0.35">
      <c r="A225">
        <v>5</v>
      </c>
      <c r="B225" s="9" t="s">
        <v>467</v>
      </c>
      <c r="C225" t="s">
        <v>230</v>
      </c>
      <c r="D225" t="s">
        <v>322</v>
      </c>
      <c r="E225" t="s">
        <v>124</v>
      </c>
      <c r="F225" s="17">
        <v>0</v>
      </c>
      <c r="G225" s="17">
        <v>0</v>
      </c>
      <c r="H225" s="17">
        <v>0</v>
      </c>
      <c r="I225" s="17">
        <v>0</v>
      </c>
      <c r="J225" s="17">
        <v>1</v>
      </c>
      <c r="K225" s="17">
        <v>1</v>
      </c>
      <c r="L225" s="17">
        <v>1</v>
      </c>
      <c r="M225" s="17">
        <v>1</v>
      </c>
      <c r="N225" s="17">
        <v>1</v>
      </c>
      <c r="O225" s="17">
        <v>1</v>
      </c>
      <c r="P225" s="17">
        <v>1</v>
      </c>
      <c r="Q225" s="17">
        <v>1</v>
      </c>
      <c r="R225" s="17">
        <v>1</v>
      </c>
      <c r="S225" s="17">
        <v>1</v>
      </c>
      <c r="T225" s="17">
        <v>1</v>
      </c>
      <c r="U225" s="17">
        <v>1</v>
      </c>
      <c r="V225" s="17">
        <v>1</v>
      </c>
      <c r="W225" s="17">
        <v>1</v>
      </c>
      <c r="X225" s="17">
        <v>1</v>
      </c>
      <c r="Y225" s="17">
        <v>1</v>
      </c>
      <c r="Z225" s="17">
        <v>1</v>
      </c>
      <c r="AA225" s="17">
        <v>1</v>
      </c>
      <c r="AB225" s="17">
        <v>1</v>
      </c>
      <c r="AC225" s="17">
        <v>1</v>
      </c>
      <c r="AD225" s="17">
        <v>1</v>
      </c>
      <c r="AE225" s="17">
        <v>1</v>
      </c>
      <c r="AF225" s="17">
        <v>1</v>
      </c>
      <c r="AG225" s="17">
        <v>1</v>
      </c>
      <c r="AH225" s="17">
        <v>1</v>
      </c>
      <c r="AI225" s="17">
        <v>1</v>
      </c>
      <c r="AJ225" s="17">
        <v>1</v>
      </c>
      <c r="AK225" s="17">
        <v>1</v>
      </c>
      <c r="AL225" s="17">
        <v>1</v>
      </c>
      <c r="AM225" s="17">
        <v>1</v>
      </c>
      <c r="AN225" s="17">
        <v>1</v>
      </c>
      <c r="AO225" s="17"/>
      <c r="AP225" s="17"/>
      <c r="AQ225" s="17"/>
      <c r="AR225" s="17"/>
      <c r="AS225" s="17"/>
      <c r="AT225" s="17"/>
      <c r="AU225" s="17"/>
      <c r="AV225" s="17"/>
      <c r="AW225" s="17"/>
      <c r="AX225" s="17"/>
      <c r="AY225" s="17"/>
      <c r="AZ225" s="17"/>
      <c r="BA225" s="17"/>
      <c r="BB225" s="17"/>
      <c r="BC225" s="17"/>
      <c r="BD225" s="17"/>
      <c r="BE225" s="17"/>
      <c r="BF225" s="17"/>
      <c r="BG225" s="17"/>
      <c r="BH225" s="17"/>
      <c r="BI225" s="17"/>
      <c r="BJ225" s="17"/>
      <c r="BK225" s="17"/>
      <c r="BL225" s="17"/>
      <c r="BM225" s="17"/>
      <c r="BN225" s="17"/>
      <c r="BO225" s="17"/>
      <c r="BP225" s="17"/>
      <c r="BQ225" s="17"/>
      <c r="BR225" s="17"/>
      <c r="BS225" s="17"/>
      <c r="BT225" s="17"/>
      <c r="BU225" s="17"/>
      <c r="BV225" s="17"/>
      <c r="BW225" s="17"/>
      <c r="BX225" s="17"/>
      <c r="BY225" s="17"/>
      <c r="BZ225" s="17"/>
      <c r="CA225" s="17"/>
      <c r="CB225" s="17"/>
      <c r="CC225" s="17"/>
      <c r="CD225" s="17"/>
      <c r="CE225" s="17"/>
      <c r="CF225" s="17"/>
      <c r="CG225" s="17"/>
      <c r="CH225" s="17"/>
      <c r="CI225" s="17"/>
      <c r="CJ225" s="17"/>
      <c r="CK225" s="17"/>
      <c r="CL225" s="17"/>
      <c r="CM225" s="17"/>
      <c r="CN225" s="17"/>
      <c r="CO225" s="17"/>
      <c r="CP225" s="17"/>
      <c r="CQ225" s="17"/>
      <c r="CR225" s="17"/>
      <c r="CS225" s="17"/>
      <c r="CT225" s="17"/>
      <c r="CU225" s="17"/>
      <c r="CV225" s="17"/>
    </row>
    <row r="226" spans="1:100" x14ac:dyDescent="0.35">
      <c r="B226" s="9">
        <v>2030</v>
      </c>
      <c r="C226" t="s">
        <v>337</v>
      </c>
      <c r="D226" t="s">
        <v>323</v>
      </c>
      <c r="F226" s="17">
        <v>0</v>
      </c>
      <c r="G226" s="17">
        <v>0</v>
      </c>
      <c r="H226" s="17">
        <v>0</v>
      </c>
      <c r="I226" s="17">
        <v>0</v>
      </c>
      <c r="J226" s="17">
        <v>0</v>
      </c>
      <c r="K226" s="17">
        <v>0</v>
      </c>
      <c r="L226" s="17">
        <v>0</v>
      </c>
      <c r="M226" s="17">
        <v>0</v>
      </c>
      <c r="N226" s="17">
        <v>0</v>
      </c>
      <c r="O226" s="17">
        <v>0</v>
      </c>
      <c r="P226" s="17">
        <v>0</v>
      </c>
      <c r="Q226" s="17">
        <v>0</v>
      </c>
      <c r="R226" s="17">
        <v>0</v>
      </c>
      <c r="S226" s="17">
        <v>0</v>
      </c>
      <c r="T226" s="17">
        <v>0</v>
      </c>
      <c r="U226" s="17">
        <v>0</v>
      </c>
      <c r="V226" s="17">
        <v>0</v>
      </c>
      <c r="W226" s="17">
        <v>0</v>
      </c>
      <c r="X226" s="17">
        <v>0</v>
      </c>
      <c r="Y226" s="17">
        <v>0</v>
      </c>
      <c r="Z226" s="17">
        <v>1</v>
      </c>
      <c r="AA226" s="17">
        <v>1</v>
      </c>
      <c r="AB226" s="17">
        <v>1</v>
      </c>
      <c r="AC226" s="17">
        <v>1</v>
      </c>
      <c r="AD226" s="17">
        <v>1</v>
      </c>
      <c r="AE226" s="17">
        <v>1</v>
      </c>
      <c r="AF226" s="17">
        <v>1</v>
      </c>
      <c r="AG226" s="17">
        <v>1</v>
      </c>
      <c r="AH226" s="17">
        <v>1</v>
      </c>
      <c r="AI226" s="17">
        <v>1</v>
      </c>
      <c r="AJ226" s="17">
        <v>1</v>
      </c>
      <c r="AK226" s="17">
        <v>1</v>
      </c>
      <c r="AL226" s="17">
        <v>1</v>
      </c>
      <c r="AM226" s="17">
        <v>1</v>
      </c>
      <c r="AN226" s="17">
        <v>1</v>
      </c>
      <c r="AO226" s="17"/>
      <c r="AP226" s="17"/>
      <c r="AQ226" s="17"/>
      <c r="AR226" s="17"/>
      <c r="AS226" s="17"/>
      <c r="AT226" s="17"/>
      <c r="AU226" s="17"/>
      <c r="AV226" s="17"/>
      <c r="AW226" s="17"/>
      <c r="AX226" s="17"/>
      <c r="AY226" s="17"/>
      <c r="AZ226" s="17"/>
      <c r="BA226" s="17"/>
      <c r="BB226" s="17"/>
      <c r="BC226" s="17"/>
      <c r="BD226" s="17"/>
      <c r="BE226" s="17"/>
      <c r="BF226" s="17"/>
      <c r="BG226" s="17"/>
      <c r="BH226" s="17"/>
      <c r="BI226" s="17"/>
      <c r="BJ226" s="17"/>
      <c r="BK226" s="17"/>
      <c r="BL226" s="17"/>
      <c r="BM226" s="17"/>
      <c r="BN226" s="17"/>
      <c r="BO226" s="17"/>
      <c r="BP226" s="17"/>
      <c r="BQ226" s="17"/>
      <c r="BR226" s="17"/>
      <c r="BS226" s="17"/>
      <c r="BT226" s="17"/>
      <c r="BU226" s="17"/>
      <c r="BV226" s="17"/>
      <c r="BW226" s="17"/>
      <c r="BX226" s="17"/>
      <c r="BY226" s="17"/>
      <c r="BZ226" s="17"/>
      <c r="CA226" s="17"/>
      <c r="CB226" s="17"/>
      <c r="CC226" s="17"/>
      <c r="CD226" s="17"/>
      <c r="CE226" s="17"/>
      <c r="CF226" s="17"/>
      <c r="CG226" s="17"/>
      <c r="CH226" s="17"/>
      <c r="CI226" s="17"/>
      <c r="CJ226" s="17"/>
      <c r="CK226" s="17"/>
      <c r="CL226" s="17"/>
      <c r="CM226" s="17"/>
      <c r="CN226" s="17"/>
      <c r="CO226" s="17"/>
      <c r="CP226" s="17"/>
      <c r="CQ226" s="17"/>
      <c r="CR226" s="17"/>
      <c r="CS226" s="17"/>
      <c r="CT226" s="17"/>
      <c r="CU226" s="17"/>
      <c r="CV226" s="17"/>
    </row>
    <row r="227" spans="1:100" x14ac:dyDescent="0.35">
      <c r="B227" s="9" t="s">
        <v>77</v>
      </c>
      <c r="C227" t="s">
        <v>230</v>
      </c>
      <c r="D227" t="s">
        <v>324</v>
      </c>
      <c r="F227" s="17">
        <v>0</v>
      </c>
      <c r="G227" s="17">
        <v>0</v>
      </c>
      <c r="H227" s="17">
        <v>0</v>
      </c>
      <c r="I227" s="17">
        <v>0</v>
      </c>
      <c r="J227" s="17">
        <v>1.4938800000000001</v>
      </c>
      <c r="K227" s="17">
        <v>1.4999800000000001</v>
      </c>
      <c r="L227" s="17">
        <v>1.49322</v>
      </c>
      <c r="M227" s="17">
        <v>1.50292</v>
      </c>
      <c r="N227" s="17">
        <v>1.49949</v>
      </c>
      <c r="O227" s="17">
        <v>1.5048600000000001</v>
      </c>
      <c r="P227" s="17">
        <v>1.50353</v>
      </c>
      <c r="Q227" s="17">
        <v>1.4935700000000001</v>
      </c>
      <c r="R227" s="17">
        <v>1.50474</v>
      </c>
      <c r="S227" s="17">
        <v>1.50376</v>
      </c>
      <c r="T227" s="17">
        <v>1.48899</v>
      </c>
      <c r="U227" s="17">
        <v>1.49576</v>
      </c>
      <c r="V227" s="17">
        <v>1.4963</v>
      </c>
      <c r="W227" s="17">
        <v>1.49472</v>
      </c>
      <c r="X227" s="17">
        <v>1.5063599999999999</v>
      </c>
      <c r="Y227" s="17">
        <v>1.4960500000000001</v>
      </c>
      <c r="Z227" s="17">
        <v>1.5021599999999999</v>
      </c>
      <c r="AA227" s="17">
        <v>1.5043200000000001</v>
      </c>
      <c r="AB227" s="17">
        <v>1.50054</v>
      </c>
      <c r="AC227" s="17">
        <v>1.50362</v>
      </c>
      <c r="AD227" s="17">
        <v>1.5016</v>
      </c>
      <c r="AE227" s="17">
        <v>1.50972</v>
      </c>
      <c r="AF227" s="17">
        <v>1.50305</v>
      </c>
      <c r="AG227" s="17">
        <v>1.4933799999999999</v>
      </c>
      <c r="AH227" s="17">
        <v>1.49966</v>
      </c>
      <c r="AI227" s="17">
        <v>1.50475</v>
      </c>
      <c r="AJ227" s="17">
        <v>1.5078</v>
      </c>
      <c r="AK227" s="17">
        <v>1.49502</v>
      </c>
      <c r="AL227" s="17">
        <v>1.4982200000000001</v>
      </c>
      <c r="AM227" s="17">
        <v>1.5063500000000001</v>
      </c>
      <c r="AN227" s="17">
        <v>1.50857</v>
      </c>
      <c r="AO227" s="17"/>
      <c r="AP227" s="17"/>
      <c r="AQ227" s="17"/>
      <c r="AR227" s="17"/>
      <c r="AS227" s="17"/>
      <c r="AT227" s="17"/>
      <c r="AU227" s="17"/>
      <c r="AV227" s="17"/>
      <c r="AW227" s="17"/>
      <c r="AX227" s="17"/>
      <c r="AY227" s="17"/>
      <c r="AZ227" s="17"/>
      <c r="BA227" s="17"/>
      <c r="BB227" s="17"/>
      <c r="BC227" s="17"/>
      <c r="BD227" s="17"/>
      <c r="BE227" s="17"/>
      <c r="BF227" s="17"/>
      <c r="BG227" s="17"/>
      <c r="BH227" s="17"/>
      <c r="BI227" s="17"/>
      <c r="BJ227" s="17"/>
      <c r="BK227" s="17"/>
      <c r="BL227" s="17"/>
      <c r="BM227" s="17"/>
      <c r="BN227" s="17"/>
      <c r="BO227" s="17"/>
      <c r="BP227" s="17"/>
      <c r="BQ227" s="17"/>
      <c r="BR227" s="17"/>
      <c r="BS227" s="17"/>
      <c r="BT227" s="17"/>
      <c r="BU227" s="17"/>
      <c r="BV227" s="17"/>
      <c r="BW227" s="17"/>
      <c r="BX227" s="17"/>
      <c r="BY227" s="17"/>
      <c r="BZ227" s="17"/>
      <c r="CA227" s="17"/>
      <c r="CB227" s="17"/>
      <c r="CC227" s="17"/>
      <c r="CD227" s="17"/>
      <c r="CE227" s="17"/>
      <c r="CF227" s="17"/>
      <c r="CG227" s="17"/>
      <c r="CH227" s="17"/>
      <c r="CI227" s="17"/>
      <c r="CJ227" s="17"/>
      <c r="CK227" s="17"/>
      <c r="CL227" s="17"/>
      <c r="CM227" s="17"/>
      <c r="CN227" s="17"/>
      <c r="CO227" s="17"/>
      <c r="CP227" s="17"/>
      <c r="CQ227" s="17"/>
      <c r="CR227" s="17"/>
      <c r="CS227" s="17"/>
      <c r="CT227" s="17"/>
      <c r="CU227" s="17"/>
      <c r="CV227" s="17"/>
    </row>
    <row r="228" spans="1:100" x14ac:dyDescent="0.35">
      <c r="B228" s="9" t="s">
        <v>462</v>
      </c>
      <c r="C228" t="s">
        <v>230</v>
      </c>
      <c r="D228" t="s">
        <v>325</v>
      </c>
      <c r="E228" t="s">
        <v>326</v>
      </c>
      <c r="F228" s="17">
        <v>0</v>
      </c>
      <c r="G228" s="17">
        <v>0</v>
      </c>
      <c r="H228" s="17">
        <v>0</v>
      </c>
      <c r="I228" s="17">
        <v>0</v>
      </c>
      <c r="J228" s="17">
        <v>0.94991999999999999</v>
      </c>
      <c r="K228" s="17">
        <v>0.91761000000000004</v>
      </c>
      <c r="L228" s="17">
        <v>0.89332999999999996</v>
      </c>
      <c r="M228" s="17">
        <v>0.87251999999999996</v>
      </c>
      <c r="N228" s="17">
        <v>0.85316000000000003</v>
      </c>
      <c r="O228" s="17">
        <v>0.83430000000000004</v>
      </c>
      <c r="P228" s="17">
        <v>0.81586999999999998</v>
      </c>
      <c r="Q228" s="17">
        <v>0.79820999999999998</v>
      </c>
      <c r="R228" s="17">
        <v>0.78115000000000001</v>
      </c>
      <c r="S228" s="17">
        <v>0.7651</v>
      </c>
      <c r="T228" s="17">
        <v>0.74961</v>
      </c>
      <c r="U228" s="17">
        <v>0.73443999999999998</v>
      </c>
      <c r="V228" s="17">
        <v>0.71955000000000002</v>
      </c>
      <c r="W228" s="17">
        <v>0.70467999999999997</v>
      </c>
      <c r="X228" s="17">
        <v>0.68964999999999999</v>
      </c>
      <c r="Y228" s="17">
        <v>0.67476999999999998</v>
      </c>
      <c r="Z228" s="17">
        <v>0.99929999999999997</v>
      </c>
      <c r="AA228" s="17">
        <v>0.94903000000000004</v>
      </c>
      <c r="AB228" s="17">
        <v>0.91712000000000005</v>
      </c>
      <c r="AC228" s="17">
        <v>0.89281999999999995</v>
      </c>
      <c r="AD228" s="17">
        <v>0.87219999999999998</v>
      </c>
      <c r="AE228" s="17">
        <v>0.85270000000000001</v>
      </c>
      <c r="AF228" s="17">
        <v>0.83396000000000003</v>
      </c>
      <c r="AG228" s="17">
        <v>0.81569000000000003</v>
      </c>
      <c r="AH228" s="17">
        <v>0.79784999999999995</v>
      </c>
      <c r="AI228" s="17">
        <v>0.78088999999999997</v>
      </c>
      <c r="AJ228" s="17">
        <v>0.76475000000000004</v>
      </c>
      <c r="AK228" s="17">
        <v>0.74931000000000003</v>
      </c>
      <c r="AL228" s="17">
        <v>0.73416999999999999</v>
      </c>
      <c r="AM228" s="17">
        <v>0.71919</v>
      </c>
      <c r="AN228" s="17">
        <v>0.70426999999999995</v>
      </c>
      <c r="AO228" s="17"/>
      <c r="AP228" s="17"/>
      <c r="AQ228" s="17"/>
      <c r="AR228" s="17"/>
      <c r="AS228" s="17"/>
      <c r="AT228" s="17"/>
      <c r="AU228" s="17"/>
      <c r="AV228" s="17"/>
      <c r="AW228" s="17"/>
      <c r="AX228" s="17"/>
      <c r="AY228" s="17"/>
      <c r="AZ228" s="17"/>
      <c r="BA228" s="17"/>
      <c r="BB228" s="17"/>
      <c r="BC228" s="17"/>
      <c r="BD228" s="17"/>
      <c r="BE228" s="17"/>
      <c r="BF228" s="17"/>
      <c r="BG228" s="17"/>
      <c r="BH228" s="17"/>
      <c r="BI228" s="17"/>
      <c r="BJ228" s="17"/>
      <c r="BK228" s="17"/>
      <c r="BL228" s="17"/>
      <c r="BM228" s="17"/>
      <c r="BN228" s="17"/>
      <c r="BO228" s="17"/>
      <c r="BP228" s="17"/>
      <c r="BQ228" s="17"/>
      <c r="BR228" s="17"/>
      <c r="BS228" s="17"/>
      <c r="BT228" s="17"/>
      <c r="BU228" s="17"/>
      <c r="BV228" s="17"/>
      <c r="BW228" s="17"/>
      <c r="BX228" s="17"/>
      <c r="BY228" s="17"/>
      <c r="BZ228" s="17"/>
      <c r="CA228" s="17"/>
      <c r="CB228" s="17"/>
      <c r="CC228" s="17"/>
      <c r="CD228" s="17"/>
      <c r="CE228" s="17"/>
      <c r="CF228" s="17"/>
      <c r="CG228" s="17"/>
      <c r="CH228" s="17"/>
      <c r="CI228" s="17"/>
      <c r="CJ228" s="17"/>
      <c r="CK228" s="17"/>
      <c r="CL228" s="17"/>
      <c r="CM228" s="17"/>
      <c r="CN228" s="17"/>
      <c r="CO228" s="17"/>
      <c r="CP228" s="17"/>
      <c r="CQ228" s="17"/>
      <c r="CR228" s="17"/>
      <c r="CS228" s="17"/>
      <c r="CT228" s="17"/>
      <c r="CU228" s="17"/>
      <c r="CV228" s="17"/>
    </row>
    <row r="229" spans="1:100" x14ac:dyDescent="0.35">
      <c r="B229" s="9" t="s">
        <v>463</v>
      </c>
      <c r="C229" t="s">
        <v>230</v>
      </c>
      <c r="D229" t="s">
        <v>327</v>
      </c>
      <c r="E229" t="s">
        <v>326</v>
      </c>
      <c r="F229" s="17">
        <v>0</v>
      </c>
      <c r="G229" s="17">
        <v>0</v>
      </c>
      <c r="H229" s="17">
        <v>0</v>
      </c>
      <c r="I229" s="17">
        <v>0</v>
      </c>
      <c r="J229" s="17">
        <v>0.94920000000000004</v>
      </c>
      <c r="K229" s="17">
        <v>0.91622000000000003</v>
      </c>
      <c r="L229" s="17">
        <v>0.89129000000000003</v>
      </c>
      <c r="M229" s="17">
        <v>0.86985999999999997</v>
      </c>
      <c r="N229" s="17">
        <v>0.84991000000000005</v>
      </c>
      <c r="O229" s="17">
        <v>0.83048</v>
      </c>
      <c r="P229" s="17">
        <v>0.81150999999999995</v>
      </c>
      <c r="Q229" s="17">
        <v>0.79332999999999998</v>
      </c>
      <c r="R229" s="17">
        <v>0.77578000000000003</v>
      </c>
      <c r="S229" s="17">
        <v>0.75924999999999998</v>
      </c>
      <c r="T229" s="17">
        <v>0.74331000000000003</v>
      </c>
      <c r="U229" s="17">
        <v>0.72770000000000001</v>
      </c>
      <c r="V229" s="17">
        <v>0.71238999999999997</v>
      </c>
      <c r="W229" s="17">
        <v>0.69713000000000003</v>
      </c>
      <c r="X229" s="17">
        <v>0.68172999999999995</v>
      </c>
      <c r="Y229" s="17">
        <v>0.66649000000000003</v>
      </c>
      <c r="Z229" s="17">
        <v>0.99929000000000001</v>
      </c>
      <c r="AA229" s="17">
        <v>0.94830000000000003</v>
      </c>
      <c r="AB229" s="17">
        <v>0.91571000000000002</v>
      </c>
      <c r="AC229" s="17">
        <v>0.89076</v>
      </c>
      <c r="AD229" s="17">
        <v>0.86953000000000003</v>
      </c>
      <c r="AE229" s="17">
        <v>0.84943999999999997</v>
      </c>
      <c r="AF229" s="17">
        <v>0.83013000000000003</v>
      </c>
      <c r="AG229" s="17">
        <v>0.81132000000000004</v>
      </c>
      <c r="AH229" s="17">
        <v>0.79296</v>
      </c>
      <c r="AI229" s="17">
        <v>0.77551000000000003</v>
      </c>
      <c r="AJ229" s="17">
        <v>0.75890000000000002</v>
      </c>
      <c r="AK229" s="17">
        <v>0.74299999999999999</v>
      </c>
      <c r="AL229" s="17">
        <v>0.72741999999999996</v>
      </c>
      <c r="AM229" s="17">
        <v>0.71203000000000005</v>
      </c>
      <c r="AN229" s="17">
        <v>0.69671000000000005</v>
      </c>
      <c r="AO229" s="17"/>
      <c r="AP229" s="17"/>
      <c r="AQ229" s="17"/>
      <c r="AR229" s="17"/>
      <c r="AS229" s="17"/>
      <c r="AT229" s="17"/>
      <c r="AU229" s="17"/>
      <c r="AV229" s="17"/>
      <c r="AW229" s="17"/>
      <c r="AX229" s="17"/>
      <c r="AY229" s="17"/>
      <c r="AZ229" s="17"/>
      <c r="BA229" s="17"/>
      <c r="BB229" s="17"/>
      <c r="BC229" s="17"/>
      <c r="BD229" s="17"/>
      <c r="BE229" s="17"/>
      <c r="BF229" s="17"/>
      <c r="BG229" s="17"/>
      <c r="BH229" s="17"/>
      <c r="BI229" s="17"/>
      <c r="BJ229" s="17"/>
      <c r="BK229" s="17"/>
      <c r="BL229" s="17"/>
      <c r="BM229" s="17"/>
      <c r="BN229" s="17"/>
      <c r="BO229" s="17"/>
      <c r="BP229" s="17"/>
      <c r="BQ229" s="17"/>
      <c r="BR229" s="17"/>
      <c r="BS229" s="17"/>
      <c r="BT229" s="17"/>
      <c r="BU229" s="17"/>
      <c r="BV229" s="17"/>
      <c r="BW229" s="17"/>
      <c r="BX229" s="17"/>
      <c r="BY229" s="17"/>
      <c r="BZ229" s="17"/>
      <c r="CA229" s="17"/>
      <c r="CB229" s="17"/>
      <c r="CC229" s="17"/>
      <c r="CD229" s="17"/>
      <c r="CE229" s="17"/>
      <c r="CF229" s="17"/>
      <c r="CG229" s="17"/>
      <c r="CH229" s="17"/>
      <c r="CI229" s="17"/>
      <c r="CJ229" s="17"/>
      <c r="CK229" s="17"/>
      <c r="CL229" s="17"/>
      <c r="CM229" s="17"/>
      <c r="CN229" s="17"/>
      <c r="CO229" s="17"/>
      <c r="CP229" s="17"/>
      <c r="CQ229" s="17"/>
      <c r="CR229" s="17"/>
      <c r="CS229" s="17"/>
      <c r="CT229" s="17"/>
      <c r="CU229" s="17"/>
      <c r="CV229" s="17"/>
    </row>
    <row r="230" spans="1:100" x14ac:dyDescent="0.35">
      <c r="B230" s="9" t="s">
        <v>143</v>
      </c>
      <c r="C230" t="s">
        <v>338</v>
      </c>
      <c r="D230" t="s">
        <v>328</v>
      </c>
      <c r="E230" t="s">
        <v>217</v>
      </c>
      <c r="F230" s="17">
        <v>0</v>
      </c>
      <c r="G230" s="17">
        <v>0</v>
      </c>
      <c r="H230" s="17">
        <v>0</v>
      </c>
      <c r="I230" s="17">
        <v>0</v>
      </c>
      <c r="J230" s="17">
        <v>438.66635000000002</v>
      </c>
      <c r="K230" s="17">
        <v>433.04996999999997</v>
      </c>
      <c r="L230" s="17">
        <v>407.49558000000002</v>
      </c>
      <c r="M230" s="17">
        <v>386.97172999999998</v>
      </c>
      <c r="N230" s="17">
        <v>344.56092999999998</v>
      </c>
      <c r="O230" s="17">
        <v>319.20211999999998</v>
      </c>
      <c r="P230" s="17">
        <v>285.95433000000003</v>
      </c>
      <c r="Q230" s="17">
        <v>282.55723999999998</v>
      </c>
      <c r="R230" s="17">
        <v>260.17228999999998</v>
      </c>
      <c r="S230" s="17">
        <v>242.03847999999999</v>
      </c>
      <c r="T230" s="17">
        <v>231.43226999999999</v>
      </c>
      <c r="U230" s="17">
        <v>222.45546999999999</v>
      </c>
      <c r="V230" s="17">
        <v>202.91878</v>
      </c>
      <c r="W230" s="17">
        <v>190.73114000000001</v>
      </c>
      <c r="X230" s="17">
        <v>163.00022000000001</v>
      </c>
      <c r="Y230" s="17">
        <v>149.85722999999999</v>
      </c>
      <c r="Z230" s="17">
        <v>138.0865</v>
      </c>
      <c r="AA230" s="17">
        <v>312.86171999999999</v>
      </c>
      <c r="AB230" s="17">
        <v>272.65530000000001</v>
      </c>
      <c r="AC230" s="17">
        <v>260.97505999999998</v>
      </c>
      <c r="AD230" s="17">
        <v>247.11007000000001</v>
      </c>
      <c r="AE230" s="17">
        <v>229.89442</v>
      </c>
      <c r="AF230" s="17">
        <v>213.37512000000001</v>
      </c>
      <c r="AG230" s="17">
        <v>208.22933</v>
      </c>
      <c r="AH230" s="17">
        <v>194.01738</v>
      </c>
      <c r="AI230" s="17">
        <v>187.5951</v>
      </c>
      <c r="AJ230" s="17">
        <v>170.25128000000001</v>
      </c>
      <c r="AK230" s="17">
        <v>158.75748999999999</v>
      </c>
      <c r="AL230" s="17">
        <v>153.29146</v>
      </c>
      <c r="AM230" s="17">
        <v>145.29275999999999</v>
      </c>
      <c r="AN230" s="17">
        <v>136.62472</v>
      </c>
      <c r="AO230" s="17"/>
      <c r="AP230" s="17"/>
      <c r="AQ230" s="17"/>
      <c r="AR230" s="17"/>
      <c r="AS230" s="17"/>
      <c r="AT230" s="17"/>
      <c r="AU230" s="17"/>
      <c r="AV230" s="17"/>
      <c r="AW230" s="17"/>
      <c r="AX230" s="17"/>
      <c r="AY230" s="17"/>
      <c r="AZ230" s="17"/>
      <c r="BA230" s="17"/>
      <c r="BB230" s="17"/>
      <c r="BC230" s="17"/>
      <c r="BD230" s="17"/>
      <c r="BE230" s="17"/>
      <c r="BF230" s="17"/>
      <c r="BG230" s="17"/>
      <c r="BH230" s="17"/>
      <c r="BI230" s="17"/>
      <c r="BJ230" s="17"/>
      <c r="BK230" s="17"/>
      <c r="BL230" s="17"/>
      <c r="BM230" s="17"/>
      <c r="BN230" s="17"/>
      <c r="BO230" s="17"/>
      <c r="BP230" s="17"/>
      <c r="BQ230" s="17"/>
      <c r="BR230" s="17"/>
      <c r="BS230" s="17"/>
      <c r="BT230" s="17"/>
      <c r="BU230" s="17"/>
      <c r="BV230" s="17"/>
      <c r="BW230" s="17"/>
      <c r="BX230" s="17"/>
      <c r="BY230" s="17"/>
      <c r="BZ230" s="17"/>
      <c r="CA230" s="17"/>
      <c r="CB230" s="17"/>
      <c r="CC230" s="17"/>
      <c r="CD230" s="17"/>
      <c r="CE230" s="17"/>
      <c r="CF230" s="17"/>
      <c r="CG230" s="17"/>
      <c r="CH230" s="17"/>
      <c r="CI230" s="17"/>
      <c r="CJ230" s="17"/>
      <c r="CK230" s="17"/>
      <c r="CL230" s="17"/>
      <c r="CM230" s="17"/>
      <c r="CN230" s="17"/>
      <c r="CO230" s="17"/>
      <c r="CP230" s="17"/>
      <c r="CQ230" s="17"/>
      <c r="CR230" s="17"/>
      <c r="CS230" s="17"/>
      <c r="CT230" s="17"/>
      <c r="CU230" s="17"/>
      <c r="CV230" s="17"/>
    </row>
    <row r="231" spans="1:100" x14ac:dyDescent="0.35">
      <c r="B231" s="9"/>
      <c r="C231" t="s">
        <v>230</v>
      </c>
      <c r="D231" t="s">
        <v>329</v>
      </c>
      <c r="E231" t="s">
        <v>217</v>
      </c>
      <c r="F231" s="17">
        <v>0</v>
      </c>
      <c r="G231" s="17">
        <v>0</v>
      </c>
      <c r="H231" s="17">
        <v>0</v>
      </c>
      <c r="I231" s="17">
        <v>0</v>
      </c>
      <c r="J231" s="17">
        <v>-54.649819999999998</v>
      </c>
      <c r="K231" s="17">
        <v>-30.865400000000001</v>
      </c>
      <c r="L231" s="17">
        <v>-26.586379999999998</v>
      </c>
      <c r="M231" s="17">
        <v>-18.244350000000001</v>
      </c>
      <c r="N231" s="17">
        <v>-11.52862</v>
      </c>
      <c r="O231" s="17">
        <v>-1</v>
      </c>
      <c r="P231" s="17">
        <v>0</v>
      </c>
      <c r="Q231" s="17">
        <v>-0.45419999999999999</v>
      </c>
      <c r="R231" s="17">
        <v>-0.45419999999999999</v>
      </c>
      <c r="S231" s="17">
        <v>-0.85</v>
      </c>
      <c r="T231" s="17">
        <v>-1.05</v>
      </c>
      <c r="U231" s="17">
        <v>-0.87370999999999999</v>
      </c>
      <c r="V231" s="17">
        <v>-2.3654899999999999</v>
      </c>
      <c r="W231" s="17">
        <v>-5.3090400000000004</v>
      </c>
      <c r="X231" s="17">
        <v>-2.68262</v>
      </c>
      <c r="Y231" s="17">
        <v>-1.5588599999999999</v>
      </c>
      <c r="Z231" s="17">
        <v>0</v>
      </c>
      <c r="AA231" s="17">
        <v>0</v>
      </c>
      <c r="AB231" s="17">
        <v>0</v>
      </c>
      <c r="AC231" s="17">
        <v>0</v>
      </c>
      <c r="AD231" s="17">
        <v>0</v>
      </c>
      <c r="AE231" s="17">
        <v>0</v>
      </c>
      <c r="AF231" s="17">
        <v>0</v>
      </c>
      <c r="AG231" s="17">
        <v>0</v>
      </c>
      <c r="AH231" s="17">
        <v>0</v>
      </c>
      <c r="AI231" s="17">
        <v>0</v>
      </c>
      <c r="AJ231" s="17">
        <v>0</v>
      </c>
      <c r="AK231" s="17">
        <v>0</v>
      </c>
      <c r="AL231" s="17">
        <v>0</v>
      </c>
      <c r="AM231" s="17">
        <v>0</v>
      </c>
      <c r="AN231" s="17">
        <v>0</v>
      </c>
      <c r="AO231" s="17"/>
      <c r="AP231" s="17"/>
      <c r="AQ231" s="17"/>
      <c r="AR231" s="17"/>
      <c r="AS231" s="17"/>
      <c r="AT231" s="17"/>
      <c r="AU231" s="17"/>
      <c r="AV231" s="17"/>
      <c r="AW231" s="17"/>
      <c r="AX231" s="17"/>
      <c r="AY231" s="17"/>
      <c r="AZ231" s="17"/>
      <c r="BA231" s="17"/>
      <c r="BB231" s="17"/>
      <c r="BC231" s="17"/>
      <c r="BD231" s="17"/>
      <c r="BE231" s="17"/>
      <c r="BF231" s="17"/>
      <c r="BG231" s="17"/>
      <c r="BH231" s="17"/>
      <c r="BI231" s="17"/>
      <c r="BJ231" s="17"/>
      <c r="BK231" s="17"/>
      <c r="BL231" s="17"/>
      <c r="BM231" s="17"/>
      <c r="BN231" s="17"/>
      <c r="BO231" s="17"/>
      <c r="BP231" s="17"/>
      <c r="BQ231" s="17"/>
      <c r="BR231" s="17"/>
      <c r="BS231" s="17"/>
      <c r="BT231" s="17"/>
      <c r="BU231" s="17"/>
      <c r="BV231" s="17"/>
      <c r="BW231" s="17"/>
      <c r="BX231" s="17"/>
      <c r="BY231" s="17"/>
      <c r="BZ231" s="17"/>
      <c r="CA231" s="17"/>
      <c r="CB231" s="17"/>
      <c r="CC231" s="17"/>
      <c r="CD231" s="17"/>
      <c r="CE231" s="17"/>
      <c r="CF231" s="17"/>
      <c r="CG231" s="17"/>
      <c r="CH231" s="17"/>
      <c r="CI231" s="17"/>
      <c r="CJ231" s="17"/>
      <c r="CK231" s="17"/>
      <c r="CL231" s="17"/>
      <c r="CM231" s="17"/>
      <c r="CN231" s="17"/>
      <c r="CO231" s="17"/>
      <c r="CP231" s="17"/>
      <c r="CQ231" s="17"/>
      <c r="CR231" s="17"/>
      <c r="CS231" s="17"/>
      <c r="CT231" s="17"/>
      <c r="CU231" s="17"/>
      <c r="CV231" s="17"/>
    </row>
    <row r="232" spans="1:100" x14ac:dyDescent="0.35">
      <c r="B232" s="9"/>
      <c r="C232" t="s">
        <v>230</v>
      </c>
      <c r="D232" t="s">
        <v>330</v>
      </c>
      <c r="E232" t="s">
        <v>217</v>
      </c>
      <c r="F232" s="17">
        <v>0</v>
      </c>
      <c r="G232" s="17">
        <v>0</v>
      </c>
      <c r="H232" s="17">
        <v>0</v>
      </c>
      <c r="I232" s="17">
        <v>0</v>
      </c>
      <c r="J232" s="17">
        <v>309.35982999999999</v>
      </c>
      <c r="K232" s="17">
        <v>323.19900999999999</v>
      </c>
      <c r="L232" s="17">
        <v>283.41813000000002</v>
      </c>
      <c r="M232" s="17">
        <v>322.32963000000001</v>
      </c>
      <c r="N232" s="17">
        <v>321.95031999999998</v>
      </c>
      <c r="O232" s="17">
        <v>288.18286000000001</v>
      </c>
      <c r="P232" s="17">
        <v>325.70872000000003</v>
      </c>
      <c r="Q232" s="17">
        <v>351.68718999999999</v>
      </c>
      <c r="R232" s="17">
        <v>351.15645999999998</v>
      </c>
      <c r="S232" s="17">
        <v>345.32808999999997</v>
      </c>
      <c r="T232" s="17">
        <v>335.17939999999999</v>
      </c>
      <c r="U232" s="17">
        <v>340.95416</v>
      </c>
      <c r="V232" s="17">
        <v>349.65501</v>
      </c>
      <c r="W232" s="17">
        <v>358.69740000000002</v>
      </c>
      <c r="X232" s="17">
        <v>363.50974000000002</v>
      </c>
      <c r="Y232" s="17">
        <v>351.58481</v>
      </c>
      <c r="Z232" s="17">
        <v>344.92435999999998</v>
      </c>
      <c r="AA232" s="17">
        <v>413.79860000000002</v>
      </c>
      <c r="AB232" s="17">
        <v>417.18920000000003</v>
      </c>
      <c r="AC232" s="17">
        <v>412.17777999999998</v>
      </c>
      <c r="AD232" s="17">
        <v>402.95460000000003</v>
      </c>
      <c r="AE232" s="17">
        <v>409.11252000000002</v>
      </c>
      <c r="AF232" s="17">
        <v>402.82679999999999</v>
      </c>
      <c r="AG232" s="17">
        <v>390.92901000000001</v>
      </c>
      <c r="AH232" s="17">
        <v>388.56429000000003</v>
      </c>
      <c r="AI232" s="17">
        <v>391.67894999999999</v>
      </c>
      <c r="AJ232" s="17">
        <v>390.93468000000001</v>
      </c>
      <c r="AK232" s="17">
        <v>393.79809999999998</v>
      </c>
      <c r="AL232" s="17">
        <v>382.43256000000002</v>
      </c>
      <c r="AM232" s="17">
        <v>376.75258000000002</v>
      </c>
      <c r="AN232" s="17">
        <v>374.61088999999998</v>
      </c>
      <c r="AO232" s="17"/>
      <c r="AP232" s="17"/>
      <c r="AQ232" s="17"/>
      <c r="AR232" s="17"/>
      <c r="AS232" s="17"/>
      <c r="AT232" s="17"/>
      <c r="AU232" s="17"/>
      <c r="AV232" s="17"/>
      <c r="AW232" s="17"/>
      <c r="AX232" s="17"/>
      <c r="AY232" s="17"/>
      <c r="AZ232" s="17"/>
      <c r="BA232" s="17"/>
      <c r="BB232" s="17"/>
      <c r="BC232" s="17"/>
      <c r="BD232" s="17"/>
      <c r="BE232" s="17"/>
      <c r="BF232" s="17"/>
      <c r="BG232" s="17"/>
      <c r="BH232" s="17"/>
      <c r="BI232" s="17"/>
      <c r="BJ232" s="17"/>
      <c r="BK232" s="17"/>
      <c r="BL232" s="17"/>
      <c r="BM232" s="17"/>
      <c r="BN232" s="17"/>
      <c r="BO232" s="17"/>
      <c r="BP232" s="17"/>
      <c r="BQ232" s="17"/>
      <c r="BR232" s="17"/>
      <c r="BS232" s="17"/>
      <c r="BT232" s="17"/>
      <c r="BU232" s="17"/>
      <c r="BV232" s="17"/>
      <c r="BW232" s="17"/>
      <c r="BX232" s="17"/>
      <c r="BY232" s="17"/>
      <c r="BZ232" s="17"/>
      <c r="CA232" s="17"/>
      <c r="CB232" s="17"/>
      <c r="CC232" s="17"/>
      <c r="CD232" s="17"/>
      <c r="CE232" s="17"/>
      <c r="CF232" s="17"/>
      <c r="CG232" s="17"/>
      <c r="CH232" s="17"/>
      <c r="CI232" s="17"/>
      <c r="CJ232" s="17"/>
      <c r="CK232" s="17"/>
      <c r="CL232" s="17"/>
      <c r="CM232" s="17"/>
      <c r="CN232" s="17"/>
      <c r="CO232" s="17"/>
      <c r="CP232" s="17"/>
      <c r="CQ232" s="17"/>
      <c r="CR232" s="17"/>
      <c r="CS232" s="17"/>
      <c r="CT232" s="17"/>
      <c r="CU232" s="17"/>
      <c r="CV232" s="17"/>
    </row>
    <row r="233" spans="1:100" x14ac:dyDescent="0.35">
      <c r="B233" s="9"/>
      <c r="C233" t="s">
        <v>230</v>
      </c>
      <c r="D233" t="s">
        <v>331</v>
      </c>
      <c r="E233" t="s">
        <v>217</v>
      </c>
      <c r="F233" s="17">
        <v>0</v>
      </c>
      <c r="G233" s="17">
        <v>0</v>
      </c>
      <c r="H233" s="17">
        <v>0</v>
      </c>
      <c r="I233" s="17">
        <v>0</v>
      </c>
      <c r="J233" s="17">
        <v>-109.92556</v>
      </c>
      <c r="K233" s="17">
        <v>-115.3028</v>
      </c>
      <c r="L233" s="17">
        <v>-114.43528000000001</v>
      </c>
      <c r="M233" s="17">
        <v>-119.8562</v>
      </c>
      <c r="N233" s="17">
        <v>-141.70634000000001</v>
      </c>
      <c r="O233" s="17">
        <v>-140.98561000000001</v>
      </c>
      <c r="P233" s="17">
        <v>-138.15962999999999</v>
      </c>
      <c r="Q233" s="17">
        <v>-104.8961</v>
      </c>
      <c r="R233" s="17">
        <v>-116.78142</v>
      </c>
      <c r="S233" s="17">
        <v>-105.89172000000001</v>
      </c>
      <c r="T233" s="17">
        <v>-109.9233</v>
      </c>
      <c r="U233" s="17">
        <v>-102.18550999999999</v>
      </c>
      <c r="V233" s="17">
        <v>-92.067980000000006</v>
      </c>
      <c r="W233" s="17">
        <v>-97.927210000000002</v>
      </c>
      <c r="X233" s="17">
        <v>-99.244169999999997</v>
      </c>
      <c r="Y233" s="17">
        <v>-90.474339999999998</v>
      </c>
      <c r="Z233" s="17">
        <v>-96.080190000000002</v>
      </c>
      <c r="AA233" s="17">
        <v>-114.18733</v>
      </c>
      <c r="AB233" s="17">
        <v>-109.65989999999999</v>
      </c>
      <c r="AC233" s="17">
        <v>-109.0283</v>
      </c>
      <c r="AD233" s="17">
        <v>-102.98974</v>
      </c>
      <c r="AE233" s="17">
        <v>-99.76773</v>
      </c>
      <c r="AF233" s="17">
        <v>-96.545670000000001</v>
      </c>
      <c r="AG233" s="17">
        <v>-97.2654</v>
      </c>
      <c r="AH233" s="17">
        <v>-97.694509999999994</v>
      </c>
      <c r="AI233" s="17">
        <v>-89.90625</v>
      </c>
      <c r="AJ233" s="17">
        <v>-83.604749999999996</v>
      </c>
      <c r="AK233" s="17">
        <v>-86.922479999999993</v>
      </c>
      <c r="AL233" s="17">
        <v>-96.757000000000005</v>
      </c>
      <c r="AM233" s="17">
        <v>-102.24500999999999</v>
      </c>
      <c r="AN233" s="17">
        <v>-105.11568</v>
      </c>
      <c r="AO233" s="17"/>
      <c r="AP233" s="17"/>
      <c r="AQ233" s="17"/>
      <c r="AR233" s="17"/>
      <c r="AS233" s="17"/>
      <c r="AT233" s="17"/>
      <c r="AU233" s="17"/>
      <c r="AV233" s="17"/>
      <c r="AW233" s="17"/>
      <c r="AX233" s="17"/>
      <c r="AY233" s="17"/>
      <c r="AZ233" s="17"/>
      <c r="BA233" s="17"/>
      <c r="BB233" s="17"/>
      <c r="BC233" s="17"/>
      <c r="BD233" s="17"/>
      <c r="BE233" s="17"/>
      <c r="BF233" s="17"/>
      <c r="BG233" s="17"/>
      <c r="BH233" s="17"/>
      <c r="BI233" s="17"/>
      <c r="BJ233" s="17"/>
      <c r="BK233" s="17"/>
      <c r="BL233" s="17"/>
      <c r="BM233" s="17"/>
      <c r="BN233" s="17"/>
      <c r="BO233" s="17"/>
      <c r="BP233" s="17"/>
      <c r="BQ233" s="17"/>
      <c r="BR233" s="17"/>
      <c r="BS233" s="17"/>
      <c r="BT233" s="17"/>
      <c r="BU233" s="17"/>
      <c r="BV233" s="17"/>
      <c r="BW233" s="17"/>
      <c r="BX233" s="17"/>
      <c r="BY233" s="17"/>
      <c r="BZ233" s="17"/>
      <c r="CA233" s="17"/>
      <c r="CB233" s="17"/>
      <c r="CC233" s="17"/>
      <c r="CD233" s="17"/>
      <c r="CE233" s="17"/>
      <c r="CF233" s="17"/>
      <c r="CG233" s="17"/>
      <c r="CH233" s="17"/>
      <c r="CI233" s="17"/>
      <c r="CJ233" s="17"/>
      <c r="CK233" s="17"/>
      <c r="CL233" s="17"/>
      <c r="CM233" s="17"/>
      <c r="CN233" s="17"/>
      <c r="CO233" s="17"/>
      <c r="CP233" s="17"/>
      <c r="CQ233" s="17"/>
      <c r="CR233" s="17"/>
      <c r="CS233" s="17"/>
      <c r="CT233" s="17"/>
      <c r="CU233" s="17"/>
      <c r="CV233" s="17"/>
    </row>
    <row r="234" spans="1:100" x14ac:dyDescent="0.35">
      <c r="B234" s="9"/>
      <c r="C234" t="s">
        <v>230</v>
      </c>
      <c r="D234" t="s">
        <v>332</v>
      </c>
      <c r="E234" t="s">
        <v>217</v>
      </c>
      <c r="F234" s="17">
        <v>0</v>
      </c>
      <c r="G234" s="17">
        <v>0</v>
      </c>
      <c r="H234" s="17">
        <v>0</v>
      </c>
      <c r="I234" s="17">
        <v>0</v>
      </c>
      <c r="J234" s="17">
        <v>314.78487999999999</v>
      </c>
      <c r="K234" s="17">
        <v>264.84571</v>
      </c>
      <c r="L234" s="17">
        <v>296.84944999999999</v>
      </c>
      <c r="M234" s="17">
        <v>256.67770000000002</v>
      </c>
      <c r="N234" s="17">
        <v>274.69412999999997</v>
      </c>
      <c r="O234" s="17">
        <v>315.55139000000003</v>
      </c>
      <c r="P234" s="17">
        <v>291.89744000000002</v>
      </c>
      <c r="Q234" s="17">
        <v>240.61051</v>
      </c>
      <c r="R234" s="17">
        <v>250.39284000000001</v>
      </c>
      <c r="S234" s="17">
        <v>255.16243</v>
      </c>
      <c r="T234" s="17">
        <v>252.22416999999999</v>
      </c>
      <c r="U234" s="17">
        <v>239.59845000000001</v>
      </c>
      <c r="V234" s="17">
        <v>233.88040000000001</v>
      </c>
      <c r="W234" s="17">
        <v>219.51039</v>
      </c>
      <c r="X234" s="17">
        <v>233.61322999999999</v>
      </c>
      <c r="Y234" s="17">
        <v>234.74735999999999</v>
      </c>
      <c r="Z234" s="17">
        <v>245.49343999999999</v>
      </c>
      <c r="AA234" s="17">
        <v>342.51537999999999</v>
      </c>
      <c r="AB234" s="17">
        <v>333.81846999999999</v>
      </c>
      <c r="AC234" s="17">
        <v>318.22863000000001</v>
      </c>
      <c r="AD234" s="17">
        <v>314.71706</v>
      </c>
      <c r="AE234" s="17">
        <v>308.21015999999997</v>
      </c>
      <c r="AF234" s="17">
        <v>307.80434000000002</v>
      </c>
      <c r="AG234" s="17">
        <v>295.57306</v>
      </c>
      <c r="AH234" s="17">
        <v>295.49696999999998</v>
      </c>
      <c r="AI234" s="17">
        <v>282.16770000000002</v>
      </c>
      <c r="AJ234" s="17">
        <v>285.60584</v>
      </c>
      <c r="AK234" s="17">
        <v>267.02395999999999</v>
      </c>
      <c r="AL234" s="17">
        <v>268.33652000000001</v>
      </c>
      <c r="AM234" s="17">
        <v>269.38778000000002</v>
      </c>
      <c r="AN234" s="17">
        <v>266.60926999999998</v>
      </c>
      <c r="AO234" s="17"/>
      <c r="AP234" s="17"/>
      <c r="AQ234" s="17"/>
      <c r="AR234" s="17"/>
      <c r="AS234" s="17"/>
      <c r="AT234" s="17"/>
      <c r="AU234" s="17"/>
      <c r="AV234" s="17"/>
      <c r="AW234" s="17"/>
      <c r="AX234" s="17"/>
      <c r="AY234" s="17"/>
      <c r="AZ234" s="17"/>
      <c r="BA234" s="17"/>
      <c r="BB234" s="17"/>
      <c r="BC234" s="17"/>
      <c r="BD234" s="17"/>
      <c r="BE234" s="17"/>
      <c r="BF234" s="17"/>
      <c r="BG234" s="17"/>
      <c r="BH234" s="17"/>
      <c r="BI234" s="17"/>
      <c r="BJ234" s="17"/>
      <c r="BK234" s="17"/>
      <c r="BL234" s="17"/>
      <c r="BM234" s="17"/>
      <c r="BN234" s="17"/>
      <c r="BO234" s="17"/>
      <c r="BP234" s="17"/>
      <c r="BQ234" s="17"/>
      <c r="BR234" s="17"/>
      <c r="BS234" s="17"/>
      <c r="BT234" s="17"/>
      <c r="BU234" s="17"/>
      <c r="BV234" s="17"/>
      <c r="BW234" s="17"/>
      <c r="BX234" s="17"/>
      <c r="BY234" s="17"/>
      <c r="BZ234" s="17"/>
      <c r="CA234" s="17"/>
      <c r="CB234" s="17"/>
      <c r="CC234" s="17"/>
      <c r="CD234" s="17"/>
      <c r="CE234" s="17"/>
      <c r="CF234" s="17"/>
      <c r="CG234" s="17"/>
      <c r="CH234" s="17"/>
      <c r="CI234" s="17"/>
      <c r="CJ234" s="17"/>
      <c r="CK234" s="17"/>
      <c r="CL234" s="17"/>
      <c r="CM234" s="17"/>
      <c r="CN234" s="17"/>
      <c r="CO234" s="17"/>
      <c r="CP234" s="17"/>
      <c r="CQ234" s="17"/>
      <c r="CR234" s="17"/>
      <c r="CS234" s="17"/>
      <c r="CT234" s="17"/>
      <c r="CU234" s="17"/>
      <c r="CV234" s="17"/>
    </row>
    <row r="235" spans="1:100" x14ac:dyDescent="0.35">
      <c r="B235" s="9"/>
      <c r="C235" t="s">
        <v>230</v>
      </c>
      <c r="D235" t="s">
        <v>333</v>
      </c>
      <c r="E235" t="s">
        <v>217</v>
      </c>
      <c r="F235" s="17">
        <v>0</v>
      </c>
      <c r="G235" s="17">
        <v>0</v>
      </c>
      <c r="H235" s="17">
        <v>0</v>
      </c>
      <c r="I235" s="17">
        <v>0</v>
      </c>
      <c r="J235" s="17">
        <v>-467.30417999999997</v>
      </c>
      <c r="K235" s="17">
        <v>-454.84133000000003</v>
      </c>
      <c r="L235" s="17">
        <v>-443.32477999999998</v>
      </c>
      <c r="M235" s="17">
        <v>-405.44249000000002</v>
      </c>
      <c r="N235" s="17">
        <v>-374.02129000000002</v>
      </c>
      <c r="O235" s="17">
        <v>-365.63128</v>
      </c>
      <c r="P235" s="17">
        <v>-349.11471999999998</v>
      </c>
      <c r="Q235" s="17">
        <v>-396.24135999999999</v>
      </c>
      <c r="R235" s="17">
        <v>-361.20661999999999</v>
      </c>
      <c r="S235" s="17">
        <v>-372.39008999999999</v>
      </c>
      <c r="T235" s="17">
        <v>-343.96487000000002</v>
      </c>
      <c r="U235" s="17">
        <v>-348.64231999999998</v>
      </c>
      <c r="V235" s="17">
        <v>-372.23745000000002</v>
      </c>
      <c r="W235" s="17">
        <v>-336.33587</v>
      </c>
      <c r="X235" s="17">
        <v>-349.86934000000002</v>
      </c>
      <c r="Y235" s="17">
        <v>-357.08926000000002</v>
      </c>
      <c r="Z235" s="17">
        <v>-341.73955999999998</v>
      </c>
      <c r="AA235" s="17">
        <v>-491.40908000000002</v>
      </c>
      <c r="AB235" s="17">
        <v>-519.30534</v>
      </c>
      <c r="AC235" s="17">
        <v>-499.51641999999998</v>
      </c>
      <c r="AD235" s="17">
        <v>-498.00639000000001</v>
      </c>
      <c r="AE235" s="17">
        <v>-509.77348000000001</v>
      </c>
      <c r="AF235" s="17">
        <v>-515.15318000000002</v>
      </c>
      <c r="AG235" s="17">
        <v>-480.85270000000003</v>
      </c>
      <c r="AH235" s="17">
        <v>-474.35282999999998</v>
      </c>
      <c r="AI235" s="17">
        <v>-478.87187</v>
      </c>
      <c r="AJ235" s="17">
        <v>-483.79415</v>
      </c>
      <c r="AK235" s="17">
        <v>-454.46436</v>
      </c>
      <c r="AL235" s="17">
        <v>-415.68770000000001</v>
      </c>
      <c r="AM235" s="17">
        <v>-389.56905999999998</v>
      </c>
      <c r="AN235" s="17">
        <v>-384.33571999999998</v>
      </c>
      <c r="AO235" s="17"/>
      <c r="AP235" s="17"/>
      <c r="AQ235" s="17"/>
      <c r="AR235" s="17"/>
      <c r="AS235" s="17"/>
      <c r="AT235" s="17"/>
      <c r="AU235" s="17"/>
      <c r="AV235" s="17"/>
      <c r="AW235" s="17"/>
      <c r="AX235" s="17"/>
      <c r="AY235" s="17"/>
      <c r="AZ235" s="17"/>
      <c r="BA235" s="17"/>
      <c r="BB235" s="17"/>
      <c r="BC235" s="17"/>
      <c r="BD235" s="17"/>
      <c r="BE235" s="17"/>
      <c r="BF235" s="17"/>
      <c r="BG235" s="17"/>
      <c r="BH235" s="17"/>
      <c r="BI235" s="17"/>
      <c r="BJ235" s="17"/>
      <c r="BK235" s="17"/>
      <c r="BL235" s="17"/>
      <c r="BM235" s="17"/>
      <c r="BN235" s="17"/>
      <c r="BO235" s="17"/>
      <c r="BP235" s="17"/>
      <c r="BQ235" s="17"/>
      <c r="BR235" s="17"/>
      <c r="BS235" s="17"/>
      <c r="BT235" s="17"/>
      <c r="BU235" s="17"/>
      <c r="BV235" s="17"/>
      <c r="BW235" s="17"/>
      <c r="BX235" s="17"/>
      <c r="BY235" s="17"/>
      <c r="BZ235" s="17"/>
      <c r="CA235" s="17"/>
      <c r="CB235" s="17"/>
      <c r="CC235" s="17"/>
      <c r="CD235" s="17"/>
      <c r="CE235" s="17"/>
      <c r="CF235" s="17"/>
      <c r="CG235" s="17"/>
      <c r="CH235" s="17"/>
      <c r="CI235" s="17"/>
      <c r="CJ235" s="17"/>
      <c r="CK235" s="17"/>
      <c r="CL235" s="17"/>
      <c r="CM235" s="17"/>
      <c r="CN235" s="17"/>
      <c r="CO235" s="17"/>
      <c r="CP235" s="17"/>
      <c r="CQ235" s="17"/>
      <c r="CR235" s="17"/>
      <c r="CS235" s="17"/>
      <c r="CT235" s="17"/>
      <c r="CU235" s="17"/>
      <c r="CV235" s="17"/>
    </row>
    <row r="236" spans="1:100" x14ac:dyDescent="0.35">
      <c r="B236" s="9"/>
      <c r="C236" t="s">
        <v>230</v>
      </c>
      <c r="D236" t="s">
        <v>334</v>
      </c>
      <c r="E236" t="s">
        <v>217</v>
      </c>
      <c r="F236" s="17">
        <v>0</v>
      </c>
      <c r="G236" s="17">
        <v>0</v>
      </c>
      <c r="H236" s="17">
        <v>0</v>
      </c>
      <c r="I236" s="17">
        <v>0</v>
      </c>
      <c r="J236" s="17">
        <v>1062.8111799999999</v>
      </c>
      <c r="K236" s="17">
        <v>1021.09471</v>
      </c>
      <c r="L236" s="17">
        <v>987.76315</v>
      </c>
      <c r="M236" s="17">
        <v>965.97914000000003</v>
      </c>
      <c r="N236" s="17">
        <v>941.20538999999997</v>
      </c>
      <c r="O236" s="17">
        <v>922.93638999999996</v>
      </c>
      <c r="P236" s="17">
        <v>903.56047999999998</v>
      </c>
      <c r="Q236" s="17">
        <v>874.85490000000004</v>
      </c>
      <c r="R236" s="17">
        <v>861.72149999999999</v>
      </c>
      <c r="S236" s="17">
        <v>842.52899000000002</v>
      </c>
      <c r="T236" s="17">
        <v>818.83582999999999</v>
      </c>
      <c r="U236" s="17">
        <v>803.00807999999995</v>
      </c>
      <c r="V236" s="17">
        <v>786.45426999999995</v>
      </c>
      <c r="W236" s="17">
        <v>768.93890999999996</v>
      </c>
      <c r="X236" s="17">
        <v>760.12314000000003</v>
      </c>
      <c r="Y236" s="17">
        <v>736.18931999999995</v>
      </c>
      <c r="Z236" s="17">
        <v>728.50435000000004</v>
      </c>
      <c r="AA236" s="17">
        <v>1069.17578</v>
      </c>
      <c r="AB236" s="17">
        <v>1023.66296</v>
      </c>
      <c r="AC236" s="17">
        <v>991.38152000000002</v>
      </c>
      <c r="AD236" s="17">
        <v>964.78191000000004</v>
      </c>
      <c r="AE236" s="17">
        <v>947.21718999999996</v>
      </c>
      <c r="AF236" s="17">
        <v>924.00629000000004</v>
      </c>
      <c r="AG236" s="17">
        <v>894.73140000000001</v>
      </c>
      <c r="AH236" s="17">
        <v>878.07871999999998</v>
      </c>
      <c r="AI236" s="17">
        <v>861.44173999999998</v>
      </c>
      <c r="AJ236" s="17">
        <v>846.79174999999998</v>
      </c>
      <c r="AK236" s="17">
        <v>819.57956000000001</v>
      </c>
      <c r="AL236" s="17">
        <v>804.06060000000002</v>
      </c>
      <c r="AM236" s="17">
        <v>791.43331999999998</v>
      </c>
      <c r="AN236" s="17">
        <v>777.84497999999996</v>
      </c>
      <c r="AO236" s="17"/>
      <c r="AP236" s="17"/>
      <c r="AQ236" s="17"/>
      <c r="AR236" s="17"/>
      <c r="AS236" s="17"/>
      <c r="AT236" s="17"/>
      <c r="AU236" s="17"/>
      <c r="AV236" s="17"/>
      <c r="AW236" s="17"/>
      <c r="AX236" s="17"/>
      <c r="AY236" s="17"/>
      <c r="AZ236" s="17"/>
      <c r="BA236" s="17"/>
      <c r="BB236" s="17"/>
      <c r="BC236" s="17"/>
      <c r="BD236" s="17"/>
      <c r="BE236" s="17"/>
      <c r="BF236" s="17"/>
      <c r="BG236" s="17"/>
      <c r="BH236" s="17"/>
      <c r="BI236" s="17"/>
      <c r="BJ236" s="17"/>
      <c r="BK236" s="17"/>
      <c r="BL236" s="17"/>
      <c r="BM236" s="17"/>
      <c r="BN236" s="17"/>
      <c r="BO236" s="17"/>
      <c r="BP236" s="17"/>
      <c r="BQ236" s="17"/>
      <c r="BR236" s="17"/>
      <c r="BS236" s="17"/>
      <c r="BT236" s="17"/>
      <c r="BU236" s="17"/>
      <c r="BV236" s="17"/>
      <c r="BW236" s="17"/>
      <c r="BX236" s="17"/>
      <c r="BY236" s="17"/>
      <c r="BZ236" s="17"/>
      <c r="CA236" s="17"/>
      <c r="CB236" s="17"/>
      <c r="CC236" s="17"/>
      <c r="CD236" s="17"/>
      <c r="CE236" s="17"/>
      <c r="CF236" s="17"/>
      <c r="CG236" s="17"/>
      <c r="CH236" s="17"/>
      <c r="CI236" s="17"/>
      <c r="CJ236" s="17"/>
      <c r="CK236" s="17"/>
      <c r="CL236" s="17"/>
      <c r="CM236" s="17"/>
      <c r="CN236" s="17"/>
      <c r="CO236" s="17"/>
      <c r="CP236" s="17"/>
      <c r="CQ236" s="17"/>
      <c r="CR236" s="17"/>
      <c r="CS236" s="17"/>
      <c r="CT236" s="17"/>
      <c r="CU236" s="17"/>
      <c r="CV236" s="17"/>
    </row>
    <row r="237" spans="1:100" x14ac:dyDescent="0.35">
      <c r="B237" s="9"/>
      <c r="C237" t="s">
        <v>230</v>
      </c>
      <c r="D237" t="s">
        <v>335</v>
      </c>
      <c r="E237" t="s">
        <v>217</v>
      </c>
      <c r="F237" s="17">
        <v>0</v>
      </c>
      <c r="G237" s="17">
        <v>0</v>
      </c>
      <c r="H237" s="17">
        <v>0</v>
      </c>
      <c r="I237" s="17">
        <v>0</v>
      </c>
      <c r="J237" s="17">
        <v>-631.87962000000005</v>
      </c>
      <c r="K237" s="17">
        <v>-601.00950999999998</v>
      </c>
      <c r="L237" s="17">
        <v>-584.34645</v>
      </c>
      <c r="M237" s="17">
        <v>-543.54305999999997</v>
      </c>
      <c r="N237" s="17">
        <v>-527.25621000000001</v>
      </c>
      <c r="O237" s="17">
        <v>-507.61687999999998</v>
      </c>
      <c r="P237" s="17">
        <v>-487.27433000000002</v>
      </c>
      <c r="Q237" s="17">
        <v>-501.59161999999998</v>
      </c>
      <c r="R237" s="17">
        <v>-478.44223</v>
      </c>
      <c r="S237" s="17">
        <v>-479.13188000000002</v>
      </c>
      <c r="T237" s="17">
        <v>-454.93819999999999</v>
      </c>
      <c r="U237" s="17">
        <v>-451.70157999999998</v>
      </c>
      <c r="V237" s="17">
        <v>-466.67088000000001</v>
      </c>
      <c r="W237" s="17">
        <v>-439.57213000000002</v>
      </c>
      <c r="X237" s="17">
        <v>-451.79608000000002</v>
      </c>
      <c r="Y237" s="17">
        <v>-449.12247000000002</v>
      </c>
      <c r="Z237" s="17">
        <v>-437.81977000000001</v>
      </c>
      <c r="AA237" s="17">
        <v>-605.59637999999995</v>
      </c>
      <c r="AB237" s="17">
        <v>-628.96519999999998</v>
      </c>
      <c r="AC237" s="17">
        <v>-608.54467</v>
      </c>
      <c r="AD237" s="17">
        <v>-600.99620000000004</v>
      </c>
      <c r="AE237" s="17">
        <v>-609.54124999999999</v>
      </c>
      <c r="AF237" s="17">
        <v>-611.69884000000002</v>
      </c>
      <c r="AG237" s="17">
        <v>-578.11806000000001</v>
      </c>
      <c r="AH237" s="17">
        <v>-572.04732999999999</v>
      </c>
      <c r="AI237" s="17">
        <v>-568.77809999999999</v>
      </c>
      <c r="AJ237" s="17">
        <v>-567.39889000000005</v>
      </c>
      <c r="AK237" s="17">
        <v>-541.38684999999998</v>
      </c>
      <c r="AL237" s="17">
        <v>-512.44466</v>
      </c>
      <c r="AM237" s="17">
        <v>-491.81402000000003</v>
      </c>
      <c r="AN237" s="17">
        <v>-489.45141000000001</v>
      </c>
      <c r="AO237" s="17"/>
      <c r="AP237" s="17"/>
      <c r="AQ237" s="17"/>
      <c r="AR237" s="17"/>
      <c r="AS237" s="17"/>
      <c r="AT237" s="17"/>
      <c r="AU237" s="17"/>
      <c r="AV237" s="17"/>
      <c r="AW237" s="17"/>
      <c r="AX237" s="17"/>
      <c r="AY237" s="17"/>
      <c r="AZ237" s="17"/>
      <c r="BA237" s="17"/>
      <c r="BB237" s="17"/>
      <c r="BC237" s="17"/>
      <c r="BD237" s="17"/>
      <c r="BE237" s="17"/>
      <c r="BF237" s="17"/>
      <c r="BG237" s="17"/>
      <c r="BH237" s="17"/>
      <c r="BI237" s="17"/>
      <c r="BJ237" s="17"/>
      <c r="BK237" s="17"/>
      <c r="BL237" s="17"/>
      <c r="BM237" s="17"/>
      <c r="BN237" s="17"/>
      <c r="BO237" s="17"/>
      <c r="BP237" s="17"/>
      <c r="BQ237" s="17"/>
      <c r="BR237" s="17"/>
      <c r="BS237" s="17"/>
      <c r="BT237" s="17"/>
      <c r="BU237" s="17"/>
      <c r="BV237" s="17"/>
      <c r="BW237" s="17"/>
      <c r="BX237" s="17"/>
      <c r="BY237" s="17"/>
      <c r="BZ237" s="17"/>
      <c r="CA237" s="17"/>
      <c r="CB237" s="17"/>
      <c r="CC237" s="17"/>
      <c r="CD237" s="17"/>
      <c r="CE237" s="17"/>
      <c r="CF237" s="17"/>
      <c r="CG237" s="17"/>
      <c r="CH237" s="17"/>
      <c r="CI237" s="17"/>
      <c r="CJ237" s="17"/>
      <c r="CK237" s="17"/>
      <c r="CL237" s="17"/>
      <c r="CM237" s="17"/>
      <c r="CN237" s="17"/>
      <c r="CO237" s="17"/>
      <c r="CP237" s="17"/>
      <c r="CQ237" s="17"/>
      <c r="CR237" s="17"/>
      <c r="CS237" s="17"/>
      <c r="CT237" s="17"/>
      <c r="CU237" s="17"/>
      <c r="CV237" s="17"/>
    </row>
    <row r="238" spans="1:100" x14ac:dyDescent="0.35">
      <c r="B238" s="9"/>
      <c r="D238" t="s">
        <v>336</v>
      </c>
      <c r="E238" t="s">
        <v>217</v>
      </c>
      <c r="F238" s="17">
        <v>0</v>
      </c>
      <c r="G238" s="17">
        <v>0</v>
      </c>
      <c r="H238" s="17">
        <v>0</v>
      </c>
      <c r="I238" s="17">
        <v>0</v>
      </c>
      <c r="J238" s="17">
        <v>-662.68589999999995</v>
      </c>
      <c r="K238" s="17">
        <v>-644.37784999999997</v>
      </c>
      <c r="L238" s="17">
        <v>-621.50058000000001</v>
      </c>
      <c r="M238" s="17">
        <v>-637.34172000000001</v>
      </c>
      <c r="N238" s="17">
        <v>-625.13008000000002</v>
      </c>
      <c r="O238" s="17">
        <v>-623.79115999999999</v>
      </c>
      <c r="P238" s="17">
        <v>-620.87629000000004</v>
      </c>
      <c r="Q238" s="17">
        <v>-574.69614999999999</v>
      </c>
      <c r="R238" s="17">
        <v>-582.80380000000002</v>
      </c>
      <c r="S238" s="17">
        <v>-560.52</v>
      </c>
      <c r="T238" s="17">
        <v>-556.30178999999998</v>
      </c>
      <c r="U238" s="17">
        <v>-542.15170000000001</v>
      </c>
      <c r="V238" s="17">
        <v>-508.58562999999998</v>
      </c>
      <c r="W238" s="17">
        <v>-515.21258999999998</v>
      </c>
      <c r="X238" s="17">
        <v>-493.51136000000002</v>
      </c>
      <c r="Y238" s="17">
        <v>-468.12527</v>
      </c>
      <c r="Z238" s="17">
        <v>-471.24876999999998</v>
      </c>
      <c r="AA238" s="17">
        <v>-695.71703000000002</v>
      </c>
      <c r="AB238" s="17">
        <v>-620.24041</v>
      </c>
      <c r="AC238" s="17">
        <v>-603.60355000000004</v>
      </c>
      <c r="AD238" s="17">
        <v>-580.64432999999997</v>
      </c>
      <c r="AE238" s="17">
        <v>-552.88843999999995</v>
      </c>
      <c r="AF238" s="17">
        <v>-523.36739</v>
      </c>
      <c r="AG238" s="17">
        <v>-523.24905000000001</v>
      </c>
      <c r="AH238" s="17">
        <v>-510.57704999999999</v>
      </c>
      <c r="AI238" s="17">
        <v>-495.13274000000001</v>
      </c>
      <c r="AJ238" s="17">
        <v>-479.38508000000002</v>
      </c>
      <c r="AK238" s="17">
        <v>-473.87254999999999</v>
      </c>
      <c r="AL238" s="17">
        <v>-484.51348000000002</v>
      </c>
      <c r="AM238" s="17">
        <v>-490.50907000000001</v>
      </c>
      <c r="AN238" s="17">
        <v>-477.19206000000003</v>
      </c>
      <c r="AO238" s="17"/>
      <c r="AP238" s="17"/>
      <c r="AQ238" s="17"/>
      <c r="AR238" s="17"/>
      <c r="AS238" s="17"/>
      <c r="AT238" s="17"/>
      <c r="AU238" s="17"/>
      <c r="AV238" s="17"/>
      <c r="AW238" s="17"/>
      <c r="AX238" s="17"/>
      <c r="AY238" s="17"/>
      <c r="AZ238" s="17"/>
      <c r="BA238" s="17"/>
      <c r="BB238" s="17"/>
      <c r="BC238" s="17"/>
      <c r="BD238" s="17"/>
      <c r="BE238" s="17"/>
      <c r="BF238" s="17"/>
      <c r="BG238" s="17"/>
      <c r="BH238" s="17"/>
      <c r="BI238" s="17"/>
      <c r="BJ238" s="17"/>
      <c r="BK238" s="17"/>
      <c r="BL238" s="17"/>
      <c r="BM238" s="17"/>
      <c r="BN238" s="17"/>
      <c r="BO238" s="17"/>
      <c r="BP238" s="17"/>
      <c r="BQ238" s="17"/>
      <c r="BR238" s="17"/>
      <c r="BS238" s="17"/>
      <c r="BT238" s="17"/>
      <c r="BU238" s="17"/>
      <c r="BV238" s="17"/>
      <c r="BW238" s="17"/>
      <c r="BX238" s="17"/>
      <c r="BY238" s="17"/>
      <c r="BZ238" s="17"/>
      <c r="CA238" s="17"/>
      <c r="CB238" s="17"/>
      <c r="CC238" s="17"/>
      <c r="CD238" s="17"/>
      <c r="CE238" s="17"/>
      <c r="CF238" s="17"/>
      <c r="CG238" s="17"/>
      <c r="CH238" s="17"/>
      <c r="CI238" s="17"/>
      <c r="CJ238" s="17"/>
      <c r="CK238" s="17"/>
      <c r="CL238" s="17"/>
      <c r="CM238" s="17"/>
      <c r="CN238" s="17"/>
      <c r="CO238" s="17"/>
      <c r="CP238" s="17"/>
      <c r="CQ238" s="17"/>
      <c r="CR238" s="17"/>
      <c r="CS238" s="17"/>
      <c r="CT238" s="17"/>
      <c r="CU238" s="17"/>
      <c r="CV238" s="17"/>
    </row>
    <row r="239" spans="1:100" x14ac:dyDescent="0.35">
      <c r="B239" s="9"/>
      <c r="C239" t="s">
        <v>339</v>
      </c>
      <c r="D239" t="s">
        <v>340</v>
      </c>
      <c r="E239" t="s">
        <v>219</v>
      </c>
      <c r="F239" s="17">
        <v>0</v>
      </c>
      <c r="G239" s="17">
        <v>0</v>
      </c>
      <c r="H239" s="17">
        <v>0</v>
      </c>
      <c r="I239" s="17">
        <v>0</v>
      </c>
      <c r="J239" s="17">
        <v>67.045363316259795</v>
      </c>
      <c r="K239" s="17">
        <v>69.120089024557998</v>
      </c>
      <c r="L239" s="17">
        <v>67.638431617350903</v>
      </c>
      <c r="M239" s="17">
        <v>61.768392634761703</v>
      </c>
      <c r="N239" s="17">
        <v>52.631547077761702</v>
      </c>
      <c r="O239" s="17">
        <v>46.786141793498601</v>
      </c>
      <c r="P239" s="17">
        <v>40.507484288294002</v>
      </c>
      <c r="Q239" s="17">
        <v>41.104156756442997</v>
      </c>
      <c r="R239" s="17">
        <v>36.802442340226897</v>
      </c>
      <c r="S239" s="17">
        <v>33.9200593582691</v>
      </c>
      <c r="T239" s="17">
        <v>32.017874006863899</v>
      </c>
      <c r="U239" s="17">
        <v>30.2906735778346</v>
      </c>
      <c r="V239" s="17">
        <v>27.595059577502699</v>
      </c>
      <c r="W239" s="17">
        <v>25.8519381322524</v>
      </c>
      <c r="X239" s="17">
        <v>21.792475976631799</v>
      </c>
      <c r="Y239" s="17">
        <v>20.016697643778699</v>
      </c>
      <c r="Z239" s="17">
        <v>18.3842189037751</v>
      </c>
      <c r="AA239" s="17">
        <v>41.1629099029171</v>
      </c>
      <c r="AB239" s="17">
        <v>34.660511974875298</v>
      </c>
      <c r="AC239" s="17">
        <v>32.935693430162502</v>
      </c>
      <c r="AD239" s="17">
        <v>30.440732289775301</v>
      </c>
      <c r="AE239" s="17">
        <v>27.934603454939101</v>
      </c>
      <c r="AF239" s="17">
        <v>25.301325874417198</v>
      </c>
      <c r="AG239" s="17">
        <v>25.100087990254401</v>
      </c>
      <c r="AH239" s="17">
        <v>23.140591159198301</v>
      </c>
      <c r="AI239" s="17">
        <v>22.267233576474698</v>
      </c>
      <c r="AJ239" s="17">
        <v>19.995678559371498</v>
      </c>
      <c r="AK239" s="17">
        <v>18.943669206048</v>
      </c>
      <c r="AL239" s="17">
        <v>18.7472368779625</v>
      </c>
      <c r="AM239" s="17">
        <v>17.8722077974729</v>
      </c>
      <c r="AN239" s="17">
        <v>16.524134402350501</v>
      </c>
      <c r="AO239" s="17"/>
      <c r="AP239" s="17"/>
      <c r="AQ239" s="17"/>
      <c r="AR239" s="17"/>
      <c r="AS239" s="17"/>
      <c r="AT239" s="17"/>
      <c r="AU239" s="17"/>
      <c r="AV239" s="17"/>
      <c r="AW239" s="17"/>
      <c r="AX239" s="17"/>
      <c r="AY239" s="17"/>
      <c r="AZ239" s="17"/>
      <c r="BA239" s="17"/>
      <c r="BB239" s="17"/>
      <c r="BC239" s="17"/>
      <c r="BD239" s="17"/>
      <c r="BE239" s="17"/>
      <c r="BF239" s="17"/>
      <c r="BG239" s="17"/>
      <c r="BH239" s="17"/>
      <c r="BI239" s="17"/>
      <c r="BJ239" s="17"/>
      <c r="BK239" s="17"/>
      <c r="BL239" s="17"/>
      <c r="BM239" s="17"/>
      <c r="BN239" s="17"/>
      <c r="BO239" s="17"/>
      <c r="BP239" s="17"/>
      <c r="BQ239" s="17"/>
      <c r="BR239" s="17"/>
      <c r="BS239" s="17"/>
      <c r="BT239" s="17"/>
      <c r="BU239" s="17"/>
      <c r="BV239" s="17"/>
      <c r="BW239" s="17"/>
      <c r="BX239" s="17"/>
      <c r="BY239" s="17"/>
      <c r="BZ239" s="17"/>
      <c r="CA239" s="17"/>
      <c r="CB239" s="17"/>
      <c r="CC239" s="17"/>
      <c r="CD239" s="17"/>
      <c r="CE239" s="17"/>
      <c r="CF239" s="17"/>
      <c r="CG239" s="17"/>
      <c r="CH239" s="17"/>
      <c r="CI239" s="17"/>
      <c r="CJ239" s="17"/>
      <c r="CK239" s="17"/>
      <c r="CL239" s="17"/>
      <c r="CM239" s="17"/>
      <c r="CN239" s="17"/>
      <c r="CO239" s="17"/>
      <c r="CP239" s="17"/>
      <c r="CQ239" s="17"/>
      <c r="CR239" s="17"/>
      <c r="CS239" s="17"/>
      <c r="CT239" s="17"/>
      <c r="CU239" s="17"/>
      <c r="CV239" s="17"/>
    </row>
    <row r="240" spans="1:100" x14ac:dyDescent="0.35">
      <c r="B240" s="9"/>
      <c r="C240" t="s">
        <v>230</v>
      </c>
      <c r="D240" t="s">
        <v>341</v>
      </c>
      <c r="E240" t="s">
        <v>219</v>
      </c>
      <c r="F240" s="17">
        <v>0</v>
      </c>
      <c r="G240" s="17">
        <v>0</v>
      </c>
      <c r="H240" s="17">
        <v>0</v>
      </c>
      <c r="I240" s="17">
        <v>0</v>
      </c>
      <c r="J240" s="17">
        <v>0.45590101567052999</v>
      </c>
      <c r="K240" s="17">
        <v>0.41252564864339802</v>
      </c>
      <c r="L240" s="17">
        <v>0.29160323213591899</v>
      </c>
      <c r="M240" s="17">
        <v>3.4788047254419399E-3</v>
      </c>
      <c r="N240" s="17">
        <v>-6.9805925451660894E-2</v>
      </c>
      <c r="O240" s="17">
        <v>1.4625605452308401E-4</v>
      </c>
      <c r="P240" s="17">
        <v>0</v>
      </c>
      <c r="Q240" s="17">
        <v>4.2017275092274799E-2</v>
      </c>
      <c r="R240" s="17">
        <v>4.2017275092274799E-2</v>
      </c>
      <c r="S240" s="17">
        <v>2.3421862445768299E-2</v>
      </c>
      <c r="T240" s="17">
        <v>-2.5751512457100299E-2</v>
      </c>
      <c r="U240" s="17">
        <v>4.07427580457165E-4</v>
      </c>
      <c r="V240" s="17">
        <v>9.6320058764488709E-3</v>
      </c>
      <c r="W240" s="17">
        <v>2.6430558424528901E-3</v>
      </c>
      <c r="X240" s="17">
        <v>1.9671439333354902E-2</v>
      </c>
      <c r="Y240" s="17">
        <v>7.6679960014245903E-3</v>
      </c>
      <c r="Z240" s="17">
        <v>0</v>
      </c>
      <c r="AA240" s="17">
        <v>0</v>
      </c>
      <c r="AB240" s="17">
        <v>0</v>
      </c>
      <c r="AC240" s="17">
        <v>0</v>
      </c>
      <c r="AD240" s="17">
        <v>0</v>
      </c>
      <c r="AE240" s="17">
        <v>0</v>
      </c>
      <c r="AF240" s="17">
        <v>0</v>
      </c>
      <c r="AG240" s="17">
        <v>0</v>
      </c>
      <c r="AH240" s="17">
        <v>0</v>
      </c>
      <c r="AI240" s="17">
        <v>0</v>
      </c>
      <c r="AJ240" s="17">
        <v>0</v>
      </c>
      <c r="AK240" s="17">
        <v>0</v>
      </c>
      <c r="AL240" s="17">
        <v>0</v>
      </c>
      <c r="AM240" s="17">
        <v>0</v>
      </c>
      <c r="AN240" s="17">
        <v>0</v>
      </c>
      <c r="AO240" s="17"/>
      <c r="AP240" s="17"/>
      <c r="AQ240" s="17"/>
      <c r="AR240" s="17"/>
      <c r="AS240" s="17"/>
      <c r="AT240" s="17"/>
      <c r="AU240" s="17"/>
      <c r="AV240" s="17"/>
      <c r="AW240" s="17"/>
      <c r="AX240" s="17"/>
      <c r="AY240" s="17"/>
      <c r="AZ240" s="17"/>
      <c r="BA240" s="17"/>
      <c r="BB240" s="17"/>
      <c r="BC240" s="17"/>
      <c r="BD240" s="17"/>
      <c r="BE240" s="17"/>
      <c r="BF240" s="17"/>
      <c r="BG240" s="17"/>
      <c r="BH240" s="17"/>
      <c r="BI240" s="17"/>
      <c r="BJ240" s="17"/>
      <c r="BK240" s="17"/>
      <c r="BL240" s="17"/>
      <c r="BM240" s="17"/>
      <c r="BN240" s="17"/>
      <c r="BO240" s="17"/>
      <c r="BP240" s="17"/>
      <c r="BQ240" s="17"/>
      <c r="BR240" s="17"/>
      <c r="BS240" s="17"/>
      <c r="BT240" s="17"/>
      <c r="BU240" s="17"/>
      <c r="BV240" s="17"/>
      <c r="BW240" s="17"/>
      <c r="BX240" s="17"/>
      <c r="BY240" s="17"/>
      <c r="BZ240" s="17"/>
      <c r="CA240" s="17"/>
      <c r="CB240" s="17"/>
      <c r="CC240" s="17"/>
      <c r="CD240" s="17"/>
      <c r="CE240" s="17"/>
      <c r="CF240" s="17"/>
      <c r="CG240" s="17"/>
      <c r="CH240" s="17"/>
      <c r="CI240" s="17"/>
      <c r="CJ240" s="17"/>
      <c r="CK240" s="17"/>
      <c r="CL240" s="17"/>
      <c r="CM240" s="17"/>
      <c r="CN240" s="17"/>
      <c r="CO240" s="17"/>
      <c r="CP240" s="17"/>
      <c r="CQ240" s="17"/>
      <c r="CR240" s="17"/>
      <c r="CS240" s="17"/>
      <c r="CT240" s="17"/>
      <c r="CU240" s="17"/>
      <c r="CV240" s="17"/>
    </row>
    <row r="241" spans="2:100" x14ac:dyDescent="0.35">
      <c r="B241" s="9"/>
      <c r="C241" t="s">
        <v>230</v>
      </c>
      <c r="D241" t="s">
        <v>342</v>
      </c>
      <c r="E241" t="s">
        <v>219</v>
      </c>
      <c r="F241" s="17">
        <v>0</v>
      </c>
      <c r="G241" s="17">
        <v>0</v>
      </c>
      <c r="H241" s="17">
        <v>0</v>
      </c>
      <c r="I241" s="17">
        <v>0</v>
      </c>
      <c r="J241" s="17">
        <v>40.802931965291698</v>
      </c>
      <c r="K241" s="17">
        <v>44.316409822516597</v>
      </c>
      <c r="L241" s="17">
        <v>38.409775485713503</v>
      </c>
      <c r="M241" s="17">
        <v>43.733109336495403</v>
      </c>
      <c r="N241" s="17">
        <v>42.272345651362997</v>
      </c>
      <c r="O241" s="17">
        <v>37.436305633668901</v>
      </c>
      <c r="P241" s="17">
        <v>42.511275810148597</v>
      </c>
      <c r="Q241" s="17">
        <v>47.7871704649598</v>
      </c>
      <c r="R241" s="17">
        <v>47.060528598645</v>
      </c>
      <c r="S241" s="17">
        <v>46.012927820679202</v>
      </c>
      <c r="T241" s="17">
        <v>44.189584929523001</v>
      </c>
      <c r="U241" s="17">
        <v>44.039996326329003</v>
      </c>
      <c r="V241" s="17">
        <v>46.153876869795297</v>
      </c>
      <c r="W241" s="17">
        <v>48.258835793935702</v>
      </c>
      <c r="X241" s="17">
        <v>48.350642808732097</v>
      </c>
      <c r="Y241" s="17">
        <v>47.403457259057497</v>
      </c>
      <c r="Z241" s="17">
        <v>45.721387269709503</v>
      </c>
      <c r="AA241" s="17">
        <v>55.537445943914697</v>
      </c>
      <c r="AB241" s="17">
        <v>54.5128700476753</v>
      </c>
      <c r="AC241" s="17">
        <v>53.389989189074299</v>
      </c>
      <c r="AD241" s="17">
        <v>51.490467787233698</v>
      </c>
      <c r="AE241" s="17">
        <v>51.682763158348401</v>
      </c>
      <c r="AF241" s="17">
        <v>48.875702044469897</v>
      </c>
      <c r="AG241" s="17">
        <v>48.2767730543369</v>
      </c>
      <c r="AH241" s="17">
        <v>48.2761149020915</v>
      </c>
      <c r="AI241" s="17">
        <v>48.425849761339997</v>
      </c>
      <c r="AJ241" s="17">
        <v>47.145221301074898</v>
      </c>
      <c r="AK241" s="17">
        <v>48.8041201526419</v>
      </c>
      <c r="AL241" s="17">
        <v>48.846085193428998</v>
      </c>
      <c r="AM241" s="17">
        <v>48.951097040576599</v>
      </c>
      <c r="AN241" s="17">
        <v>48.727262595989998</v>
      </c>
      <c r="AO241" s="17"/>
      <c r="AP241" s="17"/>
      <c r="AQ241" s="17"/>
      <c r="AR241" s="17"/>
      <c r="AS241" s="17"/>
      <c r="AT241" s="17"/>
      <c r="AU241" s="17"/>
      <c r="AV241" s="17"/>
      <c r="AW241" s="17"/>
      <c r="AX241" s="17"/>
      <c r="AY241" s="17"/>
      <c r="AZ241" s="17"/>
      <c r="BA241" s="17"/>
      <c r="BB241" s="17"/>
      <c r="BC241" s="17"/>
      <c r="BD241" s="17"/>
      <c r="BE241" s="17"/>
      <c r="BF241" s="17"/>
      <c r="BG241" s="17"/>
      <c r="BH241" s="17"/>
      <c r="BI241" s="17"/>
      <c r="BJ241" s="17"/>
      <c r="BK241" s="17"/>
      <c r="BL241" s="17"/>
      <c r="BM241" s="17"/>
      <c r="BN241" s="17"/>
      <c r="BO241" s="17"/>
      <c r="BP241" s="17"/>
      <c r="BQ241" s="17"/>
      <c r="BR241" s="17"/>
      <c r="BS241" s="17"/>
      <c r="BT241" s="17"/>
      <c r="BU241" s="17"/>
      <c r="BV241" s="17"/>
      <c r="BW241" s="17"/>
      <c r="BX241" s="17"/>
      <c r="BY241" s="17"/>
      <c r="BZ241" s="17"/>
      <c r="CA241" s="17"/>
      <c r="CB241" s="17"/>
      <c r="CC241" s="17"/>
      <c r="CD241" s="17"/>
      <c r="CE241" s="17"/>
      <c r="CF241" s="17"/>
      <c r="CG241" s="17"/>
      <c r="CH241" s="17"/>
      <c r="CI241" s="17"/>
      <c r="CJ241" s="17"/>
      <c r="CK241" s="17"/>
      <c r="CL241" s="17"/>
      <c r="CM241" s="17"/>
      <c r="CN241" s="17"/>
      <c r="CO241" s="17"/>
      <c r="CP241" s="17"/>
      <c r="CQ241" s="17"/>
      <c r="CR241" s="17"/>
      <c r="CS241" s="17"/>
      <c r="CT241" s="17"/>
      <c r="CU241" s="17"/>
      <c r="CV241" s="17"/>
    </row>
    <row r="242" spans="2:100" x14ac:dyDescent="0.35">
      <c r="B242" s="9"/>
      <c r="C242" t="s">
        <v>230</v>
      </c>
      <c r="D242" t="s">
        <v>343</v>
      </c>
      <c r="E242" t="s">
        <v>219</v>
      </c>
      <c r="F242" s="17">
        <v>0</v>
      </c>
      <c r="G242" s="17">
        <v>0</v>
      </c>
      <c r="H242" s="17">
        <v>0</v>
      </c>
      <c r="I242" s="17">
        <v>0</v>
      </c>
      <c r="J242" s="17">
        <v>-9.1845459244965308</v>
      </c>
      <c r="K242" s="17">
        <v>-9.84955131069092</v>
      </c>
      <c r="L242" s="17">
        <v>-9.6506535234005693</v>
      </c>
      <c r="M242" s="17">
        <v>-10.413828062763001</v>
      </c>
      <c r="N242" s="17">
        <v>-12.316890950495299</v>
      </c>
      <c r="O242" s="17">
        <v>-12.3762500149096</v>
      </c>
      <c r="P242" s="17">
        <v>-12.136599022712501</v>
      </c>
      <c r="Q242" s="17">
        <v>-9.42087481488376</v>
      </c>
      <c r="R242" s="17">
        <v>-10.5251707076992</v>
      </c>
      <c r="S242" s="17">
        <v>-9.3598024652593406</v>
      </c>
      <c r="T242" s="17">
        <v>-9.7839763639593897</v>
      </c>
      <c r="U242" s="17">
        <v>-9.0411940973418297</v>
      </c>
      <c r="V242" s="17">
        <v>-8.4436649865877698</v>
      </c>
      <c r="W242" s="17">
        <v>-9.1738692325163491</v>
      </c>
      <c r="X242" s="17">
        <v>-9.2263856029511704</v>
      </c>
      <c r="Y242" s="17">
        <v>-8.2918094145486592</v>
      </c>
      <c r="Z242" s="17">
        <v>-8.8006760156786203</v>
      </c>
      <c r="AA242" s="17">
        <v>-10.841533000493699</v>
      </c>
      <c r="AB242" s="17">
        <v>-10.248516933707799</v>
      </c>
      <c r="AC242" s="17">
        <v>-10.285540609224199</v>
      </c>
      <c r="AD242" s="17">
        <v>-9.7056457999012498</v>
      </c>
      <c r="AE242" s="17">
        <v>-9.2622914643365899</v>
      </c>
      <c r="AF242" s="17">
        <v>-8.7960376093780308</v>
      </c>
      <c r="AG242" s="17">
        <v>-9.1575407887149503</v>
      </c>
      <c r="AH242" s="17">
        <v>-9.1241735145616101</v>
      </c>
      <c r="AI242" s="17">
        <v>-8.5448010482904806</v>
      </c>
      <c r="AJ242" s="17">
        <v>-7.7658830893446797</v>
      </c>
      <c r="AK242" s="17">
        <v>-8.1872363355646502</v>
      </c>
      <c r="AL242" s="17">
        <v>-9.4756372604416192</v>
      </c>
      <c r="AM242" s="17">
        <v>-10.4161786064964</v>
      </c>
      <c r="AN242" s="17">
        <v>-10.432893584156201</v>
      </c>
      <c r="AO242" s="17"/>
      <c r="AP242" s="17"/>
      <c r="AQ242" s="17"/>
      <c r="AR242" s="17"/>
      <c r="AS242" s="17"/>
      <c r="AT242" s="17"/>
      <c r="AU242" s="17"/>
      <c r="AV242" s="17"/>
      <c r="AW242" s="17"/>
      <c r="AX242" s="17"/>
      <c r="AY242" s="17"/>
      <c r="AZ242" s="17"/>
      <c r="BA242" s="17"/>
      <c r="BB242" s="17"/>
      <c r="BC242" s="17"/>
      <c r="BD242" s="17"/>
      <c r="BE242" s="17"/>
      <c r="BF242" s="17"/>
      <c r="BG242" s="17"/>
      <c r="BH242" s="17"/>
      <c r="BI242" s="17"/>
      <c r="BJ242" s="17"/>
      <c r="BK242" s="17"/>
      <c r="BL242" s="17"/>
      <c r="BM242" s="17"/>
      <c r="BN242" s="17"/>
      <c r="BO242" s="17"/>
      <c r="BP242" s="17"/>
      <c r="BQ242" s="17"/>
      <c r="BR242" s="17"/>
      <c r="BS242" s="17"/>
      <c r="BT242" s="17"/>
      <c r="BU242" s="17"/>
      <c r="BV242" s="17"/>
      <c r="BW242" s="17"/>
      <c r="BX242" s="17"/>
      <c r="BY242" s="17"/>
      <c r="BZ242" s="17"/>
      <c r="CA242" s="17"/>
      <c r="CB242" s="17"/>
      <c r="CC242" s="17"/>
      <c r="CD242" s="17"/>
      <c r="CE242" s="17"/>
      <c r="CF242" s="17"/>
      <c r="CG242" s="17"/>
      <c r="CH242" s="17"/>
      <c r="CI242" s="17"/>
      <c r="CJ242" s="17"/>
      <c r="CK242" s="17"/>
      <c r="CL242" s="17"/>
      <c r="CM242" s="17"/>
      <c r="CN242" s="17"/>
      <c r="CO242" s="17"/>
      <c r="CP242" s="17"/>
      <c r="CQ242" s="17"/>
      <c r="CR242" s="17"/>
      <c r="CS242" s="17"/>
      <c r="CT242" s="17"/>
      <c r="CU242" s="17"/>
      <c r="CV242" s="17"/>
    </row>
    <row r="243" spans="2:100" x14ac:dyDescent="0.35">
      <c r="B243" s="9"/>
      <c r="C243" t="s">
        <v>230</v>
      </c>
      <c r="D243" t="s">
        <v>344</v>
      </c>
      <c r="E243" t="s">
        <v>219</v>
      </c>
      <c r="F243" s="17">
        <v>0</v>
      </c>
      <c r="G243" s="17">
        <v>0</v>
      </c>
      <c r="H243" s="17">
        <v>0</v>
      </c>
      <c r="I243" s="17">
        <v>0</v>
      </c>
      <c r="J243" s="17">
        <v>38.3175714901978</v>
      </c>
      <c r="K243" s="17">
        <v>31.052051257098601</v>
      </c>
      <c r="L243" s="17">
        <v>36.592387305348701</v>
      </c>
      <c r="M243" s="17">
        <v>29.725770014100199</v>
      </c>
      <c r="N243" s="17">
        <v>31.412551537776</v>
      </c>
      <c r="O243" s="17">
        <v>37.9163180046137</v>
      </c>
      <c r="P243" s="17">
        <v>33.241974502055903</v>
      </c>
      <c r="Q243" s="17">
        <v>26.7391691464336</v>
      </c>
      <c r="R243" s="17">
        <v>28.370791243832102</v>
      </c>
      <c r="S243" s="17">
        <v>28.581567112121999</v>
      </c>
      <c r="T243" s="17">
        <v>27.5805071000777</v>
      </c>
      <c r="U243" s="17">
        <v>25.362586267540301</v>
      </c>
      <c r="V243" s="17">
        <v>24.854022625380399</v>
      </c>
      <c r="W243" s="17">
        <v>22.748875657741301</v>
      </c>
      <c r="X243" s="17">
        <v>24.696107873939599</v>
      </c>
      <c r="Y243" s="17">
        <v>25.517408748114001</v>
      </c>
      <c r="Z243" s="17">
        <v>26.9899251519134</v>
      </c>
      <c r="AA243" s="17">
        <v>36.857455510449697</v>
      </c>
      <c r="AB243" s="17">
        <v>35.3389206837806</v>
      </c>
      <c r="AC243" s="17">
        <v>33.042073816105997</v>
      </c>
      <c r="AD243" s="17">
        <v>32.2498987905037</v>
      </c>
      <c r="AE243" s="17">
        <v>31.529807106059302</v>
      </c>
      <c r="AF243" s="17">
        <v>31.378139577518901</v>
      </c>
      <c r="AG243" s="17">
        <v>29.910522751546001</v>
      </c>
      <c r="AH243" s="17">
        <v>29.328413207682999</v>
      </c>
      <c r="AI243" s="17">
        <v>27.922223924609799</v>
      </c>
      <c r="AJ243" s="17">
        <v>27.9828470592096</v>
      </c>
      <c r="AK243" s="17">
        <v>25.8063166901023</v>
      </c>
      <c r="AL243" s="17">
        <v>26.2764881179498</v>
      </c>
      <c r="AM243" s="17">
        <v>26.4769842749789</v>
      </c>
      <c r="AN243" s="17">
        <v>25.390782345480101</v>
      </c>
      <c r="AO243" s="17"/>
      <c r="AP243" s="17"/>
      <c r="AQ243" s="17"/>
      <c r="AR243" s="17"/>
      <c r="AS243" s="17"/>
      <c r="AT243" s="17"/>
      <c r="AU243" s="17"/>
      <c r="AV243" s="17"/>
      <c r="AW243" s="17"/>
      <c r="AX243" s="17"/>
      <c r="AY243" s="17"/>
      <c r="AZ243" s="17"/>
      <c r="BA243" s="17"/>
      <c r="BB243" s="17"/>
      <c r="BC243" s="17"/>
      <c r="BD243" s="17"/>
      <c r="BE243" s="17"/>
      <c r="BF243" s="17"/>
      <c r="BG243" s="17"/>
      <c r="BH243" s="17"/>
      <c r="BI243" s="17"/>
      <c r="BJ243" s="17"/>
      <c r="BK243" s="17"/>
      <c r="BL243" s="17"/>
      <c r="BM243" s="17"/>
      <c r="BN243" s="17"/>
      <c r="BO243" s="17"/>
      <c r="BP243" s="17"/>
      <c r="BQ243" s="17"/>
      <c r="BR243" s="17"/>
      <c r="BS243" s="17"/>
      <c r="BT243" s="17"/>
      <c r="BU243" s="17"/>
      <c r="BV243" s="17"/>
      <c r="BW243" s="17"/>
      <c r="BX243" s="17"/>
      <c r="BY243" s="17"/>
      <c r="BZ243" s="17"/>
      <c r="CA243" s="17"/>
      <c r="CB243" s="17"/>
      <c r="CC243" s="17"/>
      <c r="CD243" s="17"/>
      <c r="CE243" s="17"/>
      <c r="CF243" s="17"/>
      <c r="CG243" s="17"/>
      <c r="CH243" s="17"/>
      <c r="CI243" s="17"/>
      <c r="CJ243" s="17"/>
      <c r="CK243" s="17"/>
      <c r="CL243" s="17"/>
      <c r="CM243" s="17"/>
      <c r="CN243" s="17"/>
      <c r="CO243" s="17"/>
      <c r="CP243" s="17"/>
      <c r="CQ243" s="17"/>
      <c r="CR243" s="17"/>
      <c r="CS243" s="17"/>
      <c r="CT243" s="17"/>
      <c r="CU243" s="17"/>
      <c r="CV243" s="17"/>
    </row>
    <row r="244" spans="2:100" x14ac:dyDescent="0.35">
      <c r="B244" s="9"/>
      <c r="C244" t="s">
        <v>230</v>
      </c>
      <c r="D244" t="s">
        <v>345</v>
      </c>
      <c r="E244" t="s">
        <v>219</v>
      </c>
      <c r="F244" s="17">
        <v>0</v>
      </c>
      <c r="G244" s="17">
        <v>0</v>
      </c>
      <c r="H244" s="17">
        <v>0</v>
      </c>
      <c r="I244" s="17">
        <v>0</v>
      </c>
      <c r="J244" s="17">
        <v>-38.565673992974098</v>
      </c>
      <c r="K244" s="17">
        <v>-37.986813422893803</v>
      </c>
      <c r="L244" s="17">
        <v>-33.5323554514504</v>
      </c>
      <c r="M244" s="17">
        <v>-32.066911572573296</v>
      </c>
      <c r="N244" s="17">
        <v>-27.626065861061601</v>
      </c>
      <c r="O244" s="17">
        <v>-26.4016101725943</v>
      </c>
      <c r="P244" s="17">
        <v>-25.879967060415701</v>
      </c>
      <c r="Q244" s="17">
        <v>-30.559126565911701</v>
      </c>
      <c r="R244" s="17">
        <v>-29.104422060180902</v>
      </c>
      <c r="S244" s="17">
        <v>-27.7483254757819</v>
      </c>
      <c r="T244" s="17">
        <v>-23.2995401498818</v>
      </c>
      <c r="U244" s="17">
        <v>-22.392428759146501</v>
      </c>
      <c r="V244" s="17">
        <v>-25.331297918733402</v>
      </c>
      <c r="W244" s="17">
        <v>-24.922742077284202</v>
      </c>
      <c r="X244" s="17">
        <v>-25.5824926923768</v>
      </c>
      <c r="Y244" s="17">
        <v>-25.892921168101999</v>
      </c>
      <c r="Z244" s="17">
        <v>-22.390308046355901</v>
      </c>
      <c r="AA244" s="17">
        <v>-31.412990305939498</v>
      </c>
      <c r="AB244" s="17">
        <v>-29.223286445064101</v>
      </c>
      <c r="AC244" s="17">
        <v>-27.190525777552899</v>
      </c>
      <c r="AD244" s="17">
        <v>-24.664380756969098</v>
      </c>
      <c r="AE244" s="17">
        <v>-25.313381552054299</v>
      </c>
      <c r="AF244" s="17">
        <v>-23.190339111458201</v>
      </c>
      <c r="AG244" s="17">
        <v>-21.6486644875914</v>
      </c>
      <c r="AH244" s="17">
        <v>-21.932119168118199</v>
      </c>
      <c r="AI244" s="17">
        <v>-21.285385341878101</v>
      </c>
      <c r="AJ244" s="17">
        <v>-19.7719485833953</v>
      </c>
      <c r="AK244" s="17">
        <v>-21.082131213535199</v>
      </c>
      <c r="AL244" s="17">
        <v>-19.226611990383901</v>
      </c>
      <c r="AM244" s="17">
        <v>-17.303616491792301</v>
      </c>
      <c r="AN244" s="17">
        <v>-17.5946555934323</v>
      </c>
      <c r="AO244" s="17"/>
      <c r="AP244" s="17"/>
      <c r="AQ244" s="17"/>
      <c r="AR244" s="17"/>
      <c r="AS244" s="17"/>
      <c r="AT244" s="17"/>
      <c r="AU244" s="17"/>
      <c r="AV244" s="17"/>
      <c r="AW244" s="17"/>
      <c r="AX244" s="17"/>
      <c r="AY244" s="17"/>
      <c r="AZ244" s="17"/>
      <c r="BA244" s="17"/>
      <c r="BB244" s="17"/>
      <c r="BC244" s="17"/>
      <c r="BD244" s="17"/>
      <c r="BE244" s="17"/>
      <c r="BF244" s="17"/>
      <c r="BG244" s="17"/>
      <c r="BH244" s="17"/>
      <c r="BI244" s="17"/>
      <c r="BJ244" s="17"/>
      <c r="BK244" s="17"/>
      <c r="BL244" s="17"/>
      <c r="BM244" s="17"/>
      <c r="BN244" s="17"/>
      <c r="BO244" s="17"/>
      <c r="BP244" s="17"/>
      <c r="BQ244" s="17"/>
      <c r="BR244" s="17"/>
      <c r="BS244" s="17"/>
      <c r="BT244" s="17"/>
      <c r="BU244" s="17"/>
      <c r="BV244" s="17"/>
      <c r="BW244" s="17"/>
      <c r="BX244" s="17"/>
      <c r="BY244" s="17"/>
      <c r="BZ244" s="17"/>
      <c r="CA244" s="17"/>
      <c r="CB244" s="17"/>
      <c r="CC244" s="17"/>
      <c r="CD244" s="17"/>
      <c r="CE244" s="17"/>
      <c r="CF244" s="17"/>
      <c r="CG244" s="17"/>
      <c r="CH244" s="17"/>
      <c r="CI244" s="17"/>
      <c r="CJ244" s="17"/>
      <c r="CK244" s="17"/>
      <c r="CL244" s="17"/>
      <c r="CM244" s="17"/>
      <c r="CN244" s="17"/>
      <c r="CO244" s="17"/>
      <c r="CP244" s="17"/>
      <c r="CQ244" s="17"/>
      <c r="CR244" s="17"/>
      <c r="CS244" s="17"/>
      <c r="CT244" s="17"/>
      <c r="CU244" s="17"/>
      <c r="CV244" s="17"/>
    </row>
    <row r="245" spans="2:100" x14ac:dyDescent="0.35">
      <c r="B245" s="9"/>
      <c r="D245" t="s">
        <v>220</v>
      </c>
      <c r="E245" t="s">
        <v>219</v>
      </c>
      <c r="F245" s="17">
        <v>0</v>
      </c>
      <c r="G245" s="17">
        <v>0</v>
      </c>
      <c r="H245" s="17">
        <v>0</v>
      </c>
      <c r="I245" s="17">
        <v>0</v>
      </c>
      <c r="J245" s="17">
        <v>-24.713219832318799</v>
      </c>
      <c r="K245" s="17">
        <v>-26.017113452114199</v>
      </c>
      <c r="L245" s="17">
        <v>-23.037950749506201</v>
      </c>
      <c r="M245" s="17">
        <v>-26.378188310148602</v>
      </c>
      <c r="N245" s="17">
        <v>-24.2836240127404</v>
      </c>
      <c r="O245" s="17">
        <v>-24.7207624659878</v>
      </c>
      <c r="P245" s="17">
        <v>-25.5346356219646</v>
      </c>
      <c r="Q245" s="17">
        <v>-23.805283139561599</v>
      </c>
      <c r="R245" s="17">
        <v>-25.1145986802353</v>
      </c>
      <c r="S245" s="17">
        <v>-23.696458188135399</v>
      </c>
      <c r="T245" s="17">
        <v>-22.633960186330299</v>
      </c>
      <c r="U245" s="17">
        <v>-21.123897763962599</v>
      </c>
      <c r="V245" s="17">
        <v>-19.051470365092499</v>
      </c>
      <c r="W245" s="17">
        <v>-19.8513342804183</v>
      </c>
      <c r="X245" s="17">
        <v>-18.027594408542701</v>
      </c>
      <c r="Y245" s="17">
        <v>-17.533395200309201</v>
      </c>
      <c r="Z245" s="17">
        <v>-18.513101828393101</v>
      </c>
      <c r="AA245" s="17">
        <v>-28.2424828965712</v>
      </c>
      <c r="AB245" s="17">
        <v>-21.163251089490299</v>
      </c>
      <c r="AC245" s="17">
        <v>-20.836191210993601</v>
      </c>
      <c r="AD245" s="17">
        <v>-19.412660138598302</v>
      </c>
      <c r="AE245" s="17">
        <v>-17.679202039807599</v>
      </c>
      <c r="AF245" s="17">
        <v>-15.3696622359726</v>
      </c>
      <c r="AG245" s="17">
        <v>-16.149572646716901</v>
      </c>
      <c r="AH245" s="17">
        <v>-15.1920238108932</v>
      </c>
      <c r="AI245" s="17">
        <v>-14.605871331808901</v>
      </c>
      <c r="AJ245" s="17">
        <v>-13.174337963858999</v>
      </c>
      <c r="AK245" s="17">
        <v>-13.4996741102845</v>
      </c>
      <c r="AL245" s="17">
        <v>-14.973329221937099</v>
      </c>
      <c r="AM245" s="17">
        <v>-16.5926135764504</v>
      </c>
      <c r="AN245" s="17">
        <v>-15.8234634325746</v>
      </c>
      <c r="AO245" s="17"/>
      <c r="AP245" s="17"/>
      <c r="AQ245" s="17"/>
      <c r="AR245" s="17"/>
      <c r="AS245" s="17"/>
      <c r="AT245" s="17"/>
      <c r="AU245" s="17"/>
      <c r="AV245" s="17"/>
      <c r="AW245" s="17"/>
      <c r="AX245" s="17"/>
      <c r="AY245" s="17"/>
      <c r="AZ245" s="17"/>
      <c r="BA245" s="17"/>
      <c r="BB245" s="17"/>
      <c r="BC245" s="17"/>
      <c r="BD245" s="17"/>
      <c r="BE245" s="17"/>
      <c r="BF245" s="17"/>
      <c r="BG245" s="17"/>
      <c r="BH245" s="17"/>
      <c r="BI245" s="17"/>
      <c r="BJ245" s="17"/>
      <c r="BK245" s="17"/>
      <c r="BL245" s="17"/>
      <c r="BM245" s="17"/>
      <c r="BN245" s="17"/>
      <c r="BO245" s="17"/>
      <c r="BP245" s="17"/>
      <c r="BQ245" s="17"/>
      <c r="BR245" s="17"/>
      <c r="BS245" s="17"/>
      <c r="BT245" s="17"/>
      <c r="BU245" s="17"/>
      <c r="BV245" s="17"/>
      <c r="BW245" s="17"/>
      <c r="BX245" s="17"/>
      <c r="BY245" s="17"/>
      <c r="BZ245" s="17"/>
      <c r="CA245" s="17"/>
      <c r="CB245" s="17"/>
      <c r="CC245" s="17"/>
      <c r="CD245" s="17"/>
      <c r="CE245" s="17"/>
      <c r="CF245" s="17"/>
      <c r="CG245" s="17"/>
      <c r="CH245" s="17"/>
      <c r="CI245" s="17"/>
      <c r="CJ245" s="17"/>
      <c r="CK245" s="17"/>
      <c r="CL245" s="17"/>
      <c r="CM245" s="17"/>
      <c r="CN245" s="17"/>
      <c r="CO245" s="17"/>
      <c r="CP245" s="17"/>
      <c r="CQ245" s="17"/>
      <c r="CR245" s="17"/>
      <c r="CS245" s="17"/>
      <c r="CT245" s="17"/>
      <c r="CU245" s="17"/>
      <c r="CV245" s="17"/>
    </row>
    <row r="246" spans="2:100" x14ac:dyDescent="0.35">
      <c r="B246" s="9"/>
      <c r="C246" t="s">
        <v>230</v>
      </c>
      <c r="D246" t="s">
        <v>346</v>
      </c>
      <c r="E246" t="s">
        <v>219</v>
      </c>
      <c r="F246" s="17">
        <v>0</v>
      </c>
      <c r="G246" s="17">
        <v>0</v>
      </c>
      <c r="H246" s="17">
        <v>0</v>
      </c>
      <c r="I246" s="17">
        <v>0</v>
      </c>
      <c r="J246" s="17">
        <v>74.158338484491296</v>
      </c>
      <c r="K246" s="17">
        <v>71.047587120256694</v>
      </c>
      <c r="L246" s="17">
        <v>76.711237916191806</v>
      </c>
      <c r="M246" s="17">
        <v>66.371801950875806</v>
      </c>
      <c r="N246" s="17">
        <v>62.020078410873801</v>
      </c>
      <c r="O246" s="17">
        <v>58.640257693760901</v>
      </c>
      <c r="P246" s="17">
        <v>52.709512001683599</v>
      </c>
      <c r="Q246" s="17">
        <v>51.887197781988597</v>
      </c>
      <c r="R246" s="17">
        <v>47.531598456541701</v>
      </c>
      <c r="S246" s="17">
        <v>47.733379577478402</v>
      </c>
      <c r="T246" s="17">
        <v>48.044737823836002</v>
      </c>
      <c r="U246" s="17">
        <v>47.1361325319724</v>
      </c>
      <c r="V246" s="17">
        <v>45.786126467558098</v>
      </c>
      <c r="W246" s="17">
        <v>42.914409730719399</v>
      </c>
      <c r="X246" s="17">
        <v>42.022446288488297</v>
      </c>
      <c r="Y246" s="17">
        <v>41.2271163108528</v>
      </c>
      <c r="Z246" s="17">
        <v>41.391393200665298</v>
      </c>
      <c r="AA246" s="17">
        <v>63.060846941721103</v>
      </c>
      <c r="AB246" s="17">
        <v>63.877331812957301</v>
      </c>
      <c r="AC246" s="17">
        <v>61.055488390710998</v>
      </c>
      <c r="AD246" s="17">
        <v>60.398380831460798</v>
      </c>
      <c r="AE246" s="17">
        <v>58.892330003731402</v>
      </c>
      <c r="AF246" s="17">
        <v>58.199159880180297</v>
      </c>
      <c r="AG246" s="17">
        <v>56.331605873114</v>
      </c>
      <c r="AH246" s="17">
        <v>54.4968341159829</v>
      </c>
      <c r="AI246" s="17">
        <v>54.179228646725001</v>
      </c>
      <c r="AJ246" s="17">
        <v>54.411639964223198</v>
      </c>
      <c r="AK246" s="17">
        <v>50.7850643894078</v>
      </c>
      <c r="AL246" s="17">
        <v>50.194315291466999</v>
      </c>
      <c r="AM246" s="17">
        <v>48.987869991428099</v>
      </c>
      <c r="AN246" s="17">
        <v>46.791124946213401</v>
      </c>
      <c r="AO246" s="17"/>
      <c r="AP246" s="17"/>
      <c r="AQ246" s="17"/>
      <c r="AR246" s="17"/>
      <c r="AS246" s="17"/>
      <c r="AT246" s="17"/>
      <c r="AU246" s="17"/>
      <c r="AV246" s="17"/>
      <c r="AW246" s="17"/>
      <c r="AX246" s="17"/>
      <c r="AY246" s="17"/>
      <c r="AZ246" s="17"/>
      <c r="BA246" s="17"/>
      <c r="BB246" s="17"/>
      <c r="BC246" s="17"/>
      <c r="BD246" s="17"/>
      <c r="BE246" s="17"/>
      <c r="BF246" s="17"/>
      <c r="BG246" s="17"/>
      <c r="BH246" s="17"/>
      <c r="BI246" s="17"/>
      <c r="BJ246" s="17"/>
      <c r="BK246" s="17"/>
      <c r="BL246" s="17"/>
      <c r="BM246" s="17"/>
      <c r="BN246" s="17"/>
      <c r="BO246" s="17"/>
      <c r="BP246" s="17"/>
      <c r="BQ246" s="17"/>
      <c r="BR246" s="17"/>
      <c r="BS246" s="17"/>
      <c r="BT246" s="17"/>
      <c r="BU246" s="17"/>
      <c r="BV246" s="17"/>
      <c r="BW246" s="17"/>
      <c r="BX246" s="17"/>
      <c r="BY246" s="17"/>
      <c r="BZ246" s="17"/>
      <c r="CA246" s="17"/>
      <c r="CB246" s="17"/>
      <c r="CC246" s="17"/>
      <c r="CD246" s="17"/>
      <c r="CE246" s="17"/>
      <c r="CF246" s="17"/>
      <c r="CG246" s="17"/>
      <c r="CH246" s="17"/>
      <c r="CI246" s="17"/>
      <c r="CJ246" s="17"/>
      <c r="CK246" s="17"/>
      <c r="CL246" s="17"/>
      <c r="CM246" s="17"/>
      <c r="CN246" s="17"/>
      <c r="CO246" s="17"/>
      <c r="CP246" s="17"/>
      <c r="CQ246" s="17"/>
      <c r="CR246" s="17"/>
      <c r="CS246" s="17"/>
      <c r="CT246" s="17"/>
      <c r="CU246" s="17"/>
      <c r="CV246" s="17"/>
    </row>
    <row r="247" spans="2:100" x14ac:dyDescent="0.35">
      <c r="B247" s="9"/>
      <c r="C247" t="s">
        <v>230</v>
      </c>
      <c r="D247" t="s">
        <v>347</v>
      </c>
      <c r="E247" t="s">
        <v>219</v>
      </c>
      <c r="F247" s="17">
        <v>0</v>
      </c>
      <c r="G247" s="17">
        <v>0</v>
      </c>
      <c r="H247" s="17">
        <v>0</v>
      </c>
      <c r="I247" s="17">
        <v>0</v>
      </c>
      <c r="J247" s="17">
        <v>10.2232982111636</v>
      </c>
      <c r="K247" s="17">
        <v>8.3529862327834596</v>
      </c>
      <c r="L247" s="17">
        <v>8.5116218176358203</v>
      </c>
      <c r="M247" s="17">
        <v>8.9612860572670403</v>
      </c>
      <c r="N247" s="17">
        <v>9.1063511696318695</v>
      </c>
      <c r="O247" s="17">
        <v>10.666955505698301</v>
      </c>
      <c r="P247" s="17">
        <v>10.3772744959933</v>
      </c>
      <c r="Q247" s="17">
        <v>10.567616304094001</v>
      </c>
      <c r="R247" s="17">
        <v>10.899377270057601</v>
      </c>
      <c r="S247" s="17">
        <v>11.1180718590137</v>
      </c>
      <c r="T247" s="17">
        <v>10.7061207877274</v>
      </c>
      <c r="U247" s="17">
        <v>10.493391356423601</v>
      </c>
      <c r="V247" s="17">
        <v>10.796099601842201</v>
      </c>
      <c r="W247" s="17">
        <v>10.3571120541912</v>
      </c>
      <c r="X247" s="17">
        <v>10.628949825244399</v>
      </c>
      <c r="Y247" s="17">
        <v>10.913323829542501</v>
      </c>
      <c r="Z247" s="17">
        <v>11.4996330115424</v>
      </c>
      <c r="AA247" s="17">
        <v>12.635802277382901</v>
      </c>
      <c r="AB247" s="17">
        <v>12.646917737526699</v>
      </c>
      <c r="AC247" s="17">
        <v>12.439756483155699</v>
      </c>
      <c r="AD247" s="17">
        <v>12.0788174343149</v>
      </c>
      <c r="AE247" s="17">
        <v>12.185197820258299</v>
      </c>
      <c r="AF247" s="17">
        <v>12.1025213620086</v>
      </c>
      <c r="AG247" s="17">
        <v>12.088083800054999</v>
      </c>
      <c r="AH247" s="17">
        <v>11.8599139081379</v>
      </c>
      <c r="AI247" s="17">
        <v>11.748539922618599</v>
      </c>
      <c r="AJ247" s="17">
        <v>11.874863366282399</v>
      </c>
      <c r="AK247" s="17">
        <v>11.7867336465712</v>
      </c>
      <c r="AL247" s="17">
        <v>11.784874105306599</v>
      </c>
      <c r="AM247" s="17">
        <v>11.875521518527799</v>
      </c>
      <c r="AN247" s="17">
        <v>11.7572212641407</v>
      </c>
      <c r="AO247" s="17"/>
      <c r="AP247" s="17"/>
      <c r="AQ247" s="17"/>
      <c r="AR247" s="17"/>
      <c r="AS247" s="17"/>
      <c r="AT247" s="17"/>
      <c r="AU247" s="17"/>
      <c r="AV247" s="17"/>
      <c r="AW247" s="17"/>
      <c r="AX247" s="17"/>
      <c r="AY247" s="17"/>
      <c r="AZ247" s="17"/>
      <c r="BA247" s="17"/>
      <c r="BB247" s="17"/>
      <c r="BC247" s="17"/>
      <c r="BD247" s="17"/>
      <c r="BE247" s="17"/>
      <c r="BF247" s="17"/>
      <c r="BG247" s="17"/>
      <c r="BH247" s="17"/>
      <c r="BI247" s="17"/>
      <c r="BJ247" s="17"/>
      <c r="BK247" s="17"/>
      <c r="BL247" s="17"/>
      <c r="BM247" s="17"/>
      <c r="BN247" s="17"/>
      <c r="BO247" s="17"/>
      <c r="BP247" s="17"/>
      <c r="BQ247" s="17"/>
      <c r="BR247" s="17"/>
      <c r="BS247" s="17"/>
      <c r="BT247" s="17"/>
      <c r="BU247" s="17"/>
      <c r="BV247" s="17"/>
      <c r="BW247" s="17"/>
      <c r="BX247" s="17"/>
      <c r="BY247" s="17"/>
      <c r="BZ247" s="17"/>
      <c r="CA247" s="17"/>
      <c r="CB247" s="17"/>
      <c r="CC247" s="17"/>
      <c r="CD247" s="17"/>
      <c r="CE247" s="17"/>
      <c r="CF247" s="17"/>
      <c r="CG247" s="17"/>
      <c r="CH247" s="17"/>
      <c r="CI247" s="17"/>
      <c r="CJ247" s="17"/>
      <c r="CK247" s="17"/>
      <c r="CL247" s="17"/>
      <c r="CM247" s="17"/>
      <c r="CN247" s="17"/>
      <c r="CO247" s="17"/>
      <c r="CP247" s="17"/>
      <c r="CQ247" s="17"/>
      <c r="CR247" s="17"/>
      <c r="CS247" s="17"/>
      <c r="CT247" s="17"/>
      <c r="CU247" s="17"/>
      <c r="CV247" s="17"/>
    </row>
    <row r="248" spans="2:100" x14ac:dyDescent="0.35">
      <c r="B248" s="9"/>
      <c r="C248" t="s">
        <v>230</v>
      </c>
      <c r="D248" t="s">
        <v>348</v>
      </c>
      <c r="E248" t="s">
        <v>219</v>
      </c>
      <c r="F248" s="17">
        <v>0</v>
      </c>
      <c r="G248" s="17">
        <v>0</v>
      </c>
      <c r="H248" s="17">
        <v>0</v>
      </c>
      <c r="I248" s="17">
        <v>0</v>
      </c>
      <c r="J248" s="17">
        <v>10.291892300734901</v>
      </c>
      <c r="K248" s="17">
        <v>10.574093357937199</v>
      </c>
      <c r="L248" s="17">
        <v>10.638613171704</v>
      </c>
      <c r="M248" s="17">
        <v>9.1034051548193293</v>
      </c>
      <c r="N248" s="17">
        <v>8.9816992237340507</v>
      </c>
      <c r="O248" s="17">
        <v>9.8321781807857906</v>
      </c>
      <c r="P248" s="17">
        <v>9.0421029742520798</v>
      </c>
      <c r="Q248" s="17">
        <v>8.81777752719678</v>
      </c>
      <c r="R248" s="17">
        <v>8.9636574947225203</v>
      </c>
      <c r="S248" s="17">
        <v>8.9162914267791198</v>
      </c>
      <c r="T248" s="17">
        <v>8.7471462997231697</v>
      </c>
      <c r="U248" s="17">
        <v>8.3747783849073993</v>
      </c>
      <c r="V248" s="17">
        <v>8.4940293036488992</v>
      </c>
      <c r="W248" s="17">
        <v>8.3288748775092198</v>
      </c>
      <c r="X248" s="17">
        <v>7.7022303650440298</v>
      </c>
      <c r="Y248" s="17">
        <v>7.7853873789014401</v>
      </c>
      <c r="Z248" s="17">
        <v>7.9295331674949798</v>
      </c>
      <c r="AA248" s="17">
        <v>7.8233512719112204</v>
      </c>
      <c r="AB248" s="17">
        <v>7.6340019156090104</v>
      </c>
      <c r="AC248" s="17">
        <v>7.5839927918231496</v>
      </c>
      <c r="AD248" s="17">
        <v>7.4407976675840102</v>
      </c>
      <c r="AE248" s="17">
        <v>7.4667999047060096</v>
      </c>
      <c r="AF248" s="17">
        <v>7.29920091308359</v>
      </c>
      <c r="AG248" s="17">
        <v>7.3813759220034898</v>
      </c>
      <c r="AH248" s="17">
        <v>7.3007679422392</v>
      </c>
      <c r="AI248" s="17">
        <v>7.1623052460499901</v>
      </c>
      <c r="AJ248" s="17">
        <v>7.0610542688758597</v>
      </c>
      <c r="AK248" s="17">
        <v>6.97397968212944</v>
      </c>
      <c r="AL248" s="17">
        <v>6.7473559256459197</v>
      </c>
      <c r="AM248" s="17">
        <v>6.8696259872272201</v>
      </c>
      <c r="AN248" s="17">
        <v>7.3062734380058902</v>
      </c>
      <c r="AO248" s="17"/>
      <c r="AP248" s="17"/>
      <c r="AQ248" s="17"/>
      <c r="AR248" s="17"/>
      <c r="AS248" s="17"/>
      <c r="AT248" s="17"/>
      <c r="AU248" s="17"/>
      <c r="AV248" s="17"/>
      <c r="AW248" s="17"/>
      <c r="AX248" s="17"/>
      <c r="AY248" s="17"/>
      <c r="AZ248" s="17"/>
      <c r="BA248" s="17"/>
      <c r="BB248" s="17"/>
      <c r="BC248" s="17"/>
      <c r="BD248" s="17"/>
      <c r="BE248" s="17"/>
      <c r="BF248" s="17"/>
      <c r="BG248" s="17"/>
      <c r="BH248" s="17"/>
      <c r="BI248" s="17"/>
      <c r="BJ248" s="17"/>
      <c r="BK248" s="17"/>
      <c r="BL248" s="17"/>
      <c r="BM248" s="17"/>
      <c r="BN248" s="17"/>
      <c r="BO248" s="17"/>
      <c r="BP248" s="17"/>
      <c r="BQ248" s="17"/>
      <c r="BR248" s="17"/>
      <c r="BS248" s="17"/>
      <c r="BT248" s="17"/>
      <c r="BU248" s="17"/>
      <c r="BV248" s="17"/>
      <c r="BW248" s="17"/>
      <c r="BX248" s="17"/>
      <c r="BY248" s="17"/>
      <c r="BZ248" s="17"/>
      <c r="CA248" s="17"/>
      <c r="CB248" s="17"/>
      <c r="CC248" s="17"/>
      <c r="CD248" s="17"/>
      <c r="CE248" s="17"/>
      <c r="CF248" s="17"/>
      <c r="CG248" s="17"/>
      <c r="CH248" s="17"/>
      <c r="CI248" s="17"/>
      <c r="CJ248" s="17"/>
      <c r="CK248" s="17"/>
      <c r="CL248" s="17"/>
      <c r="CM248" s="17"/>
      <c r="CN248" s="17"/>
      <c r="CO248" s="17"/>
      <c r="CP248" s="17"/>
      <c r="CQ248" s="17"/>
      <c r="CR248" s="17"/>
      <c r="CS248" s="17"/>
      <c r="CT248" s="17"/>
      <c r="CU248" s="17"/>
      <c r="CV248" s="17"/>
    </row>
    <row r="249" spans="2:100" x14ac:dyDescent="0.35">
      <c r="B249" s="9"/>
      <c r="C249" t="s">
        <v>230</v>
      </c>
      <c r="D249" t="s">
        <v>349</v>
      </c>
      <c r="E249" t="s">
        <v>219</v>
      </c>
      <c r="F249" s="17">
        <v>0</v>
      </c>
      <c r="G249" s="17">
        <v>0</v>
      </c>
      <c r="H249" s="17">
        <v>0</v>
      </c>
      <c r="I249" s="17">
        <v>0</v>
      </c>
      <c r="J249" s="17">
        <v>6.2267261589878897</v>
      </c>
      <c r="K249" s="17">
        <v>6.1192070651913397</v>
      </c>
      <c r="L249" s="17">
        <v>6.0795821212766299</v>
      </c>
      <c r="M249" s="17">
        <v>5.5852679975717097</v>
      </c>
      <c r="N249" s="17">
        <v>5.2407618611425804</v>
      </c>
      <c r="O249" s="17">
        <v>6.0039364005050802</v>
      </c>
      <c r="P249" s="17">
        <v>5.8725880166823101</v>
      </c>
      <c r="Q249" s="17">
        <v>5.6092122030693501</v>
      </c>
      <c r="R249" s="17">
        <v>5.9138113303357498</v>
      </c>
      <c r="S249" s="17">
        <v>6.0062138162112202</v>
      </c>
      <c r="T249" s="17">
        <v>6.0699187748170598</v>
      </c>
      <c r="U249" s="17">
        <v>5.9800757698957403</v>
      </c>
      <c r="V249" s="17">
        <v>6.2987363721184302</v>
      </c>
      <c r="W249" s="17">
        <v>6.2025730162694996</v>
      </c>
      <c r="X249" s="17">
        <v>6.3206538865748199</v>
      </c>
      <c r="Y249" s="17">
        <v>5.8635723756070703</v>
      </c>
      <c r="Z249" s="17">
        <v>6.2891983879913198</v>
      </c>
      <c r="AA249" s="17">
        <v>6.14602415747426</v>
      </c>
      <c r="AB249" s="17">
        <v>6.3294292498461999</v>
      </c>
      <c r="AC249" s="17">
        <v>6.3278831144126704</v>
      </c>
      <c r="AD249" s="17">
        <v>6.4510202654600697</v>
      </c>
      <c r="AE249" s="17">
        <v>6.6080365868516404</v>
      </c>
      <c r="AF249" s="17">
        <v>6.6556951669040902</v>
      </c>
      <c r="AG249" s="17">
        <v>6.6151508992180901</v>
      </c>
      <c r="AH249" s="17">
        <v>6.4701066805753404</v>
      </c>
      <c r="AI249" s="17">
        <v>6.4102566136922796</v>
      </c>
      <c r="AJ249" s="17">
        <v>6.2904415644547598</v>
      </c>
      <c r="AK249" s="17">
        <v>6.1995329797076302</v>
      </c>
      <c r="AL249" s="17">
        <v>6.3125157818267104</v>
      </c>
      <c r="AM249" s="17">
        <v>6.4366244909505896</v>
      </c>
      <c r="AN249" s="17">
        <v>6.3804830597358002</v>
      </c>
      <c r="AO249" s="17"/>
      <c r="AP249" s="17"/>
      <c r="AQ249" s="17"/>
      <c r="AR249" s="17"/>
      <c r="AS249" s="17"/>
      <c r="AT249" s="17"/>
      <c r="AU249" s="17"/>
      <c r="AV249" s="17"/>
      <c r="AW249" s="17"/>
      <c r="AX249" s="17"/>
      <c r="AY249" s="17"/>
      <c r="AZ249" s="17"/>
      <c r="BA249" s="17"/>
      <c r="BB249" s="17"/>
      <c r="BC249" s="17"/>
      <c r="BD249" s="17"/>
      <c r="BE249" s="17"/>
      <c r="BF249" s="17"/>
      <c r="BG249" s="17"/>
      <c r="BH249" s="17"/>
      <c r="BI249" s="17"/>
      <c r="BJ249" s="17"/>
      <c r="BK249" s="17"/>
      <c r="BL249" s="17"/>
      <c r="BM249" s="17"/>
      <c r="BN249" s="17"/>
      <c r="BO249" s="17"/>
      <c r="BP249" s="17"/>
      <c r="BQ249" s="17"/>
      <c r="BR249" s="17"/>
      <c r="BS249" s="17"/>
      <c r="BT249" s="17"/>
      <c r="BU249" s="17"/>
      <c r="BV249" s="17"/>
      <c r="BW249" s="17"/>
      <c r="BX249" s="17"/>
      <c r="BY249" s="17"/>
      <c r="BZ249" s="17"/>
      <c r="CA249" s="17"/>
      <c r="CB249" s="17"/>
      <c r="CC249" s="17"/>
      <c r="CD249" s="17"/>
      <c r="CE249" s="17"/>
      <c r="CF249" s="17"/>
      <c r="CG249" s="17"/>
      <c r="CH249" s="17"/>
      <c r="CI249" s="17"/>
      <c r="CJ249" s="17"/>
      <c r="CK249" s="17"/>
      <c r="CL249" s="17"/>
      <c r="CM249" s="17"/>
      <c r="CN249" s="17"/>
      <c r="CO249" s="17"/>
      <c r="CP249" s="17"/>
      <c r="CQ249" s="17"/>
      <c r="CR249" s="17"/>
      <c r="CS249" s="17"/>
      <c r="CT249" s="17"/>
      <c r="CU249" s="17"/>
      <c r="CV249" s="17"/>
    </row>
    <row r="250" spans="2:100" x14ac:dyDescent="0.35">
      <c r="B250" s="9"/>
      <c r="C250" t="s">
        <v>230</v>
      </c>
      <c r="D250" t="s">
        <v>350</v>
      </c>
      <c r="E250" t="s">
        <v>219</v>
      </c>
      <c r="F250" s="17">
        <v>0</v>
      </c>
      <c r="G250" s="17">
        <v>0</v>
      </c>
      <c r="H250" s="17">
        <v>0</v>
      </c>
      <c r="I250" s="17">
        <v>0</v>
      </c>
      <c r="J250" s="17">
        <v>26.739503445986799</v>
      </c>
      <c r="K250" s="17">
        <v>25.045962803219901</v>
      </c>
      <c r="L250" s="17">
        <v>25.228082931684199</v>
      </c>
      <c r="M250" s="17">
        <v>23.6549005749287</v>
      </c>
      <c r="N250" s="17">
        <v>23.333722279196</v>
      </c>
      <c r="O250" s="17">
        <v>26.506632466602898</v>
      </c>
      <c r="P250" s="17">
        <v>25.2966247869503</v>
      </c>
      <c r="Q250" s="17">
        <v>24.991994319100801</v>
      </c>
      <c r="R250" s="17">
        <v>25.776762520227599</v>
      </c>
      <c r="S250" s="17">
        <v>26.038665326434302</v>
      </c>
      <c r="T250" s="17">
        <v>25.5198324198747</v>
      </c>
      <c r="U250" s="17">
        <v>24.848527576474702</v>
      </c>
      <c r="V250" s="17">
        <v>25.594611051180099</v>
      </c>
      <c r="W250" s="17">
        <v>24.8902001051528</v>
      </c>
      <c r="X250" s="17">
        <v>24.6538085335993</v>
      </c>
      <c r="Y250" s="17">
        <v>24.5665459033542</v>
      </c>
      <c r="Z250" s="17">
        <v>25.7244237464304</v>
      </c>
      <c r="AA250" s="17">
        <v>26.6066298204526</v>
      </c>
      <c r="AB250" s="17">
        <v>26.6111115238376</v>
      </c>
      <c r="AC250" s="17">
        <v>26.355633537168899</v>
      </c>
      <c r="AD250" s="17">
        <v>25.965349255673999</v>
      </c>
      <c r="AE250" s="17">
        <v>26.255552608431</v>
      </c>
      <c r="AF250" s="17">
        <v>26.0544818740448</v>
      </c>
      <c r="AG250" s="17">
        <v>26.082134715210699</v>
      </c>
      <c r="AH250" s="17">
        <v>25.632376453830201</v>
      </c>
      <c r="AI250" s="17">
        <v>25.326231191130201</v>
      </c>
      <c r="AJ250" s="17">
        <v>25.2259726657547</v>
      </c>
      <c r="AK250" s="17">
        <v>24.955137793361001</v>
      </c>
      <c r="AL250" s="17">
        <v>24.841267008053801</v>
      </c>
      <c r="AM250" s="17">
        <v>25.178543916645001</v>
      </c>
      <c r="AN250" s="17">
        <v>25.447686397550601</v>
      </c>
      <c r="AO250" s="17"/>
      <c r="AP250" s="17"/>
      <c r="AQ250" s="17"/>
      <c r="AR250" s="17"/>
      <c r="AS250" s="17"/>
      <c r="AT250" s="17"/>
      <c r="AU250" s="17"/>
      <c r="AV250" s="17"/>
      <c r="AW250" s="17"/>
      <c r="AX250" s="17"/>
      <c r="AY250" s="17"/>
      <c r="AZ250" s="17"/>
      <c r="BA250" s="17"/>
      <c r="BB250" s="17"/>
      <c r="BC250" s="17"/>
      <c r="BD250" s="17"/>
      <c r="BE250" s="17"/>
      <c r="BF250" s="17"/>
      <c r="BG250" s="17"/>
      <c r="BH250" s="17"/>
      <c r="BI250" s="17"/>
      <c r="BJ250" s="17"/>
      <c r="BK250" s="17"/>
      <c r="BL250" s="17"/>
      <c r="BM250" s="17"/>
      <c r="BN250" s="17"/>
      <c r="BO250" s="17"/>
      <c r="BP250" s="17"/>
      <c r="BQ250" s="17"/>
      <c r="BR250" s="17"/>
      <c r="BS250" s="17"/>
      <c r="BT250" s="17"/>
      <c r="BU250" s="17"/>
      <c r="BV250" s="17"/>
      <c r="BW250" s="17"/>
      <c r="BX250" s="17"/>
      <c r="BY250" s="17"/>
      <c r="BZ250" s="17"/>
      <c r="CA250" s="17"/>
      <c r="CB250" s="17"/>
      <c r="CC250" s="17"/>
      <c r="CD250" s="17"/>
      <c r="CE250" s="17"/>
      <c r="CF250" s="17"/>
      <c r="CG250" s="17"/>
      <c r="CH250" s="17"/>
      <c r="CI250" s="17"/>
      <c r="CJ250" s="17"/>
      <c r="CK250" s="17"/>
      <c r="CL250" s="17"/>
      <c r="CM250" s="17"/>
      <c r="CN250" s="17"/>
      <c r="CO250" s="17"/>
      <c r="CP250" s="17"/>
      <c r="CQ250" s="17"/>
      <c r="CR250" s="17"/>
      <c r="CS250" s="17"/>
      <c r="CT250" s="17"/>
      <c r="CU250" s="17"/>
      <c r="CV250" s="17"/>
    </row>
    <row r="251" spans="2:100" x14ac:dyDescent="0.35">
      <c r="B251" s="9"/>
      <c r="D251" t="s">
        <v>351</v>
      </c>
      <c r="E251" t="s">
        <v>219</v>
      </c>
      <c r="F251" s="17">
        <v>0</v>
      </c>
      <c r="G251" s="17">
        <v>0</v>
      </c>
      <c r="H251" s="17">
        <v>0</v>
      </c>
      <c r="I251" s="17">
        <v>0</v>
      </c>
      <c r="J251" s="17">
        <v>-21.519729328668301</v>
      </c>
      <c r="K251" s="17">
        <v>-20.468524383644599</v>
      </c>
      <c r="L251" s="17">
        <v>-19.900925529762599</v>
      </c>
      <c r="M251" s="17">
        <v>-18.5112736277115</v>
      </c>
      <c r="N251" s="17">
        <v>-17.956461731739299</v>
      </c>
      <c r="O251" s="17">
        <v>-17.287622347544101</v>
      </c>
      <c r="P251" s="17">
        <v>-16.594880545295599</v>
      </c>
      <c r="Q251" s="17">
        <v>-17.082404209326199</v>
      </c>
      <c r="R251" s="17">
        <v>-16.294021394280499</v>
      </c>
      <c r="S251" s="17">
        <v>-16.3174119161432</v>
      </c>
      <c r="T251" s="17">
        <v>-15.493541114153601</v>
      </c>
      <c r="U251" s="17">
        <v>-15.3833789645146</v>
      </c>
      <c r="V251" s="17">
        <v>-15.8932380174431</v>
      </c>
      <c r="W251" s="17">
        <v>-14.970404100846601</v>
      </c>
      <c r="X251" s="17">
        <v>-15.3866383851583</v>
      </c>
      <c r="Y251" s="17">
        <v>-15.2954686288852</v>
      </c>
      <c r="Z251" s="17">
        <v>-14.910533140241499</v>
      </c>
      <c r="AA251" s="17">
        <v>-20.624224400545501</v>
      </c>
      <c r="AB251" s="17">
        <v>-21.420306552175699</v>
      </c>
      <c r="AC251" s="17">
        <v>-20.724733650586</v>
      </c>
      <c r="AD251" s="17">
        <v>-20.467730422205801</v>
      </c>
      <c r="AE251" s="17">
        <v>-20.758821758150901</v>
      </c>
      <c r="AF251" s="17">
        <v>-20.8321273820501</v>
      </c>
      <c r="AG251" s="17">
        <v>-19.688645313483399</v>
      </c>
      <c r="AH251" s="17">
        <v>-19.481807911804701</v>
      </c>
      <c r="AI251" s="17">
        <v>-19.370642863506099</v>
      </c>
      <c r="AJ251" s="17">
        <v>-19.323370817312</v>
      </c>
      <c r="AK251" s="17">
        <v>-18.437508341926701</v>
      </c>
      <c r="AL251" s="17">
        <v>-17.452045493411202</v>
      </c>
      <c r="AM251" s="17">
        <v>-16.7494105137602</v>
      </c>
      <c r="AN251" s="17">
        <v>-16.668760746551801</v>
      </c>
      <c r="AO251" s="17"/>
      <c r="AP251" s="17"/>
      <c r="AQ251" s="17"/>
      <c r="AR251" s="17"/>
      <c r="AS251" s="17"/>
      <c r="AT251" s="17"/>
      <c r="AU251" s="17"/>
      <c r="AV251" s="17"/>
      <c r="AW251" s="17"/>
      <c r="AX251" s="17"/>
      <c r="AY251" s="17"/>
      <c r="AZ251" s="17"/>
      <c r="BA251" s="17"/>
      <c r="BB251" s="17"/>
      <c r="BC251" s="17"/>
      <c r="BD251" s="17"/>
      <c r="BE251" s="17"/>
      <c r="BF251" s="17"/>
      <c r="BG251" s="17"/>
      <c r="BH251" s="17"/>
      <c r="BI251" s="17"/>
      <c r="BJ251" s="17"/>
      <c r="BK251" s="17"/>
      <c r="BL251" s="17"/>
      <c r="BM251" s="17"/>
      <c r="BN251" s="17"/>
      <c r="BO251" s="17"/>
      <c r="BP251" s="17"/>
      <c r="BQ251" s="17"/>
      <c r="BR251" s="17"/>
      <c r="BS251" s="17"/>
      <c r="BT251" s="17"/>
      <c r="BU251" s="17"/>
      <c r="BV251" s="17"/>
      <c r="BW251" s="17"/>
      <c r="BX251" s="17"/>
      <c r="BY251" s="17"/>
      <c r="BZ251" s="17"/>
      <c r="CA251" s="17"/>
      <c r="CB251" s="17"/>
      <c r="CC251" s="17"/>
      <c r="CD251" s="17"/>
      <c r="CE251" s="17"/>
      <c r="CF251" s="17"/>
      <c r="CG251" s="17"/>
      <c r="CH251" s="17"/>
      <c r="CI251" s="17"/>
      <c r="CJ251" s="17"/>
      <c r="CK251" s="17"/>
      <c r="CL251" s="17"/>
      <c r="CM251" s="17"/>
      <c r="CN251" s="17"/>
      <c r="CO251" s="17"/>
      <c r="CP251" s="17"/>
      <c r="CQ251" s="17"/>
      <c r="CR251" s="17"/>
      <c r="CS251" s="17"/>
      <c r="CT251" s="17"/>
      <c r="CU251" s="17"/>
      <c r="CV251" s="17"/>
    </row>
    <row r="252" spans="2:100" x14ac:dyDescent="0.35">
      <c r="B252" s="9"/>
      <c r="C252" t="s">
        <v>230</v>
      </c>
      <c r="D252" t="s">
        <v>352</v>
      </c>
      <c r="E252" t="s">
        <v>219</v>
      </c>
      <c r="F252" s="17">
        <v>0</v>
      </c>
      <c r="G252" s="17">
        <v>0</v>
      </c>
      <c r="H252" s="17">
        <v>0</v>
      </c>
      <c r="I252" s="17">
        <v>0</v>
      </c>
      <c r="J252" s="17">
        <v>79.380515379848404</v>
      </c>
      <c r="K252" s="17">
        <v>75.625850841853904</v>
      </c>
      <c r="L252" s="17">
        <v>82.040254859377995</v>
      </c>
      <c r="M252" s="17">
        <v>71.510518873405402</v>
      </c>
      <c r="N252" s="17">
        <v>67.392554295975501</v>
      </c>
      <c r="O252" s="17">
        <v>67.855830795538395</v>
      </c>
      <c r="P252" s="17">
        <v>61.406920796007803</v>
      </c>
      <c r="Q252" s="17">
        <v>59.799190669801803</v>
      </c>
      <c r="R252" s="17">
        <v>57.014381369932899</v>
      </c>
      <c r="S252" s="17">
        <v>57.456262698091301</v>
      </c>
      <c r="T252" s="17">
        <v>58.074288550200698</v>
      </c>
      <c r="U252" s="17">
        <v>56.600936397518197</v>
      </c>
      <c r="V252" s="17">
        <v>55.482088027277698</v>
      </c>
      <c r="W252" s="17">
        <v>52.832523790398497</v>
      </c>
      <c r="X252" s="17">
        <v>51.287255446334903</v>
      </c>
      <c r="Y252" s="17">
        <v>50.493638753909501</v>
      </c>
      <c r="Z252" s="17">
        <v>52.198911221621401</v>
      </c>
      <c r="AA252" s="17">
        <v>69.041371926641503</v>
      </c>
      <c r="AB252" s="17">
        <v>69.067029417349204</v>
      </c>
      <c r="AC252" s="17">
        <v>66.682616960459399</v>
      </c>
      <c r="AD252" s="17">
        <v>65.901129073698399</v>
      </c>
      <c r="AE252" s="17">
        <v>64.393709707173102</v>
      </c>
      <c r="AF252" s="17">
        <v>63.424376812099297</v>
      </c>
      <c r="AG252" s="17">
        <v>62.727780118127903</v>
      </c>
      <c r="AH252" s="17">
        <v>60.645877416296997</v>
      </c>
      <c r="AI252" s="17">
        <v>60.129583096969498</v>
      </c>
      <c r="AJ252" s="17">
        <v>60.314889518050201</v>
      </c>
      <c r="AK252" s="17">
        <v>57.307844143333497</v>
      </c>
      <c r="AL252" s="17">
        <v>57.5870573982791</v>
      </c>
      <c r="AM252" s="17">
        <v>57.420315049261802</v>
      </c>
      <c r="AN252" s="17">
        <v>55.566206152350503</v>
      </c>
      <c r="AO252" s="17"/>
      <c r="AP252" s="17"/>
      <c r="AQ252" s="17"/>
      <c r="AR252" s="17"/>
      <c r="AS252" s="17"/>
      <c r="AT252" s="17"/>
      <c r="AU252" s="17"/>
      <c r="AV252" s="17"/>
      <c r="AW252" s="17"/>
      <c r="AX252" s="17"/>
      <c r="AY252" s="17"/>
      <c r="AZ252" s="17"/>
      <c r="BA252" s="17"/>
      <c r="BB252" s="17"/>
      <c r="BC252" s="17"/>
      <c r="BD252" s="17"/>
      <c r="BE252" s="17"/>
      <c r="BF252" s="17"/>
      <c r="BG252" s="17"/>
      <c r="BH252" s="17"/>
      <c r="BI252" s="17"/>
      <c r="BJ252" s="17"/>
      <c r="BK252" s="17"/>
      <c r="BL252" s="17"/>
      <c r="BM252" s="17"/>
      <c r="BN252" s="17"/>
      <c r="BO252" s="17"/>
      <c r="BP252" s="17"/>
      <c r="BQ252" s="17"/>
      <c r="BR252" s="17"/>
      <c r="BS252" s="17"/>
      <c r="BT252" s="17"/>
      <c r="BU252" s="17"/>
      <c r="BV252" s="17"/>
      <c r="BW252" s="17"/>
      <c r="BX252" s="17"/>
      <c r="BY252" s="17"/>
      <c r="BZ252" s="17"/>
      <c r="CA252" s="17"/>
      <c r="CB252" s="17"/>
      <c r="CC252" s="17"/>
      <c r="CD252" s="17"/>
      <c r="CE252" s="17"/>
      <c r="CF252" s="17"/>
      <c r="CG252" s="17"/>
      <c r="CH252" s="17"/>
      <c r="CI252" s="17"/>
      <c r="CJ252" s="17"/>
      <c r="CK252" s="17"/>
      <c r="CL252" s="17"/>
      <c r="CM252" s="17"/>
      <c r="CN252" s="17"/>
      <c r="CO252" s="17"/>
      <c r="CP252" s="17"/>
      <c r="CQ252" s="17"/>
      <c r="CR252" s="17"/>
      <c r="CS252" s="17"/>
      <c r="CT252" s="17"/>
      <c r="CU252" s="17"/>
      <c r="CV252" s="17"/>
    </row>
    <row r="253" spans="2:100" x14ac:dyDescent="0.35">
      <c r="B253" s="9"/>
      <c r="C253" t="s">
        <v>230</v>
      </c>
      <c r="D253" t="s">
        <v>354</v>
      </c>
      <c r="E253" t="s">
        <v>124</v>
      </c>
      <c r="F253" s="17">
        <v>0</v>
      </c>
      <c r="G253" s="17">
        <v>0</v>
      </c>
      <c r="H253" s="17">
        <v>0</v>
      </c>
      <c r="I253" s="17">
        <v>0</v>
      </c>
      <c r="J253" s="17">
        <v>1</v>
      </c>
      <c r="K253" s="17">
        <v>1</v>
      </c>
      <c r="L253" s="17">
        <v>1</v>
      </c>
      <c r="M253" s="17">
        <v>1</v>
      </c>
      <c r="N253" s="17">
        <v>1</v>
      </c>
      <c r="O253" s="17">
        <v>1</v>
      </c>
      <c r="P253" s="17">
        <v>1</v>
      </c>
      <c r="Q253" s="17">
        <v>1</v>
      </c>
      <c r="R253" s="17">
        <v>1</v>
      </c>
      <c r="S253" s="17">
        <v>1</v>
      </c>
      <c r="T253" s="17">
        <v>1</v>
      </c>
      <c r="U253" s="17">
        <v>1</v>
      </c>
      <c r="V253" s="17">
        <v>1</v>
      </c>
      <c r="W253" s="17">
        <v>1</v>
      </c>
      <c r="X253" s="17">
        <v>1</v>
      </c>
      <c r="Y253" s="17">
        <v>1</v>
      </c>
      <c r="Z253" s="17">
        <v>1</v>
      </c>
      <c r="AA253" s="17">
        <v>1</v>
      </c>
      <c r="AB253" s="17">
        <v>1</v>
      </c>
      <c r="AC253" s="17">
        <v>1</v>
      </c>
      <c r="AD253" s="17">
        <v>1</v>
      </c>
      <c r="AE253" s="17">
        <v>1</v>
      </c>
      <c r="AF253" s="17">
        <v>1</v>
      </c>
      <c r="AG253" s="17">
        <v>1</v>
      </c>
      <c r="AH253" s="17">
        <v>1</v>
      </c>
      <c r="AI253" s="17">
        <v>1</v>
      </c>
      <c r="AJ253" s="17">
        <v>1</v>
      </c>
      <c r="AK253" s="17">
        <v>1</v>
      </c>
      <c r="AL253" s="17">
        <v>1</v>
      </c>
      <c r="AM253" s="17">
        <v>1</v>
      </c>
      <c r="AN253" s="17">
        <v>1</v>
      </c>
      <c r="AO253" s="17"/>
      <c r="AP253" s="17"/>
      <c r="AQ253" s="17"/>
      <c r="AR253" s="17"/>
      <c r="AS253" s="17"/>
      <c r="AT253" s="17"/>
      <c r="AU253" s="17"/>
      <c r="AV253" s="17"/>
      <c r="AW253" s="17"/>
      <c r="AX253" s="17"/>
      <c r="AY253" s="17"/>
      <c r="AZ253" s="17"/>
      <c r="BA253" s="17"/>
      <c r="BB253" s="17"/>
      <c r="BC253" s="17"/>
      <c r="BD253" s="17"/>
      <c r="BE253" s="17"/>
      <c r="BF253" s="17"/>
      <c r="BG253" s="17"/>
      <c r="BH253" s="17"/>
      <c r="BI253" s="17"/>
      <c r="BJ253" s="17"/>
      <c r="BK253" s="17"/>
      <c r="BL253" s="17"/>
      <c r="BM253" s="17"/>
      <c r="BN253" s="17"/>
      <c r="BO253" s="17"/>
      <c r="BP253" s="17"/>
      <c r="BQ253" s="17"/>
      <c r="BR253" s="17"/>
      <c r="BS253" s="17"/>
      <c r="BT253" s="17"/>
      <c r="BU253" s="17"/>
      <c r="BV253" s="17"/>
      <c r="BW253" s="17"/>
      <c r="BX253" s="17"/>
      <c r="BY253" s="17"/>
      <c r="BZ253" s="17"/>
      <c r="CA253" s="17"/>
      <c r="CB253" s="17"/>
      <c r="CC253" s="17"/>
      <c r="CD253" s="17"/>
      <c r="CE253" s="17"/>
      <c r="CF253" s="17"/>
      <c r="CG253" s="17"/>
      <c r="CH253" s="17"/>
      <c r="CI253" s="17"/>
      <c r="CJ253" s="17"/>
      <c r="CK253" s="17"/>
      <c r="CL253" s="17"/>
      <c r="CM253" s="17"/>
      <c r="CN253" s="17"/>
      <c r="CO253" s="17"/>
      <c r="CP253" s="17"/>
      <c r="CQ253" s="17"/>
      <c r="CR253" s="17"/>
      <c r="CS253" s="17"/>
      <c r="CT253" s="17"/>
      <c r="CU253" s="17"/>
      <c r="CV253" s="17"/>
    </row>
    <row r="254" spans="2:100" x14ac:dyDescent="0.35">
      <c r="B254" s="9"/>
      <c r="C254" t="s">
        <v>338</v>
      </c>
      <c r="D254" t="s">
        <v>353</v>
      </c>
      <c r="E254" t="s">
        <v>221</v>
      </c>
      <c r="F254" s="17">
        <v>0</v>
      </c>
      <c r="G254" s="17">
        <v>0</v>
      </c>
      <c r="H254" s="17">
        <v>0</v>
      </c>
      <c r="I254" s="17">
        <v>0</v>
      </c>
      <c r="J254" s="17">
        <v>0</v>
      </c>
      <c r="K254" s="17">
        <v>0</v>
      </c>
      <c r="L254" s="17">
        <v>0</v>
      </c>
      <c r="M254" s="17">
        <v>0</v>
      </c>
      <c r="N254" s="17">
        <v>0</v>
      </c>
      <c r="O254" s="17">
        <v>0</v>
      </c>
      <c r="P254" s="17">
        <v>0</v>
      </c>
      <c r="Q254" s="17">
        <v>0</v>
      </c>
      <c r="R254" s="17">
        <v>0</v>
      </c>
      <c r="S254" s="17">
        <v>0</v>
      </c>
      <c r="T254" s="17">
        <v>0</v>
      </c>
      <c r="U254" s="17">
        <v>0</v>
      </c>
      <c r="V254" s="17">
        <v>0</v>
      </c>
      <c r="W254" s="17">
        <v>0</v>
      </c>
      <c r="X254" s="17">
        <v>0</v>
      </c>
      <c r="Y254" s="17">
        <v>0</v>
      </c>
      <c r="Z254" s="17">
        <v>0</v>
      </c>
      <c r="AA254" s="17">
        <v>0</v>
      </c>
      <c r="AB254" s="17">
        <v>0</v>
      </c>
      <c r="AC254" s="17">
        <v>0</v>
      </c>
      <c r="AD254" s="17">
        <v>0</v>
      </c>
      <c r="AE254" s="17">
        <v>0</v>
      </c>
      <c r="AF254" s="17">
        <v>0</v>
      </c>
      <c r="AG254" s="17">
        <v>0</v>
      </c>
      <c r="AH254" s="17">
        <v>0</v>
      </c>
      <c r="AI254" s="17">
        <v>0</v>
      </c>
      <c r="AJ254" s="17">
        <v>0</v>
      </c>
      <c r="AK254" s="17">
        <v>0</v>
      </c>
      <c r="AL254" s="17">
        <v>0</v>
      </c>
      <c r="AM254" s="17">
        <v>0</v>
      </c>
      <c r="AN254" s="17">
        <v>0</v>
      </c>
      <c r="AO254" s="17"/>
      <c r="AP254" s="17"/>
      <c r="AQ254" s="17"/>
      <c r="AR254" s="17"/>
      <c r="AS254" s="17"/>
      <c r="AT254" s="17"/>
      <c r="AU254" s="17"/>
      <c r="AV254" s="17"/>
      <c r="AW254" s="17"/>
      <c r="AX254" s="17"/>
      <c r="AY254" s="17"/>
      <c r="AZ254" s="17"/>
      <c r="BA254" s="17"/>
      <c r="BB254" s="17"/>
      <c r="BC254" s="17"/>
      <c r="BD254" s="17"/>
      <c r="BE254" s="17"/>
      <c r="BF254" s="17"/>
      <c r="BG254" s="17"/>
      <c r="BH254" s="17"/>
      <c r="BI254" s="17"/>
      <c r="BJ254" s="17"/>
      <c r="BK254" s="17"/>
      <c r="BL254" s="17"/>
      <c r="BM254" s="17"/>
      <c r="BN254" s="17"/>
      <c r="BO254" s="17"/>
      <c r="BP254" s="17"/>
      <c r="BQ254" s="17"/>
      <c r="BR254" s="17"/>
      <c r="BS254" s="17"/>
      <c r="BT254" s="17"/>
      <c r="BU254" s="17"/>
      <c r="BV254" s="17"/>
      <c r="BW254" s="17"/>
      <c r="BX254" s="17"/>
      <c r="BY254" s="17"/>
      <c r="BZ254" s="17"/>
      <c r="CA254" s="17"/>
      <c r="CB254" s="17"/>
      <c r="CC254" s="17"/>
      <c r="CD254" s="17"/>
      <c r="CE254" s="17"/>
      <c r="CF254" s="17"/>
      <c r="CG254" s="17"/>
      <c r="CH254" s="17"/>
      <c r="CI254" s="17"/>
      <c r="CJ254" s="17"/>
      <c r="CK254" s="17"/>
      <c r="CL254" s="17"/>
      <c r="CM254" s="17"/>
      <c r="CN254" s="17"/>
      <c r="CO254" s="17"/>
      <c r="CP254" s="17"/>
      <c r="CQ254" s="17"/>
      <c r="CR254" s="17"/>
      <c r="CS254" s="17"/>
      <c r="CT254" s="17"/>
      <c r="CU254" s="17"/>
      <c r="CV254" s="17"/>
    </row>
    <row r="255" spans="2:100" x14ac:dyDescent="0.35">
      <c r="B255" s="9"/>
      <c r="C255" t="s">
        <v>230</v>
      </c>
      <c r="D255" t="s">
        <v>358</v>
      </c>
      <c r="E255" t="s">
        <v>221</v>
      </c>
      <c r="F255" s="17">
        <v>0</v>
      </c>
      <c r="G255" s="17">
        <v>0</v>
      </c>
      <c r="H255" s="17">
        <v>0</v>
      </c>
      <c r="I255" s="17">
        <v>0</v>
      </c>
      <c r="J255" s="17">
        <v>12.78201</v>
      </c>
      <c r="K255" s="17">
        <v>13.036619999999999</v>
      </c>
      <c r="L255" s="17">
        <v>10.567780000000001</v>
      </c>
      <c r="M255" s="17">
        <v>19.377120000000001</v>
      </c>
      <c r="N255" s="17">
        <v>22.740839999999999</v>
      </c>
      <c r="O255" s="17">
        <v>23.95337</v>
      </c>
      <c r="P255" s="17">
        <v>24.59</v>
      </c>
      <c r="Q255" s="17">
        <v>18.887699999999999</v>
      </c>
      <c r="R255" s="17">
        <v>18.30986</v>
      </c>
      <c r="S255" s="17">
        <v>19.240179999999999</v>
      </c>
      <c r="T255" s="17">
        <v>15.62609</v>
      </c>
      <c r="U255" s="17">
        <v>16.97702</v>
      </c>
      <c r="V255" s="17">
        <v>14.97845</v>
      </c>
      <c r="W255" s="17">
        <v>12.514950000000001</v>
      </c>
      <c r="X255" s="17">
        <v>10.334849999999999</v>
      </c>
      <c r="Y255" s="17">
        <v>12.73039</v>
      </c>
      <c r="Z255" s="17">
        <v>12.44375</v>
      </c>
      <c r="AA255" s="17">
        <v>22.46875</v>
      </c>
      <c r="AB255" s="17">
        <v>16.00554</v>
      </c>
      <c r="AC255" s="17">
        <v>14.760999999999999</v>
      </c>
      <c r="AD255" s="17">
        <v>14.346170000000001</v>
      </c>
      <c r="AE255" s="17">
        <v>13.40502</v>
      </c>
      <c r="AF255" s="17">
        <v>14.85858</v>
      </c>
      <c r="AG255" s="17">
        <v>15.24919</v>
      </c>
      <c r="AH255" s="17">
        <v>14.37621</v>
      </c>
      <c r="AI255" s="17">
        <v>13.891019999999999</v>
      </c>
      <c r="AJ255" s="17">
        <v>13.56559</v>
      </c>
      <c r="AK255" s="17">
        <v>13.40954</v>
      </c>
      <c r="AL255" s="17">
        <v>13.383010000000001</v>
      </c>
      <c r="AM255" s="17">
        <v>13.82095</v>
      </c>
      <c r="AN255" s="17">
        <v>16.13758</v>
      </c>
      <c r="AO255" s="17"/>
      <c r="AP255" s="17"/>
      <c r="AQ255" s="17"/>
      <c r="AR255" s="17"/>
      <c r="AS255" s="17"/>
      <c r="AT255" s="17"/>
      <c r="AU255" s="17"/>
      <c r="AV255" s="17"/>
      <c r="AW255" s="17"/>
      <c r="AX255" s="17"/>
      <c r="AY255" s="17"/>
      <c r="AZ255" s="17"/>
      <c r="BA255" s="17"/>
      <c r="BB255" s="17"/>
      <c r="BC255" s="17"/>
      <c r="BD255" s="17"/>
      <c r="BE255" s="17"/>
      <c r="BF255" s="17"/>
      <c r="BG255" s="17"/>
      <c r="BH255" s="17"/>
      <c r="BI255" s="17"/>
      <c r="BJ255" s="17"/>
      <c r="BK255" s="17"/>
      <c r="BL255" s="17"/>
      <c r="BM255" s="17"/>
      <c r="BN255" s="17"/>
      <c r="BO255" s="17"/>
      <c r="BP255" s="17"/>
      <c r="BQ255" s="17"/>
      <c r="BR255" s="17"/>
      <c r="BS255" s="17"/>
      <c r="BT255" s="17"/>
      <c r="BU255" s="17"/>
      <c r="BV255" s="17"/>
      <c r="BW255" s="17"/>
      <c r="BX255" s="17"/>
      <c r="BY255" s="17"/>
      <c r="BZ255" s="17"/>
      <c r="CA255" s="17"/>
      <c r="CB255" s="17"/>
      <c r="CC255" s="17"/>
      <c r="CD255" s="17"/>
      <c r="CE255" s="17"/>
      <c r="CF255" s="17"/>
      <c r="CG255" s="17"/>
      <c r="CH255" s="17"/>
      <c r="CI255" s="17"/>
      <c r="CJ255" s="17"/>
      <c r="CK255" s="17"/>
      <c r="CL255" s="17"/>
      <c r="CM255" s="17"/>
      <c r="CN255" s="17"/>
      <c r="CO255" s="17"/>
      <c r="CP255" s="17"/>
      <c r="CQ255" s="17"/>
      <c r="CR255" s="17"/>
      <c r="CS255" s="17"/>
      <c r="CT255" s="17"/>
      <c r="CU255" s="17"/>
      <c r="CV255" s="17"/>
    </row>
    <row r="256" spans="2:100" x14ac:dyDescent="0.35">
      <c r="B256" s="9"/>
      <c r="C256" t="s">
        <v>230</v>
      </c>
      <c r="D256" t="s">
        <v>359</v>
      </c>
      <c r="E256" t="s">
        <v>221</v>
      </c>
      <c r="F256" s="17">
        <v>0</v>
      </c>
      <c r="G256" s="17">
        <v>0</v>
      </c>
      <c r="H256" s="17">
        <v>0</v>
      </c>
      <c r="I256" s="17">
        <v>0</v>
      </c>
      <c r="J256" s="17">
        <v>1151.62015</v>
      </c>
      <c r="K256" s="17">
        <v>1169.1319699999999</v>
      </c>
      <c r="L256" s="17">
        <v>1194.43211</v>
      </c>
      <c r="M256" s="17">
        <v>1169.8067599999999</v>
      </c>
      <c r="N256" s="17">
        <v>1178.38951</v>
      </c>
      <c r="O256" s="17">
        <v>1178.5121999999999</v>
      </c>
      <c r="P256" s="17">
        <v>1181.4360799999999</v>
      </c>
      <c r="Q256" s="17">
        <v>1231.0477900000001</v>
      </c>
      <c r="R256" s="17">
        <v>1223.74389</v>
      </c>
      <c r="S256" s="17">
        <v>1244.45668</v>
      </c>
      <c r="T256" s="17">
        <v>1252.7683400000001</v>
      </c>
      <c r="U256" s="17">
        <v>1264.4694099999999</v>
      </c>
      <c r="V256" s="17">
        <v>1298.9671499999999</v>
      </c>
      <c r="W256" s="17">
        <v>1294.92842</v>
      </c>
      <c r="X256" s="17">
        <v>1318.80745</v>
      </c>
      <c r="Y256" s="17">
        <v>1340.3943099999999</v>
      </c>
      <c r="Z256" s="17">
        <v>1337.64255</v>
      </c>
      <c r="AA256" s="17">
        <v>1110.1842099999999</v>
      </c>
      <c r="AB256" s="17">
        <v>1190.3795500000001</v>
      </c>
      <c r="AC256" s="17">
        <v>1207.0105000000001</v>
      </c>
      <c r="AD256" s="17">
        <v>1229.68318</v>
      </c>
      <c r="AE256" s="17">
        <v>1257.5196599999999</v>
      </c>
      <c r="AF256" s="17">
        <v>1285.4595400000001</v>
      </c>
      <c r="AG256" s="17">
        <v>1284.4809600000001</v>
      </c>
      <c r="AH256" s="17">
        <v>1297.6197400000001</v>
      </c>
      <c r="AI256" s="17">
        <v>1313.07116</v>
      </c>
      <c r="AJ256" s="17">
        <v>1329.3764000000001</v>
      </c>
      <c r="AK256" s="17">
        <v>1334.1604299999999</v>
      </c>
      <c r="AL256" s="17">
        <v>1323.86475</v>
      </c>
      <c r="AM256" s="17">
        <v>1317.6243400000001</v>
      </c>
      <c r="AN256" s="17">
        <v>1329.0085799999999</v>
      </c>
      <c r="AO256" s="17"/>
      <c r="AP256" s="17"/>
      <c r="AQ256" s="17"/>
      <c r="AR256" s="17"/>
      <c r="AS256" s="17"/>
      <c r="AT256" s="17"/>
      <c r="AU256" s="17"/>
      <c r="AV256" s="17"/>
      <c r="AW256" s="17"/>
      <c r="AX256" s="17"/>
      <c r="AY256" s="17"/>
      <c r="AZ256" s="17"/>
      <c r="BA256" s="17"/>
      <c r="BB256" s="17"/>
      <c r="BC256" s="17"/>
      <c r="BD256" s="17"/>
      <c r="BE256" s="17"/>
      <c r="BF256" s="17"/>
      <c r="BG256" s="17"/>
      <c r="BH256" s="17"/>
      <c r="BI256" s="17"/>
      <c r="BJ256" s="17"/>
      <c r="BK256" s="17"/>
      <c r="BL256" s="17"/>
      <c r="BM256" s="17"/>
      <c r="BN256" s="17"/>
      <c r="BO256" s="17"/>
      <c r="BP256" s="17"/>
      <c r="BQ256" s="17"/>
      <c r="BR256" s="17"/>
      <c r="BS256" s="17"/>
      <c r="BT256" s="17"/>
      <c r="BU256" s="17"/>
      <c r="BV256" s="17"/>
      <c r="BW256" s="17"/>
      <c r="BX256" s="17"/>
      <c r="BY256" s="17"/>
      <c r="BZ256" s="17"/>
      <c r="CA256" s="17"/>
      <c r="CB256" s="17"/>
      <c r="CC256" s="17"/>
      <c r="CD256" s="17"/>
      <c r="CE256" s="17"/>
      <c r="CF256" s="17"/>
      <c r="CG256" s="17"/>
      <c r="CH256" s="17"/>
      <c r="CI256" s="17"/>
      <c r="CJ256" s="17"/>
      <c r="CK256" s="17"/>
      <c r="CL256" s="17"/>
      <c r="CM256" s="17"/>
      <c r="CN256" s="17"/>
      <c r="CO256" s="17"/>
      <c r="CP256" s="17"/>
      <c r="CQ256" s="17"/>
      <c r="CR256" s="17"/>
      <c r="CS256" s="17"/>
      <c r="CT256" s="17"/>
      <c r="CU256" s="17"/>
      <c r="CV256" s="17"/>
    </row>
    <row r="257" spans="1:100" x14ac:dyDescent="0.35">
      <c r="B257" s="9"/>
      <c r="C257" t="s">
        <v>230</v>
      </c>
      <c r="D257" t="s">
        <v>360</v>
      </c>
      <c r="E257" t="s">
        <v>221</v>
      </c>
      <c r="F257" s="17">
        <v>0</v>
      </c>
      <c r="G257" s="17">
        <v>0</v>
      </c>
      <c r="H257" s="17">
        <v>0</v>
      </c>
      <c r="I257" s="17">
        <v>0</v>
      </c>
      <c r="J257" s="17">
        <v>662.68589999999995</v>
      </c>
      <c r="K257" s="17">
        <v>644.37784999999997</v>
      </c>
      <c r="L257" s="17">
        <v>621.50058000000001</v>
      </c>
      <c r="M257" s="17">
        <v>637.34172000000001</v>
      </c>
      <c r="N257" s="17">
        <v>625.13008000000002</v>
      </c>
      <c r="O257" s="17">
        <v>623.79115999999999</v>
      </c>
      <c r="P257" s="17">
        <v>620.87629000000004</v>
      </c>
      <c r="Q257" s="17">
        <v>574.69614999999999</v>
      </c>
      <c r="R257" s="17">
        <v>582.80380000000002</v>
      </c>
      <c r="S257" s="17">
        <v>560.52</v>
      </c>
      <c r="T257" s="17">
        <v>556.30178999999998</v>
      </c>
      <c r="U257" s="17">
        <v>542.15170000000001</v>
      </c>
      <c r="V257" s="17">
        <v>508.58562999999998</v>
      </c>
      <c r="W257" s="17">
        <v>515.21258999999998</v>
      </c>
      <c r="X257" s="17">
        <v>493.51136000000002</v>
      </c>
      <c r="Y257" s="17">
        <v>468.12527</v>
      </c>
      <c r="Z257" s="17">
        <v>471.24876999999998</v>
      </c>
      <c r="AA257" s="17">
        <v>695.71703000000002</v>
      </c>
      <c r="AB257" s="17">
        <v>620.24041</v>
      </c>
      <c r="AC257" s="17">
        <v>603.60355000000004</v>
      </c>
      <c r="AD257" s="17">
        <v>580.64432999999997</v>
      </c>
      <c r="AE257" s="17">
        <v>552.88843999999995</v>
      </c>
      <c r="AF257" s="17">
        <v>523.36739</v>
      </c>
      <c r="AG257" s="17">
        <v>523.24905000000001</v>
      </c>
      <c r="AH257" s="17">
        <v>510.57704999999999</v>
      </c>
      <c r="AI257" s="17">
        <v>495.13274000000001</v>
      </c>
      <c r="AJ257" s="17">
        <v>479.38508000000002</v>
      </c>
      <c r="AK257" s="17">
        <v>473.87254999999999</v>
      </c>
      <c r="AL257" s="17">
        <v>484.51348000000002</v>
      </c>
      <c r="AM257" s="17">
        <v>490.50907000000001</v>
      </c>
      <c r="AN257" s="17">
        <v>477.19206000000003</v>
      </c>
      <c r="AO257" s="17"/>
      <c r="AP257" s="17"/>
      <c r="AQ257" s="17"/>
      <c r="AR257" s="17"/>
      <c r="AS257" s="17"/>
      <c r="AT257" s="17"/>
      <c r="AU257" s="17"/>
      <c r="AV257" s="17"/>
      <c r="AW257" s="17"/>
      <c r="AX257" s="17"/>
      <c r="AY257" s="17"/>
      <c r="AZ257" s="17"/>
      <c r="BA257" s="17"/>
      <c r="BB257" s="17"/>
      <c r="BC257" s="17"/>
      <c r="BD257" s="17"/>
      <c r="BE257" s="17"/>
      <c r="BF257" s="17"/>
      <c r="BG257" s="17"/>
      <c r="BH257" s="17"/>
      <c r="BI257" s="17"/>
      <c r="BJ257" s="17"/>
      <c r="BK257" s="17"/>
      <c r="BL257" s="17"/>
      <c r="BM257" s="17"/>
      <c r="BN257" s="17"/>
      <c r="BO257" s="17"/>
      <c r="BP257" s="17"/>
      <c r="BQ257" s="17"/>
      <c r="BR257" s="17"/>
      <c r="BS257" s="17"/>
      <c r="BT257" s="17"/>
      <c r="BU257" s="17"/>
      <c r="BV257" s="17"/>
      <c r="BW257" s="17"/>
      <c r="BX257" s="17"/>
      <c r="BY257" s="17"/>
      <c r="BZ257" s="17"/>
      <c r="CA257" s="17"/>
      <c r="CB257" s="17"/>
      <c r="CC257" s="17"/>
      <c r="CD257" s="17"/>
      <c r="CE257" s="17"/>
      <c r="CF257" s="17"/>
      <c r="CG257" s="17"/>
      <c r="CH257" s="17"/>
      <c r="CI257" s="17"/>
      <c r="CJ257" s="17"/>
      <c r="CK257" s="17"/>
      <c r="CL257" s="17"/>
      <c r="CM257" s="17"/>
      <c r="CN257" s="17"/>
      <c r="CO257" s="17"/>
      <c r="CP257" s="17"/>
      <c r="CQ257" s="17"/>
      <c r="CR257" s="17"/>
      <c r="CS257" s="17"/>
      <c r="CT257" s="17"/>
      <c r="CU257" s="17"/>
      <c r="CV257" s="17"/>
    </row>
    <row r="258" spans="1:100" x14ac:dyDescent="0.35">
      <c r="B258" s="9"/>
      <c r="C258" t="s">
        <v>230</v>
      </c>
      <c r="D258" t="s">
        <v>361</v>
      </c>
      <c r="E258" t="s">
        <v>221</v>
      </c>
      <c r="F258" s="17">
        <v>0</v>
      </c>
      <c r="G258" s="17">
        <v>0</v>
      </c>
      <c r="H258" s="17">
        <v>0</v>
      </c>
      <c r="I258" s="17">
        <v>0</v>
      </c>
      <c r="J258" s="17">
        <v>1862.7052100000001</v>
      </c>
      <c r="K258" s="17">
        <v>1862.7052100000001</v>
      </c>
      <c r="L258" s="17">
        <v>1863.4413999999999</v>
      </c>
      <c r="M258" s="17">
        <v>1862.7052100000001</v>
      </c>
      <c r="N258" s="17">
        <v>1862.7052100000001</v>
      </c>
      <c r="O258" s="17">
        <v>1862.7052100000001</v>
      </c>
      <c r="P258" s="17">
        <v>1863.4413999999999</v>
      </c>
      <c r="Q258" s="17">
        <v>1862.7052100000001</v>
      </c>
      <c r="R258" s="17">
        <v>1862.7052100000001</v>
      </c>
      <c r="S258" s="17">
        <v>1862.7052100000001</v>
      </c>
      <c r="T258" s="17">
        <v>1863.4413999999999</v>
      </c>
      <c r="U258" s="17">
        <v>1862.7052100000001</v>
      </c>
      <c r="V258" s="17">
        <v>1862.7052100000001</v>
      </c>
      <c r="W258" s="17">
        <v>1862.7052100000001</v>
      </c>
      <c r="X258" s="17">
        <v>1863.4413999999999</v>
      </c>
      <c r="Y258" s="17">
        <v>1862.7052100000001</v>
      </c>
      <c r="Z258" s="17">
        <v>1862.7052100000001</v>
      </c>
      <c r="AA258" s="17">
        <v>1862.7052100000001</v>
      </c>
      <c r="AB258" s="17">
        <v>1863.4413999999999</v>
      </c>
      <c r="AC258" s="17">
        <v>1862.7052100000001</v>
      </c>
      <c r="AD258" s="17">
        <v>1862.7052100000001</v>
      </c>
      <c r="AE258" s="17">
        <v>1862.7052100000001</v>
      </c>
      <c r="AF258" s="17">
        <v>1863.4413999999999</v>
      </c>
      <c r="AG258" s="17">
        <v>1862.7052100000001</v>
      </c>
      <c r="AH258" s="17">
        <v>1862.7052100000001</v>
      </c>
      <c r="AI258" s="17">
        <v>1862.7052100000001</v>
      </c>
      <c r="AJ258" s="17">
        <v>1863.4413999999999</v>
      </c>
      <c r="AK258" s="17">
        <v>1862.7052100000001</v>
      </c>
      <c r="AL258" s="17">
        <v>1862.7052100000001</v>
      </c>
      <c r="AM258" s="17">
        <v>1862.7052100000001</v>
      </c>
      <c r="AN258" s="17">
        <v>1863.4413999999999</v>
      </c>
      <c r="AO258" s="17"/>
      <c r="AP258" s="17"/>
      <c r="AQ258" s="17"/>
      <c r="AR258" s="17"/>
      <c r="AS258" s="17"/>
      <c r="AT258" s="17"/>
      <c r="AU258" s="17"/>
      <c r="AV258" s="17"/>
      <c r="AW258" s="17"/>
      <c r="AX258" s="17"/>
      <c r="AY258" s="17"/>
      <c r="AZ258" s="17"/>
      <c r="BA258" s="17"/>
      <c r="BB258" s="17"/>
      <c r="BC258" s="17"/>
      <c r="BD258" s="17"/>
      <c r="BE258" s="17"/>
      <c r="BF258" s="17"/>
      <c r="BG258" s="17"/>
      <c r="BH258" s="17"/>
      <c r="BI258" s="17"/>
      <c r="BJ258" s="17"/>
      <c r="BK258" s="17"/>
      <c r="BL258" s="17"/>
      <c r="BM258" s="17"/>
      <c r="BN258" s="17"/>
      <c r="BO258" s="17"/>
      <c r="BP258" s="17"/>
      <c r="BQ258" s="17"/>
      <c r="BR258" s="17"/>
      <c r="BS258" s="17"/>
      <c r="BT258" s="17"/>
      <c r="BU258" s="17"/>
      <c r="BV258" s="17"/>
      <c r="BW258" s="17"/>
      <c r="BX258" s="17"/>
      <c r="BY258" s="17"/>
      <c r="BZ258" s="17"/>
      <c r="CA258" s="17"/>
      <c r="CB258" s="17"/>
      <c r="CC258" s="17"/>
      <c r="CD258" s="17"/>
      <c r="CE258" s="17"/>
      <c r="CF258" s="17"/>
      <c r="CG258" s="17"/>
      <c r="CH258" s="17"/>
      <c r="CI258" s="17"/>
      <c r="CJ258" s="17"/>
      <c r="CK258" s="17"/>
      <c r="CL258" s="17"/>
      <c r="CM258" s="17"/>
      <c r="CN258" s="17"/>
      <c r="CO258" s="17"/>
      <c r="CP258" s="17"/>
      <c r="CQ258" s="17"/>
      <c r="CR258" s="17"/>
      <c r="CS258" s="17"/>
      <c r="CT258" s="17"/>
      <c r="CU258" s="17"/>
      <c r="CV258" s="17"/>
    </row>
    <row r="259" spans="1:100" x14ac:dyDescent="0.35">
      <c r="B259" s="9"/>
      <c r="C259" t="s">
        <v>339</v>
      </c>
      <c r="D259" t="s">
        <v>222</v>
      </c>
      <c r="E259" t="s">
        <v>223</v>
      </c>
      <c r="F259" s="17">
        <v>0</v>
      </c>
      <c r="G259" s="17">
        <v>0</v>
      </c>
      <c r="H259" s="17">
        <v>0</v>
      </c>
      <c r="I259" s="17">
        <v>0</v>
      </c>
      <c r="J259" s="17">
        <v>71.3637300289694</v>
      </c>
      <c r="K259" s="17">
        <v>72.747416773368201</v>
      </c>
      <c r="L259" s="17">
        <v>68.075256664767196</v>
      </c>
      <c r="M259" s="17">
        <v>66.096548056263302</v>
      </c>
      <c r="N259" s="17">
        <v>60.396949611498698</v>
      </c>
      <c r="O259" s="17">
        <v>58.954394805154401</v>
      </c>
      <c r="P259" s="17">
        <v>57.789486224600097</v>
      </c>
      <c r="Q259" s="17">
        <v>64.9001004022372</v>
      </c>
      <c r="R259" s="17">
        <v>63.885208746179501</v>
      </c>
      <c r="S259" s="17">
        <v>63.702879680494398</v>
      </c>
      <c r="T259" s="17">
        <v>61.414233598734</v>
      </c>
      <c r="U259" s="17">
        <v>59.162882810877001</v>
      </c>
      <c r="V259" s="17">
        <v>61.721214610316899</v>
      </c>
      <c r="W259" s="17">
        <v>60.680926635077299</v>
      </c>
      <c r="X259" s="17">
        <v>61.151004041175597</v>
      </c>
      <c r="Y259" s="17">
        <v>64.647422174326493</v>
      </c>
      <c r="Z259" s="17">
        <v>64.673069218173197</v>
      </c>
      <c r="AA259" s="17">
        <v>53.353216238222799</v>
      </c>
      <c r="AB259" s="17">
        <v>56.775858638727897</v>
      </c>
      <c r="AC259" s="17">
        <v>57.050224550152102</v>
      </c>
      <c r="AD259" s="17">
        <v>57.1248046910979</v>
      </c>
      <c r="AE259" s="17">
        <v>58.370363038860603</v>
      </c>
      <c r="AF259" s="17">
        <v>59.146084258328997</v>
      </c>
      <c r="AG259" s="17">
        <v>58.2125214154471</v>
      </c>
      <c r="AH259" s="17">
        <v>58.019693254419401</v>
      </c>
      <c r="AI259" s="17">
        <v>58.119136924634098</v>
      </c>
      <c r="AJ259" s="17">
        <v>57.906167215526402</v>
      </c>
      <c r="AK259" s="17">
        <v>57.9221822534967</v>
      </c>
      <c r="AL259" s="17">
        <v>56.281648983633303</v>
      </c>
      <c r="AM259" s="17">
        <v>55.935471349438203</v>
      </c>
      <c r="AN259" s="17">
        <v>55.777765535218201</v>
      </c>
      <c r="AO259" s="17"/>
      <c r="AP259" s="17"/>
      <c r="AQ259" s="17"/>
      <c r="AR259" s="17"/>
      <c r="AS259" s="17"/>
      <c r="AT259" s="17"/>
      <c r="AU259" s="17"/>
      <c r="AV259" s="17"/>
      <c r="AW259" s="17"/>
      <c r="AX259" s="17"/>
      <c r="AY259" s="17"/>
      <c r="AZ259" s="17"/>
      <c r="BA259" s="17"/>
      <c r="BB259" s="17"/>
      <c r="BC259" s="17"/>
      <c r="BD259" s="17"/>
      <c r="BE259" s="17"/>
      <c r="BF259" s="17"/>
      <c r="BG259" s="17"/>
      <c r="BH259" s="17"/>
      <c r="BI259" s="17"/>
      <c r="BJ259" s="17"/>
      <c r="BK259" s="17"/>
      <c r="BL259" s="17"/>
      <c r="BM259" s="17"/>
      <c r="BN259" s="17"/>
      <c r="BO259" s="17"/>
      <c r="BP259" s="17"/>
      <c r="BQ259" s="17"/>
      <c r="BR259" s="17"/>
      <c r="BS259" s="17"/>
      <c r="BT259" s="17"/>
      <c r="BU259" s="17"/>
      <c r="BV259" s="17"/>
      <c r="BW259" s="17"/>
      <c r="BX259" s="17"/>
      <c r="BY259" s="17"/>
      <c r="BZ259" s="17"/>
      <c r="CA259" s="17"/>
      <c r="CB259" s="17"/>
      <c r="CC259" s="17"/>
      <c r="CD259" s="17"/>
      <c r="CE259" s="17"/>
      <c r="CF259" s="17"/>
      <c r="CG259" s="17"/>
      <c r="CH259" s="17"/>
      <c r="CI259" s="17"/>
      <c r="CJ259" s="17"/>
      <c r="CK259" s="17"/>
      <c r="CL259" s="17"/>
      <c r="CM259" s="17"/>
      <c r="CN259" s="17"/>
      <c r="CO259" s="17"/>
      <c r="CP259" s="17"/>
      <c r="CQ259" s="17"/>
      <c r="CR259" s="17"/>
      <c r="CS259" s="17"/>
      <c r="CT259" s="17"/>
      <c r="CU259" s="17"/>
      <c r="CV259" s="17"/>
    </row>
    <row r="260" spans="1:100" x14ac:dyDescent="0.35">
      <c r="B260" s="9"/>
      <c r="C260" t="s">
        <v>230</v>
      </c>
      <c r="D260" t="s">
        <v>224</v>
      </c>
      <c r="E260" t="s">
        <v>223</v>
      </c>
      <c r="F260" s="17">
        <v>0</v>
      </c>
      <c r="G260" s="17">
        <v>0</v>
      </c>
      <c r="H260" s="17">
        <v>0</v>
      </c>
      <c r="I260" s="17">
        <v>0</v>
      </c>
      <c r="J260" s="17">
        <v>0.83586379846046699</v>
      </c>
      <c r="K260" s="17">
        <v>1.23478763403321</v>
      </c>
      <c r="L260" s="17">
        <v>1.1069389486579599</v>
      </c>
      <c r="M260" s="17">
        <v>1.1525499439470901</v>
      </c>
      <c r="N260" s="17">
        <v>1.11376074891536</v>
      </c>
      <c r="O260" s="17">
        <v>0.78315938452696998</v>
      </c>
      <c r="P260" s="17">
        <v>0.86790432126205996</v>
      </c>
      <c r="Q260" s="17">
        <v>0.68365303314608505</v>
      </c>
      <c r="R260" s="17">
        <v>0.77623311565919795</v>
      </c>
      <c r="S260" s="17">
        <v>0.67331064071909597</v>
      </c>
      <c r="T260" s="17">
        <v>0.60079897825875705</v>
      </c>
      <c r="U260" s="17">
        <v>0.59127144099268203</v>
      </c>
      <c r="V260" s="17">
        <v>0.45864854012335599</v>
      </c>
      <c r="W260" s="17">
        <v>0.575402659076928</v>
      </c>
      <c r="X260" s="17">
        <v>0.40786634862073401</v>
      </c>
      <c r="Y260" s="17">
        <v>0.43552963664767202</v>
      </c>
      <c r="Z260" s="17">
        <v>0.41881465898789</v>
      </c>
      <c r="AA260" s="17">
        <v>1.5445475106520701</v>
      </c>
      <c r="AB260" s="17">
        <v>0.83829791708217305</v>
      </c>
      <c r="AC260" s="17">
        <v>0.73974223005568795</v>
      </c>
      <c r="AD260" s="17">
        <v>0.63655858358965201</v>
      </c>
      <c r="AE260" s="17">
        <v>0.55707886481739299</v>
      </c>
      <c r="AF260" s="17">
        <v>0.32239013161302799</v>
      </c>
      <c r="AG260" s="17">
        <v>0.35691700734151299</v>
      </c>
      <c r="AH260" s="17">
        <v>0.42480071036229999</v>
      </c>
      <c r="AI260" s="17">
        <v>0.347483491824775</v>
      </c>
      <c r="AJ260" s="17">
        <v>0.280581793741501</v>
      </c>
      <c r="AK260" s="17">
        <v>0.28235776011785202</v>
      </c>
      <c r="AL260" s="17">
        <v>0.48005415838891402</v>
      </c>
      <c r="AM260" s="17">
        <v>0.54856467307194201</v>
      </c>
      <c r="AN260" s="17">
        <v>0.52759782296995394</v>
      </c>
      <c r="AO260" s="17"/>
      <c r="AP260" s="17"/>
      <c r="AQ260" s="17"/>
      <c r="AR260" s="17"/>
      <c r="AS260" s="17"/>
      <c r="AT260" s="17"/>
      <c r="AU260" s="17"/>
      <c r="AV260" s="17"/>
      <c r="AW260" s="17"/>
      <c r="AX260" s="17"/>
      <c r="AY260" s="17"/>
      <c r="AZ260" s="17"/>
      <c r="BA260" s="17"/>
      <c r="BB260" s="17"/>
      <c r="BC260" s="17"/>
      <c r="BD260" s="17"/>
      <c r="BE260" s="17"/>
      <c r="BF260" s="17"/>
      <c r="BG260" s="17"/>
      <c r="BH260" s="17"/>
      <c r="BI260" s="17"/>
      <c r="BJ260" s="17"/>
      <c r="BK260" s="17"/>
      <c r="BL260" s="17"/>
      <c r="BM260" s="17"/>
      <c r="BN260" s="17"/>
      <c r="BO260" s="17"/>
      <c r="BP260" s="17"/>
      <c r="BQ260" s="17"/>
      <c r="BR260" s="17"/>
      <c r="BS260" s="17"/>
      <c r="BT260" s="17"/>
      <c r="BU260" s="17"/>
      <c r="BV260" s="17"/>
      <c r="BW260" s="17"/>
      <c r="BX260" s="17"/>
      <c r="BY260" s="17"/>
      <c r="BZ260" s="17"/>
      <c r="CA260" s="17"/>
      <c r="CB260" s="17"/>
      <c r="CC260" s="17"/>
      <c r="CD260" s="17"/>
      <c r="CE260" s="17"/>
      <c r="CF260" s="17"/>
      <c r="CG260" s="17"/>
      <c r="CH260" s="17"/>
      <c r="CI260" s="17"/>
      <c r="CJ260" s="17"/>
      <c r="CK260" s="17"/>
      <c r="CL260" s="17"/>
      <c r="CM260" s="17"/>
      <c r="CN260" s="17"/>
      <c r="CO260" s="17"/>
      <c r="CP260" s="17"/>
      <c r="CQ260" s="17"/>
      <c r="CR260" s="17"/>
      <c r="CS260" s="17"/>
      <c r="CT260" s="17"/>
      <c r="CU260" s="17"/>
      <c r="CV260" s="17"/>
    </row>
    <row r="261" spans="1:100" x14ac:dyDescent="0.35">
      <c r="B261" s="9"/>
      <c r="C261" t="s">
        <v>230</v>
      </c>
      <c r="D261" t="s">
        <v>225</v>
      </c>
      <c r="E261" t="s">
        <v>223</v>
      </c>
      <c r="F261" s="17">
        <v>0</v>
      </c>
      <c r="G261" s="17">
        <v>0</v>
      </c>
      <c r="H261" s="17">
        <v>0</v>
      </c>
      <c r="I261" s="17">
        <v>0</v>
      </c>
      <c r="J261" s="17">
        <v>24.713219832318799</v>
      </c>
      <c r="K261" s="17">
        <v>26.017113452114199</v>
      </c>
      <c r="L261" s="17">
        <v>23.037950749506201</v>
      </c>
      <c r="M261" s="17">
        <v>26.378188310148602</v>
      </c>
      <c r="N261" s="17">
        <v>24.2836240127404</v>
      </c>
      <c r="O261" s="17">
        <v>24.7207624659878</v>
      </c>
      <c r="P261" s="17">
        <v>25.5346356219646</v>
      </c>
      <c r="Q261" s="17">
        <v>23.805283139561599</v>
      </c>
      <c r="R261" s="17">
        <v>25.1145986802353</v>
      </c>
      <c r="S261" s="17">
        <v>23.696458188135399</v>
      </c>
      <c r="T261" s="17">
        <v>22.633960186330299</v>
      </c>
      <c r="U261" s="17">
        <v>21.123897763962599</v>
      </c>
      <c r="V261" s="17">
        <v>19.051470365092499</v>
      </c>
      <c r="W261" s="17">
        <v>19.8513342804183</v>
      </c>
      <c r="X261" s="17">
        <v>18.027594408542701</v>
      </c>
      <c r="Y261" s="17">
        <v>17.533395200309201</v>
      </c>
      <c r="Z261" s="17">
        <v>18.513101828393101</v>
      </c>
      <c r="AA261" s="17">
        <v>28.2424828965712</v>
      </c>
      <c r="AB261" s="17">
        <v>21.163251089490299</v>
      </c>
      <c r="AC261" s="17">
        <v>20.836191210993601</v>
      </c>
      <c r="AD261" s="17">
        <v>19.412660138598302</v>
      </c>
      <c r="AE261" s="17">
        <v>17.679202039807599</v>
      </c>
      <c r="AF261" s="17">
        <v>15.3696622359726</v>
      </c>
      <c r="AG261" s="17">
        <v>16.149572646716901</v>
      </c>
      <c r="AH261" s="17">
        <v>15.1920238108932</v>
      </c>
      <c r="AI261" s="17">
        <v>14.605871331808901</v>
      </c>
      <c r="AJ261" s="17">
        <v>13.174337963858999</v>
      </c>
      <c r="AK261" s="17">
        <v>13.4996741102845</v>
      </c>
      <c r="AL261" s="17">
        <v>14.973329221937099</v>
      </c>
      <c r="AM261" s="17">
        <v>16.5926135764504</v>
      </c>
      <c r="AN261" s="17">
        <v>15.8234634325746</v>
      </c>
      <c r="AO261" s="17"/>
      <c r="AP261" s="17"/>
      <c r="AQ261" s="17"/>
      <c r="AR261" s="17"/>
      <c r="AS261" s="17"/>
      <c r="AT261" s="17"/>
      <c r="AU261" s="17"/>
      <c r="AV261" s="17"/>
      <c r="AW261" s="17"/>
      <c r="AX261" s="17"/>
      <c r="AY261" s="17"/>
      <c r="AZ261" s="17"/>
      <c r="BA261" s="17"/>
      <c r="BB261" s="17"/>
      <c r="BC261" s="17"/>
      <c r="BD261" s="17"/>
      <c r="BE261" s="17"/>
      <c r="BF261" s="17"/>
      <c r="BG261" s="17"/>
      <c r="BH261" s="17"/>
      <c r="BI261" s="17"/>
      <c r="BJ261" s="17"/>
      <c r="BK261" s="17"/>
      <c r="BL261" s="17"/>
      <c r="BM261" s="17"/>
      <c r="BN261" s="17"/>
      <c r="BO261" s="17"/>
      <c r="BP261" s="17"/>
      <c r="BQ261" s="17"/>
      <c r="BR261" s="17"/>
      <c r="BS261" s="17"/>
      <c r="BT261" s="17"/>
      <c r="BU261" s="17"/>
      <c r="BV261" s="17"/>
      <c r="BW261" s="17"/>
      <c r="BX261" s="17"/>
      <c r="BY261" s="17"/>
      <c r="BZ261" s="17"/>
      <c r="CA261" s="17"/>
      <c r="CB261" s="17"/>
      <c r="CC261" s="17"/>
      <c r="CD261" s="17"/>
      <c r="CE261" s="17"/>
      <c r="CF261" s="17"/>
      <c r="CG261" s="17"/>
      <c r="CH261" s="17"/>
      <c r="CI261" s="17"/>
      <c r="CJ261" s="17"/>
      <c r="CK261" s="17"/>
      <c r="CL261" s="17"/>
      <c r="CM261" s="17"/>
      <c r="CN261" s="17"/>
      <c r="CO261" s="17"/>
      <c r="CP261" s="17"/>
      <c r="CQ261" s="17"/>
      <c r="CR261" s="17"/>
      <c r="CS261" s="17"/>
      <c r="CT261" s="17"/>
      <c r="CU261" s="17"/>
      <c r="CV261" s="17"/>
    </row>
    <row r="262" spans="1:100" x14ac:dyDescent="0.35">
      <c r="B262" s="9"/>
      <c r="C262" t="s">
        <v>230</v>
      </c>
      <c r="D262" t="s">
        <v>355</v>
      </c>
      <c r="E262" t="s">
        <v>223</v>
      </c>
      <c r="F262" s="17">
        <v>0</v>
      </c>
      <c r="G262" s="17">
        <v>0</v>
      </c>
      <c r="H262" s="17">
        <v>0</v>
      </c>
      <c r="I262" s="17">
        <v>0</v>
      </c>
      <c r="J262" s="17">
        <v>96.912771872304603</v>
      </c>
      <c r="K262" s="17">
        <v>99.999390987542895</v>
      </c>
      <c r="L262" s="17">
        <v>92.220115022348295</v>
      </c>
      <c r="M262" s="17">
        <v>93.627234076053796</v>
      </c>
      <c r="N262" s="17">
        <v>85.794282138849297</v>
      </c>
      <c r="O262" s="17">
        <v>84.458253974502995</v>
      </c>
      <c r="P262" s="17">
        <v>84.192005274104702</v>
      </c>
      <c r="Q262" s="17">
        <v>89.389015681222801</v>
      </c>
      <c r="R262" s="17">
        <v>89.776050988935097</v>
      </c>
      <c r="S262" s="17">
        <v>88.072721637376105</v>
      </c>
      <c r="T262" s="17">
        <v>84.648971869601098</v>
      </c>
      <c r="U262" s="17">
        <v>80.878041568971298</v>
      </c>
      <c r="V262" s="17">
        <v>81.231333515532896</v>
      </c>
      <c r="W262" s="17">
        <v>81.107736702599794</v>
      </c>
      <c r="X262" s="17">
        <v>79.586412564033793</v>
      </c>
      <c r="Y262" s="17">
        <v>82.616367905005504</v>
      </c>
      <c r="Z262" s="17">
        <v>83.604975258693202</v>
      </c>
      <c r="AA262" s="17">
        <v>83.140267539168207</v>
      </c>
      <c r="AB262" s="17">
        <v>78.777397198439402</v>
      </c>
      <c r="AC262" s="17">
        <v>78.626189331784602</v>
      </c>
      <c r="AD262" s="17">
        <v>77.174106988174202</v>
      </c>
      <c r="AE262" s="17">
        <v>76.606633496624596</v>
      </c>
      <c r="AF262" s="17">
        <v>74.838126179053603</v>
      </c>
      <c r="AG262" s="17">
        <v>74.719021516366595</v>
      </c>
      <c r="AH262" s="17">
        <v>73.636486435091896</v>
      </c>
      <c r="AI262" s="17">
        <v>73.072429067101595</v>
      </c>
      <c r="AJ262" s="17">
        <v>71.361066079404907</v>
      </c>
      <c r="AK262" s="17">
        <v>71.704235017621201</v>
      </c>
      <c r="AL262" s="17">
        <v>71.734927895349003</v>
      </c>
      <c r="AM262" s="17">
        <v>73.076576470933404</v>
      </c>
      <c r="AN262" s="17">
        <v>72.128868578206905</v>
      </c>
      <c r="AO262" s="17"/>
      <c r="AP262" s="17"/>
      <c r="AQ262" s="17"/>
      <c r="AR262" s="17"/>
      <c r="AS262" s="17"/>
      <c r="AT262" s="17"/>
      <c r="AU262" s="17"/>
      <c r="AV262" s="17"/>
      <c r="AW262" s="17"/>
      <c r="AX262" s="17"/>
      <c r="AY262" s="17"/>
      <c r="AZ262" s="17"/>
      <c r="BA262" s="17"/>
      <c r="BB262" s="17"/>
      <c r="BC262" s="17"/>
      <c r="BD262" s="17"/>
      <c r="BE262" s="17"/>
      <c r="BF262" s="17"/>
      <c r="BG262" s="17"/>
      <c r="BH262" s="17"/>
      <c r="BI262" s="17"/>
      <c r="BJ262" s="17"/>
      <c r="BK262" s="17"/>
      <c r="BL262" s="17"/>
      <c r="BM262" s="17"/>
      <c r="BN262" s="17"/>
      <c r="BO262" s="17"/>
      <c r="BP262" s="17"/>
      <c r="BQ262" s="17"/>
      <c r="BR262" s="17"/>
      <c r="BS262" s="17"/>
      <c r="BT262" s="17"/>
      <c r="BU262" s="17"/>
      <c r="BV262" s="17"/>
      <c r="BW262" s="17"/>
      <c r="BX262" s="17"/>
      <c r="BY262" s="17"/>
      <c r="BZ262" s="17"/>
      <c r="CA262" s="17"/>
      <c r="CB262" s="17"/>
      <c r="CC262" s="17"/>
      <c r="CD262" s="17"/>
      <c r="CE262" s="17"/>
      <c r="CF262" s="17"/>
      <c r="CG262" s="17"/>
      <c r="CH262" s="17"/>
      <c r="CI262" s="17"/>
      <c r="CJ262" s="17"/>
      <c r="CK262" s="17"/>
      <c r="CL262" s="17"/>
      <c r="CM262" s="17"/>
      <c r="CN262" s="17"/>
      <c r="CO262" s="17"/>
      <c r="CP262" s="17"/>
      <c r="CQ262" s="17"/>
      <c r="CR262" s="17"/>
      <c r="CS262" s="17"/>
      <c r="CT262" s="17"/>
      <c r="CU262" s="17"/>
      <c r="CV262" s="17"/>
    </row>
    <row r="263" spans="1:100" x14ac:dyDescent="0.35">
      <c r="B263" s="9"/>
      <c r="C263" t="s">
        <v>230</v>
      </c>
      <c r="D263" t="s">
        <v>356</v>
      </c>
      <c r="E263" t="s">
        <v>124</v>
      </c>
      <c r="F263" s="17">
        <v>0</v>
      </c>
      <c r="G263" s="17">
        <v>0</v>
      </c>
      <c r="H263" s="17">
        <v>0</v>
      </c>
      <c r="I263" s="17">
        <v>0</v>
      </c>
      <c r="J263" s="17">
        <v>1</v>
      </c>
      <c r="K263" s="17">
        <v>1</v>
      </c>
      <c r="L263" s="17">
        <v>1</v>
      </c>
      <c r="M263" s="17">
        <v>1</v>
      </c>
      <c r="N263" s="17">
        <v>1</v>
      </c>
      <c r="O263" s="17">
        <v>1</v>
      </c>
      <c r="P263" s="17">
        <v>1</v>
      </c>
      <c r="Q263" s="17">
        <v>1</v>
      </c>
      <c r="R263" s="17">
        <v>1</v>
      </c>
      <c r="S263" s="17">
        <v>1</v>
      </c>
      <c r="T263" s="17">
        <v>1</v>
      </c>
      <c r="U263" s="17">
        <v>1</v>
      </c>
      <c r="V263" s="17">
        <v>1</v>
      </c>
      <c r="W263" s="17">
        <v>1</v>
      </c>
      <c r="X263" s="17">
        <v>1</v>
      </c>
      <c r="Y263" s="17">
        <v>1</v>
      </c>
      <c r="Z263" s="17">
        <v>1</v>
      </c>
      <c r="AA263" s="17">
        <v>1</v>
      </c>
      <c r="AB263" s="17">
        <v>1</v>
      </c>
      <c r="AC263" s="17">
        <v>1</v>
      </c>
      <c r="AD263" s="17">
        <v>1</v>
      </c>
      <c r="AE263" s="17">
        <v>1</v>
      </c>
      <c r="AF263" s="17">
        <v>1</v>
      </c>
      <c r="AG263" s="17">
        <v>1</v>
      </c>
      <c r="AH263" s="17">
        <v>1</v>
      </c>
      <c r="AI263" s="17">
        <v>1</v>
      </c>
      <c r="AJ263" s="17">
        <v>1</v>
      </c>
      <c r="AK263" s="17">
        <v>1</v>
      </c>
      <c r="AL263" s="17">
        <v>1</v>
      </c>
      <c r="AM263" s="17">
        <v>1</v>
      </c>
      <c r="AN263" s="17">
        <v>1</v>
      </c>
      <c r="AO263" s="17"/>
      <c r="AP263" s="17"/>
      <c r="AQ263" s="17"/>
      <c r="AR263" s="17"/>
      <c r="AS263" s="17"/>
      <c r="AT263" s="17"/>
      <c r="AU263" s="17"/>
      <c r="AV263" s="17"/>
      <c r="AW263" s="17"/>
      <c r="AX263" s="17"/>
      <c r="AY263" s="17"/>
      <c r="AZ263" s="17"/>
      <c r="BA263" s="17"/>
      <c r="BB263" s="17"/>
      <c r="BC263" s="17"/>
      <c r="BD263" s="17"/>
      <c r="BE263" s="17"/>
      <c r="BF263" s="17"/>
      <c r="BG263" s="17"/>
      <c r="BH263" s="17"/>
      <c r="BI263" s="17"/>
      <c r="BJ263" s="17"/>
      <c r="BK263" s="17"/>
      <c r="BL263" s="17"/>
      <c r="BM263" s="17"/>
      <c r="BN263" s="17"/>
      <c r="BO263" s="17"/>
      <c r="BP263" s="17"/>
      <c r="BQ263" s="17"/>
      <c r="BR263" s="17"/>
      <c r="BS263" s="17"/>
      <c r="BT263" s="17"/>
      <c r="BU263" s="17"/>
      <c r="BV263" s="17"/>
      <c r="BW263" s="17"/>
      <c r="BX263" s="17"/>
      <c r="BY263" s="17"/>
      <c r="BZ263" s="17"/>
      <c r="CA263" s="17"/>
      <c r="CB263" s="17"/>
      <c r="CC263" s="17"/>
      <c r="CD263" s="17"/>
      <c r="CE263" s="17"/>
      <c r="CF263" s="17"/>
      <c r="CG263" s="17"/>
      <c r="CH263" s="17"/>
      <c r="CI263" s="17"/>
      <c r="CJ263" s="17"/>
      <c r="CK263" s="17"/>
      <c r="CL263" s="17"/>
      <c r="CM263" s="17"/>
      <c r="CN263" s="17"/>
      <c r="CO263" s="17"/>
      <c r="CP263" s="17"/>
      <c r="CQ263" s="17"/>
      <c r="CR263" s="17"/>
      <c r="CS263" s="17"/>
      <c r="CT263" s="17"/>
      <c r="CU263" s="17"/>
      <c r="CV263" s="17"/>
    </row>
    <row r="264" spans="1:100" x14ac:dyDescent="0.35">
      <c r="B264" s="9"/>
      <c r="C264" t="s">
        <v>339</v>
      </c>
      <c r="D264" t="s">
        <v>357</v>
      </c>
      <c r="E264" t="s">
        <v>226</v>
      </c>
      <c r="F264" s="17">
        <v>0</v>
      </c>
      <c r="G264" s="17">
        <v>0</v>
      </c>
      <c r="H264" s="17">
        <v>0</v>
      </c>
      <c r="I264" s="17">
        <v>0</v>
      </c>
      <c r="J264" s="17">
        <v>176.29328725215299</v>
      </c>
      <c r="K264" s="17">
        <v>175.625241829396</v>
      </c>
      <c r="L264" s="17">
        <v>174.26036988172601</v>
      </c>
      <c r="M264" s="17">
        <v>165.13775294945901</v>
      </c>
      <c r="N264" s="17">
        <v>153.18683643482399</v>
      </c>
      <c r="O264" s="17">
        <v>152.31408477004101</v>
      </c>
      <c r="P264" s="17">
        <v>145.59892607011199</v>
      </c>
      <c r="Q264" s="17">
        <v>149.18820635102401</v>
      </c>
      <c r="R264" s="17">
        <v>146.790432358868</v>
      </c>
      <c r="S264" s="17">
        <v>145.52898433546699</v>
      </c>
      <c r="T264" s="17">
        <v>142.72326041980099</v>
      </c>
      <c r="U264" s="17">
        <v>137.478977966489</v>
      </c>
      <c r="V264" s="17">
        <v>136.71342154281001</v>
      </c>
      <c r="W264" s="17">
        <v>133.94026049299799</v>
      </c>
      <c r="X264" s="17">
        <v>130.87366801036799</v>
      </c>
      <c r="Y264" s="17">
        <v>133.11000665891501</v>
      </c>
      <c r="Z264" s="17">
        <v>135.80388648031399</v>
      </c>
      <c r="AA264" s="17">
        <v>152.18163946580901</v>
      </c>
      <c r="AB264" s="17">
        <v>147.844426615788</v>
      </c>
      <c r="AC264" s="17">
        <v>145.30880629224399</v>
      </c>
      <c r="AD264" s="17">
        <v>143.075236061872</v>
      </c>
      <c r="AE264" s="17">
        <v>141.000343203797</v>
      </c>
      <c r="AF264" s="17">
        <v>138.26250299115199</v>
      </c>
      <c r="AG264" s="17">
        <v>137.44680163449399</v>
      </c>
      <c r="AH264" s="17">
        <v>134.282363851388</v>
      </c>
      <c r="AI264" s="17">
        <v>133.20201216407099</v>
      </c>
      <c r="AJ264" s="17">
        <v>131.67595559745499</v>
      </c>
      <c r="AK264" s="17">
        <v>129.01207916095399</v>
      </c>
      <c r="AL264" s="17">
        <v>129.32198529362799</v>
      </c>
      <c r="AM264" s="17">
        <v>130.49689152019499</v>
      </c>
      <c r="AN264" s="17">
        <v>127.695074730557</v>
      </c>
      <c r="AO264" s="17"/>
      <c r="AP264" s="17"/>
      <c r="AQ264" s="17"/>
      <c r="AR264" s="17"/>
      <c r="AS264" s="17"/>
      <c r="AT264" s="17"/>
      <c r="AU264" s="17"/>
      <c r="AV264" s="17"/>
      <c r="AW264" s="17"/>
      <c r="AX264" s="17"/>
      <c r="AY264" s="17"/>
      <c r="AZ264" s="17"/>
      <c r="BA264" s="17"/>
      <c r="BB264" s="17"/>
      <c r="BC264" s="17"/>
      <c r="BD264" s="17"/>
      <c r="BE264" s="17"/>
      <c r="BF264" s="17"/>
      <c r="BG264" s="17"/>
      <c r="BH264" s="17"/>
      <c r="BI264" s="17"/>
      <c r="BJ264" s="17"/>
      <c r="BK264" s="17"/>
      <c r="BL264" s="17"/>
      <c r="BM264" s="17"/>
      <c r="BN264" s="17"/>
      <c r="BO264" s="17"/>
      <c r="BP264" s="17"/>
      <c r="BQ264" s="17"/>
      <c r="BR264" s="17"/>
      <c r="BS264" s="17"/>
      <c r="BT264" s="17"/>
      <c r="BU264" s="17"/>
      <c r="BV264" s="17"/>
      <c r="BW264" s="17"/>
      <c r="BX264" s="17"/>
      <c r="BY264" s="17"/>
      <c r="BZ264" s="17"/>
      <c r="CA264" s="17"/>
      <c r="CB264" s="17"/>
      <c r="CC264" s="17"/>
      <c r="CD264" s="17"/>
      <c r="CE264" s="17"/>
      <c r="CF264" s="17"/>
      <c r="CG264" s="17"/>
      <c r="CH264" s="17"/>
      <c r="CI264" s="17"/>
      <c r="CJ264" s="17"/>
      <c r="CK264" s="17"/>
      <c r="CL264" s="17"/>
      <c r="CM264" s="17"/>
      <c r="CN264" s="17"/>
      <c r="CO264" s="17"/>
      <c r="CP264" s="17"/>
      <c r="CQ264" s="17"/>
      <c r="CR264" s="17"/>
      <c r="CS264" s="17"/>
      <c r="CT264" s="17"/>
      <c r="CU264" s="17"/>
      <c r="CV264" s="17"/>
    </row>
    <row r="265" spans="1:100" x14ac:dyDescent="0.35">
      <c r="B265" s="9"/>
      <c r="F265" s="17"/>
      <c r="G265" s="17"/>
      <c r="H265" s="17"/>
      <c r="I265" s="17"/>
      <c r="J265" s="17"/>
      <c r="K265" s="17"/>
      <c r="L265" s="17"/>
      <c r="M265" s="17"/>
      <c r="N265" s="17"/>
      <c r="O265" s="17"/>
      <c r="P265" s="17"/>
      <c r="Q265" s="17"/>
      <c r="R265" s="17"/>
      <c r="S265" s="17"/>
      <c r="T265" s="17"/>
      <c r="U265" s="17"/>
      <c r="V265" s="17"/>
      <c r="W265" s="17"/>
      <c r="X265" s="17"/>
      <c r="Y265" s="17"/>
      <c r="Z265" s="17"/>
      <c r="AA265" s="17"/>
      <c r="AB265" s="17"/>
      <c r="AC265" s="17"/>
      <c r="AD265" s="17"/>
      <c r="AE265" s="17"/>
      <c r="AF265" s="17"/>
      <c r="AG265" s="17"/>
      <c r="AH265" s="17"/>
      <c r="AI265" s="17"/>
      <c r="AJ265" s="17"/>
      <c r="AK265" s="17"/>
      <c r="AL265" s="17"/>
      <c r="AM265" s="17"/>
      <c r="AN265" s="17"/>
      <c r="AO265" s="17"/>
      <c r="AP265" s="17"/>
      <c r="AQ265" s="17"/>
      <c r="AR265" s="17"/>
      <c r="AS265" s="17"/>
      <c r="AT265" s="17"/>
      <c r="AU265" s="17"/>
      <c r="AV265" s="17"/>
      <c r="AW265" s="17"/>
      <c r="AX265" s="17"/>
      <c r="AY265" s="17"/>
      <c r="AZ265" s="17"/>
      <c r="BA265" s="17"/>
      <c r="BB265" s="17"/>
      <c r="BC265" s="17"/>
      <c r="BD265" s="17"/>
      <c r="BE265" s="17"/>
      <c r="BF265" s="17"/>
      <c r="BG265" s="17"/>
      <c r="BH265" s="17"/>
      <c r="BI265" s="17"/>
      <c r="BJ265" s="17"/>
      <c r="BK265" s="17"/>
      <c r="BL265" s="17"/>
      <c r="BM265" s="17"/>
      <c r="BN265" s="17"/>
      <c r="BO265" s="17"/>
      <c r="BP265" s="17"/>
      <c r="BQ265" s="17"/>
      <c r="BR265" s="17"/>
      <c r="BS265" s="17"/>
      <c r="BT265" s="17"/>
      <c r="BU265" s="17"/>
      <c r="BV265" s="17"/>
      <c r="BW265" s="17"/>
      <c r="BX265" s="17"/>
      <c r="BY265" s="17"/>
      <c r="BZ265" s="17"/>
      <c r="CA265" s="17"/>
      <c r="CB265" s="17"/>
      <c r="CC265" s="17"/>
      <c r="CD265" s="17"/>
      <c r="CE265" s="17"/>
      <c r="CF265" s="17"/>
      <c r="CG265" s="17"/>
      <c r="CH265" s="17"/>
      <c r="CI265" s="17"/>
      <c r="CJ265" s="17"/>
      <c r="CK265" s="17"/>
      <c r="CL265" s="17"/>
      <c r="CM265" s="17"/>
      <c r="CN265" s="17"/>
      <c r="CO265" s="17"/>
      <c r="CP265" s="17"/>
      <c r="CQ265" s="17"/>
      <c r="CR265" s="17"/>
      <c r="CS265" s="17"/>
      <c r="CT265" s="17"/>
      <c r="CU265" s="17"/>
      <c r="CV265" s="17"/>
    </row>
    <row r="266" spans="1:100" x14ac:dyDescent="0.35">
      <c r="B266" s="9"/>
      <c r="F266" s="17"/>
      <c r="G266" s="17"/>
      <c r="H266" s="17"/>
      <c r="I266" s="17"/>
      <c r="J266" s="17"/>
      <c r="K266" s="17"/>
      <c r="L266" s="17"/>
      <c r="M266" s="17"/>
      <c r="N266" s="17"/>
      <c r="O266" s="17"/>
      <c r="P266" s="17"/>
      <c r="Q266" s="17"/>
      <c r="R266" s="17"/>
      <c r="S266" s="17"/>
      <c r="T266" s="17"/>
      <c r="U266" s="17"/>
      <c r="V266" s="17"/>
      <c r="W266" s="17"/>
      <c r="X266" s="17"/>
      <c r="Y266" s="17"/>
      <c r="Z266" s="17"/>
      <c r="AA266" s="17"/>
      <c r="AB266" s="17"/>
      <c r="AC266" s="17"/>
      <c r="AD266" s="17"/>
      <c r="AE266" s="17"/>
      <c r="AF266" s="17"/>
      <c r="AG266" s="17"/>
      <c r="AH266" s="17"/>
      <c r="AI266" s="17"/>
      <c r="AJ266" s="17"/>
      <c r="AK266" s="17"/>
      <c r="AL266" s="17"/>
      <c r="AM266" s="17"/>
      <c r="AN266" s="17"/>
      <c r="AO266" s="17"/>
      <c r="AP266" s="17"/>
      <c r="AQ266" s="17"/>
      <c r="AR266" s="17"/>
      <c r="AS266" s="17"/>
      <c r="AT266" s="17"/>
      <c r="AU266" s="17"/>
      <c r="AV266" s="17"/>
      <c r="AW266" s="17"/>
      <c r="AX266" s="17"/>
      <c r="AY266" s="17"/>
      <c r="AZ266" s="17"/>
      <c r="BA266" s="17"/>
      <c r="BB266" s="17"/>
      <c r="BC266" s="17"/>
      <c r="BD266" s="17"/>
      <c r="BE266" s="17"/>
      <c r="BF266" s="17"/>
      <c r="BG266" s="17"/>
      <c r="BH266" s="17"/>
      <c r="BI266" s="17"/>
      <c r="BJ266" s="17"/>
      <c r="BK266" s="17"/>
      <c r="BL266" s="17"/>
      <c r="BM266" s="17"/>
      <c r="BN266" s="17"/>
      <c r="BO266" s="17"/>
      <c r="BP266" s="17"/>
      <c r="BQ266" s="17"/>
      <c r="BR266" s="17"/>
      <c r="BS266" s="17"/>
      <c r="BT266" s="17"/>
      <c r="BU266" s="17"/>
      <c r="BV266" s="17"/>
      <c r="BW266" s="17"/>
      <c r="BX266" s="17"/>
      <c r="BY266" s="17"/>
      <c r="BZ266" s="17"/>
      <c r="CA266" s="17"/>
      <c r="CB266" s="17"/>
      <c r="CC266" s="17"/>
      <c r="CD266" s="17"/>
      <c r="CE266" s="17"/>
      <c r="CF266" s="17"/>
      <c r="CG266" s="17"/>
      <c r="CH266" s="17"/>
      <c r="CI266" s="17"/>
      <c r="CJ266" s="17"/>
      <c r="CK266" s="17"/>
      <c r="CL266" s="17"/>
      <c r="CM266" s="17"/>
      <c r="CN266" s="17"/>
      <c r="CO266" s="17"/>
      <c r="CP266" s="17"/>
      <c r="CQ266" s="17"/>
      <c r="CR266" s="17"/>
      <c r="CS266" s="17"/>
      <c r="CT266" s="17"/>
      <c r="CU266" s="17"/>
      <c r="CV266" s="17"/>
    </row>
    <row r="267" spans="1:100" x14ac:dyDescent="0.35">
      <c r="B267" s="9"/>
      <c r="F267" s="17"/>
      <c r="G267" s="17"/>
      <c r="H267" s="17"/>
      <c r="I267" s="17"/>
      <c r="J267" s="17"/>
      <c r="K267" s="17"/>
      <c r="L267" s="17"/>
      <c r="M267" s="17"/>
      <c r="N267" s="17"/>
      <c r="O267" s="17"/>
      <c r="P267" s="17"/>
      <c r="Q267" s="17"/>
      <c r="R267" s="17"/>
      <c r="S267" s="17"/>
      <c r="T267" s="17"/>
      <c r="U267" s="17"/>
      <c r="V267" s="17"/>
      <c r="W267" s="17"/>
      <c r="X267" s="17"/>
      <c r="Y267" s="17"/>
      <c r="Z267" s="17"/>
      <c r="AA267" s="17"/>
      <c r="AB267" s="17"/>
      <c r="AC267" s="17"/>
      <c r="AD267" s="17"/>
      <c r="AE267" s="17"/>
      <c r="AF267" s="17"/>
      <c r="AG267" s="17"/>
      <c r="AH267" s="17"/>
      <c r="AI267" s="17"/>
      <c r="AJ267" s="17"/>
      <c r="AK267" s="17"/>
      <c r="AL267" s="17"/>
      <c r="AM267" s="17"/>
      <c r="AN267" s="17"/>
      <c r="AO267" s="17"/>
      <c r="AP267" s="17"/>
      <c r="AQ267" s="17"/>
      <c r="AR267" s="17"/>
      <c r="AS267" s="17"/>
      <c r="AT267" s="17"/>
      <c r="AU267" s="17"/>
      <c r="AV267" s="17"/>
      <c r="AW267" s="17"/>
      <c r="AX267" s="17"/>
      <c r="AY267" s="17"/>
      <c r="AZ267" s="17"/>
      <c r="BA267" s="17"/>
      <c r="BB267" s="17"/>
      <c r="BC267" s="17"/>
      <c r="BD267" s="17"/>
      <c r="BE267" s="17"/>
      <c r="BF267" s="17"/>
      <c r="BG267" s="17"/>
      <c r="BH267" s="17"/>
      <c r="BI267" s="17"/>
      <c r="BJ267" s="17"/>
      <c r="BK267" s="17"/>
      <c r="BL267" s="17"/>
      <c r="BM267" s="17"/>
      <c r="BN267" s="17"/>
      <c r="BO267" s="17"/>
      <c r="BP267" s="17"/>
      <c r="BQ267" s="17"/>
      <c r="BR267" s="17"/>
      <c r="BS267" s="17"/>
      <c r="BT267" s="17"/>
      <c r="BU267" s="17"/>
      <c r="BV267" s="17"/>
      <c r="BW267" s="17"/>
      <c r="BX267" s="17"/>
      <c r="BY267" s="17"/>
      <c r="BZ267" s="17"/>
      <c r="CA267" s="17"/>
      <c r="CB267" s="17"/>
      <c r="CC267" s="17"/>
      <c r="CD267" s="17"/>
      <c r="CE267" s="17"/>
      <c r="CF267" s="17"/>
      <c r="CG267" s="17"/>
      <c r="CH267" s="17"/>
      <c r="CI267" s="17"/>
      <c r="CJ267" s="17"/>
      <c r="CK267" s="17"/>
      <c r="CL267" s="17"/>
      <c r="CM267" s="17"/>
      <c r="CN267" s="17"/>
      <c r="CO267" s="17"/>
      <c r="CP267" s="17"/>
      <c r="CQ267" s="17"/>
      <c r="CR267" s="17"/>
      <c r="CS267" s="17"/>
      <c r="CT267" s="17"/>
      <c r="CU267" s="17"/>
      <c r="CV267" s="17"/>
    </row>
    <row r="268" spans="1:100" x14ac:dyDescent="0.35">
      <c r="A268">
        <v>6</v>
      </c>
      <c r="B268" s="9" t="s">
        <v>468</v>
      </c>
      <c r="C268" t="s">
        <v>230</v>
      </c>
      <c r="D268" t="s">
        <v>322</v>
      </c>
      <c r="E268" t="s">
        <v>124</v>
      </c>
      <c r="F268" s="17">
        <v>0</v>
      </c>
      <c r="G268" s="17">
        <v>0</v>
      </c>
      <c r="H268" s="17">
        <v>0</v>
      </c>
      <c r="I268" s="17">
        <v>0</v>
      </c>
      <c r="J268" s="17">
        <v>1</v>
      </c>
      <c r="K268" s="17">
        <v>1</v>
      </c>
      <c r="L268" s="17">
        <v>1</v>
      </c>
      <c r="M268" s="17">
        <v>1</v>
      </c>
      <c r="N268" s="17">
        <v>1</v>
      </c>
      <c r="O268" s="17">
        <v>1</v>
      </c>
      <c r="P268" s="17">
        <v>1</v>
      </c>
      <c r="Q268" s="17">
        <v>1</v>
      </c>
      <c r="R268" s="17">
        <v>1</v>
      </c>
      <c r="S268" s="17">
        <v>1</v>
      </c>
      <c r="T268" s="17">
        <v>1</v>
      </c>
      <c r="U268" s="17">
        <v>1</v>
      </c>
      <c r="V268" s="17">
        <v>1</v>
      </c>
      <c r="W268" s="17">
        <v>1</v>
      </c>
      <c r="X268" s="17">
        <v>1</v>
      </c>
      <c r="Y268" s="17">
        <v>1</v>
      </c>
      <c r="Z268" s="17">
        <v>1</v>
      </c>
      <c r="AA268" s="17">
        <v>1</v>
      </c>
      <c r="AB268" s="17">
        <v>1</v>
      </c>
      <c r="AC268" s="17">
        <v>1</v>
      </c>
      <c r="AD268" s="17">
        <v>1</v>
      </c>
      <c r="AE268" s="17">
        <v>1</v>
      </c>
      <c r="AF268" s="17">
        <v>1</v>
      </c>
      <c r="AG268" s="17">
        <v>1</v>
      </c>
      <c r="AH268" s="17">
        <v>1</v>
      </c>
      <c r="AI268" s="17">
        <v>1</v>
      </c>
      <c r="AJ268" s="17">
        <v>1</v>
      </c>
      <c r="AK268" s="17">
        <v>1</v>
      </c>
      <c r="AL268" s="17">
        <v>1</v>
      </c>
      <c r="AM268" s="17">
        <v>1</v>
      </c>
      <c r="AN268" s="17">
        <v>1</v>
      </c>
      <c r="AO268" s="17"/>
      <c r="AP268" s="17"/>
      <c r="AQ268" s="17"/>
      <c r="AR268" s="17"/>
      <c r="AS268" s="17"/>
      <c r="AT268" s="17"/>
      <c r="AU268" s="17"/>
      <c r="AV268" s="17"/>
      <c r="AW268" s="17"/>
      <c r="AX268" s="17"/>
      <c r="AY268" s="17"/>
      <c r="AZ268" s="17"/>
      <c r="BA268" s="17"/>
      <c r="BB268" s="17"/>
      <c r="BC268" s="17"/>
      <c r="BD268" s="17"/>
      <c r="BE268" s="17"/>
      <c r="BF268" s="17"/>
      <c r="BG268" s="17"/>
      <c r="BH268" s="17"/>
      <c r="BI268" s="17"/>
      <c r="BJ268" s="17"/>
      <c r="BK268" s="17"/>
      <c r="BL268" s="17"/>
      <c r="BM268" s="17"/>
      <c r="BN268" s="17"/>
      <c r="BO268" s="17"/>
      <c r="BP268" s="17"/>
      <c r="BQ268" s="17"/>
      <c r="BR268" s="17"/>
      <c r="BS268" s="17"/>
      <c r="BT268" s="17"/>
      <c r="BU268" s="17"/>
      <c r="BV268" s="17"/>
      <c r="BW268" s="17"/>
      <c r="BX268" s="17"/>
      <c r="BY268" s="17"/>
      <c r="BZ268" s="17"/>
      <c r="CA268" s="17"/>
      <c r="CB268" s="17"/>
      <c r="CC268" s="17"/>
      <c r="CD268" s="17"/>
      <c r="CE268" s="17"/>
      <c r="CF268" s="17"/>
      <c r="CG268" s="17"/>
      <c r="CH268" s="17"/>
      <c r="CI268" s="17"/>
      <c r="CJ268" s="17"/>
      <c r="CK268" s="17"/>
      <c r="CL268" s="17"/>
      <c r="CM268" s="17"/>
      <c r="CN268" s="17"/>
      <c r="CO268" s="17"/>
      <c r="CP268" s="17"/>
      <c r="CQ268" s="17"/>
      <c r="CR268" s="17"/>
      <c r="CS268" s="17"/>
      <c r="CT268" s="17"/>
      <c r="CU268" s="17"/>
      <c r="CV268" s="17"/>
    </row>
    <row r="269" spans="1:100" x14ac:dyDescent="0.35">
      <c r="B269" s="9">
        <v>2030</v>
      </c>
      <c r="C269" t="s">
        <v>337</v>
      </c>
      <c r="D269" t="s">
        <v>323</v>
      </c>
      <c r="F269" s="17">
        <v>0</v>
      </c>
      <c r="G269" s="17">
        <v>0</v>
      </c>
      <c r="H269" s="17">
        <v>0</v>
      </c>
      <c r="I269" s="17">
        <v>0</v>
      </c>
      <c r="J269" s="17">
        <v>0</v>
      </c>
      <c r="K269" s="17">
        <v>0</v>
      </c>
      <c r="L269" s="17">
        <v>0</v>
      </c>
      <c r="M269" s="17">
        <v>0</v>
      </c>
      <c r="N269" s="17">
        <v>0</v>
      </c>
      <c r="O269" s="17">
        <v>0</v>
      </c>
      <c r="P269" s="17">
        <v>0</v>
      </c>
      <c r="Q269" s="17">
        <v>0</v>
      </c>
      <c r="R269" s="17">
        <v>0</v>
      </c>
      <c r="S269" s="17">
        <v>0</v>
      </c>
      <c r="T269" s="17">
        <v>0</v>
      </c>
      <c r="U269" s="17">
        <v>0</v>
      </c>
      <c r="V269" s="17">
        <v>0</v>
      </c>
      <c r="W269" s="17">
        <v>0</v>
      </c>
      <c r="X269" s="17">
        <v>0</v>
      </c>
      <c r="Y269" s="17">
        <v>0</v>
      </c>
      <c r="Z269" s="17">
        <v>0</v>
      </c>
      <c r="AA269" s="17">
        <v>0</v>
      </c>
      <c r="AB269" s="17">
        <v>0</v>
      </c>
      <c r="AC269" s="17">
        <v>0</v>
      </c>
      <c r="AD269" s="17">
        <v>0</v>
      </c>
      <c r="AE269" s="17">
        <v>1</v>
      </c>
      <c r="AF269" s="17">
        <v>1</v>
      </c>
      <c r="AG269" s="17">
        <v>1</v>
      </c>
      <c r="AH269" s="17">
        <v>1</v>
      </c>
      <c r="AI269" s="17">
        <v>1</v>
      </c>
      <c r="AJ269" s="17">
        <v>1</v>
      </c>
      <c r="AK269" s="17">
        <v>1</v>
      </c>
      <c r="AL269" s="17">
        <v>1</v>
      </c>
      <c r="AM269" s="17">
        <v>1</v>
      </c>
      <c r="AN269" s="17">
        <v>1</v>
      </c>
      <c r="AO269" s="17"/>
      <c r="AP269" s="17"/>
      <c r="AQ269" s="17"/>
      <c r="AR269" s="17"/>
      <c r="AS269" s="17"/>
      <c r="AT269" s="17"/>
      <c r="AU269" s="17"/>
      <c r="AV269" s="17"/>
      <c r="AW269" s="17"/>
      <c r="AX269" s="17"/>
      <c r="AY269" s="17"/>
      <c r="AZ269" s="17"/>
      <c r="BA269" s="17"/>
      <c r="BB269" s="17"/>
      <c r="BC269" s="17"/>
      <c r="BD269" s="17"/>
      <c r="BE269" s="17"/>
      <c r="BF269" s="17"/>
      <c r="BG269" s="17"/>
      <c r="BH269" s="17"/>
      <c r="BI269" s="17"/>
      <c r="BJ269" s="17"/>
      <c r="BK269" s="17"/>
      <c r="BL269" s="17"/>
      <c r="BM269" s="17"/>
      <c r="BN269" s="17"/>
      <c r="BO269" s="17"/>
      <c r="BP269" s="17"/>
      <c r="BQ269" s="17"/>
      <c r="BR269" s="17"/>
      <c r="BS269" s="17"/>
      <c r="BT269" s="17"/>
      <c r="BU269" s="17"/>
      <c r="BV269" s="17"/>
      <c r="BW269" s="17"/>
      <c r="BX269" s="17"/>
      <c r="BY269" s="17"/>
      <c r="BZ269" s="17"/>
      <c r="CA269" s="17"/>
      <c r="CB269" s="17"/>
      <c r="CC269" s="17"/>
      <c r="CD269" s="17"/>
      <c r="CE269" s="17"/>
      <c r="CF269" s="17"/>
      <c r="CG269" s="17"/>
      <c r="CH269" s="17"/>
      <c r="CI269" s="17"/>
      <c r="CJ269" s="17"/>
      <c r="CK269" s="17"/>
      <c r="CL269" s="17"/>
      <c r="CM269" s="17"/>
      <c r="CN269" s="17"/>
      <c r="CO269" s="17"/>
      <c r="CP269" s="17"/>
      <c r="CQ269" s="17"/>
      <c r="CR269" s="17"/>
      <c r="CS269" s="17"/>
      <c r="CT269" s="17"/>
      <c r="CU269" s="17"/>
      <c r="CV269" s="17"/>
    </row>
    <row r="270" spans="1:100" x14ac:dyDescent="0.35">
      <c r="B270" s="9" t="s">
        <v>77</v>
      </c>
      <c r="C270" t="s">
        <v>230</v>
      </c>
      <c r="D270" t="s">
        <v>324</v>
      </c>
      <c r="F270" s="17">
        <v>0</v>
      </c>
      <c r="G270" s="17">
        <v>0</v>
      </c>
      <c r="H270" s="17">
        <v>0</v>
      </c>
      <c r="I270" s="17">
        <v>0</v>
      </c>
      <c r="J270" s="17">
        <v>1.00162</v>
      </c>
      <c r="K270" s="17">
        <v>1.0007200000000001</v>
      </c>
      <c r="L270" s="17">
        <v>1.0034799999999999</v>
      </c>
      <c r="M270" s="17">
        <v>0.99485000000000001</v>
      </c>
      <c r="N270" s="17">
        <v>0.99443999999999999</v>
      </c>
      <c r="O270" s="17">
        <v>0.99641000000000002</v>
      </c>
      <c r="P270" s="17">
        <v>1.0043200000000001</v>
      </c>
      <c r="Q270" s="17">
        <v>0.99997000000000003</v>
      </c>
      <c r="R270" s="17">
        <v>1.00298</v>
      </c>
      <c r="S270" s="17">
        <v>0.99880999999999998</v>
      </c>
      <c r="T270" s="17">
        <v>0.99936000000000003</v>
      </c>
      <c r="U270" s="17">
        <v>0.99306000000000005</v>
      </c>
      <c r="V270" s="17">
        <v>0.99829999999999997</v>
      </c>
      <c r="W270" s="17">
        <v>1.00044</v>
      </c>
      <c r="X270" s="17">
        <v>0.99777000000000005</v>
      </c>
      <c r="Y270" s="17">
        <v>1.0015799999999999</v>
      </c>
      <c r="Z270" s="17">
        <v>0.99812999999999996</v>
      </c>
      <c r="AA270" s="17">
        <v>0.99602000000000002</v>
      </c>
      <c r="AB270" s="17">
        <v>0.99556999999999995</v>
      </c>
      <c r="AC270" s="17">
        <v>0.99758000000000002</v>
      </c>
      <c r="AD270" s="17">
        <v>0.99956</v>
      </c>
      <c r="AE270" s="17">
        <v>1.00248</v>
      </c>
      <c r="AF270" s="17">
        <v>1.00241</v>
      </c>
      <c r="AG270" s="17">
        <v>0.99775999999999998</v>
      </c>
      <c r="AH270" s="17">
        <v>1.0027200000000001</v>
      </c>
      <c r="AI270" s="17">
        <v>0.99770000000000003</v>
      </c>
      <c r="AJ270" s="17">
        <v>0.99482000000000004</v>
      </c>
      <c r="AK270" s="17">
        <v>0.99990999999999997</v>
      </c>
      <c r="AL270" s="17">
        <v>0.99526000000000003</v>
      </c>
      <c r="AM270" s="17">
        <v>0.99951999999999996</v>
      </c>
      <c r="AN270" s="17">
        <v>1.00326</v>
      </c>
      <c r="AO270" s="17"/>
      <c r="AP270" s="17"/>
      <c r="AQ270" s="17"/>
      <c r="AR270" s="17"/>
      <c r="AS270" s="17"/>
      <c r="AT270" s="17"/>
      <c r="AU270" s="17"/>
      <c r="AV270" s="17"/>
      <c r="AW270" s="17"/>
      <c r="AX270" s="17"/>
      <c r="AY270" s="17"/>
      <c r="AZ270" s="17"/>
      <c r="BA270" s="17"/>
      <c r="BB270" s="17"/>
      <c r="BC270" s="17"/>
      <c r="BD270" s="17"/>
      <c r="BE270" s="17"/>
      <c r="BF270" s="17"/>
      <c r="BG270" s="17"/>
      <c r="BH270" s="17"/>
      <c r="BI270" s="17"/>
      <c r="BJ270" s="17"/>
      <c r="BK270" s="17"/>
      <c r="BL270" s="17"/>
      <c r="BM270" s="17"/>
      <c r="BN270" s="17"/>
      <c r="BO270" s="17"/>
      <c r="BP270" s="17"/>
      <c r="BQ270" s="17"/>
      <c r="BR270" s="17"/>
      <c r="BS270" s="17"/>
      <c r="BT270" s="17"/>
      <c r="BU270" s="17"/>
      <c r="BV270" s="17"/>
      <c r="BW270" s="17"/>
      <c r="BX270" s="17"/>
      <c r="BY270" s="17"/>
      <c r="BZ270" s="17"/>
      <c r="CA270" s="17"/>
      <c r="CB270" s="17"/>
      <c r="CC270" s="17"/>
      <c r="CD270" s="17"/>
      <c r="CE270" s="17"/>
      <c r="CF270" s="17"/>
      <c r="CG270" s="17"/>
      <c r="CH270" s="17"/>
      <c r="CI270" s="17"/>
      <c r="CJ270" s="17"/>
      <c r="CK270" s="17"/>
      <c r="CL270" s="17"/>
      <c r="CM270" s="17"/>
      <c r="CN270" s="17"/>
      <c r="CO270" s="17"/>
      <c r="CP270" s="17"/>
      <c r="CQ270" s="17"/>
      <c r="CR270" s="17"/>
      <c r="CS270" s="17"/>
      <c r="CT270" s="17"/>
      <c r="CU270" s="17"/>
      <c r="CV270" s="17"/>
    </row>
    <row r="271" spans="1:100" x14ac:dyDescent="0.35">
      <c r="B271" s="9" t="s">
        <v>462</v>
      </c>
      <c r="C271" t="s">
        <v>230</v>
      </c>
      <c r="D271" t="s">
        <v>325</v>
      </c>
      <c r="E271" t="s">
        <v>326</v>
      </c>
      <c r="F271" s="17">
        <v>0</v>
      </c>
      <c r="G271" s="17">
        <v>0</v>
      </c>
      <c r="H271" s="17">
        <v>0</v>
      </c>
      <c r="I271" s="17">
        <v>0</v>
      </c>
      <c r="J271" s="17">
        <v>0.96040999999999999</v>
      </c>
      <c r="K271" s="17">
        <v>0.93291999999999997</v>
      </c>
      <c r="L271" s="17">
        <v>0.91127000000000002</v>
      </c>
      <c r="M271" s="17">
        <v>0.89365000000000006</v>
      </c>
      <c r="N271" s="17">
        <v>0.87787000000000004</v>
      </c>
      <c r="O271" s="17">
        <v>0.86314999999999997</v>
      </c>
      <c r="P271" s="17">
        <v>0.84909999999999997</v>
      </c>
      <c r="Q271" s="17">
        <v>0.83575999999999995</v>
      </c>
      <c r="R271" s="17">
        <v>0.82272000000000001</v>
      </c>
      <c r="S271" s="17">
        <v>0.8105</v>
      </c>
      <c r="T271" s="17">
        <v>0.79876000000000003</v>
      </c>
      <c r="U271" s="17">
        <v>0.78764999999999996</v>
      </c>
      <c r="V271" s="17">
        <v>0.77698</v>
      </c>
      <c r="W271" s="17">
        <v>0.76676999999999995</v>
      </c>
      <c r="X271" s="17">
        <v>0.75675999999999999</v>
      </c>
      <c r="Y271" s="17">
        <v>0.74675000000000002</v>
      </c>
      <c r="Z271" s="17">
        <v>0.73677000000000004</v>
      </c>
      <c r="AA271" s="17">
        <v>0.72680999999999996</v>
      </c>
      <c r="AB271" s="17">
        <v>0.71677999999999997</v>
      </c>
      <c r="AC271" s="17">
        <v>0.70687999999999995</v>
      </c>
      <c r="AD271" s="17">
        <v>0.69686000000000003</v>
      </c>
      <c r="AE271" s="17">
        <v>0.99975999999999998</v>
      </c>
      <c r="AF271" s="17">
        <v>0.96016999999999997</v>
      </c>
      <c r="AG271" s="17">
        <v>0.93279000000000001</v>
      </c>
      <c r="AH271" s="17">
        <v>0.91122000000000003</v>
      </c>
      <c r="AI271" s="17">
        <v>0.89351000000000003</v>
      </c>
      <c r="AJ271" s="17">
        <v>0.87771999999999994</v>
      </c>
      <c r="AK271" s="17">
        <v>0.86297999999999997</v>
      </c>
      <c r="AL271" s="17">
        <v>0.84914000000000001</v>
      </c>
      <c r="AM271" s="17">
        <v>0.83569000000000004</v>
      </c>
      <c r="AN271" s="17">
        <v>0.82262000000000002</v>
      </c>
      <c r="AO271" s="17"/>
      <c r="AP271" s="17"/>
      <c r="AQ271" s="17"/>
      <c r="AR271" s="17"/>
      <c r="AS271" s="17"/>
      <c r="AT271" s="17"/>
      <c r="AU271" s="17"/>
      <c r="AV271" s="17"/>
      <c r="AW271" s="17"/>
      <c r="AX271" s="17"/>
      <c r="AY271" s="17"/>
      <c r="AZ271" s="17"/>
      <c r="BA271" s="17"/>
      <c r="BB271" s="17"/>
      <c r="BC271" s="17"/>
      <c r="BD271" s="17"/>
      <c r="BE271" s="17"/>
      <c r="BF271" s="17"/>
      <c r="BG271" s="17"/>
      <c r="BH271" s="17"/>
      <c r="BI271" s="17"/>
      <c r="BJ271" s="17"/>
      <c r="BK271" s="17"/>
      <c r="BL271" s="17"/>
      <c r="BM271" s="17"/>
      <c r="BN271" s="17"/>
      <c r="BO271" s="17"/>
      <c r="BP271" s="17"/>
      <c r="BQ271" s="17"/>
      <c r="BR271" s="17"/>
      <c r="BS271" s="17"/>
      <c r="BT271" s="17"/>
      <c r="BU271" s="17"/>
      <c r="BV271" s="17"/>
      <c r="BW271" s="17"/>
      <c r="BX271" s="17"/>
      <c r="BY271" s="17"/>
      <c r="BZ271" s="17"/>
      <c r="CA271" s="17"/>
      <c r="CB271" s="17"/>
      <c r="CC271" s="17"/>
      <c r="CD271" s="17"/>
      <c r="CE271" s="17"/>
      <c r="CF271" s="17"/>
      <c r="CG271" s="17"/>
      <c r="CH271" s="17"/>
      <c r="CI271" s="17"/>
      <c r="CJ271" s="17"/>
      <c r="CK271" s="17"/>
      <c r="CL271" s="17"/>
      <c r="CM271" s="17"/>
      <c r="CN271" s="17"/>
      <c r="CO271" s="17"/>
      <c r="CP271" s="17"/>
      <c r="CQ271" s="17"/>
      <c r="CR271" s="17"/>
      <c r="CS271" s="17"/>
      <c r="CT271" s="17"/>
      <c r="CU271" s="17"/>
      <c r="CV271" s="17"/>
    </row>
    <row r="272" spans="1:100" x14ac:dyDescent="0.35">
      <c r="B272" s="9" t="s">
        <v>444</v>
      </c>
      <c r="C272" t="s">
        <v>230</v>
      </c>
      <c r="D272" t="s">
        <v>327</v>
      </c>
      <c r="E272" t="s">
        <v>326</v>
      </c>
      <c r="F272" s="17">
        <v>0</v>
      </c>
      <c r="G272" s="17">
        <v>0</v>
      </c>
      <c r="H272" s="17">
        <v>0</v>
      </c>
      <c r="I272" s="17">
        <v>0</v>
      </c>
      <c r="J272" s="17">
        <v>0.95967999999999998</v>
      </c>
      <c r="K272" s="17">
        <v>0.93149999999999999</v>
      </c>
      <c r="L272" s="17">
        <v>0.90919000000000005</v>
      </c>
      <c r="M272" s="17">
        <v>0.89092000000000005</v>
      </c>
      <c r="N272" s="17">
        <v>0.87451999999999996</v>
      </c>
      <c r="O272" s="17">
        <v>0.85919000000000001</v>
      </c>
      <c r="P272" s="17">
        <v>0.84455999999999998</v>
      </c>
      <c r="Q272" s="17">
        <v>0.83065999999999995</v>
      </c>
      <c r="R272" s="17">
        <v>0.81706000000000001</v>
      </c>
      <c r="S272" s="17">
        <v>0.80430000000000001</v>
      </c>
      <c r="T272" s="17">
        <v>0.79203999999999997</v>
      </c>
      <c r="U272" s="17">
        <v>0.78041000000000005</v>
      </c>
      <c r="V272" s="17">
        <v>0.76924999999999999</v>
      </c>
      <c r="W272" s="17">
        <v>0.75854999999999995</v>
      </c>
      <c r="X272" s="17">
        <v>0.74807000000000001</v>
      </c>
      <c r="Y272" s="17">
        <v>0.73760000000000003</v>
      </c>
      <c r="Z272" s="17">
        <v>0.72716999999999998</v>
      </c>
      <c r="AA272" s="17">
        <v>0.71677999999999997</v>
      </c>
      <c r="AB272" s="17">
        <v>0.70633000000000001</v>
      </c>
      <c r="AC272" s="17">
        <v>0.69603000000000004</v>
      </c>
      <c r="AD272" s="17">
        <v>0.68562000000000001</v>
      </c>
      <c r="AE272" s="17">
        <v>0.99973999999999996</v>
      </c>
      <c r="AF272" s="17">
        <v>0.95943999999999996</v>
      </c>
      <c r="AG272" s="17">
        <v>0.93137000000000003</v>
      </c>
      <c r="AH272" s="17">
        <v>0.90913999999999995</v>
      </c>
      <c r="AI272" s="17">
        <v>0.89078999999999997</v>
      </c>
      <c r="AJ272" s="17">
        <v>0.87436999999999998</v>
      </c>
      <c r="AK272" s="17">
        <v>0.85902999999999996</v>
      </c>
      <c r="AL272" s="17">
        <v>0.84458999999999995</v>
      </c>
      <c r="AM272" s="17">
        <v>0.83057999999999998</v>
      </c>
      <c r="AN272" s="17">
        <v>0.81696000000000002</v>
      </c>
      <c r="AO272" s="17"/>
      <c r="AP272" s="17"/>
      <c r="AQ272" s="17"/>
      <c r="AR272" s="17"/>
      <c r="AS272" s="17"/>
      <c r="AT272" s="17"/>
      <c r="AU272" s="17"/>
      <c r="AV272" s="17"/>
      <c r="AW272" s="17"/>
      <c r="AX272" s="17"/>
      <c r="AY272" s="17"/>
      <c r="AZ272" s="17"/>
      <c r="BA272" s="17"/>
      <c r="BB272" s="17"/>
      <c r="BC272" s="17"/>
      <c r="BD272" s="17"/>
      <c r="BE272" s="17"/>
      <c r="BF272" s="17"/>
      <c r="BG272" s="17"/>
      <c r="BH272" s="17"/>
      <c r="BI272" s="17"/>
      <c r="BJ272" s="17"/>
      <c r="BK272" s="17"/>
      <c r="BL272" s="17"/>
      <c r="BM272" s="17"/>
      <c r="BN272" s="17"/>
      <c r="BO272" s="17"/>
      <c r="BP272" s="17"/>
      <c r="BQ272" s="17"/>
      <c r="BR272" s="17"/>
      <c r="BS272" s="17"/>
      <c r="BT272" s="17"/>
      <c r="BU272" s="17"/>
      <c r="BV272" s="17"/>
      <c r="BW272" s="17"/>
      <c r="BX272" s="17"/>
      <c r="BY272" s="17"/>
      <c r="BZ272" s="17"/>
      <c r="CA272" s="17"/>
      <c r="CB272" s="17"/>
      <c r="CC272" s="17"/>
      <c r="CD272" s="17"/>
      <c r="CE272" s="17"/>
      <c r="CF272" s="17"/>
      <c r="CG272" s="17"/>
      <c r="CH272" s="17"/>
      <c r="CI272" s="17"/>
      <c r="CJ272" s="17"/>
      <c r="CK272" s="17"/>
      <c r="CL272" s="17"/>
      <c r="CM272" s="17"/>
      <c r="CN272" s="17"/>
      <c r="CO272" s="17"/>
      <c r="CP272" s="17"/>
      <c r="CQ272" s="17"/>
      <c r="CR272" s="17"/>
      <c r="CS272" s="17"/>
      <c r="CT272" s="17"/>
      <c r="CU272" s="17"/>
      <c r="CV272" s="17"/>
    </row>
    <row r="273" spans="2:100" x14ac:dyDescent="0.35">
      <c r="B273" s="9" t="s">
        <v>144</v>
      </c>
      <c r="C273" t="s">
        <v>338</v>
      </c>
      <c r="D273" t="s">
        <v>328</v>
      </c>
      <c r="E273" t="s">
        <v>217</v>
      </c>
      <c r="F273" s="17">
        <v>0</v>
      </c>
      <c r="G273" s="17">
        <v>0</v>
      </c>
      <c r="H273" s="17">
        <v>0</v>
      </c>
      <c r="I273" s="17">
        <v>0</v>
      </c>
      <c r="J273" s="17">
        <v>763.21664999999996</v>
      </c>
      <c r="K273" s="17">
        <v>752.19407000000001</v>
      </c>
      <c r="L273" s="17">
        <v>713.94902999999999</v>
      </c>
      <c r="M273" s="17">
        <v>682.16546000000005</v>
      </c>
      <c r="N273" s="17">
        <v>613.66567999999995</v>
      </c>
      <c r="O273" s="17">
        <v>593.29154000000005</v>
      </c>
      <c r="P273" s="17">
        <v>548.33564000000001</v>
      </c>
      <c r="Q273" s="17">
        <v>566.64774999999997</v>
      </c>
      <c r="R273" s="17">
        <v>516.86465999999996</v>
      </c>
      <c r="S273" s="17">
        <v>487.96204999999998</v>
      </c>
      <c r="T273" s="17">
        <v>470.23655000000002</v>
      </c>
      <c r="U273" s="17">
        <v>451.37234000000001</v>
      </c>
      <c r="V273" s="17">
        <v>438.40613000000002</v>
      </c>
      <c r="W273" s="17">
        <v>420.80802</v>
      </c>
      <c r="X273" s="17">
        <v>394.52080000000001</v>
      </c>
      <c r="Y273" s="17">
        <v>378.68705999999997</v>
      </c>
      <c r="Z273" s="17">
        <v>354.09158000000002</v>
      </c>
      <c r="AA273" s="17">
        <v>350.08665999999999</v>
      </c>
      <c r="AB273" s="17">
        <v>350.51925999999997</v>
      </c>
      <c r="AC273" s="17">
        <v>333.74603000000002</v>
      </c>
      <c r="AD273" s="17">
        <v>331.76861000000002</v>
      </c>
      <c r="AE273" s="17">
        <v>315.38398000000001</v>
      </c>
      <c r="AF273" s="17">
        <v>581.49779000000001</v>
      </c>
      <c r="AG273" s="17">
        <v>561.39959999999996</v>
      </c>
      <c r="AH273" s="17">
        <v>546.06113000000005</v>
      </c>
      <c r="AI273" s="17">
        <v>531.43416000000002</v>
      </c>
      <c r="AJ273" s="17">
        <v>516.68190000000004</v>
      </c>
      <c r="AK273" s="17">
        <v>501.72334000000001</v>
      </c>
      <c r="AL273" s="17">
        <v>489.70258000000001</v>
      </c>
      <c r="AM273" s="17">
        <v>471.63089000000002</v>
      </c>
      <c r="AN273" s="17">
        <v>456.69628</v>
      </c>
      <c r="AO273" s="17"/>
      <c r="AP273" s="17"/>
      <c r="AQ273" s="17"/>
      <c r="AR273" s="17"/>
      <c r="AS273" s="17"/>
      <c r="AT273" s="17"/>
      <c r="AU273" s="17"/>
      <c r="AV273" s="17"/>
      <c r="AW273" s="17"/>
      <c r="AX273" s="17"/>
      <c r="AY273" s="17"/>
      <c r="AZ273" s="17"/>
      <c r="BA273" s="17"/>
      <c r="BB273" s="17"/>
      <c r="BC273" s="17"/>
      <c r="BD273" s="17"/>
      <c r="BE273" s="17"/>
      <c r="BF273" s="17"/>
      <c r="BG273" s="17"/>
      <c r="BH273" s="17"/>
      <c r="BI273" s="17"/>
      <c r="BJ273" s="17"/>
      <c r="BK273" s="17"/>
      <c r="BL273" s="17"/>
      <c r="BM273" s="17"/>
      <c r="BN273" s="17"/>
      <c r="BO273" s="17"/>
      <c r="BP273" s="17"/>
      <c r="BQ273" s="17"/>
      <c r="BR273" s="17"/>
      <c r="BS273" s="17"/>
      <c r="BT273" s="17"/>
      <c r="BU273" s="17"/>
      <c r="BV273" s="17"/>
      <c r="BW273" s="17"/>
      <c r="BX273" s="17"/>
      <c r="BY273" s="17"/>
      <c r="BZ273" s="17"/>
      <c r="CA273" s="17"/>
      <c r="CB273" s="17"/>
      <c r="CC273" s="17"/>
      <c r="CD273" s="17"/>
      <c r="CE273" s="17"/>
      <c r="CF273" s="17"/>
      <c r="CG273" s="17"/>
      <c r="CH273" s="17"/>
      <c r="CI273" s="17"/>
      <c r="CJ273" s="17"/>
      <c r="CK273" s="17"/>
      <c r="CL273" s="17"/>
      <c r="CM273" s="17"/>
      <c r="CN273" s="17"/>
      <c r="CO273" s="17"/>
      <c r="CP273" s="17"/>
      <c r="CQ273" s="17"/>
      <c r="CR273" s="17"/>
      <c r="CS273" s="17"/>
      <c r="CT273" s="17"/>
      <c r="CU273" s="17"/>
      <c r="CV273" s="17"/>
    </row>
    <row r="274" spans="2:100" x14ac:dyDescent="0.35">
      <c r="B274" s="9"/>
      <c r="C274" t="s">
        <v>230</v>
      </c>
      <c r="D274" t="s">
        <v>329</v>
      </c>
      <c r="E274" t="s">
        <v>217</v>
      </c>
      <c r="F274" s="17">
        <v>0</v>
      </c>
      <c r="G274" s="17">
        <v>0</v>
      </c>
      <c r="H274" s="17">
        <v>0</v>
      </c>
      <c r="I274" s="17">
        <v>0</v>
      </c>
      <c r="J274" s="17">
        <v>-78.83905</v>
      </c>
      <c r="K274" s="17">
        <v>-60.135629999999999</v>
      </c>
      <c r="L274" s="17">
        <v>-42.06391</v>
      </c>
      <c r="M274" s="17">
        <v>-32.62959</v>
      </c>
      <c r="N274" s="17">
        <v>-17.91977</v>
      </c>
      <c r="O274" s="17">
        <v>-8.8073300000000003</v>
      </c>
      <c r="P274" s="17">
        <v>-5.8248699999999998</v>
      </c>
      <c r="Q274" s="17">
        <v>-5.8947900000000004</v>
      </c>
      <c r="R274" s="17">
        <v>-4.7598099999999999</v>
      </c>
      <c r="S274" s="17">
        <v>-4.3008300000000004</v>
      </c>
      <c r="T274" s="17">
        <v>-2.6746400000000001</v>
      </c>
      <c r="U274" s="17">
        <v>-3.3674300000000001</v>
      </c>
      <c r="V274" s="17">
        <v>-3.0716199999999998</v>
      </c>
      <c r="W274" s="17">
        <v>-7.4515399999999996</v>
      </c>
      <c r="X274" s="17">
        <v>-4.6311799999999996</v>
      </c>
      <c r="Y274" s="17">
        <v>-3.1025</v>
      </c>
      <c r="Z274" s="17">
        <v>-1.0702100000000001</v>
      </c>
      <c r="AA274" s="17">
        <v>-0.80410999999999999</v>
      </c>
      <c r="AB274" s="17">
        <v>-0.89876999999999996</v>
      </c>
      <c r="AC274" s="17">
        <v>-0.67405000000000004</v>
      </c>
      <c r="AD274" s="17">
        <v>0</v>
      </c>
      <c r="AE274" s="17">
        <v>0</v>
      </c>
      <c r="AF274" s="17">
        <v>-2.7443200000000001</v>
      </c>
      <c r="AG274" s="17">
        <v>-2.9362900000000001</v>
      </c>
      <c r="AH274" s="17">
        <v>-2.7001499999999998</v>
      </c>
      <c r="AI274" s="17">
        <v>-1.2063900000000001</v>
      </c>
      <c r="AJ274" s="17">
        <v>-0.95416999999999996</v>
      </c>
      <c r="AK274" s="17">
        <v>-1.3720000000000001</v>
      </c>
      <c r="AL274" s="17">
        <v>-2.6580300000000001</v>
      </c>
      <c r="AM274" s="17">
        <v>-2.6275900000000001</v>
      </c>
      <c r="AN274" s="17">
        <v>-2.3102800000000001</v>
      </c>
      <c r="AO274" s="17"/>
      <c r="AP274" s="17"/>
      <c r="AQ274" s="17"/>
      <c r="AR274" s="17"/>
      <c r="AS274" s="17"/>
      <c r="AT274" s="17"/>
      <c r="AU274" s="17"/>
      <c r="AV274" s="17"/>
      <c r="AW274" s="17"/>
      <c r="AX274" s="17"/>
      <c r="AY274" s="17"/>
      <c r="AZ274" s="17"/>
      <c r="BA274" s="17"/>
      <c r="BB274" s="17"/>
      <c r="BC274" s="17"/>
      <c r="BD274" s="17"/>
      <c r="BE274" s="17"/>
      <c r="BF274" s="17"/>
      <c r="BG274" s="17"/>
      <c r="BH274" s="17"/>
      <c r="BI274" s="17"/>
      <c r="BJ274" s="17"/>
      <c r="BK274" s="17"/>
      <c r="BL274" s="17"/>
      <c r="BM274" s="17"/>
      <c r="BN274" s="17"/>
      <c r="BO274" s="17"/>
      <c r="BP274" s="17"/>
      <c r="BQ274" s="17"/>
      <c r="BR274" s="17"/>
      <c r="BS274" s="17"/>
      <c r="BT274" s="17"/>
      <c r="BU274" s="17"/>
      <c r="BV274" s="17"/>
      <c r="BW274" s="17"/>
      <c r="BX274" s="17"/>
      <c r="BY274" s="17"/>
      <c r="BZ274" s="17"/>
      <c r="CA274" s="17"/>
      <c r="CB274" s="17"/>
      <c r="CC274" s="17"/>
      <c r="CD274" s="17"/>
      <c r="CE274" s="17"/>
      <c r="CF274" s="17"/>
      <c r="CG274" s="17"/>
      <c r="CH274" s="17"/>
      <c r="CI274" s="17"/>
      <c r="CJ274" s="17"/>
      <c r="CK274" s="17"/>
      <c r="CL274" s="17"/>
      <c r="CM274" s="17"/>
      <c r="CN274" s="17"/>
      <c r="CO274" s="17"/>
      <c r="CP274" s="17"/>
      <c r="CQ274" s="17"/>
      <c r="CR274" s="17"/>
      <c r="CS274" s="17"/>
      <c r="CT274" s="17"/>
      <c r="CU274" s="17"/>
      <c r="CV274" s="17"/>
    </row>
    <row r="275" spans="2:100" x14ac:dyDescent="0.35">
      <c r="B275" s="9"/>
      <c r="C275" t="s">
        <v>230</v>
      </c>
      <c r="D275" t="s">
        <v>330</v>
      </c>
      <c r="E275" t="s">
        <v>217</v>
      </c>
      <c r="F275" s="17">
        <v>0</v>
      </c>
      <c r="G275" s="17">
        <v>0</v>
      </c>
      <c r="H275" s="17">
        <v>0</v>
      </c>
      <c r="I275" s="17">
        <v>0</v>
      </c>
      <c r="J275" s="17">
        <v>319.77489000000003</v>
      </c>
      <c r="K275" s="17">
        <v>336.90600999999998</v>
      </c>
      <c r="L275" s="17">
        <v>298.18614000000002</v>
      </c>
      <c r="M275" s="17">
        <v>333.18597</v>
      </c>
      <c r="N275" s="17">
        <v>353.30579</v>
      </c>
      <c r="O275" s="17">
        <v>313.68794000000003</v>
      </c>
      <c r="P275" s="17">
        <v>374.11232000000001</v>
      </c>
      <c r="Q275" s="17">
        <v>372.08154999999999</v>
      </c>
      <c r="R275" s="17">
        <v>374.05329999999998</v>
      </c>
      <c r="S275" s="17">
        <v>372.28865999999999</v>
      </c>
      <c r="T275" s="17">
        <v>356.19943000000001</v>
      </c>
      <c r="U275" s="17">
        <v>356.38033000000001</v>
      </c>
      <c r="V275" s="17">
        <v>351.75772999999998</v>
      </c>
      <c r="W275" s="17">
        <v>369.02375999999998</v>
      </c>
      <c r="X275" s="17">
        <v>371.89391000000001</v>
      </c>
      <c r="Y275" s="17">
        <v>373.54489000000001</v>
      </c>
      <c r="Z275" s="17">
        <v>347.42487999999997</v>
      </c>
      <c r="AA275" s="17">
        <v>352.33872000000002</v>
      </c>
      <c r="AB275" s="17">
        <v>328.86383000000001</v>
      </c>
      <c r="AC275" s="17">
        <v>327.25958000000003</v>
      </c>
      <c r="AD275" s="17">
        <v>317.21255000000002</v>
      </c>
      <c r="AE275" s="17">
        <v>309.78573</v>
      </c>
      <c r="AF275" s="17">
        <v>399.26474000000002</v>
      </c>
      <c r="AG275" s="17">
        <v>371.46451000000002</v>
      </c>
      <c r="AH275" s="17">
        <v>371.01587000000001</v>
      </c>
      <c r="AI275" s="17">
        <v>341.53611000000001</v>
      </c>
      <c r="AJ275" s="17">
        <v>339.02091000000001</v>
      </c>
      <c r="AK275" s="17">
        <v>351.43421999999998</v>
      </c>
      <c r="AL275" s="17">
        <v>338.58976999999999</v>
      </c>
      <c r="AM275" s="17">
        <v>333.57546000000002</v>
      </c>
      <c r="AN275" s="17">
        <v>336.75932999999998</v>
      </c>
      <c r="AO275" s="17"/>
      <c r="AP275" s="17"/>
      <c r="AQ275" s="17"/>
      <c r="AR275" s="17"/>
      <c r="AS275" s="17"/>
      <c r="AT275" s="17"/>
      <c r="AU275" s="17"/>
      <c r="AV275" s="17"/>
      <c r="AW275" s="17"/>
      <c r="AX275" s="17"/>
      <c r="AY275" s="17"/>
      <c r="AZ275" s="17"/>
      <c r="BA275" s="17"/>
      <c r="BB275" s="17"/>
      <c r="BC275" s="17"/>
      <c r="BD275" s="17"/>
      <c r="BE275" s="17"/>
      <c r="BF275" s="17"/>
      <c r="BG275" s="17"/>
      <c r="BH275" s="17"/>
      <c r="BI275" s="17"/>
      <c r="BJ275" s="17"/>
      <c r="BK275" s="17"/>
      <c r="BL275" s="17"/>
      <c r="BM275" s="17"/>
      <c r="BN275" s="17"/>
      <c r="BO275" s="17"/>
      <c r="BP275" s="17"/>
      <c r="BQ275" s="17"/>
      <c r="BR275" s="17"/>
      <c r="BS275" s="17"/>
      <c r="BT275" s="17"/>
      <c r="BU275" s="17"/>
      <c r="BV275" s="17"/>
      <c r="BW275" s="17"/>
      <c r="BX275" s="17"/>
      <c r="BY275" s="17"/>
      <c r="BZ275" s="17"/>
      <c r="CA275" s="17"/>
      <c r="CB275" s="17"/>
      <c r="CC275" s="17"/>
      <c r="CD275" s="17"/>
      <c r="CE275" s="17"/>
      <c r="CF275" s="17"/>
      <c r="CG275" s="17"/>
      <c r="CH275" s="17"/>
      <c r="CI275" s="17"/>
      <c r="CJ275" s="17"/>
      <c r="CK275" s="17"/>
      <c r="CL275" s="17"/>
      <c r="CM275" s="17"/>
      <c r="CN275" s="17"/>
      <c r="CO275" s="17"/>
      <c r="CP275" s="17"/>
      <c r="CQ275" s="17"/>
      <c r="CR275" s="17"/>
      <c r="CS275" s="17"/>
      <c r="CT275" s="17"/>
      <c r="CU275" s="17"/>
      <c r="CV275" s="17"/>
    </row>
    <row r="276" spans="2:100" x14ac:dyDescent="0.35">
      <c r="B276" s="9"/>
      <c r="C276" t="s">
        <v>230</v>
      </c>
      <c r="D276" t="s">
        <v>331</v>
      </c>
      <c r="E276" t="s">
        <v>217</v>
      </c>
      <c r="F276" s="17">
        <v>0</v>
      </c>
      <c r="G276" s="17">
        <v>0</v>
      </c>
      <c r="H276" s="17">
        <v>0</v>
      </c>
      <c r="I276" s="17">
        <v>0</v>
      </c>
      <c r="J276" s="17">
        <v>-152.90864999999999</v>
      </c>
      <c r="K276" s="17">
        <v>-139.73635999999999</v>
      </c>
      <c r="L276" s="17">
        <v>-123.38778000000001</v>
      </c>
      <c r="M276" s="17">
        <v>-134.46906000000001</v>
      </c>
      <c r="N276" s="17">
        <v>-143.68311</v>
      </c>
      <c r="O276" s="17">
        <v>-134.66802000000001</v>
      </c>
      <c r="P276" s="17">
        <v>-136.71719999999999</v>
      </c>
      <c r="Q276" s="17">
        <v>-99.708920000000006</v>
      </c>
      <c r="R276" s="17">
        <v>-119.22958</v>
      </c>
      <c r="S276" s="17">
        <v>-113.46587</v>
      </c>
      <c r="T276" s="17">
        <v>-117.41654</v>
      </c>
      <c r="U276" s="17">
        <v>-104.49284</v>
      </c>
      <c r="V276" s="17">
        <v>-93.007620000000003</v>
      </c>
      <c r="W276" s="17">
        <v>-106.85494</v>
      </c>
      <c r="X276" s="17">
        <v>-102.59753000000001</v>
      </c>
      <c r="Y276" s="17">
        <v>-98.96078</v>
      </c>
      <c r="Z276" s="17">
        <v>-99.030969999999996</v>
      </c>
      <c r="AA276" s="17">
        <v>-95.79692</v>
      </c>
      <c r="AB276" s="17">
        <v>-89.370490000000004</v>
      </c>
      <c r="AC276" s="17">
        <v>-88.788529999999994</v>
      </c>
      <c r="AD276" s="17">
        <v>-81.258859999999999</v>
      </c>
      <c r="AE276" s="17">
        <v>-81.685649999999995</v>
      </c>
      <c r="AF276" s="17">
        <v>-124.14457</v>
      </c>
      <c r="AG276" s="17">
        <v>-123.03679</v>
      </c>
      <c r="AH276" s="17">
        <v>-115.78561999999999</v>
      </c>
      <c r="AI276" s="17">
        <v>-106.01116</v>
      </c>
      <c r="AJ276" s="17">
        <v>-94.530640000000005</v>
      </c>
      <c r="AK276" s="17">
        <v>-101.53618</v>
      </c>
      <c r="AL276" s="17">
        <v>-106.98705</v>
      </c>
      <c r="AM276" s="17">
        <v>-115.4474</v>
      </c>
      <c r="AN276" s="17">
        <v>-116.36471</v>
      </c>
      <c r="AO276" s="17"/>
      <c r="AP276" s="17"/>
      <c r="AQ276" s="17"/>
      <c r="AR276" s="17"/>
      <c r="AS276" s="17"/>
      <c r="AT276" s="17"/>
      <c r="AU276" s="17"/>
      <c r="AV276" s="17"/>
      <c r="AW276" s="17"/>
      <c r="AX276" s="17"/>
      <c r="AY276" s="17"/>
      <c r="AZ276" s="17"/>
      <c r="BA276" s="17"/>
      <c r="BB276" s="17"/>
      <c r="BC276" s="17"/>
      <c r="BD276" s="17"/>
      <c r="BE276" s="17"/>
      <c r="BF276" s="17"/>
      <c r="BG276" s="17"/>
      <c r="BH276" s="17"/>
      <c r="BI276" s="17"/>
      <c r="BJ276" s="17"/>
      <c r="BK276" s="17"/>
      <c r="BL276" s="17"/>
      <c r="BM276" s="17"/>
      <c r="BN276" s="17"/>
      <c r="BO276" s="17"/>
      <c r="BP276" s="17"/>
      <c r="BQ276" s="17"/>
      <c r="BR276" s="17"/>
      <c r="BS276" s="17"/>
      <c r="BT276" s="17"/>
      <c r="BU276" s="17"/>
      <c r="BV276" s="17"/>
      <c r="BW276" s="17"/>
      <c r="BX276" s="17"/>
      <c r="BY276" s="17"/>
      <c r="BZ276" s="17"/>
      <c r="CA276" s="17"/>
      <c r="CB276" s="17"/>
      <c r="CC276" s="17"/>
      <c r="CD276" s="17"/>
      <c r="CE276" s="17"/>
      <c r="CF276" s="17"/>
      <c r="CG276" s="17"/>
      <c r="CH276" s="17"/>
      <c r="CI276" s="17"/>
      <c r="CJ276" s="17"/>
      <c r="CK276" s="17"/>
      <c r="CL276" s="17"/>
      <c r="CM276" s="17"/>
      <c r="CN276" s="17"/>
      <c r="CO276" s="17"/>
      <c r="CP276" s="17"/>
      <c r="CQ276" s="17"/>
      <c r="CR276" s="17"/>
      <c r="CS276" s="17"/>
      <c r="CT276" s="17"/>
      <c r="CU276" s="17"/>
      <c r="CV276" s="17"/>
    </row>
    <row r="277" spans="2:100" x14ac:dyDescent="0.35">
      <c r="B277" s="9"/>
      <c r="C277" t="s">
        <v>230</v>
      </c>
      <c r="D277" t="s">
        <v>332</v>
      </c>
      <c r="E277" t="s">
        <v>217</v>
      </c>
      <c r="F277" s="17">
        <v>0</v>
      </c>
      <c r="G277" s="17">
        <v>0</v>
      </c>
      <c r="H277" s="17">
        <v>0</v>
      </c>
      <c r="I277" s="17">
        <v>0</v>
      </c>
      <c r="J277" s="17">
        <v>349.93842000000001</v>
      </c>
      <c r="K277" s="17">
        <v>292.47588000000002</v>
      </c>
      <c r="L277" s="17">
        <v>339.92806000000002</v>
      </c>
      <c r="M277" s="17">
        <v>292.01877999999999</v>
      </c>
      <c r="N277" s="17">
        <v>314.57152000000002</v>
      </c>
      <c r="O277" s="17">
        <v>353.99916000000002</v>
      </c>
      <c r="P277" s="17">
        <v>330.02469000000002</v>
      </c>
      <c r="Q277" s="17">
        <v>284.16406999999998</v>
      </c>
      <c r="R277" s="17">
        <v>315.49191000000002</v>
      </c>
      <c r="S277" s="17">
        <v>321.96152000000001</v>
      </c>
      <c r="T277" s="17">
        <v>341.32476000000003</v>
      </c>
      <c r="U277" s="17">
        <v>332.16269</v>
      </c>
      <c r="V277" s="17">
        <v>339.09433999999999</v>
      </c>
      <c r="W277" s="17">
        <v>325.92173000000003</v>
      </c>
      <c r="X277" s="17">
        <v>333.95893000000001</v>
      </c>
      <c r="Y277" s="17">
        <v>333.99094000000002</v>
      </c>
      <c r="Z277" s="17">
        <v>365.77489000000003</v>
      </c>
      <c r="AA277" s="17">
        <v>347.45269999999999</v>
      </c>
      <c r="AB277" s="17">
        <v>357.70227999999997</v>
      </c>
      <c r="AC277" s="17">
        <v>360.22798</v>
      </c>
      <c r="AD277" s="17">
        <v>359.18815999999998</v>
      </c>
      <c r="AE277" s="17">
        <v>373.70227</v>
      </c>
      <c r="AF277" s="17">
        <v>456.87475000000001</v>
      </c>
      <c r="AG277" s="17">
        <v>444.42009000000002</v>
      </c>
      <c r="AH277" s="17">
        <v>430.10408000000001</v>
      </c>
      <c r="AI277" s="17">
        <v>438.01229999999998</v>
      </c>
      <c r="AJ277" s="17">
        <v>429.71854999999999</v>
      </c>
      <c r="AK277" s="17">
        <v>412.0772</v>
      </c>
      <c r="AL277" s="17">
        <v>409.47973999999999</v>
      </c>
      <c r="AM277" s="17">
        <v>417.08008000000001</v>
      </c>
      <c r="AN277" s="17">
        <v>416.50411000000003</v>
      </c>
      <c r="AO277" s="17"/>
      <c r="AP277" s="17"/>
      <c r="AQ277" s="17"/>
      <c r="AR277" s="17"/>
      <c r="AS277" s="17"/>
      <c r="AT277" s="17"/>
      <c r="AU277" s="17"/>
      <c r="AV277" s="17"/>
      <c r="AW277" s="17"/>
      <c r="AX277" s="17"/>
      <c r="AY277" s="17"/>
      <c r="AZ277" s="17"/>
      <c r="BA277" s="17"/>
      <c r="BB277" s="17"/>
      <c r="BC277" s="17"/>
      <c r="BD277" s="17"/>
      <c r="BE277" s="17"/>
      <c r="BF277" s="17"/>
      <c r="BG277" s="17"/>
      <c r="BH277" s="17"/>
      <c r="BI277" s="17"/>
      <c r="BJ277" s="17"/>
      <c r="BK277" s="17"/>
      <c r="BL277" s="17"/>
      <c r="BM277" s="17"/>
      <c r="BN277" s="17"/>
      <c r="BO277" s="17"/>
      <c r="BP277" s="17"/>
      <c r="BQ277" s="17"/>
      <c r="BR277" s="17"/>
      <c r="BS277" s="17"/>
      <c r="BT277" s="17"/>
      <c r="BU277" s="17"/>
      <c r="BV277" s="17"/>
      <c r="BW277" s="17"/>
      <c r="BX277" s="17"/>
      <c r="BY277" s="17"/>
      <c r="BZ277" s="17"/>
      <c r="CA277" s="17"/>
      <c r="CB277" s="17"/>
      <c r="CC277" s="17"/>
      <c r="CD277" s="17"/>
      <c r="CE277" s="17"/>
      <c r="CF277" s="17"/>
      <c r="CG277" s="17"/>
      <c r="CH277" s="17"/>
      <c r="CI277" s="17"/>
      <c r="CJ277" s="17"/>
      <c r="CK277" s="17"/>
      <c r="CL277" s="17"/>
      <c r="CM277" s="17"/>
      <c r="CN277" s="17"/>
      <c r="CO277" s="17"/>
      <c r="CP277" s="17"/>
      <c r="CQ277" s="17"/>
      <c r="CR277" s="17"/>
      <c r="CS277" s="17"/>
      <c r="CT277" s="17"/>
      <c r="CU277" s="17"/>
      <c r="CV277" s="17"/>
    </row>
    <row r="278" spans="2:100" x14ac:dyDescent="0.35">
      <c r="B278" s="9"/>
      <c r="C278" t="s">
        <v>230</v>
      </c>
      <c r="D278" t="s">
        <v>333</v>
      </c>
      <c r="E278" t="s">
        <v>217</v>
      </c>
      <c r="F278" s="17">
        <v>0</v>
      </c>
      <c r="G278" s="17">
        <v>0</v>
      </c>
      <c r="H278" s="17">
        <v>0</v>
      </c>
      <c r="I278" s="17">
        <v>0</v>
      </c>
      <c r="J278" s="17">
        <v>-435.18569000000002</v>
      </c>
      <c r="K278" s="17">
        <v>-432.96163999999999</v>
      </c>
      <c r="L278" s="17">
        <v>-464.42788000000002</v>
      </c>
      <c r="M278" s="17">
        <v>-410.88152000000002</v>
      </c>
      <c r="N278" s="17">
        <v>-389.6361</v>
      </c>
      <c r="O278" s="17">
        <v>-388.23649999999998</v>
      </c>
      <c r="P278" s="17">
        <v>-394.95434999999998</v>
      </c>
      <c r="Q278" s="17">
        <v>-442.08427999999998</v>
      </c>
      <c r="R278" s="17">
        <v>-398.47032999999999</v>
      </c>
      <c r="S278" s="17">
        <v>-410.31783999999999</v>
      </c>
      <c r="T278" s="17">
        <v>-396.41991000000002</v>
      </c>
      <c r="U278" s="17">
        <v>-395.15577999999999</v>
      </c>
      <c r="V278" s="17">
        <v>-423.70087999999998</v>
      </c>
      <c r="W278" s="17">
        <v>-390.62867</v>
      </c>
      <c r="X278" s="17">
        <v>-404.41748999999999</v>
      </c>
      <c r="Y278" s="17">
        <v>-418.19898000000001</v>
      </c>
      <c r="Z278" s="17">
        <v>-410.25869</v>
      </c>
      <c r="AA278" s="17">
        <v>-428.20704000000001</v>
      </c>
      <c r="AB278" s="17">
        <v>-461.15388999999999</v>
      </c>
      <c r="AC278" s="17">
        <v>-450.88965000000002</v>
      </c>
      <c r="AD278" s="17">
        <v>-468.01411000000002</v>
      </c>
      <c r="AE278" s="17">
        <v>-468.69177000000002</v>
      </c>
      <c r="AF278" s="17">
        <v>-608.84973000000002</v>
      </c>
      <c r="AG278" s="17">
        <v>-556.4049</v>
      </c>
      <c r="AH278" s="17">
        <v>-549.59086000000002</v>
      </c>
      <c r="AI278" s="17">
        <v>-551.13833</v>
      </c>
      <c r="AJ278" s="17">
        <v>-560.84384</v>
      </c>
      <c r="AK278" s="17">
        <v>-529.16580999999996</v>
      </c>
      <c r="AL278" s="17">
        <v>-497.93912</v>
      </c>
      <c r="AM278" s="17">
        <v>-481.59075000000001</v>
      </c>
      <c r="AN278" s="17">
        <v>-478.89213999999998</v>
      </c>
      <c r="AO278" s="17"/>
      <c r="AP278" s="17"/>
      <c r="AQ278" s="17"/>
      <c r="AR278" s="17"/>
      <c r="AS278" s="17"/>
      <c r="AT278" s="17"/>
      <c r="AU278" s="17"/>
      <c r="AV278" s="17"/>
      <c r="AW278" s="17"/>
      <c r="AX278" s="17"/>
      <c r="AY278" s="17"/>
      <c r="AZ278" s="17"/>
      <c r="BA278" s="17"/>
      <c r="BB278" s="17"/>
      <c r="BC278" s="17"/>
      <c r="BD278" s="17"/>
      <c r="BE278" s="17"/>
      <c r="BF278" s="17"/>
      <c r="BG278" s="17"/>
      <c r="BH278" s="17"/>
      <c r="BI278" s="17"/>
      <c r="BJ278" s="17"/>
      <c r="BK278" s="17"/>
      <c r="BL278" s="17"/>
      <c r="BM278" s="17"/>
      <c r="BN278" s="17"/>
      <c r="BO278" s="17"/>
      <c r="BP278" s="17"/>
      <c r="BQ278" s="17"/>
      <c r="BR278" s="17"/>
      <c r="BS278" s="17"/>
      <c r="BT278" s="17"/>
      <c r="BU278" s="17"/>
      <c r="BV278" s="17"/>
      <c r="BW278" s="17"/>
      <c r="BX278" s="17"/>
      <c r="BY278" s="17"/>
      <c r="BZ278" s="17"/>
      <c r="CA278" s="17"/>
      <c r="CB278" s="17"/>
      <c r="CC278" s="17"/>
      <c r="CD278" s="17"/>
      <c r="CE278" s="17"/>
      <c r="CF278" s="17"/>
      <c r="CG278" s="17"/>
      <c r="CH278" s="17"/>
      <c r="CI278" s="17"/>
      <c r="CJ278" s="17"/>
      <c r="CK278" s="17"/>
      <c r="CL278" s="17"/>
      <c r="CM278" s="17"/>
      <c r="CN278" s="17"/>
      <c r="CO278" s="17"/>
      <c r="CP278" s="17"/>
      <c r="CQ278" s="17"/>
      <c r="CR278" s="17"/>
      <c r="CS278" s="17"/>
      <c r="CT278" s="17"/>
      <c r="CU278" s="17"/>
      <c r="CV278" s="17"/>
    </row>
    <row r="279" spans="2:100" x14ac:dyDescent="0.35">
      <c r="B279" s="9"/>
      <c r="C279" t="s">
        <v>230</v>
      </c>
      <c r="D279" t="s">
        <v>334</v>
      </c>
      <c r="E279" t="s">
        <v>217</v>
      </c>
      <c r="F279" s="17">
        <v>0</v>
      </c>
      <c r="G279" s="17">
        <v>0</v>
      </c>
      <c r="H279" s="17">
        <v>0</v>
      </c>
      <c r="I279" s="17">
        <v>0</v>
      </c>
      <c r="J279" s="17">
        <v>1432.93012</v>
      </c>
      <c r="K279" s="17">
        <v>1381.5759700000001</v>
      </c>
      <c r="L279" s="17">
        <v>1352.06331</v>
      </c>
      <c r="M279" s="17">
        <v>1307.37024</v>
      </c>
      <c r="N279" s="17">
        <v>1281.5431000000001</v>
      </c>
      <c r="O279" s="17">
        <v>1260.97875</v>
      </c>
      <c r="P279" s="17">
        <v>1252.4727399999999</v>
      </c>
      <c r="Q279" s="17">
        <v>1222.8934300000001</v>
      </c>
      <c r="R279" s="17">
        <v>1206.41005</v>
      </c>
      <c r="S279" s="17">
        <v>1182.2123200000001</v>
      </c>
      <c r="T279" s="17">
        <v>1167.76082</v>
      </c>
      <c r="U279" s="17">
        <v>1139.91535</v>
      </c>
      <c r="V279" s="17">
        <v>1129.2583400000001</v>
      </c>
      <c r="W279" s="17">
        <v>1115.7535</v>
      </c>
      <c r="X279" s="17">
        <v>1100.3738000000001</v>
      </c>
      <c r="Y279" s="17">
        <v>1086.2230400000001</v>
      </c>
      <c r="Z279" s="17">
        <v>1067.29135</v>
      </c>
      <c r="AA279" s="17">
        <v>1049.87816</v>
      </c>
      <c r="AB279" s="17">
        <v>1037.0854999999999</v>
      </c>
      <c r="AC279" s="17">
        <v>1021.2336299999999</v>
      </c>
      <c r="AD279" s="17">
        <v>1008.16938</v>
      </c>
      <c r="AE279" s="17">
        <v>998.87201000000005</v>
      </c>
      <c r="AF279" s="17">
        <v>1437.6373699999999</v>
      </c>
      <c r="AG279" s="17">
        <v>1377.2842800000001</v>
      </c>
      <c r="AH279" s="17">
        <v>1347.18127</v>
      </c>
      <c r="AI279" s="17">
        <v>1310.9826399999999</v>
      </c>
      <c r="AJ279" s="17">
        <v>1285.4215300000001</v>
      </c>
      <c r="AK279" s="17">
        <v>1265.2348199999999</v>
      </c>
      <c r="AL279" s="17">
        <v>1237.7721200000001</v>
      </c>
      <c r="AM279" s="17">
        <v>1222.28639</v>
      </c>
      <c r="AN279" s="17">
        <v>1209.9598000000001</v>
      </c>
      <c r="AO279" s="17"/>
      <c r="AP279" s="17"/>
      <c r="AQ279" s="17"/>
      <c r="AR279" s="17"/>
      <c r="AS279" s="17"/>
      <c r="AT279" s="17"/>
      <c r="AU279" s="17"/>
      <c r="AV279" s="17"/>
      <c r="AW279" s="17"/>
      <c r="AX279" s="17"/>
      <c r="AY279" s="17"/>
      <c r="AZ279" s="17"/>
      <c r="BA279" s="17"/>
      <c r="BB279" s="17"/>
      <c r="BC279" s="17"/>
      <c r="BD279" s="17"/>
      <c r="BE279" s="17"/>
      <c r="BF279" s="17"/>
      <c r="BG279" s="17"/>
      <c r="BH279" s="17"/>
      <c r="BI279" s="17"/>
      <c r="BJ279" s="17"/>
      <c r="BK279" s="17"/>
      <c r="BL279" s="17"/>
      <c r="BM279" s="17"/>
      <c r="BN279" s="17"/>
      <c r="BO279" s="17"/>
      <c r="BP279" s="17"/>
      <c r="BQ279" s="17"/>
      <c r="BR279" s="17"/>
      <c r="BS279" s="17"/>
      <c r="BT279" s="17"/>
      <c r="BU279" s="17"/>
      <c r="BV279" s="17"/>
      <c r="BW279" s="17"/>
      <c r="BX279" s="17"/>
      <c r="BY279" s="17"/>
      <c r="BZ279" s="17"/>
      <c r="CA279" s="17"/>
      <c r="CB279" s="17"/>
      <c r="CC279" s="17"/>
      <c r="CD279" s="17"/>
      <c r="CE279" s="17"/>
      <c r="CF279" s="17"/>
      <c r="CG279" s="17"/>
      <c r="CH279" s="17"/>
      <c r="CI279" s="17"/>
      <c r="CJ279" s="17"/>
      <c r="CK279" s="17"/>
      <c r="CL279" s="17"/>
      <c r="CM279" s="17"/>
      <c r="CN279" s="17"/>
      <c r="CO279" s="17"/>
      <c r="CP279" s="17"/>
      <c r="CQ279" s="17"/>
      <c r="CR279" s="17"/>
      <c r="CS279" s="17"/>
      <c r="CT279" s="17"/>
      <c r="CU279" s="17"/>
      <c r="CV279" s="17"/>
    </row>
    <row r="280" spans="2:100" x14ac:dyDescent="0.35">
      <c r="B280" s="9"/>
      <c r="C280" t="s">
        <v>230</v>
      </c>
      <c r="D280" t="s">
        <v>335</v>
      </c>
      <c r="E280" t="s">
        <v>217</v>
      </c>
      <c r="F280" s="17">
        <v>0</v>
      </c>
      <c r="G280" s="17">
        <v>0</v>
      </c>
      <c r="H280" s="17">
        <v>0</v>
      </c>
      <c r="I280" s="17">
        <v>0</v>
      </c>
      <c r="J280" s="17">
        <v>-666.93349999999998</v>
      </c>
      <c r="K280" s="17">
        <v>-632.83363999999995</v>
      </c>
      <c r="L280" s="17">
        <v>-629.87955999999997</v>
      </c>
      <c r="M280" s="17">
        <v>-577.98018999999999</v>
      </c>
      <c r="N280" s="17">
        <v>-551.23901000000001</v>
      </c>
      <c r="O280" s="17">
        <v>-531.71185000000003</v>
      </c>
      <c r="P280" s="17">
        <v>-537.49644000000001</v>
      </c>
      <c r="Q280" s="17">
        <v>-547.68805999999995</v>
      </c>
      <c r="R280" s="17">
        <v>-522.45975999999996</v>
      </c>
      <c r="S280" s="17">
        <v>-528.08459000000005</v>
      </c>
      <c r="T280" s="17">
        <v>-516.51110000000006</v>
      </c>
      <c r="U280" s="17">
        <v>-503.01605999999998</v>
      </c>
      <c r="V280" s="17">
        <v>-519.78017</v>
      </c>
      <c r="W280" s="17">
        <v>-504.93520999999998</v>
      </c>
      <c r="X280" s="17">
        <v>-511.64623999999998</v>
      </c>
      <c r="Y280" s="17">
        <v>-520.26230999999996</v>
      </c>
      <c r="Z280" s="17">
        <v>-510.35987999999998</v>
      </c>
      <c r="AA280" s="17">
        <v>-524.80808000000002</v>
      </c>
      <c r="AB280" s="17">
        <v>-551.42321000000004</v>
      </c>
      <c r="AC280" s="17">
        <v>-540.35221000000001</v>
      </c>
      <c r="AD280" s="17">
        <v>-549.27301</v>
      </c>
      <c r="AE280" s="17">
        <v>-550.37747999999999</v>
      </c>
      <c r="AF280" s="17">
        <v>-735.73860999999999</v>
      </c>
      <c r="AG280" s="17">
        <v>-682.37797999999998</v>
      </c>
      <c r="AH280" s="17">
        <v>-668.07665999999995</v>
      </c>
      <c r="AI280" s="17">
        <v>-658.35592999999994</v>
      </c>
      <c r="AJ280" s="17">
        <v>-656.32866999999999</v>
      </c>
      <c r="AK280" s="17">
        <v>-632.07407000000001</v>
      </c>
      <c r="AL280" s="17">
        <v>-607.58423000000005</v>
      </c>
      <c r="AM280" s="17">
        <v>-599.66574000000003</v>
      </c>
      <c r="AN280" s="17">
        <v>-597.56712000000005</v>
      </c>
      <c r="AO280" s="17"/>
      <c r="AP280" s="17"/>
      <c r="AQ280" s="17"/>
      <c r="AR280" s="17"/>
      <c r="AS280" s="17"/>
      <c r="AT280" s="17"/>
      <c r="AU280" s="17"/>
      <c r="AV280" s="17"/>
      <c r="AW280" s="17"/>
      <c r="AX280" s="17"/>
      <c r="AY280" s="17"/>
      <c r="AZ280" s="17"/>
      <c r="BA280" s="17"/>
      <c r="BB280" s="17"/>
      <c r="BC280" s="17"/>
      <c r="BD280" s="17"/>
      <c r="BE280" s="17"/>
      <c r="BF280" s="17"/>
      <c r="BG280" s="17"/>
      <c r="BH280" s="17"/>
      <c r="BI280" s="17"/>
      <c r="BJ280" s="17"/>
      <c r="BK280" s="17"/>
      <c r="BL280" s="17"/>
      <c r="BM280" s="17"/>
      <c r="BN280" s="17"/>
      <c r="BO280" s="17"/>
      <c r="BP280" s="17"/>
      <c r="BQ280" s="17"/>
      <c r="BR280" s="17"/>
      <c r="BS280" s="17"/>
      <c r="BT280" s="17"/>
      <c r="BU280" s="17"/>
      <c r="BV280" s="17"/>
      <c r="BW280" s="17"/>
      <c r="BX280" s="17"/>
      <c r="BY280" s="17"/>
      <c r="BZ280" s="17"/>
      <c r="CA280" s="17"/>
      <c r="CB280" s="17"/>
      <c r="CC280" s="17"/>
      <c r="CD280" s="17"/>
      <c r="CE280" s="17"/>
      <c r="CF280" s="17"/>
      <c r="CG280" s="17"/>
      <c r="CH280" s="17"/>
      <c r="CI280" s="17"/>
      <c r="CJ280" s="17"/>
      <c r="CK280" s="17"/>
      <c r="CL280" s="17"/>
      <c r="CM280" s="17"/>
      <c r="CN280" s="17"/>
      <c r="CO280" s="17"/>
      <c r="CP280" s="17"/>
      <c r="CQ280" s="17"/>
      <c r="CR280" s="17"/>
      <c r="CS280" s="17"/>
      <c r="CT280" s="17"/>
      <c r="CU280" s="17"/>
      <c r="CV280" s="17"/>
    </row>
    <row r="281" spans="2:100" x14ac:dyDescent="0.35">
      <c r="B281" s="9"/>
      <c r="D281" t="s">
        <v>336</v>
      </c>
      <c r="E281" t="s">
        <v>217</v>
      </c>
      <c r="F281" s="17">
        <v>0</v>
      </c>
      <c r="G281" s="17">
        <v>0</v>
      </c>
      <c r="H281" s="17">
        <v>0</v>
      </c>
      <c r="I281" s="17">
        <v>0</v>
      </c>
      <c r="J281" s="17">
        <v>-1071.4204199999999</v>
      </c>
      <c r="K281" s="17">
        <v>-1044.7570499999999</v>
      </c>
      <c r="L281" s="17">
        <v>-1014.26271</v>
      </c>
      <c r="M281" s="17">
        <v>-1013.59671</v>
      </c>
      <c r="N281" s="17">
        <v>-1011.5912499999999</v>
      </c>
      <c r="O281" s="17">
        <v>-1007.77164</v>
      </c>
      <c r="P281" s="17">
        <v>-993.89891</v>
      </c>
      <c r="Q281" s="17">
        <v>-950.30835999999999</v>
      </c>
      <c r="R281" s="17">
        <v>-957.04166999999995</v>
      </c>
      <c r="S281" s="17">
        <v>-924.40535999999997</v>
      </c>
      <c r="T281" s="17">
        <v>-919.66364999999996</v>
      </c>
      <c r="U281" s="17">
        <v>-901.55110999999999</v>
      </c>
      <c r="V281" s="17">
        <v>-876.61724000000004</v>
      </c>
      <c r="W281" s="17">
        <v>-875.89180999999996</v>
      </c>
      <c r="X281" s="17">
        <v>-852.55133000000001</v>
      </c>
      <c r="Y281" s="17">
        <v>-829.91741000000002</v>
      </c>
      <c r="Z281" s="17">
        <v>-816.44176000000004</v>
      </c>
      <c r="AA281" s="17">
        <v>-784.65124000000003</v>
      </c>
      <c r="AB281" s="17">
        <v>-744.11216999999999</v>
      </c>
      <c r="AC281" s="17">
        <v>-736.07488000000001</v>
      </c>
      <c r="AD281" s="17">
        <v>-713.23230999999998</v>
      </c>
      <c r="AE281" s="17">
        <v>-702.21154999999999</v>
      </c>
      <c r="AF281" s="17">
        <v>-1011.95744</v>
      </c>
      <c r="AG281" s="17">
        <v>-991.54783999999995</v>
      </c>
      <c r="AH281" s="17">
        <v>-972.48362999999995</v>
      </c>
      <c r="AI281" s="17">
        <v>-940.48392999999999</v>
      </c>
      <c r="AJ281" s="17">
        <v>-913.08882000000006</v>
      </c>
      <c r="AK281" s="17">
        <v>-915.80673999999999</v>
      </c>
      <c r="AL281" s="17">
        <v>-908.38009</v>
      </c>
      <c r="AM281" s="17">
        <v>-898.62000999999998</v>
      </c>
      <c r="AN281" s="17">
        <v>-888.02299000000005</v>
      </c>
      <c r="AO281" s="17"/>
      <c r="AP281" s="17"/>
      <c r="AQ281" s="17"/>
      <c r="AR281" s="17"/>
      <c r="AS281" s="17"/>
      <c r="AT281" s="17"/>
      <c r="AU281" s="17"/>
      <c r="AV281" s="17"/>
      <c r="AW281" s="17"/>
      <c r="AX281" s="17"/>
      <c r="AY281" s="17"/>
      <c r="AZ281" s="17"/>
      <c r="BA281" s="17"/>
      <c r="BB281" s="17"/>
      <c r="BC281" s="17"/>
      <c r="BD281" s="17"/>
      <c r="BE281" s="17"/>
      <c r="BF281" s="17"/>
      <c r="BG281" s="17"/>
      <c r="BH281" s="17"/>
      <c r="BI281" s="17"/>
      <c r="BJ281" s="17"/>
      <c r="BK281" s="17"/>
      <c r="BL281" s="17"/>
      <c r="BM281" s="17"/>
      <c r="BN281" s="17"/>
      <c r="BO281" s="17"/>
      <c r="BP281" s="17"/>
      <c r="BQ281" s="17"/>
      <c r="BR281" s="17"/>
      <c r="BS281" s="17"/>
      <c r="BT281" s="17"/>
      <c r="BU281" s="17"/>
      <c r="BV281" s="17"/>
      <c r="BW281" s="17"/>
      <c r="BX281" s="17"/>
      <c r="BY281" s="17"/>
      <c r="BZ281" s="17"/>
      <c r="CA281" s="17"/>
      <c r="CB281" s="17"/>
      <c r="CC281" s="17"/>
      <c r="CD281" s="17"/>
      <c r="CE281" s="17"/>
      <c r="CF281" s="17"/>
      <c r="CG281" s="17"/>
      <c r="CH281" s="17"/>
      <c r="CI281" s="17"/>
      <c r="CJ281" s="17"/>
      <c r="CK281" s="17"/>
      <c r="CL281" s="17"/>
      <c r="CM281" s="17"/>
      <c r="CN281" s="17"/>
      <c r="CO281" s="17"/>
      <c r="CP281" s="17"/>
      <c r="CQ281" s="17"/>
      <c r="CR281" s="17"/>
      <c r="CS281" s="17"/>
      <c r="CT281" s="17"/>
      <c r="CU281" s="17"/>
      <c r="CV281" s="17"/>
    </row>
    <row r="282" spans="2:100" x14ac:dyDescent="0.35">
      <c r="B282" s="9"/>
      <c r="C282" t="s">
        <v>339</v>
      </c>
      <c r="D282" t="s">
        <v>340</v>
      </c>
      <c r="E282" t="s">
        <v>219</v>
      </c>
      <c r="F282" s="17">
        <v>0</v>
      </c>
      <c r="G282" s="17">
        <v>0</v>
      </c>
      <c r="H282" s="17">
        <v>0</v>
      </c>
      <c r="I282" s="17">
        <v>0</v>
      </c>
      <c r="J282" s="17">
        <v>112.065275207893</v>
      </c>
      <c r="K282" s="17">
        <v>114.51305832383601</v>
      </c>
      <c r="L282" s="17">
        <v>111.045985423339</v>
      </c>
      <c r="M282" s="17">
        <v>102.625063253229</v>
      </c>
      <c r="N282" s="17">
        <v>87.540631664160102</v>
      </c>
      <c r="O282" s="17">
        <v>82.142769906737598</v>
      </c>
      <c r="P282" s="17">
        <v>73.618779005633598</v>
      </c>
      <c r="Q282" s="17">
        <v>78.849564114485503</v>
      </c>
      <c r="R282" s="17">
        <v>70.104444505803599</v>
      </c>
      <c r="S282" s="17">
        <v>64.933196058003603</v>
      </c>
      <c r="T282" s="17">
        <v>61.516811327259902</v>
      </c>
      <c r="U282" s="17">
        <v>57.812145466190103</v>
      </c>
      <c r="V282" s="17">
        <v>56.312394095666299</v>
      </c>
      <c r="W282" s="17">
        <v>53.8784426237372</v>
      </c>
      <c r="X282" s="17">
        <v>49.785247553826899</v>
      </c>
      <c r="Y282" s="17">
        <v>47.571077144401897</v>
      </c>
      <c r="Z282" s="17">
        <v>43.6840926645081</v>
      </c>
      <c r="AA282" s="17">
        <v>42.657866164224799</v>
      </c>
      <c r="AB282" s="17">
        <v>40.975399194157497</v>
      </c>
      <c r="AC282" s="17">
        <v>38.908978740383901</v>
      </c>
      <c r="AD282" s="17">
        <v>37.751111344168798</v>
      </c>
      <c r="AE282" s="17">
        <v>35.332140670967398</v>
      </c>
      <c r="AF282" s="17">
        <v>64.461071067142001</v>
      </c>
      <c r="AG282" s="17">
        <v>62.750334891107599</v>
      </c>
      <c r="AH282" s="17">
        <v>60.777873505504097</v>
      </c>
      <c r="AI282" s="17">
        <v>58.420873611976297</v>
      </c>
      <c r="AJ282" s="17">
        <v>55.928388377654898</v>
      </c>
      <c r="AK282" s="17">
        <v>55.451844364574498</v>
      </c>
      <c r="AL282" s="17">
        <v>55.702976457051697</v>
      </c>
      <c r="AM282" s="17">
        <v>53.909793653710402</v>
      </c>
      <c r="AN282" s="17">
        <v>51.445201538358802</v>
      </c>
      <c r="AO282" s="17"/>
      <c r="AP282" s="17"/>
      <c r="AQ282" s="17"/>
      <c r="AR282" s="17"/>
      <c r="AS282" s="17"/>
      <c r="AT282" s="17"/>
      <c r="AU282" s="17"/>
      <c r="AV282" s="17"/>
      <c r="AW282" s="17"/>
      <c r="AX282" s="17"/>
      <c r="AY282" s="17"/>
      <c r="AZ282" s="17"/>
      <c r="BA282" s="17"/>
      <c r="BB282" s="17"/>
      <c r="BC282" s="17"/>
      <c r="BD282" s="17"/>
      <c r="BE282" s="17"/>
      <c r="BF282" s="17"/>
      <c r="BG282" s="17"/>
      <c r="BH282" s="17"/>
      <c r="BI282" s="17"/>
      <c r="BJ282" s="17"/>
      <c r="BK282" s="17"/>
      <c r="BL282" s="17"/>
      <c r="BM282" s="17"/>
      <c r="BN282" s="17"/>
      <c r="BO282" s="17"/>
      <c r="BP282" s="17"/>
      <c r="BQ282" s="17"/>
      <c r="BR282" s="17"/>
      <c r="BS282" s="17"/>
      <c r="BT282" s="17"/>
      <c r="BU282" s="17"/>
      <c r="BV282" s="17"/>
      <c r="BW282" s="17"/>
      <c r="BX282" s="17"/>
      <c r="BY282" s="17"/>
      <c r="BZ282" s="17"/>
      <c r="CA282" s="17"/>
      <c r="CB282" s="17"/>
      <c r="CC282" s="17"/>
      <c r="CD282" s="17"/>
      <c r="CE282" s="17"/>
      <c r="CF282" s="17"/>
      <c r="CG282" s="17"/>
      <c r="CH282" s="17"/>
      <c r="CI282" s="17"/>
      <c r="CJ282" s="17"/>
      <c r="CK282" s="17"/>
      <c r="CL282" s="17"/>
      <c r="CM282" s="17"/>
      <c r="CN282" s="17"/>
      <c r="CO282" s="17"/>
      <c r="CP282" s="17"/>
      <c r="CQ282" s="17"/>
      <c r="CR282" s="17"/>
      <c r="CS282" s="17"/>
      <c r="CT282" s="17"/>
      <c r="CU282" s="17"/>
      <c r="CV282" s="17"/>
    </row>
    <row r="283" spans="2:100" x14ac:dyDescent="0.35">
      <c r="B283" s="9"/>
      <c r="C283" t="s">
        <v>230</v>
      </c>
      <c r="D283" t="s">
        <v>341</v>
      </c>
      <c r="E283" t="s">
        <v>219</v>
      </c>
      <c r="F283" s="17">
        <v>0</v>
      </c>
      <c r="G283" s="17">
        <v>0</v>
      </c>
      <c r="H283" s="17">
        <v>0</v>
      </c>
      <c r="I283" s="17">
        <v>0</v>
      </c>
      <c r="J283" s="17">
        <v>0.42556333121802697</v>
      </c>
      <c r="K283" s="17">
        <v>0.37160529396004599</v>
      </c>
      <c r="L283" s="17">
        <v>0.25745244340477802</v>
      </c>
      <c r="M283" s="17">
        <v>5.5357916636987602E-2</v>
      </c>
      <c r="N283" s="17">
        <v>-7.1874403937058795E-2</v>
      </c>
      <c r="O283" s="17">
        <v>-3.8653385838243799E-2</v>
      </c>
      <c r="P283" s="17">
        <v>-3.1152539613417001E-2</v>
      </c>
      <c r="Q283" s="17">
        <v>7.2292278378553298E-3</v>
      </c>
      <c r="R283" s="17">
        <v>1.3779409708282E-2</v>
      </c>
      <c r="S283" s="17">
        <v>-2.1207127905847299E-3</v>
      </c>
      <c r="T283" s="17">
        <v>-1.6808999409117301E-2</v>
      </c>
      <c r="U283" s="17">
        <v>-1.10632258385676E-2</v>
      </c>
      <c r="V283" s="17">
        <v>-4.5652782733277197E-3</v>
      </c>
      <c r="W283" s="17">
        <v>-5.1920899355695103E-3</v>
      </c>
      <c r="X283" s="17">
        <v>1.7028383490902001E-2</v>
      </c>
      <c r="Y283" s="17">
        <v>2.5385872320792501E-3</v>
      </c>
      <c r="Z283" s="17">
        <v>-7.17699353266852E-3</v>
      </c>
      <c r="AA283" s="17">
        <v>-5.4219208783915004E-3</v>
      </c>
      <c r="AB283" s="17">
        <v>-6.1218605678948299E-3</v>
      </c>
      <c r="AC283" s="17">
        <v>-4.6279594395519002E-3</v>
      </c>
      <c r="AD283" s="17">
        <v>0</v>
      </c>
      <c r="AE283" s="17">
        <v>0</v>
      </c>
      <c r="AF283" s="17">
        <v>-2.9669085346111498E-2</v>
      </c>
      <c r="AG283" s="17">
        <v>-2.03504853007835E-2</v>
      </c>
      <c r="AH283" s="17">
        <v>-1.6662743354594299E-2</v>
      </c>
      <c r="AI283" s="17">
        <v>-3.5101453085540301E-3</v>
      </c>
      <c r="AJ283" s="17">
        <v>-4.9100246875607002E-4</v>
      </c>
      <c r="AK283" s="17">
        <v>-4.3667879136178199E-3</v>
      </c>
      <c r="AL283" s="17">
        <v>-2.4174036440458398E-2</v>
      </c>
      <c r="AM283" s="17">
        <v>-1.9180436864598801E-2</v>
      </c>
      <c r="AN283" s="17">
        <v>-1.34555570161238E-2</v>
      </c>
      <c r="AO283" s="17"/>
      <c r="AP283" s="17"/>
      <c r="AQ283" s="17"/>
      <c r="AR283" s="17"/>
      <c r="AS283" s="17"/>
      <c r="AT283" s="17"/>
      <c r="AU283" s="17"/>
      <c r="AV283" s="17"/>
      <c r="AW283" s="17"/>
      <c r="AX283" s="17"/>
      <c r="AY283" s="17"/>
      <c r="AZ283" s="17"/>
      <c r="BA283" s="17"/>
      <c r="BB283" s="17"/>
      <c r="BC283" s="17"/>
      <c r="BD283" s="17"/>
      <c r="BE283" s="17"/>
      <c r="BF283" s="17"/>
      <c r="BG283" s="17"/>
      <c r="BH283" s="17"/>
      <c r="BI283" s="17"/>
      <c r="BJ283" s="17"/>
      <c r="BK283" s="17"/>
      <c r="BL283" s="17"/>
      <c r="BM283" s="17"/>
      <c r="BN283" s="17"/>
      <c r="BO283" s="17"/>
      <c r="BP283" s="17"/>
      <c r="BQ283" s="17"/>
      <c r="BR283" s="17"/>
      <c r="BS283" s="17"/>
      <c r="BT283" s="17"/>
      <c r="BU283" s="17"/>
      <c r="BV283" s="17"/>
      <c r="BW283" s="17"/>
      <c r="BX283" s="17"/>
      <c r="BY283" s="17"/>
      <c r="BZ283" s="17"/>
      <c r="CA283" s="17"/>
      <c r="CB283" s="17"/>
      <c r="CC283" s="17"/>
      <c r="CD283" s="17"/>
      <c r="CE283" s="17"/>
      <c r="CF283" s="17"/>
      <c r="CG283" s="17"/>
      <c r="CH283" s="17"/>
      <c r="CI283" s="17"/>
      <c r="CJ283" s="17"/>
      <c r="CK283" s="17"/>
      <c r="CL283" s="17"/>
      <c r="CM283" s="17"/>
      <c r="CN283" s="17"/>
      <c r="CO283" s="17"/>
      <c r="CP283" s="17"/>
      <c r="CQ283" s="17"/>
      <c r="CR283" s="17"/>
      <c r="CS283" s="17"/>
      <c r="CT283" s="17"/>
      <c r="CU283" s="17"/>
      <c r="CV283" s="17"/>
    </row>
    <row r="284" spans="2:100" x14ac:dyDescent="0.35">
      <c r="B284" s="9"/>
      <c r="C284" t="s">
        <v>230</v>
      </c>
      <c r="D284" t="s">
        <v>342</v>
      </c>
      <c r="E284" t="s">
        <v>219</v>
      </c>
      <c r="F284" s="17">
        <v>0</v>
      </c>
      <c r="G284" s="17">
        <v>0</v>
      </c>
      <c r="H284" s="17">
        <v>0</v>
      </c>
      <c r="I284" s="17">
        <v>0</v>
      </c>
      <c r="J284" s="17">
        <v>45.9357568581962</v>
      </c>
      <c r="K284" s="17">
        <v>50.114647529195999</v>
      </c>
      <c r="L284" s="17">
        <v>44.027000431198601</v>
      </c>
      <c r="M284" s="17">
        <v>48.672615065903599</v>
      </c>
      <c r="N284" s="17">
        <v>49.742530339045103</v>
      </c>
      <c r="O284" s="17">
        <v>44.376082292762</v>
      </c>
      <c r="P284" s="17">
        <v>52.288148308602601</v>
      </c>
      <c r="Q284" s="17">
        <v>53.390177232573002</v>
      </c>
      <c r="R284" s="17">
        <v>53.459941370580502</v>
      </c>
      <c r="S284" s="17">
        <v>52.848423912897402</v>
      </c>
      <c r="T284" s="17">
        <v>50.356429681044801</v>
      </c>
      <c r="U284" s="17">
        <v>49.807656070752103</v>
      </c>
      <c r="V284" s="17">
        <v>50.418713866549503</v>
      </c>
      <c r="W284" s="17">
        <v>53.677528592266697</v>
      </c>
      <c r="X284" s="17">
        <v>53.107788131871999</v>
      </c>
      <c r="Y284" s="17">
        <v>54.433035135627698</v>
      </c>
      <c r="Z284" s="17">
        <v>49.748808902528602</v>
      </c>
      <c r="AA284" s="17">
        <v>50.919661747013201</v>
      </c>
      <c r="AB284" s="17">
        <v>46.892208773611003</v>
      </c>
      <c r="AC284" s="17">
        <v>46.835336062123602</v>
      </c>
      <c r="AD284" s="17">
        <v>45.164997897720603</v>
      </c>
      <c r="AE284" s="17">
        <v>43.6690282908923</v>
      </c>
      <c r="AF284" s="17">
        <v>53.5089789362899</v>
      </c>
      <c r="AG284" s="17">
        <v>51.067119190555502</v>
      </c>
      <c r="AH284" s="17">
        <v>51.154622098604499</v>
      </c>
      <c r="AI284" s="17">
        <v>47.4189395071148</v>
      </c>
      <c r="AJ284" s="17">
        <v>47.322326936241303</v>
      </c>
      <c r="AK284" s="17">
        <v>49.282241641738899</v>
      </c>
      <c r="AL284" s="17">
        <v>48.711686326183298</v>
      </c>
      <c r="AM284" s="17">
        <v>49.1956058231561</v>
      </c>
      <c r="AN284" s="17">
        <v>48.485741615667202</v>
      </c>
      <c r="AO284" s="17"/>
      <c r="AP284" s="17"/>
      <c r="AQ284" s="17"/>
      <c r="AR284" s="17"/>
      <c r="AS284" s="17"/>
      <c r="AT284" s="17"/>
      <c r="AU284" s="17"/>
      <c r="AV284" s="17"/>
      <c r="AW284" s="17"/>
      <c r="AX284" s="17"/>
      <c r="AY284" s="17"/>
      <c r="AZ284" s="17"/>
      <c r="BA284" s="17"/>
      <c r="BB284" s="17"/>
      <c r="BC284" s="17"/>
      <c r="BD284" s="17"/>
      <c r="BE284" s="17"/>
      <c r="BF284" s="17"/>
      <c r="BG284" s="17"/>
      <c r="BH284" s="17"/>
      <c r="BI284" s="17"/>
      <c r="BJ284" s="17"/>
      <c r="BK284" s="17"/>
      <c r="BL284" s="17"/>
      <c r="BM284" s="17"/>
      <c r="BN284" s="17"/>
      <c r="BO284" s="17"/>
      <c r="BP284" s="17"/>
      <c r="BQ284" s="17"/>
      <c r="BR284" s="17"/>
      <c r="BS284" s="17"/>
      <c r="BT284" s="17"/>
      <c r="BU284" s="17"/>
      <c r="BV284" s="17"/>
      <c r="BW284" s="17"/>
      <c r="BX284" s="17"/>
      <c r="BY284" s="17"/>
      <c r="BZ284" s="17"/>
      <c r="CA284" s="17"/>
      <c r="CB284" s="17"/>
      <c r="CC284" s="17"/>
      <c r="CD284" s="17"/>
      <c r="CE284" s="17"/>
      <c r="CF284" s="17"/>
      <c r="CG284" s="17"/>
      <c r="CH284" s="17"/>
      <c r="CI284" s="17"/>
      <c r="CJ284" s="17"/>
      <c r="CK284" s="17"/>
      <c r="CL284" s="17"/>
      <c r="CM284" s="17"/>
      <c r="CN284" s="17"/>
      <c r="CO284" s="17"/>
      <c r="CP284" s="17"/>
      <c r="CQ284" s="17"/>
      <c r="CR284" s="17"/>
      <c r="CS284" s="17"/>
      <c r="CT284" s="17"/>
      <c r="CU284" s="17"/>
      <c r="CV284" s="17"/>
    </row>
    <row r="285" spans="2:100" x14ac:dyDescent="0.35">
      <c r="B285" s="9"/>
      <c r="C285" t="s">
        <v>230</v>
      </c>
      <c r="D285" t="s">
        <v>343</v>
      </c>
      <c r="E285" t="s">
        <v>219</v>
      </c>
      <c r="F285" s="17">
        <v>0</v>
      </c>
      <c r="G285" s="17">
        <v>0</v>
      </c>
      <c r="H285" s="17">
        <v>0</v>
      </c>
      <c r="I285" s="17">
        <v>0</v>
      </c>
      <c r="J285" s="17">
        <v>-11.7690053233908</v>
      </c>
      <c r="K285" s="17">
        <v>-11.184378086017899</v>
      </c>
      <c r="L285" s="17">
        <v>-9.7028982754484208</v>
      </c>
      <c r="M285" s="17">
        <v>-11.211769755657899</v>
      </c>
      <c r="N285" s="17">
        <v>-11.993017364615</v>
      </c>
      <c r="O285" s="17">
        <v>-11.1791546554992</v>
      </c>
      <c r="P285" s="17">
        <v>-11.3098971213818</v>
      </c>
      <c r="Q285" s="17">
        <v>-8.6252836657223302</v>
      </c>
      <c r="R285" s="17">
        <v>-10.168890958881001</v>
      </c>
      <c r="S285" s="17">
        <v>-9.4580342995936597</v>
      </c>
      <c r="T285" s="17">
        <v>-9.4269444411464693</v>
      </c>
      <c r="U285" s="17">
        <v>-8.1440176714530796</v>
      </c>
      <c r="V285" s="17">
        <v>-7.13000355172246</v>
      </c>
      <c r="W285" s="17">
        <v>-8.4162628700867703</v>
      </c>
      <c r="X285" s="17">
        <v>-7.8865443343262296</v>
      </c>
      <c r="Y285" s="17">
        <v>-7.9750083535906198</v>
      </c>
      <c r="Z285" s="17">
        <v>-7.8791792972948897</v>
      </c>
      <c r="AA285" s="17">
        <v>-7.4906396415932699</v>
      </c>
      <c r="AB285" s="17">
        <v>-6.7184285674334596</v>
      </c>
      <c r="AC285" s="17">
        <v>-6.7175301373842498</v>
      </c>
      <c r="AD285" s="17">
        <v>-6.4296564346386704</v>
      </c>
      <c r="AE285" s="17">
        <v>-6.24397392656057</v>
      </c>
      <c r="AF285" s="17">
        <v>-10.2722835425678</v>
      </c>
      <c r="AG285" s="17">
        <v>-10.351199130844</v>
      </c>
      <c r="AH285" s="17">
        <v>-9.6880950733584701</v>
      </c>
      <c r="AI285" s="17">
        <v>-8.71885620003399</v>
      </c>
      <c r="AJ285" s="17">
        <v>-7.6331139324208301</v>
      </c>
      <c r="AK285" s="17">
        <v>-7.9563502597778903</v>
      </c>
      <c r="AL285" s="17">
        <v>-9.2005400687447398</v>
      </c>
      <c r="AM285" s="17">
        <v>-10.574866425653999</v>
      </c>
      <c r="AN285" s="17">
        <v>-10.2036267718302</v>
      </c>
      <c r="AO285" s="17"/>
      <c r="AP285" s="17"/>
      <c r="AQ285" s="17"/>
      <c r="AR285" s="17"/>
      <c r="AS285" s="17"/>
      <c r="AT285" s="17"/>
      <c r="AU285" s="17"/>
      <c r="AV285" s="17"/>
      <c r="AW285" s="17"/>
      <c r="AX285" s="17"/>
      <c r="AY285" s="17"/>
      <c r="AZ285" s="17"/>
      <c r="BA285" s="17"/>
      <c r="BB285" s="17"/>
      <c r="BC285" s="17"/>
      <c r="BD285" s="17"/>
      <c r="BE285" s="17"/>
      <c r="BF285" s="17"/>
      <c r="BG285" s="17"/>
      <c r="BH285" s="17"/>
      <c r="BI285" s="17"/>
      <c r="BJ285" s="17"/>
      <c r="BK285" s="17"/>
      <c r="BL285" s="17"/>
      <c r="BM285" s="17"/>
      <c r="BN285" s="17"/>
      <c r="BO285" s="17"/>
      <c r="BP285" s="17"/>
      <c r="BQ285" s="17"/>
      <c r="BR285" s="17"/>
      <c r="BS285" s="17"/>
      <c r="BT285" s="17"/>
      <c r="BU285" s="17"/>
      <c r="BV285" s="17"/>
      <c r="BW285" s="17"/>
      <c r="BX285" s="17"/>
      <c r="BY285" s="17"/>
      <c r="BZ285" s="17"/>
      <c r="CA285" s="17"/>
      <c r="CB285" s="17"/>
      <c r="CC285" s="17"/>
      <c r="CD285" s="17"/>
      <c r="CE285" s="17"/>
      <c r="CF285" s="17"/>
      <c r="CG285" s="17"/>
      <c r="CH285" s="17"/>
      <c r="CI285" s="17"/>
      <c r="CJ285" s="17"/>
      <c r="CK285" s="17"/>
      <c r="CL285" s="17"/>
      <c r="CM285" s="17"/>
      <c r="CN285" s="17"/>
      <c r="CO285" s="17"/>
      <c r="CP285" s="17"/>
      <c r="CQ285" s="17"/>
      <c r="CR285" s="17"/>
      <c r="CS285" s="17"/>
      <c r="CT285" s="17"/>
      <c r="CU285" s="17"/>
      <c r="CV285" s="17"/>
    </row>
    <row r="286" spans="2:100" x14ac:dyDescent="0.35">
      <c r="B286" s="9"/>
      <c r="C286" t="s">
        <v>230</v>
      </c>
      <c r="D286" t="s">
        <v>344</v>
      </c>
      <c r="E286" t="s">
        <v>219</v>
      </c>
      <c r="F286" s="17">
        <v>0</v>
      </c>
      <c r="G286" s="17">
        <v>0</v>
      </c>
      <c r="H286" s="17">
        <v>0</v>
      </c>
      <c r="I286" s="17">
        <v>0</v>
      </c>
      <c r="J286" s="17">
        <v>39.979374569133199</v>
      </c>
      <c r="K286" s="17">
        <v>32.263406581825102</v>
      </c>
      <c r="L286" s="17">
        <v>39.305687841416798</v>
      </c>
      <c r="M286" s="17">
        <v>31.340248812536402</v>
      </c>
      <c r="N286" s="17">
        <v>32.2827437216052</v>
      </c>
      <c r="O286" s="17">
        <v>38.148666640945699</v>
      </c>
      <c r="P286" s="17">
        <v>33.655711986579597</v>
      </c>
      <c r="Q286" s="17">
        <v>28.033012885910999</v>
      </c>
      <c r="R286" s="17">
        <v>32.145868948293703</v>
      </c>
      <c r="S286" s="17">
        <v>32.327539861733399</v>
      </c>
      <c r="T286" s="17">
        <v>34.385561039232897</v>
      </c>
      <c r="U286" s="17">
        <v>32.135505662144602</v>
      </c>
      <c r="V286" s="17">
        <v>32.850885812261197</v>
      </c>
      <c r="W286" s="17">
        <v>31.237190528402799</v>
      </c>
      <c r="X286" s="17">
        <v>32.550193811022702</v>
      </c>
      <c r="Y286" s="17">
        <v>33.090515910736201</v>
      </c>
      <c r="Z286" s="17">
        <v>37.387894879621797</v>
      </c>
      <c r="AA286" s="17">
        <v>34.248080347981201</v>
      </c>
      <c r="AB286" s="17">
        <v>34.9102337411124</v>
      </c>
      <c r="AC286" s="17">
        <v>35.2075827468189</v>
      </c>
      <c r="AD286" s="17">
        <v>35.872191152293901</v>
      </c>
      <c r="AE286" s="17">
        <v>37.498704734645102</v>
      </c>
      <c r="AF286" s="17">
        <v>43.726726304401602</v>
      </c>
      <c r="AG286" s="17">
        <v>41.927327618743099</v>
      </c>
      <c r="AH286" s="17">
        <v>40.330493568599003</v>
      </c>
      <c r="AI286" s="17">
        <v>41.1887136496794</v>
      </c>
      <c r="AJ286" s="17">
        <v>40.566018050686303</v>
      </c>
      <c r="AK286" s="17">
        <v>38.208788326215704</v>
      </c>
      <c r="AL286" s="17">
        <v>38.810945396409302</v>
      </c>
      <c r="AM286" s="17">
        <v>39.415150051366297</v>
      </c>
      <c r="AN286" s="17">
        <v>38.407163770454197</v>
      </c>
      <c r="AO286" s="17"/>
      <c r="AP286" s="17"/>
      <c r="AQ286" s="17"/>
      <c r="AR286" s="17"/>
      <c r="AS286" s="17"/>
      <c r="AT286" s="17"/>
      <c r="AU286" s="17"/>
      <c r="AV286" s="17"/>
      <c r="AW286" s="17"/>
      <c r="AX286" s="17"/>
      <c r="AY286" s="17"/>
      <c r="AZ286" s="17"/>
      <c r="BA286" s="17"/>
      <c r="BB286" s="17"/>
      <c r="BC286" s="17"/>
      <c r="BD286" s="17"/>
      <c r="BE286" s="17"/>
      <c r="BF286" s="17"/>
      <c r="BG286" s="17"/>
      <c r="BH286" s="17"/>
      <c r="BI286" s="17"/>
      <c r="BJ286" s="17"/>
      <c r="BK286" s="17"/>
      <c r="BL286" s="17"/>
      <c r="BM286" s="17"/>
      <c r="BN286" s="17"/>
      <c r="BO286" s="17"/>
      <c r="BP286" s="17"/>
      <c r="BQ286" s="17"/>
      <c r="BR286" s="17"/>
      <c r="BS286" s="17"/>
      <c r="BT286" s="17"/>
      <c r="BU286" s="17"/>
      <c r="BV286" s="17"/>
      <c r="BW286" s="17"/>
      <c r="BX286" s="17"/>
      <c r="BY286" s="17"/>
      <c r="BZ286" s="17"/>
      <c r="CA286" s="17"/>
      <c r="CB286" s="17"/>
      <c r="CC286" s="17"/>
      <c r="CD286" s="17"/>
      <c r="CE286" s="17"/>
      <c r="CF286" s="17"/>
      <c r="CG286" s="17"/>
      <c r="CH286" s="17"/>
      <c r="CI286" s="17"/>
      <c r="CJ286" s="17"/>
      <c r="CK286" s="17"/>
      <c r="CL286" s="17"/>
      <c r="CM286" s="17"/>
      <c r="CN286" s="17"/>
      <c r="CO286" s="17"/>
      <c r="CP286" s="17"/>
      <c r="CQ286" s="17"/>
      <c r="CR286" s="17"/>
      <c r="CS286" s="17"/>
      <c r="CT286" s="17"/>
      <c r="CU286" s="17"/>
      <c r="CV286" s="17"/>
    </row>
    <row r="287" spans="2:100" x14ac:dyDescent="0.35">
      <c r="B287" s="9"/>
      <c r="C287" t="s">
        <v>230</v>
      </c>
      <c r="D287" t="s">
        <v>345</v>
      </c>
      <c r="E287" t="s">
        <v>219</v>
      </c>
      <c r="F287" s="17">
        <v>0</v>
      </c>
      <c r="G287" s="17">
        <v>0</v>
      </c>
      <c r="H287" s="17">
        <v>0</v>
      </c>
      <c r="I287" s="17">
        <v>0</v>
      </c>
      <c r="J287" s="17">
        <v>-35.1815805096969</v>
      </c>
      <c r="K287" s="17">
        <v>-34.739814097009898</v>
      </c>
      <c r="L287" s="17">
        <v>-32.722702827332697</v>
      </c>
      <c r="M287" s="17">
        <v>-29.513333094905398</v>
      </c>
      <c r="N287" s="17">
        <v>-24.9975938366169</v>
      </c>
      <c r="O287" s="17">
        <v>-23.928650121551801</v>
      </c>
      <c r="P287" s="17">
        <v>-26.341206422076301</v>
      </c>
      <c r="Q287" s="17">
        <v>-31.3620618583824</v>
      </c>
      <c r="R287" s="17">
        <v>-29.3504038501667</v>
      </c>
      <c r="S287" s="17">
        <v>-27.319220658672201</v>
      </c>
      <c r="T287" s="17">
        <v>-22.916119456088499</v>
      </c>
      <c r="U287" s="17">
        <v>-21.167879048929901</v>
      </c>
      <c r="V287" s="17">
        <v>-25.065592455109101</v>
      </c>
      <c r="W287" s="17">
        <v>-26.3506608313151</v>
      </c>
      <c r="X287" s="17">
        <v>-27.502427260684399</v>
      </c>
      <c r="Y287" s="17">
        <v>-27.443465176989498</v>
      </c>
      <c r="Z287" s="17">
        <v>-21.9988537164249</v>
      </c>
      <c r="AA287" s="17">
        <v>-23.295580789548598</v>
      </c>
      <c r="AB287" s="17">
        <v>-20.3479258198293</v>
      </c>
      <c r="AC287" s="17">
        <v>-19.0495899301058</v>
      </c>
      <c r="AD287" s="17">
        <v>-17.615789593310801</v>
      </c>
      <c r="AE287" s="17">
        <v>-16.8306139646037</v>
      </c>
      <c r="AF287" s="17">
        <v>-24.202901117504599</v>
      </c>
      <c r="AG287" s="17">
        <v>-20.922921051325801</v>
      </c>
      <c r="AH287" s="17">
        <v>-21.4564004570598</v>
      </c>
      <c r="AI287" s="17">
        <v>-19.024089142313599</v>
      </c>
      <c r="AJ287" s="17">
        <v>-18.227933862656201</v>
      </c>
      <c r="AK287" s="17">
        <v>-19.991614730428001</v>
      </c>
      <c r="AL287" s="17">
        <v>-18.330041482435401</v>
      </c>
      <c r="AM287" s="17">
        <v>-15.997539478040199</v>
      </c>
      <c r="AN287" s="17">
        <v>-16.402062831128902</v>
      </c>
      <c r="AO287" s="17"/>
      <c r="AP287" s="17"/>
      <c r="AQ287" s="17"/>
      <c r="AR287" s="17"/>
      <c r="AS287" s="17"/>
      <c r="AT287" s="17"/>
      <c r="AU287" s="17"/>
      <c r="AV287" s="17"/>
      <c r="AW287" s="17"/>
      <c r="AX287" s="17"/>
      <c r="AY287" s="17"/>
      <c r="AZ287" s="17"/>
      <c r="BA287" s="17"/>
      <c r="BB287" s="17"/>
      <c r="BC287" s="17"/>
      <c r="BD287" s="17"/>
      <c r="BE287" s="17"/>
      <c r="BF287" s="17"/>
      <c r="BG287" s="17"/>
      <c r="BH287" s="17"/>
      <c r="BI287" s="17"/>
      <c r="BJ287" s="17"/>
      <c r="BK287" s="17"/>
      <c r="BL287" s="17"/>
      <c r="BM287" s="17"/>
      <c r="BN287" s="17"/>
      <c r="BO287" s="17"/>
      <c r="BP287" s="17"/>
      <c r="BQ287" s="17"/>
      <c r="BR287" s="17"/>
      <c r="BS287" s="17"/>
      <c r="BT287" s="17"/>
      <c r="BU287" s="17"/>
      <c r="BV287" s="17"/>
      <c r="BW287" s="17"/>
      <c r="BX287" s="17"/>
      <c r="BY287" s="17"/>
      <c r="BZ287" s="17"/>
      <c r="CA287" s="17"/>
      <c r="CB287" s="17"/>
      <c r="CC287" s="17"/>
      <c r="CD287" s="17"/>
      <c r="CE287" s="17"/>
      <c r="CF287" s="17"/>
      <c r="CG287" s="17"/>
      <c r="CH287" s="17"/>
      <c r="CI287" s="17"/>
      <c r="CJ287" s="17"/>
      <c r="CK287" s="17"/>
      <c r="CL287" s="17"/>
      <c r="CM287" s="17"/>
      <c r="CN287" s="17"/>
      <c r="CO287" s="17"/>
      <c r="CP287" s="17"/>
      <c r="CQ287" s="17"/>
      <c r="CR287" s="17"/>
      <c r="CS287" s="17"/>
      <c r="CT287" s="17"/>
      <c r="CU287" s="17"/>
      <c r="CV287" s="17"/>
    </row>
    <row r="288" spans="2:100" x14ac:dyDescent="0.35">
      <c r="B288" s="9"/>
      <c r="D288" t="s">
        <v>220</v>
      </c>
      <c r="E288" t="s">
        <v>219</v>
      </c>
      <c r="F288" s="17">
        <v>0</v>
      </c>
      <c r="G288" s="17">
        <v>0</v>
      </c>
      <c r="H288" s="17">
        <v>0</v>
      </c>
      <c r="I288" s="17">
        <v>0</v>
      </c>
      <c r="J288" s="17">
        <v>-32.480941569206102</v>
      </c>
      <c r="K288" s="17">
        <v>-33.275279095042997</v>
      </c>
      <c r="L288" s="17">
        <v>-28.104814161820801</v>
      </c>
      <c r="M288" s="17">
        <v>-30.694653694149402</v>
      </c>
      <c r="N288" s="17">
        <v>-27.045659155547799</v>
      </c>
      <c r="O288" s="17">
        <v>-26.825345303130799</v>
      </c>
      <c r="P288" s="17">
        <v>-26.9213206154811</v>
      </c>
      <c r="Q288" s="17">
        <v>-27.3827166800573</v>
      </c>
      <c r="R288" s="17">
        <v>-28.496540110138898</v>
      </c>
      <c r="S288" s="17">
        <v>-25.9443824055721</v>
      </c>
      <c r="T288" s="17">
        <v>-24.930201136064799</v>
      </c>
      <c r="U288" s="17">
        <v>-22.758068895454201</v>
      </c>
      <c r="V288" s="17">
        <v>-21.151038708937701</v>
      </c>
      <c r="W288" s="17">
        <v>-21.222714622514999</v>
      </c>
      <c r="X288" s="17">
        <v>-19.350511762287098</v>
      </c>
      <c r="Y288" s="17">
        <v>-19.535442096370499</v>
      </c>
      <c r="Z288" s="17">
        <v>-20.181559557809301</v>
      </c>
      <c r="AA288" s="17">
        <v>-18.0675327582885</v>
      </c>
      <c r="AB288" s="17">
        <v>-13.973334789718599</v>
      </c>
      <c r="AC288" s="17">
        <v>-14.385014242618</v>
      </c>
      <c r="AD288" s="17">
        <v>-13.394202601251299</v>
      </c>
      <c r="AE288" s="17">
        <v>-13.1144670032539</v>
      </c>
      <c r="AF288" s="17">
        <v>-20.1716245929628</v>
      </c>
      <c r="AG288" s="17">
        <v>-19.902450771474101</v>
      </c>
      <c r="AH288" s="17">
        <v>-19.060475559306798</v>
      </c>
      <c r="AI288" s="17">
        <v>-17.7370880968157</v>
      </c>
      <c r="AJ288" s="17">
        <v>-16.3954813086754</v>
      </c>
      <c r="AK288" s="17">
        <v>-17.380923263468802</v>
      </c>
      <c r="AL288" s="17">
        <v>-17.840835873777699</v>
      </c>
      <c r="AM288" s="17">
        <v>-19.015825675233099</v>
      </c>
      <c r="AN288" s="17">
        <v>-18.446398620669498</v>
      </c>
      <c r="AO288" s="17"/>
      <c r="AP288" s="17"/>
      <c r="AQ288" s="17"/>
      <c r="AR288" s="17"/>
      <c r="AS288" s="17"/>
      <c r="AT288" s="17"/>
      <c r="AU288" s="17"/>
      <c r="AV288" s="17"/>
      <c r="AW288" s="17"/>
      <c r="AX288" s="17"/>
      <c r="AY288" s="17"/>
      <c r="AZ288" s="17"/>
      <c r="BA288" s="17"/>
      <c r="BB288" s="17"/>
      <c r="BC288" s="17"/>
      <c r="BD288" s="17"/>
      <c r="BE288" s="17"/>
      <c r="BF288" s="17"/>
      <c r="BG288" s="17"/>
      <c r="BH288" s="17"/>
      <c r="BI288" s="17"/>
      <c r="BJ288" s="17"/>
      <c r="BK288" s="17"/>
      <c r="BL288" s="17"/>
      <c r="BM288" s="17"/>
      <c r="BN288" s="17"/>
      <c r="BO288" s="17"/>
      <c r="BP288" s="17"/>
      <c r="BQ288" s="17"/>
      <c r="BR288" s="17"/>
      <c r="BS288" s="17"/>
      <c r="BT288" s="17"/>
      <c r="BU288" s="17"/>
      <c r="BV288" s="17"/>
      <c r="BW288" s="17"/>
      <c r="BX288" s="17"/>
      <c r="BY288" s="17"/>
      <c r="BZ288" s="17"/>
      <c r="CA288" s="17"/>
      <c r="CB288" s="17"/>
      <c r="CC288" s="17"/>
      <c r="CD288" s="17"/>
      <c r="CE288" s="17"/>
      <c r="CF288" s="17"/>
      <c r="CG288" s="17"/>
      <c r="CH288" s="17"/>
      <c r="CI288" s="17"/>
      <c r="CJ288" s="17"/>
      <c r="CK288" s="17"/>
      <c r="CL288" s="17"/>
      <c r="CM288" s="17"/>
      <c r="CN288" s="17"/>
      <c r="CO288" s="17"/>
      <c r="CP288" s="17"/>
      <c r="CQ288" s="17"/>
      <c r="CR288" s="17"/>
      <c r="CS288" s="17"/>
      <c r="CT288" s="17"/>
      <c r="CU288" s="17"/>
      <c r="CV288" s="17"/>
    </row>
    <row r="289" spans="2:100" x14ac:dyDescent="0.35">
      <c r="B289" s="9"/>
      <c r="C289" t="s">
        <v>230</v>
      </c>
      <c r="D289" t="s">
        <v>346</v>
      </c>
      <c r="E289" t="s">
        <v>219</v>
      </c>
      <c r="F289" s="17">
        <v>0</v>
      </c>
      <c r="G289" s="17">
        <v>0</v>
      </c>
      <c r="H289" s="17">
        <v>0</v>
      </c>
      <c r="I289" s="17">
        <v>0</v>
      </c>
      <c r="J289" s="17">
        <v>118.97447390473</v>
      </c>
      <c r="K289" s="17">
        <v>118.063225557024</v>
      </c>
      <c r="L289" s="17">
        <v>124.105752662201</v>
      </c>
      <c r="M289" s="17">
        <v>111.273476269288</v>
      </c>
      <c r="N289" s="17">
        <v>105.457802751537</v>
      </c>
      <c r="O289" s="17">
        <v>102.69570492756399</v>
      </c>
      <c r="P289" s="17">
        <v>94.959020814818999</v>
      </c>
      <c r="Q289" s="17">
        <v>92.909994384672601</v>
      </c>
      <c r="R289" s="17">
        <v>87.708220208921503</v>
      </c>
      <c r="S289" s="17">
        <v>87.385433096588997</v>
      </c>
      <c r="T289" s="17">
        <v>88.968738461689696</v>
      </c>
      <c r="U289" s="17">
        <v>87.674320144855201</v>
      </c>
      <c r="V289" s="17">
        <v>86.230751992990307</v>
      </c>
      <c r="W289" s="17">
        <v>82.798331330554205</v>
      </c>
      <c r="X289" s="17">
        <v>80.720711841748596</v>
      </c>
      <c r="Y289" s="17">
        <v>80.143272044769404</v>
      </c>
      <c r="Z289" s="17">
        <v>80.754047775318895</v>
      </c>
      <c r="AA289" s="17">
        <v>78.966485383215598</v>
      </c>
      <c r="AB289" s="17">
        <v>81.732041118192697</v>
      </c>
      <c r="AC289" s="17">
        <v>80.795166620361897</v>
      </c>
      <c r="AD289" s="17">
        <v>81.348651764982506</v>
      </c>
      <c r="AE289" s="17">
        <v>80.3108188020867</v>
      </c>
      <c r="AF289" s="17">
        <v>107.02027707572999</v>
      </c>
      <c r="AG289" s="17">
        <v>104.547902048905</v>
      </c>
      <c r="AH289" s="17">
        <v>102.041323999044</v>
      </c>
      <c r="AI289" s="17">
        <v>101.54503541860301</v>
      </c>
      <c r="AJ289" s="17">
        <v>101.55968191777799</v>
      </c>
      <c r="AK289" s="17">
        <v>97.609661078385002</v>
      </c>
      <c r="AL289" s="17">
        <v>97.830027165107097</v>
      </c>
      <c r="AM289" s="17">
        <v>96.913168853024004</v>
      </c>
      <c r="AN289" s="17">
        <v>93.272573590696396</v>
      </c>
      <c r="AO289" s="17"/>
      <c r="AP289" s="17"/>
      <c r="AQ289" s="17"/>
      <c r="AR289" s="17"/>
      <c r="AS289" s="17"/>
      <c r="AT289" s="17"/>
      <c r="AU289" s="17"/>
      <c r="AV289" s="17"/>
      <c r="AW289" s="17"/>
      <c r="AX289" s="17"/>
      <c r="AY289" s="17"/>
      <c r="AZ289" s="17"/>
      <c r="BA289" s="17"/>
      <c r="BB289" s="17"/>
      <c r="BC289" s="17"/>
      <c r="BD289" s="17"/>
      <c r="BE289" s="17"/>
      <c r="BF289" s="17"/>
      <c r="BG289" s="17"/>
      <c r="BH289" s="17"/>
      <c r="BI289" s="17"/>
      <c r="BJ289" s="17"/>
      <c r="BK289" s="17"/>
      <c r="BL289" s="17"/>
      <c r="BM289" s="17"/>
      <c r="BN289" s="17"/>
      <c r="BO289" s="17"/>
      <c r="BP289" s="17"/>
      <c r="BQ289" s="17"/>
      <c r="BR289" s="17"/>
      <c r="BS289" s="17"/>
      <c r="BT289" s="17"/>
      <c r="BU289" s="17"/>
      <c r="BV289" s="17"/>
      <c r="BW289" s="17"/>
      <c r="BX289" s="17"/>
      <c r="BY289" s="17"/>
      <c r="BZ289" s="17"/>
      <c r="CA289" s="17"/>
      <c r="CB289" s="17"/>
      <c r="CC289" s="17"/>
      <c r="CD289" s="17"/>
      <c r="CE289" s="17"/>
      <c r="CF289" s="17"/>
      <c r="CG289" s="17"/>
      <c r="CH289" s="17"/>
      <c r="CI289" s="17"/>
      <c r="CJ289" s="17"/>
      <c r="CK289" s="17"/>
      <c r="CL289" s="17"/>
      <c r="CM289" s="17"/>
      <c r="CN289" s="17"/>
      <c r="CO289" s="17"/>
      <c r="CP289" s="17"/>
      <c r="CQ289" s="17"/>
      <c r="CR289" s="17"/>
      <c r="CS289" s="17"/>
      <c r="CT289" s="17"/>
      <c r="CU289" s="17"/>
      <c r="CV289" s="17"/>
    </row>
    <row r="290" spans="2:100" x14ac:dyDescent="0.35">
      <c r="B290" s="9"/>
      <c r="C290" t="s">
        <v>230</v>
      </c>
      <c r="D290" t="s">
        <v>347</v>
      </c>
      <c r="E290" t="s">
        <v>219</v>
      </c>
      <c r="F290" s="17">
        <v>0</v>
      </c>
      <c r="G290" s="17">
        <v>0</v>
      </c>
      <c r="H290" s="17">
        <v>0</v>
      </c>
      <c r="I290" s="17">
        <v>0</v>
      </c>
      <c r="J290" s="17">
        <v>5.43568984123874</v>
      </c>
      <c r="K290" s="17">
        <v>4.1495663320679199</v>
      </c>
      <c r="L290" s="17">
        <v>4.5333735597196103</v>
      </c>
      <c r="M290" s="17">
        <v>5.1560064775464598</v>
      </c>
      <c r="N290" s="17">
        <v>5.4364315683723996</v>
      </c>
      <c r="O290" s="17">
        <v>6.8317665628278101</v>
      </c>
      <c r="P290" s="17">
        <v>6.7935519451531396</v>
      </c>
      <c r="Q290" s="17">
        <v>7.1413592896700697</v>
      </c>
      <c r="R290" s="17">
        <v>7.5736503993961604</v>
      </c>
      <c r="S290" s="17">
        <v>7.7544751170918804</v>
      </c>
      <c r="T290" s="17">
        <v>7.6662200350482399</v>
      </c>
      <c r="U290" s="17">
        <v>7.43379827068898</v>
      </c>
      <c r="V290" s="17">
        <v>7.8818954811645998</v>
      </c>
      <c r="W290" s="17">
        <v>7.5149390403661798</v>
      </c>
      <c r="X290" s="17">
        <v>7.8481834605970304</v>
      </c>
      <c r="Y290" s="17">
        <v>8.2466058468399908</v>
      </c>
      <c r="Z290" s="17">
        <v>8.85610706034287</v>
      </c>
      <c r="AA290" s="17">
        <v>9.0553182534643497</v>
      </c>
      <c r="AB290" s="17">
        <v>9.0856768316389296</v>
      </c>
      <c r="AC290" s="17">
        <v>8.9493348482402997</v>
      </c>
      <c r="AD290" s="17">
        <v>8.6061554631629207</v>
      </c>
      <c r="AE290" s="17">
        <v>8.8656659381920608</v>
      </c>
      <c r="AF290" s="17">
        <v>8.63177116642653</v>
      </c>
      <c r="AG290" s="17">
        <v>8.6730049269410099</v>
      </c>
      <c r="AH290" s="17">
        <v>8.5395985114938799</v>
      </c>
      <c r="AI290" s="17">
        <v>8.4959724198018503</v>
      </c>
      <c r="AJ290" s="17">
        <v>8.8748278353218293</v>
      </c>
      <c r="AK290" s="17">
        <v>8.6848412204963399</v>
      </c>
      <c r="AL290" s="17">
        <v>8.7358219023586692</v>
      </c>
      <c r="AM290" s="17">
        <v>8.9097621386307697</v>
      </c>
      <c r="AN290" s="17">
        <v>8.8856298896344601</v>
      </c>
      <c r="AO290" s="17"/>
      <c r="AP290" s="17"/>
      <c r="AQ290" s="17"/>
      <c r="AR290" s="17"/>
      <c r="AS290" s="17"/>
      <c r="AT290" s="17"/>
      <c r="AU290" s="17"/>
      <c r="AV290" s="17"/>
      <c r="AW290" s="17"/>
      <c r="AX290" s="17"/>
      <c r="AY290" s="17"/>
      <c r="AZ290" s="17"/>
      <c r="BA290" s="17"/>
      <c r="BB290" s="17"/>
      <c r="BC290" s="17"/>
      <c r="BD290" s="17"/>
      <c r="BE290" s="17"/>
      <c r="BF290" s="17"/>
      <c r="BG290" s="17"/>
      <c r="BH290" s="17"/>
      <c r="BI290" s="17"/>
      <c r="BJ290" s="17"/>
      <c r="BK290" s="17"/>
      <c r="BL290" s="17"/>
      <c r="BM290" s="17"/>
      <c r="BN290" s="17"/>
      <c r="BO290" s="17"/>
      <c r="BP290" s="17"/>
      <c r="BQ290" s="17"/>
      <c r="BR290" s="17"/>
      <c r="BS290" s="17"/>
      <c r="BT290" s="17"/>
      <c r="BU290" s="17"/>
      <c r="BV290" s="17"/>
      <c r="BW290" s="17"/>
      <c r="BX290" s="17"/>
      <c r="BY290" s="17"/>
      <c r="BZ290" s="17"/>
      <c r="CA290" s="17"/>
      <c r="CB290" s="17"/>
      <c r="CC290" s="17"/>
      <c r="CD290" s="17"/>
      <c r="CE290" s="17"/>
      <c r="CF290" s="17"/>
      <c r="CG290" s="17"/>
      <c r="CH290" s="17"/>
      <c r="CI290" s="17"/>
      <c r="CJ290" s="17"/>
      <c r="CK290" s="17"/>
      <c r="CL290" s="17"/>
      <c r="CM290" s="17"/>
      <c r="CN290" s="17"/>
      <c r="CO290" s="17"/>
      <c r="CP290" s="17"/>
      <c r="CQ290" s="17"/>
      <c r="CR290" s="17"/>
      <c r="CS290" s="17"/>
      <c r="CT290" s="17"/>
      <c r="CU290" s="17"/>
      <c r="CV290" s="17"/>
    </row>
    <row r="291" spans="2:100" x14ac:dyDescent="0.35">
      <c r="B291" s="9"/>
      <c r="C291" t="s">
        <v>230</v>
      </c>
      <c r="D291" t="s">
        <v>348</v>
      </c>
      <c r="E291" t="s">
        <v>219</v>
      </c>
      <c r="F291" s="17">
        <v>0</v>
      </c>
      <c r="G291" s="17">
        <v>0</v>
      </c>
      <c r="H291" s="17">
        <v>0</v>
      </c>
      <c r="I291" s="17">
        <v>0</v>
      </c>
      <c r="J291" s="17">
        <v>8.0425473101971701</v>
      </c>
      <c r="K291" s="17">
        <v>8.2729319366541407</v>
      </c>
      <c r="L291" s="17">
        <v>8.3566426341465299</v>
      </c>
      <c r="M291" s="17">
        <v>7.0592887493605501</v>
      </c>
      <c r="N291" s="17">
        <v>7.3516441554911598</v>
      </c>
      <c r="O291" s="17">
        <v>8.4595442153645592</v>
      </c>
      <c r="P291" s="17">
        <v>7.8500638955837596</v>
      </c>
      <c r="Q291" s="17">
        <v>7.4991224927556104</v>
      </c>
      <c r="R291" s="17">
        <v>7.8357934834067198</v>
      </c>
      <c r="S291" s="17">
        <v>7.8106374420287503</v>
      </c>
      <c r="T291" s="17">
        <v>7.6167959354804697</v>
      </c>
      <c r="U291" s="17">
        <v>7.2667111752573899</v>
      </c>
      <c r="V291" s="17">
        <v>7.4541800965728804</v>
      </c>
      <c r="W291" s="17">
        <v>7.3850323233665698</v>
      </c>
      <c r="X291" s="17">
        <v>6.7848706036310897</v>
      </c>
      <c r="Y291" s="17">
        <v>6.90973148674966</v>
      </c>
      <c r="Z291" s="17">
        <v>7.0429080712539598</v>
      </c>
      <c r="AA291" s="17">
        <v>6.9081226701498997</v>
      </c>
      <c r="AB291" s="17">
        <v>6.67908568876675</v>
      </c>
      <c r="AC291" s="17">
        <v>6.6748756037686903</v>
      </c>
      <c r="AD291" s="17">
        <v>6.50339037984038</v>
      </c>
      <c r="AE291" s="17">
        <v>6.6340074833905298</v>
      </c>
      <c r="AF291" s="17">
        <v>6.34611288692287</v>
      </c>
      <c r="AG291" s="17">
        <v>6.4668577067927204</v>
      </c>
      <c r="AH291" s="17">
        <v>6.3943355974713398</v>
      </c>
      <c r="AI291" s="17">
        <v>6.2511091326490904</v>
      </c>
      <c r="AJ291" s="17">
        <v>6.1130434171793002</v>
      </c>
      <c r="AK291" s="17">
        <v>6.0653326028216599</v>
      </c>
      <c r="AL291" s="17">
        <v>5.7229053917389701</v>
      </c>
      <c r="AM291" s="17">
        <v>5.8608039574321698</v>
      </c>
      <c r="AN291" s="17">
        <v>6.4364991286181397</v>
      </c>
      <c r="AO291" s="17"/>
      <c r="AP291" s="17"/>
      <c r="AQ291" s="17"/>
      <c r="AR291" s="17"/>
      <c r="AS291" s="17"/>
      <c r="AT291" s="17"/>
      <c r="AU291" s="17"/>
      <c r="AV291" s="17"/>
      <c r="AW291" s="17"/>
      <c r="AX291" s="17"/>
      <c r="AY291" s="17"/>
      <c r="AZ291" s="17"/>
      <c r="BA291" s="17"/>
      <c r="BB291" s="17"/>
      <c r="BC291" s="17"/>
      <c r="BD291" s="17"/>
      <c r="BE291" s="17"/>
      <c r="BF291" s="17"/>
      <c r="BG291" s="17"/>
      <c r="BH291" s="17"/>
      <c r="BI291" s="17"/>
      <c r="BJ291" s="17"/>
      <c r="BK291" s="17"/>
      <c r="BL291" s="17"/>
      <c r="BM291" s="17"/>
      <c r="BN291" s="17"/>
      <c r="BO291" s="17"/>
      <c r="BP291" s="17"/>
      <c r="BQ291" s="17"/>
      <c r="BR291" s="17"/>
      <c r="BS291" s="17"/>
      <c r="BT291" s="17"/>
      <c r="BU291" s="17"/>
      <c r="BV291" s="17"/>
      <c r="BW291" s="17"/>
      <c r="BX291" s="17"/>
      <c r="BY291" s="17"/>
      <c r="BZ291" s="17"/>
      <c r="CA291" s="17"/>
      <c r="CB291" s="17"/>
      <c r="CC291" s="17"/>
      <c r="CD291" s="17"/>
      <c r="CE291" s="17"/>
      <c r="CF291" s="17"/>
      <c r="CG291" s="17"/>
      <c r="CH291" s="17"/>
      <c r="CI291" s="17"/>
      <c r="CJ291" s="17"/>
      <c r="CK291" s="17"/>
      <c r="CL291" s="17"/>
      <c r="CM291" s="17"/>
      <c r="CN291" s="17"/>
      <c r="CO291" s="17"/>
      <c r="CP291" s="17"/>
      <c r="CQ291" s="17"/>
      <c r="CR291" s="17"/>
      <c r="CS291" s="17"/>
      <c r="CT291" s="17"/>
      <c r="CU291" s="17"/>
      <c r="CV291" s="17"/>
    </row>
    <row r="292" spans="2:100" x14ac:dyDescent="0.35">
      <c r="B292" s="9"/>
      <c r="C292" t="s">
        <v>230</v>
      </c>
      <c r="D292" t="s">
        <v>349</v>
      </c>
      <c r="E292" t="s">
        <v>219</v>
      </c>
      <c r="F292" s="17">
        <v>0</v>
      </c>
      <c r="G292" s="17">
        <v>0</v>
      </c>
      <c r="H292" s="17">
        <v>0</v>
      </c>
      <c r="I292" s="17">
        <v>0</v>
      </c>
      <c r="J292" s="17">
        <v>4.9335614654778803</v>
      </c>
      <c r="K292" s="17">
        <v>4.9507778924674604</v>
      </c>
      <c r="L292" s="17">
        <v>5.0537734954348199</v>
      </c>
      <c r="M292" s="17">
        <v>4.71706071733957</v>
      </c>
      <c r="N292" s="17">
        <v>4.5386805651265902</v>
      </c>
      <c r="O292" s="17">
        <v>5.24093945778022</v>
      </c>
      <c r="P292" s="17">
        <v>5.1581794246422303</v>
      </c>
      <c r="Q292" s="17">
        <v>4.7496131363319902</v>
      </c>
      <c r="R292" s="17">
        <v>5.1763778565693102</v>
      </c>
      <c r="S292" s="17">
        <v>5.2707547991808497</v>
      </c>
      <c r="T292" s="17">
        <v>5.3771665257074401</v>
      </c>
      <c r="U292" s="17">
        <v>5.3138585478210096</v>
      </c>
      <c r="V292" s="17">
        <v>5.50600766288124</v>
      </c>
      <c r="W292" s="17">
        <v>5.4597280684857203</v>
      </c>
      <c r="X292" s="17">
        <v>5.63988418707505</v>
      </c>
      <c r="Y292" s="17">
        <v>5.1960179553195598</v>
      </c>
      <c r="Z292" s="17">
        <v>5.9492784235575904</v>
      </c>
      <c r="AA292" s="17">
        <v>6.0074674395357102</v>
      </c>
      <c r="AB292" s="17">
        <v>6.0835310347487503</v>
      </c>
      <c r="AC292" s="17">
        <v>6.08923502087515</v>
      </c>
      <c r="AD292" s="17">
        <v>6.17800199910962</v>
      </c>
      <c r="AE292" s="17">
        <v>6.32424760677167</v>
      </c>
      <c r="AF292" s="17">
        <v>5.9697960586349801</v>
      </c>
      <c r="AG292" s="17">
        <v>5.99777275249303</v>
      </c>
      <c r="AH292" s="17">
        <v>5.9007109665948896</v>
      </c>
      <c r="AI292" s="17">
        <v>5.8543791378941901</v>
      </c>
      <c r="AJ292" s="17">
        <v>5.7492419284141603</v>
      </c>
      <c r="AK292" s="17">
        <v>5.6328534495969</v>
      </c>
      <c r="AL292" s="17">
        <v>5.7254230852489796</v>
      </c>
      <c r="AM292" s="17">
        <v>5.8956442389917703</v>
      </c>
      <c r="AN292" s="17">
        <v>5.8962710506540104</v>
      </c>
      <c r="AO292" s="17"/>
      <c r="AP292" s="17"/>
      <c r="AQ292" s="17"/>
      <c r="AR292" s="17"/>
      <c r="AS292" s="17"/>
      <c r="AT292" s="17"/>
      <c r="AU292" s="17"/>
      <c r="AV292" s="17"/>
      <c r="AW292" s="17"/>
      <c r="AX292" s="17"/>
      <c r="AY292" s="17"/>
      <c r="AZ292" s="17"/>
      <c r="BA292" s="17"/>
      <c r="BB292" s="17"/>
      <c r="BC292" s="17"/>
      <c r="BD292" s="17"/>
      <c r="BE292" s="17"/>
      <c r="BF292" s="17"/>
      <c r="BG292" s="17"/>
      <c r="BH292" s="17"/>
      <c r="BI292" s="17"/>
      <c r="BJ292" s="17"/>
      <c r="BK292" s="17"/>
      <c r="BL292" s="17"/>
      <c r="BM292" s="17"/>
      <c r="BN292" s="17"/>
      <c r="BO292" s="17"/>
      <c r="BP292" s="17"/>
      <c r="BQ292" s="17"/>
      <c r="BR292" s="17"/>
      <c r="BS292" s="17"/>
      <c r="BT292" s="17"/>
      <c r="BU292" s="17"/>
      <c r="BV292" s="17"/>
      <c r="BW292" s="17"/>
      <c r="BX292" s="17"/>
      <c r="BY292" s="17"/>
      <c r="BZ292" s="17"/>
      <c r="CA292" s="17"/>
      <c r="CB292" s="17"/>
      <c r="CC292" s="17"/>
      <c r="CD292" s="17"/>
      <c r="CE292" s="17"/>
      <c r="CF292" s="17"/>
      <c r="CG292" s="17"/>
      <c r="CH292" s="17"/>
      <c r="CI292" s="17"/>
      <c r="CJ292" s="17"/>
      <c r="CK292" s="17"/>
      <c r="CL292" s="17"/>
      <c r="CM292" s="17"/>
      <c r="CN292" s="17"/>
      <c r="CO292" s="17"/>
      <c r="CP292" s="17"/>
      <c r="CQ292" s="17"/>
      <c r="CR292" s="17"/>
      <c r="CS292" s="17"/>
      <c r="CT292" s="17"/>
      <c r="CU292" s="17"/>
      <c r="CV292" s="17"/>
    </row>
    <row r="293" spans="2:100" x14ac:dyDescent="0.35">
      <c r="B293" s="9"/>
      <c r="C293" t="s">
        <v>230</v>
      </c>
      <c r="D293" t="s">
        <v>350</v>
      </c>
      <c r="E293" t="s">
        <v>219</v>
      </c>
      <c r="F293" s="17">
        <v>0</v>
      </c>
      <c r="G293" s="17">
        <v>0</v>
      </c>
      <c r="H293" s="17">
        <v>0</v>
      </c>
      <c r="I293" s="17">
        <v>0</v>
      </c>
      <c r="J293" s="17">
        <v>18.4092913702648</v>
      </c>
      <c r="K293" s="17">
        <v>17.371949409837701</v>
      </c>
      <c r="L293" s="17">
        <v>17.941961488619398</v>
      </c>
      <c r="M293" s="17">
        <v>16.936336198301799</v>
      </c>
      <c r="N293" s="17">
        <v>17.331321567263402</v>
      </c>
      <c r="O293" s="17">
        <v>20.535352953700698</v>
      </c>
      <c r="P293" s="17">
        <v>19.806423224818602</v>
      </c>
      <c r="Q293" s="17">
        <v>19.3882667180761</v>
      </c>
      <c r="R293" s="17">
        <v>20.5853934180696</v>
      </c>
      <c r="S293" s="17">
        <v>20.8342898822848</v>
      </c>
      <c r="T293" s="17">
        <v>20.6575916746988</v>
      </c>
      <c r="U293" s="17">
        <v>20.015047039734799</v>
      </c>
      <c r="V293" s="17">
        <v>20.846073941535</v>
      </c>
      <c r="W293" s="17">
        <v>20.361318695679198</v>
      </c>
      <c r="X293" s="17">
        <v>20.274536621041801</v>
      </c>
      <c r="Y293" s="17">
        <v>20.3552386225555</v>
      </c>
      <c r="Z293" s="17">
        <v>21.853266261008201</v>
      </c>
      <c r="AA293" s="17">
        <v>21.9718485806433</v>
      </c>
      <c r="AB293" s="17">
        <v>21.849286006952902</v>
      </c>
      <c r="AC293" s="17">
        <v>21.715440823342199</v>
      </c>
      <c r="AD293" s="17">
        <v>21.283933228194002</v>
      </c>
      <c r="AE293" s="17">
        <v>21.821037694707901</v>
      </c>
      <c r="AF293" s="17">
        <v>20.945141524752302</v>
      </c>
      <c r="AG293" s="17">
        <v>21.136162378820501</v>
      </c>
      <c r="AH293" s="17">
        <v>20.835585293053398</v>
      </c>
      <c r="AI293" s="17">
        <v>20.604385811435598</v>
      </c>
      <c r="AJ293" s="17">
        <v>20.736695306473798</v>
      </c>
      <c r="AK293" s="17">
        <v>20.378535122668801</v>
      </c>
      <c r="AL293" s="17">
        <v>20.181444642337901</v>
      </c>
      <c r="AM293" s="17">
        <v>20.663995600514799</v>
      </c>
      <c r="AN293" s="17">
        <v>21.221774405021598</v>
      </c>
      <c r="AO293" s="17"/>
      <c r="AP293" s="17"/>
      <c r="AQ293" s="17"/>
      <c r="AR293" s="17"/>
      <c r="AS293" s="17"/>
      <c r="AT293" s="17"/>
      <c r="AU293" s="17"/>
      <c r="AV293" s="17"/>
      <c r="AW293" s="17"/>
      <c r="AX293" s="17"/>
      <c r="AY293" s="17"/>
      <c r="AZ293" s="17"/>
      <c r="BA293" s="17"/>
      <c r="BB293" s="17"/>
      <c r="BC293" s="17"/>
      <c r="BD293" s="17"/>
      <c r="BE293" s="17"/>
      <c r="BF293" s="17"/>
      <c r="BG293" s="17"/>
      <c r="BH293" s="17"/>
      <c r="BI293" s="17"/>
      <c r="BJ293" s="17"/>
      <c r="BK293" s="17"/>
      <c r="BL293" s="17"/>
      <c r="BM293" s="17"/>
      <c r="BN293" s="17"/>
      <c r="BO293" s="17"/>
      <c r="BP293" s="17"/>
      <c r="BQ293" s="17"/>
      <c r="BR293" s="17"/>
      <c r="BS293" s="17"/>
      <c r="BT293" s="17"/>
      <c r="BU293" s="17"/>
      <c r="BV293" s="17"/>
      <c r="BW293" s="17"/>
      <c r="BX293" s="17"/>
      <c r="BY293" s="17"/>
      <c r="BZ293" s="17"/>
      <c r="CA293" s="17"/>
      <c r="CB293" s="17"/>
      <c r="CC293" s="17"/>
      <c r="CD293" s="17"/>
      <c r="CE293" s="17"/>
      <c r="CF293" s="17"/>
      <c r="CG293" s="17"/>
      <c r="CH293" s="17"/>
      <c r="CI293" s="17"/>
      <c r="CJ293" s="17"/>
      <c r="CK293" s="17"/>
      <c r="CL293" s="17"/>
      <c r="CM293" s="17"/>
      <c r="CN293" s="17"/>
      <c r="CO293" s="17"/>
      <c r="CP293" s="17"/>
      <c r="CQ293" s="17"/>
      <c r="CR293" s="17"/>
      <c r="CS293" s="17"/>
      <c r="CT293" s="17"/>
      <c r="CU293" s="17"/>
      <c r="CV293" s="17"/>
    </row>
    <row r="294" spans="2:100" x14ac:dyDescent="0.35">
      <c r="B294" s="9"/>
      <c r="D294" t="s">
        <v>351</v>
      </c>
      <c r="E294" t="s">
        <v>219</v>
      </c>
      <c r="F294" s="17">
        <v>0</v>
      </c>
      <c r="G294" s="17">
        <v>0</v>
      </c>
      <c r="H294" s="17">
        <v>0</v>
      </c>
      <c r="I294" s="17">
        <v>0</v>
      </c>
      <c r="J294" s="17">
        <v>-22.7131264992715</v>
      </c>
      <c r="K294" s="17">
        <v>-21.5517385108868</v>
      </c>
      <c r="L294" s="17">
        <v>-21.451406857483899</v>
      </c>
      <c r="M294" s="17">
        <v>-19.683996460321801</v>
      </c>
      <c r="N294" s="17">
        <v>-18.773092859029902</v>
      </c>
      <c r="O294" s="17">
        <v>-18.1080143448083</v>
      </c>
      <c r="P294" s="17">
        <v>-18.305094378278099</v>
      </c>
      <c r="Q294" s="17">
        <v>-18.652180889383501</v>
      </c>
      <c r="R294" s="17">
        <v>-17.792895228477299</v>
      </c>
      <c r="S294" s="17">
        <v>-17.984459319319399</v>
      </c>
      <c r="T294" s="17">
        <v>-17.590341039823802</v>
      </c>
      <c r="U294" s="17">
        <v>-17.130783622790201</v>
      </c>
      <c r="V294" s="17">
        <v>-17.701819493953501</v>
      </c>
      <c r="W294" s="17">
        <v>-17.196463038132102</v>
      </c>
      <c r="X294" s="17">
        <v>-17.424664270632299</v>
      </c>
      <c r="Y294" s="17">
        <v>-17.718127044032801</v>
      </c>
      <c r="Z294" s="17">
        <v>-17.3807143262481</v>
      </c>
      <c r="AA294" s="17">
        <v>-17.872845055996201</v>
      </c>
      <c r="AB294" s="17">
        <v>-18.7793714225134</v>
      </c>
      <c r="AC294" s="17">
        <v>-18.402291973369799</v>
      </c>
      <c r="AD294" s="17">
        <v>-18.706044904892099</v>
      </c>
      <c r="AE294" s="17">
        <v>-18.743768520098101</v>
      </c>
      <c r="AF294" s="17">
        <v>-25.0563783236741</v>
      </c>
      <c r="AG294" s="17">
        <v>-23.239230421113099</v>
      </c>
      <c r="AH294" s="17">
        <v>-22.7523022281616</v>
      </c>
      <c r="AI294" s="17">
        <v>-22.4212307550265</v>
      </c>
      <c r="AJ294" s="17">
        <v>-22.3520829818202</v>
      </c>
      <c r="AK294" s="17">
        <v>-21.526143701345202</v>
      </c>
      <c r="AL294" s="17">
        <v>-20.692108103566301</v>
      </c>
      <c r="AM294" s="17">
        <v>-20.4224537264699</v>
      </c>
      <c r="AN294" s="17">
        <v>-20.351122559306798</v>
      </c>
      <c r="AO294" s="17"/>
      <c r="AP294" s="17"/>
      <c r="AQ294" s="17"/>
      <c r="AR294" s="17"/>
      <c r="AS294" s="17"/>
      <c r="AT294" s="17"/>
      <c r="AU294" s="17"/>
      <c r="AV294" s="17"/>
      <c r="AW294" s="17"/>
      <c r="AX294" s="17"/>
      <c r="AY294" s="17"/>
      <c r="AZ294" s="17"/>
      <c r="BA294" s="17"/>
      <c r="BB294" s="17"/>
      <c r="BC294" s="17"/>
      <c r="BD294" s="17"/>
      <c r="BE294" s="17"/>
      <c r="BF294" s="17"/>
      <c r="BG294" s="17"/>
      <c r="BH294" s="17"/>
      <c r="BI294" s="17"/>
      <c r="BJ294" s="17"/>
      <c r="BK294" s="17"/>
      <c r="BL294" s="17"/>
      <c r="BM294" s="17"/>
      <c r="BN294" s="17"/>
      <c r="BO294" s="17"/>
      <c r="BP294" s="17"/>
      <c r="BQ294" s="17"/>
      <c r="BR294" s="17"/>
      <c r="BS294" s="17"/>
      <c r="BT294" s="17"/>
      <c r="BU294" s="17"/>
      <c r="BV294" s="17"/>
      <c r="BW294" s="17"/>
      <c r="BX294" s="17"/>
      <c r="BY294" s="17"/>
      <c r="BZ294" s="17"/>
      <c r="CA294" s="17"/>
      <c r="CB294" s="17"/>
      <c r="CC294" s="17"/>
      <c r="CD294" s="17"/>
      <c r="CE294" s="17"/>
      <c r="CF294" s="17"/>
      <c r="CG294" s="17"/>
      <c r="CH294" s="17"/>
      <c r="CI294" s="17"/>
      <c r="CJ294" s="17"/>
      <c r="CK294" s="17"/>
      <c r="CL294" s="17"/>
      <c r="CM294" s="17"/>
      <c r="CN294" s="17"/>
      <c r="CO294" s="17"/>
      <c r="CP294" s="17"/>
      <c r="CQ294" s="17"/>
      <c r="CR294" s="17"/>
      <c r="CS294" s="17"/>
      <c r="CT294" s="17"/>
      <c r="CU294" s="17"/>
      <c r="CV294" s="17"/>
    </row>
    <row r="295" spans="2:100" x14ac:dyDescent="0.35">
      <c r="B295" s="9"/>
      <c r="C295" t="s">
        <v>230</v>
      </c>
      <c r="D295" t="s">
        <v>352</v>
      </c>
      <c r="E295" t="s">
        <v>219</v>
      </c>
      <c r="F295" s="17">
        <v>0</v>
      </c>
      <c r="G295" s="17">
        <v>0</v>
      </c>
      <c r="H295" s="17">
        <v>0</v>
      </c>
      <c r="I295" s="17">
        <v>0</v>
      </c>
      <c r="J295" s="17">
        <v>114.672487870127</v>
      </c>
      <c r="K295" s="17">
        <v>113.884721419882</v>
      </c>
      <c r="L295" s="17">
        <v>120.598031025407</v>
      </c>
      <c r="M295" s="17">
        <v>108.521929774962</v>
      </c>
      <c r="N295" s="17">
        <v>104.011497522081</v>
      </c>
      <c r="O295" s="17">
        <v>105.119773668951</v>
      </c>
      <c r="P295" s="17">
        <v>96.455982873445905</v>
      </c>
      <c r="Q295" s="17">
        <v>93.647427858439002</v>
      </c>
      <c r="R295" s="17">
        <v>90.500833313985297</v>
      </c>
      <c r="S295" s="17">
        <v>90.236882923015202</v>
      </c>
      <c r="T295" s="17">
        <v>92.038903770794207</v>
      </c>
      <c r="U295" s="17">
        <v>90.557988090720698</v>
      </c>
      <c r="V295" s="17">
        <v>89.370900824184005</v>
      </c>
      <c r="W295" s="17">
        <v>85.961703533834097</v>
      </c>
      <c r="X295" s="17">
        <v>83.569121631613001</v>
      </c>
      <c r="Y295" s="17">
        <v>82.777312246147105</v>
      </c>
      <c r="Z295" s="17">
        <v>85.221741919696598</v>
      </c>
      <c r="AA295" s="17">
        <v>83.064611371535605</v>
      </c>
      <c r="AB295" s="17">
        <v>84.8011512943323</v>
      </c>
      <c r="AC295" s="17">
        <v>84.106048501489298</v>
      </c>
      <c r="AD295" s="17">
        <v>83.930060680453906</v>
      </c>
      <c r="AE295" s="17">
        <v>83.391002650925998</v>
      </c>
      <c r="AF295" s="17">
        <v>102.910983392961</v>
      </c>
      <c r="AG295" s="17">
        <v>102.446495057517</v>
      </c>
      <c r="AH295" s="17">
        <v>100.123604165277</v>
      </c>
      <c r="AI295" s="17">
        <v>99.724659435982304</v>
      </c>
      <c r="AJ295" s="17">
        <v>99.944973288399197</v>
      </c>
      <c r="AK295" s="17">
        <v>96.466084988068999</v>
      </c>
      <c r="AL295" s="17">
        <v>97.321933631693895</v>
      </c>
      <c r="AM295" s="17">
        <v>97.156935908469805</v>
      </c>
      <c r="AN295" s="17">
        <v>94.139924228323494</v>
      </c>
      <c r="AO295" s="17"/>
      <c r="AP295" s="17"/>
      <c r="AQ295" s="17"/>
      <c r="AR295" s="17"/>
      <c r="AS295" s="17"/>
      <c r="AT295" s="17"/>
      <c r="AU295" s="17"/>
      <c r="AV295" s="17"/>
      <c r="AW295" s="17"/>
      <c r="AX295" s="17"/>
      <c r="AY295" s="17"/>
      <c r="AZ295" s="17"/>
      <c r="BA295" s="17"/>
      <c r="BB295" s="17"/>
      <c r="BC295" s="17"/>
      <c r="BD295" s="17"/>
      <c r="BE295" s="17"/>
      <c r="BF295" s="17"/>
      <c r="BG295" s="17"/>
      <c r="BH295" s="17"/>
      <c r="BI295" s="17"/>
      <c r="BJ295" s="17"/>
      <c r="BK295" s="17"/>
      <c r="BL295" s="17"/>
      <c r="BM295" s="17"/>
      <c r="BN295" s="17"/>
      <c r="BO295" s="17"/>
      <c r="BP295" s="17"/>
      <c r="BQ295" s="17"/>
      <c r="BR295" s="17"/>
      <c r="BS295" s="17"/>
      <c r="BT295" s="17"/>
      <c r="BU295" s="17"/>
      <c r="BV295" s="17"/>
      <c r="BW295" s="17"/>
      <c r="BX295" s="17"/>
      <c r="BY295" s="17"/>
      <c r="BZ295" s="17"/>
      <c r="CA295" s="17"/>
      <c r="CB295" s="17"/>
      <c r="CC295" s="17"/>
      <c r="CD295" s="17"/>
      <c r="CE295" s="17"/>
      <c r="CF295" s="17"/>
      <c r="CG295" s="17"/>
      <c r="CH295" s="17"/>
      <c r="CI295" s="17"/>
      <c r="CJ295" s="17"/>
      <c r="CK295" s="17"/>
      <c r="CL295" s="17"/>
      <c r="CM295" s="17"/>
      <c r="CN295" s="17"/>
      <c r="CO295" s="17"/>
      <c r="CP295" s="17"/>
      <c r="CQ295" s="17"/>
      <c r="CR295" s="17"/>
      <c r="CS295" s="17"/>
      <c r="CT295" s="17"/>
      <c r="CU295" s="17"/>
      <c r="CV295" s="17"/>
    </row>
    <row r="296" spans="2:100" x14ac:dyDescent="0.35">
      <c r="B296" s="9"/>
      <c r="C296" t="s">
        <v>230</v>
      </c>
      <c r="D296" t="s">
        <v>354</v>
      </c>
      <c r="E296" t="s">
        <v>124</v>
      </c>
      <c r="F296" s="17">
        <v>0</v>
      </c>
      <c r="G296" s="17">
        <v>0</v>
      </c>
      <c r="H296" s="17">
        <v>0</v>
      </c>
      <c r="I296" s="17">
        <v>0</v>
      </c>
      <c r="J296" s="17">
        <v>1</v>
      </c>
      <c r="K296" s="17">
        <v>1</v>
      </c>
      <c r="L296" s="17">
        <v>1</v>
      </c>
      <c r="M296" s="17">
        <v>1</v>
      </c>
      <c r="N296" s="17">
        <v>1</v>
      </c>
      <c r="O296" s="17">
        <v>1</v>
      </c>
      <c r="P296" s="17">
        <v>1</v>
      </c>
      <c r="Q296" s="17">
        <v>1</v>
      </c>
      <c r="R296" s="17">
        <v>1</v>
      </c>
      <c r="S296" s="17">
        <v>1</v>
      </c>
      <c r="T296" s="17">
        <v>1</v>
      </c>
      <c r="U296" s="17">
        <v>1</v>
      </c>
      <c r="V296" s="17">
        <v>1</v>
      </c>
      <c r="W296" s="17">
        <v>1</v>
      </c>
      <c r="X296" s="17">
        <v>1</v>
      </c>
      <c r="Y296" s="17">
        <v>1</v>
      </c>
      <c r="Z296" s="17">
        <v>1</v>
      </c>
      <c r="AA296" s="17">
        <v>1</v>
      </c>
      <c r="AB296" s="17">
        <v>1</v>
      </c>
      <c r="AC296" s="17">
        <v>1</v>
      </c>
      <c r="AD296" s="17">
        <v>1</v>
      </c>
      <c r="AE296" s="17">
        <v>1</v>
      </c>
      <c r="AF296" s="17">
        <v>1</v>
      </c>
      <c r="AG296" s="17">
        <v>1</v>
      </c>
      <c r="AH296" s="17">
        <v>1</v>
      </c>
      <c r="AI296" s="17">
        <v>1</v>
      </c>
      <c r="AJ296" s="17">
        <v>1</v>
      </c>
      <c r="AK296" s="17">
        <v>1</v>
      </c>
      <c r="AL296" s="17">
        <v>1</v>
      </c>
      <c r="AM296" s="17">
        <v>1</v>
      </c>
      <c r="AN296" s="17">
        <v>1</v>
      </c>
      <c r="AO296" s="17"/>
      <c r="AP296" s="17"/>
      <c r="AQ296" s="17"/>
      <c r="AR296" s="17"/>
      <c r="AS296" s="17"/>
      <c r="AT296" s="17"/>
      <c r="AU296" s="17"/>
      <c r="AV296" s="17"/>
      <c r="AW296" s="17"/>
      <c r="AX296" s="17"/>
      <c r="AY296" s="17"/>
      <c r="AZ296" s="17"/>
      <c r="BA296" s="17"/>
      <c r="BB296" s="17"/>
      <c r="BC296" s="17"/>
      <c r="BD296" s="17"/>
      <c r="BE296" s="17"/>
      <c r="BF296" s="17"/>
      <c r="BG296" s="17"/>
      <c r="BH296" s="17"/>
      <c r="BI296" s="17"/>
      <c r="BJ296" s="17"/>
      <c r="BK296" s="17"/>
      <c r="BL296" s="17"/>
      <c r="BM296" s="17"/>
      <c r="BN296" s="17"/>
      <c r="BO296" s="17"/>
      <c r="BP296" s="17"/>
      <c r="BQ296" s="17"/>
      <c r="BR296" s="17"/>
      <c r="BS296" s="17"/>
      <c r="BT296" s="17"/>
      <c r="BU296" s="17"/>
      <c r="BV296" s="17"/>
      <c r="BW296" s="17"/>
      <c r="BX296" s="17"/>
      <c r="BY296" s="17"/>
      <c r="BZ296" s="17"/>
      <c r="CA296" s="17"/>
      <c r="CB296" s="17"/>
      <c r="CC296" s="17"/>
      <c r="CD296" s="17"/>
      <c r="CE296" s="17"/>
      <c r="CF296" s="17"/>
      <c r="CG296" s="17"/>
      <c r="CH296" s="17"/>
      <c r="CI296" s="17"/>
      <c r="CJ296" s="17"/>
      <c r="CK296" s="17"/>
      <c r="CL296" s="17"/>
      <c r="CM296" s="17"/>
      <c r="CN296" s="17"/>
      <c r="CO296" s="17"/>
      <c r="CP296" s="17"/>
      <c r="CQ296" s="17"/>
      <c r="CR296" s="17"/>
      <c r="CS296" s="17"/>
      <c r="CT296" s="17"/>
      <c r="CU296" s="17"/>
      <c r="CV296" s="17"/>
    </row>
    <row r="297" spans="2:100" x14ac:dyDescent="0.35">
      <c r="B297" s="9"/>
      <c r="C297" t="s">
        <v>338</v>
      </c>
      <c r="D297" t="s">
        <v>353</v>
      </c>
      <c r="E297" t="s">
        <v>221</v>
      </c>
      <c r="F297" s="17">
        <v>0</v>
      </c>
      <c r="G297" s="17">
        <v>0</v>
      </c>
      <c r="H297" s="17">
        <v>0</v>
      </c>
      <c r="I297" s="17">
        <v>0</v>
      </c>
      <c r="J297" s="17">
        <v>0</v>
      </c>
      <c r="K297" s="17">
        <v>0</v>
      </c>
      <c r="L297" s="17">
        <v>0</v>
      </c>
      <c r="M297" s="17">
        <v>0</v>
      </c>
      <c r="N297" s="17">
        <v>0</v>
      </c>
      <c r="O297" s="17">
        <v>0</v>
      </c>
      <c r="P297" s="17">
        <v>0</v>
      </c>
      <c r="Q297" s="17">
        <v>0</v>
      </c>
      <c r="R297" s="17">
        <v>0</v>
      </c>
      <c r="S297" s="17">
        <v>0</v>
      </c>
      <c r="T297" s="17">
        <v>0</v>
      </c>
      <c r="U297" s="17">
        <v>0</v>
      </c>
      <c r="V297" s="17">
        <v>0</v>
      </c>
      <c r="W297" s="17">
        <v>0</v>
      </c>
      <c r="X297" s="17">
        <v>0</v>
      </c>
      <c r="Y297" s="17">
        <v>0</v>
      </c>
      <c r="Z297" s="17">
        <v>0</v>
      </c>
      <c r="AA297" s="17">
        <v>0</v>
      </c>
      <c r="AB297" s="17">
        <v>0</v>
      </c>
      <c r="AC297" s="17">
        <v>0</v>
      </c>
      <c r="AD297" s="17">
        <v>0</v>
      </c>
      <c r="AE297" s="17">
        <v>0</v>
      </c>
      <c r="AF297" s="17">
        <v>0</v>
      </c>
      <c r="AG297" s="17">
        <v>0</v>
      </c>
      <c r="AH297" s="17">
        <v>0</v>
      </c>
      <c r="AI297" s="17">
        <v>0</v>
      </c>
      <c r="AJ297" s="17">
        <v>0</v>
      </c>
      <c r="AK297" s="17">
        <v>0</v>
      </c>
      <c r="AL297" s="17">
        <v>0</v>
      </c>
      <c r="AM297" s="17">
        <v>0</v>
      </c>
      <c r="AN297" s="17">
        <v>0</v>
      </c>
      <c r="AO297" s="17"/>
      <c r="AP297" s="17"/>
      <c r="AQ297" s="17"/>
      <c r="AR297" s="17"/>
      <c r="AS297" s="17"/>
      <c r="AT297" s="17"/>
      <c r="AU297" s="17"/>
      <c r="AV297" s="17"/>
      <c r="AW297" s="17"/>
      <c r="AX297" s="17"/>
      <c r="AY297" s="17"/>
      <c r="AZ297" s="17"/>
      <c r="BA297" s="17"/>
      <c r="BB297" s="17"/>
      <c r="BC297" s="17"/>
      <c r="BD297" s="17"/>
      <c r="BE297" s="17"/>
      <c r="BF297" s="17"/>
      <c r="BG297" s="17"/>
      <c r="BH297" s="17"/>
      <c r="BI297" s="17"/>
      <c r="BJ297" s="17"/>
      <c r="BK297" s="17"/>
      <c r="BL297" s="17"/>
      <c r="BM297" s="17"/>
      <c r="BN297" s="17"/>
      <c r="BO297" s="17"/>
      <c r="BP297" s="17"/>
      <c r="BQ297" s="17"/>
      <c r="BR297" s="17"/>
      <c r="BS297" s="17"/>
      <c r="BT297" s="17"/>
      <c r="BU297" s="17"/>
      <c r="BV297" s="17"/>
      <c r="BW297" s="17"/>
      <c r="BX297" s="17"/>
      <c r="BY297" s="17"/>
      <c r="BZ297" s="17"/>
      <c r="CA297" s="17"/>
      <c r="CB297" s="17"/>
      <c r="CC297" s="17"/>
      <c r="CD297" s="17"/>
      <c r="CE297" s="17"/>
      <c r="CF297" s="17"/>
      <c r="CG297" s="17"/>
      <c r="CH297" s="17"/>
      <c r="CI297" s="17"/>
      <c r="CJ297" s="17"/>
      <c r="CK297" s="17"/>
      <c r="CL297" s="17"/>
      <c r="CM297" s="17"/>
      <c r="CN297" s="17"/>
      <c r="CO297" s="17"/>
      <c r="CP297" s="17"/>
      <c r="CQ297" s="17"/>
      <c r="CR297" s="17"/>
      <c r="CS297" s="17"/>
      <c r="CT297" s="17"/>
      <c r="CU297" s="17"/>
      <c r="CV297" s="17"/>
    </row>
    <row r="298" spans="2:100" x14ac:dyDescent="0.35">
      <c r="B298" s="9"/>
      <c r="C298" t="s">
        <v>230</v>
      </c>
      <c r="D298" t="s">
        <v>358</v>
      </c>
      <c r="E298" t="s">
        <v>221</v>
      </c>
      <c r="F298" s="17">
        <v>0</v>
      </c>
      <c r="G298" s="17">
        <v>0</v>
      </c>
      <c r="H298" s="17">
        <v>0</v>
      </c>
      <c r="I298" s="17">
        <v>0</v>
      </c>
      <c r="J298" s="17">
        <v>15.000769999999999</v>
      </c>
      <c r="K298" s="17">
        <v>14.843109999999999</v>
      </c>
      <c r="L298" s="17">
        <v>15.74769</v>
      </c>
      <c r="M298" s="17">
        <v>16.912510000000001</v>
      </c>
      <c r="N298" s="17">
        <v>18.55527</v>
      </c>
      <c r="O298" s="17">
        <v>18.554690000000001</v>
      </c>
      <c r="P298" s="17">
        <v>19.522929999999999</v>
      </c>
      <c r="Q298" s="17">
        <v>20.021529999999998</v>
      </c>
      <c r="R298" s="17">
        <v>17.22841</v>
      </c>
      <c r="S298" s="17">
        <v>18.439969999999999</v>
      </c>
      <c r="T298" s="17">
        <v>20.723559999999999</v>
      </c>
      <c r="U298" s="17">
        <v>19.644100000000002</v>
      </c>
      <c r="V298" s="17">
        <v>17.03152</v>
      </c>
      <c r="W298" s="17">
        <v>13.91113</v>
      </c>
      <c r="X298" s="17">
        <v>12.843959999999999</v>
      </c>
      <c r="Y298" s="17">
        <v>12.742369999999999</v>
      </c>
      <c r="Z298" s="17">
        <v>14.875489999999999</v>
      </c>
      <c r="AA298" s="17">
        <v>12.63941</v>
      </c>
      <c r="AB298" s="17">
        <v>11.983700000000001</v>
      </c>
      <c r="AC298" s="17">
        <v>11.93979</v>
      </c>
      <c r="AD298" s="17">
        <v>13.80059</v>
      </c>
      <c r="AE298" s="17">
        <v>13.219519999999999</v>
      </c>
      <c r="AF298" s="17">
        <v>15.562860000000001</v>
      </c>
      <c r="AG298" s="17">
        <v>14.564299999999999</v>
      </c>
      <c r="AH298" s="17">
        <v>15.15099</v>
      </c>
      <c r="AI298" s="17">
        <v>13.68318</v>
      </c>
      <c r="AJ298" s="17">
        <v>15.873049999999999</v>
      </c>
      <c r="AK298" s="17">
        <v>16.515910000000002</v>
      </c>
      <c r="AL298" s="17">
        <v>16.87706</v>
      </c>
      <c r="AM298" s="17">
        <v>17.44988</v>
      </c>
      <c r="AN298" s="17">
        <v>17.81119</v>
      </c>
      <c r="AO298" s="17"/>
      <c r="AP298" s="17"/>
      <c r="AQ298" s="17"/>
      <c r="AR298" s="17"/>
      <c r="AS298" s="17"/>
      <c r="AT298" s="17"/>
      <c r="AU298" s="17"/>
      <c r="AV298" s="17"/>
      <c r="AW298" s="17"/>
      <c r="AX298" s="17"/>
      <c r="AY298" s="17"/>
      <c r="AZ298" s="17"/>
      <c r="BA298" s="17"/>
      <c r="BB298" s="17"/>
      <c r="BC298" s="17"/>
      <c r="BD298" s="17"/>
      <c r="BE298" s="17"/>
      <c r="BF298" s="17"/>
      <c r="BG298" s="17"/>
      <c r="BH298" s="17"/>
      <c r="BI298" s="17"/>
      <c r="BJ298" s="17"/>
      <c r="BK298" s="17"/>
      <c r="BL298" s="17"/>
      <c r="BM298" s="17"/>
      <c r="BN298" s="17"/>
      <c r="BO298" s="17"/>
      <c r="BP298" s="17"/>
      <c r="BQ298" s="17"/>
      <c r="BR298" s="17"/>
      <c r="BS298" s="17"/>
      <c r="BT298" s="17"/>
      <c r="BU298" s="17"/>
      <c r="BV298" s="17"/>
      <c r="BW298" s="17"/>
      <c r="BX298" s="17"/>
      <c r="BY298" s="17"/>
      <c r="BZ298" s="17"/>
      <c r="CA298" s="17"/>
      <c r="CB298" s="17"/>
      <c r="CC298" s="17"/>
      <c r="CD298" s="17"/>
      <c r="CE298" s="17"/>
      <c r="CF298" s="17"/>
      <c r="CG298" s="17"/>
      <c r="CH298" s="17"/>
      <c r="CI298" s="17"/>
      <c r="CJ298" s="17"/>
      <c r="CK298" s="17"/>
      <c r="CL298" s="17"/>
      <c r="CM298" s="17"/>
      <c r="CN298" s="17"/>
      <c r="CO298" s="17"/>
      <c r="CP298" s="17"/>
      <c r="CQ298" s="17"/>
      <c r="CR298" s="17"/>
      <c r="CS298" s="17"/>
      <c r="CT298" s="17"/>
      <c r="CU298" s="17"/>
      <c r="CV298" s="17"/>
    </row>
    <row r="299" spans="2:100" x14ac:dyDescent="0.35">
      <c r="B299" s="9"/>
      <c r="C299" t="s">
        <v>230</v>
      </c>
      <c r="D299" t="s">
        <v>359</v>
      </c>
      <c r="E299" t="s">
        <v>221</v>
      </c>
      <c r="F299" s="17">
        <v>0</v>
      </c>
      <c r="G299" s="17">
        <v>0</v>
      </c>
      <c r="H299" s="17">
        <v>0</v>
      </c>
      <c r="I299" s="17">
        <v>0</v>
      </c>
      <c r="J299" s="17">
        <v>752.99553000000003</v>
      </c>
      <c r="K299" s="17">
        <v>779.01184999999998</v>
      </c>
      <c r="L299" s="17">
        <v>808.42832999999996</v>
      </c>
      <c r="M299" s="17">
        <v>807.23030000000006</v>
      </c>
      <c r="N299" s="17">
        <v>807.58221000000003</v>
      </c>
      <c r="O299" s="17">
        <v>811.28769</v>
      </c>
      <c r="P299" s="17">
        <v>824.51925000000006</v>
      </c>
      <c r="Q299" s="17">
        <v>865.60402999999997</v>
      </c>
      <c r="R299" s="17">
        <v>861.78215</v>
      </c>
      <c r="S299" s="17">
        <v>892.26415999999995</v>
      </c>
      <c r="T299" s="17">
        <v>895.36256000000003</v>
      </c>
      <c r="U299" s="17">
        <v>913.26471000000004</v>
      </c>
      <c r="V299" s="17">
        <v>939.98495000000003</v>
      </c>
      <c r="W299" s="17">
        <v>943.71550000000002</v>
      </c>
      <c r="X299" s="17">
        <v>968.10505000000001</v>
      </c>
      <c r="Y299" s="17">
        <v>989.44428000000005</v>
      </c>
      <c r="Z299" s="17">
        <v>1000.44636</v>
      </c>
      <c r="AA299" s="17">
        <v>1033.45225</v>
      </c>
      <c r="AB299" s="17">
        <v>1074.1252300000001</v>
      </c>
      <c r="AC299" s="17">
        <v>1081.2499600000001</v>
      </c>
      <c r="AD299" s="17">
        <v>1101.6021900000001</v>
      </c>
      <c r="AE299" s="17">
        <v>1112.85599</v>
      </c>
      <c r="AF299" s="17">
        <v>810.84351000000004</v>
      </c>
      <c r="AG299" s="17">
        <v>830.89543000000003</v>
      </c>
      <c r="AH299" s="17">
        <v>848.81862000000001</v>
      </c>
      <c r="AI299" s="17">
        <v>881.28215999999998</v>
      </c>
      <c r="AJ299" s="17">
        <v>906.44539999999995</v>
      </c>
      <c r="AK299" s="17">
        <v>902.47127</v>
      </c>
      <c r="AL299" s="17">
        <v>909.32483999999999</v>
      </c>
      <c r="AM299" s="17">
        <v>918.23627999999997</v>
      </c>
      <c r="AN299" s="17">
        <v>928.87904000000003</v>
      </c>
      <c r="AO299" s="17"/>
      <c r="AP299" s="17"/>
      <c r="AQ299" s="17"/>
      <c r="AR299" s="17"/>
      <c r="AS299" s="17"/>
      <c r="AT299" s="17"/>
      <c r="AU299" s="17"/>
      <c r="AV299" s="17"/>
      <c r="AW299" s="17"/>
      <c r="AX299" s="17"/>
      <c r="AY299" s="17"/>
      <c r="AZ299" s="17"/>
      <c r="BA299" s="17"/>
      <c r="BB299" s="17"/>
      <c r="BC299" s="17"/>
      <c r="BD299" s="17"/>
      <c r="BE299" s="17"/>
      <c r="BF299" s="17"/>
      <c r="BG299" s="17"/>
      <c r="BH299" s="17"/>
      <c r="BI299" s="17"/>
      <c r="BJ299" s="17"/>
      <c r="BK299" s="17"/>
      <c r="BL299" s="17"/>
      <c r="BM299" s="17"/>
      <c r="BN299" s="17"/>
      <c r="BO299" s="17"/>
      <c r="BP299" s="17"/>
      <c r="BQ299" s="17"/>
      <c r="BR299" s="17"/>
      <c r="BS299" s="17"/>
      <c r="BT299" s="17"/>
      <c r="BU299" s="17"/>
      <c r="BV299" s="17"/>
      <c r="BW299" s="17"/>
      <c r="BX299" s="17"/>
      <c r="BY299" s="17"/>
      <c r="BZ299" s="17"/>
      <c r="CA299" s="17"/>
      <c r="CB299" s="17"/>
      <c r="CC299" s="17"/>
      <c r="CD299" s="17"/>
      <c r="CE299" s="17"/>
      <c r="CF299" s="17"/>
      <c r="CG299" s="17"/>
      <c r="CH299" s="17"/>
      <c r="CI299" s="17"/>
      <c r="CJ299" s="17"/>
      <c r="CK299" s="17"/>
      <c r="CL299" s="17"/>
      <c r="CM299" s="17"/>
      <c r="CN299" s="17"/>
      <c r="CO299" s="17"/>
      <c r="CP299" s="17"/>
      <c r="CQ299" s="17"/>
      <c r="CR299" s="17"/>
      <c r="CS299" s="17"/>
      <c r="CT299" s="17"/>
      <c r="CU299" s="17"/>
      <c r="CV299" s="17"/>
    </row>
    <row r="300" spans="2:100" x14ac:dyDescent="0.35">
      <c r="B300" s="9"/>
      <c r="C300" t="s">
        <v>230</v>
      </c>
      <c r="D300" t="s">
        <v>360</v>
      </c>
      <c r="E300" t="s">
        <v>221</v>
      </c>
      <c r="F300" s="17">
        <v>0</v>
      </c>
      <c r="G300" s="17">
        <v>0</v>
      </c>
      <c r="H300" s="17">
        <v>0</v>
      </c>
      <c r="I300" s="17">
        <v>0</v>
      </c>
      <c r="J300" s="17">
        <v>1071.4204199999999</v>
      </c>
      <c r="K300" s="17">
        <v>1044.7570499999999</v>
      </c>
      <c r="L300" s="17">
        <v>1014.26271</v>
      </c>
      <c r="M300" s="17">
        <v>1013.59671</v>
      </c>
      <c r="N300" s="17">
        <v>1011.5912499999999</v>
      </c>
      <c r="O300" s="17">
        <v>1007.77164</v>
      </c>
      <c r="P300" s="17">
        <v>993.89891</v>
      </c>
      <c r="Q300" s="17">
        <v>950.30835999999999</v>
      </c>
      <c r="R300" s="17">
        <v>957.04166999999995</v>
      </c>
      <c r="S300" s="17">
        <v>924.40535999999997</v>
      </c>
      <c r="T300" s="17">
        <v>919.66364999999996</v>
      </c>
      <c r="U300" s="17">
        <v>901.55110999999999</v>
      </c>
      <c r="V300" s="17">
        <v>876.61724000000004</v>
      </c>
      <c r="W300" s="17">
        <v>875.89180999999996</v>
      </c>
      <c r="X300" s="17">
        <v>852.55133000000001</v>
      </c>
      <c r="Y300" s="17">
        <v>829.91741000000002</v>
      </c>
      <c r="Z300" s="17">
        <v>816.44176000000004</v>
      </c>
      <c r="AA300" s="17">
        <v>784.65124000000003</v>
      </c>
      <c r="AB300" s="17">
        <v>744.11216999999999</v>
      </c>
      <c r="AC300" s="17">
        <v>736.07488000000001</v>
      </c>
      <c r="AD300" s="17">
        <v>713.23230999999998</v>
      </c>
      <c r="AE300" s="17">
        <v>702.21154999999999</v>
      </c>
      <c r="AF300" s="17">
        <v>1011.95744</v>
      </c>
      <c r="AG300" s="17">
        <v>991.54783999999995</v>
      </c>
      <c r="AH300" s="17">
        <v>972.48362999999995</v>
      </c>
      <c r="AI300" s="17">
        <v>940.48392999999999</v>
      </c>
      <c r="AJ300" s="17">
        <v>913.08882000000006</v>
      </c>
      <c r="AK300" s="17">
        <v>915.80673999999999</v>
      </c>
      <c r="AL300" s="17">
        <v>908.38009</v>
      </c>
      <c r="AM300" s="17">
        <v>898.62000999999998</v>
      </c>
      <c r="AN300" s="17">
        <v>888.02299000000005</v>
      </c>
      <c r="AO300" s="17"/>
      <c r="AP300" s="17"/>
      <c r="AQ300" s="17"/>
      <c r="AR300" s="17"/>
      <c r="AS300" s="17"/>
      <c r="AT300" s="17"/>
      <c r="AU300" s="17"/>
      <c r="AV300" s="17"/>
      <c r="AW300" s="17"/>
      <c r="AX300" s="17"/>
      <c r="AY300" s="17"/>
      <c r="AZ300" s="17"/>
      <c r="BA300" s="17"/>
      <c r="BB300" s="17"/>
      <c r="BC300" s="17"/>
      <c r="BD300" s="17"/>
      <c r="BE300" s="17"/>
      <c r="BF300" s="17"/>
      <c r="BG300" s="17"/>
      <c r="BH300" s="17"/>
      <c r="BI300" s="17"/>
      <c r="BJ300" s="17"/>
      <c r="BK300" s="17"/>
      <c r="BL300" s="17"/>
      <c r="BM300" s="17"/>
      <c r="BN300" s="17"/>
      <c r="BO300" s="17"/>
      <c r="BP300" s="17"/>
      <c r="BQ300" s="17"/>
      <c r="BR300" s="17"/>
      <c r="BS300" s="17"/>
      <c r="BT300" s="17"/>
      <c r="BU300" s="17"/>
      <c r="BV300" s="17"/>
      <c r="BW300" s="17"/>
      <c r="BX300" s="17"/>
      <c r="BY300" s="17"/>
      <c r="BZ300" s="17"/>
      <c r="CA300" s="17"/>
      <c r="CB300" s="17"/>
      <c r="CC300" s="17"/>
      <c r="CD300" s="17"/>
      <c r="CE300" s="17"/>
      <c r="CF300" s="17"/>
      <c r="CG300" s="17"/>
      <c r="CH300" s="17"/>
      <c r="CI300" s="17"/>
      <c r="CJ300" s="17"/>
      <c r="CK300" s="17"/>
      <c r="CL300" s="17"/>
      <c r="CM300" s="17"/>
      <c r="CN300" s="17"/>
      <c r="CO300" s="17"/>
      <c r="CP300" s="17"/>
      <c r="CQ300" s="17"/>
      <c r="CR300" s="17"/>
      <c r="CS300" s="17"/>
      <c r="CT300" s="17"/>
      <c r="CU300" s="17"/>
      <c r="CV300" s="17"/>
    </row>
    <row r="301" spans="2:100" x14ac:dyDescent="0.35">
      <c r="B301" s="9"/>
      <c r="C301" t="s">
        <v>230</v>
      </c>
      <c r="D301" t="s">
        <v>361</v>
      </c>
      <c r="E301" t="s">
        <v>221</v>
      </c>
      <c r="F301" s="17">
        <v>0</v>
      </c>
      <c r="G301" s="17">
        <v>0</v>
      </c>
      <c r="H301" s="17">
        <v>0</v>
      </c>
      <c r="I301" s="17">
        <v>0</v>
      </c>
      <c r="J301" s="17">
        <v>1862.7052100000001</v>
      </c>
      <c r="K301" s="17">
        <v>1862.7052100000001</v>
      </c>
      <c r="L301" s="17">
        <v>1863.4413999999999</v>
      </c>
      <c r="M301" s="17">
        <v>1862.7052100000001</v>
      </c>
      <c r="N301" s="17">
        <v>1862.7052100000001</v>
      </c>
      <c r="O301" s="17">
        <v>1862.7052100000001</v>
      </c>
      <c r="P301" s="17">
        <v>1863.4413999999999</v>
      </c>
      <c r="Q301" s="17">
        <v>1862.7052100000001</v>
      </c>
      <c r="R301" s="17">
        <v>1862.7052100000001</v>
      </c>
      <c r="S301" s="17">
        <v>1862.7052100000001</v>
      </c>
      <c r="T301" s="17">
        <v>1863.4413999999999</v>
      </c>
      <c r="U301" s="17">
        <v>1862.7052100000001</v>
      </c>
      <c r="V301" s="17">
        <v>1862.7052100000001</v>
      </c>
      <c r="W301" s="17">
        <v>1862.7052100000001</v>
      </c>
      <c r="X301" s="17">
        <v>1863.4413999999999</v>
      </c>
      <c r="Y301" s="17">
        <v>1862.7052100000001</v>
      </c>
      <c r="Z301" s="17">
        <v>1862.7052100000001</v>
      </c>
      <c r="AA301" s="17">
        <v>1862.7052100000001</v>
      </c>
      <c r="AB301" s="17">
        <v>1863.4413999999999</v>
      </c>
      <c r="AC301" s="17">
        <v>1862.7052100000001</v>
      </c>
      <c r="AD301" s="17">
        <v>1862.7052100000001</v>
      </c>
      <c r="AE301" s="17">
        <v>1862.7052100000001</v>
      </c>
      <c r="AF301" s="17">
        <v>1863.4413999999999</v>
      </c>
      <c r="AG301" s="17">
        <v>1862.7052100000001</v>
      </c>
      <c r="AH301" s="17">
        <v>1862.7052100000001</v>
      </c>
      <c r="AI301" s="17">
        <v>1862.7052100000001</v>
      </c>
      <c r="AJ301" s="17">
        <v>1863.4413999999999</v>
      </c>
      <c r="AK301" s="17">
        <v>1862.7052100000001</v>
      </c>
      <c r="AL301" s="17">
        <v>1862.7052100000001</v>
      </c>
      <c r="AM301" s="17">
        <v>1862.7052100000001</v>
      </c>
      <c r="AN301" s="17">
        <v>1863.4413999999999</v>
      </c>
      <c r="AO301" s="17"/>
      <c r="AP301" s="17"/>
      <c r="AQ301" s="17"/>
      <c r="AR301" s="17"/>
      <c r="AS301" s="17"/>
      <c r="AT301" s="17"/>
      <c r="AU301" s="17"/>
      <c r="AV301" s="17"/>
      <c r="AW301" s="17"/>
      <c r="AX301" s="17"/>
      <c r="AY301" s="17"/>
      <c r="AZ301" s="17"/>
      <c r="BA301" s="17"/>
      <c r="BB301" s="17"/>
      <c r="BC301" s="17"/>
      <c r="BD301" s="17"/>
      <c r="BE301" s="17"/>
      <c r="BF301" s="17"/>
      <c r="BG301" s="17"/>
      <c r="BH301" s="17"/>
      <c r="BI301" s="17"/>
      <c r="BJ301" s="17"/>
      <c r="BK301" s="17"/>
      <c r="BL301" s="17"/>
      <c r="BM301" s="17"/>
      <c r="BN301" s="17"/>
      <c r="BO301" s="17"/>
      <c r="BP301" s="17"/>
      <c r="BQ301" s="17"/>
      <c r="BR301" s="17"/>
      <c r="BS301" s="17"/>
      <c r="BT301" s="17"/>
      <c r="BU301" s="17"/>
      <c r="BV301" s="17"/>
      <c r="BW301" s="17"/>
      <c r="BX301" s="17"/>
      <c r="BY301" s="17"/>
      <c r="BZ301" s="17"/>
      <c r="CA301" s="17"/>
      <c r="CB301" s="17"/>
      <c r="CC301" s="17"/>
      <c r="CD301" s="17"/>
      <c r="CE301" s="17"/>
      <c r="CF301" s="17"/>
      <c r="CG301" s="17"/>
      <c r="CH301" s="17"/>
      <c r="CI301" s="17"/>
      <c r="CJ301" s="17"/>
      <c r="CK301" s="17"/>
      <c r="CL301" s="17"/>
      <c r="CM301" s="17"/>
      <c r="CN301" s="17"/>
      <c r="CO301" s="17"/>
      <c r="CP301" s="17"/>
      <c r="CQ301" s="17"/>
      <c r="CR301" s="17"/>
      <c r="CS301" s="17"/>
      <c r="CT301" s="17"/>
      <c r="CU301" s="17"/>
      <c r="CV301" s="17"/>
    </row>
    <row r="302" spans="2:100" x14ac:dyDescent="0.35">
      <c r="B302" s="9"/>
      <c r="C302" t="s">
        <v>339</v>
      </c>
      <c r="D302" t="s">
        <v>222</v>
      </c>
      <c r="E302" t="s">
        <v>223</v>
      </c>
      <c r="F302" s="17">
        <v>0</v>
      </c>
      <c r="G302" s="17">
        <v>0</v>
      </c>
      <c r="H302" s="17">
        <v>0</v>
      </c>
      <c r="I302" s="17">
        <v>0</v>
      </c>
      <c r="J302" s="17">
        <v>63.519025373097797</v>
      </c>
      <c r="K302" s="17">
        <v>65.678537805575303</v>
      </c>
      <c r="L302" s="17">
        <v>62.752424263315</v>
      </c>
      <c r="M302" s="17">
        <v>61.567697987372902</v>
      </c>
      <c r="N302" s="17">
        <v>57.927645961819202</v>
      </c>
      <c r="O302" s="17">
        <v>56.589695575042001</v>
      </c>
      <c r="P302" s="17">
        <v>56.229351997280297</v>
      </c>
      <c r="Q302" s="17">
        <v>60.401577570938201</v>
      </c>
      <c r="R302" s="17">
        <v>60.025459233010103</v>
      </c>
      <c r="S302" s="17">
        <v>60.744715168571503</v>
      </c>
      <c r="T302" s="17">
        <v>58.542151221758999</v>
      </c>
      <c r="U302" s="17">
        <v>57.087248225668503</v>
      </c>
      <c r="V302" s="17">
        <v>59.213163553049903</v>
      </c>
      <c r="W302" s="17">
        <v>58.886114121414202</v>
      </c>
      <c r="X302" s="17">
        <v>59.326470207861099</v>
      </c>
      <c r="Y302" s="17">
        <v>62.239055065077999</v>
      </c>
      <c r="Z302" s="17">
        <v>62.574984328595399</v>
      </c>
      <c r="AA302" s="17">
        <v>64.312485362607603</v>
      </c>
      <c r="AB302" s="17">
        <v>64.327184096087194</v>
      </c>
      <c r="AC302" s="17">
        <v>63.761507464635997</v>
      </c>
      <c r="AD302" s="17">
        <v>63.289142195970598</v>
      </c>
      <c r="AE302" s="17">
        <v>63.048937520138502</v>
      </c>
      <c r="AF302" s="17">
        <v>54.033526275836898</v>
      </c>
      <c r="AG302" s="17">
        <v>54.066496569270797</v>
      </c>
      <c r="AH302" s="17">
        <v>53.826876917656797</v>
      </c>
      <c r="AI302" s="17">
        <v>54.541630256111098</v>
      </c>
      <c r="AJ302" s="17">
        <v>54.253265550896799</v>
      </c>
      <c r="AK302" s="17">
        <v>53.570573628966201</v>
      </c>
      <c r="AL302" s="17">
        <v>52.934673197621898</v>
      </c>
      <c r="AM302" s="17">
        <v>52.9667137204234</v>
      </c>
      <c r="AN302" s="17">
        <v>52.867176028459497</v>
      </c>
      <c r="AO302" s="17"/>
      <c r="AP302" s="17"/>
      <c r="AQ302" s="17"/>
      <c r="AR302" s="17"/>
      <c r="AS302" s="17"/>
      <c r="AT302" s="17"/>
      <c r="AU302" s="17"/>
      <c r="AV302" s="17"/>
      <c r="AW302" s="17"/>
      <c r="AX302" s="17"/>
      <c r="AY302" s="17"/>
      <c r="AZ302" s="17"/>
      <c r="BA302" s="17"/>
      <c r="BB302" s="17"/>
      <c r="BC302" s="17"/>
      <c r="BD302" s="17"/>
      <c r="BE302" s="17"/>
      <c r="BF302" s="17"/>
      <c r="BG302" s="17"/>
      <c r="BH302" s="17"/>
      <c r="BI302" s="17"/>
      <c r="BJ302" s="17"/>
      <c r="BK302" s="17"/>
      <c r="BL302" s="17"/>
      <c r="BM302" s="17"/>
      <c r="BN302" s="17"/>
      <c r="BO302" s="17"/>
      <c r="BP302" s="17"/>
      <c r="BQ302" s="17"/>
      <c r="BR302" s="17"/>
      <c r="BS302" s="17"/>
      <c r="BT302" s="17"/>
      <c r="BU302" s="17"/>
      <c r="BV302" s="17"/>
      <c r="BW302" s="17"/>
      <c r="BX302" s="17"/>
      <c r="BY302" s="17"/>
      <c r="BZ302" s="17"/>
      <c r="CA302" s="17"/>
      <c r="CB302" s="17"/>
      <c r="CC302" s="17"/>
      <c r="CD302" s="17"/>
      <c r="CE302" s="17"/>
      <c r="CF302" s="17"/>
      <c r="CG302" s="17"/>
      <c r="CH302" s="17"/>
      <c r="CI302" s="17"/>
      <c r="CJ302" s="17"/>
      <c r="CK302" s="17"/>
      <c r="CL302" s="17"/>
      <c r="CM302" s="17"/>
      <c r="CN302" s="17"/>
      <c r="CO302" s="17"/>
      <c r="CP302" s="17"/>
      <c r="CQ302" s="17"/>
      <c r="CR302" s="17"/>
      <c r="CS302" s="17"/>
      <c r="CT302" s="17"/>
      <c r="CU302" s="17"/>
      <c r="CV302" s="17"/>
    </row>
    <row r="303" spans="2:100" x14ac:dyDescent="0.35">
      <c r="B303" s="9"/>
      <c r="C303" t="s">
        <v>230</v>
      </c>
      <c r="D303" t="s">
        <v>224</v>
      </c>
      <c r="E303" t="s">
        <v>223</v>
      </c>
      <c r="F303" s="17">
        <v>0</v>
      </c>
      <c r="G303" s="17">
        <v>0</v>
      </c>
      <c r="H303" s="17">
        <v>0</v>
      </c>
      <c r="I303" s="17">
        <v>0</v>
      </c>
      <c r="J303" s="17">
        <v>1.1250433588357101</v>
      </c>
      <c r="K303" s="17">
        <v>1.34088595472867</v>
      </c>
      <c r="L303" s="17">
        <v>1.6606539242213301</v>
      </c>
      <c r="M303" s="17">
        <v>1.72877790504597</v>
      </c>
      <c r="N303" s="17">
        <v>1.20800188233341</v>
      </c>
      <c r="O303" s="17">
        <v>1.2956928338810401</v>
      </c>
      <c r="P303" s="17">
        <v>1.31849833152561</v>
      </c>
      <c r="Q303" s="17">
        <v>1.8097515249465701</v>
      </c>
      <c r="R303" s="17">
        <v>1.5041390521595499</v>
      </c>
      <c r="S303" s="17">
        <v>1.52589986370038</v>
      </c>
      <c r="T303" s="17">
        <v>1.3009371581218001</v>
      </c>
      <c r="U303" s="17">
        <v>1.2017233188499601</v>
      </c>
      <c r="V303" s="17">
        <v>1.0524063340429299</v>
      </c>
      <c r="W303" s="17">
        <v>1.12248387788156</v>
      </c>
      <c r="X303" s="17">
        <v>0.98273621778475595</v>
      </c>
      <c r="Y303" s="17">
        <v>0.97019998453992096</v>
      </c>
      <c r="Z303" s="17">
        <v>1.0360674433804899</v>
      </c>
      <c r="AA303" s="17">
        <v>1.0066908701434301</v>
      </c>
      <c r="AB303" s="17">
        <v>0.612530803203716</v>
      </c>
      <c r="AC303" s="17">
        <v>0.65884173818234704</v>
      </c>
      <c r="AD303" s="17">
        <v>0.60917736081072305</v>
      </c>
      <c r="AE303" s="17">
        <v>0.57451467588875205</v>
      </c>
      <c r="AF303" s="17">
        <v>0.88055546997830703</v>
      </c>
      <c r="AG303" s="17">
        <v>0.92360698431328103</v>
      </c>
      <c r="AH303" s="17">
        <v>0.93588204603218195</v>
      </c>
      <c r="AI303" s="17">
        <v>0.95269104544130001</v>
      </c>
      <c r="AJ303" s="17">
        <v>0.91560468875865997</v>
      </c>
      <c r="AK303" s="17">
        <v>0.94548271132551898</v>
      </c>
      <c r="AL303" s="17">
        <v>1.1099894320808701</v>
      </c>
      <c r="AM303" s="17">
        <v>1.27070394227967</v>
      </c>
      <c r="AN303" s="17">
        <v>0.99091610997701196</v>
      </c>
      <c r="AO303" s="17"/>
      <c r="AP303" s="17"/>
      <c r="AQ303" s="17"/>
      <c r="AR303" s="17"/>
      <c r="AS303" s="17"/>
      <c r="AT303" s="17"/>
      <c r="AU303" s="17"/>
      <c r="AV303" s="17"/>
      <c r="AW303" s="17"/>
      <c r="AX303" s="17"/>
      <c r="AY303" s="17"/>
      <c r="AZ303" s="17"/>
      <c r="BA303" s="17"/>
      <c r="BB303" s="17"/>
      <c r="BC303" s="17"/>
      <c r="BD303" s="17"/>
      <c r="BE303" s="17"/>
      <c r="BF303" s="17"/>
      <c r="BG303" s="17"/>
      <c r="BH303" s="17"/>
      <c r="BI303" s="17"/>
      <c r="BJ303" s="17"/>
      <c r="BK303" s="17"/>
      <c r="BL303" s="17"/>
      <c r="BM303" s="17"/>
      <c r="BN303" s="17"/>
      <c r="BO303" s="17"/>
      <c r="BP303" s="17"/>
      <c r="BQ303" s="17"/>
      <c r="BR303" s="17"/>
      <c r="BS303" s="17"/>
      <c r="BT303" s="17"/>
      <c r="BU303" s="17"/>
      <c r="BV303" s="17"/>
      <c r="BW303" s="17"/>
      <c r="BX303" s="17"/>
      <c r="BY303" s="17"/>
      <c r="BZ303" s="17"/>
      <c r="CA303" s="17"/>
      <c r="CB303" s="17"/>
      <c r="CC303" s="17"/>
      <c r="CD303" s="17"/>
      <c r="CE303" s="17"/>
      <c r="CF303" s="17"/>
      <c r="CG303" s="17"/>
      <c r="CH303" s="17"/>
      <c r="CI303" s="17"/>
      <c r="CJ303" s="17"/>
      <c r="CK303" s="17"/>
      <c r="CL303" s="17"/>
      <c r="CM303" s="17"/>
      <c r="CN303" s="17"/>
      <c r="CO303" s="17"/>
      <c r="CP303" s="17"/>
      <c r="CQ303" s="17"/>
      <c r="CR303" s="17"/>
      <c r="CS303" s="17"/>
      <c r="CT303" s="17"/>
      <c r="CU303" s="17"/>
      <c r="CV303" s="17"/>
    </row>
    <row r="304" spans="2:100" x14ac:dyDescent="0.35">
      <c r="B304" s="9"/>
      <c r="C304" t="s">
        <v>230</v>
      </c>
      <c r="D304" t="s">
        <v>225</v>
      </c>
      <c r="E304" t="s">
        <v>223</v>
      </c>
      <c r="F304" s="17">
        <v>0</v>
      </c>
      <c r="G304" s="17">
        <v>0</v>
      </c>
      <c r="H304" s="17">
        <v>0</v>
      </c>
      <c r="I304" s="17">
        <v>0</v>
      </c>
      <c r="J304" s="17">
        <v>32.480941569206102</v>
      </c>
      <c r="K304" s="17">
        <v>33.275279095042997</v>
      </c>
      <c r="L304" s="17">
        <v>28.104814161820801</v>
      </c>
      <c r="M304" s="17">
        <v>30.694653694149402</v>
      </c>
      <c r="N304" s="17">
        <v>27.045659155547799</v>
      </c>
      <c r="O304" s="17">
        <v>26.825345303130799</v>
      </c>
      <c r="P304" s="17">
        <v>26.9213206154811</v>
      </c>
      <c r="Q304" s="17">
        <v>27.3827166800573</v>
      </c>
      <c r="R304" s="17">
        <v>28.496540110138898</v>
      </c>
      <c r="S304" s="17">
        <v>25.9443824055721</v>
      </c>
      <c r="T304" s="17">
        <v>24.930201136064799</v>
      </c>
      <c r="U304" s="17">
        <v>22.758068895454201</v>
      </c>
      <c r="V304" s="17">
        <v>21.151038708937701</v>
      </c>
      <c r="W304" s="17">
        <v>21.222714622514999</v>
      </c>
      <c r="X304" s="17">
        <v>19.350511762287098</v>
      </c>
      <c r="Y304" s="17">
        <v>19.535442096370499</v>
      </c>
      <c r="Z304" s="17">
        <v>20.181559557809301</v>
      </c>
      <c r="AA304" s="17">
        <v>18.0675327582885</v>
      </c>
      <c r="AB304" s="17">
        <v>13.973334789718599</v>
      </c>
      <c r="AC304" s="17">
        <v>14.385014242618</v>
      </c>
      <c r="AD304" s="17">
        <v>13.394202601251299</v>
      </c>
      <c r="AE304" s="17">
        <v>13.1144670032539</v>
      </c>
      <c r="AF304" s="17">
        <v>20.1716245929628</v>
      </c>
      <c r="AG304" s="17">
        <v>19.902450771474101</v>
      </c>
      <c r="AH304" s="17">
        <v>19.060475559306798</v>
      </c>
      <c r="AI304" s="17">
        <v>17.7370880968157</v>
      </c>
      <c r="AJ304" s="17">
        <v>16.3954813086754</v>
      </c>
      <c r="AK304" s="17">
        <v>17.380923263468802</v>
      </c>
      <c r="AL304" s="17">
        <v>17.840835873777699</v>
      </c>
      <c r="AM304" s="17">
        <v>19.015825675233099</v>
      </c>
      <c r="AN304" s="17">
        <v>18.446398620669498</v>
      </c>
      <c r="AO304" s="17"/>
      <c r="AP304" s="17"/>
      <c r="AQ304" s="17"/>
      <c r="AR304" s="17"/>
      <c r="AS304" s="17"/>
      <c r="AT304" s="17"/>
      <c r="AU304" s="17"/>
      <c r="AV304" s="17"/>
      <c r="AW304" s="17"/>
      <c r="AX304" s="17"/>
      <c r="AY304" s="17"/>
      <c r="AZ304" s="17"/>
      <c r="BA304" s="17"/>
      <c r="BB304" s="17"/>
      <c r="BC304" s="17"/>
      <c r="BD304" s="17"/>
      <c r="BE304" s="17"/>
      <c r="BF304" s="17"/>
      <c r="BG304" s="17"/>
      <c r="BH304" s="17"/>
      <c r="BI304" s="17"/>
      <c r="BJ304" s="17"/>
      <c r="BK304" s="17"/>
      <c r="BL304" s="17"/>
      <c r="BM304" s="17"/>
      <c r="BN304" s="17"/>
      <c r="BO304" s="17"/>
      <c r="BP304" s="17"/>
      <c r="BQ304" s="17"/>
      <c r="BR304" s="17"/>
      <c r="BS304" s="17"/>
      <c r="BT304" s="17"/>
      <c r="BU304" s="17"/>
      <c r="BV304" s="17"/>
      <c r="BW304" s="17"/>
      <c r="BX304" s="17"/>
      <c r="BY304" s="17"/>
      <c r="BZ304" s="17"/>
      <c r="CA304" s="17"/>
      <c r="CB304" s="17"/>
      <c r="CC304" s="17"/>
      <c r="CD304" s="17"/>
      <c r="CE304" s="17"/>
      <c r="CF304" s="17"/>
      <c r="CG304" s="17"/>
      <c r="CH304" s="17"/>
      <c r="CI304" s="17"/>
      <c r="CJ304" s="17"/>
      <c r="CK304" s="17"/>
      <c r="CL304" s="17"/>
      <c r="CM304" s="17"/>
      <c r="CN304" s="17"/>
      <c r="CO304" s="17"/>
      <c r="CP304" s="17"/>
      <c r="CQ304" s="17"/>
      <c r="CR304" s="17"/>
      <c r="CS304" s="17"/>
      <c r="CT304" s="17"/>
      <c r="CU304" s="17"/>
      <c r="CV304" s="17"/>
    </row>
    <row r="305" spans="2:100" x14ac:dyDescent="0.35">
      <c r="B305" s="9"/>
      <c r="C305" t="s">
        <v>230</v>
      </c>
      <c r="D305" t="s">
        <v>355</v>
      </c>
      <c r="E305" t="s">
        <v>223</v>
      </c>
      <c r="F305" s="17">
        <v>0</v>
      </c>
      <c r="G305" s="17">
        <v>0</v>
      </c>
      <c r="H305" s="17">
        <v>0</v>
      </c>
      <c r="I305" s="17">
        <v>0</v>
      </c>
      <c r="J305" s="17">
        <v>97.1249371731124</v>
      </c>
      <c r="K305" s="17">
        <v>100.294755089652</v>
      </c>
      <c r="L305" s="17">
        <v>92.517902796218294</v>
      </c>
      <c r="M305" s="17">
        <v>93.991171374012495</v>
      </c>
      <c r="N305" s="17">
        <v>86.181265212256307</v>
      </c>
      <c r="O305" s="17">
        <v>84.710733712053994</v>
      </c>
      <c r="P305" s="17">
        <v>84.469264966036306</v>
      </c>
      <c r="Q305" s="17">
        <v>89.593983094775894</v>
      </c>
      <c r="R305" s="17">
        <v>90.0261697358916</v>
      </c>
      <c r="S305" s="17">
        <v>88.215007884705003</v>
      </c>
      <c r="T305" s="17">
        <v>84.773320856528798</v>
      </c>
      <c r="U305" s="17">
        <v>81.047009099389697</v>
      </c>
      <c r="V305" s="17">
        <v>81.4166085960305</v>
      </c>
      <c r="W305" s="17">
        <v>81.231302174949803</v>
      </c>
      <c r="X305" s="17">
        <v>79.659749528516102</v>
      </c>
      <c r="Y305" s="17">
        <v>82.744728486571503</v>
      </c>
      <c r="Z305" s="17">
        <v>83.792590436063193</v>
      </c>
      <c r="AA305" s="17">
        <v>83.386771672205796</v>
      </c>
      <c r="AB305" s="17">
        <v>78.913070582731606</v>
      </c>
      <c r="AC305" s="17">
        <v>78.805384339158493</v>
      </c>
      <c r="AD305" s="17">
        <v>77.292501264310602</v>
      </c>
      <c r="AE305" s="17">
        <v>76.737929646142206</v>
      </c>
      <c r="AF305" s="17">
        <v>75.085706338778095</v>
      </c>
      <c r="AG305" s="17">
        <v>74.892564771919297</v>
      </c>
      <c r="AH305" s="17">
        <v>73.823182288690603</v>
      </c>
      <c r="AI305" s="17">
        <v>73.231482526395396</v>
      </c>
      <c r="AJ305" s="17">
        <v>71.5643097608868</v>
      </c>
      <c r="AK305" s="17">
        <v>71.896969156899502</v>
      </c>
      <c r="AL305" s="17">
        <v>71.885467162897399</v>
      </c>
      <c r="AM305" s="17">
        <v>73.2533478065466</v>
      </c>
      <c r="AN305" s="17">
        <v>72.304595227716405</v>
      </c>
      <c r="AO305" s="17"/>
      <c r="AP305" s="17"/>
      <c r="AQ305" s="17"/>
      <c r="AR305" s="17"/>
      <c r="AS305" s="17"/>
      <c r="AT305" s="17"/>
      <c r="AU305" s="17"/>
      <c r="AV305" s="17"/>
      <c r="AW305" s="17"/>
      <c r="AX305" s="17"/>
      <c r="AY305" s="17"/>
      <c r="AZ305" s="17"/>
      <c r="BA305" s="17"/>
      <c r="BB305" s="17"/>
      <c r="BC305" s="17"/>
      <c r="BD305" s="17"/>
      <c r="BE305" s="17"/>
      <c r="BF305" s="17"/>
      <c r="BG305" s="17"/>
      <c r="BH305" s="17"/>
      <c r="BI305" s="17"/>
      <c r="BJ305" s="17"/>
      <c r="BK305" s="17"/>
      <c r="BL305" s="17"/>
      <c r="BM305" s="17"/>
      <c r="BN305" s="17"/>
      <c r="BO305" s="17"/>
      <c r="BP305" s="17"/>
      <c r="BQ305" s="17"/>
      <c r="BR305" s="17"/>
      <c r="BS305" s="17"/>
      <c r="BT305" s="17"/>
      <c r="BU305" s="17"/>
      <c r="BV305" s="17"/>
      <c r="BW305" s="17"/>
      <c r="BX305" s="17"/>
      <c r="BY305" s="17"/>
      <c r="BZ305" s="17"/>
      <c r="CA305" s="17"/>
      <c r="CB305" s="17"/>
      <c r="CC305" s="17"/>
      <c r="CD305" s="17"/>
      <c r="CE305" s="17"/>
      <c r="CF305" s="17"/>
      <c r="CG305" s="17"/>
      <c r="CH305" s="17"/>
      <c r="CI305" s="17"/>
      <c r="CJ305" s="17"/>
      <c r="CK305" s="17"/>
      <c r="CL305" s="17"/>
      <c r="CM305" s="17"/>
      <c r="CN305" s="17"/>
      <c r="CO305" s="17"/>
      <c r="CP305" s="17"/>
      <c r="CQ305" s="17"/>
      <c r="CR305" s="17"/>
      <c r="CS305" s="17"/>
      <c r="CT305" s="17"/>
      <c r="CU305" s="17"/>
      <c r="CV305" s="17"/>
    </row>
    <row r="306" spans="2:100" x14ac:dyDescent="0.35">
      <c r="B306" s="9"/>
      <c r="C306" t="s">
        <v>230</v>
      </c>
      <c r="D306" t="s">
        <v>356</v>
      </c>
      <c r="E306" t="s">
        <v>124</v>
      </c>
      <c r="F306" s="17">
        <v>0</v>
      </c>
      <c r="G306" s="17">
        <v>0</v>
      </c>
      <c r="H306" s="17">
        <v>0</v>
      </c>
      <c r="I306" s="17">
        <v>0</v>
      </c>
      <c r="J306" s="17">
        <v>1</v>
      </c>
      <c r="K306" s="17">
        <v>1</v>
      </c>
      <c r="L306" s="17">
        <v>1</v>
      </c>
      <c r="M306" s="17">
        <v>1</v>
      </c>
      <c r="N306" s="17">
        <v>1</v>
      </c>
      <c r="O306" s="17">
        <v>1</v>
      </c>
      <c r="P306" s="17">
        <v>1</v>
      </c>
      <c r="Q306" s="17">
        <v>1</v>
      </c>
      <c r="R306" s="17">
        <v>1</v>
      </c>
      <c r="S306" s="17">
        <v>1</v>
      </c>
      <c r="T306" s="17">
        <v>1</v>
      </c>
      <c r="U306" s="17">
        <v>1</v>
      </c>
      <c r="V306" s="17">
        <v>1</v>
      </c>
      <c r="W306" s="17">
        <v>1</v>
      </c>
      <c r="X306" s="17">
        <v>1</v>
      </c>
      <c r="Y306" s="17">
        <v>1</v>
      </c>
      <c r="Z306" s="17">
        <v>1</v>
      </c>
      <c r="AA306" s="17">
        <v>1</v>
      </c>
      <c r="AB306" s="17">
        <v>1</v>
      </c>
      <c r="AC306" s="17">
        <v>1</v>
      </c>
      <c r="AD306" s="17">
        <v>1</v>
      </c>
      <c r="AE306" s="17">
        <v>1</v>
      </c>
      <c r="AF306" s="17">
        <v>1</v>
      </c>
      <c r="AG306" s="17">
        <v>1</v>
      </c>
      <c r="AH306" s="17">
        <v>1</v>
      </c>
      <c r="AI306" s="17">
        <v>1</v>
      </c>
      <c r="AJ306" s="17">
        <v>1</v>
      </c>
      <c r="AK306" s="17">
        <v>1</v>
      </c>
      <c r="AL306" s="17">
        <v>1</v>
      </c>
      <c r="AM306" s="17">
        <v>1</v>
      </c>
      <c r="AN306" s="17">
        <v>1</v>
      </c>
      <c r="AO306" s="17"/>
      <c r="AP306" s="17"/>
      <c r="AQ306" s="17"/>
      <c r="AR306" s="17"/>
      <c r="AS306" s="17"/>
      <c r="AT306" s="17"/>
      <c r="AU306" s="17"/>
      <c r="AV306" s="17"/>
      <c r="AW306" s="17"/>
      <c r="AX306" s="17"/>
      <c r="AY306" s="17"/>
      <c r="AZ306" s="17"/>
      <c r="BA306" s="17"/>
      <c r="BB306" s="17"/>
      <c r="BC306" s="17"/>
      <c r="BD306" s="17"/>
      <c r="BE306" s="17"/>
      <c r="BF306" s="17"/>
      <c r="BG306" s="17"/>
      <c r="BH306" s="17"/>
      <c r="BI306" s="17"/>
      <c r="BJ306" s="17"/>
      <c r="BK306" s="17"/>
      <c r="BL306" s="17"/>
      <c r="BM306" s="17"/>
      <c r="BN306" s="17"/>
      <c r="BO306" s="17"/>
      <c r="BP306" s="17"/>
      <c r="BQ306" s="17"/>
      <c r="BR306" s="17"/>
      <c r="BS306" s="17"/>
      <c r="BT306" s="17"/>
      <c r="BU306" s="17"/>
      <c r="BV306" s="17"/>
      <c r="BW306" s="17"/>
      <c r="BX306" s="17"/>
      <c r="BY306" s="17"/>
      <c r="BZ306" s="17"/>
      <c r="CA306" s="17"/>
      <c r="CB306" s="17"/>
      <c r="CC306" s="17"/>
      <c r="CD306" s="17"/>
      <c r="CE306" s="17"/>
      <c r="CF306" s="17"/>
      <c r="CG306" s="17"/>
      <c r="CH306" s="17"/>
      <c r="CI306" s="17"/>
      <c r="CJ306" s="17"/>
      <c r="CK306" s="17"/>
      <c r="CL306" s="17"/>
      <c r="CM306" s="17"/>
      <c r="CN306" s="17"/>
      <c r="CO306" s="17"/>
      <c r="CP306" s="17"/>
      <c r="CQ306" s="17"/>
      <c r="CR306" s="17"/>
      <c r="CS306" s="17"/>
      <c r="CT306" s="17"/>
      <c r="CU306" s="17"/>
      <c r="CV306" s="17"/>
    </row>
    <row r="307" spans="2:100" x14ac:dyDescent="0.35">
      <c r="B307" s="9"/>
      <c r="C307" t="s">
        <v>339</v>
      </c>
      <c r="D307" t="s">
        <v>357</v>
      </c>
      <c r="E307" t="s">
        <v>226</v>
      </c>
      <c r="F307" s="17">
        <v>0</v>
      </c>
      <c r="G307" s="17">
        <v>0</v>
      </c>
      <c r="H307" s="17">
        <v>0</v>
      </c>
      <c r="I307" s="17">
        <v>0</v>
      </c>
      <c r="J307" s="17">
        <v>211.797425043239</v>
      </c>
      <c r="K307" s="17">
        <v>214.17947650953499</v>
      </c>
      <c r="L307" s="17">
        <v>213.11593382162599</v>
      </c>
      <c r="M307" s="17">
        <v>202.51310114897501</v>
      </c>
      <c r="N307" s="17">
        <v>190.19276273433701</v>
      </c>
      <c r="O307" s="17">
        <v>189.83050738100499</v>
      </c>
      <c r="P307" s="17">
        <v>180.92524783948201</v>
      </c>
      <c r="Q307" s="17">
        <v>183.241410953215</v>
      </c>
      <c r="R307" s="17">
        <v>180.52700304987599</v>
      </c>
      <c r="S307" s="17">
        <v>178.45189080771999</v>
      </c>
      <c r="T307" s="17">
        <v>176.81222462732299</v>
      </c>
      <c r="U307" s="17">
        <v>171.60499719011</v>
      </c>
      <c r="V307" s="17">
        <v>170.78750942021401</v>
      </c>
      <c r="W307" s="17">
        <v>167.19300570878301</v>
      </c>
      <c r="X307" s="17">
        <v>163.22887116012899</v>
      </c>
      <c r="Y307" s="17">
        <v>165.52204073271801</v>
      </c>
      <c r="Z307" s="17">
        <v>169.014332355759</v>
      </c>
      <c r="AA307" s="17">
        <v>166.451383043741</v>
      </c>
      <c r="AB307" s="17">
        <v>163.71422187706401</v>
      </c>
      <c r="AC307" s="17">
        <v>162.911432840647</v>
      </c>
      <c r="AD307" s="17">
        <v>161.22256194476401</v>
      </c>
      <c r="AE307" s="17">
        <v>160.12893229706799</v>
      </c>
      <c r="AF307" s="17">
        <v>177.996689731739</v>
      </c>
      <c r="AG307" s="17">
        <v>177.33905982943699</v>
      </c>
      <c r="AH307" s="17">
        <v>173.94678645396701</v>
      </c>
      <c r="AI307" s="17">
        <v>172.95614196237699</v>
      </c>
      <c r="AJ307" s="17">
        <v>171.50928304928601</v>
      </c>
      <c r="AK307" s="17">
        <v>168.363054144968</v>
      </c>
      <c r="AL307" s="17">
        <v>169.207400794591</v>
      </c>
      <c r="AM307" s="17">
        <v>170.41028371501599</v>
      </c>
      <c r="AN307" s="17">
        <v>166.44451945603899</v>
      </c>
      <c r="AO307" s="17"/>
      <c r="AP307" s="17"/>
      <c r="AQ307" s="17"/>
      <c r="AR307" s="17"/>
      <c r="AS307" s="17"/>
      <c r="AT307" s="17"/>
      <c r="AU307" s="17"/>
      <c r="AV307" s="17"/>
      <c r="AW307" s="17"/>
      <c r="AX307" s="17"/>
      <c r="AY307" s="17"/>
      <c r="AZ307" s="17"/>
      <c r="BA307" s="17"/>
      <c r="BB307" s="17"/>
      <c r="BC307" s="17"/>
      <c r="BD307" s="17"/>
      <c r="BE307" s="17"/>
      <c r="BF307" s="17"/>
      <c r="BG307" s="17"/>
      <c r="BH307" s="17"/>
      <c r="BI307" s="17"/>
      <c r="BJ307" s="17"/>
      <c r="BK307" s="17"/>
      <c r="BL307" s="17"/>
      <c r="BM307" s="17"/>
      <c r="BN307" s="17"/>
      <c r="BO307" s="17"/>
      <c r="BP307" s="17"/>
      <c r="BQ307" s="17"/>
      <c r="BR307" s="17"/>
      <c r="BS307" s="17"/>
      <c r="BT307" s="17"/>
      <c r="BU307" s="17"/>
      <c r="BV307" s="17"/>
      <c r="BW307" s="17"/>
      <c r="BX307" s="17"/>
      <c r="BY307" s="17"/>
      <c r="BZ307" s="17"/>
      <c r="CA307" s="17"/>
      <c r="CB307" s="17"/>
      <c r="CC307" s="17"/>
      <c r="CD307" s="17"/>
      <c r="CE307" s="17"/>
      <c r="CF307" s="17"/>
      <c r="CG307" s="17"/>
      <c r="CH307" s="17"/>
      <c r="CI307" s="17"/>
      <c r="CJ307" s="17"/>
      <c r="CK307" s="17"/>
      <c r="CL307" s="17"/>
      <c r="CM307" s="17"/>
      <c r="CN307" s="17"/>
      <c r="CO307" s="17"/>
      <c r="CP307" s="17"/>
      <c r="CQ307" s="17"/>
      <c r="CR307" s="17"/>
      <c r="CS307" s="17"/>
      <c r="CT307" s="17"/>
      <c r="CU307" s="17"/>
      <c r="CV307" s="17"/>
    </row>
    <row r="308" spans="2:100" x14ac:dyDescent="0.35">
      <c r="B308" s="9"/>
      <c r="F308" s="17"/>
      <c r="G308" s="17"/>
      <c r="H308" s="17"/>
      <c r="I308" s="17"/>
      <c r="J308" s="17"/>
      <c r="K308" s="17"/>
      <c r="L308" s="17"/>
      <c r="M308" s="17"/>
      <c r="N308" s="17"/>
      <c r="O308" s="17"/>
      <c r="P308" s="17"/>
      <c r="Q308" s="17"/>
      <c r="R308" s="17"/>
      <c r="S308" s="17"/>
      <c r="T308" s="17"/>
      <c r="U308" s="17"/>
      <c r="V308" s="17"/>
      <c r="W308" s="17"/>
      <c r="X308" s="17"/>
      <c r="Y308" s="17"/>
      <c r="Z308" s="17"/>
      <c r="AA308" s="17"/>
      <c r="AB308" s="17"/>
      <c r="AC308" s="17"/>
      <c r="AD308" s="17"/>
      <c r="AE308" s="17"/>
      <c r="AF308" s="17"/>
      <c r="AG308" s="17"/>
      <c r="AH308" s="17"/>
      <c r="AI308" s="17"/>
      <c r="AJ308" s="17"/>
      <c r="AK308" s="17"/>
      <c r="AL308" s="17"/>
      <c r="AM308" s="17"/>
      <c r="AN308" s="17"/>
      <c r="AO308" s="17"/>
      <c r="AP308" s="17"/>
      <c r="AQ308" s="17"/>
      <c r="AR308" s="17"/>
      <c r="AS308" s="17"/>
      <c r="AT308" s="17"/>
      <c r="AU308" s="17"/>
      <c r="AV308" s="17"/>
      <c r="AW308" s="17"/>
      <c r="AX308" s="17"/>
      <c r="AY308" s="17"/>
      <c r="AZ308" s="17"/>
      <c r="BA308" s="17"/>
      <c r="BB308" s="17"/>
      <c r="BC308" s="17"/>
      <c r="BD308" s="17"/>
      <c r="BE308" s="17"/>
      <c r="BF308" s="17"/>
      <c r="BG308" s="17"/>
      <c r="BH308" s="17"/>
      <c r="BI308" s="17"/>
      <c r="BJ308" s="17"/>
      <c r="BK308" s="17"/>
      <c r="BL308" s="17"/>
      <c r="BM308" s="17"/>
      <c r="BN308" s="17"/>
      <c r="BO308" s="17"/>
      <c r="BP308" s="17"/>
      <c r="BQ308" s="17"/>
      <c r="BR308" s="17"/>
      <c r="BS308" s="17"/>
      <c r="BT308" s="17"/>
      <c r="BU308" s="17"/>
      <c r="BV308" s="17"/>
      <c r="BW308" s="17"/>
      <c r="BX308" s="17"/>
      <c r="BY308" s="17"/>
      <c r="BZ308" s="17"/>
      <c r="CA308" s="17"/>
      <c r="CB308" s="17"/>
      <c r="CC308" s="17"/>
      <c r="CD308" s="17"/>
      <c r="CE308" s="17"/>
      <c r="CF308" s="17"/>
      <c r="CG308" s="17"/>
      <c r="CH308" s="17"/>
      <c r="CI308" s="17"/>
      <c r="CJ308" s="17"/>
      <c r="CK308" s="17"/>
      <c r="CL308" s="17"/>
      <c r="CM308" s="17"/>
      <c r="CN308" s="17"/>
      <c r="CO308" s="17"/>
      <c r="CP308" s="17"/>
      <c r="CQ308" s="17"/>
      <c r="CR308" s="17"/>
      <c r="CS308" s="17"/>
      <c r="CT308" s="17"/>
      <c r="CU308" s="17"/>
      <c r="CV308" s="17"/>
    </row>
    <row r="309" spans="2:100" x14ac:dyDescent="0.35">
      <c r="B309" s="9"/>
      <c r="F309" s="17"/>
      <c r="G309" s="17"/>
      <c r="H309" s="17"/>
      <c r="I309" s="17"/>
      <c r="J309" s="17"/>
      <c r="K309" s="17"/>
      <c r="L309" s="17"/>
      <c r="M309" s="17"/>
      <c r="N309" s="17"/>
      <c r="O309" s="17"/>
      <c r="P309" s="17"/>
      <c r="Q309" s="17"/>
      <c r="R309" s="17"/>
      <c r="S309" s="17"/>
      <c r="T309" s="17"/>
      <c r="U309" s="17"/>
      <c r="V309" s="17"/>
      <c r="W309" s="17"/>
      <c r="X309" s="17"/>
      <c r="Y309" s="17"/>
      <c r="Z309" s="17"/>
      <c r="AA309" s="17"/>
      <c r="AB309" s="17"/>
      <c r="AC309" s="17"/>
      <c r="AD309" s="17"/>
      <c r="AE309" s="17"/>
      <c r="AF309" s="17"/>
      <c r="AG309" s="17"/>
      <c r="AH309" s="17"/>
      <c r="AI309" s="17"/>
      <c r="AJ309" s="17"/>
      <c r="AK309" s="17"/>
      <c r="AL309" s="17"/>
      <c r="AM309" s="17"/>
      <c r="AN309" s="17"/>
      <c r="AO309" s="17"/>
      <c r="AP309" s="17"/>
      <c r="AQ309" s="17"/>
      <c r="AR309" s="17"/>
      <c r="AS309" s="17"/>
      <c r="AT309" s="17"/>
      <c r="AU309" s="17"/>
      <c r="AV309" s="17"/>
      <c r="AW309" s="17"/>
      <c r="AX309" s="17"/>
      <c r="AY309" s="17"/>
      <c r="AZ309" s="17"/>
      <c r="BA309" s="17"/>
      <c r="BB309" s="17"/>
      <c r="BC309" s="17"/>
      <c r="BD309" s="17"/>
      <c r="BE309" s="17"/>
      <c r="BF309" s="17"/>
      <c r="BG309" s="17"/>
      <c r="BH309" s="17"/>
      <c r="BI309" s="17"/>
      <c r="BJ309" s="17"/>
      <c r="BK309" s="17"/>
      <c r="BL309" s="17"/>
      <c r="BM309" s="17"/>
      <c r="BN309" s="17"/>
      <c r="BO309" s="17"/>
      <c r="BP309" s="17"/>
      <c r="BQ309" s="17"/>
      <c r="BR309" s="17"/>
      <c r="BS309" s="17"/>
      <c r="BT309" s="17"/>
      <c r="BU309" s="17"/>
      <c r="BV309" s="17"/>
      <c r="BW309" s="17"/>
      <c r="BX309" s="17"/>
      <c r="BY309" s="17"/>
      <c r="BZ309" s="17"/>
      <c r="CA309" s="17"/>
      <c r="CB309" s="17"/>
      <c r="CC309" s="17"/>
      <c r="CD309" s="17"/>
      <c r="CE309" s="17"/>
      <c r="CF309" s="17"/>
      <c r="CG309" s="17"/>
      <c r="CH309" s="17"/>
      <c r="CI309" s="17"/>
      <c r="CJ309" s="17"/>
      <c r="CK309" s="17"/>
      <c r="CL309" s="17"/>
      <c r="CM309" s="17"/>
      <c r="CN309" s="17"/>
      <c r="CO309" s="17"/>
      <c r="CP309" s="17"/>
      <c r="CQ309" s="17"/>
      <c r="CR309" s="17"/>
      <c r="CS309" s="17"/>
      <c r="CT309" s="17"/>
      <c r="CU309" s="17"/>
      <c r="CV309" s="17"/>
    </row>
    <row r="310" spans="2:100" x14ac:dyDescent="0.35">
      <c r="B310" s="9"/>
      <c r="F310" s="17"/>
      <c r="G310" s="17"/>
      <c r="H310" s="17"/>
      <c r="I310" s="17"/>
      <c r="J310" s="17"/>
      <c r="K310" s="17"/>
      <c r="L310" s="17"/>
      <c r="M310" s="17"/>
      <c r="N310" s="17"/>
      <c r="O310" s="17"/>
      <c r="P310" s="17"/>
      <c r="Q310" s="17"/>
      <c r="R310" s="17"/>
      <c r="S310" s="17"/>
      <c r="T310" s="17"/>
      <c r="U310" s="17"/>
      <c r="V310" s="17"/>
      <c r="W310" s="17"/>
      <c r="X310" s="17"/>
      <c r="Y310" s="17"/>
      <c r="Z310" s="17"/>
      <c r="AA310" s="17"/>
      <c r="AB310" s="17"/>
      <c r="AC310" s="17"/>
      <c r="AD310" s="17"/>
      <c r="AE310" s="17"/>
      <c r="AF310" s="17"/>
      <c r="AG310" s="17"/>
      <c r="AH310" s="17"/>
      <c r="AI310" s="17"/>
      <c r="AJ310" s="17"/>
      <c r="AK310" s="17"/>
      <c r="AL310" s="17"/>
      <c r="AM310" s="17"/>
      <c r="AN310" s="17"/>
      <c r="AO310" s="17"/>
      <c r="AP310" s="17"/>
      <c r="AQ310" s="17"/>
      <c r="AR310" s="17"/>
      <c r="AS310" s="17"/>
      <c r="AT310" s="17"/>
      <c r="AU310" s="17"/>
      <c r="AV310" s="17"/>
      <c r="AW310" s="17"/>
      <c r="AX310" s="17"/>
      <c r="AY310" s="17"/>
      <c r="AZ310" s="17"/>
      <c r="BA310" s="17"/>
      <c r="BB310" s="17"/>
      <c r="BC310" s="17"/>
      <c r="BD310" s="17"/>
      <c r="BE310" s="17"/>
      <c r="BF310" s="17"/>
      <c r="BG310" s="17"/>
      <c r="BH310" s="17"/>
      <c r="BI310" s="17"/>
      <c r="BJ310" s="17"/>
      <c r="BK310" s="17"/>
      <c r="BL310" s="17"/>
      <c r="BM310" s="17"/>
      <c r="BN310" s="17"/>
      <c r="BO310" s="17"/>
      <c r="BP310" s="17"/>
      <c r="BQ310" s="17"/>
      <c r="BR310" s="17"/>
      <c r="BS310" s="17"/>
      <c r="BT310" s="17"/>
      <c r="BU310" s="17"/>
      <c r="BV310" s="17"/>
      <c r="BW310" s="17"/>
      <c r="BX310" s="17"/>
      <c r="BY310" s="17"/>
      <c r="BZ310" s="17"/>
      <c r="CA310" s="17"/>
      <c r="CB310" s="17"/>
      <c r="CC310" s="17"/>
      <c r="CD310" s="17"/>
      <c r="CE310" s="17"/>
      <c r="CF310" s="17"/>
      <c r="CG310" s="17"/>
      <c r="CH310" s="17"/>
      <c r="CI310" s="17"/>
      <c r="CJ310" s="17"/>
      <c r="CK310" s="17"/>
      <c r="CL310" s="17"/>
      <c r="CM310" s="17"/>
      <c r="CN310" s="17"/>
      <c r="CO310" s="17"/>
      <c r="CP310" s="17"/>
      <c r="CQ310" s="17"/>
      <c r="CR310" s="17"/>
      <c r="CS310" s="17"/>
      <c r="CT310" s="17"/>
      <c r="CU310" s="17"/>
      <c r="CV310" s="17"/>
    </row>
    <row r="311" spans="2:100" x14ac:dyDescent="0.35">
      <c r="B311" s="9"/>
      <c r="F311" s="17"/>
      <c r="G311" s="17"/>
      <c r="H311" s="17"/>
      <c r="I311" s="17"/>
      <c r="J311" s="17"/>
      <c r="K311" s="17"/>
      <c r="L311" s="17"/>
      <c r="M311" s="17"/>
      <c r="N311" s="17"/>
      <c r="O311" s="17"/>
      <c r="P311" s="17"/>
      <c r="Q311" s="17"/>
      <c r="R311" s="17"/>
      <c r="S311" s="17"/>
      <c r="T311" s="17"/>
      <c r="U311" s="17"/>
      <c r="V311" s="17"/>
      <c r="W311" s="17"/>
      <c r="X311" s="17"/>
      <c r="Y311" s="17"/>
      <c r="Z311" s="17"/>
      <c r="AA311" s="17"/>
      <c r="AB311" s="17"/>
      <c r="AC311" s="17"/>
      <c r="AD311" s="17"/>
      <c r="AE311" s="17"/>
      <c r="AF311" s="17"/>
      <c r="AG311" s="17"/>
      <c r="AH311" s="17"/>
      <c r="AI311" s="17"/>
      <c r="AJ311" s="17"/>
      <c r="AK311" s="17"/>
      <c r="AL311" s="17"/>
      <c r="AM311" s="17"/>
      <c r="AN311" s="17"/>
      <c r="AO311" s="17"/>
      <c r="AP311" s="17"/>
      <c r="AQ311" s="17"/>
      <c r="AR311" s="17"/>
      <c r="AS311" s="17"/>
      <c r="AT311" s="17"/>
      <c r="AU311" s="17"/>
      <c r="AV311" s="17"/>
      <c r="AW311" s="17"/>
      <c r="AX311" s="17"/>
      <c r="AY311" s="17"/>
      <c r="AZ311" s="17"/>
      <c r="BA311" s="17"/>
      <c r="BB311" s="17"/>
      <c r="BC311" s="17"/>
      <c r="BD311" s="17"/>
      <c r="BE311" s="17"/>
      <c r="BF311" s="17"/>
      <c r="BG311" s="17"/>
      <c r="BH311" s="17"/>
      <c r="BI311" s="17"/>
      <c r="BJ311" s="17"/>
      <c r="BK311" s="17"/>
      <c r="BL311" s="17"/>
      <c r="BM311" s="17"/>
      <c r="BN311" s="17"/>
      <c r="BO311" s="17"/>
      <c r="BP311" s="17"/>
      <c r="BQ311" s="17"/>
      <c r="BR311" s="17"/>
      <c r="BS311" s="17"/>
      <c r="BT311" s="17"/>
      <c r="BU311" s="17"/>
      <c r="BV311" s="17"/>
      <c r="BW311" s="17"/>
      <c r="BX311" s="17"/>
      <c r="BY311" s="17"/>
      <c r="BZ311" s="17"/>
      <c r="CA311" s="17"/>
      <c r="CB311" s="17"/>
      <c r="CC311" s="17"/>
      <c r="CD311" s="17"/>
      <c r="CE311" s="17"/>
      <c r="CF311" s="17"/>
      <c r="CG311" s="17"/>
      <c r="CH311" s="17"/>
      <c r="CI311" s="17"/>
      <c r="CJ311" s="17"/>
      <c r="CK311" s="17"/>
      <c r="CL311" s="17"/>
      <c r="CM311" s="17"/>
      <c r="CN311" s="17"/>
      <c r="CO311" s="17"/>
      <c r="CP311" s="17"/>
      <c r="CQ311" s="17"/>
      <c r="CR311" s="17"/>
      <c r="CS311" s="17"/>
      <c r="CT311" s="17"/>
      <c r="CU311" s="17"/>
      <c r="CV311" s="17"/>
    </row>
  </sheetData>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expression" priority="2" stopIfTrue="1" id="{25019EF2-F712-4DF1-8E05-33EB9CA7A9B0}">
            <xm:f>Disclaimer!$F$18&lt;&gt;"I ACCEPT"</xm:f>
            <x14:dxf>
              <numFmt numFmtId="175" formatCode=";;;"/>
            </x14:dxf>
          </x14:cfRule>
          <xm:sqref>A2:XFD1048576 A1:J1 L1:XFD1</xm:sqref>
        </x14:conditionalFormatting>
        <x14:conditionalFormatting xmlns:xm="http://schemas.microsoft.com/office/excel/2006/main">
          <x14:cfRule type="expression" priority="1" stopIfTrue="1" id="{B3620F07-469E-4AD0-842D-E7D8AF0448F5}">
            <xm:f>Disclaimer!$F$18="I ACCEPT"</xm:f>
            <x14:dxf>
              <numFmt numFmtId="175" formatCode=";;;"/>
            </x14:dxf>
          </x14:cfRule>
          <xm:sqref>K1</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6B362E55-57A9-4173-9C75-DCC0C313D9B2}">
          <x14:formula1>
            <xm:f>_revenues_scenario_list!$A$1:$A$6</xm:f>
          </x14:formula1>
          <xm:sqref>B8</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631B85-4D9B-4B6F-AF8A-2C32EC2F57A7}">
  <sheetPr codeName="npv_ws">
    <pageSetUpPr autoPageBreaks="0"/>
  </sheetPr>
  <dimension ref="A1:AZ58"/>
  <sheetViews>
    <sheetView showGridLines="0" topLeftCell="A14" zoomScale="85" zoomScaleNormal="85" workbookViewId="0">
      <selection activeCell="B22" sqref="B22"/>
    </sheetView>
  </sheetViews>
  <sheetFormatPr defaultColWidth="8.7265625" defaultRowHeight="12.5" x14ac:dyDescent="0.25"/>
  <cols>
    <col min="1" max="1" width="51.54296875" style="127" bestFit="1" customWidth="1"/>
    <col min="2" max="2" width="41.54296875" style="127" customWidth="1"/>
    <col min="3" max="3" width="17.453125" style="127" bestFit="1" customWidth="1"/>
    <col min="4" max="4" width="11.453125" style="127" customWidth="1"/>
    <col min="5" max="5" width="9.26953125" style="127" customWidth="1"/>
    <col min="6" max="6" width="10.26953125" style="127" bestFit="1" customWidth="1"/>
    <col min="7" max="7" width="9.453125" style="127" customWidth="1"/>
    <col min="8" max="8" width="9.26953125" style="127" customWidth="1"/>
    <col min="9" max="9" width="9.453125" style="127" customWidth="1"/>
    <col min="10" max="10" width="17.1796875" style="127" bestFit="1" customWidth="1"/>
    <col min="11" max="33" width="9.453125" style="127" customWidth="1"/>
    <col min="34" max="16384" width="8.7265625" style="127"/>
  </cols>
  <sheetData>
    <row r="1" spans="1:52" ht="14.5" x14ac:dyDescent="0.35">
      <c r="A1" s="2"/>
      <c r="B1" s="130"/>
      <c r="C1" s="130" t="s">
        <v>54</v>
      </c>
      <c r="D1" s="327" t="str">
        <f>Intro!$C$5</f>
        <v>Aurora’s Hungarian Flexible Energy Market Forecast - Q2 2026</v>
      </c>
      <c r="E1" s="117"/>
      <c r="F1" s="117"/>
      <c r="G1" s="117"/>
      <c r="H1" s="117"/>
      <c r="K1" s="330" t="s">
        <v>55</v>
      </c>
    </row>
    <row r="2" spans="1:52" ht="14.5" x14ac:dyDescent="0.35">
      <c r="A2" s="2"/>
      <c r="B2" s="130"/>
      <c r="C2" s="130" t="s">
        <v>8</v>
      </c>
      <c r="D2" s="137" t="str">
        <f>Intro!$E$13</f>
        <v>Hungary</v>
      </c>
      <c r="E2" s="117"/>
      <c r="F2" s="117"/>
      <c r="G2" s="117"/>
      <c r="H2" s="117"/>
    </row>
    <row r="3" spans="1:52" ht="14.5" x14ac:dyDescent="0.35">
      <c r="A3" s="2"/>
      <c r="B3" s="130"/>
      <c r="C3" s="130" t="s">
        <v>10</v>
      </c>
      <c r="D3" s="136" t="s">
        <v>445</v>
      </c>
      <c r="E3" s="117"/>
      <c r="F3" s="117"/>
      <c r="G3" s="117"/>
      <c r="H3" s="117"/>
    </row>
    <row r="4" spans="1:52" ht="14.5" x14ac:dyDescent="0.35">
      <c r="A4" s="1"/>
      <c r="B4" s="117"/>
      <c r="C4" s="130" t="s">
        <v>56</v>
      </c>
      <c r="D4" s="137" t="s">
        <v>232</v>
      </c>
      <c r="E4" s="117"/>
      <c r="F4" s="117"/>
      <c r="G4" s="117"/>
      <c r="H4" s="117"/>
    </row>
    <row r="5" spans="1:52" ht="14.5" x14ac:dyDescent="0.35">
      <c r="A5" s="2"/>
      <c r="B5" s="130"/>
      <c r="C5" s="117"/>
      <c r="D5" s="130"/>
      <c r="I5" s="184"/>
      <c r="J5" s="184"/>
      <c r="K5" s="184"/>
      <c r="L5" s="184"/>
      <c r="M5" s="184"/>
      <c r="N5" s="184"/>
      <c r="O5" s="184"/>
      <c r="P5" s="184"/>
      <c r="Q5" s="184"/>
      <c r="R5" s="184"/>
      <c r="S5" s="184"/>
      <c r="AN5" s="184"/>
      <c r="AO5" s="184"/>
      <c r="AP5" s="184"/>
      <c r="AQ5" s="184"/>
      <c r="AR5" s="184"/>
      <c r="AS5" s="184"/>
      <c r="AT5" s="184"/>
      <c r="AU5" s="184"/>
      <c r="AV5" s="184"/>
      <c r="AW5" s="184"/>
      <c r="AX5" s="184"/>
      <c r="AY5" s="184"/>
      <c r="AZ5" s="184"/>
    </row>
    <row r="6" spans="1:52" ht="13" x14ac:dyDescent="0.3">
      <c r="A6" s="126" t="s">
        <v>233</v>
      </c>
      <c r="B6" s="126"/>
      <c r="C6" s="126"/>
      <c r="D6" s="126"/>
      <c r="E6" s="138"/>
      <c r="F6" s="138"/>
      <c r="G6" s="138"/>
      <c r="H6" s="138"/>
      <c r="I6" s="138"/>
      <c r="J6" s="138"/>
      <c r="K6" s="138"/>
      <c r="L6" s="138"/>
      <c r="M6" s="138"/>
      <c r="N6" s="138"/>
      <c r="O6" s="138"/>
      <c r="P6" s="138"/>
      <c r="Q6" s="138"/>
      <c r="R6" s="138"/>
      <c r="S6" s="138"/>
      <c r="T6" s="138"/>
      <c r="U6" s="138"/>
      <c r="V6" s="138"/>
      <c r="W6" s="138"/>
      <c r="X6" s="138"/>
      <c r="Y6" s="138"/>
      <c r="Z6" s="138"/>
      <c r="AA6" s="138"/>
      <c r="AB6" s="138"/>
      <c r="AC6" s="138"/>
      <c r="AD6" s="138"/>
      <c r="AE6" s="138"/>
      <c r="AF6" s="138"/>
      <c r="AG6" s="138"/>
      <c r="AH6" s="138"/>
      <c r="AI6" s="138"/>
      <c r="AJ6" s="138"/>
      <c r="AK6" s="138"/>
      <c r="AL6" s="138"/>
      <c r="AM6" s="138"/>
      <c r="AN6" s="138"/>
    </row>
    <row r="7" spans="1:52" ht="13" x14ac:dyDescent="0.3">
      <c r="A7" s="129" t="s">
        <v>56</v>
      </c>
      <c r="B7" s="129"/>
      <c r="C7" s="129"/>
      <c r="D7" s="129"/>
      <c r="E7" s="191" t="s">
        <v>59</v>
      </c>
      <c r="F7" s="139" t="s">
        <v>37</v>
      </c>
      <c r="G7" s="139"/>
      <c r="H7" s="139"/>
      <c r="I7" s="139"/>
      <c r="J7" s="191" t="s">
        <v>59</v>
      </c>
      <c r="K7" s="139" t="s">
        <v>37</v>
      </c>
      <c r="L7" s="147" t="s">
        <v>60</v>
      </c>
      <c r="M7" s="139"/>
      <c r="N7" s="139"/>
      <c r="O7" s="139"/>
      <c r="P7" s="139"/>
      <c r="Q7" s="139"/>
      <c r="R7" s="139"/>
      <c r="S7" s="139"/>
      <c r="T7" s="139"/>
      <c r="U7" s="139"/>
      <c r="V7" s="139"/>
      <c r="W7" s="139"/>
      <c r="X7" s="139"/>
      <c r="Y7" s="139"/>
      <c r="Z7" s="139"/>
      <c r="AA7" s="139"/>
      <c r="AB7" s="139"/>
      <c r="AC7" s="139"/>
      <c r="AD7" s="139"/>
      <c r="AE7" s="139"/>
      <c r="AF7" s="139"/>
      <c r="AG7" s="139"/>
      <c r="AH7" s="139"/>
      <c r="AI7" s="139"/>
      <c r="AJ7" s="139"/>
      <c r="AK7" s="139"/>
      <c r="AL7" s="139"/>
      <c r="AM7" s="139"/>
      <c r="AN7" s="139"/>
    </row>
    <row r="8" spans="1:52" ht="14.5" x14ac:dyDescent="0.35">
      <c r="A8" s="186" t="str">
        <f>INDEX(
    'Degraded batteries'!$B$10:INDEX('Degraded batteries'!$B:$B,100000),
    MATCH('Degraded batteries'!$A$8,'Degraded batteries'!$A$10:INDEX('Degraded batteries'!$A:$A,100000), 0),
    1)</f>
        <v>2027 - Central - solar dc - 1.5cy - 2h</v>
      </c>
      <c r="E8" s="142" t="s">
        <v>234</v>
      </c>
      <c r="F8" s="142" cm="1">
        <f t="array" ref="F8">INDEX(
    'Degraded batteries'!$B$10:INDEX('Degraded batteries'!$B:$B,100000),
    MATCH($A$8,'Degraded batteries'!$B$10:INDEX('Degraded batteries'!$B:$B,100000),0)+1)</f>
        <v>2027</v>
      </c>
      <c r="J8" s="7" t="s">
        <v>322</v>
      </c>
      <c r="K8" s="157">
        <f>MAX(
    INDEX(
        INDEX('Degraded batteries'!$F:$F,Control!$B$31):INDEX('Degraded batteries'!$AO:$AO,Control!$B$32),
        MATCH('NPV calculation'!$J8,INDEX('Degraded batteries'!$D:$D,Control!$B$31):INDEX('Degraded batteries'!$D:$D,Control!$B$32),0),
        0)
    )</f>
        <v>1</v>
      </c>
      <c r="L8" s="192" t="s">
        <v>124</v>
      </c>
    </row>
    <row r="9" spans="1:52" x14ac:dyDescent="0.25">
      <c r="E9" s="142" t="s">
        <v>56</v>
      </c>
      <c r="F9" s="142" t="str" cm="1">
        <f t="array" ref="F9">INDEX(
    'Degraded batteries'!$B$10:INDEX('Degraded batteries'!$B:$B,100000),
    MATCH($A$8,'Degraded batteries'!$B$10:INDEX('Degraded batteries'!$B:$B,100000),0)+2)</f>
        <v>Central</v>
      </c>
      <c r="J9" s="142" t="s">
        <v>354</v>
      </c>
      <c r="K9" s="157">
        <f>MAX(
    INDEX(
        INDEX('Degraded batteries'!$F:$F,Control!$B$31):INDEX('Degraded batteries'!$AO:$AO,Control!$B$32),
        MATCH('NPV calculation'!$J9,INDEX('Degraded batteries'!$D:$D,Control!$B$31):INDEX('Degraded batteries'!$D:$D,Control!$B$32),0),
        0)
    )</f>
        <v>1</v>
      </c>
      <c r="L9" s="192" t="s">
        <v>124</v>
      </c>
    </row>
    <row r="10" spans="1:52" x14ac:dyDescent="0.25">
      <c r="E10" s="142" t="s">
        <v>235</v>
      </c>
      <c r="F10" s="164" t="str" cm="1">
        <f t="array" ref="F10">INDEX(
    'Degraded batteries'!$B$10:INDEX('Degraded batteries'!$B:$B,100000),
    MATCH($A$8,'Degraded batteries'!$B$10:INDEX('Degraded batteries'!$B:$B,100000),0)+3)</f>
        <v>Co-located with solar (DC)</v>
      </c>
      <c r="J10" s="127" t="s">
        <v>356</v>
      </c>
      <c r="K10" s="157">
        <f>MAX(
    INDEX(
        INDEX('Degraded batteries'!$F:$F,Control!$B$31):INDEX('Degraded batteries'!$AO:$AO,Control!$B$32),
        MATCH('NPV calculation'!$J10,INDEX('Degraded batteries'!$D:$D,Control!$B$31):INDEX('Degraded batteries'!$D:$D,Control!$B$32),0),
        0)
    )</f>
        <v>1</v>
      </c>
      <c r="L10" s="193" t="s">
        <v>124</v>
      </c>
    </row>
    <row r="11" spans="1:52" ht="15" x14ac:dyDescent="0.3">
      <c r="A11" s="187" t="s">
        <v>319</v>
      </c>
      <c r="B11" s="194">
        <v>0</v>
      </c>
      <c r="E11" s="142" t="s">
        <v>132</v>
      </c>
      <c r="F11" s="142" t="str" cm="1">
        <f t="array" ref="F11">INDEX(
    'Degraded batteries'!$B$10:INDEX('Degraded batteries'!$B:$B,100000),
    MATCH($A$8,'Degraded batteries'!$B$10:INDEX('Degraded batteries'!$B:$B,100000),0)+5)</f>
        <v>2h</v>
      </c>
      <c r="I11" s="142"/>
      <c r="J11" s="195"/>
    </row>
    <row r="12" spans="1:52" ht="15" x14ac:dyDescent="0.3">
      <c r="A12" s="188" t="s">
        <v>320</v>
      </c>
      <c r="E12" s="142" t="s">
        <v>236</v>
      </c>
      <c r="F12" s="142" t="str" cm="1">
        <f t="array" ref="F12">INDEX(
    'Degraded batteries'!$B$10:INDEX('Degraded batteries'!$B:$B,100000),
    MATCH($A$8,'Degraded batteries'!$B$10:INDEX('Degraded batteries'!$B:$B,100000),0)+4)</f>
        <v>1.5cy</v>
      </c>
    </row>
    <row r="13" spans="1:52" ht="15" x14ac:dyDescent="0.3">
      <c r="A13" s="188" t="s">
        <v>473</v>
      </c>
      <c r="E13" s="142" t="s">
        <v>237</v>
      </c>
      <c r="F13" s="196">
        <f>COUNTIF(INDEX('Degraded batteries'!F:AN, MATCH("Storage AC capacity", 'Degraded batteries'!D:D, 0), 0), "&gt;" &amp; 0)</f>
        <v>34</v>
      </c>
    </row>
    <row r="14" spans="1:52" x14ac:dyDescent="0.25">
      <c r="E14" s="142" t="s">
        <v>238</v>
      </c>
      <c r="F14" s="127">
        <f>COUNTIF(INDEX('Degraded batteries'!F:AN, MATCH("RES capacity", 'Degraded batteries'!D:D, 0), 0), "&gt;" &amp; 0)</f>
        <v>34</v>
      </c>
    </row>
    <row r="15" spans="1:52" x14ac:dyDescent="0.25">
      <c r="F15" s="168"/>
    </row>
    <row r="16" spans="1:52" ht="13" x14ac:dyDescent="0.3">
      <c r="A16" s="126" t="s">
        <v>239</v>
      </c>
      <c r="B16" s="126"/>
      <c r="C16" s="126"/>
      <c r="D16" s="126"/>
      <c r="E16" s="138"/>
      <c r="F16" s="138"/>
      <c r="G16" s="138"/>
      <c r="H16" s="138"/>
      <c r="I16" s="138"/>
      <c r="J16" s="138"/>
      <c r="K16" s="138"/>
      <c r="L16" s="138"/>
      <c r="M16" s="138"/>
      <c r="N16" s="138"/>
      <c r="O16" s="138"/>
      <c r="P16" s="138"/>
      <c r="Q16" s="138"/>
      <c r="R16" s="138"/>
      <c r="S16" s="138"/>
      <c r="T16" s="138"/>
      <c r="U16" s="138"/>
      <c r="V16" s="138"/>
      <c r="W16" s="138"/>
      <c r="X16" s="138"/>
      <c r="Y16" s="138"/>
      <c r="Z16" s="138"/>
      <c r="AA16" s="138"/>
      <c r="AB16" s="138"/>
      <c r="AC16" s="138"/>
      <c r="AD16" s="138"/>
      <c r="AE16" s="138"/>
      <c r="AF16" s="138"/>
      <c r="AG16" s="138"/>
      <c r="AH16" s="138"/>
      <c r="AI16" s="138"/>
      <c r="AJ16" s="138"/>
      <c r="AK16" s="138"/>
      <c r="AL16" s="138"/>
      <c r="AM16" s="138"/>
      <c r="AN16" s="138"/>
    </row>
    <row r="17" spans="1:41" ht="13" x14ac:dyDescent="0.3">
      <c r="A17" s="189"/>
      <c r="B17" s="129" t="s">
        <v>59</v>
      </c>
      <c r="C17" s="197" t="s">
        <v>240</v>
      </c>
      <c r="D17" s="129" t="s">
        <v>60</v>
      </c>
      <c r="E17" s="197" t="s">
        <v>45</v>
      </c>
      <c r="F17" s="197">
        <v>2026</v>
      </c>
      <c r="G17" s="197">
        <v>2027</v>
      </c>
      <c r="H17" s="197">
        <v>2028</v>
      </c>
      <c r="I17" s="197">
        <v>2029</v>
      </c>
      <c r="J17" s="197">
        <v>2030</v>
      </c>
      <c r="K17" s="197">
        <v>2031</v>
      </c>
      <c r="L17" s="197">
        <v>2032</v>
      </c>
      <c r="M17" s="197">
        <v>2033</v>
      </c>
      <c r="N17" s="197">
        <v>2034</v>
      </c>
      <c r="O17" s="197">
        <v>2035</v>
      </c>
      <c r="P17" s="197">
        <v>2036</v>
      </c>
      <c r="Q17" s="197">
        <v>2037</v>
      </c>
      <c r="R17" s="197">
        <v>2038</v>
      </c>
      <c r="S17" s="197">
        <v>2039</v>
      </c>
      <c r="T17" s="197">
        <v>2040</v>
      </c>
      <c r="U17" s="197">
        <v>2041</v>
      </c>
      <c r="V17" s="197">
        <v>2042</v>
      </c>
      <c r="W17" s="197">
        <v>2043</v>
      </c>
      <c r="X17" s="197">
        <v>2044</v>
      </c>
      <c r="Y17" s="197">
        <v>2045</v>
      </c>
      <c r="Z17" s="197">
        <v>2046</v>
      </c>
      <c r="AA17" s="197">
        <v>2047</v>
      </c>
      <c r="AB17" s="197">
        <v>2048</v>
      </c>
      <c r="AC17" s="197">
        <v>2049</v>
      </c>
      <c r="AD17" s="197">
        <v>2050</v>
      </c>
      <c r="AE17" s="197">
        <v>2051</v>
      </c>
      <c r="AF17" s="197">
        <v>2052</v>
      </c>
      <c r="AG17" s="197">
        <v>2053</v>
      </c>
      <c r="AH17" s="197">
        <v>2054</v>
      </c>
      <c r="AI17" s="197">
        <v>2055</v>
      </c>
      <c r="AJ17" s="197">
        <v>2056</v>
      </c>
      <c r="AK17" s="197">
        <v>2057</v>
      </c>
      <c r="AL17" s="197">
        <v>2058</v>
      </c>
      <c r="AM17" s="197">
        <v>2059</v>
      </c>
      <c r="AN17" s="197">
        <v>2060</v>
      </c>
    </row>
    <row r="18" spans="1:41" x14ac:dyDescent="0.25">
      <c r="A18" s="127" t="s">
        <v>241</v>
      </c>
      <c r="B18" s="198" t="s">
        <v>141</v>
      </c>
      <c r="C18" s="199">
        <f>Inputs!$E$97</f>
        <v>0.12</v>
      </c>
      <c r="D18" s="192" t="s">
        <v>242</v>
      </c>
      <c r="E18" s="155" cm="1">
        <f t="array" ref="E18">NPV($C18, INDEX(F18:AN18, MATCH(TRUE, F$29:AN$29&lt;&gt;0, 0)+1):AN18)+INDEX(F18:AN18, MATCH(TRUE, F$29:AN$29&lt;&gt;0, 0))</f>
        <v>-564.18651418599609</v>
      </c>
      <c r="F18" s="168" cm="1">
        <f t="array" ref="F18">-IF((F$17=$F$8-1),
INDEX(Inputs!$E$32:$AM$34,MATCH($F$11,Inputs!$C$32:$C$34,0),MATCH($F$8-1,Inputs!$E$31:$AM$31,0)),
0)
* $K$8/$K$10
-
IFERROR(
IF(INDEX('Degraded batteries'!$F$9:$AN$9,,MATCH('NPV calculation'!F$17,'Degraded batteries'!$F$7:$AN$7,0))=0,0,
IF(
INDEX('Degraded batteries'!$F$9:$AN$9,,MATCH('NPV calculation'!F$17,'Degraded batteries'!$F$7:$AN$7,0))
-
INDEX('Degraded batteries'!$F$9:$AN$9,,MATCH('NPV calculation'!F$17,'Degraded batteries'!$F$7:$AN$7,0)-1),
INDEX(Inputs!$E$42:$AM$44,MATCH($F$11,Inputs!$C$42:$C$44,0),MATCH(F$17,Inputs!$E$31:$AM$31,0)),
0)
),0)
* $K$8/$K$10</f>
        <v>-545.34944827247557</v>
      </c>
      <c r="G18" s="168" cm="1">
        <f t="array" ref="G18">-IF((G$17=$F$8-1),
INDEX(Inputs!$E$32:$AM$34,MATCH($F$11,Inputs!$C$32:$C$34,0),MATCH($F$8-1,Inputs!$E$31:$AM$31,0)),
0)
* $K$8/$K$10
-
IFERROR(
IF(INDEX('Degraded batteries'!$F$9:$AN$9,,MATCH('NPV calculation'!G$17,'Degraded batteries'!$F$7:$AN$7,0))=0,0,
IF(
INDEX('Degraded batteries'!$F$9:$AN$9,,MATCH('NPV calculation'!G$17,'Degraded batteries'!$F$7:$AN$7,0))
-
INDEX('Degraded batteries'!$F$9:$AN$9,,MATCH('NPV calculation'!G$17,'Degraded batteries'!$F$7:$AN$7,0)-1),
INDEX(Inputs!$E$42:$AM$44,MATCH($F$11,Inputs!$C$42:$C$44,0),MATCH(G$17,Inputs!$E$31:$AM$31,0)),
0)
),0)
* $K$8/$K$10</f>
        <v>0</v>
      </c>
      <c r="H18" s="168" cm="1">
        <f t="array" ref="H18">-IF((H$17=$F$8-1),
INDEX(Inputs!$E$32:$AM$34,MATCH($F$11,Inputs!$C$32:$C$34,0),MATCH($F$8-1,Inputs!$E$31:$AM$31,0)),
0)
* $K$8/$K$10
-
IFERROR(
IF(INDEX('Degraded batteries'!$F$9:$AN$9,,MATCH('NPV calculation'!H$17,'Degraded batteries'!$F$7:$AN$7,0))=0,0,
IF(
INDEX('Degraded batteries'!$F$9:$AN$9,,MATCH('NPV calculation'!H$17,'Degraded batteries'!$F$7:$AN$7,0))
-
INDEX('Degraded batteries'!$F$9:$AN$9,,MATCH('NPV calculation'!H$17,'Degraded batteries'!$F$7:$AN$7,0)-1),
INDEX(Inputs!$E$42:$AM$44,MATCH($F$11,Inputs!$C$42:$C$44,0),MATCH(H$17,Inputs!$E$31:$AM$31,0)),
0)
),0)
* $K$8/$K$10</f>
        <v>0</v>
      </c>
      <c r="I18" s="168" cm="1">
        <f t="array" ref="I18">-IF((I$17=$F$8-1),
INDEX(Inputs!$E$32:$AM$34,MATCH($F$11,Inputs!$C$32:$C$34,0),MATCH($F$8-1,Inputs!$E$31:$AM$31,0)),
0)
* $K$8/$K$10
-
IFERROR(
IF(INDEX('Degraded batteries'!$F$9:$AN$9,,MATCH('NPV calculation'!I$17,'Degraded batteries'!$F$7:$AN$7,0))=0,0,
IF(
INDEX('Degraded batteries'!$F$9:$AN$9,,MATCH('NPV calculation'!I$17,'Degraded batteries'!$F$7:$AN$7,0))
-
INDEX('Degraded batteries'!$F$9:$AN$9,,MATCH('NPV calculation'!I$17,'Degraded batteries'!$F$7:$AN$7,0)-1),
INDEX(Inputs!$E$42:$AM$44,MATCH($F$11,Inputs!$C$42:$C$44,0),MATCH(I$17,Inputs!$E$31:$AM$31,0)),
0)
),0)
* $K$8/$K$10</f>
        <v>0</v>
      </c>
      <c r="J18" s="168" cm="1">
        <f t="array" ref="J18">-IF((J$17=$F$8-1),
INDEX(Inputs!$E$32:$AM$34,MATCH($F$11,Inputs!$C$32:$C$34,0),MATCH($F$8-1,Inputs!$E$31:$AM$31,0)),
0)
* $K$8/$K$10
-
IFERROR(
IF(INDEX('Degraded batteries'!$F$9:$AN$9,,MATCH('NPV calculation'!J$17,'Degraded batteries'!$F$7:$AN$7,0))=0,0,
IF(
INDEX('Degraded batteries'!$F$9:$AN$9,,MATCH('NPV calculation'!J$17,'Degraded batteries'!$F$7:$AN$7,0))
-
INDEX('Degraded batteries'!$F$9:$AN$9,,MATCH('NPV calculation'!J$17,'Degraded batteries'!$F$7:$AN$7,0)-1),
INDEX(Inputs!$E$42:$AM$44,MATCH($F$11,Inputs!$C$42:$C$44,0),MATCH(J$17,Inputs!$E$31:$AM$31,0)),
0)
),0)
* $K$8/$K$10</f>
        <v>0</v>
      </c>
      <c r="K18" s="168" cm="1">
        <f t="array" ref="K18">-IF((K$17=$F$8-1),
INDEX(Inputs!$E$32:$AM$34,MATCH($F$11,Inputs!$C$32:$C$34,0),MATCH($F$8-1,Inputs!$E$31:$AM$31,0)),
0)
* $K$8/$K$10
-
IFERROR(
IF(INDEX('Degraded batteries'!$F$9:$AN$9,,MATCH('NPV calculation'!K$17,'Degraded batteries'!$F$7:$AN$7,0))=0,0,
IF(
INDEX('Degraded batteries'!$F$9:$AN$9,,MATCH('NPV calculation'!K$17,'Degraded batteries'!$F$7:$AN$7,0))
-
INDEX('Degraded batteries'!$F$9:$AN$9,,MATCH('NPV calculation'!K$17,'Degraded batteries'!$F$7:$AN$7,0)-1),
INDEX(Inputs!$E$42:$AM$44,MATCH($F$11,Inputs!$C$42:$C$44,0),MATCH(K$17,Inputs!$E$31:$AM$31,0)),
0)
),0)
* $K$8/$K$10</f>
        <v>0</v>
      </c>
      <c r="L18" s="168" cm="1">
        <f t="array" ref="L18">-IF((L$17=$F$8-1),
INDEX(Inputs!$E$32:$AM$34,MATCH($F$11,Inputs!$C$32:$C$34,0),MATCH($F$8-1,Inputs!$E$31:$AM$31,0)),
0)
* $K$8/$K$10
-
IFERROR(
IF(INDEX('Degraded batteries'!$F$9:$AN$9,,MATCH('NPV calculation'!L$17,'Degraded batteries'!$F$7:$AN$7,0))=0,0,
IF(
INDEX('Degraded batteries'!$F$9:$AN$9,,MATCH('NPV calculation'!L$17,'Degraded batteries'!$F$7:$AN$7,0))
-
INDEX('Degraded batteries'!$F$9:$AN$9,,MATCH('NPV calculation'!L$17,'Degraded batteries'!$F$7:$AN$7,0)-1),
INDEX(Inputs!$E$42:$AM$44,MATCH($F$11,Inputs!$C$42:$C$44,0),MATCH(L$17,Inputs!$E$31:$AM$31,0)),
0)
),0)
* $K$8/$K$10</f>
        <v>0</v>
      </c>
      <c r="M18" s="168" cm="1">
        <f t="array" ref="M18">-IF((M$17=$F$8-1),
INDEX(Inputs!$E$32:$AM$34,MATCH($F$11,Inputs!$C$32:$C$34,0),MATCH($F$8-1,Inputs!$E$31:$AM$31,0)),
0)
* $K$8/$K$10
-
IFERROR(
IF(INDEX('Degraded batteries'!$F$9:$AN$9,,MATCH('NPV calculation'!M$17,'Degraded batteries'!$F$7:$AN$7,0))=0,0,
IF(
INDEX('Degraded batteries'!$F$9:$AN$9,,MATCH('NPV calculation'!M$17,'Degraded batteries'!$F$7:$AN$7,0))
-
INDEX('Degraded batteries'!$F$9:$AN$9,,MATCH('NPV calculation'!M$17,'Degraded batteries'!$F$7:$AN$7,0)-1),
INDEX(Inputs!$E$42:$AM$44,MATCH($F$11,Inputs!$C$42:$C$44,0),MATCH(M$17,Inputs!$E$31:$AM$31,0)),
0)
),0)
* $K$8/$K$10</f>
        <v>0</v>
      </c>
      <c r="N18" s="168" cm="1">
        <f t="array" ref="N18">-IF((N$17=$F$8-1),
INDEX(Inputs!$E$32:$AM$34,MATCH($F$11,Inputs!$C$32:$C$34,0),MATCH($F$8-1,Inputs!$E$31:$AM$31,0)),
0)
* $K$8/$K$10
-
IFERROR(
IF(INDEX('Degraded batteries'!$F$9:$AN$9,,MATCH('NPV calculation'!N$17,'Degraded batteries'!$F$7:$AN$7,0))=0,0,
IF(
INDEX('Degraded batteries'!$F$9:$AN$9,,MATCH('NPV calculation'!N$17,'Degraded batteries'!$F$7:$AN$7,0))
-
INDEX('Degraded batteries'!$F$9:$AN$9,,MATCH('NPV calculation'!N$17,'Degraded batteries'!$F$7:$AN$7,0)-1),
INDEX(Inputs!$E$42:$AM$44,MATCH($F$11,Inputs!$C$42:$C$44,0),MATCH(N$17,Inputs!$E$31:$AM$31,0)),
0)
),0)
* $K$8/$K$10</f>
        <v>0</v>
      </c>
      <c r="O18" s="168" cm="1">
        <f t="array" ref="O18">-IF((O$17=$F$8-1),
INDEX(Inputs!$E$32:$AM$34,MATCH($F$11,Inputs!$C$32:$C$34,0),MATCH($F$8-1,Inputs!$E$31:$AM$31,0)),
0)
* $K$8/$K$10
-
IFERROR(
IF(INDEX('Degraded batteries'!$F$9:$AN$9,,MATCH('NPV calculation'!O$17,'Degraded batteries'!$F$7:$AN$7,0))=0,0,
IF(
INDEX('Degraded batteries'!$F$9:$AN$9,,MATCH('NPV calculation'!O$17,'Degraded batteries'!$F$7:$AN$7,0))
-
INDEX('Degraded batteries'!$F$9:$AN$9,,MATCH('NPV calculation'!O$17,'Degraded batteries'!$F$7:$AN$7,0)-1),
INDEX(Inputs!$E$42:$AM$44,MATCH($F$11,Inputs!$C$42:$C$44,0),MATCH(O$17,Inputs!$E$31:$AM$31,0)),
0)
),0)
* $K$8/$K$10</f>
        <v>0</v>
      </c>
      <c r="P18" s="168" cm="1">
        <f t="array" ref="P18">-IF((P$17=$F$8-1),
INDEX(Inputs!$E$32:$AM$34,MATCH($F$11,Inputs!$C$32:$C$34,0),MATCH($F$8-1,Inputs!$E$31:$AM$31,0)),
0)
* $K$8/$K$10
-
IFERROR(
IF(INDEX('Degraded batteries'!$F$9:$AN$9,,MATCH('NPV calculation'!P$17,'Degraded batteries'!$F$7:$AN$7,0))=0,0,
IF(
INDEX('Degraded batteries'!$F$9:$AN$9,,MATCH('NPV calculation'!P$17,'Degraded batteries'!$F$7:$AN$7,0))
-
INDEX('Degraded batteries'!$F$9:$AN$9,,MATCH('NPV calculation'!P$17,'Degraded batteries'!$F$7:$AN$7,0)-1),
INDEX(Inputs!$E$42:$AM$44,MATCH($F$11,Inputs!$C$42:$C$44,0),MATCH(P$17,Inputs!$E$31:$AM$31,0)),
0)
),0)
* $K$8/$K$10</f>
        <v>0</v>
      </c>
      <c r="Q18" s="168" cm="1">
        <f t="array" ref="Q18">-IF((Q$17=$F$8-1),
INDEX(Inputs!$E$32:$AM$34,MATCH($F$11,Inputs!$C$32:$C$34,0),MATCH($F$8-1,Inputs!$E$31:$AM$31,0)),
0)
* $K$8/$K$10
-
IFERROR(
IF(INDEX('Degraded batteries'!$F$9:$AN$9,,MATCH('NPV calculation'!Q$17,'Degraded batteries'!$F$7:$AN$7,0))=0,0,
IF(
INDEX('Degraded batteries'!$F$9:$AN$9,,MATCH('NPV calculation'!Q$17,'Degraded batteries'!$F$7:$AN$7,0))
-
INDEX('Degraded batteries'!$F$9:$AN$9,,MATCH('NPV calculation'!Q$17,'Degraded batteries'!$F$7:$AN$7,0)-1),
INDEX(Inputs!$E$42:$AM$44,MATCH($F$11,Inputs!$C$42:$C$44,0),MATCH(Q$17,Inputs!$E$31:$AM$31,0)),
0)
),0)
* $K$8/$K$10</f>
        <v>0</v>
      </c>
      <c r="R18" s="168" cm="1">
        <f t="array" ref="R18">-IF((R$17=$F$8-1),
INDEX(Inputs!$E$32:$AM$34,MATCH($F$11,Inputs!$C$32:$C$34,0),MATCH($F$8-1,Inputs!$E$31:$AM$31,0)),
0)
* $K$8/$K$10
-
IFERROR(
IF(INDEX('Degraded batteries'!$F$9:$AN$9,,MATCH('NPV calculation'!R$17,'Degraded batteries'!$F$7:$AN$7,0))=0,0,
IF(
INDEX('Degraded batteries'!$F$9:$AN$9,,MATCH('NPV calculation'!R$17,'Degraded batteries'!$F$7:$AN$7,0))
-
INDEX('Degraded batteries'!$F$9:$AN$9,,MATCH('NPV calculation'!R$17,'Degraded batteries'!$F$7:$AN$7,0)-1),
INDEX(Inputs!$E$42:$AM$44,MATCH($F$11,Inputs!$C$42:$C$44,0),MATCH(R$17,Inputs!$E$31:$AM$31,0)),
0)
),0)
* $K$8/$K$10</f>
        <v>0</v>
      </c>
      <c r="S18" s="168" cm="1">
        <f t="array" ref="S18">-IF((S$17=$F$8-1),
INDEX(Inputs!$E$32:$AM$34,MATCH($F$11,Inputs!$C$32:$C$34,0),MATCH($F$8-1,Inputs!$E$31:$AM$31,0)),
0)
* $K$8/$K$10
-
IFERROR(
IF(INDEX('Degraded batteries'!$F$9:$AN$9,,MATCH('NPV calculation'!S$17,'Degraded batteries'!$F$7:$AN$7,0))=0,0,
IF(
INDEX('Degraded batteries'!$F$9:$AN$9,,MATCH('NPV calculation'!S$17,'Degraded batteries'!$F$7:$AN$7,0))
-
INDEX('Degraded batteries'!$F$9:$AN$9,,MATCH('NPV calculation'!S$17,'Degraded batteries'!$F$7:$AN$7,0)-1),
INDEX(Inputs!$E$42:$AM$44,MATCH($F$11,Inputs!$C$42:$C$44,0),MATCH(S$17,Inputs!$E$31:$AM$31,0)),
0)
),0)
* $K$8/$K$10</f>
        <v>0</v>
      </c>
      <c r="T18" s="168" cm="1">
        <f t="array" ref="T18">-IF((T$17=$F$8-1),
INDEX(Inputs!$E$32:$AM$34,MATCH($F$11,Inputs!$C$32:$C$34,0),MATCH($F$8-1,Inputs!$E$31:$AM$31,0)),
0)
* $K$8/$K$10
-
IFERROR(
IF(INDEX('Degraded batteries'!$F$9:$AN$9,,MATCH('NPV calculation'!T$17,'Degraded batteries'!$F$7:$AN$7,0))=0,0,
IF(
INDEX('Degraded batteries'!$F$9:$AN$9,,MATCH('NPV calculation'!T$17,'Degraded batteries'!$F$7:$AN$7,0))
-
INDEX('Degraded batteries'!$F$9:$AN$9,,MATCH('NPV calculation'!T$17,'Degraded batteries'!$F$7:$AN$7,0)-1),
INDEX(Inputs!$E$42:$AM$44,MATCH($F$11,Inputs!$C$42:$C$44,0),MATCH(T$17,Inputs!$E$31:$AM$31,0)),
0)
),0)
* $K$8/$K$10</f>
        <v>0</v>
      </c>
      <c r="U18" s="168" cm="1">
        <f t="array" ref="U18">-IF((U$17=$F$8-1),
INDEX(Inputs!$E$32:$AM$34,MATCH($F$11,Inputs!$C$32:$C$34,0),MATCH($F$8-1,Inputs!$E$31:$AM$31,0)),
0)
* $K$8/$K$10
-
IFERROR(
IF(INDEX('Degraded batteries'!$F$9:$AN$9,,MATCH('NPV calculation'!U$17,'Degraded batteries'!$F$7:$AN$7,0))=0,0,
IF(
INDEX('Degraded batteries'!$F$9:$AN$9,,MATCH('NPV calculation'!U$17,'Degraded batteries'!$F$7:$AN$7,0))
-
INDEX('Degraded batteries'!$F$9:$AN$9,,MATCH('NPV calculation'!U$17,'Degraded batteries'!$F$7:$AN$7,0)-1),
INDEX(Inputs!$E$42:$AM$44,MATCH($F$11,Inputs!$C$42:$C$44,0),MATCH(U$17,Inputs!$E$31:$AM$31,0)),
0)
),0)
* $K$8/$K$10</f>
        <v>0</v>
      </c>
      <c r="V18" s="168" cm="1">
        <f t="array" ref="V18">-IF((V$17=$F$8-1),
INDEX(Inputs!$E$32:$AM$34,MATCH($F$11,Inputs!$C$32:$C$34,0),MATCH($F$8-1,Inputs!$E$31:$AM$31,0)),
0)
* $K$8/$K$10
-
IFERROR(
IF(INDEX('Degraded batteries'!$F$9:$AN$9,,MATCH('NPV calculation'!V$17,'Degraded batteries'!$F$7:$AN$7,0))=0,0,
IF(
INDEX('Degraded batteries'!$F$9:$AN$9,,MATCH('NPV calculation'!V$17,'Degraded batteries'!$F$7:$AN$7,0))
-
INDEX('Degraded batteries'!$F$9:$AN$9,,MATCH('NPV calculation'!V$17,'Degraded batteries'!$F$7:$AN$7,0)-1),
INDEX(Inputs!$E$42:$AM$44,MATCH($F$11,Inputs!$C$42:$C$44,0),MATCH(V$17,Inputs!$E$31:$AM$31,0)),
0)
),0)
* $K$8/$K$10</f>
        <v>0</v>
      </c>
      <c r="W18" s="168" cm="1">
        <f t="array" ref="W18">-IF((W$17=$F$8-1),
INDEX(Inputs!$E$32:$AM$34,MATCH($F$11,Inputs!$C$32:$C$34,0),MATCH($F$8-1,Inputs!$E$31:$AM$31,0)),
0)
* $K$8/$K$10
-
IFERROR(
IF(INDEX('Degraded batteries'!$F$9:$AN$9,,MATCH('NPV calculation'!W$17,'Degraded batteries'!$F$7:$AN$7,0))=0,0,
IF(
INDEX('Degraded batteries'!$F$9:$AN$9,,MATCH('NPV calculation'!W$17,'Degraded batteries'!$F$7:$AN$7,0))
-
INDEX('Degraded batteries'!$F$9:$AN$9,,MATCH('NPV calculation'!W$17,'Degraded batteries'!$F$7:$AN$7,0)-1),
INDEX(Inputs!$E$42:$AM$44,MATCH($F$11,Inputs!$C$42:$C$44,0),MATCH(W$17,Inputs!$E$31:$AM$31,0)),
0)
),0)
* $K$8/$K$10</f>
        <v>-129.33606477994468</v>
      </c>
      <c r="X18" s="168" cm="1">
        <f t="array" ref="X18">-IF((X$17=$F$8-1),
INDEX(Inputs!$E$32:$AM$34,MATCH($F$11,Inputs!$C$32:$C$34,0),MATCH($F$8-1,Inputs!$E$31:$AM$31,0)),
0)
* $K$8/$K$10
-
IFERROR(
IF(INDEX('Degraded batteries'!$F$9:$AN$9,,MATCH('NPV calculation'!X$17,'Degraded batteries'!$F$7:$AN$7,0))=0,0,
IF(
INDEX('Degraded batteries'!$F$9:$AN$9,,MATCH('NPV calculation'!X$17,'Degraded batteries'!$F$7:$AN$7,0))
-
INDEX('Degraded batteries'!$F$9:$AN$9,,MATCH('NPV calculation'!X$17,'Degraded batteries'!$F$7:$AN$7,0)-1),
INDEX(Inputs!$E$42:$AM$44,MATCH($F$11,Inputs!$C$42:$C$44,0),MATCH(X$17,Inputs!$E$31:$AM$31,0)),
0)
),0)
* $K$8/$K$10</f>
        <v>0</v>
      </c>
      <c r="Y18" s="168" cm="1">
        <f t="array" ref="Y18">-IF((Y$17=$F$8-1),
INDEX(Inputs!$E$32:$AM$34,MATCH($F$11,Inputs!$C$32:$C$34,0),MATCH($F$8-1,Inputs!$E$31:$AM$31,0)),
0)
* $K$8/$K$10
-
IFERROR(
IF(INDEX('Degraded batteries'!$F$9:$AN$9,,MATCH('NPV calculation'!Y$17,'Degraded batteries'!$F$7:$AN$7,0))=0,0,
IF(
INDEX('Degraded batteries'!$F$9:$AN$9,,MATCH('NPV calculation'!Y$17,'Degraded batteries'!$F$7:$AN$7,0))
-
INDEX('Degraded batteries'!$F$9:$AN$9,,MATCH('NPV calculation'!Y$17,'Degraded batteries'!$F$7:$AN$7,0)-1),
INDEX(Inputs!$E$42:$AM$44,MATCH($F$11,Inputs!$C$42:$C$44,0),MATCH(Y$17,Inputs!$E$31:$AM$31,0)),
0)
),0)
* $K$8/$K$10</f>
        <v>0</v>
      </c>
      <c r="Z18" s="168" cm="1">
        <f t="array" ref="Z18">-IF((Z$17=$F$8-1),
INDEX(Inputs!$E$32:$AM$34,MATCH($F$11,Inputs!$C$32:$C$34,0),MATCH($F$8-1,Inputs!$E$31:$AM$31,0)),
0)
* $K$8/$K$10
-
IFERROR(
IF(INDEX('Degraded batteries'!$F$9:$AN$9,,MATCH('NPV calculation'!Z$17,'Degraded batteries'!$F$7:$AN$7,0))=0,0,
IF(
INDEX('Degraded batteries'!$F$9:$AN$9,,MATCH('NPV calculation'!Z$17,'Degraded batteries'!$F$7:$AN$7,0))
-
INDEX('Degraded batteries'!$F$9:$AN$9,,MATCH('NPV calculation'!Z$17,'Degraded batteries'!$F$7:$AN$7,0)-1),
INDEX(Inputs!$E$42:$AM$44,MATCH($F$11,Inputs!$C$42:$C$44,0),MATCH(Z$17,Inputs!$E$31:$AM$31,0)),
0)
),0)
* $K$8/$K$10</f>
        <v>0</v>
      </c>
      <c r="AA18" s="168" cm="1">
        <f t="array" ref="AA18">-IF((AA$17=$F$8-1),
INDEX(Inputs!$E$32:$AM$34,MATCH($F$11,Inputs!$C$32:$C$34,0),MATCH($F$8-1,Inputs!$E$31:$AM$31,0)),
0)
* $K$8/$K$10
-
IFERROR(
IF(INDEX('Degraded batteries'!$F$9:$AN$9,,MATCH('NPV calculation'!AA$17,'Degraded batteries'!$F$7:$AN$7,0))=0,0,
IF(
INDEX('Degraded batteries'!$F$9:$AN$9,,MATCH('NPV calculation'!AA$17,'Degraded batteries'!$F$7:$AN$7,0))
-
INDEX('Degraded batteries'!$F$9:$AN$9,,MATCH('NPV calculation'!AA$17,'Degraded batteries'!$F$7:$AN$7,0)-1),
INDEX(Inputs!$E$42:$AM$44,MATCH($F$11,Inputs!$C$42:$C$44,0),MATCH(AA$17,Inputs!$E$31:$AM$31,0)),
0)
),0)
* $K$8/$K$10</f>
        <v>0</v>
      </c>
      <c r="AB18" s="168" cm="1">
        <f t="array" ref="AB18">-IF((AB$17=$F$8-1),
INDEX(Inputs!$E$32:$AM$34,MATCH($F$11,Inputs!$C$32:$C$34,0),MATCH($F$8-1,Inputs!$E$31:$AM$31,0)),
0)
* $K$8/$K$10
-
IFERROR(
IF(INDEX('Degraded batteries'!$F$9:$AN$9,,MATCH('NPV calculation'!AB$17,'Degraded batteries'!$F$7:$AN$7,0))=0,0,
IF(
INDEX('Degraded batteries'!$F$9:$AN$9,,MATCH('NPV calculation'!AB$17,'Degraded batteries'!$F$7:$AN$7,0))
-
INDEX('Degraded batteries'!$F$9:$AN$9,,MATCH('NPV calculation'!AB$17,'Degraded batteries'!$F$7:$AN$7,0)-1),
INDEX(Inputs!$E$42:$AM$44,MATCH($F$11,Inputs!$C$42:$C$44,0),MATCH(AB$17,Inputs!$E$31:$AM$31,0)),
0)
),0)
* $K$8/$K$10</f>
        <v>0</v>
      </c>
      <c r="AC18" s="168" cm="1">
        <f t="array" ref="AC18">-IF((AC$17=$F$8-1),
INDEX(Inputs!$E$32:$AM$34,MATCH($F$11,Inputs!$C$32:$C$34,0),MATCH($F$8-1,Inputs!$E$31:$AM$31,0)),
0)
* $K$8/$K$10
-
IFERROR(
IF(INDEX('Degraded batteries'!$F$9:$AN$9,,MATCH('NPV calculation'!AC$17,'Degraded batteries'!$F$7:$AN$7,0))=0,0,
IF(
INDEX('Degraded batteries'!$F$9:$AN$9,,MATCH('NPV calculation'!AC$17,'Degraded batteries'!$F$7:$AN$7,0))
-
INDEX('Degraded batteries'!$F$9:$AN$9,,MATCH('NPV calculation'!AC$17,'Degraded batteries'!$F$7:$AN$7,0)-1),
INDEX(Inputs!$E$42:$AM$44,MATCH($F$11,Inputs!$C$42:$C$44,0),MATCH(AC$17,Inputs!$E$31:$AM$31,0)),
0)
),0)
* $K$8/$K$10</f>
        <v>0</v>
      </c>
      <c r="AD18" s="168" cm="1">
        <f t="array" ref="AD18">-IF((AD$17=$F$8-1),
INDEX(Inputs!$E$32:$AM$34,MATCH($F$11,Inputs!$C$32:$C$34,0),MATCH($F$8-1,Inputs!$E$31:$AM$31,0)),
0)
* $K$8/$K$10
-
IFERROR(
IF(INDEX('Degraded batteries'!$F$9:$AN$9,,MATCH('NPV calculation'!AD$17,'Degraded batteries'!$F$7:$AN$7,0))=0,0,
IF(
INDEX('Degraded batteries'!$F$9:$AN$9,,MATCH('NPV calculation'!AD$17,'Degraded batteries'!$F$7:$AN$7,0))
-
INDEX('Degraded batteries'!$F$9:$AN$9,,MATCH('NPV calculation'!AD$17,'Degraded batteries'!$F$7:$AN$7,0)-1),
INDEX(Inputs!$E$42:$AM$44,MATCH($F$11,Inputs!$C$42:$C$44,0),MATCH(AD$17,Inputs!$E$31:$AM$31,0)),
0)
),0)
* $K$8/$K$10</f>
        <v>0</v>
      </c>
      <c r="AE18" s="168" cm="1">
        <f t="array" ref="AE18">-IF((AE$17=$F$8-1),
INDEX(Inputs!$E$32:$AM$34,MATCH($F$11,Inputs!$C$32:$C$34,0),MATCH($F$8-1,Inputs!$E$31:$AM$31,0)),
0)
* $K$8/$K$10
-
IFERROR(
IF(INDEX('Degraded batteries'!$F$9:$AN$9,,MATCH('NPV calculation'!AE$17,'Degraded batteries'!$F$7:$AN$7,0))=0,0,
IF(
INDEX('Degraded batteries'!$F$9:$AN$9,,MATCH('NPV calculation'!AE$17,'Degraded batteries'!$F$7:$AN$7,0))
-
INDEX('Degraded batteries'!$F$9:$AN$9,,MATCH('NPV calculation'!AE$17,'Degraded batteries'!$F$7:$AN$7,0)-1),
INDEX(Inputs!$E$42:$AM$44,MATCH($F$11,Inputs!$C$42:$C$44,0),MATCH(AE$17,Inputs!$E$31:$AM$31,0)),
0)
),0)
* $K$8/$K$10</f>
        <v>0</v>
      </c>
      <c r="AF18" s="168" cm="1">
        <f t="array" ref="AF18">-IF((AF$17=$F$8-1),
INDEX(Inputs!$E$32:$AM$34,MATCH($F$11,Inputs!$C$32:$C$34,0),MATCH($F$8-1,Inputs!$E$31:$AM$31,0)),
0)
* $K$8/$K$10
-
IFERROR(
IF(INDEX('Degraded batteries'!$F$9:$AN$9,,MATCH('NPV calculation'!AF$17,'Degraded batteries'!$F$7:$AN$7,0))=0,0,
IF(
INDEX('Degraded batteries'!$F$9:$AN$9,,MATCH('NPV calculation'!AF$17,'Degraded batteries'!$F$7:$AN$7,0))
-
INDEX('Degraded batteries'!$F$9:$AN$9,,MATCH('NPV calculation'!AF$17,'Degraded batteries'!$F$7:$AN$7,0)-1),
INDEX(Inputs!$E$42:$AM$44,MATCH($F$11,Inputs!$C$42:$C$44,0),MATCH(AF$17,Inputs!$E$31:$AM$31,0)),
0)
),0)
* $K$8/$K$10</f>
        <v>0</v>
      </c>
      <c r="AG18" s="168" cm="1">
        <f t="array" ref="AG18">-IF((AG$17=$F$8-1),
INDEX(Inputs!$E$32:$AM$34,MATCH($F$11,Inputs!$C$32:$C$34,0),MATCH($F$8-1,Inputs!$E$31:$AM$31,0)),
0)
* $K$8/$K$10
-
IFERROR(
IF(INDEX('Degraded batteries'!$F$9:$AN$9,,MATCH('NPV calculation'!AG$17,'Degraded batteries'!$F$7:$AN$7,0))=0,0,
IF(
INDEX('Degraded batteries'!$F$9:$AN$9,,MATCH('NPV calculation'!AG$17,'Degraded batteries'!$F$7:$AN$7,0))
-
INDEX('Degraded batteries'!$F$9:$AN$9,,MATCH('NPV calculation'!AG$17,'Degraded batteries'!$F$7:$AN$7,0)-1),
INDEX(Inputs!$E$42:$AM$44,MATCH($F$11,Inputs!$C$42:$C$44,0),MATCH(AG$17,Inputs!$E$31:$AM$31,0)),
0)
),0)
* $K$8/$K$10</f>
        <v>0</v>
      </c>
      <c r="AH18" s="168" cm="1">
        <f t="array" ref="AH18">-IF((AH$17=$F$8-1),
INDEX(Inputs!$E$32:$AM$34,MATCH($F$11,Inputs!$C$32:$C$34,0),MATCH($F$8-1,Inputs!$E$31:$AM$31,0)),
0)
* $K$8/$K$10
-
IFERROR(
IF(INDEX('Degraded batteries'!$F$9:$AN$9,,MATCH('NPV calculation'!AH$17,'Degraded batteries'!$F$7:$AN$7,0))=0,0,
IF(
INDEX('Degraded batteries'!$F$9:$AN$9,,MATCH('NPV calculation'!AH$17,'Degraded batteries'!$F$7:$AN$7,0))
-
INDEX('Degraded batteries'!$F$9:$AN$9,,MATCH('NPV calculation'!AH$17,'Degraded batteries'!$F$7:$AN$7,0)-1),
INDEX(Inputs!$E$42:$AM$44,MATCH($F$11,Inputs!$C$42:$C$44,0),MATCH(AH$17,Inputs!$E$31:$AM$31,0)),
0)
),0)
* $K$8/$K$10</f>
        <v>0</v>
      </c>
      <c r="AI18" s="168" cm="1">
        <f t="array" ref="AI18">-IF((AI$17=$F$8-1),
INDEX(Inputs!$E$32:$AM$34,MATCH($F$11,Inputs!$C$32:$C$34,0),MATCH($F$8-1,Inputs!$E$31:$AM$31,0)),
0)
* $K$8/$K$10
-
IFERROR(
IF(INDEX('Degraded batteries'!$F$9:$AN$9,,MATCH('NPV calculation'!AI$17,'Degraded batteries'!$F$7:$AN$7,0))=0,0,
IF(
INDEX('Degraded batteries'!$F$9:$AN$9,,MATCH('NPV calculation'!AI$17,'Degraded batteries'!$F$7:$AN$7,0))
-
INDEX('Degraded batteries'!$F$9:$AN$9,,MATCH('NPV calculation'!AI$17,'Degraded batteries'!$F$7:$AN$7,0)-1),
INDEX(Inputs!$E$42:$AM$44,MATCH($F$11,Inputs!$C$42:$C$44,0),MATCH(AI$17,Inputs!$E$31:$AM$31,0)),
0)
),0)
* $K$8/$K$10</f>
        <v>0</v>
      </c>
      <c r="AJ18" s="168" cm="1">
        <f t="array" ref="AJ18">-IF((AJ$17=$F$8-1),
INDEX(Inputs!$E$32:$AM$34,MATCH($F$11,Inputs!$C$32:$C$34,0),MATCH($F$8-1,Inputs!$E$31:$AM$31,0)),
0)
* $K$8/$K$10
-
IFERROR(
IF(INDEX('Degraded batteries'!$F$9:$AN$9,,MATCH('NPV calculation'!AJ$17,'Degraded batteries'!$F$7:$AN$7,0))=0,0,
IF(
INDEX('Degraded batteries'!$F$9:$AN$9,,MATCH('NPV calculation'!AJ$17,'Degraded batteries'!$F$7:$AN$7,0))
-
INDEX('Degraded batteries'!$F$9:$AN$9,,MATCH('NPV calculation'!AJ$17,'Degraded batteries'!$F$7:$AN$7,0)-1),
INDEX(Inputs!$E$42:$AM$44,MATCH($F$11,Inputs!$C$42:$C$44,0),MATCH(AJ$17,Inputs!$E$31:$AM$31,0)),
0)
),0)
* $K$8/$K$10</f>
        <v>0</v>
      </c>
      <c r="AK18" s="168" cm="1">
        <f t="array" ref="AK18">-IF((AK$17=$F$8-1),
INDEX(Inputs!$E$32:$AM$34,MATCH($F$11,Inputs!$C$32:$C$34,0),MATCH($F$8-1,Inputs!$E$31:$AM$31,0)),
0)
* $K$8/$K$10
-
IFERROR(
IF(INDEX('Degraded batteries'!$F$9:$AN$9,,MATCH('NPV calculation'!AK$17,'Degraded batteries'!$F$7:$AN$7,0))=0,0,
IF(
INDEX('Degraded batteries'!$F$9:$AN$9,,MATCH('NPV calculation'!AK$17,'Degraded batteries'!$F$7:$AN$7,0))
-
INDEX('Degraded batteries'!$F$9:$AN$9,,MATCH('NPV calculation'!AK$17,'Degraded batteries'!$F$7:$AN$7,0)-1),
INDEX(Inputs!$E$42:$AM$44,MATCH($F$11,Inputs!$C$42:$C$44,0),MATCH(AK$17,Inputs!$E$31:$AM$31,0)),
0)
),0)
* $K$8/$K$10</f>
        <v>0</v>
      </c>
      <c r="AL18" s="168" cm="1">
        <f t="array" ref="AL18">-IF((AL$17=$F$8-1),
INDEX(Inputs!$E$32:$AM$34,MATCH($F$11,Inputs!$C$32:$C$34,0),MATCH($F$8-1,Inputs!$E$31:$AM$31,0)),
0)
* $K$8/$K$10
-
IFERROR(
IF(INDEX('Degraded batteries'!$F$9:$AN$9,,MATCH('NPV calculation'!AL$17,'Degraded batteries'!$F$7:$AN$7,0))=0,0,
IF(
INDEX('Degraded batteries'!$F$9:$AN$9,,MATCH('NPV calculation'!AL$17,'Degraded batteries'!$F$7:$AN$7,0))
-
INDEX('Degraded batteries'!$F$9:$AN$9,,MATCH('NPV calculation'!AL$17,'Degraded batteries'!$F$7:$AN$7,0)-1),
INDEX(Inputs!$E$42:$AM$44,MATCH($F$11,Inputs!$C$42:$C$44,0),MATCH(AL$17,Inputs!$E$31:$AM$31,0)),
0)
),0)
* $K$8/$K$10</f>
        <v>0</v>
      </c>
      <c r="AM18" s="168" cm="1">
        <f t="array" ref="AM18">-IF((AM$17=$F$8-1),
INDEX(Inputs!$E$32:$AM$34,MATCH($F$11,Inputs!$C$32:$C$34,0),MATCH($F$8-1,Inputs!$E$31:$AM$31,0)),
0)
* $K$8/$K$10
-
IFERROR(
IF(INDEX('Degraded batteries'!$F$9:$AN$9,,MATCH('NPV calculation'!AM$17,'Degraded batteries'!$F$7:$AN$7,0))=0,0,
IF(
INDEX('Degraded batteries'!$F$9:$AN$9,,MATCH('NPV calculation'!AM$17,'Degraded batteries'!$F$7:$AN$7,0))
-
INDEX('Degraded batteries'!$F$9:$AN$9,,MATCH('NPV calculation'!AM$17,'Degraded batteries'!$F$7:$AN$7,0)-1),
INDEX(Inputs!$E$42:$AM$44,MATCH($F$11,Inputs!$C$42:$C$44,0),MATCH(AM$17,Inputs!$E$31:$AM$31,0)),
0)
),0)
* $K$8/$K$10</f>
        <v>0</v>
      </c>
      <c r="AN18" s="168" cm="1">
        <f t="array" ref="AN18">-IF((AN$17=$F$8-1),
INDEX(Inputs!$E$32:$AM$34,MATCH($F$11,Inputs!$C$32:$C$34,0),MATCH($F$8-1,Inputs!$E$31:$AM$31,0)),
0)
* $K$8/$K$10
-
IFERROR(
IF(INDEX('Degraded batteries'!$F$9:$AN$9,,MATCH('NPV calculation'!AN$17,'Degraded batteries'!$F$7:$AN$7,0))=0,0,
IF(
INDEX('Degraded batteries'!$F$9:$AN$9,,MATCH('NPV calculation'!AN$17,'Degraded batteries'!$F$7:$AN$7,0))
-
INDEX('Degraded batteries'!$F$9:$AN$9,,MATCH('NPV calculation'!AN$17,'Degraded batteries'!$F$7:$AN$7,0)-1),
INDEX(Inputs!$E$42:$AM$44,MATCH($F$11,Inputs!$C$42:$C$44,0),MATCH(AN$17,Inputs!$E$31:$AM$31,0)),
0)
),0)
* $K$8/$K$10</f>
        <v>0</v>
      </c>
    </row>
    <row r="19" spans="1:41" x14ac:dyDescent="0.25">
      <c r="B19" s="198" t="s">
        <v>146</v>
      </c>
      <c r="C19" s="200">
        <f>Inputs!$E$97</f>
        <v>0.12</v>
      </c>
      <c r="D19" s="192" t="s">
        <v>242</v>
      </c>
      <c r="E19" s="155" cm="1">
        <f t="array" ref="E19">NPV($C19, INDEX(F19:AN19, MATCH(TRUE, F$29:AN$29&lt;&gt;0, 0)+1):AN19)+INDEX(F19:AN19, MATCH(TRUE, F$29:AN$29&lt;&gt;0, 0))</f>
        <v>-254.2951289607349</v>
      </c>
      <c r="F19" s="168">
        <f>-IF(
    AND(F$17 &gt;= $F$8, F$17 &lt; $F$8 + $F$13),
    INDEX(Inputs!$E$37:$AM$39,
          MATCH($F$11, Inputs!$C$37:$C$39, 0),
          MATCH($F$8, Inputs!$E$36:$AM$36, 0)
    ),
    0
) * $K$8 / $K$10</f>
        <v>0</v>
      </c>
      <c r="G19" s="168">
        <f>-IF(
    AND(G$17 &gt;= $F$8, G$17 &lt; $F$8 + $F$13),
    INDEX(Inputs!$E$37:$AM$39,
          MATCH($F$11, Inputs!$C$37:$C$39, 0),
          MATCH($F$8, Inputs!$E$36:$AM$36, 0)
    ),
    0
) * $K$8 / $K$10</f>
        <v>-31.176745136974404</v>
      </c>
      <c r="H19" s="168">
        <f>-IF(
    AND(H$17 &gt;= $F$8, H$17 &lt; $F$8 + $F$13),
    INDEX(Inputs!$E$37:$AM$39,
          MATCH($F$11, Inputs!$C$37:$C$39, 0),
          MATCH($F$8, Inputs!$E$36:$AM$36, 0)
    ),
    0
) * $K$8 / $K$10</f>
        <v>-31.176745136974404</v>
      </c>
      <c r="I19" s="168">
        <f>-IF(
    AND(I$17 &gt;= $F$8, I$17 &lt; $F$8 + $F$13),
    INDEX(Inputs!$E$37:$AM$39,
          MATCH($F$11, Inputs!$C$37:$C$39, 0),
          MATCH($F$8, Inputs!$E$36:$AM$36, 0)
    ),
    0
) * $K$8 / $K$10</f>
        <v>-31.176745136974404</v>
      </c>
      <c r="J19" s="168">
        <f>-IF(
    AND(J$17 &gt;= $F$8, J$17 &lt; $F$8 + $F$13),
    INDEX(Inputs!$E$37:$AM$39,
          MATCH($F$11, Inputs!$C$37:$C$39, 0),
          MATCH($F$8, Inputs!$E$36:$AM$36, 0)
    ),
    0
) * $K$8 / $K$10</f>
        <v>-31.176745136974404</v>
      </c>
      <c r="K19" s="168">
        <f>-IF(
    AND(K$17 &gt;= $F$8, K$17 &lt; $F$8 + $F$13),
    INDEX(Inputs!$E$37:$AM$39,
          MATCH($F$11, Inputs!$C$37:$C$39, 0),
          MATCH($F$8, Inputs!$E$36:$AM$36, 0)
    ),
    0
) * $K$8 / $K$10</f>
        <v>-31.176745136974404</v>
      </c>
      <c r="L19" s="168">
        <f>-IF(
    AND(L$17 &gt;= $F$8, L$17 &lt; $F$8 + $F$13),
    INDEX(Inputs!$E$37:$AM$39,
          MATCH($F$11, Inputs!$C$37:$C$39, 0),
          MATCH($F$8, Inputs!$E$36:$AM$36, 0)
    ),
    0
) * $K$8 / $K$10</f>
        <v>-31.176745136974404</v>
      </c>
      <c r="M19" s="168">
        <f>-IF(
    AND(M$17 &gt;= $F$8, M$17 &lt; $F$8 + $F$13),
    INDEX(Inputs!$E$37:$AM$39,
          MATCH($F$11, Inputs!$C$37:$C$39, 0),
          MATCH($F$8, Inputs!$E$36:$AM$36, 0)
    ),
    0
) * $K$8 / $K$10</f>
        <v>-31.176745136974404</v>
      </c>
      <c r="N19" s="168">
        <f>-IF(
    AND(N$17 &gt;= $F$8, N$17 &lt; $F$8 + $F$13),
    INDEX(Inputs!$E$37:$AM$39,
          MATCH($F$11, Inputs!$C$37:$C$39, 0),
          MATCH($F$8, Inputs!$E$36:$AM$36, 0)
    ),
    0
) * $K$8 / $K$10</f>
        <v>-31.176745136974404</v>
      </c>
      <c r="O19" s="168">
        <f>-IF(
    AND(O$17 &gt;= $F$8, O$17 &lt; $F$8 + $F$13),
    INDEX(Inputs!$E$37:$AM$39,
          MATCH($F$11, Inputs!$C$37:$C$39, 0),
          MATCH($F$8, Inputs!$E$36:$AM$36, 0)
    ),
    0
) * $K$8 / $K$10</f>
        <v>-31.176745136974404</v>
      </c>
      <c r="P19" s="168">
        <f>-IF(
    AND(P$17 &gt;= $F$8, P$17 &lt; $F$8 + $F$13),
    INDEX(Inputs!$E$37:$AM$39,
          MATCH($F$11, Inputs!$C$37:$C$39, 0),
          MATCH($F$8, Inputs!$E$36:$AM$36, 0)
    ),
    0
) * $K$8 / $K$10</f>
        <v>-31.176745136974404</v>
      </c>
      <c r="Q19" s="168">
        <f>-IF(
    AND(Q$17 &gt;= $F$8, Q$17 &lt; $F$8 + $F$13),
    INDEX(Inputs!$E$37:$AM$39,
          MATCH($F$11, Inputs!$C$37:$C$39, 0),
          MATCH($F$8, Inputs!$E$36:$AM$36, 0)
    ),
    0
) * $K$8 / $K$10</f>
        <v>-31.176745136974404</v>
      </c>
      <c r="R19" s="168">
        <f>-IF(
    AND(R$17 &gt;= $F$8, R$17 &lt; $F$8 + $F$13),
    INDEX(Inputs!$E$37:$AM$39,
          MATCH($F$11, Inputs!$C$37:$C$39, 0),
          MATCH($F$8, Inputs!$E$36:$AM$36, 0)
    ),
    0
) * $K$8 / $K$10</f>
        <v>-31.176745136974404</v>
      </c>
      <c r="S19" s="168">
        <f>-IF(
    AND(S$17 &gt;= $F$8, S$17 &lt; $F$8 + $F$13),
    INDEX(Inputs!$E$37:$AM$39,
          MATCH($F$11, Inputs!$C$37:$C$39, 0),
          MATCH($F$8, Inputs!$E$36:$AM$36, 0)
    ),
    0
) * $K$8 / $K$10</f>
        <v>-31.176745136974404</v>
      </c>
      <c r="T19" s="168">
        <f>-IF(
    AND(T$17 &gt;= $F$8, T$17 &lt; $F$8 + $F$13),
    INDEX(Inputs!$E$37:$AM$39,
          MATCH($F$11, Inputs!$C$37:$C$39, 0),
          MATCH($F$8, Inputs!$E$36:$AM$36, 0)
    ),
    0
) * $K$8 / $K$10</f>
        <v>-31.176745136974404</v>
      </c>
      <c r="U19" s="168">
        <f>-IF(
    AND(U$17 &gt;= $F$8, U$17 &lt; $F$8 + $F$13),
    INDEX(Inputs!$E$37:$AM$39,
          MATCH($F$11, Inputs!$C$37:$C$39, 0),
          MATCH($F$8, Inputs!$E$36:$AM$36, 0)
    ),
    0
) * $K$8 / $K$10</f>
        <v>-31.176745136974404</v>
      </c>
      <c r="V19" s="168">
        <f>-IF(
    AND(V$17 &gt;= $F$8, V$17 &lt; $F$8 + $F$13),
    INDEX(Inputs!$E$37:$AM$39,
          MATCH($F$11, Inputs!$C$37:$C$39, 0),
          MATCH($F$8, Inputs!$E$36:$AM$36, 0)
    ),
    0
) * $K$8 / $K$10</f>
        <v>-31.176745136974404</v>
      </c>
      <c r="W19" s="168">
        <f>-IF(
    AND(W$17 &gt;= $F$8, W$17 &lt; $F$8 + $F$13),
    INDEX(Inputs!$E$37:$AM$39,
          MATCH($F$11, Inputs!$C$37:$C$39, 0),
          MATCH($F$8, Inputs!$E$36:$AM$36, 0)
    ),
    0
) * $K$8 / $K$10</f>
        <v>-31.176745136974404</v>
      </c>
      <c r="X19" s="168">
        <f>-IF(
    AND(X$17 &gt;= $F$8, X$17 &lt; $F$8 + $F$13),
    INDEX(Inputs!$E$37:$AM$39,
          MATCH($F$11, Inputs!$C$37:$C$39, 0),
          MATCH($F$8, Inputs!$E$36:$AM$36, 0)
    ),
    0
) * $K$8 / $K$10</f>
        <v>-31.176745136974404</v>
      </c>
      <c r="Y19" s="168">
        <f>-IF(
    AND(Y$17 &gt;= $F$8, Y$17 &lt; $F$8 + $F$13),
    INDEX(Inputs!$E$37:$AM$39,
          MATCH($F$11, Inputs!$C$37:$C$39, 0),
          MATCH($F$8, Inputs!$E$36:$AM$36, 0)
    ),
    0
) * $K$8 / $K$10</f>
        <v>-31.176745136974404</v>
      </c>
      <c r="Z19" s="168">
        <f>-IF(
    AND(Z$17 &gt;= $F$8, Z$17 &lt; $F$8 + $F$13),
    INDEX(Inputs!$E$37:$AM$39,
          MATCH($F$11, Inputs!$C$37:$C$39, 0),
          MATCH($F$8, Inputs!$E$36:$AM$36, 0)
    ),
    0
) * $K$8 / $K$10</f>
        <v>-31.176745136974404</v>
      </c>
      <c r="AA19" s="168">
        <f>-IF(
    AND(AA$17 &gt;= $F$8, AA$17 &lt; $F$8 + $F$13),
    INDEX(Inputs!$E$37:$AM$39,
          MATCH($F$11, Inputs!$C$37:$C$39, 0),
          MATCH($F$8, Inputs!$E$36:$AM$36, 0)
    ),
    0
) * $K$8 / $K$10</f>
        <v>-31.176745136974404</v>
      </c>
      <c r="AB19" s="168">
        <f>-IF(
    AND(AB$17 &gt;= $F$8, AB$17 &lt; $F$8 + $F$13),
    INDEX(Inputs!$E$37:$AM$39,
          MATCH($F$11, Inputs!$C$37:$C$39, 0),
          MATCH($F$8, Inputs!$E$36:$AM$36, 0)
    ),
    0
) * $K$8 / $K$10</f>
        <v>-31.176745136974404</v>
      </c>
      <c r="AC19" s="168">
        <f>-IF(
    AND(AC$17 &gt;= $F$8, AC$17 &lt; $F$8 + $F$13),
    INDEX(Inputs!$E$37:$AM$39,
          MATCH($F$11, Inputs!$C$37:$C$39, 0),
          MATCH($F$8, Inputs!$E$36:$AM$36, 0)
    ),
    0
) * $K$8 / $K$10</f>
        <v>-31.176745136974404</v>
      </c>
      <c r="AD19" s="168">
        <f>-IF(
    AND(AD$17 &gt;= $F$8, AD$17 &lt; $F$8 + $F$13),
    INDEX(Inputs!$E$37:$AM$39,
          MATCH($F$11, Inputs!$C$37:$C$39, 0),
          MATCH($F$8, Inputs!$E$36:$AM$36, 0)
    ),
    0
) * $K$8 / $K$10</f>
        <v>-31.176745136974404</v>
      </c>
      <c r="AE19" s="168">
        <f>-IF(
    AND(AE$17 &gt;= $F$8, AE$17 &lt; $F$8 + $F$13),
    INDEX(Inputs!$E$37:$AM$39,
          MATCH($F$11, Inputs!$C$37:$C$39, 0),
          MATCH($F$8, Inputs!$E$36:$AM$36, 0)
    ),
    0
) * $K$8 / $K$10</f>
        <v>-31.176745136974404</v>
      </c>
      <c r="AF19" s="168">
        <f>-IF(
    AND(AF$17 &gt;= $F$8, AF$17 &lt; $F$8 + $F$13),
    INDEX(Inputs!$E$37:$AM$39,
          MATCH($F$11, Inputs!$C$37:$C$39, 0),
          MATCH($F$8, Inputs!$E$36:$AM$36, 0)
    ),
    0
) * $K$8 / $K$10</f>
        <v>-31.176745136974404</v>
      </c>
      <c r="AG19" s="168">
        <f>-IF(
    AND(AG$17 &gt;= $F$8, AG$17 &lt; $F$8 + $F$13),
    INDEX(Inputs!$E$37:$AM$39,
          MATCH($F$11, Inputs!$C$37:$C$39, 0),
          MATCH($F$8, Inputs!$E$36:$AM$36, 0)
    ),
    0
) * $K$8 / $K$10</f>
        <v>-31.176745136974404</v>
      </c>
      <c r="AH19" s="168">
        <f>-IF(
    AND(AH$17 &gt;= $F$8, AH$17 &lt; $F$8 + $F$13),
    INDEX(Inputs!$E$37:$AM$39,
          MATCH($F$11, Inputs!$C$37:$C$39, 0),
          MATCH($F$8, Inputs!$E$36:$AM$36, 0)
    ),
    0
) * $K$8 / $K$10</f>
        <v>-31.176745136974404</v>
      </c>
      <c r="AI19" s="168">
        <f>-IF(
    AND(AI$17 &gt;= $F$8, AI$17 &lt; $F$8 + $F$13),
    INDEX(Inputs!$E$37:$AM$39,
          MATCH($F$11, Inputs!$C$37:$C$39, 0),
          MATCH($F$8, Inputs!$E$36:$AM$36, 0)
    ),
    0
) * $K$8 / $K$10</f>
        <v>-31.176745136974404</v>
      </c>
      <c r="AJ19" s="168">
        <f>-IF(
    AND(AJ$17 &gt;= $F$8, AJ$17 &lt; $F$8 + $F$13),
    INDEX(Inputs!$E$37:$AM$39,
          MATCH($F$11, Inputs!$C$37:$C$39, 0),
          MATCH($F$8, Inputs!$E$36:$AM$36, 0)
    ),
    0
) * $K$8 / $K$10</f>
        <v>-31.176745136974404</v>
      </c>
      <c r="AK19" s="168">
        <f>-IF(
    AND(AK$17 &gt;= $F$8, AK$17 &lt; $F$8 + $F$13),
    INDEX(Inputs!$E$37:$AM$39,
          MATCH($F$11, Inputs!$C$37:$C$39, 0),
          MATCH($F$8, Inputs!$E$36:$AM$36, 0)
    ),
    0
) * $K$8 / $K$10</f>
        <v>-31.176745136974404</v>
      </c>
      <c r="AL19" s="168">
        <f>-IF(
    AND(AL$17 &gt;= $F$8, AL$17 &lt; $F$8 + $F$13),
    INDEX(Inputs!$E$37:$AM$39,
          MATCH($F$11, Inputs!$C$37:$C$39, 0),
          MATCH($F$8, Inputs!$E$36:$AM$36, 0)
    ),
    0
) * $K$8 / $K$10</f>
        <v>-31.176745136974404</v>
      </c>
      <c r="AM19" s="168">
        <f>-IF(
    AND(AM$17 &gt;= $F$8, AM$17 &lt; $F$8 + $F$13),
    INDEX(Inputs!$E$37:$AM$39,
          MATCH($F$11, Inputs!$C$37:$C$39, 0),
          MATCH($F$8, Inputs!$E$36:$AM$36, 0)
    ),
    0
) * $K$8 / $K$10</f>
        <v>-31.176745136974404</v>
      </c>
      <c r="AN19" s="168">
        <f>-IF(
    AND(AN$17 &gt;= $F$8, AN$17 &lt; $F$8 + $F$13),
    INDEX(Inputs!$E$37:$AM$39,
          MATCH($F$11, Inputs!$C$37:$C$39, 0),
          MATCH($F$8, Inputs!$E$36:$AM$36, 0)
    ),
    0
) * $K$8 / $K$10</f>
        <v>-31.176745136974404</v>
      </c>
    </row>
    <row r="20" spans="1:41" x14ac:dyDescent="0.25">
      <c r="B20" s="198" t="s">
        <v>150</v>
      </c>
      <c r="C20" s="200">
        <f>Inputs!$E$97</f>
        <v>0.12</v>
      </c>
      <c r="D20" s="192" t="s">
        <v>242</v>
      </c>
      <c r="E20" s="155" cm="1">
        <f t="array" ref="E20">NPV($C20, INDEX(F20:AN20, MATCH(TRUE, F$29:AN$29&lt;&gt;0, 0)+1):AN20)+INDEX(F20:AN20, MATCH(TRUE, F$29:AN$29&lt;&gt;0, 0))</f>
        <v>2.2647740296152357</v>
      </c>
      <c r="F20" s="168">
        <f>IF(
    F$17 = $F$8 + MAX($F$13, $F$14) - 1,
    INDEX(
        Inputs!$E$47:$AM$49,
        MATCH($F$11, Inputs!$C$47:$C$49, 0),
        MATCH($F$8 + MAX($F$13, $F$14) - 1, Inputs!$E$46:$AM$46, 0)
    ),
    0
) * $K$8 / $K$10</f>
        <v>0</v>
      </c>
      <c r="G20" s="168">
        <f>IF(
    G$17 = $F$8 + MAX($F$13, $F$14) - 1,
    INDEX(
        Inputs!$E$47:$AM$49,
        MATCH($F$11, Inputs!$C$47:$C$49, 0),
        MATCH($F$8 + MAX($F$13, $F$14) - 1, Inputs!$E$46:$AM$46, 0)
    ),
    0
) * $K$8 / $K$10</f>
        <v>0</v>
      </c>
      <c r="H20" s="168">
        <f>IF(
    H$17 = $F$8 + MAX($F$13, $F$14) - 1,
    INDEX(
        Inputs!$E$47:$AM$49,
        MATCH($F$11, Inputs!$C$47:$C$49, 0),
        MATCH($F$8 + MAX($F$13, $F$14) - 1, Inputs!$E$46:$AM$46, 0)
    ),
    0
) * $K$8 / $K$10</f>
        <v>0</v>
      </c>
      <c r="I20" s="168">
        <f>IF(
    I$17 = $F$8 + MAX($F$13, $F$14) - 1,
    INDEX(
        Inputs!$E$47:$AM$49,
        MATCH($F$11, Inputs!$C$47:$C$49, 0),
        MATCH($F$8 + MAX($F$13, $F$14) - 1, Inputs!$E$46:$AM$46, 0)
    ),
    0
) * $K$8 / $K$10</f>
        <v>0</v>
      </c>
      <c r="J20" s="168">
        <f>IF(
    J$17 = $F$8 + MAX($F$13, $F$14) - 1,
    INDEX(
        Inputs!$E$47:$AM$49,
        MATCH($F$11, Inputs!$C$47:$C$49, 0),
        MATCH($F$8 + MAX($F$13, $F$14) - 1, Inputs!$E$46:$AM$46, 0)
    ),
    0
) * $K$8 / $K$10</f>
        <v>0</v>
      </c>
      <c r="K20" s="168">
        <f>IF(
    K$17 = $F$8 + MAX($F$13, $F$14) - 1,
    INDEX(
        Inputs!$E$47:$AM$49,
        MATCH($F$11, Inputs!$C$47:$C$49, 0),
        MATCH($F$8 + MAX($F$13, $F$14) - 1, Inputs!$E$46:$AM$46, 0)
    ),
    0
) * $K$8 / $K$10</f>
        <v>0</v>
      </c>
      <c r="L20" s="168">
        <f>IF(
    L$17 = $F$8 + MAX($F$13, $F$14) - 1,
    INDEX(
        Inputs!$E$47:$AM$49,
        MATCH($F$11, Inputs!$C$47:$C$49, 0),
        MATCH($F$8 + MAX($F$13, $F$14) - 1, Inputs!$E$46:$AM$46, 0)
    ),
    0
) * $K$8 / $K$10</f>
        <v>0</v>
      </c>
      <c r="M20" s="168">
        <f>IF(
    M$17 = $F$8 + MAX($F$13, $F$14) - 1,
    INDEX(
        Inputs!$E$47:$AM$49,
        MATCH($F$11, Inputs!$C$47:$C$49, 0),
        MATCH($F$8 + MAX($F$13, $F$14) - 1, Inputs!$E$46:$AM$46, 0)
    ),
    0
) * $K$8 / $K$10</f>
        <v>0</v>
      </c>
      <c r="N20" s="168">
        <f>IF(
    N$17 = $F$8 + MAX($F$13, $F$14) - 1,
    INDEX(
        Inputs!$E$47:$AM$49,
        MATCH($F$11, Inputs!$C$47:$C$49, 0),
        MATCH($F$8 + MAX($F$13, $F$14) - 1, Inputs!$E$46:$AM$46, 0)
    ),
    0
) * $K$8 / $K$10</f>
        <v>0</v>
      </c>
      <c r="O20" s="168">
        <f>IF(
    O$17 = $F$8 + MAX($F$13, $F$14) - 1,
    INDEX(
        Inputs!$E$47:$AM$49,
        MATCH($F$11, Inputs!$C$47:$C$49, 0),
        MATCH($F$8 + MAX($F$13, $F$14) - 1, Inputs!$E$46:$AM$46, 0)
    ),
    0
) * $K$8 / $K$10</f>
        <v>0</v>
      </c>
      <c r="P20" s="168">
        <f>IF(
    P$17 = $F$8 + MAX($F$13, $F$14) - 1,
    INDEX(
        Inputs!$E$47:$AM$49,
        MATCH($F$11, Inputs!$C$47:$C$49, 0),
        MATCH($F$8 + MAX($F$13, $F$14) - 1, Inputs!$E$46:$AM$46, 0)
    ),
    0
) * $K$8 / $K$10</f>
        <v>0</v>
      </c>
      <c r="Q20" s="168">
        <f>IF(
    Q$17 = $F$8 + MAX($F$13, $F$14) - 1,
    INDEX(
        Inputs!$E$47:$AM$49,
        MATCH($F$11, Inputs!$C$47:$C$49, 0),
        MATCH($F$8 + MAX($F$13, $F$14) - 1, Inputs!$E$46:$AM$46, 0)
    ),
    0
) * $K$8 / $K$10</f>
        <v>0</v>
      </c>
      <c r="R20" s="168">
        <f>IF(
    R$17 = $F$8 + MAX($F$13, $F$14) - 1,
    INDEX(
        Inputs!$E$47:$AM$49,
        MATCH($F$11, Inputs!$C$47:$C$49, 0),
        MATCH($F$8 + MAX($F$13, $F$14) - 1, Inputs!$E$46:$AM$46, 0)
    ),
    0
) * $K$8 / $K$10</f>
        <v>0</v>
      </c>
      <c r="S20" s="168">
        <f>IF(
    S$17 = $F$8 + MAX($F$13, $F$14) - 1,
    INDEX(
        Inputs!$E$47:$AM$49,
        MATCH($F$11, Inputs!$C$47:$C$49, 0),
        MATCH($F$8 + MAX($F$13, $F$14) - 1, Inputs!$E$46:$AM$46, 0)
    ),
    0
) * $K$8 / $K$10</f>
        <v>0</v>
      </c>
      <c r="T20" s="168">
        <f>IF(
    T$17 = $F$8 + MAX($F$13, $F$14) - 1,
    INDEX(
        Inputs!$E$47:$AM$49,
        MATCH($F$11, Inputs!$C$47:$C$49, 0),
        MATCH($F$8 + MAX($F$13, $F$14) - 1, Inputs!$E$46:$AM$46, 0)
    ),
    0
) * $K$8 / $K$10</f>
        <v>0</v>
      </c>
      <c r="U20" s="168">
        <f>IF(
    U$17 = $F$8 + MAX($F$13, $F$14) - 1,
    INDEX(
        Inputs!$E$47:$AM$49,
        MATCH($F$11, Inputs!$C$47:$C$49, 0),
        MATCH($F$8 + MAX($F$13, $F$14) - 1, Inputs!$E$46:$AM$46, 0)
    ),
    0
) * $K$8 / $K$10</f>
        <v>0</v>
      </c>
      <c r="V20" s="168">
        <f>IF(
    V$17 = $F$8 + MAX($F$13, $F$14) - 1,
    INDEX(
        Inputs!$E$47:$AM$49,
        MATCH($F$11, Inputs!$C$47:$C$49, 0),
        MATCH($F$8 + MAX($F$13, $F$14) - 1, Inputs!$E$46:$AM$46, 0)
    ),
    0
) * $K$8 / $K$10</f>
        <v>0</v>
      </c>
      <c r="W20" s="168">
        <f>IF(
    W$17 = $F$8 + MAX($F$13, $F$14) - 1,
    INDEX(
        Inputs!$E$47:$AM$49,
        MATCH($F$11, Inputs!$C$47:$C$49, 0),
        MATCH($F$8 + MAX($F$13, $F$14) - 1, Inputs!$E$46:$AM$46, 0)
    ),
    0
) * $K$8 / $K$10</f>
        <v>0</v>
      </c>
      <c r="X20" s="168">
        <f>IF(
    X$17 = $F$8 + MAX($F$13, $F$14) - 1,
    INDEX(
        Inputs!$E$47:$AM$49,
        MATCH($F$11, Inputs!$C$47:$C$49, 0),
        MATCH($F$8 + MAX($F$13, $F$14) - 1, Inputs!$E$46:$AM$46, 0)
    ),
    0
) * $K$8 / $K$10</f>
        <v>0</v>
      </c>
      <c r="Y20" s="168">
        <f>IF(
    Y$17 = $F$8 + MAX($F$13, $F$14) - 1,
    INDEX(
        Inputs!$E$47:$AM$49,
        MATCH($F$11, Inputs!$C$47:$C$49, 0),
        MATCH($F$8 + MAX($F$13, $F$14) - 1, Inputs!$E$46:$AM$46, 0)
    ),
    0
) * $K$8 / $K$10</f>
        <v>0</v>
      </c>
      <c r="Z20" s="168">
        <f>IF(
    Z$17 = $F$8 + MAX($F$13, $F$14) - 1,
    INDEX(
        Inputs!$E$47:$AM$49,
        MATCH($F$11, Inputs!$C$47:$C$49, 0),
        MATCH($F$8 + MAX($F$13, $F$14) - 1, Inputs!$E$46:$AM$46, 0)
    ),
    0
) * $K$8 / $K$10</f>
        <v>0</v>
      </c>
      <c r="AA20" s="168">
        <f>IF(
    AA$17 = $F$8 + MAX($F$13, $F$14) - 1,
    INDEX(
        Inputs!$E$47:$AM$49,
        MATCH($F$11, Inputs!$C$47:$C$49, 0),
        MATCH($F$8 + MAX($F$13, $F$14) - 1, Inputs!$E$46:$AM$46, 0)
    ),
    0
) * $K$8 / $K$10</f>
        <v>0</v>
      </c>
      <c r="AB20" s="168">
        <f>IF(
    AB$17 = $F$8 + MAX($F$13, $F$14) - 1,
    INDEX(
        Inputs!$E$47:$AM$49,
        MATCH($F$11, Inputs!$C$47:$C$49, 0),
        MATCH($F$8 + MAX($F$13, $F$14) - 1, Inputs!$E$46:$AM$46, 0)
    ),
    0
) * $K$8 / $K$10</f>
        <v>0</v>
      </c>
      <c r="AC20" s="168">
        <f>IF(
    AC$17 = $F$8 + MAX($F$13, $F$14) - 1,
    INDEX(
        Inputs!$E$47:$AM$49,
        MATCH($F$11, Inputs!$C$47:$C$49, 0),
        MATCH($F$8 + MAX($F$13, $F$14) - 1, Inputs!$E$46:$AM$46, 0)
    ),
    0
) * $K$8 / $K$10</f>
        <v>0</v>
      </c>
      <c r="AD20" s="168">
        <f>IF(
    AD$17 = $F$8 + MAX($F$13, $F$14) - 1,
    INDEX(
        Inputs!$E$47:$AM$49,
        MATCH($F$11, Inputs!$C$47:$C$49, 0),
        MATCH($F$8 + MAX($F$13, $F$14) - 1, Inputs!$E$46:$AM$46, 0)
    ),
    0
) * $K$8 / $K$10</f>
        <v>0</v>
      </c>
      <c r="AE20" s="168">
        <f>IF(
    AE$17 = $F$8 + MAX($F$13, $F$14) - 1,
    INDEX(
        Inputs!$E$47:$AM$49,
        MATCH($F$11, Inputs!$C$47:$C$49, 0),
        MATCH($F$8 + MAX($F$13, $F$14) - 1, Inputs!$E$46:$AM$46, 0)
    ),
    0
) * $K$8 / $K$10</f>
        <v>0</v>
      </c>
      <c r="AF20" s="168">
        <f>IF(
    AF$17 = $F$8 + MAX($F$13, $F$14) - 1,
    INDEX(
        Inputs!$E$47:$AM$49,
        MATCH($F$11, Inputs!$C$47:$C$49, 0),
        MATCH($F$8 + MAX($F$13, $F$14) - 1, Inputs!$E$46:$AM$46, 0)
    ),
    0
) * $K$8 / $K$10</f>
        <v>0</v>
      </c>
      <c r="AG20" s="168">
        <f>IF(
    AG$17 = $F$8 + MAX($F$13, $F$14) - 1,
    INDEX(
        Inputs!$E$47:$AM$49,
        MATCH($F$11, Inputs!$C$47:$C$49, 0),
        MATCH($F$8 + MAX($F$13, $F$14) - 1, Inputs!$E$46:$AM$46, 0)
    ),
    0
) * $K$8 / $K$10</f>
        <v>0</v>
      </c>
      <c r="AH20" s="168">
        <f>IF(
    AH$17 = $F$8 + MAX($F$13, $F$14) - 1,
    INDEX(
        Inputs!$E$47:$AM$49,
        MATCH($F$11, Inputs!$C$47:$C$49, 0),
        MATCH($F$8 + MAX($F$13, $F$14) - 1, Inputs!$E$46:$AM$46, 0)
    ),
    0
) * $K$8 / $K$10</f>
        <v>0</v>
      </c>
      <c r="AI20" s="168">
        <f>IF(
    AI$17 = $F$8 + MAX($F$13, $F$14) - 1,
    INDEX(
        Inputs!$E$47:$AM$49,
        MATCH($F$11, Inputs!$C$47:$C$49, 0),
        MATCH($F$8 + MAX($F$13, $F$14) - 1, Inputs!$E$46:$AM$46, 0)
    ),
    0
) * $K$8 / $K$10</f>
        <v>0</v>
      </c>
      <c r="AJ20" s="168">
        <f>IF(
    AJ$17 = $F$8 + MAX($F$13, $F$14) - 1,
    INDEX(
        Inputs!$E$47:$AM$49,
        MATCH($F$11, Inputs!$C$47:$C$49, 0),
        MATCH($F$8 + MAX($F$13, $F$14) - 1, Inputs!$E$46:$AM$46, 0)
    ),
    0
) * $K$8 / $K$10</f>
        <v>0</v>
      </c>
      <c r="AK20" s="168">
        <f>IF(
    AK$17 = $F$8 + MAX($F$13, $F$14) - 1,
    INDEX(
        Inputs!$E$47:$AM$49,
        MATCH($F$11, Inputs!$C$47:$C$49, 0),
        MATCH($F$8 + MAX($F$13, $F$14) - 1, Inputs!$E$46:$AM$46, 0)
    ),
    0
) * $K$8 / $K$10</f>
        <v>0</v>
      </c>
      <c r="AL20" s="168">
        <f>IF(
    AL$17 = $F$8 + MAX($F$13, $F$14) - 1,
    INDEX(
        Inputs!$E$47:$AM$49,
        MATCH($F$11, Inputs!$C$47:$C$49, 0),
        MATCH($F$8 + MAX($F$13, $F$14) - 1, Inputs!$E$46:$AM$46, 0)
    ),
    0
) * $K$8 / $K$10</f>
        <v>0</v>
      </c>
      <c r="AM20" s="168">
        <f>IF(
    AM$17 = $F$8 + MAX($F$13, $F$14) - 1,
    INDEX(
        Inputs!$E$47:$AM$49,
        MATCH($F$11, Inputs!$C$47:$C$49, 0),
        MATCH($F$8 + MAX($F$13, $F$14) - 1, Inputs!$E$46:$AM$46, 0)
    ),
    0
) * $K$8 / $K$10</f>
        <v>0</v>
      </c>
      <c r="AN20" s="168">
        <f>IF(
    AN$17 = $F$8 + MAX($F$13, $F$14) - 1,
    INDEX(
        Inputs!$E$47:$AM$49,
        MATCH($F$11, Inputs!$C$47:$C$49, 0),
        MATCH($F$8 + MAX($F$13, $F$14) - 1, Inputs!$E$46:$AM$46, 0)
    ),
    0
) * $K$8 / $K$10</f>
        <v>106.76714928243466</v>
      </c>
    </row>
    <row r="21" spans="1:41" x14ac:dyDescent="0.25">
      <c r="B21" s="198" t="s">
        <v>352</v>
      </c>
      <c r="C21" s="200">
        <f>Inputs!$E$97</f>
        <v>0.12</v>
      </c>
      <c r="D21" s="192" t="s">
        <v>242</v>
      </c>
      <c r="E21" s="155" cm="1">
        <f t="array" ref="E21">NPV($C21, INDEX(F21:AN21, MATCH(TRUE, F$29:AN$29&lt;&gt;0, 0)+1):AN21)+INDEX(F21:AN21, MATCH(TRUE, F$29:AN$29&lt;&gt;0, 0))</f>
        <v>661.71640494704832</v>
      </c>
      <c r="F21" s="168" cm="1">
        <f t="array" ref="F21">IF(F$17&gt;=INDEX('Degraded batteries'!$F:$F,Control!$B$31-1),
INDEX(
    INDEX('Degraded batteries'!$F:$F,Control!$B$31):INDEX('Degraded batteries'!$AO:$AO,Control!$B$32),
    MATCH(
        'NPV calculation'!$B21,
        INDEX('Degraded batteries'!$D:$D,Control!$B$31):INDEX('Degraded batteries'!$D:$D,Control!$B$32),
        0
    ),
    MATCH(
        'NPV calculation'!F$17,
        INDEX('Degraded batteries'!$F:$F,Control!$B$31-1):INDEX('Degraded batteries'!$AO:$AO,Control!$B$31-1),
        0
    )
) * $K$8 / $K$10,0)</f>
        <v>0</v>
      </c>
      <c r="G21" s="168" cm="1">
        <f t="array" ref="G21">IF(G$17&gt;=INDEX('Degraded batteries'!$F:$F,Control!$B$31-1),
INDEX(
    INDEX('Degraded batteries'!$F:$F,Control!$B$31):INDEX('Degraded batteries'!$AO:$AO,Control!$B$32),
    MATCH(
        'NPV calculation'!$B21,
        INDEX('Degraded batteries'!$D:$D,Control!$B$31):INDEX('Degraded batteries'!$D:$D,Control!$B$32),
        0
    ),
    MATCH(
        'NPV calculation'!G$17,
        INDEX('Degraded batteries'!$F:$F,Control!$B$31-1):INDEX('Degraded batteries'!$AO:$AO,Control!$B$31-1),
        0
    )
) * $K$8 / $K$10,0)</f>
        <v>146.22802559492101</v>
      </c>
      <c r="H21" s="168" cm="1">
        <f t="array" ref="H21">IF(H$17&gt;=INDEX('Degraded batteries'!$F:$F,Control!$B$31-1),
INDEX(
    INDEX('Degraded batteries'!$F:$F,Control!$B$31):INDEX('Degraded batteries'!$AO:$AO,Control!$B$32),
    MATCH(
        'NPV calculation'!$B21,
        INDEX('Degraded batteries'!$D:$D,Control!$B$31):INDEX('Degraded batteries'!$D:$D,Control!$B$32),
        0
    ),
    MATCH(
        'NPV calculation'!H$17,
        INDEX('Degraded batteries'!$F:$F,Control!$B$31-1):INDEX('Degraded batteries'!$AO:$AO,Control!$B$31-1),
        0
    )
) * $K$8 / $K$10,0)</f>
        <v>120.929541266706</v>
      </c>
      <c r="I21" s="168" cm="1">
        <f t="array" ref="I21">IF(I$17&gt;=INDEX('Degraded batteries'!$F:$F,Control!$B$31-1),
INDEX(
    INDEX('Degraded batteries'!$F:$F,Control!$B$31):INDEX('Degraded batteries'!$AO:$AO,Control!$B$32),
    MATCH(
        'NPV calculation'!$B21,
        INDEX('Degraded batteries'!$D:$D,Control!$B$31):INDEX('Degraded batteries'!$D:$D,Control!$B$32),
        0
    ),
    MATCH(
        'NPV calculation'!I$17,
        INDEX('Degraded batteries'!$F:$F,Control!$B$31-1):INDEX('Degraded batteries'!$AO:$AO,Control!$B$31-1),
        0
    )
) * $K$8 / $K$10,0)</f>
        <v>89.610144388800705</v>
      </c>
      <c r="J21" s="168" cm="1">
        <f t="array" ref="J21">IF(J$17&gt;=INDEX('Degraded batteries'!$F:$F,Control!$B$31-1),
INDEX(
    INDEX('Degraded batteries'!$F:$F,Control!$B$31):INDEX('Degraded batteries'!$AO:$AO,Control!$B$32),
    MATCH(
        'NPV calculation'!$B21,
        INDEX('Degraded batteries'!$D:$D,Control!$B$31):INDEX('Degraded batteries'!$D:$D,Control!$B$32),
        0
    ),
    MATCH(
        'NPV calculation'!J$17,
        INDEX('Degraded batteries'!$F:$F,Control!$B$31-1):INDEX('Degraded batteries'!$AO:$AO,Control!$B$31-1),
        0
    )
) * $K$8 / $K$10,0)</f>
        <v>74.559654651241601</v>
      </c>
      <c r="K21" s="168" cm="1">
        <f t="array" ref="K21">IF(K$17&gt;=INDEX('Degraded batteries'!$F:$F,Control!$B$31-1),
INDEX(
    INDEX('Degraded batteries'!$F:$F,Control!$B$31):INDEX('Degraded batteries'!$AO:$AO,Control!$B$32),
    MATCH(
        'NPV calculation'!$B21,
        INDEX('Degraded batteries'!$D:$D,Control!$B$31):INDEX('Degraded batteries'!$D:$D,Control!$B$32),
        0
    ),
    MATCH(
        'NPV calculation'!K$17,
        INDEX('Degraded batteries'!$F:$F,Control!$B$31-1):INDEX('Degraded batteries'!$AO:$AO,Control!$B$31-1),
        0
    )
) * $K$8 / $K$10,0)</f>
        <v>71.666500955554298</v>
      </c>
      <c r="L21" s="168" cm="1">
        <f t="array" ref="L21">IF(L$17&gt;=INDEX('Degraded batteries'!$F:$F,Control!$B$31-1),
INDEX(
    INDEX('Degraded batteries'!$F:$F,Control!$B$31):INDEX('Degraded batteries'!$AO:$AO,Control!$B$32),
    MATCH(
        'NPV calculation'!$B21,
        INDEX('Degraded batteries'!$D:$D,Control!$B$31):INDEX('Degraded batteries'!$D:$D,Control!$B$32),
        0
    ),
    MATCH(
        'NPV calculation'!L$17,
        INDEX('Degraded batteries'!$F:$F,Control!$B$31-1):INDEX('Degraded batteries'!$AO:$AO,Control!$B$31-1),
        0
    )
) * $K$8 / $K$10,0)</f>
        <v>77.990069516358503</v>
      </c>
      <c r="M21" s="168" cm="1">
        <f t="array" ref="M21">IF(M$17&gt;=INDEX('Degraded batteries'!$F:$F,Control!$B$31-1),
INDEX(
    INDEX('Degraded batteries'!$F:$F,Control!$B$31):INDEX('Degraded batteries'!$AO:$AO,Control!$B$32),
    MATCH(
        'NPV calculation'!$B21,
        INDEX('Degraded batteries'!$D:$D,Control!$B$31):INDEX('Degraded batteries'!$D:$D,Control!$B$32),
        0
    ),
    MATCH(
        'NPV calculation'!M$17,
        INDEX('Degraded batteries'!$F:$F,Control!$B$31-1):INDEX('Degraded batteries'!$AO:$AO,Control!$B$31-1),
        0
    )
) * $K$8 / $K$10,0)</f>
        <v>68.329501921833497</v>
      </c>
      <c r="N21" s="168" cm="1">
        <f t="array" ref="N21">IF(N$17&gt;=INDEX('Degraded batteries'!$F:$F,Control!$B$31-1),
INDEX(
    INDEX('Degraded batteries'!$F:$F,Control!$B$31):INDEX('Degraded batteries'!$AO:$AO,Control!$B$32),
    MATCH(
        'NPV calculation'!$B21,
        INDEX('Degraded batteries'!$D:$D,Control!$B$31):INDEX('Degraded batteries'!$D:$D,Control!$B$32),
        0
    ),
    MATCH(
        'NPV calculation'!N$17,
        INDEX('Degraded batteries'!$F:$F,Control!$B$31-1):INDEX('Degraded batteries'!$AO:$AO,Control!$B$31-1),
        0
    )
) * $K$8 / $K$10,0)</f>
        <v>64.026951756734405</v>
      </c>
      <c r="O21" s="168" cm="1">
        <f t="array" ref="O21">IF(O$17&gt;=INDEX('Degraded batteries'!$F:$F,Control!$B$31-1),
INDEX(
    INDEX('Degraded batteries'!$F:$F,Control!$B$31):INDEX('Degraded batteries'!$AO:$AO,Control!$B$32),
    MATCH(
        'NPV calculation'!$B21,
        INDEX('Degraded batteries'!$D:$D,Control!$B$31):INDEX('Degraded batteries'!$D:$D,Control!$B$32),
        0
    ),
    MATCH(
        'NPV calculation'!O$17,
        INDEX('Degraded batteries'!$F:$F,Control!$B$31-1):INDEX('Degraded batteries'!$AO:$AO,Control!$B$31-1),
        0
    )
) * $K$8 / $K$10,0)</f>
        <v>64.566260510927194</v>
      </c>
      <c r="P21" s="168" cm="1">
        <f t="array" ref="P21">IF(P$17&gt;=INDEX('Degraded batteries'!$F:$F,Control!$B$31-1),
INDEX(
    INDEX('Degraded batteries'!$F:$F,Control!$B$31):INDEX('Degraded batteries'!$AO:$AO,Control!$B$32),
    MATCH(
        'NPV calculation'!$B21,
        INDEX('Degraded batteries'!$D:$D,Control!$B$31):INDEX('Degraded batteries'!$D:$D,Control!$B$32),
        0
    ),
    MATCH(
        'NPV calculation'!P$17,
        INDEX('Degraded batteries'!$F:$F,Control!$B$31-1):INDEX('Degraded batteries'!$AO:$AO,Control!$B$31-1),
        0
    )
) * $K$8 / $K$10,0)</f>
        <v>58.398109901775797</v>
      </c>
      <c r="Q21" s="168" cm="1">
        <f t="array" ref="Q21">IF(Q$17&gt;=INDEX('Degraded batteries'!$F:$F,Control!$B$31-1),
INDEX(
    INDEX('Degraded batteries'!$F:$F,Control!$B$31):INDEX('Degraded batteries'!$AO:$AO,Control!$B$32),
    MATCH(
        'NPV calculation'!$B21,
        INDEX('Degraded batteries'!$D:$D,Control!$B$31):INDEX('Degraded batteries'!$D:$D,Control!$B$32),
        0
    ),
    MATCH(
        'NPV calculation'!Q$17,
        INDEX('Degraded batteries'!$F:$F,Control!$B$31-1):INDEX('Degraded batteries'!$AO:$AO,Control!$B$31-1),
        0
    )
) * $K$8 / $K$10,0)</f>
        <v>56.745520954275399</v>
      </c>
      <c r="R21" s="168" cm="1">
        <f t="array" ref="R21">IF(R$17&gt;=INDEX('Degraded batteries'!$F:$F,Control!$B$31-1),
INDEX(
    INDEX('Degraded batteries'!$F:$F,Control!$B$31):INDEX('Degraded batteries'!$AO:$AO,Control!$B$32),
    MATCH(
        'NPV calculation'!$B21,
        INDEX('Degraded batteries'!$D:$D,Control!$B$31):INDEX('Degraded batteries'!$D:$D,Control!$B$32),
        0
    ),
    MATCH(
        'NPV calculation'!R$17,
        INDEX('Degraded batteries'!$F:$F,Control!$B$31-1):INDEX('Degraded batteries'!$AO:$AO,Control!$B$31-1),
        0
    )
) * $K$8 / $K$10,0)</f>
        <v>54.200613371268503</v>
      </c>
      <c r="S21" s="168" cm="1">
        <f t="array" ref="S21">IF(S$17&gt;=INDEX('Degraded batteries'!$F:$F,Control!$B$31-1),
INDEX(
    INDEX('Degraded batteries'!$F:$F,Control!$B$31):INDEX('Degraded batteries'!$AO:$AO,Control!$B$32),
    MATCH(
        'NPV calculation'!$B21,
        INDEX('Degraded batteries'!$D:$D,Control!$B$31):INDEX('Degraded batteries'!$D:$D,Control!$B$32),
        0
    ),
    MATCH(
        'NPV calculation'!S$17,
        INDEX('Degraded batteries'!$F:$F,Control!$B$31-1):INDEX('Degraded batteries'!$AO:$AO,Control!$B$31-1),
        0
    )
) * $K$8 / $K$10,0)</f>
        <v>54.737790965809701</v>
      </c>
      <c r="T21" s="168" cm="1">
        <f t="array" ref="T21">IF(T$17&gt;=INDEX('Degraded batteries'!$F:$F,Control!$B$31-1),
INDEX(
    INDEX('Degraded batteries'!$F:$F,Control!$B$31):INDEX('Degraded batteries'!$AO:$AO,Control!$B$32),
    MATCH(
        'NPV calculation'!$B21,
        INDEX('Degraded batteries'!$D:$D,Control!$B$31):INDEX('Degraded batteries'!$D:$D,Control!$B$32),
        0
    ),
    MATCH(
        'NPV calculation'!T$17,
        INDEX('Degraded batteries'!$F:$F,Control!$B$31-1):INDEX('Degraded batteries'!$AO:$AO,Control!$B$31-1),
        0
    )
) * $K$8 / $K$10,0)</f>
        <v>55.321488432550296</v>
      </c>
      <c r="U21" s="168" cm="1">
        <f t="array" ref="U21">IF(U$17&gt;=INDEX('Degraded batteries'!$F:$F,Control!$B$31-1),
INDEX(
    INDEX('Degraded batteries'!$F:$F,Control!$B$31):INDEX('Degraded batteries'!$AO:$AO,Control!$B$32),
    MATCH(
        'NPV calculation'!$B21,
        INDEX('Degraded batteries'!$D:$D,Control!$B$31):INDEX('Degraded batteries'!$D:$D,Control!$B$32),
        0
    ),
    MATCH(
        'NPV calculation'!U$17,
        INDEX('Degraded batteries'!$F:$F,Control!$B$31-1):INDEX('Degraded batteries'!$AO:$AO,Control!$B$31-1),
        0
    )
) * $K$8 / $K$10,0)</f>
        <v>53.878505304903499</v>
      </c>
      <c r="V21" s="168" cm="1">
        <f t="array" ref="V21">IF(V$17&gt;=INDEX('Degraded batteries'!$F:$F,Control!$B$31-1),
INDEX(
    INDEX('Degraded batteries'!$F:$F,Control!$B$31):INDEX('Degraded batteries'!$AO:$AO,Control!$B$32),
    MATCH(
        'NPV calculation'!$B21,
        INDEX('Degraded batteries'!$D:$D,Control!$B$31):INDEX('Degraded batteries'!$D:$D,Control!$B$32),
        0
    ),
    MATCH(
        'NPV calculation'!V$17,
        INDEX('Degraded batteries'!$F:$F,Control!$B$31-1):INDEX('Degraded batteries'!$AO:$AO,Control!$B$31-1),
        0
    )
) * $K$8 / $K$10,0)</f>
        <v>52.728274564106698</v>
      </c>
      <c r="W21" s="168" cm="1">
        <f t="array" ref="W21">IF(W$17&gt;=INDEX('Degraded batteries'!$F:$F,Control!$B$31-1),
INDEX(
    INDEX('Degraded batteries'!$F:$F,Control!$B$31):INDEX('Degraded batteries'!$AO:$AO,Control!$B$32),
    MATCH(
        'NPV calculation'!$B21,
        INDEX('Degraded batteries'!$D:$D,Control!$B$31):INDEX('Degraded batteries'!$D:$D,Control!$B$32),
        0
    ),
    MATCH(
        'NPV calculation'!W$17,
        INDEX('Degraded batteries'!$F:$F,Control!$B$31-1):INDEX('Degraded batteries'!$AO:$AO,Control!$B$31-1),
        0
    )
) * $K$8 / $K$10,0)</f>
        <v>50.254384742431803</v>
      </c>
      <c r="X21" s="168" cm="1">
        <f t="array" ref="X21">IF(X$17&gt;=INDEX('Degraded batteries'!$F:$F,Control!$B$31-1),
INDEX(
    INDEX('Degraded batteries'!$F:$F,Control!$B$31):INDEX('Degraded batteries'!$AO:$AO,Control!$B$32),
    MATCH(
        'NPV calculation'!$B21,
        INDEX('Degraded batteries'!$D:$D,Control!$B$31):INDEX('Degraded batteries'!$D:$D,Control!$B$32),
        0
    ),
    MATCH(
        'NPV calculation'!X$17,
        INDEX('Degraded batteries'!$F:$F,Control!$B$31-1):INDEX('Degraded batteries'!$AO:$AO,Control!$B$31-1),
        0
    )
) * $K$8 / $K$10,0)</f>
        <v>66.518120686565098</v>
      </c>
      <c r="Y21" s="168" cm="1">
        <f t="array" ref="Y21">IF(Y$17&gt;=INDEX('Degraded batteries'!$F:$F,Control!$B$31-1),
INDEX(
    INDEX('Degraded batteries'!$F:$F,Control!$B$31):INDEX('Degraded batteries'!$AO:$AO,Control!$B$32),
    MATCH(
        'NPV calculation'!$B21,
        INDEX('Degraded batteries'!$D:$D,Control!$B$31):INDEX('Degraded batteries'!$D:$D,Control!$B$32),
        0
    ),
    MATCH(
        'NPV calculation'!Y$17,
        INDEX('Degraded batteries'!$F:$F,Control!$B$31-1):INDEX('Degraded batteries'!$AO:$AO,Control!$B$31-1),
        0
    )
) * $K$8 / $K$10,0)</f>
        <v>64.232587769393902</v>
      </c>
      <c r="Z21" s="168" cm="1">
        <f t="array" ref="Z21">IF(Z$17&gt;=INDEX('Degraded batteries'!$F:$F,Control!$B$31-1),
INDEX(
    INDEX('Degraded batteries'!$F:$F,Control!$B$31):INDEX('Degraded batteries'!$AO:$AO,Control!$B$32),
    MATCH(
        'NPV calculation'!$B21,
        INDEX('Degraded batteries'!$D:$D,Control!$B$31):INDEX('Degraded batteries'!$D:$D,Control!$B$32),
        0
    ),
    MATCH(
        'NPV calculation'!Z$17,
        INDEX('Degraded batteries'!$F:$F,Control!$B$31-1):INDEX('Degraded batteries'!$AO:$AO,Control!$B$31-1),
        0
    )
) * $K$8 / $K$10,0)</f>
        <v>65.9816012442692</v>
      </c>
      <c r="AA21" s="168" cm="1">
        <f t="array" ref="AA21">IF(AA$17&gt;=INDEX('Degraded batteries'!$F:$F,Control!$B$31-1),
INDEX(
    INDEX('Degraded batteries'!$F:$F,Control!$B$31):INDEX('Degraded batteries'!$AO:$AO,Control!$B$32),
    MATCH(
        'NPV calculation'!$B21,
        INDEX('Degraded batteries'!$D:$D,Control!$B$31):INDEX('Degraded batteries'!$D:$D,Control!$B$32),
        0
    ),
    MATCH(
        'NPV calculation'!AA$17,
        INDEX('Degraded batteries'!$F:$F,Control!$B$31-1):INDEX('Degraded batteries'!$AO:$AO,Control!$B$31-1),
        0
    )
) * $K$8 / $K$10,0)</f>
        <v>64.483604946399595</v>
      </c>
      <c r="AB21" s="168" cm="1">
        <f t="array" ref="AB21">IF(AB$17&gt;=INDEX('Degraded batteries'!$F:$F,Control!$B$31-1),
INDEX(
    INDEX('Degraded batteries'!$F:$F,Control!$B$31):INDEX('Degraded batteries'!$AO:$AO,Control!$B$32),
    MATCH(
        'NPV calculation'!$B21,
        INDEX('Degraded batteries'!$D:$D,Control!$B$31):INDEX('Degraded batteries'!$D:$D,Control!$B$32),
        0
    ),
    MATCH(
        'NPV calculation'!AB$17,
        INDEX('Degraded batteries'!$F:$F,Control!$B$31-1):INDEX('Degraded batteries'!$AO:$AO,Control!$B$31-1),
        0
    )
) * $K$8 / $K$10,0)</f>
        <v>64.950266228938602</v>
      </c>
      <c r="AC21" s="168" cm="1">
        <f t="array" ref="AC21">IF(AC$17&gt;=INDEX('Degraded batteries'!$F:$F,Control!$B$31-1),
INDEX(
    INDEX('Degraded batteries'!$F:$F,Control!$B$31):INDEX('Degraded batteries'!$AO:$AO,Control!$B$32),
    MATCH(
        'NPV calculation'!$B21,
        INDEX('Degraded batteries'!$D:$D,Control!$B$31):INDEX('Degraded batteries'!$D:$D,Control!$B$32),
        0
    ),
    MATCH(
        'NPV calculation'!AC$17,
        INDEX('Degraded batteries'!$F:$F,Control!$B$31-1):INDEX('Degraded batteries'!$AO:$AO,Control!$B$31-1),
        0
    )
) * $K$8 / $K$10,0)</f>
        <v>63.231412841878097</v>
      </c>
      <c r="AD21" s="168" cm="1">
        <f t="array" ref="AD21">IF(AD$17&gt;=INDEX('Degraded batteries'!$F:$F,Control!$B$31-1),
INDEX(
    INDEX('Degraded batteries'!$F:$F,Control!$B$31):INDEX('Degraded batteries'!$AO:$AO,Control!$B$32),
    MATCH(
        'NPV calculation'!$B21,
        INDEX('Degraded batteries'!$D:$D,Control!$B$31):INDEX('Degraded batteries'!$D:$D,Control!$B$32),
        0
    ),
    MATCH(
        'NPV calculation'!AD$17,
        INDEX('Degraded batteries'!$F:$F,Control!$B$31-1):INDEX('Degraded batteries'!$AO:$AO,Control!$B$31-1),
        0
    )
) * $K$8 / $K$10,0)</f>
        <v>62.139068158089401</v>
      </c>
      <c r="AE21" s="168" cm="1">
        <f t="array" ref="AE21">IF(AE$17&gt;=INDEX('Degraded batteries'!$F:$F,Control!$B$31-1),
INDEX(
    INDEX('Degraded batteries'!$F:$F,Control!$B$31):INDEX('Degraded batteries'!$AO:$AO,Control!$B$32),
    MATCH(
        'NPV calculation'!$B21,
        INDEX('Degraded batteries'!$D:$D,Control!$B$31):INDEX('Degraded batteries'!$D:$D,Control!$B$32),
        0
    ),
    MATCH(
        'NPV calculation'!AE$17,
        INDEX('Degraded batteries'!$F:$F,Control!$B$31-1):INDEX('Degraded batteries'!$AO:$AO,Control!$B$31-1),
        0
    )
) * $K$8 / $K$10,0)</f>
        <v>61.569630656664799</v>
      </c>
      <c r="AF21" s="168" cm="1">
        <f t="array" ref="AF21">IF(AF$17&gt;=INDEX('Degraded batteries'!$F:$F,Control!$B$31-1),
INDEX(
    INDEX('Degraded batteries'!$F:$F,Control!$B$31):INDEX('Degraded batteries'!$AO:$AO,Control!$B$32),
    MATCH(
        'NPV calculation'!$B21,
        INDEX('Degraded batteries'!$D:$D,Control!$B$31):INDEX('Degraded batteries'!$D:$D,Control!$B$32),
        0
    ),
    MATCH(
        'NPV calculation'!AF$17,
        INDEX('Degraded batteries'!$F:$F,Control!$B$31-1):INDEX('Degraded batteries'!$AO:$AO,Control!$B$31-1),
        0
    )
) * $K$8 / $K$10,0)</f>
        <v>60.568633325786699</v>
      </c>
      <c r="AG21" s="168" cm="1">
        <f t="array" ref="AG21">IF(AG$17&gt;=INDEX('Degraded batteries'!$F:$F,Control!$B$31-1),
INDEX(
    INDEX('Degraded batteries'!$F:$F,Control!$B$31):INDEX('Degraded batteries'!$AO:$AO,Control!$B$32),
    MATCH(
        'NPV calculation'!$B21,
        INDEX('Degraded batteries'!$D:$D,Control!$B$31):INDEX('Degraded batteries'!$D:$D,Control!$B$32),
        0
    ),
    MATCH(
        'NPV calculation'!AG$17,
        INDEX('Degraded batteries'!$F:$F,Control!$B$31-1):INDEX('Degraded batteries'!$AO:$AO,Control!$B$31-1),
        0
    )
) * $K$8 / $K$10,0)</f>
        <v>59.925764838130497</v>
      </c>
      <c r="AH21" s="168" cm="1">
        <f t="array" ref="AH21">IF(AH$17&gt;=INDEX('Degraded batteries'!$F:$F,Control!$B$31-1),
INDEX(
    INDEX('Degraded batteries'!$F:$F,Control!$B$31):INDEX('Degraded batteries'!$AO:$AO,Control!$B$32),
    MATCH(
        'NPV calculation'!$B21,
        INDEX('Degraded batteries'!$D:$D,Control!$B$31):INDEX('Degraded batteries'!$D:$D,Control!$B$32),
        0
    ),
    MATCH(
        'NPV calculation'!AH$17,
        INDEX('Degraded batteries'!$F:$F,Control!$B$31-1):INDEX('Degraded batteries'!$AO:$AO,Control!$B$31-1),
        0
    )
) * $K$8 / $K$10,0)</f>
        <v>57.939806108066698</v>
      </c>
      <c r="AI21" s="168" cm="1">
        <f t="array" ref="AI21">IF(AI$17&gt;=INDEX('Degraded batteries'!$F:$F,Control!$B$31-1),
INDEX(
    INDEX('Degraded batteries'!$F:$F,Control!$B$31):INDEX('Degraded batteries'!$AO:$AO,Control!$B$32),
    MATCH(
        'NPV calculation'!$B21,
        INDEX('Degraded batteries'!$D:$D,Control!$B$31):INDEX('Degraded batteries'!$D:$D,Control!$B$32),
        0
    ),
    MATCH(
        'NPV calculation'!AI$17,
        INDEX('Degraded batteries'!$F:$F,Control!$B$31-1):INDEX('Degraded batteries'!$AO:$AO,Control!$B$31-1),
        0
    )
) * $K$8 / $K$10,0)</f>
        <v>57.705096481140302</v>
      </c>
      <c r="AJ21" s="168" cm="1">
        <f t="array" ref="AJ21">IF(AJ$17&gt;=INDEX('Degraded batteries'!$F:$F,Control!$B$31-1),
INDEX(
    INDEX('Degraded batteries'!$F:$F,Control!$B$31):INDEX('Degraded batteries'!$AO:$AO,Control!$B$32),
    MATCH(
        'NPV calculation'!$B21,
        INDEX('Degraded batteries'!$D:$D,Control!$B$31):INDEX('Degraded batteries'!$D:$D,Control!$B$32),
        0
    ),
    MATCH(
        'NPV calculation'!AJ$17,
        INDEX('Degraded batteries'!$F:$F,Control!$B$31-1):INDEX('Degraded batteries'!$AO:$AO,Control!$B$31-1),
        0
    )
) * $K$8 / $K$10,0)</f>
        <v>57.857965398700003</v>
      </c>
      <c r="AK21" s="168" cm="1">
        <f t="array" ref="AK21">IF(AK$17&gt;=INDEX('Degraded batteries'!$F:$F,Control!$B$31-1),
INDEX(
    INDEX('Degraded batteries'!$F:$F,Control!$B$31):INDEX('Degraded batteries'!$AO:$AO,Control!$B$32),
    MATCH(
        'NPV calculation'!$B21,
        INDEX('Degraded batteries'!$D:$D,Control!$B$31):INDEX('Degraded batteries'!$D:$D,Control!$B$32),
        0
    ),
    MATCH(
        'NPV calculation'!AK$17,
        INDEX('Degraded batteries'!$F:$F,Control!$B$31-1):INDEX('Degraded batteries'!$AO:$AO,Control!$B$31-1),
        0
    )
) * $K$8 / $K$10,0)</f>
        <v>54.8880899555542</v>
      </c>
      <c r="AL21" s="168" cm="1">
        <f t="array" ref="AL21">IF(AL$17&gt;=INDEX('Degraded batteries'!$F:$F,Control!$B$31-1),
INDEX(
    INDEX('Degraded batteries'!$F:$F,Control!$B$31):INDEX('Degraded batteries'!$AO:$AO,Control!$B$32),
    MATCH(
        'NPV calculation'!$B21,
        INDEX('Degraded batteries'!$D:$D,Control!$B$31):INDEX('Degraded batteries'!$D:$D,Control!$B$32),
        0
    ),
    MATCH(
        'NPV calculation'!AL$17,
        INDEX('Degraded batteries'!$F:$F,Control!$B$31-1):INDEX('Degraded batteries'!$AO:$AO,Control!$B$31-1),
        0
    )
) * $K$8 / $K$10,0)</f>
        <v>54.969773962005398</v>
      </c>
      <c r="AM21" s="168" cm="1">
        <f t="array" ref="AM21">IF(AM$17&gt;=INDEX('Degraded batteries'!$F:$F,Control!$B$31-1),
INDEX(
    INDEX('Degraded batteries'!$F:$F,Control!$B$31):INDEX('Degraded batteries'!$AO:$AO,Control!$B$32),
    MATCH(
        'NPV calculation'!$B21,
        INDEX('Degraded batteries'!$D:$D,Control!$B$31):INDEX('Degraded batteries'!$D:$D,Control!$B$32),
        0
    ),
    MATCH(
        'NPV calculation'!AM$17,
        INDEX('Degraded batteries'!$F:$F,Control!$B$31-1):INDEX('Degraded batteries'!$AO:$AO,Control!$B$31-1),
        0
    )
) * $K$8 / $K$10,0)</f>
        <v>54.887275100393303</v>
      </c>
      <c r="AN21" s="168" cm="1">
        <f t="array" ref="AN21">IF(AN$17&gt;=INDEX('Degraded batteries'!$F:$F,Control!$B$31-1),
INDEX(
    INDEX('Degraded batteries'!$F:$F,Control!$B$31):INDEX('Degraded batteries'!$AO:$AO,Control!$B$32),
    MATCH(
        'NPV calculation'!$B21,
        INDEX('Degraded batteries'!$D:$D,Control!$B$31):INDEX('Degraded batteries'!$D:$D,Control!$B$32),
        0
    ),
    MATCH(
        'NPV calculation'!AN$17,
        INDEX('Degraded batteries'!$F:$F,Control!$B$31-1):INDEX('Degraded batteries'!$AO:$AO,Control!$B$31-1),
        0
    )
) * $K$8 / $K$10,0)</f>
        <v>53.099911198649799</v>
      </c>
    </row>
    <row r="22" spans="1:41" x14ac:dyDescent="0.25">
      <c r="B22" s="198" t="s">
        <v>52</v>
      </c>
      <c r="C22" s="200">
        <f>Inputs!$E$97</f>
        <v>0.12</v>
      </c>
      <c r="D22" s="192" t="s">
        <v>242</v>
      </c>
      <c r="E22" s="155" cm="1">
        <f t="array" ref="E22">NPV($C22, INDEX(F22:AN22, MATCH(TRUE, F$29:AN$29&lt;&gt;0, 0)+1):AN22)+INDEX(F22:AN22, MATCH(TRUE, F$29:AN$29&lt;&gt;0, 0))</f>
        <v>0</v>
      </c>
      <c r="F22" s="168">
        <f>IF(ISNUMBER(SEARCH("1h",$F$11)),0,IF(AND(F$17&gt;=$F$8,$F$8=2030,F$17&lt;$F$8+$F$13),Inputs!$I$87*LOOKUP($F$11,Inputs!$C$91:$C$93,Inputs!$E$91:$E$93)*$B$11,0))</f>
        <v>0</v>
      </c>
      <c r="G22" s="168">
        <f>IF(ISNUMBER(SEARCH("1h",$F$11)),0,IF(AND(G$17&gt;=$F$8,$F$8=2030,G$17&lt;$F$8+$F$13),Inputs!$I$87*LOOKUP($F$11,Inputs!$C$91:$C$93,Inputs!$E$91:$E$93)*$B$11,0))</f>
        <v>0</v>
      </c>
      <c r="H22" s="168">
        <f>IF(ISNUMBER(SEARCH("1h",$F$11)),0,IF(AND(H$17&gt;=$F$8,$F$8=2030,H$17&lt;$F$8+$F$13),Inputs!$I$87*LOOKUP($F$11,Inputs!$C$91:$C$93,Inputs!$E$91:$E$93)*$B$11,0))</f>
        <v>0</v>
      </c>
      <c r="I22" s="168">
        <f>IF(ISNUMBER(SEARCH("1h",$F$11)),0,IF(AND(I$17&gt;=$F$8,$F$8=2030,I$17&lt;$F$8+$F$13),Inputs!$I$87*LOOKUP($F$11,Inputs!$C$91:$C$93,Inputs!$E$91:$E$93)*$B$11,0))</f>
        <v>0</v>
      </c>
      <c r="J22" s="168">
        <f>IF(ISNUMBER(SEARCH("1h",$F$11)),0,IF(AND(J$17&gt;=$F$8,$F$8=2030,J$17&lt;$F$8+$F$13),Inputs!$I$87*LOOKUP($F$11,Inputs!$C$91:$C$93,Inputs!$E$91:$E$93)*$B$11,0))</f>
        <v>0</v>
      </c>
      <c r="K22" s="168">
        <f>IF(ISNUMBER(SEARCH("1h",$F$11)),0,IF(AND(K$17&gt;=$F$8,$F$8=2030,K$17&lt;$F$8+$F$13),Inputs!$I$87*LOOKUP($F$11,Inputs!$C$91:$C$93,Inputs!$E$91:$E$93)*$B$11,0))</f>
        <v>0</v>
      </c>
      <c r="L22" s="168">
        <f>IF(ISNUMBER(SEARCH("1h",$F$11)),0,IF(AND(L$17&gt;=$F$8,$F$8=2030,L$17&lt;$F$8+$F$13),Inputs!$I$87*LOOKUP($F$11,Inputs!$C$91:$C$93,Inputs!$E$91:$E$93)*$B$11,0))</f>
        <v>0</v>
      </c>
      <c r="M22" s="168">
        <f>IF(ISNUMBER(SEARCH("1h",$F$11)),0,IF(AND(M$17&gt;=$F$8,$F$8=2030,M$17&lt;$F$8+$F$13),Inputs!$I$87*LOOKUP($F$11,Inputs!$C$91:$C$93,Inputs!$E$91:$E$93)*$B$11,0))</f>
        <v>0</v>
      </c>
      <c r="N22" s="168">
        <f>IF(ISNUMBER(SEARCH("1h",$F$11)),0,IF(AND(N$17&gt;=$F$8,$F$8=2030,N$17&lt;$F$8+$F$13),Inputs!$I$87*LOOKUP($F$11,Inputs!$C$91:$C$93,Inputs!$E$91:$E$93)*$B$11,0))</f>
        <v>0</v>
      </c>
      <c r="O22" s="168">
        <f>IF(ISNUMBER(SEARCH("1h",$F$11)),0,IF(AND(O$17&gt;=$F$8,$F$8=2030,O$17&lt;$F$8+$F$13),Inputs!$I$87*LOOKUP($F$11,Inputs!$C$91:$C$93,Inputs!$E$91:$E$93)*$B$11,0))</f>
        <v>0</v>
      </c>
      <c r="P22" s="168">
        <f>IF(ISNUMBER(SEARCH("1h",$F$11)),0,IF(AND(P$17&gt;=$F$8,$F$8=2030,P$17&lt;$F$8+$F$13),Inputs!$I$87*LOOKUP($F$11,Inputs!$C$91:$C$93,Inputs!$E$91:$E$93)*$B$11,0))</f>
        <v>0</v>
      </c>
      <c r="Q22" s="168">
        <f>IF(ISNUMBER(SEARCH("1h",$F$11)),0,IF(AND(Q$17&gt;=$F$8,$F$8=2030,Q$17&lt;$F$8+$F$13),Inputs!$I$87*LOOKUP($F$11,Inputs!$C$91:$C$93,Inputs!$E$91:$E$93)*$B$11,0))</f>
        <v>0</v>
      </c>
      <c r="R22" s="168">
        <f>IF(ISNUMBER(SEARCH("1h",$F$11)),0,IF(AND(R$17&gt;=$F$8,$F$8=2030,R$17&lt;$F$8+$F$13),Inputs!$I$87*LOOKUP($F$11,Inputs!$C$91:$C$93,Inputs!$E$91:$E$93)*$B$11,0))</f>
        <v>0</v>
      </c>
      <c r="S22" s="168">
        <f>IF(ISNUMBER(SEARCH("1h",$F$11)),0,IF(AND(S$17&gt;=$F$8,$F$8=2030,S$17&lt;$F$8+$F$13),Inputs!$I$87*LOOKUP($F$11,Inputs!$C$91:$C$93,Inputs!$E$91:$E$93)*$B$11,0))</f>
        <v>0</v>
      </c>
      <c r="T22" s="168">
        <f>IF(ISNUMBER(SEARCH("1h",$F$11)),0,IF(AND(T$17&gt;=$F$8,$F$8=2030,T$17&lt;$F$8+$F$13),Inputs!$I$87*LOOKUP($F$11,Inputs!$C$91:$C$93,Inputs!$E$91:$E$93)*$B$11,0))</f>
        <v>0</v>
      </c>
      <c r="U22" s="168">
        <f>IF(ISNUMBER(SEARCH("1h",$F$11)),0,IF(AND(U$17&gt;=$F$8,$F$8=2030,U$17&lt;$F$8+$F$13),Inputs!$I$87*LOOKUP($F$11,Inputs!$C$91:$C$93,Inputs!$E$91:$E$93)*$B$11,0))</f>
        <v>0</v>
      </c>
      <c r="V22" s="168">
        <f>IF(ISNUMBER(SEARCH("1h",$F$11)),0,IF(AND(V$17&gt;=$F$8,$F$8=2030,V$17&lt;$F$8+$F$13),Inputs!$I$87*LOOKUP($F$11,Inputs!$C$91:$C$93,Inputs!$E$91:$E$93)*$B$11,0))</f>
        <v>0</v>
      </c>
      <c r="W22" s="168">
        <f>IF(ISNUMBER(SEARCH("1h",$F$11)),0,IF(AND(W$17&gt;=$F$8,$F$8=2030,W$17&lt;$F$8+$F$13),Inputs!$I$87*LOOKUP($F$11,Inputs!$C$91:$C$93,Inputs!$E$91:$E$93)*$B$11,0))</f>
        <v>0</v>
      </c>
      <c r="X22" s="168">
        <f>IF(ISNUMBER(SEARCH("1h",$F$11)),0,IF(AND(X$17&gt;=$F$8,$F$8=2030,X$17&lt;$F$8+$F$13),Inputs!$I$87*LOOKUP($F$11,Inputs!$C$91:$C$93,Inputs!$E$91:$E$93)*$B$11,0))</f>
        <v>0</v>
      </c>
      <c r="Y22" s="168">
        <f>IF(ISNUMBER(SEARCH("1h",$F$11)),0,IF(AND(Y$17&gt;=$F$8,$F$8=2030,Y$17&lt;$F$8+$F$13),Inputs!$I$87*LOOKUP($F$11,Inputs!$C$91:$C$93,Inputs!$E$91:$E$93)*$B$11,0))</f>
        <v>0</v>
      </c>
      <c r="Z22" s="168">
        <f>IF(ISNUMBER(SEARCH("1h",$F$11)),0,IF(AND(Z$17&gt;=$F$8,$F$8=2030,Z$17&lt;$F$8+$F$13),Inputs!$I$87*LOOKUP($F$11,Inputs!$C$91:$C$93,Inputs!$E$91:$E$93)*$B$11,0))</f>
        <v>0</v>
      </c>
      <c r="AA22" s="168">
        <f>IF(ISNUMBER(SEARCH("1h",$F$11)),0,IF(AND(AA$17&gt;=$F$8,$F$8=2030,AA$17&lt;$F$8+$F$13),Inputs!$I$87*LOOKUP($F$11,Inputs!$C$91:$C$93,Inputs!$E$91:$E$93)*$B$11,0))</f>
        <v>0</v>
      </c>
      <c r="AB22" s="168">
        <f>IF(ISNUMBER(SEARCH("1h",$F$11)),0,IF(AND(AB$17&gt;=$F$8,$F$8=2030,AB$17&lt;$F$8+$F$13),Inputs!$I$87*LOOKUP($F$11,Inputs!$C$91:$C$93,Inputs!$E$91:$E$93)*$B$11,0))</f>
        <v>0</v>
      </c>
      <c r="AC22" s="168">
        <f>IF(ISNUMBER(SEARCH("1h",$F$11)),0,IF(AND(AC$17&gt;=$F$8,$F$8=2030,AC$17&lt;$F$8+$F$13),Inputs!$I$87*LOOKUP($F$11,Inputs!$C$91:$C$93,Inputs!$E$91:$E$93)*$B$11,0))</f>
        <v>0</v>
      </c>
      <c r="AD22" s="168">
        <f>IF(ISNUMBER(SEARCH("1h",$F$11)),0,IF(AND(AD$17&gt;=$F$8,$F$8=2030,AD$17&lt;$F$8+$F$13),Inputs!$I$87*LOOKUP($F$11,Inputs!$C$91:$C$93,Inputs!$E$91:$E$93)*$B$11,0))</f>
        <v>0</v>
      </c>
      <c r="AE22" s="168">
        <f>IF(ISNUMBER(SEARCH("1h",$F$11)),0,IF(AND(AE$17&gt;=$F$8,$F$8=2030,AE$17&lt;$F$8+$F$13),Inputs!$I$87*LOOKUP($F$11,Inputs!$C$91:$C$93,Inputs!$E$91:$E$93)*$B$11,0))</f>
        <v>0</v>
      </c>
      <c r="AF22" s="168">
        <f>IF(ISNUMBER(SEARCH("1h",$F$11)),0,IF(AND(AF$17&gt;=$F$8,$F$8=2030,AF$17&lt;$F$8+$F$13),Inputs!$I$87*LOOKUP($F$11,Inputs!$C$91:$C$93,Inputs!$E$91:$E$93)*$B$11,0))</f>
        <v>0</v>
      </c>
      <c r="AG22" s="168">
        <f>IF(ISNUMBER(SEARCH("1h",$F$11)),0,IF(AND(AG$17&gt;=$F$8,$F$8=2030,AG$17&lt;$F$8+$F$13),Inputs!$I$87*LOOKUP($F$11,Inputs!$C$91:$C$93,Inputs!$E$91:$E$93)*$B$11,0))</f>
        <v>0</v>
      </c>
      <c r="AH22" s="168">
        <f>IF(ISNUMBER(SEARCH("1h",$F$11)),0,IF(AND(AH$17&gt;=$F$8,$F$8=2030,AH$17&lt;$F$8+$F$13),Inputs!$I$87*LOOKUP($F$11,Inputs!$C$91:$C$93,Inputs!$E$91:$E$93)*$B$11,0))</f>
        <v>0</v>
      </c>
      <c r="AI22" s="168">
        <f>IF(ISNUMBER(SEARCH("1h",$F$11)),0,IF(AND(AI$17&gt;=$F$8,$F$8=2030,AI$17&lt;$F$8+$F$13),Inputs!$I$87*LOOKUP($F$11,Inputs!$C$91:$C$93,Inputs!$E$91:$E$93)*$B$11,0))</f>
        <v>0</v>
      </c>
      <c r="AJ22" s="168">
        <f>IF(ISNUMBER(SEARCH("1h",$F$11)),0,IF(AND(AJ$17&gt;=$F$8,$F$8=2030,AJ$17&lt;$F$8+$F$13),Inputs!$I$87*LOOKUP($F$11,Inputs!$C$91:$C$93,Inputs!$E$91:$E$93)*$B$11,0))</f>
        <v>0</v>
      </c>
      <c r="AK22" s="168">
        <f>IF(ISNUMBER(SEARCH("1h",$F$11)),0,IF(AND(AK$17&gt;=$F$8,$F$8=2030,AK$17&lt;$F$8+$F$13),Inputs!$I$87*LOOKUP($F$11,Inputs!$C$91:$C$93,Inputs!$E$91:$E$93)*$B$11,0))</f>
        <v>0</v>
      </c>
      <c r="AL22" s="168">
        <f>IF(ISNUMBER(SEARCH("1h",$F$11)),0,IF(AND(AL$17&gt;=$F$8,$F$8=2030,AL$17&lt;$F$8+$F$13),Inputs!$I$87*LOOKUP($F$11,Inputs!$C$91:$C$93,Inputs!$E$91:$E$93)*$B$11,0))</f>
        <v>0</v>
      </c>
      <c r="AM22" s="168">
        <f>IF(ISNUMBER(SEARCH("1h",$F$11)),0,IF(AND(AM$17&gt;=$F$8,$F$8=2030,AM$17&lt;$F$8+$F$13),Inputs!$I$87*LOOKUP($F$11,Inputs!$C$91:$C$93,Inputs!$E$91:$E$93)*$B$11,0))</f>
        <v>0</v>
      </c>
      <c r="AN22" s="168">
        <f>IF(ISNUMBER(SEARCH("1h",$F$11)),0,IF(AND(AN$17&gt;=$F$8,$F$8=2030,AN$17&lt;$F$8+$F$13),Inputs!$I$87*LOOKUP($F$11,Inputs!$C$91:$C$93,Inputs!$E$91:$E$93)*$B$11,0))</f>
        <v>0</v>
      </c>
    </row>
    <row r="23" spans="1:41" x14ac:dyDescent="0.25">
      <c r="A23" s="190" t="s">
        <v>243</v>
      </c>
      <c r="B23" s="201" t="s">
        <v>141</v>
      </c>
      <c r="C23" s="202">
        <f>Inputs!$E$97</f>
        <v>0.12</v>
      </c>
      <c r="D23" s="203" t="s">
        <v>242</v>
      </c>
      <c r="E23" s="204" cm="1">
        <f t="array" ref="E23">NPV($C23, INDEX(F23:AN23, MATCH(TRUE, F$29:AN$29&lt;&gt;0, 0)+1):AN23)+INDEX(F23:AN23, MATCH(TRUE, F$29:AN$29&lt;&gt;0, 0))</f>
        <v>-666</v>
      </c>
      <c r="F23" s="205">
        <f xml:space="preserve"> -(
    IF(F$17 = $F$8 - 1,
        IF(ISNUMBER(SEARCH("Solar and wind", $F$10)),
            IFERROR(INDEX(Inputs!$E$58:$AM$60,
                MATCH("Solar and wind", Inputs!$C$58:$C$60, 0),
                MATCH($F$8 - 2, Inputs!$E$57:$AM$57, 0)
            )/2, 0),
        IF(ISNUMBER(SEARCH("solar", $F$10)),
            IFERROR(INDEX(Inputs!$E$58:$AM$60,
                MATCH("Solar", Inputs!$C$58:$C$60, 0),
                MATCH($F$8 - 1, Inputs!$E$57:$AM$57, 0)
            ), 0),
        IF(ISNUMBER(SEARCH("wind", $F$10)),
            IFERROR(INDEX(Inputs!$E$58:$AM$60,
                MATCH("Wind", Inputs!$C$58:$C$60, 0),
                MATCH($F$8 - 2, Inputs!$E$57:$AM$57, 0)
            )/2, 0), 0)))
    ) +
    IF(F$17 = $F$8 - 2,
        IF(ISNUMBER(SEARCH("Solar and wind", $F$10)),
            IFERROR(INDEX(Inputs!$E$58:$AM$60,
                MATCH("Solar and wind", Inputs!$C$58:$C$60, 0),
                MATCH($F$8 - 2, Inputs!$E$57:$AM$57, 0)
            )/2, 0),
        IF(ISNUMBER(SEARCH("wind", $F$10)),
            IFERROR(INDEX(Inputs!$E$58:$AM$60,
                MATCH("Wind", Inputs!$C$58:$C$60, 0),
                MATCH($F$8 - 2, Inputs!$E$57:$AM$57, 0)
            )/2, 0), 0))
    )
) * $K$9 / $K$10</f>
        <v>-666</v>
      </c>
      <c r="G23" s="205">
        <f xml:space="preserve"> -(
    IF(G$17 = $F$8 - 1,
        IF(ISNUMBER(SEARCH("Solar and wind", $F$10)),
            IFERROR(INDEX(Inputs!$E$58:$AM$60,
                MATCH("Solar and wind", Inputs!$C$58:$C$60, 0),
                MATCH($F$8 - 2, Inputs!$E$57:$AM$57, 0)
            )/2, 0),
        IF(ISNUMBER(SEARCH("solar", $F$10)),
            IFERROR(INDEX(Inputs!$E$58:$AM$60,
                MATCH("Solar", Inputs!$C$58:$C$60, 0),
                MATCH($F$8 - 1, Inputs!$E$57:$AM$57, 0)
            ), 0),
        IF(ISNUMBER(SEARCH("wind", $F$10)),
            IFERROR(INDEX(Inputs!$E$58:$AM$60,
                MATCH("Wind", Inputs!$C$58:$C$60, 0),
                MATCH($F$8 - 2, Inputs!$E$57:$AM$57, 0)
            )/2, 0), 0)))
    ) +
    IF(G$17 = $F$8 - 2,
        IF(ISNUMBER(SEARCH("Solar and wind", $F$10)),
            IFERROR(INDEX(Inputs!$E$58:$AM$60,
                MATCH("Solar and wind", Inputs!$C$58:$C$60, 0),
                MATCH($F$8 - 2, Inputs!$E$57:$AM$57, 0)
            )/2, 0),
        IF(ISNUMBER(SEARCH("wind", $F$10)),
            IFERROR(INDEX(Inputs!$E$58:$AM$60,
                MATCH("Wind", Inputs!$C$58:$C$60, 0),
                MATCH($F$8 - 2, Inputs!$E$57:$AM$57, 0)
            )/2, 0), 0))
    )
) * $K$9 / $K$10</f>
        <v>0</v>
      </c>
      <c r="H23" s="205">
        <f xml:space="preserve"> -(
    IF(H$17 = $F$8 - 1,
        IF(ISNUMBER(SEARCH("Solar and wind", $F$10)),
            IFERROR(INDEX(Inputs!$E$58:$AM$60,
                MATCH("Solar and wind", Inputs!$C$58:$C$60, 0),
                MATCH($F$8 - 2, Inputs!$E$57:$AM$57, 0)
            )/2, 0),
        IF(ISNUMBER(SEARCH("solar", $F$10)),
            IFERROR(INDEX(Inputs!$E$58:$AM$60,
                MATCH("Solar", Inputs!$C$58:$C$60, 0),
                MATCH($F$8 - 1, Inputs!$E$57:$AM$57, 0)
            ), 0),
        IF(ISNUMBER(SEARCH("wind", $F$10)),
            IFERROR(INDEX(Inputs!$E$58:$AM$60,
                MATCH("Wind", Inputs!$C$58:$C$60, 0),
                MATCH($F$8 - 2, Inputs!$E$57:$AM$57, 0)
            )/2, 0), 0)))
    ) +
    IF(H$17 = $F$8 - 2,
        IF(ISNUMBER(SEARCH("Solar and wind", $F$10)),
            IFERROR(INDEX(Inputs!$E$58:$AM$60,
                MATCH("Solar and wind", Inputs!$C$58:$C$60, 0),
                MATCH($F$8 - 2, Inputs!$E$57:$AM$57, 0)
            )/2, 0),
        IF(ISNUMBER(SEARCH("wind", $F$10)),
            IFERROR(INDEX(Inputs!$E$58:$AM$60,
                MATCH("Wind", Inputs!$C$58:$C$60, 0),
                MATCH($F$8 - 2, Inputs!$E$57:$AM$57, 0)
            )/2, 0), 0))
    )
) * $K$9 / $K$10</f>
        <v>0</v>
      </c>
      <c r="I23" s="205">
        <f xml:space="preserve"> -(
    IF(I$17 = $F$8 - 1,
        IF(ISNUMBER(SEARCH("Solar and wind", $F$10)),
            IFERROR(INDEX(Inputs!$E$58:$AM$60,
                MATCH("Solar and wind", Inputs!$C$58:$C$60, 0),
                MATCH($F$8 - 2, Inputs!$E$57:$AM$57, 0)
            )/2, 0),
        IF(ISNUMBER(SEARCH("solar", $F$10)),
            IFERROR(INDEX(Inputs!$E$58:$AM$60,
                MATCH("Solar", Inputs!$C$58:$C$60, 0),
                MATCH($F$8 - 1, Inputs!$E$57:$AM$57, 0)
            ), 0),
        IF(ISNUMBER(SEARCH("wind", $F$10)),
            IFERROR(INDEX(Inputs!$E$58:$AM$60,
                MATCH("Wind", Inputs!$C$58:$C$60, 0),
                MATCH($F$8 - 2, Inputs!$E$57:$AM$57, 0)
            )/2, 0), 0)))
    ) +
    IF(I$17 = $F$8 - 2,
        IF(ISNUMBER(SEARCH("Solar and wind", $F$10)),
            IFERROR(INDEX(Inputs!$E$58:$AM$60,
                MATCH("Solar and wind", Inputs!$C$58:$C$60, 0),
                MATCH($F$8 - 2, Inputs!$E$57:$AM$57, 0)
            )/2, 0),
        IF(ISNUMBER(SEARCH("wind", $F$10)),
            IFERROR(INDEX(Inputs!$E$58:$AM$60,
                MATCH("Wind", Inputs!$C$58:$C$60, 0),
                MATCH($F$8 - 2, Inputs!$E$57:$AM$57, 0)
            )/2, 0), 0))
    )
) * $K$9 / $K$10</f>
        <v>0</v>
      </c>
      <c r="J23" s="205">
        <f xml:space="preserve"> -(
    IF(J$17 = $F$8 - 1,
        IF(ISNUMBER(SEARCH("Solar and wind", $F$10)),
            IFERROR(INDEX(Inputs!$E$58:$AM$60,
                MATCH("Solar and wind", Inputs!$C$58:$C$60, 0),
                MATCH($F$8 - 2, Inputs!$E$57:$AM$57, 0)
            )/2, 0),
        IF(ISNUMBER(SEARCH("solar", $F$10)),
            IFERROR(INDEX(Inputs!$E$58:$AM$60,
                MATCH("Solar", Inputs!$C$58:$C$60, 0),
                MATCH($F$8 - 1, Inputs!$E$57:$AM$57, 0)
            ), 0),
        IF(ISNUMBER(SEARCH("wind", $F$10)),
            IFERROR(INDEX(Inputs!$E$58:$AM$60,
                MATCH("Wind", Inputs!$C$58:$C$60, 0),
                MATCH($F$8 - 2, Inputs!$E$57:$AM$57, 0)
            )/2, 0), 0)))
    ) +
    IF(J$17 = $F$8 - 2,
        IF(ISNUMBER(SEARCH("Solar and wind", $F$10)),
            IFERROR(INDEX(Inputs!$E$58:$AM$60,
                MATCH("Solar and wind", Inputs!$C$58:$C$60, 0),
                MATCH($F$8 - 2, Inputs!$E$57:$AM$57, 0)
            )/2, 0),
        IF(ISNUMBER(SEARCH("wind", $F$10)),
            IFERROR(INDEX(Inputs!$E$58:$AM$60,
                MATCH("Wind", Inputs!$C$58:$C$60, 0),
                MATCH($F$8 - 2, Inputs!$E$57:$AM$57, 0)
            )/2, 0), 0))
    )
) * $K$9 / $K$10</f>
        <v>0</v>
      </c>
      <c r="K23" s="205">
        <f xml:space="preserve"> -(
    IF(K$17 = $F$8 - 1,
        IF(ISNUMBER(SEARCH("Solar and wind", $F$10)),
            IFERROR(INDEX(Inputs!$E$58:$AM$60,
                MATCH("Solar and wind", Inputs!$C$58:$C$60, 0),
                MATCH($F$8 - 2, Inputs!$E$57:$AM$57, 0)
            )/2, 0),
        IF(ISNUMBER(SEARCH("solar", $F$10)),
            IFERROR(INDEX(Inputs!$E$58:$AM$60,
                MATCH("Solar", Inputs!$C$58:$C$60, 0),
                MATCH($F$8 - 1, Inputs!$E$57:$AM$57, 0)
            ), 0),
        IF(ISNUMBER(SEARCH("wind", $F$10)),
            IFERROR(INDEX(Inputs!$E$58:$AM$60,
                MATCH("Wind", Inputs!$C$58:$C$60, 0),
                MATCH($F$8 - 2, Inputs!$E$57:$AM$57, 0)
            )/2, 0), 0)))
    ) +
    IF(K$17 = $F$8 - 2,
        IF(ISNUMBER(SEARCH("Solar and wind", $F$10)),
            IFERROR(INDEX(Inputs!$E$58:$AM$60,
                MATCH("Solar and wind", Inputs!$C$58:$C$60, 0),
                MATCH($F$8 - 2, Inputs!$E$57:$AM$57, 0)
            )/2, 0),
        IF(ISNUMBER(SEARCH("wind", $F$10)),
            IFERROR(INDEX(Inputs!$E$58:$AM$60,
                MATCH("Wind", Inputs!$C$58:$C$60, 0),
                MATCH($F$8 - 2, Inputs!$E$57:$AM$57, 0)
            )/2, 0), 0))
    )
) * $K$9 / $K$10</f>
        <v>0</v>
      </c>
      <c r="L23" s="205">
        <f xml:space="preserve"> -(
    IF(L$17 = $F$8 - 1,
        IF(ISNUMBER(SEARCH("Solar and wind", $F$10)),
            IFERROR(INDEX(Inputs!$E$58:$AM$60,
                MATCH("Solar and wind", Inputs!$C$58:$C$60, 0),
                MATCH($F$8 - 2, Inputs!$E$57:$AM$57, 0)
            )/2, 0),
        IF(ISNUMBER(SEARCH("solar", $F$10)),
            IFERROR(INDEX(Inputs!$E$58:$AM$60,
                MATCH("Solar", Inputs!$C$58:$C$60, 0),
                MATCH($F$8 - 1, Inputs!$E$57:$AM$57, 0)
            ), 0),
        IF(ISNUMBER(SEARCH("wind", $F$10)),
            IFERROR(INDEX(Inputs!$E$58:$AM$60,
                MATCH("Wind", Inputs!$C$58:$C$60, 0),
                MATCH($F$8 - 2, Inputs!$E$57:$AM$57, 0)
            )/2, 0), 0)))
    ) +
    IF(L$17 = $F$8 - 2,
        IF(ISNUMBER(SEARCH("Solar and wind", $F$10)),
            IFERROR(INDEX(Inputs!$E$58:$AM$60,
                MATCH("Solar and wind", Inputs!$C$58:$C$60, 0),
                MATCH($F$8 - 2, Inputs!$E$57:$AM$57, 0)
            )/2, 0),
        IF(ISNUMBER(SEARCH("wind", $F$10)),
            IFERROR(INDEX(Inputs!$E$58:$AM$60,
                MATCH("Wind", Inputs!$C$58:$C$60, 0),
                MATCH($F$8 - 2, Inputs!$E$57:$AM$57, 0)
            )/2, 0), 0))
    )
) * $K$9 / $K$10</f>
        <v>0</v>
      </c>
      <c r="M23" s="205">
        <f xml:space="preserve"> -(
    IF(M$17 = $F$8 - 1,
        IF(ISNUMBER(SEARCH("Solar and wind", $F$10)),
            IFERROR(INDEX(Inputs!$E$58:$AM$60,
                MATCH("Solar and wind", Inputs!$C$58:$C$60, 0),
                MATCH($F$8 - 2, Inputs!$E$57:$AM$57, 0)
            )/2, 0),
        IF(ISNUMBER(SEARCH("solar", $F$10)),
            IFERROR(INDEX(Inputs!$E$58:$AM$60,
                MATCH("Solar", Inputs!$C$58:$C$60, 0),
                MATCH($F$8 - 1, Inputs!$E$57:$AM$57, 0)
            ), 0),
        IF(ISNUMBER(SEARCH("wind", $F$10)),
            IFERROR(INDEX(Inputs!$E$58:$AM$60,
                MATCH("Wind", Inputs!$C$58:$C$60, 0),
                MATCH($F$8 - 2, Inputs!$E$57:$AM$57, 0)
            )/2, 0), 0)))
    ) +
    IF(M$17 = $F$8 - 2,
        IF(ISNUMBER(SEARCH("Solar and wind", $F$10)),
            IFERROR(INDEX(Inputs!$E$58:$AM$60,
                MATCH("Solar and wind", Inputs!$C$58:$C$60, 0),
                MATCH($F$8 - 2, Inputs!$E$57:$AM$57, 0)
            )/2, 0),
        IF(ISNUMBER(SEARCH("wind", $F$10)),
            IFERROR(INDEX(Inputs!$E$58:$AM$60,
                MATCH("Wind", Inputs!$C$58:$C$60, 0),
                MATCH($F$8 - 2, Inputs!$E$57:$AM$57, 0)
            )/2, 0), 0))
    )
) * $K$9 / $K$10</f>
        <v>0</v>
      </c>
      <c r="N23" s="205">
        <f xml:space="preserve"> -(
    IF(N$17 = $F$8 - 1,
        IF(ISNUMBER(SEARCH("Solar and wind", $F$10)),
            IFERROR(INDEX(Inputs!$E$58:$AM$60,
                MATCH("Solar and wind", Inputs!$C$58:$C$60, 0),
                MATCH($F$8 - 2, Inputs!$E$57:$AM$57, 0)
            )/2, 0),
        IF(ISNUMBER(SEARCH("solar", $F$10)),
            IFERROR(INDEX(Inputs!$E$58:$AM$60,
                MATCH("Solar", Inputs!$C$58:$C$60, 0),
                MATCH($F$8 - 1, Inputs!$E$57:$AM$57, 0)
            ), 0),
        IF(ISNUMBER(SEARCH("wind", $F$10)),
            IFERROR(INDEX(Inputs!$E$58:$AM$60,
                MATCH("Wind", Inputs!$C$58:$C$60, 0),
                MATCH($F$8 - 2, Inputs!$E$57:$AM$57, 0)
            )/2, 0), 0)))
    ) +
    IF(N$17 = $F$8 - 2,
        IF(ISNUMBER(SEARCH("Solar and wind", $F$10)),
            IFERROR(INDEX(Inputs!$E$58:$AM$60,
                MATCH("Solar and wind", Inputs!$C$58:$C$60, 0),
                MATCH($F$8 - 2, Inputs!$E$57:$AM$57, 0)
            )/2, 0),
        IF(ISNUMBER(SEARCH("wind", $F$10)),
            IFERROR(INDEX(Inputs!$E$58:$AM$60,
                MATCH("Wind", Inputs!$C$58:$C$60, 0),
                MATCH($F$8 - 2, Inputs!$E$57:$AM$57, 0)
            )/2, 0), 0))
    )
) * $K$9 / $K$10</f>
        <v>0</v>
      </c>
      <c r="O23" s="205">
        <f xml:space="preserve"> -(
    IF(O$17 = $F$8 - 1,
        IF(ISNUMBER(SEARCH("Solar and wind", $F$10)),
            IFERROR(INDEX(Inputs!$E$58:$AM$60,
                MATCH("Solar and wind", Inputs!$C$58:$C$60, 0),
                MATCH($F$8 - 2, Inputs!$E$57:$AM$57, 0)
            )/2, 0),
        IF(ISNUMBER(SEARCH("solar", $F$10)),
            IFERROR(INDEX(Inputs!$E$58:$AM$60,
                MATCH("Solar", Inputs!$C$58:$C$60, 0),
                MATCH($F$8 - 1, Inputs!$E$57:$AM$57, 0)
            ), 0),
        IF(ISNUMBER(SEARCH("wind", $F$10)),
            IFERROR(INDEX(Inputs!$E$58:$AM$60,
                MATCH("Wind", Inputs!$C$58:$C$60, 0),
                MATCH($F$8 - 2, Inputs!$E$57:$AM$57, 0)
            )/2, 0), 0)))
    ) +
    IF(O$17 = $F$8 - 2,
        IF(ISNUMBER(SEARCH("Solar and wind", $F$10)),
            IFERROR(INDEX(Inputs!$E$58:$AM$60,
                MATCH("Solar and wind", Inputs!$C$58:$C$60, 0),
                MATCH($F$8 - 2, Inputs!$E$57:$AM$57, 0)
            )/2, 0),
        IF(ISNUMBER(SEARCH("wind", $F$10)),
            IFERROR(INDEX(Inputs!$E$58:$AM$60,
                MATCH("Wind", Inputs!$C$58:$C$60, 0),
                MATCH($F$8 - 2, Inputs!$E$57:$AM$57, 0)
            )/2, 0), 0))
    )
) * $K$9 / $K$10</f>
        <v>0</v>
      </c>
      <c r="P23" s="205">
        <f xml:space="preserve"> -(
    IF(P$17 = $F$8 - 1,
        IF(ISNUMBER(SEARCH("Solar and wind", $F$10)),
            IFERROR(INDEX(Inputs!$E$58:$AM$60,
                MATCH("Solar and wind", Inputs!$C$58:$C$60, 0),
                MATCH($F$8 - 2, Inputs!$E$57:$AM$57, 0)
            )/2, 0),
        IF(ISNUMBER(SEARCH("solar", $F$10)),
            IFERROR(INDEX(Inputs!$E$58:$AM$60,
                MATCH("Solar", Inputs!$C$58:$C$60, 0),
                MATCH($F$8 - 1, Inputs!$E$57:$AM$57, 0)
            ), 0),
        IF(ISNUMBER(SEARCH("wind", $F$10)),
            IFERROR(INDEX(Inputs!$E$58:$AM$60,
                MATCH("Wind", Inputs!$C$58:$C$60, 0),
                MATCH($F$8 - 2, Inputs!$E$57:$AM$57, 0)
            )/2, 0), 0)))
    ) +
    IF(P$17 = $F$8 - 2,
        IF(ISNUMBER(SEARCH("Solar and wind", $F$10)),
            IFERROR(INDEX(Inputs!$E$58:$AM$60,
                MATCH("Solar and wind", Inputs!$C$58:$C$60, 0),
                MATCH($F$8 - 2, Inputs!$E$57:$AM$57, 0)
            )/2, 0),
        IF(ISNUMBER(SEARCH("wind", $F$10)),
            IFERROR(INDEX(Inputs!$E$58:$AM$60,
                MATCH("Wind", Inputs!$C$58:$C$60, 0),
                MATCH($F$8 - 2, Inputs!$E$57:$AM$57, 0)
            )/2, 0), 0))
    )
) * $K$9 / $K$10</f>
        <v>0</v>
      </c>
      <c r="Q23" s="205">
        <f xml:space="preserve"> -(
    IF(Q$17 = $F$8 - 1,
        IF(ISNUMBER(SEARCH("Solar and wind", $F$10)),
            IFERROR(INDEX(Inputs!$E$58:$AM$60,
                MATCH("Solar and wind", Inputs!$C$58:$C$60, 0),
                MATCH($F$8 - 2, Inputs!$E$57:$AM$57, 0)
            )/2, 0),
        IF(ISNUMBER(SEARCH("solar", $F$10)),
            IFERROR(INDEX(Inputs!$E$58:$AM$60,
                MATCH("Solar", Inputs!$C$58:$C$60, 0),
                MATCH($F$8 - 1, Inputs!$E$57:$AM$57, 0)
            ), 0),
        IF(ISNUMBER(SEARCH("wind", $F$10)),
            IFERROR(INDEX(Inputs!$E$58:$AM$60,
                MATCH("Wind", Inputs!$C$58:$C$60, 0),
                MATCH($F$8 - 2, Inputs!$E$57:$AM$57, 0)
            )/2, 0), 0)))
    ) +
    IF(Q$17 = $F$8 - 2,
        IF(ISNUMBER(SEARCH("Solar and wind", $F$10)),
            IFERROR(INDEX(Inputs!$E$58:$AM$60,
                MATCH("Solar and wind", Inputs!$C$58:$C$60, 0),
                MATCH($F$8 - 2, Inputs!$E$57:$AM$57, 0)
            )/2, 0),
        IF(ISNUMBER(SEARCH("wind", $F$10)),
            IFERROR(INDEX(Inputs!$E$58:$AM$60,
                MATCH("Wind", Inputs!$C$58:$C$60, 0),
                MATCH($F$8 - 2, Inputs!$E$57:$AM$57, 0)
            )/2, 0), 0))
    )
) * $K$9 / $K$10</f>
        <v>0</v>
      </c>
      <c r="R23" s="205">
        <f xml:space="preserve"> -(
    IF(R$17 = $F$8 - 1,
        IF(ISNUMBER(SEARCH("Solar and wind", $F$10)),
            IFERROR(INDEX(Inputs!$E$58:$AM$60,
                MATCH("Solar and wind", Inputs!$C$58:$C$60, 0),
                MATCH($F$8 - 2, Inputs!$E$57:$AM$57, 0)
            )/2, 0),
        IF(ISNUMBER(SEARCH("solar", $F$10)),
            IFERROR(INDEX(Inputs!$E$58:$AM$60,
                MATCH("Solar", Inputs!$C$58:$C$60, 0),
                MATCH($F$8 - 1, Inputs!$E$57:$AM$57, 0)
            ), 0),
        IF(ISNUMBER(SEARCH("wind", $F$10)),
            IFERROR(INDEX(Inputs!$E$58:$AM$60,
                MATCH("Wind", Inputs!$C$58:$C$60, 0),
                MATCH($F$8 - 2, Inputs!$E$57:$AM$57, 0)
            )/2, 0), 0)))
    ) +
    IF(R$17 = $F$8 - 2,
        IF(ISNUMBER(SEARCH("Solar and wind", $F$10)),
            IFERROR(INDEX(Inputs!$E$58:$AM$60,
                MATCH("Solar and wind", Inputs!$C$58:$C$60, 0),
                MATCH($F$8 - 2, Inputs!$E$57:$AM$57, 0)
            )/2, 0),
        IF(ISNUMBER(SEARCH("wind", $F$10)),
            IFERROR(INDEX(Inputs!$E$58:$AM$60,
                MATCH("Wind", Inputs!$C$58:$C$60, 0),
                MATCH($F$8 - 2, Inputs!$E$57:$AM$57, 0)
            )/2, 0), 0))
    )
) * $K$9 / $K$10</f>
        <v>0</v>
      </c>
      <c r="S23" s="205">
        <f xml:space="preserve"> -(
    IF(S$17 = $F$8 - 1,
        IF(ISNUMBER(SEARCH("Solar and wind", $F$10)),
            IFERROR(INDEX(Inputs!$E$58:$AM$60,
                MATCH("Solar and wind", Inputs!$C$58:$C$60, 0),
                MATCH($F$8 - 2, Inputs!$E$57:$AM$57, 0)
            )/2, 0),
        IF(ISNUMBER(SEARCH("solar", $F$10)),
            IFERROR(INDEX(Inputs!$E$58:$AM$60,
                MATCH("Solar", Inputs!$C$58:$C$60, 0),
                MATCH($F$8 - 1, Inputs!$E$57:$AM$57, 0)
            ), 0),
        IF(ISNUMBER(SEARCH("wind", $F$10)),
            IFERROR(INDEX(Inputs!$E$58:$AM$60,
                MATCH("Wind", Inputs!$C$58:$C$60, 0),
                MATCH($F$8 - 2, Inputs!$E$57:$AM$57, 0)
            )/2, 0), 0)))
    ) +
    IF(S$17 = $F$8 - 2,
        IF(ISNUMBER(SEARCH("Solar and wind", $F$10)),
            IFERROR(INDEX(Inputs!$E$58:$AM$60,
                MATCH("Solar and wind", Inputs!$C$58:$C$60, 0),
                MATCH($F$8 - 2, Inputs!$E$57:$AM$57, 0)
            )/2, 0),
        IF(ISNUMBER(SEARCH("wind", $F$10)),
            IFERROR(INDEX(Inputs!$E$58:$AM$60,
                MATCH("Wind", Inputs!$C$58:$C$60, 0),
                MATCH($F$8 - 2, Inputs!$E$57:$AM$57, 0)
            )/2, 0), 0))
    )
) * $K$9 / $K$10</f>
        <v>0</v>
      </c>
      <c r="T23" s="205">
        <f xml:space="preserve"> -(
    IF(T$17 = $F$8 - 1,
        IF(ISNUMBER(SEARCH("Solar and wind", $F$10)),
            IFERROR(INDEX(Inputs!$E$58:$AM$60,
                MATCH("Solar and wind", Inputs!$C$58:$C$60, 0),
                MATCH($F$8 - 2, Inputs!$E$57:$AM$57, 0)
            )/2, 0),
        IF(ISNUMBER(SEARCH("solar", $F$10)),
            IFERROR(INDEX(Inputs!$E$58:$AM$60,
                MATCH("Solar", Inputs!$C$58:$C$60, 0),
                MATCH($F$8 - 1, Inputs!$E$57:$AM$57, 0)
            ), 0),
        IF(ISNUMBER(SEARCH("wind", $F$10)),
            IFERROR(INDEX(Inputs!$E$58:$AM$60,
                MATCH("Wind", Inputs!$C$58:$C$60, 0),
                MATCH($F$8 - 2, Inputs!$E$57:$AM$57, 0)
            )/2, 0), 0)))
    ) +
    IF(T$17 = $F$8 - 2,
        IF(ISNUMBER(SEARCH("Solar and wind", $F$10)),
            IFERROR(INDEX(Inputs!$E$58:$AM$60,
                MATCH("Solar and wind", Inputs!$C$58:$C$60, 0),
                MATCH($F$8 - 2, Inputs!$E$57:$AM$57, 0)
            )/2, 0),
        IF(ISNUMBER(SEARCH("wind", $F$10)),
            IFERROR(INDEX(Inputs!$E$58:$AM$60,
                MATCH("Wind", Inputs!$C$58:$C$60, 0),
                MATCH($F$8 - 2, Inputs!$E$57:$AM$57, 0)
            )/2, 0), 0))
    )
) * $K$9 / $K$10</f>
        <v>0</v>
      </c>
      <c r="U23" s="205">
        <f xml:space="preserve"> -(
    IF(U$17 = $F$8 - 1,
        IF(ISNUMBER(SEARCH("Solar and wind", $F$10)),
            IFERROR(INDEX(Inputs!$E$58:$AM$60,
                MATCH("Solar and wind", Inputs!$C$58:$C$60, 0),
                MATCH($F$8 - 2, Inputs!$E$57:$AM$57, 0)
            )/2, 0),
        IF(ISNUMBER(SEARCH("solar", $F$10)),
            IFERROR(INDEX(Inputs!$E$58:$AM$60,
                MATCH("Solar", Inputs!$C$58:$C$60, 0),
                MATCH($F$8 - 1, Inputs!$E$57:$AM$57, 0)
            ), 0),
        IF(ISNUMBER(SEARCH("wind", $F$10)),
            IFERROR(INDEX(Inputs!$E$58:$AM$60,
                MATCH("Wind", Inputs!$C$58:$C$60, 0),
                MATCH($F$8 - 2, Inputs!$E$57:$AM$57, 0)
            )/2, 0), 0)))
    ) +
    IF(U$17 = $F$8 - 2,
        IF(ISNUMBER(SEARCH("Solar and wind", $F$10)),
            IFERROR(INDEX(Inputs!$E$58:$AM$60,
                MATCH("Solar and wind", Inputs!$C$58:$C$60, 0),
                MATCH($F$8 - 2, Inputs!$E$57:$AM$57, 0)
            )/2, 0),
        IF(ISNUMBER(SEARCH("wind", $F$10)),
            IFERROR(INDEX(Inputs!$E$58:$AM$60,
                MATCH("Wind", Inputs!$C$58:$C$60, 0),
                MATCH($F$8 - 2, Inputs!$E$57:$AM$57, 0)
            )/2, 0), 0))
    )
) * $K$9 / $K$10</f>
        <v>0</v>
      </c>
      <c r="V23" s="205">
        <f xml:space="preserve"> -(
    IF(V$17 = $F$8 - 1,
        IF(ISNUMBER(SEARCH("Solar and wind", $F$10)),
            IFERROR(INDEX(Inputs!$E$58:$AM$60,
                MATCH("Solar and wind", Inputs!$C$58:$C$60, 0),
                MATCH($F$8 - 2, Inputs!$E$57:$AM$57, 0)
            )/2, 0),
        IF(ISNUMBER(SEARCH("solar", $F$10)),
            IFERROR(INDEX(Inputs!$E$58:$AM$60,
                MATCH("Solar", Inputs!$C$58:$C$60, 0),
                MATCH($F$8 - 1, Inputs!$E$57:$AM$57, 0)
            ), 0),
        IF(ISNUMBER(SEARCH("wind", $F$10)),
            IFERROR(INDEX(Inputs!$E$58:$AM$60,
                MATCH("Wind", Inputs!$C$58:$C$60, 0),
                MATCH($F$8 - 2, Inputs!$E$57:$AM$57, 0)
            )/2, 0), 0)))
    ) +
    IF(V$17 = $F$8 - 2,
        IF(ISNUMBER(SEARCH("Solar and wind", $F$10)),
            IFERROR(INDEX(Inputs!$E$58:$AM$60,
                MATCH("Solar and wind", Inputs!$C$58:$C$60, 0),
                MATCH($F$8 - 2, Inputs!$E$57:$AM$57, 0)
            )/2, 0),
        IF(ISNUMBER(SEARCH("wind", $F$10)),
            IFERROR(INDEX(Inputs!$E$58:$AM$60,
                MATCH("Wind", Inputs!$C$58:$C$60, 0),
                MATCH($F$8 - 2, Inputs!$E$57:$AM$57, 0)
            )/2, 0), 0))
    )
) * $K$9 / $K$10</f>
        <v>0</v>
      </c>
      <c r="W23" s="205">
        <f xml:space="preserve"> -(
    IF(W$17 = $F$8 - 1,
        IF(ISNUMBER(SEARCH("Solar and wind", $F$10)),
            IFERROR(INDEX(Inputs!$E$58:$AM$60,
                MATCH("Solar and wind", Inputs!$C$58:$C$60, 0),
                MATCH($F$8 - 2, Inputs!$E$57:$AM$57, 0)
            )/2, 0),
        IF(ISNUMBER(SEARCH("solar", $F$10)),
            IFERROR(INDEX(Inputs!$E$58:$AM$60,
                MATCH("Solar", Inputs!$C$58:$C$60, 0),
                MATCH($F$8 - 1, Inputs!$E$57:$AM$57, 0)
            ), 0),
        IF(ISNUMBER(SEARCH("wind", $F$10)),
            IFERROR(INDEX(Inputs!$E$58:$AM$60,
                MATCH("Wind", Inputs!$C$58:$C$60, 0),
                MATCH($F$8 - 2, Inputs!$E$57:$AM$57, 0)
            )/2, 0), 0)))
    ) +
    IF(W$17 = $F$8 - 2,
        IF(ISNUMBER(SEARCH("Solar and wind", $F$10)),
            IFERROR(INDEX(Inputs!$E$58:$AM$60,
                MATCH("Solar and wind", Inputs!$C$58:$C$60, 0),
                MATCH($F$8 - 2, Inputs!$E$57:$AM$57, 0)
            )/2, 0),
        IF(ISNUMBER(SEARCH("wind", $F$10)),
            IFERROR(INDEX(Inputs!$E$58:$AM$60,
                MATCH("Wind", Inputs!$C$58:$C$60, 0),
                MATCH($F$8 - 2, Inputs!$E$57:$AM$57, 0)
            )/2, 0), 0))
    )
) * $K$9 / $K$10</f>
        <v>0</v>
      </c>
      <c r="X23" s="205">
        <f xml:space="preserve"> -(
    IF(X$17 = $F$8 - 1,
        IF(ISNUMBER(SEARCH("Solar and wind", $F$10)),
            IFERROR(INDEX(Inputs!$E$58:$AM$60,
                MATCH("Solar and wind", Inputs!$C$58:$C$60, 0),
                MATCH($F$8 - 2, Inputs!$E$57:$AM$57, 0)
            )/2, 0),
        IF(ISNUMBER(SEARCH("solar", $F$10)),
            IFERROR(INDEX(Inputs!$E$58:$AM$60,
                MATCH("Solar", Inputs!$C$58:$C$60, 0),
                MATCH($F$8 - 1, Inputs!$E$57:$AM$57, 0)
            ), 0),
        IF(ISNUMBER(SEARCH("wind", $F$10)),
            IFERROR(INDEX(Inputs!$E$58:$AM$60,
                MATCH("Wind", Inputs!$C$58:$C$60, 0),
                MATCH($F$8 - 2, Inputs!$E$57:$AM$57, 0)
            )/2, 0), 0)))
    ) +
    IF(X$17 = $F$8 - 2,
        IF(ISNUMBER(SEARCH("Solar and wind", $F$10)),
            IFERROR(INDEX(Inputs!$E$58:$AM$60,
                MATCH("Solar and wind", Inputs!$C$58:$C$60, 0),
                MATCH($F$8 - 2, Inputs!$E$57:$AM$57, 0)
            )/2, 0),
        IF(ISNUMBER(SEARCH("wind", $F$10)),
            IFERROR(INDEX(Inputs!$E$58:$AM$60,
                MATCH("Wind", Inputs!$C$58:$C$60, 0),
                MATCH($F$8 - 2, Inputs!$E$57:$AM$57, 0)
            )/2, 0), 0))
    )
) * $K$9 / $K$10</f>
        <v>0</v>
      </c>
      <c r="Y23" s="205">
        <f xml:space="preserve"> -(
    IF(Y$17 = $F$8 - 1,
        IF(ISNUMBER(SEARCH("Solar and wind", $F$10)),
            IFERROR(INDEX(Inputs!$E$58:$AM$60,
                MATCH("Solar and wind", Inputs!$C$58:$C$60, 0),
                MATCH($F$8 - 2, Inputs!$E$57:$AM$57, 0)
            )/2, 0),
        IF(ISNUMBER(SEARCH("solar", $F$10)),
            IFERROR(INDEX(Inputs!$E$58:$AM$60,
                MATCH("Solar", Inputs!$C$58:$C$60, 0),
                MATCH($F$8 - 1, Inputs!$E$57:$AM$57, 0)
            ), 0),
        IF(ISNUMBER(SEARCH("wind", $F$10)),
            IFERROR(INDEX(Inputs!$E$58:$AM$60,
                MATCH("Wind", Inputs!$C$58:$C$60, 0),
                MATCH($F$8 - 2, Inputs!$E$57:$AM$57, 0)
            )/2, 0), 0)))
    ) +
    IF(Y$17 = $F$8 - 2,
        IF(ISNUMBER(SEARCH("Solar and wind", $F$10)),
            IFERROR(INDEX(Inputs!$E$58:$AM$60,
                MATCH("Solar and wind", Inputs!$C$58:$C$60, 0),
                MATCH($F$8 - 2, Inputs!$E$57:$AM$57, 0)
            )/2, 0),
        IF(ISNUMBER(SEARCH("wind", $F$10)),
            IFERROR(INDEX(Inputs!$E$58:$AM$60,
                MATCH("Wind", Inputs!$C$58:$C$60, 0),
                MATCH($F$8 - 2, Inputs!$E$57:$AM$57, 0)
            )/2, 0), 0))
    )
) * $K$9 / $K$10</f>
        <v>0</v>
      </c>
      <c r="Z23" s="205">
        <f xml:space="preserve"> -(
    IF(Z$17 = $F$8 - 1,
        IF(ISNUMBER(SEARCH("Solar and wind", $F$10)),
            IFERROR(INDEX(Inputs!$E$58:$AM$60,
                MATCH("Solar and wind", Inputs!$C$58:$C$60, 0),
                MATCH($F$8 - 2, Inputs!$E$57:$AM$57, 0)
            )/2, 0),
        IF(ISNUMBER(SEARCH("solar", $F$10)),
            IFERROR(INDEX(Inputs!$E$58:$AM$60,
                MATCH("Solar", Inputs!$C$58:$C$60, 0),
                MATCH($F$8 - 1, Inputs!$E$57:$AM$57, 0)
            ), 0),
        IF(ISNUMBER(SEARCH("wind", $F$10)),
            IFERROR(INDEX(Inputs!$E$58:$AM$60,
                MATCH("Wind", Inputs!$C$58:$C$60, 0),
                MATCH($F$8 - 2, Inputs!$E$57:$AM$57, 0)
            )/2, 0), 0)))
    ) +
    IF(Z$17 = $F$8 - 2,
        IF(ISNUMBER(SEARCH("Solar and wind", $F$10)),
            IFERROR(INDEX(Inputs!$E$58:$AM$60,
                MATCH("Solar and wind", Inputs!$C$58:$C$60, 0),
                MATCH($F$8 - 2, Inputs!$E$57:$AM$57, 0)
            )/2, 0),
        IF(ISNUMBER(SEARCH("wind", $F$10)),
            IFERROR(INDEX(Inputs!$E$58:$AM$60,
                MATCH("Wind", Inputs!$C$58:$C$60, 0),
                MATCH($F$8 - 2, Inputs!$E$57:$AM$57, 0)
            )/2, 0), 0))
    )
) * $K$9 / $K$10</f>
        <v>0</v>
      </c>
      <c r="AA23" s="205">
        <f xml:space="preserve"> -(
    IF(AA$17 = $F$8 - 1,
        IF(ISNUMBER(SEARCH("Solar and wind", $F$10)),
            IFERROR(INDEX(Inputs!$E$58:$AM$60,
                MATCH("Solar and wind", Inputs!$C$58:$C$60, 0),
                MATCH($F$8 - 2, Inputs!$E$57:$AM$57, 0)
            )/2, 0),
        IF(ISNUMBER(SEARCH("solar", $F$10)),
            IFERROR(INDEX(Inputs!$E$58:$AM$60,
                MATCH("Solar", Inputs!$C$58:$C$60, 0),
                MATCH($F$8 - 1, Inputs!$E$57:$AM$57, 0)
            ), 0),
        IF(ISNUMBER(SEARCH("wind", $F$10)),
            IFERROR(INDEX(Inputs!$E$58:$AM$60,
                MATCH("Wind", Inputs!$C$58:$C$60, 0),
                MATCH($F$8 - 2, Inputs!$E$57:$AM$57, 0)
            )/2, 0), 0)))
    ) +
    IF(AA$17 = $F$8 - 2,
        IF(ISNUMBER(SEARCH("Solar and wind", $F$10)),
            IFERROR(INDEX(Inputs!$E$58:$AM$60,
                MATCH("Solar and wind", Inputs!$C$58:$C$60, 0),
                MATCH($F$8 - 2, Inputs!$E$57:$AM$57, 0)
            )/2, 0),
        IF(ISNUMBER(SEARCH("wind", $F$10)),
            IFERROR(INDEX(Inputs!$E$58:$AM$60,
                MATCH("Wind", Inputs!$C$58:$C$60, 0),
                MATCH($F$8 - 2, Inputs!$E$57:$AM$57, 0)
            )/2, 0), 0))
    )
) * $K$9 / $K$10</f>
        <v>0</v>
      </c>
      <c r="AB23" s="205">
        <f xml:space="preserve"> -(
    IF(AB$17 = $F$8 - 1,
        IF(ISNUMBER(SEARCH("Solar and wind", $F$10)),
            IFERROR(INDEX(Inputs!$E$58:$AM$60,
                MATCH("Solar and wind", Inputs!$C$58:$C$60, 0),
                MATCH($F$8 - 2, Inputs!$E$57:$AM$57, 0)
            )/2, 0),
        IF(ISNUMBER(SEARCH("solar", $F$10)),
            IFERROR(INDEX(Inputs!$E$58:$AM$60,
                MATCH("Solar", Inputs!$C$58:$C$60, 0),
                MATCH($F$8 - 1, Inputs!$E$57:$AM$57, 0)
            ), 0),
        IF(ISNUMBER(SEARCH("wind", $F$10)),
            IFERROR(INDEX(Inputs!$E$58:$AM$60,
                MATCH("Wind", Inputs!$C$58:$C$60, 0),
                MATCH($F$8 - 2, Inputs!$E$57:$AM$57, 0)
            )/2, 0), 0)))
    ) +
    IF(AB$17 = $F$8 - 2,
        IF(ISNUMBER(SEARCH("Solar and wind", $F$10)),
            IFERROR(INDEX(Inputs!$E$58:$AM$60,
                MATCH("Solar and wind", Inputs!$C$58:$C$60, 0),
                MATCH($F$8 - 2, Inputs!$E$57:$AM$57, 0)
            )/2, 0),
        IF(ISNUMBER(SEARCH("wind", $F$10)),
            IFERROR(INDEX(Inputs!$E$58:$AM$60,
                MATCH("Wind", Inputs!$C$58:$C$60, 0),
                MATCH($F$8 - 2, Inputs!$E$57:$AM$57, 0)
            )/2, 0), 0))
    )
) * $K$9 / $K$10</f>
        <v>0</v>
      </c>
      <c r="AC23" s="205">
        <f xml:space="preserve"> -(
    IF(AC$17 = $F$8 - 1,
        IF(ISNUMBER(SEARCH("Solar and wind", $F$10)),
            IFERROR(INDEX(Inputs!$E$58:$AM$60,
                MATCH("Solar and wind", Inputs!$C$58:$C$60, 0),
                MATCH($F$8 - 2, Inputs!$E$57:$AM$57, 0)
            )/2, 0),
        IF(ISNUMBER(SEARCH("solar", $F$10)),
            IFERROR(INDEX(Inputs!$E$58:$AM$60,
                MATCH("Solar", Inputs!$C$58:$C$60, 0),
                MATCH($F$8 - 1, Inputs!$E$57:$AM$57, 0)
            ), 0),
        IF(ISNUMBER(SEARCH("wind", $F$10)),
            IFERROR(INDEX(Inputs!$E$58:$AM$60,
                MATCH("Wind", Inputs!$C$58:$C$60, 0),
                MATCH($F$8 - 2, Inputs!$E$57:$AM$57, 0)
            )/2, 0), 0)))
    ) +
    IF(AC$17 = $F$8 - 2,
        IF(ISNUMBER(SEARCH("Solar and wind", $F$10)),
            IFERROR(INDEX(Inputs!$E$58:$AM$60,
                MATCH("Solar and wind", Inputs!$C$58:$C$60, 0),
                MATCH($F$8 - 2, Inputs!$E$57:$AM$57, 0)
            )/2, 0),
        IF(ISNUMBER(SEARCH("wind", $F$10)),
            IFERROR(INDEX(Inputs!$E$58:$AM$60,
                MATCH("Wind", Inputs!$C$58:$C$60, 0),
                MATCH($F$8 - 2, Inputs!$E$57:$AM$57, 0)
            )/2, 0), 0))
    )
) * $K$9 / $K$10</f>
        <v>0</v>
      </c>
      <c r="AD23" s="205">
        <f xml:space="preserve"> -(
    IF(AD$17 = $F$8 - 1,
        IF(ISNUMBER(SEARCH("Solar and wind", $F$10)),
            IFERROR(INDEX(Inputs!$E$58:$AM$60,
                MATCH("Solar and wind", Inputs!$C$58:$C$60, 0),
                MATCH($F$8 - 2, Inputs!$E$57:$AM$57, 0)
            )/2, 0),
        IF(ISNUMBER(SEARCH("solar", $F$10)),
            IFERROR(INDEX(Inputs!$E$58:$AM$60,
                MATCH("Solar", Inputs!$C$58:$C$60, 0),
                MATCH($F$8 - 1, Inputs!$E$57:$AM$57, 0)
            ), 0),
        IF(ISNUMBER(SEARCH("wind", $F$10)),
            IFERROR(INDEX(Inputs!$E$58:$AM$60,
                MATCH("Wind", Inputs!$C$58:$C$60, 0),
                MATCH($F$8 - 2, Inputs!$E$57:$AM$57, 0)
            )/2, 0), 0)))
    ) +
    IF(AD$17 = $F$8 - 2,
        IF(ISNUMBER(SEARCH("Solar and wind", $F$10)),
            IFERROR(INDEX(Inputs!$E$58:$AM$60,
                MATCH("Solar and wind", Inputs!$C$58:$C$60, 0),
                MATCH($F$8 - 2, Inputs!$E$57:$AM$57, 0)
            )/2, 0),
        IF(ISNUMBER(SEARCH("wind", $F$10)),
            IFERROR(INDEX(Inputs!$E$58:$AM$60,
                MATCH("Wind", Inputs!$C$58:$C$60, 0),
                MATCH($F$8 - 2, Inputs!$E$57:$AM$57, 0)
            )/2, 0), 0))
    )
) * $K$9 / $K$10</f>
        <v>0</v>
      </c>
      <c r="AE23" s="205">
        <f xml:space="preserve"> -(
    IF(AE$17 = $F$8 - 1,
        IF(ISNUMBER(SEARCH("Solar and wind", $F$10)),
            IFERROR(INDEX(Inputs!$E$58:$AM$60,
                MATCH("Solar and wind", Inputs!$C$58:$C$60, 0),
                MATCH($F$8 - 2, Inputs!$E$57:$AM$57, 0)
            )/2, 0),
        IF(ISNUMBER(SEARCH("solar", $F$10)),
            IFERROR(INDEX(Inputs!$E$58:$AM$60,
                MATCH("Solar", Inputs!$C$58:$C$60, 0),
                MATCH($F$8 - 1, Inputs!$E$57:$AM$57, 0)
            ), 0),
        IF(ISNUMBER(SEARCH("wind", $F$10)),
            IFERROR(INDEX(Inputs!$E$58:$AM$60,
                MATCH("Wind", Inputs!$C$58:$C$60, 0),
                MATCH($F$8 - 2, Inputs!$E$57:$AM$57, 0)
            )/2, 0), 0)))
    ) +
    IF(AE$17 = $F$8 - 2,
        IF(ISNUMBER(SEARCH("Solar and wind", $F$10)),
            IFERROR(INDEX(Inputs!$E$58:$AM$60,
                MATCH("Solar and wind", Inputs!$C$58:$C$60, 0),
                MATCH($F$8 - 2, Inputs!$E$57:$AM$57, 0)
            )/2, 0),
        IF(ISNUMBER(SEARCH("wind", $F$10)),
            IFERROR(INDEX(Inputs!$E$58:$AM$60,
                MATCH("Wind", Inputs!$C$58:$C$60, 0),
                MATCH($F$8 - 2, Inputs!$E$57:$AM$57, 0)
            )/2, 0), 0))
    )
) * $K$9 / $K$10</f>
        <v>0</v>
      </c>
      <c r="AF23" s="205">
        <f xml:space="preserve"> -(
    IF(AF$17 = $F$8 - 1,
        IF(ISNUMBER(SEARCH("Solar and wind", $F$10)),
            IFERROR(INDEX(Inputs!$E$58:$AM$60,
                MATCH("Solar and wind", Inputs!$C$58:$C$60, 0),
                MATCH($F$8 - 2, Inputs!$E$57:$AM$57, 0)
            )/2, 0),
        IF(ISNUMBER(SEARCH("solar", $F$10)),
            IFERROR(INDEX(Inputs!$E$58:$AM$60,
                MATCH("Solar", Inputs!$C$58:$C$60, 0),
                MATCH($F$8 - 1, Inputs!$E$57:$AM$57, 0)
            ), 0),
        IF(ISNUMBER(SEARCH("wind", $F$10)),
            IFERROR(INDEX(Inputs!$E$58:$AM$60,
                MATCH("Wind", Inputs!$C$58:$C$60, 0),
                MATCH($F$8 - 2, Inputs!$E$57:$AM$57, 0)
            )/2, 0), 0)))
    ) +
    IF(AF$17 = $F$8 - 2,
        IF(ISNUMBER(SEARCH("Solar and wind", $F$10)),
            IFERROR(INDEX(Inputs!$E$58:$AM$60,
                MATCH("Solar and wind", Inputs!$C$58:$C$60, 0),
                MATCH($F$8 - 2, Inputs!$E$57:$AM$57, 0)
            )/2, 0),
        IF(ISNUMBER(SEARCH("wind", $F$10)),
            IFERROR(INDEX(Inputs!$E$58:$AM$60,
                MATCH("Wind", Inputs!$C$58:$C$60, 0),
                MATCH($F$8 - 2, Inputs!$E$57:$AM$57, 0)
            )/2, 0), 0))
    )
) * $K$9 / $K$10</f>
        <v>0</v>
      </c>
      <c r="AG23" s="205">
        <f xml:space="preserve"> -(
    IF(AG$17 = $F$8 - 1,
        IF(ISNUMBER(SEARCH("Solar and wind", $F$10)),
            IFERROR(INDEX(Inputs!$E$58:$AM$60,
                MATCH("Solar and wind", Inputs!$C$58:$C$60, 0),
                MATCH($F$8 - 2, Inputs!$E$57:$AM$57, 0)
            )/2, 0),
        IF(ISNUMBER(SEARCH("solar", $F$10)),
            IFERROR(INDEX(Inputs!$E$58:$AM$60,
                MATCH("Solar", Inputs!$C$58:$C$60, 0),
                MATCH($F$8 - 1, Inputs!$E$57:$AM$57, 0)
            ), 0),
        IF(ISNUMBER(SEARCH("wind", $F$10)),
            IFERROR(INDEX(Inputs!$E$58:$AM$60,
                MATCH("Wind", Inputs!$C$58:$C$60, 0),
                MATCH($F$8 - 2, Inputs!$E$57:$AM$57, 0)
            )/2, 0), 0)))
    ) +
    IF(AG$17 = $F$8 - 2,
        IF(ISNUMBER(SEARCH("Solar and wind", $F$10)),
            IFERROR(INDEX(Inputs!$E$58:$AM$60,
                MATCH("Solar and wind", Inputs!$C$58:$C$60, 0),
                MATCH($F$8 - 2, Inputs!$E$57:$AM$57, 0)
            )/2, 0),
        IF(ISNUMBER(SEARCH("wind", $F$10)),
            IFERROR(INDEX(Inputs!$E$58:$AM$60,
                MATCH("Wind", Inputs!$C$58:$C$60, 0),
                MATCH($F$8 - 2, Inputs!$E$57:$AM$57, 0)
            )/2, 0), 0))
    )
) * $K$9 / $K$10</f>
        <v>0</v>
      </c>
      <c r="AH23" s="205">
        <f xml:space="preserve"> -(
    IF(AH$17 = $F$8 - 1,
        IF(ISNUMBER(SEARCH("Solar and wind", $F$10)),
            IFERROR(INDEX(Inputs!$E$58:$AM$60,
                MATCH("Solar and wind", Inputs!$C$58:$C$60, 0),
                MATCH($F$8 - 2, Inputs!$E$57:$AM$57, 0)
            )/2, 0),
        IF(ISNUMBER(SEARCH("solar", $F$10)),
            IFERROR(INDEX(Inputs!$E$58:$AM$60,
                MATCH("Solar", Inputs!$C$58:$C$60, 0),
                MATCH($F$8 - 1, Inputs!$E$57:$AM$57, 0)
            ), 0),
        IF(ISNUMBER(SEARCH("wind", $F$10)),
            IFERROR(INDEX(Inputs!$E$58:$AM$60,
                MATCH("Wind", Inputs!$C$58:$C$60, 0),
                MATCH($F$8 - 2, Inputs!$E$57:$AM$57, 0)
            )/2, 0), 0)))
    ) +
    IF(AH$17 = $F$8 - 2,
        IF(ISNUMBER(SEARCH("Solar and wind", $F$10)),
            IFERROR(INDEX(Inputs!$E$58:$AM$60,
                MATCH("Solar and wind", Inputs!$C$58:$C$60, 0),
                MATCH($F$8 - 2, Inputs!$E$57:$AM$57, 0)
            )/2, 0),
        IF(ISNUMBER(SEARCH("wind", $F$10)),
            IFERROR(INDEX(Inputs!$E$58:$AM$60,
                MATCH("Wind", Inputs!$C$58:$C$60, 0),
                MATCH($F$8 - 2, Inputs!$E$57:$AM$57, 0)
            )/2, 0), 0))
    )
) * $K$9 / $K$10</f>
        <v>0</v>
      </c>
      <c r="AI23" s="205">
        <f xml:space="preserve"> -(
    IF(AI$17 = $F$8 - 1,
        IF(ISNUMBER(SEARCH("Solar and wind", $F$10)),
            IFERROR(INDEX(Inputs!$E$58:$AM$60,
                MATCH("Solar and wind", Inputs!$C$58:$C$60, 0),
                MATCH($F$8 - 2, Inputs!$E$57:$AM$57, 0)
            )/2, 0),
        IF(ISNUMBER(SEARCH("solar", $F$10)),
            IFERROR(INDEX(Inputs!$E$58:$AM$60,
                MATCH("Solar", Inputs!$C$58:$C$60, 0),
                MATCH($F$8 - 1, Inputs!$E$57:$AM$57, 0)
            ), 0),
        IF(ISNUMBER(SEARCH("wind", $F$10)),
            IFERROR(INDEX(Inputs!$E$58:$AM$60,
                MATCH("Wind", Inputs!$C$58:$C$60, 0),
                MATCH($F$8 - 2, Inputs!$E$57:$AM$57, 0)
            )/2, 0), 0)))
    ) +
    IF(AI$17 = $F$8 - 2,
        IF(ISNUMBER(SEARCH("Solar and wind", $F$10)),
            IFERROR(INDEX(Inputs!$E$58:$AM$60,
                MATCH("Solar and wind", Inputs!$C$58:$C$60, 0),
                MATCH($F$8 - 2, Inputs!$E$57:$AM$57, 0)
            )/2, 0),
        IF(ISNUMBER(SEARCH("wind", $F$10)),
            IFERROR(INDEX(Inputs!$E$58:$AM$60,
                MATCH("Wind", Inputs!$C$58:$C$60, 0),
                MATCH($F$8 - 2, Inputs!$E$57:$AM$57, 0)
            )/2, 0), 0))
    )
) * $K$9 / $K$10</f>
        <v>0</v>
      </c>
      <c r="AJ23" s="205">
        <f xml:space="preserve"> -(
    IF(AJ$17 = $F$8 - 1,
        IF(ISNUMBER(SEARCH("Solar and wind", $F$10)),
            IFERROR(INDEX(Inputs!$E$58:$AM$60,
                MATCH("Solar and wind", Inputs!$C$58:$C$60, 0),
                MATCH($F$8 - 2, Inputs!$E$57:$AM$57, 0)
            )/2, 0),
        IF(ISNUMBER(SEARCH("solar", $F$10)),
            IFERROR(INDEX(Inputs!$E$58:$AM$60,
                MATCH("Solar", Inputs!$C$58:$C$60, 0),
                MATCH($F$8 - 1, Inputs!$E$57:$AM$57, 0)
            ), 0),
        IF(ISNUMBER(SEARCH("wind", $F$10)),
            IFERROR(INDEX(Inputs!$E$58:$AM$60,
                MATCH("Wind", Inputs!$C$58:$C$60, 0),
                MATCH($F$8 - 2, Inputs!$E$57:$AM$57, 0)
            )/2, 0), 0)))
    ) +
    IF(AJ$17 = $F$8 - 2,
        IF(ISNUMBER(SEARCH("Solar and wind", $F$10)),
            IFERROR(INDEX(Inputs!$E$58:$AM$60,
                MATCH("Solar and wind", Inputs!$C$58:$C$60, 0),
                MATCH($F$8 - 2, Inputs!$E$57:$AM$57, 0)
            )/2, 0),
        IF(ISNUMBER(SEARCH("wind", $F$10)),
            IFERROR(INDEX(Inputs!$E$58:$AM$60,
                MATCH("Wind", Inputs!$C$58:$C$60, 0),
                MATCH($F$8 - 2, Inputs!$E$57:$AM$57, 0)
            )/2, 0), 0))
    )
) * $K$9 / $K$10</f>
        <v>0</v>
      </c>
      <c r="AK23" s="205">
        <f xml:space="preserve"> -(
    IF(AK$17 = $F$8 - 1,
        IF(ISNUMBER(SEARCH("Solar and wind", $F$10)),
            IFERROR(INDEX(Inputs!$E$58:$AM$60,
                MATCH("Solar and wind", Inputs!$C$58:$C$60, 0),
                MATCH($F$8 - 2, Inputs!$E$57:$AM$57, 0)
            )/2, 0),
        IF(ISNUMBER(SEARCH("solar", $F$10)),
            IFERROR(INDEX(Inputs!$E$58:$AM$60,
                MATCH("Solar", Inputs!$C$58:$C$60, 0),
                MATCH($F$8 - 1, Inputs!$E$57:$AM$57, 0)
            ), 0),
        IF(ISNUMBER(SEARCH("wind", $F$10)),
            IFERROR(INDEX(Inputs!$E$58:$AM$60,
                MATCH("Wind", Inputs!$C$58:$C$60, 0),
                MATCH($F$8 - 2, Inputs!$E$57:$AM$57, 0)
            )/2, 0), 0)))
    ) +
    IF(AK$17 = $F$8 - 2,
        IF(ISNUMBER(SEARCH("Solar and wind", $F$10)),
            IFERROR(INDEX(Inputs!$E$58:$AM$60,
                MATCH("Solar and wind", Inputs!$C$58:$C$60, 0),
                MATCH($F$8 - 2, Inputs!$E$57:$AM$57, 0)
            )/2, 0),
        IF(ISNUMBER(SEARCH("wind", $F$10)),
            IFERROR(INDEX(Inputs!$E$58:$AM$60,
                MATCH("Wind", Inputs!$C$58:$C$60, 0),
                MATCH($F$8 - 2, Inputs!$E$57:$AM$57, 0)
            )/2, 0), 0))
    )
) * $K$9 / $K$10</f>
        <v>0</v>
      </c>
      <c r="AL23" s="205">
        <f xml:space="preserve"> -(
    IF(AL$17 = $F$8 - 1,
        IF(ISNUMBER(SEARCH("Solar and wind", $F$10)),
            IFERROR(INDEX(Inputs!$E$58:$AM$60,
                MATCH("Solar and wind", Inputs!$C$58:$C$60, 0),
                MATCH($F$8 - 2, Inputs!$E$57:$AM$57, 0)
            )/2, 0),
        IF(ISNUMBER(SEARCH("solar", $F$10)),
            IFERROR(INDEX(Inputs!$E$58:$AM$60,
                MATCH("Solar", Inputs!$C$58:$C$60, 0),
                MATCH($F$8 - 1, Inputs!$E$57:$AM$57, 0)
            ), 0),
        IF(ISNUMBER(SEARCH("wind", $F$10)),
            IFERROR(INDEX(Inputs!$E$58:$AM$60,
                MATCH("Wind", Inputs!$C$58:$C$60, 0),
                MATCH($F$8 - 2, Inputs!$E$57:$AM$57, 0)
            )/2, 0), 0)))
    ) +
    IF(AL$17 = $F$8 - 2,
        IF(ISNUMBER(SEARCH("Solar and wind", $F$10)),
            IFERROR(INDEX(Inputs!$E$58:$AM$60,
                MATCH("Solar and wind", Inputs!$C$58:$C$60, 0),
                MATCH($F$8 - 2, Inputs!$E$57:$AM$57, 0)
            )/2, 0),
        IF(ISNUMBER(SEARCH("wind", $F$10)),
            IFERROR(INDEX(Inputs!$E$58:$AM$60,
                MATCH("Wind", Inputs!$C$58:$C$60, 0),
                MATCH($F$8 - 2, Inputs!$E$57:$AM$57, 0)
            )/2, 0), 0))
    )
) * $K$9 / $K$10</f>
        <v>0</v>
      </c>
      <c r="AM23" s="205">
        <f xml:space="preserve"> -(
    IF(AM$17 = $F$8 - 1,
        IF(ISNUMBER(SEARCH("Solar and wind", $F$10)),
            IFERROR(INDEX(Inputs!$E$58:$AM$60,
                MATCH("Solar and wind", Inputs!$C$58:$C$60, 0),
                MATCH($F$8 - 2, Inputs!$E$57:$AM$57, 0)
            )/2, 0),
        IF(ISNUMBER(SEARCH("solar", $F$10)),
            IFERROR(INDEX(Inputs!$E$58:$AM$60,
                MATCH("Solar", Inputs!$C$58:$C$60, 0),
                MATCH($F$8 - 1, Inputs!$E$57:$AM$57, 0)
            ), 0),
        IF(ISNUMBER(SEARCH("wind", $F$10)),
            IFERROR(INDEX(Inputs!$E$58:$AM$60,
                MATCH("Wind", Inputs!$C$58:$C$60, 0),
                MATCH($F$8 - 2, Inputs!$E$57:$AM$57, 0)
            )/2, 0), 0)))
    ) +
    IF(AM$17 = $F$8 - 2,
        IF(ISNUMBER(SEARCH("Solar and wind", $F$10)),
            IFERROR(INDEX(Inputs!$E$58:$AM$60,
                MATCH("Solar and wind", Inputs!$C$58:$C$60, 0),
                MATCH($F$8 - 2, Inputs!$E$57:$AM$57, 0)
            )/2, 0),
        IF(ISNUMBER(SEARCH("wind", $F$10)),
            IFERROR(INDEX(Inputs!$E$58:$AM$60,
                MATCH("Wind", Inputs!$C$58:$C$60, 0),
                MATCH($F$8 - 2, Inputs!$E$57:$AM$57, 0)
            )/2, 0), 0))
    )
) * $K$9 / $K$10</f>
        <v>0</v>
      </c>
      <c r="AN23" s="205">
        <f xml:space="preserve"> -(
    IF(AN$17 = $F$8 - 1,
        IF(ISNUMBER(SEARCH("Solar and wind", $F$10)),
            IFERROR(INDEX(Inputs!$E$58:$AM$60,
                MATCH("Solar and wind", Inputs!$C$58:$C$60, 0),
                MATCH($F$8 - 2, Inputs!$E$57:$AM$57, 0)
            )/2, 0),
        IF(ISNUMBER(SEARCH("solar", $F$10)),
            IFERROR(INDEX(Inputs!$E$58:$AM$60,
                MATCH("Solar", Inputs!$C$58:$C$60, 0),
                MATCH($F$8 - 1, Inputs!$E$57:$AM$57, 0)
            ), 0),
        IF(ISNUMBER(SEARCH("wind", $F$10)),
            IFERROR(INDEX(Inputs!$E$58:$AM$60,
                MATCH("Wind", Inputs!$C$58:$C$60, 0),
                MATCH($F$8 - 2, Inputs!$E$57:$AM$57, 0)
            )/2, 0), 0)))
    ) +
    IF(AN$17 = $F$8 - 2,
        IF(ISNUMBER(SEARCH("Solar and wind", $F$10)),
            IFERROR(INDEX(Inputs!$E$58:$AM$60,
                MATCH("Solar and wind", Inputs!$C$58:$C$60, 0),
                MATCH($F$8 - 2, Inputs!$E$57:$AM$57, 0)
            )/2, 0),
        IF(ISNUMBER(SEARCH("wind", $F$10)),
            IFERROR(INDEX(Inputs!$E$58:$AM$60,
                MATCH("Wind", Inputs!$C$58:$C$60, 0),
                MATCH($F$8 - 2, Inputs!$E$57:$AM$57, 0)
            )/2, 0), 0))
    )
) * $K$9 / $K$10</f>
        <v>0</v>
      </c>
    </row>
    <row r="24" spans="1:41" x14ac:dyDescent="0.25">
      <c r="B24" s="206" t="s">
        <v>146</v>
      </c>
      <c r="C24" s="200">
        <f>Inputs!$E$97</f>
        <v>0.12</v>
      </c>
      <c r="D24" s="192" t="s">
        <v>242</v>
      </c>
      <c r="E24" s="155" cm="1">
        <f t="array" ref="E24">NPV($C24, INDEX(F24:AN24, MATCH(TRUE, F$29:AN$29&lt;&gt;0, 0)+1):AN24)+INDEX(F24:AN24, MATCH(TRUE, F$29:AN$29&lt;&gt;0, 0))</f>
        <v>-84.012613144444373</v>
      </c>
      <c r="F24" s="168">
        <f>IF(ISNUMBER(SEARCH("standalone", $F$10)), 0,
-IF(AND(F$17 &gt;= $F$8, F$17 &lt; $F$8 + $F$14),
    INDEX(Inputs!$E$63:$AM$65,
        MATCH(
            IF(ISNUMBER(SEARCH("Solar and wind", $F$10)), "Solar and wind",
            IF(ISNUMBER(SEARCH("solar", $F$10)), "Solar",
            IF(ISNUMBER(SEARCH("wind", $F$10)), "Wind",
            IF(ISNUMBER(SEARCH("placeholder", $F$10)), "placeholder", "Other")
            ))),
        Inputs!$C$63:$C$65, 0),
        MATCH($F$8, Inputs!$E$62:$AM$62, 0)
    ), 0
) * $K$9 / $K$10)</f>
        <v>0</v>
      </c>
      <c r="G24" s="168">
        <f>IF(ISNUMBER(SEARCH("standalone", $F$10)), 0,
-IF(AND(G$17 &gt;= $F$8, G$17 &lt; $F$8 + $F$14),
    INDEX(Inputs!$E$63:$AM$65,
        MATCH(
            IF(ISNUMBER(SEARCH("Solar and wind", $F$10)), "Solar and wind",
            IF(ISNUMBER(SEARCH("solar", $F$10)), "Solar",
            IF(ISNUMBER(SEARCH("wind", $F$10)), "Wind",
            IF(ISNUMBER(SEARCH("placeholder", $F$10)), "placeholder", "Other")
            ))),
        Inputs!$C$63:$C$65, 0),
        MATCH($F$8, Inputs!$E$62:$AM$62, 0)
    ), 0
) * $K$9 / $K$10)</f>
        <v>-10.3</v>
      </c>
      <c r="H24" s="168">
        <f>IF(ISNUMBER(SEARCH("standalone", $F$10)), 0,
-IF(AND(H$17 &gt;= $F$8, H$17 &lt; $F$8 + $F$14),
    INDEX(Inputs!$E$63:$AM$65,
        MATCH(
            IF(ISNUMBER(SEARCH("Solar and wind", $F$10)), "Solar and wind",
            IF(ISNUMBER(SEARCH("solar", $F$10)), "Solar",
            IF(ISNUMBER(SEARCH("wind", $F$10)), "Wind",
            IF(ISNUMBER(SEARCH("placeholder", $F$10)), "placeholder", "Other")
            ))),
        Inputs!$C$63:$C$65, 0),
        MATCH($F$8, Inputs!$E$62:$AM$62, 0)
    ), 0
) * $K$9 / $K$10)</f>
        <v>-10.3</v>
      </c>
      <c r="I24" s="168">
        <f>IF(ISNUMBER(SEARCH("standalone", $F$10)), 0,
-IF(AND(I$17 &gt;= $F$8, I$17 &lt; $F$8 + $F$14),
    INDEX(Inputs!$E$63:$AM$65,
        MATCH(
            IF(ISNUMBER(SEARCH("Solar and wind", $F$10)), "Solar and wind",
            IF(ISNUMBER(SEARCH("solar", $F$10)), "Solar",
            IF(ISNUMBER(SEARCH("wind", $F$10)), "Wind",
            IF(ISNUMBER(SEARCH("placeholder", $F$10)), "placeholder", "Other")
            ))),
        Inputs!$C$63:$C$65, 0),
        MATCH($F$8, Inputs!$E$62:$AM$62, 0)
    ), 0
) * $K$9 / $K$10)</f>
        <v>-10.3</v>
      </c>
      <c r="J24" s="168">
        <f>IF(ISNUMBER(SEARCH("standalone", $F$10)), 0,
-IF(AND(J$17 &gt;= $F$8, J$17 &lt; $F$8 + $F$14),
    INDEX(Inputs!$E$63:$AM$65,
        MATCH(
            IF(ISNUMBER(SEARCH("Solar and wind", $F$10)), "Solar and wind",
            IF(ISNUMBER(SEARCH("solar", $F$10)), "Solar",
            IF(ISNUMBER(SEARCH("wind", $F$10)), "Wind",
            IF(ISNUMBER(SEARCH("placeholder", $F$10)), "placeholder", "Other")
            ))),
        Inputs!$C$63:$C$65, 0),
        MATCH($F$8, Inputs!$E$62:$AM$62, 0)
    ), 0
) * $K$9 / $K$10)</f>
        <v>-10.3</v>
      </c>
      <c r="K24" s="168">
        <f>IF(ISNUMBER(SEARCH("standalone", $F$10)), 0,
-IF(AND(K$17 &gt;= $F$8, K$17 &lt; $F$8 + $F$14),
    INDEX(Inputs!$E$63:$AM$65,
        MATCH(
            IF(ISNUMBER(SEARCH("Solar and wind", $F$10)), "Solar and wind",
            IF(ISNUMBER(SEARCH("solar", $F$10)), "Solar",
            IF(ISNUMBER(SEARCH("wind", $F$10)), "Wind",
            IF(ISNUMBER(SEARCH("placeholder", $F$10)), "placeholder", "Other")
            ))),
        Inputs!$C$63:$C$65, 0),
        MATCH($F$8, Inputs!$E$62:$AM$62, 0)
    ), 0
) * $K$9 / $K$10)</f>
        <v>-10.3</v>
      </c>
      <c r="L24" s="168">
        <f>IF(ISNUMBER(SEARCH("standalone", $F$10)), 0,
-IF(AND(L$17 &gt;= $F$8, L$17 &lt; $F$8 + $F$14),
    INDEX(Inputs!$E$63:$AM$65,
        MATCH(
            IF(ISNUMBER(SEARCH("Solar and wind", $F$10)), "Solar and wind",
            IF(ISNUMBER(SEARCH("solar", $F$10)), "Solar",
            IF(ISNUMBER(SEARCH("wind", $F$10)), "Wind",
            IF(ISNUMBER(SEARCH("placeholder", $F$10)), "placeholder", "Other")
            ))),
        Inputs!$C$63:$C$65, 0),
        MATCH($F$8, Inputs!$E$62:$AM$62, 0)
    ), 0
) * $K$9 / $K$10)</f>
        <v>-10.3</v>
      </c>
      <c r="M24" s="168">
        <f>IF(ISNUMBER(SEARCH("standalone", $F$10)), 0,
-IF(AND(M$17 &gt;= $F$8, M$17 &lt; $F$8 + $F$14),
    INDEX(Inputs!$E$63:$AM$65,
        MATCH(
            IF(ISNUMBER(SEARCH("Solar and wind", $F$10)), "Solar and wind",
            IF(ISNUMBER(SEARCH("solar", $F$10)), "Solar",
            IF(ISNUMBER(SEARCH("wind", $F$10)), "Wind",
            IF(ISNUMBER(SEARCH("placeholder", $F$10)), "placeholder", "Other")
            ))),
        Inputs!$C$63:$C$65, 0),
        MATCH($F$8, Inputs!$E$62:$AM$62, 0)
    ), 0
) * $K$9 / $K$10)</f>
        <v>-10.3</v>
      </c>
      <c r="N24" s="168">
        <f>IF(ISNUMBER(SEARCH("standalone", $F$10)), 0,
-IF(AND(N$17 &gt;= $F$8, N$17 &lt; $F$8 + $F$14),
    INDEX(Inputs!$E$63:$AM$65,
        MATCH(
            IF(ISNUMBER(SEARCH("Solar and wind", $F$10)), "Solar and wind",
            IF(ISNUMBER(SEARCH("solar", $F$10)), "Solar",
            IF(ISNUMBER(SEARCH("wind", $F$10)), "Wind",
            IF(ISNUMBER(SEARCH("placeholder", $F$10)), "placeholder", "Other")
            ))),
        Inputs!$C$63:$C$65, 0),
        MATCH($F$8, Inputs!$E$62:$AM$62, 0)
    ), 0
) * $K$9 / $K$10)</f>
        <v>-10.3</v>
      </c>
      <c r="O24" s="168">
        <f>IF(ISNUMBER(SEARCH("standalone", $F$10)), 0,
-IF(AND(O$17 &gt;= $F$8, O$17 &lt; $F$8 + $F$14),
    INDEX(Inputs!$E$63:$AM$65,
        MATCH(
            IF(ISNUMBER(SEARCH("Solar and wind", $F$10)), "Solar and wind",
            IF(ISNUMBER(SEARCH("solar", $F$10)), "Solar",
            IF(ISNUMBER(SEARCH("wind", $F$10)), "Wind",
            IF(ISNUMBER(SEARCH("placeholder", $F$10)), "placeholder", "Other")
            ))),
        Inputs!$C$63:$C$65, 0),
        MATCH($F$8, Inputs!$E$62:$AM$62, 0)
    ), 0
) * $K$9 / $K$10)</f>
        <v>-10.3</v>
      </c>
      <c r="P24" s="168">
        <f>IF(ISNUMBER(SEARCH("standalone", $F$10)), 0,
-IF(AND(P$17 &gt;= $F$8, P$17 &lt; $F$8 + $F$14),
    INDEX(Inputs!$E$63:$AM$65,
        MATCH(
            IF(ISNUMBER(SEARCH("Solar and wind", $F$10)), "Solar and wind",
            IF(ISNUMBER(SEARCH("solar", $F$10)), "Solar",
            IF(ISNUMBER(SEARCH("wind", $F$10)), "Wind",
            IF(ISNUMBER(SEARCH("placeholder", $F$10)), "placeholder", "Other")
            ))),
        Inputs!$C$63:$C$65, 0),
        MATCH($F$8, Inputs!$E$62:$AM$62, 0)
    ), 0
) * $K$9 / $K$10)</f>
        <v>-10.3</v>
      </c>
      <c r="Q24" s="168">
        <f>IF(ISNUMBER(SEARCH("standalone", $F$10)), 0,
-IF(AND(Q$17 &gt;= $F$8, Q$17 &lt; $F$8 + $F$14),
    INDEX(Inputs!$E$63:$AM$65,
        MATCH(
            IF(ISNUMBER(SEARCH("Solar and wind", $F$10)), "Solar and wind",
            IF(ISNUMBER(SEARCH("solar", $F$10)), "Solar",
            IF(ISNUMBER(SEARCH("wind", $F$10)), "Wind",
            IF(ISNUMBER(SEARCH("placeholder", $F$10)), "placeholder", "Other")
            ))),
        Inputs!$C$63:$C$65, 0),
        MATCH($F$8, Inputs!$E$62:$AM$62, 0)
    ), 0
) * $K$9 / $K$10)</f>
        <v>-10.3</v>
      </c>
      <c r="R24" s="168">
        <f>IF(ISNUMBER(SEARCH("standalone", $F$10)), 0,
-IF(AND(R$17 &gt;= $F$8, R$17 &lt; $F$8 + $F$14),
    INDEX(Inputs!$E$63:$AM$65,
        MATCH(
            IF(ISNUMBER(SEARCH("Solar and wind", $F$10)), "Solar and wind",
            IF(ISNUMBER(SEARCH("solar", $F$10)), "Solar",
            IF(ISNUMBER(SEARCH("wind", $F$10)), "Wind",
            IF(ISNUMBER(SEARCH("placeholder", $F$10)), "placeholder", "Other")
            ))),
        Inputs!$C$63:$C$65, 0),
        MATCH($F$8, Inputs!$E$62:$AM$62, 0)
    ), 0
) * $K$9 / $K$10)</f>
        <v>-10.3</v>
      </c>
      <c r="S24" s="168">
        <f>IF(ISNUMBER(SEARCH("standalone", $F$10)), 0,
-IF(AND(S$17 &gt;= $F$8, S$17 &lt; $F$8 + $F$14),
    INDEX(Inputs!$E$63:$AM$65,
        MATCH(
            IF(ISNUMBER(SEARCH("Solar and wind", $F$10)), "Solar and wind",
            IF(ISNUMBER(SEARCH("solar", $F$10)), "Solar",
            IF(ISNUMBER(SEARCH("wind", $F$10)), "Wind",
            IF(ISNUMBER(SEARCH("placeholder", $F$10)), "placeholder", "Other")
            ))),
        Inputs!$C$63:$C$65, 0),
        MATCH($F$8, Inputs!$E$62:$AM$62, 0)
    ), 0
) * $K$9 / $K$10)</f>
        <v>-10.3</v>
      </c>
      <c r="T24" s="168">
        <f>IF(ISNUMBER(SEARCH("standalone", $F$10)), 0,
-IF(AND(T$17 &gt;= $F$8, T$17 &lt; $F$8 + $F$14),
    INDEX(Inputs!$E$63:$AM$65,
        MATCH(
            IF(ISNUMBER(SEARCH("Solar and wind", $F$10)), "Solar and wind",
            IF(ISNUMBER(SEARCH("solar", $F$10)), "Solar",
            IF(ISNUMBER(SEARCH("wind", $F$10)), "Wind",
            IF(ISNUMBER(SEARCH("placeholder", $F$10)), "placeholder", "Other")
            ))),
        Inputs!$C$63:$C$65, 0),
        MATCH($F$8, Inputs!$E$62:$AM$62, 0)
    ), 0
) * $K$9 / $K$10)</f>
        <v>-10.3</v>
      </c>
      <c r="U24" s="168">
        <f>IF(ISNUMBER(SEARCH("standalone", $F$10)), 0,
-IF(AND(U$17 &gt;= $F$8, U$17 &lt; $F$8 + $F$14),
    INDEX(Inputs!$E$63:$AM$65,
        MATCH(
            IF(ISNUMBER(SEARCH("Solar and wind", $F$10)), "Solar and wind",
            IF(ISNUMBER(SEARCH("solar", $F$10)), "Solar",
            IF(ISNUMBER(SEARCH("wind", $F$10)), "Wind",
            IF(ISNUMBER(SEARCH("placeholder", $F$10)), "placeholder", "Other")
            ))),
        Inputs!$C$63:$C$65, 0),
        MATCH($F$8, Inputs!$E$62:$AM$62, 0)
    ), 0
) * $K$9 / $K$10)</f>
        <v>-10.3</v>
      </c>
      <c r="V24" s="168">
        <f>IF(ISNUMBER(SEARCH("standalone", $F$10)), 0,
-IF(AND(V$17 &gt;= $F$8, V$17 &lt; $F$8 + $F$14),
    INDEX(Inputs!$E$63:$AM$65,
        MATCH(
            IF(ISNUMBER(SEARCH("Solar and wind", $F$10)), "Solar and wind",
            IF(ISNUMBER(SEARCH("solar", $F$10)), "Solar",
            IF(ISNUMBER(SEARCH("wind", $F$10)), "Wind",
            IF(ISNUMBER(SEARCH("placeholder", $F$10)), "placeholder", "Other")
            ))),
        Inputs!$C$63:$C$65, 0),
        MATCH($F$8, Inputs!$E$62:$AM$62, 0)
    ), 0
) * $K$9 / $K$10)</f>
        <v>-10.3</v>
      </c>
      <c r="W24" s="168">
        <f>IF(ISNUMBER(SEARCH("standalone", $F$10)), 0,
-IF(AND(W$17 &gt;= $F$8, W$17 &lt; $F$8 + $F$14),
    INDEX(Inputs!$E$63:$AM$65,
        MATCH(
            IF(ISNUMBER(SEARCH("Solar and wind", $F$10)), "Solar and wind",
            IF(ISNUMBER(SEARCH("solar", $F$10)), "Solar",
            IF(ISNUMBER(SEARCH("wind", $F$10)), "Wind",
            IF(ISNUMBER(SEARCH("placeholder", $F$10)), "placeholder", "Other")
            ))),
        Inputs!$C$63:$C$65, 0),
        MATCH($F$8, Inputs!$E$62:$AM$62, 0)
    ), 0
) * $K$9 / $K$10)</f>
        <v>-10.3</v>
      </c>
      <c r="X24" s="168">
        <f>IF(ISNUMBER(SEARCH("standalone", $F$10)), 0,
-IF(AND(X$17 &gt;= $F$8, X$17 &lt; $F$8 + $F$14),
    INDEX(Inputs!$E$63:$AM$65,
        MATCH(
            IF(ISNUMBER(SEARCH("Solar and wind", $F$10)), "Solar and wind",
            IF(ISNUMBER(SEARCH("solar", $F$10)), "Solar",
            IF(ISNUMBER(SEARCH("wind", $F$10)), "Wind",
            IF(ISNUMBER(SEARCH("placeholder", $F$10)), "placeholder", "Other")
            ))),
        Inputs!$C$63:$C$65, 0),
        MATCH($F$8, Inputs!$E$62:$AM$62, 0)
    ), 0
) * $K$9 / $K$10)</f>
        <v>-10.3</v>
      </c>
      <c r="Y24" s="168">
        <f>IF(ISNUMBER(SEARCH("standalone", $F$10)), 0,
-IF(AND(Y$17 &gt;= $F$8, Y$17 &lt; $F$8 + $F$14),
    INDEX(Inputs!$E$63:$AM$65,
        MATCH(
            IF(ISNUMBER(SEARCH("Solar and wind", $F$10)), "Solar and wind",
            IF(ISNUMBER(SEARCH("solar", $F$10)), "Solar",
            IF(ISNUMBER(SEARCH("wind", $F$10)), "Wind",
            IF(ISNUMBER(SEARCH("placeholder", $F$10)), "placeholder", "Other")
            ))),
        Inputs!$C$63:$C$65, 0),
        MATCH($F$8, Inputs!$E$62:$AM$62, 0)
    ), 0
) * $K$9 / $K$10)</f>
        <v>-10.3</v>
      </c>
      <c r="Z24" s="168">
        <f>IF(ISNUMBER(SEARCH("standalone", $F$10)), 0,
-IF(AND(Z$17 &gt;= $F$8, Z$17 &lt; $F$8 + $F$14),
    INDEX(Inputs!$E$63:$AM$65,
        MATCH(
            IF(ISNUMBER(SEARCH("Solar and wind", $F$10)), "Solar and wind",
            IF(ISNUMBER(SEARCH("solar", $F$10)), "Solar",
            IF(ISNUMBER(SEARCH("wind", $F$10)), "Wind",
            IF(ISNUMBER(SEARCH("placeholder", $F$10)), "placeholder", "Other")
            ))),
        Inputs!$C$63:$C$65, 0),
        MATCH($F$8, Inputs!$E$62:$AM$62, 0)
    ), 0
) * $K$9 / $K$10)</f>
        <v>-10.3</v>
      </c>
      <c r="AA24" s="168">
        <f>IF(ISNUMBER(SEARCH("standalone", $F$10)), 0,
-IF(AND(AA$17 &gt;= $F$8, AA$17 &lt; $F$8 + $F$14),
    INDEX(Inputs!$E$63:$AM$65,
        MATCH(
            IF(ISNUMBER(SEARCH("Solar and wind", $F$10)), "Solar and wind",
            IF(ISNUMBER(SEARCH("solar", $F$10)), "Solar",
            IF(ISNUMBER(SEARCH("wind", $F$10)), "Wind",
            IF(ISNUMBER(SEARCH("placeholder", $F$10)), "placeholder", "Other")
            ))),
        Inputs!$C$63:$C$65, 0),
        MATCH($F$8, Inputs!$E$62:$AM$62, 0)
    ), 0
) * $K$9 / $K$10)</f>
        <v>-10.3</v>
      </c>
      <c r="AB24" s="168">
        <f>IF(ISNUMBER(SEARCH("standalone", $F$10)), 0,
-IF(AND(AB$17 &gt;= $F$8, AB$17 &lt; $F$8 + $F$14),
    INDEX(Inputs!$E$63:$AM$65,
        MATCH(
            IF(ISNUMBER(SEARCH("Solar and wind", $F$10)), "Solar and wind",
            IF(ISNUMBER(SEARCH("solar", $F$10)), "Solar",
            IF(ISNUMBER(SEARCH("wind", $F$10)), "Wind",
            IF(ISNUMBER(SEARCH("placeholder", $F$10)), "placeholder", "Other")
            ))),
        Inputs!$C$63:$C$65, 0),
        MATCH($F$8, Inputs!$E$62:$AM$62, 0)
    ), 0
) * $K$9 / $K$10)</f>
        <v>-10.3</v>
      </c>
      <c r="AC24" s="168">
        <f>IF(ISNUMBER(SEARCH("standalone", $F$10)), 0,
-IF(AND(AC$17 &gt;= $F$8, AC$17 &lt; $F$8 + $F$14),
    INDEX(Inputs!$E$63:$AM$65,
        MATCH(
            IF(ISNUMBER(SEARCH("Solar and wind", $F$10)), "Solar and wind",
            IF(ISNUMBER(SEARCH("solar", $F$10)), "Solar",
            IF(ISNUMBER(SEARCH("wind", $F$10)), "Wind",
            IF(ISNUMBER(SEARCH("placeholder", $F$10)), "placeholder", "Other")
            ))),
        Inputs!$C$63:$C$65, 0),
        MATCH($F$8, Inputs!$E$62:$AM$62, 0)
    ), 0
) * $K$9 / $K$10)</f>
        <v>-10.3</v>
      </c>
      <c r="AD24" s="168">
        <f>IF(ISNUMBER(SEARCH("standalone", $F$10)), 0,
-IF(AND(AD$17 &gt;= $F$8, AD$17 &lt; $F$8 + $F$14),
    INDEX(Inputs!$E$63:$AM$65,
        MATCH(
            IF(ISNUMBER(SEARCH("Solar and wind", $F$10)), "Solar and wind",
            IF(ISNUMBER(SEARCH("solar", $F$10)), "Solar",
            IF(ISNUMBER(SEARCH("wind", $F$10)), "Wind",
            IF(ISNUMBER(SEARCH("placeholder", $F$10)), "placeholder", "Other")
            ))),
        Inputs!$C$63:$C$65, 0),
        MATCH($F$8, Inputs!$E$62:$AM$62, 0)
    ), 0
) * $K$9 / $K$10)</f>
        <v>-10.3</v>
      </c>
      <c r="AE24" s="168">
        <f>IF(ISNUMBER(SEARCH("standalone", $F$10)), 0,
-IF(AND(AE$17 &gt;= $F$8, AE$17 &lt; $F$8 + $F$14),
    INDEX(Inputs!$E$63:$AM$65,
        MATCH(
            IF(ISNUMBER(SEARCH("Solar and wind", $F$10)), "Solar and wind",
            IF(ISNUMBER(SEARCH("solar", $F$10)), "Solar",
            IF(ISNUMBER(SEARCH("wind", $F$10)), "Wind",
            IF(ISNUMBER(SEARCH("placeholder", $F$10)), "placeholder", "Other")
            ))),
        Inputs!$C$63:$C$65, 0),
        MATCH($F$8, Inputs!$E$62:$AM$62, 0)
    ), 0
) * $K$9 / $K$10)</f>
        <v>-10.3</v>
      </c>
      <c r="AF24" s="168">
        <f>IF(ISNUMBER(SEARCH("standalone", $F$10)), 0,
-IF(AND(AF$17 &gt;= $F$8, AF$17 &lt; $F$8 + $F$14),
    INDEX(Inputs!$E$63:$AM$65,
        MATCH(
            IF(ISNUMBER(SEARCH("Solar and wind", $F$10)), "Solar and wind",
            IF(ISNUMBER(SEARCH("solar", $F$10)), "Solar",
            IF(ISNUMBER(SEARCH("wind", $F$10)), "Wind",
            IF(ISNUMBER(SEARCH("placeholder", $F$10)), "placeholder", "Other")
            ))),
        Inputs!$C$63:$C$65, 0),
        MATCH($F$8, Inputs!$E$62:$AM$62, 0)
    ), 0
) * $K$9 / $K$10)</f>
        <v>-10.3</v>
      </c>
      <c r="AG24" s="168">
        <f>IF(ISNUMBER(SEARCH("standalone", $F$10)), 0,
-IF(AND(AG$17 &gt;= $F$8, AG$17 &lt; $F$8 + $F$14),
    INDEX(Inputs!$E$63:$AM$65,
        MATCH(
            IF(ISNUMBER(SEARCH("Solar and wind", $F$10)), "Solar and wind",
            IF(ISNUMBER(SEARCH("solar", $F$10)), "Solar",
            IF(ISNUMBER(SEARCH("wind", $F$10)), "Wind",
            IF(ISNUMBER(SEARCH("placeholder", $F$10)), "placeholder", "Other")
            ))),
        Inputs!$C$63:$C$65, 0),
        MATCH($F$8, Inputs!$E$62:$AM$62, 0)
    ), 0
) * $K$9 / $K$10)</f>
        <v>-10.3</v>
      </c>
      <c r="AH24" s="168">
        <f>IF(ISNUMBER(SEARCH("standalone", $F$10)), 0,
-IF(AND(AH$17 &gt;= $F$8, AH$17 &lt; $F$8 + $F$14),
    INDEX(Inputs!$E$63:$AM$65,
        MATCH(
            IF(ISNUMBER(SEARCH("Solar and wind", $F$10)), "Solar and wind",
            IF(ISNUMBER(SEARCH("solar", $F$10)), "Solar",
            IF(ISNUMBER(SEARCH("wind", $F$10)), "Wind",
            IF(ISNUMBER(SEARCH("placeholder", $F$10)), "placeholder", "Other")
            ))),
        Inputs!$C$63:$C$65, 0),
        MATCH($F$8, Inputs!$E$62:$AM$62, 0)
    ), 0
) * $K$9 / $K$10)</f>
        <v>-10.3</v>
      </c>
      <c r="AI24" s="168">
        <f>IF(ISNUMBER(SEARCH("standalone", $F$10)), 0,
-IF(AND(AI$17 &gt;= $F$8, AI$17 &lt; $F$8 + $F$14),
    INDEX(Inputs!$E$63:$AM$65,
        MATCH(
            IF(ISNUMBER(SEARCH("Solar and wind", $F$10)), "Solar and wind",
            IF(ISNUMBER(SEARCH("solar", $F$10)), "Solar",
            IF(ISNUMBER(SEARCH("wind", $F$10)), "Wind",
            IF(ISNUMBER(SEARCH("placeholder", $F$10)), "placeholder", "Other")
            ))),
        Inputs!$C$63:$C$65, 0),
        MATCH($F$8, Inputs!$E$62:$AM$62, 0)
    ), 0
) * $K$9 / $K$10)</f>
        <v>-10.3</v>
      </c>
      <c r="AJ24" s="168">
        <f>IF(ISNUMBER(SEARCH("standalone", $F$10)), 0,
-IF(AND(AJ$17 &gt;= $F$8, AJ$17 &lt; $F$8 + $F$14),
    INDEX(Inputs!$E$63:$AM$65,
        MATCH(
            IF(ISNUMBER(SEARCH("Solar and wind", $F$10)), "Solar and wind",
            IF(ISNUMBER(SEARCH("solar", $F$10)), "Solar",
            IF(ISNUMBER(SEARCH("wind", $F$10)), "Wind",
            IF(ISNUMBER(SEARCH("placeholder", $F$10)), "placeholder", "Other")
            ))),
        Inputs!$C$63:$C$65, 0),
        MATCH($F$8, Inputs!$E$62:$AM$62, 0)
    ), 0
) * $K$9 / $K$10)</f>
        <v>-10.3</v>
      </c>
      <c r="AK24" s="168">
        <f>IF(ISNUMBER(SEARCH("standalone", $F$10)), 0,
-IF(AND(AK$17 &gt;= $F$8, AK$17 &lt; $F$8 + $F$14),
    INDEX(Inputs!$E$63:$AM$65,
        MATCH(
            IF(ISNUMBER(SEARCH("Solar and wind", $F$10)), "Solar and wind",
            IF(ISNUMBER(SEARCH("solar", $F$10)), "Solar",
            IF(ISNUMBER(SEARCH("wind", $F$10)), "Wind",
            IF(ISNUMBER(SEARCH("placeholder", $F$10)), "placeholder", "Other")
            ))),
        Inputs!$C$63:$C$65, 0),
        MATCH($F$8, Inputs!$E$62:$AM$62, 0)
    ), 0
) * $K$9 / $K$10)</f>
        <v>-10.3</v>
      </c>
      <c r="AL24" s="168">
        <f>IF(ISNUMBER(SEARCH("standalone", $F$10)), 0,
-IF(AND(AL$17 &gt;= $F$8, AL$17 &lt; $F$8 + $F$14),
    INDEX(Inputs!$E$63:$AM$65,
        MATCH(
            IF(ISNUMBER(SEARCH("Solar and wind", $F$10)), "Solar and wind",
            IF(ISNUMBER(SEARCH("solar", $F$10)), "Solar",
            IF(ISNUMBER(SEARCH("wind", $F$10)), "Wind",
            IF(ISNUMBER(SEARCH("placeholder", $F$10)), "placeholder", "Other")
            ))),
        Inputs!$C$63:$C$65, 0),
        MATCH($F$8, Inputs!$E$62:$AM$62, 0)
    ), 0
) * $K$9 / $K$10)</f>
        <v>-10.3</v>
      </c>
      <c r="AM24" s="168">
        <f>IF(ISNUMBER(SEARCH("standalone", $F$10)), 0,
-IF(AND(AM$17 &gt;= $F$8, AM$17 &lt; $F$8 + $F$14),
    INDEX(Inputs!$E$63:$AM$65,
        MATCH(
            IF(ISNUMBER(SEARCH("Solar and wind", $F$10)), "Solar and wind",
            IF(ISNUMBER(SEARCH("solar", $F$10)), "Solar",
            IF(ISNUMBER(SEARCH("wind", $F$10)), "Wind",
            IF(ISNUMBER(SEARCH("placeholder", $F$10)), "placeholder", "Other")
            ))),
        Inputs!$C$63:$C$65, 0),
        MATCH($F$8, Inputs!$E$62:$AM$62, 0)
    ), 0
) * $K$9 / $K$10)</f>
        <v>-10.3</v>
      </c>
      <c r="AN24" s="168">
        <f>IF(ISNUMBER(SEARCH("standalone", $F$10)), 0,
-IF(AND(AN$17 &gt;= $F$8, AN$17 &lt; $F$8 + $F$14),
    INDEX(Inputs!$E$63:$AM$65,
        MATCH(
            IF(ISNUMBER(SEARCH("Solar and wind", $F$10)), "Solar and wind",
            IF(ISNUMBER(SEARCH("solar", $F$10)), "Solar",
            IF(ISNUMBER(SEARCH("wind", $F$10)), "Wind",
            IF(ISNUMBER(SEARCH("placeholder", $F$10)), "placeholder", "Other")
            ))),
        Inputs!$C$63:$C$65, 0),
        MATCH($F$8, Inputs!$E$62:$AM$62, 0)
    ), 0
) * $K$9 / $K$10)</f>
        <v>-10.3</v>
      </c>
    </row>
    <row r="25" spans="1:41" x14ac:dyDescent="0.25">
      <c r="B25" s="206" t="s">
        <v>355</v>
      </c>
      <c r="C25" s="200">
        <f>Inputs!$E$97</f>
        <v>0.12</v>
      </c>
      <c r="D25" s="192" t="s">
        <v>242</v>
      </c>
      <c r="E25" s="155" cm="1">
        <f t="array" ref="E25">NPV($C25, INDEX(F25:AN25, MATCH(TRUE, F$29:AN$29&lt;&gt;0, 0)+1):AN25)+INDEX(F25:AN25, MATCH(TRUE, F$29:AN$29&lt;&gt;0, 0))</f>
        <v>788.92967318226715</v>
      </c>
      <c r="F25" s="168" cm="1">
        <f t="array" ref="F25">IF(F$17&gt;=INDEX('Degraded batteries'!$F:$F,Control!$B$31-1),
INDEX(
    INDEX('Degraded batteries'!$F:$F,Control!$B$31):INDEX('Degraded batteries'!$AO:$AO,Control!$B$32),
    MATCH(
        'NPV calculation'!$B25,
        INDEX('Degraded batteries'!$D:$D,Control!$B$31):INDEX('Degraded batteries'!$D:$D,Control!$B$32),
        0
    ),
    MATCH(
        'NPV calculation'!F$17,
        INDEX('Degraded batteries'!$F:$F,Control!$B$31-1):INDEX('Degraded batteries'!$AO:$AO,Control!$B$31-1),
        0
    )
) * $K$9 / $K$10,0)</f>
        <v>0</v>
      </c>
      <c r="G25" s="168" cm="1">
        <f t="array" ref="G25">IF(G$17&gt;=INDEX('Degraded batteries'!$F:$F,Control!$B$31-1),
INDEX(
    INDEX('Degraded batteries'!$F:$F,Control!$B$31):INDEX('Degraded batteries'!$AO:$AO,Control!$B$32),
    MATCH(
        'NPV calculation'!$B25,
        INDEX('Degraded batteries'!$D:$D,Control!$B$31):INDEX('Degraded batteries'!$D:$D,Control!$B$32),
        0
    ),
    MATCH(
        'NPV calculation'!G$17,
        INDEX('Degraded batteries'!$F:$F,Control!$B$31-1):INDEX('Degraded batteries'!$AO:$AO,Control!$B$31-1),
        0
    )
) * $K$9 / $K$10,0)</f>
        <v>125.80568678392299</v>
      </c>
      <c r="H25" s="168" cm="1">
        <f t="array" ref="H25">IF(H$17&gt;=INDEX('Degraded batteries'!$F:$F,Control!$B$31-1),
INDEX(
    INDEX('Degraded batteries'!$F:$F,Control!$B$31):INDEX('Degraded batteries'!$AO:$AO,Control!$B$32),
    MATCH(
        'NPV calculation'!$B25,
        INDEX('Degraded batteries'!$D:$D,Control!$B$31):INDEX('Degraded batteries'!$D:$D,Control!$B$32),
        0
    ),
    MATCH(
        'NPV calculation'!H$17,
        INDEX('Degraded batteries'!$F:$F,Control!$B$31-1):INDEX('Degraded batteries'!$AO:$AO,Control!$B$31-1),
        0
    )
) * $K$9 / $K$10,0)</f>
        <v>114.9525786614</v>
      </c>
      <c r="I25" s="168" cm="1">
        <f t="array" ref="I25">IF(I$17&gt;=INDEX('Degraded batteries'!$F:$F,Control!$B$31-1),
INDEX(
    INDEX('Degraded batteries'!$F:$F,Control!$B$31):INDEX('Degraded batteries'!$AO:$AO,Control!$B$32),
    MATCH(
        'NPV calculation'!$B25,
        INDEX('Degraded batteries'!$D:$D,Control!$B$31):INDEX('Degraded batteries'!$D:$D,Control!$B$32),
        0
    ),
    MATCH(
        'NPV calculation'!I$17,
        INDEX('Degraded batteries'!$F:$F,Control!$B$31-1):INDEX('Degraded batteries'!$AO:$AO,Control!$B$31-1),
        0
    )
) * $K$9 / $K$10,0)</f>
        <v>109.822375930615</v>
      </c>
      <c r="J25" s="168" cm="1">
        <f t="array" ref="J25">IF(J$17&gt;=INDEX('Degraded batteries'!$F:$F,Control!$B$31-1),
INDEX(
    INDEX('Degraded batteries'!$F:$F,Control!$B$31):INDEX('Degraded batteries'!$AO:$AO,Control!$B$32),
    MATCH(
        'NPV calculation'!$B25,
        INDEX('Degraded batteries'!$D:$D,Control!$B$31):INDEX('Degraded batteries'!$D:$D,Control!$B$32),
        0
    ),
    MATCH(
        'NPV calculation'!J$17,
        INDEX('Degraded batteries'!$F:$F,Control!$B$31-1):INDEX('Degraded batteries'!$AO:$AO,Control!$B$31-1),
        0
    )
) * $K$9 / $K$10,0)</f>
        <v>96.867495176568596</v>
      </c>
      <c r="K25" s="168" cm="1">
        <f t="array" ref="K25">IF(K$17&gt;=INDEX('Degraded batteries'!$F:$F,Control!$B$31-1),
INDEX(
    INDEX('Degraded batteries'!$F:$F,Control!$B$31):INDEX('Degraded batteries'!$AO:$AO,Control!$B$32),
    MATCH(
        'NPV calculation'!$B25,
        INDEX('Degraded batteries'!$D:$D,Control!$B$31):INDEX('Degraded batteries'!$D:$D,Control!$B$32),
        0
    ),
    MATCH(
        'NPV calculation'!K$17,
        INDEX('Degraded batteries'!$F:$F,Control!$B$31-1):INDEX('Degraded batteries'!$AO:$AO,Control!$B$31-1),
        0
    )
) * $K$9 / $K$10,0)</f>
        <v>99.9983985357443</v>
      </c>
      <c r="L25" s="168" cm="1">
        <f t="array" ref="L25">IF(L$17&gt;=INDEX('Degraded batteries'!$F:$F,Control!$B$31-1),
INDEX(
    INDEX('Degraded batteries'!$F:$F,Control!$B$31):INDEX('Degraded batteries'!$AO:$AO,Control!$B$32),
    MATCH(
        'NPV calculation'!$B25,
        INDEX('Degraded batteries'!$D:$D,Control!$B$31):INDEX('Degraded batteries'!$D:$D,Control!$B$32),
        0
    ),
    MATCH(
        'NPV calculation'!L$17,
        INDEX('Degraded batteries'!$F:$F,Control!$B$31-1):INDEX('Degraded batteries'!$AO:$AO,Control!$B$31-1),
        0
    )
) * $K$9 / $K$10,0)</f>
        <v>92.204570093124701</v>
      </c>
      <c r="M25" s="168" cm="1">
        <f t="array" ref="M25">IF(M$17&gt;=INDEX('Degraded batteries'!$F:$F,Control!$B$31-1),
INDEX(
    INDEX('Degraded batteries'!$F:$F,Control!$B$31):INDEX('Degraded batteries'!$AO:$AO,Control!$B$32),
    MATCH(
        'NPV calculation'!$B25,
        INDEX('Degraded batteries'!$D:$D,Control!$B$31):INDEX('Degraded batteries'!$D:$D,Control!$B$32),
        0
    ),
    MATCH(
        'NPV calculation'!M$17,
        INDEX('Degraded batteries'!$F:$F,Control!$B$31-1):INDEX('Degraded batteries'!$AO:$AO,Control!$B$31-1),
        0
    )
) * $K$9 / $K$10,0)</f>
        <v>93.632739571820494</v>
      </c>
      <c r="N25" s="168" cm="1">
        <f t="array" ref="N25">IF(N$17&gt;=INDEX('Degraded batteries'!$F:$F,Control!$B$31-1),
INDEX(
    INDEX('Degraded batteries'!$F:$F,Control!$B$31):INDEX('Degraded batteries'!$AO:$AO,Control!$B$32),
    MATCH(
        'NPV calculation'!$B25,
        INDEX('Degraded batteries'!$D:$D,Control!$B$31):INDEX('Degraded batteries'!$D:$D,Control!$B$32),
        0
    ),
    MATCH(
        'NPV calculation'!N$17,
        INDEX('Degraded batteries'!$F:$F,Control!$B$31-1):INDEX('Degraded batteries'!$AO:$AO,Control!$B$31-1),
        0
    )
) * $K$9 / $K$10,0)</f>
        <v>85.759441857289701</v>
      </c>
      <c r="O25" s="168" cm="1">
        <f t="array" ref="O25">IF(O$17&gt;=INDEX('Degraded batteries'!$F:$F,Control!$B$31-1),
INDEX(
    INDEX('Degraded batteries'!$F:$F,Control!$B$31):INDEX('Degraded batteries'!$AO:$AO,Control!$B$32),
    MATCH(
        'NPV calculation'!$B25,
        INDEX('Degraded batteries'!$D:$D,Control!$B$31):INDEX('Degraded batteries'!$D:$D,Control!$B$32),
        0
    ),
    MATCH(
        'NPV calculation'!O$17,
        INDEX('Degraded batteries'!$F:$F,Control!$B$31-1):INDEX('Degraded batteries'!$AO:$AO,Control!$B$31-1),
        0
    )
) * $K$9 / $K$10,0)</f>
        <v>84.459538938410603</v>
      </c>
      <c r="P25" s="168" cm="1">
        <f t="array" ref="P25">IF(P$17&gt;=INDEX('Degraded batteries'!$F:$F,Control!$B$31-1),
INDEX(
    INDEX('Degraded batteries'!$F:$F,Control!$B$31):INDEX('Degraded batteries'!$AO:$AO,Control!$B$32),
    MATCH(
        'NPV calculation'!$B25,
        INDEX('Degraded batteries'!$D:$D,Control!$B$31):INDEX('Degraded batteries'!$D:$D,Control!$B$32),
        0
    ),
    MATCH(
        'NPV calculation'!P$17,
        INDEX('Degraded batteries'!$F:$F,Control!$B$31-1):INDEX('Degraded batteries'!$AO:$AO,Control!$B$31-1),
        0
    )
) * $K$9 / $K$10,0)</f>
        <v>84.190532266698497</v>
      </c>
      <c r="Q25" s="168" cm="1">
        <f t="array" ref="Q25">IF(Q$17&gt;=INDEX('Degraded batteries'!$F:$F,Control!$B$31-1),
INDEX(
    INDEX('Degraded batteries'!$F:$F,Control!$B$31):INDEX('Degraded batteries'!$AO:$AO,Control!$B$32),
    MATCH(
        'NPV calculation'!$B25,
        INDEX('Degraded batteries'!$D:$D,Control!$B$31):INDEX('Degraded batteries'!$D:$D,Control!$B$32),
        0
    ),
    MATCH(
        'NPV calculation'!Q$17,
        INDEX('Degraded batteries'!$F:$F,Control!$B$31-1):INDEX('Degraded batteries'!$AO:$AO,Control!$B$31-1),
        0
    )
) * $K$9 / $K$10,0)</f>
        <v>89.3832908013744</v>
      </c>
      <c r="R25" s="168" cm="1">
        <f t="array" ref="R25">IF(R$17&gt;=INDEX('Degraded batteries'!$F:$F,Control!$B$31-1),
INDEX(
    INDEX('Degraded batteries'!$F:$F,Control!$B$31):INDEX('Degraded batteries'!$AO:$AO,Control!$B$32),
    MATCH(
        'NPV calculation'!$B25,
        INDEX('Degraded batteries'!$D:$D,Control!$B$31):INDEX('Degraded batteries'!$D:$D,Control!$B$32),
        0
    ),
    MATCH(
        'NPV calculation'!R$17,
        INDEX('Degraded batteries'!$F:$F,Control!$B$31-1):INDEX('Degraded batteries'!$AO:$AO,Control!$B$31-1),
        0
    )
) * $K$9 / $K$10,0)</f>
        <v>89.790342294834204</v>
      </c>
      <c r="S25" s="168" cm="1">
        <f t="array" ref="S25">IF(S$17&gt;=INDEX('Degraded batteries'!$F:$F,Control!$B$31-1),
INDEX(
    INDEX('Degraded batteries'!$F:$F,Control!$B$31):INDEX('Degraded batteries'!$AO:$AO,Control!$B$32),
    MATCH(
        'NPV calculation'!$B25,
        INDEX('Degraded batteries'!$D:$D,Control!$B$31):INDEX('Degraded batteries'!$D:$D,Control!$B$32),
        0
    ),
    MATCH(
        'NPV calculation'!S$17,
        INDEX('Degraded batteries'!$F:$F,Control!$B$31-1):INDEX('Degraded batteries'!$AO:$AO,Control!$B$31-1),
        0
    )
) * $K$9 / $K$10,0)</f>
        <v>88.071697844994503</v>
      </c>
      <c r="T25" s="168" cm="1">
        <f t="array" ref="T25">IF(T$17&gt;=INDEX('Degraded batteries'!$F:$F,Control!$B$31-1),
INDEX(
    INDEX('Degraded batteries'!$F:$F,Control!$B$31):INDEX('Degraded batteries'!$AO:$AO,Control!$B$32),
    MATCH(
        'NPV calculation'!$B25,
        INDEX('Degraded batteries'!$D:$D,Control!$B$31):INDEX('Degraded batteries'!$D:$D,Control!$B$32),
        0
    ),
    MATCH(
        'NPV calculation'!T$17,
        INDEX('Degraded batteries'!$F:$F,Control!$B$31-1):INDEX('Degraded batteries'!$AO:$AO,Control!$B$31-1),
        0
    )
) * $K$9 / $K$10,0)</f>
        <v>84.622760695258293</v>
      </c>
      <c r="U25" s="168" cm="1">
        <f t="array" ref="U25">IF(U$17&gt;=INDEX('Degraded batteries'!$F:$F,Control!$B$31-1),
INDEX(
    INDEX('Degraded batteries'!$F:$F,Control!$B$31):INDEX('Degraded batteries'!$AO:$AO,Control!$B$32),
    MATCH(
        'NPV calculation'!$B25,
        INDEX('Degraded batteries'!$D:$D,Control!$B$31):INDEX('Degraded batteries'!$D:$D,Control!$B$32),
        0
    ),
    MATCH(
        'NPV calculation'!U$17,
        INDEX('Degraded batteries'!$F:$F,Control!$B$31-1):INDEX('Degraded batteries'!$AO:$AO,Control!$B$31-1),
        0
    )
) * $K$9 / $K$10,0)</f>
        <v>80.865630698058993</v>
      </c>
      <c r="V25" s="168" cm="1">
        <f t="array" ref="V25">IF(V$17&gt;=INDEX('Degraded batteries'!$F:$F,Control!$B$31-1),
INDEX(
    INDEX('Degraded batteries'!$F:$F,Control!$B$31):INDEX('Degraded batteries'!$AO:$AO,Control!$B$32),
    MATCH(
        'NPV calculation'!$B25,
        INDEX('Degraded batteries'!$D:$D,Control!$B$31):INDEX('Degraded batteries'!$D:$D,Control!$B$32),
        0
    ),
    MATCH(
        'NPV calculation'!V$17,
        INDEX('Degraded batteries'!$F:$F,Control!$B$31-1):INDEX('Degraded batteries'!$AO:$AO,Control!$B$31-1),
        0
    )
) * $K$9 / $K$10,0)</f>
        <v>81.214221557153706</v>
      </c>
      <c r="W25" s="168" cm="1">
        <f t="array" ref="W25">IF(W$17&gt;=INDEX('Degraded batteries'!$F:$F,Control!$B$31-1),
INDEX(
    INDEX('Degraded batteries'!$F:$F,Control!$B$31):INDEX('Degraded batteries'!$AO:$AO,Control!$B$32),
    MATCH(
        'NPV calculation'!$B25,
        INDEX('Degraded batteries'!$D:$D,Control!$B$31):INDEX('Degraded batteries'!$D:$D,Control!$B$32),
        0
    ),
    MATCH(
        'NPV calculation'!W$17,
        INDEX('Degraded batteries'!$F:$F,Control!$B$31-1):INDEX('Degraded batteries'!$AO:$AO,Control!$B$31-1),
        0
    )
) * $K$9 / $K$10,0)</f>
        <v>81.087730963713298</v>
      </c>
      <c r="X25" s="168" cm="1">
        <f t="array" ref="X25">IF(X$17&gt;=INDEX('Degraded batteries'!$F:$F,Control!$B$31-1),
INDEX(
    INDEX('Degraded batteries'!$F:$F,Control!$B$31):INDEX('Degraded batteries'!$AO:$AO,Control!$B$32),
    MATCH(
        'NPV calculation'!$B25,
        INDEX('Degraded batteries'!$D:$D,Control!$B$31):INDEX('Degraded batteries'!$D:$D,Control!$B$32),
        0
    ),
    MATCH(
        'NPV calculation'!X$17,
        INDEX('Degraded batteries'!$F:$F,Control!$B$31-1):INDEX('Degraded batteries'!$AO:$AO,Control!$B$31-1),
        0
    )
) * $K$9 / $K$10,0)</f>
        <v>79.560044686775498</v>
      </c>
      <c r="Y25" s="168" cm="1">
        <f t="array" ref="Y25">IF(Y$17&gt;=INDEX('Degraded batteries'!$F:$F,Control!$B$31-1),
INDEX(
    INDEX('Degraded batteries'!$F:$F,Control!$B$31):INDEX('Degraded batteries'!$AO:$AO,Control!$B$32),
    MATCH(
        'NPV calculation'!$B25,
        INDEX('Degraded batteries'!$D:$D,Control!$B$31):INDEX('Degraded batteries'!$D:$D,Control!$B$32),
        0
    ),
    MATCH(
        'NPV calculation'!Y$17,
        INDEX('Degraded batteries'!$F:$F,Control!$B$31-1):INDEX('Degraded batteries'!$AO:$AO,Control!$B$31-1),
        0
    )
) * $K$9 / $K$10,0)</f>
        <v>82.626219294963704</v>
      </c>
      <c r="Z25" s="168" cm="1">
        <f t="array" ref="Z25">IF(Z$17&gt;=INDEX('Degraded batteries'!$F:$F,Control!$B$31-1),
INDEX(
    INDEX('Degraded batteries'!$F:$F,Control!$B$31):INDEX('Degraded batteries'!$AO:$AO,Control!$B$32),
    MATCH(
        'NPV calculation'!$B25,
        INDEX('Degraded batteries'!$D:$D,Control!$B$31):INDEX('Degraded batteries'!$D:$D,Control!$B$32),
        0
    ),
    MATCH(
        'NPV calculation'!Z$17,
        INDEX('Degraded batteries'!$F:$F,Control!$B$31-1):INDEX('Degraded batteries'!$AO:$AO,Control!$B$31-1),
        0
    )
) * $K$9 / $K$10,0)</f>
        <v>83.615672844395505</v>
      </c>
      <c r="AA25" s="168" cm="1">
        <f t="array" ref="AA25">IF(AA$17&gt;=INDEX('Degraded batteries'!$F:$F,Control!$B$31-1),
INDEX(
    INDEX('Degraded batteries'!$F:$F,Control!$B$31):INDEX('Degraded batteries'!$AO:$AO,Control!$B$32),
    MATCH(
        'NPV calculation'!$B25,
        INDEX('Degraded batteries'!$D:$D,Control!$B$31):INDEX('Degraded batteries'!$D:$D,Control!$B$32),
        0
    ),
    MATCH(
        'NPV calculation'!AA$17,
        INDEX('Degraded batteries'!$F:$F,Control!$B$31-1):INDEX('Degraded batteries'!$AO:$AO,Control!$B$31-1),
        0
    )
) * $K$9 / $K$10,0)</f>
        <v>83.137394652382895</v>
      </c>
      <c r="AB25" s="168" cm="1">
        <f t="array" ref="AB25">IF(AB$17&gt;=INDEX('Degraded batteries'!$F:$F,Control!$B$31-1),
INDEX(
    INDEX('Degraded batteries'!$F:$F,Control!$B$31):INDEX('Degraded batteries'!$AO:$AO,Control!$B$32),
    MATCH(
        'NPV calculation'!$B25,
        INDEX('Degraded batteries'!$D:$D,Control!$B$31):INDEX('Degraded batteries'!$D:$D,Control!$B$32),
        0
    ),
    MATCH(
        'NPV calculation'!AB$17,
        INDEX('Degraded batteries'!$F:$F,Control!$B$31-1):INDEX('Degraded batteries'!$AO:$AO,Control!$B$31-1),
        0
    )
) * $K$9 / $K$10,0)</f>
        <v>78.775558550896804</v>
      </c>
      <c r="AC25" s="168" cm="1">
        <f t="array" ref="AC25">IF(AC$17&gt;=INDEX('Degraded batteries'!$F:$F,Control!$B$31-1),
INDEX(
    INDEX('Degraded batteries'!$F:$F,Control!$B$31):INDEX('Degraded batteries'!$AO:$AO,Control!$B$32),
    MATCH(
        'NPV calculation'!$B25,
        INDEX('Degraded batteries'!$D:$D,Control!$B$31):INDEX('Degraded batteries'!$D:$D,Control!$B$32),
        0
    ),
    MATCH(
        'NPV calculation'!AC$17,
        INDEX('Degraded batteries'!$F:$F,Control!$B$31-1):INDEX('Degraded batteries'!$AO:$AO,Control!$B$31-1),
        0
    )
) * $K$9 / $K$10,0)</f>
        <v>78.633972243257404</v>
      </c>
      <c r="AD25" s="168" cm="1">
        <f t="array" ref="AD25">IF(AD$17&gt;=INDEX('Degraded batteries'!$F:$F,Control!$B$31-1),
INDEX(
    INDEX('Degraded batteries'!$F:$F,Control!$B$31):INDEX('Degraded batteries'!$AO:$AO,Control!$B$32),
    MATCH(
        'NPV calculation'!$B25,
        INDEX('Degraded batteries'!$D:$D,Control!$B$31):INDEX('Degraded batteries'!$D:$D,Control!$B$32),
        0
    ),
    MATCH(
        'NPV calculation'!AD$17,
        INDEX('Degraded batteries'!$F:$F,Control!$B$31-1):INDEX('Degraded batteries'!$AO:$AO,Control!$B$31-1),
        0
    )
) * $K$9 / $K$10,0)</f>
        <v>77.146558615618702</v>
      </c>
      <c r="AE25" s="168" cm="1">
        <f t="array" ref="AE25">IF(AE$17&gt;=INDEX('Degraded batteries'!$F:$F,Control!$B$31-1),
INDEX(
    INDEX('Degraded batteries'!$F:$F,Control!$B$31):INDEX('Degraded batteries'!$AO:$AO,Control!$B$32),
    MATCH(
        'NPV calculation'!$B25,
        INDEX('Degraded batteries'!$D:$D,Control!$B$31):INDEX('Degraded batteries'!$D:$D,Control!$B$32),
        0
    ),
    MATCH(
        'NPV calculation'!AE$17,
        INDEX('Degraded batteries'!$F:$F,Control!$B$31-1):INDEX('Degraded batteries'!$AO:$AO,Control!$B$31-1),
        0
    )
) * $K$9 / $K$10,0)</f>
        <v>76.595664292535403</v>
      </c>
      <c r="AF25" s="168" cm="1">
        <f t="array" ref="AF25">IF(AF$17&gt;=INDEX('Degraded batteries'!$F:$F,Control!$B$31-1),
INDEX(
    INDEX('Degraded batteries'!$F:$F,Control!$B$31):INDEX('Degraded batteries'!$AO:$AO,Control!$B$32),
    MATCH(
        'NPV calculation'!$B25,
        INDEX('Degraded batteries'!$D:$D,Control!$B$31):INDEX('Degraded batteries'!$D:$D,Control!$B$32),
        0
    ),
    MATCH(
        'NPV calculation'!AF$17,
        INDEX('Degraded batteries'!$F:$F,Control!$B$31-1):INDEX('Degraded batteries'!$AO:$AO,Control!$B$31-1),
        0
    )
) * $K$9 / $K$10,0)</f>
        <v>74.850516156243899</v>
      </c>
      <c r="AG25" s="168" cm="1">
        <f t="array" ref="AG25">IF(AG$17&gt;=INDEX('Degraded batteries'!$F:$F,Control!$B$31-1),
INDEX(
    INDEX('Degraded batteries'!$F:$F,Control!$B$31):INDEX('Degraded batteries'!$AO:$AO,Control!$B$32),
    MATCH(
        'NPV calculation'!$B25,
        INDEX('Degraded batteries'!$D:$D,Control!$B$31):INDEX('Degraded batteries'!$D:$D,Control!$B$32),
        0
    ),
    MATCH(
        'NPV calculation'!AG$17,
        INDEX('Degraded batteries'!$F:$F,Control!$B$31-1):INDEX('Degraded batteries'!$AO:$AO,Control!$B$31-1),
        0
    )
) * $K$9 / $K$10,0)</f>
        <v>74.718206661205699</v>
      </c>
      <c r="AH25" s="168" cm="1">
        <f t="array" ref="AH25">IF(AH$17&gt;=INDEX('Degraded batteries'!$F:$F,Control!$B$31-1),
INDEX(
    INDEX('Degraded batteries'!$F:$F,Control!$B$31):INDEX('Degraded batteries'!$AO:$AO,Control!$B$32),
    MATCH(
        'NPV calculation'!$B25,
        INDEX('Degraded batteries'!$D:$D,Control!$B$31):INDEX('Degraded batteries'!$D:$D,Control!$B$32),
        0
    ),
    MATCH(
        'NPV calculation'!AH$17,
        INDEX('Degraded batteries'!$F:$F,Control!$B$31-1):INDEX('Degraded batteries'!$AO:$AO,Control!$B$31-1),
        0
    )
) * $K$9 / $K$10,0)</f>
        <v>73.626509682801199</v>
      </c>
      <c r="AI25" s="168" cm="1">
        <f t="array" ref="AI25">IF(AI$17&gt;=INDEX('Degraded batteries'!$F:$F,Control!$B$31-1),
INDEX(
    INDEX('Degraded batteries'!$F:$F,Control!$B$31):INDEX('Degraded batteries'!$AO:$AO,Control!$B$32),
    MATCH(
        'NPV calculation'!$B25,
        INDEX('Degraded batteries'!$D:$D,Control!$B$31):INDEX('Degraded batteries'!$D:$D,Control!$B$32),
        0
    ),
    MATCH(
        'NPV calculation'!AI$17,
        INDEX('Degraded batteries'!$F:$F,Control!$B$31-1):INDEX('Degraded batteries'!$AO:$AO,Control!$B$31-1),
        0
    )
) * $K$9 / $K$10,0)</f>
        <v>73.079031483277205</v>
      </c>
      <c r="AJ25" s="168" cm="1">
        <f t="array" ref="AJ25">IF(AJ$17&gt;=INDEX('Degraded batteries'!$F:$F,Control!$B$31-1),
INDEX(
    INDEX('Degraded batteries'!$F:$F,Control!$B$31):INDEX('Degraded batteries'!$AO:$AO,Control!$B$32),
    MATCH(
        'NPV calculation'!$B25,
        INDEX('Degraded batteries'!$D:$D,Control!$B$31):INDEX('Degraded batteries'!$D:$D,Control!$B$32),
        0
    ),
    MATCH(
        'NPV calculation'!AJ$17,
        INDEX('Degraded batteries'!$F:$F,Control!$B$31-1):INDEX('Degraded batteries'!$AO:$AO,Control!$B$31-1),
        0
    )
) * $K$9 / $K$10,0)</f>
        <v>71.396543619487701</v>
      </c>
      <c r="AK25" s="168" cm="1">
        <f t="array" ref="AK25">IF(AK$17&gt;=INDEX('Degraded batteries'!$F:$F,Control!$B$31-1),
INDEX(
    INDEX('Degraded batteries'!$F:$F,Control!$B$31):INDEX('Degraded batteries'!$AO:$AO,Control!$B$32),
    MATCH(
        'NPV calculation'!$B25,
        INDEX('Degraded batteries'!$D:$D,Control!$B$31):INDEX('Degraded batteries'!$D:$D,Control!$B$32),
        0
    ),
    MATCH(
        'NPV calculation'!AK$17,
        INDEX('Degraded batteries'!$F:$F,Control!$B$31-1):INDEX('Degraded batteries'!$AO:$AO,Control!$B$31-1),
        0
    )
) * $K$9 / $K$10,0)</f>
        <v>71.715862373955801</v>
      </c>
      <c r="AL25" s="168" cm="1">
        <f t="array" ref="AL25">IF(AL$17&gt;=INDEX('Degraded batteries'!$F:$F,Control!$B$31-1),
INDEX(
    INDEX('Degraded batteries'!$F:$F,Control!$B$31):INDEX('Degraded batteries'!$AO:$AO,Control!$B$32),
    MATCH(
        'NPV calculation'!$B25,
        INDEX('Degraded batteries'!$D:$D,Control!$B$31):INDEX('Degraded batteries'!$D:$D,Control!$B$32),
        0
    ),
    MATCH(
        'NPV calculation'!AL$17,
        INDEX('Degraded batteries'!$F:$F,Control!$B$31-1):INDEX('Degraded batteries'!$AO:$AO,Control!$B$31-1),
        0
    )
) * $K$9 / $K$10,0)</f>
        <v>71.736327774727997</v>
      </c>
      <c r="AM25" s="168" cm="1">
        <f t="array" ref="AM25">IF(AM$17&gt;=INDEX('Degraded batteries'!$F:$F,Control!$B$31-1),
INDEX(
    INDEX('Degraded batteries'!$F:$F,Control!$B$31):INDEX('Degraded batteries'!$AO:$AO,Control!$B$32),
    MATCH(
        'NPV calculation'!$B25,
        INDEX('Degraded batteries'!$D:$D,Control!$B$31):INDEX('Degraded batteries'!$D:$D,Control!$B$32),
        0
    ),
    MATCH(
        'NPV calculation'!AM$17,
        INDEX('Degraded batteries'!$F:$F,Control!$B$31-1):INDEX('Degraded batteries'!$AO:$AO,Control!$B$31-1),
        0
    )
) * $K$9 / $K$10,0)</f>
        <v>73.093782451061898</v>
      </c>
      <c r="AN25" s="168" cm="1">
        <f t="array" ref="AN25">IF(AN$17&gt;=INDEX('Degraded batteries'!$F:$F,Control!$B$31-1),
INDEX(
    INDEX('Degraded batteries'!$F:$F,Control!$B$31):INDEX('Degraded batteries'!$AO:$AO,Control!$B$32),
    MATCH(
        'NPV calculation'!$B25,
        INDEX('Degraded batteries'!$D:$D,Control!$B$31):INDEX('Degraded batteries'!$D:$D,Control!$B$32),
        0
    ),
    MATCH(
        'NPV calculation'!AN$17,
        INDEX('Degraded batteries'!$F:$F,Control!$B$31-1):INDEX('Degraded batteries'!$AO:$AO,Control!$B$31-1),
        0
    )
) * $K$9 / $K$10,0)</f>
        <v>72.133945752671096</v>
      </c>
    </row>
    <row r="26" spans="1:41" x14ac:dyDescent="0.25">
      <c r="A26" s="190" t="s">
        <v>244</v>
      </c>
      <c r="B26" s="207" t="s">
        <v>245</v>
      </c>
      <c r="C26" s="202">
        <f>Inputs!$E$97</f>
        <v>0.12</v>
      </c>
      <c r="D26" s="203" t="s">
        <v>242</v>
      </c>
      <c r="E26" s="204" cm="1">
        <f t="array" ref="E26">NPV($C26, INDEX(F26:AN26, MATCH(TRUE, F$29:AN$29&lt;&gt;0, 0)+1):AN26)+INDEX(F26:AN26, MATCH(TRUE, F$29:AN$29&lt;&gt;0, 0))</f>
        <v>187.50930251725077</v>
      </c>
      <c r="F26" s="205">
        <f>IF((F$17=$F$8-1),
IF(ISNUMBER(SEARCH("solar and wind",$F$10)),INDEX(Inputs!$E$78:$AM$80,MATCH($F$11,Inputs!$C$78:$C$80,0),MATCH($F$8-1,Inputs!$E$68:$AM$68,0)),
IF(ISNUMBER(SEARCH("solar (AC)",$F$10)),INDEX(Inputs!$E$69:$AM$71,MATCH($F$11,Inputs!$C$69:$C$71,0),MATCH($F$8-1,Inputs!$E$68:$AM$68,0)),
IF(ISNUMBER(SEARCH("solar (DC)",$F$10)),INDEX(Inputs!$E$72:$AM$74,MATCH($F$11,Inputs!$C$72:$C$74,0),MATCH($F$8-1,Inputs!$E$68:$AM$68,0)),
IF(ISNUMBER(SEARCH("wind (AC)",$F$10)),INDEX(Inputs!$E$75:$AM$77,MATCH($F$11,Inputs!$C$75:$C$77,0),MATCH($F$8-1,Inputs!$E$68:$AM$68,0)),
0)))),0)</f>
        <v>187.50930251725077</v>
      </c>
      <c r="G26" s="205">
        <f>IF((G$17=$F$8-1),
IF(ISNUMBER(SEARCH("solar and wind",$F$10)),INDEX(Inputs!$E$78:$AM$80,MATCH($F$11,Inputs!$C$78:$C$80,0),MATCH($F$8-1,Inputs!$E$68:$AM$68,0)),
IF(ISNUMBER(SEARCH("solar (AC)",$F$10)),INDEX(Inputs!$E$69:$AM$71,MATCH($F$11,Inputs!$C$69:$C$71,0),MATCH($F$8-1,Inputs!$E$68:$AM$68,0)),
IF(ISNUMBER(SEARCH("solar (DC)",$F$10)),INDEX(Inputs!$E$72:$AM$74,MATCH($F$11,Inputs!$C$72:$C$74,0),MATCH($F$8-1,Inputs!$E$68:$AM$68,0)),
IF(ISNUMBER(SEARCH("wind (AC)",$F$10)),INDEX(Inputs!$E$75:$AM$77,MATCH($F$11,Inputs!$C$75:$C$77,0),MATCH($F$8-1,Inputs!$E$68:$AM$68,0)),
0)))),0)</f>
        <v>0</v>
      </c>
      <c r="H26" s="205">
        <f>IF((H$17=$F$8-1),
IF(ISNUMBER(SEARCH("solar and wind",$F$10)),INDEX(Inputs!$E$78:$AM$80,MATCH($F$11,Inputs!$C$78:$C$80,0),MATCH($F$8-1,Inputs!$E$68:$AM$68,0)),
IF(ISNUMBER(SEARCH("solar (AC)",$F$10)),INDEX(Inputs!$E$69:$AM$71,MATCH($F$11,Inputs!$C$69:$C$71,0),MATCH($F$8-1,Inputs!$E$68:$AM$68,0)),
IF(ISNUMBER(SEARCH("solar (DC)",$F$10)),INDEX(Inputs!$E$72:$AM$74,MATCH($F$11,Inputs!$C$72:$C$74,0),MATCH($F$8-1,Inputs!$E$68:$AM$68,0)),
IF(ISNUMBER(SEARCH("wind (AC)",$F$10)),INDEX(Inputs!$E$75:$AM$77,MATCH($F$11,Inputs!$C$75:$C$77,0),MATCH($F$8-1,Inputs!$E$68:$AM$68,0)),
0)))),0)</f>
        <v>0</v>
      </c>
      <c r="I26" s="205">
        <f>IF((I$17=$F$8-1),
IF(ISNUMBER(SEARCH("solar and wind",$F$10)),INDEX(Inputs!$E$78:$AM$80,MATCH($F$11,Inputs!$C$78:$C$80,0),MATCH($F$8-1,Inputs!$E$68:$AM$68,0)),
IF(ISNUMBER(SEARCH("solar (AC)",$F$10)),INDEX(Inputs!$E$69:$AM$71,MATCH($F$11,Inputs!$C$69:$C$71,0),MATCH($F$8-1,Inputs!$E$68:$AM$68,0)),
IF(ISNUMBER(SEARCH("solar (DC)",$F$10)),INDEX(Inputs!$E$72:$AM$74,MATCH($F$11,Inputs!$C$72:$C$74,0),MATCH($F$8-1,Inputs!$E$68:$AM$68,0)),
IF(ISNUMBER(SEARCH("wind (AC)",$F$10)),INDEX(Inputs!$E$75:$AM$77,MATCH($F$11,Inputs!$C$75:$C$77,0),MATCH($F$8-1,Inputs!$E$68:$AM$68,0)),
0)))),0)</f>
        <v>0</v>
      </c>
      <c r="J26" s="205">
        <f>IF((J$17=$F$8-1),
IF(ISNUMBER(SEARCH("solar and wind",$F$10)),INDEX(Inputs!$E$78:$AM$80,MATCH($F$11,Inputs!$C$78:$C$80,0),MATCH($F$8-1,Inputs!$E$68:$AM$68,0)),
IF(ISNUMBER(SEARCH("solar (AC)",$F$10)),INDEX(Inputs!$E$69:$AM$71,MATCH($F$11,Inputs!$C$69:$C$71,0),MATCH($F$8-1,Inputs!$E$68:$AM$68,0)),
IF(ISNUMBER(SEARCH("solar (DC)",$F$10)),INDEX(Inputs!$E$72:$AM$74,MATCH($F$11,Inputs!$C$72:$C$74,0),MATCH($F$8-1,Inputs!$E$68:$AM$68,0)),
IF(ISNUMBER(SEARCH("wind (AC)",$F$10)),INDEX(Inputs!$E$75:$AM$77,MATCH($F$11,Inputs!$C$75:$C$77,0),MATCH($F$8-1,Inputs!$E$68:$AM$68,0)),
0)))),0)</f>
        <v>0</v>
      </c>
      <c r="K26" s="205">
        <f>IF((K$17=$F$8-1),
IF(ISNUMBER(SEARCH("solar and wind",$F$10)),INDEX(Inputs!$E$78:$AM$80,MATCH($F$11,Inputs!$C$78:$C$80,0),MATCH($F$8-1,Inputs!$E$68:$AM$68,0)),
IF(ISNUMBER(SEARCH("solar (AC)",$F$10)),INDEX(Inputs!$E$69:$AM$71,MATCH($F$11,Inputs!$C$69:$C$71,0),MATCH($F$8-1,Inputs!$E$68:$AM$68,0)),
IF(ISNUMBER(SEARCH("solar (DC)",$F$10)),INDEX(Inputs!$E$72:$AM$74,MATCH($F$11,Inputs!$C$72:$C$74,0),MATCH($F$8-1,Inputs!$E$68:$AM$68,0)),
IF(ISNUMBER(SEARCH("wind (AC)",$F$10)),INDEX(Inputs!$E$75:$AM$77,MATCH($F$11,Inputs!$C$75:$C$77,0),MATCH($F$8-1,Inputs!$E$68:$AM$68,0)),
0)))),0)</f>
        <v>0</v>
      </c>
      <c r="L26" s="205">
        <f>IF((L$17=$F$8-1),
IF(ISNUMBER(SEARCH("solar and wind",$F$10)),INDEX(Inputs!$E$78:$AM$80,MATCH($F$11,Inputs!$C$78:$C$80,0),MATCH($F$8-1,Inputs!$E$68:$AM$68,0)),
IF(ISNUMBER(SEARCH("solar (AC)",$F$10)),INDEX(Inputs!$E$69:$AM$71,MATCH($F$11,Inputs!$C$69:$C$71,0),MATCH($F$8-1,Inputs!$E$68:$AM$68,0)),
IF(ISNUMBER(SEARCH("solar (DC)",$F$10)),INDEX(Inputs!$E$72:$AM$74,MATCH($F$11,Inputs!$C$72:$C$74,0),MATCH($F$8-1,Inputs!$E$68:$AM$68,0)),
IF(ISNUMBER(SEARCH("wind (AC)",$F$10)),INDEX(Inputs!$E$75:$AM$77,MATCH($F$11,Inputs!$C$75:$C$77,0),MATCH($F$8-1,Inputs!$E$68:$AM$68,0)),
0)))),0)</f>
        <v>0</v>
      </c>
      <c r="M26" s="205">
        <f>IF((M$17=$F$8-1),
IF(ISNUMBER(SEARCH("solar and wind",$F$10)),INDEX(Inputs!$E$78:$AM$80,MATCH($F$11,Inputs!$C$78:$C$80,0),MATCH($F$8-1,Inputs!$E$68:$AM$68,0)),
IF(ISNUMBER(SEARCH("solar (AC)",$F$10)),INDEX(Inputs!$E$69:$AM$71,MATCH($F$11,Inputs!$C$69:$C$71,0),MATCH($F$8-1,Inputs!$E$68:$AM$68,0)),
IF(ISNUMBER(SEARCH("solar (DC)",$F$10)),INDEX(Inputs!$E$72:$AM$74,MATCH($F$11,Inputs!$C$72:$C$74,0),MATCH($F$8-1,Inputs!$E$68:$AM$68,0)),
IF(ISNUMBER(SEARCH("wind (AC)",$F$10)),INDEX(Inputs!$E$75:$AM$77,MATCH($F$11,Inputs!$C$75:$C$77,0),MATCH($F$8-1,Inputs!$E$68:$AM$68,0)),
0)))),0)</f>
        <v>0</v>
      </c>
      <c r="N26" s="205">
        <f>IF((N$17=$F$8-1),
IF(ISNUMBER(SEARCH("solar and wind",$F$10)),INDEX(Inputs!$E$78:$AM$80,MATCH($F$11,Inputs!$C$78:$C$80,0),MATCH($F$8-1,Inputs!$E$68:$AM$68,0)),
IF(ISNUMBER(SEARCH("solar (AC)",$F$10)),INDEX(Inputs!$E$69:$AM$71,MATCH($F$11,Inputs!$C$69:$C$71,0),MATCH($F$8-1,Inputs!$E$68:$AM$68,0)),
IF(ISNUMBER(SEARCH("solar (DC)",$F$10)),INDEX(Inputs!$E$72:$AM$74,MATCH($F$11,Inputs!$C$72:$C$74,0),MATCH($F$8-1,Inputs!$E$68:$AM$68,0)),
IF(ISNUMBER(SEARCH("wind (AC)",$F$10)),INDEX(Inputs!$E$75:$AM$77,MATCH($F$11,Inputs!$C$75:$C$77,0),MATCH($F$8-1,Inputs!$E$68:$AM$68,0)),
0)))),0)</f>
        <v>0</v>
      </c>
      <c r="O26" s="205">
        <f>IF((O$17=$F$8-1),
IF(ISNUMBER(SEARCH("solar and wind",$F$10)),INDEX(Inputs!$E$78:$AM$80,MATCH($F$11,Inputs!$C$78:$C$80,0),MATCH($F$8-1,Inputs!$E$68:$AM$68,0)),
IF(ISNUMBER(SEARCH("solar (AC)",$F$10)),INDEX(Inputs!$E$69:$AM$71,MATCH($F$11,Inputs!$C$69:$C$71,0),MATCH($F$8-1,Inputs!$E$68:$AM$68,0)),
IF(ISNUMBER(SEARCH("solar (DC)",$F$10)),INDEX(Inputs!$E$72:$AM$74,MATCH($F$11,Inputs!$C$72:$C$74,0),MATCH($F$8-1,Inputs!$E$68:$AM$68,0)),
IF(ISNUMBER(SEARCH("wind (AC)",$F$10)),INDEX(Inputs!$E$75:$AM$77,MATCH($F$11,Inputs!$C$75:$C$77,0),MATCH($F$8-1,Inputs!$E$68:$AM$68,0)),
0)))),0)</f>
        <v>0</v>
      </c>
      <c r="P26" s="205">
        <f>IF((P$17=$F$8-1),
IF(ISNUMBER(SEARCH("solar and wind",$F$10)),INDEX(Inputs!$E$78:$AM$80,MATCH($F$11,Inputs!$C$78:$C$80,0),MATCH($F$8-1,Inputs!$E$68:$AM$68,0)),
IF(ISNUMBER(SEARCH("solar (AC)",$F$10)),INDEX(Inputs!$E$69:$AM$71,MATCH($F$11,Inputs!$C$69:$C$71,0),MATCH($F$8-1,Inputs!$E$68:$AM$68,0)),
IF(ISNUMBER(SEARCH("solar (DC)",$F$10)),INDEX(Inputs!$E$72:$AM$74,MATCH($F$11,Inputs!$C$72:$C$74,0),MATCH($F$8-1,Inputs!$E$68:$AM$68,0)),
IF(ISNUMBER(SEARCH("wind (AC)",$F$10)),INDEX(Inputs!$E$75:$AM$77,MATCH($F$11,Inputs!$C$75:$C$77,0),MATCH($F$8-1,Inputs!$E$68:$AM$68,0)),
0)))),0)</f>
        <v>0</v>
      </c>
      <c r="Q26" s="205">
        <f>IF((Q$17=$F$8-1),
IF(ISNUMBER(SEARCH("solar and wind",$F$10)),INDEX(Inputs!$E$78:$AM$80,MATCH($F$11,Inputs!$C$78:$C$80,0),MATCH($F$8-1,Inputs!$E$68:$AM$68,0)),
IF(ISNUMBER(SEARCH("solar (AC)",$F$10)),INDEX(Inputs!$E$69:$AM$71,MATCH($F$11,Inputs!$C$69:$C$71,0),MATCH($F$8-1,Inputs!$E$68:$AM$68,0)),
IF(ISNUMBER(SEARCH("solar (DC)",$F$10)),INDEX(Inputs!$E$72:$AM$74,MATCH($F$11,Inputs!$C$72:$C$74,0),MATCH($F$8-1,Inputs!$E$68:$AM$68,0)),
IF(ISNUMBER(SEARCH("wind (AC)",$F$10)),INDEX(Inputs!$E$75:$AM$77,MATCH($F$11,Inputs!$C$75:$C$77,0),MATCH($F$8-1,Inputs!$E$68:$AM$68,0)),
0)))),0)</f>
        <v>0</v>
      </c>
      <c r="R26" s="205">
        <f>IF((R$17=$F$8-1),
IF(ISNUMBER(SEARCH("solar and wind",$F$10)),INDEX(Inputs!$E$78:$AM$80,MATCH($F$11,Inputs!$C$78:$C$80,0),MATCH($F$8-1,Inputs!$E$68:$AM$68,0)),
IF(ISNUMBER(SEARCH("solar (AC)",$F$10)),INDEX(Inputs!$E$69:$AM$71,MATCH($F$11,Inputs!$C$69:$C$71,0),MATCH($F$8-1,Inputs!$E$68:$AM$68,0)),
IF(ISNUMBER(SEARCH("solar (DC)",$F$10)),INDEX(Inputs!$E$72:$AM$74,MATCH($F$11,Inputs!$C$72:$C$74,0),MATCH($F$8-1,Inputs!$E$68:$AM$68,0)),
IF(ISNUMBER(SEARCH("wind (AC)",$F$10)),INDEX(Inputs!$E$75:$AM$77,MATCH($F$11,Inputs!$C$75:$C$77,0),MATCH($F$8-1,Inputs!$E$68:$AM$68,0)),
0)))),0)</f>
        <v>0</v>
      </c>
      <c r="S26" s="205">
        <f>IF((S$17=$F$8-1),
IF(ISNUMBER(SEARCH("solar and wind",$F$10)),INDEX(Inputs!$E$78:$AM$80,MATCH($F$11,Inputs!$C$78:$C$80,0),MATCH($F$8-1,Inputs!$E$68:$AM$68,0)),
IF(ISNUMBER(SEARCH("solar (AC)",$F$10)),INDEX(Inputs!$E$69:$AM$71,MATCH($F$11,Inputs!$C$69:$C$71,0),MATCH($F$8-1,Inputs!$E$68:$AM$68,0)),
IF(ISNUMBER(SEARCH("solar (DC)",$F$10)),INDEX(Inputs!$E$72:$AM$74,MATCH($F$11,Inputs!$C$72:$C$74,0),MATCH($F$8-1,Inputs!$E$68:$AM$68,0)),
IF(ISNUMBER(SEARCH("wind (AC)",$F$10)),INDEX(Inputs!$E$75:$AM$77,MATCH($F$11,Inputs!$C$75:$C$77,0),MATCH($F$8-1,Inputs!$E$68:$AM$68,0)),
0)))),0)</f>
        <v>0</v>
      </c>
      <c r="T26" s="205">
        <f>IF((T$17=$F$8-1),
IF(ISNUMBER(SEARCH("solar and wind",$F$10)),INDEX(Inputs!$E$78:$AM$80,MATCH($F$11,Inputs!$C$78:$C$80,0),MATCH($F$8-1,Inputs!$E$68:$AM$68,0)),
IF(ISNUMBER(SEARCH("solar (AC)",$F$10)),INDEX(Inputs!$E$69:$AM$71,MATCH($F$11,Inputs!$C$69:$C$71,0),MATCH($F$8-1,Inputs!$E$68:$AM$68,0)),
IF(ISNUMBER(SEARCH("solar (DC)",$F$10)),INDEX(Inputs!$E$72:$AM$74,MATCH($F$11,Inputs!$C$72:$C$74,0),MATCH($F$8-1,Inputs!$E$68:$AM$68,0)),
IF(ISNUMBER(SEARCH("wind (AC)",$F$10)),INDEX(Inputs!$E$75:$AM$77,MATCH($F$11,Inputs!$C$75:$C$77,0),MATCH($F$8-1,Inputs!$E$68:$AM$68,0)),
0)))),0)</f>
        <v>0</v>
      </c>
      <c r="U26" s="205">
        <f>IF((U$17=$F$8-1),
IF(ISNUMBER(SEARCH("solar and wind",$F$10)),INDEX(Inputs!$E$78:$AM$80,MATCH($F$11,Inputs!$C$78:$C$80,0),MATCH($F$8-1,Inputs!$E$68:$AM$68,0)),
IF(ISNUMBER(SEARCH("solar (AC)",$F$10)),INDEX(Inputs!$E$69:$AM$71,MATCH($F$11,Inputs!$C$69:$C$71,0),MATCH($F$8-1,Inputs!$E$68:$AM$68,0)),
IF(ISNUMBER(SEARCH("solar (DC)",$F$10)),INDEX(Inputs!$E$72:$AM$74,MATCH($F$11,Inputs!$C$72:$C$74,0),MATCH($F$8-1,Inputs!$E$68:$AM$68,0)),
IF(ISNUMBER(SEARCH("wind (AC)",$F$10)),INDEX(Inputs!$E$75:$AM$77,MATCH($F$11,Inputs!$C$75:$C$77,0),MATCH($F$8-1,Inputs!$E$68:$AM$68,0)),
0)))),0)</f>
        <v>0</v>
      </c>
      <c r="V26" s="205">
        <f>IF((V$17=$F$8-1),
IF(ISNUMBER(SEARCH("solar and wind",$F$10)),INDEX(Inputs!$E$78:$AM$80,MATCH($F$11,Inputs!$C$78:$C$80,0),MATCH($F$8-1,Inputs!$E$68:$AM$68,0)),
IF(ISNUMBER(SEARCH("solar (AC)",$F$10)),INDEX(Inputs!$E$69:$AM$71,MATCH($F$11,Inputs!$C$69:$C$71,0),MATCH($F$8-1,Inputs!$E$68:$AM$68,0)),
IF(ISNUMBER(SEARCH("solar (DC)",$F$10)),INDEX(Inputs!$E$72:$AM$74,MATCH($F$11,Inputs!$C$72:$C$74,0),MATCH($F$8-1,Inputs!$E$68:$AM$68,0)),
IF(ISNUMBER(SEARCH("wind (AC)",$F$10)),INDEX(Inputs!$E$75:$AM$77,MATCH($F$11,Inputs!$C$75:$C$77,0),MATCH($F$8-1,Inputs!$E$68:$AM$68,0)),
0)))),0)</f>
        <v>0</v>
      </c>
      <c r="W26" s="205">
        <f>IF((W$17=$F$8-1),
IF(ISNUMBER(SEARCH("solar and wind",$F$10)),INDEX(Inputs!$E$78:$AM$80,MATCH($F$11,Inputs!$C$78:$C$80,0),MATCH($F$8-1,Inputs!$E$68:$AM$68,0)),
IF(ISNUMBER(SEARCH("solar (AC)",$F$10)),INDEX(Inputs!$E$69:$AM$71,MATCH($F$11,Inputs!$C$69:$C$71,0),MATCH($F$8-1,Inputs!$E$68:$AM$68,0)),
IF(ISNUMBER(SEARCH("solar (DC)",$F$10)),INDEX(Inputs!$E$72:$AM$74,MATCH($F$11,Inputs!$C$72:$C$74,0),MATCH($F$8-1,Inputs!$E$68:$AM$68,0)),
IF(ISNUMBER(SEARCH("wind (AC)",$F$10)),INDEX(Inputs!$E$75:$AM$77,MATCH($F$11,Inputs!$C$75:$C$77,0),MATCH($F$8-1,Inputs!$E$68:$AM$68,0)),
0)))),0)</f>
        <v>0</v>
      </c>
      <c r="X26" s="205">
        <f>IF((X$17=$F$8-1),
IF(ISNUMBER(SEARCH("solar and wind",$F$10)),INDEX(Inputs!$E$78:$AM$80,MATCH($F$11,Inputs!$C$78:$C$80,0),MATCH($F$8-1,Inputs!$E$68:$AM$68,0)),
IF(ISNUMBER(SEARCH("solar (AC)",$F$10)),INDEX(Inputs!$E$69:$AM$71,MATCH($F$11,Inputs!$C$69:$C$71,0),MATCH($F$8-1,Inputs!$E$68:$AM$68,0)),
IF(ISNUMBER(SEARCH("solar (DC)",$F$10)),INDEX(Inputs!$E$72:$AM$74,MATCH($F$11,Inputs!$C$72:$C$74,0),MATCH($F$8-1,Inputs!$E$68:$AM$68,0)),
IF(ISNUMBER(SEARCH("wind (AC)",$F$10)),INDEX(Inputs!$E$75:$AM$77,MATCH($F$11,Inputs!$C$75:$C$77,0),MATCH($F$8-1,Inputs!$E$68:$AM$68,0)),
0)))),0)</f>
        <v>0</v>
      </c>
      <c r="Y26" s="205">
        <f>IF((Y$17=$F$8-1),
IF(ISNUMBER(SEARCH("solar and wind",$F$10)),INDEX(Inputs!$E$78:$AM$80,MATCH($F$11,Inputs!$C$78:$C$80,0),MATCH($F$8-1,Inputs!$E$68:$AM$68,0)),
IF(ISNUMBER(SEARCH("solar (AC)",$F$10)),INDEX(Inputs!$E$69:$AM$71,MATCH($F$11,Inputs!$C$69:$C$71,0),MATCH($F$8-1,Inputs!$E$68:$AM$68,0)),
IF(ISNUMBER(SEARCH("solar (DC)",$F$10)),INDEX(Inputs!$E$72:$AM$74,MATCH($F$11,Inputs!$C$72:$C$74,0),MATCH($F$8-1,Inputs!$E$68:$AM$68,0)),
IF(ISNUMBER(SEARCH("wind (AC)",$F$10)),INDEX(Inputs!$E$75:$AM$77,MATCH($F$11,Inputs!$C$75:$C$77,0),MATCH($F$8-1,Inputs!$E$68:$AM$68,0)),
0)))),0)</f>
        <v>0</v>
      </c>
      <c r="Z26" s="205">
        <f>IF((Z$17=$F$8-1),
IF(ISNUMBER(SEARCH("solar and wind",$F$10)),INDEX(Inputs!$E$78:$AM$80,MATCH($F$11,Inputs!$C$78:$C$80,0),MATCH($F$8-1,Inputs!$E$68:$AM$68,0)),
IF(ISNUMBER(SEARCH("solar (AC)",$F$10)),INDEX(Inputs!$E$69:$AM$71,MATCH($F$11,Inputs!$C$69:$C$71,0),MATCH($F$8-1,Inputs!$E$68:$AM$68,0)),
IF(ISNUMBER(SEARCH("solar (DC)",$F$10)),INDEX(Inputs!$E$72:$AM$74,MATCH($F$11,Inputs!$C$72:$C$74,0),MATCH($F$8-1,Inputs!$E$68:$AM$68,0)),
IF(ISNUMBER(SEARCH("wind (AC)",$F$10)),INDEX(Inputs!$E$75:$AM$77,MATCH($F$11,Inputs!$C$75:$C$77,0),MATCH($F$8-1,Inputs!$E$68:$AM$68,0)),
0)))),0)</f>
        <v>0</v>
      </c>
      <c r="AA26" s="205">
        <f>IF((AA$17=$F$8-1),
IF(ISNUMBER(SEARCH("solar and wind",$F$10)),INDEX(Inputs!$E$78:$AM$80,MATCH($F$11,Inputs!$C$78:$C$80,0),MATCH($F$8-1,Inputs!$E$68:$AM$68,0)),
IF(ISNUMBER(SEARCH("solar (AC)",$F$10)),INDEX(Inputs!$E$69:$AM$71,MATCH($F$11,Inputs!$C$69:$C$71,0),MATCH($F$8-1,Inputs!$E$68:$AM$68,0)),
IF(ISNUMBER(SEARCH("solar (DC)",$F$10)),INDEX(Inputs!$E$72:$AM$74,MATCH($F$11,Inputs!$C$72:$C$74,0),MATCH($F$8-1,Inputs!$E$68:$AM$68,0)),
IF(ISNUMBER(SEARCH("wind (AC)",$F$10)),INDEX(Inputs!$E$75:$AM$77,MATCH($F$11,Inputs!$C$75:$C$77,0),MATCH($F$8-1,Inputs!$E$68:$AM$68,0)),
0)))),0)</f>
        <v>0</v>
      </c>
      <c r="AB26" s="205">
        <f>IF((AB$17=$F$8-1),
IF(ISNUMBER(SEARCH("solar and wind",$F$10)),INDEX(Inputs!$E$78:$AM$80,MATCH($F$11,Inputs!$C$78:$C$80,0),MATCH($F$8-1,Inputs!$E$68:$AM$68,0)),
IF(ISNUMBER(SEARCH("solar (AC)",$F$10)),INDEX(Inputs!$E$69:$AM$71,MATCH($F$11,Inputs!$C$69:$C$71,0),MATCH($F$8-1,Inputs!$E$68:$AM$68,0)),
IF(ISNUMBER(SEARCH("solar (DC)",$F$10)),INDEX(Inputs!$E$72:$AM$74,MATCH($F$11,Inputs!$C$72:$C$74,0),MATCH($F$8-1,Inputs!$E$68:$AM$68,0)),
IF(ISNUMBER(SEARCH("wind (AC)",$F$10)),INDEX(Inputs!$E$75:$AM$77,MATCH($F$11,Inputs!$C$75:$C$77,0),MATCH($F$8-1,Inputs!$E$68:$AM$68,0)),
0)))),0)</f>
        <v>0</v>
      </c>
      <c r="AC26" s="205">
        <f>IF((AC$17=$F$8-1),
IF(ISNUMBER(SEARCH("solar and wind",$F$10)),INDEX(Inputs!$E$78:$AM$80,MATCH($F$11,Inputs!$C$78:$C$80,0),MATCH($F$8-1,Inputs!$E$68:$AM$68,0)),
IF(ISNUMBER(SEARCH("solar (AC)",$F$10)),INDEX(Inputs!$E$69:$AM$71,MATCH($F$11,Inputs!$C$69:$C$71,0),MATCH($F$8-1,Inputs!$E$68:$AM$68,0)),
IF(ISNUMBER(SEARCH("solar (DC)",$F$10)),INDEX(Inputs!$E$72:$AM$74,MATCH($F$11,Inputs!$C$72:$C$74,0),MATCH($F$8-1,Inputs!$E$68:$AM$68,0)),
IF(ISNUMBER(SEARCH("wind (AC)",$F$10)),INDEX(Inputs!$E$75:$AM$77,MATCH($F$11,Inputs!$C$75:$C$77,0),MATCH($F$8-1,Inputs!$E$68:$AM$68,0)),
0)))),0)</f>
        <v>0</v>
      </c>
      <c r="AD26" s="205">
        <f>IF((AD$17=$F$8-1),
IF(ISNUMBER(SEARCH("solar and wind",$F$10)),INDEX(Inputs!$E$78:$AM$80,MATCH($F$11,Inputs!$C$78:$C$80,0),MATCH($F$8-1,Inputs!$E$68:$AM$68,0)),
IF(ISNUMBER(SEARCH("solar (AC)",$F$10)),INDEX(Inputs!$E$69:$AM$71,MATCH($F$11,Inputs!$C$69:$C$71,0),MATCH($F$8-1,Inputs!$E$68:$AM$68,0)),
IF(ISNUMBER(SEARCH("solar (DC)",$F$10)),INDEX(Inputs!$E$72:$AM$74,MATCH($F$11,Inputs!$C$72:$C$74,0),MATCH($F$8-1,Inputs!$E$68:$AM$68,0)),
IF(ISNUMBER(SEARCH("wind (AC)",$F$10)),INDEX(Inputs!$E$75:$AM$77,MATCH($F$11,Inputs!$C$75:$C$77,0),MATCH($F$8-1,Inputs!$E$68:$AM$68,0)),
0)))),0)</f>
        <v>0</v>
      </c>
      <c r="AE26" s="205">
        <f>IF((AE$17=$F$8-1),
IF(ISNUMBER(SEARCH("solar and wind",$F$10)),INDEX(Inputs!$E$78:$AM$80,MATCH($F$11,Inputs!$C$78:$C$80,0),MATCH($F$8-1,Inputs!$E$68:$AM$68,0)),
IF(ISNUMBER(SEARCH("solar (AC)",$F$10)),INDEX(Inputs!$E$69:$AM$71,MATCH($F$11,Inputs!$C$69:$C$71,0),MATCH($F$8-1,Inputs!$E$68:$AM$68,0)),
IF(ISNUMBER(SEARCH("solar (DC)",$F$10)),INDEX(Inputs!$E$72:$AM$74,MATCH($F$11,Inputs!$C$72:$C$74,0),MATCH($F$8-1,Inputs!$E$68:$AM$68,0)),
IF(ISNUMBER(SEARCH("wind (AC)",$F$10)),INDEX(Inputs!$E$75:$AM$77,MATCH($F$11,Inputs!$C$75:$C$77,0),MATCH($F$8-1,Inputs!$E$68:$AM$68,0)),
0)))),0)</f>
        <v>0</v>
      </c>
      <c r="AF26" s="205">
        <f>IF((AF$17=$F$8-1),
IF(ISNUMBER(SEARCH("solar and wind",$F$10)),INDEX(Inputs!$E$78:$AM$80,MATCH($F$11,Inputs!$C$78:$C$80,0),MATCH($F$8-1,Inputs!$E$68:$AM$68,0)),
IF(ISNUMBER(SEARCH("solar (AC)",$F$10)),INDEX(Inputs!$E$69:$AM$71,MATCH($F$11,Inputs!$C$69:$C$71,0),MATCH($F$8-1,Inputs!$E$68:$AM$68,0)),
IF(ISNUMBER(SEARCH("solar (DC)",$F$10)),INDEX(Inputs!$E$72:$AM$74,MATCH($F$11,Inputs!$C$72:$C$74,0),MATCH($F$8-1,Inputs!$E$68:$AM$68,0)),
IF(ISNUMBER(SEARCH("wind (AC)",$F$10)),INDEX(Inputs!$E$75:$AM$77,MATCH($F$11,Inputs!$C$75:$C$77,0),MATCH($F$8-1,Inputs!$E$68:$AM$68,0)),
0)))),0)</f>
        <v>0</v>
      </c>
      <c r="AG26" s="205">
        <f>IF((AG$17=$F$8-1),
IF(ISNUMBER(SEARCH("solar and wind",$F$10)),INDEX(Inputs!$E$78:$AM$80,MATCH($F$11,Inputs!$C$78:$C$80,0),MATCH($F$8-1,Inputs!$E$68:$AM$68,0)),
IF(ISNUMBER(SEARCH("solar (AC)",$F$10)),INDEX(Inputs!$E$69:$AM$71,MATCH($F$11,Inputs!$C$69:$C$71,0),MATCH($F$8-1,Inputs!$E$68:$AM$68,0)),
IF(ISNUMBER(SEARCH("solar (DC)",$F$10)),INDEX(Inputs!$E$72:$AM$74,MATCH($F$11,Inputs!$C$72:$C$74,0),MATCH($F$8-1,Inputs!$E$68:$AM$68,0)),
IF(ISNUMBER(SEARCH("wind (AC)",$F$10)),INDEX(Inputs!$E$75:$AM$77,MATCH($F$11,Inputs!$C$75:$C$77,0),MATCH($F$8-1,Inputs!$E$68:$AM$68,0)),
0)))),0)</f>
        <v>0</v>
      </c>
      <c r="AH26" s="205">
        <f>IF((AH$17=$F$8-1),
IF(ISNUMBER(SEARCH("solar and wind",$F$10)),INDEX(Inputs!$E$78:$AM$80,MATCH($F$11,Inputs!$C$78:$C$80,0),MATCH($F$8-1,Inputs!$E$68:$AM$68,0)),
IF(ISNUMBER(SEARCH("solar (AC)",$F$10)),INDEX(Inputs!$E$69:$AM$71,MATCH($F$11,Inputs!$C$69:$C$71,0),MATCH($F$8-1,Inputs!$E$68:$AM$68,0)),
IF(ISNUMBER(SEARCH("solar (DC)",$F$10)),INDEX(Inputs!$E$72:$AM$74,MATCH($F$11,Inputs!$C$72:$C$74,0),MATCH($F$8-1,Inputs!$E$68:$AM$68,0)),
IF(ISNUMBER(SEARCH("wind (AC)",$F$10)),INDEX(Inputs!$E$75:$AM$77,MATCH($F$11,Inputs!$C$75:$C$77,0),MATCH($F$8-1,Inputs!$E$68:$AM$68,0)),
0)))),0)</f>
        <v>0</v>
      </c>
      <c r="AI26" s="205">
        <f>IF((AI$17=$F$8-1),
IF(ISNUMBER(SEARCH("solar and wind",$F$10)),INDEX(Inputs!$E$78:$AM$80,MATCH($F$11,Inputs!$C$78:$C$80,0),MATCH($F$8-1,Inputs!$E$68:$AM$68,0)),
IF(ISNUMBER(SEARCH("solar (AC)",$F$10)),INDEX(Inputs!$E$69:$AM$71,MATCH($F$11,Inputs!$C$69:$C$71,0),MATCH($F$8-1,Inputs!$E$68:$AM$68,0)),
IF(ISNUMBER(SEARCH("solar (DC)",$F$10)),INDEX(Inputs!$E$72:$AM$74,MATCH($F$11,Inputs!$C$72:$C$74,0),MATCH($F$8-1,Inputs!$E$68:$AM$68,0)),
IF(ISNUMBER(SEARCH("wind (AC)",$F$10)),INDEX(Inputs!$E$75:$AM$77,MATCH($F$11,Inputs!$C$75:$C$77,0),MATCH($F$8-1,Inputs!$E$68:$AM$68,0)),
0)))),0)</f>
        <v>0</v>
      </c>
      <c r="AJ26" s="205">
        <f>IF((AJ$17=$F$8-1),
IF(ISNUMBER(SEARCH("solar and wind",$F$10)),INDEX(Inputs!$E$78:$AM$80,MATCH($F$11,Inputs!$C$78:$C$80,0),MATCH($F$8-1,Inputs!$E$68:$AM$68,0)),
IF(ISNUMBER(SEARCH("solar (AC)",$F$10)),INDEX(Inputs!$E$69:$AM$71,MATCH($F$11,Inputs!$C$69:$C$71,0),MATCH($F$8-1,Inputs!$E$68:$AM$68,0)),
IF(ISNUMBER(SEARCH("solar (DC)",$F$10)),INDEX(Inputs!$E$72:$AM$74,MATCH($F$11,Inputs!$C$72:$C$74,0),MATCH($F$8-1,Inputs!$E$68:$AM$68,0)),
IF(ISNUMBER(SEARCH("wind (AC)",$F$10)),INDEX(Inputs!$E$75:$AM$77,MATCH($F$11,Inputs!$C$75:$C$77,0),MATCH($F$8-1,Inputs!$E$68:$AM$68,0)),
0)))),0)</f>
        <v>0</v>
      </c>
      <c r="AK26" s="205">
        <f>IF((AK$17=$F$8-1),
IF(ISNUMBER(SEARCH("solar and wind",$F$10)),INDEX(Inputs!$E$78:$AM$80,MATCH($F$11,Inputs!$C$78:$C$80,0),MATCH($F$8-1,Inputs!$E$68:$AM$68,0)),
IF(ISNUMBER(SEARCH("solar (AC)",$F$10)),INDEX(Inputs!$E$69:$AM$71,MATCH($F$11,Inputs!$C$69:$C$71,0),MATCH($F$8-1,Inputs!$E$68:$AM$68,0)),
IF(ISNUMBER(SEARCH("solar (DC)",$F$10)),INDEX(Inputs!$E$72:$AM$74,MATCH($F$11,Inputs!$C$72:$C$74,0),MATCH($F$8-1,Inputs!$E$68:$AM$68,0)),
IF(ISNUMBER(SEARCH("wind (AC)",$F$10)),INDEX(Inputs!$E$75:$AM$77,MATCH($F$11,Inputs!$C$75:$C$77,0),MATCH($F$8-1,Inputs!$E$68:$AM$68,0)),
0)))),0)</f>
        <v>0</v>
      </c>
      <c r="AL26" s="205">
        <f>IF((AL$17=$F$8-1),
IF(ISNUMBER(SEARCH("solar and wind",$F$10)),INDEX(Inputs!$E$78:$AM$80,MATCH($F$11,Inputs!$C$78:$C$80,0),MATCH($F$8-1,Inputs!$E$68:$AM$68,0)),
IF(ISNUMBER(SEARCH("solar (AC)",$F$10)),INDEX(Inputs!$E$69:$AM$71,MATCH($F$11,Inputs!$C$69:$C$71,0),MATCH($F$8-1,Inputs!$E$68:$AM$68,0)),
IF(ISNUMBER(SEARCH("solar (DC)",$F$10)),INDEX(Inputs!$E$72:$AM$74,MATCH($F$11,Inputs!$C$72:$C$74,0),MATCH($F$8-1,Inputs!$E$68:$AM$68,0)),
IF(ISNUMBER(SEARCH("wind (AC)",$F$10)),INDEX(Inputs!$E$75:$AM$77,MATCH($F$11,Inputs!$C$75:$C$77,0),MATCH($F$8-1,Inputs!$E$68:$AM$68,0)),
0)))),0)</f>
        <v>0</v>
      </c>
      <c r="AM26" s="205">
        <f>IF((AM$17=$F$8-1),
IF(ISNUMBER(SEARCH("solar and wind",$F$10)),INDEX(Inputs!$E$78:$AM$80,MATCH($F$11,Inputs!$C$78:$C$80,0),MATCH($F$8-1,Inputs!$E$68:$AM$68,0)),
IF(ISNUMBER(SEARCH("solar (AC)",$F$10)),INDEX(Inputs!$E$69:$AM$71,MATCH($F$11,Inputs!$C$69:$C$71,0),MATCH($F$8-1,Inputs!$E$68:$AM$68,0)),
IF(ISNUMBER(SEARCH("solar (DC)",$F$10)),INDEX(Inputs!$E$72:$AM$74,MATCH($F$11,Inputs!$C$72:$C$74,0),MATCH($F$8-1,Inputs!$E$68:$AM$68,0)),
IF(ISNUMBER(SEARCH("wind (AC)",$F$10)),INDEX(Inputs!$E$75:$AM$77,MATCH($F$11,Inputs!$C$75:$C$77,0),MATCH($F$8-1,Inputs!$E$68:$AM$68,0)),
0)))),0)</f>
        <v>0</v>
      </c>
      <c r="AN26" s="205">
        <f>IF((AN$17=$F$8-1),
IF(ISNUMBER(SEARCH("solar and wind",$F$10)),INDEX(Inputs!$E$78:$AM$80,MATCH($F$11,Inputs!$C$78:$C$80,0),MATCH($F$8-1,Inputs!$E$68:$AM$68,0)),
IF(ISNUMBER(SEARCH("solar (AC)",$F$10)),INDEX(Inputs!$E$69:$AM$71,MATCH($F$11,Inputs!$C$69:$C$71,0),MATCH($F$8-1,Inputs!$E$68:$AM$68,0)),
IF(ISNUMBER(SEARCH("solar (DC)",$F$10)),INDEX(Inputs!$E$72:$AM$74,MATCH($F$11,Inputs!$C$72:$C$74,0),MATCH($F$8-1,Inputs!$E$68:$AM$68,0)),
IF(ISNUMBER(SEARCH("wind (AC)",$F$10)),INDEX(Inputs!$E$75:$AM$77,MATCH($F$11,Inputs!$C$75:$C$77,0),MATCH($F$8-1,Inputs!$E$68:$AM$68,0)),
0)))),0)</f>
        <v>0</v>
      </c>
    </row>
    <row r="27" spans="1:41" x14ac:dyDescent="0.25">
      <c r="B27" s="208" t="s">
        <v>246</v>
      </c>
      <c r="C27" s="199">
        <f>Inputs!$E$97</f>
        <v>0.12</v>
      </c>
      <c r="D27" s="192" t="s">
        <v>242</v>
      </c>
      <c r="E27" s="155" cm="1">
        <f t="array" ref="E27">NPV($C27, INDEX(F27:AN27, MATCH(TRUE, F$29:AN$29&lt;&gt;0, 0)+1):AN27)+INDEX(F27:AN27, MATCH(TRUE, F$29:AN$29&lt;&gt;0, 0))</f>
        <v>33.830774210517923</v>
      </c>
      <c r="F27" s="168">
        <f>IF(ISNUMBER(SEARCH("standalone", $F$10)), 0, -SUM(F19,F24) * Inputs!$E$83)</f>
        <v>0</v>
      </c>
      <c r="G27" s="168">
        <f>IF(ISNUMBER(SEARCH("standalone", $F$10)), 0, -SUM(G19,G24) * Inputs!$E$83)</f>
        <v>4.1476745136974404</v>
      </c>
      <c r="H27" s="168">
        <f>IF(ISNUMBER(SEARCH("standalone", $F$10)), 0, -SUM(H19,H24) * Inputs!$E$83)</f>
        <v>4.1476745136974404</v>
      </c>
      <c r="I27" s="168">
        <f>IF(ISNUMBER(SEARCH("standalone", $F$10)), 0, -SUM(I19,I24) * Inputs!$E$83)</f>
        <v>4.1476745136974404</v>
      </c>
      <c r="J27" s="168">
        <f>IF(ISNUMBER(SEARCH("standalone", $F$10)), 0, -SUM(J19,J24) * Inputs!$E$83)</f>
        <v>4.1476745136974404</v>
      </c>
      <c r="K27" s="168">
        <f>IF(ISNUMBER(SEARCH("standalone", $F$10)), 0, -SUM(K19,K24) * Inputs!$E$83)</f>
        <v>4.1476745136974404</v>
      </c>
      <c r="L27" s="168">
        <f>IF(ISNUMBER(SEARCH("standalone", $F$10)), 0, -SUM(L19,L24) * Inputs!$E$83)</f>
        <v>4.1476745136974404</v>
      </c>
      <c r="M27" s="168">
        <f>IF(ISNUMBER(SEARCH("standalone", $F$10)), 0, -SUM(M19,M24) * Inputs!$E$83)</f>
        <v>4.1476745136974404</v>
      </c>
      <c r="N27" s="168">
        <f>IF(ISNUMBER(SEARCH("standalone", $F$10)), 0, -SUM(N19,N24) * Inputs!$E$83)</f>
        <v>4.1476745136974404</v>
      </c>
      <c r="O27" s="168">
        <f>IF(ISNUMBER(SEARCH("standalone", $F$10)), 0, -SUM(O19,O24) * Inputs!$E$83)</f>
        <v>4.1476745136974404</v>
      </c>
      <c r="P27" s="168">
        <f>IF(ISNUMBER(SEARCH("standalone", $F$10)), 0, -SUM(P19,P24) * Inputs!$E$83)</f>
        <v>4.1476745136974404</v>
      </c>
      <c r="Q27" s="168">
        <f>IF(ISNUMBER(SEARCH("standalone", $F$10)), 0, -SUM(Q19,Q24) * Inputs!$E$83)</f>
        <v>4.1476745136974404</v>
      </c>
      <c r="R27" s="168">
        <f>IF(ISNUMBER(SEARCH("standalone", $F$10)), 0, -SUM(R19,R24) * Inputs!$E$83)</f>
        <v>4.1476745136974404</v>
      </c>
      <c r="S27" s="168">
        <f>IF(ISNUMBER(SEARCH("standalone", $F$10)), 0, -SUM(S19,S24) * Inputs!$E$83)</f>
        <v>4.1476745136974404</v>
      </c>
      <c r="T27" s="168">
        <f>IF(ISNUMBER(SEARCH("standalone", $F$10)), 0, -SUM(T19,T24) * Inputs!$E$83)</f>
        <v>4.1476745136974404</v>
      </c>
      <c r="U27" s="168">
        <f>IF(ISNUMBER(SEARCH("standalone", $F$10)), 0, -SUM(U19,U24) * Inputs!$E$83)</f>
        <v>4.1476745136974404</v>
      </c>
      <c r="V27" s="168">
        <f>IF(ISNUMBER(SEARCH("standalone", $F$10)), 0, -SUM(V19,V24) * Inputs!$E$83)</f>
        <v>4.1476745136974404</v>
      </c>
      <c r="W27" s="168">
        <f>IF(ISNUMBER(SEARCH("standalone", $F$10)), 0, -SUM(W19,W24) * Inputs!$E$83)</f>
        <v>4.1476745136974404</v>
      </c>
      <c r="X27" s="168">
        <f>IF(ISNUMBER(SEARCH("standalone", $F$10)), 0, -SUM(X19,X24) * Inputs!$E$83)</f>
        <v>4.1476745136974404</v>
      </c>
      <c r="Y27" s="168">
        <f>IF(ISNUMBER(SEARCH("standalone", $F$10)), 0, -SUM(Y19,Y24) * Inputs!$E$83)</f>
        <v>4.1476745136974404</v>
      </c>
      <c r="Z27" s="168">
        <f>IF(ISNUMBER(SEARCH("standalone", $F$10)), 0, -SUM(Z19,Z24) * Inputs!$E$83)</f>
        <v>4.1476745136974404</v>
      </c>
      <c r="AA27" s="168">
        <f>IF(ISNUMBER(SEARCH("standalone", $F$10)), 0, -SUM(AA19,AA24) * Inputs!$E$83)</f>
        <v>4.1476745136974404</v>
      </c>
      <c r="AB27" s="168">
        <f>IF(ISNUMBER(SEARCH("standalone", $F$10)), 0, -SUM(AB19,AB24) * Inputs!$E$83)</f>
        <v>4.1476745136974404</v>
      </c>
      <c r="AC27" s="168">
        <f>IF(ISNUMBER(SEARCH("standalone", $F$10)), 0, -SUM(AC19,AC24) * Inputs!$E$83)</f>
        <v>4.1476745136974404</v>
      </c>
      <c r="AD27" s="168">
        <f>IF(ISNUMBER(SEARCH("standalone", $F$10)), 0, -SUM(AD19,AD24) * Inputs!$E$83)</f>
        <v>4.1476745136974404</v>
      </c>
      <c r="AE27" s="168">
        <f>IF(ISNUMBER(SEARCH("standalone", $F$10)), 0, -SUM(AE19,AE24) * Inputs!$E$83)</f>
        <v>4.1476745136974404</v>
      </c>
      <c r="AF27" s="168">
        <f>IF(ISNUMBER(SEARCH("standalone", $F$10)), 0, -SUM(AF19,AF24) * Inputs!$E$83)</f>
        <v>4.1476745136974404</v>
      </c>
      <c r="AG27" s="168">
        <f>IF(ISNUMBER(SEARCH("standalone", $F$10)), 0, -SUM(AG19,AG24) * Inputs!$E$83)</f>
        <v>4.1476745136974404</v>
      </c>
      <c r="AH27" s="168">
        <f>IF(ISNUMBER(SEARCH("standalone", $F$10)), 0, -SUM(AH19,AH24) * Inputs!$E$83)</f>
        <v>4.1476745136974404</v>
      </c>
      <c r="AI27" s="168">
        <f>IF(ISNUMBER(SEARCH("standalone", $F$10)), 0, -SUM(AI19,AI24) * Inputs!$E$83)</f>
        <v>4.1476745136974404</v>
      </c>
      <c r="AJ27" s="168">
        <f>IF(ISNUMBER(SEARCH("standalone", $F$10)), 0, -SUM(AJ19,AJ24) * Inputs!$E$83)</f>
        <v>4.1476745136974404</v>
      </c>
      <c r="AK27" s="168">
        <f>IF(ISNUMBER(SEARCH("standalone", $F$10)), 0, -SUM(AK19,AK24) * Inputs!$E$83)</f>
        <v>4.1476745136974404</v>
      </c>
      <c r="AL27" s="168">
        <f>IF(ISNUMBER(SEARCH("standalone", $F$10)), 0, -SUM(AL19,AL24) * Inputs!$E$83)</f>
        <v>4.1476745136974404</v>
      </c>
      <c r="AM27" s="168">
        <f>IF(ISNUMBER(SEARCH("standalone", $F$10)), 0, -SUM(AM19,AM24) * Inputs!$E$83)</f>
        <v>4.1476745136974404</v>
      </c>
      <c r="AN27" s="168">
        <f>IF(ISNUMBER(SEARCH("standalone", $F$10)), 0, -SUM(AN19,AN24) * Inputs!$E$83)</f>
        <v>4.1476745136974404</v>
      </c>
    </row>
    <row r="28" spans="1:41" x14ac:dyDescent="0.25">
      <c r="A28" s="127" t="s">
        <v>182</v>
      </c>
      <c r="B28" s="209" t="s">
        <v>247</v>
      </c>
      <c r="D28" s="192" t="s">
        <v>242</v>
      </c>
      <c r="E28" s="168"/>
      <c r="F28" s="168">
        <f>SUM(F18:F27)</f>
        <v>-1023.8401457552247</v>
      </c>
      <c r="G28" s="168">
        <f t="shared" ref="G28:AN28" si="0">SUM(G18:G27)</f>
        <v>234.70464175556702</v>
      </c>
      <c r="H28" s="168">
        <f t="shared" si="0"/>
        <v>198.55304930482902</v>
      </c>
      <c r="I28" s="168">
        <f t="shared" si="0"/>
        <v>162.10344969613874</v>
      </c>
      <c r="J28" s="168">
        <f t="shared" si="0"/>
        <v>134.09807920453324</v>
      </c>
      <c r="K28" s="168">
        <f t="shared" si="0"/>
        <v>134.33582886802162</v>
      </c>
      <c r="L28" s="168">
        <f t="shared" si="0"/>
        <v>132.86556898620626</v>
      </c>
      <c r="M28" s="168">
        <f t="shared" si="0"/>
        <v>124.63317087037703</v>
      </c>
      <c r="N28" s="168">
        <f t="shared" si="0"/>
        <v>112.45732299074714</v>
      </c>
      <c r="O28" s="168">
        <f t="shared" si="0"/>
        <v>111.69672882606083</v>
      </c>
      <c r="P28" s="168">
        <f t="shared" si="0"/>
        <v>105.25957154519733</v>
      </c>
      <c r="Q28" s="168">
        <f t="shared" si="0"/>
        <v>108.79974113237283</v>
      </c>
      <c r="R28" s="168">
        <f t="shared" si="0"/>
        <v>106.66188504282574</v>
      </c>
      <c r="S28" s="168">
        <f t="shared" si="0"/>
        <v>105.48041818752723</v>
      </c>
      <c r="T28" s="168">
        <f t="shared" si="0"/>
        <v>102.61517850453163</v>
      </c>
      <c r="U28" s="168">
        <f t="shared" si="0"/>
        <v>97.415065379685529</v>
      </c>
      <c r="V28" s="168">
        <f t="shared" si="0"/>
        <v>96.613425497983442</v>
      </c>
      <c r="W28" s="168">
        <f t="shared" si="0"/>
        <v>-35.323019697076546</v>
      </c>
      <c r="X28" s="168">
        <f t="shared" si="0"/>
        <v>108.74909475006363</v>
      </c>
      <c r="Y28" s="168">
        <f t="shared" si="0"/>
        <v>109.52973644108064</v>
      </c>
      <c r="Z28" s="168">
        <f t="shared" si="0"/>
        <v>112.26820346538774</v>
      </c>
      <c r="AA28" s="168">
        <f t="shared" si="0"/>
        <v>110.29192897550553</v>
      </c>
      <c r="AB28" s="168">
        <f t="shared" si="0"/>
        <v>106.39675415655844</v>
      </c>
      <c r="AC28" s="168">
        <f t="shared" si="0"/>
        <v>104.53631446185854</v>
      </c>
      <c r="AD28" s="168">
        <f t="shared" si="0"/>
        <v>101.95655615043114</v>
      </c>
      <c r="AE28" s="168">
        <f t="shared" si="0"/>
        <v>100.83622432592324</v>
      </c>
      <c r="AF28" s="168">
        <f t="shared" si="0"/>
        <v>98.090078858753628</v>
      </c>
      <c r="AG28" s="168">
        <f t="shared" si="0"/>
        <v>97.314900876059227</v>
      </c>
      <c r="AH28" s="168">
        <f t="shared" si="0"/>
        <v>94.237245167590928</v>
      </c>
      <c r="AI28" s="168">
        <f t="shared" si="0"/>
        <v>93.455057341140545</v>
      </c>
      <c r="AJ28" s="168">
        <f t="shared" si="0"/>
        <v>91.925438394910742</v>
      </c>
      <c r="AK28" s="168">
        <f t="shared" si="0"/>
        <v>89.274881706233032</v>
      </c>
      <c r="AL28" s="168">
        <f t="shared" si="0"/>
        <v>89.377031113456425</v>
      </c>
      <c r="AM28" s="168">
        <f t="shared" si="0"/>
        <v>90.651986928178232</v>
      </c>
      <c r="AN28" s="168">
        <f t="shared" si="0"/>
        <v>194.67193561047858</v>
      </c>
    </row>
    <row r="29" spans="1:41" x14ac:dyDescent="0.25">
      <c r="B29" s="209" t="s">
        <v>248</v>
      </c>
      <c r="D29" s="192" t="s">
        <v>242</v>
      </c>
      <c r="E29" s="168"/>
      <c r="F29" s="168">
        <f>F28</f>
        <v>-1023.8401457552247</v>
      </c>
      <c r="G29" s="168">
        <f>G28+F29</f>
        <v>-789.13550399965766</v>
      </c>
      <c r="H29" s="168">
        <f t="shared" ref="H29:AN29" si="1">H28+G29</f>
        <v>-590.58245469482858</v>
      </c>
      <c r="I29" s="168">
        <f t="shared" si="1"/>
        <v>-428.47900499868985</v>
      </c>
      <c r="J29" s="168">
        <f t="shared" si="1"/>
        <v>-294.38092579415661</v>
      </c>
      <c r="K29" s="168">
        <f t="shared" si="1"/>
        <v>-160.04509692613499</v>
      </c>
      <c r="L29" s="168">
        <f t="shared" si="1"/>
        <v>-27.179527939928732</v>
      </c>
      <c r="M29" s="168">
        <f t="shared" si="1"/>
        <v>97.453642930448297</v>
      </c>
      <c r="N29" s="168">
        <f t="shared" si="1"/>
        <v>209.91096592119544</v>
      </c>
      <c r="O29" s="168">
        <f t="shared" si="1"/>
        <v>321.60769474725629</v>
      </c>
      <c r="P29" s="168">
        <f t="shared" si="1"/>
        <v>426.86726629245362</v>
      </c>
      <c r="Q29" s="168">
        <f t="shared" si="1"/>
        <v>535.66700742482647</v>
      </c>
      <c r="R29" s="168">
        <f t="shared" si="1"/>
        <v>642.32889246765217</v>
      </c>
      <c r="S29" s="168">
        <f t="shared" si="1"/>
        <v>747.80931065517939</v>
      </c>
      <c r="T29" s="168">
        <f t="shared" si="1"/>
        <v>850.42448915971102</v>
      </c>
      <c r="U29" s="168">
        <f t="shared" si="1"/>
        <v>947.83955453939654</v>
      </c>
      <c r="V29" s="168">
        <f t="shared" si="1"/>
        <v>1044.45298003738</v>
      </c>
      <c r="W29" s="168">
        <f t="shared" si="1"/>
        <v>1009.1299603403035</v>
      </c>
      <c r="X29" s="168">
        <f t="shared" si="1"/>
        <v>1117.879055090367</v>
      </c>
      <c r="Y29" s="168">
        <f t="shared" si="1"/>
        <v>1227.4087915314476</v>
      </c>
      <c r="Z29" s="168">
        <f t="shared" si="1"/>
        <v>1339.6769949968354</v>
      </c>
      <c r="AA29" s="168">
        <f t="shared" si="1"/>
        <v>1449.9689239723409</v>
      </c>
      <c r="AB29" s="168">
        <f t="shared" si="1"/>
        <v>1556.3656781288994</v>
      </c>
      <c r="AC29" s="168">
        <f t="shared" si="1"/>
        <v>1660.901992590758</v>
      </c>
      <c r="AD29" s="168">
        <f t="shared" si="1"/>
        <v>1762.8585487411892</v>
      </c>
      <c r="AE29" s="168">
        <f t="shared" si="1"/>
        <v>1863.6947730671125</v>
      </c>
      <c r="AF29" s="168">
        <f t="shared" si="1"/>
        <v>1961.7848519258662</v>
      </c>
      <c r="AG29" s="168">
        <f t="shared" si="1"/>
        <v>2059.0997528019252</v>
      </c>
      <c r="AH29" s="168">
        <f t="shared" si="1"/>
        <v>2153.3369979695162</v>
      </c>
      <c r="AI29" s="168">
        <f t="shared" si="1"/>
        <v>2246.7920553106569</v>
      </c>
      <c r="AJ29" s="168">
        <f t="shared" si="1"/>
        <v>2338.7174937055674</v>
      </c>
      <c r="AK29" s="168">
        <f t="shared" si="1"/>
        <v>2427.9923754118004</v>
      </c>
      <c r="AL29" s="168">
        <f t="shared" si="1"/>
        <v>2517.3694065252566</v>
      </c>
      <c r="AM29" s="168">
        <f t="shared" si="1"/>
        <v>2608.0213934534349</v>
      </c>
      <c r="AN29" s="168">
        <f t="shared" si="1"/>
        <v>2802.6933290639136</v>
      </c>
    </row>
    <row r="30" spans="1:41" s="117" customFormat="1" hidden="1" x14ac:dyDescent="0.25">
      <c r="B30" s="117" t="s">
        <v>249</v>
      </c>
      <c r="D30" s="210" t="s">
        <v>122</v>
      </c>
      <c r="E30" s="166" t="str">
        <f t="shared" ref="E30:F30" si="2">IF(E28=0, "",IF(E29&lt;=0,"",ABS(D29/E28)))</f>
        <v/>
      </c>
      <c r="F30" s="166" t="str">
        <f t="shared" si="2"/>
        <v/>
      </c>
      <c r="G30" s="290" t="str">
        <f>IF(G28=0, "",IF(G29&lt;=0,"",ABS(F29/G28)))</f>
        <v/>
      </c>
      <c r="H30" s="290" t="str">
        <f t="shared" ref="H30:AN30" si="3">IF(H28=0, "",IF(H29&lt;=0,"",ABS(G29/H28)))</f>
        <v/>
      </c>
      <c r="I30" s="290" t="str">
        <f t="shared" si="3"/>
        <v/>
      </c>
      <c r="J30" s="290" t="str">
        <f>IF(J28=0, "",IF(J29&lt;=0,"",ABS(I29/J28)))</f>
        <v/>
      </c>
      <c r="K30" s="290" t="str">
        <f t="shared" si="3"/>
        <v/>
      </c>
      <c r="L30" s="290" t="str">
        <f t="shared" si="3"/>
        <v/>
      </c>
      <c r="M30" s="290">
        <f t="shared" si="3"/>
        <v>0.21807619713211354</v>
      </c>
      <c r="N30" s="290">
        <f t="shared" si="3"/>
        <v>0.86658334325161435</v>
      </c>
      <c r="O30" s="290">
        <f t="shared" si="3"/>
        <v>1.8792937638136049</v>
      </c>
      <c r="P30" s="290">
        <f t="shared" si="3"/>
        <v>3.0553771977796944</v>
      </c>
      <c r="Q30" s="290">
        <f t="shared" si="3"/>
        <v>3.9234217090011199</v>
      </c>
      <c r="R30" s="290">
        <f t="shared" si="3"/>
        <v>5.0221033240669914</v>
      </c>
      <c r="S30" s="290">
        <f t="shared" si="3"/>
        <v>6.0895558010179158</v>
      </c>
      <c r="T30" s="290">
        <f t="shared" si="3"/>
        <v>7.2875116678976992</v>
      </c>
      <c r="U30" s="290">
        <f t="shared" si="3"/>
        <v>8.7299072873902155</v>
      </c>
      <c r="V30" s="290">
        <f t="shared" si="3"/>
        <v>9.810640184362164</v>
      </c>
      <c r="W30" s="290">
        <f t="shared" si="3"/>
        <v>29.568620944483477</v>
      </c>
      <c r="X30" s="290">
        <f t="shared" si="3"/>
        <v>9.2794332004286684</v>
      </c>
      <c r="Y30" s="290">
        <f t="shared" si="3"/>
        <v>10.206169497100069</v>
      </c>
      <c r="Z30" s="290">
        <f t="shared" si="3"/>
        <v>10.932826514052641</v>
      </c>
      <c r="AA30" s="290">
        <f t="shared" si="3"/>
        <v>12.146645792135535</v>
      </c>
      <c r="AB30" s="290">
        <f t="shared" si="3"/>
        <v>13.627943215624523</v>
      </c>
      <c r="AC30" s="290">
        <f t="shared" si="3"/>
        <v>14.888277687432343</v>
      </c>
      <c r="AD30" s="290">
        <f t="shared" si="3"/>
        <v>16.290291230906142</v>
      </c>
      <c r="AE30" s="290">
        <f t="shared" si="3"/>
        <v>17.482393460541232</v>
      </c>
      <c r="AF30" s="290">
        <f t="shared" si="3"/>
        <v>18.999829490918948</v>
      </c>
      <c r="AG30" s="290">
        <f t="shared" si="3"/>
        <v>20.159141449719048</v>
      </c>
      <c r="AH30" s="290">
        <f t="shared" si="3"/>
        <v>21.850169210061637</v>
      </c>
      <c r="AI30" s="290">
        <f t="shared" si="3"/>
        <v>23.041417545860085</v>
      </c>
      <c r="AJ30" s="290">
        <f t="shared" si="3"/>
        <v>24.441461412002859</v>
      </c>
      <c r="AK30" s="290">
        <f t="shared" si="3"/>
        <v>26.196814255115186</v>
      </c>
      <c r="AL30" s="290">
        <f t="shared" si="3"/>
        <v>27.165730894883648</v>
      </c>
      <c r="AM30" s="290">
        <f t="shared" si="3"/>
        <v>27.769599893267849</v>
      </c>
      <c r="AN30" s="290">
        <f t="shared" si="3"/>
        <v>13.397007561849369</v>
      </c>
    </row>
    <row r="31" spans="1:41" ht="14.5" x14ac:dyDescent="0.25">
      <c r="A31" s="127" t="s">
        <v>318</v>
      </c>
      <c r="E31" s="331"/>
    </row>
    <row r="32" spans="1:41" ht="13" x14ac:dyDescent="0.3">
      <c r="A32" s="126" t="s">
        <v>250</v>
      </c>
      <c r="B32" s="126"/>
      <c r="C32" s="126"/>
      <c r="D32" s="126"/>
      <c r="E32" s="126"/>
      <c r="F32" s="126"/>
      <c r="G32" s="126"/>
      <c r="H32" s="126"/>
      <c r="I32" s="126"/>
      <c r="J32" s="126"/>
      <c r="K32" s="126"/>
      <c r="L32" s="126"/>
      <c r="M32" s="126"/>
      <c r="N32" s="126"/>
      <c r="O32" s="126"/>
      <c r="P32" s="126"/>
      <c r="Q32" s="126"/>
      <c r="R32" s="126"/>
      <c r="S32" s="126"/>
      <c r="T32" s="126"/>
      <c r="U32" s="126"/>
      <c r="V32" s="126"/>
      <c r="W32" s="126"/>
      <c r="X32" s="126"/>
      <c r="Y32" s="126"/>
      <c r="Z32" s="126"/>
      <c r="AA32" s="126"/>
      <c r="AB32" s="126"/>
      <c r="AC32" s="126"/>
      <c r="AD32" s="126"/>
      <c r="AE32" s="126"/>
      <c r="AF32" s="126"/>
      <c r="AG32" s="126"/>
      <c r="AH32" s="126"/>
      <c r="AI32" s="126"/>
      <c r="AJ32" s="126"/>
      <c r="AK32" s="126"/>
      <c r="AL32" s="126"/>
      <c r="AM32" s="126"/>
      <c r="AN32" s="126"/>
      <c r="AO32" s="135"/>
    </row>
    <row r="33" spans="1:40" x14ac:dyDescent="0.25">
      <c r="A33" s="127" t="s">
        <v>43</v>
      </c>
      <c r="C33" s="143" t="s">
        <v>242</v>
      </c>
      <c r="D33" s="192"/>
      <c r="E33" s="167">
        <f>SUM(E18:E27)</f>
        <v>105.75667259552398</v>
      </c>
    </row>
    <row r="34" spans="1:40" ht="13" x14ac:dyDescent="0.3">
      <c r="A34" s="127" t="s">
        <v>39</v>
      </c>
      <c r="C34" s="192" t="s">
        <v>136</v>
      </c>
      <c r="D34" s="192"/>
      <c r="E34" s="154">
        <f>IRR(F28:AN28)</f>
        <v>0.13703155117210919</v>
      </c>
      <c r="F34" s="211"/>
      <c r="G34" s="117"/>
      <c r="H34" s="117"/>
      <c r="I34" s="117"/>
      <c r="J34" s="212"/>
      <c r="K34" s="213"/>
      <c r="L34" s="214"/>
      <c r="M34" s="117"/>
      <c r="N34" s="117"/>
      <c r="O34" s="117"/>
      <c r="P34" s="117"/>
      <c r="Q34" s="117"/>
      <c r="R34" s="117"/>
    </row>
    <row r="35" spans="1:40" ht="13" x14ac:dyDescent="0.3">
      <c r="A35" s="127" t="s">
        <v>251</v>
      </c>
      <c r="C35" s="192" t="s">
        <v>252</v>
      </c>
      <c r="D35" s="192"/>
      <c r="E35" s="167" cm="1">
        <f t="array" ref="E35">IFERROR((COUNTIF(F29:AN29,"&lt;"&amp;0)-1)+INDEX(F30:AN30,COUNTIF(F29:AN29,"&lt;=0")+1),"n/a")</f>
        <v>6.2180761971321132</v>
      </c>
      <c r="F35" s="117"/>
      <c r="G35" s="117"/>
      <c r="H35" s="117"/>
      <c r="I35" s="117"/>
      <c r="J35" s="212"/>
      <c r="K35" s="213"/>
      <c r="L35" s="215"/>
      <c r="M35" s="117"/>
      <c r="N35" s="117"/>
      <c r="O35" s="117"/>
      <c r="P35" s="117"/>
      <c r="Q35" s="117"/>
      <c r="R35" s="117"/>
    </row>
    <row r="36" spans="1:40" ht="13" x14ac:dyDescent="0.3">
      <c r="A36" s="127" t="s">
        <v>253</v>
      </c>
      <c r="C36" s="143" t="s">
        <v>242</v>
      </c>
      <c r="D36" s="192"/>
      <c r="E36" s="166">
        <f>E21+E22+E25</f>
        <v>1450.6460781293154</v>
      </c>
      <c r="F36" s="117"/>
      <c r="G36" s="117"/>
      <c r="H36" s="117"/>
      <c r="I36" s="117"/>
      <c r="J36" s="212"/>
      <c r="K36" s="213"/>
      <c r="L36" s="216"/>
      <c r="M36" s="117"/>
      <c r="N36" s="117"/>
      <c r="O36" s="117"/>
      <c r="P36" s="117"/>
      <c r="Q36" s="117"/>
      <c r="R36" s="117"/>
    </row>
    <row r="37" spans="1:40" ht="13" x14ac:dyDescent="0.3">
      <c r="A37" s="117"/>
      <c r="B37" s="117"/>
      <c r="C37" s="217"/>
      <c r="D37" s="217"/>
      <c r="E37" s="133"/>
      <c r="F37" s="133"/>
      <c r="G37" s="133"/>
      <c r="H37" s="117"/>
      <c r="I37" s="117"/>
      <c r="J37" s="212"/>
      <c r="K37" s="213"/>
      <c r="L37" s="214"/>
      <c r="M37" s="117"/>
      <c r="N37" s="117"/>
      <c r="O37" s="117"/>
      <c r="P37" s="117"/>
      <c r="Q37" s="117"/>
      <c r="R37" s="117"/>
    </row>
    <row r="38" spans="1:40" ht="13" x14ac:dyDescent="0.3">
      <c r="A38" s="126" t="s">
        <v>76</v>
      </c>
      <c r="B38" s="126"/>
      <c r="C38" s="126"/>
      <c r="D38" s="126"/>
      <c r="E38" s="138"/>
      <c r="F38" s="138"/>
      <c r="G38" s="138"/>
      <c r="H38" s="138"/>
      <c r="I38" s="138"/>
      <c r="J38" s="138"/>
      <c r="K38" s="138"/>
      <c r="L38" s="138"/>
      <c r="M38" s="138"/>
      <c r="N38" s="138"/>
      <c r="O38" s="138"/>
      <c r="P38" s="138"/>
      <c r="Q38" s="138"/>
      <c r="R38" s="138"/>
      <c r="S38" s="138"/>
      <c r="T38" s="126"/>
      <c r="U38" s="126"/>
      <c r="V38" s="126"/>
      <c r="W38" s="126"/>
      <c r="X38" s="126"/>
      <c r="Y38" s="126"/>
      <c r="Z38" s="126"/>
      <c r="AA38" s="126"/>
      <c r="AB38" s="126"/>
      <c r="AC38" s="126"/>
      <c r="AD38" s="126"/>
      <c r="AE38" s="126"/>
      <c r="AF38" s="126"/>
      <c r="AG38" s="126"/>
      <c r="AH38" s="126"/>
      <c r="AI38" s="126"/>
      <c r="AJ38" s="126"/>
      <c r="AK38" s="126"/>
      <c r="AL38" s="126"/>
      <c r="AM38" s="126"/>
      <c r="AN38" s="126"/>
    </row>
    <row r="40" spans="1:40" ht="13" x14ac:dyDescent="0.3">
      <c r="A40" s="332" t="s">
        <v>481</v>
      </c>
    </row>
    <row r="41" spans="1:40" x14ac:dyDescent="0.25">
      <c r="B41" s="127" t="str">
        <f>B18</f>
        <v>CAPEX</v>
      </c>
      <c r="C41" s="333">
        <f>C18</f>
        <v>0.12</v>
      </c>
      <c r="E41" s="334">
        <f>F41 + NPV(C41, G41:V41)</f>
        <v>-545.34944827247557</v>
      </c>
      <c r="F41" s="334">
        <f>F18</f>
        <v>-545.34944827247557</v>
      </c>
      <c r="G41" s="334">
        <f t="shared" ref="G41:V45" si="4">G18</f>
        <v>0</v>
      </c>
      <c r="H41" s="334">
        <f t="shared" si="4"/>
        <v>0</v>
      </c>
      <c r="I41" s="334">
        <f t="shared" si="4"/>
        <v>0</v>
      </c>
      <c r="J41" s="334">
        <f t="shared" si="4"/>
        <v>0</v>
      </c>
      <c r="K41" s="334">
        <f t="shared" si="4"/>
        <v>0</v>
      </c>
      <c r="L41" s="334">
        <f t="shared" si="4"/>
        <v>0</v>
      </c>
      <c r="M41" s="334">
        <f t="shared" si="4"/>
        <v>0</v>
      </c>
      <c r="N41" s="334">
        <f t="shared" si="4"/>
        <v>0</v>
      </c>
      <c r="O41" s="334">
        <f t="shared" si="4"/>
        <v>0</v>
      </c>
      <c r="P41" s="334">
        <f t="shared" si="4"/>
        <v>0</v>
      </c>
      <c r="Q41" s="334">
        <f t="shared" si="4"/>
        <v>0</v>
      </c>
      <c r="R41" s="334">
        <f t="shared" si="4"/>
        <v>0</v>
      </c>
      <c r="S41" s="334">
        <f t="shared" si="4"/>
        <v>0</v>
      </c>
      <c r="T41" s="334">
        <f t="shared" si="4"/>
        <v>0</v>
      </c>
      <c r="U41" s="334">
        <f t="shared" si="4"/>
        <v>0</v>
      </c>
      <c r="V41" s="334">
        <f t="shared" si="4"/>
        <v>0</v>
      </c>
    </row>
    <row r="42" spans="1:40" x14ac:dyDescent="0.25">
      <c r="B42" s="127" t="str">
        <f t="shared" ref="B42:B45" si="5">B19</f>
        <v>OPEX</v>
      </c>
      <c r="C42" s="333">
        <f>C41</f>
        <v>0.12</v>
      </c>
      <c r="E42" s="334">
        <f t="shared" ref="E42:E48" si="6">F42 + NPV(C42, G42:V42)</f>
        <v>-217.42618882811971</v>
      </c>
      <c r="F42" s="334">
        <f t="shared" ref="F42:U45" si="7">F19</f>
        <v>0</v>
      </c>
      <c r="G42" s="334">
        <f t="shared" si="7"/>
        <v>-31.176745136974404</v>
      </c>
      <c r="H42" s="334">
        <f t="shared" si="7"/>
        <v>-31.176745136974404</v>
      </c>
      <c r="I42" s="334">
        <f t="shared" si="7"/>
        <v>-31.176745136974404</v>
      </c>
      <c r="J42" s="334">
        <f t="shared" si="7"/>
        <v>-31.176745136974404</v>
      </c>
      <c r="K42" s="334">
        <f t="shared" si="7"/>
        <v>-31.176745136974404</v>
      </c>
      <c r="L42" s="334">
        <f t="shared" si="7"/>
        <v>-31.176745136974404</v>
      </c>
      <c r="M42" s="334">
        <f t="shared" si="7"/>
        <v>-31.176745136974404</v>
      </c>
      <c r="N42" s="334">
        <f t="shared" si="7"/>
        <v>-31.176745136974404</v>
      </c>
      <c r="O42" s="334">
        <f t="shared" si="7"/>
        <v>-31.176745136974404</v>
      </c>
      <c r="P42" s="334">
        <f t="shared" si="7"/>
        <v>-31.176745136974404</v>
      </c>
      <c r="Q42" s="334">
        <f t="shared" si="7"/>
        <v>-31.176745136974404</v>
      </c>
      <c r="R42" s="334">
        <f t="shared" si="7"/>
        <v>-31.176745136974404</v>
      </c>
      <c r="S42" s="334">
        <f t="shared" si="7"/>
        <v>-31.176745136974404</v>
      </c>
      <c r="T42" s="334">
        <f t="shared" si="7"/>
        <v>-31.176745136974404</v>
      </c>
      <c r="U42" s="334">
        <f t="shared" si="7"/>
        <v>-31.176745136974404</v>
      </c>
      <c r="V42" s="334">
        <f t="shared" si="4"/>
        <v>-31.176745136974404</v>
      </c>
    </row>
    <row r="43" spans="1:40" x14ac:dyDescent="0.25">
      <c r="B43" s="127" t="str">
        <f t="shared" si="5"/>
        <v>End of life value</v>
      </c>
      <c r="C43" s="333">
        <f t="shared" ref="C43:C47" si="8">C42</f>
        <v>0.12</v>
      </c>
      <c r="E43" s="334">
        <f t="shared" si="6"/>
        <v>0</v>
      </c>
      <c r="F43" s="334">
        <f t="shared" si="7"/>
        <v>0</v>
      </c>
      <c r="G43" s="334">
        <f t="shared" si="4"/>
        <v>0</v>
      </c>
      <c r="H43" s="334">
        <f t="shared" si="4"/>
        <v>0</v>
      </c>
      <c r="I43" s="334">
        <f t="shared" si="4"/>
        <v>0</v>
      </c>
      <c r="J43" s="334">
        <f t="shared" si="4"/>
        <v>0</v>
      </c>
      <c r="K43" s="334">
        <f t="shared" si="4"/>
        <v>0</v>
      </c>
      <c r="L43" s="334">
        <f t="shared" si="4"/>
        <v>0</v>
      </c>
      <c r="M43" s="334">
        <f t="shared" si="4"/>
        <v>0</v>
      </c>
      <c r="N43" s="334">
        <f t="shared" si="4"/>
        <v>0</v>
      </c>
      <c r="O43" s="334">
        <f t="shared" si="4"/>
        <v>0</v>
      </c>
      <c r="P43" s="334">
        <f t="shared" si="4"/>
        <v>0</v>
      </c>
      <c r="Q43" s="334">
        <f t="shared" si="4"/>
        <v>0</v>
      </c>
      <c r="R43" s="334">
        <f t="shared" si="4"/>
        <v>0</v>
      </c>
      <c r="S43" s="334">
        <f t="shared" si="4"/>
        <v>0</v>
      </c>
      <c r="T43" s="334">
        <f t="shared" si="4"/>
        <v>0</v>
      </c>
      <c r="U43" s="334">
        <f t="shared" si="4"/>
        <v>0</v>
      </c>
      <c r="V43" s="334">
        <f t="shared" si="4"/>
        <v>0</v>
      </c>
    </row>
    <row r="44" spans="1:40" x14ac:dyDescent="0.25">
      <c r="B44" s="127" t="str">
        <f t="shared" si="5"/>
        <v>Storage total cashflow</v>
      </c>
      <c r="C44" s="333">
        <f t="shared" si="8"/>
        <v>0.12</v>
      </c>
      <c r="E44" s="334">
        <f t="shared" si="6"/>
        <v>589.6973532714959</v>
      </c>
      <c r="F44" s="334">
        <f t="shared" si="7"/>
        <v>0</v>
      </c>
      <c r="G44" s="334">
        <f t="shared" si="4"/>
        <v>146.22802559492101</v>
      </c>
      <c r="H44" s="334">
        <f t="shared" si="4"/>
        <v>120.929541266706</v>
      </c>
      <c r="I44" s="334">
        <f t="shared" si="4"/>
        <v>89.610144388800705</v>
      </c>
      <c r="J44" s="334">
        <f t="shared" si="4"/>
        <v>74.559654651241601</v>
      </c>
      <c r="K44" s="334">
        <f t="shared" si="4"/>
        <v>71.666500955554298</v>
      </c>
      <c r="L44" s="334">
        <f t="shared" si="4"/>
        <v>77.990069516358503</v>
      </c>
      <c r="M44" s="334">
        <f t="shared" si="4"/>
        <v>68.329501921833497</v>
      </c>
      <c r="N44" s="334">
        <f t="shared" si="4"/>
        <v>64.026951756734405</v>
      </c>
      <c r="O44" s="334">
        <f t="shared" si="4"/>
        <v>64.566260510927194</v>
      </c>
      <c r="P44" s="334">
        <f t="shared" si="4"/>
        <v>58.398109901775797</v>
      </c>
      <c r="Q44" s="334">
        <f t="shared" si="4"/>
        <v>56.745520954275399</v>
      </c>
      <c r="R44" s="334">
        <f t="shared" si="4"/>
        <v>54.200613371268503</v>
      </c>
      <c r="S44" s="334">
        <f t="shared" si="4"/>
        <v>54.737790965809701</v>
      </c>
      <c r="T44" s="334">
        <f t="shared" si="4"/>
        <v>55.321488432550296</v>
      </c>
      <c r="U44" s="334">
        <f t="shared" si="4"/>
        <v>53.878505304903499</v>
      </c>
      <c r="V44" s="334">
        <f t="shared" si="4"/>
        <v>52.728274564106698</v>
      </c>
    </row>
    <row r="45" spans="1:40" x14ac:dyDescent="0.25">
      <c r="B45" s="127" t="str">
        <f t="shared" si="5"/>
        <v>Capacity Market cashflow</v>
      </c>
      <c r="C45" s="333">
        <f t="shared" si="8"/>
        <v>0.12</v>
      </c>
      <c r="E45" s="334">
        <f t="shared" si="6"/>
        <v>0</v>
      </c>
      <c r="F45" s="334">
        <f t="shared" si="7"/>
        <v>0</v>
      </c>
      <c r="G45" s="334">
        <f t="shared" si="4"/>
        <v>0</v>
      </c>
      <c r="H45" s="334">
        <f t="shared" si="4"/>
        <v>0</v>
      </c>
      <c r="I45" s="334">
        <f t="shared" si="4"/>
        <v>0</v>
      </c>
      <c r="J45" s="334">
        <f t="shared" si="4"/>
        <v>0</v>
      </c>
      <c r="K45" s="334">
        <f t="shared" si="4"/>
        <v>0</v>
      </c>
      <c r="L45" s="334">
        <f t="shared" si="4"/>
        <v>0</v>
      </c>
      <c r="M45" s="334">
        <f t="shared" si="4"/>
        <v>0</v>
      </c>
      <c r="N45" s="334">
        <f t="shared" si="4"/>
        <v>0</v>
      </c>
      <c r="O45" s="334">
        <f t="shared" si="4"/>
        <v>0</v>
      </c>
      <c r="P45" s="334">
        <f t="shared" si="4"/>
        <v>0</v>
      </c>
      <c r="Q45" s="334">
        <f t="shared" si="4"/>
        <v>0</v>
      </c>
      <c r="R45" s="334">
        <f t="shared" si="4"/>
        <v>0</v>
      </c>
      <c r="S45" s="334">
        <f t="shared" si="4"/>
        <v>0</v>
      </c>
      <c r="T45" s="334">
        <f t="shared" si="4"/>
        <v>0</v>
      </c>
      <c r="U45" s="334">
        <f t="shared" si="4"/>
        <v>0</v>
      </c>
      <c r="V45" s="334">
        <f t="shared" si="4"/>
        <v>0</v>
      </c>
    </row>
    <row r="46" spans="1:40" x14ac:dyDescent="0.25">
      <c r="B46" s="127" t="s">
        <v>482</v>
      </c>
      <c r="C46" s="333">
        <f t="shared" si="8"/>
        <v>0.12</v>
      </c>
      <c r="D46" s="145">
        <v>0.5</v>
      </c>
      <c r="E46" s="334">
        <f t="shared" si="6"/>
        <v>93.754651258625387</v>
      </c>
      <c r="F46" s="334">
        <f t="shared" ref="F46:V46" si="9">$D46 * F26</f>
        <v>93.754651258625387</v>
      </c>
      <c r="G46" s="334">
        <f t="shared" si="9"/>
        <v>0</v>
      </c>
      <c r="H46" s="334">
        <f t="shared" si="9"/>
        <v>0</v>
      </c>
      <c r="I46" s="334">
        <f t="shared" si="9"/>
        <v>0</v>
      </c>
      <c r="J46" s="334">
        <f t="shared" si="9"/>
        <v>0</v>
      </c>
      <c r="K46" s="334">
        <f t="shared" si="9"/>
        <v>0</v>
      </c>
      <c r="L46" s="334">
        <f t="shared" si="9"/>
        <v>0</v>
      </c>
      <c r="M46" s="334">
        <f t="shared" si="9"/>
        <v>0</v>
      </c>
      <c r="N46" s="334">
        <f t="shared" si="9"/>
        <v>0</v>
      </c>
      <c r="O46" s="334">
        <f t="shared" si="9"/>
        <v>0</v>
      </c>
      <c r="P46" s="334">
        <f t="shared" si="9"/>
        <v>0</v>
      </c>
      <c r="Q46" s="334">
        <f t="shared" si="9"/>
        <v>0</v>
      </c>
      <c r="R46" s="334">
        <f t="shared" si="9"/>
        <v>0</v>
      </c>
      <c r="S46" s="334">
        <f t="shared" si="9"/>
        <v>0</v>
      </c>
      <c r="T46" s="334">
        <f t="shared" si="9"/>
        <v>0</v>
      </c>
      <c r="U46" s="334">
        <f t="shared" si="9"/>
        <v>0</v>
      </c>
      <c r="V46" s="334">
        <f t="shared" si="9"/>
        <v>0</v>
      </c>
    </row>
    <row r="47" spans="1:40" x14ac:dyDescent="0.25">
      <c r="B47" s="127" t="s">
        <v>483</v>
      </c>
      <c r="C47" s="333">
        <f t="shared" si="8"/>
        <v>0.12</v>
      </c>
      <c r="D47" s="145">
        <f>D46</f>
        <v>0.5</v>
      </c>
      <c r="E47" s="334">
        <f t="shared" si="6"/>
        <v>14.462912309329621</v>
      </c>
      <c r="F47" s="334">
        <f t="shared" ref="F47:V47" si="10">$D47 * F27</f>
        <v>0</v>
      </c>
      <c r="G47" s="334">
        <f t="shared" si="10"/>
        <v>2.0738372568487202</v>
      </c>
      <c r="H47" s="334">
        <f t="shared" si="10"/>
        <v>2.0738372568487202</v>
      </c>
      <c r="I47" s="334">
        <f t="shared" si="10"/>
        <v>2.0738372568487202</v>
      </c>
      <c r="J47" s="334">
        <f t="shared" si="10"/>
        <v>2.0738372568487202</v>
      </c>
      <c r="K47" s="334">
        <f t="shared" si="10"/>
        <v>2.0738372568487202</v>
      </c>
      <c r="L47" s="334">
        <f t="shared" si="10"/>
        <v>2.0738372568487202</v>
      </c>
      <c r="M47" s="334">
        <f t="shared" si="10"/>
        <v>2.0738372568487202</v>
      </c>
      <c r="N47" s="334">
        <f t="shared" si="10"/>
        <v>2.0738372568487202</v>
      </c>
      <c r="O47" s="334">
        <f t="shared" si="10"/>
        <v>2.0738372568487202</v>
      </c>
      <c r="P47" s="334">
        <f t="shared" si="10"/>
        <v>2.0738372568487202</v>
      </c>
      <c r="Q47" s="334">
        <f t="shared" si="10"/>
        <v>2.0738372568487202</v>
      </c>
      <c r="R47" s="334">
        <f t="shared" si="10"/>
        <v>2.0738372568487202</v>
      </c>
      <c r="S47" s="334">
        <f t="shared" si="10"/>
        <v>2.0738372568487202</v>
      </c>
      <c r="T47" s="334">
        <f t="shared" si="10"/>
        <v>2.0738372568487202</v>
      </c>
      <c r="U47" s="334">
        <f t="shared" si="10"/>
        <v>2.0738372568487202</v>
      </c>
      <c r="V47" s="334">
        <f t="shared" si="10"/>
        <v>2.0738372568487202</v>
      </c>
    </row>
    <row r="48" spans="1:40" x14ac:dyDescent="0.25">
      <c r="B48" s="127" t="str">
        <f>B28</f>
        <v>Net cashflow</v>
      </c>
      <c r="C48" s="333">
        <f>C45</f>
        <v>0.12</v>
      </c>
      <c r="E48" s="334">
        <f t="shared" si="6"/>
        <v>-64.860720261144422</v>
      </c>
      <c r="F48" s="334">
        <f>SUM(F41:F47)</f>
        <v>-451.59479701385021</v>
      </c>
      <c r="G48" s="334">
        <f t="shared" ref="G48:V48" si="11">SUM(G41:G47)</f>
        <v>117.12511771479532</v>
      </c>
      <c r="H48" s="334">
        <f t="shared" si="11"/>
        <v>91.826633386580312</v>
      </c>
      <c r="I48" s="334">
        <f t="shared" si="11"/>
        <v>60.507236508675021</v>
      </c>
      <c r="J48" s="334">
        <f t="shared" si="11"/>
        <v>45.456746771115917</v>
      </c>
      <c r="K48" s="334">
        <f t="shared" si="11"/>
        <v>42.563593075428614</v>
      </c>
      <c r="L48" s="334">
        <f t="shared" si="11"/>
        <v>48.887161636232818</v>
      </c>
      <c r="M48" s="334">
        <f t="shared" si="11"/>
        <v>39.226594041707813</v>
      </c>
      <c r="N48" s="334">
        <f t="shared" si="11"/>
        <v>34.924043876608721</v>
      </c>
      <c r="O48" s="334">
        <f t="shared" si="11"/>
        <v>35.463352630801509</v>
      </c>
      <c r="P48" s="334">
        <f t="shared" si="11"/>
        <v>29.295202021650113</v>
      </c>
      <c r="Q48" s="334">
        <f t="shared" si="11"/>
        <v>27.642613074149715</v>
      </c>
      <c r="R48" s="334">
        <f t="shared" si="11"/>
        <v>25.097705491142818</v>
      </c>
      <c r="S48" s="334">
        <f t="shared" si="11"/>
        <v>25.634883085684017</v>
      </c>
      <c r="T48" s="334">
        <f t="shared" si="11"/>
        <v>26.218580552424612</v>
      </c>
      <c r="U48" s="334">
        <f t="shared" si="11"/>
        <v>24.775597424777814</v>
      </c>
      <c r="V48" s="334">
        <f t="shared" si="11"/>
        <v>23.625366683981014</v>
      </c>
    </row>
    <row r="49" spans="1:5" x14ac:dyDescent="0.25">
      <c r="E49" s="334"/>
    </row>
    <row r="50" spans="1:5" x14ac:dyDescent="0.25">
      <c r="B50" s="127" t="s">
        <v>39</v>
      </c>
      <c r="C50" s="333">
        <f>IRR(E48:V48)</f>
        <v>5.2484467390465861E-2</v>
      </c>
    </row>
    <row r="53" spans="1:5" customFormat="1" ht="14.5" x14ac:dyDescent="0.35"/>
    <row r="54" spans="1:5" customFormat="1" ht="14.5" x14ac:dyDescent="0.35"/>
    <row r="55" spans="1:5" customFormat="1" ht="14.5" x14ac:dyDescent="0.35">
      <c r="A55" s="335"/>
      <c r="B55" s="335"/>
      <c r="C55" s="335"/>
      <c r="D55" s="335"/>
    </row>
    <row r="56" spans="1:5" customFormat="1" ht="14.5" x14ac:dyDescent="0.35">
      <c r="B56" s="5"/>
    </row>
    <row r="57" spans="1:5" customFormat="1" ht="14.5" x14ac:dyDescent="0.35"/>
    <row r="58" spans="1:5" customFormat="1" ht="14.5" x14ac:dyDescent="0.35"/>
  </sheetData>
  <mergeCells count="1">
    <mergeCell ref="A55:D55"/>
  </mergeCells>
  <conditionalFormatting sqref="E12">
    <cfRule type="expression" dxfId="24" priority="3">
      <formula>#REF!&lt;&gt;"I ACCEPT"</formula>
    </cfRule>
  </conditionalFormatting>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expression" priority="2" stopIfTrue="1" id="{CFE875EF-429A-460A-982E-68BE6AB37F77}">
            <xm:f>Disclaimer!$F$18&lt;&gt;"I ACCEPT"</xm:f>
            <x14:dxf>
              <numFmt numFmtId="175" formatCode=";;;"/>
            </x14:dxf>
          </x14:cfRule>
          <xm:sqref>A1:J1 L1:XFD1 A2:XFD1048576</xm:sqref>
        </x14:conditionalFormatting>
        <x14:conditionalFormatting xmlns:xm="http://schemas.microsoft.com/office/excel/2006/main">
          <x14:cfRule type="expression" priority="1" stopIfTrue="1" id="{DB5BC78D-40D6-4258-8B1A-AC118F3E095A}">
            <xm:f>Disclaimer!$F$18="I ACCEPT"</xm:f>
            <x14:dxf>
              <numFmt numFmtId="175" formatCode=";;;"/>
            </x14:dxf>
          </x14:cfRule>
          <xm:sqref>K1</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B75A56-E8CF-4F9D-B4C2-12B5F0236A46}">
  <sheetPr codeName="undeg_rev_scenario_list_ws"/>
  <dimension ref="A1:A4"/>
  <sheetViews>
    <sheetView zoomScale="85" zoomScaleNormal="85" workbookViewId="0"/>
  </sheetViews>
  <sheetFormatPr defaultColWidth="8.54296875" defaultRowHeight="14.5" x14ac:dyDescent="0.35"/>
  <sheetData>
    <row r="1" spans="1:1" x14ac:dyDescent="0.35">
      <c r="A1" t="s">
        <v>469</v>
      </c>
    </row>
    <row r="2" spans="1:1" x14ac:dyDescent="0.35">
      <c r="A2" t="s">
        <v>470</v>
      </c>
    </row>
    <row r="3" spans="1:1" x14ac:dyDescent="0.35">
      <c r="A3" t="s">
        <v>471</v>
      </c>
    </row>
    <row r="4" spans="1:1" x14ac:dyDescent="0.35">
      <c r="A4" t="s">
        <v>472</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CEE958-A4F3-4E20-97F4-088DDB2B07F6}">
  <sheetPr codeName="rev_scenario_list_ws"/>
  <dimension ref="A1:A6"/>
  <sheetViews>
    <sheetView zoomScale="85" zoomScaleNormal="85" workbookViewId="0"/>
  </sheetViews>
  <sheetFormatPr defaultColWidth="8.54296875" defaultRowHeight="14.5" x14ac:dyDescent="0.35"/>
  <cols>
    <col min="1" max="1" width="28.81640625" bestFit="1" customWidth="1"/>
  </cols>
  <sheetData>
    <row r="1" spans="1:1" x14ac:dyDescent="0.35">
      <c r="A1" t="s">
        <v>461</v>
      </c>
    </row>
    <row r="2" spans="1:1" x14ac:dyDescent="0.35">
      <c r="A2" t="s">
        <v>464</v>
      </c>
    </row>
    <row r="3" spans="1:1" x14ac:dyDescent="0.35">
      <c r="A3" t="s">
        <v>465</v>
      </c>
    </row>
    <row r="4" spans="1:1" x14ac:dyDescent="0.35">
      <c r="A4" t="s">
        <v>466</v>
      </c>
    </row>
    <row r="5" spans="1:1" x14ac:dyDescent="0.35">
      <c r="A5" t="s">
        <v>467</v>
      </c>
    </row>
    <row r="6" spans="1:1" x14ac:dyDescent="0.35">
      <c r="A6" t="s">
        <v>468</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D2B130-C3B9-4C5B-88C6-230ED49FD8C0}">
  <sheetPr codeName="sum_table_ws">
    <pageSetUpPr autoPageBreaks="0"/>
  </sheetPr>
  <dimension ref="A1:S25"/>
  <sheetViews>
    <sheetView showGridLines="0" zoomScale="85" zoomScaleNormal="85" workbookViewId="0"/>
  </sheetViews>
  <sheetFormatPr defaultColWidth="8.7265625" defaultRowHeight="14.5" x14ac:dyDescent="0.35"/>
  <cols>
    <col min="1" max="1" width="19.26953125" bestFit="1" customWidth="1"/>
    <col min="2" max="2" width="16.453125" customWidth="1"/>
    <col min="3" max="3" width="27.54296875" bestFit="1" customWidth="1"/>
    <col min="4" max="4" width="14.453125" customWidth="1"/>
    <col min="5" max="5" width="13.26953125" customWidth="1"/>
    <col min="6" max="6" width="11.7265625" customWidth="1"/>
    <col min="7" max="7" width="12.54296875" customWidth="1"/>
    <col min="8" max="8" width="11" customWidth="1"/>
    <col min="9" max="9" width="11.7265625" customWidth="1"/>
    <col min="10" max="10" width="13.54296875" customWidth="1"/>
    <col min="11" max="11" width="16.54296875" customWidth="1"/>
    <col min="12" max="12" width="26.7265625" bestFit="1" customWidth="1"/>
    <col min="13" max="13" width="9.453125" bestFit="1" customWidth="1"/>
    <col min="14" max="15" width="12.54296875" customWidth="1"/>
    <col min="16" max="16" width="12.26953125" customWidth="1"/>
    <col min="17" max="17" width="9" customWidth="1"/>
    <col min="18" max="18" width="10.453125" customWidth="1"/>
    <col min="19" max="19" width="11.7265625" customWidth="1"/>
    <col min="20" max="21" width="8.7265625" customWidth="1"/>
  </cols>
  <sheetData>
    <row r="1" spans="1:19" s="127" customFormat="1" x14ac:dyDescent="0.35">
      <c r="A1" s="2"/>
      <c r="B1" s="1"/>
      <c r="C1" s="130" t="s">
        <v>54</v>
      </c>
      <c r="D1" s="176" t="str">
        <f>Intro!$C$5</f>
        <v>Aurora’s Hungarian Flexible Energy Market Forecast - Q2 2026</v>
      </c>
      <c r="F1" s="117"/>
      <c r="G1" s="117"/>
      <c r="H1" s="117"/>
      <c r="I1" s="117"/>
      <c r="J1" s="117"/>
      <c r="K1" s="329" t="s">
        <v>55</v>
      </c>
      <c r="L1" s="117"/>
      <c r="M1" s="218"/>
      <c r="N1" s="117"/>
      <c r="O1" s="117"/>
      <c r="P1" s="117"/>
      <c r="Q1" s="117"/>
    </row>
    <row r="2" spans="1:19" s="127" customFormat="1" x14ac:dyDescent="0.35">
      <c r="A2" s="2"/>
      <c r="B2" s="1"/>
      <c r="C2" s="130" t="s">
        <v>8</v>
      </c>
      <c r="D2" s="137" t="str">
        <f>Intro!$E$13</f>
        <v>Hungary</v>
      </c>
      <c r="F2" s="117"/>
      <c r="G2" s="117"/>
      <c r="H2" s="117"/>
      <c r="I2" s="117"/>
      <c r="J2" s="117"/>
      <c r="K2" s="117"/>
      <c r="L2" s="117"/>
      <c r="M2" s="218"/>
      <c r="N2" s="117"/>
      <c r="O2" s="117"/>
      <c r="P2" s="117"/>
      <c r="Q2" s="117"/>
    </row>
    <row r="3" spans="1:19" s="127" customFormat="1" x14ac:dyDescent="0.35">
      <c r="A3" s="2"/>
      <c r="B3" s="1"/>
      <c r="C3" s="130" t="s">
        <v>10</v>
      </c>
      <c r="D3" s="316" t="s">
        <v>445</v>
      </c>
      <c r="F3" s="117"/>
      <c r="G3" s="117"/>
      <c r="H3" s="117"/>
      <c r="I3" s="117"/>
      <c r="J3" s="117"/>
      <c r="K3" s="117"/>
      <c r="L3" s="117"/>
      <c r="M3" s="218"/>
      <c r="N3" s="117"/>
      <c r="O3" s="117"/>
      <c r="P3" s="117"/>
      <c r="Q3" s="117"/>
    </row>
    <row r="4" spans="1:19" s="127" customFormat="1" x14ac:dyDescent="0.35">
      <c r="A4" s="1"/>
      <c r="B4" s="1"/>
      <c r="C4" s="130" t="s">
        <v>56</v>
      </c>
      <c r="D4" s="137" t="s">
        <v>57</v>
      </c>
      <c r="F4" s="117"/>
      <c r="G4" s="117"/>
      <c r="H4" s="117"/>
      <c r="I4" s="117"/>
      <c r="J4" s="117"/>
      <c r="K4" s="117"/>
      <c r="L4" s="117"/>
      <c r="M4" s="218"/>
      <c r="N4" s="117"/>
      <c r="O4" s="117"/>
      <c r="P4" s="117"/>
      <c r="Q4" s="117"/>
    </row>
    <row r="5" spans="1:19" s="127" customFormat="1" x14ac:dyDescent="0.35">
      <c r="A5" s="2"/>
      <c r="B5" s="2"/>
      <c r="C5" s="117"/>
      <c r="D5" s="218"/>
      <c r="F5" s="117"/>
      <c r="G5" s="117"/>
      <c r="H5" s="117"/>
      <c r="I5" s="117"/>
      <c r="J5" s="117"/>
      <c r="K5" s="117"/>
      <c r="L5" s="117"/>
      <c r="M5" s="218"/>
      <c r="N5" s="117"/>
      <c r="O5" s="117"/>
      <c r="P5" s="117"/>
      <c r="Q5" s="117"/>
    </row>
    <row r="6" spans="1:19" s="127" customFormat="1" ht="13" x14ac:dyDescent="0.3">
      <c r="A6" s="181" t="s">
        <v>254</v>
      </c>
      <c r="B6" s="181"/>
      <c r="C6" s="219"/>
      <c r="D6" s="220"/>
      <c r="E6" s="220"/>
      <c r="F6" s="219"/>
      <c r="G6" s="219"/>
      <c r="H6" s="219"/>
      <c r="I6" s="219"/>
      <c r="J6" s="157"/>
      <c r="K6" s="181" t="s">
        <v>255</v>
      </c>
      <c r="L6" s="138"/>
      <c r="M6" s="138"/>
      <c r="N6" s="220"/>
      <c r="O6" s="138"/>
      <c r="P6" s="138"/>
      <c r="Q6" s="138"/>
      <c r="R6" s="138"/>
      <c r="S6" s="138"/>
    </row>
    <row r="7" spans="1:19" s="127" customFormat="1" ht="12.5" customHeight="1" x14ac:dyDescent="0.25">
      <c r="A7" s="164"/>
      <c r="B7" s="164"/>
      <c r="C7" s="164"/>
      <c r="D7" s="221"/>
      <c r="E7" s="221"/>
      <c r="F7" s="164"/>
      <c r="G7" s="164"/>
      <c r="H7" s="164"/>
      <c r="I7" s="157"/>
      <c r="J7" s="157"/>
      <c r="K7" s="164"/>
      <c r="P7" s="221"/>
    </row>
    <row r="8" spans="1:19" s="127" customFormat="1" ht="34.15" customHeight="1" x14ac:dyDescent="0.25">
      <c r="A8" s="358" t="s">
        <v>234</v>
      </c>
      <c r="B8" s="358" t="s">
        <v>56</v>
      </c>
      <c r="C8" s="358" t="s">
        <v>256</v>
      </c>
      <c r="D8" s="358" t="s">
        <v>132</v>
      </c>
      <c r="E8" s="358" t="s">
        <v>257</v>
      </c>
      <c r="F8" s="222" t="s">
        <v>43</v>
      </c>
      <c r="G8" s="222" t="s">
        <v>39</v>
      </c>
      <c r="H8" s="222" t="s">
        <v>251</v>
      </c>
      <c r="I8" s="222" t="s">
        <v>253</v>
      </c>
      <c r="J8" s="157"/>
      <c r="K8" s="358" t="s">
        <v>234</v>
      </c>
      <c r="L8" s="358" t="s">
        <v>56</v>
      </c>
      <c r="M8" s="358" t="s">
        <v>256</v>
      </c>
      <c r="N8" s="358" t="s">
        <v>132</v>
      </c>
      <c r="O8" s="358" t="s">
        <v>257</v>
      </c>
      <c r="P8" s="222" t="s">
        <v>43</v>
      </c>
      <c r="Q8" s="222" t="s">
        <v>39</v>
      </c>
      <c r="R8" s="222" t="s">
        <v>251</v>
      </c>
      <c r="S8" s="222" t="s">
        <v>253</v>
      </c>
    </row>
    <row r="9" spans="1:19" s="127" customFormat="1" ht="12.5" x14ac:dyDescent="0.25">
      <c r="A9" s="359"/>
      <c r="B9" s="359"/>
      <c r="C9" s="359"/>
      <c r="D9" s="359"/>
      <c r="E9" s="359"/>
      <c r="F9" s="223" t="s">
        <v>258</v>
      </c>
      <c r="G9" s="224" t="s">
        <v>136</v>
      </c>
      <c r="H9" s="224" t="s">
        <v>252</v>
      </c>
      <c r="I9" s="223" t="s">
        <v>258</v>
      </c>
      <c r="J9" s="157"/>
      <c r="K9" s="359"/>
      <c r="L9" s="359"/>
      <c r="M9" s="359"/>
      <c r="N9" s="359"/>
      <c r="O9" s="359"/>
      <c r="P9" s="223" t="s">
        <v>258</v>
      </c>
      <c r="Q9" s="224" t="s">
        <v>136</v>
      </c>
      <c r="R9" s="224" t="s">
        <v>252</v>
      </c>
      <c r="S9" s="223" t="s">
        <v>258</v>
      </c>
    </row>
    <row r="10" spans="1:19" x14ac:dyDescent="0.35">
      <c r="A10" s="360">
        <v>2027</v>
      </c>
      <c r="B10" s="360" t="s">
        <v>77</v>
      </c>
      <c r="C10" s="360" t="s">
        <v>462</v>
      </c>
      <c r="D10" s="360" t="s">
        <v>143</v>
      </c>
      <c r="E10" s="289" t="s">
        <v>463</v>
      </c>
      <c r="F10" s="5">
        <v>105.75667259552398</v>
      </c>
      <c r="G10" s="265">
        <v>0.13703155117210919</v>
      </c>
      <c r="H10" s="16">
        <v>6.2180761971321132</v>
      </c>
      <c r="I10" s="5">
        <v>1450.6460781293154</v>
      </c>
      <c r="K10" s="360">
        <v>2027</v>
      </c>
      <c r="L10" s="360" t="s">
        <v>77</v>
      </c>
      <c r="M10" s="360" t="s">
        <v>462</v>
      </c>
      <c r="N10" s="360" t="s">
        <v>143</v>
      </c>
      <c r="O10" s="289" t="s">
        <v>463</v>
      </c>
      <c r="P10" s="5">
        <v>105.75667259552398</v>
      </c>
      <c r="Q10" s="265">
        <v>0.13703155117210919</v>
      </c>
      <c r="R10" s="16">
        <v>6.2180761971321132</v>
      </c>
      <c r="S10" s="5">
        <v>1450.6460781293154</v>
      </c>
    </row>
    <row r="11" spans="1:19" x14ac:dyDescent="0.35">
      <c r="A11" s="360"/>
      <c r="B11" s="360"/>
      <c r="C11" s="360"/>
      <c r="D11" s="360"/>
      <c r="E11" s="360" t="s">
        <v>444</v>
      </c>
      <c r="F11" s="5">
        <v>126.62929957624982</v>
      </c>
      <c r="G11" s="265">
        <v>0.13997629462454375</v>
      </c>
      <c r="H11" s="16">
        <v>6.2032136302570198</v>
      </c>
      <c r="I11" s="5">
        <v>1462.9263635463697</v>
      </c>
      <c r="K11" s="360"/>
      <c r="L11" s="360"/>
      <c r="M11" s="360"/>
      <c r="N11" s="360"/>
      <c r="O11" s="360" t="s">
        <v>444</v>
      </c>
      <c r="P11" s="5">
        <v>126.62929957624982</v>
      </c>
      <c r="Q11" s="265">
        <v>0.13997629462454375</v>
      </c>
      <c r="R11" s="16">
        <v>6.2032136302570198</v>
      </c>
      <c r="S11" s="5">
        <v>1462.9263635463697</v>
      </c>
    </row>
    <row r="12" spans="1:19" x14ac:dyDescent="0.35">
      <c r="A12" s="360"/>
      <c r="B12" s="360"/>
      <c r="C12" s="360"/>
      <c r="D12" s="289" t="s">
        <v>144</v>
      </c>
      <c r="E12" s="360"/>
      <c r="F12" s="5">
        <v>86.738027446890271</v>
      </c>
      <c r="G12" s="265">
        <v>0.13131217180956467</v>
      </c>
      <c r="H12" s="16">
        <v>6.5565740564614723</v>
      </c>
      <c r="I12" s="5">
        <v>1745.7234021217814</v>
      </c>
      <c r="K12" s="360"/>
      <c r="L12" s="360"/>
      <c r="M12" s="360"/>
      <c r="N12" s="289" t="s">
        <v>144</v>
      </c>
      <c r="O12" s="360"/>
      <c r="P12" s="5">
        <v>86.738027446890271</v>
      </c>
      <c r="Q12" s="265">
        <v>0.13131217180956467</v>
      </c>
      <c r="R12" s="16">
        <v>6.5565740564614723</v>
      </c>
      <c r="S12" s="5">
        <v>1745.7234021217814</v>
      </c>
    </row>
    <row r="13" spans="1:19" x14ac:dyDescent="0.35">
      <c r="A13" s="360"/>
      <c r="B13" s="360"/>
      <c r="C13" s="289" t="s">
        <v>456</v>
      </c>
      <c r="D13" s="360" t="s">
        <v>143</v>
      </c>
      <c r="E13" s="360"/>
      <c r="F13" s="5">
        <v>-306.05428180204433</v>
      </c>
      <c r="G13" s="265">
        <v>7.7413891291440162E-3</v>
      </c>
      <c r="H13" s="16">
        <v>33.450243564749584</v>
      </c>
      <c r="I13" s="5">
        <v>501.57024575139985</v>
      </c>
      <c r="K13" s="360"/>
      <c r="L13" s="360"/>
      <c r="M13" s="289" t="s">
        <v>456</v>
      </c>
      <c r="N13" s="360" t="s">
        <v>143</v>
      </c>
      <c r="O13" s="360"/>
      <c r="P13" s="5">
        <v>-306.05428180204433</v>
      </c>
      <c r="Q13" s="265">
        <v>7.7413891291440162E-3</v>
      </c>
      <c r="R13" s="16">
        <v>33.450243564749584</v>
      </c>
      <c r="S13" s="5">
        <v>501.57024575139985</v>
      </c>
    </row>
    <row r="14" spans="1:19" x14ac:dyDescent="0.35">
      <c r="A14" s="360">
        <v>2030</v>
      </c>
      <c r="B14" s="360"/>
      <c r="C14" s="360" t="s">
        <v>462</v>
      </c>
      <c r="D14" s="360"/>
      <c r="E14" s="289" t="s">
        <v>463</v>
      </c>
      <c r="F14" s="5">
        <v>-34.281040471483777</v>
      </c>
      <c r="G14" s="265">
        <v>0.11477117676865056</v>
      </c>
      <c r="H14" s="16">
        <v>7.7951358263068258</v>
      </c>
      <c r="I14" s="5">
        <v>1252.4876070017281</v>
      </c>
      <c r="K14" s="360">
        <v>2030</v>
      </c>
      <c r="L14" s="360"/>
      <c r="M14" s="360" t="s">
        <v>462</v>
      </c>
      <c r="N14" s="360"/>
      <c r="O14" s="289" t="s">
        <v>463</v>
      </c>
      <c r="P14" s="5">
        <v>-34.281040471483777</v>
      </c>
      <c r="Q14" s="265">
        <v>0.11477117676865056</v>
      </c>
      <c r="R14" s="16">
        <v>7.7951358263068258</v>
      </c>
      <c r="S14" s="5">
        <v>1252.4876070017281</v>
      </c>
    </row>
    <row r="15" spans="1:19" x14ac:dyDescent="0.35">
      <c r="A15" s="360"/>
      <c r="B15" s="360"/>
      <c r="C15" s="360"/>
      <c r="D15" s="289" t="s">
        <v>144</v>
      </c>
      <c r="E15" s="289" t="s">
        <v>444</v>
      </c>
      <c r="F15" s="5">
        <v>-57.195646470636561</v>
      </c>
      <c r="G15" s="265">
        <v>0.11281641290219468</v>
      </c>
      <c r="H15" s="16">
        <v>7.9024762937250959</v>
      </c>
      <c r="I15" s="5">
        <v>1534.3024982895638</v>
      </c>
      <c r="K15" s="360"/>
      <c r="L15" s="360"/>
      <c r="M15" s="360"/>
      <c r="N15" s="289" t="s">
        <v>144</v>
      </c>
      <c r="O15" s="289" t="s">
        <v>444</v>
      </c>
      <c r="P15" s="5">
        <v>-57.195646470636561</v>
      </c>
      <c r="Q15" s="265">
        <v>0.11281641290219468</v>
      </c>
      <c r="R15" s="16">
        <v>7.9024762937250959</v>
      </c>
      <c r="S15" s="5">
        <v>1534.3024982895638</v>
      </c>
    </row>
    <row r="25" ht="14.5" customHeight="1" x14ac:dyDescent="0.35"/>
  </sheetData>
  <mergeCells count="26">
    <mergeCell ref="A14:A15"/>
    <mergeCell ref="B10:B15"/>
    <mergeCell ref="E8:E9"/>
    <mergeCell ref="B8:B9"/>
    <mergeCell ref="N10:N11"/>
    <mergeCell ref="N8:N9"/>
    <mergeCell ref="A8:A9"/>
    <mergeCell ref="A10:A13"/>
    <mergeCell ref="N13:N14"/>
    <mergeCell ref="K14:K15"/>
    <mergeCell ref="M14:M15"/>
    <mergeCell ref="C14:C15"/>
    <mergeCell ref="D13:D14"/>
    <mergeCell ref="E11:E13"/>
    <mergeCell ref="K10:K13"/>
    <mergeCell ref="O8:O9"/>
    <mergeCell ref="L8:L9"/>
    <mergeCell ref="M8:M9"/>
    <mergeCell ref="K8:K9"/>
    <mergeCell ref="C10:C12"/>
    <mergeCell ref="L10:L15"/>
    <mergeCell ref="M10:M12"/>
    <mergeCell ref="O11:O13"/>
    <mergeCell ref="C8:C9"/>
    <mergeCell ref="D10:D11"/>
    <mergeCell ref="D8:D9"/>
  </mergeCells>
  <phoneticPr fontId="17" type="noConversion"/>
  <conditionalFormatting sqref="E8:E9">
    <cfRule type="expression" dxfId="3" priority="288">
      <formula>#REF!&lt;&gt;"I ACCEPT"</formula>
    </cfRule>
  </conditionalFormatting>
  <conditionalFormatting sqref="O8:O9">
    <cfRule type="expression" dxfId="2" priority="15">
      <formula>#REF!&lt;&gt;"I ACCEPT"</formula>
    </cfRule>
  </conditionalFormatting>
  <conditionalFormatting sqref="G10:G15">
    <cfRule type="colorScale" priority="4">
      <colorScale>
        <cfvo type="num" val="0.05"/>
        <cfvo type="num" val="7.4999999999999997E-2"/>
        <cfvo type="num" val="0.1"/>
        <color rgb="FFF8696B"/>
        <color rgb="FFFFEB84"/>
        <color rgb="FF63BE7B"/>
      </colorScale>
    </cfRule>
  </conditionalFormatting>
  <conditionalFormatting sqref="Q10:Q15">
    <cfRule type="colorScale" priority="3">
      <colorScale>
        <cfvo type="num" val="0.05"/>
        <cfvo type="num" val="7.4999999999999997E-2"/>
        <cfvo type="num" val="0.1"/>
        <color rgb="FFF8696B"/>
        <color rgb="FFFFEB84"/>
        <color rgb="FF63BE7B"/>
      </colorScale>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70" r:id="rId4" name="Button 2">
              <controlPr defaultSize="0" print="0" autoFill="0" autoPict="0" macro="[0]!UpdateSummaryTable_Click">
                <anchor moveWithCells="1" sizeWithCells="1">
                  <from>
                    <xdr:col>10</xdr:col>
                    <xdr:colOff>1098550</xdr:colOff>
                    <xdr:row>0</xdr:row>
                    <xdr:rowOff>114300</xdr:rowOff>
                  </from>
                  <to>
                    <xdr:col>15</xdr:col>
                    <xdr:colOff>114300</xdr:colOff>
                    <xdr:row>4</xdr:row>
                    <xdr:rowOff>95250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stopIfTrue="1" id="{0D2C90FA-808C-4E33-8127-FCA9F771C11E}">
            <xm:f>Disclaimer!$F$18&lt;&gt;"I ACCEPT"</xm:f>
            <x14:dxf>
              <numFmt numFmtId="175" formatCode=";;;"/>
            </x14:dxf>
          </x14:cfRule>
          <xm:sqref>A2:XFD1048576 A1:J1 L1:XFD1</xm:sqref>
        </x14:conditionalFormatting>
        <x14:conditionalFormatting xmlns:xm="http://schemas.microsoft.com/office/excel/2006/main">
          <x14:cfRule type="expression" priority="1" stopIfTrue="1" id="{5BF6162D-A73C-4046-A564-E2297F47DBB9}">
            <xm:f>Disclaimer!$F$18="I ACCEPT"</xm:f>
            <x14:dxf>
              <numFmt numFmtId="175" formatCode=";;;"/>
            </x14:dxf>
          </x14:cfRule>
          <xm:sqref>K1</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C57769-3796-44AF-AF5D-91ABAD663666}">
  <sheetPr codeName="Sheet12">
    <tabColor rgb="FF002060"/>
  </sheetPr>
  <dimension ref="A1:C32"/>
  <sheetViews>
    <sheetView zoomScale="80" zoomScaleNormal="80" workbookViewId="0"/>
  </sheetViews>
  <sheetFormatPr defaultRowHeight="14.5" x14ac:dyDescent="0.35"/>
  <cols>
    <col min="1" max="1" width="28.7265625" bestFit="1" customWidth="1"/>
    <col min="2" max="2" width="15.7265625" customWidth="1"/>
    <col min="3" max="3" width="63.26953125" bestFit="1" customWidth="1"/>
  </cols>
  <sheetData>
    <row r="1" spans="1:3" x14ac:dyDescent="0.35">
      <c r="A1" t="s">
        <v>259</v>
      </c>
    </row>
    <row r="2" spans="1:3" x14ac:dyDescent="0.35">
      <c r="A2" s="14" t="s">
        <v>260</v>
      </c>
      <c r="B2" s="14" t="s">
        <v>37</v>
      </c>
      <c r="C2" s="14" t="s">
        <v>15</v>
      </c>
    </row>
    <row r="3" spans="1:3" x14ac:dyDescent="0.35">
      <c r="A3" s="13" t="s">
        <v>261</v>
      </c>
      <c r="B3" s="12"/>
      <c r="C3" s="12"/>
    </row>
    <row r="4" spans="1:3" x14ac:dyDescent="0.35">
      <c r="A4" t="s">
        <v>262</v>
      </c>
      <c r="B4">
        <v>10</v>
      </c>
      <c r="C4" t="s">
        <v>263</v>
      </c>
    </row>
    <row r="5" spans="1:3" x14ac:dyDescent="0.35">
      <c r="A5" t="s">
        <v>264</v>
      </c>
      <c r="B5">
        <v>3</v>
      </c>
      <c r="C5" t="s">
        <v>265</v>
      </c>
    </row>
    <row r="6" spans="1:3" x14ac:dyDescent="0.35">
      <c r="A6" t="s">
        <v>266</v>
      </c>
      <c r="B6">
        <v>51</v>
      </c>
      <c r="C6" t="s">
        <v>267</v>
      </c>
    </row>
    <row r="7" spans="1:3" x14ac:dyDescent="0.35">
      <c r="A7" t="s">
        <v>268</v>
      </c>
      <c r="B7">
        <v>51</v>
      </c>
      <c r="C7" t="s">
        <v>269</v>
      </c>
    </row>
    <row r="9" spans="1:3" x14ac:dyDescent="0.35">
      <c r="A9" s="13" t="s">
        <v>270</v>
      </c>
      <c r="B9" s="12"/>
      <c r="C9" s="12"/>
    </row>
    <row r="10" spans="1:3" x14ac:dyDescent="0.35">
      <c r="A10" t="s">
        <v>271</v>
      </c>
      <c r="B10">
        <v>1</v>
      </c>
      <c r="C10" t="s">
        <v>272</v>
      </c>
    </row>
    <row r="11" spans="1:3" x14ac:dyDescent="0.35">
      <c r="A11" t="s">
        <v>273</v>
      </c>
      <c r="B11">
        <v>2</v>
      </c>
      <c r="C11" t="s">
        <v>274</v>
      </c>
    </row>
    <row r="12" spans="1:3" x14ac:dyDescent="0.35">
      <c r="A12" t="s">
        <v>275</v>
      </c>
      <c r="B12">
        <v>3</v>
      </c>
      <c r="C12" t="s">
        <v>276</v>
      </c>
    </row>
    <row r="13" spans="1:3" x14ac:dyDescent="0.35">
      <c r="A13" t="s">
        <v>277</v>
      </c>
      <c r="B13">
        <v>2</v>
      </c>
      <c r="C13" t="s">
        <v>278</v>
      </c>
    </row>
    <row r="15" spans="1:3" x14ac:dyDescent="0.35">
      <c r="A15" s="13" t="s">
        <v>279</v>
      </c>
      <c r="B15" s="12"/>
      <c r="C15" s="12"/>
    </row>
    <row r="16" spans="1:3" x14ac:dyDescent="0.35">
      <c r="A16" t="s">
        <v>280</v>
      </c>
      <c r="B16">
        <v>4</v>
      </c>
      <c r="C16" t="s">
        <v>281</v>
      </c>
    </row>
    <row r="17" spans="1:3" x14ac:dyDescent="0.35">
      <c r="A17" t="s">
        <v>282</v>
      </c>
      <c r="B17">
        <v>33</v>
      </c>
      <c r="C17" t="s">
        <v>283</v>
      </c>
    </row>
    <row r="18" spans="1:3" x14ac:dyDescent="0.35">
      <c r="A18" t="s">
        <v>284</v>
      </c>
      <c r="B18">
        <v>5</v>
      </c>
      <c r="C18" t="s">
        <v>285</v>
      </c>
    </row>
    <row r="19" spans="1:3" x14ac:dyDescent="0.35">
      <c r="A19" t="s">
        <v>286</v>
      </c>
      <c r="B19">
        <v>8</v>
      </c>
      <c r="C19" t="s">
        <v>287</v>
      </c>
    </row>
    <row r="20" spans="1:3" x14ac:dyDescent="0.35">
      <c r="A20" t="s">
        <v>288</v>
      </c>
      <c r="B20">
        <v>6</v>
      </c>
      <c r="C20" t="s">
        <v>289</v>
      </c>
    </row>
    <row r="22" spans="1:3" x14ac:dyDescent="0.35">
      <c r="A22" s="13" t="s">
        <v>290</v>
      </c>
      <c r="B22" s="12"/>
      <c r="C22" s="12"/>
    </row>
    <row r="23" spans="1:3" x14ac:dyDescent="0.35">
      <c r="A23" t="s">
        <v>291</v>
      </c>
      <c r="B23">
        <v>5</v>
      </c>
      <c r="C23" t="s">
        <v>292</v>
      </c>
    </row>
    <row r="24" spans="1:3" x14ac:dyDescent="0.35">
      <c r="A24" t="s">
        <v>293</v>
      </c>
      <c r="B24" t="s">
        <v>294</v>
      </c>
      <c r="C24" t="s">
        <v>295</v>
      </c>
    </row>
    <row r="25" spans="1:3" x14ac:dyDescent="0.35">
      <c r="A25" t="s">
        <v>296</v>
      </c>
      <c r="B25">
        <v>10</v>
      </c>
      <c r="C25" t="s">
        <v>297</v>
      </c>
    </row>
    <row r="26" spans="1:3" x14ac:dyDescent="0.35">
      <c r="A26" t="s">
        <v>298</v>
      </c>
      <c r="B26" t="s">
        <v>294</v>
      </c>
      <c r="C26" t="s">
        <v>299</v>
      </c>
    </row>
    <row r="28" spans="1:3" x14ac:dyDescent="0.35">
      <c r="A28" s="13" t="s">
        <v>300</v>
      </c>
      <c r="B28" s="12"/>
      <c r="C28" s="12"/>
    </row>
    <row r="29" spans="1:3" x14ac:dyDescent="0.35">
      <c r="A29" t="s">
        <v>301</v>
      </c>
      <c r="B29">
        <v>53</v>
      </c>
      <c r="C29" t="s">
        <v>302</v>
      </c>
    </row>
    <row r="30" spans="1:3" x14ac:dyDescent="0.35">
      <c r="A30" t="s">
        <v>303</v>
      </c>
      <c r="B30">
        <v>3</v>
      </c>
      <c r="C30" t="s">
        <v>304</v>
      </c>
    </row>
    <row r="31" spans="1:3" x14ac:dyDescent="0.35">
      <c r="A31" t="s">
        <v>305</v>
      </c>
      <c r="B31">
        <v>8</v>
      </c>
      <c r="C31" t="s">
        <v>306</v>
      </c>
    </row>
    <row r="32" spans="1:3" x14ac:dyDescent="0.35">
      <c r="A32" t="s">
        <v>307</v>
      </c>
      <c r="B32">
        <v>47</v>
      </c>
      <c r="C32" t="s">
        <v>308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3ba8be79-126f-4ecc-b268-0e8a1c9d820a" xsi:nil="true"/>
    <lcf76f155ced4ddcb4097134ff3c332f xmlns="348e42aa-7502-48aa-9973-d5430de63b43">
      <Terms xmlns="http://schemas.microsoft.com/office/infopath/2007/PartnerControls"/>
    </lcf76f155ced4ddcb4097134ff3c332f>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CB25C80BA76C054AAAC0D3CDDFCEC309" ma:contentTypeVersion="14" ma:contentTypeDescription="Create a new document." ma:contentTypeScope="" ma:versionID="d968673a7c3a10ddeefea4f97a096cd1">
  <xsd:schema xmlns:xsd="http://www.w3.org/2001/XMLSchema" xmlns:xs="http://www.w3.org/2001/XMLSchema" xmlns:p="http://schemas.microsoft.com/office/2006/metadata/properties" xmlns:ns2="3ba8be79-126f-4ecc-b268-0e8a1c9d820a" xmlns:ns3="348e42aa-7502-48aa-9973-d5430de63b43" targetNamespace="http://schemas.microsoft.com/office/2006/metadata/properties" ma:root="true" ma:fieldsID="65bd50756c71f8c38774f3a5c983a670" ns2:_="" ns3:_="">
    <xsd:import namespace="3ba8be79-126f-4ecc-b268-0e8a1c9d820a"/>
    <xsd:import namespace="348e42aa-7502-48aa-9973-d5430de63b43"/>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ObjectDetectorVersions" minOccurs="0"/>
                <xsd:element ref="ns3:MediaServiceSearchProperties" minOccurs="0"/>
                <xsd:element ref="ns3:lcf76f155ced4ddcb4097134ff3c332f" minOccurs="0"/>
                <xsd:element ref="ns2:TaxCatchAll" minOccurs="0"/>
                <xsd:element ref="ns3:MediaServiceDateTaken" minOccurs="0"/>
                <xsd:element ref="ns3:MediaServiceGenerationTime" minOccurs="0"/>
                <xsd:element ref="ns3:MediaServiceEventHashCode" minOccurs="0"/>
                <xsd:element ref="ns3:MediaServiceOCR"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ba8be79-126f-4ecc-b268-0e8a1c9d820a"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TaxCatchAll" ma:index="16" nillable="true" ma:displayName="Taxonomy Catch All Column" ma:hidden="true" ma:list="{554c7780-c79f-4b81-a1cc-c56cb19b1b79}" ma:internalName="TaxCatchAll" ma:showField="CatchAllData" ma:web="3ba8be79-126f-4ecc-b268-0e8a1c9d820a">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348e42aa-7502-48aa-9973-d5430de63b43"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ObjectDetectorVersions" ma:index="12" nillable="true" ma:displayName="MediaServiceObjectDetectorVersions" ma:hidden="true" ma:indexed="true" ma:internalName="MediaServiceObjectDetectorVersions" ma:readOnly="true">
      <xsd:simpleType>
        <xsd:restriction base="dms:Text"/>
      </xsd:simpleType>
    </xsd:element>
    <xsd:element name="MediaServiceSearchProperties" ma:index="13" nillable="true" ma:displayName="MediaServiceSearchProperties" ma:hidden="true" ma:internalName="MediaServiceSearchProperties" ma:readOnly="true">
      <xsd:simpleType>
        <xsd:restriction base="dms:Note"/>
      </xsd:simpleType>
    </xsd:element>
    <xsd:element name="lcf76f155ced4ddcb4097134ff3c332f" ma:index="15" nillable="true" ma:taxonomy="true" ma:internalName="lcf76f155ced4ddcb4097134ff3c332f" ma:taxonomyFieldName="MediaServiceImageTags" ma:displayName="Image Tags" ma:readOnly="false" ma:fieldId="{5cf76f15-5ced-4ddc-b409-7134ff3c332f}" ma:taxonomyMulti="true" ma:sspId="88080c10-e0a6-4b42-beda-2db26c8ffc26" ma:termSetId="09814cd3-568e-fe90-9814-8d621ff8fb84" ma:anchorId="fba54fb3-c3e1-fe81-a776-ca4b69148c4d" ma:open="true" ma:isKeyword="false">
      <xsd:complexType>
        <xsd:sequence>
          <xsd:element ref="pc:Terms" minOccurs="0" maxOccurs="1"/>
        </xsd:sequence>
      </xsd:complexType>
    </xsd:element>
    <xsd:element name="MediaServiceDateTaken" ma:index="17" nillable="true" ma:displayName="MediaServiceDateTaken" ma:hidden="true" ma:indexed="true" ma:internalName="MediaServiceDateTaken" ma:readOnly="true">
      <xsd:simpleType>
        <xsd:restriction base="dms:Text"/>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ServiceOCR" ma:index="20" nillable="true" ma:displayName="Extracted Text" ma:internalName="MediaServiceOCR" ma:readOnly="true">
      <xsd:simpleType>
        <xsd:restriction base="dms:Note">
          <xsd:maxLength value="255"/>
        </xsd:restriction>
      </xsd:simpleType>
    </xsd:element>
    <xsd:element name="MediaServiceLocation" ma:index="21" nillable="true" ma:displayName="Location" ma:indexed="true"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39793648-7994-42DD-91C8-1454F3165C2E}">
  <ds:schemaRefs>
    <ds:schemaRef ds:uri="a375821a-4396-4a6a-9f69-f95e280e2988"/>
    <ds:schemaRef ds:uri="http://purl.org/dc/terms/"/>
    <ds:schemaRef ds:uri="22b62863-05d3-4172-ad8d-39635811685c"/>
    <ds:schemaRef ds:uri="http://schemas.microsoft.com/office/infopath/2007/PartnerControls"/>
    <ds:schemaRef ds:uri="http://purl.org/dc/elements/1.1/"/>
    <ds:schemaRef ds:uri="http://www.w3.org/XML/1998/namespace"/>
    <ds:schemaRef ds:uri="http://schemas.microsoft.com/office/2006/documentManagement/types"/>
    <ds:schemaRef ds:uri="http://schemas.openxmlformats.org/package/2006/metadata/core-properties"/>
    <ds:schemaRef ds:uri="http://schemas.microsoft.com/office/2006/metadata/properties"/>
    <ds:schemaRef ds:uri="http://purl.org/dc/dcmitype/"/>
    <ds:schemaRef ds:uri="3ba8be79-126f-4ecc-b268-0e8a1c9d820a"/>
    <ds:schemaRef ds:uri="348e42aa-7502-48aa-9973-d5430de63b43"/>
  </ds:schemaRefs>
</ds:datastoreItem>
</file>

<file path=customXml/itemProps2.xml><?xml version="1.0" encoding="utf-8"?>
<ds:datastoreItem xmlns:ds="http://schemas.openxmlformats.org/officeDocument/2006/customXml" ds:itemID="{805A240C-C150-4B8C-960B-2C5359EA0DC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3ba8be79-126f-4ecc-b268-0e8a1c9d820a"/>
    <ds:schemaRef ds:uri="348e42aa-7502-48aa-9973-d5430de63b4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5F4E2B3F-8645-4DE0-908D-1790DC0175F0}">
  <ds:schemaRefs>
    <ds:schemaRef ds:uri="http://schemas.microsoft.com/sharepoint/v3/contenttype/forms"/>
  </ds:schemaRefs>
</ds:datastoreItem>
</file>

<file path=docMetadata/LabelInfo.xml><?xml version="1.0" encoding="utf-8"?>
<clbl:labelList xmlns:clbl="http://schemas.microsoft.com/office/2020/mipLabelMetadata">
  <clbl:label id="{42728984-5573-4501-93e1-26196c1472d0}" enabled="0" method="" siteId="{42728984-5573-4501-93e1-26196c1472d0}" removed="1"/>
</clbl:labelLis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Disclaimer</vt:lpstr>
      <vt:lpstr>Intro</vt:lpstr>
      <vt:lpstr>Guide</vt:lpstr>
      <vt:lpstr>Common Assumptions</vt:lpstr>
      <vt:lpstr>Central prices</vt:lpstr>
      <vt:lpstr>Inputs</vt:lpstr>
      <vt:lpstr>Costs assumptions</vt:lpstr>
      <vt:lpstr>Undegraded batteries</vt:lpstr>
      <vt:lpstr>Degraded batteries</vt:lpstr>
      <vt:lpstr>NPV calculation</vt:lpstr>
      <vt:lpstr>_undeg_revenues_scenario_list</vt:lpstr>
      <vt:lpstr>_revenues_scenario_list</vt:lpstr>
      <vt:lpstr>Summary table</vt:lpstr>
      <vt:lpstr>Control</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Michele Scolaro</dc:creator>
  <cp:keywords/>
  <dc:description/>
  <cp:lastModifiedBy>Alexander Gibbs</cp:lastModifiedBy>
  <cp:revision/>
  <dcterms:created xsi:type="dcterms:W3CDTF">2015-06-05T18:17:20Z</dcterms:created>
  <dcterms:modified xsi:type="dcterms:W3CDTF">2026-06-29T14:22:11Z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0x010100CB25C80BA76C054AAAC0D3CDDFCEC309</vt:lpwstr>
  </property>
  <property fmtid="{D5CDD505-2E9C-101B-9397-08002B2CF9AE}" pid="3" name="MediaServiceImageTags">
    <vt:lpwstr/>
  </property>
  <property fmtid="{D5CDD505-2E9C-101B-9397-08002B2CF9AE}" pid="4" name="Technology Focus">
    <vt:lpwstr/>
  </property>
  <property fmtid="{D5CDD505-2E9C-101B-9397-08002B2CF9AE}" pid="5" name="Report Type">
    <vt:lpwstr/>
  </property>
  <property fmtid="{D5CDD505-2E9C-101B-9397-08002B2CF9AE}" pid="6" name="Teams">
    <vt:lpwstr/>
  </property>
  <property fmtid="{D5CDD505-2E9C-101B-9397-08002B2CF9AE}" pid="7" name="Report_x0020_Type">
    <vt:lpwstr/>
  </property>
  <property fmtid="{D5CDD505-2E9C-101B-9397-08002B2CF9AE}" pid="8" name="_ExtendedDescription">
    <vt:lpwstr/>
  </property>
  <property fmtid="{D5CDD505-2E9C-101B-9397-08002B2CF9AE}" pid="9" name="Technology_x0020_Focus">
    <vt:lpwstr/>
  </property>
  <property fmtid="{D5CDD505-2E9C-101B-9397-08002B2CF9AE}" pid="10" name="Status">
    <vt:lpwstr/>
  </property>
  <property fmtid="{D5CDD505-2E9C-101B-9397-08002B2CF9AE}" pid="11" name="Quarter">
    <vt:lpwstr/>
  </property>
</Properties>
</file>