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turealhu.sharepoint.com/sites/Energy/Shared Documents/Deals/Hungary/Zalahaláp/02_Analysis/03_Data/"/>
    </mc:Choice>
  </mc:AlternateContent>
  <xr:revisionPtr revIDLastSave="114" documentId="13_ncr:1_{D4D37658-0FF8-A84B-9EDD-7505D5F3074C}" xr6:coauthVersionLast="47" xr6:coauthVersionMax="47" xr10:uidLastSave="{D948C421-7C3B-42D3-8C07-7D8800F18F0D}"/>
  <bookViews>
    <workbookView xWindow="-108" yWindow="-108" windowWidth="23256" windowHeight="13896" activeTab="2" xr2:uid="{0DCA3561-F3C6-A64E-AAAF-25C69F05EA1F}"/>
  </bookViews>
  <sheets>
    <sheet name="CONSIDERATION BASED 071025" sheetId="2" r:id="rId1"/>
    <sheet name="PURCHASE PRICE BASED 071025" sheetId="1" r:id="rId2"/>
    <sheet name="PURCHASE PRICE BASED 221025" sheetId="3" r:id="rId3"/>
  </sheets>
  <definedNames>
    <definedName name="FX" localSheetId="0">'CONSIDERATION BASED 071025'!#REF!</definedName>
    <definedName name="FX" localSheetId="1">'PURCHASE PRICE BASED 071025'!#REF!</definedName>
    <definedName name="FX" localSheetId="2">'PURCHASE PRICE BASED 221025'!#REF!</definedName>
    <definedName name="FX">#REF!</definedName>
    <definedName name="_xlnm.Print_Titles" localSheetId="0">'CONSIDERATION BASED 071025'!$1:$4</definedName>
    <definedName name="_xlnm.Print_Titles" localSheetId="1">'PURCHASE PRICE BASED 071025'!$1:$4</definedName>
    <definedName name="_xlnm.Print_Titles" localSheetId="2">'PURCHASE PRICE BASED 221025'!$1:$4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3" l="1"/>
  <c r="G61" i="3"/>
  <c r="G64" i="3" s="1"/>
  <c r="G31" i="3" s="1"/>
  <c r="E55" i="3"/>
  <c r="G55" i="3" s="1"/>
  <c r="G58" i="3" s="1"/>
  <c r="A49" i="3"/>
  <c r="A47" i="3"/>
  <c r="G8" i="3"/>
  <c r="G59" i="2"/>
  <c r="G62" i="2" s="1"/>
  <c r="E53" i="2"/>
  <c r="G53" i="2" s="1"/>
  <c r="G74" i="2" s="1"/>
  <c r="A47" i="2"/>
  <c r="A45" i="2"/>
  <c r="F39" i="2"/>
  <c r="G8" i="2"/>
  <c r="G59" i="1"/>
  <c r="G62" i="1" s="1"/>
  <c r="G27" i="1" s="1"/>
  <c r="E53" i="1"/>
  <c r="G53" i="1" s="1"/>
  <c r="G56" i="1" s="1"/>
  <c r="G12" i="1" s="1"/>
  <c r="F39" i="1"/>
  <c r="A47" i="1"/>
  <c r="A45" i="1"/>
  <c r="G8" i="1"/>
  <c r="G28" i="3" l="1"/>
  <c r="G30" i="3" s="1"/>
  <c r="G12" i="3"/>
  <c r="G29" i="3"/>
  <c r="G77" i="3"/>
  <c r="G38" i="2"/>
  <c r="G47" i="2" s="1"/>
  <c r="G29" i="2"/>
  <c r="G27" i="2"/>
  <c r="G56" i="2"/>
  <c r="G74" i="1"/>
  <c r="G29" i="1"/>
  <c r="G26" i="1"/>
  <c r="G28" i="1" s="1"/>
  <c r="G69" i="1" s="1"/>
  <c r="G71" i="3" l="1"/>
  <c r="G26" i="2"/>
  <c r="G12" i="2"/>
  <c r="G16" i="1"/>
  <c r="G22" i="1" s="1"/>
  <c r="G45" i="1" s="1"/>
  <c r="G68" i="1" s="1"/>
  <c r="G70" i="1" s="1"/>
  <c r="H70" i="1" s="1"/>
  <c r="G30" i="1"/>
  <c r="G46" i="1" s="1"/>
  <c r="G32" i="3" l="1"/>
  <c r="G48" i="3" s="1"/>
  <c r="G16" i="3"/>
  <c r="G24" i="3" s="1"/>
  <c r="G37" i="1"/>
  <c r="G38" i="1"/>
  <c r="G47" i="1"/>
  <c r="G73" i="1" s="1"/>
  <c r="G75" i="1" s="1"/>
  <c r="H75" i="1" s="1"/>
  <c r="G28" i="2"/>
  <c r="G30" i="2"/>
  <c r="G46" i="2" s="1"/>
  <c r="G32" i="1"/>
  <c r="G39" i="1"/>
  <c r="H39" i="1" s="1"/>
  <c r="G34" i="3" l="1"/>
  <c r="G49" i="3"/>
  <c r="G76" i="3" s="1"/>
  <c r="G40" i="3"/>
  <c r="G48" i="1"/>
  <c r="H48" i="1" s="1"/>
  <c r="G69" i="2"/>
  <c r="G16" i="2"/>
  <c r="G79" i="3" l="1"/>
  <c r="H79" i="3" s="1"/>
  <c r="G22" i="2"/>
  <c r="G37" i="2"/>
  <c r="G45" i="2" s="1"/>
  <c r="G32" i="2"/>
  <c r="G73" i="2"/>
  <c r="G75" i="2" s="1"/>
  <c r="H75" i="2" s="1"/>
  <c r="G48" i="2" l="1"/>
  <c r="G68" i="2"/>
  <c r="G70" i="2" s="1"/>
  <c r="H70" i="2" s="1"/>
  <c r="H48" i="2"/>
  <c r="G39" i="2"/>
  <c r="F39" i="3"/>
  <c r="G39" i="3" s="1"/>
  <c r="G41" i="3" s="1"/>
  <c r="H41" i="3" s="1"/>
  <c r="G47" i="3" l="1"/>
  <c r="G50" i="3" s="1"/>
  <c r="H50" i="3" s="1"/>
  <c r="G70" i="3" l="1"/>
  <c r="G73" i="3" s="1"/>
  <c r="H7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tc={F0D02C7B-9148-4148-B01F-A9FFCD02A7AD}</author>
  </authors>
  <commentList>
    <comment ref="A60" authorId="0" shapeId="0" xr:uid="{F0D02C7B-9148-4148-B01F-A9FFCD02A7AD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Financed via guarantee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tc={EF45636C-D014-F34C-B29F-CA07DDBEFC0D}</author>
  </authors>
  <commentList>
    <comment ref="A60" authorId="0" shapeId="0" xr:uid="{EF45636C-D014-F34C-B29F-CA07DDBEFC0D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Financed via guarantee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tc={C3323755-3BA1-224F-B098-8D686FA59F3A}</author>
  </authors>
  <commentList>
    <comment ref="A62" authorId="0" shapeId="0" xr:uid="{C3323755-3BA1-224F-B098-8D686FA59F3A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Financed via guarantee</t>
      </text>
    </comment>
  </commentList>
</comments>
</file>

<file path=xl/sharedStrings.xml><?xml version="1.0" encoding="utf-8"?>
<sst xmlns="http://schemas.openxmlformats.org/spreadsheetml/2006/main" count="154" uniqueCount="46">
  <si>
    <t>Info date:</t>
  </si>
  <si>
    <t>EUR</t>
  </si>
  <si>
    <t>(i)</t>
  </si>
  <si>
    <t>Project Consideration</t>
  </si>
  <si>
    <t>minus</t>
  </si>
  <si>
    <t>(ii)</t>
  </si>
  <si>
    <t>(iii)</t>
  </si>
  <si>
    <t>plus</t>
  </si>
  <si>
    <t>(iv)</t>
  </si>
  <si>
    <t>the Net Cash</t>
  </si>
  <si>
    <t>Purchase Price</t>
  </si>
  <si>
    <t>Loan Receiveables Summary</t>
  </si>
  <si>
    <t>Total Loan Receiveables</t>
  </si>
  <si>
    <t>Total Payments</t>
  </si>
  <si>
    <t>DEVEX Loan Amount</t>
  </si>
  <si>
    <t>QSPA Purchase Price for 50 % PSH Shares</t>
  </si>
  <si>
    <t>QSPA Purchase Price for 50 % FUTUREAL Shares</t>
  </si>
  <si>
    <t>FUTUREAL NON-DEVEX Loans</t>
  </si>
  <si>
    <t>FUTUREAL DEVEX Loans</t>
  </si>
  <si>
    <t>FUTUREAL DEVEX Interest</t>
  </si>
  <si>
    <t>FUTUREAL NON-DEVEX Interest</t>
  </si>
  <si>
    <t xml:space="preserve"> DEVEX AND NON-DEVEX Loan Interest</t>
  </si>
  <si>
    <t xml:space="preserve">ZALAHALAP </t>
  </si>
  <si>
    <t>TOTAL QSPA Purchase Price for 100% Shares</t>
  </si>
  <si>
    <t>Total Loan Receivables</t>
  </si>
  <si>
    <t>must be zero</t>
  </si>
  <si>
    <t>DSA Payments</t>
  </si>
  <si>
    <t>Other project development related costs
Ingatlanokkal kapcsolatos illetékek, adók, kártérítések és kártalanítások, járulékok,
Hatósági eljárások illetékei és költségei, 
Jogi, pénzügyi és egyéb tanácsadói költségek,
Peres költségek</t>
  </si>
  <si>
    <t>General expenses</t>
  </si>
  <si>
    <t>TOTAL FUTUREAL DEVEX Loans</t>
  </si>
  <si>
    <t>Application and Capacity Deposit</t>
  </si>
  <si>
    <t>Additional Deposit</t>
  </si>
  <si>
    <t>Early Works Loans</t>
  </si>
  <si>
    <t>TOTAL FUTUREAL NON-DEVEX Loans</t>
  </si>
  <si>
    <t>Distribution of the purchase price</t>
  </si>
  <si>
    <t>Total payments under QSPA + SHLA</t>
  </si>
  <si>
    <t>Total Earnings</t>
  </si>
  <si>
    <t>PSH</t>
  </si>
  <si>
    <t>DSA</t>
  </si>
  <si>
    <t>TOTAL PSH</t>
  </si>
  <si>
    <t>FUTUREAL</t>
  </si>
  <si>
    <t>Interest</t>
  </si>
  <si>
    <t>DEAL STRUCTURE - PURCHASE PRICE SETTLING MECHANISM - PURCHASE PRICE BASED</t>
  </si>
  <si>
    <t>DEAL STRUCTURE - PURCHASE PRICE SETTLING MECHANISM - CONSIDERATION BASED</t>
  </si>
  <si>
    <t>(v)</t>
  </si>
  <si>
    <t>FEP SPV acquisition 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</si>
</sst>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#,##0\ [$HUF]"/>
    <numFmt numFmtId="166" formatCode="_-* #,##0\ &quot;€&quot;_-;\-* #,##0\ &quot;€&quot;_-;_-* &quot;-&quot;??\ &quot;€&quot;_-;_-@_-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trike/>
      <sz val="11"/>
      <color theme="1"/>
      <name val="Arial"/>
      <family val="2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164" fontId="2" fillId="0" borderId="0" xfId="1" applyFont="1"/>
    <xf numFmtId="0" fontId="3" fillId="0" borderId="0" xfId="0" applyFont="1"/>
    <xf numFmtId="165" fontId="2" fillId="0" borderId="0" xfId="0" applyNumberFormat="1" applyFont="1"/>
    <xf numFmtId="0" fontId="2" fillId="0" borderId="0" xfId="1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164" fontId="2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1" applyFont="1" applyAlignment="1">
      <alignment horizontal="left" vertical="center"/>
    </xf>
    <xf numFmtId="0" fontId="2" fillId="0" borderId="0" xfId="0" applyFont="1" applyAlignment="1">
      <alignment horizontal="right"/>
    </xf>
    <xf numFmtId="164" fontId="2" fillId="0" borderId="0" xfId="1" applyFont="1" applyAlignment="1">
      <alignment horizontal="right"/>
    </xf>
    <xf numFmtId="14" fontId="3" fillId="0" borderId="0" xfId="0" applyNumberFormat="1" applyFont="1"/>
    <xf numFmtId="164" fontId="2" fillId="0" borderId="0" xfId="1" applyFont="1" applyFill="1" applyAlignment="1">
      <alignment horizontal="right"/>
    </xf>
    <xf numFmtId="164" fontId="3" fillId="0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6" fontId="2" fillId="0" borderId="0" xfId="1" applyNumberFormat="1" applyFont="1" applyFill="1" applyAlignment="1">
      <alignment horizontal="left" vertical="center"/>
    </xf>
    <xf numFmtId="164" fontId="2" fillId="0" borderId="0" xfId="1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6" fontId="3" fillId="0" borderId="0" xfId="1" applyNumberFormat="1" applyFont="1" applyFill="1" applyAlignment="1">
      <alignment horizontal="left" vertical="center"/>
    </xf>
    <xf numFmtId="164" fontId="3" fillId="0" borderId="0" xfId="1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164" fontId="3" fillId="0" borderId="1" xfId="1" applyFont="1" applyFill="1" applyBorder="1" applyAlignment="1">
      <alignment horizontal="right"/>
    </xf>
    <xf numFmtId="166" fontId="2" fillId="0" borderId="0" xfId="0" applyNumberFormat="1" applyFont="1" applyAlignment="1">
      <alignment horizontal="right"/>
    </xf>
    <xf numFmtId="10" fontId="2" fillId="0" borderId="0" xfId="2" applyNumberFormat="1" applyFont="1" applyFill="1"/>
    <xf numFmtId="9" fontId="2" fillId="0" borderId="0" xfId="2" applyFont="1" applyFill="1"/>
    <xf numFmtId="9" fontId="3" fillId="0" borderId="1" xfId="2" applyFont="1" applyFill="1" applyBorder="1"/>
    <xf numFmtId="164" fontId="2" fillId="0" borderId="0" xfId="0" applyNumberFormat="1" applyFont="1" applyAlignment="1">
      <alignment horizontal="right"/>
    </xf>
    <xf numFmtId="166" fontId="2" fillId="0" borderId="0" xfId="1" applyNumberFormat="1" applyFont="1" applyFill="1"/>
    <xf numFmtId="164" fontId="2" fillId="0" borderId="0" xfId="1" applyFont="1" applyFill="1"/>
    <xf numFmtId="164" fontId="3" fillId="0" borderId="1" xfId="0" applyNumberFormat="1" applyFont="1" applyBorder="1" applyAlignment="1">
      <alignment horizontal="right"/>
    </xf>
    <xf numFmtId="166" fontId="3" fillId="0" borderId="1" xfId="1" applyNumberFormat="1" applyFont="1" applyFill="1" applyBorder="1"/>
    <xf numFmtId="164" fontId="3" fillId="0" borderId="1" xfId="1" applyFont="1" applyFill="1" applyBorder="1"/>
    <xf numFmtId="0" fontId="3" fillId="0" borderId="2" xfId="0" applyFont="1" applyBorder="1"/>
    <xf numFmtId="165" fontId="3" fillId="0" borderId="2" xfId="0" applyNumberFormat="1" applyFont="1" applyBorder="1"/>
    <xf numFmtId="164" fontId="3" fillId="0" borderId="2" xfId="0" applyNumberFormat="1" applyFont="1" applyBorder="1" applyAlignment="1">
      <alignment horizontal="right"/>
    </xf>
    <xf numFmtId="166" fontId="3" fillId="0" borderId="2" xfId="1" applyNumberFormat="1" applyFont="1" applyFill="1" applyBorder="1"/>
    <xf numFmtId="164" fontId="3" fillId="0" borderId="2" xfId="1" applyFont="1" applyFill="1" applyBorder="1"/>
    <xf numFmtId="164" fontId="2" fillId="0" borderId="0" xfId="2" applyNumberFormat="1" applyFont="1" applyFill="1"/>
    <xf numFmtId="164" fontId="3" fillId="0" borderId="1" xfId="2" applyNumberFormat="1" applyFont="1" applyFill="1" applyBorder="1"/>
    <xf numFmtId="166" fontId="3" fillId="0" borderId="2" xfId="0" applyNumberFormat="1" applyFont="1" applyBorder="1" applyAlignment="1">
      <alignment horizontal="right"/>
    </xf>
    <xf numFmtId="10" fontId="3" fillId="0" borderId="2" xfId="2" applyNumberFormat="1" applyFont="1" applyFill="1" applyBorder="1"/>
    <xf numFmtId="164" fontId="3" fillId="0" borderId="2" xfId="2" applyNumberFormat="1" applyFont="1" applyFill="1" applyBorder="1"/>
    <xf numFmtId="164" fontId="2" fillId="0" borderId="0" xfId="0" applyNumberFormat="1" applyFont="1"/>
    <xf numFmtId="0" fontId="3" fillId="0" borderId="1" xfId="0" applyFont="1" applyBorder="1" applyAlignment="1">
      <alignment horizontal="right"/>
    </xf>
    <xf numFmtId="164" fontId="3" fillId="0" borderId="1" xfId="1" applyFont="1" applyBorder="1" applyAlignment="1">
      <alignment horizontal="right"/>
    </xf>
    <xf numFmtId="0" fontId="7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1" applyFont="1" applyBorder="1" applyAlignment="1">
      <alignment horizontal="right"/>
    </xf>
    <xf numFmtId="10" fontId="2" fillId="0" borderId="0" xfId="2" applyNumberFormat="1" applyFont="1"/>
    <xf numFmtId="164" fontId="4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8" fillId="0" borderId="0" xfId="1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3">
    <cellStyle name="Normál" xfId="0" builtinId="0"/>
    <cellStyle name="Pénznem" xfId="1" builtinId="4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0</xdr:row>
      <xdr:rowOff>0</xdr:rowOff>
    </xdr:from>
    <xdr:to>
      <xdr:col>6</xdr:col>
      <xdr:colOff>1650365</xdr:colOff>
      <xdr:row>2</xdr:row>
      <xdr:rowOff>92498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41FA2F3-3FE1-3745-8009-4DBEBA330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7950" y="0"/>
          <a:ext cx="1364615" cy="5496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0</xdr:row>
      <xdr:rowOff>0</xdr:rowOff>
    </xdr:from>
    <xdr:to>
      <xdr:col>6</xdr:col>
      <xdr:colOff>1650365</xdr:colOff>
      <xdr:row>2</xdr:row>
      <xdr:rowOff>92498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F043D6B-60A8-EC46-B0DB-8577475BA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2917" y="0"/>
          <a:ext cx="1364615" cy="5581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0</xdr:row>
      <xdr:rowOff>0</xdr:rowOff>
    </xdr:from>
    <xdr:to>
      <xdr:col>6</xdr:col>
      <xdr:colOff>1657985</xdr:colOff>
      <xdr:row>2</xdr:row>
      <xdr:rowOff>92498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E1A65101-A5B2-6741-98F5-66F01C901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7950" y="0"/>
          <a:ext cx="1364615" cy="549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k Sipeky" id="{1F606C7C-DEBC-644F-AC37-075B6B6A3D8B}" userId="S::sipeky@landspartners001.onmicrosoft.com::65fafb03-9383-42b0-b182-67bc717b36a8" providerId="AD"/>
</personList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0" dT="2025-10-07T17:27:49.71" personId="{1F606C7C-DEBC-644F-AC37-075B6B6A3D8B}" id="{F0D02C7B-9148-4148-B01F-A9FFCD02A7AD}">
    <text>Financed via guarantee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0" dT="2025-10-07T17:27:49.71" personId="{1F606C7C-DEBC-644F-AC37-075B6B6A3D8B}" id="{EF45636C-D014-F34C-B29F-CA07DDBEFC0D}">
    <text>Financed via guarantee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62" dT="2025-10-07T17:27:49.71" personId="{1F606C7C-DEBC-644F-AC37-075B6B6A3D8B}" id="{C3323755-3BA1-224F-B098-8D686FA59F3A}">
    <text>Financed via guarantee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C411-372D-BA44-8203-EB798779F17A}">
  <sheetPr>
    <pageSetUpPr fitToPage="1"/>
  </sheetPr>
  <dimension ref="A1:V75"/>
  <sheetViews>
    <sheetView zoomScale="120" zoomScaleNormal="120" zoomScaleSheetLayoutView="126" workbookViewId="0">
      <pane ySplit="4" topLeftCell="A55" activePane="bottomLeft" state="frozen"/>
      <selection pane="bottomLeft" activeCell="F37" sqref="F37"/>
    </sheetView>
  </sheetViews>
  <sheetFormatPr defaultColWidth="10.796875" defaultRowHeight="13.8" x14ac:dyDescent="0.25"/>
  <cols>
    <col min="1" max="1" width="10.19921875" style="4" customWidth="1"/>
    <col min="2" max="2" width="13.796875" style="4" customWidth="1"/>
    <col min="3" max="3" width="14.5" style="7" customWidth="1"/>
    <col min="4" max="4" width="29.5" style="7" customWidth="1"/>
    <col min="5" max="5" width="7.796875" style="7" customWidth="1"/>
    <col min="6" max="6" width="21.796875" style="13" customWidth="1"/>
    <col min="7" max="7" width="21.796875" style="14" customWidth="1"/>
    <col min="8" max="9" width="21.796875" style="5" customWidth="1"/>
    <col min="10" max="10" width="16.5" style="4" customWidth="1"/>
    <col min="11" max="12" width="16.5" style="5" customWidth="1"/>
    <col min="13" max="13" width="17.296875" style="4" customWidth="1"/>
    <col min="14" max="14" width="10.796875" style="4"/>
    <col min="15" max="17" width="19.5" style="4" customWidth="1"/>
    <col min="18" max="21" width="17.69921875" style="4" customWidth="1"/>
    <col min="22" max="22" width="14.19921875" style="6" customWidth="1"/>
    <col min="23" max="16384" width="10.796875" style="4"/>
  </cols>
  <sheetData>
    <row r="1" spans="1:22" s="1" customFormat="1" ht="18" customHeight="1" x14ac:dyDescent="0.3">
      <c r="A1" s="3" t="s">
        <v>22</v>
      </c>
      <c r="B1" s="3"/>
      <c r="C1" s="3"/>
      <c r="D1" s="3"/>
      <c r="E1" s="3"/>
      <c r="K1" s="2"/>
      <c r="L1" s="2"/>
      <c r="V1" s="3"/>
    </row>
    <row r="2" spans="1:22" ht="18" customHeight="1" x14ac:dyDescent="0.25">
      <c r="A2" s="6" t="s">
        <v>43</v>
      </c>
      <c r="B2" s="6"/>
      <c r="C2" s="6"/>
      <c r="D2" s="6"/>
      <c r="E2" s="6"/>
      <c r="F2" s="4"/>
      <c r="G2" s="4"/>
      <c r="H2" s="4"/>
      <c r="I2" s="4"/>
    </row>
    <row r="3" spans="1:22" ht="18" customHeight="1" x14ac:dyDescent="0.25">
      <c r="A3" s="6" t="s">
        <v>0</v>
      </c>
      <c r="B3" s="15">
        <v>45937</v>
      </c>
      <c r="C3" s="6"/>
      <c r="D3" s="6"/>
      <c r="E3" s="6"/>
      <c r="F3" s="4"/>
      <c r="G3" s="4"/>
      <c r="H3" s="4"/>
      <c r="I3" s="4"/>
    </row>
    <row r="4" spans="1:22" ht="25.05" customHeight="1" x14ac:dyDescent="0.25">
      <c r="F4" s="8"/>
    </row>
    <row r="5" spans="1:22" x14ac:dyDescent="0.25">
      <c r="F5" s="8"/>
    </row>
    <row r="6" spans="1:22" x14ac:dyDescent="0.25">
      <c r="G6" s="16"/>
    </row>
    <row r="7" spans="1:22" x14ac:dyDescent="0.25">
      <c r="A7" s="17"/>
      <c r="B7" s="17"/>
      <c r="C7" s="17"/>
      <c r="D7" s="17"/>
      <c r="E7" s="17"/>
      <c r="F7" s="17"/>
      <c r="G7" s="17" t="s">
        <v>1</v>
      </c>
    </row>
    <row r="8" spans="1:22" s="9" customFormat="1" ht="52.05" customHeight="1" x14ac:dyDescent="0.25">
      <c r="A8" s="9" t="s">
        <v>2</v>
      </c>
      <c r="B8" s="64" t="s">
        <v>3</v>
      </c>
      <c r="C8" s="65"/>
      <c r="D8" s="65"/>
      <c r="E8" s="20">
        <v>63</v>
      </c>
      <c r="F8" s="21">
        <v>120000</v>
      </c>
      <c r="G8" s="22">
        <f>F8*E8</f>
        <v>7560000</v>
      </c>
      <c r="H8" s="5"/>
      <c r="I8" s="5"/>
      <c r="K8" s="10"/>
      <c r="L8" s="10"/>
      <c r="V8" s="11"/>
    </row>
    <row r="9" spans="1:22" s="9" customFormat="1" ht="16.95" customHeight="1" x14ac:dyDescent="0.3">
      <c r="B9" s="18"/>
      <c r="C9" s="19"/>
      <c r="D9" s="19"/>
      <c r="E9" s="19"/>
      <c r="F9" s="21"/>
      <c r="G9" s="22"/>
      <c r="H9" s="10"/>
      <c r="I9" s="10"/>
      <c r="K9" s="10"/>
      <c r="L9" s="10"/>
      <c r="V9" s="11"/>
    </row>
    <row r="10" spans="1:22" s="11" customFormat="1" ht="16.95" customHeight="1" x14ac:dyDescent="0.3">
      <c r="A10" s="11" t="s">
        <v>4</v>
      </c>
      <c r="B10" s="23"/>
      <c r="C10" s="24"/>
      <c r="D10" s="24"/>
      <c r="E10" s="24"/>
      <c r="F10" s="25"/>
      <c r="G10" s="26"/>
      <c r="H10" s="12"/>
      <c r="I10" s="12"/>
      <c r="K10" s="12"/>
      <c r="L10" s="12"/>
    </row>
    <row r="11" spans="1:22" s="9" customFormat="1" ht="16.95" customHeight="1" x14ac:dyDescent="0.3">
      <c r="B11" s="18"/>
      <c r="C11" s="27"/>
      <c r="D11" s="27"/>
      <c r="E11" s="27"/>
      <c r="F11" s="21"/>
      <c r="G11" s="22"/>
      <c r="H11" s="10"/>
      <c r="I11" s="10"/>
      <c r="K11" s="10"/>
      <c r="L11" s="10"/>
      <c r="V11" s="11"/>
    </row>
    <row r="12" spans="1:22" s="9" customFormat="1" ht="36" customHeight="1" x14ac:dyDescent="0.3">
      <c r="A12" s="9" t="s">
        <v>5</v>
      </c>
      <c r="B12" s="65" t="s">
        <v>14</v>
      </c>
      <c r="C12" s="65"/>
      <c r="D12" s="65"/>
      <c r="E12" s="20"/>
      <c r="F12" s="21"/>
      <c r="G12" s="22">
        <f>-G56</f>
        <v>-945000</v>
      </c>
      <c r="H12" s="10"/>
      <c r="I12" s="10"/>
      <c r="K12" s="10"/>
      <c r="L12" s="10"/>
      <c r="V12" s="11"/>
    </row>
    <row r="13" spans="1:22" s="9" customFormat="1" x14ac:dyDescent="0.3">
      <c r="B13" s="18"/>
      <c r="C13" s="27"/>
      <c r="D13" s="27"/>
      <c r="E13" s="27"/>
      <c r="F13" s="21"/>
      <c r="G13" s="22"/>
      <c r="H13" s="10"/>
      <c r="I13" s="10"/>
      <c r="K13" s="10"/>
      <c r="L13" s="10"/>
      <c r="V13" s="11"/>
    </row>
    <row r="14" spans="1:22" s="11" customFormat="1" x14ac:dyDescent="0.3">
      <c r="A14" s="11" t="s">
        <v>4</v>
      </c>
      <c r="B14" s="23"/>
      <c r="C14" s="28"/>
      <c r="D14" s="28"/>
      <c r="E14" s="28"/>
      <c r="F14" s="25"/>
      <c r="G14" s="26"/>
      <c r="H14" s="12"/>
      <c r="I14" s="12"/>
      <c r="K14" s="12"/>
      <c r="L14" s="12"/>
    </row>
    <row r="15" spans="1:22" s="9" customFormat="1" x14ac:dyDescent="0.3">
      <c r="B15" s="18"/>
      <c r="C15" s="27"/>
      <c r="D15" s="27"/>
      <c r="E15" s="27"/>
      <c r="F15" s="21"/>
      <c r="G15" s="22"/>
      <c r="H15" s="10"/>
      <c r="I15" s="10"/>
      <c r="K15" s="10"/>
      <c r="L15" s="10"/>
      <c r="V15" s="11"/>
    </row>
    <row r="16" spans="1:22" s="9" customFormat="1" ht="46.05" customHeight="1" x14ac:dyDescent="0.3">
      <c r="A16" s="9" t="s">
        <v>6</v>
      </c>
      <c r="B16" s="65" t="s">
        <v>21</v>
      </c>
      <c r="C16" s="65"/>
      <c r="D16" s="65"/>
      <c r="E16" s="29"/>
      <c r="F16" s="21"/>
      <c r="G16" s="22">
        <f>-(G29+G28)</f>
        <v>-186978.515625</v>
      </c>
      <c r="H16" s="10"/>
      <c r="I16" s="10"/>
      <c r="K16" s="10"/>
      <c r="L16" s="10"/>
      <c r="V16" s="11"/>
    </row>
    <row r="17" spans="1:22" s="9" customFormat="1" x14ac:dyDescent="0.3">
      <c r="B17" s="18"/>
      <c r="C17" s="27"/>
      <c r="D17" s="27"/>
      <c r="E17" s="27"/>
      <c r="F17" s="21"/>
      <c r="G17" s="22"/>
      <c r="H17" s="10"/>
      <c r="I17" s="10"/>
      <c r="K17" s="10"/>
      <c r="L17" s="10"/>
      <c r="V17" s="11"/>
    </row>
    <row r="18" spans="1:22" s="11" customFormat="1" x14ac:dyDescent="0.3">
      <c r="A18" s="23" t="s">
        <v>7</v>
      </c>
      <c r="B18" s="23"/>
      <c r="C18" s="28"/>
      <c r="D18" s="28"/>
      <c r="E18" s="28"/>
      <c r="F18" s="25"/>
      <c r="G18" s="26"/>
      <c r="H18" s="12"/>
      <c r="I18" s="12"/>
      <c r="K18" s="12"/>
      <c r="L18" s="12"/>
    </row>
    <row r="19" spans="1:22" s="9" customFormat="1" x14ac:dyDescent="0.3">
      <c r="B19" s="18"/>
      <c r="C19" s="27"/>
      <c r="D19" s="27"/>
      <c r="E19" s="27"/>
      <c r="F19" s="21"/>
      <c r="G19" s="22"/>
      <c r="H19" s="10"/>
      <c r="I19" s="10"/>
      <c r="K19" s="10"/>
      <c r="L19" s="10"/>
      <c r="V19" s="11"/>
    </row>
    <row r="20" spans="1:22" s="9" customFormat="1" ht="55.95" customHeight="1" x14ac:dyDescent="0.3">
      <c r="A20" s="9" t="s">
        <v>8</v>
      </c>
      <c r="B20" s="65" t="s">
        <v>9</v>
      </c>
      <c r="C20" s="65"/>
      <c r="D20" s="65"/>
      <c r="E20" s="19"/>
      <c r="F20" s="21"/>
      <c r="G20" s="22">
        <v>0</v>
      </c>
      <c r="H20" s="62"/>
      <c r="I20" s="62"/>
      <c r="K20" s="10"/>
      <c r="L20" s="10"/>
      <c r="V20" s="11"/>
    </row>
    <row r="21" spans="1:22" s="9" customFormat="1" x14ac:dyDescent="0.3">
      <c r="B21" s="19"/>
      <c r="C21" s="19"/>
      <c r="D21" s="19"/>
      <c r="E21" s="19"/>
      <c r="F21" s="21"/>
      <c r="G21" s="22"/>
      <c r="H21" s="10"/>
      <c r="I21" s="10"/>
      <c r="K21" s="10"/>
      <c r="L21" s="10"/>
      <c r="V21" s="11"/>
    </row>
    <row r="22" spans="1:22" x14ac:dyDescent="0.25">
      <c r="A22" s="30" t="s">
        <v>10</v>
      </c>
      <c r="B22" s="30"/>
      <c r="C22" s="31"/>
      <c r="D22" s="31"/>
      <c r="E22" s="31"/>
      <c r="F22" s="32"/>
      <c r="G22" s="33">
        <f>SUM(G8:G20)</f>
        <v>6428021.484375</v>
      </c>
    </row>
    <row r="23" spans="1:22" x14ac:dyDescent="0.25">
      <c r="F23" s="34"/>
      <c r="G23" s="16"/>
    </row>
    <row r="24" spans="1:22" x14ac:dyDescent="0.25">
      <c r="A24" s="6" t="s">
        <v>11</v>
      </c>
      <c r="F24" s="34"/>
      <c r="G24" s="16"/>
    </row>
    <row r="25" spans="1:22" x14ac:dyDescent="0.25">
      <c r="F25" s="34"/>
      <c r="G25" s="16"/>
    </row>
    <row r="26" spans="1:22" x14ac:dyDescent="0.25">
      <c r="A26" s="4" t="s">
        <v>18</v>
      </c>
      <c r="D26" s="38"/>
      <c r="E26" s="38"/>
      <c r="F26" s="39"/>
      <c r="G26" s="40">
        <f>G56</f>
        <v>945000</v>
      </c>
    </row>
    <row r="27" spans="1:22" x14ac:dyDescent="0.25">
      <c r="A27" s="4" t="s">
        <v>17</v>
      </c>
      <c r="D27" s="38"/>
      <c r="E27" s="38"/>
      <c r="F27" s="39"/>
      <c r="G27" s="40">
        <f>G62</f>
        <v>562500</v>
      </c>
    </row>
    <row r="28" spans="1:22" x14ac:dyDescent="0.25">
      <c r="A28" s="4" t="s">
        <v>19</v>
      </c>
      <c r="D28" s="38"/>
      <c r="E28" s="38"/>
      <c r="F28" s="39"/>
      <c r="G28" s="40">
        <f>G26*0.12</f>
        <v>113400</v>
      </c>
    </row>
    <row r="29" spans="1:22" x14ac:dyDescent="0.25">
      <c r="A29" s="4" t="s">
        <v>20</v>
      </c>
      <c r="D29" s="38"/>
      <c r="E29" s="38"/>
      <c r="F29" s="39"/>
      <c r="G29" s="40">
        <f>(G62*0.12)+(162093750*3/400*0.005)</f>
        <v>73578.515625</v>
      </c>
    </row>
    <row r="30" spans="1:22" x14ac:dyDescent="0.25">
      <c r="A30" s="30" t="s">
        <v>12</v>
      </c>
      <c r="B30" s="30"/>
      <c r="C30" s="31"/>
      <c r="D30" s="41"/>
      <c r="E30" s="41"/>
      <c r="F30" s="42"/>
      <c r="G30" s="43">
        <f>SUM(G26:G29)</f>
        <v>1694478.515625</v>
      </c>
    </row>
    <row r="31" spans="1:22" x14ac:dyDescent="0.25">
      <c r="F31" s="34"/>
      <c r="G31" s="16"/>
    </row>
    <row r="32" spans="1:22" ht="14.4" thickBot="1" x14ac:dyDescent="0.3">
      <c r="A32" s="44" t="s">
        <v>13</v>
      </c>
      <c r="B32" s="44"/>
      <c r="C32" s="45"/>
      <c r="D32" s="46"/>
      <c r="E32" s="46"/>
      <c r="F32" s="47"/>
      <c r="G32" s="48">
        <f>G22+G30</f>
        <v>8122500</v>
      </c>
    </row>
    <row r="33" spans="1:9" ht="14.4" thickTop="1" x14ac:dyDescent="0.25">
      <c r="F33" s="34"/>
      <c r="G33" s="16"/>
    </row>
    <row r="34" spans="1:9" x14ac:dyDescent="0.25">
      <c r="F34" s="34"/>
      <c r="G34" s="16"/>
    </row>
    <row r="35" spans="1:9" x14ac:dyDescent="0.25">
      <c r="A35" s="6" t="s">
        <v>34</v>
      </c>
      <c r="F35" s="34"/>
      <c r="G35" s="16"/>
    </row>
    <row r="36" spans="1:9" x14ac:dyDescent="0.25">
      <c r="F36" s="34"/>
      <c r="G36" s="16"/>
    </row>
    <row r="37" spans="1:9" x14ac:dyDescent="0.25">
      <c r="A37" s="4" t="s">
        <v>16</v>
      </c>
      <c r="D37" s="34"/>
      <c r="E37" s="34"/>
      <c r="F37" s="36">
        <v>0.6</v>
      </c>
      <c r="G37" s="54">
        <f>F37*$G$8+G12+G16+G20</f>
        <v>3404021.484375</v>
      </c>
      <c r="H37" s="4"/>
    </row>
    <row r="38" spans="1:9" x14ac:dyDescent="0.25">
      <c r="A38" s="4" t="s">
        <v>15</v>
      </c>
      <c r="D38" s="34"/>
      <c r="E38" s="34"/>
      <c r="F38" s="36">
        <v>0.4</v>
      </c>
      <c r="G38" s="54">
        <f>F38*$G$8</f>
        <v>3024000</v>
      </c>
      <c r="H38" s="4"/>
    </row>
    <row r="39" spans="1:9" x14ac:dyDescent="0.25">
      <c r="A39" s="30" t="s">
        <v>23</v>
      </c>
      <c r="B39" s="30"/>
      <c r="C39" s="31"/>
      <c r="D39" s="32"/>
      <c r="E39" s="32"/>
      <c r="F39" s="37">
        <f>SUM(F37:F38)</f>
        <v>1</v>
      </c>
      <c r="G39" s="50">
        <f>SUM(G37:G38)</f>
        <v>6428021.484375</v>
      </c>
      <c r="H39" s="54"/>
    </row>
    <row r="40" spans="1:9" x14ac:dyDescent="0.25">
      <c r="F40" s="34"/>
      <c r="G40" s="16"/>
    </row>
    <row r="41" spans="1:9" x14ac:dyDescent="0.25">
      <c r="F41" s="34"/>
      <c r="G41" s="16"/>
    </row>
    <row r="42" spans="1:9" x14ac:dyDescent="0.25">
      <c r="G42" s="16"/>
    </row>
    <row r="43" spans="1:9" x14ac:dyDescent="0.25">
      <c r="A43" s="6" t="s">
        <v>35</v>
      </c>
      <c r="G43" s="16"/>
    </row>
    <row r="44" spans="1:9" x14ac:dyDescent="0.25">
      <c r="A44" s="6"/>
      <c r="G44" s="16"/>
    </row>
    <row r="45" spans="1:9" x14ac:dyDescent="0.25">
      <c r="A45" s="4" t="str">
        <f>A37</f>
        <v>QSPA Purchase Price for 50 % FUTUREAL Shares</v>
      </c>
      <c r="D45" s="34"/>
      <c r="E45" s="34"/>
      <c r="F45" s="35"/>
      <c r="G45" s="40">
        <f>G37</f>
        <v>3404021.484375</v>
      </c>
      <c r="H45" s="4"/>
    </row>
    <row r="46" spans="1:9" x14ac:dyDescent="0.25">
      <c r="A46" s="4" t="s">
        <v>24</v>
      </c>
      <c r="D46" s="34"/>
      <c r="E46" s="34"/>
      <c r="F46" s="35"/>
      <c r="G46" s="49">
        <f>G30</f>
        <v>1694478.515625</v>
      </c>
      <c r="H46" s="4"/>
    </row>
    <row r="47" spans="1:9" x14ac:dyDescent="0.25">
      <c r="A47" s="4" t="str">
        <f>A38</f>
        <v>QSPA Purchase Price for 50 % PSH Shares</v>
      </c>
      <c r="D47" s="34"/>
      <c r="E47" s="34"/>
      <c r="F47" s="35"/>
      <c r="G47" s="40">
        <f>G38</f>
        <v>3024000</v>
      </c>
      <c r="H47" s="4"/>
    </row>
    <row r="48" spans="1:9" ht="14.4" thickBot="1" x14ac:dyDescent="0.3">
      <c r="A48" s="44" t="s">
        <v>13</v>
      </c>
      <c r="B48" s="44"/>
      <c r="C48" s="45"/>
      <c r="D48" s="51"/>
      <c r="E48" s="51"/>
      <c r="F48" s="52"/>
      <c r="G48" s="53">
        <f>SUM(G45:G47)</f>
        <v>8122500</v>
      </c>
      <c r="H48" s="54">
        <f>G32-G48</f>
        <v>0</v>
      </c>
      <c r="I48" s="5" t="s">
        <v>25</v>
      </c>
    </row>
    <row r="49" spans="1:7" ht="14.4" thickTop="1" x14ac:dyDescent="0.25"/>
    <row r="52" spans="1:7" x14ac:dyDescent="0.25">
      <c r="A52" s="6" t="s">
        <v>18</v>
      </c>
    </row>
    <row r="53" spans="1:7" x14ac:dyDescent="0.25">
      <c r="A53" s="4" t="s">
        <v>26</v>
      </c>
      <c r="E53" s="20">
        <f>E8</f>
        <v>63</v>
      </c>
      <c r="F53" s="21">
        <v>15000</v>
      </c>
      <c r="G53" s="22">
        <f>F53*E53</f>
        <v>945000</v>
      </c>
    </row>
    <row r="54" spans="1:7" ht="99" customHeight="1" x14ac:dyDescent="0.25">
      <c r="A54" s="63" t="s">
        <v>27</v>
      </c>
      <c r="B54" s="63"/>
      <c r="C54" s="63"/>
      <c r="D54" s="63"/>
      <c r="E54" s="20"/>
      <c r="F54" s="21"/>
      <c r="G54" s="22"/>
    </row>
    <row r="55" spans="1:7" x14ac:dyDescent="0.25">
      <c r="A55" s="4" t="s">
        <v>28</v>
      </c>
    </row>
    <row r="56" spans="1:7" x14ac:dyDescent="0.25">
      <c r="A56" s="30" t="s">
        <v>29</v>
      </c>
      <c r="B56" s="30"/>
      <c r="C56" s="31"/>
      <c r="D56" s="31"/>
      <c r="E56" s="31"/>
      <c r="F56" s="55"/>
      <c r="G56" s="56">
        <f>SUM(G53:G55)</f>
        <v>945000</v>
      </c>
    </row>
    <row r="58" spans="1:7" x14ac:dyDescent="0.25">
      <c r="A58" s="6" t="s">
        <v>17</v>
      </c>
    </row>
    <row r="59" spans="1:7" x14ac:dyDescent="0.25">
      <c r="A59" s="4" t="s">
        <v>30</v>
      </c>
      <c r="F59" s="4"/>
      <c r="G59" s="14">
        <f>4500000*50/400</f>
        <v>562500</v>
      </c>
    </row>
    <row r="60" spans="1:7" x14ac:dyDescent="0.25">
      <c r="A60" s="57" t="s">
        <v>31</v>
      </c>
    </row>
    <row r="61" spans="1:7" x14ac:dyDescent="0.25">
      <c r="A61" s="4" t="s">
        <v>32</v>
      </c>
    </row>
    <row r="62" spans="1:7" x14ac:dyDescent="0.25">
      <c r="A62" s="30" t="s">
        <v>33</v>
      </c>
      <c r="B62" s="30"/>
      <c r="C62" s="31"/>
      <c r="D62" s="31"/>
      <c r="E62" s="31"/>
      <c r="F62" s="55"/>
      <c r="G62" s="56">
        <f>SUM(G59:G61)</f>
        <v>562500</v>
      </c>
    </row>
    <row r="65" spans="1:8" x14ac:dyDescent="0.25">
      <c r="A65" s="4" t="s">
        <v>36</v>
      </c>
    </row>
    <row r="67" spans="1:8" x14ac:dyDescent="0.25">
      <c r="A67" s="4" t="s">
        <v>40</v>
      </c>
    </row>
    <row r="68" spans="1:8" x14ac:dyDescent="0.25">
      <c r="A68" s="4" t="s">
        <v>15</v>
      </c>
      <c r="G68" s="14">
        <f>G45</f>
        <v>3404021.484375</v>
      </c>
    </row>
    <row r="69" spans="1:8" x14ac:dyDescent="0.25">
      <c r="A69" s="4" t="s">
        <v>41</v>
      </c>
      <c r="G69" s="14">
        <f>G28+G29</f>
        <v>186978.515625</v>
      </c>
      <c r="H69" s="61"/>
    </row>
    <row r="70" spans="1:8" x14ac:dyDescent="0.25">
      <c r="A70" s="30" t="s">
        <v>39</v>
      </c>
      <c r="B70" s="30"/>
      <c r="C70" s="31"/>
      <c r="D70" s="31"/>
      <c r="E70" s="31"/>
      <c r="F70" s="55"/>
      <c r="G70" s="56">
        <f>SUM(G68:G69)</f>
        <v>3591000</v>
      </c>
      <c r="H70" s="61">
        <f>G70/$G$8</f>
        <v>0.47499999999999998</v>
      </c>
    </row>
    <row r="71" spans="1:8" x14ac:dyDescent="0.25">
      <c r="A71" s="6"/>
      <c r="B71" s="6"/>
      <c r="C71" s="58"/>
      <c r="D71" s="58"/>
      <c r="E71" s="58"/>
      <c r="F71" s="59"/>
      <c r="G71" s="60"/>
      <c r="H71" s="61"/>
    </row>
    <row r="72" spans="1:8" x14ac:dyDescent="0.25">
      <c r="A72" s="4" t="s">
        <v>37</v>
      </c>
      <c r="H72" s="61"/>
    </row>
    <row r="73" spans="1:8" x14ac:dyDescent="0.25">
      <c r="A73" s="4" t="s">
        <v>15</v>
      </c>
      <c r="G73" s="14">
        <f>G47</f>
        <v>3024000</v>
      </c>
      <c r="H73" s="61"/>
    </row>
    <row r="74" spans="1:8" x14ac:dyDescent="0.25">
      <c r="A74" s="4" t="s">
        <v>38</v>
      </c>
      <c r="G74" s="14">
        <f>G53</f>
        <v>945000</v>
      </c>
      <c r="H74" s="61"/>
    </row>
    <row r="75" spans="1:8" x14ac:dyDescent="0.25">
      <c r="A75" s="30" t="s">
        <v>39</v>
      </c>
      <c r="B75" s="30"/>
      <c r="C75" s="31"/>
      <c r="D75" s="31"/>
      <c r="E75" s="31"/>
      <c r="F75" s="55"/>
      <c r="G75" s="56">
        <f>SUM(G73:G74)</f>
        <v>3969000</v>
      </c>
      <c r="H75" s="61">
        <f>G75/$G$8</f>
        <v>0.52500000000000002</v>
      </c>
    </row>
  </sheetData>
  <mergeCells count="6">
    <mergeCell ref="H20:I20"/>
    <mergeCell ref="A54:D54"/>
    <mergeCell ref="B8:D8"/>
    <mergeCell ref="B12:D12"/>
    <mergeCell ref="B16:D16"/>
    <mergeCell ref="B20:D20"/>
  </mergeCells>
  <pageMargins left="0.70866141732283472" right="0.70866141732283472" top="0.74803149606299213" bottom="0.74803149606299213" header="0.31496062992125984" footer="0.31496062992125984"/>
  <pageSetup paperSize="9" scale="50" fitToHeight="10" orientation="portrait" horizontalDpi="0" verticalDpi="0"/>
  <headerFooter>
    <oddFooter>&amp;L&amp;"Calibri,Standard"&amp;K000000PSH TRACKERS ITT_V2.0_200821&amp;C&amp;"Calibri,Standard"&amp;K000000CONFIDENTIAL!&amp;R&amp;"Calibri,Standard"&amp;K000000&amp;P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7D8C-B192-7342-802D-C07740DCC2F1}">
  <sheetPr>
    <pageSetUpPr fitToPage="1"/>
  </sheetPr>
  <dimension ref="A1:V87"/>
  <sheetViews>
    <sheetView zoomScale="120" zoomScaleNormal="120" zoomScaleSheetLayoutView="126" workbookViewId="0">
      <pane ySplit="4" topLeftCell="A24" activePane="bottomLeft" state="frozen"/>
      <selection pane="bottomLeft" activeCell="F9" sqref="F9"/>
    </sheetView>
  </sheetViews>
  <sheetFormatPr defaultColWidth="10.796875" defaultRowHeight="13.8" x14ac:dyDescent="0.25"/>
  <cols>
    <col min="1" max="1" width="10.19921875" style="4" customWidth="1"/>
    <col min="2" max="2" width="13.796875" style="4" customWidth="1"/>
    <col min="3" max="3" width="14.5" style="7" customWidth="1"/>
    <col min="4" max="4" width="29.5" style="7" customWidth="1"/>
    <col min="5" max="5" width="7.796875" style="7" customWidth="1"/>
    <col min="6" max="6" width="21.796875" style="13" customWidth="1"/>
    <col min="7" max="7" width="21.796875" style="14" customWidth="1"/>
    <col min="8" max="9" width="21.796875" style="5" customWidth="1"/>
    <col min="10" max="10" width="16.5" style="4" customWidth="1"/>
    <col min="11" max="12" width="16.5" style="5" customWidth="1"/>
    <col min="13" max="13" width="17.296875" style="4" customWidth="1"/>
    <col min="14" max="14" width="10.796875" style="4"/>
    <col min="15" max="17" width="19.5" style="4" customWidth="1"/>
    <col min="18" max="21" width="17.69921875" style="4" customWidth="1"/>
    <col min="22" max="22" width="14.19921875" style="6" customWidth="1"/>
    <col min="23" max="16384" width="10.796875" style="4"/>
  </cols>
  <sheetData>
    <row r="1" spans="1:22" s="1" customFormat="1" ht="18" customHeight="1" x14ac:dyDescent="0.3">
      <c r="A1" s="3" t="s">
        <v>22</v>
      </c>
      <c r="B1" s="3"/>
      <c r="C1" s="3"/>
      <c r="D1" s="3"/>
      <c r="E1" s="3"/>
      <c r="K1" s="2"/>
      <c r="L1" s="2"/>
      <c r="V1" s="3"/>
    </row>
    <row r="2" spans="1:22" ht="18" customHeight="1" x14ac:dyDescent="0.25">
      <c r="A2" s="6" t="s">
        <v>42</v>
      </c>
      <c r="B2" s="6"/>
      <c r="C2" s="6"/>
      <c r="D2" s="6"/>
      <c r="E2" s="6"/>
      <c r="F2" s="4"/>
      <c r="G2" s="4"/>
      <c r="H2" s="4"/>
      <c r="I2" s="4"/>
    </row>
    <row r="3" spans="1:22" ht="18" customHeight="1" x14ac:dyDescent="0.25">
      <c r="A3" s="6" t="s">
        <v>0</v>
      </c>
      <c r="B3" s="15">
        <v>45937</v>
      </c>
      <c r="C3" s="6"/>
      <c r="D3" s="6"/>
      <c r="E3" s="6"/>
      <c r="F3" s="4"/>
      <c r="G3" s="4"/>
      <c r="H3" s="4"/>
      <c r="I3" s="4"/>
    </row>
    <row r="4" spans="1:22" ht="25.05" customHeight="1" x14ac:dyDescent="0.25">
      <c r="F4" s="8"/>
    </row>
    <row r="5" spans="1:22" x14ac:dyDescent="0.25">
      <c r="F5" s="8"/>
    </row>
    <row r="6" spans="1:22" x14ac:dyDescent="0.25">
      <c r="G6" s="16"/>
    </row>
    <row r="7" spans="1:22" x14ac:dyDescent="0.25">
      <c r="A7" s="17"/>
      <c r="B7" s="17"/>
      <c r="C7" s="17"/>
      <c r="D7" s="17"/>
      <c r="E7" s="17"/>
      <c r="F7" s="17"/>
      <c r="G7" s="17" t="s">
        <v>1</v>
      </c>
    </row>
    <row r="8" spans="1:22" s="9" customFormat="1" ht="52.05" customHeight="1" x14ac:dyDescent="0.25">
      <c r="A8" s="9" t="s">
        <v>2</v>
      </c>
      <c r="B8" s="64" t="s">
        <v>3</v>
      </c>
      <c r="C8" s="65"/>
      <c r="D8" s="65"/>
      <c r="E8" s="20">
        <v>63</v>
      </c>
      <c r="F8" s="21">
        <v>120000</v>
      </c>
      <c r="G8" s="22">
        <f>F8*E8</f>
        <v>7560000</v>
      </c>
      <c r="H8" s="5"/>
      <c r="I8" s="5"/>
      <c r="K8" s="10"/>
      <c r="L8" s="10"/>
      <c r="V8" s="11"/>
    </row>
    <row r="9" spans="1:22" s="9" customFormat="1" ht="16.95" customHeight="1" x14ac:dyDescent="0.3">
      <c r="B9" s="18"/>
      <c r="C9" s="19"/>
      <c r="D9" s="19"/>
      <c r="E9" s="19"/>
      <c r="F9" s="21"/>
      <c r="G9" s="22"/>
      <c r="H9" s="10"/>
      <c r="I9" s="10"/>
      <c r="K9" s="10"/>
      <c r="L9" s="10"/>
      <c r="V9" s="11"/>
    </row>
    <row r="10" spans="1:22" s="11" customFormat="1" ht="16.95" customHeight="1" x14ac:dyDescent="0.3">
      <c r="A10" s="11" t="s">
        <v>4</v>
      </c>
      <c r="B10" s="23"/>
      <c r="C10" s="24"/>
      <c r="D10" s="24"/>
      <c r="E10" s="24"/>
      <c r="F10" s="25"/>
      <c r="G10" s="26"/>
      <c r="H10" s="12"/>
      <c r="I10" s="12"/>
      <c r="K10" s="12"/>
      <c r="L10" s="12"/>
    </row>
    <row r="11" spans="1:22" s="9" customFormat="1" ht="16.95" customHeight="1" x14ac:dyDescent="0.3">
      <c r="B11" s="18"/>
      <c r="C11" s="27"/>
      <c r="D11" s="27"/>
      <c r="E11" s="27"/>
      <c r="F11" s="21"/>
      <c r="G11" s="22"/>
      <c r="H11" s="10"/>
      <c r="I11" s="10"/>
      <c r="K11" s="10"/>
      <c r="L11" s="10"/>
      <c r="V11" s="11"/>
    </row>
    <row r="12" spans="1:22" s="9" customFormat="1" ht="36" customHeight="1" x14ac:dyDescent="0.3">
      <c r="A12" s="9" t="s">
        <v>5</v>
      </c>
      <c r="B12" s="65" t="s">
        <v>14</v>
      </c>
      <c r="C12" s="65"/>
      <c r="D12" s="65"/>
      <c r="E12" s="20"/>
      <c r="F12" s="21"/>
      <c r="G12" s="22">
        <f>-G56</f>
        <v>-945000</v>
      </c>
      <c r="H12" s="10"/>
      <c r="I12" s="10"/>
      <c r="K12" s="10"/>
      <c r="L12" s="10"/>
      <c r="V12" s="11"/>
    </row>
    <row r="13" spans="1:22" s="9" customFormat="1" x14ac:dyDescent="0.3">
      <c r="B13" s="18"/>
      <c r="C13" s="27"/>
      <c r="D13" s="27"/>
      <c r="E13" s="27"/>
      <c r="F13" s="21"/>
      <c r="G13" s="22"/>
      <c r="H13" s="10"/>
      <c r="I13" s="10"/>
      <c r="K13" s="10"/>
      <c r="L13" s="10"/>
      <c r="V13" s="11"/>
    </row>
    <row r="14" spans="1:22" s="11" customFormat="1" x14ac:dyDescent="0.3">
      <c r="A14" s="11" t="s">
        <v>4</v>
      </c>
      <c r="B14" s="23"/>
      <c r="C14" s="28"/>
      <c r="D14" s="28"/>
      <c r="E14" s="28"/>
      <c r="F14" s="25"/>
      <c r="G14" s="26"/>
      <c r="H14" s="12"/>
      <c r="I14" s="12"/>
      <c r="K14" s="12"/>
      <c r="L14" s="12"/>
    </row>
    <row r="15" spans="1:22" s="9" customFormat="1" x14ac:dyDescent="0.3">
      <c r="B15" s="18"/>
      <c r="C15" s="27"/>
      <c r="D15" s="27"/>
      <c r="E15" s="27"/>
      <c r="F15" s="21"/>
      <c r="G15" s="22"/>
      <c r="H15" s="10"/>
      <c r="I15" s="10"/>
      <c r="K15" s="10"/>
      <c r="L15" s="10"/>
      <c r="V15" s="11"/>
    </row>
    <row r="16" spans="1:22" s="9" customFormat="1" ht="46.05" customHeight="1" x14ac:dyDescent="0.3">
      <c r="A16" s="9" t="s">
        <v>6</v>
      </c>
      <c r="B16" s="65" t="s">
        <v>21</v>
      </c>
      <c r="C16" s="65"/>
      <c r="D16" s="65"/>
      <c r="E16" s="29"/>
      <c r="F16" s="21"/>
      <c r="G16" s="22">
        <f>-(G29+G28)</f>
        <v>-186978.515625</v>
      </c>
      <c r="H16" s="10"/>
      <c r="I16" s="10"/>
      <c r="K16" s="10"/>
      <c r="L16" s="10"/>
      <c r="V16" s="11"/>
    </row>
    <row r="17" spans="1:22" s="9" customFormat="1" x14ac:dyDescent="0.3">
      <c r="B17" s="18"/>
      <c r="C17" s="27"/>
      <c r="D17" s="27"/>
      <c r="E17" s="27"/>
      <c r="F17" s="21"/>
      <c r="G17" s="22"/>
      <c r="H17" s="10"/>
      <c r="I17" s="10"/>
      <c r="K17" s="10"/>
      <c r="L17" s="10"/>
      <c r="V17" s="11"/>
    </row>
    <row r="18" spans="1:22" s="11" customFormat="1" x14ac:dyDescent="0.3">
      <c r="A18" s="23" t="s">
        <v>7</v>
      </c>
      <c r="B18" s="23"/>
      <c r="C18" s="28"/>
      <c r="D18" s="28"/>
      <c r="E18" s="28"/>
      <c r="F18" s="25"/>
      <c r="G18" s="26"/>
      <c r="H18" s="12"/>
      <c r="I18" s="12"/>
      <c r="K18" s="12"/>
      <c r="L18" s="12"/>
    </row>
    <row r="19" spans="1:22" s="9" customFormat="1" x14ac:dyDescent="0.3">
      <c r="B19" s="18"/>
      <c r="C19" s="27"/>
      <c r="D19" s="27"/>
      <c r="E19" s="27"/>
      <c r="F19" s="21"/>
      <c r="G19" s="22"/>
      <c r="H19" s="10"/>
      <c r="I19" s="10"/>
      <c r="K19" s="10"/>
      <c r="L19" s="10"/>
      <c r="V19" s="11"/>
    </row>
    <row r="20" spans="1:22" s="9" customFormat="1" ht="55.95" customHeight="1" x14ac:dyDescent="0.3">
      <c r="A20" s="9" t="s">
        <v>8</v>
      </c>
      <c r="B20" s="65" t="s">
        <v>9</v>
      </c>
      <c r="C20" s="65"/>
      <c r="D20" s="65"/>
      <c r="E20" s="19"/>
      <c r="F20" s="21"/>
      <c r="G20" s="22">
        <v>0</v>
      </c>
      <c r="H20" s="62"/>
      <c r="I20" s="62"/>
      <c r="K20" s="10"/>
      <c r="L20" s="10"/>
      <c r="V20" s="11"/>
    </row>
    <row r="21" spans="1:22" s="9" customFormat="1" x14ac:dyDescent="0.3">
      <c r="B21" s="19"/>
      <c r="C21" s="19"/>
      <c r="D21" s="19"/>
      <c r="E21" s="19"/>
      <c r="F21" s="21"/>
      <c r="G21" s="22"/>
      <c r="H21" s="10"/>
      <c r="I21" s="10"/>
      <c r="K21" s="10"/>
      <c r="L21" s="10"/>
      <c r="V21" s="11"/>
    </row>
    <row r="22" spans="1:22" x14ac:dyDescent="0.25">
      <c r="A22" s="30" t="s">
        <v>10</v>
      </c>
      <c r="B22" s="30"/>
      <c r="C22" s="31"/>
      <c r="D22" s="31"/>
      <c r="E22" s="31"/>
      <c r="F22" s="32"/>
      <c r="G22" s="33">
        <f>SUM(G8:G20)</f>
        <v>6428021.484375</v>
      </c>
    </row>
    <row r="23" spans="1:22" x14ac:dyDescent="0.25">
      <c r="F23" s="34"/>
      <c r="G23" s="16"/>
    </row>
    <row r="24" spans="1:22" x14ac:dyDescent="0.25">
      <c r="A24" s="6" t="s">
        <v>11</v>
      </c>
      <c r="F24" s="34"/>
      <c r="G24" s="16"/>
    </row>
    <row r="25" spans="1:22" x14ac:dyDescent="0.25">
      <c r="F25" s="34"/>
      <c r="G25" s="16"/>
    </row>
    <row r="26" spans="1:22" x14ac:dyDescent="0.25">
      <c r="A26" s="4" t="s">
        <v>18</v>
      </c>
      <c r="D26" s="38"/>
      <c r="E26" s="38"/>
      <c r="F26" s="39"/>
      <c r="G26" s="40">
        <f>G56</f>
        <v>945000</v>
      </c>
    </row>
    <row r="27" spans="1:22" x14ac:dyDescent="0.25">
      <c r="A27" s="4" t="s">
        <v>17</v>
      </c>
      <c r="D27" s="38"/>
      <c r="E27" s="38"/>
      <c r="F27" s="39"/>
      <c r="G27" s="40">
        <f>G62</f>
        <v>562500</v>
      </c>
    </row>
    <row r="28" spans="1:22" x14ac:dyDescent="0.25">
      <c r="A28" s="4" t="s">
        <v>19</v>
      </c>
      <c r="D28" s="38"/>
      <c r="E28" s="38"/>
      <c r="F28" s="39"/>
      <c r="G28" s="40">
        <f>G26*0.12</f>
        <v>113400</v>
      </c>
    </row>
    <row r="29" spans="1:22" x14ac:dyDescent="0.25">
      <c r="A29" s="4" t="s">
        <v>20</v>
      </c>
      <c r="D29" s="38"/>
      <c r="E29" s="38"/>
      <c r="F29" s="39"/>
      <c r="G29" s="40">
        <f>(G62*0.12)+(162093750*3/400*0.005)</f>
        <v>73578.515625</v>
      </c>
    </row>
    <row r="30" spans="1:22" x14ac:dyDescent="0.25">
      <c r="A30" s="30" t="s">
        <v>12</v>
      </c>
      <c r="B30" s="30"/>
      <c r="C30" s="31"/>
      <c r="D30" s="41"/>
      <c r="E30" s="41"/>
      <c r="F30" s="42"/>
      <c r="G30" s="43">
        <f>SUM(G26:G29)</f>
        <v>1694478.515625</v>
      </c>
    </row>
    <row r="31" spans="1:22" x14ac:dyDescent="0.25">
      <c r="F31" s="34"/>
      <c r="G31" s="16"/>
    </row>
    <row r="32" spans="1:22" ht="14.4" thickBot="1" x14ac:dyDescent="0.3">
      <c r="A32" s="44" t="s">
        <v>13</v>
      </c>
      <c r="B32" s="44"/>
      <c r="C32" s="45"/>
      <c r="D32" s="46"/>
      <c r="E32" s="46"/>
      <c r="F32" s="47"/>
      <c r="G32" s="48">
        <f>G22+G30</f>
        <v>8122500</v>
      </c>
    </row>
    <row r="33" spans="1:9" ht="14.4" thickTop="1" x14ac:dyDescent="0.25">
      <c r="F33" s="34"/>
      <c r="G33" s="16"/>
    </row>
    <row r="34" spans="1:9" x14ac:dyDescent="0.25">
      <c r="F34" s="34"/>
      <c r="G34" s="16"/>
    </row>
    <row r="35" spans="1:9" x14ac:dyDescent="0.25">
      <c r="A35" s="6" t="s">
        <v>34</v>
      </c>
      <c r="F35" s="34"/>
      <c r="G35" s="16"/>
    </row>
    <row r="36" spans="1:9" x14ac:dyDescent="0.25">
      <c r="F36" s="34"/>
      <c r="G36" s="16"/>
    </row>
    <row r="37" spans="1:9" x14ac:dyDescent="0.25">
      <c r="A37" s="4" t="s">
        <v>16</v>
      </c>
      <c r="D37" s="34"/>
      <c r="E37" s="34"/>
      <c r="F37" s="36">
        <v>0.6</v>
      </c>
      <c r="G37" s="54">
        <f>F37*$G$22</f>
        <v>3856812.890625</v>
      </c>
      <c r="H37" s="4"/>
    </row>
    <row r="38" spans="1:9" x14ac:dyDescent="0.25">
      <c r="A38" s="4" t="s">
        <v>15</v>
      </c>
      <c r="D38" s="34"/>
      <c r="E38" s="34"/>
      <c r="F38" s="36">
        <v>0.4</v>
      </c>
      <c r="G38" s="54">
        <f>F38*$G$22</f>
        <v>2571208.59375</v>
      </c>
      <c r="H38" s="4"/>
    </row>
    <row r="39" spans="1:9" x14ac:dyDescent="0.25">
      <c r="A39" s="30" t="s">
        <v>23</v>
      </c>
      <c r="B39" s="30"/>
      <c r="C39" s="31"/>
      <c r="D39" s="32"/>
      <c r="E39" s="32"/>
      <c r="F39" s="37">
        <f>SUM(F37:F38)</f>
        <v>1</v>
      </c>
      <c r="G39" s="50">
        <f>SUM(G37:G38)</f>
        <v>6428021.484375</v>
      </c>
      <c r="H39" s="54">
        <f>G22-G39</f>
        <v>0</v>
      </c>
      <c r="I39" s="5" t="s">
        <v>25</v>
      </c>
    </row>
    <row r="40" spans="1:9" x14ac:dyDescent="0.25">
      <c r="F40" s="34"/>
      <c r="G40" s="16"/>
    </row>
    <row r="41" spans="1:9" x14ac:dyDescent="0.25">
      <c r="F41" s="34"/>
      <c r="G41" s="16"/>
    </row>
    <row r="42" spans="1:9" x14ac:dyDescent="0.25">
      <c r="G42" s="16"/>
    </row>
    <row r="43" spans="1:9" x14ac:dyDescent="0.25">
      <c r="A43" s="6" t="s">
        <v>35</v>
      </c>
      <c r="G43" s="16"/>
    </row>
    <row r="44" spans="1:9" x14ac:dyDescent="0.25">
      <c r="A44" s="6"/>
      <c r="G44" s="16"/>
    </row>
    <row r="45" spans="1:9" x14ac:dyDescent="0.25">
      <c r="A45" s="4" t="str">
        <f>A37</f>
        <v>QSPA Purchase Price for 50 % FUTUREAL Shares</v>
      </c>
      <c r="D45" s="34"/>
      <c r="E45" s="34"/>
      <c r="F45" s="35"/>
      <c r="G45" s="40">
        <f>F37*G22</f>
        <v>3856812.890625</v>
      </c>
      <c r="H45" s="4"/>
    </row>
    <row r="46" spans="1:9" x14ac:dyDescent="0.25">
      <c r="A46" s="4" t="s">
        <v>24</v>
      </c>
      <c r="D46" s="34"/>
      <c r="E46" s="34"/>
      <c r="F46" s="35"/>
      <c r="G46" s="49">
        <f>G30</f>
        <v>1694478.515625</v>
      </c>
      <c r="H46" s="4"/>
    </row>
    <row r="47" spans="1:9" x14ac:dyDescent="0.25">
      <c r="A47" s="4" t="str">
        <f>A38</f>
        <v>QSPA Purchase Price for 50 % PSH Shares</v>
      </c>
      <c r="D47" s="34"/>
      <c r="E47" s="34"/>
      <c r="F47" s="35"/>
      <c r="G47" s="40">
        <f>G22*F38</f>
        <v>2571208.59375</v>
      </c>
      <c r="H47" s="4"/>
    </row>
    <row r="48" spans="1:9" ht="14.4" thickBot="1" x14ac:dyDescent="0.3">
      <c r="A48" s="44" t="s">
        <v>13</v>
      </c>
      <c r="B48" s="44"/>
      <c r="C48" s="45"/>
      <c r="D48" s="51"/>
      <c r="E48" s="51"/>
      <c r="F48" s="52"/>
      <c r="G48" s="53">
        <f>SUM(G45:G47)</f>
        <v>8122500</v>
      </c>
      <c r="H48" s="54">
        <f>G32-G48</f>
        <v>0</v>
      </c>
      <c r="I48" s="5" t="s">
        <v>25</v>
      </c>
    </row>
    <row r="49" spans="1:7" ht="14.4" thickTop="1" x14ac:dyDescent="0.25"/>
    <row r="52" spans="1:7" x14ac:dyDescent="0.25">
      <c r="A52" s="6" t="s">
        <v>18</v>
      </c>
    </row>
    <row r="53" spans="1:7" x14ac:dyDescent="0.25">
      <c r="A53" s="4" t="s">
        <v>26</v>
      </c>
      <c r="E53" s="20">
        <f>E8</f>
        <v>63</v>
      </c>
      <c r="F53" s="21">
        <v>15000</v>
      </c>
      <c r="G53" s="22">
        <f>F53*E53</f>
        <v>945000</v>
      </c>
    </row>
    <row r="54" spans="1:7" ht="99" customHeight="1" x14ac:dyDescent="0.25">
      <c r="A54" s="63" t="s">
        <v>27</v>
      </c>
      <c r="B54" s="63"/>
      <c r="C54" s="63"/>
      <c r="D54" s="63"/>
      <c r="E54" s="20"/>
      <c r="F54" s="21"/>
      <c r="G54" s="22"/>
    </row>
    <row r="55" spans="1:7" x14ac:dyDescent="0.25">
      <c r="A55" s="4" t="s">
        <v>28</v>
      </c>
    </row>
    <row r="56" spans="1:7" x14ac:dyDescent="0.25">
      <c r="A56" s="30" t="s">
        <v>29</v>
      </c>
      <c r="B56" s="30"/>
      <c r="C56" s="31"/>
      <c r="D56" s="31"/>
      <c r="E56" s="31"/>
      <c r="F56" s="55"/>
      <c r="G56" s="56">
        <f>SUM(G53:G55)</f>
        <v>945000</v>
      </c>
    </row>
    <row r="58" spans="1:7" x14ac:dyDescent="0.25">
      <c r="A58" s="6" t="s">
        <v>17</v>
      </c>
    </row>
    <row r="59" spans="1:7" x14ac:dyDescent="0.25">
      <c r="A59" s="4" t="s">
        <v>30</v>
      </c>
      <c r="F59" s="4"/>
      <c r="G59" s="14">
        <f>4500000*50/400</f>
        <v>562500</v>
      </c>
    </row>
    <row r="60" spans="1:7" x14ac:dyDescent="0.25">
      <c r="A60" s="57" t="s">
        <v>31</v>
      </c>
    </row>
    <row r="61" spans="1:7" x14ac:dyDescent="0.25">
      <c r="A61" s="4" t="s">
        <v>32</v>
      </c>
    </row>
    <row r="62" spans="1:7" x14ac:dyDescent="0.25">
      <c r="A62" s="30" t="s">
        <v>33</v>
      </c>
      <c r="B62" s="30"/>
      <c r="C62" s="31"/>
      <c r="D62" s="31"/>
      <c r="E62" s="31"/>
      <c r="F62" s="55"/>
      <c r="G62" s="56">
        <f>SUM(G59:G61)</f>
        <v>562500</v>
      </c>
    </row>
    <row r="65" spans="1:8" x14ac:dyDescent="0.25">
      <c r="A65" s="4" t="s">
        <v>36</v>
      </c>
    </row>
    <row r="67" spans="1:8" x14ac:dyDescent="0.25">
      <c r="A67" s="4" t="s">
        <v>40</v>
      </c>
    </row>
    <row r="68" spans="1:8" x14ac:dyDescent="0.25">
      <c r="A68" s="4" t="s">
        <v>15</v>
      </c>
      <c r="G68" s="14">
        <f>G45</f>
        <v>3856812.890625</v>
      </c>
    </row>
    <row r="69" spans="1:8" x14ac:dyDescent="0.25">
      <c r="A69" s="4" t="s">
        <v>41</v>
      </c>
      <c r="G69" s="14">
        <f>G28+G29</f>
        <v>186978.515625</v>
      </c>
    </row>
    <row r="70" spans="1:8" x14ac:dyDescent="0.25">
      <c r="A70" s="30" t="s">
        <v>39</v>
      </c>
      <c r="B70" s="30"/>
      <c r="C70" s="31"/>
      <c r="D70" s="31"/>
      <c r="E70" s="31"/>
      <c r="F70" s="55"/>
      <c r="G70" s="56">
        <f>SUM(G68:G69)</f>
        <v>4043791.40625</v>
      </c>
      <c r="H70" s="61">
        <f>G70/$G$8</f>
        <v>0.53489304315476194</v>
      </c>
    </row>
    <row r="71" spans="1:8" x14ac:dyDescent="0.25">
      <c r="A71" s="6"/>
      <c r="B71" s="6"/>
      <c r="C71" s="58"/>
      <c r="D71" s="58"/>
      <c r="E71" s="58"/>
      <c r="F71" s="59"/>
      <c r="G71" s="60"/>
      <c r="H71" s="61"/>
    </row>
    <row r="72" spans="1:8" x14ac:dyDescent="0.25">
      <c r="A72" s="4" t="s">
        <v>37</v>
      </c>
      <c r="H72" s="61"/>
    </row>
    <row r="73" spans="1:8" x14ac:dyDescent="0.25">
      <c r="A73" s="4" t="s">
        <v>15</v>
      </c>
      <c r="G73" s="14">
        <f>G47</f>
        <v>2571208.59375</v>
      </c>
      <c r="H73" s="61"/>
    </row>
    <row r="74" spans="1:8" x14ac:dyDescent="0.25">
      <c r="A74" s="4" t="s">
        <v>38</v>
      </c>
      <c r="G74" s="14">
        <f>G53</f>
        <v>945000</v>
      </c>
      <c r="H74" s="61"/>
    </row>
    <row r="75" spans="1:8" x14ac:dyDescent="0.25">
      <c r="A75" s="30" t="s">
        <v>39</v>
      </c>
      <c r="B75" s="30"/>
      <c r="C75" s="31"/>
      <c r="D75" s="31"/>
      <c r="E75" s="31"/>
      <c r="F75" s="55"/>
      <c r="G75" s="56">
        <f>SUM(G73:G74)</f>
        <v>3516208.59375</v>
      </c>
      <c r="H75" s="61">
        <f>G75/$G$8</f>
        <v>0.46510695684523812</v>
      </c>
    </row>
    <row r="82" spans="8:8" x14ac:dyDescent="0.25">
      <c r="H82" s="61"/>
    </row>
    <row r="83" spans="8:8" x14ac:dyDescent="0.25">
      <c r="H83" s="61"/>
    </row>
    <row r="84" spans="8:8" x14ac:dyDescent="0.25">
      <c r="H84" s="61"/>
    </row>
    <row r="85" spans="8:8" x14ac:dyDescent="0.25">
      <c r="H85" s="61"/>
    </row>
    <row r="86" spans="8:8" x14ac:dyDescent="0.25">
      <c r="H86" s="61"/>
    </row>
    <row r="87" spans="8:8" x14ac:dyDescent="0.25">
      <c r="H87" s="61"/>
    </row>
  </sheetData>
  <mergeCells count="6">
    <mergeCell ref="B20:D20"/>
    <mergeCell ref="H20:I20"/>
    <mergeCell ref="A54:D54"/>
    <mergeCell ref="B8:D8"/>
    <mergeCell ref="B12:D12"/>
    <mergeCell ref="B16:D16"/>
  </mergeCells>
  <pageMargins left="0.70866141732283472" right="0.70866141732283472" top="0.74803149606299213" bottom="0.74803149606299213" header="0.31496062992125984" footer="0.31496062992125984"/>
  <pageSetup paperSize="9" scale="50" fitToHeight="10" orientation="portrait" horizontalDpi="0" verticalDpi="0"/>
  <headerFooter>
    <oddFooter>&amp;L&amp;"Calibri,Standard"&amp;K000000PSH TRACKERS ITT_V2.0_200821&amp;C&amp;"Calibri,Standard"&amp;K000000CONFIDENTIAL!&amp;R&amp;"Calibri,Standard"&amp;K000000&amp;P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AAEF-EA87-5843-9B1E-12F183517713}">
  <sheetPr>
    <pageSetUpPr fitToPage="1"/>
  </sheetPr>
  <dimension ref="A1:V91"/>
  <sheetViews>
    <sheetView tabSelected="1" zoomScale="85" zoomScaleNormal="85" zoomScaleSheetLayoutView="126" workbookViewId="0">
      <pane ySplit="4" topLeftCell="A8" activePane="bottomLeft" state="frozen"/>
      <selection pane="bottomLeft" activeCell="D9" sqref="D9"/>
    </sheetView>
  </sheetViews>
  <sheetFormatPr defaultColWidth="10.796875" defaultRowHeight="13.8" x14ac:dyDescent="0.25"/>
  <cols>
    <col min="1" max="1" width="10.19921875" style="4" customWidth="1"/>
    <col min="2" max="2" width="13.796875" style="4" customWidth="1"/>
    <col min="3" max="3" width="14.5" style="7" customWidth="1"/>
    <col min="4" max="4" width="29.5" style="7" customWidth="1"/>
    <col min="5" max="5" width="7.796875" style="7" customWidth="1"/>
    <col min="6" max="6" width="21.796875" style="13" customWidth="1"/>
    <col min="7" max="7" width="21.796875" style="14" customWidth="1"/>
    <col min="8" max="9" width="21.796875" style="5" customWidth="1"/>
    <col min="10" max="10" width="16.5" style="4" customWidth="1"/>
    <col min="11" max="12" width="16.5" style="5" customWidth="1"/>
    <col min="13" max="13" width="17.296875" style="4" customWidth="1"/>
    <col min="14" max="14" width="10.796875" style="4"/>
    <col min="15" max="17" width="19.5" style="4" customWidth="1"/>
    <col min="18" max="21" width="17.69921875" style="4" customWidth="1"/>
    <col min="22" max="22" width="14.19921875" style="6" customWidth="1"/>
    <col min="23" max="16384" width="10.796875" style="4"/>
  </cols>
  <sheetData>
    <row r="1" spans="1:22" s="1" customFormat="1" ht="18" customHeight="1" x14ac:dyDescent="0.3">
      <c r="A1" s="3" t="s">
        <v>22</v>
      </c>
      <c r="B1" s="3"/>
      <c r="C1" s="3"/>
      <c r="D1" s="3"/>
      <c r="E1" s="3"/>
      <c r="K1" s="2"/>
      <c r="L1" s="2"/>
      <c r="V1" s="3"/>
    </row>
    <row r="2" spans="1:22" ht="18" customHeight="1" x14ac:dyDescent="0.25">
      <c r="A2" s="6" t="s">
        <v>42</v>
      </c>
      <c r="B2" s="6"/>
      <c r="C2" s="6"/>
      <c r="D2" s="6"/>
      <c r="E2" s="6"/>
      <c r="F2" s="4"/>
      <c r="G2" s="4"/>
      <c r="H2" s="4"/>
      <c r="I2" s="4"/>
    </row>
    <row r="3" spans="1:22" ht="18" customHeight="1" x14ac:dyDescent="0.25">
      <c r="A3" s="6" t="s">
        <v>0</v>
      </c>
      <c r="B3" s="15">
        <v>45952</v>
      </c>
      <c r="C3" s="6"/>
      <c r="D3" s="6"/>
      <c r="E3" s="6"/>
      <c r="F3" s="4"/>
      <c r="G3" s="4"/>
      <c r="H3" s="4"/>
      <c r="I3" s="4"/>
    </row>
    <row r="4" spans="1:22" ht="25.05" customHeight="1" x14ac:dyDescent="0.25">
      <c r="F4" s="8"/>
    </row>
    <row r="5" spans="1:22" x14ac:dyDescent="0.25">
      <c r="F5" s="8"/>
    </row>
    <row r="6" spans="1:22" x14ac:dyDescent="0.25">
      <c r="G6" s="16"/>
    </row>
    <row r="7" spans="1:22" x14ac:dyDescent="0.25">
      <c r="A7" s="17"/>
      <c r="B7" s="17"/>
      <c r="C7" s="17"/>
      <c r="D7" s="17"/>
      <c r="E7" s="17"/>
      <c r="F7" s="17"/>
      <c r="G7" s="17" t="s">
        <v>1</v>
      </c>
    </row>
    <row r="8" spans="1:22" s="9" customFormat="1" ht="52.05" customHeight="1" x14ac:dyDescent="0.25">
      <c r="A8" s="9" t="s">
        <v>2</v>
      </c>
      <c r="B8" s="64" t="s">
        <v>3</v>
      </c>
      <c r="C8" s="65"/>
      <c r="D8" s="65"/>
      <c r="E8" s="20">
        <v>63</v>
      </c>
      <c r="F8" s="21">
        <v>120000</v>
      </c>
      <c r="G8" s="22">
        <f>F8*E8</f>
        <v>7560000</v>
      </c>
      <c r="H8" s="5"/>
      <c r="I8" s="5"/>
      <c r="K8" s="10"/>
      <c r="L8" s="10"/>
      <c r="V8" s="11"/>
    </row>
    <row r="9" spans="1:22" s="9" customFormat="1" ht="16.95" customHeight="1" x14ac:dyDescent="0.3">
      <c r="B9" s="18"/>
      <c r="C9" s="19"/>
      <c r="D9" s="19"/>
      <c r="E9" s="19"/>
      <c r="F9" s="21"/>
      <c r="G9" s="22"/>
      <c r="H9" s="10"/>
      <c r="I9" s="10"/>
      <c r="K9" s="10"/>
      <c r="L9" s="10"/>
      <c r="V9" s="11"/>
    </row>
    <row r="10" spans="1:22" s="11" customFormat="1" ht="16.95" customHeight="1" x14ac:dyDescent="0.3">
      <c r="A10" s="11" t="s">
        <v>4</v>
      </c>
      <c r="B10" s="23"/>
      <c r="C10" s="24"/>
      <c r="D10" s="24"/>
      <c r="E10" s="24"/>
      <c r="F10" s="25"/>
      <c r="G10" s="26"/>
      <c r="H10" s="12"/>
      <c r="I10" s="12"/>
      <c r="K10" s="12"/>
      <c r="L10" s="12"/>
    </row>
    <row r="11" spans="1:22" s="9" customFormat="1" ht="16.95" customHeight="1" x14ac:dyDescent="0.3">
      <c r="B11" s="18"/>
      <c r="C11" s="27"/>
      <c r="D11" s="27"/>
      <c r="E11" s="27"/>
      <c r="F11" s="21"/>
      <c r="G11" s="22"/>
      <c r="H11" s="10"/>
      <c r="I11" s="10"/>
      <c r="K11" s="10"/>
      <c r="L11" s="10"/>
      <c r="V11" s="11"/>
    </row>
    <row r="12" spans="1:22" s="9" customFormat="1" ht="36" customHeight="1" x14ac:dyDescent="0.3">
      <c r="A12" s="9" t="s">
        <v>5</v>
      </c>
      <c r="B12" s="65" t="s">
        <v>14</v>
      </c>
      <c r="C12" s="65"/>
      <c r="D12" s="65"/>
      <c r="E12" s="20"/>
      <c r="F12" s="21"/>
      <c r="G12" s="22">
        <f>-G58</f>
        <v>-945000</v>
      </c>
      <c r="H12" s="10"/>
      <c r="I12" s="10"/>
      <c r="K12" s="10"/>
      <c r="L12" s="10"/>
      <c r="V12" s="11"/>
    </row>
    <row r="13" spans="1:22" s="9" customFormat="1" x14ac:dyDescent="0.3">
      <c r="B13" s="18"/>
      <c r="C13" s="27"/>
      <c r="D13" s="27"/>
      <c r="E13" s="27"/>
      <c r="F13" s="21"/>
      <c r="G13" s="22"/>
      <c r="H13" s="10"/>
      <c r="I13" s="10"/>
      <c r="K13" s="10"/>
      <c r="L13" s="10"/>
      <c r="V13" s="11"/>
    </row>
    <row r="14" spans="1:22" s="11" customFormat="1" x14ac:dyDescent="0.3">
      <c r="A14" s="11" t="s">
        <v>4</v>
      </c>
      <c r="B14" s="23"/>
      <c r="C14" s="28"/>
      <c r="D14" s="28"/>
      <c r="E14" s="28"/>
      <c r="F14" s="25"/>
      <c r="G14" s="26"/>
      <c r="H14" s="12"/>
      <c r="I14" s="12"/>
      <c r="K14" s="12"/>
      <c r="L14" s="12"/>
    </row>
    <row r="15" spans="1:22" s="9" customFormat="1" x14ac:dyDescent="0.3">
      <c r="B15" s="18"/>
      <c r="C15" s="27"/>
      <c r="D15" s="27"/>
      <c r="E15" s="27"/>
      <c r="F15" s="21"/>
      <c r="G15" s="22"/>
      <c r="H15" s="10"/>
      <c r="I15" s="10"/>
      <c r="K15" s="10"/>
      <c r="L15" s="10"/>
      <c r="V15" s="11"/>
    </row>
    <row r="16" spans="1:22" s="9" customFormat="1" ht="46.05" customHeight="1" x14ac:dyDescent="0.3">
      <c r="A16" s="9" t="s">
        <v>6</v>
      </c>
      <c r="B16" s="65" t="s">
        <v>21</v>
      </c>
      <c r="C16" s="65"/>
      <c r="D16" s="65"/>
      <c r="E16" s="29"/>
      <c r="F16" s="21"/>
      <c r="G16" s="22">
        <f>-(G31+G30)</f>
        <v>-186978.515625</v>
      </c>
      <c r="H16" s="10"/>
      <c r="I16" s="10"/>
      <c r="K16" s="10"/>
      <c r="L16" s="10"/>
      <c r="V16" s="11"/>
    </row>
    <row r="17" spans="1:22" s="9" customFormat="1" x14ac:dyDescent="0.3">
      <c r="B17" s="18"/>
      <c r="C17" s="27"/>
      <c r="D17" s="27"/>
      <c r="E17" s="27"/>
      <c r="F17" s="21"/>
      <c r="G17" s="22"/>
      <c r="H17" s="10"/>
      <c r="I17" s="10"/>
      <c r="K17" s="10"/>
      <c r="L17" s="10"/>
      <c r="V17" s="11"/>
    </row>
    <row r="18" spans="1:22" s="9" customFormat="1" x14ac:dyDescent="0.3">
      <c r="A18" s="23" t="s">
        <v>4</v>
      </c>
      <c r="B18" s="18"/>
      <c r="C18" s="27"/>
      <c r="D18" s="27"/>
      <c r="E18" s="27"/>
      <c r="F18" s="21"/>
      <c r="G18" s="22"/>
      <c r="H18" s="10"/>
      <c r="I18" s="10"/>
      <c r="K18" s="10"/>
      <c r="L18" s="10"/>
      <c r="V18" s="11"/>
    </row>
    <row r="19" spans="1:22" s="11" customFormat="1" ht="27.6" x14ac:dyDescent="0.3">
      <c r="A19" s="68" t="s">
        <v>8</v>
      </c>
      <c r="B19" s="67" t="s">
        <v>45</v>
      </c>
      <c r="C19" s="28"/>
      <c r="D19" s="28"/>
      <c r="E19" s="28"/>
      <c r="F19" s="25"/>
      <c r="G19" s="66">
        <v>-549000</v>
      </c>
      <c r="H19" s="12"/>
      <c r="I19" s="12"/>
      <c r="K19" s="12"/>
      <c r="L19" s="12"/>
    </row>
    <row r="20" spans="1:22" s="9" customFormat="1" x14ac:dyDescent="0.3">
      <c r="B20" s="67"/>
      <c r="C20" s="27"/>
      <c r="D20" s="27"/>
      <c r="E20" s="27"/>
      <c r="F20" s="21"/>
      <c r="G20" s="22"/>
      <c r="H20" s="10"/>
      <c r="I20" s="10"/>
      <c r="K20" s="10"/>
      <c r="L20" s="10"/>
      <c r="V20" s="11"/>
    </row>
    <row r="21" spans="1:22" s="9" customFormat="1" x14ac:dyDescent="0.3">
      <c r="B21" s="67"/>
      <c r="C21" s="27"/>
      <c r="D21" s="27"/>
      <c r="E21" s="27"/>
      <c r="F21" s="21"/>
      <c r="G21" s="22"/>
      <c r="H21" s="10"/>
      <c r="I21" s="10"/>
      <c r="K21" s="10"/>
      <c r="L21" s="10"/>
      <c r="V21" s="11"/>
    </row>
    <row r="22" spans="1:22" s="9" customFormat="1" ht="55.95" customHeight="1" x14ac:dyDescent="0.3">
      <c r="A22" s="9" t="s">
        <v>44</v>
      </c>
      <c r="B22" s="65" t="s">
        <v>9</v>
      </c>
      <c r="C22" s="65"/>
      <c r="D22" s="65"/>
      <c r="E22" s="19"/>
      <c r="F22" s="21"/>
      <c r="G22" s="22">
        <v>0</v>
      </c>
      <c r="H22" s="62"/>
      <c r="I22" s="62"/>
      <c r="K22" s="10"/>
      <c r="L22" s="10"/>
      <c r="V22" s="11"/>
    </row>
    <row r="23" spans="1:22" s="9" customFormat="1" x14ac:dyDescent="0.3">
      <c r="B23" s="19"/>
      <c r="C23" s="19"/>
      <c r="D23" s="19"/>
      <c r="E23" s="19"/>
      <c r="F23" s="21"/>
      <c r="G23" s="22"/>
      <c r="H23" s="10"/>
      <c r="I23" s="10"/>
      <c r="K23" s="10"/>
      <c r="L23" s="10"/>
      <c r="V23" s="11"/>
    </row>
    <row r="24" spans="1:22" x14ac:dyDescent="0.25">
      <c r="A24" s="30" t="s">
        <v>10</v>
      </c>
      <c r="B24" s="30"/>
      <c r="C24" s="31"/>
      <c r="D24" s="31"/>
      <c r="E24" s="31"/>
      <c r="F24" s="32"/>
      <c r="G24" s="33">
        <f>SUM(G8:G22)</f>
        <v>5879021.484375</v>
      </c>
    </row>
    <row r="25" spans="1:22" x14ac:dyDescent="0.25">
      <c r="F25" s="34"/>
      <c r="G25" s="16"/>
    </row>
    <row r="26" spans="1:22" x14ac:dyDescent="0.25">
      <c r="A26" s="6" t="s">
        <v>11</v>
      </c>
      <c r="F26" s="34"/>
      <c r="G26" s="16"/>
    </row>
    <row r="27" spans="1:22" x14ac:dyDescent="0.25">
      <c r="F27" s="34"/>
      <c r="G27" s="16"/>
    </row>
    <row r="28" spans="1:22" x14ac:dyDescent="0.25">
      <c r="A28" s="4" t="s">
        <v>18</v>
      </c>
      <c r="D28" s="38"/>
      <c r="E28" s="38"/>
      <c r="F28" s="39"/>
      <c r="G28" s="40">
        <f>G58</f>
        <v>945000</v>
      </c>
    </row>
    <row r="29" spans="1:22" x14ac:dyDescent="0.25">
      <c r="A29" s="4" t="s">
        <v>17</v>
      </c>
      <c r="D29" s="38"/>
      <c r="E29" s="38"/>
      <c r="F29" s="39"/>
      <c r="G29" s="40">
        <f>G64</f>
        <v>562500</v>
      </c>
    </row>
    <row r="30" spans="1:22" x14ac:dyDescent="0.25">
      <c r="A30" s="4" t="s">
        <v>19</v>
      </c>
      <c r="D30" s="38"/>
      <c r="E30" s="38"/>
      <c r="F30" s="39"/>
      <c r="G30" s="40">
        <f>G28*0.12</f>
        <v>113400</v>
      </c>
    </row>
    <row r="31" spans="1:22" x14ac:dyDescent="0.25">
      <c r="A31" s="4" t="s">
        <v>20</v>
      </c>
      <c r="D31" s="38"/>
      <c r="E31" s="38"/>
      <c r="F31" s="39"/>
      <c r="G31" s="40">
        <f>(G64*0.12)+(162093750*3/400*0.005)</f>
        <v>73578.515625</v>
      </c>
    </row>
    <row r="32" spans="1:22" x14ac:dyDescent="0.25">
      <c r="A32" s="30" t="s">
        <v>12</v>
      </c>
      <c r="B32" s="30"/>
      <c r="C32" s="31"/>
      <c r="D32" s="41"/>
      <c r="E32" s="41"/>
      <c r="F32" s="42"/>
      <c r="G32" s="43">
        <f>SUM(G28:G31)</f>
        <v>1694478.515625</v>
      </c>
    </row>
    <row r="33" spans="1:9" x14ac:dyDescent="0.25">
      <c r="F33" s="34"/>
      <c r="G33" s="16"/>
    </row>
    <row r="34" spans="1:9" ht="14.4" thickBot="1" x14ac:dyDescent="0.3">
      <c r="A34" s="44" t="s">
        <v>13</v>
      </c>
      <c r="B34" s="44"/>
      <c r="C34" s="45"/>
      <c r="D34" s="46"/>
      <c r="E34" s="46"/>
      <c r="F34" s="47"/>
      <c r="G34" s="48">
        <f>G24+G32</f>
        <v>7573500</v>
      </c>
    </row>
    <row r="35" spans="1:9" ht="14.4" thickTop="1" x14ac:dyDescent="0.25">
      <c r="F35" s="34"/>
      <c r="G35" s="16"/>
    </row>
    <row r="36" spans="1:9" x14ac:dyDescent="0.25">
      <c r="F36" s="34"/>
      <c r="G36" s="16"/>
    </row>
    <row r="37" spans="1:9" x14ac:dyDescent="0.25">
      <c r="A37" s="6" t="s">
        <v>34</v>
      </c>
      <c r="F37" s="34"/>
      <c r="G37" s="16"/>
    </row>
    <row r="38" spans="1:9" x14ac:dyDescent="0.25">
      <c r="F38" s="34"/>
      <c r="G38" s="16"/>
    </row>
    <row r="39" spans="1:9" x14ac:dyDescent="0.25">
      <c r="A39" s="4" t="s">
        <v>16</v>
      </c>
      <c r="D39" s="34"/>
      <c r="E39" s="34"/>
      <c r="F39" s="36">
        <f>F41-F40</f>
        <v>0.55000000000000004</v>
      </c>
      <c r="G39" s="54">
        <f>F39*$G$24</f>
        <v>3233461.8164062505</v>
      </c>
      <c r="H39" s="4"/>
    </row>
    <row r="40" spans="1:9" x14ac:dyDescent="0.25">
      <c r="A40" s="4" t="s">
        <v>15</v>
      </c>
      <c r="D40" s="34"/>
      <c r="E40" s="34"/>
      <c r="F40" s="36">
        <v>0.45</v>
      </c>
      <c r="G40" s="54">
        <f>F40*$G$24</f>
        <v>2645559.66796875</v>
      </c>
      <c r="H40" s="4"/>
    </row>
    <row r="41" spans="1:9" x14ac:dyDescent="0.25">
      <c r="A41" s="30" t="s">
        <v>23</v>
      </c>
      <c r="B41" s="30"/>
      <c r="C41" s="31"/>
      <c r="D41" s="32"/>
      <c r="E41" s="32"/>
      <c r="F41" s="37">
        <v>1</v>
      </c>
      <c r="G41" s="50">
        <f>SUM(G39:G40)</f>
        <v>5879021.484375</v>
      </c>
      <c r="H41" s="54">
        <f>G24-G41</f>
        <v>0</v>
      </c>
      <c r="I41" s="5" t="s">
        <v>25</v>
      </c>
    </row>
    <row r="42" spans="1:9" x14ac:dyDescent="0.25">
      <c r="F42" s="34"/>
      <c r="G42" s="16"/>
    </row>
    <row r="43" spans="1:9" x14ac:dyDescent="0.25">
      <c r="F43" s="34"/>
      <c r="G43" s="16"/>
    </row>
    <row r="44" spans="1:9" x14ac:dyDescent="0.25">
      <c r="G44" s="16"/>
    </row>
    <row r="45" spans="1:9" x14ac:dyDescent="0.25">
      <c r="A45" s="6" t="s">
        <v>35</v>
      </c>
      <c r="G45" s="16"/>
    </row>
    <row r="46" spans="1:9" x14ac:dyDescent="0.25">
      <c r="A46" s="6"/>
      <c r="G46" s="16"/>
    </row>
    <row r="47" spans="1:9" x14ac:dyDescent="0.25">
      <c r="A47" s="4" t="str">
        <f>A39</f>
        <v>QSPA Purchase Price for 50 % FUTUREAL Shares</v>
      </c>
      <c r="D47" s="34"/>
      <c r="E47" s="34"/>
      <c r="F47" s="35"/>
      <c r="G47" s="40">
        <f>F39*G24</f>
        <v>3233461.8164062505</v>
      </c>
      <c r="H47" s="4"/>
    </row>
    <row r="48" spans="1:9" x14ac:dyDescent="0.25">
      <c r="A48" s="4" t="s">
        <v>24</v>
      </c>
      <c r="D48" s="34"/>
      <c r="E48" s="34"/>
      <c r="F48" s="35"/>
      <c r="G48" s="49">
        <f>G32</f>
        <v>1694478.515625</v>
      </c>
      <c r="H48" s="4"/>
    </row>
    <row r="49" spans="1:9" x14ac:dyDescent="0.25">
      <c r="A49" s="4" t="str">
        <f>A40</f>
        <v>QSPA Purchase Price for 50 % PSH Shares</v>
      </c>
      <c r="D49" s="34"/>
      <c r="E49" s="34"/>
      <c r="F49" s="35"/>
      <c r="G49" s="40">
        <f>G24*F40</f>
        <v>2645559.66796875</v>
      </c>
      <c r="H49" s="4"/>
    </row>
    <row r="50" spans="1:9" ht="14.4" thickBot="1" x14ac:dyDescent="0.3">
      <c r="A50" s="44" t="s">
        <v>13</v>
      </c>
      <c r="B50" s="44"/>
      <c r="C50" s="45"/>
      <c r="D50" s="51"/>
      <c r="E50" s="51"/>
      <c r="F50" s="52"/>
      <c r="G50" s="53">
        <f>SUM(G47:G49)</f>
        <v>7573500</v>
      </c>
      <c r="H50" s="54">
        <f>G34-G50</f>
        <v>0</v>
      </c>
      <c r="I50" s="5" t="s">
        <v>25</v>
      </c>
    </row>
    <row r="51" spans="1:9" ht="14.4" thickTop="1" x14ac:dyDescent="0.25"/>
    <row r="54" spans="1:9" x14ac:dyDescent="0.25">
      <c r="A54" s="6" t="s">
        <v>18</v>
      </c>
    </row>
    <row r="55" spans="1:9" x14ac:dyDescent="0.25">
      <c r="A55" s="4" t="s">
        <v>26</v>
      </c>
      <c r="E55" s="20">
        <f>E8</f>
        <v>63</v>
      </c>
      <c r="F55" s="21">
        <v>15000</v>
      </c>
      <c r="G55" s="22">
        <f>F55*E55</f>
        <v>945000</v>
      </c>
    </row>
    <row r="56" spans="1:9" ht="99" customHeight="1" x14ac:dyDescent="0.25">
      <c r="A56" s="63" t="s">
        <v>27</v>
      </c>
      <c r="B56" s="63"/>
      <c r="C56" s="63"/>
      <c r="D56" s="63"/>
      <c r="E56" s="20"/>
      <c r="F56" s="21"/>
      <c r="G56" s="22"/>
    </row>
    <row r="57" spans="1:9" x14ac:dyDescent="0.25">
      <c r="A57" s="4" t="s">
        <v>28</v>
      </c>
    </row>
    <row r="58" spans="1:9" x14ac:dyDescent="0.25">
      <c r="A58" s="30" t="s">
        <v>29</v>
      </c>
      <c r="B58" s="30"/>
      <c r="C58" s="31"/>
      <c r="D58" s="31"/>
      <c r="E58" s="31"/>
      <c r="F58" s="55"/>
      <c r="G58" s="56">
        <f>SUM(G55:G57)</f>
        <v>945000</v>
      </c>
    </row>
    <row r="60" spans="1:9" x14ac:dyDescent="0.25">
      <c r="A60" s="6" t="s">
        <v>17</v>
      </c>
    </row>
    <row r="61" spans="1:9" x14ac:dyDescent="0.25">
      <c r="A61" s="4" t="s">
        <v>30</v>
      </c>
      <c r="F61" s="4"/>
      <c r="G61" s="14">
        <f>4500000*50/400</f>
        <v>562500</v>
      </c>
    </row>
    <row r="62" spans="1:9" x14ac:dyDescent="0.25">
      <c r="A62" s="57" t="s">
        <v>31</v>
      </c>
    </row>
    <row r="63" spans="1:9" x14ac:dyDescent="0.25">
      <c r="A63" s="4" t="s">
        <v>32</v>
      </c>
    </row>
    <row r="64" spans="1:9" x14ac:dyDescent="0.25">
      <c r="A64" s="30" t="s">
        <v>33</v>
      </c>
      <c r="B64" s="30"/>
      <c r="C64" s="31"/>
      <c r="D64" s="31"/>
      <c r="E64" s="31"/>
      <c r="F64" s="55"/>
      <c r="G64" s="56">
        <f>SUM(G61:G63)</f>
        <v>562500</v>
      </c>
    </row>
    <row r="67" spans="1:8" x14ac:dyDescent="0.25">
      <c r="A67" s="4" t="s">
        <v>36</v>
      </c>
    </row>
    <row r="69" spans="1:8" x14ac:dyDescent="0.25">
      <c r="A69" s="4" t="s">
        <v>40</v>
      </c>
    </row>
    <row r="70" spans="1:8" x14ac:dyDescent="0.25">
      <c r="A70" s="4" t="s">
        <v>15</v>
      </c>
      <c r="G70" s="14">
        <f>G47</f>
        <v>3233461.8164062505</v>
      </c>
    </row>
    <row r="71" spans="1:8" x14ac:dyDescent="0.25">
      <c r="A71" s="4" t="s">
        <v>41</v>
      </c>
      <c r="G71" s="14">
        <f>G30+G31</f>
        <v>186978.515625</v>
      </c>
    </row>
    <row r="72" spans="1:8" x14ac:dyDescent="0.25">
      <c r="G72" s="14">
        <f>G19*-1</f>
        <v>549000</v>
      </c>
    </row>
    <row r="73" spans="1:8" x14ac:dyDescent="0.25">
      <c r="A73" s="30" t="s">
        <v>39</v>
      </c>
      <c r="B73" s="30"/>
      <c r="C73" s="31"/>
      <c r="D73" s="31"/>
      <c r="E73" s="31"/>
      <c r="F73" s="55"/>
      <c r="G73" s="56">
        <f>SUM(G70:G72)</f>
        <v>3969440.3320312505</v>
      </c>
      <c r="H73" s="61">
        <f>G73/$G$8</f>
        <v>0.52505824497767861</v>
      </c>
    </row>
    <row r="74" spans="1:8" x14ac:dyDescent="0.25">
      <c r="A74" s="6"/>
      <c r="B74" s="6"/>
      <c r="C74" s="58"/>
      <c r="D74" s="58"/>
      <c r="E74" s="58"/>
      <c r="F74" s="59"/>
      <c r="G74" s="60"/>
      <c r="H74" s="61"/>
    </row>
    <row r="75" spans="1:8" x14ac:dyDescent="0.25">
      <c r="A75" s="4" t="s">
        <v>37</v>
      </c>
      <c r="H75" s="61"/>
    </row>
    <row r="76" spans="1:8" x14ac:dyDescent="0.25">
      <c r="A76" s="4" t="s">
        <v>15</v>
      </c>
      <c r="G76" s="14">
        <f>G49</f>
        <v>2645559.66796875</v>
      </c>
      <c r="H76" s="61"/>
    </row>
    <row r="77" spans="1:8" x14ac:dyDescent="0.25">
      <c r="A77" s="4" t="s">
        <v>38</v>
      </c>
      <c r="G77" s="14">
        <f>G55</f>
        <v>945000</v>
      </c>
      <c r="H77" s="61"/>
    </row>
    <row r="78" spans="1:8" x14ac:dyDescent="0.25">
      <c r="H78" s="61"/>
    </row>
    <row r="79" spans="1:8" x14ac:dyDescent="0.25">
      <c r="A79" s="30" t="s">
        <v>39</v>
      </c>
      <c r="B79" s="30"/>
      <c r="C79" s="31"/>
      <c r="D79" s="31"/>
      <c r="E79" s="31"/>
      <c r="F79" s="55"/>
      <c r="G79" s="56">
        <f>SUM(G76:G78)</f>
        <v>3590559.66796875</v>
      </c>
      <c r="H79" s="61">
        <f>G79/$G$8</f>
        <v>0.47494175502232144</v>
      </c>
    </row>
    <row r="86" spans="8:8" x14ac:dyDescent="0.25">
      <c r="H86" s="61"/>
    </row>
    <row r="87" spans="8:8" x14ac:dyDescent="0.25">
      <c r="H87" s="61"/>
    </row>
    <row r="88" spans="8:8" x14ac:dyDescent="0.25">
      <c r="H88" s="61"/>
    </row>
    <row r="89" spans="8:8" x14ac:dyDescent="0.25">
      <c r="H89" s="61"/>
    </row>
    <row r="90" spans="8:8" x14ac:dyDescent="0.25">
      <c r="H90" s="61"/>
    </row>
    <row r="91" spans="8:8" x14ac:dyDescent="0.25">
      <c r="H91" s="61"/>
    </row>
  </sheetData>
  <mergeCells count="6">
    <mergeCell ref="H22:I22"/>
    <mergeCell ref="A56:D56"/>
    <mergeCell ref="B8:D8"/>
    <mergeCell ref="B12:D12"/>
    <mergeCell ref="B16:D16"/>
    <mergeCell ref="B22:D22"/>
  </mergeCells>
  <pageMargins left="0.70866141732283472" right="0.70866141732283472" top="0.74803149606299213" bottom="0.74803149606299213" header="0.31496062992125984" footer="0.31496062992125984"/>
  <pageSetup paperSize="9" scale="50" fitToHeight="10" orientation="portrait" horizontalDpi="0" verticalDpi="0"/>
  <headerFooter>
    <oddFooter>&amp;L&amp;"Calibri,Standard"&amp;K000000PSH TRACKERS ITT_V2.0_200821&amp;C&amp;"Calibri,Standard"&amp;K000000CONFIDENTIAL!&amp;R&amp;"Calibri,Standard"&amp;K000000&amp;P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e42aa-7502-48aa-9973-d5430de63b43">
      <Terms xmlns="http://schemas.microsoft.com/office/infopath/2007/PartnerControls"/>
    </lcf76f155ced4ddcb4097134ff3c332f>
    <TaxCatchAll xmlns="3ba8be79-126f-4ecc-b268-0e8a1c9d82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C80BA76C054AAAC0D3CDDFCEC309" ma:contentTypeVersion="13" ma:contentTypeDescription="Create a new document." ma:contentTypeScope="" ma:versionID="edf24f6054e01ef6e4be90d624cc6981">
  <xsd:schema xmlns:xsd="http://www.w3.org/2001/XMLSchema" xmlns:xs="http://www.w3.org/2001/XMLSchema" xmlns:p="http://schemas.microsoft.com/office/2006/metadata/properties" xmlns:ns2="3ba8be79-126f-4ecc-b268-0e8a1c9d820a" xmlns:ns3="348e42aa-7502-48aa-9973-d5430de63b43" targetNamespace="http://schemas.microsoft.com/office/2006/metadata/properties" ma:root="true" ma:fieldsID="eac506c3092b9bacd8b8203c9a49d9e5" ns2:_="" ns3:_="">
    <xsd:import namespace="3ba8be79-126f-4ecc-b268-0e8a1c9d820a"/>
    <xsd:import namespace="348e42aa-7502-48aa-9973-d5430de63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be79-126f-4ecc-b268-0e8a1c9d8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4c7780-c79f-4b81-a1cc-c56cb19b1b79}" ma:internalName="TaxCatchAll" ma:showField="CatchAllData" ma:web="3ba8be79-126f-4ecc-b268-0e8a1c9d8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42aa-7502-48aa-9973-d5430de6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080c10-e0a6-4b42-beda-2db26c8ff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61BD8D-8B85-478A-997D-5144B7976867}">
  <ds:schemaRefs>
    <ds:schemaRef ds:uri="http://schemas.microsoft.com/office/2006/metadata/properties"/>
    <ds:schemaRef ds:uri="http://schemas.microsoft.com/office/infopath/2007/PartnerControls"/>
    <ds:schemaRef ds:uri="348e42aa-7502-48aa-9973-d5430de63b43"/>
    <ds:schemaRef ds:uri="3ba8be79-126f-4ecc-b268-0e8a1c9d820a"/>
  </ds:schemaRefs>
</ds:datastoreItem>
</file>

<file path=customXml/itemProps2.xml><?xml version="1.0" encoding="utf-8"?>
<ds:datastoreItem xmlns:ds="http://schemas.openxmlformats.org/officeDocument/2006/customXml" ds:itemID="{CA77CEA7-36F5-4421-B0B5-81CB5D387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72A70-49C7-4AD3-B2B8-5833366F9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8be79-126f-4ecc-b268-0e8a1c9d820a"/>
    <ds:schemaRef ds:uri="348e42aa-7502-48aa-9973-d5430de63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728984-5573-4501-93e1-26196c1472d0}" enabled="0" method="" siteId="{42728984-5573-4501-93e1-26196c1472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3</vt:i4>
      </vt:variant>
    </vt:vector>
  </HeadingPairs>
  <TitlesOfParts>
    <vt:vector size="6" baseType="lpstr">
      <vt:lpstr>CONSIDERATION BASED 071025</vt:lpstr>
      <vt:lpstr>PURCHASE PRICE BASED 071025</vt:lpstr>
      <vt:lpstr>PURCHASE PRICE BASED 221025</vt:lpstr>
      <vt:lpstr>'CONSIDERATION BASED 071025'!Nyomtatási_cím</vt:lpstr>
      <vt:lpstr>'PURCHASE PRICE BASED 071025'!Nyomtatási_cím</vt:lpstr>
      <vt:lpstr>'PURCHASE PRICE BASED 221025'!Nyomtatási_cím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Sipeky</dc:creator>
  <cp:lastModifiedBy>Zádeczki Zalán</cp:lastModifiedBy>
  <dcterms:created xsi:type="dcterms:W3CDTF">2025-10-07T16:48:40Z</dcterms:created>
  <dcterms:modified xsi:type="dcterms:W3CDTF">2025-10-22T16:33:00Z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