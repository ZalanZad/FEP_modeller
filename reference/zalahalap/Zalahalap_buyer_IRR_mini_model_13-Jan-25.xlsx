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turealhu.sharepoint.com/sites/Energy/Shared Documents/FEP/02_ONGOING_DEALS/Hungary/Zalahaláp/02_Analysis/01_Financial_model/"/>
    </mc:Choice>
  </mc:AlternateContent>
  <xr:revisionPtr revIDLastSave="256" documentId="8_{ADAEF68F-6ECF-468C-96F8-9D38990E596D}" xr6:coauthVersionLast="47" xr6:coauthVersionMax="47" xr10:uidLastSave="{344D44FA-20B8-4D4F-8DF1-43EBE28933F2}"/>
  <bookViews>
    <workbookView minimized="1" xWindow="-27825" yWindow="735" windowWidth="9570" windowHeight="6450" xr2:uid="{17BADF18-865C-437C-910D-407D9749F085}"/>
  </bookViews>
  <sheets>
    <sheet name="Stat_Inp" sheetId="1" r:id="rId1"/>
    <sheet name="Dyn_Inp" sheetId="2" r:id="rId2"/>
    <sheet name="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1" l="1" a="1"/>
  <c r="F87" i="1" s="1"/>
  <c r="F86" i="1" a="1"/>
  <c r="F86" i="1" s="1"/>
  <c r="F77" i="1" a="1"/>
  <c r="F77" i="1" s="1"/>
  <c r="H71" i="1"/>
  <c r="F71" i="1" s="1" a="1"/>
  <c r="F71" i="1" s="1"/>
  <c r="F62" i="1" a="1"/>
  <c r="F62" i="1" s="1"/>
  <c r="F61" i="1" a="1"/>
  <c r="F61" i="1" s="1"/>
  <c r="F60" i="1" a="1"/>
  <c r="F60" i="1" s="1"/>
  <c r="F97" i="1" a="1"/>
  <c r="F97" i="1" s="1"/>
  <c r="F96" i="1" a="1"/>
  <c r="F96" i="1" s="1"/>
  <c r="F93" i="1" a="1"/>
  <c r="F93" i="1" s="1"/>
  <c r="F92" i="1" a="1"/>
  <c r="F92" i="1" s="1"/>
  <c r="F83" i="1" a="1"/>
  <c r="F83" i="1" s="1"/>
  <c r="F82" i="1" a="1"/>
  <c r="F82" i="1" s="1"/>
  <c r="F81" i="1" a="1"/>
  <c r="F81" i="1" s="1"/>
  <c r="F67" i="1" a="1"/>
  <c r="F67" i="1" s="1"/>
  <c r="F66" i="1" a="1"/>
  <c r="F66" i="1" s="1"/>
  <c r="F59" i="1" a="1"/>
  <c r="F59" i="1" s="1"/>
  <c r="F58" i="1" a="1"/>
  <c r="F58" i="1" s="1"/>
  <c r="F55" i="1" a="1"/>
  <c r="F55" i="1" s="1"/>
  <c r="F54" i="1" a="1"/>
  <c r="F54" i="1" s="1"/>
  <c r="F52" i="1" a="1"/>
  <c r="F52" i="1" s="1"/>
  <c r="F51" i="1" a="1"/>
  <c r="F51" i="1" s="1"/>
  <c r="F50" i="1" a="1"/>
  <c r="F50" i="1" s="1"/>
  <c r="F40" i="1" a="1"/>
  <c r="F40" i="1" s="1"/>
  <c r="F39" i="1" a="1"/>
  <c r="F39" i="1" s="1"/>
  <c r="F38" i="1" a="1"/>
  <c r="F38" i="1" s="1"/>
  <c r="F35" i="1" a="1"/>
  <c r="F35" i="1" s="1"/>
  <c r="F34" i="1" a="1"/>
  <c r="F34" i="1" s="1"/>
  <c r="F30" i="1" a="1"/>
  <c r="F30" i="1" s="1"/>
  <c r="F29" i="1" a="1"/>
  <c r="F29" i="1" s="1"/>
  <c r="F26" i="1" a="1"/>
  <c r="F26" i="1" s="1"/>
  <c r="F24" i="1" a="1"/>
  <c r="F24" i="1" s="1"/>
  <c r="F45" i="1" l="1"/>
  <c r="F43" i="1"/>
  <c r="T14" i="1"/>
  <c r="T15" i="1" s="1"/>
  <c r="T16" i="1" s="1"/>
  <c r="T12" i="1"/>
  <c r="T11" i="1" s="1"/>
  <c r="I113" i="3" l="1"/>
  <c r="I103" i="3"/>
  <c r="D105" i="3"/>
  <c r="B90" i="3"/>
  <c r="B86" i="3"/>
  <c r="B85" i="3"/>
  <c r="B82" i="3"/>
  <c r="B81" i="3"/>
  <c r="D110" i="3"/>
  <c r="D97" i="3"/>
  <c r="D96" i="3"/>
  <c r="D78" i="3"/>
  <c r="BG78" i="3" s="1"/>
  <c r="D21" i="3"/>
  <c r="I4" i="3"/>
  <c r="I9" i="3" s="1"/>
  <c r="I6" i="3" s="1"/>
  <c r="H25" i="1"/>
  <c r="F25" i="1" s="1" a="1"/>
  <c r="F25" i="1" s="1"/>
  <c r="D12" i="3"/>
  <c r="F7" i="2"/>
  <c r="F4" i="2"/>
  <c r="D65" i="3"/>
  <c r="D64" i="3"/>
  <c r="D61" i="3"/>
  <c r="D92" i="3"/>
  <c r="D91" i="3"/>
  <c r="D90" i="3"/>
  <c r="D63" i="3"/>
  <c r="I21" i="1"/>
  <c r="J21" i="1" s="1"/>
  <c r="K21" i="1" s="1"/>
  <c r="L21" i="1" s="1"/>
  <c r="M21" i="1" s="1"/>
  <c r="N21" i="1" s="1"/>
  <c r="I27" i="3" l="1"/>
  <c r="D28" i="3"/>
  <c r="I28" i="3" s="1"/>
  <c r="D77" i="3"/>
  <c r="AQ77" i="3" s="1"/>
  <c r="D40" i="3"/>
  <c r="D71" i="3"/>
  <c r="DP78" i="3"/>
  <c r="BA78" i="3"/>
  <c r="DN78" i="3"/>
  <c r="AZ78" i="3"/>
  <c r="DH78" i="3"/>
  <c r="AY78" i="3"/>
  <c r="DE78" i="3"/>
  <c r="AW78" i="3"/>
  <c r="DD78" i="3"/>
  <c r="AT78" i="3"/>
  <c r="DC78" i="3"/>
  <c r="Z78" i="3"/>
  <c r="DB78" i="3"/>
  <c r="V78" i="3"/>
  <c r="DA78" i="3"/>
  <c r="T78" i="3"/>
  <c r="CZ78" i="3"/>
  <c r="S78" i="3"/>
  <c r="CY78" i="3"/>
  <c r="N78" i="3"/>
  <c r="FL78" i="3"/>
  <c r="CX78" i="3"/>
  <c r="M78" i="3"/>
  <c r="FB78" i="3"/>
  <c r="CW78" i="3"/>
  <c r="L78" i="3"/>
  <c r="FA78" i="3"/>
  <c r="BY78" i="3"/>
  <c r="K78" i="3"/>
  <c r="EZ78" i="3"/>
  <c r="BX78" i="3"/>
  <c r="EY78" i="3"/>
  <c r="BV78" i="3"/>
  <c r="EW78" i="3"/>
  <c r="BS78" i="3"/>
  <c r="EU78" i="3"/>
  <c r="BP78" i="3"/>
  <c r="ES78" i="3"/>
  <c r="BO78" i="3"/>
  <c r="EC78" i="3"/>
  <c r="BM78" i="3"/>
  <c r="DZ78" i="3"/>
  <c r="BL78" i="3"/>
  <c r="DY78" i="3"/>
  <c r="BI78" i="3"/>
  <c r="DX78" i="3"/>
  <c r="AK64" i="3"/>
  <c r="AL64" i="3"/>
  <c r="BZ64" i="3"/>
  <c r="BV64" i="3"/>
  <c r="BW64" i="3"/>
  <c r="BX64" i="3"/>
  <c r="DV64" i="3"/>
  <c r="DK64" i="3"/>
  <c r="DJ64" i="3"/>
  <c r="AD64" i="3"/>
  <c r="U64" i="3"/>
  <c r="P78" i="3"/>
  <c r="BC78" i="3"/>
  <c r="CT78" i="3"/>
  <c r="EA78" i="3"/>
  <c r="I78" i="3"/>
  <c r="Q78" i="3"/>
  <c r="BF78" i="3"/>
  <c r="CU78" i="3"/>
  <c r="EB78" i="3"/>
  <c r="AK78" i="3"/>
  <c r="BZ78" i="3"/>
  <c r="DS78" i="3"/>
  <c r="FE78" i="3"/>
  <c r="AL78" i="3"/>
  <c r="CA78" i="3"/>
  <c r="DU78" i="3"/>
  <c r="FF78" i="3"/>
  <c r="AN78" i="3"/>
  <c r="CB78" i="3"/>
  <c r="DV78" i="3"/>
  <c r="FI78" i="3"/>
  <c r="AO78" i="3"/>
  <c r="CC78" i="3"/>
  <c r="DW78" i="3"/>
  <c r="FJ78" i="3"/>
  <c r="AQ78" i="3"/>
  <c r="AD78" i="3"/>
  <c r="CE78" i="3"/>
  <c r="ED78" i="3"/>
  <c r="AE78" i="3"/>
  <c r="CH78" i="3"/>
  <c r="EF78" i="3"/>
  <c r="AR78" i="3"/>
  <c r="CV78" i="3"/>
  <c r="ER78" i="3"/>
  <c r="AG78" i="3"/>
  <c r="CJ78" i="3"/>
  <c r="EG78" i="3"/>
  <c r="AI78" i="3"/>
  <c r="CM78" i="3"/>
  <c r="EK78" i="3"/>
  <c r="AJ78" i="3"/>
  <c r="CR78" i="3"/>
  <c r="EN78" i="3"/>
  <c r="EX78" i="3"/>
  <c r="BW78" i="3"/>
  <c r="J78" i="3"/>
  <c r="AB78" i="3"/>
  <c r="AX78" i="3"/>
  <c r="BT78" i="3"/>
  <c r="CP78" i="3"/>
  <c r="DL78" i="3"/>
  <c r="EH78" i="3"/>
  <c r="FD78" i="3"/>
  <c r="X78" i="3"/>
  <c r="AU78" i="3"/>
  <c r="BR78" i="3"/>
  <c r="CO78" i="3"/>
  <c r="DM78" i="3"/>
  <c r="EJ78" i="3"/>
  <c r="FG78" i="3"/>
  <c r="R78" i="3"/>
  <c r="AP78" i="3"/>
  <c r="BN78" i="3"/>
  <c r="CL78" i="3"/>
  <c r="DJ78" i="3"/>
  <c r="EI78" i="3"/>
  <c r="FH78" i="3"/>
  <c r="U78" i="3"/>
  <c r="AS78" i="3"/>
  <c r="BQ78" i="3"/>
  <c r="CQ78" i="3"/>
  <c r="DO78" i="3"/>
  <c r="EM78" i="3"/>
  <c r="FK78" i="3"/>
  <c r="W78" i="3"/>
  <c r="AV78" i="3"/>
  <c r="BU78" i="3"/>
  <c r="CS78" i="3"/>
  <c r="DQ78" i="3"/>
  <c r="EO78" i="3"/>
  <c r="FM78" i="3"/>
  <c r="O78" i="3"/>
  <c r="AM78" i="3"/>
  <c r="BK78" i="3"/>
  <c r="CI78" i="3"/>
  <c r="DG78" i="3"/>
  <c r="EE78" i="3"/>
  <c r="FC78" i="3"/>
  <c r="EL78" i="3"/>
  <c r="DF78" i="3"/>
  <c r="CD78" i="3"/>
  <c r="BB78" i="3"/>
  <c r="Y78" i="3"/>
  <c r="EV78" i="3"/>
  <c r="DT78" i="3"/>
  <c r="CN78" i="3"/>
  <c r="BJ78" i="3"/>
  <c r="AH78" i="3"/>
  <c r="ET78" i="3"/>
  <c r="DR78" i="3"/>
  <c r="CK78" i="3"/>
  <c r="BH78" i="3"/>
  <c r="AF78" i="3"/>
  <c r="EQ78" i="3"/>
  <c r="DK78" i="3"/>
  <c r="CG78" i="3"/>
  <c r="BE78" i="3"/>
  <c r="AC78" i="3"/>
  <c r="EP78" i="3"/>
  <c r="DI78" i="3"/>
  <c r="CF78" i="3"/>
  <c r="BD78" i="3"/>
  <c r="AA78" i="3"/>
  <c r="FD64" i="3"/>
  <c r="BT64" i="3"/>
  <c r="BY64" i="3"/>
  <c r="DR64" i="3"/>
  <c r="CA64" i="3"/>
  <c r="FC64" i="3"/>
  <c r="FB64" i="3"/>
  <c r="DQ64" i="3"/>
  <c r="DP64" i="3"/>
  <c r="DO64" i="3"/>
  <c r="X64" i="3"/>
  <c r="AT64" i="3"/>
  <c r="BP64" i="3"/>
  <c r="CL64" i="3"/>
  <c r="DH64" i="3"/>
  <c r="ED64" i="3"/>
  <c r="EZ64" i="3"/>
  <c r="Y64" i="3"/>
  <c r="AU64" i="3"/>
  <c r="BQ64" i="3"/>
  <c r="CM64" i="3"/>
  <c r="DI64" i="3"/>
  <c r="EE64" i="3"/>
  <c r="FA64" i="3"/>
  <c r="AC64" i="3"/>
  <c r="AY64" i="3"/>
  <c r="BU64" i="3"/>
  <c r="CQ64" i="3"/>
  <c r="DM64" i="3"/>
  <c r="EI64" i="3"/>
  <c r="FE64" i="3"/>
  <c r="AH64" i="3"/>
  <c r="BG64" i="3"/>
  <c r="CF64" i="3"/>
  <c r="DE64" i="3"/>
  <c r="EF64" i="3"/>
  <c r="FF64" i="3"/>
  <c r="J64" i="3"/>
  <c r="AI64" i="3"/>
  <c r="BH64" i="3"/>
  <c r="CG64" i="3"/>
  <c r="DF64" i="3"/>
  <c r="EG64" i="3"/>
  <c r="FG64" i="3"/>
  <c r="K64" i="3"/>
  <c r="AJ64" i="3"/>
  <c r="BI64" i="3"/>
  <c r="CH64" i="3"/>
  <c r="DG64" i="3"/>
  <c r="EH64" i="3"/>
  <c r="FH64" i="3"/>
  <c r="N64" i="3"/>
  <c r="AM64" i="3"/>
  <c r="BL64" i="3"/>
  <c r="CK64" i="3"/>
  <c r="DL64" i="3"/>
  <c r="EL64" i="3"/>
  <c r="FK64" i="3"/>
  <c r="O64" i="3"/>
  <c r="AN64" i="3"/>
  <c r="BM64" i="3"/>
  <c r="CN64" i="3"/>
  <c r="DN64" i="3"/>
  <c r="EM64" i="3"/>
  <c r="FL64" i="3"/>
  <c r="V64" i="3"/>
  <c r="BC64" i="3"/>
  <c r="CJ64" i="3"/>
  <c r="DS64" i="3"/>
  <c r="EW64" i="3"/>
  <c r="W64" i="3"/>
  <c r="BD64" i="3"/>
  <c r="CO64" i="3"/>
  <c r="DT64" i="3"/>
  <c r="EX64" i="3"/>
  <c r="Z64" i="3"/>
  <c r="BE64" i="3"/>
  <c r="CP64" i="3"/>
  <c r="DU64" i="3"/>
  <c r="EY64" i="3"/>
  <c r="AE64" i="3"/>
  <c r="BN64" i="3"/>
  <c r="CU64" i="3"/>
  <c r="DY64" i="3"/>
  <c r="FI64" i="3"/>
  <c r="AF64" i="3"/>
  <c r="BO64" i="3"/>
  <c r="CV64" i="3"/>
  <c r="DZ64" i="3"/>
  <c r="FJ64" i="3"/>
  <c r="AG64" i="3"/>
  <c r="BR64" i="3"/>
  <c r="CW64" i="3"/>
  <c r="EA64" i="3"/>
  <c r="FM64" i="3"/>
  <c r="AO64" i="3"/>
  <c r="CB64" i="3"/>
  <c r="DW64" i="3"/>
  <c r="AP64" i="3"/>
  <c r="CC64" i="3"/>
  <c r="DX64" i="3"/>
  <c r="AQ64" i="3"/>
  <c r="CD64" i="3"/>
  <c r="EB64" i="3"/>
  <c r="AR64" i="3"/>
  <c r="CE64" i="3"/>
  <c r="EC64" i="3"/>
  <c r="AS64" i="3"/>
  <c r="CI64" i="3"/>
  <c r="EJ64" i="3"/>
  <c r="AV64" i="3"/>
  <c r="CR64" i="3"/>
  <c r="EK64" i="3"/>
  <c r="BK64" i="3"/>
  <c r="AW64" i="3"/>
  <c r="CS64" i="3"/>
  <c r="EN64" i="3"/>
  <c r="AX64" i="3"/>
  <c r="CT64" i="3"/>
  <c r="EO64" i="3"/>
  <c r="L64" i="3"/>
  <c r="BA64" i="3"/>
  <c r="CY64" i="3"/>
  <c r="EQ64" i="3"/>
  <c r="M64" i="3"/>
  <c r="BB64" i="3"/>
  <c r="CZ64" i="3"/>
  <c r="ER64" i="3"/>
  <c r="P64" i="3"/>
  <c r="BF64" i="3"/>
  <c r="DA64" i="3"/>
  <c r="ES64" i="3"/>
  <c r="Q64" i="3"/>
  <c r="BJ64" i="3"/>
  <c r="DB64" i="3"/>
  <c r="ET64" i="3"/>
  <c r="R64" i="3"/>
  <c r="DC64" i="3"/>
  <c r="EU64" i="3"/>
  <c r="S64" i="3"/>
  <c r="BS64" i="3"/>
  <c r="DD64" i="3"/>
  <c r="EV64" i="3"/>
  <c r="T64" i="3"/>
  <c r="AZ64" i="3"/>
  <c r="CX64" i="3"/>
  <c r="EP64" i="3"/>
  <c r="AB64" i="3"/>
  <c r="I64" i="3"/>
  <c r="AA64" i="3"/>
  <c r="G4" i="2"/>
  <c r="G7" i="2"/>
  <c r="I5" i="3"/>
  <c r="I8" i="3"/>
  <c r="I21" i="3" s="1"/>
  <c r="J3" i="3"/>
  <c r="F31" i="1"/>
  <c r="F53" i="1"/>
  <c r="DG77" i="3" l="1"/>
  <c r="AB77" i="3"/>
  <c r="ES77" i="3"/>
  <c r="BU77" i="3"/>
  <c r="AR77" i="3"/>
  <c r="P77" i="3"/>
  <c r="FK77" i="3"/>
  <c r="FD77" i="3"/>
  <c r="ED77" i="3"/>
  <c r="V77" i="3"/>
  <c r="EE77" i="3"/>
  <c r="S77" i="3"/>
  <c r="Z77" i="3"/>
  <c r="BH77" i="3"/>
  <c r="FM77" i="3"/>
  <c r="CZ77" i="3"/>
  <c r="CI77" i="3"/>
  <c r="BX77" i="3"/>
  <c r="EM77" i="3"/>
  <c r="DB77" i="3"/>
  <c r="FL77" i="3"/>
  <c r="EW77" i="3"/>
  <c r="CD77" i="3"/>
  <c r="BA77" i="3"/>
  <c r="EB77" i="3"/>
  <c r="BF77" i="3"/>
  <c r="EJ77" i="3"/>
  <c r="CX77" i="3"/>
  <c r="AG77" i="3"/>
  <c r="BT77" i="3"/>
  <c r="FE77" i="3"/>
  <c r="EG77" i="3"/>
  <c r="DM77" i="3"/>
  <c r="EH77" i="3"/>
  <c r="BM77" i="3"/>
  <c r="DN77" i="3"/>
  <c r="DK77" i="3"/>
  <c r="DU77" i="3"/>
  <c r="DO77" i="3"/>
  <c r="CN77" i="3"/>
  <c r="BL77" i="3"/>
  <c r="DP77" i="3"/>
  <c r="DY77" i="3"/>
  <c r="BQ77" i="3"/>
  <c r="EY77" i="3"/>
  <c r="EO77" i="3"/>
  <c r="CU77" i="3"/>
  <c r="AT77" i="3"/>
  <c r="DC77" i="3"/>
  <c r="EP77" i="3"/>
  <c r="BS77" i="3"/>
  <c r="AW77" i="3"/>
  <c r="AP77" i="3"/>
  <c r="EV77" i="3"/>
  <c r="EU77" i="3"/>
  <c r="CP77" i="3"/>
  <c r="EK77" i="3"/>
  <c r="DW77" i="3"/>
  <c r="AC77" i="3"/>
  <c r="AV77" i="3"/>
  <c r="I77" i="3"/>
  <c r="CY77" i="3"/>
  <c r="ET77" i="3"/>
  <c r="U77" i="3"/>
  <c r="CA77" i="3"/>
  <c r="AI77" i="3"/>
  <c r="CO77" i="3"/>
  <c r="BG77" i="3"/>
  <c r="BB77" i="3"/>
  <c r="AS77" i="3"/>
  <c r="CW77" i="3"/>
  <c r="AD77" i="3"/>
  <c r="AL77" i="3"/>
  <c r="EL77" i="3"/>
  <c r="FC77" i="3"/>
  <c r="K77" i="3"/>
  <c r="BK77" i="3"/>
  <c r="W77" i="3"/>
  <c r="DJ77" i="3"/>
  <c r="BV77" i="3"/>
  <c r="CF77" i="3"/>
  <c r="EQ77" i="3"/>
  <c r="DT77" i="3"/>
  <c r="FB77" i="3"/>
  <c r="AM77" i="3"/>
  <c r="FJ77" i="3"/>
  <c r="Q77" i="3"/>
  <c r="EI77" i="3"/>
  <c r="AF77" i="3"/>
  <c r="CQ77" i="3"/>
  <c r="DX77" i="3"/>
  <c r="O77" i="3"/>
  <c r="EN77" i="3"/>
  <c r="DI77" i="3"/>
  <c r="DS77" i="3"/>
  <c r="EA77" i="3"/>
  <c r="BN77" i="3"/>
  <c r="CT77" i="3"/>
  <c r="FA77" i="3"/>
  <c r="DR77" i="3"/>
  <c r="CM77" i="3"/>
  <c r="BJ77" i="3"/>
  <c r="CE77" i="3"/>
  <c r="AJ77" i="3"/>
  <c r="BR77" i="3"/>
  <c r="EC77" i="3"/>
  <c r="CV77" i="3"/>
  <c r="CL77" i="3"/>
  <c r="DQ77" i="3"/>
  <c r="AE77" i="3"/>
  <c r="FI77" i="3"/>
  <c r="AO77" i="3"/>
  <c r="DE77" i="3"/>
  <c r="BZ77" i="3"/>
  <c r="CK77" i="3"/>
  <c r="BC77" i="3"/>
  <c r="AA77" i="3"/>
  <c r="EF77" i="3"/>
  <c r="J77" i="3"/>
  <c r="CG77" i="3"/>
  <c r="BD77" i="3"/>
  <c r="CJ77" i="3"/>
  <c r="FH77" i="3"/>
  <c r="X77" i="3"/>
  <c r="DA77" i="3"/>
  <c r="EZ77" i="3"/>
  <c r="BI77" i="3"/>
  <c r="AH77" i="3"/>
  <c r="CH77" i="3"/>
  <c r="DF77" i="3"/>
  <c r="AZ77" i="3"/>
  <c r="BW77" i="3"/>
  <c r="DV77" i="3"/>
  <c r="AK77" i="3"/>
  <c r="L77" i="3"/>
  <c r="CC77" i="3"/>
  <c r="AY77" i="3"/>
  <c r="T77" i="3"/>
  <c r="AU77" i="3"/>
  <c r="CS77" i="3"/>
  <c r="M77" i="3"/>
  <c r="BO77" i="3"/>
  <c r="CB77" i="3"/>
  <c r="FF77" i="3"/>
  <c r="DL77" i="3"/>
  <c r="Y77" i="3"/>
  <c r="BE77" i="3"/>
  <c r="R77" i="3"/>
  <c r="BP77" i="3"/>
  <c r="EX77" i="3"/>
  <c r="DH77" i="3"/>
  <c r="BY77" i="3"/>
  <c r="DD77" i="3"/>
  <c r="CR77" i="3"/>
  <c r="FG77" i="3"/>
  <c r="AN77" i="3"/>
  <c r="DZ77" i="3"/>
  <c r="ER77" i="3"/>
  <c r="N77" i="3"/>
  <c r="AX77" i="3"/>
  <c r="L14" i="1"/>
  <c r="L15" i="1" s="1"/>
  <c r="L16" i="1" s="1"/>
  <c r="L12" i="1"/>
  <c r="L11" i="1" s="1"/>
  <c r="E10" i="1"/>
  <c r="D10" i="1" s="1"/>
  <c r="G10" i="1"/>
  <c r="H10" i="1" s="1"/>
  <c r="P10" i="1"/>
  <c r="Q10" i="1" s="1"/>
  <c r="N10" i="1"/>
  <c r="M10" i="1" s="1"/>
  <c r="X10" i="1"/>
  <c r="Y10" i="1" s="1"/>
  <c r="V10" i="1"/>
  <c r="U10" i="1" s="1"/>
  <c r="I40" i="3"/>
  <c r="C14" i="1"/>
  <c r="C15" i="1" s="1"/>
  <c r="C16" i="1" s="1"/>
  <c r="C12" i="1"/>
  <c r="C11" i="1" s="1"/>
  <c r="I29" i="3"/>
  <c r="F42" i="1"/>
  <c r="F46" i="1" s="1"/>
  <c r="E12" i="3"/>
  <c r="I12" i="3" s="1"/>
  <c r="I13" i="3" s="1"/>
  <c r="I7" i="3"/>
  <c r="H4" i="2"/>
  <c r="H7" i="2"/>
  <c r="J4" i="3"/>
  <c r="J9" i="3" s="1"/>
  <c r="J6" i="3" s="1"/>
  <c r="J27" i="3" l="1"/>
  <c r="J28" i="3"/>
  <c r="F44" i="1"/>
  <c r="E14" i="3" s="1"/>
  <c r="D14" i="3"/>
  <c r="I4" i="2"/>
  <c r="I7" i="2"/>
  <c r="K3" i="3"/>
  <c r="J8" i="3"/>
  <c r="J21" i="3" s="1"/>
  <c r="J5" i="3"/>
  <c r="J40" i="3" l="1"/>
  <c r="J29" i="3"/>
  <c r="K4" i="3"/>
  <c r="K28" i="3" s="1"/>
  <c r="K40" i="3" s="1"/>
  <c r="I14" i="3"/>
  <c r="J14" i="3"/>
  <c r="J7" i="3"/>
  <c r="J7" i="2"/>
  <c r="J4" i="2"/>
  <c r="J12" i="3"/>
  <c r="J13" i="3" s="1"/>
  <c r="K27" i="3" l="1"/>
  <c r="K29" i="3"/>
  <c r="K5" i="3"/>
  <c r="K14" i="3" s="1"/>
  <c r="L3" i="3"/>
  <c r="L4" i="3" s="1"/>
  <c r="K9" i="3"/>
  <c r="K6" i="3" s="1"/>
  <c r="K8" i="3"/>
  <c r="K21" i="3" s="1"/>
  <c r="J65" i="3"/>
  <c r="J17" i="3"/>
  <c r="I65" i="3"/>
  <c r="I17" i="3"/>
  <c r="I16" i="3"/>
  <c r="J15" i="3"/>
  <c r="I15" i="3"/>
  <c r="I60" i="3" s="1"/>
  <c r="I61" i="3" s="1"/>
  <c r="I63" i="3" s="1"/>
  <c r="K4" i="2"/>
  <c r="K7" i="2"/>
  <c r="L8" i="3" l="1"/>
  <c r="L21" i="3" s="1"/>
  <c r="L9" i="3"/>
  <c r="L6" i="3" s="1"/>
  <c r="M3" i="3"/>
  <c r="L5" i="3"/>
  <c r="L14" i="3" s="1"/>
  <c r="L15" i="3" s="1"/>
  <c r="K12" i="3"/>
  <c r="K13" i="3" s="1"/>
  <c r="K7" i="3"/>
  <c r="L27" i="3"/>
  <c r="L28" i="3"/>
  <c r="I66" i="3"/>
  <c r="I74" i="3" s="1"/>
  <c r="I91" i="3" s="1"/>
  <c r="K65" i="3"/>
  <c r="K17" i="3"/>
  <c r="J60" i="3"/>
  <c r="J61" i="3" s="1"/>
  <c r="J63" i="3" s="1"/>
  <c r="J66" i="3" s="1"/>
  <c r="J74" i="3" s="1"/>
  <c r="J91" i="3" s="1"/>
  <c r="J16" i="3"/>
  <c r="K15" i="3"/>
  <c r="L7" i="2"/>
  <c r="L4" i="2"/>
  <c r="M4" i="3" l="1"/>
  <c r="M8" i="3" s="1"/>
  <c r="M21" i="3" s="1"/>
  <c r="L40" i="3"/>
  <c r="L29" i="3"/>
  <c r="L12" i="3"/>
  <c r="L13" i="3" s="1"/>
  <c r="L7" i="3"/>
  <c r="L17" i="3"/>
  <c r="L65" i="3"/>
  <c r="K16" i="3"/>
  <c r="L60" i="3" s="1"/>
  <c r="L61" i="3" s="1"/>
  <c r="K60" i="3"/>
  <c r="K61" i="3" s="1"/>
  <c r="K63" i="3" s="1"/>
  <c r="K66" i="3" s="1"/>
  <c r="K74" i="3" s="1"/>
  <c r="K91" i="3" s="1"/>
  <c r="M7" i="2"/>
  <c r="M4" i="2"/>
  <c r="M5" i="3" l="1"/>
  <c r="M12" i="3" s="1"/>
  <c r="M13" i="3" s="1"/>
  <c r="M9" i="3"/>
  <c r="M6" i="3" s="1"/>
  <c r="M27" i="3"/>
  <c r="M28" i="3"/>
  <c r="M40" i="3" s="1"/>
  <c r="N3" i="3"/>
  <c r="N4" i="3" s="1"/>
  <c r="N28" i="3" s="1"/>
  <c r="L63" i="3"/>
  <c r="L66" i="3" s="1"/>
  <c r="L74" i="3" s="1"/>
  <c r="L91" i="3" s="1"/>
  <c r="N7" i="2"/>
  <c r="N4" i="2"/>
  <c r="N9" i="3" l="1"/>
  <c r="N6" i="3" s="1"/>
  <c r="N5" i="3"/>
  <c r="N14" i="3" s="1"/>
  <c r="N17" i="3" s="1"/>
  <c r="O3" i="3"/>
  <c r="O4" i="3" s="1"/>
  <c r="O28" i="3" s="1"/>
  <c r="O40" i="3" s="1"/>
  <c r="N8" i="3"/>
  <c r="N21" i="3" s="1"/>
  <c r="M14" i="3"/>
  <c r="M15" i="3" s="1"/>
  <c r="M7" i="3"/>
  <c r="M29" i="3"/>
  <c r="N27" i="3"/>
  <c r="N12" i="3"/>
  <c r="N13" i="3" s="1"/>
  <c r="N40" i="3"/>
  <c r="N29" i="3"/>
  <c r="N65" i="3"/>
  <c r="O7" i="2"/>
  <c r="O4" i="2"/>
  <c r="N7" i="3" l="1"/>
  <c r="O9" i="3"/>
  <c r="O6" i="3" s="1"/>
  <c r="P3" i="3"/>
  <c r="P4" i="3" s="1"/>
  <c r="P28" i="3" s="1"/>
  <c r="O27" i="3"/>
  <c r="O5" i="3"/>
  <c r="O14" i="3" s="1"/>
  <c r="O29" i="3"/>
  <c r="O8" i="3"/>
  <c r="O21" i="3" s="1"/>
  <c r="N15" i="3"/>
  <c r="M16" i="3"/>
  <c r="M65" i="3"/>
  <c r="M17" i="3"/>
  <c r="L16" i="3"/>
  <c r="M60" i="3" s="1"/>
  <c r="M61" i="3" s="1"/>
  <c r="M63" i="3" s="1"/>
  <c r="M66" i="3" s="1"/>
  <c r="M74" i="3" s="1"/>
  <c r="M91" i="3" s="1"/>
  <c r="P7" i="2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P4" i="2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O12" i="3" l="1"/>
  <c r="O13" i="3" s="1"/>
  <c r="O69" i="3" s="1" a="1"/>
  <c r="O69" i="3" s="1"/>
  <c r="O71" i="3" s="1"/>
  <c r="O34" i="3" s="1"/>
  <c r="O7" i="3"/>
  <c r="N60" i="3"/>
  <c r="N61" i="3" s="1"/>
  <c r="N63" i="3" s="1"/>
  <c r="N66" i="3" s="1"/>
  <c r="N74" i="3" s="1"/>
  <c r="N91" i="3" s="1"/>
  <c r="P27" i="3"/>
  <c r="I69" i="3" a="1"/>
  <c r="I69" i="3" s="1"/>
  <c r="I71" i="3" s="1"/>
  <c r="J69" i="3" a="1"/>
  <c r="J69" i="3" s="1"/>
  <c r="J71" i="3" s="1"/>
  <c r="N69" i="3" a="1"/>
  <c r="N69" i="3" s="1"/>
  <c r="N71" i="3" s="1"/>
  <c r="M69" i="3" a="1"/>
  <c r="M69" i="3" s="1"/>
  <c r="M71" i="3" s="1"/>
  <c r="K69" i="3" a="1"/>
  <c r="K69" i="3" s="1"/>
  <c r="K71" i="3" s="1"/>
  <c r="L69" i="3" a="1"/>
  <c r="L69" i="3" s="1"/>
  <c r="L71" i="3" s="1"/>
  <c r="P40" i="3"/>
  <c r="P29" i="3"/>
  <c r="O65" i="3"/>
  <c r="O17" i="3"/>
  <c r="O15" i="3"/>
  <c r="N16" i="3"/>
  <c r="P9" i="3"/>
  <c r="P6" i="3" s="1"/>
  <c r="Q3" i="3"/>
  <c r="P8" i="3"/>
  <c r="P21" i="3" s="1"/>
  <c r="P5" i="3"/>
  <c r="P12" i="3" s="1"/>
  <c r="P13" i="3" s="1"/>
  <c r="P69" i="3" s="1" a="1"/>
  <c r="P69" i="3" s="1"/>
  <c r="P71" i="3" s="1"/>
  <c r="K20" i="3"/>
  <c r="K22" i="3" s="1"/>
  <c r="M20" i="3"/>
  <c r="M22" i="3" s="1"/>
  <c r="O20" i="3"/>
  <c r="O22" i="3" s="1"/>
  <c r="J20" i="3"/>
  <c r="J22" i="3" s="1"/>
  <c r="L20" i="3"/>
  <c r="L22" i="3" s="1"/>
  <c r="N20" i="3"/>
  <c r="N22" i="3" s="1"/>
  <c r="I20" i="3"/>
  <c r="I22" i="3" s="1"/>
  <c r="I23" i="3" s="1"/>
  <c r="O104" i="3" l="1"/>
  <c r="P14" i="3"/>
  <c r="P15" i="3" s="1"/>
  <c r="P7" i="3"/>
  <c r="L104" i="3"/>
  <c r="L34" i="3"/>
  <c r="K34" i="3"/>
  <c r="K104" i="3"/>
  <c r="M104" i="3"/>
  <c r="M34" i="3"/>
  <c r="N34" i="3"/>
  <c r="N104" i="3"/>
  <c r="J104" i="3"/>
  <c r="J34" i="3"/>
  <c r="I104" i="3"/>
  <c r="I34" i="3"/>
  <c r="Q4" i="3"/>
  <c r="Q28" i="3" s="1"/>
  <c r="P20" i="3"/>
  <c r="P22" i="3" s="1"/>
  <c r="O16" i="3"/>
  <c r="O60" i="3"/>
  <c r="O61" i="3" s="1"/>
  <c r="O63" i="3" s="1"/>
  <c r="O66" i="3" s="1"/>
  <c r="O74" i="3" s="1"/>
  <c r="O91" i="3" s="1"/>
  <c r="P104" i="3"/>
  <c r="P34" i="3"/>
  <c r="I82" i="3"/>
  <c r="I86" i="3" s="1"/>
  <c r="I81" i="3"/>
  <c r="I85" i="3" s="1"/>
  <c r="I92" i="3"/>
  <c r="I90" i="3"/>
  <c r="J23" i="3"/>
  <c r="P17" i="3" l="1"/>
  <c r="P65" i="3"/>
  <c r="Q40" i="3"/>
  <c r="Q29" i="3"/>
  <c r="Q27" i="3"/>
  <c r="P60" i="3"/>
  <c r="P61" i="3" s="1"/>
  <c r="P63" i="3" s="1"/>
  <c r="Q9" i="3"/>
  <c r="Q5" i="3"/>
  <c r="R3" i="3"/>
  <c r="Q8" i="3"/>
  <c r="Q21" i="3" s="1"/>
  <c r="Q12" i="3"/>
  <c r="Q13" i="3" s="1"/>
  <c r="Q69" i="3" s="1" a="1"/>
  <c r="Q69" i="3" s="1"/>
  <c r="Q71" i="3" s="1"/>
  <c r="Q104" i="3" s="1"/>
  <c r="Q14" i="3"/>
  <c r="I93" i="3"/>
  <c r="I49" i="3" s="1"/>
  <c r="K23" i="3"/>
  <c r="J82" i="3"/>
  <c r="J86" i="3" s="1"/>
  <c r="J81" i="3"/>
  <c r="J85" i="3" s="1"/>
  <c r="J92" i="3"/>
  <c r="J90" i="3"/>
  <c r="I87" i="3"/>
  <c r="P66" i="3" l="1"/>
  <c r="P74" i="3" s="1"/>
  <c r="P91" i="3" s="1"/>
  <c r="J87" i="3"/>
  <c r="J96" i="3" s="1"/>
  <c r="Q34" i="3"/>
  <c r="Q17" i="3"/>
  <c r="P16" i="3"/>
  <c r="Q15" i="3"/>
  <c r="Q6" i="3"/>
  <c r="Q7" i="3" s="1"/>
  <c r="Q20" i="3"/>
  <c r="Q22" i="3" s="1"/>
  <c r="R4" i="3"/>
  <c r="R27" i="3" s="1"/>
  <c r="J93" i="3"/>
  <c r="J49" i="3" s="1"/>
  <c r="I96" i="3"/>
  <c r="I48" i="3"/>
  <c r="I97" i="3"/>
  <c r="L23" i="3"/>
  <c r="K82" i="3"/>
  <c r="K86" i="3" s="1"/>
  <c r="K81" i="3"/>
  <c r="K85" i="3" s="1"/>
  <c r="K92" i="3"/>
  <c r="K90" i="3"/>
  <c r="J48" i="3" l="1"/>
  <c r="J50" i="3" s="1"/>
  <c r="J31" i="3" s="1"/>
  <c r="J97" i="3"/>
  <c r="J98" i="3" s="1"/>
  <c r="R9" i="3"/>
  <c r="R8" i="3"/>
  <c r="R21" i="3" s="1"/>
  <c r="R5" i="3"/>
  <c r="S3" i="3"/>
  <c r="R14" i="3"/>
  <c r="R12" i="3"/>
  <c r="R13" i="3" s="1"/>
  <c r="R69" i="3" s="1" a="1"/>
  <c r="R69" i="3" s="1"/>
  <c r="R71" i="3" s="1"/>
  <c r="Q65" i="3"/>
  <c r="Q60" i="3"/>
  <c r="Q61" i="3" s="1"/>
  <c r="Q63" i="3" s="1"/>
  <c r="Q66" i="3" s="1"/>
  <c r="Q74" i="3" s="1"/>
  <c r="Q91" i="3" s="1"/>
  <c r="R28" i="3"/>
  <c r="K93" i="3"/>
  <c r="K49" i="3" s="1"/>
  <c r="I98" i="3"/>
  <c r="I99" i="3" s="1"/>
  <c r="I33" i="3" s="1"/>
  <c r="I50" i="3"/>
  <c r="I31" i="3" s="1"/>
  <c r="K87" i="3"/>
  <c r="M23" i="3"/>
  <c r="L82" i="3"/>
  <c r="L86" i="3" s="1"/>
  <c r="L81" i="3"/>
  <c r="L85" i="3" s="1"/>
  <c r="L92" i="3"/>
  <c r="L90" i="3"/>
  <c r="J99" i="3" l="1"/>
  <c r="J33" i="3" s="1"/>
  <c r="R40" i="3"/>
  <c r="R29" i="3"/>
  <c r="R17" i="3"/>
  <c r="Q16" i="3"/>
  <c r="R15" i="3"/>
  <c r="R6" i="3"/>
  <c r="R7" i="3" s="1"/>
  <c r="R20" i="3"/>
  <c r="R22" i="3" s="1"/>
  <c r="R104" i="3"/>
  <c r="R34" i="3"/>
  <c r="S4" i="3"/>
  <c r="S27" i="3" s="1"/>
  <c r="K97" i="3"/>
  <c r="L87" i="3"/>
  <c r="L96" i="3" s="1"/>
  <c r="J51" i="3"/>
  <c r="I51" i="3"/>
  <c r="K96" i="3"/>
  <c r="K48" i="3"/>
  <c r="L93" i="3"/>
  <c r="L49" i="3" s="1"/>
  <c r="N23" i="3"/>
  <c r="M82" i="3"/>
  <c r="M86" i="3" s="1"/>
  <c r="M81" i="3"/>
  <c r="M85" i="3" s="1"/>
  <c r="M92" i="3"/>
  <c r="M90" i="3"/>
  <c r="K98" i="3" l="1"/>
  <c r="K99" i="3" s="1"/>
  <c r="K33" i="3" s="1"/>
  <c r="S9" i="3"/>
  <c r="S5" i="3"/>
  <c r="S12" i="3" s="1"/>
  <c r="S13" i="3" s="1"/>
  <c r="S69" i="3" s="1" a="1"/>
  <c r="S69" i="3" s="1"/>
  <c r="S71" i="3" s="1"/>
  <c r="T3" i="3"/>
  <c r="S8" i="3"/>
  <c r="S21" i="3" s="1"/>
  <c r="R65" i="3"/>
  <c r="R60" i="3"/>
  <c r="R61" i="3" s="1"/>
  <c r="R63" i="3" s="1"/>
  <c r="S28" i="3"/>
  <c r="L48" i="3"/>
  <c r="L50" i="3" s="1"/>
  <c r="L31" i="3" s="1"/>
  <c r="L97" i="3"/>
  <c r="L98" i="3" s="1"/>
  <c r="K50" i="3"/>
  <c r="K31" i="3" s="1"/>
  <c r="M93" i="3"/>
  <c r="M49" i="3" s="1"/>
  <c r="M87" i="3"/>
  <c r="O23" i="3"/>
  <c r="N81" i="3"/>
  <c r="N85" i="3" s="1"/>
  <c r="N82" i="3"/>
  <c r="N86" i="3" s="1"/>
  <c r="N92" i="3"/>
  <c r="N90" i="3"/>
  <c r="S14" i="3" l="1"/>
  <c r="S17" i="3" s="1"/>
  <c r="L99" i="3"/>
  <c r="L33" i="3" s="1"/>
  <c r="S40" i="3"/>
  <c r="S29" i="3"/>
  <c r="R66" i="3"/>
  <c r="R74" i="3" s="1"/>
  <c r="R91" i="3" s="1"/>
  <c r="T4" i="3"/>
  <c r="T27" i="3" s="1"/>
  <c r="S104" i="3"/>
  <c r="S34" i="3"/>
  <c r="S6" i="3"/>
  <c r="S7" i="3" s="1"/>
  <c r="S20" i="3"/>
  <c r="S22" i="3" s="1"/>
  <c r="K51" i="3"/>
  <c r="L51" i="3"/>
  <c r="M96" i="3"/>
  <c r="M48" i="3"/>
  <c r="M97" i="3"/>
  <c r="N93" i="3"/>
  <c r="N49" i="3" s="1"/>
  <c r="N87" i="3"/>
  <c r="P23" i="3"/>
  <c r="O82" i="3"/>
  <c r="O86" i="3" s="1"/>
  <c r="O81" i="3"/>
  <c r="O85" i="3" s="1"/>
  <c r="O92" i="3"/>
  <c r="O90" i="3"/>
  <c r="S15" i="3" l="1"/>
  <c r="S65" i="3" s="1"/>
  <c r="R16" i="3"/>
  <c r="T28" i="3"/>
  <c r="T40" i="3" s="1"/>
  <c r="T9" i="3"/>
  <c r="U3" i="3"/>
  <c r="T5" i="3"/>
  <c r="T8" i="3"/>
  <c r="T21" i="3" s="1"/>
  <c r="T14" i="3"/>
  <c r="T12" i="3"/>
  <c r="T13" i="3" s="1"/>
  <c r="T69" i="3" s="1" a="1"/>
  <c r="T69" i="3" s="1"/>
  <c r="T71" i="3" s="1"/>
  <c r="N97" i="3"/>
  <c r="M50" i="3"/>
  <c r="M31" i="3" s="1"/>
  <c r="N96" i="3"/>
  <c r="N48" i="3"/>
  <c r="N50" i="3" s="1"/>
  <c r="N31" i="3" s="1"/>
  <c r="M98" i="3"/>
  <c r="M99" i="3" s="1"/>
  <c r="M33" i="3" s="1"/>
  <c r="O93" i="3"/>
  <c r="O49" i="3" s="1"/>
  <c r="O87" i="3"/>
  <c r="Q23" i="3"/>
  <c r="P82" i="3"/>
  <c r="P86" i="3" s="1"/>
  <c r="P81" i="3"/>
  <c r="P85" i="3" s="1"/>
  <c r="P92" i="3"/>
  <c r="P90" i="3"/>
  <c r="S60" i="3" l="1"/>
  <c r="S61" i="3" s="1"/>
  <c r="S63" i="3" s="1"/>
  <c r="T29" i="3"/>
  <c r="S66" i="3"/>
  <c r="S74" i="3" s="1"/>
  <c r="S91" i="3" s="1"/>
  <c r="U4" i="3"/>
  <c r="U27" i="3" s="1"/>
  <c r="T104" i="3"/>
  <c r="T34" i="3"/>
  <c r="T20" i="3"/>
  <c r="T22" i="3" s="1"/>
  <c r="T6" i="3"/>
  <c r="T7" i="3" s="1"/>
  <c r="T17" i="3"/>
  <c r="S16" i="3"/>
  <c r="T15" i="3"/>
  <c r="M51" i="3"/>
  <c r="N98" i="3"/>
  <c r="N99" i="3" s="1"/>
  <c r="N33" i="3" s="1"/>
  <c r="N51" i="3"/>
  <c r="O96" i="3"/>
  <c r="O48" i="3"/>
  <c r="O97" i="3"/>
  <c r="P93" i="3"/>
  <c r="P49" i="3" s="1"/>
  <c r="P87" i="3"/>
  <c r="R23" i="3"/>
  <c r="Q82" i="3"/>
  <c r="Q86" i="3" s="1"/>
  <c r="Q81" i="3"/>
  <c r="Q85" i="3" s="1"/>
  <c r="Q92" i="3"/>
  <c r="Q90" i="3"/>
  <c r="U28" i="3" l="1"/>
  <c r="U40" i="3" s="1"/>
  <c r="T60" i="3"/>
  <c r="T61" i="3" s="1"/>
  <c r="T63" i="3" s="1"/>
  <c r="T65" i="3"/>
  <c r="U9" i="3"/>
  <c r="V3" i="3"/>
  <c r="U5" i="3"/>
  <c r="U8" i="3"/>
  <c r="U21" i="3" s="1"/>
  <c r="U12" i="3"/>
  <c r="U13" i="3" s="1"/>
  <c r="U69" i="3" s="1" a="1"/>
  <c r="U69" i="3" s="1"/>
  <c r="U71" i="3" s="1"/>
  <c r="U14" i="3"/>
  <c r="O98" i="3"/>
  <c r="O99" i="3" s="1"/>
  <c r="O33" i="3" s="1"/>
  <c r="Q87" i="3"/>
  <c r="Q96" i="3" s="1"/>
  <c r="P96" i="3"/>
  <c r="P48" i="3"/>
  <c r="P97" i="3"/>
  <c r="O50" i="3"/>
  <c r="O31" i="3" s="1"/>
  <c r="Q93" i="3"/>
  <c r="Q49" i="3" s="1"/>
  <c r="S23" i="3"/>
  <c r="R81" i="3"/>
  <c r="R85" i="3" s="1"/>
  <c r="R82" i="3"/>
  <c r="R86" i="3" s="1"/>
  <c r="R92" i="3"/>
  <c r="R90" i="3"/>
  <c r="U29" i="3" l="1"/>
  <c r="Q48" i="3"/>
  <c r="Q50" i="3" s="1"/>
  <c r="Q31" i="3" s="1"/>
  <c r="U17" i="3"/>
  <c r="U15" i="3"/>
  <c r="T16" i="3"/>
  <c r="U104" i="3"/>
  <c r="U34" i="3"/>
  <c r="V4" i="3"/>
  <c r="V27" i="3" s="1"/>
  <c r="U20" i="3"/>
  <c r="U22" i="3" s="1"/>
  <c r="U6" i="3"/>
  <c r="U7" i="3" s="1"/>
  <c r="T66" i="3"/>
  <c r="T74" i="3" s="1"/>
  <c r="T91" i="3" s="1"/>
  <c r="O51" i="3"/>
  <c r="Q97" i="3"/>
  <c r="Q98" i="3" s="1"/>
  <c r="P50" i="3"/>
  <c r="P31" i="3" s="1"/>
  <c r="P98" i="3"/>
  <c r="P99" i="3" s="1"/>
  <c r="P33" i="3" s="1"/>
  <c r="R93" i="3"/>
  <c r="R49" i="3" s="1"/>
  <c r="R87" i="3"/>
  <c r="S81" i="3"/>
  <c r="S85" i="3" s="1"/>
  <c r="S82" i="3"/>
  <c r="S86" i="3" s="1"/>
  <c r="T23" i="3"/>
  <c r="S92" i="3"/>
  <c r="S90" i="3"/>
  <c r="V28" i="3" l="1"/>
  <c r="V29" i="3" s="1"/>
  <c r="U60" i="3"/>
  <c r="U61" i="3" s="1"/>
  <c r="U63" i="3" s="1"/>
  <c r="U65" i="3"/>
  <c r="V9" i="3"/>
  <c r="W3" i="3"/>
  <c r="V5" i="3"/>
  <c r="V8" i="3"/>
  <c r="V21" i="3" s="1"/>
  <c r="V14" i="3"/>
  <c r="V12" i="3"/>
  <c r="V13" i="3" s="1"/>
  <c r="V69" i="3" s="1" a="1"/>
  <c r="V69" i="3" s="1"/>
  <c r="V71" i="3" s="1"/>
  <c r="P51" i="3"/>
  <c r="Q51" i="3"/>
  <c r="R97" i="3"/>
  <c r="R96" i="3"/>
  <c r="R48" i="3"/>
  <c r="R50" i="3" s="1"/>
  <c r="R31" i="3" s="1"/>
  <c r="Q99" i="3"/>
  <c r="Q33" i="3" s="1"/>
  <c r="S93" i="3"/>
  <c r="S49" i="3" s="1"/>
  <c r="T82" i="3"/>
  <c r="T86" i="3" s="1"/>
  <c r="T81" i="3"/>
  <c r="T85" i="3" s="1"/>
  <c r="T92" i="3"/>
  <c r="U23" i="3"/>
  <c r="T90" i="3"/>
  <c r="S87" i="3"/>
  <c r="V40" i="3" l="1"/>
  <c r="T93" i="3"/>
  <c r="T49" i="3" s="1"/>
  <c r="W4" i="3"/>
  <c r="W27" i="3" s="1"/>
  <c r="V104" i="3"/>
  <c r="V34" i="3"/>
  <c r="V17" i="3"/>
  <c r="U16" i="3"/>
  <c r="V15" i="3"/>
  <c r="U66" i="3"/>
  <c r="U74" i="3" s="1"/>
  <c r="U91" i="3" s="1"/>
  <c r="V20" i="3"/>
  <c r="V22" i="3" s="1"/>
  <c r="V23" i="3" s="1"/>
  <c r="V6" i="3"/>
  <c r="V7" i="3" s="1"/>
  <c r="R98" i="3"/>
  <c r="R99" i="3" s="1"/>
  <c r="R33" i="3" s="1"/>
  <c r="R51" i="3"/>
  <c r="S97" i="3"/>
  <c r="S96" i="3"/>
  <c r="S48" i="3"/>
  <c r="S50" i="3" s="1"/>
  <c r="S31" i="3" s="1"/>
  <c r="U81" i="3"/>
  <c r="U82" i="3"/>
  <c r="U92" i="3"/>
  <c r="U90" i="3"/>
  <c r="T87" i="3"/>
  <c r="W28" i="3" l="1"/>
  <c r="W40" i="3" s="1"/>
  <c r="T97" i="3"/>
  <c r="V60" i="3"/>
  <c r="V61" i="3" s="1"/>
  <c r="V63" i="3" s="1"/>
  <c r="V65" i="3"/>
  <c r="U85" i="3"/>
  <c r="U86" i="3"/>
  <c r="S98" i="3"/>
  <c r="S99" i="3" s="1"/>
  <c r="S33" i="3" s="1"/>
  <c r="W9" i="3"/>
  <c r="W5" i="3"/>
  <c r="W14" i="3" s="1"/>
  <c r="X3" i="3"/>
  <c r="W8" i="3"/>
  <c r="W21" i="3" s="1"/>
  <c r="W12" i="3"/>
  <c r="W13" i="3" s="1"/>
  <c r="W69" i="3" s="1" a="1"/>
  <c r="W69" i="3" s="1"/>
  <c r="W71" i="3" s="1"/>
  <c r="S51" i="3"/>
  <c r="T96" i="3"/>
  <c r="T48" i="3"/>
  <c r="T50" i="3" s="1"/>
  <c r="T31" i="3" s="1"/>
  <c r="U93" i="3"/>
  <c r="U49" i="3" s="1"/>
  <c r="V82" i="3"/>
  <c r="V81" i="3"/>
  <c r="V92" i="3"/>
  <c r="W29" i="3" l="1"/>
  <c r="T98" i="3"/>
  <c r="T99" i="3" s="1"/>
  <c r="T33" i="3" s="1"/>
  <c r="U87" i="3"/>
  <c r="U96" i="3" s="1"/>
  <c r="V90" i="3"/>
  <c r="V66" i="3"/>
  <c r="V74" i="3" s="1"/>
  <c r="V91" i="3" s="1"/>
  <c r="W17" i="3"/>
  <c r="W15" i="3"/>
  <c r="V16" i="3"/>
  <c r="W20" i="3"/>
  <c r="W22" i="3" s="1"/>
  <c r="W23" i="3" s="1"/>
  <c r="W82" i="3" s="1"/>
  <c r="W6" i="3"/>
  <c r="W7" i="3" s="1"/>
  <c r="W104" i="3"/>
  <c r="W34" i="3"/>
  <c r="X4" i="3"/>
  <c r="X28" i="3" s="1"/>
  <c r="T51" i="3"/>
  <c r="U97" i="3"/>
  <c r="U48" i="3" l="1"/>
  <c r="U50" i="3" s="1"/>
  <c r="U31" i="3" s="1"/>
  <c r="V93" i="3"/>
  <c r="V49" i="3" s="1"/>
  <c r="W81" i="3"/>
  <c r="V86" i="3"/>
  <c r="V85" i="3"/>
  <c r="W65" i="3"/>
  <c r="X40" i="3"/>
  <c r="X29" i="3"/>
  <c r="X9" i="3"/>
  <c r="Y3" i="3"/>
  <c r="X8" i="3"/>
  <c r="X21" i="3" s="1"/>
  <c r="X5" i="3"/>
  <c r="X14" i="3" s="1"/>
  <c r="W60" i="3"/>
  <c r="W61" i="3" s="1"/>
  <c r="W63" i="3" s="1"/>
  <c r="W92" i="3"/>
  <c r="X27" i="3"/>
  <c r="U98" i="3"/>
  <c r="U99" i="3" s="1"/>
  <c r="U33" i="3" s="1"/>
  <c r="X12" i="3" l="1"/>
  <c r="X13" i="3" s="1"/>
  <c r="X69" i="3" s="1" a="1"/>
  <c r="X69" i="3" s="1"/>
  <c r="X71" i="3" s="1"/>
  <c r="X104" i="3" s="1"/>
  <c r="W66" i="3"/>
  <c r="W74" i="3" s="1"/>
  <c r="W91" i="3" s="1"/>
  <c r="V97" i="3"/>
  <c r="V87" i="3"/>
  <c r="V48" i="3" s="1"/>
  <c r="V50" i="3" s="1"/>
  <c r="V31" i="3" s="1"/>
  <c r="W90" i="3"/>
  <c r="X17" i="3"/>
  <c r="W16" i="3"/>
  <c r="X15" i="3"/>
  <c r="Y4" i="3"/>
  <c r="Y27" i="3" s="1"/>
  <c r="X20" i="3"/>
  <c r="X22" i="3" s="1"/>
  <c r="X23" i="3" s="1"/>
  <c r="X6" i="3"/>
  <c r="X7" i="3" s="1"/>
  <c r="U51" i="3"/>
  <c r="X34" i="3" l="1"/>
  <c r="W85" i="3"/>
  <c r="W93" i="3"/>
  <c r="W49" i="3" s="1"/>
  <c r="W86" i="3"/>
  <c r="Y28" i="3"/>
  <c r="V96" i="3"/>
  <c r="V98" i="3" s="1"/>
  <c r="V99" i="3" s="1"/>
  <c r="V33" i="3" s="1"/>
  <c r="V51" i="3"/>
  <c r="Y40" i="3"/>
  <c r="Y29" i="3"/>
  <c r="X92" i="3"/>
  <c r="X81" i="3"/>
  <c r="X82" i="3"/>
  <c r="Y9" i="3"/>
  <c r="Z3" i="3"/>
  <c r="Y8" i="3"/>
  <c r="Y21" i="3" s="1"/>
  <c r="Y5" i="3"/>
  <c r="Y14" i="3" s="1"/>
  <c r="X65" i="3"/>
  <c r="X60" i="3"/>
  <c r="X61" i="3" s="1"/>
  <c r="X63" i="3" s="1"/>
  <c r="Y12" i="3" l="1"/>
  <c r="Y13" i="3" s="1"/>
  <c r="Y69" i="3" s="1" a="1"/>
  <c r="Y69" i="3" s="1"/>
  <c r="Y71" i="3" s="1"/>
  <c r="Y104" i="3" s="1"/>
  <c r="W87" i="3"/>
  <c r="W96" i="3" s="1"/>
  <c r="W97" i="3"/>
  <c r="X66" i="3"/>
  <c r="X74" i="3" s="1"/>
  <c r="X91" i="3" s="1"/>
  <c r="Y17" i="3"/>
  <c r="X16" i="3"/>
  <c r="Y15" i="3"/>
  <c r="Z4" i="3"/>
  <c r="Z28" i="3" s="1"/>
  <c r="Y20" i="3"/>
  <c r="Y22" i="3" s="1"/>
  <c r="Y23" i="3" s="1"/>
  <c r="Y6" i="3"/>
  <c r="Y7" i="3" s="1"/>
  <c r="X90" i="3"/>
  <c r="W48" i="3" l="1"/>
  <c r="W50" i="3" s="1"/>
  <c r="W31" i="3" s="1"/>
  <c r="W98" i="3"/>
  <c r="W99" i="3" s="1"/>
  <c r="W33" i="3" s="1"/>
  <c r="Y34" i="3"/>
  <c r="X85" i="3"/>
  <c r="X93" i="3"/>
  <c r="X49" i="3" s="1"/>
  <c r="X86" i="3"/>
  <c r="W51" i="3"/>
  <c r="Z40" i="3"/>
  <c r="Z29" i="3"/>
  <c r="Z27" i="3"/>
  <c r="Y92" i="3"/>
  <c r="Y81" i="3"/>
  <c r="Y82" i="3"/>
  <c r="Z9" i="3"/>
  <c r="AA3" i="3"/>
  <c r="Z5" i="3"/>
  <c r="Z14" i="3" s="1"/>
  <c r="Z8" i="3"/>
  <c r="Z21" i="3" s="1"/>
  <c r="Y65" i="3"/>
  <c r="Y60" i="3"/>
  <c r="Y61" i="3" s="1"/>
  <c r="Y63" i="3" s="1"/>
  <c r="Z12" i="3" l="1"/>
  <c r="Z13" i="3" s="1"/>
  <c r="Z69" i="3" s="1" a="1"/>
  <c r="Z69" i="3" s="1"/>
  <c r="Z71" i="3" s="1"/>
  <c r="Z104" i="3" s="1"/>
  <c r="Y66" i="3"/>
  <c r="Y74" i="3" s="1"/>
  <c r="Y91" i="3" s="1"/>
  <c r="X87" i="3"/>
  <c r="X48" i="3" s="1"/>
  <c r="X50" i="3" s="1"/>
  <c r="X97" i="3"/>
  <c r="AA4" i="3"/>
  <c r="AA28" i="3" s="1"/>
  <c r="Y90" i="3"/>
  <c r="Z17" i="3"/>
  <c r="Y16" i="3"/>
  <c r="Z15" i="3"/>
  <c r="Z6" i="3"/>
  <c r="Z7" i="3" s="1"/>
  <c r="Z20" i="3"/>
  <c r="Z22" i="3" s="1"/>
  <c r="Z23" i="3" s="1"/>
  <c r="Y85" i="3" l="1"/>
  <c r="Y93" i="3"/>
  <c r="Y49" i="3" s="1"/>
  <c r="Y86" i="3"/>
  <c r="AA27" i="3"/>
  <c r="Z34" i="3"/>
  <c r="X96" i="3"/>
  <c r="X98" i="3" s="1"/>
  <c r="X99" i="3" s="1"/>
  <c r="X33" i="3" s="1"/>
  <c r="AA40" i="3"/>
  <c r="AA29" i="3"/>
  <c r="Z92" i="3"/>
  <c r="Z82" i="3"/>
  <c r="Z81" i="3"/>
  <c r="Z60" i="3"/>
  <c r="Z61" i="3" s="1"/>
  <c r="Z63" i="3" s="1"/>
  <c r="Z65" i="3"/>
  <c r="Y97" i="3"/>
  <c r="AA9" i="3"/>
  <c r="AA8" i="3"/>
  <c r="AA21" i="3" s="1"/>
  <c r="AB3" i="3"/>
  <c r="AA5" i="3"/>
  <c r="AA12" i="3"/>
  <c r="AA13" i="3" s="1"/>
  <c r="AA69" i="3" s="1" a="1"/>
  <c r="AA69" i="3" s="1"/>
  <c r="AA71" i="3" s="1"/>
  <c r="AA14" i="3"/>
  <c r="X31" i="3"/>
  <c r="X51" i="3"/>
  <c r="Y87" i="3" l="1"/>
  <c r="Y48" i="3" s="1"/>
  <c r="Y50" i="3" s="1"/>
  <c r="Y96" i="3"/>
  <c r="Y98" i="3" s="1"/>
  <c r="Y99" i="3" s="1"/>
  <c r="Y33" i="3" s="1"/>
  <c r="Z66" i="3"/>
  <c r="Z74" i="3" s="1"/>
  <c r="Z91" i="3" s="1"/>
  <c r="AA17" i="3"/>
  <c r="AA15" i="3"/>
  <c r="Z16" i="3"/>
  <c r="AB4" i="3"/>
  <c r="AB28" i="3" s="1"/>
  <c r="Z90" i="3"/>
  <c r="AA104" i="3"/>
  <c r="AA34" i="3"/>
  <c r="AA20" i="3"/>
  <c r="AA22" i="3" s="1"/>
  <c r="AA23" i="3" s="1"/>
  <c r="AA6" i="3"/>
  <c r="AA7" i="3" s="1"/>
  <c r="AB27" i="3" l="1"/>
  <c r="Z93" i="3"/>
  <c r="Z49" i="3" s="1"/>
  <c r="Z86" i="3"/>
  <c r="Z85" i="3"/>
  <c r="AB40" i="3"/>
  <c r="AB29" i="3"/>
  <c r="AA92" i="3"/>
  <c r="AA81" i="3"/>
  <c r="AA82" i="3"/>
  <c r="AB9" i="3"/>
  <c r="AB8" i="3"/>
  <c r="AB21" i="3" s="1"/>
  <c r="AB5" i="3"/>
  <c r="AB14" i="3" s="1"/>
  <c r="AC3" i="3"/>
  <c r="AA65" i="3"/>
  <c r="AA60" i="3"/>
  <c r="AA61" i="3" s="1"/>
  <c r="AA63" i="3" s="1"/>
  <c r="Y31" i="3"/>
  <c r="Y51" i="3"/>
  <c r="AB12" i="3" l="1"/>
  <c r="AB13" i="3" s="1"/>
  <c r="AB69" i="3" s="1" a="1"/>
  <c r="AB69" i="3" s="1"/>
  <c r="AB71" i="3" s="1"/>
  <c r="AB104" i="3" s="1"/>
  <c r="Z87" i="3"/>
  <c r="Z48" i="3" s="1"/>
  <c r="Z50" i="3" s="1"/>
  <c r="AA66" i="3"/>
  <c r="AA74" i="3" s="1"/>
  <c r="AA91" i="3" s="1"/>
  <c r="Z97" i="3"/>
  <c r="AB17" i="3"/>
  <c r="AB15" i="3"/>
  <c r="AA16" i="3"/>
  <c r="AC4" i="3"/>
  <c r="AC27" i="3" s="1"/>
  <c r="AB6" i="3"/>
  <c r="AB7" i="3" s="1"/>
  <c r="AB20" i="3"/>
  <c r="AB22" i="3" s="1"/>
  <c r="AB23" i="3" s="1"/>
  <c r="AA90" i="3"/>
  <c r="AC28" i="3" l="1"/>
  <c r="AC29" i="3" s="1"/>
  <c r="AB34" i="3"/>
  <c r="Z96" i="3"/>
  <c r="Z98" i="3" s="1"/>
  <c r="Z99" i="3" s="1"/>
  <c r="Z33" i="3" s="1"/>
  <c r="AA93" i="3"/>
  <c r="AA97" i="3" s="1"/>
  <c r="AA85" i="3"/>
  <c r="AA86" i="3"/>
  <c r="AB92" i="3"/>
  <c r="Z31" i="3"/>
  <c r="Z51" i="3"/>
  <c r="AC9" i="3"/>
  <c r="AD3" i="3"/>
  <c r="AC5" i="3"/>
  <c r="AC14" i="3" s="1"/>
  <c r="AC8" i="3"/>
  <c r="AC21" i="3" s="1"/>
  <c r="AB65" i="3"/>
  <c r="AB60" i="3"/>
  <c r="AB61" i="3" s="1"/>
  <c r="AB63" i="3" s="1"/>
  <c r="AB82" i="3"/>
  <c r="AB81" i="3"/>
  <c r="AC40" i="3" l="1"/>
  <c r="AC12" i="3"/>
  <c r="AC13" i="3" s="1"/>
  <c r="AC69" i="3" s="1" a="1"/>
  <c r="AC69" i="3" s="1"/>
  <c r="AC71" i="3" s="1"/>
  <c r="AC34" i="3" s="1"/>
  <c r="AA87" i="3"/>
  <c r="AA96" i="3" s="1"/>
  <c r="AA98" i="3" s="1"/>
  <c r="AA99" i="3" s="1"/>
  <c r="AA33" i="3" s="1"/>
  <c r="AA49" i="3"/>
  <c r="AB66" i="3"/>
  <c r="AB74" i="3" s="1"/>
  <c r="AB91" i="3" s="1"/>
  <c r="AC17" i="3"/>
  <c r="AC15" i="3"/>
  <c r="AB16" i="3"/>
  <c r="AD4" i="3"/>
  <c r="AD28" i="3" s="1"/>
  <c r="AC6" i="3"/>
  <c r="AC7" i="3" s="1"/>
  <c r="AC20" i="3"/>
  <c r="AC22" i="3" s="1"/>
  <c r="AC23" i="3" s="1"/>
  <c r="AB90" i="3"/>
  <c r="AC104" i="3" l="1"/>
  <c r="AA48" i="3"/>
  <c r="AA50" i="3" s="1"/>
  <c r="AA31" i="3" s="1"/>
  <c r="AB93" i="3"/>
  <c r="AB49" i="3" s="1"/>
  <c r="AB86" i="3"/>
  <c r="AB85" i="3"/>
  <c r="AD40" i="3"/>
  <c r="AD29" i="3"/>
  <c r="AC92" i="3"/>
  <c r="AC82" i="3"/>
  <c r="AC81" i="3"/>
  <c r="AD27" i="3"/>
  <c r="AC65" i="3"/>
  <c r="AC60" i="3"/>
  <c r="AC61" i="3" s="1"/>
  <c r="AC63" i="3" s="1"/>
  <c r="AD9" i="3"/>
  <c r="AE3" i="3"/>
  <c r="AD5" i="3"/>
  <c r="AD8" i="3"/>
  <c r="AD21" i="3" s="1"/>
  <c r="AC66" i="3" l="1"/>
  <c r="AC74" i="3" s="1"/>
  <c r="AC91" i="3" s="1"/>
  <c r="AA51" i="3"/>
  <c r="AB97" i="3"/>
  <c r="AB87" i="3"/>
  <c r="AB96" i="3" s="1"/>
  <c r="AE4" i="3"/>
  <c r="AE28" i="3" s="1"/>
  <c r="AD20" i="3"/>
  <c r="AD22" i="3" s="1"/>
  <c r="AD23" i="3" s="1"/>
  <c r="AD6" i="3"/>
  <c r="AD7" i="3" s="1"/>
  <c r="AD14" i="3"/>
  <c r="AC90" i="3"/>
  <c r="AD12" i="3"/>
  <c r="AD13" i="3" s="1"/>
  <c r="AD69" i="3" s="1" a="1"/>
  <c r="AD69" i="3" s="1"/>
  <c r="AD71" i="3" s="1"/>
  <c r="AE27" i="3" l="1"/>
  <c r="AC93" i="3"/>
  <c r="AC97" i="3" s="1"/>
  <c r="AC85" i="3"/>
  <c r="AC86" i="3"/>
  <c r="AC87" i="3" s="1"/>
  <c r="AB48" i="3"/>
  <c r="AB50" i="3" s="1"/>
  <c r="AB51" i="3" s="1"/>
  <c r="AB98" i="3"/>
  <c r="AB99" i="3" s="1"/>
  <c r="AB33" i="3" s="1"/>
  <c r="AE40" i="3"/>
  <c r="AE29" i="3"/>
  <c r="AD92" i="3"/>
  <c r="AD104" i="3"/>
  <c r="AD34" i="3"/>
  <c r="AD15" i="3"/>
  <c r="AD65" i="3" s="1"/>
  <c r="AD17" i="3"/>
  <c r="AC16" i="3"/>
  <c r="AD82" i="3"/>
  <c r="AD81" i="3"/>
  <c r="AE9" i="3"/>
  <c r="AF3" i="3"/>
  <c r="AE5" i="3"/>
  <c r="AE14" i="3" s="1"/>
  <c r="AE15" i="3" s="1"/>
  <c r="AE8" i="3"/>
  <c r="AE21" i="3" s="1"/>
  <c r="AC49" i="3" l="1"/>
  <c r="AD60" i="3"/>
  <c r="AD61" i="3" s="1"/>
  <c r="AD63" i="3" s="1"/>
  <c r="AD66" i="3" s="1"/>
  <c r="AD74" i="3" s="1"/>
  <c r="AD91" i="3" s="1"/>
  <c r="AE12" i="3"/>
  <c r="AE13" i="3" s="1"/>
  <c r="AE69" i="3" s="1" a="1"/>
  <c r="AE69" i="3" s="1"/>
  <c r="AE71" i="3" s="1"/>
  <c r="AE104" i="3" s="1"/>
  <c r="AB31" i="3"/>
  <c r="AF4" i="3"/>
  <c r="AF28" i="3" s="1"/>
  <c r="AE20" i="3"/>
  <c r="AE22" i="3" s="1"/>
  <c r="AE23" i="3" s="1"/>
  <c r="AE6" i="3"/>
  <c r="AE7" i="3" s="1"/>
  <c r="AD16" i="3"/>
  <c r="AE60" i="3" s="1"/>
  <c r="AE61" i="3" s="1"/>
  <c r="AD90" i="3"/>
  <c r="AC96" i="3"/>
  <c r="AC98" i="3" s="1"/>
  <c r="AC48" i="3"/>
  <c r="AE17" i="3"/>
  <c r="AC50" i="3" l="1"/>
  <c r="AC31" i="3" s="1"/>
  <c r="AF27" i="3"/>
  <c r="AE34" i="3"/>
  <c r="AE63" i="3"/>
  <c r="AD93" i="3"/>
  <c r="AD97" i="3" s="1"/>
  <c r="AD86" i="3"/>
  <c r="AD85" i="3"/>
  <c r="AF40" i="3"/>
  <c r="AF29" i="3"/>
  <c r="AE92" i="3"/>
  <c r="AE90" i="3"/>
  <c r="AE65" i="3"/>
  <c r="AC99" i="3"/>
  <c r="AC33" i="3" s="1"/>
  <c r="AE81" i="3"/>
  <c r="AE82" i="3"/>
  <c r="AF9" i="3"/>
  <c r="AF5" i="3"/>
  <c r="AF8" i="3"/>
  <c r="AF21" i="3" s="1"/>
  <c r="AG3" i="3"/>
  <c r="AF12" i="3"/>
  <c r="AF13" i="3" s="1"/>
  <c r="AF69" i="3" s="1" a="1"/>
  <c r="AF69" i="3" s="1"/>
  <c r="AF71" i="3" s="1"/>
  <c r="AF14" i="3"/>
  <c r="AD49" i="3" l="1"/>
  <c r="AC51" i="3"/>
  <c r="AE66" i="3"/>
  <c r="AE74" i="3" s="1"/>
  <c r="AE91" i="3" s="1"/>
  <c r="AE93" i="3" s="1"/>
  <c r="AD87" i="3"/>
  <c r="AD96" i="3" s="1"/>
  <c r="AD98" i="3" s="1"/>
  <c r="AF17" i="3"/>
  <c r="AE16" i="3"/>
  <c r="AF15" i="3"/>
  <c r="AG4" i="3"/>
  <c r="AG28" i="3" s="1"/>
  <c r="AF20" i="3"/>
  <c r="AF22" i="3" s="1"/>
  <c r="AF23" i="3" s="1"/>
  <c r="AF6" i="3"/>
  <c r="AF7" i="3" s="1"/>
  <c r="AF104" i="3"/>
  <c r="AF34" i="3"/>
  <c r="AE85" i="3" l="1"/>
  <c r="AE87" i="3" s="1"/>
  <c r="AE96" i="3" s="1"/>
  <c r="AE86" i="3"/>
  <c r="AD48" i="3"/>
  <c r="AD50" i="3" s="1"/>
  <c r="AD31" i="3" s="1"/>
  <c r="AG27" i="3"/>
  <c r="AG40" i="3"/>
  <c r="AG29" i="3"/>
  <c r="AD99" i="3"/>
  <c r="AD33" i="3" s="1"/>
  <c r="AE49" i="3"/>
  <c r="AE97" i="3"/>
  <c r="AF81" i="3"/>
  <c r="AF82" i="3"/>
  <c r="AF65" i="3"/>
  <c r="AF60" i="3"/>
  <c r="AF61" i="3" s="1"/>
  <c r="AF63" i="3" s="1"/>
  <c r="AF92" i="3"/>
  <c r="AG9" i="3"/>
  <c r="AG8" i="3"/>
  <c r="AG21" i="3" s="1"/>
  <c r="AH3" i="3"/>
  <c r="AG5" i="3"/>
  <c r="AG14" i="3"/>
  <c r="AG12" i="3"/>
  <c r="AG13" i="3" s="1"/>
  <c r="AG69" i="3" s="1" a="1"/>
  <c r="AG69" i="3" s="1"/>
  <c r="AG71" i="3" s="1"/>
  <c r="AD51" i="3" l="1"/>
  <c r="AE98" i="3"/>
  <c r="AE99" i="3" s="1"/>
  <c r="AE33" i="3" s="1"/>
  <c r="AE48" i="3"/>
  <c r="AE50" i="3" s="1"/>
  <c r="AE31" i="3" s="1"/>
  <c r="AF90" i="3"/>
  <c r="AG15" i="3"/>
  <c r="AG17" i="3"/>
  <c r="AF16" i="3"/>
  <c r="AH4" i="3"/>
  <c r="AH28" i="3" s="1"/>
  <c r="AG6" i="3"/>
  <c r="AG7" i="3" s="1"/>
  <c r="AG20" i="3"/>
  <c r="AG22" i="3" s="1"/>
  <c r="AG23" i="3" s="1"/>
  <c r="AG104" i="3"/>
  <c r="AG34" i="3"/>
  <c r="AF66" i="3"/>
  <c r="AF74" i="3" s="1"/>
  <c r="AF91" i="3" s="1"/>
  <c r="AH27" i="3" l="1"/>
  <c r="AG60" i="3"/>
  <c r="AG61" i="3" s="1"/>
  <c r="AG63" i="3" s="1"/>
  <c r="AF93" i="3"/>
  <c r="AF49" i="3" s="1"/>
  <c r="AE51" i="3"/>
  <c r="AH40" i="3"/>
  <c r="AH29" i="3"/>
  <c r="AG92" i="3"/>
  <c r="AG65" i="3"/>
  <c r="AG82" i="3"/>
  <c r="AG81" i="3"/>
  <c r="AF85" i="3"/>
  <c r="AH9" i="3"/>
  <c r="AH8" i="3"/>
  <c r="AH21" i="3" s="1"/>
  <c r="AI3" i="3"/>
  <c r="AH5" i="3"/>
  <c r="AH14" i="3" s="1"/>
  <c r="AF86" i="3"/>
  <c r="AG90" i="3" l="1"/>
  <c r="AH12" i="3"/>
  <c r="AH13" i="3" s="1"/>
  <c r="AH69" i="3" s="1" a="1"/>
  <c r="AH69" i="3" s="1"/>
  <c r="AH71" i="3" s="1"/>
  <c r="AH104" i="3" s="1"/>
  <c r="AF97" i="3"/>
  <c r="AG66" i="3"/>
  <c r="AG74" i="3" s="1"/>
  <c r="AG91" i="3" s="1"/>
  <c r="AF87" i="3"/>
  <c r="AF48" i="3" s="1"/>
  <c r="AF50" i="3" s="1"/>
  <c r="AH17" i="3"/>
  <c r="AG16" i="3"/>
  <c r="AH15" i="3"/>
  <c r="AH20" i="3"/>
  <c r="AH22" i="3" s="1"/>
  <c r="AH23" i="3" s="1"/>
  <c r="AH6" i="3"/>
  <c r="AH7" i="3" s="1"/>
  <c r="AI4" i="3"/>
  <c r="AI27" i="3" s="1"/>
  <c r="AG93" i="3" l="1"/>
  <c r="AG49" i="3" s="1"/>
  <c r="AH34" i="3"/>
  <c r="AG85" i="3"/>
  <c r="AG86" i="3"/>
  <c r="AF96" i="3"/>
  <c r="AF98" i="3" s="1"/>
  <c r="AF99" i="3" s="1"/>
  <c r="AF33" i="3" s="1"/>
  <c r="AI28" i="3"/>
  <c r="AH92" i="3"/>
  <c r="AF31" i="3"/>
  <c r="AF51" i="3"/>
  <c r="AI9" i="3"/>
  <c r="AI8" i="3"/>
  <c r="AI21" i="3" s="1"/>
  <c r="AJ3" i="3"/>
  <c r="AI5" i="3"/>
  <c r="AI14" i="3" s="1"/>
  <c r="AH81" i="3"/>
  <c r="AH82" i="3"/>
  <c r="AH60" i="3"/>
  <c r="AH61" i="3" s="1"/>
  <c r="AH63" i="3" s="1"/>
  <c r="AH65" i="3"/>
  <c r="AG97" i="3" l="1"/>
  <c r="AI12" i="3"/>
  <c r="AI13" i="3" s="1"/>
  <c r="AI69" i="3" s="1" a="1"/>
  <c r="AI69" i="3" s="1"/>
  <c r="AI71" i="3" s="1"/>
  <c r="AI34" i="3" s="1"/>
  <c r="AG87" i="3"/>
  <c r="AG96" i="3" s="1"/>
  <c r="AI40" i="3"/>
  <c r="AI29" i="3"/>
  <c r="AH66" i="3"/>
  <c r="AH74" i="3" s="1"/>
  <c r="AH91" i="3" s="1"/>
  <c r="AI17" i="3"/>
  <c r="AH16" i="3"/>
  <c r="AI15" i="3"/>
  <c r="AJ4" i="3"/>
  <c r="AJ28" i="3" s="1"/>
  <c r="AH90" i="3"/>
  <c r="AI6" i="3"/>
  <c r="AI7" i="3" s="1"/>
  <c r="AI20" i="3"/>
  <c r="AI22" i="3" s="1"/>
  <c r="AI23" i="3" s="1"/>
  <c r="AG98" i="3" l="1"/>
  <c r="AG99" i="3" s="1"/>
  <c r="AG33" i="3" s="1"/>
  <c r="AI104" i="3"/>
  <c r="AH86" i="3"/>
  <c r="AG48" i="3"/>
  <c r="AG50" i="3" s="1"/>
  <c r="AG51" i="3" s="1"/>
  <c r="AH85" i="3"/>
  <c r="AH93" i="3"/>
  <c r="AH49" i="3" s="1"/>
  <c r="AJ40" i="3"/>
  <c r="AJ29" i="3"/>
  <c r="AI92" i="3"/>
  <c r="AJ9" i="3"/>
  <c r="AK3" i="3"/>
  <c r="AJ8" i="3"/>
  <c r="AJ21" i="3" s="1"/>
  <c r="AJ5" i="3"/>
  <c r="AJ14" i="3" s="1"/>
  <c r="AI60" i="3"/>
  <c r="AI61" i="3" s="1"/>
  <c r="AI63" i="3" s="1"/>
  <c r="AJ27" i="3"/>
  <c r="AI82" i="3"/>
  <c r="AI81" i="3"/>
  <c r="AI65" i="3"/>
  <c r="AJ12" i="3" l="1"/>
  <c r="AJ13" i="3" s="1"/>
  <c r="AJ69" i="3" s="1" a="1"/>
  <c r="AJ69" i="3" s="1"/>
  <c r="AJ71" i="3" s="1"/>
  <c r="AJ104" i="3" s="1"/>
  <c r="AH97" i="3"/>
  <c r="AH87" i="3"/>
  <c r="AH96" i="3" s="1"/>
  <c r="AG31" i="3"/>
  <c r="AI66" i="3"/>
  <c r="AI74" i="3" s="1"/>
  <c r="AI91" i="3" s="1"/>
  <c r="AJ17" i="3"/>
  <c r="AI16" i="3"/>
  <c r="AJ15" i="3"/>
  <c r="AK4" i="3"/>
  <c r="AK28" i="3" s="1"/>
  <c r="AJ20" i="3"/>
  <c r="AJ22" i="3" s="1"/>
  <c r="AJ23" i="3" s="1"/>
  <c r="AJ6" i="3"/>
  <c r="AJ7" i="3" s="1"/>
  <c r="AI90" i="3"/>
  <c r="AJ34" i="3" l="1"/>
  <c r="AH98" i="3"/>
  <c r="AH99" i="3" s="1"/>
  <c r="AH33" i="3" s="1"/>
  <c r="AH48" i="3"/>
  <c r="AH50" i="3" s="1"/>
  <c r="AH31" i="3" s="1"/>
  <c r="AI93" i="3"/>
  <c r="AI49" i="3" s="1"/>
  <c r="AI86" i="3"/>
  <c r="AI85" i="3"/>
  <c r="AK40" i="3"/>
  <c r="AK29" i="3"/>
  <c r="AJ92" i="3"/>
  <c r="AJ82" i="3"/>
  <c r="AJ81" i="3"/>
  <c r="AK9" i="3"/>
  <c r="AL3" i="3"/>
  <c r="AK8" i="3"/>
  <c r="AK21" i="3" s="1"/>
  <c r="AK5" i="3"/>
  <c r="AK12" i="3" s="1"/>
  <c r="AK13" i="3" s="1"/>
  <c r="AK69" i="3" s="1" a="1"/>
  <c r="AK69" i="3" s="1"/>
  <c r="AK71" i="3" s="1"/>
  <c r="AJ60" i="3"/>
  <c r="AJ61" i="3" s="1"/>
  <c r="AJ63" i="3" s="1"/>
  <c r="AK27" i="3"/>
  <c r="AJ65" i="3"/>
  <c r="AK14" i="3" l="1"/>
  <c r="AK17" i="3" s="1"/>
  <c r="AH51" i="3"/>
  <c r="AI87" i="3"/>
  <c r="AI96" i="3" s="1"/>
  <c r="AI97" i="3"/>
  <c r="AJ66" i="3"/>
  <c r="AJ74" i="3" s="1"/>
  <c r="AJ91" i="3" s="1"/>
  <c r="AK104" i="3"/>
  <c r="AK34" i="3"/>
  <c r="AL4" i="3"/>
  <c r="AL27" i="3" s="1"/>
  <c r="AK20" i="3"/>
  <c r="AK22" i="3" s="1"/>
  <c r="AK23" i="3" s="1"/>
  <c r="AK6" i="3"/>
  <c r="AK7" i="3" s="1"/>
  <c r="AJ90" i="3"/>
  <c r="AK15" i="3" l="1"/>
  <c r="AJ16" i="3"/>
  <c r="AI48" i="3"/>
  <c r="AI50" i="3" s="1"/>
  <c r="AI31" i="3" s="1"/>
  <c r="AJ93" i="3"/>
  <c r="AJ49" i="3" s="1"/>
  <c r="AI98" i="3"/>
  <c r="AI99" i="3" s="1"/>
  <c r="AI33" i="3" s="1"/>
  <c r="AJ86" i="3"/>
  <c r="AJ85" i="3"/>
  <c r="AL28" i="3"/>
  <c r="AK92" i="3"/>
  <c r="AK81" i="3"/>
  <c r="AK82" i="3"/>
  <c r="AK60" i="3"/>
  <c r="AK61" i="3" s="1"/>
  <c r="AK63" i="3" s="1"/>
  <c r="AK65" i="3"/>
  <c r="AL9" i="3"/>
  <c r="AM3" i="3"/>
  <c r="AL8" i="3"/>
  <c r="AL21" i="3" s="1"/>
  <c r="AL5" i="3"/>
  <c r="AL14" i="3" s="1"/>
  <c r="AL12" i="3"/>
  <c r="AL13" i="3" s="1"/>
  <c r="AL69" i="3" s="1" a="1"/>
  <c r="AL69" i="3" s="1"/>
  <c r="AL71" i="3" s="1"/>
  <c r="AJ87" i="3" l="1"/>
  <c r="AJ48" i="3" s="1"/>
  <c r="AJ50" i="3" s="1"/>
  <c r="AJ97" i="3"/>
  <c r="AI51" i="3"/>
  <c r="AK66" i="3"/>
  <c r="AK74" i="3" s="1"/>
  <c r="AK91" i="3" s="1"/>
  <c r="AL40" i="3"/>
  <c r="AL29" i="3"/>
  <c r="AL6" i="3"/>
  <c r="AL7" i="3" s="1"/>
  <c r="AL20" i="3"/>
  <c r="AL22" i="3" s="1"/>
  <c r="AL23" i="3" s="1"/>
  <c r="AL104" i="3"/>
  <c r="AL34" i="3"/>
  <c r="AK90" i="3"/>
  <c r="AL17" i="3"/>
  <c r="AL15" i="3"/>
  <c r="AK16" i="3"/>
  <c r="AM4" i="3"/>
  <c r="AM27" i="3" s="1"/>
  <c r="AM28" i="3" l="1"/>
  <c r="AM40" i="3" s="1"/>
  <c r="AJ96" i="3"/>
  <c r="AJ98" i="3" s="1"/>
  <c r="AJ99" i="3" s="1"/>
  <c r="AJ33" i="3" s="1"/>
  <c r="AK93" i="3"/>
  <c r="AK49" i="3" s="1"/>
  <c r="AK85" i="3"/>
  <c r="AK86" i="3"/>
  <c r="AM9" i="3"/>
  <c r="AM5" i="3"/>
  <c r="AM14" i="3" s="1"/>
  <c r="AN3" i="3"/>
  <c r="AM8" i="3"/>
  <c r="AM21" i="3" s="1"/>
  <c r="AL60" i="3"/>
  <c r="AL61" i="3" s="1"/>
  <c r="AL63" i="3" s="1"/>
  <c r="AL65" i="3"/>
  <c r="AJ31" i="3"/>
  <c r="AJ51" i="3"/>
  <c r="AL92" i="3"/>
  <c r="AL82" i="3"/>
  <c r="AL81" i="3"/>
  <c r="AM29" i="3" l="1"/>
  <c r="AM12" i="3"/>
  <c r="AM13" i="3" s="1"/>
  <c r="AM69" i="3" s="1" a="1"/>
  <c r="AM69" i="3" s="1"/>
  <c r="AM71" i="3" s="1"/>
  <c r="AM104" i="3" s="1"/>
  <c r="AK97" i="3"/>
  <c r="AK87" i="3"/>
  <c r="AL90" i="3"/>
  <c r="AN4" i="3"/>
  <c r="AN27" i="3" s="1"/>
  <c r="AL66" i="3"/>
  <c r="AL74" i="3" s="1"/>
  <c r="AL91" i="3" s="1"/>
  <c r="AM17" i="3"/>
  <c r="AM15" i="3"/>
  <c r="AL16" i="3"/>
  <c r="AM20" i="3"/>
  <c r="AM22" i="3" s="1"/>
  <c r="AM23" i="3" s="1"/>
  <c r="AM6" i="3"/>
  <c r="AM7" i="3" s="1"/>
  <c r="AL93" i="3" l="1"/>
  <c r="AL49" i="3" s="1"/>
  <c r="AN28" i="3"/>
  <c r="AN29" i="3" s="1"/>
  <c r="AM34" i="3"/>
  <c r="AK48" i="3"/>
  <c r="AK50" i="3" s="1"/>
  <c r="AK31" i="3" s="1"/>
  <c r="AK96" i="3"/>
  <c r="AK98" i="3" s="1"/>
  <c r="AK99" i="3" s="1"/>
  <c r="AK33" i="3" s="1"/>
  <c r="AN40" i="3"/>
  <c r="AM65" i="3"/>
  <c r="AM92" i="3"/>
  <c r="AM82" i="3"/>
  <c r="AM81" i="3"/>
  <c r="AL86" i="3"/>
  <c r="AM60" i="3"/>
  <c r="AM61" i="3" s="1"/>
  <c r="AM63" i="3" s="1"/>
  <c r="AN9" i="3"/>
  <c r="AO3" i="3"/>
  <c r="AN8" i="3"/>
  <c r="AN21" i="3" s="1"/>
  <c r="AN5" i="3"/>
  <c r="AN14" i="3" s="1"/>
  <c r="AL85" i="3"/>
  <c r="AL97" i="3" l="1"/>
  <c r="AN12" i="3"/>
  <c r="AN13" i="3" s="1"/>
  <c r="AN69" i="3" s="1" a="1"/>
  <c r="AN69" i="3" s="1"/>
  <c r="AN71" i="3" s="1"/>
  <c r="AN104" i="3" s="1"/>
  <c r="AM66" i="3"/>
  <c r="AM74" i="3" s="1"/>
  <c r="AM91" i="3" s="1"/>
  <c r="AK51" i="3"/>
  <c r="AL87" i="3"/>
  <c r="AO4" i="3"/>
  <c r="AO28" i="3" s="1"/>
  <c r="AN20" i="3"/>
  <c r="AN22" i="3" s="1"/>
  <c r="AN23" i="3" s="1"/>
  <c r="AN6" i="3"/>
  <c r="AN7" i="3" s="1"/>
  <c r="AN17" i="3"/>
  <c r="AN15" i="3"/>
  <c r="AM16" i="3"/>
  <c r="AM90" i="3"/>
  <c r="AM93" i="3" s="1"/>
  <c r="AN34" i="3" l="1"/>
  <c r="AM86" i="3"/>
  <c r="AO27" i="3"/>
  <c r="AM85" i="3"/>
  <c r="AO40" i="3"/>
  <c r="AO29" i="3"/>
  <c r="AN92" i="3"/>
  <c r="AM49" i="3"/>
  <c r="AM97" i="3"/>
  <c r="AN65" i="3"/>
  <c r="AN60" i="3"/>
  <c r="AN61" i="3" s="1"/>
  <c r="AN63" i="3" s="1"/>
  <c r="AN82" i="3"/>
  <c r="AN81" i="3"/>
  <c r="AO9" i="3"/>
  <c r="AP3" i="3"/>
  <c r="AO8" i="3"/>
  <c r="AO21" i="3" s="1"/>
  <c r="AO5" i="3"/>
  <c r="AO12" i="3"/>
  <c r="AO13" i="3" s="1"/>
  <c r="AO69" i="3" s="1" a="1"/>
  <c r="AO69" i="3" s="1"/>
  <c r="AO71" i="3" s="1"/>
  <c r="AL48" i="3"/>
  <c r="AL50" i="3" s="1"/>
  <c r="AL96" i="3"/>
  <c r="AL98" i="3" s="1"/>
  <c r="AM87" i="3" l="1"/>
  <c r="AM96" i="3" s="1"/>
  <c r="AM98" i="3" s="1"/>
  <c r="AM99" i="3" s="1"/>
  <c r="AM33" i="3" s="1"/>
  <c r="AN66" i="3"/>
  <c r="AN74" i="3" s="1"/>
  <c r="AN91" i="3" s="1"/>
  <c r="AO104" i="3"/>
  <c r="AO34" i="3"/>
  <c r="AP4" i="3"/>
  <c r="AP28" i="3" s="1"/>
  <c r="AO6" i="3"/>
  <c r="AO7" i="3" s="1"/>
  <c r="AO20" i="3"/>
  <c r="AO22" i="3" s="1"/>
  <c r="AO23" i="3" s="1"/>
  <c r="AL99" i="3"/>
  <c r="AL33" i="3" s="1"/>
  <c r="AL31" i="3"/>
  <c r="AL51" i="3"/>
  <c r="AN90" i="3"/>
  <c r="AO14" i="3"/>
  <c r="AM48" i="3" l="1"/>
  <c r="AM50" i="3" s="1"/>
  <c r="AP27" i="3"/>
  <c r="AN93" i="3"/>
  <c r="AN97" i="3" s="1"/>
  <c r="AN86" i="3"/>
  <c r="AN85" i="3"/>
  <c r="AP40" i="3"/>
  <c r="AP29" i="3"/>
  <c r="AO17" i="3"/>
  <c r="AO15" i="3"/>
  <c r="AN16" i="3"/>
  <c r="AO92" i="3"/>
  <c r="AM31" i="3"/>
  <c r="AM51" i="3"/>
  <c r="AP9" i="3"/>
  <c r="AQ3" i="3"/>
  <c r="AP8" i="3"/>
  <c r="AP21" i="3" s="1"/>
  <c r="AP5" i="3"/>
  <c r="AP12" i="3" s="1"/>
  <c r="AP13" i="3" s="1"/>
  <c r="AP69" i="3" s="1" a="1"/>
  <c r="AP69" i="3" s="1"/>
  <c r="AP71" i="3" s="1"/>
  <c r="AO82" i="3"/>
  <c r="AO81" i="3"/>
  <c r="AP14" i="3" l="1"/>
  <c r="AP17" i="3" s="1"/>
  <c r="AN49" i="3"/>
  <c r="AN87" i="3"/>
  <c r="AN48" i="3" s="1"/>
  <c r="AP34" i="3"/>
  <c r="AP104" i="3"/>
  <c r="AQ4" i="3"/>
  <c r="AQ27" i="3" s="1"/>
  <c r="AP20" i="3"/>
  <c r="AP22" i="3" s="1"/>
  <c r="AP23" i="3" s="1"/>
  <c r="AP6" i="3"/>
  <c r="AP7" i="3" s="1"/>
  <c r="AO65" i="3"/>
  <c r="AO60" i="3"/>
  <c r="AO61" i="3" s="1"/>
  <c r="AP15" i="3" l="1"/>
  <c r="AP65" i="3" s="1"/>
  <c r="AO16" i="3"/>
  <c r="AQ28" i="3"/>
  <c r="AQ40" i="3" s="1"/>
  <c r="AN50" i="3"/>
  <c r="AN31" i="3" s="1"/>
  <c r="AN96" i="3"/>
  <c r="AN98" i="3" s="1"/>
  <c r="AN99" i="3" s="1"/>
  <c r="AN33" i="3" s="1"/>
  <c r="AP92" i="3"/>
  <c r="AO63" i="3"/>
  <c r="AO66" i="3" s="1"/>
  <c r="AO74" i="3" s="1"/>
  <c r="AO90" i="3"/>
  <c r="AQ9" i="3"/>
  <c r="AR3" i="3"/>
  <c r="AQ5" i="3"/>
  <c r="AQ14" i="3" s="1"/>
  <c r="AQ8" i="3"/>
  <c r="AQ21" i="3" s="1"/>
  <c r="AP82" i="3"/>
  <c r="AP81" i="3"/>
  <c r="AP60" i="3" l="1"/>
  <c r="AP61" i="3" s="1"/>
  <c r="AP90" i="3" s="1"/>
  <c r="AQ29" i="3"/>
  <c r="AQ12" i="3"/>
  <c r="AQ13" i="3" s="1"/>
  <c r="AQ69" i="3" s="1" a="1"/>
  <c r="AQ69" i="3" s="1"/>
  <c r="AQ71" i="3" s="1"/>
  <c r="AQ104" i="3" s="1"/>
  <c r="AN51" i="3"/>
  <c r="AQ17" i="3"/>
  <c r="AP16" i="3"/>
  <c r="AQ15" i="3"/>
  <c r="AQ6" i="3"/>
  <c r="AQ7" i="3" s="1"/>
  <c r="AQ20" i="3"/>
  <c r="AQ22" i="3" s="1"/>
  <c r="AQ23" i="3" s="1"/>
  <c r="AO91" i="3"/>
  <c r="AO93" i="3" s="1"/>
  <c r="AO86" i="3"/>
  <c r="AO85" i="3"/>
  <c r="AR4" i="3"/>
  <c r="AR27" i="3" s="1"/>
  <c r="AP63" i="3" l="1"/>
  <c r="AP66" i="3" s="1"/>
  <c r="AP74" i="3" s="1"/>
  <c r="AP91" i="3" s="1"/>
  <c r="AP93" i="3" s="1"/>
  <c r="AP49" i="3" s="1"/>
  <c r="AQ34" i="3"/>
  <c r="AR28" i="3"/>
  <c r="AR40" i="3" s="1"/>
  <c r="AO87" i="3"/>
  <c r="AO96" i="3" s="1"/>
  <c r="AQ92" i="3"/>
  <c r="AO49" i="3"/>
  <c r="AO97" i="3"/>
  <c r="AR9" i="3"/>
  <c r="AS3" i="3"/>
  <c r="AR8" i="3"/>
  <c r="AR21" i="3" s="1"/>
  <c r="AR5" i="3"/>
  <c r="AR14" i="3" s="1"/>
  <c r="AQ65" i="3"/>
  <c r="AQ60" i="3"/>
  <c r="AQ61" i="3" s="1"/>
  <c r="AQ63" i="3" s="1"/>
  <c r="AQ82" i="3"/>
  <c r="AQ81" i="3"/>
  <c r="AP97" i="3" l="1"/>
  <c r="AP85" i="3"/>
  <c r="AP86" i="3"/>
  <c r="AR12" i="3"/>
  <c r="AR13" i="3" s="1"/>
  <c r="AR69" i="3" s="1" a="1"/>
  <c r="AR69" i="3" s="1"/>
  <c r="AR71" i="3" s="1"/>
  <c r="AR104" i="3" s="1"/>
  <c r="AR29" i="3"/>
  <c r="AQ66" i="3"/>
  <c r="AQ74" i="3" s="1"/>
  <c r="AQ91" i="3" s="1"/>
  <c r="AP87" i="3"/>
  <c r="AP96" i="3" s="1"/>
  <c r="AO48" i="3"/>
  <c r="AO50" i="3" s="1"/>
  <c r="AO31" i="3" s="1"/>
  <c r="AR17" i="3"/>
  <c r="AQ16" i="3"/>
  <c r="AR15" i="3"/>
  <c r="AS4" i="3"/>
  <c r="AS27" i="3" s="1"/>
  <c r="AR20" i="3"/>
  <c r="AR22" i="3" s="1"/>
  <c r="AR23" i="3" s="1"/>
  <c r="AR6" i="3"/>
  <c r="AR7" i="3" s="1"/>
  <c r="AO98" i="3"/>
  <c r="AO99" i="3" s="1"/>
  <c r="AO33" i="3" s="1"/>
  <c r="AQ90" i="3"/>
  <c r="AP98" i="3" l="1"/>
  <c r="AQ93" i="3"/>
  <c r="AQ49" i="3" s="1"/>
  <c r="AR34" i="3"/>
  <c r="AQ85" i="3"/>
  <c r="AQ86" i="3"/>
  <c r="AS28" i="3"/>
  <c r="AS40" i="3" s="1"/>
  <c r="AP48" i="3"/>
  <c r="AP50" i="3" s="1"/>
  <c r="AP31" i="3" s="1"/>
  <c r="AO51" i="3"/>
  <c r="AR92" i="3"/>
  <c r="AR65" i="3"/>
  <c r="AQ97" i="3"/>
  <c r="AS9" i="3"/>
  <c r="AS8" i="3"/>
  <c r="AS21" i="3" s="1"/>
  <c r="AS5" i="3"/>
  <c r="AS12" i="3" s="1"/>
  <c r="AS13" i="3" s="1"/>
  <c r="AS69" i="3" s="1" a="1"/>
  <c r="AS69" i="3" s="1"/>
  <c r="AS71" i="3" s="1"/>
  <c r="AT3" i="3"/>
  <c r="AR82" i="3"/>
  <c r="AR81" i="3"/>
  <c r="AR60" i="3"/>
  <c r="AR61" i="3" s="1"/>
  <c r="AR63" i="3" s="1"/>
  <c r="AP99" i="3"/>
  <c r="AP33" i="3" s="1"/>
  <c r="AQ87" i="3" l="1"/>
  <c r="AQ48" i="3" s="1"/>
  <c r="AQ50" i="3" s="1"/>
  <c r="AS29" i="3"/>
  <c r="AR66" i="3"/>
  <c r="AR74" i="3" s="1"/>
  <c r="AR91" i="3" s="1"/>
  <c r="AS14" i="3"/>
  <c r="AS17" i="3" s="1"/>
  <c r="AP51" i="3"/>
  <c r="AS104" i="3"/>
  <c r="AS34" i="3"/>
  <c r="AS20" i="3"/>
  <c r="AS22" i="3" s="1"/>
  <c r="AS23" i="3" s="1"/>
  <c r="AS6" i="3"/>
  <c r="AS7" i="3" s="1"/>
  <c r="AT4" i="3"/>
  <c r="AT27" i="3" s="1"/>
  <c r="AR90" i="3"/>
  <c r="AQ96" i="3" l="1"/>
  <c r="AQ98" i="3" s="1"/>
  <c r="AR85" i="3"/>
  <c r="AR93" i="3"/>
  <c r="AR49" i="3" s="1"/>
  <c r="AR16" i="3"/>
  <c r="AS15" i="3"/>
  <c r="AR86" i="3"/>
  <c r="AT28" i="3"/>
  <c r="AT40" i="3" s="1"/>
  <c r="AS92" i="3"/>
  <c r="AQ99" i="3"/>
  <c r="AQ33" i="3" s="1"/>
  <c r="AT9" i="3"/>
  <c r="AT5" i="3"/>
  <c r="AT12" i="3" s="1"/>
  <c r="AT13" i="3" s="1"/>
  <c r="AT69" i="3" s="1" a="1"/>
  <c r="AT69" i="3" s="1"/>
  <c r="AT71" i="3" s="1"/>
  <c r="AT8" i="3"/>
  <c r="AT21" i="3" s="1"/>
  <c r="AU3" i="3"/>
  <c r="AS81" i="3"/>
  <c r="AS82" i="3"/>
  <c r="AQ31" i="3"/>
  <c r="AQ51" i="3"/>
  <c r="AR87" i="3" l="1"/>
  <c r="AR48" i="3" s="1"/>
  <c r="AR50" i="3" s="1"/>
  <c r="AR97" i="3"/>
  <c r="AS60" i="3"/>
  <c r="AS61" i="3" s="1"/>
  <c r="AS63" i="3" s="1"/>
  <c r="AS65" i="3"/>
  <c r="AT29" i="3"/>
  <c r="AT14" i="3"/>
  <c r="AS16" i="3" s="1"/>
  <c r="AU4" i="3"/>
  <c r="AU27" i="3" s="1"/>
  <c r="AT34" i="3"/>
  <c r="AT104" i="3"/>
  <c r="AT20" i="3"/>
  <c r="AT22" i="3" s="1"/>
  <c r="AT23" i="3" s="1"/>
  <c r="AT6" i="3"/>
  <c r="AT7" i="3" s="1"/>
  <c r="AR96" i="3" l="1"/>
  <c r="AS66" i="3"/>
  <c r="AS74" i="3" s="1"/>
  <c r="AS91" i="3" s="1"/>
  <c r="AR98" i="3"/>
  <c r="AR99" i="3" s="1"/>
  <c r="AR33" i="3" s="1"/>
  <c r="AS90" i="3"/>
  <c r="AT15" i="3"/>
  <c r="AT60" i="3" s="1"/>
  <c r="AT61" i="3" s="1"/>
  <c r="AT63" i="3" s="1"/>
  <c r="AU28" i="3"/>
  <c r="AU40" i="3" s="1"/>
  <c r="AT17" i="3"/>
  <c r="AT92" i="3"/>
  <c r="AT82" i="3"/>
  <c r="AT81" i="3"/>
  <c r="AR31" i="3"/>
  <c r="AR51" i="3"/>
  <c r="AU9" i="3"/>
  <c r="AU5" i="3"/>
  <c r="AU12" i="3" s="1"/>
  <c r="AU13" i="3" s="1"/>
  <c r="AU69" i="3" s="1" a="1"/>
  <c r="AU69" i="3" s="1"/>
  <c r="AU71" i="3" s="1"/>
  <c r="AU8" i="3"/>
  <c r="AU21" i="3" s="1"/>
  <c r="AV3" i="3"/>
  <c r="AS93" i="3" l="1"/>
  <c r="AS49" i="3" s="1"/>
  <c r="AS85" i="3"/>
  <c r="AS86" i="3"/>
  <c r="AU29" i="3"/>
  <c r="AT65" i="3"/>
  <c r="AU14" i="3"/>
  <c r="AU17" i="3" s="1"/>
  <c r="AS97" i="3"/>
  <c r="AT66" i="3"/>
  <c r="AT74" i="3" s="1"/>
  <c r="AT91" i="3" s="1"/>
  <c r="AV4" i="3"/>
  <c r="AV28" i="3" s="1"/>
  <c r="AU20" i="3"/>
  <c r="AU22" i="3" s="1"/>
  <c r="AU23" i="3" s="1"/>
  <c r="AU6" i="3"/>
  <c r="AU7" i="3" s="1"/>
  <c r="AU34" i="3"/>
  <c r="AU104" i="3"/>
  <c r="AT90" i="3"/>
  <c r="AS87" i="3" l="1"/>
  <c r="AS48" i="3" s="1"/>
  <c r="AS50" i="3" s="1"/>
  <c r="AS31" i="3" s="1"/>
  <c r="AT16" i="3"/>
  <c r="AU15" i="3"/>
  <c r="AU60" i="3" s="1"/>
  <c r="AU61" i="3" s="1"/>
  <c r="AU63" i="3" s="1"/>
  <c r="AV27" i="3"/>
  <c r="AT93" i="3"/>
  <c r="AT49" i="3" s="1"/>
  <c r="AT86" i="3"/>
  <c r="AT85" i="3"/>
  <c r="AV40" i="3"/>
  <c r="AV29" i="3"/>
  <c r="AU65" i="3"/>
  <c r="AU92" i="3"/>
  <c r="AV9" i="3"/>
  <c r="AW3" i="3"/>
  <c r="AV5" i="3"/>
  <c r="AV14" i="3" s="1"/>
  <c r="AV8" i="3"/>
  <c r="AV21" i="3" s="1"/>
  <c r="AU81" i="3"/>
  <c r="AU82" i="3"/>
  <c r="AS96" i="3" l="1"/>
  <c r="AS98" i="3" s="1"/>
  <c r="AS99" i="3" s="1"/>
  <c r="AS33" i="3" s="1"/>
  <c r="AV12" i="3"/>
  <c r="AV13" i="3" s="1"/>
  <c r="AV69" i="3" s="1" a="1"/>
  <c r="AV69" i="3" s="1"/>
  <c r="AV71" i="3" s="1"/>
  <c r="AV34" i="3" s="1"/>
  <c r="AT87" i="3"/>
  <c r="AT96" i="3" s="1"/>
  <c r="AS51" i="3"/>
  <c r="AT97" i="3"/>
  <c r="AU66" i="3"/>
  <c r="AU74" i="3" s="1"/>
  <c r="AU91" i="3" s="1"/>
  <c r="AV17" i="3"/>
  <c r="AV15" i="3"/>
  <c r="AU16" i="3"/>
  <c r="AV20" i="3"/>
  <c r="AV22" i="3" s="1"/>
  <c r="AV23" i="3" s="1"/>
  <c r="AV6" i="3"/>
  <c r="AV7" i="3" s="1"/>
  <c r="AU90" i="3"/>
  <c r="AW4" i="3"/>
  <c r="AW27" i="3" s="1"/>
  <c r="AV104" i="3" l="1"/>
  <c r="AT48" i="3"/>
  <c r="AT50" i="3" s="1"/>
  <c r="AT31" i="3" s="1"/>
  <c r="AT98" i="3"/>
  <c r="AT99" i="3" s="1"/>
  <c r="AT33" i="3" s="1"/>
  <c r="AU93" i="3"/>
  <c r="AU49" i="3" s="1"/>
  <c r="AU85" i="3"/>
  <c r="AU86" i="3"/>
  <c r="AV92" i="3"/>
  <c r="AW28" i="3"/>
  <c r="AV82" i="3"/>
  <c r="AV81" i="3"/>
  <c r="AV60" i="3"/>
  <c r="AV61" i="3" s="1"/>
  <c r="AV63" i="3" s="1"/>
  <c r="AV65" i="3"/>
  <c r="AW9" i="3"/>
  <c r="AX3" i="3"/>
  <c r="AW5" i="3"/>
  <c r="AW8" i="3"/>
  <c r="AW21" i="3" s="1"/>
  <c r="AU97" i="3" l="1"/>
  <c r="AT51" i="3"/>
  <c r="AU87" i="3"/>
  <c r="AV66" i="3"/>
  <c r="AV74" i="3" s="1"/>
  <c r="AV91" i="3" s="1"/>
  <c r="AW40" i="3"/>
  <c r="AW29" i="3"/>
  <c r="AX4" i="3"/>
  <c r="AX28" i="3" s="1"/>
  <c r="AW6" i="3"/>
  <c r="AW7" i="3" s="1"/>
  <c r="AW20" i="3"/>
  <c r="AW22" i="3" s="1"/>
  <c r="AW23" i="3" s="1"/>
  <c r="AW12" i="3"/>
  <c r="AW13" i="3" s="1"/>
  <c r="AW69" i="3" s="1" a="1"/>
  <c r="AW69" i="3" s="1"/>
  <c r="AW71" i="3" s="1"/>
  <c r="AW14" i="3"/>
  <c r="AV90" i="3"/>
  <c r="AX27" i="3" l="1"/>
  <c r="AV93" i="3"/>
  <c r="AV49" i="3" s="1"/>
  <c r="AV86" i="3"/>
  <c r="AU96" i="3"/>
  <c r="AU98" i="3" s="1"/>
  <c r="AU99" i="3" s="1"/>
  <c r="AU33" i="3" s="1"/>
  <c r="AU48" i="3"/>
  <c r="AU50" i="3" s="1"/>
  <c r="AV85" i="3"/>
  <c r="AX40" i="3"/>
  <c r="AX29" i="3"/>
  <c r="AW92" i="3"/>
  <c r="AW17" i="3"/>
  <c r="AV16" i="3"/>
  <c r="AW15" i="3"/>
  <c r="AW65" i="3" s="1"/>
  <c r="AW34" i="3"/>
  <c r="AW104" i="3"/>
  <c r="AW82" i="3"/>
  <c r="AW81" i="3"/>
  <c r="AX9" i="3"/>
  <c r="AY3" i="3"/>
  <c r="AX5" i="3"/>
  <c r="AX12" i="3" s="1"/>
  <c r="AX13" i="3" s="1"/>
  <c r="AX69" i="3" s="1" a="1"/>
  <c r="AX69" i="3" s="1"/>
  <c r="AX71" i="3" s="1"/>
  <c r="AX8" i="3"/>
  <c r="AX21" i="3" s="1"/>
  <c r="AX14" i="3"/>
  <c r="AV87" i="3" l="1"/>
  <c r="AV96" i="3" s="1"/>
  <c r="AV97" i="3"/>
  <c r="AU31" i="3"/>
  <c r="AU51" i="3"/>
  <c r="AX17" i="3"/>
  <c r="AX20" i="3"/>
  <c r="AX22" i="3" s="1"/>
  <c r="AX23" i="3" s="1"/>
  <c r="AX6" i="3"/>
  <c r="AX7" i="3" s="1"/>
  <c r="AW16" i="3"/>
  <c r="AX104" i="3"/>
  <c r="AX34" i="3"/>
  <c r="AY4" i="3"/>
  <c r="AY27" i="3" s="1"/>
  <c r="AW60" i="3"/>
  <c r="AW61" i="3" s="1"/>
  <c r="AX15" i="3"/>
  <c r="AY28" i="3" l="1"/>
  <c r="AY40" i="3" s="1"/>
  <c r="AV48" i="3"/>
  <c r="AV50" i="3" s="1"/>
  <c r="AV31" i="3" s="1"/>
  <c r="AV98" i="3"/>
  <c r="AV99" i="3" s="1"/>
  <c r="AV33" i="3" s="1"/>
  <c r="AX92" i="3"/>
  <c r="AX65" i="3"/>
  <c r="AW63" i="3"/>
  <c r="AW66" i="3" s="1"/>
  <c r="AW74" i="3" s="1"/>
  <c r="AW90" i="3"/>
  <c r="AY9" i="3"/>
  <c r="AY8" i="3"/>
  <c r="AY21" i="3" s="1"/>
  <c r="AZ3" i="3"/>
  <c r="AY5" i="3"/>
  <c r="AY12" i="3" s="1"/>
  <c r="AY13" i="3" s="1"/>
  <c r="AY69" i="3" s="1" a="1"/>
  <c r="AY69" i="3" s="1"/>
  <c r="AY71" i="3" s="1"/>
  <c r="AX81" i="3"/>
  <c r="AX82" i="3"/>
  <c r="AX60" i="3"/>
  <c r="AX61" i="3" s="1"/>
  <c r="AX63" i="3" s="1"/>
  <c r="AY29" i="3" l="1"/>
  <c r="AV51" i="3"/>
  <c r="AY14" i="3"/>
  <c r="AY17" i="3" s="1"/>
  <c r="AX66" i="3"/>
  <c r="AX74" i="3" s="1"/>
  <c r="AX91" i="3" s="1"/>
  <c r="AY104" i="3"/>
  <c r="AY34" i="3"/>
  <c r="AX90" i="3"/>
  <c r="AZ4" i="3"/>
  <c r="AZ28" i="3" s="1"/>
  <c r="AY6" i="3"/>
  <c r="AY7" i="3" s="1"/>
  <c r="AY20" i="3"/>
  <c r="AY22" i="3" s="1"/>
  <c r="AY23" i="3" s="1"/>
  <c r="AW91" i="3"/>
  <c r="AW93" i="3" s="1"/>
  <c r="AW85" i="3"/>
  <c r="AW86" i="3"/>
  <c r="AY15" i="3" l="1"/>
  <c r="AY65" i="3" s="1"/>
  <c r="AX16" i="3"/>
  <c r="AX85" i="3"/>
  <c r="AX86" i="3"/>
  <c r="AX93" i="3"/>
  <c r="AZ27" i="3"/>
  <c r="AZ40" i="3"/>
  <c r="AZ29" i="3"/>
  <c r="AW49" i="3"/>
  <c r="AW97" i="3"/>
  <c r="AY92" i="3"/>
  <c r="AW87" i="3"/>
  <c r="AZ9" i="3"/>
  <c r="AZ5" i="3"/>
  <c r="AZ12" i="3" s="1"/>
  <c r="AZ13" i="3" s="1"/>
  <c r="AZ69" i="3" s="1" a="1"/>
  <c r="AZ69" i="3" s="1"/>
  <c r="AZ71" i="3" s="1"/>
  <c r="AZ8" i="3"/>
  <c r="AZ21" i="3" s="1"/>
  <c r="BA3" i="3"/>
  <c r="AY82" i="3"/>
  <c r="AY81" i="3"/>
  <c r="AX49" i="3"/>
  <c r="AX97" i="3"/>
  <c r="AY60" i="3" l="1"/>
  <c r="AY61" i="3" s="1"/>
  <c r="AY90" i="3" s="1"/>
  <c r="AX87" i="3"/>
  <c r="AX48" i="3" s="1"/>
  <c r="AX50" i="3" s="1"/>
  <c r="AZ14" i="3"/>
  <c r="AY16" i="3" s="1"/>
  <c r="AZ104" i="3"/>
  <c r="AZ34" i="3"/>
  <c r="BA4" i="3"/>
  <c r="BA28" i="3" s="1"/>
  <c r="AW48" i="3"/>
  <c r="AW50" i="3" s="1"/>
  <c r="AW96" i="3"/>
  <c r="AW98" i="3" s="1"/>
  <c r="AW99" i="3" s="1"/>
  <c r="AW33" i="3" s="1"/>
  <c r="AZ20" i="3"/>
  <c r="AZ22" i="3" s="1"/>
  <c r="AZ23" i="3" s="1"/>
  <c r="AZ6" i="3"/>
  <c r="AZ7" i="3" s="1"/>
  <c r="AY63" i="3" l="1"/>
  <c r="AY66" i="3" s="1"/>
  <c r="AY74" i="3" s="1"/>
  <c r="AY91" i="3" s="1"/>
  <c r="AY93" i="3" s="1"/>
  <c r="AY49" i="3" s="1"/>
  <c r="AX96" i="3"/>
  <c r="AX98" i="3" s="1"/>
  <c r="AZ17" i="3"/>
  <c r="BA27" i="3"/>
  <c r="AZ15" i="3"/>
  <c r="AZ60" i="3" s="1"/>
  <c r="AZ61" i="3" s="1"/>
  <c r="AZ63" i="3" s="1"/>
  <c r="BA40" i="3"/>
  <c r="BA29" i="3"/>
  <c r="AZ92" i="3"/>
  <c r="AZ65" i="3"/>
  <c r="AY97" i="3"/>
  <c r="AZ82" i="3"/>
  <c r="AZ81" i="3"/>
  <c r="AW31" i="3"/>
  <c r="AW51" i="3"/>
  <c r="BA9" i="3"/>
  <c r="BB3" i="3"/>
  <c r="BA5" i="3"/>
  <c r="BA14" i="3" s="1"/>
  <c r="BA8" i="3"/>
  <c r="BA21" i="3" s="1"/>
  <c r="BA12" i="3"/>
  <c r="BA13" i="3" s="1"/>
  <c r="BA69" i="3" s="1" a="1"/>
  <c r="BA69" i="3" s="1"/>
  <c r="BA71" i="3" s="1"/>
  <c r="AX31" i="3"/>
  <c r="AX51" i="3"/>
  <c r="AX99" i="3"/>
  <c r="AX33" i="3" s="1"/>
  <c r="AY85" i="3" l="1"/>
  <c r="AY86" i="3"/>
  <c r="AZ66" i="3"/>
  <c r="AZ74" i="3" s="1"/>
  <c r="AZ91" i="3" s="1"/>
  <c r="BA104" i="3"/>
  <c r="BA34" i="3"/>
  <c r="BB4" i="3"/>
  <c r="BB28" i="3" s="1"/>
  <c r="AZ90" i="3"/>
  <c r="BA17" i="3"/>
  <c r="AZ16" i="3"/>
  <c r="BA15" i="3"/>
  <c r="BA6" i="3"/>
  <c r="BA7" i="3" s="1"/>
  <c r="BA20" i="3"/>
  <c r="BA22" i="3" s="1"/>
  <c r="BA23" i="3" s="1"/>
  <c r="AY87" i="3" l="1"/>
  <c r="AY96" i="3" s="1"/>
  <c r="AY98" i="3" s="1"/>
  <c r="AY99" i="3" s="1"/>
  <c r="AY33" i="3" s="1"/>
  <c r="BB27" i="3"/>
  <c r="AY48" i="3"/>
  <c r="AY50" i="3" s="1"/>
  <c r="AY31" i="3" s="1"/>
  <c r="AZ93" i="3"/>
  <c r="AZ49" i="3" s="1"/>
  <c r="AZ86" i="3"/>
  <c r="AZ85" i="3"/>
  <c r="BB40" i="3"/>
  <c r="BB29" i="3"/>
  <c r="BA60" i="3"/>
  <c r="BA61" i="3" s="1"/>
  <c r="BA90" i="3" s="1"/>
  <c r="BA92" i="3"/>
  <c r="BA65" i="3"/>
  <c r="BB9" i="3"/>
  <c r="BC3" i="3"/>
  <c r="BB5" i="3"/>
  <c r="BB12" i="3" s="1"/>
  <c r="BB13" i="3" s="1"/>
  <c r="BB69" i="3" s="1" a="1"/>
  <c r="BB69" i="3" s="1"/>
  <c r="BB71" i="3" s="1"/>
  <c r="BB8" i="3"/>
  <c r="BB21" i="3" s="1"/>
  <c r="BA81" i="3"/>
  <c r="BA82" i="3"/>
  <c r="BB14" i="3" l="1"/>
  <c r="BA63" i="3"/>
  <c r="AZ97" i="3"/>
  <c r="AY51" i="3"/>
  <c r="AZ87" i="3"/>
  <c r="AZ96" i="3" s="1"/>
  <c r="BB17" i="3"/>
  <c r="BA16" i="3"/>
  <c r="BB15" i="3"/>
  <c r="BC4" i="3"/>
  <c r="BC28" i="3" s="1"/>
  <c r="BB20" i="3"/>
  <c r="BB22" i="3" s="1"/>
  <c r="BB23" i="3" s="1"/>
  <c r="BB6" i="3"/>
  <c r="BB7" i="3" s="1"/>
  <c r="BB104" i="3"/>
  <c r="BB34" i="3"/>
  <c r="BA66" i="3"/>
  <c r="BA74" i="3" s="1"/>
  <c r="BA91" i="3" s="1"/>
  <c r="BA93" i="3" s="1"/>
  <c r="AZ98" i="3" l="1"/>
  <c r="AZ99" i="3" s="1"/>
  <c r="AZ33" i="3" s="1"/>
  <c r="AZ48" i="3"/>
  <c r="AZ50" i="3" s="1"/>
  <c r="AZ31" i="3" s="1"/>
  <c r="BC40" i="3"/>
  <c r="BC29" i="3"/>
  <c r="BA49" i="3"/>
  <c r="BA97" i="3"/>
  <c r="BB92" i="3"/>
  <c r="BB82" i="3"/>
  <c r="BB81" i="3"/>
  <c r="BC27" i="3"/>
  <c r="BB65" i="3"/>
  <c r="BB60" i="3"/>
  <c r="BB61" i="3" s="1"/>
  <c r="BB90" i="3" s="1"/>
  <c r="BA85" i="3"/>
  <c r="BC9" i="3"/>
  <c r="BD3" i="3"/>
  <c r="BC5" i="3"/>
  <c r="BC12" i="3" s="1"/>
  <c r="BC13" i="3" s="1"/>
  <c r="BC69" i="3" s="1" a="1"/>
  <c r="BC69" i="3" s="1"/>
  <c r="BC71" i="3" s="1"/>
  <c r="BC8" i="3"/>
  <c r="BC21" i="3" s="1"/>
  <c r="BC14" i="3"/>
  <c r="BA86" i="3"/>
  <c r="AZ51" i="3" l="1"/>
  <c r="BC17" i="3"/>
  <c r="BB16" i="3"/>
  <c r="BC15" i="3"/>
  <c r="BA87" i="3"/>
  <c r="BB63" i="3"/>
  <c r="BB66" i="3" s="1"/>
  <c r="BB74" i="3" s="1"/>
  <c r="BB91" i="3" s="1"/>
  <c r="BB93" i="3" s="1"/>
  <c r="BC104" i="3"/>
  <c r="BC34" i="3"/>
  <c r="BD4" i="3"/>
  <c r="BD27" i="3" s="1"/>
  <c r="BC20" i="3"/>
  <c r="BC22" i="3" s="1"/>
  <c r="BC23" i="3" s="1"/>
  <c r="BC6" i="3"/>
  <c r="BC7" i="3" s="1"/>
  <c r="BB86" i="3" l="1"/>
  <c r="BC92" i="3"/>
  <c r="BB49" i="3"/>
  <c r="BB97" i="3"/>
  <c r="BC81" i="3"/>
  <c r="BC82" i="3"/>
  <c r="BC60" i="3"/>
  <c r="BC61" i="3" s="1"/>
  <c r="BC63" i="3" s="1"/>
  <c r="BD9" i="3"/>
  <c r="BE3" i="3"/>
  <c r="BD5" i="3"/>
  <c r="BD8" i="3"/>
  <c r="BD21" i="3" s="1"/>
  <c r="BD12" i="3"/>
  <c r="BD13" i="3" s="1"/>
  <c r="BD69" i="3" s="1" a="1"/>
  <c r="BD69" i="3" s="1"/>
  <c r="BD71" i="3" s="1"/>
  <c r="BA96" i="3"/>
  <c r="BA98" i="3" s="1"/>
  <c r="BA48" i="3"/>
  <c r="BA50" i="3" s="1"/>
  <c r="BD28" i="3"/>
  <c r="BB85" i="3"/>
  <c r="BC65" i="3"/>
  <c r="BB87" i="3" l="1"/>
  <c r="BB96" i="3" s="1"/>
  <c r="BB98" i="3" s="1"/>
  <c r="BB99" i="3" s="1"/>
  <c r="BB33" i="3" s="1"/>
  <c r="BD40" i="3"/>
  <c r="BD29" i="3"/>
  <c r="BC66" i="3"/>
  <c r="BC74" i="3" s="1"/>
  <c r="BC91" i="3" s="1"/>
  <c r="BD104" i="3"/>
  <c r="BD34" i="3"/>
  <c r="BE4" i="3"/>
  <c r="BE28" i="3" s="1"/>
  <c r="BD6" i="3"/>
  <c r="BD7" i="3" s="1"/>
  <c r="BD20" i="3"/>
  <c r="BD22" i="3" s="1"/>
  <c r="BD23" i="3" s="1"/>
  <c r="BA99" i="3"/>
  <c r="BA33" i="3" s="1"/>
  <c r="BC90" i="3"/>
  <c r="BA31" i="3"/>
  <c r="BA51" i="3"/>
  <c r="BD14" i="3"/>
  <c r="BE27" i="3" l="1"/>
  <c r="BC85" i="3"/>
  <c r="BB48" i="3"/>
  <c r="BB50" i="3" s="1"/>
  <c r="BB51" i="3" s="1"/>
  <c r="BC86" i="3"/>
  <c r="BC93" i="3"/>
  <c r="BC49" i="3" s="1"/>
  <c r="BE40" i="3"/>
  <c r="BE29" i="3"/>
  <c r="BD92" i="3"/>
  <c r="BD17" i="3"/>
  <c r="BD15" i="3"/>
  <c r="BC16" i="3"/>
  <c r="BD81" i="3"/>
  <c r="BD82" i="3"/>
  <c r="BE9" i="3"/>
  <c r="BE5" i="3"/>
  <c r="BF3" i="3"/>
  <c r="BE8" i="3"/>
  <c r="BE21" i="3" s="1"/>
  <c r="BC97" i="3" l="1"/>
  <c r="BB31" i="3"/>
  <c r="BC87" i="3"/>
  <c r="BC96" i="3" s="1"/>
  <c r="BF4" i="3"/>
  <c r="BF27" i="3" s="1"/>
  <c r="BE20" i="3"/>
  <c r="BE22" i="3" s="1"/>
  <c r="BE23" i="3" s="1"/>
  <c r="BE6" i="3"/>
  <c r="BE7" i="3" s="1"/>
  <c r="BD60" i="3"/>
  <c r="BD61" i="3" s="1"/>
  <c r="BD65" i="3"/>
  <c r="BE12" i="3"/>
  <c r="BE13" i="3" s="1"/>
  <c r="BE69" i="3" s="1" a="1"/>
  <c r="BE69" i="3" s="1"/>
  <c r="BE71" i="3" s="1"/>
  <c r="BE14" i="3"/>
  <c r="BF28" i="3" l="1"/>
  <c r="BF29" i="3" s="1"/>
  <c r="BC98" i="3"/>
  <c r="BC99" i="3" s="1"/>
  <c r="BC33" i="3" s="1"/>
  <c r="BC48" i="3"/>
  <c r="BC50" i="3" s="1"/>
  <c r="BE92" i="3"/>
  <c r="BD63" i="3"/>
  <c r="BD66" i="3" s="1"/>
  <c r="BD74" i="3" s="1"/>
  <c r="BD90" i="3"/>
  <c r="BE82" i="3"/>
  <c r="BE81" i="3"/>
  <c r="BE104" i="3"/>
  <c r="BE34" i="3"/>
  <c r="BE17" i="3"/>
  <c r="BE15" i="3"/>
  <c r="BD16" i="3"/>
  <c r="BF9" i="3"/>
  <c r="BF8" i="3"/>
  <c r="BF21" i="3" s="1"/>
  <c r="BF5" i="3"/>
  <c r="BF14" i="3" s="1"/>
  <c r="BE16" i="3" s="1"/>
  <c r="BG3" i="3"/>
  <c r="BF40" i="3" l="1"/>
  <c r="BF12" i="3"/>
  <c r="BF13" i="3" s="1"/>
  <c r="BF69" i="3" s="1" a="1"/>
  <c r="BF69" i="3" s="1"/>
  <c r="BF71" i="3" s="1"/>
  <c r="BF34" i="3" s="1"/>
  <c r="BC31" i="3"/>
  <c r="BC51" i="3"/>
  <c r="BF20" i="3"/>
  <c r="BF22" i="3" s="1"/>
  <c r="BF23" i="3" s="1"/>
  <c r="BF6" i="3"/>
  <c r="BF7" i="3" s="1"/>
  <c r="BE60" i="3"/>
  <c r="BE61" i="3" s="1"/>
  <c r="BF15" i="3"/>
  <c r="BE65" i="3"/>
  <c r="BD91" i="3"/>
  <c r="BD93" i="3" s="1"/>
  <c r="BD85" i="3"/>
  <c r="BD86" i="3"/>
  <c r="BF17" i="3"/>
  <c r="BG4" i="3"/>
  <c r="BG27" i="3" s="1"/>
  <c r="BG28" i="3" l="1"/>
  <c r="BG40" i="3" s="1"/>
  <c r="BF104" i="3"/>
  <c r="BD49" i="3"/>
  <c r="BD97" i="3"/>
  <c r="BF92" i="3"/>
  <c r="BF60" i="3"/>
  <c r="BF61" i="3" s="1"/>
  <c r="BF63" i="3" s="1"/>
  <c r="BE63" i="3"/>
  <c r="BE66" i="3" s="1"/>
  <c r="BE74" i="3" s="1"/>
  <c r="BE90" i="3"/>
  <c r="BG9" i="3"/>
  <c r="BH3" i="3"/>
  <c r="BG8" i="3"/>
  <c r="BG21" i="3" s="1"/>
  <c r="BG5" i="3"/>
  <c r="BG14" i="3" s="1"/>
  <c r="BF82" i="3"/>
  <c r="BF81" i="3"/>
  <c r="BF65" i="3"/>
  <c r="BD87" i="3"/>
  <c r="BG12" i="3" l="1"/>
  <c r="BG13" i="3" s="1"/>
  <c r="BG69" i="3" s="1" a="1"/>
  <c r="BG69" i="3" s="1"/>
  <c r="BG71" i="3" s="1"/>
  <c r="BG104" i="3" s="1"/>
  <c r="BG29" i="3"/>
  <c r="BF66" i="3"/>
  <c r="BF74" i="3" s="1"/>
  <c r="BF91" i="3" s="1"/>
  <c r="BG15" i="3"/>
  <c r="BG17" i="3"/>
  <c r="BF16" i="3"/>
  <c r="BH4" i="3"/>
  <c r="BH27" i="3" s="1"/>
  <c r="BG6" i="3"/>
  <c r="BG7" i="3" s="1"/>
  <c r="BG20" i="3"/>
  <c r="BG22" i="3" s="1"/>
  <c r="BG23" i="3" s="1"/>
  <c r="BE91" i="3"/>
  <c r="BE93" i="3" s="1"/>
  <c r="BE85" i="3"/>
  <c r="BE86" i="3"/>
  <c r="BF90" i="3"/>
  <c r="BD48" i="3"/>
  <c r="BD50" i="3" s="1"/>
  <c r="BD96" i="3"/>
  <c r="BD98" i="3" s="1"/>
  <c r="BD99" i="3" s="1"/>
  <c r="BD33" i="3" s="1"/>
  <c r="BG34" i="3" l="1"/>
  <c r="BH28" i="3"/>
  <c r="BH40" i="3" s="1"/>
  <c r="BG60" i="3"/>
  <c r="BG61" i="3" s="1"/>
  <c r="BG90" i="3" s="1"/>
  <c r="BF85" i="3"/>
  <c r="BF93" i="3"/>
  <c r="BF49" i="3" s="1"/>
  <c r="BF86" i="3"/>
  <c r="BH29" i="3"/>
  <c r="BE49" i="3"/>
  <c r="BE97" i="3"/>
  <c r="BG92" i="3"/>
  <c r="BG65" i="3"/>
  <c r="BD31" i="3"/>
  <c r="BD51" i="3"/>
  <c r="BE87" i="3"/>
  <c r="BH9" i="3"/>
  <c r="BH8" i="3"/>
  <c r="BH21" i="3" s="1"/>
  <c r="BI3" i="3"/>
  <c r="BH5" i="3"/>
  <c r="BG82" i="3"/>
  <c r="BG81" i="3"/>
  <c r="BG63" i="3" l="1"/>
  <c r="BG66" i="3" s="1"/>
  <c r="BG74" i="3" s="1"/>
  <c r="BG91" i="3" s="1"/>
  <c r="BG93" i="3" s="1"/>
  <c r="BF97" i="3"/>
  <c r="BF87" i="3"/>
  <c r="BF48" i="3" s="1"/>
  <c r="BF50" i="3" s="1"/>
  <c r="BI4" i="3"/>
  <c r="BI28" i="3" s="1"/>
  <c r="BH20" i="3"/>
  <c r="BH22" i="3" s="1"/>
  <c r="BH23" i="3" s="1"/>
  <c r="BH6" i="3"/>
  <c r="BH7" i="3" s="1"/>
  <c r="BH14" i="3"/>
  <c r="BE48" i="3"/>
  <c r="BE50" i="3" s="1"/>
  <c r="BE96" i="3"/>
  <c r="BE98" i="3" s="1"/>
  <c r="BH12" i="3"/>
  <c r="BH13" i="3" s="1"/>
  <c r="BH69" i="3" s="1" a="1"/>
  <c r="BH69" i="3" s="1"/>
  <c r="BH71" i="3" s="1"/>
  <c r="BI27" i="3" l="1"/>
  <c r="BF96" i="3"/>
  <c r="BF98" i="3" s="1"/>
  <c r="BF99" i="3" s="1"/>
  <c r="BF33" i="3" s="1"/>
  <c r="BI40" i="3"/>
  <c r="BI29" i="3"/>
  <c r="BE99" i="3"/>
  <c r="BE33" i="3" s="1"/>
  <c r="BH92" i="3"/>
  <c r="BG49" i="3"/>
  <c r="BG97" i="3"/>
  <c r="BE31" i="3"/>
  <c r="BE51" i="3"/>
  <c r="BH104" i="3"/>
  <c r="BH34" i="3"/>
  <c r="BG85" i="3"/>
  <c r="BH17" i="3"/>
  <c r="BG16" i="3"/>
  <c r="BH15" i="3"/>
  <c r="BI9" i="3"/>
  <c r="BI8" i="3"/>
  <c r="BI21" i="3" s="1"/>
  <c r="BI5" i="3"/>
  <c r="BJ3" i="3"/>
  <c r="BG86" i="3"/>
  <c r="BF31" i="3"/>
  <c r="BF51" i="3"/>
  <c r="BH82" i="3"/>
  <c r="BH81" i="3"/>
  <c r="BG87" i="3" l="1"/>
  <c r="BG48" i="3" s="1"/>
  <c r="BG50" i="3" s="1"/>
  <c r="BI20" i="3"/>
  <c r="BI22" i="3" s="1"/>
  <c r="BI23" i="3" s="1"/>
  <c r="BI6" i="3"/>
  <c r="BI7" i="3" s="1"/>
  <c r="BJ4" i="3"/>
  <c r="BJ27" i="3" s="1"/>
  <c r="BH60" i="3"/>
  <c r="BH61" i="3" s="1"/>
  <c r="BH65" i="3"/>
  <c r="BI12" i="3"/>
  <c r="BI13" i="3" s="1"/>
  <c r="BI69" i="3" s="1" a="1"/>
  <c r="BI69" i="3" s="1"/>
  <c r="BI71" i="3" s="1"/>
  <c r="BI14" i="3"/>
  <c r="BJ28" i="3" l="1"/>
  <c r="BJ40" i="3" s="1"/>
  <c r="BG96" i="3"/>
  <c r="BG98" i="3" s="1"/>
  <c r="BG99" i="3" s="1"/>
  <c r="BG33" i="3" s="1"/>
  <c r="BI104" i="3"/>
  <c r="BI34" i="3"/>
  <c r="BI17" i="3"/>
  <c r="BI15" i="3"/>
  <c r="BH16" i="3"/>
  <c r="BG31" i="3"/>
  <c r="BG51" i="3"/>
  <c r="BH63" i="3"/>
  <c r="BH66" i="3" s="1"/>
  <c r="BH74" i="3" s="1"/>
  <c r="BH90" i="3"/>
  <c r="BJ9" i="3"/>
  <c r="BK3" i="3"/>
  <c r="BJ8" i="3"/>
  <c r="BJ21" i="3" s="1"/>
  <c r="BJ5" i="3"/>
  <c r="BJ14" i="3" s="1"/>
  <c r="BI92" i="3"/>
  <c r="BI82" i="3"/>
  <c r="BI81" i="3"/>
  <c r="BJ29" i="3" l="1"/>
  <c r="BJ12" i="3"/>
  <c r="BJ13" i="3" s="1"/>
  <c r="BJ69" i="3" s="1" a="1"/>
  <c r="BJ69" i="3" s="1"/>
  <c r="BJ71" i="3" s="1"/>
  <c r="BJ104" i="3" s="1"/>
  <c r="BJ17" i="3"/>
  <c r="BK4" i="3"/>
  <c r="BK28" i="3" s="1"/>
  <c r="BJ20" i="3"/>
  <c r="BJ22" i="3" s="1"/>
  <c r="BJ23" i="3" s="1"/>
  <c r="BJ6" i="3"/>
  <c r="BJ7" i="3" s="1"/>
  <c r="BH91" i="3"/>
  <c r="BH93" i="3" s="1"/>
  <c r="BH85" i="3"/>
  <c r="BH86" i="3"/>
  <c r="BI60" i="3"/>
  <c r="BI61" i="3" s="1"/>
  <c r="BI65" i="3"/>
  <c r="BJ15" i="3"/>
  <c r="BI16" i="3"/>
  <c r="BJ34" i="3" l="1"/>
  <c r="BK27" i="3"/>
  <c r="BJ65" i="3"/>
  <c r="BK40" i="3"/>
  <c r="BK29" i="3"/>
  <c r="BH49" i="3"/>
  <c r="BH97" i="3"/>
  <c r="BJ92" i="3"/>
  <c r="BI90" i="3"/>
  <c r="BI63" i="3"/>
  <c r="BI66" i="3" s="1"/>
  <c r="BI74" i="3" s="1"/>
  <c r="BH87" i="3"/>
  <c r="BK9" i="3"/>
  <c r="BK5" i="3"/>
  <c r="BK14" i="3" s="1"/>
  <c r="BL3" i="3"/>
  <c r="BK8" i="3"/>
  <c r="BK21" i="3" s="1"/>
  <c r="BJ81" i="3"/>
  <c r="BJ82" i="3"/>
  <c r="BJ60" i="3"/>
  <c r="BJ61" i="3" s="1"/>
  <c r="BJ63" i="3" s="1"/>
  <c r="BJ66" i="3" l="1"/>
  <c r="BJ74" i="3" s="1"/>
  <c r="BJ91" i="3" s="1"/>
  <c r="BK12" i="3"/>
  <c r="BK13" i="3" s="1"/>
  <c r="BK69" i="3" s="1" a="1"/>
  <c r="BK69" i="3" s="1"/>
  <c r="BK71" i="3" s="1"/>
  <c r="BK104" i="3" s="1"/>
  <c r="BK17" i="3"/>
  <c r="BK15" i="3"/>
  <c r="BJ16" i="3"/>
  <c r="BL4" i="3"/>
  <c r="BL27" i="3" s="1"/>
  <c r="BK20" i="3"/>
  <c r="BK22" i="3" s="1"/>
  <c r="BK23" i="3" s="1"/>
  <c r="BK6" i="3"/>
  <c r="BK7" i="3" s="1"/>
  <c r="BH48" i="3"/>
  <c r="BH50" i="3" s="1"/>
  <c r="BH96" i="3"/>
  <c r="BH98" i="3" s="1"/>
  <c r="BI91" i="3"/>
  <c r="BI93" i="3" s="1"/>
  <c r="BI86" i="3"/>
  <c r="BI85" i="3"/>
  <c r="BJ90" i="3"/>
  <c r="BJ93" i="3" l="1"/>
  <c r="BJ85" i="3"/>
  <c r="BJ86" i="3"/>
  <c r="BK34" i="3"/>
  <c r="BI87" i="3"/>
  <c r="BI48" i="3" s="1"/>
  <c r="BK92" i="3"/>
  <c r="BH99" i="3"/>
  <c r="BH33" i="3" s="1"/>
  <c r="BH31" i="3"/>
  <c r="BH51" i="3"/>
  <c r="BL28" i="3"/>
  <c r="BI49" i="3"/>
  <c r="BI97" i="3"/>
  <c r="BK81" i="3"/>
  <c r="BK82" i="3"/>
  <c r="BL9" i="3"/>
  <c r="BM3" i="3"/>
  <c r="BL5" i="3"/>
  <c r="BL12" i="3" s="1"/>
  <c r="BL13" i="3" s="1"/>
  <c r="BL69" i="3" s="1" a="1"/>
  <c r="BL69" i="3" s="1"/>
  <c r="BL71" i="3" s="1"/>
  <c r="BL8" i="3"/>
  <c r="BL21" i="3" s="1"/>
  <c r="BK60" i="3"/>
  <c r="BK61" i="3" s="1"/>
  <c r="BK63" i="3" s="1"/>
  <c r="BK65" i="3"/>
  <c r="BJ49" i="3"/>
  <c r="BJ97" i="3"/>
  <c r="BJ87" i="3" l="1"/>
  <c r="BJ96" i="3" s="1"/>
  <c r="BL14" i="3"/>
  <c r="BL15" i="3" s="1"/>
  <c r="BI96" i="3"/>
  <c r="BI98" i="3" s="1"/>
  <c r="BI99" i="3" s="1"/>
  <c r="BI33" i="3" s="1"/>
  <c r="BJ48" i="3"/>
  <c r="BJ50" i="3" s="1"/>
  <c r="BJ31" i="3" s="1"/>
  <c r="BL40" i="3"/>
  <c r="BL29" i="3"/>
  <c r="BK90" i="3"/>
  <c r="BL20" i="3"/>
  <c r="BL22" i="3" s="1"/>
  <c r="BL23" i="3" s="1"/>
  <c r="BL6" i="3"/>
  <c r="BL7" i="3" s="1"/>
  <c r="BJ98" i="3"/>
  <c r="BI50" i="3"/>
  <c r="BL17" i="3"/>
  <c r="BM4" i="3"/>
  <c r="BM27" i="3" s="1"/>
  <c r="BL104" i="3"/>
  <c r="BL34" i="3"/>
  <c r="BK66" i="3"/>
  <c r="BK74" i="3" s="1"/>
  <c r="BK91" i="3" s="1"/>
  <c r="BK16" i="3" l="1"/>
  <c r="BL60" i="3" s="1"/>
  <c r="BL61" i="3" s="1"/>
  <c r="BL90" i="3" s="1"/>
  <c r="BM28" i="3"/>
  <c r="BM40" i="3" s="1"/>
  <c r="BK93" i="3"/>
  <c r="BK49" i="3" s="1"/>
  <c r="BJ51" i="3"/>
  <c r="BJ99" i="3"/>
  <c r="BJ33" i="3" s="1"/>
  <c r="BL92" i="3"/>
  <c r="BK86" i="3"/>
  <c r="BM9" i="3"/>
  <c r="BM5" i="3"/>
  <c r="BM14" i="3" s="1"/>
  <c r="BN3" i="3"/>
  <c r="BM8" i="3"/>
  <c r="BM21" i="3" s="1"/>
  <c r="BL65" i="3"/>
  <c r="BI31" i="3"/>
  <c r="BI51" i="3"/>
  <c r="BK85" i="3"/>
  <c r="BL81" i="3"/>
  <c r="BL82" i="3"/>
  <c r="BM29" i="3" l="1"/>
  <c r="BM12" i="3"/>
  <c r="BM13" i="3" s="1"/>
  <c r="BM69" i="3" s="1" a="1"/>
  <c r="BM69" i="3" s="1"/>
  <c r="BM71" i="3" s="1"/>
  <c r="BM34" i="3" s="1"/>
  <c r="BK97" i="3"/>
  <c r="BL63" i="3"/>
  <c r="BL66" i="3" s="1"/>
  <c r="BL74" i="3" s="1"/>
  <c r="BL91" i="3" s="1"/>
  <c r="BL93" i="3" s="1"/>
  <c r="BN4" i="3"/>
  <c r="BN27" i="3" s="1"/>
  <c r="BM20" i="3"/>
  <c r="BM22" i="3" s="1"/>
  <c r="BM23" i="3" s="1"/>
  <c r="BM6" i="3"/>
  <c r="BM7" i="3" s="1"/>
  <c r="BK87" i="3"/>
  <c r="BM17" i="3"/>
  <c r="BM15" i="3"/>
  <c r="BL16" i="3"/>
  <c r="BM104" i="3" l="1"/>
  <c r="BN28" i="3"/>
  <c r="BN40" i="3" s="1"/>
  <c r="BL86" i="3"/>
  <c r="BM92" i="3"/>
  <c r="BL49" i="3"/>
  <c r="BL97" i="3"/>
  <c r="BM65" i="3"/>
  <c r="BM60" i="3"/>
  <c r="BM61" i="3" s="1"/>
  <c r="BM63" i="3" s="1"/>
  <c r="BK96" i="3"/>
  <c r="BK98" i="3" s="1"/>
  <c r="BK48" i="3"/>
  <c r="BK50" i="3" s="1"/>
  <c r="BN9" i="3"/>
  <c r="BO3" i="3"/>
  <c r="BN5" i="3"/>
  <c r="BN12" i="3" s="1"/>
  <c r="BN13" i="3" s="1"/>
  <c r="BN69" i="3" s="1" a="1"/>
  <c r="BN69" i="3" s="1"/>
  <c r="BN71" i="3" s="1"/>
  <c r="BN8" i="3"/>
  <c r="BN21" i="3" s="1"/>
  <c r="BL85" i="3"/>
  <c r="BM82" i="3"/>
  <c r="BM81" i="3"/>
  <c r="BN14" i="3" l="1"/>
  <c r="BN15" i="3" s="1"/>
  <c r="BN29" i="3"/>
  <c r="BM66" i="3"/>
  <c r="BM74" i="3" s="1"/>
  <c r="BM91" i="3" s="1"/>
  <c r="BL87" i="3"/>
  <c r="BL96" i="3" s="1"/>
  <c r="BL98" i="3" s="1"/>
  <c r="BN20" i="3"/>
  <c r="BN22" i="3" s="1"/>
  <c r="BN23" i="3" s="1"/>
  <c r="BN6" i="3"/>
  <c r="BN7" i="3" s="1"/>
  <c r="BK99" i="3"/>
  <c r="BK33" i="3" s="1"/>
  <c r="BN104" i="3"/>
  <c r="BN34" i="3"/>
  <c r="BO4" i="3"/>
  <c r="BO27" i="3" s="1"/>
  <c r="BM90" i="3"/>
  <c r="BK31" i="3"/>
  <c r="BK51" i="3"/>
  <c r="BM16" i="3" l="1"/>
  <c r="BN60" i="3" s="1"/>
  <c r="BN61" i="3" s="1"/>
  <c r="BN63" i="3" s="1"/>
  <c r="BN17" i="3"/>
  <c r="BM85" i="3"/>
  <c r="BM93" i="3"/>
  <c r="BM49" i="3" s="1"/>
  <c r="BM86" i="3"/>
  <c r="BO28" i="3"/>
  <c r="BO40" i="3" s="1"/>
  <c r="BL48" i="3"/>
  <c r="BL50" i="3" s="1"/>
  <c r="BL31" i="3" s="1"/>
  <c r="BN81" i="3"/>
  <c r="BN82" i="3"/>
  <c r="BN65" i="3"/>
  <c r="BN92" i="3"/>
  <c r="BO9" i="3"/>
  <c r="BP3" i="3"/>
  <c r="BO5" i="3"/>
  <c r="BO12" i="3" s="1"/>
  <c r="BO13" i="3" s="1"/>
  <c r="BO69" i="3" s="1" a="1"/>
  <c r="BO69" i="3" s="1"/>
  <c r="BO71" i="3" s="1"/>
  <c r="BO8" i="3"/>
  <c r="BO21" i="3" s="1"/>
  <c r="BL99" i="3"/>
  <c r="BL33" i="3" s="1"/>
  <c r="BM97" i="3" l="1"/>
  <c r="BM87" i="3"/>
  <c r="BM96" i="3" s="1"/>
  <c r="BO14" i="3"/>
  <c r="BO15" i="3" s="1"/>
  <c r="BO29" i="3"/>
  <c r="BM48" i="3"/>
  <c r="BM50" i="3" s="1"/>
  <c r="BL51" i="3"/>
  <c r="BN66" i="3"/>
  <c r="BN74" i="3" s="1"/>
  <c r="BN91" i="3" s="1"/>
  <c r="BN90" i="3"/>
  <c r="BO20" i="3"/>
  <c r="BO22" i="3" s="1"/>
  <c r="BO23" i="3" s="1"/>
  <c r="BO6" i="3"/>
  <c r="BO7" i="3" s="1"/>
  <c r="BM98" i="3"/>
  <c r="BO104" i="3"/>
  <c r="BO34" i="3"/>
  <c r="BP4" i="3"/>
  <c r="BP27" i="3" s="1"/>
  <c r="BN16" i="3" l="1"/>
  <c r="BO60" i="3" s="1"/>
  <c r="BO61" i="3" s="1"/>
  <c r="BO63" i="3" s="1"/>
  <c r="BO17" i="3"/>
  <c r="BP28" i="3"/>
  <c r="BP40" i="3" s="1"/>
  <c r="BN85" i="3"/>
  <c r="BN86" i="3"/>
  <c r="BN93" i="3"/>
  <c r="BP9" i="3"/>
  <c r="BQ3" i="3"/>
  <c r="BP5" i="3"/>
  <c r="BP8" i="3"/>
  <c r="BP21" i="3" s="1"/>
  <c r="BP14" i="3"/>
  <c r="BP12" i="3"/>
  <c r="BP13" i="3" s="1"/>
  <c r="BP69" i="3" s="1" a="1"/>
  <c r="BP69" i="3" s="1"/>
  <c r="BP71" i="3" s="1"/>
  <c r="BO92" i="3"/>
  <c r="BO65" i="3"/>
  <c r="BM99" i="3"/>
  <c r="BM33" i="3" s="1"/>
  <c r="BM31" i="3"/>
  <c r="BM51" i="3"/>
  <c r="BO82" i="3"/>
  <c r="BO81" i="3"/>
  <c r="BP29" i="3" l="1"/>
  <c r="BN87" i="3"/>
  <c r="BN96" i="3" s="1"/>
  <c r="BN97" i="3"/>
  <c r="BN49" i="3"/>
  <c r="BQ4" i="3"/>
  <c r="BQ27" i="3" s="1"/>
  <c r="BP6" i="3"/>
  <c r="BP7" i="3" s="1"/>
  <c r="BP20" i="3"/>
  <c r="BP22" i="3" s="1"/>
  <c r="BP23" i="3" s="1"/>
  <c r="BO90" i="3"/>
  <c r="BO16" i="3"/>
  <c r="BP17" i="3"/>
  <c r="BP15" i="3"/>
  <c r="BO66" i="3"/>
  <c r="BO74" i="3" s="1"/>
  <c r="BO91" i="3" s="1"/>
  <c r="BP34" i="3"/>
  <c r="BP104" i="3"/>
  <c r="BQ28" i="3" l="1"/>
  <c r="BQ40" i="3" s="1"/>
  <c r="BN48" i="3"/>
  <c r="BN50" i="3" s="1"/>
  <c r="BN31" i="3" s="1"/>
  <c r="BN98" i="3"/>
  <c r="BN99" i="3" s="1"/>
  <c r="BN33" i="3" s="1"/>
  <c r="BP65" i="3"/>
  <c r="BP60" i="3"/>
  <c r="BP61" i="3" s="1"/>
  <c r="BP63" i="3" s="1"/>
  <c r="BO86" i="3"/>
  <c r="BP92" i="3"/>
  <c r="BO93" i="3"/>
  <c r="BO85" i="3"/>
  <c r="BO87" i="3" s="1"/>
  <c r="BP81" i="3"/>
  <c r="BP82" i="3"/>
  <c r="BQ9" i="3"/>
  <c r="BR3" i="3"/>
  <c r="BQ8" i="3"/>
  <c r="BQ21" i="3" s="1"/>
  <c r="BQ5" i="3"/>
  <c r="BQ29" i="3" l="1"/>
  <c r="BP90" i="3"/>
  <c r="BN51" i="3"/>
  <c r="BP66" i="3"/>
  <c r="BP74" i="3" s="1"/>
  <c r="BP91" i="3" s="1"/>
  <c r="BR4" i="3"/>
  <c r="BR27" i="3" s="1"/>
  <c r="BQ6" i="3"/>
  <c r="BQ7" i="3" s="1"/>
  <c r="BQ20" i="3"/>
  <c r="BQ22" i="3" s="1"/>
  <c r="BQ23" i="3" s="1"/>
  <c r="BQ14" i="3"/>
  <c r="BO96" i="3"/>
  <c r="BO48" i="3"/>
  <c r="BO49" i="3"/>
  <c r="BO97" i="3"/>
  <c r="BQ12" i="3"/>
  <c r="BQ13" i="3" s="1"/>
  <c r="BQ69" i="3" s="1" a="1"/>
  <c r="BQ69" i="3" s="1"/>
  <c r="BQ71" i="3" s="1"/>
  <c r="BR28" i="3" l="1"/>
  <c r="BR40" i="3" s="1"/>
  <c r="BP93" i="3"/>
  <c r="BP49" i="3" s="1"/>
  <c r="BP85" i="3"/>
  <c r="BP86" i="3"/>
  <c r="BQ92" i="3"/>
  <c r="BO50" i="3"/>
  <c r="BQ82" i="3"/>
  <c r="BQ81" i="3"/>
  <c r="BO98" i="3"/>
  <c r="BO99" i="3" s="1"/>
  <c r="BO33" i="3" s="1"/>
  <c r="BR9" i="3"/>
  <c r="BS3" i="3"/>
  <c r="BR5" i="3"/>
  <c r="BR14" i="3" s="1"/>
  <c r="BQ16" i="3" s="1"/>
  <c r="BR8" i="3"/>
  <c r="BR21" i="3" s="1"/>
  <c r="BQ104" i="3"/>
  <c r="BQ34" i="3"/>
  <c r="BQ17" i="3"/>
  <c r="BQ15" i="3"/>
  <c r="BP16" i="3"/>
  <c r="BR29" i="3" l="1"/>
  <c r="BR12" i="3"/>
  <c r="BR13" i="3" s="1"/>
  <c r="BR69" i="3" s="1" a="1"/>
  <c r="BR69" i="3" s="1"/>
  <c r="BR71" i="3" s="1"/>
  <c r="BR104" i="3" s="1"/>
  <c r="BP97" i="3"/>
  <c r="BP87" i="3"/>
  <c r="BR15" i="3"/>
  <c r="BR60" i="3" s="1"/>
  <c r="BR61" i="3" s="1"/>
  <c r="BR17" i="3"/>
  <c r="BS4" i="3"/>
  <c r="BS28" i="3" s="1"/>
  <c r="BO31" i="3"/>
  <c r="BO51" i="3"/>
  <c r="BQ65" i="3"/>
  <c r="BQ60" i="3"/>
  <c r="BQ61" i="3" s="1"/>
  <c r="BR20" i="3"/>
  <c r="BR22" i="3" s="1"/>
  <c r="BR23" i="3" s="1"/>
  <c r="BR6" i="3"/>
  <c r="BR7" i="3" s="1"/>
  <c r="BR34" i="3" l="1"/>
  <c r="BS27" i="3"/>
  <c r="BP48" i="3"/>
  <c r="BP50" i="3" s="1"/>
  <c r="BP96" i="3"/>
  <c r="BP98" i="3" s="1"/>
  <c r="BP99" i="3" s="1"/>
  <c r="BP33" i="3" s="1"/>
  <c r="BS40" i="3"/>
  <c r="BS29" i="3"/>
  <c r="BR65" i="3"/>
  <c r="BS9" i="3"/>
  <c r="BT3" i="3"/>
  <c r="BS5" i="3"/>
  <c r="BS12" i="3" s="1"/>
  <c r="BS13" i="3" s="1"/>
  <c r="BS69" i="3" s="1" a="1"/>
  <c r="BS69" i="3" s="1"/>
  <c r="BS71" i="3" s="1"/>
  <c r="BS8" i="3"/>
  <c r="BS21" i="3" s="1"/>
  <c r="BS14" i="3"/>
  <c r="BR81" i="3"/>
  <c r="BR82" i="3"/>
  <c r="BR63" i="3"/>
  <c r="BQ63" i="3"/>
  <c r="BQ66" i="3" s="1"/>
  <c r="BQ74" i="3" s="1"/>
  <c r="BQ90" i="3"/>
  <c r="BR92" i="3"/>
  <c r="BR90" i="3"/>
  <c r="BP31" i="3" l="1"/>
  <c r="BP51" i="3"/>
  <c r="BR66" i="3"/>
  <c r="BR74" i="3" s="1"/>
  <c r="BR91" i="3" s="1"/>
  <c r="BR93" i="3" s="1"/>
  <c r="BQ91" i="3"/>
  <c r="BQ93" i="3" s="1"/>
  <c r="BQ85" i="3"/>
  <c r="BQ86" i="3"/>
  <c r="BS34" i="3"/>
  <c r="BS104" i="3"/>
  <c r="BT4" i="3"/>
  <c r="BT27" i="3" s="1"/>
  <c r="BS17" i="3"/>
  <c r="BR16" i="3"/>
  <c r="BS15" i="3"/>
  <c r="BS20" i="3"/>
  <c r="BS22" i="3" s="1"/>
  <c r="BS23" i="3" s="1"/>
  <c r="BS6" i="3"/>
  <c r="BS7" i="3" s="1"/>
  <c r="BT28" i="3" l="1"/>
  <c r="BT40" i="3" s="1"/>
  <c r="BR85" i="3"/>
  <c r="BR86" i="3"/>
  <c r="BR97" i="3"/>
  <c r="BR49" i="3"/>
  <c r="BS92" i="3"/>
  <c r="BQ49" i="3"/>
  <c r="BQ97" i="3"/>
  <c r="BS65" i="3"/>
  <c r="BS60" i="3"/>
  <c r="BS61" i="3" s="1"/>
  <c r="BS63" i="3" s="1"/>
  <c r="BS66" i="3" s="1"/>
  <c r="BS74" i="3" s="1"/>
  <c r="BS91" i="3" s="1"/>
  <c r="BT9" i="3"/>
  <c r="BU3" i="3"/>
  <c r="BT8" i="3"/>
  <c r="BT21" i="3" s="1"/>
  <c r="BT5" i="3"/>
  <c r="BQ87" i="3"/>
  <c r="BS81" i="3"/>
  <c r="BS82" i="3"/>
  <c r="BT29" i="3" l="1"/>
  <c r="BR87" i="3"/>
  <c r="BR96" i="3" s="1"/>
  <c r="BR98" i="3" s="1"/>
  <c r="BT20" i="3"/>
  <c r="BT22" i="3" s="1"/>
  <c r="BT23" i="3" s="1"/>
  <c r="BT6" i="3"/>
  <c r="BT7" i="3" s="1"/>
  <c r="BS85" i="3"/>
  <c r="BQ48" i="3"/>
  <c r="BQ50" i="3" s="1"/>
  <c r="BQ96" i="3"/>
  <c r="BQ98" i="3" s="1"/>
  <c r="BQ99" i="3" s="1"/>
  <c r="BQ33" i="3" s="1"/>
  <c r="BS90" i="3"/>
  <c r="BS93" i="3" s="1"/>
  <c r="BT12" i="3"/>
  <c r="BT13" i="3" s="1"/>
  <c r="BT69" i="3" s="1" a="1"/>
  <c r="BT69" i="3" s="1"/>
  <c r="BT71" i="3" s="1"/>
  <c r="BU4" i="3"/>
  <c r="BU28" i="3" s="1"/>
  <c r="BS86" i="3"/>
  <c r="BT14" i="3"/>
  <c r="BU27" i="3" l="1"/>
  <c r="BR48" i="3"/>
  <c r="BR50" i="3" s="1"/>
  <c r="BR31" i="3" s="1"/>
  <c r="BU40" i="3"/>
  <c r="BU29" i="3"/>
  <c r="BT92" i="3"/>
  <c r="BT17" i="3"/>
  <c r="BT15" i="3"/>
  <c r="BS16" i="3"/>
  <c r="BU9" i="3"/>
  <c r="BU5" i="3"/>
  <c r="BU14" i="3" s="1"/>
  <c r="BV3" i="3"/>
  <c r="BU8" i="3"/>
  <c r="BU21" i="3" s="1"/>
  <c r="BS49" i="3"/>
  <c r="BS97" i="3"/>
  <c r="BQ31" i="3"/>
  <c r="BQ51" i="3"/>
  <c r="BS87" i="3"/>
  <c r="BR99" i="3"/>
  <c r="BR33" i="3" s="1"/>
  <c r="BT81" i="3"/>
  <c r="BT82" i="3"/>
  <c r="BT34" i="3"/>
  <c r="BT104" i="3"/>
  <c r="BU12" i="3" l="1"/>
  <c r="BU13" i="3" s="1"/>
  <c r="BU69" i="3" s="1" a="1"/>
  <c r="BU69" i="3" s="1"/>
  <c r="BU71" i="3" s="1"/>
  <c r="BU104" i="3" s="1"/>
  <c r="BR51" i="3"/>
  <c r="BS96" i="3"/>
  <c r="BS98" i="3" s="1"/>
  <c r="BS48" i="3"/>
  <c r="BS50" i="3" s="1"/>
  <c r="BU17" i="3"/>
  <c r="BV4" i="3"/>
  <c r="BV28" i="3" s="1"/>
  <c r="BT16" i="3"/>
  <c r="BU15" i="3"/>
  <c r="BU20" i="3"/>
  <c r="BU22" i="3" s="1"/>
  <c r="BU23" i="3" s="1"/>
  <c r="BU6" i="3"/>
  <c r="BU7" i="3" s="1"/>
  <c r="BT60" i="3"/>
  <c r="BT61" i="3" s="1"/>
  <c r="BT65" i="3"/>
  <c r="BU34" i="3" l="1"/>
  <c r="BV27" i="3"/>
  <c r="BV40" i="3"/>
  <c r="BV29" i="3"/>
  <c r="BU92" i="3"/>
  <c r="BU60" i="3"/>
  <c r="BU61" i="3" s="1"/>
  <c r="BU63" i="3" s="1"/>
  <c r="BU65" i="3"/>
  <c r="BS31" i="3"/>
  <c r="BS51" i="3"/>
  <c r="BV9" i="3"/>
  <c r="BW3" i="3"/>
  <c r="BV5" i="3"/>
  <c r="BV12" i="3" s="1"/>
  <c r="BV13" i="3" s="1"/>
  <c r="BV69" i="3" s="1" a="1"/>
  <c r="BV69" i="3" s="1"/>
  <c r="BV71" i="3" s="1"/>
  <c r="BV8" i="3"/>
  <c r="BV21" i="3" s="1"/>
  <c r="BT63" i="3"/>
  <c r="BT66" i="3" s="1"/>
  <c r="BT74" i="3" s="1"/>
  <c r="BT90" i="3"/>
  <c r="BU82" i="3"/>
  <c r="BU81" i="3"/>
  <c r="BS99" i="3"/>
  <c r="BS33" i="3" s="1"/>
  <c r="BV14" i="3" l="1"/>
  <c r="BV17" i="3" s="1"/>
  <c r="BU66" i="3"/>
  <c r="BU74" i="3" s="1"/>
  <c r="BU91" i="3" s="1"/>
  <c r="BT91" i="3"/>
  <c r="BT93" i="3" s="1"/>
  <c r="BT86" i="3"/>
  <c r="BT85" i="3"/>
  <c r="BV104" i="3"/>
  <c r="BV34" i="3"/>
  <c r="BW4" i="3"/>
  <c r="BW28" i="3" s="1"/>
  <c r="BV20" i="3"/>
  <c r="BV22" i="3" s="1"/>
  <c r="BV23" i="3" s="1"/>
  <c r="BV6" i="3"/>
  <c r="BV7" i="3" s="1"/>
  <c r="BU90" i="3"/>
  <c r="BV15" i="3" l="1"/>
  <c r="BU16" i="3"/>
  <c r="BW27" i="3"/>
  <c r="BU86" i="3"/>
  <c r="BU93" i="3"/>
  <c r="BU49" i="3" s="1"/>
  <c r="BU85" i="3"/>
  <c r="BW40" i="3"/>
  <c r="BW29" i="3"/>
  <c r="BT87" i="3"/>
  <c r="BT96" i="3" s="1"/>
  <c r="BV92" i="3"/>
  <c r="BV65" i="3"/>
  <c r="BV82" i="3"/>
  <c r="BV81" i="3"/>
  <c r="BW9" i="3"/>
  <c r="BW8" i="3"/>
  <c r="BW21" i="3" s="1"/>
  <c r="BX3" i="3"/>
  <c r="BW5" i="3"/>
  <c r="BW12" i="3"/>
  <c r="BW13" i="3" s="1"/>
  <c r="BW69" i="3" s="1" a="1"/>
  <c r="BW69" i="3" s="1"/>
  <c r="BW71" i="3" s="1"/>
  <c r="BW14" i="3"/>
  <c r="BV60" i="3"/>
  <c r="BV61" i="3" s="1"/>
  <c r="BV63" i="3" s="1"/>
  <c r="BT49" i="3"/>
  <c r="BT97" i="3"/>
  <c r="BV66" i="3" l="1"/>
  <c r="BV74" i="3" s="1"/>
  <c r="BV91" i="3" s="1"/>
  <c r="BU97" i="3"/>
  <c r="BU87" i="3"/>
  <c r="BU48" i="3" s="1"/>
  <c r="BU50" i="3" s="1"/>
  <c r="BT48" i="3"/>
  <c r="BT50" i="3" s="1"/>
  <c r="BT31" i="3" s="1"/>
  <c r="BT98" i="3"/>
  <c r="BT99" i="3" s="1"/>
  <c r="BT33" i="3" s="1"/>
  <c r="BX4" i="3"/>
  <c r="BX28" i="3" s="1"/>
  <c r="BW34" i="3"/>
  <c r="BW104" i="3"/>
  <c r="BV90" i="3"/>
  <c r="BW17" i="3"/>
  <c r="BV16" i="3"/>
  <c r="BW15" i="3"/>
  <c r="BW20" i="3"/>
  <c r="BW22" i="3" s="1"/>
  <c r="BW23" i="3" s="1"/>
  <c r="BW6" i="3"/>
  <c r="BW7" i="3" s="1"/>
  <c r="BV85" i="3" l="1"/>
  <c r="BV86" i="3"/>
  <c r="BV93" i="3"/>
  <c r="BU96" i="3"/>
  <c r="BU98" i="3" s="1"/>
  <c r="BU99" i="3" s="1"/>
  <c r="BU33" i="3" s="1"/>
  <c r="BT51" i="3"/>
  <c r="BX40" i="3"/>
  <c r="BX29" i="3"/>
  <c r="BX27" i="3"/>
  <c r="BW92" i="3"/>
  <c r="BW60" i="3"/>
  <c r="BW61" i="3" s="1"/>
  <c r="BW63" i="3" s="1"/>
  <c r="BV49" i="3"/>
  <c r="BV97" i="3"/>
  <c r="BU31" i="3"/>
  <c r="BU51" i="3"/>
  <c r="BW82" i="3"/>
  <c r="BW81" i="3"/>
  <c r="BW65" i="3"/>
  <c r="BV87" i="3"/>
  <c r="BX9" i="3"/>
  <c r="BX5" i="3"/>
  <c r="BY3" i="3"/>
  <c r="BX8" i="3"/>
  <c r="BX21" i="3" s="1"/>
  <c r="BX14" i="3" l="1"/>
  <c r="BX12" i="3"/>
  <c r="BX13" i="3" s="1"/>
  <c r="BX69" i="3" s="1" a="1"/>
  <c r="BX69" i="3" s="1"/>
  <c r="BX71" i="3" s="1"/>
  <c r="BW66" i="3"/>
  <c r="BW74" i="3" s="1"/>
  <c r="BW91" i="3" s="1"/>
  <c r="BX6" i="3"/>
  <c r="BX7" i="3" s="1"/>
  <c r="BX20" i="3"/>
  <c r="BX22" i="3" s="1"/>
  <c r="BX23" i="3" s="1"/>
  <c r="BV96" i="3"/>
  <c r="BV98" i="3" s="1"/>
  <c r="BV48" i="3"/>
  <c r="BV50" i="3" s="1"/>
  <c r="BY4" i="3"/>
  <c r="BY27" i="3" s="1"/>
  <c r="BW90" i="3"/>
  <c r="BY28" i="3" l="1"/>
  <c r="BY40" i="3" s="1"/>
  <c r="BW93" i="3"/>
  <c r="BW49" i="3" s="1"/>
  <c r="BW86" i="3"/>
  <c r="BX92" i="3"/>
  <c r="BV99" i="3"/>
  <c r="BV33" i="3" s="1"/>
  <c r="BX104" i="3"/>
  <c r="BX34" i="3"/>
  <c r="BY9" i="3"/>
  <c r="BZ3" i="3"/>
  <c r="BY5" i="3"/>
  <c r="BY12" i="3" s="1"/>
  <c r="BY13" i="3" s="1"/>
  <c r="BY69" i="3" s="1" a="1"/>
  <c r="BY69" i="3" s="1"/>
  <c r="BY71" i="3" s="1"/>
  <c r="BY8" i="3"/>
  <c r="BY21" i="3" s="1"/>
  <c r="BX17" i="3"/>
  <c r="BW16" i="3"/>
  <c r="BX15" i="3"/>
  <c r="BX65" i="3" s="1"/>
  <c r="BW85" i="3"/>
  <c r="BV31" i="3"/>
  <c r="BV51" i="3"/>
  <c r="BX81" i="3"/>
  <c r="BX82" i="3"/>
  <c r="BY29" i="3" l="1"/>
  <c r="BY14" i="3"/>
  <c r="BY15" i="3" s="1"/>
  <c r="BW87" i="3"/>
  <c r="BW96" i="3" s="1"/>
  <c r="BW97" i="3"/>
  <c r="BY104" i="3"/>
  <c r="BY34" i="3"/>
  <c r="BY6" i="3"/>
  <c r="BY7" i="3" s="1"/>
  <c r="BY20" i="3"/>
  <c r="BY22" i="3" s="1"/>
  <c r="BY23" i="3" s="1"/>
  <c r="BX60" i="3"/>
  <c r="BX61" i="3" s="1"/>
  <c r="BZ4" i="3"/>
  <c r="BZ28" i="3" s="1"/>
  <c r="BZ27" i="3" l="1"/>
  <c r="BX16" i="3"/>
  <c r="BY60" i="3" s="1"/>
  <c r="BY61" i="3" s="1"/>
  <c r="BY17" i="3"/>
  <c r="BW98" i="3"/>
  <c r="BW99" i="3" s="1"/>
  <c r="BW33" i="3" s="1"/>
  <c r="BW48" i="3"/>
  <c r="BW50" i="3" s="1"/>
  <c r="BW51" i="3" s="1"/>
  <c r="BZ40" i="3"/>
  <c r="BZ29" i="3"/>
  <c r="BY92" i="3"/>
  <c r="BY65" i="3"/>
  <c r="BZ9" i="3"/>
  <c r="CA3" i="3"/>
  <c r="BZ5" i="3"/>
  <c r="BZ12" i="3" s="1"/>
  <c r="BZ13" i="3" s="1"/>
  <c r="BZ69" i="3" s="1" a="1"/>
  <c r="BZ69" i="3" s="1"/>
  <c r="BZ71" i="3" s="1"/>
  <c r="BZ8" i="3"/>
  <c r="BZ21" i="3" s="1"/>
  <c r="BX63" i="3"/>
  <c r="BX66" i="3" s="1"/>
  <c r="BX74" i="3" s="1"/>
  <c r="BX90" i="3"/>
  <c r="BY82" i="3"/>
  <c r="BY81" i="3"/>
  <c r="BY63" i="3" l="1"/>
  <c r="BY90" i="3"/>
  <c r="BW31" i="3"/>
  <c r="BZ14" i="3"/>
  <c r="BZ17" i="3" s="1"/>
  <c r="BX91" i="3"/>
  <c r="BX93" i="3" s="1"/>
  <c r="BX86" i="3"/>
  <c r="BX85" i="3"/>
  <c r="BZ104" i="3"/>
  <c r="BZ34" i="3"/>
  <c r="BZ20" i="3"/>
  <c r="BZ22" i="3" s="1"/>
  <c r="BZ23" i="3" s="1"/>
  <c r="BZ6" i="3"/>
  <c r="BZ7" i="3" s="1"/>
  <c r="CA4" i="3"/>
  <c r="CA28" i="3" s="1"/>
  <c r="BY66" i="3"/>
  <c r="BY74" i="3" s="1"/>
  <c r="BY91" i="3" s="1"/>
  <c r="BY93" i="3" l="1"/>
  <c r="BY49" i="3" s="1"/>
  <c r="BZ15" i="3"/>
  <c r="BZ65" i="3" s="1"/>
  <c r="BY16" i="3"/>
  <c r="CA40" i="3"/>
  <c r="CA29" i="3"/>
  <c r="BZ92" i="3"/>
  <c r="CA27" i="3"/>
  <c r="BX49" i="3"/>
  <c r="BX97" i="3"/>
  <c r="BY86" i="3"/>
  <c r="BY85" i="3"/>
  <c r="BX87" i="3"/>
  <c r="CA9" i="3"/>
  <c r="CB3" i="3"/>
  <c r="CA5" i="3"/>
  <c r="CA14" i="3" s="1"/>
  <c r="CA8" i="3"/>
  <c r="CA21" i="3" s="1"/>
  <c r="BZ82" i="3"/>
  <c r="BZ81" i="3"/>
  <c r="BY97" i="3" l="1"/>
  <c r="CA12" i="3"/>
  <c r="CA13" i="3" s="1"/>
  <c r="CA69" i="3" s="1" a="1"/>
  <c r="CA69" i="3" s="1"/>
  <c r="CA71" i="3" s="1"/>
  <c r="CA104" i="3" s="1"/>
  <c r="BZ60" i="3"/>
  <c r="BZ61" i="3" s="1"/>
  <c r="BZ63" i="3" s="1"/>
  <c r="BZ66" i="3" s="1"/>
  <c r="BZ74" i="3" s="1"/>
  <c r="BY87" i="3"/>
  <c r="BY96" i="3" s="1"/>
  <c r="BY98" i="3" s="1"/>
  <c r="BZ16" i="3"/>
  <c r="CA17" i="3"/>
  <c r="CA15" i="3"/>
  <c r="CA20" i="3"/>
  <c r="CA22" i="3" s="1"/>
  <c r="CA23" i="3" s="1"/>
  <c r="CA6" i="3"/>
  <c r="CA7" i="3" s="1"/>
  <c r="CB4" i="3"/>
  <c r="CB28" i="3" s="1"/>
  <c r="BX96" i="3"/>
  <c r="BX98" i="3" s="1"/>
  <c r="BX48" i="3"/>
  <c r="BX50" i="3" s="1"/>
  <c r="CA34" i="3" l="1"/>
  <c r="CB27" i="3"/>
  <c r="BZ91" i="3"/>
  <c r="BZ86" i="3"/>
  <c r="BZ90" i="3"/>
  <c r="BZ85" i="3"/>
  <c r="BY48" i="3"/>
  <c r="BY50" i="3" s="1"/>
  <c r="BY31" i="3" s="1"/>
  <c r="CB40" i="3"/>
  <c r="CB29" i="3"/>
  <c r="CA60" i="3"/>
  <c r="CA61" i="3" s="1"/>
  <c r="CA63" i="3" s="1"/>
  <c r="BY99" i="3"/>
  <c r="BY33" i="3" s="1"/>
  <c r="BX99" i="3"/>
  <c r="BX33" i="3" s="1"/>
  <c r="CA92" i="3"/>
  <c r="CA65" i="3"/>
  <c r="BX31" i="3"/>
  <c r="BX51" i="3"/>
  <c r="CB9" i="3"/>
  <c r="CC3" i="3"/>
  <c r="CB8" i="3"/>
  <c r="CB21" i="3" s="1"/>
  <c r="CB5" i="3"/>
  <c r="CB12" i="3" s="1"/>
  <c r="CB13" i="3" s="1"/>
  <c r="CB69" i="3" s="1" a="1"/>
  <c r="CB69" i="3" s="1"/>
  <c r="CB71" i="3" s="1"/>
  <c r="CB14" i="3"/>
  <c r="CA82" i="3"/>
  <c r="CA81" i="3"/>
  <c r="BZ87" i="3" l="1"/>
  <c r="BZ48" i="3" s="1"/>
  <c r="BZ93" i="3"/>
  <c r="BZ49" i="3" s="1"/>
  <c r="CA90" i="3"/>
  <c r="BY51" i="3"/>
  <c r="CA66" i="3"/>
  <c r="CA74" i="3" s="1"/>
  <c r="CA91" i="3" s="1"/>
  <c r="CB104" i="3"/>
  <c r="CB34" i="3"/>
  <c r="CB20" i="3"/>
  <c r="CB22" i="3" s="1"/>
  <c r="CB23" i="3" s="1"/>
  <c r="CB6" i="3"/>
  <c r="CB7" i="3" s="1"/>
  <c r="CB17" i="3"/>
  <c r="CA16" i="3"/>
  <c r="CB15" i="3"/>
  <c r="CC4" i="3"/>
  <c r="CC28" i="3" s="1"/>
  <c r="BZ96" i="3" l="1"/>
  <c r="CC27" i="3"/>
  <c r="BZ50" i="3"/>
  <c r="BZ31" i="3" s="1"/>
  <c r="BZ97" i="3"/>
  <c r="CA93" i="3"/>
  <c r="CA49" i="3" s="1"/>
  <c r="CA85" i="3"/>
  <c r="CA86" i="3"/>
  <c r="CC40" i="3"/>
  <c r="CC29" i="3"/>
  <c r="CB92" i="3"/>
  <c r="CC9" i="3"/>
  <c r="CC8" i="3"/>
  <c r="CC21" i="3" s="1"/>
  <c r="CC5" i="3"/>
  <c r="CC14" i="3" s="1"/>
  <c r="CD3" i="3"/>
  <c r="CB81" i="3"/>
  <c r="CB82" i="3"/>
  <c r="CB60" i="3"/>
  <c r="CB61" i="3" s="1"/>
  <c r="CB90" i="3" s="1"/>
  <c r="CB65" i="3"/>
  <c r="BZ51" i="3" l="1"/>
  <c r="BZ98" i="3"/>
  <c r="BZ99" i="3" s="1"/>
  <c r="BZ33" i="3" s="1"/>
  <c r="CC12" i="3"/>
  <c r="CC13" i="3" s="1"/>
  <c r="CC69" i="3" s="1" a="1"/>
  <c r="CC69" i="3" s="1"/>
  <c r="CC71" i="3" s="1"/>
  <c r="CC104" i="3" s="1"/>
  <c r="CA97" i="3"/>
  <c r="CA87" i="3"/>
  <c r="CA96" i="3" s="1"/>
  <c r="CB63" i="3"/>
  <c r="CB66" i="3" s="1"/>
  <c r="CB74" i="3" s="1"/>
  <c r="CB91" i="3" s="1"/>
  <c r="CB93" i="3" s="1"/>
  <c r="CC17" i="3"/>
  <c r="CC15" i="3"/>
  <c r="CB16" i="3"/>
  <c r="CD4" i="3"/>
  <c r="CD27" i="3" s="1"/>
  <c r="CC20" i="3"/>
  <c r="CC22" i="3" s="1"/>
  <c r="CC23" i="3" s="1"/>
  <c r="CC6" i="3"/>
  <c r="CC7" i="3" s="1"/>
  <c r="CD28" i="3" l="1"/>
  <c r="CD40" i="3" s="1"/>
  <c r="CC34" i="3"/>
  <c r="CA98" i="3"/>
  <c r="CA99" i="3" s="1"/>
  <c r="CA33" i="3" s="1"/>
  <c r="CA48" i="3"/>
  <c r="CA50" i="3" s="1"/>
  <c r="CA31" i="3" s="1"/>
  <c r="CB85" i="3"/>
  <c r="CC92" i="3"/>
  <c r="CC65" i="3"/>
  <c r="CB49" i="3"/>
  <c r="CB97" i="3"/>
  <c r="CC81" i="3"/>
  <c r="CC82" i="3"/>
  <c r="CD9" i="3"/>
  <c r="CD8" i="3"/>
  <c r="CD21" i="3" s="1"/>
  <c r="CD5" i="3"/>
  <c r="CD12" i="3" s="1"/>
  <c r="CD13" i="3" s="1"/>
  <c r="CD69" i="3" s="1" a="1"/>
  <c r="CD69" i="3" s="1"/>
  <c r="CD71" i="3" s="1"/>
  <c r="CE3" i="3"/>
  <c r="CC60" i="3"/>
  <c r="CC61" i="3" s="1"/>
  <c r="CC63" i="3" s="1"/>
  <c r="CB86" i="3"/>
  <c r="CB87" i="3" s="1"/>
  <c r="CD14" i="3" l="1"/>
  <c r="CD17" i="3" s="1"/>
  <c r="CC66" i="3"/>
  <c r="CC74" i="3" s="1"/>
  <c r="CC91" i="3" s="1"/>
  <c r="CD29" i="3"/>
  <c r="CA51" i="3"/>
  <c r="CD34" i="3"/>
  <c r="CD104" i="3"/>
  <c r="CE4" i="3"/>
  <c r="CE27" i="3" s="1"/>
  <c r="CC90" i="3"/>
  <c r="CD20" i="3"/>
  <c r="CD22" i="3" s="1"/>
  <c r="CD23" i="3" s="1"/>
  <c r="CD6" i="3"/>
  <c r="CD7" i="3" s="1"/>
  <c r="CB48" i="3"/>
  <c r="CB50" i="3" s="1"/>
  <c r="CB96" i="3"/>
  <c r="CB98" i="3" s="1"/>
  <c r="CC93" i="3" l="1"/>
  <c r="CC85" i="3"/>
  <c r="CC16" i="3"/>
  <c r="CD15" i="3"/>
  <c r="CD65" i="3" s="1"/>
  <c r="CC86" i="3"/>
  <c r="CC87" i="3" s="1"/>
  <c r="CE28" i="3"/>
  <c r="CE40" i="3" s="1"/>
  <c r="CD92" i="3"/>
  <c r="CC49" i="3"/>
  <c r="CC97" i="3"/>
  <c r="CB31" i="3"/>
  <c r="CB51" i="3"/>
  <c r="CD82" i="3"/>
  <c r="CD81" i="3"/>
  <c r="CB99" i="3"/>
  <c r="CB33" i="3" s="1"/>
  <c r="CE9" i="3"/>
  <c r="CF3" i="3"/>
  <c r="CE5" i="3"/>
  <c r="CE12" i="3" s="1"/>
  <c r="CE13" i="3" s="1"/>
  <c r="CE69" i="3" s="1" a="1"/>
  <c r="CE69" i="3" s="1"/>
  <c r="CE71" i="3" s="1"/>
  <c r="CE8" i="3"/>
  <c r="CE21" i="3" s="1"/>
  <c r="CE14" i="3"/>
  <c r="CD60" i="3" l="1"/>
  <c r="CD61" i="3" s="1"/>
  <c r="CD63" i="3" s="1"/>
  <c r="CD66" i="3" s="1"/>
  <c r="CD74" i="3" s="1"/>
  <c r="CD91" i="3" s="1"/>
  <c r="CE29" i="3"/>
  <c r="CC96" i="3"/>
  <c r="CC98" i="3" s="1"/>
  <c r="CC99" i="3" s="1"/>
  <c r="CC33" i="3" s="1"/>
  <c r="CC48" i="3"/>
  <c r="CC50" i="3" s="1"/>
  <c r="CF4" i="3"/>
  <c r="CF27" i="3" s="1"/>
  <c r="CE104" i="3"/>
  <c r="CE34" i="3"/>
  <c r="CE20" i="3"/>
  <c r="CE22" i="3" s="1"/>
  <c r="CE23" i="3" s="1"/>
  <c r="CE6" i="3"/>
  <c r="CE7" i="3" s="1"/>
  <c r="CE17" i="3"/>
  <c r="CD16" i="3"/>
  <c r="CE15" i="3"/>
  <c r="CD90" i="3" l="1"/>
  <c r="CF28" i="3"/>
  <c r="CF40" i="3" s="1"/>
  <c r="CD86" i="3"/>
  <c r="CD85" i="3"/>
  <c r="CD93" i="3"/>
  <c r="CD49" i="3" s="1"/>
  <c r="CE92" i="3"/>
  <c r="CE60" i="3"/>
  <c r="CE61" i="3" s="1"/>
  <c r="CE63" i="3" s="1"/>
  <c r="CE65" i="3"/>
  <c r="CF9" i="3"/>
  <c r="CG3" i="3"/>
  <c r="CF8" i="3"/>
  <c r="CF21" i="3" s="1"/>
  <c r="CF5" i="3"/>
  <c r="CF12" i="3" s="1"/>
  <c r="CF13" i="3" s="1"/>
  <c r="CF69" i="3" s="1" a="1"/>
  <c r="CF69" i="3" s="1"/>
  <c r="CF71" i="3" s="1"/>
  <c r="CC31" i="3"/>
  <c r="CC51" i="3"/>
  <c r="CE81" i="3"/>
  <c r="CE82" i="3"/>
  <c r="CF29" i="3" l="1"/>
  <c r="CF14" i="3"/>
  <c r="CF17" i="3" s="1"/>
  <c r="CD97" i="3"/>
  <c r="CD87" i="3"/>
  <c r="CD96" i="3" s="1"/>
  <c r="CF6" i="3"/>
  <c r="CF7" i="3" s="1"/>
  <c r="CF20" i="3"/>
  <c r="CF22" i="3" s="1"/>
  <c r="CF23" i="3" s="1"/>
  <c r="CE66" i="3"/>
  <c r="CE74" i="3" s="1"/>
  <c r="CE91" i="3" s="1"/>
  <c r="CG4" i="3"/>
  <c r="CG27" i="3" s="1"/>
  <c r="CE90" i="3"/>
  <c r="CF104" i="3"/>
  <c r="CF34" i="3"/>
  <c r="CE16" i="3" l="1"/>
  <c r="CF15" i="3"/>
  <c r="CD98" i="3"/>
  <c r="CD99" i="3" s="1"/>
  <c r="CD33" i="3" s="1"/>
  <c r="CD48" i="3"/>
  <c r="CD50" i="3" s="1"/>
  <c r="CD31" i="3" s="1"/>
  <c r="CE93" i="3"/>
  <c r="CE97" i="3" s="1"/>
  <c r="CE86" i="3"/>
  <c r="CE85" i="3"/>
  <c r="CG28" i="3"/>
  <c r="CF92" i="3"/>
  <c r="CF65" i="3"/>
  <c r="CF60" i="3"/>
  <c r="CF61" i="3" s="1"/>
  <c r="CF63" i="3" s="1"/>
  <c r="CG9" i="3"/>
  <c r="CH3" i="3"/>
  <c r="CG8" i="3"/>
  <c r="CG21" i="3" s="1"/>
  <c r="CG5" i="3"/>
  <c r="CG12" i="3" s="1"/>
  <c r="CG13" i="3" s="1"/>
  <c r="CG69" i="3" s="1" a="1"/>
  <c r="CG69" i="3" s="1"/>
  <c r="CG71" i="3" s="1"/>
  <c r="CF81" i="3"/>
  <c r="CF82" i="3"/>
  <c r="CG14" i="3" l="1"/>
  <c r="CG17" i="3" s="1"/>
  <c r="CE49" i="3"/>
  <c r="CD51" i="3"/>
  <c r="CE87" i="3"/>
  <c r="CF66" i="3"/>
  <c r="CF74" i="3" s="1"/>
  <c r="CF91" i="3" s="1"/>
  <c r="CG40" i="3"/>
  <c r="CG29" i="3"/>
  <c r="CG20" i="3"/>
  <c r="CG22" i="3" s="1"/>
  <c r="CG23" i="3" s="1"/>
  <c r="CG6" i="3"/>
  <c r="CG7" i="3" s="1"/>
  <c r="CH4" i="3"/>
  <c r="CH27" i="3" s="1"/>
  <c r="CF90" i="3"/>
  <c r="CG104" i="3"/>
  <c r="CG34" i="3"/>
  <c r="CG15" i="3" l="1"/>
  <c r="CG65" i="3" s="1"/>
  <c r="CF16" i="3"/>
  <c r="CG60" i="3" s="1"/>
  <c r="CG61" i="3" s="1"/>
  <c r="CG63" i="3" s="1"/>
  <c r="CH28" i="3"/>
  <c r="CH40" i="3" s="1"/>
  <c r="CF85" i="3"/>
  <c r="CE48" i="3"/>
  <c r="CE50" i="3" s="1"/>
  <c r="CE31" i="3" s="1"/>
  <c r="CE96" i="3"/>
  <c r="CE98" i="3" s="1"/>
  <c r="CE99" i="3" s="1"/>
  <c r="CE33" i="3" s="1"/>
  <c r="CF93" i="3"/>
  <c r="CF49" i="3" s="1"/>
  <c r="CF86" i="3"/>
  <c r="CG92" i="3"/>
  <c r="CH9" i="3"/>
  <c r="CH5" i="3"/>
  <c r="CH14" i="3" s="1"/>
  <c r="CH8" i="3"/>
  <c r="CH21" i="3" s="1"/>
  <c r="CI3" i="3"/>
  <c r="CG81" i="3"/>
  <c r="CG82" i="3"/>
  <c r="CH29" i="3" l="1"/>
  <c r="CH12" i="3"/>
  <c r="CH13" i="3" s="1"/>
  <c r="CH69" i="3" s="1" a="1"/>
  <c r="CH69" i="3" s="1"/>
  <c r="CH71" i="3" s="1"/>
  <c r="CH34" i="3" s="1"/>
  <c r="CF97" i="3"/>
  <c r="CE51" i="3"/>
  <c r="CF87" i="3"/>
  <c r="CF48" i="3" s="1"/>
  <c r="CF50" i="3" s="1"/>
  <c r="CG66" i="3"/>
  <c r="CG74" i="3" s="1"/>
  <c r="CG91" i="3" s="1"/>
  <c r="CH6" i="3"/>
  <c r="CH7" i="3" s="1"/>
  <c r="CH20" i="3"/>
  <c r="CH22" i="3" s="1"/>
  <c r="CH23" i="3" s="1"/>
  <c r="CI4" i="3"/>
  <c r="CI27" i="3" s="1"/>
  <c r="CH17" i="3"/>
  <c r="CH15" i="3"/>
  <c r="CG16" i="3"/>
  <c r="CG90" i="3"/>
  <c r="CI28" i="3" l="1"/>
  <c r="CH104" i="3"/>
  <c r="CG85" i="3"/>
  <c r="CG93" i="3"/>
  <c r="CG49" i="3" s="1"/>
  <c r="CF31" i="3"/>
  <c r="CF51" i="3"/>
  <c r="CF96" i="3"/>
  <c r="CF98" i="3" s="1"/>
  <c r="CF99" i="3" s="1"/>
  <c r="CF33" i="3" s="1"/>
  <c r="CG86" i="3"/>
  <c r="CI40" i="3"/>
  <c r="CI29" i="3"/>
  <c r="CH60" i="3"/>
  <c r="CH61" i="3" s="1"/>
  <c r="CH63" i="3" s="1"/>
  <c r="CH82" i="3"/>
  <c r="CH81" i="3"/>
  <c r="CH65" i="3"/>
  <c r="CI9" i="3"/>
  <c r="CI8" i="3"/>
  <c r="CI21" i="3" s="1"/>
  <c r="CJ3" i="3"/>
  <c r="CI5" i="3"/>
  <c r="CI14" i="3" s="1"/>
  <c r="CH92" i="3"/>
  <c r="CI12" i="3" l="1"/>
  <c r="CI13" i="3" s="1"/>
  <c r="CI69" i="3" s="1" a="1"/>
  <c r="CI69" i="3" s="1"/>
  <c r="CI71" i="3" s="1"/>
  <c r="CI104" i="3" s="1"/>
  <c r="CH90" i="3"/>
  <c r="CG97" i="3"/>
  <c r="CG87" i="3"/>
  <c r="CG48" i="3" s="1"/>
  <c r="CG50" i="3" s="1"/>
  <c r="CG31" i="3" s="1"/>
  <c r="CH66" i="3"/>
  <c r="CH74" i="3" s="1"/>
  <c r="CH91" i="3" s="1"/>
  <c r="CI17" i="3"/>
  <c r="CH16" i="3"/>
  <c r="CI15" i="3"/>
  <c r="CI6" i="3"/>
  <c r="CI7" i="3" s="1"/>
  <c r="CI20" i="3"/>
  <c r="CI22" i="3" s="1"/>
  <c r="CI23" i="3" s="1"/>
  <c r="CJ4" i="3"/>
  <c r="CJ27" i="3" s="1"/>
  <c r="CI34" i="3" l="1"/>
  <c r="CH93" i="3"/>
  <c r="CH49" i="3" s="1"/>
  <c r="CG96" i="3"/>
  <c r="CG98" i="3" s="1"/>
  <c r="CG99" i="3" s="1"/>
  <c r="CG33" i="3" s="1"/>
  <c r="CH85" i="3"/>
  <c r="CH86" i="3"/>
  <c r="CG51" i="3"/>
  <c r="CI92" i="3"/>
  <c r="CJ28" i="3"/>
  <c r="CI65" i="3"/>
  <c r="CI60" i="3"/>
  <c r="CI61" i="3" s="1"/>
  <c r="CI63" i="3" s="1"/>
  <c r="CJ9" i="3"/>
  <c r="CJ8" i="3"/>
  <c r="CJ21" i="3" s="1"/>
  <c r="CK3" i="3"/>
  <c r="CJ5" i="3"/>
  <c r="CJ14" i="3" s="1"/>
  <c r="CI81" i="3"/>
  <c r="CI82" i="3"/>
  <c r="CJ12" i="3" l="1"/>
  <c r="CJ13" i="3" s="1"/>
  <c r="CJ69" i="3" s="1" a="1"/>
  <c r="CJ69" i="3" s="1"/>
  <c r="CJ71" i="3" s="1"/>
  <c r="CJ104" i="3" s="1"/>
  <c r="CH97" i="3"/>
  <c r="CH87" i="3"/>
  <c r="CH96" i="3" s="1"/>
  <c r="CI66" i="3"/>
  <c r="CI74" i="3" s="1"/>
  <c r="CI91" i="3" s="1"/>
  <c r="CJ40" i="3"/>
  <c r="CJ29" i="3"/>
  <c r="CJ17" i="3"/>
  <c r="CI16" i="3"/>
  <c r="CJ15" i="3"/>
  <c r="CK4" i="3"/>
  <c r="CK28" i="3" s="1"/>
  <c r="CJ20" i="3"/>
  <c r="CJ22" i="3" s="1"/>
  <c r="CJ23" i="3" s="1"/>
  <c r="CJ6" i="3"/>
  <c r="CJ7" i="3" s="1"/>
  <c r="CI90" i="3"/>
  <c r="CJ34" i="3" l="1"/>
  <c r="CK27" i="3"/>
  <c r="CH98" i="3"/>
  <c r="CH99" i="3" s="1"/>
  <c r="CH33" i="3" s="1"/>
  <c r="CH48" i="3"/>
  <c r="CH50" i="3" s="1"/>
  <c r="CH31" i="3" s="1"/>
  <c r="CI85" i="3"/>
  <c r="CI93" i="3"/>
  <c r="CI49" i="3" s="1"/>
  <c r="CI86" i="3"/>
  <c r="CK40" i="3"/>
  <c r="CK29" i="3"/>
  <c r="CJ92" i="3"/>
  <c r="CJ65" i="3"/>
  <c r="CJ60" i="3"/>
  <c r="CJ61" i="3" s="1"/>
  <c r="CJ63" i="3" s="1"/>
  <c r="CJ81" i="3"/>
  <c r="CJ82" i="3"/>
  <c r="CK9" i="3"/>
  <c r="CK8" i="3"/>
  <c r="CK21" i="3" s="1"/>
  <c r="CK5" i="3"/>
  <c r="CL3" i="3"/>
  <c r="CK14" i="3"/>
  <c r="CK12" i="3"/>
  <c r="CK13" i="3" s="1"/>
  <c r="CK69" i="3" s="1" a="1"/>
  <c r="CK69" i="3" s="1"/>
  <c r="CK71" i="3" s="1"/>
  <c r="CJ66" i="3" l="1"/>
  <c r="CJ74" i="3" s="1"/>
  <c r="CJ91" i="3" s="1"/>
  <c r="CI97" i="3"/>
  <c r="CH51" i="3"/>
  <c r="CI87" i="3"/>
  <c r="CI96" i="3" s="1"/>
  <c r="CK17" i="3"/>
  <c r="CJ16" i="3"/>
  <c r="CK15" i="3"/>
  <c r="CL4" i="3"/>
  <c r="CL28" i="3" s="1"/>
  <c r="CK20" i="3"/>
  <c r="CK22" i="3" s="1"/>
  <c r="CK23" i="3" s="1"/>
  <c r="CK6" i="3"/>
  <c r="CK7" i="3" s="1"/>
  <c r="CK104" i="3"/>
  <c r="CK34" i="3"/>
  <c r="CJ90" i="3"/>
  <c r="CL27" i="3" l="1"/>
  <c r="CJ93" i="3"/>
  <c r="CJ49" i="3" s="1"/>
  <c r="CJ86" i="3"/>
  <c r="CJ85" i="3"/>
  <c r="CI98" i="3"/>
  <c r="CI99" i="3" s="1"/>
  <c r="CI33" i="3" s="1"/>
  <c r="CI48" i="3"/>
  <c r="CI50" i="3" s="1"/>
  <c r="CI31" i="3" s="1"/>
  <c r="CL40" i="3"/>
  <c r="CL29" i="3"/>
  <c r="CK92" i="3"/>
  <c r="CK60" i="3"/>
  <c r="CK61" i="3" s="1"/>
  <c r="CK63" i="3" s="1"/>
  <c r="CK65" i="3"/>
  <c r="CK81" i="3"/>
  <c r="CK82" i="3"/>
  <c r="CL9" i="3"/>
  <c r="CM3" i="3"/>
  <c r="CL8" i="3"/>
  <c r="CL21" i="3" s="1"/>
  <c r="CL5" i="3"/>
  <c r="CL14" i="3" s="1"/>
  <c r="CJ87" i="3" l="1"/>
  <c r="CJ96" i="3" s="1"/>
  <c r="CJ97" i="3"/>
  <c r="CJ48" i="3"/>
  <c r="CJ50" i="3" s="1"/>
  <c r="CJ31" i="3" s="1"/>
  <c r="CI51" i="3"/>
  <c r="CL17" i="3"/>
  <c r="CK16" i="3"/>
  <c r="CL15" i="3"/>
  <c r="CK66" i="3"/>
  <c r="CK74" i="3" s="1"/>
  <c r="CK91" i="3" s="1"/>
  <c r="CL20" i="3"/>
  <c r="CL22" i="3" s="1"/>
  <c r="CL23" i="3" s="1"/>
  <c r="CL6" i="3"/>
  <c r="CL7" i="3" s="1"/>
  <c r="CM4" i="3"/>
  <c r="CM27" i="3" s="1"/>
  <c r="CK90" i="3"/>
  <c r="CL12" i="3"/>
  <c r="CL13" i="3" s="1"/>
  <c r="CL69" i="3" s="1" a="1"/>
  <c r="CL69" i="3" s="1"/>
  <c r="CL71" i="3" s="1"/>
  <c r="CJ98" i="3" l="1"/>
  <c r="CM28" i="3"/>
  <c r="CM40" i="3" s="1"/>
  <c r="CJ51" i="3"/>
  <c r="CK93" i="3"/>
  <c r="CK49" i="3" s="1"/>
  <c r="CK86" i="3"/>
  <c r="CK85" i="3"/>
  <c r="CM29" i="3"/>
  <c r="CL65" i="3"/>
  <c r="CM9" i="3"/>
  <c r="CN3" i="3"/>
  <c r="CM5" i="3"/>
  <c r="CM12" i="3" s="1"/>
  <c r="CM13" i="3" s="1"/>
  <c r="CM69" i="3" s="1" a="1"/>
  <c r="CM69" i="3" s="1"/>
  <c r="CM71" i="3" s="1"/>
  <c r="CM8" i="3"/>
  <c r="CM21" i="3" s="1"/>
  <c r="CJ99" i="3"/>
  <c r="CJ33" i="3" s="1"/>
  <c r="CL34" i="3"/>
  <c r="CL104" i="3"/>
  <c r="CL81" i="3"/>
  <c r="CL82" i="3"/>
  <c r="CL60" i="3"/>
  <c r="CL61" i="3" s="1"/>
  <c r="CL63" i="3" s="1"/>
  <c r="CL92" i="3"/>
  <c r="CK87" i="3" l="1"/>
  <c r="CK96" i="3" s="1"/>
  <c r="CL66" i="3"/>
  <c r="CL74" i="3" s="1"/>
  <c r="CL91" i="3" s="1"/>
  <c r="CM14" i="3"/>
  <c r="CM17" i="3" s="1"/>
  <c r="CK97" i="3"/>
  <c r="CL90" i="3"/>
  <c r="CN4" i="3"/>
  <c r="CN28" i="3" s="1"/>
  <c r="CM104" i="3"/>
  <c r="CM34" i="3"/>
  <c r="CM6" i="3"/>
  <c r="CM7" i="3" s="1"/>
  <c r="CM20" i="3"/>
  <c r="CM22" i="3" s="1"/>
  <c r="CM23" i="3" s="1"/>
  <c r="CL85" i="3" l="1"/>
  <c r="CK48" i="3"/>
  <c r="CK50" i="3" s="1"/>
  <c r="CL86" i="3"/>
  <c r="CL93" i="3"/>
  <c r="CL49" i="3" s="1"/>
  <c r="CL16" i="3"/>
  <c r="CM15" i="3"/>
  <c r="CM60" i="3" s="1"/>
  <c r="CM61" i="3" s="1"/>
  <c r="CM63" i="3" s="1"/>
  <c r="CN27" i="3"/>
  <c r="CK98" i="3"/>
  <c r="CK99" i="3" s="1"/>
  <c r="CK33" i="3" s="1"/>
  <c r="CN40" i="3"/>
  <c r="CN29" i="3"/>
  <c r="CM92" i="3"/>
  <c r="CM81" i="3"/>
  <c r="CM82" i="3"/>
  <c r="CN9" i="3"/>
  <c r="CN8" i="3"/>
  <c r="CN21" i="3" s="1"/>
  <c r="CO3" i="3"/>
  <c r="CN5" i="3"/>
  <c r="CN12" i="3" s="1"/>
  <c r="CN13" i="3" s="1"/>
  <c r="CN69" i="3" s="1" a="1"/>
  <c r="CN69" i="3" s="1"/>
  <c r="CN71" i="3" s="1"/>
  <c r="CK31" i="3"/>
  <c r="CK51" i="3"/>
  <c r="CM65" i="3" l="1"/>
  <c r="CL87" i="3"/>
  <c r="CL48" i="3" s="1"/>
  <c r="CL97" i="3"/>
  <c r="CN14" i="3"/>
  <c r="CN17" i="3" s="1"/>
  <c r="CM66" i="3"/>
  <c r="CM74" i="3" s="1"/>
  <c r="CM91" i="3" s="1"/>
  <c r="CN104" i="3"/>
  <c r="CN34" i="3"/>
  <c r="CO4" i="3"/>
  <c r="CO27" i="3" s="1"/>
  <c r="CN20" i="3"/>
  <c r="CN22" i="3" s="1"/>
  <c r="CN23" i="3" s="1"/>
  <c r="CN6" i="3"/>
  <c r="CN7" i="3" s="1"/>
  <c r="CL50" i="3"/>
  <c r="CM90" i="3"/>
  <c r="CL96" i="3" l="1"/>
  <c r="CL98" i="3" s="1"/>
  <c r="CL99" i="3" s="1"/>
  <c r="CL33" i="3" s="1"/>
  <c r="CM16" i="3"/>
  <c r="CN15" i="3"/>
  <c r="CM86" i="3"/>
  <c r="CM93" i="3"/>
  <c r="CM97" i="3" s="1"/>
  <c r="CM85" i="3"/>
  <c r="CN92" i="3"/>
  <c r="CL31" i="3"/>
  <c r="CL51" i="3"/>
  <c r="CN82" i="3"/>
  <c r="CN81" i="3"/>
  <c r="CO28" i="3"/>
  <c r="CO9" i="3"/>
  <c r="CP3" i="3"/>
  <c r="CO5" i="3"/>
  <c r="CO12" i="3" s="1"/>
  <c r="CO13" i="3" s="1"/>
  <c r="CO69" i="3" s="1" a="1"/>
  <c r="CO69" i="3" s="1"/>
  <c r="CO8" i="3"/>
  <c r="CO21" i="3" s="1"/>
  <c r="CN60" i="3" l="1"/>
  <c r="CN61" i="3" s="1"/>
  <c r="CN63" i="3" s="1"/>
  <c r="CN65" i="3"/>
  <c r="CO14" i="3"/>
  <c r="CO17" i="3" s="1"/>
  <c r="CM49" i="3"/>
  <c r="CM87" i="3"/>
  <c r="CM48" i="3" s="1"/>
  <c r="CO40" i="3"/>
  <c r="CO29" i="3"/>
  <c r="CO71" i="3"/>
  <c r="CO20" i="3"/>
  <c r="CO22" i="3" s="1"/>
  <c r="CO23" i="3" s="1"/>
  <c r="CO6" i="3"/>
  <c r="CO7" i="3" s="1"/>
  <c r="CP4" i="3"/>
  <c r="CP27" i="3" s="1"/>
  <c r="CN90" i="3"/>
  <c r="CN66" i="3" l="1"/>
  <c r="CN74" i="3" s="1"/>
  <c r="CN91" i="3" s="1"/>
  <c r="CN93" i="3" s="1"/>
  <c r="CN49" i="3" s="1"/>
  <c r="CO15" i="3"/>
  <c r="CN16" i="3"/>
  <c r="CM50" i="3"/>
  <c r="CM31" i="3" s="1"/>
  <c r="CM96" i="3"/>
  <c r="CM98" i="3" s="1"/>
  <c r="CM99" i="3" s="1"/>
  <c r="CM33" i="3" s="1"/>
  <c r="CP28" i="3"/>
  <c r="CO65" i="3"/>
  <c r="CO81" i="3"/>
  <c r="CO82" i="3"/>
  <c r="CO92" i="3"/>
  <c r="CP9" i="3"/>
  <c r="CP8" i="3"/>
  <c r="CP21" i="3" s="1"/>
  <c r="CQ3" i="3"/>
  <c r="CP5" i="3"/>
  <c r="CP14" i="3" s="1"/>
  <c r="CP12" i="3"/>
  <c r="CP13" i="3" s="1"/>
  <c r="CP69" i="3" s="1" a="1"/>
  <c r="CP69" i="3" s="1"/>
  <c r="CO60" i="3"/>
  <c r="CO61" i="3" s="1"/>
  <c r="CO63" i="3" s="1"/>
  <c r="CO104" i="3"/>
  <c r="CO34" i="3"/>
  <c r="CN86" i="3" l="1"/>
  <c r="CN85" i="3"/>
  <c r="CN87" i="3" s="1"/>
  <c r="CN96" i="3" s="1"/>
  <c r="CN97" i="3"/>
  <c r="CM51" i="3"/>
  <c r="CO66" i="3"/>
  <c r="CO74" i="3" s="1"/>
  <c r="CO91" i="3" s="1"/>
  <c r="CP40" i="3"/>
  <c r="CP29" i="3"/>
  <c r="CP17" i="3"/>
  <c r="CP15" i="3"/>
  <c r="CO16" i="3"/>
  <c r="CP20" i="3"/>
  <c r="CP22" i="3" s="1"/>
  <c r="CP23" i="3" s="1"/>
  <c r="CP6" i="3"/>
  <c r="CP7" i="3" s="1"/>
  <c r="CQ4" i="3"/>
  <c r="CQ28" i="3" s="1"/>
  <c r="CO90" i="3"/>
  <c r="CP71" i="3"/>
  <c r="CN48" i="3" l="1"/>
  <c r="CN50" i="3" s="1"/>
  <c r="CN31" i="3" s="1"/>
  <c r="CQ27" i="3"/>
  <c r="CN98" i="3"/>
  <c r="CN99" i="3" s="1"/>
  <c r="CN33" i="3" s="1"/>
  <c r="CO85" i="3"/>
  <c r="CO86" i="3"/>
  <c r="CQ40" i="3"/>
  <c r="CQ29" i="3"/>
  <c r="CP65" i="3"/>
  <c r="CP92" i="3"/>
  <c r="CP34" i="3"/>
  <c r="CP104" i="3"/>
  <c r="CO93" i="3"/>
  <c r="CQ9" i="3"/>
  <c r="CQ5" i="3"/>
  <c r="CQ12" i="3" s="1"/>
  <c r="CQ13" i="3" s="1"/>
  <c r="CQ69" i="3" s="1" a="1"/>
  <c r="CQ69" i="3" s="1"/>
  <c r="CR3" i="3"/>
  <c r="CQ8" i="3"/>
  <c r="CQ21" i="3" s="1"/>
  <c r="CP81" i="3"/>
  <c r="CP82" i="3"/>
  <c r="CP60" i="3"/>
  <c r="CP61" i="3" s="1"/>
  <c r="CP63" i="3" s="1"/>
  <c r="CN51" i="3" l="1"/>
  <c r="CO87" i="3"/>
  <c r="CP66" i="3"/>
  <c r="CP74" i="3" s="1"/>
  <c r="CP91" i="3" s="1"/>
  <c r="CQ71" i="3"/>
  <c r="CQ14" i="3"/>
  <c r="CR4" i="3"/>
  <c r="CR28" i="3" s="1"/>
  <c r="CO49" i="3"/>
  <c r="CO97" i="3"/>
  <c r="CP90" i="3"/>
  <c r="CQ20" i="3"/>
  <c r="CQ22" i="3" s="1"/>
  <c r="CQ23" i="3" s="1"/>
  <c r="CQ6" i="3"/>
  <c r="CQ7" i="3" s="1"/>
  <c r="CR27" i="3" l="1"/>
  <c r="CP86" i="3"/>
  <c r="CO96" i="3"/>
  <c r="CO98" i="3" s="1"/>
  <c r="CO99" i="3" s="1"/>
  <c r="CO33" i="3" s="1"/>
  <c r="CO48" i="3"/>
  <c r="CO50" i="3" s="1"/>
  <c r="CO31" i="3" s="1"/>
  <c r="CP85" i="3"/>
  <c r="CP93" i="3"/>
  <c r="CP49" i="3" s="1"/>
  <c r="CR40" i="3"/>
  <c r="CR29" i="3"/>
  <c r="CQ92" i="3"/>
  <c r="CQ82" i="3"/>
  <c r="CQ81" i="3"/>
  <c r="CQ17" i="3"/>
  <c r="CQ15" i="3"/>
  <c r="CP16" i="3"/>
  <c r="CR9" i="3"/>
  <c r="CS3" i="3"/>
  <c r="CR8" i="3"/>
  <c r="CR21" i="3" s="1"/>
  <c r="CR5" i="3"/>
  <c r="CR14" i="3"/>
  <c r="CR12" i="3"/>
  <c r="CR13" i="3" s="1"/>
  <c r="CR69" i="3" s="1" a="1"/>
  <c r="CR69" i="3" s="1"/>
  <c r="CQ104" i="3"/>
  <c r="CQ34" i="3"/>
  <c r="CP87" i="3" l="1"/>
  <c r="CP96" i="3" s="1"/>
  <c r="CO51" i="3"/>
  <c r="CP97" i="3"/>
  <c r="CQ16" i="3"/>
  <c r="CR17" i="3"/>
  <c r="CQ60" i="3"/>
  <c r="CQ61" i="3" s="1"/>
  <c r="CQ65" i="3"/>
  <c r="CR15" i="3"/>
  <c r="CR71" i="3"/>
  <c r="CS4" i="3"/>
  <c r="CS27" i="3" s="1"/>
  <c r="CR20" i="3"/>
  <c r="CR22" i="3" s="1"/>
  <c r="CR23" i="3" s="1"/>
  <c r="CR6" i="3"/>
  <c r="CR7" i="3" s="1"/>
  <c r="CP98" i="3" l="1"/>
  <c r="CP99" i="3" s="1"/>
  <c r="CP33" i="3" s="1"/>
  <c r="CP48" i="3"/>
  <c r="CP50" i="3" s="1"/>
  <c r="CP31" i="3" s="1"/>
  <c r="CR60" i="3"/>
  <c r="CR61" i="3" s="1"/>
  <c r="CR90" i="3" s="1"/>
  <c r="CR92" i="3"/>
  <c r="CQ63" i="3"/>
  <c r="CQ66" i="3" s="1"/>
  <c r="CQ74" i="3" s="1"/>
  <c r="CQ90" i="3"/>
  <c r="CS9" i="3"/>
  <c r="CT3" i="3"/>
  <c r="CS5" i="3"/>
  <c r="CS14" i="3" s="1"/>
  <c r="CS8" i="3"/>
  <c r="CS21" i="3" s="1"/>
  <c r="CR65" i="3"/>
  <c r="CR82" i="3"/>
  <c r="CR81" i="3"/>
  <c r="CS28" i="3"/>
  <c r="CR104" i="3"/>
  <c r="CR34" i="3"/>
  <c r="CP51" i="3" l="1"/>
  <c r="CR63" i="3"/>
  <c r="CR66" i="3" s="1"/>
  <c r="CR74" i="3" s="1"/>
  <c r="CR91" i="3" s="1"/>
  <c r="CR93" i="3" s="1"/>
  <c r="CS12" i="3"/>
  <c r="CS13" i="3" s="1"/>
  <c r="CS69" i="3" s="1" a="1"/>
  <c r="CS69" i="3" s="1"/>
  <c r="CS71" i="3" s="1"/>
  <c r="CS104" i="3" s="1"/>
  <c r="CS40" i="3"/>
  <c r="CS29" i="3"/>
  <c r="CQ91" i="3"/>
  <c r="CQ93" i="3" s="1"/>
  <c r="CQ86" i="3"/>
  <c r="CQ85" i="3"/>
  <c r="CT4" i="3"/>
  <c r="CT27" i="3" s="1"/>
  <c r="CS17" i="3"/>
  <c r="CS15" i="3"/>
  <c r="CR16" i="3"/>
  <c r="CS20" i="3"/>
  <c r="CS22" i="3" s="1"/>
  <c r="CS23" i="3" s="1"/>
  <c r="CS6" i="3"/>
  <c r="CS7" i="3" s="1"/>
  <c r="CT28" i="3" l="1"/>
  <c r="CT40" i="3" s="1"/>
  <c r="CS34" i="3"/>
  <c r="CS92" i="3"/>
  <c r="CR49" i="3"/>
  <c r="CR97" i="3"/>
  <c r="CS82" i="3"/>
  <c r="CS81" i="3"/>
  <c r="CS65" i="3"/>
  <c r="CS60" i="3"/>
  <c r="CS61" i="3" s="1"/>
  <c r="CS63" i="3" s="1"/>
  <c r="CT9" i="3"/>
  <c r="CT5" i="3"/>
  <c r="CT12" i="3" s="1"/>
  <c r="CT13" i="3" s="1"/>
  <c r="CT69" i="3" s="1" a="1"/>
  <c r="CT69" i="3" s="1"/>
  <c r="CT71" i="3" s="1"/>
  <c r="CT8" i="3"/>
  <c r="CT21" i="3" s="1"/>
  <c r="CU3" i="3"/>
  <c r="CR86" i="3"/>
  <c r="CR85" i="3"/>
  <c r="CQ49" i="3"/>
  <c r="CQ97" i="3"/>
  <c r="CQ87" i="3"/>
  <c r="CT29" i="3" l="1"/>
  <c r="CT14" i="3"/>
  <c r="CT17" i="3" s="1"/>
  <c r="CS66" i="3"/>
  <c r="CS74" i="3" s="1"/>
  <c r="CS91" i="3" s="1"/>
  <c r="CR87" i="3"/>
  <c r="CR48" i="3" s="1"/>
  <c r="CR50" i="3" s="1"/>
  <c r="CT6" i="3"/>
  <c r="CT7" i="3" s="1"/>
  <c r="CT20" i="3"/>
  <c r="CT22" i="3" s="1"/>
  <c r="CT23" i="3" s="1"/>
  <c r="CS90" i="3"/>
  <c r="CQ96" i="3"/>
  <c r="CQ98" i="3" s="1"/>
  <c r="CQ99" i="3" s="1"/>
  <c r="CQ48" i="3"/>
  <c r="CT104" i="3"/>
  <c r="CT34" i="3"/>
  <c r="CU4" i="3"/>
  <c r="CS16" i="3" l="1"/>
  <c r="CT15" i="3"/>
  <c r="CS86" i="3"/>
  <c r="CS85" i="3"/>
  <c r="CR96" i="3"/>
  <c r="CR98" i="3" s="1"/>
  <c r="CR99" i="3" s="1"/>
  <c r="CR33" i="3" s="1"/>
  <c r="CQ33" i="3"/>
  <c r="CT92" i="3"/>
  <c r="CQ50" i="3"/>
  <c r="CR31" i="3"/>
  <c r="CR51" i="3"/>
  <c r="CS93" i="3"/>
  <c r="CT82" i="3"/>
  <c r="CT81" i="3"/>
  <c r="CU9" i="3"/>
  <c r="CV3" i="3"/>
  <c r="CU5" i="3"/>
  <c r="CU14" i="3" s="1"/>
  <c r="CU8" i="3"/>
  <c r="CU21" i="3" s="1"/>
  <c r="CU12" i="3"/>
  <c r="CU13" i="3" s="1"/>
  <c r="CU69" i="3" s="1" a="1"/>
  <c r="CU69" i="3" s="1"/>
  <c r="CU71" i="3" s="1"/>
  <c r="CU27" i="3"/>
  <c r="CT65" i="3"/>
  <c r="CT60" i="3"/>
  <c r="CT61" i="3" s="1"/>
  <c r="CT63" i="3" s="1"/>
  <c r="CU28" i="3"/>
  <c r="CT66" i="3" l="1"/>
  <c r="CT74" i="3" s="1"/>
  <c r="CT91" i="3" s="1"/>
  <c r="CS87" i="3"/>
  <c r="CS96" i="3" s="1"/>
  <c r="CU40" i="3"/>
  <c r="CU29" i="3"/>
  <c r="CT90" i="3"/>
  <c r="CU17" i="3"/>
  <c r="CU15" i="3"/>
  <c r="CT16" i="3"/>
  <c r="CU6" i="3"/>
  <c r="CU7" i="3" s="1"/>
  <c r="CU20" i="3"/>
  <c r="CU22" i="3" s="1"/>
  <c r="CU23" i="3" s="1"/>
  <c r="CS49" i="3"/>
  <c r="CS97" i="3"/>
  <c r="CQ31" i="3"/>
  <c r="CQ51" i="3"/>
  <c r="CU104" i="3"/>
  <c r="CU34" i="3"/>
  <c r="CV4" i="3"/>
  <c r="CV28" i="3" s="1"/>
  <c r="CT85" i="3" l="1"/>
  <c r="CT86" i="3"/>
  <c r="CT93" i="3"/>
  <c r="CS48" i="3"/>
  <c r="CS50" i="3" s="1"/>
  <c r="CS98" i="3"/>
  <c r="CS99" i="3" s="1"/>
  <c r="CS33" i="3" s="1"/>
  <c r="CV40" i="3"/>
  <c r="CV29" i="3"/>
  <c r="CV27" i="3"/>
  <c r="CU60" i="3"/>
  <c r="CU61" i="3" s="1"/>
  <c r="CU90" i="3" s="1"/>
  <c r="CU92" i="3"/>
  <c r="CU81" i="3"/>
  <c r="CU82" i="3"/>
  <c r="CV9" i="3"/>
  <c r="CV8" i="3"/>
  <c r="CV21" i="3" s="1"/>
  <c r="CV5" i="3"/>
  <c r="CW3" i="3"/>
  <c r="CV12" i="3"/>
  <c r="CV13" i="3" s="1"/>
  <c r="CV69" i="3" s="1" a="1"/>
  <c r="CV69" i="3" s="1"/>
  <c r="CV71" i="3" s="1"/>
  <c r="CV14" i="3"/>
  <c r="CT49" i="3"/>
  <c r="CT97" i="3"/>
  <c r="CU65" i="3"/>
  <c r="CT87" i="3" l="1"/>
  <c r="CU63" i="3"/>
  <c r="CU66" i="3" s="1"/>
  <c r="CU74" i="3" s="1"/>
  <c r="CU91" i="3" s="1"/>
  <c r="CU93" i="3" s="1"/>
  <c r="CV17" i="3"/>
  <c r="CV15" i="3"/>
  <c r="CU16" i="3"/>
  <c r="CV104" i="3"/>
  <c r="CV34" i="3"/>
  <c r="CW4" i="3"/>
  <c r="CW27" i="3" s="1"/>
  <c r="CV20" i="3"/>
  <c r="CV22" i="3" s="1"/>
  <c r="CV23" i="3" s="1"/>
  <c r="CV6" i="3"/>
  <c r="CV7" i="3" s="1"/>
  <c r="CS31" i="3"/>
  <c r="CS51" i="3"/>
  <c r="CT48" i="3"/>
  <c r="CT96" i="3"/>
  <c r="CT98" i="3" s="1"/>
  <c r="CT99" i="3" s="1"/>
  <c r="CW28" i="3" l="1"/>
  <c r="CW40" i="3" s="1"/>
  <c r="CU85" i="3"/>
  <c r="CU49" i="3"/>
  <c r="CU97" i="3"/>
  <c r="CV92" i="3"/>
  <c r="CT50" i="3"/>
  <c r="CU86" i="3"/>
  <c r="CV81" i="3"/>
  <c r="CV82" i="3"/>
  <c r="CT33" i="3"/>
  <c r="CW9" i="3"/>
  <c r="CW5" i="3"/>
  <c r="CW14" i="3" s="1"/>
  <c r="CX3" i="3"/>
  <c r="CW8" i="3"/>
  <c r="CW21" i="3" s="1"/>
  <c r="CV60" i="3"/>
  <c r="CV61" i="3" s="1"/>
  <c r="CV63" i="3" s="1"/>
  <c r="CV65" i="3"/>
  <c r="CW29" i="3" l="1"/>
  <c r="CW12" i="3"/>
  <c r="CW13" i="3" s="1"/>
  <c r="CW69" i="3" s="1" a="1"/>
  <c r="CW69" i="3" s="1"/>
  <c r="CW71" i="3" s="1"/>
  <c r="CW104" i="3" s="1"/>
  <c r="CU87" i="3"/>
  <c r="CU96" i="3" s="1"/>
  <c r="CU98" i="3" s="1"/>
  <c r="CU99" i="3" s="1"/>
  <c r="CV66" i="3"/>
  <c r="CV74" i="3" s="1"/>
  <c r="CV91" i="3" s="1"/>
  <c r="CV90" i="3"/>
  <c r="CW17" i="3"/>
  <c r="CV16" i="3"/>
  <c r="CW15" i="3"/>
  <c r="CW20" i="3"/>
  <c r="CW22" i="3" s="1"/>
  <c r="CW23" i="3" s="1"/>
  <c r="CW6" i="3"/>
  <c r="CW7" i="3" s="1"/>
  <c r="CT31" i="3"/>
  <c r="CT51" i="3"/>
  <c r="CX4" i="3"/>
  <c r="CX27" i="3" s="1"/>
  <c r="CW34" i="3" l="1"/>
  <c r="CV93" i="3"/>
  <c r="CV49" i="3" s="1"/>
  <c r="CU48" i="3"/>
  <c r="CU50" i="3" s="1"/>
  <c r="CV86" i="3"/>
  <c r="CV85" i="3"/>
  <c r="CW60" i="3"/>
  <c r="CW61" i="3" s="1"/>
  <c r="CW63" i="3" s="1"/>
  <c r="CX28" i="3"/>
  <c r="CW92" i="3"/>
  <c r="CW82" i="3"/>
  <c r="CW81" i="3"/>
  <c r="CW65" i="3"/>
  <c r="CX9" i="3"/>
  <c r="CX5" i="3"/>
  <c r="CX14" i="3" s="1"/>
  <c r="CY3" i="3"/>
  <c r="CX8" i="3"/>
  <c r="CX21" i="3" s="1"/>
  <c r="CU33" i="3"/>
  <c r="CX12" i="3" l="1"/>
  <c r="CX13" i="3" s="1"/>
  <c r="CX69" i="3" s="1" a="1"/>
  <c r="CX69" i="3" s="1"/>
  <c r="CX71" i="3" s="1"/>
  <c r="CX104" i="3" s="1"/>
  <c r="CV97" i="3"/>
  <c r="CV87" i="3"/>
  <c r="CV96" i="3" s="1"/>
  <c r="CW90" i="3"/>
  <c r="CX40" i="3"/>
  <c r="CX29" i="3"/>
  <c r="CX17" i="3"/>
  <c r="CW16" i="3"/>
  <c r="CX15" i="3"/>
  <c r="CX60" i="3" s="1"/>
  <c r="CX61" i="3" s="1"/>
  <c r="CU31" i="3"/>
  <c r="CU51" i="3"/>
  <c r="CX20" i="3"/>
  <c r="CX22" i="3" s="1"/>
  <c r="CX23" i="3" s="1"/>
  <c r="CX6" i="3"/>
  <c r="CX7" i="3" s="1"/>
  <c r="CY4" i="3"/>
  <c r="CY28" i="3" s="1"/>
  <c r="CW66" i="3"/>
  <c r="CW74" i="3" s="1"/>
  <c r="CW91" i="3" s="1"/>
  <c r="CY27" i="3" l="1"/>
  <c r="CX34" i="3"/>
  <c r="CW93" i="3"/>
  <c r="CW49" i="3" s="1"/>
  <c r="CV98" i="3"/>
  <c r="CV99" i="3" s="1"/>
  <c r="CV33" i="3" s="1"/>
  <c r="CV48" i="3"/>
  <c r="CV50" i="3" s="1"/>
  <c r="CV31" i="3" s="1"/>
  <c r="CY40" i="3"/>
  <c r="CY29" i="3"/>
  <c r="CW86" i="3"/>
  <c r="CX81" i="3"/>
  <c r="CX82" i="3"/>
  <c r="CX65" i="3"/>
  <c r="CX63" i="3"/>
  <c r="CX92" i="3"/>
  <c r="CX90" i="3"/>
  <c r="CY9" i="3"/>
  <c r="CY5" i="3"/>
  <c r="CY14" i="3" s="1"/>
  <c r="CZ3" i="3"/>
  <c r="CY8" i="3"/>
  <c r="CY21" i="3" s="1"/>
  <c r="CW85" i="3"/>
  <c r="CW87" i="3" l="1"/>
  <c r="CW96" i="3" s="1"/>
  <c r="CY12" i="3"/>
  <c r="CY13" i="3" s="1"/>
  <c r="CY69" i="3" s="1" a="1"/>
  <c r="CY69" i="3" s="1"/>
  <c r="CY71" i="3" s="1"/>
  <c r="CY34" i="3" s="1"/>
  <c r="CW97" i="3"/>
  <c r="CV51" i="3"/>
  <c r="CX66" i="3"/>
  <c r="CX74" i="3" s="1"/>
  <c r="CX91" i="3" s="1"/>
  <c r="CX93" i="3" s="1"/>
  <c r="CZ4" i="3"/>
  <c r="CZ28" i="3" s="1"/>
  <c r="CY17" i="3"/>
  <c r="CY15" i="3"/>
  <c r="CX16" i="3"/>
  <c r="CY20" i="3"/>
  <c r="CY22" i="3" s="1"/>
  <c r="CY23" i="3" s="1"/>
  <c r="CY6" i="3"/>
  <c r="CY7" i="3" s="1"/>
  <c r="CW48" i="3" l="1"/>
  <c r="CY104" i="3"/>
  <c r="CW98" i="3"/>
  <c r="CW99" i="3" s="1"/>
  <c r="CW33" i="3" s="1"/>
  <c r="CZ27" i="3"/>
  <c r="CX85" i="3"/>
  <c r="CX86" i="3"/>
  <c r="CZ40" i="3"/>
  <c r="CZ29" i="3"/>
  <c r="CY82" i="3"/>
  <c r="CY81" i="3"/>
  <c r="CZ9" i="3"/>
  <c r="CZ5" i="3"/>
  <c r="CZ14" i="3" s="1"/>
  <c r="CZ8" i="3"/>
  <c r="CZ21" i="3" s="1"/>
  <c r="DA3" i="3"/>
  <c r="CW50" i="3"/>
  <c r="CY60" i="3"/>
  <c r="CY61" i="3" s="1"/>
  <c r="CY63" i="3" s="1"/>
  <c r="CY65" i="3"/>
  <c r="CY92" i="3"/>
  <c r="CX49" i="3"/>
  <c r="CX97" i="3"/>
  <c r="CZ12" i="3" l="1"/>
  <c r="CZ13" i="3" s="1"/>
  <c r="CZ69" i="3" s="1" a="1"/>
  <c r="CZ69" i="3" s="1"/>
  <c r="CZ71" i="3" s="1"/>
  <c r="CZ104" i="3" s="1"/>
  <c r="CX87" i="3"/>
  <c r="CX96" i="3" s="1"/>
  <c r="CX98" i="3" s="1"/>
  <c r="CY90" i="3"/>
  <c r="CZ17" i="3"/>
  <c r="CZ15" i="3"/>
  <c r="CY16" i="3"/>
  <c r="CY66" i="3"/>
  <c r="CY74" i="3" s="1"/>
  <c r="CY91" i="3" s="1"/>
  <c r="CW31" i="3"/>
  <c r="CW51" i="3"/>
  <c r="DA4" i="3"/>
  <c r="DA27" i="3" s="1"/>
  <c r="CZ20" i="3"/>
  <c r="CZ22" i="3" s="1"/>
  <c r="CZ23" i="3" s="1"/>
  <c r="CZ6" i="3"/>
  <c r="CZ7" i="3" s="1"/>
  <c r="CZ34" i="3" l="1"/>
  <c r="DA28" i="3"/>
  <c r="DA29" i="3" s="1"/>
  <c r="CY93" i="3"/>
  <c r="CY49" i="3" s="1"/>
  <c r="CX48" i="3"/>
  <c r="CX50" i="3" s="1"/>
  <c r="CX31" i="3" s="1"/>
  <c r="CY85" i="3"/>
  <c r="CY86" i="3"/>
  <c r="CZ92" i="3"/>
  <c r="CZ65" i="3"/>
  <c r="CX99" i="3"/>
  <c r="CX33" i="3" s="1"/>
  <c r="CZ82" i="3"/>
  <c r="CZ81" i="3"/>
  <c r="DA9" i="3"/>
  <c r="DB3" i="3"/>
  <c r="DA8" i="3"/>
  <c r="DA21" i="3" s="1"/>
  <c r="DA5" i="3"/>
  <c r="DA14" i="3" s="1"/>
  <c r="CZ60" i="3"/>
  <c r="CZ61" i="3" s="1"/>
  <c r="CZ63" i="3" s="1"/>
  <c r="DA40" i="3" l="1"/>
  <c r="CZ66" i="3"/>
  <c r="CZ74" i="3" s="1"/>
  <c r="CZ91" i="3" s="1"/>
  <c r="DA12" i="3"/>
  <c r="DA13" i="3" s="1"/>
  <c r="DA69" i="3" s="1" a="1"/>
  <c r="DA69" i="3" s="1"/>
  <c r="DA71" i="3" s="1"/>
  <c r="DA104" i="3" s="1"/>
  <c r="CY97" i="3"/>
  <c r="CX51" i="3"/>
  <c r="CY87" i="3"/>
  <c r="CY96" i="3" s="1"/>
  <c r="DA17" i="3"/>
  <c r="CZ16" i="3"/>
  <c r="DA15" i="3"/>
  <c r="DB4" i="3"/>
  <c r="DB27" i="3" s="1"/>
  <c r="DA6" i="3"/>
  <c r="DA7" i="3" s="1"/>
  <c r="DA20" i="3"/>
  <c r="DA22" i="3" s="1"/>
  <c r="DA23" i="3" s="1"/>
  <c r="CZ90" i="3"/>
  <c r="CZ93" i="3" l="1"/>
  <c r="CZ49" i="3" s="1"/>
  <c r="CZ85" i="3"/>
  <c r="DB28" i="3"/>
  <c r="DB40" i="3" s="1"/>
  <c r="DA34" i="3"/>
  <c r="CZ86" i="3"/>
  <c r="CZ87" i="3" s="1"/>
  <c r="CY98" i="3"/>
  <c r="CY99" i="3" s="1"/>
  <c r="CY33" i="3" s="1"/>
  <c r="CY48" i="3"/>
  <c r="CY50" i="3" s="1"/>
  <c r="CY51" i="3" s="1"/>
  <c r="DA60" i="3"/>
  <c r="DA61" i="3" s="1"/>
  <c r="DA90" i="3" s="1"/>
  <c r="DA92" i="3"/>
  <c r="DB9" i="3"/>
  <c r="DC3" i="3"/>
  <c r="DB8" i="3"/>
  <c r="DB21" i="3" s="1"/>
  <c r="DB5" i="3"/>
  <c r="DB12" i="3" s="1"/>
  <c r="DB13" i="3" s="1"/>
  <c r="DB69" i="3" s="1" a="1"/>
  <c r="DB69" i="3" s="1"/>
  <c r="DB71" i="3" s="1"/>
  <c r="DA65" i="3"/>
  <c r="DA82" i="3"/>
  <c r="DA81" i="3"/>
  <c r="CZ97" i="3" l="1"/>
  <c r="DB14" i="3"/>
  <c r="DB29" i="3"/>
  <c r="DA63" i="3"/>
  <c r="DA66" i="3" s="1"/>
  <c r="DA74" i="3" s="1"/>
  <c r="DA91" i="3" s="1"/>
  <c r="DA93" i="3" s="1"/>
  <c r="CY31" i="3"/>
  <c r="DB104" i="3"/>
  <c r="DB34" i="3"/>
  <c r="DB15" i="3"/>
  <c r="DB17" i="3"/>
  <c r="DA16" i="3"/>
  <c r="DC4" i="3"/>
  <c r="DC28" i="3" s="1"/>
  <c r="CZ96" i="3"/>
  <c r="CZ48" i="3"/>
  <c r="CZ50" i="3" s="1"/>
  <c r="DB20" i="3"/>
  <c r="DB22" i="3" s="1"/>
  <c r="DB23" i="3" s="1"/>
  <c r="DB6" i="3"/>
  <c r="DB7" i="3" s="1"/>
  <c r="CZ98" i="3" l="1"/>
  <c r="CZ99" i="3" s="1"/>
  <c r="CZ33" i="3" s="1"/>
  <c r="DB60" i="3"/>
  <c r="DB61" i="3" s="1"/>
  <c r="DB90" i="3" s="1"/>
  <c r="DA86" i="3"/>
  <c r="DA85" i="3"/>
  <c r="DC40" i="3"/>
  <c r="DC29" i="3"/>
  <c r="DC27" i="3"/>
  <c r="DB92" i="3"/>
  <c r="DB65" i="3"/>
  <c r="DB82" i="3"/>
  <c r="DB81" i="3"/>
  <c r="DA49" i="3"/>
  <c r="DA97" i="3"/>
  <c r="CZ31" i="3"/>
  <c r="CZ51" i="3"/>
  <c r="DC9" i="3"/>
  <c r="DC8" i="3"/>
  <c r="DC21" i="3" s="1"/>
  <c r="DD3" i="3"/>
  <c r="DC5" i="3"/>
  <c r="DC14" i="3" s="1"/>
  <c r="DC12" i="3"/>
  <c r="DC13" i="3" s="1"/>
  <c r="DC69" i="3" s="1" a="1"/>
  <c r="DC69" i="3" s="1"/>
  <c r="DC71" i="3" s="1"/>
  <c r="DB63" i="3" l="1"/>
  <c r="DB66" i="3" s="1"/>
  <c r="DB74" i="3" s="1"/>
  <c r="DB91" i="3" s="1"/>
  <c r="DB93" i="3" s="1"/>
  <c r="DA87" i="3"/>
  <c r="DA96" i="3" s="1"/>
  <c r="DA98" i="3" s="1"/>
  <c r="DA99" i="3" s="1"/>
  <c r="DA33" i="3" s="1"/>
  <c r="DC104" i="3"/>
  <c r="DC34" i="3"/>
  <c r="DC17" i="3"/>
  <c r="DB16" i="3"/>
  <c r="DC15" i="3"/>
  <c r="DD4" i="3"/>
  <c r="DD28" i="3" s="1"/>
  <c r="DC20" i="3"/>
  <c r="DC22" i="3" s="1"/>
  <c r="DC23" i="3" s="1"/>
  <c r="DC6" i="3"/>
  <c r="DC7" i="3" s="1"/>
  <c r="DD27" i="3" l="1"/>
  <c r="DB86" i="3"/>
  <c r="DB85" i="3"/>
  <c r="DA48" i="3"/>
  <c r="DA50" i="3" s="1"/>
  <c r="DA31" i="3" s="1"/>
  <c r="DD40" i="3"/>
  <c r="DD29" i="3"/>
  <c r="DC92" i="3"/>
  <c r="DB49" i="3"/>
  <c r="DB97" i="3"/>
  <c r="DC81" i="3"/>
  <c r="DC82" i="3"/>
  <c r="DD9" i="3"/>
  <c r="DE3" i="3"/>
  <c r="DD5" i="3"/>
  <c r="DD12" i="3" s="1"/>
  <c r="DD13" i="3" s="1"/>
  <c r="DD69" i="3" s="1" a="1"/>
  <c r="DD69" i="3" s="1"/>
  <c r="DD71" i="3" s="1"/>
  <c r="DD8" i="3"/>
  <c r="DD21" i="3" s="1"/>
  <c r="DC65" i="3"/>
  <c r="DC60" i="3"/>
  <c r="DC61" i="3" s="1"/>
  <c r="DC63" i="3" s="1"/>
  <c r="DB87" i="3" l="1"/>
  <c r="DB96" i="3" s="1"/>
  <c r="DB98" i="3" s="1"/>
  <c r="DB99" i="3" s="1"/>
  <c r="DB33" i="3" s="1"/>
  <c r="DA51" i="3"/>
  <c r="DC66" i="3"/>
  <c r="DC74" i="3" s="1"/>
  <c r="DC91" i="3" s="1"/>
  <c r="DD34" i="3"/>
  <c r="DD104" i="3"/>
  <c r="DD14" i="3"/>
  <c r="DE4" i="3"/>
  <c r="DE27" i="3" s="1"/>
  <c r="DD20" i="3"/>
  <c r="DD22" i="3" s="1"/>
  <c r="DD23" i="3" s="1"/>
  <c r="DD6" i="3"/>
  <c r="DD7" i="3" s="1"/>
  <c r="DC90" i="3"/>
  <c r="DE28" i="3" l="1"/>
  <c r="DE40" i="3" s="1"/>
  <c r="DB48" i="3"/>
  <c r="DB50" i="3" s="1"/>
  <c r="DB31" i="3" s="1"/>
  <c r="DC93" i="3"/>
  <c r="DC49" i="3" s="1"/>
  <c r="DC85" i="3"/>
  <c r="DC86" i="3"/>
  <c r="DD92" i="3"/>
  <c r="DD82" i="3"/>
  <c r="DD81" i="3"/>
  <c r="DE9" i="3"/>
  <c r="DF3" i="3"/>
  <c r="DE5" i="3"/>
  <c r="DE14" i="3" s="1"/>
  <c r="DE8" i="3"/>
  <c r="DE21" i="3" s="1"/>
  <c r="DD17" i="3"/>
  <c r="DD15" i="3"/>
  <c r="DD65" i="3" s="1"/>
  <c r="DC16" i="3"/>
  <c r="DE29" i="3" l="1"/>
  <c r="DE12" i="3"/>
  <c r="DE13" i="3" s="1"/>
  <c r="DE69" i="3" s="1" a="1"/>
  <c r="DE69" i="3" s="1"/>
  <c r="DE71" i="3" s="1"/>
  <c r="DE34" i="3" s="1"/>
  <c r="DB51" i="3"/>
  <c r="DC87" i="3"/>
  <c r="DC96" i="3" s="1"/>
  <c r="DC97" i="3"/>
  <c r="DD16" i="3"/>
  <c r="DE15" i="3"/>
  <c r="DE17" i="3"/>
  <c r="DE6" i="3"/>
  <c r="DE7" i="3" s="1"/>
  <c r="DE20" i="3"/>
  <c r="DE22" i="3" s="1"/>
  <c r="DE23" i="3" s="1"/>
  <c r="DD60" i="3"/>
  <c r="DD61" i="3" s="1"/>
  <c r="DF4" i="3"/>
  <c r="DF28" i="3" s="1"/>
  <c r="DE104" i="3" l="1"/>
  <c r="DE60" i="3"/>
  <c r="DE61" i="3" s="1"/>
  <c r="DE63" i="3" s="1"/>
  <c r="DF27" i="3"/>
  <c r="DC98" i="3"/>
  <c r="DC99" i="3" s="1"/>
  <c r="DC33" i="3" s="1"/>
  <c r="DC48" i="3"/>
  <c r="DC50" i="3" s="1"/>
  <c r="DC51" i="3" s="1"/>
  <c r="DF40" i="3"/>
  <c r="DF29" i="3"/>
  <c r="DE92" i="3"/>
  <c r="DE65" i="3"/>
  <c r="DF9" i="3"/>
  <c r="DG3" i="3"/>
  <c r="DF5" i="3"/>
  <c r="DF12" i="3" s="1"/>
  <c r="DF13" i="3" s="1"/>
  <c r="DF69" i="3" s="1" a="1"/>
  <c r="DF69" i="3" s="1"/>
  <c r="DF71" i="3" s="1"/>
  <c r="DF8" i="3"/>
  <c r="DF21" i="3" s="1"/>
  <c r="DE82" i="3"/>
  <c r="DE81" i="3"/>
  <c r="DD63" i="3"/>
  <c r="DD66" i="3" s="1"/>
  <c r="DD74" i="3" s="1"/>
  <c r="DD90" i="3"/>
  <c r="DE90" i="3" l="1"/>
  <c r="DF14" i="3"/>
  <c r="DF17" i="3" s="1"/>
  <c r="DC31" i="3"/>
  <c r="DE66" i="3"/>
  <c r="DE74" i="3" s="1"/>
  <c r="DE91" i="3" s="1"/>
  <c r="DE93" i="3" s="1"/>
  <c r="DF104" i="3"/>
  <c r="DF34" i="3"/>
  <c r="DF20" i="3"/>
  <c r="DF22" i="3" s="1"/>
  <c r="DF23" i="3" s="1"/>
  <c r="DF6" i="3"/>
  <c r="DF7" i="3" s="1"/>
  <c r="DD91" i="3"/>
  <c r="DD93" i="3" s="1"/>
  <c r="DD85" i="3"/>
  <c r="DD86" i="3"/>
  <c r="DG4" i="3"/>
  <c r="DG27" i="3" s="1"/>
  <c r="DF15" i="3" l="1"/>
  <c r="DE16" i="3"/>
  <c r="DG28" i="3"/>
  <c r="DG40" i="3" s="1"/>
  <c r="DE86" i="3"/>
  <c r="DE85" i="3"/>
  <c r="DF60" i="3"/>
  <c r="DF61" i="3" s="1"/>
  <c r="DF63" i="3" s="1"/>
  <c r="DG29" i="3"/>
  <c r="DD49" i="3"/>
  <c r="DD97" i="3"/>
  <c r="DF92" i="3"/>
  <c r="DD87" i="3"/>
  <c r="DE49" i="3"/>
  <c r="DE97" i="3"/>
  <c r="DF81" i="3"/>
  <c r="DF82" i="3"/>
  <c r="DG9" i="3"/>
  <c r="DH3" i="3"/>
  <c r="DG8" i="3"/>
  <c r="DG21" i="3" s="1"/>
  <c r="DG5" i="3"/>
  <c r="DG14" i="3" s="1"/>
  <c r="DF65" i="3"/>
  <c r="DG12" i="3" l="1"/>
  <c r="DG13" i="3" s="1"/>
  <c r="DG69" i="3" s="1" a="1"/>
  <c r="DG69" i="3" s="1"/>
  <c r="DG71" i="3" s="1"/>
  <c r="DG34" i="3" s="1"/>
  <c r="DE87" i="3"/>
  <c r="DE96" i="3" s="1"/>
  <c r="DE98" i="3" s="1"/>
  <c r="DF90" i="3"/>
  <c r="DH4" i="3"/>
  <c r="DH28" i="3" s="1"/>
  <c r="DG6" i="3"/>
  <c r="DG7" i="3" s="1"/>
  <c r="DG20" i="3"/>
  <c r="DG22" i="3" s="1"/>
  <c r="DG23" i="3" s="1"/>
  <c r="DF66" i="3"/>
  <c r="DF74" i="3" s="1"/>
  <c r="DF91" i="3" s="1"/>
  <c r="DG15" i="3"/>
  <c r="DG17" i="3"/>
  <c r="DF16" i="3"/>
  <c r="DD48" i="3"/>
  <c r="DD50" i="3" s="1"/>
  <c r="DD96" i="3"/>
  <c r="DD98" i="3" s="1"/>
  <c r="DD99" i="3" s="1"/>
  <c r="DD33" i="3" s="1"/>
  <c r="DG104" i="3" l="1"/>
  <c r="DF93" i="3"/>
  <c r="DF49" i="3" s="1"/>
  <c r="DE48" i="3"/>
  <c r="DE50" i="3" s="1"/>
  <c r="DE51" i="3" s="1"/>
  <c r="DF85" i="3"/>
  <c r="DG60" i="3"/>
  <c r="DG61" i="3" s="1"/>
  <c r="DG90" i="3" s="1"/>
  <c r="DH40" i="3"/>
  <c r="DH29" i="3"/>
  <c r="DG92" i="3"/>
  <c r="DG65" i="3"/>
  <c r="DF86" i="3"/>
  <c r="DG82" i="3"/>
  <c r="DG81" i="3"/>
  <c r="DE99" i="3"/>
  <c r="DE33" i="3" s="1"/>
  <c r="DH9" i="3"/>
  <c r="DI3" i="3"/>
  <c r="DH5" i="3"/>
  <c r="DH12" i="3" s="1"/>
  <c r="DH13" i="3" s="1"/>
  <c r="DH69" i="3" s="1" a="1"/>
  <c r="DH69" i="3" s="1"/>
  <c r="DH71" i="3" s="1"/>
  <c r="DH8" i="3"/>
  <c r="DH21" i="3" s="1"/>
  <c r="DD31" i="3"/>
  <c r="DD51" i="3"/>
  <c r="DH27" i="3"/>
  <c r="DH14" i="3" l="1"/>
  <c r="DH17" i="3" s="1"/>
  <c r="DF97" i="3"/>
  <c r="DG63" i="3"/>
  <c r="DG66" i="3" s="1"/>
  <c r="DG74" i="3" s="1"/>
  <c r="DG91" i="3" s="1"/>
  <c r="DG93" i="3" s="1"/>
  <c r="DF87" i="3"/>
  <c r="DF96" i="3" s="1"/>
  <c r="DE31" i="3"/>
  <c r="DH104" i="3"/>
  <c r="DH34" i="3"/>
  <c r="DI4" i="3"/>
  <c r="DI28" i="3" s="1"/>
  <c r="DH20" i="3"/>
  <c r="DH22" i="3" s="1"/>
  <c r="DH23" i="3" s="1"/>
  <c r="DH6" i="3"/>
  <c r="DH7" i="3" s="1"/>
  <c r="DG16" i="3" l="1"/>
  <c r="DH15" i="3"/>
  <c r="DH65" i="3" s="1"/>
  <c r="DI27" i="3"/>
  <c r="DF98" i="3"/>
  <c r="DF99" i="3" s="1"/>
  <c r="DF33" i="3" s="1"/>
  <c r="DG85" i="3"/>
  <c r="DG86" i="3"/>
  <c r="DF48" i="3"/>
  <c r="DF50" i="3" s="1"/>
  <c r="DF31" i="3" s="1"/>
  <c r="DI40" i="3"/>
  <c r="DI29" i="3"/>
  <c r="DH60" i="3"/>
  <c r="DH61" i="3" s="1"/>
  <c r="DH90" i="3" s="1"/>
  <c r="DH92" i="3"/>
  <c r="DG49" i="3"/>
  <c r="DG97" i="3"/>
  <c r="DH81" i="3"/>
  <c r="DH82" i="3"/>
  <c r="DI9" i="3"/>
  <c r="DI5" i="3"/>
  <c r="DI12" i="3" s="1"/>
  <c r="DI13" i="3" s="1"/>
  <c r="DI69" i="3" s="1" a="1"/>
  <c r="DI69" i="3" s="1"/>
  <c r="DI71" i="3" s="1"/>
  <c r="DI8" i="3"/>
  <c r="DI21" i="3" s="1"/>
  <c r="DJ3" i="3"/>
  <c r="DI14" i="3"/>
  <c r="DG87" i="3" l="1"/>
  <c r="DG96" i="3" s="1"/>
  <c r="DG98" i="3" s="1"/>
  <c r="DG99" i="3" s="1"/>
  <c r="DG33" i="3" s="1"/>
  <c r="DH63" i="3"/>
  <c r="DH66" i="3" s="1"/>
  <c r="DH74" i="3" s="1"/>
  <c r="DH91" i="3" s="1"/>
  <c r="DH93" i="3" s="1"/>
  <c r="DF51" i="3"/>
  <c r="DI17" i="3"/>
  <c r="DH16" i="3"/>
  <c r="DI15" i="3"/>
  <c r="DI20" i="3"/>
  <c r="DI22" i="3" s="1"/>
  <c r="DI23" i="3" s="1"/>
  <c r="DI6" i="3"/>
  <c r="DI7" i="3" s="1"/>
  <c r="DI104" i="3"/>
  <c r="DI34" i="3"/>
  <c r="DJ4" i="3"/>
  <c r="DJ28" i="3" s="1"/>
  <c r="DJ27" i="3" l="1"/>
  <c r="DG48" i="3"/>
  <c r="DG50" i="3" s="1"/>
  <c r="DG31" i="3" s="1"/>
  <c r="DJ40" i="3"/>
  <c r="DJ29" i="3"/>
  <c r="DI92" i="3"/>
  <c r="DJ9" i="3"/>
  <c r="DK3" i="3"/>
  <c r="DJ5" i="3"/>
  <c r="DJ14" i="3" s="1"/>
  <c r="DJ8" i="3"/>
  <c r="DJ21" i="3" s="1"/>
  <c r="DH86" i="3"/>
  <c r="DI60" i="3"/>
  <c r="DI61" i="3" s="1"/>
  <c r="DI63" i="3" s="1"/>
  <c r="DI81" i="3"/>
  <c r="DI82" i="3"/>
  <c r="DH49" i="3"/>
  <c r="DH97" i="3"/>
  <c r="DH85" i="3"/>
  <c r="DI65" i="3"/>
  <c r="DJ12" i="3" l="1"/>
  <c r="DJ13" i="3" s="1"/>
  <c r="DJ69" i="3" s="1" a="1"/>
  <c r="DJ69" i="3" s="1"/>
  <c r="DJ71" i="3" s="1"/>
  <c r="DJ104" i="3" s="1"/>
  <c r="DG51" i="3"/>
  <c r="DH87" i="3"/>
  <c r="DH96" i="3" s="1"/>
  <c r="DH98" i="3" s="1"/>
  <c r="DH99" i="3" s="1"/>
  <c r="DH33" i="3" s="1"/>
  <c r="DJ6" i="3"/>
  <c r="DJ7" i="3" s="1"/>
  <c r="DJ20" i="3"/>
  <c r="DJ22" i="3" s="1"/>
  <c r="DJ23" i="3" s="1"/>
  <c r="DI66" i="3"/>
  <c r="DI74" i="3" s="1"/>
  <c r="DI91" i="3" s="1"/>
  <c r="DJ17" i="3"/>
  <c r="DI16" i="3"/>
  <c r="DJ15" i="3"/>
  <c r="DK4" i="3"/>
  <c r="DK27" i="3" s="1"/>
  <c r="DI90" i="3"/>
  <c r="DJ34" i="3" l="1"/>
  <c r="DK28" i="3"/>
  <c r="DI93" i="3"/>
  <c r="DI49" i="3" s="1"/>
  <c r="DH48" i="3"/>
  <c r="DH50" i="3" s="1"/>
  <c r="DH31" i="3" s="1"/>
  <c r="DJ60" i="3"/>
  <c r="DJ61" i="3" s="1"/>
  <c r="DJ90" i="3" s="1"/>
  <c r="DK40" i="3"/>
  <c r="DK29" i="3"/>
  <c r="DK9" i="3"/>
  <c r="DK8" i="3"/>
  <c r="DK21" i="3" s="1"/>
  <c r="DL3" i="3"/>
  <c r="DK5" i="3"/>
  <c r="DK12" i="3" s="1"/>
  <c r="DK13" i="3" s="1"/>
  <c r="DK69" i="3" s="1" a="1"/>
  <c r="DK69" i="3" s="1"/>
  <c r="DK71" i="3" s="1"/>
  <c r="DK14" i="3"/>
  <c r="DJ92" i="3"/>
  <c r="DJ81" i="3"/>
  <c r="DJ82" i="3"/>
  <c r="DI85" i="3"/>
  <c r="DJ65" i="3"/>
  <c r="DI86" i="3"/>
  <c r="DJ63" i="3" l="1"/>
  <c r="DJ66" i="3" s="1"/>
  <c r="DJ74" i="3" s="1"/>
  <c r="DJ91" i="3" s="1"/>
  <c r="DJ93" i="3" s="1"/>
  <c r="DI97" i="3"/>
  <c r="DH51" i="3"/>
  <c r="DK104" i="3"/>
  <c r="DK34" i="3"/>
  <c r="DI87" i="3"/>
  <c r="DL4" i="3"/>
  <c r="DL28" i="3" s="1"/>
  <c r="DK17" i="3"/>
  <c r="DJ16" i="3"/>
  <c r="DK15" i="3"/>
  <c r="DK6" i="3"/>
  <c r="DK7" i="3" s="1"/>
  <c r="DK20" i="3"/>
  <c r="DK22" i="3" s="1"/>
  <c r="DK23" i="3" s="1"/>
  <c r="DL27" i="3" l="1"/>
  <c r="DJ85" i="3"/>
  <c r="DJ86" i="3"/>
  <c r="DK60" i="3"/>
  <c r="DK61" i="3" s="1"/>
  <c r="DK90" i="3" s="1"/>
  <c r="DL40" i="3"/>
  <c r="DL29" i="3"/>
  <c r="DK92" i="3"/>
  <c r="DK65" i="3"/>
  <c r="DL9" i="3"/>
  <c r="DM3" i="3"/>
  <c r="DL5" i="3"/>
  <c r="DL12" i="3" s="1"/>
  <c r="DL13" i="3" s="1"/>
  <c r="DL69" i="3" s="1" a="1"/>
  <c r="DL69" i="3" s="1"/>
  <c r="DL71" i="3" s="1"/>
  <c r="DL8" i="3"/>
  <c r="DL21" i="3" s="1"/>
  <c r="DK81" i="3"/>
  <c r="DK82" i="3"/>
  <c r="DJ49" i="3"/>
  <c r="DJ97" i="3"/>
  <c r="DI96" i="3"/>
  <c r="DI98" i="3" s="1"/>
  <c r="DI48" i="3"/>
  <c r="DI50" i="3" s="1"/>
  <c r="DL14" i="3" l="1"/>
  <c r="DK16" i="3" s="1"/>
  <c r="DJ87" i="3"/>
  <c r="DJ48" i="3" s="1"/>
  <c r="DJ50" i="3" s="1"/>
  <c r="DK63" i="3"/>
  <c r="DK66" i="3" s="1"/>
  <c r="DK74" i="3" s="1"/>
  <c r="DK91" i="3" s="1"/>
  <c r="DK93" i="3" s="1"/>
  <c r="DI31" i="3"/>
  <c r="DI51" i="3"/>
  <c r="DI99" i="3"/>
  <c r="DI33" i="3" s="1"/>
  <c r="DM4" i="3"/>
  <c r="DM27" i="3" s="1"/>
  <c r="DL104" i="3"/>
  <c r="DL34" i="3"/>
  <c r="DL20" i="3"/>
  <c r="DL22" i="3" s="1"/>
  <c r="DL23" i="3" s="1"/>
  <c r="DL6" i="3"/>
  <c r="DL7" i="3" s="1"/>
  <c r="DL15" i="3" l="1"/>
  <c r="DL60" i="3" s="1"/>
  <c r="DL61" i="3" s="1"/>
  <c r="DL63" i="3" s="1"/>
  <c r="DL17" i="3"/>
  <c r="DJ96" i="3"/>
  <c r="DJ98" i="3" s="1"/>
  <c r="DJ99" i="3" s="1"/>
  <c r="DJ33" i="3" s="1"/>
  <c r="DL92" i="3"/>
  <c r="DM9" i="3"/>
  <c r="DM8" i="3"/>
  <c r="DM21" i="3" s="1"/>
  <c r="DN3" i="3"/>
  <c r="DM5" i="3"/>
  <c r="DM14" i="3" s="1"/>
  <c r="DM12" i="3"/>
  <c r="DM13" i="3" s="1"/>
  <c r="DM69" i="3" s="1" a="1"/>
  <c r="DM69" i="3" s="1"/>
  <c r="DM71" i="3" s="1"/>
  <c r="DK86" i="3"/>
  <c r="DK49" i="3"/>
  <c r="DK97" i="3"/>
  <c r="DJ31" i="3"/>
  <c r="DJ51" i="3"/>
  <c r="DK85" i="3"/>
  <c r="DM28" i="3"/>
  <c r="DL82" i="3"/>
  <c r="DL81" i="3"/>
  <c r="DL65" i="3" l="1"/>
  <c r="DL66" i="3" s="1"/>
  <c r="DL74" i="3" s="1"/>
  <c r="DL91" i="3" s="1"/>
  <c r="DK87" i="3"/>
  <c r="DK96" i="3" s="1"/>
  <c r="DK98" i="3" s="1"/>
  <c r="DK99" i="3" s="1"/>
  <c r="DK33" i="3" s="1"/>
  <c r="DM40" i="3"/>
  <c r="DM29" i="3"/>
  <c r="DM17" i="3"/>
  <c r="DL16" i="3"/>
  <c r="DM15" i="3"/>
  <c r="DL90" i="3"/>
  <c r="DM34" i="3"/>
  <c r="DM104" i="3"/>
  <c r="DN4" i="3"/>
  <c r="DN28" i="3" s="1"/>
  <c r="DM20" i="3"/>
  <c r="DM22" i="3" s="1"/>
  <c r="DM23" i="3" s="1"/>
  <c r="DM6" i="3"/>
  <c r="DM7" i="3" s="1"/>
  <c r="DN27" i="3" l="1"/>
  <c r="DL93" i="3"/>
  <c r="DL49" i="3" s="1"/>
  <c r="DL86" i="3"/>
  <c r="DK48" i="3"/>
  <c r="DK50" i="3" s="1"/>
  <c r="DK31" i="3" s="1"/>
  <c r="DL85" i="3"/>
  <c r="DN40" i="3"/>
  <c r="DN29" i="3"/>
  <c r="DM60" i="3"/>
  <c r="DM61" i="3" s="1"/>
  <c r="DM63" i="3" s="1"/>
  <c r="DM92" i="3"/>
  <c r="DN9" i="3"/>
  <c r="DN5" i="3"/>
  <c r="DN14" i="3" s="1"/>
  <c r="DN8" i="3"/>
  <c r="DN21" i="3" s="1"/>
  <c r="DO3" i="3"/>
  <c r="DM81" i="3"/>
  <c r="DM82" i="3"/>
  <c r="DM65" i="3"/>
  <c r="DN12" i="3" l="1"/>
  <c r="DN13" i="3" s="1"/>
  <c r="DN69" i="3" s="1" a="1"/>
  <c r="DN69" i="3" s="1"/>
  <c r="DN71" i="3" s="1"/>
  <c r="DN34" i="3" s="1"/>
  <c r="DK51" i="3"/>
  <c r="DL97" i="3"/>
  <c r="DL87" i="3"/>
  <c r="DL48" i="3" s="1"/>
  <c r="DL50" i="3" s="1"/>
  <c r="DM90" i="3"/>
  <c r="DM66" i="3"/>
  <c r="DM74" i="3" s="1"/>
  <c r="DM91" i="3" s="1"/>
  <c r="DN20" i="3"/>
  <c r="DN22" i="3" s="1"/>
  <c r="DN23" i="3" s="1"/>
  <c r="DN6" i="3"/>
  <c r="DN7" i="3" s="1"/>
  <c r="DN17" i="3"/>
  <c r="DN15" i="3"/>
  <c r="DM16" i="3"/>
  <c r="DO4" i="3"/>
  <c r="DO27" i="3" s="1"/>
  <c r="DO28" i="3" l="1"/>
  <c r="DO29" i="3" s="1"/>
  <c r="DN104" i="3"/>
  <c r="DM93" i="3"/>
  <c r="DM49" i="3" s="1"/>
  <c r="DL96" i="3"/>
  <c r="DL98" i="3" s="1"/>
  <c r="DL99" i="3" s="1"/>
  <c r="DL33" i="3" s="1"/>
  <c r="DM86" i="3"/>
  <c r="DM85" i="3"/>
  <c r="DO9" i="3"/>
  <c r="DO8" i="3"/>
  <c r="DO21" i="3" s="1"/>
  <c r="DP3" i="3"/>
  <c r="DO5" i="3"/>
  <c r="DO12" i="3" s="1"/>
  <c r="DO13" i="3" s="1"/>
  <c r="DO69" i="3" s="1" a="1"/>
  <c r="DO69" i="3" s="1"/>
  <c r="DO71" i="3" s="1"/>
  <c r="DN65" i="3"/>
  <c r="DN60" i="3"/>
  <c r="DN61" i="3" s="1"/>
  <c r="DN63" i="3" s="1"/>
  <c r="DN66" i="3" s="1"/>
  <c r="DN74" i="3" s="1"/>
  <c r="DN91" i="3" s="1"/>
  <c r="DL31" i="3"/>
  <c r="DL51" i="3"/>
  <c r="DN92" i="3"/>
  <c r="DN81" i="3"/>
  <c r="DN82" i="3"/>
  <c r="DO40" i="3" l="1"/>
  <c r="DO14" i="3"/>
  <c r="DO17" i="3" s="1"/>
  <c r="DM97" i="3"/>
  <c r="DM87" i="3"/>
  <c r="DN86" i="3"/>
  <c r="DN85" i="3"/>
  <c r="DN90" i="3"/>
  <c r="DN93" i="3" s="1"/>
  <c r="DP4" i="3"/>
  <c r="DP28" i="3" s="1"/>
  <c r="DO104" i="3"/>
  <c r="DO34" i="3"/>
  <c r="DO6" i="3"/>
  <c r="DO7" i="3" s="1"/>
  <c r="DO20" i="3"/>
  <c r="DO22" i="3" s="1"/>
  <c r="DO23" i="3" s="1"/>
  <c r="DO15" i="3" l="1"/>
  <c r="DO65" i="3" s="1"/>
  <c r="DN16" i="3"/>
  <c r="DP27" i="3"/>
  <c r="DM48" i="3"/>
  <c r="DM50" i="3" s="1"/>
  <c r="DM31" i="3" s="1"/>
  <c r="DM96" i="3"/>
  <c r="DM98" i="3" s="1"/>
  <c r="DM99" i="3" s="1"/>
  <c r="DM33" i="3" s="1"/>
  <c r="DO60" i="3"/>
  <c r="DO61" i="3" s="1"/>
  <c r="DO63" i="3" s="1"/>
  <c r="DN87" i="3"/>
  <c r="DN96" i="3" s="1"/>
  <c r="DP40" i="3"/>
  <c r="DP29" i="3"/>
  <c r="DO92" i="3"/>
  <c r="DO81" i="3"/>
  <c r="DO82" i="3"/>
  <c r="DP9" i="3"/>
  <c r="DQ3" i="3"/>
  <c r="DP5" i="3"/>
  <c r="DP12" i="3" s="1"/>
  <c r="DP13" i="3" s="1"/>
  <c r="DP69" i="3" s="1" a="1"/>
  <c r="DP69" i="3" s="1"/>
  <c r="DP71" i="3" s="1"/>
  <c r="DP8" i="3"/>
  <c r="DP21" i="3" s="1"/>
  <c r="DN49" i="3"/>
  <c r="DN97" i="3"/>
  <c r="DP14" i="3" l="1"/>
  <c r="DP17" i="3" s="1"/>
  <c r="DN48" i="3"/>
  <c r="DN50" i="3" s="1"/>
  <c r="DM51" i="3"/>
  <c r="DO90" i="3"/>
  <c r="DP104" i="3"/>
  <c r="DP34" i="3"/>
  <c r="DQ4" i="3"/>
  <c r="DQ28" i="3" s="1"/>
  <c r="DP6" i="3"/>
  <c r="DP7" i="3" s="1"/>
  <c r="DP20" i="3"/>
  <c r="DP22" i="3" s="1"/>
  <c r="DP23" i="3" s="1"/>
  <c r="DN98" i="3"/>
  <c r="DN99" i="3" s="1"/>
  <c r="DN33" i="3" s="1"/>
  <c r="DO66" i="3"/>
  <c r="DO74" i="3" s="1"/>
  <c r="DO91" i="3" s="1"/>
  <c r="DO16" i="3" l="1"/>
  <c r="DP15" i="3"/>
  <c r="DP65" i="3" s="1"/>
  <c r="DO93" i="3"/>
  <c r="DO49" i="3" s="1"/>
  <c r="DQ40" i="3"/>
  <c r="DQ29" i="3"/>
  <c r="DQ27" i="3"/>
  <c r="DP92" i="3"/>
  <c r="DO85" i="3"/>
  <c r="DO86" i="3"/>
  <c r="DQ9" i="3"/>
  <c r="DR3" i="3"/>
  <c r="DQ5" i="3"/>
  <c r="DQ14" i="3" s="1"/>
  <c r="DQ8" i="3"/>
  <c r="DQ21" i="3" s="1"/>
  <c r="DN31" i="3"/>
  <c r="DN51" i="3"/>
  <c r="DP82" i="3"/>
  <c r="DP81" i="3"/>
  <c r="DP60" i="3" l="1"/>
  <c r="DP61" i="3" s="1"/>
  <c r="DP90" i="3" s="1"/>
  <c r="DQ12" i="3"/>
  <c r="DQ13" i="3" s="1"/>
  <c r="DQ69" i="3" s="1" a="1"/>
  <c r="DQ69" i="3" s="1"/>
  <c r="DQ71" i="3" s="1"/>
  <c r="DQ104" i="3" s="1"/>
  <c r="DO97" i="3"/>
  <c r="DQ17" i="3"/>
  <c r="DQ15" i="3"/>
  <c r="DP16" i="3"/>
  <c r="DR4" i="3"/>
  <c r="DR28" i="3" s="1"/>
  <c r="DP63" i="3"/>
  <c r="DP66" i="3" s="1"/>
  <c r="DP74" i="3" s="1"/>
  <c r="DP91" i="3" s="1"/>
  <c r="DP93" i="3" s="1"/>
  <c r="DQ6" i="3"/>
  <c r="DQ7" i="3" s="1"/>
  <c r="DQ20" i="3"/>
  <c r="DQ22" i="3" s="1"/>
  <c r="DQ23" i="3" s="1"/>
  <c r="DO87" i="3"/>
  <c r="DR27" i="3" l="1"/>
  <c r="DQ34" i="3"/>
  <c r="DP85" i="3"/>
  <c r="DP86" i="3"/>
  <c r="DR40" i="3"/>
  <c r="DR29" i="3"/>
  <c r="DQ92" i="3"/>
  <c r="DP49" i="3"/>
  <c r="DP97" i="3"/>
  <c r="DO96" i="3"/>
  <c r="DO98" i="3" s="1"/>
  <c r="DO48" i="3"/>
  <c r="DO50" i="3" s="1"/>
  <c r="DR9" i="3"/>
  <c r="DR8" i="3"/>
  <c r="DR21" i="3" s="1"/>
  <c r="DS3" i="3"/>
  <c r="DR5" i="3"/>
  <c r="DR12" i="3" s="1"/>
  <c r="DR13" i="3" s="1"/>
  <c r="DR69" i="3" s="1" a="1"/>
  <c r="DR69" i="3" s="1"/>
  <c r="DR71" i="3" s="1"/>
  <c r="DQ60" i="3"/>
  <c r="DQ61" i="3" s="1"/>
  <c r="DQ63" i="3" s="1"/>
  <c r="DQ81" i="3"/>
  <c r="DQ82" i="3"/>
  <c r="DQ65" i="3"/>
  <c r="DR14" i="3" l="1"/>
  <c r="DR17" i="3" s="1"/>
  <c r="DP87" i="3"/>
  <c r="DP96" i="3" s="1"/>
  <c r="DP98" i="3" s="1"/>
  <c r="DP99" i="3" s="1"/>
  <c r="DP33" i="3" s="1"/>
  <c r="DQ66" i="3"/>
  <c r="DQ74" i="3" s="1"/>
  <c r="DQ91" i="3" s="1"/>
  <c r="DR104" i="3"/>
  <c r="DR34" i="3"/>
  <c r="DS4" i="3"/>
  <c r="DS27" i="3" s="1"/>
  <c r="DO99" i="3"/>
  <c r="DO33" i="3" s="1"/>
  <c r="DQ90" i="3"/>
  <c r="DR20" i="3"/>
  <c r="DR22" i="3" s="1"/>
  <c r="DR23" i="3" s="1"/>
  <c r="DR6" i="3"/>
  <c r="DR7" i="3" s="1"/>
  <c r="DO31" i="3"/>
  <c r="DO51" i="3"/>
  <c r="DR15" i="3" l="1"/>
  <c r="DQ16" i="3"/>
  <c r="DP48" i="3"/>
  <c r="DP50" i="3" s="1"/>
  <c r="DP31" i="3" s="1"/>
  <c r="DQ86" i="3"/>
  <c r="DQ93" i="3"/>
  <c r="DQ49" i="3" s="1"/>
  <c r="DQ85" i="3"/>
  <c r="DR60" i="3"/>
  <c r="DR61" i="3" s="1"/>
  <c r="DR63" i="3" s="1"/>
  <c r="DR92" i="3"/>
  <c r="DR82" i="3"/>
  <c r="DR81" i="3"/>
  <c r="DS28" i="3"/>
  <c r="DS9" i="3"/>
  <c r="DT3" i="3"/>
  <c r="DS5" i="3"/>
  <c r="DS12" i="3" s="1"/>
  <c r="DS13" i="3" s="1"/>
  <c r="DS69" i="3" s="1" a="1"/>
  <c r="DS69" i="3" s="1"/>
  <c r="DS71" i="3" s="1"/>
  <c r="DS8" i="3"/>
  <c r="DS21" i="3" s="1"/>
  <c r="DR65" i="3"/>
  <c r="DS14" i="3" l="1"/>
  <c r="DS15" i="3" s="1"/>
  <c r="DQ87" i="3"/>
  <c r="DQ96" i="3" s="1"/>
  <c r="DQ97" i="3"/>
  <c r="DP51" i="3"/>
  <c r="DR90" i="3"/>
  <c r="DS40" i="3"/>
  <c r="DS29" i="3"/>
  <c r="DS104" i="3"/>
  <c r="DS34" i="3"/>
  <c r="DS6" i="3"/>
  <c r="DS7" i="3" s="1"/>
  <c r="DS20" i="3"/>
  <c r="DS22" i="3" s="1"/>
  <c r="DS23" i="3" s="1"/>
  <c r="DT4" i="3"/>
  <c r="DT27" i="3" s="1"/>
  <c r="DR66" i="3"/>
  <c r="DR74" i="3" s="1"/>
  <c r="DR91" i="3" s="1"/>
  <c r="DR16" i="3" l="1"/>
  <c r="DS60" i="3" s="1"/>
  <c r="DS61" i="3" s="1"/>
  <c r="DS17" i="3"/>
  <c r="DR93" i="3"/>
  <c r="DR49" i="3" s="1"/>
  <c r="DQ48" i="3"/>
  <c r="DQ50" i="3" s="1"/>
  <c r="DQ31" i="3" s="1"/>
  <c r="DQ98" i="3"/>
  <c r="DQ99" i="3" s="1"/>
  <c r="DQ33" i="3" s="1"/>
  <c r="DT28" i="3"/>
  <c r="DS92" i="3"/>
  <c r="DS65" i="3"/>
  <c r="DT9" i="3"/>
  <c r="DT5" i="3"/>
  <c r="DT12" i="3" s="1"/>
  <c r="DT13" i="3" s="1"/>
  <c r="DT69" i="3" s="1" a="1"/>
  <c r="DT69" i="3" s="1"/>
  <c r="DT71" i="3" s="1"/>
  <c r="DT8" i="3"/>
  <c r="DT21" i="3" s="1"/>
  <c r="DU3" i="3"/>
  <c r="DS82" i="3"/>
  <c r="DS81" i="3"/>
  <c r="DR85" i="3"/>
  <c r="DR86" i="3"/>
  <c r="DS90" i="3" l="1"/>
  <c r="DS63" i="3"/>
  <c r="DR97" i="3"/>
  <c r="DQ51" i="3"/>
  <c r="DT40" i="3"/>
  <c r="DT29" i="3"/>
  <c r="DT104" i="3"/>
  <c r="DT34" i="3"/>
  <c r="DT14" i="3"/>
  <c r="DR87" i="3"/>
  <c r="DU4" i="3"/>
  <c r="DU27" i="3" s="1"/>
  <c r="DS66" i="3"/>
  <c r="DS74" i="3" s="1"/>
  <c r="DS91" i="3" s="1"/>
  <c r="DS93" i="3" s="1"/>
  <c r="DT20" i="3"/>
  <c r="DT22" i="3" s="1"/>
  <c r="DT23" i="3" s="1"/>
  <c r="DT6" i="3"/>
  <c r="DT7" i="3" s="1"/>
  <c r="DU28" i="3" l="1"/>
  <c r="DU40" i="3" s="1"/>
  <c r="DS85" i="3"/>
  <c r="DT92" i="3"/>
  <c r="DS49" i="3"/>
  <c r="DS97" i="3"/>
  <c r="DT81" i="3"/>
  <c r="DT82" i="3"/>
  <c r="DU9" i="3"/>
  <c r="DV3" i="3"/>
  <c r="DU8" i="3"/>
  <c r="DU21" i="3" s="1"/>
  <c r="DU5" i="3"/>
  <c r="DU12" i="3" s="1"/>
  <c r="DU13" i="3" s="1"/>
  <c r="DU69" i="3" s="1" a="1"/>
  <c r="DU69" i="3" s="1"/>
  <c r="DU71" i="3" s="1"/>
  <c r="DR96" i="3"/>
  <c r="DR98" i="3" s="1"/>
  <c r="DR99" i="3" s="1"/>
  <c r="DR33" i="3" s="1"/>
  <c r="DR48" i="3"/>
  <c r="DR50" i="3" s="1"/>
  <c r="DS86" i="3"/>
  <c r="DT17" i="3"/>
  <c r="DT15" i="3"/>
  <c r="DS16" i="3"/>
  <c r="DU29" i="3" l="1"/>
  <c r="DU14" i="3"/>
  <c r="DT16" i="3" s="1"/>
  <c r="DS87" i="3"/>
  <c r="DS48" i="3" s="1"/>
  <c r="DS50" i="3" s="1"/>
  <c r="DR31" i="3"/>
  <c r="DR51" i="3"/>
  <c r="DU34" i="3"/>
  <c r="DU104" i="3"/>
  <c r="DT65" i="3"/>
  <c r="DT60" i="3"/>
  <c r="DT61" i="3" s="1"/>
  <c r="DV4" i="3"/>
  <c r="DV27" i="3" s="1"/>
  <c r="DU6" i="3"/>
  <c r="DU7" i="3" s="1"/>
  <c r="DU20" i="3"/>
  <c r="DU22" i="3" s="1"/>
  <c r="DU23" i="3" s="1"/>
  <c r="DU17" i="3" l="1"/>
  <c r="DU15" i="3"/>
  <c r="DU60" i="3" s="1"/>
  <c r="DU61" i="3" s="1"/>
  <c r="DU63" i="3" s="1"/>
  <c r="DS96" i="3"/>
  <c r="DS98" i="3" s="1"/>
  <c r="DS99" i="3" s="1"/>
  <c r="DS33" i="3" s="1"/>
  <c r="DV28" i="3"/>
  <c r="DU92" i="3"/>
  <c r="DV9" i="3"/>
  <c r="DW3" i="3"/>
  <c r="DV8" i="3"/>
  <c r="DV21" i="3" s="1"/>
  <c r="DV5" i="3"/>
  <c r="DV14" i="3" s="1"/>
  <c r="DT63" i="3"/>
  <c r="DT66" i="3" s="1"/>
  <c r="DT74" i="3" s="1"/>
  <c r="DT90" i="3"/>
  <c r="DU82" i="3"/>
  <c r="DU81" i="3"/>
  <c r="DS31" i="3"/>
  <c r="DS51" i="3"/>
  <c r="DU65" i="3" l="1"/>
  <c r="DU66" i="3" s="1"/>
  <c r="DU74" i="3" s="1"/>
  <c r="DU91" i="3" s="1"/>
  <c r="DU90" i="3"/>
  <c r="DV12" i="3"/>
  <c r="DV13" i="3" s="1"/>
  <c r="DV69" i="3" s="1" a="1"/>
  <c r="DV69" i="3" s="1"/>
  <c r="DV71" i="3" s="1"/>
  <c r="DV34" i="3" s="1"/>
  <c r="DV40" i="3"/>
  <c r="DV29" i="3"/>
  <c r="DT91" i="3"/>
  <c r="DT93" i="3" s="1"/>
  <c r="DT86" i="3"/>
  <c r="DT85" i="3"/>
  <c r="DV17" i="3"/>
  <c r="DU16" i="3"/>
  <c r="DV15" i="3"/>
  <c r="DW4" i="3"/>
  <c r="DW27" i="3" s="1"/>
  <c r="DV20" i="3"/>
  <c r="DV22" i="3" s="1"/>
  <c r="DV23" i="3" s="1"/>
  <c r="DV6" i="3"/>
  <c r="DV7" i="3" s="1"/>
  <c r="DU93" i="3" l="1"/>
  <c r="DV104" i="3"/>
  <c r="DW28" i="3"/>
  <c r="DW40" i="3" s="1"/>
  <c r="DT87" i="3"/>
  <c r="DT96" i="3" s="1"/>
  <c r="DU49" i="3"/>
  <c r="DU97" i="3"/>
  <c r="DV92" i="3"/>
  <c r="DV65" i="3"/>
  <c r="DT49" i="3"/>
  <c r="DT97" i="3"/>
  <c r="DW9" i="3"/>
  <c r="DX3" i="3"/>
  <c r="DW5" i="3"/>
  <c r="DW14" i="3" s="1"/>
  <c r="DW8" i="3"/>
  <c r="DW21" i="3" s="1"/>
  <c r="DV60" i="3"/>
  <c r="DV61" i="3" s="1"/>
  <c r="DV63" i="3" s="1"/>
  <c r="DV81" i="3"/>
  <c r="DV82" i="3"/>
  <c r="DU86" i="3"/>
  <c r="DU85" i="3"/>
  <c r="DW29" i="3" l="1"/>
  <c r="DV66" i="3"/>
  <c r="DV74" i="3" s="1"/>
  <c r="DV91" i="3" s="1"/>
  <c r="DT98" i="3"/>
  <c r="DT99" i="3" s="1"/>
  <c r="DT33" i="3" s="1"/>
  <c r="DT48" i="3"/>
  <c r="DT50" i="3" s="1"/>
  <c r="DT31" i="3" s="1"/>
  <c r="DU87" i="3"/>
  <c r="DU96" i="3" s="1"/>
  <c r="DU98" i="3" s="1"/>
  <c r="DW17" i="3"/>
  <c r="DV16" i="3"/>
  <c r="DW15" i="3"/>
  <c r="DW12" i="3"/>
  <c r="DW13" i="3" s="1"/>
  <c r="DW69" i="3" s="1" a="1"/>
  <c r="DW69" i="3" s="1"/>
  <c r="DW71" i="3" s="1"/>
  <c r="DV90" i="3"/>
  <c r="DW20" i="3"/>
  <c r="DW22" i="3" s="1"/>
  <c r="DW23" i="3" s="1"/>
  <c r="DW6" i="3"/>
  <c r="DW7" i="3" s="1"/>
  <c r="DX4" i="3"/>
  <c r="DX27" i="3" s="1"/>
  <c r="DV85" i="3" l="1"/>
  <c r="DV86" i="3"/>
  <c r="DV93" i="3"/>
  <c r="DV49" i="3" s="1"/>
  <c r="DT51" i="3"/>
  <c r="DU48" i="3"/>
  <c r="DU50" i="3" s="1"/>
  <c r="DU31" i="3" s="1"/>
  <c r="DX28" i="3"/>
  <c r="DX9" i="3"/>
  <c r="DX8" i="3"/>
  <c r="DX21" i="3" s="1"/>
  <c r="DY3" i="3"/>
  <c r="DX5" i="3"/>
  <c r="DX12" i="3" s="1"/>
  <c r="DX13" i="3" s="1"/>
  <c r="DX69" i="3" s="1" a="1"/>
  <c r="DX69" i="3" s="1"/>
  <c r="DX71" i="3" s="1"/>
  <c r="DW92" i="3"/>
  <c r="DW82" i="3"/>
  <c r="DW81" i="3"/>
  <c r="DW65" i="3"/>
  <c r="DW60" i="3"/>
  <c r="DW61" i="3" s="1"/>
  <c r="DW63" i="3" s="1"/>
  <c r="DW34" i="3"/>
  <c r="DW104" i="3"/>
  <c r="DU99" i="3"/>
  <c r="DU33" i="3" s="1"/>
  <c r="DW66" i="3" l="1"/>
  <c r="DW74" i="3" s="1"/>
  <c r="DW91" i="3" s="1"/>
  <c r="DX14" i="3"/>
  <c r="DX15" i="3" s="1"/>
  <c r="DV87" i="3"/>
  <c r="DV96" i="3" s="1"/>
  <c r="DV97" i="3"/>
  <c r="DU51" i="3"/>
  <c r="DX40" i="3"/>
  <c r="DX29" i="3"/>
  <c r="DW90" i="3"/>
  <c r="DY4" i="3"/>
  <c r="DY27" i="3" s="1"/>
  <c r="DX34" i="3"/>
  <c r="DX104" i="3"/>
  <c r="DX20" i="3"/>
  <c r="DX22" i="3" s="1"/>
  <c r="DX23" i="3" s="1"/>
  <c r="DX6" i="3"/>
  <c r="DX7" i="3" s="1"/>
  <c r="DW85" i="3" l="1"/>
  <c r="DW93" i="3"/>
  <c r="DW86" i="3"/>
  <c r="DX17" i="3"/>
  <c r="DW16" i="3"/>
  <c r="DX60" i="3" s="1"/>
  <c r="DX61" i="3" s="1"/>
  <c r="DX63" i="3" s="1"/>
  <c r="DY28" i="3"/>
  <c r="DY40" i="3" s="1"/>
  <c r="DV98" i="3"/>
  <c r="DV99" i="3" s="1"/>
  <c r="DV33" i="3" s="1"/>
  <c r="DV48" i="3"/>
  <c r="DV50" i="3" s="1"/>
  <c r="DV31" i="3" s="1"/>
  <c r="DY29" i="3"/>
  <c r="DX92" i="3"/>
  <c r="DX65" i="3"/>
  <c r="DX82" i="3"/>
  <c r="DX81" i="3"/>
  <c r="DW49" i="3"/>
  <c r="DW97" i="3"/>
  <c r="DY9" i="3"/>
  <c r="DY5" i="3"/>
  <c r="DY12" i="3" s="1"/>
  <c r="DY13" i="3" s="1"/>
  <c r="DY69" i="3" s="1" a="1"/>
  <c r="DY69" i="3" s="1"/>
  <c r="DY71" i="3" s="1"/>
  <c r="DZ3" i="3"/>
  <c r="DY8" i="3"/>
  <c r="DY21" i="3" s="1"/>
  <c r="DW87" i="3" l="1"/>
  <c r="DX90" i="3"/>
  <c r="DY14" i="3"/>
  <c r="DY17" i="3" s="1"/>
  <c r="DV51" i="3"/>
  <c r="DX66" i="3"/>
  <c r="DX74" i="3" s="1"/>
  <c r="DX91" i="3" s="1"/>
  <c r="DY104" i="3"/>
  <c r="DY34" i="3"/>
  <c r="DZ4" i="3"/>
  <c r="DZ27" i="3" s="1"/>
  <c r="DY6" i="3"/>
  <c r="DY7" i="3" s="1"/>
  <c r="DY20" i="3"/>
  <c r="DY22" i="3" s="1"/>
  <c r="DY23" i="3" s="1"/>
  <c r="DW48" i="3"/>
  <c r="DW50" i="3" s="1"/>
  <c r="DW96" i="3"/>
  <c r="DW98" i="3" s="1"/>
  <c r="DY15" i="3" l="1"/>
  <c r="DX16" i="3"/>
  <c r="DX93" i="3"/>
  <c r="DX49" i="3" s="1"/>
  <c r="DZ28" i="3"/>
  <c r="DZ40" i="3" s="1"/>
  <c r="DX85" i="3"/>
  <c r="DX86" i="3"/>
  <c r="DY92" i="3"/>
  <c r="DW31" i="3"/>
  <c r="DW51" i="3"/>
  <c r="DY60" i="3"/>
  <c r="DY61" i="3" s="1"/>
  <c r="DY63" i="3" s="1"/>
  <c r="DY65" i="3"/>
  <c r="DW99" i="3"/>
  <c r="DW33" i="3" s="1"/>
  <c r="DZ9" i="3"/>
  <c r="EA3" i="3"/>
  <c r="DZ5" i="3"/>
  <c r="DZ12" i="3" s="1"/>
  <c r="DZ13" i="3" s="1"/>
  <c r="DZ69" i="3" s="1" a="1"/>
  <c r="DZ69" i="3" s="1"/>
  <c r="DZ71" i="3" s="1"/>
  <c r="DZ8" i="3"/>
  <c r="DZ21" i="3" s="1"/>
  <c r="DY81" i="3"/>
  <c r="DY82" i="3"/>
  <c r="DZ29" i="3" l="1"/>
  <c r="DX97" i="3"/>
  <c r="DX87" i="3"/>
  <c r="DX96" i="3" s="1"/>
  <c r="DZ14" i="3"/>
  <c r="DZ17" i="3" s="1"/>
  <c r="DZ104" i="3"/>
  <c r="DZ34" i="3"/>
  <c r="EA4" i="3"/>
  <c r="EA27" i="3" s="1"/>
  <c r="DZ6" i="3"/>
  <c r="DZ7" i="3" s="1"/>
  <c r="DZ20" i="3"/>
  <c r="DZ22" i="3" s="1"/>
  <c r="DZ23" i="3" s="1"/>
  <c r="DY66" i="3"/>
  <c r="DY74" i="3" s="1"/>
  <c r="DY91" i="3" s="1"/>
  <c r="DY90" i="3"/>
  <c r="DX98" i="3" l="1"/>
  <c r="DX99" i="3" s="1"/>
  <c r="DX33" i="3" s="1"/>
  <c r="DY93" i="3"/>
  <c r="DY49" i="3" s="1"/>
  <c r="DX48" i="3"/>
  <c r="DX50" i="3" s="1"/>
  <c r="DX31" i="3" s="1"/>
  <c r="DY16" i="3"/>
  <c r="DZ15" i="3"/>
  <c r="DZ65" i="3" s="1"/>
  <c r="DY86" i="3"/>
  <c r="EA28" i="3"/>
  <c r="DY85" i="3"/>
  <c r="EA9" i="3"/>
  <c r="EB3" i="3"/>
  <c r="EA8" i="3"/>
  <c r="EA21" i="3" s="1"/>
  <c r="EA5" i="3"/>
  <c r="EA14" i="3" s="1"/>
  <c r="DZ81" i="3"/>
  <c r="DZ82" i="3"/>
  <c r="DZ92" i="3"/>
  <c r="EA12" i="3" l="1"/>
  <c r="EA13" i="3" s="1"/>
  <c r="EA69" i="3" s="1" a="1"/>
  <c r="EA69" i="3" s="1"/>
  <c r="EA71" i="3" s="1"/>
  <c r="EA104" i="3" s="1"/>
  <c r="DY87" i="3"/>
  <c r="DZ60" i="3"/>
  <c r="DZ61" i="3" s="1"/>
  <c r="DZ63" i="3" s="1"/>
  <c r="DZ66" i="3" s="1"/>
  <c r="DZ74" i="3" s="1"/>
  <c r="DZ91" i="3" s="1"/>
  <c r="DY97" i="3"/>
  <c r="DX51" i="3"/>
  <c r="EA40" i="3"/>
  <c r="EA29" i="3"/>
  <c r="EB4" i="3"/>
  <c r="EB27" i="3" s="1"/>
  <c r="DY48" i="3"/>
  <c r="DY50" i="3" s="1"/>
  <c r="DY96" i="3"/>
  <c r="EA15" i="3"/>
  <c r="EA17" i="3"/>
  <c r="DZ16" i="3"/>
  <c r="EA20" i="3"/>
  <c r="EA22" i="3" s="1"/>
  <c r="EA23" i="3" s="1"/>
  <c r="EA6" i="3"/>
  <c r="EA7" i="3" s="1"/>
  <c r="EA34" i="3" l="1"/>
  <c r="EB28" i="3"/>
  <c r="EB40" i="3" s="1"/>
  <c r="EA60" i="3"/>
  <c r="EA61" i="3" s="1"/>
  <c r="EA90" i="3" s="1"/>
  <c r="DZ90" i="3"/>
  <c r="DZ93" i="3" s="1"/>
  <c r="DZ49" i="3" s="1"/>
  <c r="DY98" i="3"/>
  <c r="DY99" i="3" s="1"/>
  <c r="DY33" i="3" s="1"/>
  <c r="DZ85" i="3"/>
  <c r="DZ86" i="3"/>
  <c r="EA92" i="3"/>
  <c r="EA65" i="3"/>
  <c r="DY31" i="3"/>
  <c r="DY51" i="3"/>
  <c r="EB9" i="3"/>
  <c r="EB8" i="3"/>
  <c r="EB21" i="3" s="1"/>
  <c r="EB5" i="3"/>
  <c r="EB14" i="3" s="1"/>
  <c r="EC3" i="3"/>
  <c r="EA82" i="3"/>
  <c r="EA81" i="3"/>
  <c r="EB12" i="3" l="1"/>
  <c r="EB13" i="3" s="1"/>
  <c r="EB69" i="3" s="1" a="1"/>
  <c r="EB69" i="3" s="1"/>
  <c r="EB71" i="3" s="1"/>
  <c r="EB34" i="3" s="1"/>
  <c r="EB29" i="3"/>
  <c r="EA63" i="3"/>
  <c r="EA66" i="3"/>
  <c r="EA74" i="3" s="1"/>
  <c r="EA91" i="3" s="1"/>
  <c r="EA93" i="3" s="1"/>
  <c r="DZ87" i="3"/>
  <c r="DZ48" i="3" s="1"/>
  <c r="DZ50" i="3" s="1"/>
  <c r="DZ97" i="3"/>
  <c r="EB6" i="3"/>
  <c r="EB7" i="3" s="1"/>
  <c r="EB20" i="3"/>
  <c r="EB22" i="3" s="1"/>
  <c r="EB23" i="3" s="1"/>
  <c r="EC4" i="3"/>
  <c r="EC28" i="3" s="1"/>
  <c r="EB15" i="3"/>
  <c r="EB17" i="3"/>
  <c r="EA16" i="3"/>
  <c r="EB104" i="3" l="1"/>
  <c r="EC27" i="3"/>
  <c r="EA86" i="3"/>
  <c r="EA85" i="3"/>
  <c r="DZ96" i="3"/>
  <c r="DZ98" i="3" s="1"/>
  <c r="DZ99" i="3" s="1"/>
  <c r="DZ33" i="3" s="1"/>
  <c r="EB65" i="3"/>
  <c r="EB60" i="3"/>
  <c r="EB61" i="3" s="1"/>
  <c r="EB63" i="3" s="1"/>
  <c r="EC40" i="3"/>
  <c r="EC29" i="3"/>
  <c r="EA49" i="3"/>
  <c r="EA97" i="3"/>
  <c r="DZ31" i="3"/>
  <c r="DZ51" i="3"/>
  <c r="EB92" i="3"/>
  <c r="EC9" i="3"/>
  <c r="ED3" i="3"/>
  <c r="EC8" i="3"/>
  <c r="EC21" i="3" s="1"/>
  <c r="EC5" i="3"/>
  <c r="EC14" i="3" s="1"/>
  <c r="EB82" i="3"/>
  <c r="EB81" i="3"/>
  <c r="EC12" i="3" l="1"/>
  <c r="EC13" i="3" s="1"/>
  <c r="EC69" i="3" s="1" a="1"/>
  <c r="EC69" i="3" s="1"/>
  <c r="EC71" i="3" s="1"/>
  <c r="EC34" i="3" s="1"/>
  <c r="EA87" i="3"/>
  <c r="EA48" i="3" s="1"/>
  <c r="EA50" i="3" s="1"/>
  <c r="EA31" i="3" s="1"/>
  <c r="EB66" i="3"/>
  <c r="EB74" i="3" s="1"/>
  <c r="EB91" i="3" s="1"/>
  <c r="EB90" i="3"/>
  <c r="EC17" i="3"/>
  <c r="EC15" i="3"/>
  <c r="EB16" i="3"/>
  <c r="ED4" i="3"/>
  <c r="ED28" i="3" s="1"/>
  <c r="EC6" i="3"/>
  <c r="EC7" i="3" s="1"/>
  <c r="EC20" i="3"/>
  <c r="EC22" i="3" s="1"/>
  <c r="EC23" i="3" s="1"/>
  <c r="EC104" i="3" l="1"/>
  <c r="ED27" i="3"/>
  <c r="EA96" i="3"/>
  <c r="EA98" i="3" s="1"/>
  <c r="EA99" i="3" s="1"/>
  <c r="EA33" i="3" s="1"/>
  <c r="EB85" i="3"/>
  <c r="EB86" i="3"/>
  <c r="EB93" i="3"/>
  <c r="EB49" i="3" s="1"/>
  <c r="EA51" i="3"/>
  <c r="ED40" i="3"/>
  <c r="ED29" i="3"/>
  <c r="EC92" i="3"/>
  <c r="EC81" i="3"/>
  <c r="EC82" i="3"/>
  <c r="ED9" i="3"/>
  <c r="EE3" i="3"/>
  <c r="ED8" i="3"/>
  <c r="ED21" i="3" s="1"/>
  <c r="ED5" i="3"/>
  <c r="ED12" i="3" s="1"/>
  <c r="ED13" i="3" s="1"/>
  <c r="ED69" i="3" s="1" a="1"/>
  <c r="ED69" i="3" s="1"/>
  <c r="ED71" i="3" s="1"/>
  <c r="EC60" i="3"/>
  <c r="EC61" i="3" s="1"/>
  <c r="EC63" i="3" s="1"/>
  <c r="EC65" i="3"/>
  <c r="ED14" i="3" l="1"/>
  <c r="ED15" i="3" s="1"/>
  <c r="EB87" i="3"/>
  <c r="EB96" i="3" s="1"/>
  <c r="EB97" i="3"/>
  <c r="EC66" i="3"/>
  <c r="EC74" i="3" s="1"/>
  <c r="EC91" i="3" s="1"/>
  <c r="ED34" i="3"/>
  <c r="ED104" i="3"/>
  <c r="EE4" i="3"/>
  <c r="EE27" i="3" s="1"/>
  <c r="EC90" i="3"/>
  <c r="ED6" i="3"/>
  <c r="ED7" i="3" s="1"/>
  <c r="ED20" i="3"/>
  <c r="ED22" i="3" s="1"/>
  <c r="ED23" i="3" s="1"/>
  <c r="ED17" i="3" l="1"/>
  <c r="EC16" i="3"/>
  <c r="EE28" i="3"/>
  <c r="EE40" i="3" s="1"/>
  <c r="EB48" i="3"/>
  <c r="EB50" i="3" s="1"/>
  <c r="EB31" i="3" s="1"/>
  <c r="EB98" i="3"/>
  <c r="EB99" i="3" s="1"/>
  <c r="EB33" i="3" s="1"/>
  <c r="EC93" i="3"/>
  <c r="EC49" i="3" s="1"/>
  <c r="EC85" i="3"/>
  <c r="ED60" i="3"/>
  <c r="ED61" i="3" s="1"/>
  <c r="ED90" i="3" s="1"/>
  <c r="EC86" i="3"/>
  <c r="ED92" i="3"/>
  <c r="ED65" i="3"/>
  <c r="EE9" i="3"/>
  <c r="EF3" i="3"/>
  <c r="EE5" i="3"/>
  <c r="EE14" i="3" s="1"/>
  <c r="EE8" i="3"/>
  <c r="EE21" i="3" s="1"/>
  <c r="ED81" i="3"/>
  <c r="ED82" i="3"/>
  <c r="EE12" i="3" l="1"/>
  <c r="EE13" i="3" s="1"/>
  <c r="EE69" i="3" s="1" a="1"/>
  <c r="EE69" i="3" s="1"/>
  <c r="EE71" i="3" s="1"/>
  <c r="EE104" i="3" s="1"/>
  <c r="EE29" i="3"/>
  <c r="ED63" i="3"/>
  <c r="ED66" i="3" s="1"/>
  <c r="ED74" i="3" s="1"/>
  <c r="ED91" i="3" s="1"/>
  <c r="ED93" i="3" s="1"/>
  <c r="EB51" i="3"/>
  <c r="EC87" i="3"/>
  <c r="EC48" i="3" s="1"/>
  <c r="EC50" i="3" s="1"/>
  <c r="EC97" i="3"/>
  <c r="EE17" i="3"/>
  <c r="ED16" i="3"/>
  <c r="EE15" i="3"/>
  <c r="EE20" i="3"/>
  <c r="EE22" i="3" s="1"/>
  <c r="EE23" i="3" s="1"/>
  <c r="EE6" i="3"/>
  <c r="EE7" i="3" s="1"/>
  <c r="EF4" i="3"/>
  <c r="EF28" i="3" s="1"/>
  <c r="EE34" i="3" l="1"/>
  <c r="EF27" i="3"/>
  <c r="EC96" i="3"/>
  <c r="EC98" i="3" s="1"/>
  <c r="EC99" i="3" s="1"/>
  <c r="EC33" i="3" s="1"/>
  <c r="ED85" i="3"/>
  <c r="ED86" i="3"/>
  <c r="EF40" i="3"/>
  <c r="EF29" i="3"/>
  <c r="ED49" i="3"/>
  <c r="ED97" i="3"/>
  <c r="EF9" i="3"/>
  <c r="EF5" i="3"/>
  <c r="EF12" i="3" s="1"/>
  <c r="EF13" i="3" s="1"/>
  <c r="EF69" i="3" s="1" a="1"/>
  <c r="EF69" i="3" s="1"/>
  <c r="EF71" i="3" s="1"/>
  <c r="EF8" i="3"/>
  <c r="EF21" i="3" s="1"/>
  <c r="EG3" i="3"/>
  <c r="EE92" i="3"/>
  <c r="EE82" i="3"/>
  <c r="EE81" i="3"/>
  <c r="EE65" i="3"/>
  <c r="EE60" i="3"/>
  <c r="EE61" i="3" s="1"/>
  <c r="EE63" i="3" s="1"/>
  <c r="EE66" i="3" s="1"/>
  <c r="EE74" i="3" s="1"/>
  <c r="EE91" i="3" s="1"/>
  <c r="EC31" i="3"/>
  <c r="EC51" i="3"/>
  <c r="EF14" i="3" l="1"/>
  <c r="EF17" i="3" s="1"/>
  <c r="ED87" i="3"/>
  <c r="ED48" i="3" s="1"/>
  <c r="ED50" i="3" s="1"/>
  <c r="ED31" i="3" s="1"/>
  <c r="EE90" i="3"/>
  <c r="EE93" i="3" s="1"/>
  <c r="EE85" i="3"/>
  <c r="EE86" i="3"/>
  <c r="EG4" i="3"/>
  <c r="EG28" i="3" s="1"/>
  <c r="EF6" i="3"/>
  <c r="EF7" i="3" s="1"/>
  <c r="EF20" i="3"/>
  <c r="EF22" i="3" s="1"/>
  <c r="EF23" i="3" s="1"/>
  <c r="EF104" i="3"/>
  <c r="EF34" i="3"/>
  <c r="EF15" i="3" l="1"/>
  <c r="EE16" i="3"/>
  <c r="EF60" i="3" s="1"/>
  <c r="EF61" i="3" s="1"/>
  <c r="EF63" i="3" s="1"/>
  <c r="EF66" i="3" s="1"/>
  <c r="EF74" i="3" s="1"/>
  <c r="EF91" i="3" s="1"/>
  <c r="EG27" i="3"/>
  <c r="ED96" i="3"/>
  <c r="ED98" i="3" s="1"/>
  <c r="ED99" i="3" s="1"/>
  <c r="ED33" i="3" s="1"/>
  <c r="ED51" i="3"/>
  <c r="EG40" i="3"/>
  <c r="EG29" i="3"/>
  <c r="EF92" i="3"/>
  <c r="EE49" i="3"/>
  <c r="EE97" i="3"/>
  <c r="EE87" i="3"/>
  <c r="EF65" i="3"/>
  <c r="EF81" i="3"/>
  <c r="EF82" i="3"/>
  <c r="EG9" i="3"/>
  <c r="EH3" i="3"/>
  <c r="EG8" i="3"/>
  <c r="EG21" i="3" s="1"/>
  <c r="EG5" i="3"/>
  <c r="EG14" i="3" s="1"/>
  <c r="EG12" i="3" l="1"/>
  <c r="EG13" i="3" s="1"/>
  <c r="EG69" i="3" s="1" a="1"/>
  <c r="EG69" i="3" s="1"/>
  <c r="EG71" i="3" s="1"/>
  <c r="EG104" i="3" s="1"/>
  <c r="EH4" i="3"/>
  <c r="EH28" i="3" s="1"/>
  <c r="EG6" i="3"/>
  <c r="EG7" i="3" s="1"/>
  <c r="EG20" i="3"/>
  <c r="EG22" i="3" s="1"/>
  <c r="EG23" i="3" s="1"/>
  <c r="EF86" i="3"/>
  <c r="EF85" i="3"/>
  <c r="EE96" i="3"/>
  <c r="EE98" i="3" s="1"/>
  <c r="EE99" i="3" s="1"/>
  <c r="EE33" i="3" s="1"/>
  <c r="EE48" i="3"/>
  <c r="EE50" i="3" s="1"/>
  <c r="EF90" i="3"/>
  <c r="EF93" i="3" s="1"/>
  <c r="EG17" i="3"/>
  <c r="EF16" i="3"/>
  <c r="EG15" i="3"/>
  <c r="EG34" i="3" l="1"/>
  <c r="EH40" i="3"/>
  <c r="EH29" i="3"/>
  <c r="EF87" i="3"/>
  <c r="EF96" i="3" s="1"/>
  <c r="EH27" i="3"/>
  <c r="EG92" i="3"/>
  <c r="EF49" i="3"/>
  <c r="EF97" i="3"/>
  <c r="EE31" i="3"/>
  <c r="EE51" i="3"/>
  <c r="EG65" i="3"/>
  <c r="EG60" i="3"/>
  <c r="EG61" i="3" s="1"/>
  <c r="EG63" i="3" s="1"/>
  <c r="EG81" i="3"/>
  <c r="EG82" i="3"/>
  <c r="EH9" i="3"/>
  <c r="EI3" i="3"/>
  <c r="EH5" i="3"/>
  <c r="EH14" i="3" s="1"/>
  <c r="EH8" i="3"/>
  <c r="EH21" i="3" s="1"/>
  <c r="EH12" i="3" l="1"/>
  <c r="EH13" i="3" s="1"/>
  <c r="EH69" i="3" s="1" a="1"/>
  <c r="EH69" i="3" s="1"/>
  <c r="EH71" i="3" s="1"/>
  <c r="EH34" i="3" s="1"/>
  <c r="EF48" i="3"/>
  <c r="EF50" i="3" s="1"/>
  <c r="EF31" i="3" s="1"/>
  <c r="EG66" i="3"/>
  <c r="EG74" i="3" s="1"/>
  <c r="EG91" i="3" s="1"/>
  <c r="EI4" i="3"/>
  <c r="EI28" i="3" s="1"/>
  <c r="EH20" i="3"/>
  <c r="EH22" i="3" s="1"/>
  <c r="EH23" i="3" s="1"/>
  <c r="EH6" i="3"/>
  <c r="EH7" i="3" s="1"/>
  <c r="EH17" i="3"/>
  <c r="EG16" i="3"/>
  <c r="EH15" i="3"/>
  <c r="EF98" i="3"/>
  <c r="EF99" i="3" s="1"/>
  <c r="EF33" i="3" s="1"/>
  <c r="EG90" i="3"/>
  <c r="EH104" i="3" l="1"/>
  <c r="EI27" i="3"/>
  <c r="EG93" i="3"/>
  <c r="EG97" i="3" s="1"/>
  <c r="EF51" i="3"/>
  <c r="EG85" i="3"/>
  <c r="EG86" i="3"/>
  <c r="EI40" i="3"/>
  <c r="EI29" i="3"/>
  <c r="EH92" i="3"/>
  <c r="EH65" i="3"/>
  <c r="EH60" i="3"/>
  <c r="EH61" i="3" s="1"/>
  <c r="EH63" i="3" s="1"/>
  <c r="EH66" i="3" s="1"/>
  <c r="EH74" i="3" s="1"/>
  <c r="EH91" i="3" s="1"/>
  <c r="EI9" i="3"/>
  <c r="EI5" i="3"/>
  <c r="EI14" i="3" s="1"/>
  <c r="EJ3" i="3"/>
  <c r="EI8" i="3"/>
  <c r="EI21" i="3" s="1"/>
  <c r="EI12" i="3"/>
  <c r="EI13" i="3" s="1"/>
  <c r="EI69" i="3" s="1" a="1"/>
  <c r="EI69" i="3" s="1"/>
  <c r="EI71" i="3" s="1"/>
  <c r="EH82" i="3"/>
  <c r="EH81" i="3"/>
  <c r="EG49" i="3" l="1"/>
  <c r="EG87" i="3"/>
  <c r="EI104" i="3"/>
  <c r="EI34" i="3"/>
  <c r="EI17" i="3"/>
  <c r="EH16" i="3"/>
  <c r="EI15" i="3"/>
  <c r="EI60" i="3" s="1"/>
  <c r="EI61" i="3" s="1"/>
  <c r="EJ4" i="3"/>
  <c r="EJ27" i="3" s="1"/>
  <c r="EI20" i="3"/>
  <c r="EI22" i="3" s="1"/>
  <c r="EI23" i="3" s="1"/>
  <c r="EI6" i="3"/>
  <c r="EI7" i="3" s="1"/>
  <c r="EH90" i="3"/>
  <c r="EH93" i="3" s="1"/>
  <c r="EH85" i="3"/>
  <c r="EH86" i="3"/>
  <c r="EJ28" i="3" l="1"/>
  <c r="EJ40" i="3" s="1"/>
  <c r="EG96" i="3"/>
  <c r="EG98" i="3" s="1"/>
  <c r="EG99" i="3" s="1"/>
  <c r="EG33" i="3" s="1"/>
  <c r="EG48" i="3"/>
  <c r="EG50" i="3" s="1"/>
  <c r="EI92" i="3"/>
  <c r="EI90" i="3"/>
  <c r="EH49" i="3"/>
  <c r="EH97" i="3"/>
  <c r="EI81" i="3"/>
  <c r="EI82" i="3"/>
  <c r="EH87" i="3"/>
  <c r="EJ9" i="3"/>
  <c r="EK3" i="3"/>
  <c r="EJ8" i="3"/>
  <c r="EJ21" i="3" s="1"/>
  <c r="EJ5" i="3"/>
  <c r="EJ12" i="3" s="1"/>
  <c r="EJ13" i="3" s="1"/>
  <c r="EJ69" i="3" s="1" a="1"/>
  <c r="EJ69" i="3" s="1"/>
  <c r="EJ71" i="3" s="1"/>
  <c r="EI65" i="3"/>
  <c r="EI63" i="3"/>
  <c r="EJ14" i="3" l="1"/>
  <c r="EJ17" i="3" s="1"/>
  <c r="EJ29" i="3"/>
  <c r="EI66" i="3"/>
  <c r="EI74" i="3" s="1"/>
  <c r="EI91" i="3" s="1"/>
  <c r="EI93" i="3" s="1"/>
  <c r="EG31" i="3"/>
  <c r="EG51" i="3"/>
  <c r="EJ34" i="3"/>
  <c r="EJ104" i="3"/>
  <c r="EJ20" i="3"/>
  <c r="EJ22" i="3" s="1"/>
  <c r="EJ23" i="3" s="1"/>
  <c r="EJ6" i="3"/>
  <c r="EJ7" i="3" s="1"/>
  <c r="EK4" i="3"/>
  <c r="EK28" i="3" s="1"/>
  <c r="EH96" i="3"/>
  <c r="EH98" i="3" s="1"/>
  <c r="EH48" i="3"/>
  <c r="EH50" i="3" s="1"/>
  <c r="EJ15" i="3" l="1"/>
  <c r="EI16" i="3"/>
  <c r="EK27" i="3"/>
  <c r="EI85" i="3"/>
  <c r="EI86" i="3"/>
  <c r="EJ60" i="3"/>
  <c r="EJ61" i="3" s="1"/>
  <c r="EJ63" i="3" s="1"/>
  <c r="EK40" i="3"/>
  <c r="EK29" i="3"/>
  <c r="EH99" i="3"/>
  <c r="EH33" i="3" s="1"/>
  <c r="EK9" i="3"/>
  <c r="EL3" i="3"/>
  <c r="EK5" i="3"/>
  <c r="EK14" i="3" s="1"/>
  <c r="EK8" i="3"/>
  <c r="EK21" i="3" s="1"/>
  <c r="EI49" i="3"/>
  <c r="EI97" i="3"/>
  <c r="EJ81" i="3"/>
  <c r="EJ82" i="3"/>
  <c r="EH31" i="3"/>
  <c r="EH51" i="3"/>
  <c r="EJ65" i="3"/>
  <c r="EJ92" i="3"/>
  <c r="EK12" i="3" l="1"/>
  <c r="EK13" i="3" s="1"/>
  <c r="EK69" i="3" s="1" a="1"/>
  <c r="EK69" i="3" s="1"/>
  <c r="EK71" i="3" s="1"/>
  <c r="EK104" i="3" s="1"/>
  <c r="EJ90" i="3"/>
  <c r="EI87" i="3"/>
  <c r="EJ66" i="3"/>
  <c r="EJ74" i="3" s="1"/>
  <c r="EJ91" i="3" s="1"/>
  <c r="EL4" i="3"/>
  <c r="EL27" i="3" s="1"/>
  <c r="EK20" i="3"/>
  <c r="EK22" i="3" s="1"/>
  <c r="EK23" i="3" s="1"/>
  <c r="EK6" i="3"/>
  <c r="EK7" i="3" s="1"/>
  <c r="EK17" i="3"/>
  <c r="EK15" i="3"/>
  <c r="EJ16" i="3"/>
  <c r="EK34" i="3" l="1"/>
  <c r="EJ93" i="3"/>
  <c r="EJ49" i="3" s="1"/>
  <c r="EI96" i="3"/>
  <c r="EI98" i="3" s="1"/>
  <c r="EI99" i="3" s="1"/>
  <c r="EI33" i="3" s="1"/>
  <c r="EI48" i="3"/>
  <c r="EI50" i="3" s="1"/>
  <c r="EJ85" i="3"/>
  <c r="EJ86" i="3"/>
  <c r="EL28" i="3"/>
  <c r="EK92" i="3"/>
  <c r="EK60" i="3"/>
  <c r="EK61" i="3" s="1"/>
  <c r="EK63" i="3" s="1"/>
  <c r="EK82" i="3"/>
  <c r="EK81" i="3"/>
  <c r="EL9" i="3"/>
  <c r="EM3" i="3"/>
  <c r="EL8" i="3"/>
  <c r="EL21" i="3" s="1"/>
  <c r="EL5" i="3"/>
  <c r="EL14" i="3" s="1"/>
  <c r="EK65" i="3"/>
  <c r="EL12" i="3" l="1"/>
  <c r="EL13" i="3" s="1"/>
  <c r="EL69" i="3" s="1" a="1"/>
  <c r="EL69" i="3" s="1"/>
  <c r="EL71" i="3" s="1"/>
  <c r="EL104" i="3" s="1"/>
  <c r="EJ97" i="3"/>
  <c r="EI31" i="3"/>
  <c r="EI51" i="3"/>
  <c r="EJ87" i="3"/>
  <c r="EJ48" i="3" s="1"/>
  <c r="EJ50" i="3" s="1"/>
  <c r="EL40" i="3"/>
  <c r="EL29" i="3"/>
  <c r="EL17" i="3"/>
  <c r="EL15" i="3"/>
  <c r="EK16" i="3"/>
  <c r="EL20" i="3"/>
  <c r="EL22" i="3" s="1"/>
  <c r="EL23" i="3" s="1"/>
  <c r="EL6" i="3"/>
  <c r="EL7" i="3" s="1"/>
  <c r="EK66" i="3"/>
  <c r="EK74" i="3" s="1"/>
  <c r="EK91" i="3" s="1"/>
  <c r="EM4" i="3"/>
  <c r="EM28" i="3" s="1"/>
  <c r="EK90" i="3"/>
  <c r="EJ96" i="3" l="1"/>
  <c r="EJ98" i="3" s="1"/>
  <c r="EJ99" i="3" s="1"/>
  <c r="EJ33" i="3" s="1"/>
  <c r="EM27" i="3"/>
  <c r="EL34" i="3"/>
  <c r="EJ31" i="3"/>
  <c r="EJ51" i="3"/>
  <c r="EK93" i="3"/>
  <c r="EK49" i="3" s="1"/>
  <c r="EL60" i="3"/>
  <c r="EL61" i="3" s="1"/>
  <c r="EL90" i="3" s="1"/>
  <c r="EM40" i="3"/>
  <c r="EM29" i="3"/>
  <c r="EL65" i="3"/>
  <c r="EL92" i="3"/>
  <c r="EK86" i="3"/>
  <c r="EK85" i="3"/>
  <c r="EL82" i="3"/>
  <c r="EL81" i="3"/>
  <c r="EM9" i="3"/>
  <c r="EN3" i="3"/>
  <c r="EM5" i="3"/>
  <c r="EM12" i="3" s="1"/>
  <c r="EM13" i="3" s="1"/>
  <c r="EM69" i="3" s="1" a="1"/>
  <c r="EM69" i="3" s="1"/>
  <c r="EM71" i="3" s="1"/>
  <c r="EM8" i="3"/>
  <c r="EM21" i="3" s="1"/>
  <c r="EM14" i="3" l="1"/>
  <c r="EM17" i="3" s="1"/>
  <c r="EK97" i="3"/>
  <c r="EL63" i="3"/>
  <c r="EL66" i="3" s="1"/>
  <c r="EL74" i="3" s="1"/>
  <c r="EL91" i="3" s="1"/>
  <c r="EL93" i="3" s="1"/>
  <c r="EK87" i="3"/>
  <c r="EK96" i="3" s="1"/>
  <c r="EM20" i="3"/>
  <c r="EM22" i="3" s="1"/>
  <c r="EM23" i="3" s="1"/>
  <c r="EM6" i="3"/>
  <c r="EM7" i="3" s="1"/>
  <c r="EM104" i="3"/>
  <c r="EM34" i="3"/>
  <c r="EN4" i="3"/>
  <c r="EN28" i="3" s="1"/>
  <c r="EL16" i="3" l="1"/>
  <c r="EM15" i="3"/>
  <c r="EM65" i="3" s="1"/>
  <c r="EN27" i="3"/>
  <c r="EK98" i="3"/>
  <c r="EK99" i="3" s="1"/>
  <c r="EK33" i="3" s="1"/>
  <c r="EK48" i="3"/>
  <c r="EK50" i="3" s="1"/>
  <c r="EK31" i="3" s="1"/>
  <c r="EN40" i="3"/>
  <c r="EN29" i="3"/>
  <c r="EL49" i="3"/>
  <c r="EL97" i="3"/>
  <c r="EM92" i="3"/>
  <c r="EL86" i="3"/>
  <c r="EN9" i="3"/>
  <c r="EN8" i="3"/>
  <c r="EN21" i="3" s="1"/>
  <c r="EO3" i="3"/>
  <c r="EN5" i="3"/>
  <c r="EN14" i="3" s="1"/>
  <c r="EL85" i="3"/>
  <c r="EM82" i="3"/>
  <c r="EM81" i="3"/>
  <c r="EN12" i="3" l="1"/>
  <c r="EN13" i="3" s="1"/>
  <c r="EN69" i="3" s="1" a="1"/>
  <c r="EN69" i="3" s="1"/>
  <c r="EN71" i="3" s="1"/>
  <c r="EN104" i="3" s="1"/>
  <c r="EM60" i="3"/>
  <c r="EM61" i="3" s="1"/>
  <c r="EM63" i="3" s="1"/>
  <c r="EL87" i="3"/>
  <c r="EL96" i="3" s="1"/>
  <c r="EL98" i="3" s="1"/>
  <c r="EK51" i="3"/>
  <c r="EN17" i="3"/>
  <c r="EM16" i="3"/>
  <c r="EN15" i="3"/>
  <c r="EN60" i="3" s="1"/>
  <c r="EN61" i="3" s="1"/>
  <c r="EO4" i="3"/>
  <c r="EO27" i="3" s="1"/>
  <c r="EM66" i="3"/>
  <c r="EM74" i="3" s="1"/>
  <c r="EM91" i="3" s="1"/>
  <c r="EN20" i="3"/>
  <c r="EN22" i="3" s="1"/>
  <c r="EN23" i="3" s="1"/>
  <c r="EN6" i="3"/>
  <c r="EN7" i="3" s="1"/>
  <c r="EN34" i="3" l="1"/>
  <c r="EM90" i="3"/>
  <c r="EM93" i="3" s="1"/>
  <c r="EM49" i="3" s="1"/>
  <c r="EL48" i="3"/>
  <c r="EL50" i="3" s="1"/>
  <c r="EL31" i="3" s="1"/>
  <c r="EM85" i="3"/>
  <c r="EN63" i="3"/>
  <c r="EN90" i="3"/>
  <c r="EN92" i="3"/>
  <c r="EM86" i="3"/>
  <c r="EO28" i="3"/>
  <c r="EL99" i="3"/>
  <c r="EL33" i="3" s="1"/>
  <c r="EN65" i="3"/>
  <c r="EN82" i="3"/>
  <c r="EN81" i="3"/>
  <c r="EO9" i="3"/>
  <c r="EP3" i="3"/>
  <c r="EO5" i="3"/>
  <c r="EO12" i="3" s="1"/>
  <c r="EO13" i="3" s="1"/>
  <c r="EO69" i="3" s="1" a="1"/>
  <c r="EO69" i="3" s="1"/>
  <c r="EO71" i="3" s="1"/>
  <c r="EO8" i="3"/>
  <c r="EO21" i="3" s="1"/>
  <c r="EO14" i="3" l="1"/>
  <c r="EO17" i="3" s="1"/>
  <c r="EM97" i="3"/>
  <c r="EL51" i="3"/>
  <c r="EM87" i="3"/>
  <c r="EM96" i="3" s="1"/>
  <c r="EO40" i="3"/>
  <c r="EO29" i="3"/>
  <c r="EP4" i="3"/>
  <c r="EP27" i="3" s="1"/>
  <c r="EO20" i="3"/>
  <c r="EO22" i="3" s="1"/>
  <c r="EO23" i="3" s="1"/>
  <c r="EO6" i="3"/>
  <c r="EO7" i="3" s="1"/>
  <c r="EO34" i="3"/>
  <c r="EO104" i="3"/>
  <c r="EN66" i="3"/>
  <c r="EN74" i="3" s="1"/>
  <c r="EN91" i="3" s="1"/>
  <c r="EN93" i="3" s="1"/>
  <c r="EO15" i="3" l="1"/>
  <c r="EN16" i="3"/>
  <c r="EP28" i="3"/>
  <c r="EP40" i="3" s="1"/>
  <c r="EM98" i="3"/>
  <c r="EM99" i="3" s="1"/>
  <c r="EM33" i="3" s="1"/>
  <c r="EM48" i="3"/>
  <c r="EM50" i="3" s="1"/>
  <c r="EM51" i="3" s="1"/>
  <c r="EO65" i="3"/>
  <c r="EN49" i="3"/>
  <c r="EN97" i="3"/>
  <c r="EO82" i="3"/>
  <c r="EO81" i="3"/>
  <c r="EN85" i="3"/>
  <c r="EN86" i="3"/>
  <c r="EO92" i="3"/>
  <c r="EP9" i="3"/>
  <c r="EQ3" i="3"/>
  <c r="EP5" i="3"/>
  <c r="EP12" i="3" s="1"/>
  <c r="EP13" i="3" s="1"/>
  <c r="EP69" i="3" s="1" a="1"/>
  <c r="EP69" i="3" s="1"/>
  <c r="EP71" i="3" s="1"/>
  <c r="EP8" i="3"/>
  <c r="EP21" i="3" s="1"/>
  <c r="EO60" i="3" l="1"/>
  <c r="EO61" i="3" s="1"/>
  <c r="EP14" i="3"/>
  <c r="EP15" i="3" s="1"/>
  <c r="EP29" i="3"/>
  <c r="EM31" i="3"/>
  <c r="EQ4" i="3"/>
  <c r="EQ27" i="3" s="1"/>
  <c r="EP6" i="3"/>
  <c r="EP7" i="3" s="1"/>
  <c r="EP20" i="3"/>
  <c r="EP22" i="3" s="1"/>
  <c r="EP23" i="3" s="1"/>
  <c r="EP34" i="3"/>
  <c r="EP104" i="3"/>
  <c r="EP17" i="3"/>
  <c r="EO16" i="3"/>
  <c r="EN87" i="3"/>
  <c r="EO90" i="3" l="1"/>
  <c r="EO63" i="3"/>
  <c r="EO66" i="3" s="1"/>
  <c r="EO74" i="3" s="1"/>
  <c r="EO91" i="3" s="1"/>
  <c r="EO93" i="3" s="1"/>
  <c r="EP60" i="3"/>
  <c r="EP61" i="3" s="1"/>
  <c r="EP90" i="3" s="1"/>
  <c r="EO86" i="3"/>
  <c r="EQ28" i="3"/>
  <c r="EP92" i="3"/>
  <c r="EP65" i="3"/>
  <c r="EN96" i="3"/>
  <c r="EN98" i="3" s="1"/>
  <c r="EN99" i="3" s="1"/>
  <c r="EN33" i="3" s="1"/>
  <c r="EN48" i="3"/>
  <c r="EN50" i="3" s="1"/>
  <c r="EO49" i="3"/>
  <c r="EO97" i="3"/>
  <c r="EP82" i="3"/>
  <c r="EP81" i="3"/>
  <c r="EQ9" i="3"/>
  <c r="EQ5" i="3"/>
  <c r="EQ14" i="3" s="1"/>
  <c r="EQ8" i="3"/>
  <c r="EQ21" i="3" s="1"/>
  <c r="ER3" i="3"/>
  <c r="EO85" i="3" l="1"/>
  <c r="EO87" i="3" s="1"/>
  <c r="EO48" i="3" s="1"/>
  <c r="EO50" i="3" s="1"/>
  <c r="EQ12" i="3"/>
  <c r="EQ13" i="3" s="1"/>
  <c r="EQ69" i="3" s="1" a="1"/>
  <c r="EQ69" i="3" s="1"/>
  <c r="EQ71" i="3" s="1"/>
  <c r="EQ104" i="3" s="1"/>
  <c r="EP63" i="3"/>
  <c r="EP66" i="3" s="1"/>
  <c r="EP74" i="3" s="1"/>
  <c r="EP91" i="3" s="1"/>
  <c r="EP93" i="3" s="1"/>
  <c r="EQ40" i="3"/>
  <c r="EQ29" i="3"/>
  <c r="EQ17" i="3"/>
  <c r="EQ15" i="3"/>
  <c r="EP16" i="3"/>
  <c r="ER4" i="3"/>
  <c r="ER28" i="3" s="1"/>
  <c r="EQ20" i="3"/>
  <c r="EQ22" i="3" s="1"/>
  <c r="EQ23" i="3" s="1"/>
  <c r="EQ6" i="3"/>
  <c r="EQ7" i="3" s="1"/>
  <c r="EN31" i="3"/>
  <c r="EN51" i="3"/>
  <c r="EQ34" i="3" l="1"/>
  <c r="EO96" i="3"/>
  <c r="EO98" i="3" s="1"/>
  <c r="EO99" i="3" s="1"/>
  <c r="EO33" i="3" s="1"/>
  <c r="EO31" i="3"/>
  <c r="EO51" i="3"/>
  <c r="ER40" i="3"/>
  <c r="ER29" i="3"/>
  <c r="ER27" i="3"/>
  <c r="EP49" i="3"/>
  <c r="EP97" i="3"/>
  <c r="EQ92" i="3"/>
  <c r="EQ65" i="3"/>
  <c r="EP85" i="3"/>
  <c r="EQ82" i="3"/>
  <c r="EQ81" i="3"/>
  <c r="ER9" i="3"/>
  <c r="ER5" i="3"/>
  <c r="ES3" i="3"/>
  <c r="ER8" i="3"/>
  <c r="ER21" i="3" s="1"/>
  <c r="ER12" i="3"/>
  <c r="ER13" i="3" s="1"/>
  <c r="ER69" i="3" s="1" a="1"/>
  <c r="ER69" i="3" s="1"/>
  <c r="ER71" i="3" s="1"/>
  <c r="ER14" i="3"/>
  <c r="EQ60" i="3"/>
  <c r="EQ61" i="3" s="1"/>
  <c r="EQ90" i="3" s="1"/>
  <c r="EP86" i="3"/>
  <c r="ER17" i="3" l="1"/>
  <c r="ER15" i="3"/>
  <c r="EQ16" i="3"/>
  <c r="ER34" i="3"/>
  <c r="ER104" i="3"/>
  <c r="ES4" i="3"/>
  <c r="ES27" i="3" s="1"/>
  <c r="ER6" i="3"/>
  <c r="ER7" i="3" s="1"/>
  <c r="ER20" i="3"/>
  <c r="ER22" i="3" s="1"/>
  <c r="ER23" i="3" s="1"/>
  <c r="EP87" i="3"/>
  <c r="EQ63" i="3"/>
  <c r="EQ66" i="3" s="1"/>
  <c r="EQ74" i="3" s="1"/>
  <c r="EQ91" i="3" s="1"/>
  <c r="EQ93" i="3" s="1"/>
  <c r="ES28" i="3" l="1"/>
  <c r="ES40" i="3" s="1"/>
  <c r="EQ85" i="3"/>
  <c r="EQ86" i="3"/>
  <c r="ER92" i="3"/>
  <c r="EQ49" i="3"/>
  <c r="EQ97" i="3"/>
  <c r="ER65" i="3"/>
  <c r="ES9" i="3"/>
  <c r="ES8" i="3"/>
  <c r="ES21" i="3" s="1"/>
  <c r="ET3" i="3"/>
  <c r="ES5" i="3"/>
  <c r="ES12" i="3" s="1"/>
  <c r="ES13" i="3" s="1"/>
  <c r="ES69" i="3" s="1" a="1"/>
  <c r="ES69" i="3" s="1"/>
  <c r="ES71" i="3" s="1"/>
  <c r="EP48" i="3"/>
  <c r="EP50" i="3" s="1"/>
  <c r="EP96" i="3"/>
  <c r="EP98" i="3" s="1"/>
  <c r="EP99" i="3" s="1"/>
  <c r="EP33" i="3" s="1"/>
  <c r="ER82" i="3"/>
  <c r="ER81" i="3"/>
  <c r="ER60" i="3"/>
  <c r="ER61" i="3" s="1"/>
  <c r="ER63" i="3" s="1"/>
  <c r="ES29" i="3" l="1"/>
  <c r="ES14" i="3"/>
  <c r="ER16" i="3" s="1"/>
  <c r="ER66" i="3"/>
  <c r="ER74" i="3" s="1"/>
  <c r="ER91" i="3" s="1"/>
  <c r="EQ87" i="3"/>
  <c r="EQ48" i="3" s="1"/>
  <c r="EQ50" i="3" s="1"/>
  <c r="EP31" i="3"/>
  <c r="EP51" i="3"/>
  <c r="ER90" i="3"/>
  <c r="ES104" i="3"/>
  <c r="ES34" i="3"/>
  <c r="ET4" i="3"/>
  <c r="ET27" i="3" s="1"/>
  <c r="ES6" i="3"/>
  <c r="ES7" i="3" s="1"/>
  <c r="ES20" i="3"/>
  <c r="ES22" i="3" s="1"/>
  <c r="ES23" i="3" s="1"/>
  <c r="ER85" i="3" l="1"/>
  <c r="ER93" i="3"/>
  <c r="ES15" i="3"/>
  <c r="ES17" i="3"/>
  <c r="ER86" i="3"/>
  <c r="ET28" i="3"/>
  <c r="ET40" i="3" s="1"/>
  <c r="EQ96" i="3"/>
  <c r="EQ98" i="3" s="1"/>
  <c r="EQ99" i="3" s="1"/>
  <c r="EQ33" i="3" s="1"/>
  <c r="ES60" i="3"/>
  <c r="ES61" i="3" s="1"/>
  <c r="ES90" i="3" s="1"/>
  <c r="ES92" i="3"/>
  <c r="ES81" i="3"/>
  <c r="ES82" i="3"/>
  <c r="ES65" i="3"/>
  <c r="EQ31" i="3"/>
  <c r="EQ51" i="3"/>
  <c r="ER49" i="3"/>
  <c r="ER97" i="3"/>
  <c r="ET9" i="3"/>
  <c r="ET8" i="3"/>
  <c r="ET21" i="3" s="1"/>
  <c r="EU3" i="3"/>
  <c r="ET5" i="3"/>
  <c r="ET14" i="3" s="1"/>
  <c r="ER87" i="3" l="1"/>
  <c r="ER48" i="3" s="1"/>
  <c r="ER50" i="3" s="1"/>
  <c r="ET29" i="3"/>
  <c r="ET12" i="3"/>
  <c r="ET13" i="3" s="1"/>
  <c r="ET69" i="3" s="1" a="1"/>
  <c r="ET69" i="3" s="1"/>
  <c r="ET71" i="3" s="1"/>
  <c r="ET34" i="3" s="1"/>
  <c r="ES63" i="3"/>
  <c r="ES66" i="3" s="1"/>
  <c r="ES74" i="3" s="1"/>
  <c r="EU4" i="3"/>
  <c r="EU27" i="3" s="1"/>
  <c r="ET17" i="3"/>
  <c r="ES16" i="3"/>
  <c r="ET15" i="3"/>
  <c r="ET6" i="3"/>
  <c r="ET7" i="3" s="1"/>
  <c r="ET20" i="3"/>
  <c r="ET22" i="3" s="1"/>
  <c r="ET23" i="3" s="1"/>
  <c r="ER96" i="3" l="1"/>
  <c r="ER98" i="3" s="1"/>
  <c r="ER99" i="3" s="1"/>
  <c r="ER33" i="3" s="1"/>
  <c r="ET104" i="3"/>
  <c r="EU28" i="3"/>
  <c r="EU40" i="3" s="1"/>
  <c r="ES91" i="3"/>
  <c r="ES93" i="3" s="1"/>
  <c r="ES49" i="3" s="1"/>
  <c r="ES86" i="3"/>
  <c r="ES85" i="3"/>
  <c r="ET60" i="3"/>
  <c r="ET61" i="3" s="1"/>
  <c r="ET90" i="3" s="1"/>
  <c r="ET92" i="3"/>
  <c r="EU9" i="3"/>
  <c r="EU5" i="3"/>
  <c r="EU14" i="3" s="1"/>
  <c r="EV3" i="3"/>
  <c r="EU8" i="3"/>
  <c r="EU21" i="3" s="1"/>
  <c r="ER31" i="3"/>
  <c r="ER51" i="3"/>
  <c r="ET82" i="3"/>
  <c r="ET81" i="3"/>
  <c r="ET65" i="3"/>
  <c r="EU29" i="3" l="1"/>
  <c r="EU12" i="3"/>
  <c r="EU13" i="3" s="1"/>
  <c r="EU69" i="3" s="1" a="1"/>
  <c r="EU69" i="3" s="1"/>
  <c r="EU71" i="3" s="1"/>
  <c r="EU104" i="3" s="1"/>
  <c r="ET63" i="3"/>
  <c r="ET66" i="3" s="1"/>
  <c r="ET74" i="3" s="1"/>
  <c r="ET91" i="3" s="1"/>
  <c r="ET93" i="3" s="1"/>
  <c r="ES87" i="3"/>
  <c r="ES48" i="3" s="1"/>
  <c r="ES50" i="3" s="1"/>
  <c r="ES51" i="3" s="1"/>
  <c r="ES97" i="3"/>
  <c r="EU17" i="3"/>
  <c r="EU15" i="3"/>
  <c r="ET16" i="3"/>
  <c r="EV4" i="3"/>
  <c r="EV27" i="3" s="1"/>
  <c r="EU6" i="3"/>
  <c r="EU7" i="3" s="1"/>
  <c r="EU20" i="3"/>
  <c r="EU22" i="3" s="1"/>
  <c r="EU23" i="3" s="1"/>
  <c r="EU34" i="3" l="1"/>
  <c r="ES96" i="3"/>
  <c r="ES98" i="3" s="1"/>
  <c r="ES99" i="3" s="1"/>
  <c r="ES33" i="3" s="1"/>
  <c r="ES31" i="3"/>
  <c r="EV28" i="3"/>
  <c r="ET86" i="3"/>
  <c r="EU92" i="3"/>
  <c r="ET49" i="3"/>
  <c r="ET97" i="3"/>
  <c r="EV9" i="3"/>
  <c r="EW3" i="3"/>
  <c r="EV8" i="3"/>
  <c r="EV21" i="3" s="1"/>
  <c r="EV5" i="3"/>
  <c r="EV12" i="3" s="1"/>
  <c r="EV13" i="3" s="1"/>
  <c r="EV69" i="3" s="1" a="1"/>
  <c r="EV69" i="3" s="1"/>
  <c r="EV71" i="3" s="1"/>
  <c r="EU65" i="3"/>
  <c r="EU60" i="3"/>
  <c r="EU61" i="3" s="1"/>
  <c r="EU63" i="3" s="1"/>
  <c r="ET85" i="3"/>
  <c r="EU82" i="3"/>
  <c r="EU81" i="3"/>
  <c r="ET87" i="3" l="1"/>
  <c r="ET48" i="3" s="1"/>
  <c r="ET50" i="3" s="1"/>
  <c r="EV14" i="3"/>
  <c r="EV17" i="3" s="1"/>
  <c r="EU66" i="3"/>
  <c r="EU74" i="3" s="1"/>
  <c r="EU91" i="3" s="1"/>
  <c r="EV40" i="3"/>
  <c r="EV29" i="3"/>
  <c r="EV104" i="3"/>
  <c r="EV34" i="3"/>
  <c r="EV6" i="3"/>
  <c r="EV7" i="3" s="1"/>
  <c r="EV20" i="3"/>
  <c r="EV22" i="3" s="1"/>
  <c r="EV23" i="3" s="1"/>
  <c r="EW4" i="3"/>
  <c r="EW27" i="3" s="1"/>
  <c r="EU90" i="3"/>
  <c r="ET96" i="3" l="1"/>
  <c r="ET98" i="3" s="1"/>
  <c r="EV15" i="3"/>
  <c r="EU16" i="3"/>
  <c r="EW28" i="3"/>
  <c r="EW40" i="3" s="1"/>
  <c r="EU93" i="3"/>
  <c r="EU49" i="3" s="1"/>
  <c r="EU85" i="3"/>
  <c r="EU86" i="3"/>
  <c r="ET99" i="3"/>
  <c r="ET33" i="3" s="1"/>
  <c r="EV65" i="3"/>
  <c r="EV60" i="3"/>
  <c r="EV61" i="3" s="1"/>
  <c r="EV63" i="3" s="1"/>
  <c r="EV92" i="3"/>
  <c r="EW9" i="3"/>
  <c r="EW8" i="3"/>
  <c r="EW21" i="3" s="1"/>
  <c r="EX3" i="3"/>
  <c r="EW5" i="3"/>
  <c r="EW14" i="3" s="1"/>
  <c r="EW12" i="3"/>
  <c r="EW13" i="3" s="1"/>
  <c r="EW69" i="3" s="1" a="1"/>
  <c r="EW69" i="3" s="1"/>
  <c r="EW71" i="3" s="1"/>
  <c r="ET31" i="3"/>
  <c r="ET51" i="3"/>
  <c r="EV81" i="3"/>
  <c r="EV82" i="3"/>
  <c r="EW29" i="3" l="1"/>
  <c r="EV66" i="3"/>
  <c r="EV74" i="3" s="1"/>
  <c r="EV91" i="3" s="1"/>
  <c r="EU87" i="3"/>
  <c r="EU48" i="3" s="1"/>
  <c r="EU50" i="3" s="1"/>
  <c r="EU51" i="3" s="1"/>
  <c r="EU97" i="3"/>
  <c r="EV90" i="3"/>
  <c r="EW20" i="3"/>
  <c r="EW22" i="3" s="1"/>
  <c r="EW23" i="3" s="1"/>
  <c r="EW6" i="3"/>
  <c r="EW7" i="3" s="1"/>
  <c r="EW17" i="3"/>
  <c r="EV16" i="3"/>
  <c r="EW15" i="3"/>
  <c r="EX4" i="3"/>
  <c r="EX27" i="3" s="1"/>
  <c r="EW104" i="3"/>
  <c r="EW34" i="3"/>
  <c r="EX28" i="3" l="1"/>
  <c r="EX29" i="3" s="1"/>
  <c r="EV93" i="3"/>
  <c r="EV49" i="3" s="1"/>
  <c r="EV85" i="3"/>
  <c r="EV86" i="3"/>
  <c r="EU96" i="3"/>
  <c r="EU98" i="3" s="1"/>
  <c r="EU99" i="3" s="1"/>
  <c r="EU33" i="3" s="1"/>
  <c r="EU31" i="3"/>
  <c r="EX9" i="3"/>
  <c r="EX8" i="3"/>
  <c r="EX21" i="3" s="1"/>
  <c r="EY3" i="3"/>
  <c r="EX5" i="3"/>
  <c r="EX12" i="3" s="1"/>
  <c r="EX13" i="3" s="1"/>
  <c r="EX69" i="3" s="1" a="1"/>
  <c r="EX69" i="3" s="1"/>
  <c r="EX71" i="3" s="1"/>
  <c r="EW92" i="3"/>
  <c r="EW65" i="3"/>
  <c r="EW60" i="3"/>
  <c r="EW61" i="3" s="1"/>
  <c r="EW63" i="3" s="1"/>
  <c r="EW81" i="3"/>
  <c r="EW82" i="3"/>
  <c r="EW66" i="3" l="1"/>
  <c r="EW74" i="3" s="1"/>
  <c r="EW91" i="3" s="1"/>
  <c r="EX40" i="3"/>
  <c r="EX14" i="3"/>
  <c r="EW16" i="3" s="1"/>
  <c r="EV97" i="3"/>
  <c r="EV87" i="3"/>
  <c r="EV96" i="3" s="1"/>
  <c r="EW90" i="3"/>
  <c r="EX104" i="3"/>
  <c r="EX34" i="3"/>
  <c r="EY4" i="3"/>
  <c r="EY27" i="3" s="1"/>
  <c r="EX6" i="3"/>
  <c r="EX7" i="3" s="1"/>
  <c r="EX20" i="3"/>
  <c r="EX22" i="3" s="1"/>
  <c r="EX23" i="3" s="1"/>
  <c r="EW93" i="3" l="1"/>
  <c r="EW86" i="3"/>
  <c r="EW85" i="3"/>
  <c r="EX17" i="3"/>
  <c r="EX15" i="3"/>
  <c r="EX65" i="3" s="1"/>
  <c r="EV48" i="3"/>
  <c r="EV50" i="3" s="1"/>
  <c r="EV31" i="3" s="1"/>
  <c r="EV98" i="3"/>
  <c r="EV99" i="3" s="1"/>
  <c r="EV33" i="3" s="1"/>
  <c r="EW87" i="3"/>
  <c r="EW96" i="3" s="1"/>
  <c r="EY28" i="3"/>
  <c r="EX92" i="3"/>
  <c r="EW49" i="3"/>
  <c r="EW97" i="3"/>
  <c r="EX82" i="3"/>
  <c r="EX81" i="3"/>
  <c r="EY9" i="3"/>
  <c r="EY8" i="3"/>
  <c r="EY21" i="3" s="1"/>
  <c r="EZ3" i="3"/>
  <c r="EY5" i="3"/>
  <c r="EY14" i="3" s="1"/>
  <c r="EX60" i="3" l="1"/>
  <c r="EX61" i="3" s="1"/>
  <c r="EX63" i="3" s="1"/>
  <c r="EX66" i="3" s="1"/>
  <c r="EX74" i="3" s="1"/>
  <c r="EX91" i="3" s="1"/>
  <c r="EV51" i="3"/>
  <c r="EW48" i="3"/>
  <c r="EW50" i="3" s="1"/>
  <c r="EW31" i="3" s="1"/>
  <c r="EW98" i="3"/>
  <c r="EW99" i="3" s="1"/>
  <c r="EW33" i="3" s="1"/>
  <c r="EY12" i="3"/>
  <c r="EY13" i="3" s="1"/>
  <c r="EY69" i="3" s="1" a="1"/>
  <c r="EY69" i="3" s="1"/>
  <c r="EY71" i="3" s="1"/>
  <c r="EY104" i="3" s="1"/>
  <c r="EY40" i="3"/>
  <c r="EY29" i="3"/>
  <c r="EY15" i="3"/>
  <c r="EY17" i="3"/>
  <c r="EX16" i="3"/>
  <c r="EZ4" i="3"/>
  <c r="EZ28" i="3" s="1"/>
  <c r="EY20" i="3"/>
  <c r="EY22" i="3" s="1"/>
  <c r="EY23" i="3" s="1"/>
  <c r="EY6" i="3"/>
  <c r="EY7" i="3" s="1"/>
  <c r="EX90" i="3" l="1"/>
  <c r="EX93" i="3" s="1"/>
  <c r="EX49" i="3" s="1"/>
  <c r="EY60" i="3"/>
  <c r="EY61" i="3" s="1"/>
  <c r="EY63" i="3" s="1"/>
  <c r="EZ27" i="3"/>
  <c r="EW51" i="3"/>
  <c r="EX85" i="3"/>
  <c r="EY34" i="3"/>
  <c r="EZ40" i="3"/>
  <c r="EZ29" i="3"/>
  <c r="EY90" i="3"/>
  <c r="EY92" i="3"/>
  <c r="EY65" i="3"/>
  <c r="EX86" i="3"/>
  <c r="EZ9" i="3"/>
  <c r="FA3" i="3"/>
  <c r="EZ5" i="3"/>
  <c r="EZ14" i="3" s="1"/>
  <c r="EZ8" i="3"/>
  <c r="EZ21" i="3" s="1"/>
  <c r="EY81" i="3"/>
  <c r="EY82" i="3"/>
  <c r="EX97" i="3" l="1"/>
  <c r="EX87" i="3"/>
  <c r="EX96" i="3" s="1"/>
  <c r="EY66" i="3"/>
  <c r="EY74" i="3" s="1"/>
  <c r="EY91" i="3" s="1"/>
  <c r="EY93" i="3" s="1"/>
  <c r="EZ15" i="3"/>
  <c r="EZ17" i="3"/>
  <c r="EY16" i="3"/>
  <c r="EZ12" i="3"/>
  <c r="EZ13" i="3" s="1"/>
  <c r="EZ69" i="3" s="1" a="1"/>
  <c r="EZ69" i="3" s="1"/>
  <c r="EZ71" i="3" s="1"/>
  <c r="FA4" i="3"/>
  <c r="FA28" i="3" s="1"/>
  <c r="EZ20" i="3"/>
  <c r="EZ22" i="3" s="1"/>
  <c r="EZ23" i="3" s="1"/>
  <c r="EZ6" i="3"/>
  <c r="EZ7" i="3" s="1"/>
  <c r="FA27" i="3" l="1"/>
  <c r="EX98" i="3"/>
  <c r="EX99" i="3" s="1"/>
  <c r="EX33" i="3" s="1"/>
  <c r="EX48" i="3"/>
  <c r="EX50" i="3" s="1"/>
  <c r="EX31" i="3" s="1"/>
  <c r="EY86" i="3"/>
  <c r="EZ60" i="3"/>
  <c r="EZ61" i="3" s="1"/>
  <c r="EZ90" i="3" s="1"/>
  <c r="EY85" i="3"/>
  <c r="FA40" i="3"/>
  <c r="FA29" i="3"/>
  <c r="EZ92" i="3"/>
  <c r="EZ65" i="3"/>
  <c r="EZ81" i="3"/>
  <c r="EZ82" i="3"/>
  <c r="FA9" i="3"/>
  <c r="FB3" i="3"/>
  <c r="FA5" i="3"/>
  <c r="FA12" i="3" s="1"/>
  <c r="FA13" i="3" s="1"/>
  <c r="FA69" i="3" s="1" a="1"/>
  <c r="FA69" i="3" s="1"/>
  <c r="FA71" i="3" s="1"/>
  <c r="FA8" i="3"/>
  <c r="FA21" i="3" s="1"/>
  <c r="EY49" i="3"/>
  <c r="EY97" i="3"/>
  <c r="EZ104" i="3"/>
  <c r="EZ34" i="3"/>
  <c r="EZ63" i="3" l="1"/>
  <c r="EZ66" i="3" s="1"/>
  <c r="EZ74" i="3" s="1"/>
  <c r="EZ91" i="3" s="1"/>
  <c r="EZ93" i="3" s="1"/>
  <c r="EX51" i="3"/>
  <c r="EY87" i="3"/>
  <c r="FA104" i="3"/>
  <c r="FA34" i="3"/>
  <c r="FA14" i="3"/>
  <c r="FB4" i="3"/>
  <c r="FB27" i="3" s="1"/>
  <c r="FA20" i="3"/>
  <c r="FA22" i="3" s="1"/>
  <c r="FA23" i="3" s="1"/>
  <c r="FA6" i="3"/>
  <c r="FA7" i="3" s="1"/>
  <c r="EZ86" i="3" l="1"/>
  <c r="EZ85" i="3"/>
  <c r="FB28" i="3"/>
  <c r="FB40" i="3" s="1"/>
  <c r="EY48" i="3"/>
  <c r="EY50" i="3" s="1"/>
  <c r="EY96" i="3"/>
  <c r="EY98" i="3" s="1"/>
  <c r="EY99" i="3" s="1"/>
  <c r="EY33" i="3" s="1"/>
  <c r="FA92" i="3"/>
  <c r="FB9" i="3"/>
  <c r="FC3" i="3"/>
  <c r="FB5" i="3"/>
  <c r="FB12" i="3" s="1"/>
  <c r="FB13" i="3" s="1"/>
  <c r="FB69" i="3" s="1" a="1"/>
  <c r="FB69" i="3" s="1"/>
  <c r="FB71" i="3" s="1"/>
  <c r="FB8" i="3"/>
  <c r="FB21" i="3" s="1"/>
  <c r="FB14" i="3"/>
  <c r="FA16" i="3" s="1"/>
  <c r="EZ87" i="3"/>
  <c r="EZ49" i="3"/>
  <c r="EZ97" i="3"/>
  <c r="FA17" i="3"/>
  <c r="EZ16" i="3"/>
  <c r="FA15" i="3"/>
  <c r="FA81" i="3"/>
  <c r="FA82" i="3"/>
  <c r="FB29" i="3" l="1"/>
  <c r="FB15" i="3"/>
  <c r="FB60" i="3" s="1"/>
  <c r="FB61" i="3" s="1"/>
  <c r="EY31" i="3"/>
  <c r="EY51" i="3"/>
  <c r="EZ96" i="3"/>
  <c r="EZ98" i="3" s="1"/>
  <c r="EZ99" i="3" s="1"/>
  <c r="EZ33" i="3" s="1"/>
  <c r="EZ48" i="3"/>
  <c r="EZ50" i="3" s="1"/>
  <c r="FC4" i="3"/>
  <c r="FC28" i="3" s="1"/>
  <c r="FB104" i="3"/>
  <c r="FB34" i="3"/>
  <c r="FB6" i="3"/>
  <c r="FB7" i="3" s="1"/>
  <c r="FB20" i="3"/>
  <c r="FB22" i="3" s="1"/>
  <c r="FB23" i="3" s="1"/>
  <c r="FA65" i="3"/>
  <c r="FA60" i="3"/>
  <c r="FA61" i="3" s="1"/>
  <c r="FB65" i="3"/>
  <c r="FB17" i="3"/>
  <c r="FC27" i="3" l="1"/>
  <c r="FC40" i="3"/>
  <c r="FC29" i="3"/>
  <c r="FC9" i="3"/>
  <c r="FD3" i="3"/>
  <c r="FC8" i="3"/>
  <c r="FC21" i="3" s="1"/>
  <c r="FC5" i="3"/>
  <c r="FC14" i="3"/>
  <c r="FC12" i="3"/>
  <c r="FC13" i="3" s="1"/>
  <c r="FC69" i="3" s="1" a="1"/>
  <c r="FC69" i="3" s="1"/>
  <c r="FC71" i="3" s="1"/>
  <c r="FB82" i="3"/>
  <c r="FB81" i="3"/>
  <c r="EZ31" i="3"/>
  <c r="EZ51" i="3"/>
  <c r="FB92" i="3"/>
  <c r="FB90" i="3"/>
  <c r="FA63" i="3"/>
  <c r="FA66" i="3" s="1"/>
  <c r="FA74" i="3" s="1"/>
  <c r="FA90" i="3"/>
  <c r="FB63" i="3"/>
  <c r="FB66" i="3" s="1"/>
  <c r="FB74" i="3" s="1"/>
  <c r="FB91" i="3" s="1"/>
  <c r="FA91" i="3" l="1"/>
  <c r="FA93" i="3" s="1"/>
  <c r="FA86" i="3"/>
  <c r="FA85" i="3"/>
  <c r="FB93" i="3"/>
  <c r="FC34" i="3"/>
  <c r="FC104" i="3"/>
  <c r="FB85" i="3"/>
  <c r="FC15" i="3"/>
  <c r="FC17" i="3"/>
  <c r="FC65" i="3"/>
  <c r="FB16" i="3"/>
  <c r="FD4" i="3"/>
  <c r="FD27" i="3" s="1"/>
  <c r="FB86" i="3"/>
  <c r="FC20" i="3"/>
  <c r="FC22" i="3" s="1"/>
  <c r="FC23" i="3" s="1"/>
  <c r="FC6" i="3"/>
  <c r="FC7" i="3" s="1"/>
  <c r="FD28" i="3" l="1"/>
  <c r="FD40" i="3" s="1"/>
  <c r="FA87" i="3"/>
  <c r="FA48" i="3" s="1"/>
  <c r="FC60" i="3"/>
  <c r="FC61" i="3" s="1"/>
  <c r="FC90" i="3" s="1"/>
  <c r="FC92" i="3"/>
  <c r="FA49" i="3"/>
  <c r="FA97" i="3"/>
  <c r="FD9" i="3"/>
  <c r="FE3" i="3"/>
  <c r="FD5" i="3"/>
  <c r="FD12" i="3" s="1"/>
  <c r="FD13" i="3" s="1"/>
  <c r="FD69" i="3" s="1" a="1"/>
  <c r="FD69" i="3" s="1"/>
  <c r="FD71" i="3" s="1"/>
  <c r="FD8" i="3"/>
  <c r="FD21" i="3" s="1"/>
  <c r="FD14" i="3"/>
  <c r="FC82" i="3"/>
  <c r="FC81" i="3"/>
  <c r="FB49" i="3"/>
  <c r="FB97" i="3"/>
  <c r="FB87" i="3"/>
  <c r="FD29" i="3" l="1"/>
  <c r="FC63" i="3"/>
  <c r="FC66" i="3" s="1"/>
  <c r="FC74" i="3" s="1"/>
  <c r="FC91" i="3" s="1"/>
  <c r="FC93" i="3" s="1"/>
  <c r="FA50" i="3"/>
  <c r="FA31" i="3" s="1"/>
  <c r="FA96" i="3"/>
  <c r="FA98" i="3" s="1"/>
  <c r="FA99" i="3" s="1"/>
  <c r="FA33" i="3" s="1"/>
  <c r="FB96" i="3"/>
  <c r="FB98" i="3" s="1"/>
  <c r="FB48" i="3"/>
  <c r="FB50" i="3" s="1"/>
  <c r="FD104" i="3"/>
  <c r="FD34" i="3"/>
  <c r="FD20" i="3"/>
  <c r="FD22" i="3" s="1"/>
  <c r="FD23" i="3" s="1"/>
  <c r="FD6" i="3"/>
  <c r="FD7" i="3" s="1"/>
  <c r="FE4" i="3"/>
  <c r="FE28" i="3" s="1"/>
  <c r="FD15" i="3"/>
  <c r="FD17" i="3"/>
  <c r="FD65" i="3"/>
  <c r="FC16" i="3"/>
  <c r="FD60" i="3" l="1"/>
  <c r="FD61" i="3" s="1"/>
  <c r="FD63" i="3" s="1"/>
  <c r="FD66" i="3" s="1"/>
  <c r="FD74" i="3" s="1"/>
  <c r="FD91" i="3" s="1"/>
  <c r="FC86" i="3"/>
  <c r="FC85" i="3"/>
  <c r="FC87" i="3" s="1"/>
  <c r="FE27" i="3"/>
  <c r="FB99" i="3"/>
  <c r="FB33" i="3" s="1"/>
  <c r="FA51" i="3"/>
  <c r="FE40" i="3"/>
  <c r="FE29" i="3"/>
  <c r="FD92" i="3"/>
  <c r="FE9" i="3"/>
  <c r="FE8" i="3"/>
  <c r="FE21" i="3" s="1"/>
  <c r="FE5" i="3"/>
  <c r="FE14" i="3" s="1"/>
  <c r="FF3" i="3"/>
  <c r="FD81" i="3"/>
  <c r="FD82" i="3"/>
  <c r="FC49" i="3"/>
  <c r="FC97" i="3"/>
  <c r="FB31" i="3"/>
  <c r="FB51" i="3"/>
  <c r="FD90" i="3" l="1"/>
  <c r="FD93" i="3" s="1"/>
  <c r="FE12" i="3"/>
  <c r="FE13" i="3" s="1"/>
  <c r="FE69" i="3" s="1" a="1"/>
  <c r="FE69" i="3" s="1"/>
  <c r="FE71" i="3" s="1"/>
  <c r="FE104" i="3" s="1"/>
  <c r="FF4" i="3"/>
  <c r="FE20" i="3"/>
  <c r="FE22" i="3" s="1"/>
  <c r="FE23" i="3" s="1"/>
  <c r="FE6" i="3"/>
  <c r="FE7" i="3" s="1"/>
  <c r="FD86" i="3"/>
  <c r="FC48" i="3"/>
  <c r="FC50" i="3" s="1"/>
  <c r="FC96" i="3"/>
  <c r="FC98" i="3" s="1"/>
  <c r="FC99" i="3" s="1"/>
  <c r="FC33" i="3" s="1"/>
  <c r="FD85" i="3"/>
  <c r="FE15" i="3"/>
  <c r="FE65" i="3"/>
  <c r="FE17" i="3"/>
  <c r="FD16" i="3"/>
  <c r="FE34" i="3" l="1"/>
  <c r="FD87" i="3"/>
  <c r="FE60" i="3"/>
  <c r="FE61" i="3" s="1"/>
  <c r="FE90" i="3" s="1"/>
  <c r="FE92" i="3"/>
  <c r="FE82" i="3"/>
  <c r="FE81" i="3"/>
  <c r="FF9" i="3"/>
  <c r="FG3" i="3"/>
  <c r="FF8" i="3"/>
  <c r="FF21" i="3" s="1"/>
  <c r="FF5" i="3"/>
  <c r="FF14" i="3" s="1"/>
  <c r="FD96" i="3"/>
  <c r="FD48" i="3"/>
  <c r="FC31" i="3"/>
  <c r="FC51" i="3"/>
  <c r="FF27" i="3"/>
  <c r="FD49" i="3"/>
  <c r="FD97" i="3"/>
  <c r="FF28" i="3"/>
  <c r="FE63" i="3" l="1"/>
  <c r="FE66" i="3" s="1"/>
  <c r="FE74" i="3" s="1"/>
  <c r="FE91" i="3" s="1"/>
  <c r="FE93" i="3" s="1"/>
  <c r="FF40" i="3"/>
  <c r="FF29" i="3"/>
  <c r="FF65" i="3"/>
  <c r="FF17" i="3"/>
  <c r="FE16" i="3"/>
  <c r="FF15" i="3"/>
  <c r="FD50" i="3"/>
  <c r="FD98" i="3"/>
  <c r="FD99" i="3" s="1"/>
  <c r="FD33" i="3" s="1"/>
  <c r="FF12" i="3"/>
  <c r="FF13" i="3" s="1"/>
  <c r="FF69" i="3" s="1" a="1"/>
  <c r="FF69" i="3" s="1"/>
  <c r="FF71" i="3" s="1"/>
  <c r="FG4" i="3"/>
  <c r="FG28" i="3" s="1"/>
  <c r="FF20" i="3"/>
  <c r="FF22" i="3" s="1"/>
  <c r="FF23" i="3" s="1"/>
  <c r="FF6" i="3"/>
  <c r="FF7" i="3" s="1"/>
  <c r="FE86" i="3" l="1"/>
  <c r="FE85" i="3"/>
  <c r="FF60" i="3"/>
  <c r="FF61" i="3" s="1"/>
  <c r="FF63" i="3" s="1"/>
  <c r="FF66" i="3" s="1"/>
  <c r="FF74" i="3" s="1"/>
  <c r="FF91" i="3" s="1"/>
  <c r="FG40" i="3"/>
  <c r="FG29" i="3"/>
  <c r="FF92" i="3"/>
  <c r="FG27" i="3"/>
  <c r="FD31" i="3"/>
  <c r="FD51" i="3"/>
  <c r="FG9" i="3"/>
  <c r="FG8" i="3"/>
  <c r="FG21" i="3" s="1"/>
  <c r="FH3" i="3"/>
  <c r="FG5" i="3"/>
  <c r="FG12" i="3" s="1"/>
  <c r="FG13" i="3" s="1"/>
  <c r="FG69" i="3" s="1" a="1"/>
  <c r="FG69" i="3" s="1"/>
  <c r="FG71" i="3" s="1"/>
  <c r="FE49" i="3"/>
  <c r="FE97" i="3"/>
  <c r="FF81" i="3"/>
  <c r="FF82" i="3"/>
  <c r="FF34" i="3"/>
  <c r="FF104" i="3"/>
  <c r="FG14" i="3" l="1"/>
  <c r="FF90" i="3"/>
  <c r="FF93" i="3" s="1"/>
  <c r="FE87" i="3"/>
  <c r="FG65" i="3"/>
  <c r="FG17" i="3"/>
  <c r="FF16" i="3"/>
  <c r="FG15" i="3"/>
  <c r="FG60" i="3" s="1"/>
  <c r="FG61" i="3" s="1"/>
  <c r="FG104" i="3"/>
  <c r="FG34" i="3"/>
  <c r="FF86" i="3"/>
  <c r="FG6" i="3"/>
  <c r="FG7" i="3" s="1"/>
  <c r="FG20" i="3"/>
  <c r="FG22" i="3" s="1"/>
  <c r="FG23" i="3" s="1"/>
  <c r="FF85" i="3"/>
  <c r="FH4" i="3"/>
  <c r="FH28" i="3" s="1"/>
  <c r="FH27" i="3" l="1"/>
  <c r="FE96" i="3"/>
  <c r="FE98" i="3" s="1"/>
  <c r="FE99" i="3" s="1"/>
  <c r="FE33" i="3" s="1"/>
  <c r="FE48" i="3"/>
  <c r="FE50" i="3" s="1"/>
  <c r="FF87" i="3"/>
  <c r="FF48" i="3" s="1"/>
  <c r="FH40" i="3"/>
  <c r="FH29" i="3"/>
  <c r="FG81" i="3"/>
  <c r="FG82" i="3"/>
  <c r="FG63" i="3"/>
  <c r="FG66" i="3" s="1"/>
  <c r="FG74" i="3" s="1"/>
  <c r="FG91" i="3" s="1"/>
  <c r="FG92" i="3"/>
  <c r="FG90" i="3"/>
  <c r="FH9" i="3"/>
  <c r="FI3" i="3"/>
  <c r="FH5" i="3"/>
  <c r="FH12" i="3" s="1"/>
  <c r="FH13" i="3" s="1"/>
  <c r="FH69" i="3" s="1" a="1"/>
  <c r="FH69" i="3" s="1"/>
  <c r="FH71" i="3" s="1"/>
  <c r="FH8" i="3"/>
  <c r="FH21" i="3" s="1"/>
  <c r="FF49" i="3"/>
  <c r="FF97" i="3"/>
  <c r="FF96" i="3" l="1"/>
  <c r="FF98" i="3" s="1"/>
  <c r="FF99" i="3" s="1"/>
  <c r="FF33" i="3" s="1"/>
  <c r="FF50" i="3"/>
  <c r="FF31" i="3" s="1"/>
  <c r="FE51" i="3"/>
  <c r="FE31" i="3"/>
  <c r="FG93" i="3"/>
  <c r="FG49" i="3" s="1"/>
  <c r="FH104" i="3"/>
  <c r="FH34" i="3"/>
  <c r="FH14" i="3"/>
  <c r="FH20" i="3"/>
  <c r="FH22" i="3" s="1"/>
  <c r="FH23" i="3" s="1"/>
  <c r="FH6" i="3"/>
  <c r="FH7" i="3" s="1"/>
  <c r="FG86" i="3"/>
  <c r="FI4" i="3"/>
  <c r="FI28" i="3" s="1"/>
  <c r="FG85" i="3"/>
  <c r="FF51" i="3" l="1"/>
  <c r="FG97" i="3"/>
  <c r="FG87" i="3"/>
  <c r="FG96" i="3" s="1"/>
  <c r="FI40" i="3"/>
  <c r="FI29" i="3"/>
  <c r="FI27" i="3"/>
  <c r="FH81" i="3"/>
  <c r="FH82" i="3"/>
  <c r="FI9" i="3"/>
  <c r="FI8" i="3"/>
  <c r="FI21" i="3" s="1"/>
  <c r="FJ3" i="3"/>
  <c r="FI5" i="3"/>
  <c r="FI12" i="3" s="1"/>
  <c r="FI13" i="3" s="1"/>
  <c r="FI69" i="3" s="1" a="1"/>
  <c r="FI69" i="3" s="1"/>
  <c r="FI71" i="3" s="1"/>
  <c r="FH92" i="3"/>
  <c r="FH65" i="3"/>
  <c r="FH17" i="3"/>
  <c r="FG16" i="3"/>
  <c r="FH15" i="3"/>
  <c r="FH60" i="3" s="1"/>
  <c r="FH61" i="3" s="1"/>
  <c r="FH90" i="3" s="1"/>
  <c r="FI14" i="3" l="1"/>
  <c r="FH16" i="3" s="1"/>
  <c r="FG98" i="3"/>
  <c r="FG99" i="3" s="1"/>
  <c r="FG33" i="3" s="1"/>
  <c r="FG48" i="3"/>
  <c r="FG50" i="3" s="1"/>
  <c r="FG31" i="3" s="1"/>
  <c r="FI20" i="3"/>
  <c r="FI22" i="3" s="1"/>
  <c r="FI23" i="3" s="1"/>
  <c r="FI6" i="3"/>
  <c r="FI7" i="3" s="1"/>
  <c r="FH63" i="3"/>
  <c r="FH66" i="3" s="1"/>
  <c r="FH74" i="3" s="1"/>
  <c r="FH91" i="3" s="1"/>
  <c r="FH93" i="3" s="1"/>
  <c r="FI104" i="3"/>
  <c r="FI34" i="3"/>
  <c r="FJ4" i="3"/>
  <c r="FJ28" i="3" s="1"/>
  <c r="FI17" i="3" l="1"/>
  <c r="FI65" i="3"/>
  <c r="FJ27" i="3"/>
  <c r="FI15" i="3"/>
  <c r="FI60" i="3" s="1"/>
  <c r="FI61" i="3" s="1"/>
  <c r="FI63" i="3" s="1"/>
  <c r="FI66" i="3" s="1"/>
  <c r="FI74" i="3" s="1"/>
  <c r="FI91" i="3" s="1"/>
  <c r="FH86" i="3"/>
  <c r="FG51" i="3"/>
  <c r="FJ40" i="3"/>
  <c r="FJ29" i="3"/>
  <c r="FH49" i="3"/>
  <c r="FH97" i="3"/>
  <c r="FI92" i="3"/>
  <c r="FJ9" i="3"/>
  <c r="FJ5" i="3"/>
  <c r="FJ8" i="3"/>
  <c r="FJ21" i="3" s="1"/>
  <c r="FK3" i="3"/>
  <c r="FJ12" i="3"/>
  <c r="FJ13" i="3" s="1"/>
  <c r="FJ69" i="3" s="1" a="1"/>
  <c r="FJ69" i="3" s="1"/>
  <c r="FJ71" i="3" s="1"/>
  <c r="FJ14" i="3"/>
  <c r="FH85" i="3"/>
  <c r="FI82" i="3"/>
  <c r="FI81" i="3"/>
  <c r="FI90" i="3" l="1"/>
  <c r="FI85" i="3"/>
  <c r="FI86" i="3"/>
  <c r="FH87" i="3"/>
  <c r="FH96" i="3" s="1"/>
  <c r="FH98" i="3" s="1"/>
  <c r="FI93" i="3"/>
  <c r="FI49" i="3" s="1"/>
  <c r="FJ65" i="3"/>
  <c r="FJ17" i="3"/>
  <c r="FJ15" i="3"/>
  <c r="FI16" i="3"/>
  <c r="FK4" i="3"/>
  <c r="FK28" i="3" s="1"/>
  <c r="FJ104" i="3"/>
  <c r="FJ34" i="3"/>
  <c r="FJ20" i="3"/>
  <c r="FJ22" i="3" s="1"/>
  <c r="FJ23" i="3" s="1"/>
  <c r="FJ6" i="3"/>
  <c r="FJ7" i="3" s="1"/>
  <c r="FI87" i="3" l="1"/>
  <c r="FI96" i="3" s="1"/>
  <c r="FH48" i="3"/>
  <c r="FH50" i="3" s="1"/>
  <c r="FH31" i="3" s="1"/>
  <c r="FI97" i="3"/>
  <c r="FK40" i="3"/>
  <c r="FK29" i="3"/>
  <c r="FK27" i="3"/>
  <c r="FJ92" i="3"/>
  <c r="FK9" i="3"/>
  <c r="FK8" i="3"/>
  <c r="FK21" i="3" s="1"/>
  <c r="FL3" i="3"/>
  <c r="FK5" i="3"/>
  <c r="FK12" i="3" s="1"/>
  <c r="FK13" i="3" s="1"/>
  <c r="FK69" i="3" s="1" a="1"/>
  <c r="FK69" i="3" s="1"/>
  <c r="FK71" i="3" s="1"/>
  <c r="FK14" i="3"/>
  <c r="FJ60" i="3"/>
  <c r="FJ61" i="3" s="1"/>
  <c r="FJ63" i="3" s="1"/>
  <c r="FJ66" i="3" s="1"/>
  <c r="FJ74" i="3" s="1"/>
  <c r="FJ91" i="3" s="1"/>
  <c r="FH99" i="3"/>
  <c r="FH33" i="3" s="1"/>
  <c r="FJ81" i="3"/>
  <c r="FJ82" i="3"/>
  <c r="FI98" i="3" l="1"/>
  <c r="FI99" i="3" s="1"/>
  <c r="FI33" i="3" s="1"/>
  <c r="FI48" i="3"/>
  <c r="FI50" i="3" s="1"/>
  <c r="FI31" i="3" s="1"/>
  <c r="FH51" i="3"/>
  <c r="FJ85" i="3"/>
  <c r="FK20" i="3"/>
  <c r="FK22" i="3" s="1"/>
  <c r="FK23" i="3" s="1"/>
  <c r="FK6" i="3"/>
  <c r="FK7" i="3" s="1"/>
  <c r="FK34" i="3"/>
  <c r="FK104" i="3"/>
  <c r="FL4" i="3"/>
  <c r="FL28" i="3" s="1"/>
  <c r="FJ90" i="3"/>
  <c r="FJ93" i="3" s="1"/>
  <c r="FJ86" i="3"/>
  <c r="FK17" i="3"/>
  <c r="FK65" i="3"/>
  <c r="FK15" i="3"/>
  <c r="FJ16" i="3"/>
  <c r="FL27" i="3" l="1"/>
  <c r="FI51" i="3"/>
  <c r="FL40" i="3"/>
  <c r="FL29" i="3"/>
  <c r="FK60" i="3"/>
  <c r="FK61" i="3" s="1"/>
  <c r="FK63" i="3" s="1"/>
  <c r="FK66" i="3" s="1"/>
  <c r="FK74" i="3" s="1"/>
  <c r="FK91" i="3" s="1"/>
  <c r="FL9" i="3"/>
  <c r="FL8" i="3"/>
  <c r="FL21" i="3" s="1"/>
  <c r="FL5" i="3"/>
  <c r="FL12" i="3" s="1"/>
  <c r="FL13" i="3" s="1"/>
  <c r="FL69" i="3" s="1" a="1"/>
  <c r="FL69" i="3" s="1"/>
  <c r="FL71" i="3" s="1"/>
  <c r="FM3" i="3"/>
  <c r="FL14" i="3"/>
  <c r="FK92" i="3"/>
  <c r="FK81" i="3"/>
  <c r="FK82" i="3"/>
  <c r="FJ49" i="3"/>
  <c r="FJ97" i="3"/>
  <c r="FJ87" i="3"/>
  <c r="FK90" i="3" l="1"/>
  <c r="FK93" i="3" s="1"/>
  <c r="FK85" i="3"/>
  <c r="FK86" i="3"/>
  <c r="FJ96" i="3"/>
  <c r="FJ98" i="3" s="1"/>
  <c r="FJ99" i="3" s="1"/>
  <c r="FJ33" i="3" s="1"/>
  <c r="FJ48" i="3"/>
  <c r="FJ50" i="3" s="1"/>
  <c r="FL17" i="3"/>
  <c r="FL65" i="3"/>
  <c r="FL15" i="3"/>
  <c r="FK16" i="3"/>
  <c r="FL104" i="3"/>
  <c r="FL34" i="3"/>
  <c r="FL6" i="3"/>
  <c r="FL7" i="3" s="1"/>
  <c r="FL20" i="3"/>
  <c r="FL22" i="3" s="1"/>
  <c r="FL23" i="3" s="1"/>
  <c r="FM4" i="3"/>
  <c r="FM28" i="3" s="1"/>
  <c r="FM27" i="3" l="1"/>
  <c r="H27" i="3" s="1"/>
  <c r="FK87" i="3"/>
  <c r="FK96" i="3" s="1"/>
  <c r="H28" i="3"/>
  <c r="FM40" i="3"/>
  <c r="FM29" i="3"/>
  <c r="FL92" i="3"/>
  <c r="FL82" i="3"/>
  <c r="FL81" i="3"/>
  <c r="FL60" i="3"/>
  <c r="FL61" i="3" s="1"/>
  <c r="FL63" i="3" s="1"/>
  <c r="FL66" i="3" s="1"/>
  <c r="FL74" i="3" s="1"/>
  <c r="FL91" i="3" s="1"/>
  <c r="FK49" i="3"/>
  <c r="FK97" i="3"/>
  <c r="FJ31" i="3"/>
  <c r="FJ51" i="3"/>
  <c r="FM9" i="3"/>
  <c r="FM5" i="3"/>
  <c r="FM14" i="3" s="1"/>
  <c r="FM8" i="3"/>
  <c r="FM21" i="3" s="1"/>
  <c r="FM12" i="3" l="1"/>
  <c r="FM13" i="3" s="1"/>
  <c r="FM69" i="3" s="1" a="1"/>
  <c r="FM69" i="3" s="1"/>
  <c r="FM71" i="3" s="1"/>
  <c r="FK48" i="3"/>
  <c r="FK50" i="3" s="1"/>
  <c r="FK31" i="3" s="1"/>
  <c r="FK98" i="3"/>
  <c r="FK99" i="3" s="1"/>
  <c r="FK33" i="3" s="1"/>
  <c r="H29" i="3"/>
  <c r="H40" i="3"/>
  <c r="FM17" i="3"/>
  <c r="FM65" i="3"/>
  <c r="FM16" i="3"/>
  <c r="FM15" i="3"/>
  <c r="FL16" i="3"/>
  <c r="FM6" i="3"/>
  <c r="FM7" i="3" s="1"/>
  <c r="FM20" i="3"/>
  <c r="FM22" i="3" s="1"/>
  <c r="FM23" i="3" s="1"/>
  <c r="FL85" i="3"/>
  <c r="FL86" i="3"/>
  <c r="FL90" i="3"/>
  <c r="FL93" i="3" s="1"/>
  <c r="H69" i="3" l="1"/>
  <c r="FK51" i="3"/>
  <c r="FM92" i="3"/>
  <c r="H92" i="3" s="1"/>
  <c r="FM34" i="3"/>
  <c r="H34" i="3" s="1"/>
  <c r="FM104" i="3"/>
  <c r="H104" i="3" s="1"/>
  <c r="H71" i="3"/>
  <c r="FL87" i="3"/>
  <c r="FM82" i="3"/>
  <c r="FM81" i="3"/>
  <c r="FM60" i="3"/>
  <c r="FM61" i="3" s="1"/>
  <c r="FM63" i="3" s="1"/>
  <c r="FM66" i="3" s="1"/>
  <c r="FL49" i="3"/>
  <c r="FL97" i="3"/>
  <c r="H66" i="3" l="1"/>
  <c r="FM74" i="3"/>
  <c r="FM85" i="3" s="1"/>
  <c r="FL96" i="3"/>
  <c r="FL98" i="3" s="1"/>
  <c r="FL99" i="3" s="1"/>
  <c r="FL33" i="3" s="1"/>
  <c r="FL48" i="3"/>
  <c r="FL50" i="3" s="1"/>
  <c r="I105" i="3"/>
  <c r="FM90" i="3"/>
  <c r="FM86" i="3" l="1"/>
  <c r="H86" i="3" s="1"/>
  <c r="FL31" i="3"/>
  <c r="FL51" i="3"/>
  <c r="FM91" i="3"/>
  <c r="H91" i="3" s="1"/>
  <c r="H74" i="3"/>
  <c r="H85" i="3"/>
  <c r="H90" i="3"/>
  <c r="I106" i="3"/>
  <c r="J103" i="3" s="1"/>
  <c r="I53" i="3"/>
  <c r="I54" i="3" s="1"/>
  <c r="FM93" i="3" l="1"/>
  <c r="FM49" i="3" s="1"/>
  <c r="H49" i="3" s="1"/>
  <c r="FM87" i="3"/>
  <c r="FM48" i="3" s="1"/>
  <c r="J105" i="3"/>
  <c r="J53" i="3" s="1"/>
  <c r="J54" i="3" s="1"/>
  <c r="J109" i="3" s="1"/>
  <c r="J110" i="3" s="1"/>
  <c r="I109" i="3"/>
  <c r="I110" i="3" s="1"/>
  <c r="H93" i="3" l="1"/>
  <c r="H87" i="3"/>
  <c r="FM96" i="3"/>
  <c r="FM97" i="3"/>
  <c r="I114" i="3"/>
  <c r="I115" i="3" s="1"/>
  <c r="I116" i="3" s="1"/>
  <c r="J113" i="3" s="1"/>
  <c r="I56" i="3"/>
  <c r="I57" i="3" s="1"/>
  <c r="FM50" i="3"/>
  <c r="H48" i="3"/>
  <c r="J56" i="3"/>
  <c r="J57" i="3" s="1"/>
  <c r="J114" i="3"/>
  <c r="J106" i="3"/>
  <c r="K103" i="3" s="1"/>
  <c r="FM98" i="3" l="1"/>
  <c r="FM99" i="3" s="1"/>
  <c r="FM33" i="3" s="1"/>
  <c r="H33" i="3" s="1"/>
  <c r="J115" i="3"/>
  <c r="J118" i="3" s="1"/>
  <c r="J32" i="3" s="1"/>
  <c r="J35" i="3" s="1"/>
  <c r="J41" i="3" s="1"/>
  <c r="J42" i="3" s="1"/>
  <c r="I118" i="3"/>
  <c r="I32" i="3" s="1"/>
  <c r="I35" i="3" s="1"/>
  <c r="K105" i="3"/>
  <c r="K53" i="3" s="1"/>
  <c r="K54" i="3" s="1"/>
  <c r="FM51" i="3"/>
  <c r="FM31" i="3"/>
  <c r="H31" i="3" s="1"/>
  <c r="H50" i="3"/>
  <c r="H99" i="3" l="1"/>
  <c r="J116" i="3"/>
  <c r="K113" i="3" s="1"/>
  <c r="I41" i="3"/>
  <c r="I42" i="3" s="1"/>
  <c r="K106" i="3"/>
  <c r="L103" i="3" s="1"/>
  <c r="K109" i="3"/>
  <c r="K110" i="3" s="1"/>
  <c r="K56" i="3" l="1"/>
  <c r="K57" i="3" s="1"/>
  <c r="K114" i="3"/>
  <c r="K115" i="3" s="1"/>
  <c r="K116" i="3" s="1"/>
  <c r="L113" i="3" s="1"/>
  <c r="L105" i="3"/>
  <c r="L53" i="3" s="1"/>
  <c r="L54" i="3" s="1"/>
  <c r="L109" i="3" s="1"/>
  <c r="L110" i="3" s="1"/>
  <c r="K118" i="3" l="1"/>
  <c r="K32" i="3" s="1"/>
  <c r="K35" i="3" s="1"/>
  <c r="L106" i="3"/>
  <c r="M103" i="3" s="1"/>
  <c r="M105" i="3" s="1"/>
  <c r="M53" i="3" s="1"/>
  <c r="M54" i="3" s="1"/>
  <c r="M109" i="3" s="1"/>
  <c r="M110" i="3" s="1"/>
  <c r="M114" i="3" s="1"/>
  <c r="L56" i="3"/>
  <c r="L57" i="3" s="1"/>
  <c r="L114" i="3"/>
  <c r="L115" i="3" s="1"/>
  <c r="L118" i="3" s="1"/>
  <c r="L32" i="3" s="1"/>
  <c r="L35" i="3" s="1"/>
  <c r="M56" i="3" l="1"/>
  <c r="M57" i="3" s="1"/>
  <c r="L41" i="3"/>
  <c r="L42" i="3" s="1"/>
  <c r="L116" i="3"/>
  <c r="M113" i="3" s="1"/>
  <c r="M115" i="3" s="1"/>
  <c r="K41" i="3"/>
  <c r="K42" i="3" s="1"/>
  <c r="M116" i="3" l="1"/>
  <c r="N113" i="3" s="1"/>
  <c r="M118" i="3"/>
  <c r="M32" i="3" s="1"/>
  <c r="M35" i="3" s="1"/>
  <c r="M41" i="3" l="1"/>
  <c r="M42" i="3" s="1"/>
  <c r="M106" i="3" l="1"/>
  <c r="N103" i="3" s="1"/>
  <c r="N105" i="3" l="1"/>
  <c r="N53" i="3" s="1"/>
  <c r="N54" i="3" s="1"/>
  <c r="N109" i="3" l="1"/>
  <c r="N110" i="3" s="1"/>
  <c r="N106" i="3"/>
  <c r="O103" i="3" s="1"/>
  <c r="N56" i="3" l="1"/>
  <c r="N114" i="3"/>
  <c r="N115" i="3" s="1"/>
  <c r="N118" i="3" s="1"/>
  <c r="N32" i="3" s="1"/>
  <c r="O105" i="3"/>
  <c r="O53" i="3" s="1"/>
  <c r="O54" i="3" s="1"/>
  <c r="N35" i="3" l="1"/>
  <c r="N116" i="3"/>
  <c r="O113" i="3" s="1"/>
  <c r="N57" i="3"/>
  <c r="O109" i="3"/>
  <c r="O110" i="3" s="1"/>
  <c r="O106" i="3"/>
  <c r="P103" i="3" s="1"/>
  <c r="N41" i="3" l="1"/>
  <c r="N42" i="3" s="1"/>
  <c r="O56" i="3"/>
  <c r="O114" i="3"/>
  <c r="O115" i="3" s="1"/>
  <c r="P105" i="3"/>
  <c r="P53" i="3" s="1"/>
  <c r="P54" i="3" s="1"/>
  <c r="O116" i="3" l="1"/>
  <c r="P113" i="3" s="1"/>
  <c r="O118" i="3"/>
  <c r="O32" i="3" s="1"/>
  <c r="O57" i="3"/>
  <c r="P109" i="3"/>
  <c r="P110" i="3" s="1"/>
  <c r="P106" i="3"/>
  <c r="Q103" i="3" s="1"/>
  <c r="O35" i="3" l="1"/>
  <c r="P56" i="3"/>
  <c r="P114" i="3"/>
  <c r="Q105" i="3"/>
  <c r="O41" i="3" l="1"/>
  <c r="O42" i="3" s="1"/>
  <c r="P57" i="3"/>
  <c r="P115" i="3"/>
  <c r="Q106" i="3"/>
  <c r="R103" i="3" s="1"/>
  <c r="R105" i="3" s="1"/>
  <c r="Q53" i="3"/>
  <c r="Q54" i="3" s="1"/>
  <c r="P118" i="3" l="1"/>
  <c r="P32" i="3" s="1"/>
  <c r="P35" i="3" s="1"/>
  <c r="P116" i="3"/>
  <c r="Q113" i="3" s="1"/>
  <c r="R106" i="3"/>
  <c r="S103" i="3" s="1"/>
  <c r="S105" i="3" s="1"/>
  <c r="R53" i="3"/>
  <c r="R54" i="3" s="1"/>
  <c r="Q109" i="3"/>
  <c r="Q110" i="3" s="1"/>
  <c r="P41" i="3" l="1"/>
  <c r="P42" i="3" s="1"/>
  <c r="S106" i="3"/>
  <c r="T103" i="3" s="1"/>
  <c r="T105" i="3" s="1"/>
  <c r="S53" i="3"/>
  <c r="S54" i="3" s="1"/>
  <c r="Q56" i="3"/>
  <c r="Q114" i="3"/>
  <c r="Q115" i="3" s="1"/>
  <c r="R109" i="3"/>
  <c r="R110" i="3" s="1"/>
  <c r="Q118" i="3" l="1"/>
  <c r="Q32" i="3" s="1"/>
  <c r="Q35" i="3" s="1"/>
  <c r="Q116" i="3"/>
  <c r="R113" i="3" s="1"/>
  <c r="Q57" i="3"/>
  <c r="T106" i="3"/>
  <c r="U103" i="3" s="1"/>
  <c r="U105" i="3" s="1"/>
  <c r="T53" i="3"/>
  <c r="T54" i="3" s="1"/>
  <c r="R56" i="3"/>
  <c r="R57" i="3" s="1"/>
  <c r="R114" i="3"/>
  <c r="S109" i="3"/>
  <c r="Q41" i="3" l="1"/>
  <c r="Q42" i="3" s="1"/>
  <c r="R115" i="3"/>
  <c r="R116" i="3" s="1"/>
  <c r="S113" i="3" s="1"/>
  <c r="U106" i="3"/>
  <c r="V103" i="3" s="1"/>
  <c r="V105" i="3" s="1"/>
  <c r="U53" i="3"/>
  <c r="U54" i="3" s="1"/>
  <c r="S110" i="3"/>
  <c r="T109" i="3"/>
  <c r="T110" i="3" s="1"/>
  <c r="R118" i="3" l="1"/>
  <c r="R32" i="3" s="1"/>
  <c r="R35" i="3" s="1"/>
  <c r="V106" i="3"/>
  <c r="W103" i="3" s="1"/>
  <c r="W105" i="3" s="1"/>
  <c r="V53" i="3"/>
  <c r="V54" i="3" s="1"/>
  <c r="T56" i="3"/>
  <c r="T57" i="3" s="1"/>
  <c r="T114" i="3"/>
  <c r="S56" i="3"/>
  <c r="S114" i="3"/>
  <c r="U109" i="3"/>
  <c r="U110" i="3" s="1"/>
  <c r="R41" i="3" l="1"/>
  <c r="R42" i="3" s="1"/>
  <c r="S115" i="3"/>
  <c r="S118" i="3" s="1"/>
  <c r="S32" i="3" s="1"/>
  <c r="S35" i="3" s="1"/>
  <c r="S57" i="3"/>
  <c r="W106" i="3"/>
  <c r="X103" i="3" s="1"/>
  <c r="X105" i="3" s="1"/>
  <c r="W53" i="3"/>
  <c r="W54" i="3" s="1"/>
  <c r="U56" i="3"/>
  <c r="U57" i="3" s="1"/>
  <c r="U114" i="3"/>
  <c r="V109" i="3"/>
  <c r="V110" i="3" s="1"/>
  <c r="S41" i="3" l="1"/>
  <c r="S42" i="3" s="1"/>
  <c r="S116" i="3"/>
  <c r="T113" i="3" s="1"/>
  <c r="X106" i="3"/>
  <c r="Y103" i="3" s="1"/>
  <c r="Y105" i="3" s="1"/>
  <c r="X53" i="3"/>
  <c r="X54" i="3" s="1"/>
  <c r="V56" i="3"/>
  <c r="V57" i="3" s="1"/>
  <c r="V114" i="3"/>
  <c r="W109" i="3"/>
  <c r="W110" i="3" s="1"/>
  <c r="T115" i="3" l="1"/>
  <c r="T118" i="3" s="1"/>
  <c r="T32" i="3" s="1"/>
  <c r="T35" i="3" s="1"/>
  <c r="Y106" i="3"/>
  <c r="Z103" i="3" s="1"/>
  <c r="Z105" i="3" s="1"/>
  <c r="Y53" i="3"/>
  <c r="Y54" i="3" s="1"/>
  <c r="Y109" i="3" s="1"/>
  <c r="Y110" i="3" s="1"/>
  <c r="W56" i="3"/>
  <c r="W57" i="3" s="1"/>
  <c r="W114" i="3"/>
  <c r="X109" i="3"/>
  <c r="X110" i="3" s="1"/>
  <c r="T41" i="3" l="1"/>
  <c r="T42" i="3" s="1"/>
  <c r="T116" i="3"/>
  <c r="U113" i="3" s="1"/>
  <c r="Z106" i="3"/>
  <c r="AA103" i="3" s="1"/>
  <c r="AA105" i="3" s="1"/>
  <c r="Z53" i="3"/>
  <c r="Z54" i="3" s="1"/>
  <c r="Z109" i="3" s="1"/>
  <c r="Z110" i="3" s="1"/>
  <c r="X56" i="3"/>
  <c r="X57" i="3" s="1"/>
  <c r="X114" i="3"/>
  <c r="Y114" i="3"/>
  <c r="Y56" i="3"/>
  <c r="Y57" i="3" s="1"/>
  <c r="U115" i="3" l="1"/>
  <c r="U118" i="3" s="1"/>
  <c r="U32" i="3" s="1"/>
  <c r="U35" i="3" s="1"/>
  <c r="AA106" i="3"/>
  <c r="AB103" i="3" s="1"/>
  <c r="AB105" i="3" s="1"/>
  <c r="AA53" i="3"/>
  <c r="AA54" i="3" s="1"/>
  <c r="AA109" i="3" s="1"/>
  <c r="AA110" i="3" s="1"/>
  <c r="Z114" i="3"/>
  <c r="Z56" i="3"/>
  <c r="Z57" i="3" s="1"/>
  <c r="U41" i="3" l="1"/>
  <c r="U42" i="3" s="1"/>
  <c r="U116" i="3"/>
  <c r="V113" i="3" s="1"/>
  <c r="AB106" i="3"/>
  <c r="AC103" i="3" s="1"/>
  <c r="AC105" i="3" s="1"/>
  <c r="AB53" i="3"/>
  <c r="AA56" i="3"/>
  <c r="AA57" i="3" s="1"/>
  <c r="AA114" i="3"/>
  <c r="V115" i="3" l="1"/>
  <c r="V118" i="3" s="1"/>
  <c r="V32" i="3" s="1"/>
  <c r="V35" i="3" s="1"/>
  <c r="AC106" i="3"/>
  <c r="AD103" i="3" s="1"/>
  <c r="AD105" i="3" s="1"/>
  <c r="AC53" i="3"/>
  <c r="AC54" i="3" s="1"/>
  <c r="AC109" i="3" s="1"/>
  <c r="AC110" i="3" s="1"/>
  <c r="AB54" i="3"/>
  <c r="AB109" i="3" s="1"/>
  <c r="AB110" i="3" s="1"/>
  <c r="V41" i="3" l="1"/>
  <c r="V42" i="3" s="1"/>
  <c r="V116" i="3"/>
  <c r="W113" i="3" s="1"/>
  <c r="AD106" i="3"/>
  <c r="AE103" i="3" s="1"/>
  <c r="AD53" i="3"/>
  <c r="AB114" i="3"/>
  <c r="AB56" i="3"/>
  <c r="AB57" i="3" s="1"/>
  <c r="AC114" i="3"/>
  <c r="AC56" i="3"/>
  <c r="AC57" i="3" s="1"/>
  <c r="AE105" i="3"/>
  <c r="AD54" i="3" l="1"/>
  <c r="AD109" i="3" s="1"/>
  <c r="AD110" i="3" s="1"/>
  <c r="AD114" i="3" s="1"/>
  <c r="W115" i="3"/>
  <c r="W118" i="3" s="1"/>
  <c r="W32" i="3" s="1"/>
  <c r="W35" i="3" s="1"/>
  <c r="AE106" i="3"/>
  <c r="AF103" i="3" s="1"/>
  <c r="AF105" i="3" s="1"/>
  <c r="AE53" i="3"/>
  <c r="AE54" i="3" s="1"/>
  <c r="AE109" i="3" s="1"/>
  <c r="AE110" i="3" s="1"/>
  <c r="AD56" i="3" l="1"/>
  <c r="AD57" i="3" s="1"/>
  <c r="W41" i="3"/>
  <c r="W42" i="3" s="1"/>
  <c r="W116" i="3"/>
  <c r="X113" i="3" s="1"/>
  <c r="AF106" i="3"/>
  <c r="AG103" i="3" s="1"/>
  <c r="AG105" i="3" s="1"/>
  <c r="AF53" i="3"/>
  <c r="AF54" i="3" s="1"/>
  <c r="AE114" i="3"/>
  <c r="AE56" i="3"/>
  <c r="AE57" i="3" s="1"/>
  <c r="X115" i="3" l="1"/>
  <c r="X118" i="3" s="1"/>
  <c r="X32" i="3" s="1"/>
  <c r="X35" i="3" s="1"/>
  <c r="AG106" i="3"/>
  <c r="AH103" i="3" s="1"/>
  <c r="AH105" i="3" s="1"/>
  <c r="AG53" i="3"/>
  <c r="AG54" i="3" s="1"/>
  <c r="AF109" i="3"/>
  <c r="AF110" i="3" s="1"/>
  <c r="X41" i="3" l="1"/>
  <c r="X42" i="3" s="1"/>
  <c r="X116" i="3"/>
  <c r="Y113" i="3" s="1"/>
  <c r="AH106" i="3"/>
  <c r="AI103" i="3" s="1"/>
  <c r="AI105" i="3" s="1"/>
  <c r="AH53" i="3"/>
  <c r="AH54" i="3" s="1"/>
  <c r="AF114" i="3"/>
  <c r="AF56" i="3"/>
  <c r="AF57" i="3" s="1"/>
  <c r="AG109" i="3"/>
  <c r="AG110" i="3" s="1"/>
  <c r="Y115" i="3" l="1"/>
  <c r="Y118" i="3" s="1"/>
  <c r="Y32" i="3" s="1"/>
  <c r="Y35" i="3" s="1"/>
  <c r="AI106" i="3"/>
  <c r="AJ103" i="3" s="1"/>
  <c r="AJ105" i="3" s="1"/>
  <c r="AI53" i="3"/>
  <c r="AI54" i="3" s="1"/>
  <c r="AG114" i="3"/>
  <c r="AG56" i="3"/>
  <c r="AG57" i="3" s="1"/>
  <c r="AH109" i="3"/>
  <c r="AH110" i="3" s="1"/>
  <c r="Y41" i="3" l="1"/>
  <c r="Y42" i="3" s="1"/>
  <c r="Y116" i="3"/>
  <c r="Z113" i="3" s="1"/>
  <c r="AJ106" i="3"/>
  <c r="AK103" i="3" s="1"/>
  <c r="AK105" i="3" s="1"/>
  <c r="AJ53" i="3"/>
  <c r="AJ54" i="3" s="1"/>
  <c r="AH114" i="3"/>
  <c r="AH56" i="3"/>
  <c r="AH57" i="3" s="1"/>
  <c r="AI109" i="3"/>
  <c r="AI110" i="3" s="1"/>
  <c r="Z115" i="3" l="1"/>
  <c r="Z118" i="3" s="1"/>
  <c r="Z32" i="3" s="1"/>
  <c r="Z35" i="3" s="1"/>
  <c r="AK106" i="3"/>
  <c r="AL103" i="3" s="1"/>
  <c r="AL105" i="3" s="1"/>
  <c r="AK53" i="3"/>
  <c r="AK54" i="3" s="1"/>
  <c r="AI114" i="3"/>
  <c r="AI56" i="3"/>
  <c r="AI57" i="3" s="1"/>
  <c r="AJ109" i="3"/>
  <c r="AJ110" i="3" s="1"/>
  <c r="Z41" i="3" l="1"/>
  <c r="Z42" i="3" s="1"/>
  <c r="Z116" i="3"/>
  <c r="AA113" i="3" s="1"/>
  <c r="AL106" i="3"/>
  <c r="AM103" i="3" s="1"/>
  <c r="AL53" i="3"/>
  <c r="AL54" i="3" s="1"/>
  <c r="AJ114" i="3"/>
  <c r="AJ56" i="3"/>
  <c r="AJ57" i="3" s="1"/>
  <c r="AK109" i="3"/>
  <c r="AK110" i="3" s="1"/>
  <c r="AM105" i="3"/>
  <c r="AA115" i="3" l="1"/>
  <c r="AA118" i="3" s="1"/>
  <c r="AA32" i="3" s="1"/>
  <c r="AA35" i="3" s="1"/>
  <c r="AM106" i="3"/>
  <c r="AN103" i="3" s="1"/>
  <c r="AN105" i="3" s="1"/>
  <c r="AM53" i="3"/>
  <c r="AM54" i="3" s="1"/>
  <c r="AK56" i="3"/>
  <c r="AK57" i="3" s="1"/>
  <c r="AK114" i="3"/>
  <c r="AL109" i="3"/>
  <c r="AL110" i="3" s="1"/>
  <c r="AA41" i="3" l="1"/>
  <c r="AA42" i="3" s="1"/>
  <c r="AA116" i="3"/>
  <c r="AB113" i="3" s="1"/>
  <c r="AN106" i="3"/>
  <c r="AO103" i="3" s="1"/>
  <c r="AO105" i="3" s="1"/>
  <c r="AN53" i="3"/>
  <c r="AN54" i="3" s="1"/>
  <c r="AL56" i="3"/>
  <c r="AL57" i="3" s="1"/>
  <c r="AL114" i="3"/>
  <c r="AM109" i="3"/>
  <c r="AM110" i="3" s="1"/>
  <c r="AB115" i="3" l="1"/>
  <c r="AB118" i="3" s="1"/>
  <c r="AB32" i="3" s="1"/>
  <c r="AB35" i="3" s="1"/>
  <c r="AO106" i="3"/>
  <c r="AP103" i="3" s="1"/>
  <c r="AP105" i="3" s="1"/>
  <c r="AO53" i="3"/>
  <c r="AO54" i="3" s="1"/>
  <c r="AM56" i="3"/>
  <c r="AM57" i="3" s="1"/>
  <c r="AM114" i="3"/>
  <c r="AN109" i="3"/>
  <c r="AN110" i="3" s="1"/>
  <c r="AB41" i="3" l="1"/>
  <c r="AB42" i="3" s="1"/>
  <c r="AB116" i="3"/>
  <c r="AC113" i="3" s="1"/>
  <c r="AP106" i="3"/>
  <c r="AQ103" i="3" s="1"/>
  <c r="AQ105" i="3" s="1"/>
  <c r="AP53" i="3"/>
  <c r="AP54" i="3" s="1"/>
  <c r="AN56" i="3"/>
  <c r="AN57" i="3" s="1"/>
  <c r="AN114" i="3"/>
  <c r="AO109" i="3"/>
  <c r="AO110" i="3" s="1"/>
  <c r="AC115" i="3" l="1"/>
  <c r="AC118" i="3" s="1"/>
  <c r="AC32" i="3" s="1"/>
  <c r="AC35" i="3" s="1"/>
  <c r="AQ106" i="3"/>
  <c r="AR103" i="3" s="1"/>
  <c r="AR105" i="3" s="1"/>
  <c r="AQ53" i="3"/>
  <c r="AQ54" i="3" s="1"/>
  <c r="AO56" i="3"/>
  <c r="AO57" i="3" s="1"/>
  <c r="AO114" i="3"/>
  <c r="AP109" i="3"/>
  <c r="AP110" i="3" s="1"/>
  <c r="AC41" i="3" l="1"/>
  <c r="AC42" i="3" s="1"/>
  <c r="AC116" i="3"/>
  <c r="AD113" i="3" s="1"/>
  <c r="AR106" i="3"/>
  <c r="AS103" i="3" s="1"/>
  <c r="AS105" i="3" s="1"/>
  <c r="AR53" i="3"/>
  <c r="AR54" i="3" s="1"/>
  <c r="AP56" i="3"/>
  <c r="AP57" i="3" s="1"/>
  <c r="AP114" i="3"/>
  <c r="AQ109" i="3"/>
  <c r="AQ110" i="3" s="1"/>
  <c r="AD115" i="3" l="1"/>
  <c r="AD118" i="3" s="1"/>
  <c r="AD32" i="3" s="1"/>
  <c r="AD35" i="3" s="1"/>
  <c r="AS106" i="3"/>
  <c r="AT103" i="3" s="1"/>
  <c r="AT105" i="3" s="1"/>
  <c r="AS53" i="3"/>
  <c r="AS54" i="3" s="1"/>
  <c r="AQ114" i="3"/>
  <c r="AQ56" i="3"/>
  <c r="AQ57" i="3" s="1"/>
  <c r="AR109" i="3"/>
  <c r="AR110" i="3" s="1"/>
  <c r="AD41" i="3" l="1"/>
  <c r="AD42" i="3" s="1"/>
  <c r="AD116" i="3"/>
  <c r="AE113" i="3" s="1"/>
  <c r="AT106" i="3"/>
  <c r="AU103" i="3" s="1"/>
  <c r="AU105" i="3" s="1"/>
  <c r="AT53" i="3"/>
  <c r="AT54" i="3" s="1"/>
  <c r="AR56" i="3"/>
  <c r="AR57" i="3" s="1"/>
  <c r="AR114" i="3"/>
  <c r="AS109" i="3"/>
  <c r="AS110" i="3" s="1"/>
  <c r="AE115" i="3" l="1"/>
  <c r="AE118" i="3" s="1"/>
  <c r="AE32" i="3" s="1"/>
  <c r="AE35" i="3" s="1"/>
  <c r="AU106" i="3"/>
  <c r="AV103" i="3" s="1"/>
  <c r="AV105" i="3" s="1"/>
  <c r="AU53" i="3"/>
  <c r="AU54" i="3" s="1"/>
  <c r="AU109" i="3" s="1"/>
  <c r="AU110" i="3" s="1"/>
  <c r="AS56" i="3"/>
  <c r="AS57" i="3" s="1"/>
  <c r="AS114" i="3"/>
  <c r="AT109" i="3"/>
  <c r="AT110" i="3" s="1"/>
  <c r="AE41" i="3" l="1"/>
  <c r="AE42" i="3" s="1"/>
  <c r="AE116" i="3"/>
  <c r="AF113" i="3" s="1"/>
  <c r="AV106" i="3"/>
  <c r="AW103" i="3" s="1"/>
  <c r="AW105" i="3" s="1"/>
  <c r="AV53" i="3"/>
  <c r="AV54" i="3" s="1"/>
  <c r="AV109" i="3" s="1"/>
  <c r="AV110" i="3" s="1"/>
  <c r="AT56" i="3"/>
  <c r="AT57" i="3" s="1"/>
  <c r="AT114" i="3"/>
  <c r="AU56" i="3"/>
  <c r="AU57" i="3" s="1"/>
  <c r="AU114" i="3"/>
  <c r="AF115" i="3" l="1"/>
  <c r="AF118" i="3" s="1"/>
  <c r="AF32" i="3" s="1"/>
  <c r="AF35" i="3" s="1"/>
  <c r="AW106" i="3"/>
  <c r="AX103" i="3" s="1"/>
  <c r="AX105" i="3" s="1"/>
  <c r="AW53" i="3"/>
  <c r="AW54" i="3" s="1"/>
  <c r="AW109" i="3" s="1"/>
  <c r="AW110" i="3" s="1"/>
  <c r="AV56" i="3"/>
  <c r="AV57" i="3" s="1"/>
  <c r="AV114" i="3"/>
  <c r="AF41" i="3" l="1"/>
  <c r="AF42" i="3" s="1"/>
  <c r="AF116" i="3"/>
  <c r="AG113" i="3" s="1"/>
  <c r="AX106" i="3"/>
  <c r="AY103" i="3" s="1"/>
  <c r="AY105" i="3" s="1"/>
  <c r="AX53" i="3"/>
  <c r="AX54" i="3" s="1"/>
  <c r="AX109" i="3" s="1"/>
  <c r="AX110" i="3" s="1"/>
  <c r="AW56" i="3"/>
  <c r="AW57" i="3" s="1"/>
  <c r="AW114" i="3"/>
  <c r="AG115" i="3" l="1"/>
  <c r="AG118" i="3" s="1"/>
  <c r="AG32" i="3" s="1"/>
  <c r="AG35" i="3" s="1"/>
  <c r="AY106" i="3"/>
  <c r="AZ103" i="3" s="1"/>
  <c r="AZ105" i="3" s="1"/>
  <c r="AY53" i="3"/>
  <c r="AY54" i="3" s="1"/>
  <c r="AY109" i="3" s="1"/>
  <c r="AY110" i="3" s="1"/>
  <c r="AX114" i="3"/>
  <c r="AX56" i="3"/>
  <c r="AX57" i="3" s="1"/>
  <c r="AG41" i="3" l="1"/>
  <c r="AG42" i="3" s="1"/>
  <c r="AG116" i="3"/>
  <c r="AH113" i="3" s="1"/>
  <c r="AZ106" i="3"/>
  <c r="BA103" i="3" s="1"/>
  <c r="BA105" i="3" s="1"/>
  <c r="AZ53" i="3"/>
  <c r="AZ54" i="3" s="1"/>
  <c r="AZ109" i="3" s="1"/>
  <c r="AZ110" i="3" s="1"/>
  <c r="AY56" i="3"/>
  <c r="AY57" i="3" s="1"/>
  <c r="AY114" i="3"/>
  <c r="AH115" i="3" l="1"/>
  <c r="AH118" i="3" s="1"/>
  <c r="AH32" i="3" s="1"/>
  <c r="AH35" i="3" s="1"/>
  <c r="BA106" i="3"/>
  <c r="BB103" i="3" s="1"/>
  <c r="BB105" i="3" s="1"/>
  <c r="BA53" i="3"/>
  <c r="BA54" i="3" s="1"/>
  <c r="BA109" i="3" s="1"/>
  <c r="BA110" i="3" s="1"/>
  <c r="AZ114" i="3"/>
  <c r="AZ56" i="3"/>
  <c r="AZ57" i="3" s="1"/>
  <c r="AH41" i="3" l="1"/>
  <c r="AH42" i="3" s="1"/>
  <c r="AH116" i="3"/>
  <c r="AI113" i="3" s="1"/>
  <c r="BB106" i="3"/>
  <c r="BC103" i="3" s="1"/>
  <c r="BC105" i="3" s="1"/>
  <c r="BB53" i="3"/>
  <c r="BB54" i="3" s="1"/>
  <c r="BA56" i="3"/>
  <c r="BA57" i="3" s="1"/>
  <c r="BA114" i="3"/>
  <c r="AI115" i="3" l="1"/>
  <c r="AI118" i="3" s="1"/>
  <c r="AI32" i="3" s="1"/>
  <c r="AI35" i="3" s="1"/>
  <c r="BC106" i="3"/>
  <c r="BD103" i="3" s="1"/>
  <c r="BD105" i="3" s="1"/>
  <c r="BC53" i="3"/>
  <c r="BC54" i="3" s="1"/>
  <c r="BB109" i="3"/>
  <c r="BB110" i="3" s="1"/>
  <c r="AI41" i="3" l="1"/>
  <c r="AI42" i="3" s="1"/>
  <c r="AI116" i="3"/>
  <c r="AJ113" i="3" s="1"/>
  <c r="BD106" i="3"/>
  <c r="BE103" i="3" s="1"/>
  <c r="BE105" i="3" s="1"/>
  <c r="BD53" i="3"/>
  <c r="BD54" i="3" s="1"/>
  <c r="BB114" i="3"/>
  <c r="BB56" i="3"/>
  <c r="BB57" i="3" s="1"/>
  <c r="BC109" i="3"/>
  <c r="BC110" i="3" s="1"/>
  <c r="AJ115" i="3" l="1"/>
  <c r="AJ118" i="3" s="1"/>
  <c r="AJ32" i="3" s="1"/>
  <c r="AJ35" i="3" s="1"/>
  <c r="BE106" i="3"/>
  <c r="BF103" i="3" s="1"/>
  <c r="BF105" i="3" s="1"/>
  <c r="BE53" i="3"/>
  <c r="BE54" i="3" s="1"/>
  <c r="BC114" i="3"/>
  <c r="BC56" i="3"/>
  <c r="BC57" i="3" s="1"/>
  <c r="BD109" i="3"/>
  <c r="BD110" i="3" s="1"/>
  <c r="AJ41" i="3" l="1"/>
  <c r="AJ42" i="3" s="1"/>
  <c r="AJ116" i="3"/>
  <c r="AK113" i="3" s="1"/>
  <c r="BF106" i="3"/>
  <c r="BG103" i="3" s="1"/>
  <c r="BG105" i="3" s="1"/>
  <c r="BF53" i="3"/>
  <c r="BF54" i="3" s="1"/>
  <c r="BD56" i="3"/>
  <c r="BD57" i="3" s="1"/>
  <c r="BD114" i="3"/>
  <c r="BE109" i="3"/>
  <c r="BE110" i="3" s="1"/>
  <c r="AK115" i="3" l="1"/>
  <c r="AK118" i="3" s="1"/>
  <c r="AK32" i="3" s="1"/>
  <c r="AK35" i="3" s="1"/>
  <c r="BG106" i="3"/>
  <c r="BH103" i="3" s="1"/>
  <c r="BH105" i="3" s="1"/>
  <c r="BG53" i="3"/>
  <c r="BG54" i="3" s="1"/>
  <c r="BE56" i="3"/>
  <c r="BE57" i="3" s="1"/>
  <c r="BE114" i="3"/>
  <c r="BF109" i="3"/>
  <c r="BF110" i="3" s="1"/>
  <c r="AK41" i="3" l="1"/>
  <c r="AK42" i="3" s="1"/>
  <c r="AK116" i="3"/>
  <c r="AL113" i="3" s="1"/>
  <c r="BH106" i="3"/>
  <c r="BI103" i="3" s="1"/>
  <c r="BH53" i="3"/>
  <c r="BH54" i="3" s="1"/>
  <c r="BF56" i="3"/>
  <c r="BF57" i="3" s="1"/>
  <c r="BF114" i="3"/>
  <c r="BG109" i="3"/>
  <c r="BG110" i="3" s="1"/>
  <c r="BI105" i="3"/>
  <c r="AL115" i="3" l="1"/>
  <c r="AL118" i="3" s="1"/>
  <c r="AL32" i="3" s="1"/>
  <c r="AL35" i="3" s="1"/>
  <c r="BI106" i="3"/>
  <c r="BJ103" i="3" s="1"/>
  <c r="BJ105" i="3" s="1"/>
  <c r="BI53" i="3"/>
  <c r="BI54" i="3" s="1"/>
  <c r="BG114" i="3"/>
  <c r="BG56" i="3"/>
  <c r="BG57" i="3" s="1"/>
  <c r="BH109" i="3"/>
  <c r="BH110" i="3" s="1"/>
  <c r="AL41" i="3" l="1"/>
  <c r="AL42" i="3" s="1"/>
  <c r="AL116" i="3"/>
  <c r="AM113" i="3" s="1"/>
  <c r="BJ106" i="3"/>
  <c r="BK103" i="3" s="1"/>
  <c r="BK105" i="3" s="1"/>
  <c r="BJ53" i="3"/>
  <c r="BJ54" i="3" s="1"/>
  <c r="BH114" i="3"/>
  <c r="BH56" i="3"/>
  <c r="BH57" i="3" s="1"/>
  <c r="BI109" i="3"/>
  <c r="BI110" i="3" s="1"/>
  <c r="AM115" i="3" l="1"/>
  <c r="AM118" i="3" s="1"/>
  <c r="AM32" i="3" s="1"/>
  <c r="AM35" i="3" s="1"/>
  <c r="BK106" i="3"/>
  <c r="BL103" i="3" s="1"/>
  <c r="BL105" i="3" s="1"/>
  <c r="BK53" i="3"/>
  <c r="BK54" i="3" s="1"/>
  <c r="BI56" i="3"/>
  <c r="BI57" i="3" s="1"/>
  <c r="BI114" i="3"/>
  <c r="BJ109" i="3"/>
  <c r="BJ110" i="3" s="1"/>
  <c r="AM41" i="3" l="1"/>
  <c r="AM42" i="3" s="1"/>
  <c r="AM116" i="3"/>
  <c r="AN113" i="3" s="1"/>
  <c r="BL106" i="3"/>
  <c r="BM103" i="3" s="1"/>
  <c r="BM105" i="3" s="1"/>
  <c r="BL53" i="3"/>
  <c r="BL54" i="3" s="1"/>
  <c r="BJ56" i="3"/>
  <c r="BJ57" i="3" s="1"/>
  <c r="BJ114" i="3"/>
  <c r="BK109" i="3"/>
  <c r="BK110" i="3" s="1"/>
  <c r="AN115" i="3" l="1"/>
  <c r="AN118" i="3" s="1"/>
  <c r="AN32" i="3" s="1"/>
  <c r="AN35" i="3" s="1"/>
  <c r="BM106" i="3"/>
  <c r="BN103" i="3" s="1"/>
  <c r="BN105" i="3" s="1"/>
  <c r="BM53" i="3"/>
  <c r="BM54" i="3" s="1"/>
  <c r="BK114" i="3"/>
  <c r="BK56" i="3"/>
  <c r="BK57" i="3" s="1"/>
  <c r="BL109" i="3"/>
  <c r="BL110" i="3" s="1"/>
  <c r="AN41" i="3" l="1"/>
  <c r="AN42" i="3" s="1"/>
  <c r="AN116" i="3"/>
  <c r="AO113" i="3" s="1"/>
  <c r="BN106" i="3"/>
  <c r="BO103" i="3" s="1"/>
  <c r="BO105" i="3" s="1"/>
  <c r="BN53" i="3"/>
  <c r="BN54" i="3" s="1"/>
  <c r="BL56" i="3"/>
  <c r="BL57" i="3" s="1"/>
  <c r="BL114" i="3"/>
  <c r="BM109" i="3"/>
  <c r="BM110" i="3" s="1"/>
  <c r="AO115" i="3" l="1"/>
  <c r="AO118" i="3" s="1"/>
  <c r="AO32" i="3" s="1"/>
  <c r="AO35" i="3" s="1"/>
  <c r="BO106" i="3"/>
  <c r="BP103" i="3" s="1"/>
  <c r="BP105" i="3" s="1"/>
  <c r="BO53" i="3"/>
  <c r="BO54" i="3" s="1"/>
  <c r="BM56" i="3"/>
  <c r="BM57" i="3" s="1"/>
  <c r="BM114" i="3"/>
  <c r="BN109" i="3"/>
  <c r="BN110" i="3" s="1"/>
  <c r="AO41" i="3" l="1"/>
  <c r="AO42" i="3" s="1"/>
  <c r="AO116" i="3"/>
  <c r="AP113" i="3" s="1"/>
  <c r="BP106" i="3"/>
  <c r="BQ103" i="3" s="1"/>
  <c r="BQ105" i="3" s="1"/>
  <c r="BP53" i="3"/>
  <c r="BP54" i="3" s="1"/>
  <c r="BN114" i="3"/>
  <c r="BN56" i="3"/>
  <c r="BN57" i="3" s="1"/>
  <c r="BO109" i="3"/>
  <c r="BO110" i="3" s="1"/>
  <c r="AP115" i="3" l="1"/>
  <c r="AP118" i="3" s="1"/>
  <c r="AP32" i="3" s="1"/>
  <c r="AP35" i="3" s="1"/>
  <c r="BQ106" i="3"/>
  <c r="BR103" i="3" s="1"/>
  <c r="BR105" i="3" s="1"/>
  <c r="BQ53" i="3"/>
  <c r="BQ54" i="3" s="1"/>
  <c r="BQ109" i="3" s="1"/>
  <c r="BQ110" i="3" s="1"/>
  <c r="BO56" i="3"/>
  <c r="BO57" i="3" s="1"/>
  <c r="BO114" i="3"/>
  <c r="BP109" i="3"/>
  <c r="BP110" i="3" s="1"/>
  <c r="AP41" i="3" l="1"/>
  <c r="AP42" i="3" s="1"/>
  <c r="AP116" i="3"/>
  <c r="AQ113" i="3" s="1"/>
  <c r="BR106" i="3"/>
  <c r="BS103" i="3" s="1"/>
  <c r="BS105" i="3" s="1"/>
  <c r="BR53" i="3"/>
  <c r="BR54" i="3" s="1"/>
  <c r="BR109" i="3" s="1"/>
  <c r="BR110" i="3" s="1"/>
  <c r="BP56" i="3"/>
  <c r="BP57" i="3" s="1"/>
  <c r="BP114" i="3"/>
  <c r="BQ114" i="3"/>
  <c r="BQ56" i="3"/>
  <c r="BQ57" i="3" s="1"/>
  <c r="AQ115" i="3" l="1"/>
  <c r="AQ118" i="3" s="1"/>
  <c r="AQ32" i="3" s="1"/>
  <c r="AQ35" i="3" s="1"/>
  <c r="BS106" i="3"/>
  <c r="BT103" i="3" s="1"/>
  <c r="BT105" i="3" s="1"/>
  <c r="BS53" i="3"/>
  <c r="BS54" i="3" s="1"/>
  <c r="BS109" i="3" s="1"/>
  <c r="BS110" i="3" s="1"/>
  <c r="BR56" i="3"/>
  <c r="BR57" i="3" s="1"/>
  <c r="BR114" i="3"/>
  <c r="AQ41" i="3" l="1"/>
  <c r="AQ42" i="3" s="1"/>
  <c r="AQ116" i="3"/>
  <c r="AR113" i="3" s="1"/>
  <c r="BT106" i="3"/>
  <c r="BU103" i="3" s="1"/>
  <c r="BU105" i="3" s="1"/>
  <c r="BT53" i="3"/>
  <c r="BT54" i="3" s="1"/>
  <c r="BT109" i="3" s="1"/>
  <c r="BT110" i="3" s="1"/>
  <c r="BS56" i="3"/>
  <c r="BS57" i="3" s="1"/>
  <c r="BS114" i="3"/>
  <c r="AR115" i="3" l="1"/>
  <c r="AR118" i="3" s="1"/>
  <c r="AR32" i="3" s="1"/>
  <c r="AR35" i="3" s="1"/>
  <c r="BU106" i="3"/>
  <c r="BV103" i="3" s="1"/>
  <c r="BV105" i="3" s="1"/>
  <c r="BU53" i="3"/>
  <c r="BU54" i="3" s="1"/>
  <c r="BU109" i="3" s="1"/>
  <c r="BU110" i="3" s="1"/>
  <c r="BT56" i="3"/>
  <c r="BT57" i="3" s="1"/>
  <c r="BT114" i="3"/>
  <c r="AR41" i="3" l="1"/>
  <c r="AR42" i="3" s="1"/>
  <c r="AR116" i="3"/>
  <c r="AS113" i="3" s="1"/>
  <c r="BV106" i="3"/>
  <c r="BW103" i="3" s="1"/>
  <c r="BW105" i="3" s="1"/>
  <c r="BV53" i="3"/>
  <c r="BV54" i="3" s="1"/>
  <c r="BV109" i="3" s="1"/>
  <c r="BV110" i="3" s="1"/>
  <c r="BU56" i="3"/>
  <c r="BU57" i="3" s="1"/>
  <c r="BU114" i="3"/>
  <c r="AS115" i="3" l="1"/>
  <c r="AS118" i="3" s="1"/>
  <c r="AS32" i="3" s="1"/>
  <c r="AS35" i="3" s="1"/>
  <c r="BW106" i="3"/>
  <c r="BX103" i="3" s="1"/>
  <c r="BX105" i="3" s="1"/>
  <c r="BW53" i="3"/>
  <c r="BW54" i="3" s="1"/>
  <c r="BW109" i="3" s="1"/>
  <c r="BW110" i="3" s="1"/>
  <c r="BV56" i="3"/>
  <c r="BV57" i="3" s="1"/>
  <c r="BV114" i="3"/>
  <c r="AS41" i="3" l="1"/>
  <c r="AS42" i="3" s="1"/>
  <c r="AS116" i="3"/>
  <c r="AT113" i="3" s="1"/>
  <c r="BX106" i="3"/>
  <c r="BY103" i="3" s="1"/>
  <c r="BY105" i="3" s="1"/>
  <c r="BX53" i="3"/>
  <c r="BX54" i="3" s="1"/>
  <c r="BW56" i="3"/>
  <c r="BW57" i="3" s="1"/>
  <c r="BW114" i="3"/>
  <c r="AT115" i="3" l="1"/>
  <c r="AT118" i="3" s="1"/>
  <c r="AT32" i="3" s="1"/>
  <c r="AT35" i="3" s="1"/>
  <c r="BY106" i="3"/>
  <c r="BZ103" i="3" s="1"/>
  <c r="BZ105" i="3" s="1"/>
  <c r="BY53" i="3"/>
  <c r="BY54" i="3" s="1"/>
  <c r="BX109" i="3"/>
  <c r="BX110" i="3" s="1"/>
  <c r="AT41" i="3" l="1"/>
  <c r="AT42" i="3" s="1"/>
  <c r="AT116" i="3"/>
  <c r="AU113" i="3" s="1"/>
  <c r="BZ106" i="3"/>
  <c r="CA103" i="3" s="1"/>
  <c r="CA105" i="3" s="1"/>
  <c r="BZ53" i="3"/>
  <c r="BZ54" i="3" s="1"/>
  <c r="BX114" i="3"/>
  <c r="BX56" i="3"/>
  <c r="BX57" i="3" s="1"/>
  <c r="BY109" i="3"/>
  <c r="BY110" i="3" s="1"/>
  <c r="AU115" i="3" l="1"/>
  <c r="AU118" i="3" s="1"/>
  <c r="AU32" i="3" s="1"/>
  <c r="AU35" i="3" s="1"/>
  <c r="CA106" i="3"/>
  <c r="CB103" i="3" s="1"/>
  <c r="CB105" i="3" s="1"/>
  <c r="CA53" i="3"/>
  <c r="CA54" i="3" s="1"/>
  <c r="BY114" i="3"/>
  <c r="BY56" i="3"/>
  <c r="BY57" i="3" s="1"/>
  <c r="BZ109" i="3"/>
  <c r="BZ110" i="3" s="1"/>
  <c r="AU41" i="3" l="1"/>
  <c r="AU42" i="3" s="1"/>
  <c r="AU116" i="3"/>
  <c r="AV113" i="3" s="1"/>
  <c r="CB106" i="3"/>
  <c r="CC103" i="3" s="1"/>
  <c r="CC105" i="3" s="1"/>
  <c r="CB53" i="3"/>
  <c r="CB54" i="3" s="1"/>
  <c r="BZ114" i="3"/>
  <c r="BZ56" i="3"/>
  <c r="BZ57" i="3" s="1"/>
  <c r="CA109" i="3"/>
  <c r="CA110" i="3" s="1"/>
  <c r="AV115" i="3" l="1"/>
  <c r="AV118" i="3" s="1"/>
  <c r="AV32" i="3" s="1"/>
  <c r="AV35" i="3" s="1"/>
  <c r="CC106" i="3"/>
  <c r="CD103" i="3" s="1"/>
  <c r="CD105" i="3" s="1"/>
  <c r="CC53" i="3"/>
  <c r="CC54" i="3" s="1"/>
  <c r="CA114" i="3"/>
  <c r="CA56" i="3"/>
  <c r="CA57" i="3" s="1"/>
  <c r="CB109" i="3"/>
  <c r="CB110" i="3" s="1"/>
  <c r="AV41" i="3" l="1"/>
  <c r="AV42" i="3" s="1"/>
  <c r="AV116" i="3"/>
  <c r="AW113" i="3" s="1"/>
  <c r="CD106" i="3"/>
  <c r="CE103" i="3" s="1"/>
  <c r="CE105" i="3" s="1"/>
  <c r="CD53" i="3"/>
  <c r="CD54" i="3" s="1"/>
  <c r="CB114" i="3"/>
  <c r="CB56" i="3"/>
  <c r="CB57" i="3" s="1"/>
  <c r="CC109" i="3"/>
  <c r="CC110" i="3" s="1"/>
  <c r="AW115" i="3" l="1"/>
  <c r="AW118" i="3" s="1"/>
  <c r="AW32" i="3" s="1"/>
  <c r="AW35" i="3" s="1"/>
  <c r="CE106" i="3"/>
  <c r="CF103" i="3" s="1"/>
  <c r="CF105" i="3" s="1"/>
  <c r="CE53" i="3"/>
  <c r="CE54" i="3" s="1"/>
  <c r="CC114" i="3"/>
  <c r="CC56" i="3"/>
  <c r="CC57" i="3" s="1"/>
  <c r="CD109" i="3"/>
  <c r="CD110" i="3" s="1"/>
  <c r="AW41" i="3" l="1"/>
  <c r="AW42" i="3" s="1"/>
  <c r="AW116" i="3"/>
  <c r="AX113" i="3" s="1"/>
  <c r="CF106" i="3"/>
  <c r="CG103" i="3" s="1"/>
  <c r="CG105" i="3" s="1"/>
  <c r="CF53" i="3"/>
  <c r="CF54" i="3" s="1"/>
  <c r="CD56" i="3"/>
  <c r="CD57" i="3" s="1"/>
  <c r="CD114" i="3"/>
  <c r="CE109" i="3"/>
  <c r="CE110" i="3" s="1"/>
  <c r="AX115" i="3" l="1"/>
  <c r="AX118" i="3" s="1"/>
  <c r="AX32" i="3" s="1"/>
  <c r="AX35" i="3" s="1"/>
  <c r="CG106" i="3"/>
  <c r="CH103" i="3" s="1"/>
  <c r="CH105" i="3" s="1"/>
  <c r="CG53" i="3"/>
  <c r="CG54" i="3" s="1"/>
  <c r="CE56" i="3"/>
  <c r="CE57" i="3" s="1"/>
  <c r="CE114" i="3"/>
  <c r="CF109" i="3"/>
  <c r="CF110" i="3" s="1"/>
  <c r="AX41" i="3" l="1"/>
  <c r="AX42" i="3" s="1"/>
  <c r="AX116" i="3"/>
  <c r="AY113" i="3" s="1"/>
  <c r="AY115" i="3" s="1"/>
  <c r="AY118" i="3" s="1"/>
  <c r="AY32" i="3" s="1"/>
  <c r="AY35" i="3" s="1"/>
  <c r="CH106" i="3"/>
  <c r="CI103" i="3" s="1"/>
  <c r="CI105" i="3" s="1"/>
  <c r="CH53" i="3"/>
  <c r="CH54" i="3" s="1"/>
  <c r="CF56" i="3"/>
  <c r="CF57" i="3" s="1"/>
  <c r="CF114" i="3"/>
  <c r="CG109" i="3"/>
  <c r="CG110" i="3" s="1"/>
  <c r="AY41" i="3" l="1"/>
  <c r="AY42" i="3" s="1"/>
  <c r="AY116" i="3"/>
  <c r="AZ113" i="3" s="1"/>
  <c r="CI106" i="3"/>
  <c r="CJ103" i="3" s="1"/>
  <c r="CJ105" i="3" s="1"/>
  <c r="CI53" i="3"/>
  <c r="CI54" i="3" s="1"/>
  <c r="CG56" i="3"/>
  <c r="CG57" i="3" s="1"/>
  <c r="CG114" i="3"/>
  <c r="CH109" i="3"/>
  <c r="CH110" i="3" s="1"/>
  <c r="AZ115" i="3" l="1"/>
  <c r="AZ118" i="3" s="1"/>
  <c r="AZ32" i="3" s="1"/>
  <c r="AZ35" i="3" s="1"/>
  <c r="CJ106" i="3"/>
  <c r="CK103" i="3" s="1"/>
  <c r="CK105" i="3" s="1"/>
  <c r="CJ53" i="3"/>
  <c r="CJ54" i="3" s="1"/>
  <c r="CH56" i="3"/>
  <c r="CH57" i="3" s="1"/>
  <c r="CH114" i="3"/>
  <c r="CI109" i="3"/>
  <c r="CI110" i="3" s="1"/>
  <c r="AZ41" i="3" l="1"/>
  <c r="AZ42" i="3" s="1"/>
  <c r="AZ116" i="3"/>
  <c r="BA113" i="3" s="1"/>
  <c r="CK106" i="3"/>
  <c r="CL103" i="3" s="1"/>
  <c r="CL105" i="3" s="1"/>
  <c r="CK53" i="3"/>
  <c r="CK54" i="3" s="1"/>
  <c r="CI56" i="3"/>
  <c r="CI57" i="3" s="1"/>
  <c r="CI114" i="3"/>
  <c r="CJ109" i="3"/>
  <c r="CJ110" i="3" s="1"/>
  <c r="BA115" i="3" l="1"/>
  <c r="BA118" i="3" s="1"/>
  <c r="BA32" i="3" s="1"/>
  <c r="BA35" i="3" s="1"/>
  <c r="CL106" i="3"/>
  <c r="CM103" i="3" s="1"/>
  <c r="CM105" i="3" s="1"/>
  <c r="CL53" i="3"/>
  <c r="CL54" i="3" s="1"/>
  <c r="CJ56" i="3"/>
  <c r="CJ57" i="3" s="1"/>
  <c r="CJ114" i="3"/>
  <c r="CK109" i="3"/>
  <c r="CK110" i="3" s="1"/>
  <c r="BA41" i="3" l="1"/>
  <c r="BA42" i="3" s="1"/>
  <c r="BA116" i="3"/>
  <c r="BB113" i="3" s="1"/>
  <c r="CM106" i="3"/>
  <c r="CN103" i="3" s="1"/>
  <c r="CN105" i="3" s="1"/>
  <c r="CM53" i="3"/>
  <c r="CM54" i="3" s="1"/>
  <c r="CM109" i="3" s="1"/>
  <c r="CM110" i="3" s="1"/>
  <c r="CK56" i="3"/>
  <c r="CK57" i="3" s="1"/>
  <c r="CK114" i="3"/>
  <c r="CL109" i="3"/>
  <c r="CL110" i="3" s="1"/>
  <c r="BB115" i="3" l="1"/>
  <c r="BB118" i="3" s="1"/>
  <c r="BB32" i="3" s="1"/>
  <c r="BB35" i="3" s="1"/>
  <c r="CN106" i="3"/>
  <c r="CO103" i="3" s="1"/>
  <c r="CO105" i="3" s="1"/>
  <c r="CN53" i="3"/>
  <c r="CN54" i="3" s="1"/>
  <c r="CN109" i="3" s="1"/>
  <c r="CN110" i="3" s="1"/>
  <c r="CL56" i="3"/>
  <c r="CL57" i="3" s="1"/>
  <c r="CL114" i="3"/>
  <c r="CM114" i="3"/>
  <c r="CM56" i="3"/>
  <c r="CM57" i="3" s="1"/>
  <c r="BB41" i="3" l="1"/>
  <c r="BB42" i="3" s="1"/>
  <c r="BB116" i="3"/>
  <c r="BC113" i="3" s="1"/>
  <c r="CO106" i="3"/>
  <c r="CP103" i="3" s="1"/>
  <c r="CP105" i="3" s="1"/>
  <c r="CO53" i="3"/>
  <c r="CO54" i="3" s="1"/>
  <c r="CO109" i="3" s="1"/>
  <c r="CO110" i="3" s="1"/>
  <c r="CN114" i="3"/>
  <c r="CN56" i="3"/>
  <c r="CN57" i="3" s="1"/>
  <c r="BC115" i="3" l="1"/>
  <c r="BC118" i="3" s="1"/>
  <c r="BC32" i="3" s="1"/>
  <c r="BC35" i="3" s="1"/>
  <c r="CP106" i="3"/>
  <c r="CQ103" i="3" s="1"/>
  <c r="CQ105" i="3" s="1"/>
  <c r="CP53" i="3"/>
  <c r="CP54" i="3" s="1"/>
  <c r="CP109" i="3" s="1"/>
  <c r="CP110" i="3" s="1"/>
  <c r="CO56" i="3"/>
  <c r="CO57" i="3" s="1"/>
  <c r="CO114" i="3"/>
  <c r="BC41" i="3" l="1"/>
  <c r="BC42" i="3" s="1"/>
  <c r="BC116" i="3"/>
  <c r="BD113" i="3" s="1"/>
  <c r="CQ106" i="3"/>
  <c r="CR103" i="3" s="1"/>
  <c r="CR105" i="3" s="1"/>
  <c r="CQ53" i="3"/>
  <c r="CQ54" i="3" s="1"/>
  <c r="CQ109" i="3" s="1"/>
  <c r="CQ110" i="3" s="1"/>
  <c r="CP56" i="3"/>
  <c r="CP57" i="3" s="1"/>
  <c r="CP114" i="3"/>
  <c r="BD115" i="3" l="1"/>
  <c r="BD118" i="3" s="1"/>
  <c r="BD32" i="3" s="1"/>
  <c r="BD35" i="3" s="1"/>
  <c r="CR106" i="3"/>
  <c r="CS103" i="3" s="1"/>
  <c r="CS105" i="3" s="1"/>
  <c r="CR53" i="3"/>
  <c r="CR54" i="3" s="1"/>
  <c r="CR109" i="3" s="1"/>
  <c r="CR110" i="3" s="1"/>
  <c r="CQ56" i="3"/>
  <c r="CQ57" i="3" s="1"/>
  <c r="CQ114" i="3"/>
  <c r="BD41" i="3" l="1"/>
  <c r="BD42" i="3" s="1"/>
  <c r="BD116" i="3"/>
  <c r="BE113" i="3" s="1"/>
  <c r="CS106" i="3"/>
  <c r="CT103" i="3" s="1"/>
  <c r="CS53" i="3"/>
  <c r="CS54" i="3" s="1"/>
  <c r="CS109" i="3" s="1"/>
  <c r="CS110" i="3" s="1"/>
  <c r="CR56" i="3"/>
  <c r="CR57" i="3" s="1"/>
  <c r="CR114" i="3"/>
  <c r="CT105" i="3"/>
  <c r="BE115" i="3" l="1"/>
  <c r="BE118" i="3" s="1"/>
  <c r="BE32" i="3" s="1"/>
  <c r="BE35" i="3" s="1"/>
  <c r="CT106" i="3"/>
  <c r="CU103" i="3" s="1"/>
  <c r="CU105" i="3" s="1"/>
  <c r="CT53" i="3"/>
  <c r="CT54" i="3" s="1"/>
  <c r="CS56" i="3"/>
  <c r="CS57" i="3" s="1"/>
  <c r="CS114" i="3"/>
  <c r="BE41" i="3" l="1"/>
  <c r="BE42" i="3" s="1"/>
  <c r="BE116" i="3"/>
  <c r="BF113" i="3" s="1"/>
  <c r="CU106" i="3"/>
  <c r="CV103" i="3" s="1"/>
  <c r="CV105" i="3" s="1"/>
  <c r="CU53" i="3"/>
  <c r="CU54" i="3" s="1"/>
  <c r="CT109" i="3"/>
  <c r="CT110" i="3" s="1"/>
  <c r="BF115" i="3" l="1"/>
  <c r="BF118" i="3" s="1"/>
  <c r="BF32" i="3" s="1"/>
  <c r="BF35" i="3" s="1"/>
  <c r="CV106" i="3"/>
  <c r="CW103" i="3" s="1"/>
  <c r="CW105" i="3" s="1"/>
  <c r="CV53" i="3"/>
  <c r="CV54" i="3" s="1"/>
  <c r="CT114" i="3"/>
  <c r="CT56" i="3"/>
  <c r="CT57" i="3" s="1"/>
  <c r="CU109" i="3"/>
  <c r="CU110" i="3" s="1"/>
  <c r="BF41" i="3" l="1"/>
  <c r="BF42" i="3" s="1"/>
  <c r="BF116" i="3"/>
  <c r="BG113" i="3" s="1"/>
  <c r="CW106" i="3"/>
  <c r="CX103" i="3" s="1"/>
  <c r="CX105" i="3" s="1"/>
  <c r="CW53" i="3"/>
  <c r="CW54" i="3" s="1"/>
  <c r="CU114" i="3"/>
  <c r="CU56" i="3"/>
  <c r="CU57" i="3" s="1"/>
  <c r="CV109" i="3"/>
  <c r="CV110" i="3" s="1"/>
  <c r="BG115" i="3" l="1"/>
  <c r="BG118" i="3" s="1"/>
  <c r="BG32" i="3" s="1"/>
  <c r="BG35" i="3" s="1"/>
  <c r="CX106" i="3"/>
  <c r="CY103" i="3" s="1"/>
  <c r="CY105" i="3" s="1"/>
  <c r="CX53" i="3"/>
  <c r="CX54" i="3" s="1"/>
  <c r="CV114" i="3"/>
  <c r="CV56" i="3"/>
  <c r="CV57" i="3" s="1"/>
  <c r="CW109" i="3"/>
  <c r="CW110" i="3" s="1"/>
  <c r="BG41" i="3" l="1"/>
  <c r="BG42" i="3" s="1"/>
  <c r="BG116" i="3"/>
  <c r="BH113" i="3" s="1"/>
  <c r="CY106" i="3"/>
  <c r="CZ103" i="3" s="1"/>
  <c r="CY53" i="3"/>
  <c r="CY54" i="3" s="1"/>
  <c r="CW56" i="3"/>
  <c r="CW57" i="3" s="1"/>
  <c r="CW114" i="3"/>
  <c r="CX109" i="3"/>
  <c r="CX110" i="3" s="1"/>
  <c r="CZ105" i="3"/>
  <c r="BH115" i="3" l="1"/>
  <c r="BH118" i="3" s="1"/>
  <c r="BH32" i="3" s="1"/>
  <c r="BH35" i="3" s="1"/>
  <c r="CZ106" i="3"/>
  <c r="DA103" i="3" s="1"/>
  <c r="DA105" i="3" s="1"/>
  <c r="CZ53" i="3"/>
  <c r="CZ54" i="3" s="1"/>
  <c r="CX56" i="3"/>
  <c r="CX57" i="3" s="1"/>
  <c r="CX114" i="3"/>
  <c r="CY109" i="3"/>
  <c r="CY110" i="3" s="1"/>
  <c r="BH41" i="3" l="1"/>
  <c r="BH42" i="3" s="1"/>
  <c r="BH116" i="3"/>
  <c r="BI113" i="3" s="1"/>
  <c r="DA106" i="3"/>
  <c r="DB103" i="3" s="1"/>
  <c r="DB105" i="3" s="1"/>
  <c r="DA53" i="3"/>
  <c r="DA54" i="3" s="1"/>
  <c r="CY56" i="3"/>
  <c r="CY57" i="3" s="1"/>
  <c r="CY114" i="3"/>
  <c r="CZ109" i="3"/>
  <c r="CZ110" i="3" s="1"/>
  <c r="BI115" i="3" l="1"/>
  <c r="BI118" i="3" s="1"/>
  <c r="BI32" i="3" s="1"/>
  <c r="BI35" i="3" s="1"/>
  <c r="DB106" i="3"/>
  <c r="DC103" i="3" s="1"/>
  <c r="DC105" i="3" s="1"/>
  <c r="DB53" i="3"/>
  <c r="DB54" i="3" s="1"/>
  <c r="CZ114" i="3"/>
  <c r="CZ56" i="3"/>
  <c r="CZ57" i="3" s="1"/>
  <c r="DA109" i="3"/>
  <c r="DA110" i="3" s="1"/>
  <c r="BI41" i="3" l="1"/>
  <c r="BI42" i="3" s="1"/>
  <c r="BI116" i="3"/>
  <c r="BJ113" i="3" s="1"/>
  <c r="DC106" i="3"/>
  <c r="DD103" i="3" s="1"/>
  <c r="DD105" i="3" s="1"/>
  <c r="DC53" i="3"/>
  <c r="DC54" i="3" s="1"/>
  <c r="DA56" i="3"/>
  <c r="DA57" i="3" s="1"/>
  <c r="DA114" i="3"/>
  <c r="DB109" i="3"/>
  <c r="DB110" i="3" s="1"/>
  <c r="BJ115" i="3" l="1"/>
  <c r="BJ118" i="3" s="1"/>
  <c r="BJ32" i="3" s="1"/>
  <c r="BJ35" i="3" s="1"/>
  <c r="DD106" i="3"/>
  <c r="DE103" i="3" s="1"/>
  <c r="DE105" i="3" s="1"/>
  <c r="DD53" i="3"/>
  <c r="DD54" i="3" s="1"/>
  <c r="DB56" i="3"/>
  <c r="DB57" i="3" s="1"/>
  <c r="DB114" i="3"/>
  <c r="DC109" i="3"/>
  <c r="DC110" i="3" s="1"/>
  <c r="BJ41" i="3" l="1"/>
  <c r="BJ42" i="3" s="1"/>
  <c r="BJ116" i="3"/>
  <c r="BK113" i="3" s="1"/>
  <c r="DE106" i="3"/>
  <c r="DF103" i="3" s="1"/>
  <c r="DF105" i="3" s="1"/>
  <c r="DE53" i="3"/>
  <c r="DE54" i="3" s="1"/>
  <c r="DC114" i="3"/>
  <c r="DC56" i="3"/>
  <c r="DC57" i="3" s="1"/>
  <c r="DD109" i="3"/>
  <c r="DD110" i="3" s="1"/>
  <c r="BK115" i="3" l="1"/>
  <c r="BK118" i="3" s="1"/>
  <c r="BK32" i="3" s="1"/>
  <c r="BK35" i="3" s="1"/>
  <c r="DF106" i="3"/>
  <c r="DG103" i="3" s="1"/>
  <c r="DG105" i="3" s="1"/>
  <c r="DF53" i="3"/>
  <c r="DF54" i="3" s="1"/>
  <c r="DD114" i="3"/>
  <c r="DD56" i="3"/>
  <c r="DD57" i="3" s="1"/>
  <c r="DE109" i="3"/>
  <c r="DE110" i="3" s="1"/>
  <c r="BK41" i="3" l="1"/>
  <c r="BK42" i="3" s="1"/>
  <c r="BK116" i="3"/>
  <c r="BL113" i="3" s="1"/>
  <c r="DG106" i="3"/>
  <c r="DH103" i="3" s="1"/>
  <c r="DH105" i="3" s="1"/>
  <c r="DG53" i="3"/>
  <c r="DG54" i="3" s="1"/>
  <c r="DE56" i="3"/>
  <c r="DE57" i="3" s="1"/>
  <c r="DE114" i="3"/>
  <c r="DF109" i="3"/>
  <c r="DF110" i="3" s="1"/>
  <c r="BL115" i="3" l="1"/>
  <c r="BL118" i="3" s="1"/>
  <c r="BL32" i="3" s="1"/>
  <c r="BL35" i="3" s="1"/>
  <c r="DH106" i="3"/>
  <c r="DI103" i="3" s="1"/>
  <c r="DI105" i="3" s="1"/>
  <c r="DH53" i="3"/>
  <c r="DH54" i="3" s="1"/>
  <c r="DF56" i="3"/>
  <c r="DF57" i="3" s="1"/>
  <c r="DF114" i="3"/>
  <c r="DG109" i="3"/>
  <c r="DG110" i="3" s="1"/>
  <c r="BL41" i="3" l="1"/>
  <c r="BL42" i="3" s="1"/>
  <c r="BL116" i="3"/>
  <c r="BM113" i="3" s="1"/>
  <c r="DI106" i="3"/>
  <c r="DJ103" i="3" s="1"/>
  <c r="DJ105" i="3" s="1"/>
  <c r="DI53" i="3"/>
  <c r="DI54" i="3" s="1"/>
  <c r="DI109" i="3" s="1"/>
  <c r="DI110" i="3" s="1"/>
  <c r="DG56" i="3"/>
  <c r="DG57" i="3" s="1"/>
  <c r="DG114" i="3"/>
  <c r="DH109" i="3"/>
  <c r="DH110" i="3" s="1"/>
  <c r="BM115" i="3" l="1"/>
  <c r="BM118" i="3" s="1"/>
  <c r="BM32" i="3" s="1"/>
  <c r="BM35" i="3" s="1"/>
  <c r="DJ106" i="3"/>
  <c r="DK103" i="3" s="1"/>
  <c r="DK105" i="3" s="1"/>
  <c r="DJ53" i="3"/>
  <c r="DJ54" i="3" s="1"/>
  <c r="DJ109" i="3" s="1"/>
  <c r="DJ110" i="3" s="1"/>
  <c r="DH56" i="3"/>
  <c r="DH57" i="3" s="1"/>
  <c r="DH114" i="3"/>
  <c r="DI56" i="3"/>
  <c r="DI57" i="3" s="1"/>
  <c r="DI114" i="3"/>
  <c r="BM41" i="3" l="1"/>
  <c r="BM42" i="3" s="1"/>
  <c r="BM116" i="3"/>
  <c r="BN113" i="3" s="1"/>
  <c r="DK106" i="3"/>
  <c r="DL103" i="3" s="1"/>
  <c r="DK53" i="3"/>
  <c r="DK54" i="3" s="1"/>
  <c r="DK109" i="3" s="1"/>
  <c r="DK110" i="3" s="1"/>
  <c r="DJ114" i="3"/>
  <c r="DJ56" i="3"/>
  <c r="DJ57" i="3" s="1"/>
  <c r="DL105" i="3"/>
  <c r="BN115" i="3" l="1"/>
  <c r="BN118" i="3" s="1"/>
  <c r="BN32" i="3" s="1"/>
  <c r="BN35" i="3" s="1"/>
  <c r="DL106" i="3"/>
  <c r="DM103" i="3" s="1"/>
  <c r="DM105" i="3" s="1"/>
  <c r="DL53" i="3"/>
  <c r="DL54" i="3" s="1"/>
  <c r="DL109" i="3" s="1"/>
  <c r="DL110" i="3" s="1"/>
  <c r="DK56" i="3"/>
  <c r="DK57" i="3" s="1"/>
  <c r="DK114" i="3"/>
  <c r="BN41" i="3" l="1"/>
  <c r="BN42" i="3" s="1"/>
  <c r="BN116" i="3"/>
  <c r="BO113" i="3" s="1"/>
  <c r="DM106" i="3"/>
  <c r="DN103" i="3" s="1"/>
  <c r="DM53" i="3"/>
  <c r="DM54" i="3" s="1"/>
  <c r="DM109" i="3" s="1"/>
  <c r="DM110" i="3" s="1"/>
  <c r="DL56" i="3"/>
  <c r="DL57" i="3" s="1"/>
  <c r="DL114" i="3"/>
  <c r="DN105" i="3"/>
  <c r="BO115" i="3" l="1"/>
  <c r="BO118" i="3" s="1"/>
  <c r="BO32" i="3" s="1"/>
  <c r="BO35" i="3" s="1"/>
  <c r="DN106" i="3"/>
  <c r="DO103" i="3" s="1"/>
  <c r="DO105" i="3" s="1"/>
  <c r="DN53" i="3"/>
  <c r="DN54" i="3" s="1"/>
  <c r="DN109" i="3" s="1"/>
  <c r="DN110" i="3" s="1"/>
  <c r="DM114" i="3"/>
  <c r="DM56" i="3"/>
  <c r="DM57" i="3" s="1"/>
  <c r="BO41" i="3" l="1"/>
  <c r="BO42" i="3" s="1"/>
  <c r="BO116" i="3"/>
  <c r="BP113" i="3" s="1"/>
  <c r="DO106" i="3"/>
  <c r="DP103" i="3" s="1"/>
  <c r="DP105" i="3" s="1"/>
  <c r="DO53" i="3"/>
  <c r="DO54" i="3" s="1"/>
  <c r="DO109" i="3" s="1"/>
  <c r="DO110" i="3" s="1"/>
  <c r="DN114" i="3"/>
  <c r="DN56" i="3"/>
  <c r="DN57" i="3" s="1"/>
  <c r="BP115" i="3" l="1"/>
  <c r="BP118" i="3" s="1"/>
  <c r="BP32" i="3" s="1"/>
  <c r="BP35" i="3" s="1"/>
  <c r="DP106" i="3"/>
  <c r="DQ103" i="3" s="1"/>
  <c r="DQ105" i="3" s="1"/>
  <c r="DP53" i="3"/>
  <c r="DP54" i="3" s="1"/>
  <c r="DO56" i="3"/>
  <c r="DO57" i="3" s="1"/>
  <c r="DO114" i="3"/>
  <c r="BP41" i="3" l="1"/>
  <c r="BP42" i="3" s="1"/>
  <c r="BP116" i="3"/>
  <c r="BQ113" i="3" s="1"/>
  <c r="DQ106" i="3"/>
  <c r="DR103" i="3" s="1"/>
  <c r="DR105" i="3" s="1"/>
  <c r="DQ53" i="3"/>
  <c r="DQ54" i="3" s="1"/>
  <c r="DP109" i="3"/>
  <c r="DP110" i="3" s="1"/>
  <c r="BQ115" i="3" l="1"/>
  <c r="BQ118" i="3" s="1"/>
  <c r="BQ32" i="3" s="1"/>
  <c r="BQ35" i="3" s="1"/>
  <c r="DR106" i="3"/>
  <c r="DS103" i="3" s="1"/>
  <c r="DS105" i="3" s="1"/>
  <c r="DR53" i="3"/>
  <c r="DR54" i="3" s="1"/>
  <c r="DP114" i="3"/>
  <c r="DP56" i="3"/>
  <c r="DP57" i="3" s="1"/>
  <c r="DQ109" i="3"/>
  <c r="DQ110" i="3" s="1"/>
  <c r="BQ41" i="3" l="1"/>
  <c r="BQ42" i="3" s="1"/>
  <c r="BQ116" i="3"/>
  <c r="BR113" i="3" s="1"/>
  <c r="DS106" i="3"/>
  <c r="DT103" i="3" s="1"/>
  <c r="DT105" i="3" s="1"/>
  <c r="DS53" i="3"/>
  <c r="DS54" i="3" s="1"/>
  <c r="DQ114" i="3"/>
  <c r="DQ56" i="3"/>
  <c r="DQ57" i="3" s="1"/>
  <c r="DR109" i="3"/>
  <c r="DR110" i="3" s="1"/>
  <c r="BR115" i="3" l="1"/>
  <c r="BR118" i="3" s="1"/>
  <c r="BR32" i="3" s="1"/>
  <c r="BR35" i="3" s="1"/>
  <c r="DT106" i="3"/>
  <c r="DU103" i="3" s="1"/>
  <c r="DU105" i="3" s="1"/>
  <c r="DT53" i="3"/>
  <c r="DT54" i="3" s="1"/>
  <c r="DR56" i="3"/>
  <c r="DR57" i="3" s="1"/>
  <c r="DR114" i="3"/>
  <c r="DS109" i="3"/>
  <c r="DS110" i="3" s="1"/>
  <c r="BR41" i="3" l="1"/>
  <c r="BR42" i="3" s="1"/>
  <c r="BR116" i="3"/>
  <c r="BS113" i="3" s="1"/>
  <c r="DU106" i="3"/>
  <c r="DV103" i="3" s="1"/>
  <c r="DV105" i="3" s="1"/>
  <c r="DU53" i="3"/>
  <c r="DU54" i="3" s="1"/>
  <c r="DS56" i="3"/>
  <c r="DS57" i="3" s="1"/>
  <c r="DS114" i="3"/>
  <c r="DT109" i="3"/>
  <c r="DT110" i="3" s="1"/>
  <c r="BS115" i="3" l="1"/>
  <c r="BS118" i="3" s="1"/>
  <c r="BS32" i="3" s="1"/>
  <c r="BS35" i="3" s="1"/>
  <c r="DV106" i="3"/>
  <c r="DW103" i="3" s="1"/>
  <c r="DW105" i="3" s="1"/>
  <c r="DV53" i="3"/>
  <c r="DV54" i="3" s="1"/>
  <c r="DT56" i="3"/>
  <c r="DT57" i="3" s="1"/>
  <c r="DT114" i="3"/>
  <c r="DU109" i="3"/>
  <c r="DU110" i="3" s="1"/>
  <c r="BS41" i="3" l="1"/>
  <c r="BS42" i="3" s="1"/>
  <c r="BS116" i="3"/>
  <c r="BT113" i="3" s="1"/>
  <c r="DW106" i="3"/>
  <c r="DX103" i="3" s="1"/>
  <c r="DX105" i="3" s="1"/>
  <c r="DW53" i="3"/>
  <c r="DW54" i="3" s="1"/>
  <c r="DU56" i="3"/>
  <c r="DU57" i="3" s="1"/>
  <c r="DU114" i="3"/>
  <c r="DV109" i="3"/>
  <c r="DV110" i="3" s="1"/>
  <c r="BT115" i="3" l="1"/>
  <c r="BT118" i="3" s="1"/>
  <c r="BT32" i="3" s="1"/>
  <c r="BT35" i="3" s="1"/>
  <c r="DX106" i="3"/>
  <c r="DY103" i="3" s="1"/>
  <c r="DY105" i="3" s="1"/>
  <c r="DX53" i="3"/>
  <c r="DX54" i="3" s="1"/>
  <c r="DV114" i="3"/>
  <c r="DV56" i="3"/>
  <c r="DV57" i="3" s="1"/>
  <c r="DW109" i="3"/>
  <c r="DW110" i="3" s="1"/>
  <c r="BT41" i="3" l="1"/>
  <c r="BT42" i="3" s="1"/>
  <c r="BT116" i="3"/>
  <c r="BU113" i="3" s="1"/>
  <c r="DY106" i="3"/>
  <c r="DZ103" i="3" s="1"/>
  <c r="DZ105" i="3" s="1"/>
  <c r="DY53" i="3"/>
  <c r="DY54" i="3" s="1"/>
  <c r="DW56" i="3"/>
  <c r="DW57" i="3" s="1"/>
  <c r="DW114" i="3"/>
  <c r="DX109" i="3"/>
  <c r="DX110" i="3" s="1"/>
  <c r="BU115" i="3" l="1"/>
  <c r="BU118" i="3" s="1"/>
  <c r="BU32" i="3" s="1"/>
  <c r="BU35" i="3" s="1"/>
  <c r="DZ106" i="3"/>
  <c r="EA103" i="3" s="1"/>
  <c r="EA105" i="3" s="1"/>
  <c r="DZ53" i="3"/>
  <c r="DZ54" i="3" s="1"/>
  <c r="DX56" i="3"/>
  <c r="DX57" i="3" s="1"/>
  <c r="DX114" i="3"/>
  <c r="DY109" i="3"/>
  <c r="DY110" i="3" s="1"/>
  <c r="BU41" i="3" l="1"/>
  <c r="BU42" i="3" s="1"/>
  <c r="BU116" i="3"/>
  <c r="BV113" i="3" s="1"/>
  <c r="EA106" i="3"/>
  <c r="EB103" i="3" s="1"/>
  <c r="EB105" i="3" s="1"/>
  <c r="EA53" i="3"/>
  <c r="EA54" i="3" s="1"/>
  <c r="DY56" i="3"/>
  <c r="DY57" i="3" s="1"/>
  <c r="DY114" i="3"/>
  <c r="DZ109" i="3"/>
  <c r="DZ110" i="3" s="1"/>
  <c r="BV115" i="3" l="1"/>
  <c r="BV118" i="3" s="1"/>
  <c r="BV32" i="3" s="1"/>
  <c r="BV35" i="3" s="1"/>
  <c r="EB106" i="3"/>
  <c r="EC103" i="3" s="1"/>
  <c r="EC105" i="3" s="1"/>
  <c r="EB53" i="3"/>
  <c r="EB54" i="3" s="1"/>
  <c r="DZ114" i="3"/>
  <c r="DZ56" i="3"/>
  <c r="DZ57" i="3" s="1"/>
  <c r="EA109" i="3"/>
  <c r="EA110" i="3" s="1"/>
  <c r="BV41" i="3" l="1"/>
  <c r="BV42" i="3" s="1"/>
  <c r="BV116" i="3"/>
  <c r="BW113" i="3" s="1"/>
  <c r="EC106" i="3"/>
  <c r="ED103" i="3" s="1"/>
  <c r="ED105" i="3" s="1"/>
  <c r="EC53" i="3"/>
  <c r="EC54" i="3" s="1"/>
  <c r="EA114" i="3"/>
  <c r="EA56" i="3"/>
  <c r="EA57" i="3" s="1"/>
  <c r="EB109" i="3"/>
  <c r="EB110" i="3" s="1"/>
  <c r="BW115" i="3" l="1"/>
  <c r="BW118" i="3" s="1"/>
  <c r="BW32" i="3" s="1"/>
  <c r="BW35" i="3" s="1"/>
  <c r="ED106" i="3"/>
  <c r="EE103" i="3" s="1"/>
  <c r="EE105" i="3" s="1"/>
  <c r="ED53" i="3"/>
  <c r="ED54" i="3" s="1"/>
  <c r="EB114" i="3"/>
  <c r="EB56" i="3"/>
  <c r="EB57" i="3" s="1"/>
  <c r="EC109" i="3"/>
  <c r="EC110" i="3" s="1"/>
  <c r="BW41" i="3" l="1"/>
  <c r="BW42" i="3" s="1"/>
  <c r="BW116" i="3"/>
  <c r="BX113" i="3" s="1"/>
  <c r="EE106" i="3"/>
  <c r="EF103" i="3" s="1"/>
  <c r="EF105" i="3" s="1"/>
  <c r="EE53" i="3"/>
  <c r="EE54" i="3" s="1"/>
  <c r="EE109" i="3" s="1"/>
  <c r="EE110" i="3" s="1"/>
  <c r="EC114" i="3"/>
  <c r="EC56" i="3"/>
  <c r="EC57" i="3" s="1"/>
  <c r="ED109" i="3"/>
  <c r="ED110" i="3" s="1"/>
  <c r="BX115" i="3" l="1"/>
  <c r="BX118" i="3" s="1"/>
  <c r="BX32" i="3" s="1"/>
  <c r="BX35" i="3" s="1"/>
  <c r="EF106" i="3"/>
  <c r="EG103" i="3" s="1"/>
  <c r="EG105" i="3" s="1"/>
  <c r="EF53" i="3"/>
  <c r="EF54" i="3" s="1"/>
  <c r="EF109" i="3" s="1"/>
  <c r="EF110" i="3" s="1"/>
  <c r="ED114" i="3"/>
  <c r="ED56" i="3"/>
  <c r="ED57" i="3" s="1"/>
  <c r="EE114" i="3"/>
  <c r="EE56" i="3"/>
  <c r="EE57" i="3" s="1"/>
  <c r="BX41" i="3" l="1"/>
  <c r="BX42" i="3" s="1"/>
  <c r="BX116" i="3"/>
  <c r="BY113" i="3" s="1"/>
  <c r="EG106" i="3"/>
  <c r="EH103" i="3" s="1"/>
  <c r="EH105" i="3" s="1"/>
  <c r="EG53" i="3"/>
  <c r="EG54" i="3" s="1"/>
  <c r="EG109" i="3" s="1"/>
  <c r="EG110" i="3" s="1"/>
  <c r="EF56" i="3"/>
  <c r="EF57" i="3" s="1"/>
  <c r="EF114" i="3"/>
  <c r="BY115" i="3" l="1"/>
  <c r="BY118" i="3" s="1"/>
  <c r="BY32" i="3" s="1"/>
  <c r="BY35" i="3" s="1"/>
  <c r="EH106" i="3"/>
  <c r="EI103" i="3" s="1"/>
  <c r="EI105" i="3" s="1"/>
  <c r="EH53" i="3"/>
  <c r="EH54" i="3" s="1"/>
  <c r="EH109" i="3" s="1"/>
  <c r="EH110" i="3" s="1"/>
  <c r="EG56" i="3"/>
  <c r="EG57" i="3" s="1"/>
  <c r="EG114" i="3"/>
  <c r="BY41" i="3" l="1"/>
  <c r="BY42" i="3" s="1"/>
  <c r="BY116" i="3"/>
  <c r="BZ113" i="3" s="1"/>
  <c r="EI106" i="3"/>
  <c r="EJ103" i="3" s="1"/>
  <c r="EJ105" i="3" s="1"/>
  <c r="EI53" i="3"/>
  <c r="EI54" i="3" s="1"/>
  <c r="EI109" i="3" s="1"/>
  <c r="EI110" i="3" s="1"/>
  <c r="EH114" i="3"/>
  <c r="EH56" i="3"/>
  <c r="EH57" i="3" s="1"/>
  <c r="BZ115" i="3" l="1"/>
  <c r="BZ118" i="3" s="1"/>
  <c r="BZ32" i="3" s="1"/>
  <c r="BZ35" i="3" s="1"/>
  <c r="EJ106" i="3"/>
  <c r="EK103" i="3" s="1"/>
  <c r="EK105" i="3" s="1"/>
  <c r="EJ53" i="3"/>
  <c r="EJ54" i="3" s="1"/>
  <c r="EJ109" i="3" s="1"/>
  <c r="EJ110" i="3" s="1"/>
  <c r="EI114" i="3"/>
  <c r="EI56" i="3"/>
  <c r="EI57" i="3" s="1"/>
  <c r="BZ41" i="3" l="1"/>
  <c r="BZ42" i="3" s="1"/>
  <c r="BZ116" i="3"/>
  <c r="CA113" i="3" s="1"/>
  <c r="CA115" i="3" s="1"/>
  <c r="CA118" i="3" s="1"/>
  <c r="CA32" i="3" s="1"/>
  <c r="CA35" i="3" s="1"/>
  <c r="EK106" i="3"/>
  <c r="EL103" i="3" s="1"/>
  <c r="EL105" i="3" s="1"/>
  <c r="EK53" i="3"/>
  <c r="EK54" i="3" s="1"/>
  <c r="EK109" i="3" s="1"/>
  <c r="EK110" i="3" s="1"/>
  <c r="EJ114" i="3"/>
  <c r="EJ56" i="3"/>
  <c r="EJ57" i="3" s="1"/>
  <c r="CA41" i="3" l="1"/>
  <c r="CA42" i="3" s="1"/>
  <c r="CA116" i="3"/>
  <c r="CB113" i="3" s="1"/>
  <c r="EL106" i="3"/>
  <c r="EM103" i="3" s="1"/>
  <c r="EM105" i="3" s="1"/>
  <c r="EL53" i="3"/>
  <c r="EL54" i="3" s="1"/>
  <c r="EK114" i="3"/>
  <c r="EK56" i="3"/>
  <c r="EK57" i="3" s="1"/>
  <c r="CB115" i="3" l="1"/>
  <c r="CB118" i="3" s="1"/>
  <c r="CB32" i="3" s="1"/>
  <c r="CB35" i="3" s="1"/>
  <c r="EM106" i="3"/>
  <c r="EN103" i="3" s="1"/>
  <c r="EN105" i="3" s="1"/>
  <c r="EM53" i="3"/>
  <c r="EM54" i="3" s="1"/>
  <c r="EL109" i="3"/>
  <c r="EL110" i="3" s="1"/>
  <c r="CB41" i="3" l="1"/>
  <c r="CB42" i="3" s="1"/>
  <c r="CB116" i="3"/>
  <c r="CC113" i="3" s="1"/>
  <c r="EN106" i="3"/>
  <c r="EO103" i="3" s="1"/>
  <c r="EO105" i="3" s="1"/>
  <c r="EN53" i="3"/>
  <c r="EN54" i="3" s="1"/>
  <c r="EL114" i="3"/>
  <c r="EL56" i="3"/>
  <c r="EL57" i="3" s="1"/>
  <c r="EM109" i="3"/>
  <c r="EM110" i="3" s="1"/>
  <c r="CC115" i="3" l="1"/>
  <c r="CC118" i="3" s="1"/>
  <c r="CC32" i="3" s="1"/>
  <c r="CC35" i="3" s="1"/>
  <c r="EO106" i="3"/>
  <c r="EP103" i="3" s="1"/>
  <c r="EP105" i="3" s="1"/>
  <c r="EO53" i="3"/>
  <c r="EO54" i="3" s="1"/>
  <c r="EM114" i="3"/>
  <c r="EM56" i="3"/>
  <c r="EM57" i="3" s="1"/>
  <c r="EN109" i="3"/>
  <c r="EN110" i="3" s="1"/>
  <c r="CC41" i="3" l="1"/>
  <c r="CC42" i="3" s="1"/>
  <c r="CC116" i="3"/>
  <c r="CD113" i="3" s="1"/>
  <c r="EP106" i="3"/>
  <c r="EQ103" i="3" s="1"/>
  <c r="EQ105" i="3" s="1"/>
  <c r="EP53" i="3"/>
  <c r="EP54" i="3" s="1"/>
  <c r="EN56" i="3"/>
  <c r="EN57" i="3" s="1"/>
  <c r="EN114" i="3"/>
  <c r="EO109" i="3"/>
  <c r="EO110" i="3" s="1"/>
  <c r="CD115" i="3" l="1"/>
  <c r="CD118" i="3" s="1"/>
  <c r="CD32" i="3" s="1"/>
  <c r="CD35" i="3" s="1"/>
  <c r="EQ106" i="3"/>
  <c r="ER103" i="3" s="1"/>
  <c r="ER105" i="3" s="1"/>
  <c r="EQ53" i="3"/>
  <c r="EQ54" i="3" s="1"/>
  <c r="EO56" i="3"/>
  <c r="EO57" i="3" s="1"/>
  <c r="EO114" i="3"/>
  <c r="EP109" i="3"/>
  <c r="EP110" i="3" s="1"/>
  <c r="CD41" i="3" l="1"/>
  <c r="CD42" i="3" s="1"/>
  <c r="CD116" i="3"/>
  <c r="CE113" i="3" s="1"/>
  <c r="ER106" i="3"/>
  <c r="ES103" i="3" s="1"/>
  <c r="ES105" i="3" s="1"/>
  <c r="ER53" i="3"/>
  <c r="ER54" i="3" s="1"/>
  <c r="EP114" i="3"/>
  <c r="EP56" i="3"/>
  <c r="EP57" i="3" s="1"/>
  <c r="EQ109" i="3"/>
  <c r="EQ110" i="3" s="1"/>
  <c r="CE115" i="3" l="1"/>
  <c r="CE118" i="3" s="1"/>
  <c r="CE32" i="3" s="1"/>
  <c r="CE35" i="3" s="1"/>
  <c r="ES106" i="3"/>
  <c r="ET103" i="3" s="1"/>
  <c r="ET105" i="3" s="1"/>
  <c r="ES53" i="3"/>
  <c r="ES54" i="3" s="1"/>
  <c r="EQ114" i="3"/>
  <c r="EQ56" i="3"/>
  <c r="EQ57" i="3" s="1"/>
  <c r="ER109" i="3"/>
  <c r="ER110" i="3" s="1"/>
  <c r="CE41" i="3" l="1"/>
  <c r="CE42" i="3" s="1"/>
  <c r="CE116" i="3"/>
  <c r="CF113" i="3" s="1"/>
  <c r="ET106" i="3"/>
  <c r="EU103" i="3" s="1"/>
  <c r="EU105" i="3" s="1"/>
  <c r="ET53" i="3"/>
  <c r="ET54" i="3" s="1"/>
  <c r="ER56" i="3"/>
  <c r="ER57" i="3" s="1"/>
  <c r="ER114" i="3"/>
  <c r="ES109" i="3"/>
  <c r="ES110" i="3" s="1"/>
  <c r="CF115" i="3" l="1"/>
  <c r="CF118" i="3" s="1"/>
  <c r="CF32" i="3" s="1"/>
  <c r="CF35" i="3" s="1"/>
  <c r="EU106" i="3"/>
  <c r="EV103" i="3" s="1"/>
  <c r="EV105" i="3" s="1"/>
  <c r="EU53" i="3"/>
  <c r="EU54" i="3" s="1"/>
  <c r="ES56" i="3"/>
  <c r="ES57" i="3" s="1"/>
  <c r="ES114" i="3"/>
  <c r="ET109" i="3"/>
  <c r="ET110" i="3" s="1"/>
  <c r="CF41" i="3" l="1"/>
  <c r="CF42" i="3" s="1"/>
  <c r="CF116" i="3"/>
  <c r="CG113" i="3" s="1"/>
  <c r="EV106" i="3"/>
  <c r="EW103" i="3" s="1"/>
  <c r="EW105" i="3" s="1"/>
  <c r="EV53" i="3"/>
  <c r="EV54" i="3" s="1"/>
  <c r="ET56" i="3"/>
  <c r="ET57" i="3" s="1"/>
  <c r="ET114" i="3"/>
  <c r="EU109" i="3"/>
  <c r="EU110" i="3" s="1"/>
  <c r="CG115" i="3" l="1"/>
  <c r="CG118" i="3" s="1"/>
  <c r="CG32" i="3" s="1"/>
  <c r="CG35" i="3" s="1"/>
  <c r="EW106" i="3"/>
  <c r="EX103" i="3" s="1"/>
  <c r="EX105" i="3" s="1"/>
  <c r="EW53" i="3"/>
  <c r="EW54" i="3" s="1"/>
  <c r="EU56" i="3"/>
  <c r="EU57" i="3" s="1"/>
  <c r="EU114" i="3"/>
  <c r="EV109" i="3"/>
  <c r="EV110" i="3" s="1"/>
  <c r="CG41" i="3" l="1"/>
  <c r="CG42" i="3" s="1"/>
  <c r="CG116" i="3"/>
  <c r="CH113" i="3" s="1"/>
  <c r="EX106" i="3"/>
  <c r="EY103" i="3" s="1"/>
  <c r="EY105" i="3" s="1"/>
  <c r="EX53" i="3"/>
  <c r="EX54" i="3" s="1"/>
  <c r="EV56" i="3"/>
  <c r="EV57" i="3" s="1"/>
  <c r="EV114" i="3"/>
  <c r="EW109" i="3"/>
  <c r="EW110" i="3" s="1"/>
  <c r="CH115" i="3" l="1"/>
  <c r="CH118" i="3" s="1"/>
  <c r="CH32" i="3" s="1"/>
  <c r="CH35" i="3" s="1"/>
  <c r="EY106" i="3"/>
  <c r="EZ103" i="3" s="1"/>
  <c r="EZ105" i="3" s="1"/>
  <c r="EY53" i="3"/>
  <c r="EY54" i="3" s="1"/>
  <c r="EW56" i="3"/>
  <c r="EW57" i="3" s="1"/>
  <c r="EW114" i="3"/>
  <c r="EX109" i="3"/>
  <c r="EX110" i="3" s="1"/>
  <c r="CH41" i="3" l="1"/>
  <c r="CH42" i="3" s="1"/>
  <c r="CH116" i="3"/>
  <c r="CI113" i="3" s="1"/>
  <c r="EZ106" i="3"/>
  <c r="FA103" i="3" s="1"/>
  <c r="FA105" i="3" s="1"/>
  <c r="EZ53" i="3"/>
  <c r="EZ54" i="3" s="1"/>
  <c r="EX56" i="3"/>
  <c r="EX57" i="3" s="1"/>
  <c r="EX114" i="3"/>
  <c r="EY109" i="3"/>
  <c r="EY110" i="3" s="1"/>
  <c r="CI115" i="3" l="1"/>
  <c r="CI118" i="3" s="1"/>
  <c r="CI32" i="3" s="1"/>
  <c r="CI35" i="3" s="1"/>
  <c r="FA106" i="3"/>
  <c r="FB103" i="3" s="1"/>
  <c r="FB105" i="3" s="1"/>
  <c r="FA53" i="3"/>
  <c r="FA54" i="3" s="1"/>
  <c r="FA109" i="3" s="1"/>
  <c r="FA110" i="3" s="1"/>
  <c r="EY114" i="3"/>
  <c r="EY56" i="3"/>
  <c r="EY57" i="3" s="1"/>
  <c r="EZ109" i="3"/>
  <c r="EZ110" i="3" s="1"/>
  <c r="CI41" i="3" l="1"/>
  <c r="CI42" i="3" s="1"/>
  <c r="CI116" i="3"/>
  <c r="CJ113" i="3" s="1"/>
  <c r="FB106" i="3"/>
  <c r="FC103" i="3" s="1"/>
  <c r="FC105" i="3" s="1"/>
  <c r="FB53" i="3"/>
  <c r="FB54" i="3" s="1"/>
  <c r="FB109" i="3" s="1"/>
  <c r="FB110" i="3" s="1"/>
  <c r="EZ114" i="3"/>
  <c r="EZ56" i="3"/>
  <c r="EZ57" i="3" s="1"/>
  <c r="FA56" i="3"/>
  <c r="FA57" i="3" s="1"/>
  <c r="FA114" i="3"/>
  <c r="CJ115" i="3" l="1"/>
  <c r="CJ118" i="3" s="1"/>
  <c r="CJ32" i="3" s="1"/>
  <c r="CJ35" i="3" s="1"/>
  <c r="FC106" i="3"/>
  <c r="FD103" i="3" s="1"/>
  <c r="FD105" i="3" s="1"/>
  <c r="FC53" i="3"/>
  <c r="FC54" i="3" s="1"/>
  <c r="FC109" i="3" s="1"/>
  <c r="FC110" i="3" s="1"/>
  <c r="FB56" i="3"/>
  <c r="FB57" i="3" s="1"/>
  <c r="FB114" i="3"/>
  <c r="CJ41" i="3" l="1"/>
  <c r="CJ42" i="3" s="1"/>
  <c r="CJ116" i="3"/>
  <c r="CK113" i="3" s="1"/>
  <c r="FD106" i="3"/>
  <c r="FE103" i="3" s="1"/>
  <c r="FE105" i="3" s="1"/>
  <c r="FD53" i="3"/>
  <c r="FD54" i="3" s="1"/>
  <c r="FD109" i="3" s="1"/>
  <c r="FD110" i="3" s="1"/>
  <c r="FC56" i="3"/>
  <c r="FC57" i="3" s="1"/>
  <c r="FC114" i="3"/>
  <c r="CK115" i="3" l="1"/>
  <c r="CK118" i="3" s="1"/>
  <c r="CK32" i="3" s="1"/>
  <c r="CK35" i="3" s="1"/>
  <c r="FE106" i="3"/>
  <c r="FF103" i="3" s="1"/>
  <c r="FF105" i="3" s="1"/>
  <c r="FE53" i="3"/>
  <c r="FE54" i="3" s="1"/>
  <c r="FE109" i="3" s="1"/>
  <c r="FE110" i="3" s="1"/>
  <c r="FD56" i="3"/>
  <c r="FD57" i="3" s="1"/>
  <c r="FD114" i="3"/>
  <c r="CK41" i="3" l="1"/>
  <c r="CK42" i="3" s="1"/>
  <c r="CK116" i="3"/>
  <c r="CL113" i="3" s="1"/>
  <c r="FF106" i="3"/>
  <c r="FG103" i="3" s="1"/>
  <c r="FF53" i="3"/>
  <c r="FF54" i="3" s="1"/>
  <c r="FF109" i="3" s="1"/>
  <c r="FF110" i="3" s="1"/>
  <c r="FE56" i="3"/>
  <c r="FE57" i="3" s="1"/>
  <c r="FE114" i="3"/>
  <c r="FG105" i="3"/>
  <c r="CL115" i="3" l="1"/>
  <c r="CL118" i="3" s="1"/>
  <c r="CL32" i="3" s="1"/>
  <c r="CL35" i="3" s="1"/>
  <c r="FG106" i="3"/>
  <c r="FH103" i="3" s="1"/>
  <c r="FH105" i="3" s="1"/>
  <c r="FG53" i="3"/>
  <c r="FG54" i="3" s="1"/>
  <c r="FG109" i="3" s="1"/>
  <c r="FG110" i="3" s="1"/>
  <c r="FF56" i="3"/>
  <c r="FF57" i="3" s="1"/>
  <c r="FF114" i="3"/>
  <c r="CL41" i="3" l="1"/>
  <c r="CL42" i="3" s="1"/>
  <c r="CL116" i="3"/>
  <c r="CM113" i="3" s="1"/>
  <c r="FH106" i="3"/>
  <c r="FI103" i="3" s="1"/>
  <c r="FI105" i="3" s="1"/>
  <c r="FH53" i="3"/>
  <c r="FH54" i="3" s="1"/>
  <c r="FG114" i="3"/>
  <c r="FG56" i="3"/>
  <c r="FG57" i="3" s="1"/>
  <c r="CM115" i="3" l="1"/>
  <c r="CM118" i="3" s="1"/>
  <c r="CM32" i="3" s="1"/>
  <c r="CM35" i="3" s="1"/>
  <c r="FI106" i="3"/>
  <c r="FJ103" i="3" s="1"/>
  <c r="FJ105" i="3" s="1"/>
  <c r="FI53" i="3"/>
  <c r="FI54" i="3" s="1"/>
  <c r="FH109" i="3"/>
  <c r="FH110" i="3" s="1"/>
  <c r="CM41" i="3" l="1"/>
  <c r="CM42" i="3" s="1"/>
  <c r="CM116" i="3"/>
  <c r="CN113" i="3" s="1"/>
  <c r="FJ106" i="3"/>
  <c r="FK103" i="3" s="1"/>
  <c r="FK105" i="3" s="1"/>
  <c r="FJ53" i="3"/>
  <c r="FJ54" i="3" s="1"/>
  <c r="FH114" i="3"/>
  <c r="FH56" i="3"/>
  <c r="FH57" i="3" s="1"/>
  <c r="FI109" i="3"/>
  <c r="FI110" i="3" s="1"/>
  <c r="CN115" i="3" l="1"/>
  <c r="CN118" i="3" s="1"/>
  <c r="CN32" i="3" s="1"/>
  <c r="CN35" i="3" s="1"/>
  <c r="FK106" i="3"/>
  <c r="FL103" i="3" s="1"/>
  <c r="FL105" i="3" s="1"/>
  <c r="FK53" i="3"/>
  <c r="FK54" i="3" s="1"/>
  <c r="FI114" i="3"/>
  <c r="FI56" i="3"/>
  <c r="FI57" i="3" s="1"/>
  <c r="FJ109" i="3"/>
  <c r="FJ110" i="3" s="1"/>
  <c r="CN41" i="3" l="1"/>
  <c r="CN42" i="3" s="1"/>
  <c r="CN116" i="3"/>
  <c r="CO113" i="3" s="1"/>
  <c r="FL106" i="3"/>
  <c r="FM103" i="3" s="1"/>
  <c r="FM105" i="3" s="1"/>
  <c r="FL53" i="3"/>
  <c r="FL54" i="3" s="1"/>
  <c r="FJ114" i="3"/>
  <c r="FJ56" i="3"/>
  <c r="FJ57" i="3" s="1"/>
  <c r="FK109" i="3"/>
  <c r="FK110" i="3" s="1"/>
  <c r="CO115" i="3" l="1"/>
  <c r="CO118" i="3" s="1"/>
  <c r="CO32" i="3" s="1"/>
  <c r="CO35" i="3" s="1"/>
  <c r="H105" i="3"/>
  <c r="FM53" i="3"/>
  <c r="FK56" i="3"/>
  <c r="FK57" i="3" s="1"/>
  <c r="FK114" i="3"/>
  <c r="FL109" i="3"/>
  <c r="FL110" i="3" s="1"/>
  <c r="FM106" i="3"/>
  <c r="CO41" i="3" l="1"/>
  <c r="CO42" i="3" s="1"/>
  <c r="CO116" i="3"/>
  <c r="CP113" i="3" s="1"/>
  <c r="FM54" i="3"/>
  <c r="H54" i="3" s="1"/>
  <c r="H53" i="3"/>
  <c r="FL114" i="3"/>
  <c r="FL56" i="3"/>
  <c r="FL57" i="3" s="1"/>
  <c r="FM109" i="3" l="1"/>
  <c r="H109" i="3" s="1"/>
  <c r="CP115" i="3"/>
  <c r="CP118" i="3" s="1"/>
  <c r="CP32" i="3" s="1"/>
  <c r="CP35" i="3" s="1"/>
  <c r="FM110" i="3" l="1"/>
  <c r="H110" i="3" s="1"/>
  <c r="CP41" i="3"/>
  <c r="CP42" i="3" s="1"/>
  <c r="CP116" i="3"/>
  <c r="CQ113" i="3" s="1"/>
  <c r="FM114" i="3" l="1"/>
  <c r="H114" i="3" s="1"/>
  <c r="FM56" i="3"/>
  <c r="H56" i="3" s="1"/>
  <c r="CQ115" i="3"/>
  <c r="CQ118" i="3" s="1"/>
  <c r="CQ32" i="3" s="1"/>
  <c r="CQ35" i="3" s="1"/>
  <c r="FM57" i="3" l="1"/>
  <c r="H57" i="3" s="1"/>
  <c r="CQ41" i="3"/>
  <c r="CQ42" i="3" s="1"/>
  <c r="CQ116" i="3"/>
  <c r="CR113" i="3" s="1"/>
  <c r="CR115" i="3" l="1"/>
  <c r="CR118" i="3" s="1"/>
  <c r="CR32" i="3" s="1"/>
  <c r="CR35" i="3" s="1"/>
  <c r="CR41" i="3" l="1"/>
  <c r="CR42" i="3" s="1"/>
  <c r="CR116" i="3"/>
  <c r="CS113" i="3" s="1"/>
  <c r="CS115" i="3" l="1"/>
  <c r="CS118" i="3" s="1"/>
  <c r="CS32" i="3" s="1"/>
  <c r="CS35" i="3" s="1"/>
  <c r="CS41" i="3" l="1"/>
  <c r="CS42" i="3" s="1"/>
  <c r="CS116" i="3"/>
  <c r="CT113" i="3" s="1"/>
  <c r="CT115" i="3" l="1"/>
  <c r="CT118" i="3" s="1"/>
  <c r="CT32" i="3" s="1"/>
  <c r="CT35" i="3" s="1"/>
  <c r="CT41" i="3" l="1"/>
  <c r="CT42" i="3" s="1"/>
  <c r="CT116" i="3"/>
  <c r="CU113" i="3" s="1"/>
  <c r="CU115" i="3" l="1"/>
  <c r="CU118" i="3" s="1"/>
  <c r="CU32" i="3" s="1"/>
  <c r="CU35" i="3" s="1"/>
  <c r="CU41" i="3" l="1"/>
  <c r="CU42" i="3" s="1"/>
  <c r="CU116" i="3"/>
  <c r="CV113" i="3" s="1"/>
  <c r="CV115" i="3" l="1"/>
  <c r="CV118" i="3" s="1"/>
  <c r="CV32" i="3" s="1"/>
  <c r="CV35" i="3" s="1"/>
  <c r="CV41" i="3" l="1"/>
  <c r="CV42" i="3" s="1"/>
  <c r="CV116" i="3"/>
  <c r="CW113" i="3" s="1"/>
  <c r="CW115" i="3" l="1"/>
  <c r="CW118" i="3" s="1"/>
  <c r="CW32" i="3" s="1"/>
  <c r="CW35" i="3" s="1"/>
  <c r="CW41" i="3" l="1"/>
  <c r="CW42" i="3" s="1"/>
  <c r="CW116" i="3"/>
  <c r="CX113" i="3" s="1"/>
  <c r="CX115" i="3" l="1"/>
  <c r="CX118" i="3" s="1"/>
  <c r="CX32" i="3" s="1"/>
  <c r="CX35" i="3" s="1"/>
  <c r="CX41" i="3" l="1"/>
  <c r="CX42" i="3" s="1"/>
  <c r="CX116" i="3"/>
  <c r="CY113" i="3" s="1"/>
  <c r="CY115" i="3" l="1"/>
  <c r="CY118" i="3" s="1"/>
  <c r="CY32" i="3" s="1"/>
  <c r="CY35" i="3" s="1"/>
  <c r="CY41" i="3" l="1"/>
  <c r="CY42" i="3" s="1"/>
  <c r="CY116" i="3"/>
  <c r="CZ113" i="3" s="1"/>
  <c r="CZ115" i="3" l="1"/>
  <c r="CZ118" i="3" s="1"/>
  <c r="CZ32" i="3" s="1"/>
  <c r="CZ35" i="3" s="1"/>
  <c r="CZ41" i="3" l="1"/>
  <c r="CZ42" i="3" s="1"/>
  <c r="CZ116" i="3"/>
  <c r="DA113" i="3" s="1"/>
  <c r="DA115" i="3" l="1"/>
  <c r="DA118" i="3" s="1"/>
  <c r="DA32" i="3" s="1"/>
  <c r="DA35" i="3" s="1"/>
  <c r="DA41" i="3" l="1"/>
  <c r="DA42" i="3" s="1"/>
  <c r="DA116" i="3"/>
  <c r="DB113" i="3" s="1"/>
  <c r="DB115" i="3" l="1"/>
  <c r="DB118" i="3" s="1"/>
  <c r="DB32" i="3" s="1"/>
  <c r="DB35" i="3" s="1"/>
  <c r="DB41" i="3" l="1"/>
  <c r="DB42" i="3" s="1"/>
  <c r="DB116" i="3"/>
  <c r="DC113" i="3" s="1"/>
  <c r="DC115" i="3" l="1"/>
  <c r="DC118" i="3" s="1"/>
  <c r="DC32" i="3" s="1"/>
  <c r="DC35" i="3" s="1"/>
  <c r="DC41" i="3" l="1"/>
  <c r="DC42" i="3" s="1"/>
  <c r="DC116" i="3"/>
  <c r="DD113" i="3" s="1"/>
  <c r="DD115" i="3" l="1"/>
  <c r="DD118" i="3" s="1"/>
  <c r="DD32" i="3" s="1"/>
  <c r="DD35" i="3" s="1"/>
  <c r="DD41" i="3" l="1"/>
  <c r="DD42" i="3" s="1"/>
  <c r="DD116" i="3"/>
  <c r="DE113" i="3" s="1"/>
  <c r="DE115" i="3" l="1"/>
  <c r="DE118" i="3" s="1"/>
  <c r="DE32" i="3" s="1"/>
  <c r="DE35" i="3" s="1"/>
  <c r="DE41" i="3" l="1"/>
  <c r="DE42" i="3" s="1"/>
  <c r="DE116" i="3"/>
  <c r="DF113" i="3" s="1"/>
  <c r="DF115" i="3" l="1"/>
  <c r="DF118" i="3" s="1"/>
  <c r="DF32" i="3" s="1"/>
  <c r="DF35" i="3" s="1"/>
  <c r="DF41" i="3" l="1"/>
  <c r="DF42" i="3" s="1"/>
  <c r="DF116" i="3"/>
  <c r="DG113" i="3" s="1"/>
  <c r="DG115" i="3" l="1"/>
  <c r="DG118" i="3" s="1"/>
  <c r="DG32" i="3" s="1"/>
  <c r="DG35" i="3" s="1"/>
  <c r="DG41" i="3" l="1"/>
  <c r="DG42" i="3" s="1"/>
  <c r="DG116" i="3"/>
  <c r="DH113" i="3" s="1"/>
  <c r="DH115" i="3" l="1"/>
  <c r="DH118" i="3" s="1"/>
  <c r="DH32" i="3" s="1"/>
  <c r="DH35" i="3" s="1"/>
  <c r="DH41" i="3" l="1"/>
  <c r="DH42" i="3" s="1"/>
  <c r="DH116" i="3"/>
  <c r="DI113" i="3" s="1"/>
  <c r="DI115" i="3" l="1"/>
  <c r="DI118" i="3" s="1"/>
  <c r="DI32" i="3" s="1"/>
  <c r="DI35" i="3" s="1"/>
  <c r="DI41" i="3" l="1"/>
  <c r="DI42" i="3" s="1"/>
  <c r="DI116" i="3"/>
  <c r="DJ113" i="3" s="1"/>
  <c r="DJ115" i="3" l="1"/>
  <c r="DJ118" i="3" s="1"/>
  <c r="DJ32" i="3" s="1"/>
  <c r="DJ35" i="3" s="1"/>
  <c r="DJ41" i="3" l="1"/>
  <c r="DJ42" i="3" s="1"/>
  <c r="DJ116" i="3"/>
  <c r="DK113" i="3" s="1"/>
  <c r="DK115" i="3" l="1"/>
  <c r="DK118" i="3" s="1"/>
  <c r="DK32" i="3" s="1"/>
  <c r="DK35" i="3" s="1"/>
  <c r="DK41" i="3" l="1"/>
  <c r="DK42" i="3" s="1"/>
  <c r="DK116" i="3"/>
  <c r="DL113" i="3" s="1"/>
  <c r="DL115" i="3" l="1"/>
  <c r="DL118" i="3" s="1"/>
  <c r="DL32" i="3" s="1"/>
  <c r="DL35" i="3" s="1"/>
  <c r="DL41" i="3" l="1"/>
  <c r="DL42" i="3" s="1"/>
  <c r="DL116" i="3"/>
  <c r="DM113" i="3" s="1"/>
  <c r="DM115" i="3" l="1"/>
  <c r="DM118" i="3" s="1"/>
  <c r="DM32" i="3" s="1"/>
  <c r="DM35" i="3" s="1"/>
  <c r="DM41" i="3" l="1"/>
  <c r="DM42" i="3" s="1"/>
  <c r="DM116" i="3"/>
  <c r="DN113" i="3" s="1"/>
  <c r="DN115" i="3" l="1"/>
  <c r="DN118" i="3" s="1"/>
  <c r="DN32" i="3" s="1"/>
  <c r="DN35" i="3" s="1"/>
  <c r="DN41" i="3" l="1"/>
  <c r="DN42" i="3" s="1"/>
  <c r="DN116" i="3"/>
  <c r="DO113" i="3" s="1"/>
  <c r="DO115" i="3" l="1"/>
  <c r="DO118" i="3" s="1"/>
  <c r="DO32" i="3" s="1"/>
  <c r="DO35" i="3" s="1"/>
  <c r="DO41" i="3" l="1"/>
  <c r="DO42" i="3" s="1"/>
  <c r="DO116" i="3"/>
  <c r="DP113" i="3" s="1"/>
  <c r="DP115" i="3" l="1"/>
  <c r="DP118" i="3" s="1"/>
  <c r="DP32" i="3" s="1"/>
  <c r="DP35" i="3" s="1"/>
  <c r="DP41" i="3" l="1"/>
  <c r="DP42" i="3" s="1"/>
  <c r="DP116" i="3"/>
  <c r="DQ113" i="3" s="1"/>
  <c r="DQ115" i="3" l="1"/>
  <c r="DQ118" i="3" s="1"/>
  <c r="DQ32" i="3" s="1"/>
  <c r="DQ35" i="3" s="1"/>
  <c r="DQ41" i="3" l="1"/>
  <c r="DQ42" i="3" s="1"/>
  <c r="DQ116" i="3"/>
  <c r="DR113" i="3" s="1"/>
  <c r="DR115" i="3" l="1"/>
  <c r="DR118" i="3" s="1"/>
  <c r="DR32" i="3" s="1"/>
  <c r="DR35" i="3" s="1"/>
  <c r="DR41" i="3" l="1"/>
  <c r="DR42" i="3" s="1"/>
  <c r="DR116" i="3"/>
  <c r="DS113" i="3" s="1"/>
  <c r="DS115" i="3" l="1"/>
  <c r="DS118" i="3" s="1"/>
  <c r="DS32" i="3" s="1"/>
  <c r="DS35" i="3" s="1"/>
  <c r="DS41" i="3" l="1"/>
  <c r="DS42" i="3" s="1"/>
  <c r="DS116" i="3"/>
  <c r="DT113" i="3" s="1"/>
  <c r="DT115" i="3" l="1"/>
  <c r="DT118" i="3" s="1"/>
  <c r="DT32" i="3" s="1"/>
  <c r="DT35" i="3" s="1"/>
  <c r="DT41" i="3" l="1"/>
  <c r="DT42" i="3" s="1"/>
  <c r="DT116" i="3"/>
  <c r="DU113" i="3" s="1"/>
  <c r="DU115" i="3" l="1"/>
  <c r="DU118" i="3" s="1"/>
  <c r="DU32" i="3" s="1"/>
  <c r="DU35" i="3" s="1"/>
  <c r="DU41" i="3" l="1"/>
  <c r="DU42" i="3" s="1"/>
  <c r="DU116" i="3"/>
  <c r="DV113" i="3" s="1"/>
  <c r="DV115" i="3" l="1"/>
  <c r="DV118" i="3" s="1"/>
  <c r="DV32" i="3" s="1"/>
  <c r="DV35" i="3" s="1"/>
  <c r="DV41" i="3" l="1"/>
  <c r="DV42" i="3" s="1"/>
  <c r="DV116" i="3"/>
  <c r="DW113" i="3" s="1"/>
  <c r="DW115" i="3" l="1"/>
  <c r="DW118" i="3" s="1"/>
  <c r="DW32" i="3" s="1"/>
  <c r="DW35" i="3" s="1"/>
  <c r="DW41" i="3" l="1"/>
  <c r="DW42" i="3" s="1"/>
  <c r="DW116" i="3"/>
  <c r="DX113" i="3" s="1"/>
  <c r="DX115" i="3" l="1"/>
  <c r="DX118" i="3" s="1"/>
  <c r="DX32" i="3" s="1"/>
  <c r="DX35" i="3" s="1"/>
  <c r="DX41" i="3" l="1"/>
  <c r="DX42" i="3" s="1"/>
  <c r="DX116" i="3"/>
  <c r="DY113" i="3" s="1"/>
  <c r="DY115" i="3" l="1"/>
  <c r="DY118" i="3" s="1"/>
  <c r="DY32" i="3" s="1"/>
  <c r="DY35" i="3" s="1"/>
  <c r="DY41" i="3" l="1"/>
  <c r="DY42" i="3" s="1"/>
  <c r="DY116" i="3"/>
  <c r="DZ113" i="3" s="1"/>
  <c r="DZ115" i="3" l="1"/>
  <c r="DZ118" i="3" s="1"/>
  <c r="DZ32" i="3" s="1"/>
  <c r="DZ35" i="3" s="1"/>
  <c r="DZ41" i="3" l="1"/>
  <c r="DZ42" i="3" s="1"/>
  <c r="DZ116" i="3"/>
  <c r="EA113" i="3" s="1"/>
  <c r="EA115" i="3" l="1"/>
  <c r="EA118" i="3" s="1"/>
  <c r="EA32" i="3" s="1"/>
  <c r="EA35" i="3" s="1"/>
  <c r="EA41" i="3" l="1"/>
  <c r="EA42" i="3" s="1"/>
  <c r="EA116" i="3"/>
  <c r="EB113" i="3" s="1"/>
  <c r="EB115" i="3" l="1"/>
  <c r="EB118" i="3" s="1"/>
  <c r="EB32" i="3" s="1"/>
  <c r="EB35" i="3" s="1"/>
  <c r="EB41" i="3" l="1"/>
  <c r="EB42" i="3" s="1"/>
  <c r="EB116" i="3"/>
  <c r="EC113" i="3" s="1"/>
  <c r="EC115" i="3" l="1"/>
  <c r="EC118" i="3" s="1"/>
  <c r="EC32" i="3" s="1"/>
  <c r="EC35" i="3" s="1"/>
  <c r="EC41" i="3" l="1"/>
  <c r="EC42" i="3" s="1"/>
  <c r="EC116" i="3"/>
  <c r="ED113" i="3" s="1"/>
  <c r="ED115" i="3" l="1"/>
  <c r="ED118" i="3" s="1"/>
  <c r="ED32" i="3" s="1"/>
  <c r="ED35" i="3" s="1"/>
  <c r="ED41" i="3" l="1"/>
  <c r="ED42" i="3" s="1"/>
  <c r="ED116" i="3"/>
  <c r="EE113" i="3" s="1"/>
  <c r="EE115" i="3" l="1"/>
  <c r="EE118" i="3" s="1"/>
  <c r="EE32" i="3" s="1"/>
  <c r="EE35" i="3" s="1"/>
  <c r="EE41" i="3" l="1"/>
  <c r="EE42" i="3" s="1"/>
  <c r="EE116" i="3"/>
  <c r="EF113" i="3" s="1"/>
  <c r="EF115" i="3" l="1"/>
  <c r="EF118" i="3" s="1"/>
  <c r="EF32" i="3" s="1"/>
  <c r="EF35" i="3" s="1"/>
  <c r="EF41" i="3" l="1"/>
  <c r="EF42" i="3" s="1"/>
  <c r="EF116" i="3"/>
  <c r="EG113" i="3" s="1"/>
  <c r="EG115" i="3" l="1"/>
  <c r="EG118" i="3" s="1"/>
  <c r="EG32" i="3" s="1"/>
  <c r="EG35" i="3" s="1"/>
  <c r="EG41" i="3" l="1"/>
  <c r="EG42" i="3" s="1"/>
  <c r="EG116" i="3"/>
  <c r="EH113" i="3" s="1"/>
  <c r="EH115" i="3" l="1"/>
  <c r="EH118" i="3" s="1"/>
  <c r="EH32" i="3" s="1"/>
  <c r="EH35" i="3" s="1"/>
  <c r="EH41" i="3" l="1"/>
  <c r="EH42" i="3" s="1"/>
  <c r="EH116" i="3"/>
  <c r="EI113" i="3" s="1"/>
  <c r="EI115" i="3" l="1"/>
  <c r="EI118" i="3" s="1"/>
  <c r="EI32" i="3" s="1"/>
  <c r="EI35" i="3" s="1"/>
  <c r="EI41" i="3" l="1"/>
  <c r="EI42" i="3" s="1"/>
  <c r="EI116" i="3"/>
  <c r="EJ113" i="3" s="1"/>
  <c r="EJ115" i="3" l="1"/>
  <c r="EJ118" i="3" s="1"/>
  <c r="EJ32" i="3" s="1"/>
  <c r="EJ35" i="3" s="1"/>
  <c r="EJ41" i="3" l="1"/>
  <c r="EJ42" i="3" s="1"/>
  <c r="EJ116" i="3"/>
  <c r="EK113" i="3" s="1"/>
  <c r="EK115" i="3" l="1"/>
  <c r="EK118" i="3" s="1"/>
  <c r="EK32" i="3" s="1"/>
  <c r="EK35" i="3" s="1"/>
  <c r="EK41" i="3" l="1"/>
  <c r="EK42" i="3" s="1"/>
  <c r="EK116" i="3"/>
  <c r="EL113" i="3" s="1"/>
  <c r="EL115" i="3" l="1"/>
  <c r="EL118" i="3" s="1"/>
  <c r="EL32" i="3" s="1"/>
  <c r="EL35" i="3" s="1"/>
  <c r="EL41" i="3" l="1"/>
  <c r="EL42" i="3" s="1"/>
  <c r="EL116" i="3"/>
  <c r="EM113" i="3" s="1"/>
  <c r="EM115" i="3" l="1"/>
  <c r="EM118" i="3" s="1"/>
  <c r="EM32" i="3" s="1"/>
  <c r="EM35" i="3" s="1"/>
  <c r="EM41" i="3" l="1"/>
  <c r="EM42" i="3" s="1"/>
  <c r="EM116" i="3"/>
  <c r="EN113" i="3" s="1"/>
  <c r="EN115" i="3" l="1"/>
  <c r="EN118" i="3" s="1"/>
  <c r="EN32" i="3" s="1"/>
  <c r="EN35" i="3" s="1"/>
  <c r="EN41" i="3" l="1"/>
  <c r="EN42" i="3" s="1"/>
  <c r="EN116" i="3"/>
  <c r="EO113" i="3" s="1"/>
  <c r="EO115" i="3" l="1"/>
  <c r="EO118" i="3" s="1"/>
  <c r="EO32" i="3" s="1"/>
  <c r="EO35" i="3" s="1"/>
  <c r="EO41" i="3" l="1"/>
  <c r="EO42" i="3" s="1"/>
  <c r="EO116" i="3"/>
  <c r="EP113" i="3" s="1"/>
  <c r="EP115" i="3" l="1"/>
  <c r="EP118" i="3" s="1"/>
  <c r="EP32" i="3" s="1"/>
  <c r="EP35" i="3" s="1"/>
  <c r="EP41" i="3" l="1"/>
  <c r="EP42" i="3" s="1"/>
  <c r="EP116" i="3"/>
  <c r="EQ113" i="3" s="1"/>
  <c r="EQ115" i="3" l="1"/>
  <c r="EQ118" i="3" s="1"/>
  <c r="EQ32" i="3" s="1"/>
  <c r="EQ35" i="3" s="1"/>
  <c r="EQ41" i="3" l="1"/>
  <c r="EQ42" i="3" s="1"/>
  <c r="EQ116" i="3"/>
  <c r="ER113" i="3" s="1"/>
  <c r="ER115" i="3" l="1"/>
  <c r="ER118" i="3" s="1"/>
  <c r="ER32" i="3" s="1"/>
  <c r="ER35" i="3" s="1"/>
  <c r="ER41" i="3" l="1"/>
  <c r="ER42" i="3" s="1"/>
  <c r="ER116" i="3"/>
  <c r="ES113" i="3" s="1"/>
  <c r="ES115" i="3" l="1"/>
  <c r="ES118" i="3" s="1"/>
  <c r="ES32" i="3" s="1"/>
  <c r="ES35" i="3" s="1"/>
  <c r="ES41" i="3" l="1"/>
  <c r="ES42" i="3" s="1"/>
  <c r="ES116" i="3"/>
  <c r="ET113" i="3" s="1"/>
  <c r="ET115" i="3" l="1"/>
  <c r="ET118" i="3" s="1"/>
  <c r="ET32" i="3" s="1"/>
  <c r="ET35" i="3" s="1"/>
  <c r="ET41" i="3" l="1"/>
  <c r="ET42" i="3" s="1"/>
  <c r="ET116" i="3"/>
  <c r="EU113" i="3" s="1"/>
  <c r="EU115" i="3" l="1"/>
  <c r="EU118" i="3" s="1"/>
  <c r="EU32" i="3" s="1"/>
  <c r="EU35" i="3" s="1"/>
  <c r="EU41" i="3" l="1"/>
  <c r="EU42" i="3" s="1"/>
  <c r="EU116" i="3"/>
  <c r="EV113" i="3" s="1"/>
  <c r="EV115" i="3" l="1"/>
  <c r="EV118" i="3" s="1"/>
  <c r="EV32" i="3" s="1"/>
  <c r="EV35" i="3" s="1"/>
  <c r="EV41" i="3" l="1"/>
  <c r="EV42" i="3" s="1"/>
  <c r="EV116" i="3"/>
  <c r="EW113" i="3" s="1"/>
  <c r="EW115" i="3" l="1"/>
  <c r="EW118" i="3" s="1"/>
  <c r="EW32" i="3" s="1"/>
  <c r="EW35" i="3" s="1"/>
  <c r="EW41" i="3" l="1"/>
  <c r="EW42" i="3" s="1"/>
  <c r="EW116" i="3"/>
  <c r="EX113" i="3" s="1"/>
  <c r="EX115" i="3" l="1"/>
  <c r="EX118" i="3" s="1"/>
  <c r="EX32" i="3" s="1"/>
  <c r="EX35" i="3" s="1"/>
  <c r="EX41" i="3" l="1"/>
  <c r="EX42" i="3" s="1"/>
  <c r="EX116" i="3"/>
  <c r="EY113" i="3" s="1"/>
  <c r="EY115" i="3" l="1"/>
  <c r="EY118" i="3" s="1"/>
  <c r="EY32" i="3" s="1"/>
  <c r="EY35" i="3" s="1"/>
  <c r="EY41" i="3" l="1"/>
  <c r="EY42" i="3" s="1"/>
  <c r="EY116" i="3"/>
  <c r="EZ113" i="3" s="1"/>
  <c r="EZ115" i="3" l="1"/>
  <c r="EZ118" i="3" s="1"/>
  <c r="EZ32" i="3" s="1"/>
  <c r="EZ35" i="3" s="1"/>
  <c r="EZ41" i="3" l="1"/>
  <c r="EZ42" i="3" s="1"/>
  <c r="EZ116" i="3"/>
  <c r="FA113" i="3" s="1"/>
  <c r="FA115" i="3" l="1"/>
  <c r="FA118" i="3" s="1"/>
  <c r="FA32" i="3" s="1"/>
  <c r="FA35" i="3" s="1"/>
  <c r="FA41" i="3" l="1"/>
  <c r="FA42" i="3" s="1"/>
  <c r="FA116" i="3"/>
  <c r="FB113" i="3" s="1"/>
  <c r="FB115" i="3" l="1"/>
  <c r="FB118" i="3" s="1"/>
  <c r="FB32" i="3" s="1"/>
  <c r="FB35" i="3" s="1"/>
  <c r="FB41" i="3" l="1"/>
  <c r="FB42" i="3" s="1"/>
  <c r="FB116" i="3"/>
  <c r="FC113" i="3" s="1"/>
  <c r="FC115" i="3" l="1"/>
  <c r="FC118" i="3" s="1"/>
  <c r="FC32" i="3" s="1"/>
  <c r="FC35" i="3" s="1"/>
  <c r="FC41" i="3" l="1"/>
  <c r="FC42" i="3" s="1"/>
  <c r="FC116" i="3"/>
  <c r="FD113" i="3" s="1"/>
  <c r="FD115" i="3" l="1"/>
  <c r="FD118" i="3" s="1"/>
  <c r="FD32" i="3" s="1"/>
  <c r="FD35" i="3" s="1"/>
  <c r="FD41" i="3" l="1"/>
  <c r="FD42" i="3" s="1"/>
  <c r="FD116" i="3"/>
  <c r="FE113" i="3" s="1"/>
  <c r="FE115" i="3" l="1"/>
  <c r="FE118" i="3" s="1"/>
  <c r="FE32" i="3" s="1"/>
  <c r="FE35" i="3" s="1"/>
  <c r="FE41" i="3" l="1"/>
  <c r="FE42" i="3" s="1"/>
  <c r="FE116" i="3"/>
  <c r="FF113" i="3" s="1"/>
  <c r="FF115" i="3" l="1"/>
  <c r="FF118" i="3" s="1"/>
  <c r="FF32" i="3" s="1"/>
  <c r="FF35" i="3" s="1"/>
  <c r="FF41" i="3" l="1"/>
  <c r="FF42" i="3" s="1"/>
  <c r="FF116" i="3"/>
  <c r="FG113" i="3" s="1"/>
  <c r="FG115" i="3" l="1"/>
  <c r="FG118" i="3" s="1"/>
  <c r="FG32" i="3" s="1"/>
  <c r="FG35" i="3" s="1"/>
  <c r="FG41" i="3" l="1"/>
  <c r="FG42" i="3" s="1"/>
  <c r="FG116" i="3"/>
  <c r="FH113" i="3" s="1"/>
  <c r="FH115" i="3" l="1"/>
  <c r="FH118" i="3" s="1"/>
  <c r="FH32" i="3" s="1"/>
  <c r="FH35" i="3" s="1"/>
  <c r="FH41" i="3" l="1"/>
  <c r="FH42" i="3" s="1"/>
  <c r="FH116" i="3"/>
  <c r="FI113" i="3" s="1"/>
  <c r="FI115" i="3" l="1"/>
  <c r="FI118" i="3" s="1"/>
  <c r="FI32" i="3" s="1"/>
  <c r="FI35" i="3" s="1"/>
  <c r="FI41" i="3" l="1"/>
  <c r="FI42" i="3" s="1"/>
  <c r="FI116" i="3"/>
  <c r="FJ113" i="3" s="1"/>
  <c r="FJ115" i="3" l="1"/>
  <c r="FJ118" i="3" s="1"/>
  <c r="FJ32" i="3" s="1"/>
  <c r="FJ35" i="3" s="1"/>
  <c r="FJ41" i="3" l="1"/>
  <c r="FJ42" i="3" s="1"/>
  <c r="FJ116" i="3"/>
  <c r="FK113" i="3" s="1"/>
  <c r="FK115" i="3" l="1"/>
  <c r="FK118" i="3" s="1"/>
  <c r="FK32" i="3" s="1"/>
  <c r="FK35" i="3" s="1"/>
  <c r="FK41" i="3" l="1"/>
  <c r="FK42" i="3" s="1"/>
  <c r="FK116" i="3"/>
  <c r="FL113" i="3" s="1"/>
  <c r="FL115" i="3" l="1"/>
  <c r="FL118" i="3" s="1"/>
  <c r="FL32" i="3" s="1"/>
  <c r="FL35" i="3" s="1"/>
  <c r="FL41" i="3" l="1"/>
  <c r="FL42" i="3" s="1"/>
  <c r="FL116" i="3"/>
  <c r="FM113" i="3" s="1"/>
  <c r="FM115" i="3" l="1"/>
  <c r="H115" i="3" l="1"/>
  <c r="FM118" i="3"/>
  <c r="FM32" i="3" s="1"/>
  <c r="FM116" i="3"/>
  <c r="FM35" i="3" l="1"/>
  <c r="H32" i="3"/>
  <c r="L37" i="3" l="1"/>
  <c r="N37" i="3"/>
  <c r="I37" i="3"/>
  <c r="M37" i="3"/>
  <c r="K37" i="3"/>
  <c r="J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V37" i="3"/>
  <c r="AU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I37" i="3"/>
  <c r="FJ37" i="3"/>
  <c r="FL37" i="3"/>
  <c r="FH37" i="3"/>
  <c r="FK37" i="3"/>
  <c r="FM41" i="3"/>
  <c r="H41" i="3" s="1"/>
  <c r="FM37" i="3"/>
  <c r="H35" i="3"/>
  <c r="FM42" i="3" l="1"/>
  <c r="N44" i="3" s="1"/>
  <c r="D37" i="3"/>
  <c r="F3" i="1" s="1"/>
  <c r="FM44" i="3" l="1"/>
  <c r="DV44" i="3"/>
  <c r="CX44" i="3"/>
  <c r="FJ44" i="3"/>
  <c r="CW44" i="3"/>
  <c r="AY44" i="3"/>
  <c r="CU44" i="3"/>
  <c r="CT44" i="3"/>
  <c r="BU44" i="3"/>
  <c r="BT44" i="3"/>
  <c r="FF44" i="3"/>
  <c r="BS44" i="3"/>
  <c r="CP44" i="3"/>
  <c r="FD44" i="3"/>
  <c r="EH44" i="3"/>
  <c r="AP44" i="3"/>
  <c r="FC44" i="3"/>
  <c r="EG44" i="3"/>
  <c r="DK44" i="3"/>
  <c r="CM44" i="3"/>
  <c r="BN44" i="3"/>
  <c r="AN44" i="3"/>
  <c r="FB44" i="3"/>
  <c r="EF44" i="3"/>
  <c r="DJ44" i="3"/>
  <c r="CL44" i="3"/>
  <c r="BM44" i="3"/>
  <c r="AM44" i="3"/>
  <c r="BA44" i="3"/>
  <c r="DQ44" i="3"/>
  <c r="ER44" i="3"/>
  <c r="H42" i="3"/>
  <c r="EP44" i="3"/>
  <c r="DS44" i="3"/>
  <c r="DR44" i="3"/>
  <c r="CS44" i="3"/>
  <c r="FL44" i="3"/>
  <c r="CQ44" i="3"/>
  <c r="FE44" i="3"/>
  <c r="AL44" i="3"/>
  <c r="DG44" i="3"/>
  <c r="EX44" i="3"/>
  <c r="DE44" i="3"/>
  <c r="AH44" i="3"/>
  <c r="CA44" i="3"/>
  <c r="AW44" i="3"/>
  <c r="FH44" i="3"/>
  <c r="DP44" i="3"/>
  <c r="EK44" i="3"/>
  <c r="BR44" i="3"/>
  <c r="DI44" i="3"/>
  <c r="DH44" i="3"/>
  <c r="CH44" i="3"/>
  <c r="BG44" i="3"/>
  <c r="AG44" i="3"/>
  <c r="BB44" i="3"/>
  <c r="DU44" i="3"/>
  <c r="BY44" i="3"/>
  <c r="FI44" i="3"/>
  <c r="CV44" i="3"/>
  <c r="BW44" i="3"/>
  <c r="EM44" i="3"/>
  <c r="AV44" i="3"/>
  <c r="CR44" i="3"/>
  <c r="AR44" i="3"/>
  <c r="DM44" i="3"/>
  <c r="BQ44" i="3"/>
  <c r="EE44" i="3"/>
  <c r="CK44" i="3"/>
  <c r="EZ44" i="3"/>
  <c r="ED44" i="3"/>
  <c r="AK44" i="3"/>
  <c r="EY44" i="3"/>
  <c r="AJ44" i="3"/>
  <c r="EB44" i="3"/>
  <c r="AI44" i="3"/>
  <c r="EW44" i="3"/>
  <c r="CG44" i="3"/>
  <c r="DZ44" i="3"/>
  <c r="EU44" i="3"/>
  <c r="DY44" i="3"/>
  <c r="DC44" i="3"/>
  <c r="CE44" i="3"/>
  <c r="BF44" i="3"/>
  <c r="AF44" i="3"/>
  <c r="BZ44" i="3"/>
  <c r="DT44" i="3"/>
  <c r="EO44" i="3"/>
  <c r="BV44" i="3"/>
  <c r="FG44" i="3"/>
  <c r="DO44" i="3"/>
  <c r="EJ44" i="3"/>
  <c r="EI44" i="3"/>
  <c r="DL44" i="3"/>
  <c r="CI44" i="3"/>
  <c r="AE44" i="3"/>
  <c r="CY44" i="3"/>
  <c r="EQ44" i="3"/>
  <c r="AZ44" i="3"/>
  <c r="BX44" i="3"/>
  <c r="FK44" i="3"/>
  <c r="EN44" i="3"/>
  <c r="AX44" i="3"/>
  <c r="EL44" i="3"/>
  <c r="AS44" i="3"/>
  <c r="DN44" i="3"/>
  <c r="AQ44" i="3"/>
  <c r="CO44" i="3"/>
  <c r="FA44" i="3"/>
  <c r="BL44" i="3"/>
  <c r="CJ44" i="3"/>
  <c r="BK44" i="3"/>
  <c r="EC44" i="3"/>
  <c r="BJ44" i="3"/>
  <c r="DF44" i="3"/>
  <c r="BI44" i="3"/>
  <c r="EA44" i="3"/>
  <c r="BH44" i="3"/>
  <c r="EV44" i="3"/>
  <c r="DD44" i="3"/>
  <c r="CF44" i="3"/>
  <c r="J44" i="3"/>
  <c r="ET44" i="3"/>
  <c r="DX44" i="3"/>
  <c r="DB44" i="3"/>
  <c r="CD44" i="3"/>
  <c r="BE44" i="3"/>
  <c r="I44" i="3"/>
  <c r="ES44" i="3"/>
  <c r="DW44" i="3"/>
  <c r="DA44" i="3"/>
  <c r="CC44" i="3"/>
  <c r="BD44" i="3"/>
  <c r="AD44" i="3"/>
  <c r="CZ44" i="3"/>
  <c r="CN44" i="3"/>
  <c r="CB44" i="3"/>
  <c r="BO44" i="3"/>
  <c r="BC44" i="3"/>
  <c r="AO44" i="3"/>
  <c r="AC44" i="3"/>
  <c r="AB44" i="3"/>
  <c r="Y44" i="3"/>
  <c r="AA44" i="3"/>
  <c r="AU44" i="3"/>
  <c r="X44" i="3"/>
  <c r="BP44" i="3"/>
  <c r="AT44" i="3"/>
  <c r="W44" i="3"/>
  <c r="V44" i="3"/>
  <c r="U44" i="3"/>
  <c r="Z44" i="3"/>
  <c r="T44" i="3"/>
  <c r="R44" i="3"/>
  <c r="S44" i="3"/>
  <c r="Q44" i="3"/>
  <c r="P44" i="3"/>
  <c r="O44" i="3"/>
  <c r="M44" i="3"/>
  <c r="K44" i="3"/>
  <c r="L44" i="3"/>
  <c r="D44" i="3" l="1"/>
  <c r="F4" i="1" s="1"/>
  <c r="C10" i="1" s="1"/>
  <c r="L10" i="1" l="1"/>
  <c r="T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<sst xmlns="http://schemas.openxmlformats.org/spreadsheetml/2006/main" count="300" uniqueCount="174">
  <si>
    <t>Outputs</t>
  </si>
  <si>
    <t>Project IRR</t>
  </si>
  <si>
    <t>%</t>
  </si>
  <si>
    <t>Buyer Unlevered IRR</t>
  </si>
  <si>
    <t>Buyer IRR Sensitivities</t>
  </si>
  <si>
    <t>Purchase price vs CAPEX</t>
  </si>
  <si>
    <t>Purchase price vs Capture price</t>
  </si>
  <si>
    <t>Purchase price vs Yield</t>
  </si>
  <si>
    <t>Buyer purchase price, €k/MW</t>
  </si>
  <si>
    <t>CAPEX, €k/MW</t>
  </si>
  <si>
    <t>Capture price, €/MWh</t>
  </si>
  <si>
    <t>Scenarios</t>
  </si>
  <si>
    <t>Inputs</t>
  </si>
  <si>
    <t>Unit</t>
  </si>
  <si>
    <t>Live</t>
  </si>
  <si>
    <t>Macro</t>
  </si>
  <si>
    <t>Inflation profile</t>
  </si>
  <si>
    <t>Selection</t>
  </si>
  <si>
    <t>Quarter of inflation step-up</t>
  </si>
  <si>
    <t>Quarter</t>
  </si>
  <si>
    <t>Acquisition date</t>
  </si>
  <si>
    <t>Date</t>
  </si>
  <si>
    <t>Equity premium</t>
  </si>
  <si>
    <t>€k/MW</t>
  </si>
  <si>
    <t>Construction</t>
  </si>
  <si>
    <t>Construction start</t>
  </si>
  <si>
    <t>Construction timeline</t>
  </si>
  <si>
    <t>Months</t>
  </si>
  <si>
    <t>Construction End</t>
  </si>
  <si>
    <t>CAPEX</t>
  </si>
  <si>
    <t>Operations start</t>
  </si>
  <si>
    <t>Operations end</t>
  </si>
  <si>
    <t>Generation</t>
  </si>
  <si>
    <t>Capacity</t>
  </si>
  <si>
    <t>MW</t>
  </si>
  <si>
    <t>Base Yield</t>
  </si>
  <si>
    <t>MWh / MWp</t>
  </si>
  <si>
    <t>Yield sensitivity</t>
  </si>
  <si>
    <t>Yield in use</t>
  </si>
  <si>
    <t>Availability</t>
  </si>
  <si>
    <t>Degradation</t>
  </si>
  <si>
    <t>% p.a.</t>
  </si>
  <si>
    <t>Revenue</t>
  </si>
  <si>
    <t>Capture price</t>
  </si>
  <si>
    <t>€/MWh</t>
  </si>
  <si>
    <t>GoOs</t>
  </si>
  <si>
    <t>OPEX</t>
  </si>
  <si>
    <t>OPEX excl. balancing, land lease</t>
  </si>
  <si>
    <t>€k / MW p.a.</t>
  </si>
  <si>
    <t>Source: Finnish PV</t>
  </si>
  <si>
    <t>Balancing</t>
  </si>
  <si>
    <t>Land lease</t>
  </si>
  <si>
    <t>€k p.a.</t>
  </si>
  <si>
    <t>NWC</t>
  </si>
  <si>
    <t>Days payable</t>
  </si>
  <si>
    <t>Days</t>
  </si>
  <si>
    <t>Days receivable</t>
  </si>
  <si>
    <t>Tax</t>
  </si>
  <si>
    <t>Depreciation period</t>
  </si>
  <si>
    <t>Years</t>
  </si>
  <si>
    <t>CIT</t>
  </si>
  <si>
    <t>Dynamic Inputs</t>
  </si>
  <si>
    <t>Month of construction</t>
  </si>
  <si>
    <t>CAPEX timetable</t>
  </si>
  <si>
    <t>Source: Finland model</t>
  </si>
  <si>
    <t>Year</t>
  </si>
  <si>
    <t>Inflation</t>
  </si>
  <si>
    <t>Source: IMF</t>
  </si>
  <si>
    <t>Timing</t>
  </si>
  <si>
    <t>Sum</t>
  </si>
  <si>
    <t>Period start</t>
  </si>
  <si>
    <t>Period end</t>
  </si>
  <si>
    <t>Days in period</t>
  </si>
  <si>
    <t>Days in year</t>
  </si>
  <si>
    <t>Fraction of year</t>
  </si>
  <si>
    <t>Flags</t>
  </si>
  <si>
    <t>Construction month</t>
  </si>
  <si>
    <t>Month</t>
  </si>
  <si>
    <t>Operations</t>
  </si>
  <si>
    <t>First operating period</t>
  </si>
  <si>
    <t>Flag</t>
  </si>
  <si>
    <t>Last operating period</t>
  </si>
  <si>
    <t>Operations year</t>
  </si>
  <si>
    <t>Count</t>
  </si>
  <si>
    <t>Annual inflation</t>
  </si>
  <si>
    <t>Step-up flag</t>
  </si>
  <si>
    <t>Inflation in period</t>
  </si>
  <si>
    <t>Inflation index (all items)</t>
  </si>
  <si>
    <t>Index</t>
  </si>
  <si>
    <t>Valuation</t>
  </si>
  <si>
    <t>Construction flag</t>
  </si>
  <si>
    <t>Acquisition flag</t>
  </si>
  <si>
    <t>Ownership flag</t>
  </si>
  <si>
    <t>EBITDA</t>
  </si>
  <si>
    <t>€k</t>
  </si>
  <si>
    <t>Cash taxes</t>
  </si>
  <si>
    <t>∆ NWC</t>
  </si>
  <si>
    <t>Free cash flow to the firm</t>
  </si>
  <si>
    <t>Buyer return</t>
  </si>
  <si>
    <t>Purchase price</t>
  </si>
  <si>
    <t>Post-purchase cash flows</t>
  </si>
  <si>
    <t>Net cash flows</t>
  </si>
  <si>
    <t>Buyer IRR</t>
  </si>
  <si>
    <t>Income statement</t>
  </si>
  <si>
    <t>Operating costs</t>
  </si>
  <si>
    <t>EBITDA margin</t>
  </si>
  <si>
    <t>Depreciation</t>
  </si>
  <si>
    <t>EBT</t>
  </si>
  <si>
    <t>Net income</t>
  </si>
  <si>
    <t>Capacity &amp; generation</t>
  </si>
  <si>
    <t>Capacity build-out flag</t>
  </si>
  <si>
    <t>Capacity build-out</t>
  </si>
  <si>
    <t>MWp</t>
  </si>
  <si>
    <t>Generation pre-availability, degradation</t>
  </si>
  <si>
    <t>MWh</t>
  </si>
  <si>
    <t>Availability factor</t>
  </si>
  <si>
    <t>Degradation factor</t>
  </si>
  <si>
    <t>Net generation</t>
  </si>
  <si>
    <t>Construction (not indexed)</t>
  </si>
  <si>
    <t>Construction timetable</t>
  </si>
  <si>
    <t>Volume</t>
  </si>
  <si>
    <t>Real prices</t>
  </si>
  <si>
    <t>Merchant price</t>
  </si>
  <si>
    <t>GoO price</t>
  </si>
  <si>
    <t>Nominal prices</t>
  </si>
  <si>
    <t>Gross revenue</t>
  </si>
  <si>
    <t>Total gross revenue</t>
  </si>
  <si>
    <t>Inflated</t>
  </si>
  <si>
    <t>Not inflated</t>
  </si>
  <si>
    <t>Total OPEX</t>
  </si>
  <si>
    <t>Working capital</t>
  </si>
  <si>
    <t>Days outstanding</t>
  </si>
  <si>
    <t>Trade receivables</t>
  </si>
  <si>
    <t>Trade payables</t>
  </si>
  <si>
    <t>Net working capital</t>
  </si>
  <si>
    <t>Taxes</t>
  </si>
  <si>
    <t>Opening balance</t>
  </si>
  <si>
    <t>CAPEX addition</t>
  </si>
  <si>
    <t>Closing balance</t>
  </si>
  <si>
    <t>Tax calculation</t>
  </si>
  <si>
    <t>Tax loss carryforward</t>
  </si>
  <si>
    <t>Additions (negative tax)</t>
  </si>
  <si>
    <t>Use (positive tax)</t>
  </si>
  <si>
    <t>Cash taxes paid</t>
  </si>
  <si>
    <t>End of sheet</t>
  </si>
  <si>
    <t>PV</t>
  </si>
  <si>
    <t>PV (N-S)</t>
  </si>
  <si>
    <t>PV (N-S) + BESS</t>
  </si>
  <si>
    <t>PV (E-W)</t>
  </si>
  <si>
    <t>PV (E-W) + BESS</t>
  </si>
  <si>
    <t>BESS CAPEX</t>
  </si>
  <si>
    <t>BESS CAPEX - refresh</t>
  </si>
  <si>
    <t>Asset hold period</t>
  </si>
  <si>
    <t>PV useful life</t>
  </si>
  <si>
    <t>BESS useful life</t>
  </si>
  <si>
    <t>BESS refresh period</t>
  </si>
  <si>
    <t>BESS</t>
  </si>
  <si>
    <t>Hours</t>
  </si>
  <si>
    <t>Duration</t>
  </si>
  <si>
    <t>Cycles / day</t>
  </si>
  <si>
    <t>#</t>
  </si>
  <si>
    <t>Degradation / cycle</t>
  </si>
  <si>
    <t>Replace w curve</t>
  </si>
  <si>
    <t>Revenue curve</t>
  </si>
  <si>
    <t>Curve</t>
  </si>
  <si>
    <t>Revenue degradation (% of physical degradation)</t>
  </si>
  <si>
    <t>Energy trading</t>
  </si>
  <si>
    <t>Active capacity for revenue (1=degraded, 0=non-dgraded)</t>
  </si>
  <si>
    <t>Ancillary services</t>
  </si>
  <si>
    <t>RTM commission on revenues</t>
  </si>
  <si>
    <t>Waranty cost</t>
  </si>
  <si>
    <t>€/MW</t>
  </si>
  <si>
    <t>Maintenance cost</t>
  </si>
  <si>
    <t>Other OPEX (BoP maintenance, insurance, legal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</si>
</sst>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mediumGray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8" borderId="0" applyProtection="0"/>
  </cellStyleXfs>
  <cellXfs count="6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1" applyFont="1"/>
    <xf numFmtId="0" fontId="0" fillId="2" borderId="1" xfId="1" applyFont="1" applyAlignment="1">
      <alignment horizontal="center"/>
    </xf>
    <xf numFmtId="4" fontId="0" fillId="2" borderId="1" xfId="1" applyNumberFormat="1" applyFont="1" applyAlignment="1">
      <alignment horizontal="center"/>
    </xf>
    <xf numFmtId="3" fontId="0" fillId="2" borderId="1" xfId="1" applyNumberFormat="1" applyFont="1" applyAlignment="1">
      <alignment horizontal="center"/>
    </xf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164" fontId="0" fillId="2" borderId="1" xfId="1" applyNumberFormat="1" applyFont="1" applyAlignment="1">
      <alignment horizontal="center"/>
    </xf>
    <xf numFmtId="3" fontId="0" fillId="3" borderId="0" xfId="0" applyNumberFormat="1" applyFill="1"/>
    <xf numFmtId="15" fontId="0" fillId="0" borderId="0" xfId="0" applyNumberFormat="1"/>
    <xf numFmtId="15" fontId="0" fillId="2" borderId="1" xfId="1" applyNumberFormat="1" applyFont="1" applyAlignment="1">
      <alignment horizontal="center"/>
    </xf>
    <xf numFmtId="15" fontId="0" fillId="3" borderId="0" xfId="0" applyNumberFormat="1" applyFill="1"/>
    <xf numFmtId="15" fontId="5" fillId="0" borderId="0" xfId="0" applyNumberFormat="1" applyFont="1"/>
    <xf numFmtId="4" fontId="0" fillId="4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5" fontId="0" fillId="5" borderId="0" xfId="0" applyNumberFormat="1" applyFill="1"/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6" borderId="1" xfId="1" applyNumberFormat="1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2" xfId="0" applyBorder="1"/>
    <xf numFmtId="3" fontId="0" fillId="0" borderId="2" xfId="0" applyNumberFormat="1" applyBorder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3" borderId="2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6" fillId="0" borderId="0" xfId="0" applyFont="1"/>
    <xf numFmtId="4" fontId="5" fillId="0" borderId="0" xfId="0" applyNumberFormat="1" applyFont="1" applyAlignment="1">
      <alignment horizontal="center"/>
    </xf>
    <xf numFmtId="0" fontId="0" fillId="6" borderId="1" xfId="1" applyFont="1" applyFill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0" fillId="4" borderId="2" xfId="0" applyFill="1" applyBorder="1"/>
    <xf numFmtId="0" fontId="7" fillId="0" borderId="0" xfId="0" applyFont="1"/>
    <xf numFmtId="0" fontId="2" fillId="7" borderId="0" xfId="0" applyFont="1" applyFill="1"/>
    <xf numFmtId="0" fontId="4" fillId="7" borderId="0" xfId="0" applyFont="1" applyFill="1"/>
    <xf numFmtId="10" fontId="0" fillId="0" borderId="0" xfId="0" applyNumberFormat="1"/>
    <xf numFmtId="164" fontId="0" fillId="0" borderId="3" xfId="0" applyNumberFormat="1" applyBorder="1" applyAlignment="1">
      <alignment horizontal="center"/>
    </xf>
    <xf numFmtId="10" fontId="5" fillId="0" borderId="0" xfId="0" applyNumberFormat="1" applyFont="1"/>
    <xf numFmtId="10" fontId="0" fillId="0" borderId="0" xfId="0" applyNumberFormat="1" applyAlignment="1">
      <alignment horizontal="center"/>
    </xf>
    <xf numFmtId="0" fontId="3" fillId="0" borderId="3" xfId="1" applyFont="1" applyFill="1" applyBorder="1"/>
    <xf numFmtId="0" fontId="3" fillId="0" borderId="1" xfId="1" applyFont="1" applyFill="1" applyAlignment="1">
      <alignment horizontal="center"/>
    </xf>
    <xf numFmtId="3" fontId="0" fillId="2" borderId="1" xfId="1" applyNumberFormat="1" applyFont="1"/>
    <xf numFmtId="3" fontId="0" fillId="0" borderId="3" xfId="1" applyNumberFormat="1" applyFont="1" applyFill="1" applyBorder="1"/>
    <xf numFmtId="165" fontId="0" fillId="2" borderId="1" xfId="1" applyNumberFormat="1" applyFont="1"/>
    <xf numFmtId="165" fontId="0" fillId="0" borderId="3" xfId="1" applyNumberFormat="1" applyFont="1" applyFill="1" applyBorder="1"/>
    <xf numFmtId="3" fontId="5" fillId="0" borderId="2" xfId="0" applyNumberFormat="1" applyFont="1" applyBorder="1" applyAlignment="1">
      <alignment horizontal="center"/>
    </xf>
    <xf numFmtId="0" fontId="1" fillId="8" borderId="0" xfId="2"/>
    <xf numFmtId="0" fontId="0" fillId="3" borderId="0" xfId="0" applyFill="1"/>
    <xf numFmtId="166" fontId="0" fillId="0" borderId="0" xfId="0" applyNumberFormat="1"/>
    <xf numFmtId="166" fontId="0" fillId="2" borderId="1" xfId="1" applyNumberFormat="1" applyFont="1" applyAlignment="1">
      <alignment horizontal="center"/>
    </xf>
    <xf numFmtId="9" fontId="0" fillId="0" borderId="0" xfId="0" applyNumberFormat="1"/>
    <xf numFmtId="9" fontId="0" fillId="2" borderId="1" xfId="1" applyNumberFormat="1" applyFont="1" applyAlignment="1">
      <alignment horizontal="center"/>
    </xf>
    <xf numFmtId="0" fontId="0" fillId="9" borderId="0" xfId="0" applyFill="1"/>
    <xf numFmtId="15" fontId="1" fillId="8" borderId="0" xfId="2" applyNumberFormat="1"/>
    <xf numFmtId="0" fontId="0" fillId="2" borderId="1" xfId="1" applyNumberFormat="1" applyFont="1" applyAlignment="1">
      <alignment horizontal="center"/>
    </xf>
  </cellXfs>
  <cellStyles count="3">
    <cellStyle name="Empty_cell" xfId="2" xr:uid="{1B4601F8-2C50-4380-B655-B1F9AB7CA563}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3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EA1DF8-B5EE-4A9A-ADF3-48F91C93FAC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2f00a4-fcd6-495f-98e1-95676c8c9e8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09F0-7DAB-4954-8011-C48583ECCB08}">
  <dimension ref="A1:Y117"/>
  <sheetViews>
    <sheetView showGridLines="0" tabSelected="1" zoomScaleNormal="100" workbookViewId="0"/>
  </sheetViews>
  <sheetFormatPr defaultRowHeight="15" zeroHeight="1" x14ac:dyDescent="0.25"/>
  <cols>
    <col min="2" max="2" width="33.42578125" customWidth="1"/>
    <col min="6" max="6" width="14" customWidth="1"/>
    <col min="8" max="14" width="17.42578125" customWidth="1"/>
  </cols>
  <sheetData>
    <row r="1" spans="2:25" x14ac:dyDescent="0.25"/>
    <row r="2" spans="2:25" x14ac:dyDescent="0.25">
      <c r="B2" s="40" t="s">
        <v>0</v>
      </c>
      <c r="C2" s="40"/>
      <c r="D2" s="40"/>
      <c r="E2" s="40"/>
      <c r="F2" s="40"/>
      <c r="G2" s="40"/>
      <c r="H2" s="40"/>
      <c r="I2" s="40"/>
      <c r="J2" s="40"/>
    </row>
    <row r="3" spans="2:25" x14ac:dyDescent="0.25">
      <c r="B3" t="s">
        <v>1</v>
      </c>
      <c r="C3" t="s">
        <v>2</v>
      </c>
      <c r="F3" s="44">
        <f>Model!D37</f>
        <v>9.384409667968753E-2</v>
      </c>
    </row>
    <row r="4" spans="2:25" x14ac:dyDescent="0.25">
      <c r="B4" t="s">
        <v>3</v>
      </c>
      <c r="C4" t="s">
        <v>2</v>
      </c>
      <c r="F4" s="44">
        <f>Model!D44</f>
        <v>7.9572534179687501E-2</v>
      </c>
    </row>
    <row r="5" spans="2:25" x14ac:dyDescent="0.25"/>
    <row r="6" spans="2:25" x14ac:dyDescent="0.25">
      <c r="B6" s="40" t="s">
        <v>4</v>
      </c>
      <c r="C6" s="40"/>
      <c r="D6" s="40"/>
      <c r="E6" s="40"/>
      <c r="F6" s="40"/>
      <c r="G6" s="40"/>
      <c r="H6" s="40"/>
      <c r="I6" s="40"/>
      <c r="J6" s="40"/>
    </row>
    <row r="7" spans="2:25" x14ac:dyDescent="0.25"/>
    <row r="8" spans="2:25" x14ac:dyDescent="0.25">
      <c r="B8" s="1" t="s">
        <v>5</v>
      </c>
      <c r="J8" s="1" t="s">
        <v>6</v>
      </c>
      <c r="S8" s="1" t="s">
        <v>7</v>
      </c>
    </row>
    <row r="9" spans="2:25" x14ac:dyDescent="0.25">
      <c r="D9" t="s">
        <v>8</v>
      </c>
      <c r="M9" t="s">
        <v>8</v>
      </c>
      <c r="U9" t="s">
        <v>8</v>
      </c>
    </row>
    <row r="10" spans="2:25" x14ac:dyDescent="0.25">
      <c r="C10" s="45">
        <f>F4</f>
        <v>7.9572534179687501E-2</v>
      </c>
      <c r="D10" s="5">
        <f>E10-10</f>
        <v>60</v>
      </c>
      <c r="E10" s="5">
        <f>F10-10</f>
        <v>70</v>
      </c>
      <c r="F10" s="47">
        <v>80</v>
      </c>
      <c r="G10" s="5">
        <f>F10+10</f>
        <v>90</v>
      </c>
      <c r="H10" s="5">
        <f>G10+10</f>
        <v>100</v>
      </c>
      <c r="L10" s="42">
        <f>$F$4</f>
        <v>7.9572534179687501E-2</v>
      </c>
      <c r="M10" s="5">
        <f>N10-10</f>
        <v>60</v>
      </c>
      <c r="N10" s="5">
        <f>O10-10</f>
        <v>70</v>
      </c>
      <c r="O10" s="47">
        <v>80</v>
      </c>
      <c r="P10" s="5">
        <f>O10+10</f>
        <v>90</v>
      </c>
      <c r="Q10" s="5">
        <f>P10+10</f>
        <v>100</v>
      </c>
      <c r="T10" s="42">
        <f>$F$4</f>
        <v>7.9572534179687501E-2</v>
      </c>
      <c r="U10" s="5">
        <f>V10-10</f>
        <v>60</v>
      </c>
      <c r="V10" s="5">
        <f>W10-10</f>
        <v>70</v>
      </c>
      <c r="W10" s="47">
        <v>80</v>
      </c>
      <c r="X10" s="5">
        <f>W10+10</f>
        <v>90</v>
      </c>
      <c r="Y10" s="5">
        <f>X10+10</f>
        <v>100</v>
      </c>
    </row>
    <row r="11" spans="2:25" x14ac:dyDescent="0.25">
      <c r="B11" t="s">
        <v>9</v>
      </c>
      <c r="C11" s="4">
        <f>C12+10</f>
        <v>535</v>
      </c>
      <c r="D11" s="22"/>
      <c r="E11" s="22"/>
      <c r="F11" s="22"/>
      <c r="G11" s="22"/>
      <c r="H11" s="22"/>
      <c r="J11" t="s">
        <v>10</v>
      </c>
      <c r="L11" s="50">
        <f>L12 + 5</f>
        <v>55</v>
      </c>
      <c r="M11" s="22"/>
      <c r="N11" s="22"/>
      <c r="O11" s="22"/>
      <c r="P11" s="22"/>
      <c r="Q11" s="22"/>
      <c r="R11" s="22"/>
      <c r="T11" s="48">
        <f>T12+25</f>
        <v>1300</v>
      </c>
      <c r="U11" s="22"/>
      <c r="V11" s="22"/>
      <c r="W11" s="22"/>
      <c r="X11" s="22"/>
      <c r="Y11" s="22"/>
    </row>
    <row r="12" spans="2:25" x14ac:dyDescent="0.25">
      <c r="C12" s="4">
        <f>C13+10</f>
        <v>525</v>
      </c>
      <c r="D12" s="22"/>
      <c r="E12" s="22"/>
      <c r="F12" s="22"/>
      <c r="G12" s="22"/>
      <c r="H12" s="22"/>
      <c r="L12" s="50">
        <f>L13 + 5</f>
        <v>50</v>
      </c>
      <c r="M12" s="22"/>
      <c r="N12" s="22"/>
      <c r="O12" s="22"/>
      <c r="P12" s="22"/>
      <c r="Q12" s="22"/>
      <c r="R12" s="22"/>
      <c r="T12" s="48">
        <f>T13+25</f>
        <v>1275</v>
      </c>
      <c r="U12" s="22"/>
      <c r="V12" s="22"/>
      <c r="W12" s="22"/>
      <c r="X12" s="22"/>
      <c r="Y12" s="22"/>
    </row>
    <row r="13" spans="2:25" x14ac:dyDescent="0.25">
      <c r="C13" s="46">
        <v>515</v>
      </c>
      <c r="D13" s="22"/>
      <c r="E13" s="22"/>
      <c r="F13" s="22"/>
      <c r="G13" s="22"/>
      <c r="H13" s="22"/>
      <c r="L13" s="51">
        <v>45</v>
      </c>
      <c r="M13" s="22"/>
      <c r="N13" s="22"/>
      <c r="O13" s="22"/>
      <c r="P13" s="22"/>
      <c r="Q13" s="22"/>
      <c r="R13" s="22"/>
      <c r="T13" s="49">
        <v>1250</v>
      </c>
      <c r="U13" s="22"/>
      <c r="V13" s="22"/>
      <c r="W13" s="22"/>
      <c r="X13" s="22"/>
      <c r="Y13" s="22"/>
    </row>
    <row r="14" spans="2:25" x14ac:dyDescent="0.25">
      <c r="C14" s="4">
        <f>C13 - 10</f>
        <v>505</v>
      </c>
      <c r="D14" s="22"/>
      <c r="E14" s="22"/>
      <c r="F14" s="22"/>
      <c r="G14" s="22"/>
      <c r="H14" s="22"/>
      <c r="L14" s="50">
        <f>L13-5</f>
        <v>40</v>
      </c>
      <c r="M14" s="22"/>
      <c r="N14" s="22"/>
      <c r="O14" s="22"/>
      <c r="P14" s="22"/>
      <c r="Q14" s="22"/>
      <c r="R14" s="22"/>
      <c r="T14" s="48">
        <f>T13-25</f>
        <v>1225</v>
      </c>
      <c r="U14" s="22"/>
      <c r="V14" s="22"/>
      <c r="W14" s="22"/>
      <c r="X14" s="22"/>
      <c r="Y14" s="22"/>
    </row>
    <row r="15" spans="2:25" x14ac:dyDescent="0.25">
      <c r="C15" s="4">
        <f t="shared" ref="C15:C16" si="0">C14 - 10</f>
        <v>495</v>
      </c>
      <c r="D15" s="22"/>
      <c r="E15" s="22"/>
      <c r="F15" s="22"/>
      <c r="G15" s="22"/>
      <c r="H15" s="22"/>
      <c r="L15" s="50">
        <f>L14-5</f>
        <v>35</v>
      </c>
      <c r="M15" s="22"/>
      <c r="N15" s="22"/>
      <c r="O15" s="22"/>
      <c r="P15" s="22"/>
      <c r="Q15" s="22"/>
      <c r="R15" s="22"/>
      <c r="T15" s="48">
        <f>T14-25</f>
        <v>1200</v>
      </c>
      <c r="U15" s="22"/>
      <c r="V15" s="22"/>
      <c r="W15" s="22"/>
      <c r="X15" s="22"/>
      <c r="Y15" s="22"/>
    </row>
    <row r="16" spans="2:25" x14ac:dyDescent="0.25">
      <c r="C16" s="4">
        <f t="shared" si="0"/>
        <v>485</v>
      </c>
      <c r="D16" s="22"/>
      <c r="E16" s="22"/>
      <c r="F16" s="22"/>
      <c r="G16" s="22"/>
      <c r="H16" s="22"/>
      <c r="L16" s="50">
        <f>L15-5</f>
        <v>30</v>
      </c>
      <c r="M16" s="22"/>
      <c r="N16" s="22"/>
      <c r="O16" s="22"/>
      <c r="P16" s="22"/>
      <c r="Q16" s="22"/>
      <c r="R16" s="22"/>
      <c r="T16" s="48">
        <f>T15-25</f>
        <v>1175</v>
      </c>
      <c r="U16" s="22"/>
      <c r="V16" s="22"/>
      <c r="W16" s="22"/>
      <c r="X16" s="22"/>
      <c r="Y16" s="22"/>
    </row>
    <row r="17" spans="2:15" x14ac:dyDescent="0.25"/>
    <row r="18" spans="2:15" x14ac:dyDescent="0.25">
      <c r="B18" s="40" t="s">
        <v>11</v>
      </c>
      <c r="C18" s="40"/>
      <c r="D18" s="40"/>
      <c r="E18" s="40"/>
      <c r="F18" s="40"/>
      <c r="G18" s="40"/>
      <c r="H18" s="40"/>
      <c r="I18" s="40"/>
      <c r="J18" s="40"/>
    </row>
    <row r="19" spans="2:15" x14ac:dyDescent="0.25">
      <c r="B19" s="5">
        <v>1</v>
      </c>
    </row>
    <row r="20" spans="2:15" x14ac:dyDescent="0.25"/>
    <row r="21" spans="2:15" x14ac:dyDescent="0.25">
      <c r="B21" s="1" t="s">
        <v>12</v>
      </c>
      <c r="C21" s="1" t="s">
        <v>13</v>
      </c>
      <c r="F21" s="1" t="s">
        <v>14</v>
      </c>
      <c r="H21" s="3">
        <v>1</v>
      </c>
      <c r="I21" s="3">
        <f>H21+1</f>
        <v>2</v>
      </c>
      <c r="J21" s="3">
        <f>I21+1</f>
        <v>3</v>
      </c>
      <c r="K21" s="3">
        <f t="shared" ref="K21:N21" si="1">J21+1</f>
        <v>4</v>
      </c>
      <c r="L21" s="3">
        <f t="shared" si="1"/>
        <v>5</v>
      </c>
      <c r="M21" s="3">
        <f t="shared" si="1"/>
        <v>6</v>
      </c>
      <c r="N21" s="3">
        <f t="shared" si="1"/>
        <v>7</v>
      </c>
    </row>
    <row r="22" spans="2:15" x14ac:dyDescent="0.25">
      <c r="B22" s="1" t="s">
        <v>15</v>
      </c>
      <c r="C22" s="1"/>
      <c r="F22" s="1"/>
      <c r="H22" s="3" t="s">
        <v>146</v>
      </c>
      <c r="I22" s="3" t="s">
        <v>147</v>
      </c>
      <c r="J22" s="3" t="s">
        <v>148</v>
      </c>
      <c r="K22" s="3" t="s">
        <v>149</v>
      </c>
      <c r="L22" s="3" t="s">
        <v>148</v>
      </c>
      <c r="M22" s="3" t="s">
        <v>148</v>
      </c>
      <c r="N22" s="3" t="s">
        <v>148</v>
      </c>
    </row>
    <row r="23" spans="2:15" x14ac:dyDescent="0.25">
      <c r="B23" t="s">
        <v>16</v>
      </c>
      <c r="C23" t="s">
        <v>17</v>
      </c>
    </row>
    <row r="24" spans="2:15" x14ac:dyDescent="0.25">
      <c r="B24" t="s">
        <v>18</v>
      </c>
      <c r="C24" t="s">
        <v>19</v>
      </c>
      <c r="F24" cm="1">
        <f t="array" ref="F24">IF(ISBLANK(INDEX(H24:O24, B$19)), H24, INDEX(H24:O24, B$19))</f>
        <v>1</v>
      </c>
      <c r="H24" s="5">
        <v>1</v>
      </c>
      <c r="I24" s="5"/>
      <c r="J24" s="5"/>
      <c r="K24" s="5"/>
      <c r="L24" s="5"/>
      <c r="M24" s="5"/>
      <c r="N24" s="5"/>
      <c r="O24" s="53"/>
    </row>
    <row r="25" spans="2:15" x14ac:dyDescent="0.25">
      <c r="B25" t="s">
        <v>20</v>
      </c>
      <c r="C25" t="s">
        <v>21</v>
      </c>
      <c r="F25" s="13" cm="1">
        <f t="array" ref="F25">IF(ISBLANK(INDEX(H25:O25, B$19)), H25, INDEX(H25:O25, B$19))</f>
        <v>46173</v>
      </c>
      <c r="G25" s="13"/>
      <c r="H25" s="14">
        <f>H29</f>
        <v>46173</v>
      </c>
      <c r="I25" s="5"/>
      <c r="J25" s="14"/>
      <c r="K25" s="14"/>
      <c r="L25" s="14"/>
      <c r="M25" s="14"/>
      <c r="N25" s="14"/>
      <c r="O25" s="53"/>
    </row>
    <row r="26" spans="2:15" x14ac:dyDescent="0.25">
      <c r="B26" t="s">
        <v>22</v>
      </c>
      <c r="C26" t="s">
        <v>23</v>
      </c>
      <c r="F26" cm="1">
        <f t="array" ref="F26">IF(ISBLANK(INDEX(H26:O26, B$19)), H26, INDEX(H26:O26, B$19))</f>
        <v>90</v>
      </c>
      <c r="H26" s="5">
        <v>90</v>
      </c>
      <c r="I26" s="5"/>
      <c r="J26" s="5"/>
      <c r="K26" s="5"/>
      <c r="L26" s="5"/>
      <c r="M26" s="5"/>
      <c r="N26" s="5"/>
      <c r="O26" s="53"/>
    </row>
    <row r="27" spans="2:15" x14ac:dyDescent="0.25">
      <c r="B27" s="1"/>
      <c r="C27" s="1"/>
      <c r="F27" s="1"/>
      <c r="H27" s="3"/>
      <c r="I27" s="3"/>
      <c r="J27" s="3"/>
      <c r="K27" s="3"/>
      <c r="L27" s="3"/>
      <c r="M27" s="3"/>
      <c r="N27" s="3"/>
      <c r="O27" s="53"/>
    </row>
    <row r="28" spans="2:15" x14ac:dyDescent="0.25">
      <c r="B28" s="1" t="s">
        <v>24</v>
      </c>
      <c r="O28" s="53"/>
    </row>
    <row r="29" spans="2:15" x14ac:dyDescent="0.25">
      <c r="B29" t="s">
        <v>25</v>
      </c>
      <c r="C29" t="s">
        <v>21</v>
      </c>
      <c r="F29" s="13" cm="1">
        <f t="array" ref="F29">IF(ISBLANK(INDEX(H29:O29, B$19)), H29, INDEX(H29:O29, B$19))</f>
        <v>46173</v>
      </c>
      <c r="G29" s="13"/>
      <c r="H29" s="14">
        <v>46173</v>
      </c>
      <c r="I29" s="14"/>
      <c r="J29" s="14"/>
      <c r="K29" s="14"/>
      <c r="L29" s="14"/>
      <c r="M29" s="14"/>
      <c r="N29" s="14"/>
      <c r="O29" s="53"/>
    </row>
    <row r="30" spans="2:15" x14ac:dyDescent="0.25">
      <c r="B30" t="s">
        <v>26</v>
      </c>
      <c r="C30" t="s">
        <v>27</v>
      </c>
      <c r="F30" cm="1">
        <f t="array" ref="F30">IF(ISBLANK(INDEX(H30:O30, B$19)), H30, INDEX(H30:O30, B$19))</f>
        <v>18</v>
      </c>
      <c r="H30" s="5">
        <v>18</v>
      </c>
      <c r="I30" s="5"/>
      <c r="J30" s="5"/>
      <c r="K30" s="5"/>
      <c r="L30" s="5"/>
      <c r="M30" s="5"/>
      <c r="N30" s="5"/>
      <c r="O30" s="53"/>
    </row>
    <row r="31" spans="2:15" x14ac:dyDescent="0.25">
      <c r="B31" t="s">
        <v>28</v>
      </c>
      <c r="C31" t="s">
        <v>21</v>
      </c>
      <c r="F31" s="21">
        <f>EOMONTH(F29,F30)</f>
        <v>46721</v>
      </c>
      <c r="O31" s="53"/>
    </row>
    <row r="32" spans="2:15" x14ac:dyDescent="0.25">
      <c r="O32" s="53"/>
    </row>
    <row r="33" spans="2:15" x14ac:dyDescent="0.25">
      <c r="B33" s="34" t="s">
        <v>145</v>
      </c>
      <c r="O33" s="53"/>
    </row>
    <row r="34" spans="2:15" x14ac:dyDescent="0.25">
      <c r="B34" t="s">
        <v>29</v>
      </c>
      <c r="C34" t="s">
        <v>23</v>
      </c>
      <c r="F34" cm="1">
        <f t="array" ref="F34">IF(ISBLANK(INDEX(H34:O34, B$19)), H34, INDEX(H34:O34, B$19))</f>
        <v>515</v>
      </c>
      <c r="H34" s="5">
        <v>515</v>
      </c>
      <c r="I34" s="5"/>
      <c r="J34" s="5"/>
      <c r="K34" s="5"/>
      <c r="L34" s="5"/>
      <c r="M34" s="5"/>
      <c r="N34" s="5"/>
      <c r="O34" s="53"/>
    </row>
    <row r="35" spans="2:15" x14ac:dyDescent="0.25">
      <c r="B35" t="s">
        <v>153</v>
      </c>
      <c r="C35" t="s">
        <v>59</v>
      </c>
      <c r="F35" cm="1">
        <f t="array" ref="F35">IF(ISBLANK(INDEX(H35:O35, B$19)), H35, INDEX(H35:O35, B$19))</f>
        <v>35</v>
      </c>
      <c r="H35" s="5">
        <v>35</v>
      </c>
      <c r="I35" s="5"/>
      <c r="J35" s="5"/>
      <c r="K35" s="5"/>
      <c r="L35" s="5"/>
      <c r="M35" s="5"/>
      <c r="N35" s="5"/>
      <c r="O35" s="53"/>
    </row>
    <row r="36" spans="2:15" x14ac:dyDescent="0.25">
      <c r="O36" s="53"/>
    </row>
    <row r="37" spans="2:15" x14ac:dyDescent="0.25">
      <c r="B37" s="34" t="s">
        <v>156</v>
      </c>
      <c r="O37" s="53"/>
    </row>
    <row r="38" spans="2:15" x14ac:dyDescent="0.25">
      <c r="B38" t="s">
        <v>150</v>
      </c>
      <c r="C38" t="s">
        <v>23</v>
      </c>
      <c r="F38" cm="1">
        <f t="array" ref="F38">IF(ISBLANK(INDEX(H38:O38, B$19)), H38, INDEX(H38:O38, B$19))</f>
        <v>220</v>
      </c>
      <c r="H38" s="5">
        <v>220</v>
      </c>
      <c r="I38" s="5"/>
      <c r="J38" s="5"/>
      <c r="K38" s="5"/>
      <c r="L38" s="5"/>
      <c r="M38" s="5"/>
      <c r="N38" s="5"/>
      <c r="O38" s="53"/>
    </row>
    <row r="39" spans="2:15" x14ac:dyDescent="0.25">
      <c r="B39" t="s">
        <v>151</v>
      </c>
      <c r="C39" t="s">
        <v>23</v>
      </c>
      <c r="F39" cm="1">
        <f t="array" ref="F39">IF(ISBLANK(INDEX(H39:O39, B$19)), H39, INDEX(H39:O39, B$19))</f>
        <v>110</v>
      </c>
      <c r="H39" s="5">
        <v>110</v>
      </c>
      <c r="I39" s="5"/>
      <c r="J39" s="5"/>
      <c r="K39" s="5"/>
      <c r="L39" s="5"/>
      <c r="M39" s="5"/>
      <c r="N39" s="5"/>
      <c r="O39" s="53"/>
    </row>
    <row r="40" spans="2:15" x14ac:dyDescent="0.25">
      <c r="B40" t="s">
        <v>154</v>
      </c>
      <c r="C40" t="s">
        <v>59</v>
      </c>
      <c r="F40" cm="1">
        <f t="array" ref="F40">IF(ISBLANK(INDEX(H40:O40, B$19)), H40, INDEX(H40:O40, B$19))</f>
        <v>17</v>
      </c>
      <c r="H40" s="5">
        <v>17</v>
      </c>
      <c r="I40" s="5"/>
      <c r="J40" s="5"/>
      <c r="K40" s="5"/>
      <c r="L40" s="5"/>
      <c r="M40" s="5"/>
      <c r="N40" s="5"/>
      <c r="O40" s="53"/>
    </row>
    <row r="41" spans="2:15" x14ac:dyDescent="0.25">
      <c r="O41" s="53"/>
    </row>
    <row r="42" spans="2:15" x14ac:dyDescent="0.25">
      <c r="B42" t="s">
        <v>30</v>
      </c>
      <c r="C42" t="s">
        <v>21</v>
      </c>
      <c r="F42" s="15">
        <f>F31+1</f>
        <v>46722</v>
      </c>
      <c r="O42" s="53"/>
    </row>
    <row r="43" spans="2:15" x14ac:dyDescent="0.25">
      <c r="B43" t="s">
        <v>152</v>
      </c>
      <c r="C43" t="s">
        <v>59</v>
      </c>
      <c r="F43" s="54">
        <f>F35</f>
        <v>35</v>
      </c>
      <c r="O43" s="53"/>
    </row>
    <row r="44" spans="2:15" x14ac:dyDescent="0.25">
      <c r="B44" t="s">
        <v>31</v>
      </c>
      <c r="C44" t="s">
        <v>21</v>
      </c>
      <c r="F44" s="15">
        <f>EOMONTH(F42, (F43*12))</f>
        <v>59536</v>
      </c>
      <c r="O44" s="53"/>
    </row>
    <row r="45" spans="2:15" x14ac:dyDescent="0.25">
      <c r="B45" t="s">
        <v>154</v>
      </c>
      <c r="C45" t="s">
        <v>59</v>
      </c>
      <c r="F45" s="54">
        <f>F40</f>
        <v>17</v>
      </c>
      <c r="O45" s="53"/>
    </row>
    <row r="46" spans="2:15" x14ac:dyDescent="0.25">
      <c r="B46" t="s">
        <v>155</v>
      </c>
      <c r="C46" t="s">
        <v>21</v>
      </c>
      <c r="F46" s="15">
        <f>EOMONTH(F42, (F45*12))</f>
        <v>52962</v>
      </c>
      <c r="O46" s="53"/>
    </row>
    <row r="47" spans="2:15" x14ac:dyDescent="0.25">
      <c r="O47" s="53"/>
    </row>
    <row r="48" spans="2:15" x14ac:dyDescent="0.25">
      <c r="B48" s="1" t="s">
        <v>32</v>
      </c>
      <c r="O48" s="53"/>
    </row>
    <row r="49" spans="2:15" x14ac:dyDescent="0.25">
      <c r="B49" s="34" t="s">
        <v>145</v>
      </c>
      <c r="O49" s="53"/>
    </row>
    <row r="50" spans="2:15" x14ac:dyDescent="0.25">
      <c r="B50" t="s">
        <v>33</v>
      </c>
      <c r="C50" t="s">
        <v>34</v>
      </c>
      <c r="F50" s="9" cm="1">
        <f t="array" ref="F50">IF(ISBLANK(INDEX(H50:O50, B$19)), H50, INDEX(H50:O50, B$19))</f>
        <v>61</v>
      </c>
      <c r="H50" s="7">
        <v>61</v>
      </c>
      <c r="I50" s="7"/>
      <c r="J50" s="5"/>
      <c r="K50" s="5"/>
      <c r="L50" s="5"/>
      <c r="M50" s="5"/>
      <c r="N50" s="5"/>
      <c r="O50" s="53"/>
    </row>
    <row r="51" spans="2:15" x14ac:dyDescent="0.25">
      <c r="B51" t="s">
        <v>35</v>
      </c>
      <c r="C51" t="s">
        <v>36</v>
      </c>
      <c r="F51" s="9" cm="1">
        <f t="array" ref="F51">IF(ISBLANK(INDEX(H51:O51, B$19)), H51, INDEX(H51:O51, B$19))</f>
        <v>1250</v>
      </c>
      <c r="H51" s="7">
        <v>1250</v>
      </c>
      <c r="I51" s="7"/>
      <c r="J51" s="5"/>
      <c r="K51" s="5"/>
      <c r="L51" s="5"/>
      <c r="M51" s="5"/>
      <c r="N51" s="5"/>
      <c r="O51" s="53"/>
    </row>
    <row r="52" spans="2:15" x14ac:dyDescent="0.25">
      <c r="B52" t="s">
        <v>37</v>
      </c>
      <c r="F52" s="10" cm="1">
        <f t="array" ref="F52">IF(ISBLANK(INDEX(H52:O52, B$19)), H52, INDEX(H52:O52, B$19))</f>
        <v>0</v>
      </c>
      <c r="H52" s="11">
        <v>0</v>
      </c>
      <c r="I52" s="11"/>
      <c r="J52" s="11"/>
      <c r="K52" s="11"/>
      <c r="L52" s="11"/>
      <c r="M52" s="11"/>
      <c r="N52" s="11"/>
      <c r="O52" s="53"/>
    </row>
    <row r="53" spans="2:15" x14ac:dyDescent="0.25">
      <c r="B53" t="s">
        <v>38</v>
      </c>
      <c r="F53" s="12">
        <f>F51 * (1 + F52)</f>
        <v>1250</v>
      </c>
      <c r="O53" s="53"/>
    </row>
    <row r="54" spans="2:15" x14ac:dyDescent="0.25">
      <c r="B54" t="s">
        <v>39</v>
      </c>
      <c r="C54" t="s">
        <v>2</v>
      </c>
      <c r="F54" s="10" cm="1">
        <f t="array" ref="F54">IF(ISBLANK(INDEX(H54:O54, B$19)), H54, INDEX(H54:O54, B$19))</f>
        <v>0.995</v>
      </c>
      <c r="H54" s="11">
        <v>0.995</v>
      </c>
      <c r="I54" s="11"/>
      <c r="J54" s="11"/>
      <c r="K54" s="11"/>
      <c r="L54" s="11"/>
      <c r="M54" s="11"/>
      <c r="N54" s="11"/>
      <c r="O54" s="53"/>
    </row>
    <row r="55" spans="2:15" x14ac:dyDescent="0.25">
      <c r="B55" t="s">
        <v>40</v>
      </c>
      <c r="C55" t="s">
        <v>41</v>
      </c>
      <c r="F55" s="10" cm="1">
        <f t="array" ref="F55">IF(ISBLANK(INDEX(H55:O55, B$19)), H55, INDEX(H55:O55, B$19))</f>
        <v>3.0000000000000001E-3</v>
      </c>
      <c r="H55" s="11">
        <v>3.0000000000000001E-3</v>
      </c>
      <c r="I55" s="11"/>
      <c r="J55" s="11"/>
      <c r="K55" s="11"/>
      <c r="L55" s="11"/>
      <c r="M55" s="11"/>
      <c r="N55" s="11"/>
      <c r="O55" s="53"/>
    </row>
    <row r="56" spans="2:15" x14ac:dyDescent="0.25">
      <c r="O56" s="53"/>
    </row>
    <row r="57" spans="2:15" x14ac:dyDescent="0.25">
      <c r="B57" s="34" t="s">
        <v>156</v>
      </c>
      <c r="O57" s="53"/>
    </row>
    <row r="58" spans="2:15" x14ac:dyDescent="0.25">
      <c r="B58" t="s">
        <v>33</v>
      </c>
      <c r="C58" t="s">
        <v>34</v>
      </c>
      <c r="F58" s="9" cm="1">
        <f t="array" ref="F58">IF(ISBLANK(INDEX(H58:O58, B$19)), H58, INDEX(H58:O58, B$19))</f>
        <v>50</v>
      </c>
      <c r="H58" s="7">
        <v>50</v>
      </c>
      <c r="I58" s="7"/>
      <c r="J58" s="5"/>
      <c r="K58" s="5"/>
      <c r="L58" s="5"/>
      <c r="M58" s="5"/>
      <c r="N58" s="5"/>
      <c r="O58" s="53"/>
    </row>
    <row r="59" spans="2:15" x14ac:dyDescent="0.25">
      <c r="B59" t="s">
        <v>158</v>
      </c>
      <c r="C59" t="s">
        <v>157</v>
      </c>
      <c r="F59" s="9" cm="1">
        <f t="array" ref="F59">IF(ISBLANK(INDEX(H59:O59, B$19)), H59, INDEX(H59:O59, B$19))</f>
        <v>2</v>
      </c>
      <c r="H59" s="7">
        <v>2</v>
      </c>
      <c r="I59" s="7"/>
      <c r="J59" s="5"/>
      <c r="K59" s="5"/>
      <c r="L59" s="5"/>
      <c r="M59" s="5"/>
      <c r="N59" s="5"/>
      <c r="O59" s="53"/>
    </row>
    <row r="60" spans="2:15" x14ac:dyDescent="0.25">
      <c r="B60" t="s">
        <v>159</v>
      </c>
      <c r="C60" t="s">
        <v>160</v>
      </c>
      <c r="F60" s="8" cm="1">
        <f t="array" ref="F60">IF(ISBLANK(INDEX(H60:O60, B$19)), H60, INDEX(H60:O60, B$19))</f>
        <v>1.5</v>
      </c>
      <c r="G60" s="8"/>
      <c r="H60" s="6">
        <v>1.5</v>
      </c>
      <c r="I60" s="6"/>
      <c r="J60" s="6"/>
      <c r="K60" s="6"/>
      <c r="L60" s="6"/>
      <c r="M60" s="6"/>
      <c r="N60" s="6"/>
      <c r="O60" s="53"/>
    </row>
    <row r="61" spans="2:15" x14ac:dyDescent="0.25">
      <c r="B61" t="s">
        <v>161</v>
      </c>
      <c r="C61" t="s">
        <v>2</v>
      </c>
      <c r="F61" s="55" cm="1">
        <f t="array" ref="F61">IF(ISBLANK(INDEX(H61:O61, B$19)), H61, INDEX(H61:O61, B$19))</f>
        <v>4.99E-5</v>
      </c>
      <c r="G61" s="55"/>
      <c r="H61" s="56">
        <v>4.99E-5</v>
      </c>
      <c r="I61" s="56"/>
      <c r="J61" s="56"/>
      <c r="K61" s="56"/>
      <c r="L61" s="56"/>
      <c r="M61" s="56"/>
      <c r="N61" s="56"/>
      <c r="O61" s="53"/>
    </row>
    <row r="62" spans="2:15" x14ac:dyDescent="0.25">
      <c r="B62" t="s">
        <v>39</v>
      </c>
      <c r="C62" t="s">
        <v>2</v>
      </c>
      <c r="F62" s="57" cm="1">
        <f t="array" ref="F62">IF(ISBLANK(INDEX(H62:O62, B$19)), H62, INDEX(H62:O62, B$19))</f>
        <v>0.99</v>
      </c>
      <c r="G62" s="57"/>
      <c r="H62" s="58">
        <v>0.99</v>
      </c>
      <c r="I62" s="58"/>
      <c r="J62" s="58"/>
      <c r="K62" s="58"/>
      <c r="L62" s="58"/>
      <c r="M62" s="58"/>
      <c r="N62" s="58"/>
      <c r="O62" s="53"/>
    </row>
    <row r="63" spans="2:15" x14ac:dyDescent="0.25">
      <c r="O63" s="53"/>
    </row>
    <row r="64" spans="2:15" x14ac:dyDescent="0.25">
      <c r="B64" s="1" t="s">
        <v>42</v>
      </c>
      <c r="O64" s="53"/>
    </row>
    <row r="65" spans="1:15" x14ac:dyDescent="0.25">
      <c r="B65" s="34" t="s">
        <v>145</v>
      </c>
      <c r="O65" s="53"/>
    </row>
    <row r="66" spans="1:15" x14ac:dyDescent="0.25">
      <c r="A66" s="59" t="s">
        <v>162</v>
      </c>
      <c r="B66" t="s">
        <v>43</v>
      </c>
      <c r="C66" t="s">
        <v>44</v>
      </c>
      <c r="F66" s="8" cm="1">
        <f t="array" ref="F66">IF(ISBLANK(INDEX(H66:O66, B$19)), H66, INDEX(H66:O66, B$19))</f>
        <v>45</v>
      </c>
      <c r="G66" s="8"/>
      <c r="H66" s="6">
        <v>45</v>
      </c>
      <c r="I66" s="6"/>
      <c r="J66" s="6"/>
      <c r="K66" s="6"/>
      <c r="L66" s="6"/>
      <c r="M66" s="6"/>
      <c r="N66" s="6"/>
      <c r="O66" s="53"/>
    </row>
    <row r="67" spans="1:15" x14ac:dyDescent="0.25">
      <c r="B67" t="s">
        <v>45</v>
      </c>
      <c r="C67" t="s">
        <v>44</v>
      </c>
      <c r="F67" s="8" cm="1">
        <f t="array" ref="F67">IF(ISBLANK(INDEX(H67:O67, B$19)), H67, INDEX(H67:O67, B$19))</f>
        <v>1.75</v>
      </c>
      <c r="G67" s="8"/>
      <c r="H67" s="6">
        <v>1.75</v>
      </c>
      <c r="I67" s="6"/>
      <c r="J67" s="6"/>
      <c r="K67" s="6"/>
      <c r="L67" s="6"/>
      <c r="M67" s="6"/>
      <c r="N67" s="6"/>
      <c r="O67" s="53"/>
    </row>
    <row r="68" spans="1:15" x14ac:dyDescent="0.25">
      <c r="O68" s="53"/>
    </row>
    <row r="69" spans="1:15" x14ac:dyDescent="0.25">
      <c r="B69" s="34" t="s">
        <v>156</v>
      </c>
      <c r="O69" s="53"/>
    </row>
    <row r="70" spans="1:15" x14ac:dyDescent="0.25">
      <c r="A70" s="59" t="s">
        <v>164</v>
      </c>
      <c r="B70" t="s">
        <v>163</v>
      </c>
      <c r="C70" t="s">
        <v>17</v>
      </c>
      <c r="H70" s="61"/>
      <c r="I70" s="61"/>
      <c r="J70" s="61"/>
      <c r="K70" s="61"/>
      <c r="L70" s="61"/>
      <c r="M70" s="61"/>
      <c r="N70" s="61"/>
      <c r="O70" s="60"/>
    </row>
    <row r="71" spans="1:15" x14ac:dyDescent="0.25">
      <c r="B71" t="s">
        <v>165</v>
      </c>
      <c r="C71" t="s">
        <v>2</v>
      </c>
      <c r="F71" s="57" cm="1">
        <f t="array" ref="F71">IF(ISBLANK(INDEX(H71:O71, B$19)), H71, INDEX(H71:O71, B$19))</f>
        <v>0.66666666666666663</v>
      </c>
      <c r="G71" s="57"/>
      <c r="H71" s="58">
        <f>2/3</f>
        <v>0.66666666666666663</v>
      </c>
      <c r="I71" s="58"/>
      <c r="J71" s="58"/>
      <c r="K71" s="58"/>
      <c r="L71" s="58"/>
      <c r="M71" s="58"/>
      <c r="N71" s="58"/>
      <c r="O71" s="53"/>
    </row>
    <row r="72" spans="1:15" x14ac:dyDescent="0.25">
      <c r="O72" s="53"/>
    </row>
    <row r="73" spans="1:15" x14ac:dyDescent="0.25">
      <c r="B73" t="s">
        <v>167</v>
      </c>
      <c r="O73" s="53"/>
    </row>
    <row r="74" spans="1:15" x14ac:dyDescent="0.25">
      <c r="B74" t="s">
        <v>166</v>
      </c>
      <c r="O74" s="53"/>
    </row>
    <row r="75" spans="1:15" x14ac:dyDescent="0.25">
      <c r="B75" t="s">
        <v>168</v>
      </c>
      <c r="O75" s="53"/>
    </row>
    <row r="76" spans="1:15" x14ac:dyDescent="0.25">
      <c r="O76" s="53"/>
    </row>
    <row r="77" spans="1:15" x14ac:dyDescent="0.25">
      <c r="B77" t="s">
        <v>169</v>
      </c>
      <c r="C77" t="s">
        <v>2</v>
      </c>
      <c r="F77" s="57" cm="1">
        <f t="array" ref="F77">IF(ISBLANK(INDEX(H77:O77, B$19)), H77, INDEX(H77:O77, B$19))</f>
        <v>0.05</v>
      </c>
      <c r="G77" s="57"/>
      <c r="H77" s="58">
        <v>0.05</v>
      </c>
      <c r="I77" s="58"/>
      <c r="J77" s="58"/>
      <c r="K77" s="58"/>
      <c r="L77" s="58"/>
      <c r="M77" s="58"/>
      <c r="N77" s="58"/>
      <c r="O77" s="53"/>
    </row>
    <row r="78" spans="1:15" x14ac:dyDescent="0.25">
      <c r="O78" s="53"/>
    </row>
    <row r="79" spans="1:15" x14ac:dyDescent="0.25">
      <c r="B79" s="1" t="s">
        <v>46</v>
      </c>
      <c r="O79" s="53"/>
    </row>
    <row r="80" spans="1:15" x14ac:dyDescent="0.25">
      <c r="B80" s="34" t="s">
        <v>145</v>
      </c>
      <c r="O80" s="53"/>
    </row>
    <row r="81" spans="1:16" x14ac:dyDescent="0.25">
      <c r="B81" t="s">
        <v>47</v>
      </c>
      <c r="C81" t="s">
        <v>48</v>
      </c>
      <c r="F81" s="9" cm="1">
        <f t="array" ref="F81">IF(ISBLANK(INDEX(H81:O81, B$19)), H81, INDEX(H81:O81, B$19))</f>
        <v>14.96</v>
      </c>
      <c r="H81" s="5">
        <v>14.96</v>
      </c>
      <c r="I81" s="5"/>
      <c r="J81" s="5"/>
      <c r="K81" s="5"/>
      <c r="L81" s="5"/>
      <c r="M81" s="5"/>
      <c r="N81" s="5"/>
      <c r="O81" s="53"/>
      <c r="P81" t="s">
        <v>49</v>
      </c>
    </row>
    <row r="82" spans="1:16" x14ac:dyDescent="0.25">
      <c r="B82" t="s">
        <v>50</v>
      </c>
      <c r="C82" t="s">
        <v>44</v>
      </c>
      <c r="F82" s="9" cm="1">
        <f t="array" ref="F82">IF(ISBLANK(INDEX(H82:O82, B$19)), H82, INDEX(H82:O82, B$19))</f>
        <v>5</v>
      </c>
      <c r="H82" s="36">
        <v>5</v>
      </c>
      <c r="I82" s="5"/>
      <c r="J82" s="5"/>
      <c r="K82" s="5"/>
      <c r="L82" s="5"/>
      <c r="M82" s="5"/>
      <c r="N82" s="5"/>
      <c r="O82" s="53"/>
    </row>
    <row r="83" spans="1:16" x14ac:dyDescent="0.25">
      <c r="B83" t="s">
        <v>51</v>
      </c>
      <c r="C83" t="s">
        <v>52</v>
      </c>
      <c r="F83" s="9" cm="1">
        <f t="array" ref="F83">IF(ISBLANK(INDEX(H83:O83, B$19)), H83, INDEX(H83:O83, B$19))</f>
        <v>96</v>
      </c>
      <c r="H83" s="5">
        <v>96</v>
      </c>
      <c r="I83" s="5"/>
      <c r="J83" s="5"/>
      <c r="K83" s="5"/>
      <c r="L83" s="5"/>
      <c r="M83" s="5"/>
      <c r="N83" s="5"/>
      <c r="O83" s="53"/>
    </row>
    <row r="84" spans="1:16" x14ac:dyDescent="0.25">
      <c r="O84" s="53"/>
    </row>
    <row r="85" spans="1:16" x14ac:dyDescent="0.25">
      <c r="B85" s="34" t="s">
        <v>156</v>
      </c>
      <c r="O85" s="53"/>
    </row>
    <row r="86" spans="1:16" x14ac:dyDescent="0.25">
      <c r="A86" s="59" t="s">
        <v>68</v>
      </c>
      <c r="B86" t="s">
        <v>170</v>
      </c>
      <c r="C86" t="s">
        <v>171</v>
      </c>
      <c r="F86" s="9" cm="1">
        <f t="array" ref="F86">IF(ISBLANK(INDEX(H86:O86, B$19)), H86, INDEX(H86:O86, B$19))</f>
        <v>5543</v>
      </c>
      <c r="H86" s="7">
        <v>5543</v>
      </c>
      <c r="I86" s="7"/>
      <c r="J86" s="7"/>
      <c r="K86" s="7"/>
      <c r="L86" s="7"/>
      <c r="M86" s="7"/>
      <c r="N86" s="7"/>
      <c r="O86" s="53"/>
    </row>
    <row r="87" spans="1:16" x14ac:dyDescent="0.25">
      <c r="A87" s="59" t="s">
        <v>68</v>
      </c>
      <c r="B87" t="s">
        <v>172</v>
      </c>
      <c r="C87" t="s">
        <v>171</v>
      </c>
      <c r="F87" s="9" cm="1">
        <f t="array" ref="F87">IF(ISBLANK(INDEX(H87:O87, B$19)), H87, INDEX(H87:O87, B$19))</f>
        <v>5543</v>
      </c>
      <c r="H87" s="7">
        <v>5543</v>
      </c>
      <c r="I87" s="7"/>
      <c r="J87" s="7"/>
      <c r="K87" s="7"/>
      <c r="L87" s="7"/>
      <c r="M87" s="7"/>
      <c r="N87" s="7"/>
      <c r="O87" s="53"/>
    </row>
    <row r="88" spans="1:16" x14ac:dyDescent="0.25">
      <c r="B88" t="s">
        <v>173</v>
      </c>
      <c r="C88" t="s">
        <v>171</v>
      </c>
      <c r="F88" s="9"/>
      <c r="H88" s="7"/>
      <c r="I88" s="7"/>
      <c r="J88" s="7"/>
      <c r="K88" s="7"/>
      <c r="L88" s="7"/>
      <c r="M88" s="7"/>
      <c r="N88" s="7"/>
      <c r="O88" s="53"/>
    </row>
    <row r="89" spans="1:16" x14ac:dyDescent="0.25">
      <c r="B89" t="s">
        <v>51</v>
      </c>
      <c r="C89" t="s">
        <v>171</v>
      </c>
      <c r="F89" s="9"/>
      <c r="H89" s="7"/>
      <c r="I89" s="7"/>
      <c r="J89" s="7"/>
      <c r="K89" s="7"/>
      <c r="L89" s="7"/>
      <c r="M89" s="7"/>
      <c r="N89" s="7"/>
      <c r="O89" s="53"/>
    </row>
    <row r="90" spans="1:16" x14ac:dyDescent="0.25">
      <c r="O90" s="53"/>
    </row>
    <row r="91" spans="1:16" x14ac:dyDescent="0.25">
      <c r="B91" s="1" t="s">
        <v>53</v>
      </c>
      <c r="O91" s="53"/>
    </row>
    <row r="92" spans="1:16" x14ac:dyDescent="0.25">
      <c r="B92" t="s">
        <v>54</v>
      </c>
      <c r="C92" t="s">
        <v>55</v>
      </c>
      <c r="F92" s="9" cm="1">
        <f t="array" ref="F92">IF(ISBLANK(INDEX(H92:O92, B$19)), H92, INDEX(H92:O92, B$19))</f>
        <v>30</v>
      </c>
      <c r="H92" s="5">
        <v>30</v>
      </c>
      <c r="I92" s="5"/>
      <c r="J92" s="5"/>
      <c r="K92" s="5"/>
      <c r="L92" s="5"/>
      <c r="M92" s="5"/>
      <c r="N92" s="5"/>
      <c r="O92" s="53"/>
    </row>
    <row r="93" spans="1:16" x14ac:dyDescent="0.25">
      <c r="B93" t="s">
        <v>56</v>
      </c>
      <c r="C93" t="s">
        <v>55</v>
      </c>
      <c r="F93" s="9" cm="1">
        <f t="array" ref="F93">IF(ISBLANK(INDEX(H93:O93, B$19)), H93, INDEX(H93:O93, B$19))</f>
        <v>30</v>
      </c>
      <c r="H93" s="36">
        <v>30</v>
      </c>
      <c r="I93" s="5"/>
      <c r="J93" s="5"/>
      <c r="K93" s="5"/>
      <c r="L93" s="5"/>
      <c r="M93" s="5"/>
      <c r="N93" s="5"/>
      <c r="O93" s="53"/>
    </row>
    <row r="94" spans="1:16" x14ac:dyDescent="0.25">
      <c r="O94" s="53"/>
    </row>
    <row r="95" spans="1:16" x14ac:dyDescent="0.25">
      <c r="B95" s="1" t="s">
        <v>57</v>
      </c>
      <c r="O95" s="53"/>
    </row>
    <row r="96" spans="1:16" x14ac:dyDescent="0.25">
      <c r="B96" t="s">
        <v>58</v>
      </c>
      <c r="C96" t="s">
        <v>59</v>
      </c>
      <c r="F96" s="9" cm="1">
        <f t="array" ref="F96">IF(ISBLANK(INDEX(H96:O96, B$19)), H96, INDEX(H96:O96, B$19))</f>
        <v>30</v>
      </c>
      <c r="H96" s="36">
        <v>30</v>
      </c>
      <c r="I96" s="5"/>
      <c r="J96" s="5"/>
      <c r="K96" s="5"/>
      <c r="L96" s="5"/>
      <c r="M96" s="5"/>
      <c r="N96" s="5"/>
      <c r="O96" s="53"/>
    </row>
    <row r="97" spans="1:15" x14ac:dyDescent="0.25">
      <c r="B97" t="s">
        <v>60</v>
      </c>
      <c r="C97" t="s">
        <v>2</v>
      </c>
      <c r="F97" s="10" cm="1">
        <f t="array" ref="F97">IF(ISBLANK(INDEX(H97:O97, B$19)), H97, INDEX(H97:O97, B$19))</f>
        <v>0.09</v>
      </c>
      <c r="H97" s="11">
        <v>0.09</v>
      </c>
      <c r="I97" s="11"/>
      <c r="J97" s="11"/>
      <c r="K97" s="11"/>
      <c r="L97" s="11"/>
      <c r="M97" s="11"/>
      <c r="N97" s="11"/>
      <c r="O97" s="53"/>
    </row>
    <row r="98" spans="1:15" x14ac:dyDescent="0.25"/>
    <row r="99" spans="1:15" x14ac:dyDescent="0.25">
      <c r="A99" t="s">
        <v>144</v>
      </c>
    </row>
    <row r="100" spans="1:15" x14ac:dyDescent="0.25"/>
    <row r="101" spans="1:15" x14ac:dyDescent="0.25"/>
    <row r="102" spans="1:15" x14ac:dyDescent="0.25"/>
    <row r="103" spans="1:15" x14ac:dyDescent="0.25"/>
    <row r="104" spans="1:15" x14ac:dyDescent="0.25"/>
    <row r="105" spans="1:15" x14ac:dyDescent="0.25"/>
    <row r="106" spans="1:15" x14ac:dyDescent="0.25"/>
    <row r="107" spans="1:15" x14ac:dyDescent="0.25"/>
    <row r="108" spans="1:15" x14ac:dyDescent="0.25"/>
    <row r="109" spans="1:15" x14ac:dyDescent="0.25"/>
    <row r="110" spans="1:15" x14ac:dyDescent="0.25"/>
    <row r="111" spans="1:15" x14ac:dyDescent="0.25"/>
    <row r="112" spans="1:15" x14ac:dyDescent="0.25"/>
    <row r="113" x14ac:dyDescent="0.25"/>
    <row r="114" x14ac:dyDescent="0.25"/>
    <row r="115" x14ac:dyDescent="0.25"/>
    <row r="116" x14ac:dyDescent="0.25"/>
    <row r="117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2676-A57F-426E-A604-BF0D6086DC5B}">
  <dimension ref="B1:AS9"/>
  <sheetViews>
    <sheetView showGridLines="0" workbookViewId="0">
      <selection activeCell="D5" sqref="D5"/>
    </sheetView>
  </sheetViews>
  <sheetFormatPr defaultRowHeight="15" zeroHeight="1" x14ac:dyDescent="0.25"/>
  <cols>
    <col min="2" max="2" width="33.42578125" customWidth="1"/>
  </cols>
  <sheetData>
    <row r="1" spans="2:45" x14ac:dyDescent="0.25"/>
    <row r="2" spans="2:45" x14ac:dyDescent="0.25">
      <c r="B2" s="1" t="s">
        <v>61</v>
      </c>
    </row>
    <row r="3" spans="2:45" x14ac:dyDescent="0.25"/>
    <row r="4" spans="2:45" x14ac:dyDescent="0.25">
      <c r="B4" s="1" t="s">
        <v>62</v>
      </c>
      <c r="E4" s="3">
        <v>1</v>
      </c>
      <c r="F4" s="3">
        <f>E4+1</f>
        <v>2</v>
      </c>
      <c r="G4" s="3">
        <f t="shared" ref="G4:AB4" si="0">F4+1</f>
        <v>3</v>
      </c>
      <c r="H4" s="3">
        <f t="shared" si="0"/>
        <v>4</v>
      </c>
      <c r="I4" s="3">
        <f t="shared" si="0"/>
        <v>5</v>
      </c>
      <c r="J4" s="3">
        <f t="shared" si="0"/>
        <v>6</v>
      </c>
      <c r="K4" s="3">
        <f t="shared" si="0"/>
        <v>7</v>
      </c>
      <c r="L4" s="3">
        <f t="shared" si="0"/>
        <v>8</v>
      </c>
      <c r="M4" s="3">
        <f t="shared" si="0"/>
        <v>9</v>
      </c>
      <c r="N4" s="3">
        <f t="shared" si="0"/>
        <v>10</v>
      </c>
      <c r="O4" s="3">
        <f t="shared" si="0"/>
        <v>11</v>
      </c>
      <c r="P4" s="3">
        <f t="shared" si="0"/>
        <v>12</v>
      </c>
      <c r="Q4" s="3">
        <f t="shared" si="0"/>
        <v>13</v>
      </c>
      <c r="R4" s="3">
        <f t="shared" si="0"/>
        <v>14</v>
      </c>
      <c r="S4" s="3">
        <f t="shared" si="0"/>
        <v>15</v>
      </c>
      <c r="T4" s="3">
        <f t="shared" si="0"/>
        <v>16</v>
      </c>
      <c r="U4" s="3">
        <f t="shared" si="0"/>
        <v>17</v>
      </c>
      <c r="V4" s="3">
        <f t="shared" si="0"/>
        <v>18</v>
      </c>
      <c r="W4" s="3">
        <f t="shared" si="0"/>
        <v>19</v>
      </c>
      <c r="X4" s="3">
        <f t="shared" si="0"/>
        <v>20</v>
      </c>
      <c r="Y4" s="3">
        <f t="shared" si="0"/>
        <v>21</v>
      </c>
      <c r="Z4" s="3">
        <f t="shared" si="0"/>
        <v>22</v>
      </c>
      <c r="AA4" s="3">
        <f t="shared" si="0"/>
        <v>23</v>
      </c>
      <c r="AB4" s="3">
        <f t="shared" si="0"/>
        <v>24</v>
      </c>
    </row>
    <row r="5" spans="2:45" x14ac:dyDescent="0.25">
      <c r="B5" t="s">
        <v>63</v>
      </c>
      <c r="C5" t="s">
        <v>64</v>
      </c>
      <c r="E5" s="26">
        <v>0.1</v>
      </c>
      <c r="F5" s="26">
        <v>6.25E-2</v>
      </c>
      <c r="G5" s="26">
        <v>6.25E-2</v>
      </c>
      <c r="H5" s="26">
        <v>6.25E-2</v>
      </c>
      <c r="I5" s="26">
        <v>6.25E-2</v>
      </c>
      <c r="J5" s="26">
        <v>6.25E-2</v>
      </c>
      <c r="K5" s="26">
        <v>6.25E-2</v>
      </c>
      <c r="L5" s="26">
        <v>6.25E-2</v>
      </c>
      <c r="M5" s="26">
        <v>6.25E-2</v>
      </c>
      <c r="N5" s="26">
        <v>6.6666666666666666E-2</v>
      </c>
      <c r="O5" s="26">
        <v>6.6666666666666666E-2</v>
      </c>
      <c r="P5" s="26">
        <v>6.6666666666666666E-2</v>
      </c>
      <c r="Q5" s="26">
        <v>0.03</v>
      </c>
      <c r="R5" s="26">
        <v>0.03</v>
      </c>
      <c r="S5" s="26">
        <v>0.03</v>
      </c>
      <c r="T5" s="26">
        <v>0.03</v>
      </c>
      <c r="U5" s="26">
        <v>0.03</v>
      </c>
      <c r="V5" s="26">
        <v>0.05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</row>
    <row r="6" spans="2:45" x14ac:dyDescent="0.25"/>
    <row r="7" spans="2:45" x14ac:dyDescent="0.25">
      <c r="B7" s="1" t="s">
        <v>65</v>
      </c>
      <c r="E7" s="3">
        <v>2025</v>
      </c>
      <c r="F7" s="3">
        <f>E7+1</f>
        <v>2026</v>
      </c>
      <c r="G7" s="3">
        <f t="shared" ref="G7:AB7" si="1">F7+1</f>
        <v>2027</v>
      </c>
      <c r="H7" s="3">
        <f t="shared" si="1"/>
        <v>2028</v>
      </c>
      <c r="I7" s="3">
        <f t="shared" si="1"/>
        <v>2029</v>
      </c>
      <c r="J7" s="3">
        <f t="shared" si="1"/>
        <v>2030</v>
      </c>
      <c r="K7" s="3">
        <f t="shared" si="1"/>
        <v>2031</v>
      </c>
      <c r="L7" s="3">
        <f t="shared" si="1"/>
        <v>2032</v>
      </c>
      <c r="M7" s="3">
        <f t="shared" si="1"/>
        <v>2033</v>
      </c>
      <c r="N7" s="3">
        <f t="shared" si="1"/>
        <v>2034</v>
      </c>
      <c r="O7" s="3">
        <f t="shared" si="1"/>
        <v>2035</v>
      </c>
      <c r="P7" s="3">
        <f t="shared" si="1"/>
        <v>2036</v>
      </c>
      <c r="Q7" s="3">
        <f t="shared" si="1"/>
        <v>2037</v>
      </c>
      <c r="R7" s="3">
        <f t="shared" si="1"/>
        <v>2038</v>
      </c>
      <c r="S7" s="3">
        <f t="shared" si="1"/>
        <v>2039</v>
      </c>
      <c r="T7" s="3">
        <f t="shared" si="1"/>
        <v>2040</v>
      </c>
      <c r="U7" s="3">
        <f t="shared" si="1"/>
        <v>2041</v>
      </c>
      <c r="V7" s="3">
        <f t="shared" si="1"/>
        <v>2042</v>
      </c>
      <c r="W7" s="3">
        <f t="shared" si="1"/>
        <v>2043</v>
      </c>
      <c r="X7" s="3">
        <f t="shared" si="1"/>
        <v>2044</v>
      </c>
      <c r="Y7" s="3">
        <f t="shared" si="1"/>
        <v>2045</v>
      </c>
      <c r="Z7" s="3">
        <f t="shared" si="1"/>
        <v>2046</v>
      </c>
      <c r="AA7" s="3">
        <f t="shared" si="1"/>
        <v>2047</v>
      </c>
      <c r="AB7" s="3">
        <f t="shared" si="1"/>
        <v>2048</v>
      </c>
      <c r="AC7" s="3">
        <f t="shared" ref="AC7:AO7" si="2">AB7+1</f>
        <v>2049</v>
      </c>
      <c r="AD7" s="3">
        <f t="shared" si="2"/>
        <v>2050</v>
      </c>
      <c r="AE7" s="3">
        <f t="shared" si="2"/>
        <v>2051</v>
      </c>
      <c r="AF7" s="3">
        <f t="shared" si="2"/>
        <v>2052</v>
      </c>
      <c r="AG7" s="3">
        <f t="shared" si="2"/>
        <v>2053</v>
      </c>
      <c r="AH7" s="3">
        <f t="shared" si="2"/>
        <v>2054</v>
      </c>
      <c r="AI7" s="3">
        <f t="shared" si="2"/>
        <v>2055</v>
      </c>
      <c r="AJ7" s="3">
        <f t="shared" si="2"/>
        <v>2056</v>
      </c>
      <c r="AK7" s="3">
        <f t="shared" si="2"/>
        <v>2057</v>
      </c>
      <c r="AL7" s="3">
        <f t="shared" si="2"/>
        <v>2058</v>
      </c>
      <c r="AM7" s="3">
        <f t="shared" si="2"/>
        <v>2059</v>
      </c>
      <c r="AN7" s="3">
        <f t="shared" si="2"/>
        <v>2060</v>
      </c>
      <c r="AO7" s="3">
        <f t="shared" si="2"/>
        <v>2061</v>
      </c>
      <c r="AP7" s="3">
        <f t="shared" ref="AP7:AS7" si="3">AO7+1</f>
        <v>2062</v>
      </c>
      <c r="AQ7" s="3">
        <f t="shared" si="3"/>
        <v>2063</v>
      </c>
      <c r="AR7" s="3">
        <f t="shared" si="3"/>
        <v>2064</v>
      </c>
      <c r="AS7" s="3">
        <f t="shared" si="3"/>
        <v>2065</v>
      </c>
    </row>
    <row r="8" spans="2:45" x14ac:dyDescent="0.25">
      <c r="B8" t="s">
        <v>66</v>
      </c>
      <c r="C8" t="s">
        <v>67</v>
      </c>
      <c r="E8" s="11">
        <v>4.9000000000000002E-2</v>
      </c>
      <c r="F8" s="11">
        <v>3.5999999999999997E-2</v>
      </c>
      <c r="G8" s="11">
        <v>3.2000000000000001E-2</v>
      </c>
      <c r="H8" s="11">
        <v>0.03</v>
      </c>
      <c r="I8" s="11">
        <v>0.03</v>
      </c>
      <c r="J8" s="11">
        <v>2.5000000000000001E-2</v>
      </c>
      <c r="K8" s="11">
        <v>2.5000000000000001E-2</v>
      </c>
      <c r="L8" s="11">
        <v>2.5000000000000001E-2</v>
      </c>
      <c r="M8" s="11">
        <v>2.5000000000000001E-2</v>
      </c>
      <c r="N8" s="11">
        <v>2.5000000000000001E-2</v>
      </c>
      <c r="O8" s="11">
        <v>2.5000000000000001E-2</v>
      </c>
      <c r="P8" s="11">
        <v>2.5000000000000001E-2</v>
      </c>
      <c r="Q8" s="11">
        <v>2.5000000000000001E-2</v>
      </c>
      <c r="R8" s="11">
        <v>2.5000000000000001E-2</v>
      </c>
      <c r="S8" s="11">
        <v>2.5000000000000001E-2</v>
      </c>
      <c r="T8" s="11">
        <v>2.5000000000000001E-2</v>
      </c>
      <c r="U8" s="11">
        <v>2.5000000000000001E-2</v>
      </c>
      <c r="V8" s="11">
        <v>2.5000000000000001E-2</v>
      </c>
      <c r="W8" s="11">
        <v>2.5000000000000001E-2</v>
      </c>
      <c r="X8" s="11">
        <v>2.5000000000000001E-2</v>
      </c>
      <c r="Y8" s="11">
        <v>2.5000000000000001E-2</v>
      </c>
      <c r="Z8" s="11">
        <v>2.5000000000000001E-2</v>
      </c>
      <c r="AA8" s="11">
        <v>2.5000000000000001E-2</v>
      </c>
      <c r="AB8" s="11">
        <v>2.5000000000000001E-2</v>
      </c>
      <c r="AC8" s="11">
        <v>2.5000000000000001E-2</v>
      </c>
      <c r="AD8" s="11">
        <v>2.5000000000000001E-2</v>
      </c>
      <c r="AE8" s="11">
        <v>2.5000000000000001E-2</v>
      </c>
      <c r="AF8" s="11">
        <v>2.5000000000000001E-2</v>
      </c>
      <c r="AG8" s="11">
        <v>2.5000000000000001E-2</v>
      </c>
      <c r="AH8" s="11">
        <v>2.5000000000000001E-2</v>
      </c>
      <c r="AI8" s="11">
        <v>2.5000000000000001E-2</v>
      </c>
      <c r="AJ8" s="11">
        <v>2.5000000000000001E-2</v>
      </c>
      <c r="AK8" s="11">
        <v>2.5000000000000001E-2</v>
      </c>
      <c r="AL8" s="11">
        <v>2.5000000000000001E-2</v>
      </c>
      <c r="AM8" s="11">
        <v>2.5000000000000001E-2</v>
      </c>
      <c r="AN8" s="11">
        <v>2.5000000000000001E-2</v>
      </c>
      <c r="AO8" s="11">
        <v>2.5000000000000001E-2</v>
      </c>
      <c r="AP8" s="11">
        <v>2.5000000000000001E-2</v>
      </c>
      <c r="AQ8" s="11">
        <v>2.5000000000000001E-2</v>
      </c>
      <c r="AR8" s="11">
        <v>2.5000000000000001E-2</v>
      </c>
      <c r="AS8" s="11">
        <v>2.5000000000000001E-2</v>
      </c>
    </row>
    <row r="9" spans="2:45" x14ac:dyDescent="0.25">
      <c r="D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15D0-850D-49C8-BD24-2BB505273CF7}">
  <dimension ref="A1:SE120"/>
  <sheetViews>
    <sheetView showGridLines="0" workbookViewId="0">
      <pane xSplit="3" ySplit="9" topLeftCell="D84" activePane="bottomRight" state="frozen"/>
      <selection pane="topRight" activeCell="D1" sqref="D1"/>
      <selection pane="bottomLeft" activeCell="A10" sqref="A10"/>
      <selection pane="bottomRight" activeCell="L81" sqref="L81"/>
    </sheetView>
  </sheetViews>
  <sheetFormatPr defaultColWidth="0" defaultRowHeight="15" zeroHeight="1" x14ac:dyDescent="0.25"/>
  <cols>
    <col min="1" max="1" width="9.140625" customWidth="1"/>
    <col min="2" max="2" width="37" bestFit="1" customWidth="1"/>
    <col min="3" max="3" width="9.140625" customWidth="1"/>
    <col min="4" max="8" width="12.85546875" customWidth="1"/>
    <col min="9" max="170" width="10.28515625" customWidth="1"/>
    <col min="171" max="284" width="10.28515625" hidden="1" customWidth="1"/>
    <col min="285" max="427" width="10.7109375" hidden="1" customWidth="1"/>
    <col min="428" max="499" width="0" hidden="1" customWidth="1"/>
    <col min="500" max="16384" width="9.140625" hidden="1"/>
  </cols>
  <sheetData>
    <row r="1" spans="2:499" x14ac:dyDescent="0.25"/>
    <row r="2" spans="2:499" x14ac:dyDescent="0.25">
      <c r="B2" s="40" t="s">
        <v>68</v>
      </c>
      <c r="C2" s="41"/>
      <c r="D2" s="41"/>
      <c r="E2" s="41"/>
      <c r="F2" s="41"/>
      <c r="G2" s="41"/>
      <c r="H2" s="40" t="s">
        <v>69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</row>
    <row r="3" spans="2:499" x14ac:dyDescent="0.25">
      <c r="B3" t="s">
        <v>70</v>
      </c>
      <c r="I3" s="20">
        <v>45931</v>
      </c>
      <c r="J3" s="20">
        <f>I4+1</f>
        <v>46023</v>
      </c>
      <c r="K3" s="20">
        <f t="shared" ref="K3:BV3" si="0">J4+1</f>
        <v>46113</v>
      </c>
      <c r="L3" s="20">
        <f t="shared" si="0"/>
        <v>46204</v>
      </c>
      <c r="M3" s="20">
        <f t="shared" si="0"/>
        <v>46296</v>
      </c>
      <c r="N3" s="20">
        <f t="shared" si="0"/>
        <v>46388</v>
      </c>
      <c r="O3" s="20">
        <f t="shared" si="0"/>
        <v>46478</v>
      </c>
      <c r="P3" s="20">
        <f t="shared" si="0"/>
        <v>46569</v>
      </c>
      <c r="Q3" s="20">
        <f t="shared" si="0"/>
        <v>46661</v>
      </c>
      <c r="R3" s="20">
        <f t="shared" si="0"/>
        <v>46753</v>
      </c>
      <c r="S3" s="20">
        <f t="shared" si="0"/>
        <v>46844</v>
      </c>
      <c r="T3" s="20">
        <f t="shared" si="0"/>
        <v>46935</v>
      </c>
      <c r="U3" s="20">
        <f t="shared" si="0"/>
        <v>47027</v>
      </c>
      <c r="V3" s="20">
        <f t="shared" si="0"/>
        <v>47119</v>
      </c>
      <c r="W3" s="20">
        <f t="shared" si="0"/>
        <v>47209</v>
      </c>
      <c r="X3" s="20">
        <f t="shared" si="0"/>
        <v>47300</v>
      </c>
      <c r="Y3" s="20">
        <f t="shared" si="0"/>
        <v>47392</v>
      </c>
      <c r="Z3" s="20">
        <f t="shared" si="0"/>
        <v>47484</v>
      </c>
      <c r="AA3" s="20">
        <f t="shared" si="0"/>
        <v>47574</v>
      </c>
      <c r="AB3" s="20">
        <f t="shared" si="0"/>
        <v>47665</v>
      </c>
      <c r="AC3" s="20">
        <f t="shared" si="0"/>
        <v>47757</v>
      </c>
      <c r="AD3" s="20">
        <f t="shared" si="0"/>
        <v>47849</v>
      </c>
      <c r="AE3" s="20">
        <f t="shared" si="0"/>
        <v>47939</v>
      </c>
      <c r="AF3" s="20">
        <f t="shared" si="0"/>
        <v>48030</v>
      </c>
      <c r="AG3" s="20">
        <f t="shared" si="0"/>
        <v>48122</v>
      </c>
      <c r="AH3" s="20">
        <f t="shared" si="0"/>
        <v>48214</v>
      </c>
      <c r="AI3" s="20">
        <f t="shared" si="0"/>
        <v>48305</v>
      </c>
      <c r="AJ3" s="20">
        <f t="shared" si="0"/>
        <v>48396</v>
      </c>
      <c r="AK3" s="20">
        <f t="shared" si="0"/>
        <v>48488</v>
      </c>
      <c r="AL3" s="20">
        <f t="shared" si="0"/>
        <v>48580</v>
      </c>
      <c r="AM3" s="20">
        <f t="shared" si="0"/>
        <v>48670</v>
      </c>
      <c r="AN3" s="20">
        <f t="shared" si="0"/>
        <v>48761</v>
      </c>
      <c r="AO3" s="20">
        <f t="shared" si="0"/>
        <v>48853</v>
      </c>
      <c r="AP3" s="20">
        <f t="shared" si="0"/>
        <v>48945</v>
      </c>
      <c r="AQ3" s="20">
        <f t="shared" si="0"/>
        <v>49035</v>
      </c>
      <c r="AR3" s="20">
        <f t="shared" si="0"/>
        <v>49126</v>
      </c>
      <c r="AS3" s="20">
        <f t="shared" si="0"/>
        <v>49218</v>
      </c>
      <c r="AT3" s="20">
        <f t="shared" si="0"/>
        <v>49310</v>
      </c>
      <c r="AU3" s="20">
        <f t="shared" si="0"/>
        <v>49400</v>
      </c>
      <c r="AV3" s="20">
        <f t="shared" si="0"/>
        <v>49491</v>
      </c>
      <c r="AW3" s="20">
        <f t="shared" si="0"/>
        <v>49583</v>
      </c>
      <c r="AX3" s="20">
        <f t="shared" si="0"/>
        <v>49675</v>
      </c>
      <c r="AY3" s="20">
        <f t="shared" si="0"/>
        <v>49766</v>
      </c>
      <c r="AZ3" s="20">
        <f t="shared" si="0"/>
        <v>49857</v>
      </c>
      <c r="BA3" s="20">
        <f t="shared" si="0"/>
        <v>49949</v>
      </c>
      <c r="BB3" s="20">
        <f t="shared" si="0"/>
        <v>50041</v>
      </c>
      <c r="BC3" s="20">
        <f t="shared" si="0"/>
        <v>50131</v>
      </c>
      <c r="BD3" s="20">
        <f t="shared" si="0"/>
        <v>50222</v>
      </c>
      <c r="BE3" s="20">
        <f t="shared" si="0"/>
        <v>50314</v>
      </c>
      <c r="BF3" s="20">
        <f t="shared" si="0"/>
        <v>50406</v>
      </c>
      <c r="BG3" s="20">
        <f t="shared" si="0"/>
        <v>50496</v>
      </c>
      <c r="BH3" s="20">
        <f t="shared" si="0"/>
        <v>50587</v>
      </c>
      <c r="BI3" s="20">
        <f t="shared" si="0"/>
        <v>50679</v>
      </c>
      <c r="BJ3" s="20">
        <f t="shared" si="0"/>
        <v>50771</v>
      </c>
      <c r="BK3" s="20">
        <f t="shared" si="0"/>
        <v>50861</v>
      </c>
      <c r="BL3" s="20">
        <f t="shared" si="0"/>
        <v>50952</v>
      </c>
      <c r="BM3" s="20">
        <f t="shared" si="0"/>
        <v>51044</v>
      </c>
      <c r="BN3" s="20">
        <f t="shared" si="0"/>
        <v>51136</v>
      </c>
      <c r="BO3" s="20">
        <f t="shared" si="0"/>
        <v>51227</v>
      </c>
      <c r="BP3" s="20">
        <f t="shared" si="0"/>
        <v>51318</v>
      </c>
      <c r="BQ3" s="20">
        <f t="shared" si="0"/>
        <v>51410</v>
      </c>
      <c r="BR3" s="20">
        <f t="shared" si="0"/>
        <v>51502</v>
      </c>
      <c r="BS3" s="20">
        <f t="shared" si="0"/>
        <v>51592</v>
      </c>
      <c r="BT3" s="20">
        <f t="shared" si="0"/>
        <v>51683</v>
      </c>
      <c r="BU3" s="20">
        <f t="shared" si="0"/>
        <v>51775</v>
      </c>
      <c r="BV3" s="20">
        <f t="shared" si="0"/>
        <v>51867</v>
      </c>
      <c r="BW3" s="20">
        <f t="shared" ref="BW3:EH3" si="1">BV4+1</f>
        <v>51957</v>
      </c>
      <c r="BX3" s="20">
        <f t="shared" si="1"/>
        <v>52048</v>
      </c>
      <c r="BY3" s="20">
        <f t="shared" si="1"/>
        <v>52140</v>
      </c>
      <c r="BZ3" s="20">
        <f t="shared" si="1"/>
        <v>52232</v>
      </c>
      <c r="CA3" s="20">
        <f t="shared" si="1"/>
        <v>52322</v>
      </c>
      <c r="CB3" s="20">
        <f t="shared" si="1"/>
        <v>52413</v>
      </c>
      <c r="CC3" s="20">
        <f t="shared" si="1"/>
        <v>52505</v>
      </c>
      <c r="CD3" s="20">
        <f t="shared" si="1"/>
        <v>52597</v>
      </c>
      <c r="CE3" s="20">
        <f t="shared" si="1"/>
        <v>52688</v>
      </c>
      <c r="CF3" s="20">
        <f t="shared" si="1"/>
        <v>52779</v>
      </c>
      <c r="CG3" s="20">
        <f t="shared" si="1"/>
        <v>52871</v>
      </c>
      <c r="CH3" s="20">
        <f t="shared" si="1"/>
        <v>52963</v>
      </c>
      <c r="CI3" s="20">
        <f t="shared" si="1"/>
        <v>53053</v>
      </c>
      <c r="CJ3" s="20">
        <f t="shared" si="1"/>
        <v>53144</v>
      </c>
      <c r="CK3" s="20">
        <f t="shared" si="1"/>
        <v>53236</v>
      </c>
      <c r="CL3" s="20">
        <f t="shared" si="1"/>
        <v>53328</v>
      </c>
      <c r="CM3" s="20">
        <f t="shared" si="1"/>
        <v>53418</v>
      </c>
      <c r="CN3" s="20">
        <f t="shared" si="1"/>
        <v>53509</v>
      </c>
      <c r="CO3" s="20">
        <f t="shared" si="1"/>
        <v>53601</v>
      </c>
      <c r="CP3" s="20">
        <f t="shared" si="1"/>
        <v>53693</v>
      </c>
      <c r="CQ3" s="20">
        <f t="shared" si="1"/>
        <v>53783</v>
      </c>
      <c r="CR3" s="20">
        <f t="shared" si="1"/>
        <v>53874</v>
      </c>
      <c r="CS3" s="20">
        <f t="shared" si="1"/>
        <v>53966</v>
      </c>
      <c r="CT3" s="20">
        <f t="shared" si="1"/>
        <v>54058</v>
      </c>
      <c r="CU3" s="20">
        <f t="shared" si="1"/>
        <v>54149</v>
      </c>
      <c r="CV3" s="20">
        <f t="shared" si="1"/>
        <v>54240</v>
      </c>
      <c r="CW3" s="20">
        <f t="shared" si="1"/>
        <v>54332</v>
      </c>
      <c r="CX3" s="20">
        <f t="shared" si="1"/>
        <v>54424</v>
      </c>
      <c r="CY3" s="20">
        <f t="shared" si="1"/>
        <v>54514</v>
      </c>
      <c r="CZ3" s="20">
        <f t="shared" si="1"/>
        <v>54605</v>
      </c>
      <c r="DA3" s="20">
        <f t="shared" si="1"/>
        <v>54697</v>
      </c>
      <c r="DB3" s="20">
        <f t="shared" si="1"/>
        <v>54789</v>
      </c>
      <c r="DC3" s="20">
        <f t="shared" si="1"/>
        <v>54879</v>
      </c>
      <c r="DD3" s="20">
        <f t="shared" si="1"/>
        <v>54970</v>
      </c>
      <c r="DE3" s="20">
        <f t="shared" si="1"/>
        <v>55062</v>
      </c>
      <c r="DF3" s="20">
        <f t="shared" si="1"/>
        <v>55154</v>
      </c>
      <c r="DG3" s="20">
        <f t="shared" si="1"/>
        <v>55244</v>
      </c>
      <c r="DH3" s="20">
        <f t="shared" si="1"/>
        <v>55335</v>
      </c>
      <c r="DI3" s="20">
        <f t="shared" si="1"/>
        <v>55427</v>
      </c>
      <c r="DJ3" s="20">
        <f t="shared" si="1"/>
        <v>55519</v>
      </c>
      <c r="DK3" s="20">
        <f t="shared" si="1"/>
        <v>55610</v>
      </c>
      <c r="DL3" s="20">
        <f t="shared" si="1"/>
        <v>55701</v>
      </c>
      <c r="DM3" s="20">
        <f t="shared" si="1"/>
        <v>55793</v>
      </c>
      <c r="DN3" s="20">
        <f t="shared" si="1"/>
        <v>55885</v>
      </c>
      <c r="DO3" s="20">
        <f t="shared" si="1"/>
        <v>55975</v>
      </c>
      <c r="DP3" s="20">
        <f t="shared" si="1"/>
        <v>56066</v>
      </c>
      <c r="DQ3" s="20">
        <f t="shared" si="1"/>
        <v>56158</v>
      </c>
      <c r="DR3" s="20">
        <f t="shared" si="1"/>
        <v>56250</v>
      </c>
      <c r="DS3" s="20">
        <f t="shared" si="1"/>
        <v>56340</v>
      </c>
      <c r="DT3" s="20">
        <f t="shared" si="1"/>
        <v>56431</v>
      </c>
      <c r="DU3" s="20">
        <f t="shared" si="1"/>
        <v>56523</v>
      </c>
      <c r="DV3" s="20">
        <f t="shared" si="1"/>
        <v>56615</v>
      </c>
      <c r="DW3" s="20">
        <f t="shared" si="1"/>
        <v>56705</v>
      </c>
      <c r="DX3" s="20">
        <f t="shared" si="1"/>
        <v>56796</v>
      </c>
      <c r="DY3" s="20">
        <f t="shared" si="1"/>
        <v>56888</v>
      </c>
      <c r="DZ3" s="20">
        <f t="shared" si="1"/>
        <v>56980</v>
      </c>
      <c r="EA3" s="20">
        <f t="shared" si="1"/>
        <v>57071</v>
      </c>
      <c r="EB3" s="20">
        <f t="shared" si="1"/>
        <v>57162</v>
      </c>
      <c r="EC3" s="20">
        <f t="shared" si="1"/>
        <v>57254</v>
      </c>
      <c r="ED3" s="20">
        <f t="shared" si="1"/>
        <v>57346</v>
      </c>
      <c r="EE3" s="20">
        <f t="shared" si="1"/>
        <v>57436</v>
      </c>
      <c r="EF3" s="20">
        <f t="shared" si="1"/>
        <v>57527</v>
      </c>
      <c r="EG3" s="20">
        <f t="shared" si="1"/>
        <v>57619</v>
      </c>
      <c r="EH3" s="20">
        <f t="shared" si="1"/>
        <v>57711</v>
      </c>
      <c r="EI3" s="20">
        <f t="shared" ref="EI3:FM3" si="2">EH4+1</f>
        <v>57801</v>
      </c>
      <c r="EJ3" s="20">
        <f t="shared" si="2"/>
        <v>57892</v>
      </c>
      <c r="EK3" s="20">
        <f t="shared" si="2"/>
        <v>57984</v>
      </c>
      <c r="EL3" s="20">
        <f t="shared" si="2"/>
        <v>58076</v>
      </c>
      <c r="EM3" s="20">
        <f t="shared" si="2"/>
        <v>58166</v>
      </c>
      <c r="EN3" s="20">
        <f t="shared" si="2"/>
        <v>58257</v>
      </c>
      <c r="EO3" s="20">
        <f t="shared" si="2"/>
        <v>58349</v>
      </c>
      <c r="EP3" s="20">
        <f t="shared" si="2"/>
        <v>58441</v>
      </c>
      <c r="EQ3" s="20">
        <f t="shared" si="2"/>
        <v>58532</v>
      </c>
      <c r="ER3" s="20">
        <f t="shared" si="2"/>
        <v>58623</v>
      </c>
      <c r="ES3" s="20">
        <f t="shared" si="2"/>
        <v>58715</v>
      </c>
      <c r="ET3" s="20">
        <f t="shared" si="2"/>
        <v>58807</v>
      </c>
      <c r="EU3" s="20">
        <f t="shared" si="2"/>
        <v>58897</v>
      </c>
      <c r="EV3" s="20">
        <f t="shared" si="2"/>
        <v>58988</v>
      </c>
      <c r="EW3" s="20">
        <f t="shared" si="2"/>
        <v>59080</v>
      </c>
      <c r="EX3" s="20">
        <f t="shared" si="2"/>
        <v>59172</v>
      </c>
      <c r="EY3" s="20">
        <f t="shared" si="2"/>
        <v>59262</v>
      </c>
      <c r="EZ3" s="20">
        <f t="shared" si="2"/>
        <v>59353</v>
      </c>
      <c r="FA3" s="20">
        <f t="shared" si="2"/>
        <v>59445</v>
      </c>
      <c r="FB3" s="20">
        <f t="shared" si="2"/>
        <v>59537</v>
      </c>
      <c r="FC3" s="20">
        <f t="shared" si="2"/>
        <v>59627</v>
      </c>
      <c r="FD3" s="20">
        <f t="shared" si="2"/>
        <v>59718</v>
      </c>
      <c r="FE3" s="20">
        <f t="shared" si="2"/>
        <v>59810</v>
      </c>
      <c r="FF3" s="20">
        <f t="shared" si="2"/>
        <v>59902</v>
      </c>
      <c r="FG3" s="20">
        <f t="shared" si="2"/>
        <v>59993</v>
      </c>
      <c r="FH3" s="20">
        <f t="shared" si="2"/>
        <v>60084</v>
      </c>
      <c r="FI3" s="20">
        <f t="shared" si="2"/>
        <v>60176</v>
      </c>
      <c r="FJ3" s="20">
        <f t="shared" si="2"/>
        <v>60268</v>
      </c>
      <c r="FK3" s="20">
        <f t="shared" si="2"/>
        <v>60358</v>
      </c>
      <c r="FL3" s="20">
        <f t="shared" si="2"/>
        <v>60449</v>
      </c>
      <c r="FM3" s="20">
        <f t="shared" si="2"/>
        <v>60541</v>
      </c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</row>
    <row r="4" spans="2:499" x14ac:dyDescent="0.25">
      <c r="B4" t="s">
        <v>71</v>
      </c>
      <c r="I4" s="20">
        <f>EOMONTH(I3,2)</f>
        <v>46022</v>
      </c>
      <c r="J4" s="20">
        <f t="shared" ref="J4:BU4" si="3">EOMONTH(J3,2)</f>
        <v>46112</v>
      </c>
      <c r="K4" s="20">
        <f t="shared" si="3"/>
        <v>46203</v>
      </c>
      <c r="L4" s="20">
        <f t="shared" si="3"/>
        <v>46295</v>
      </c>
      <c r="M4" s="20">
        <f t="shared" si="3"/>
        <v>46387</v>
      </c>
      <c r="N4" s="20">
        <f t="shared" si="3"/>
        <v>46477</v>
      </c>
      <c r="O4" s="20">
        <f t="shared" si="3"/>
        <v>46568</v>
      </c>
      <c r="P4" s="20">
        <f t="shared" si="3"/>
        <v>46660</v>
      </c>
      <c r="Q4" s="20">
        <f t="shared" si="3"/>
        <v>46752</v>
      </c>
      <c r="R4" s="20">
        <f t="shared" si="3"/>
        <v>46843</v>
      </c>
      <c r="S4" s="20">
        <f t="shared" si="3"/>
        <v>46934</v>
      </c>
      <c r="T4" s="20">
        <f t="shared" si="3"/>
        <v>47026</v>
      </c>
      <c r="U4" s="20">
        <f t="shared" si="3"/>
        <v>47118</v>
      </c>
      <c r="V4" s="20">
        <f t="shared" si="3"/>
        <v>47208</v>
      </c>
      <c r="W4" s="20">
        <f t="shared" si="3"/>
        <v>47299</v>
      </c>
      <c r="X4" s="20">
        <f t="shared" si="3"/>
        <v>47391</v>
      </c>
      <c r="Y4" s="20">
        <f t="shared" si="3"/>
        <v>47483</v>
      </c>
      <c r="Z4" s="20">
        <f t="shared" si="3"/>
        <v>47573</v>
      </c>
      <c r="AA4" s="20">
        <f t="shared" si="3"/>
        <v>47664</v>
      </c>
      <c r="AB4" s="20">
        <f t="shared" si="3"/>
        <v>47756</v>
      </c>
      <c r="AC4" s="20">
        <f t="shared" si="3"/>
        <v>47848</v>
      </c>
      <c r="AD4" s="20">
        <f t="shared" si="3"/>
        <v>47938</v>
      </c>
      <c r="AE4" s="20">
        <f t="shared" si="3"/>
        <v>48029</v>
      </c>
      <c r="AF4" s="20">
        <f t="shared" si="3"/>
        <v>48121</v>
      </c>
      <c r="AG4" s="20">
        <f t="shared" si="3"/>
        <v>48213</v>
      </c>
      <c r="AH4" s="20">
        <f t="shared" si="3"/>
        <v>48304</v>
      </c>
      <c r="AI4" s="20">
        <f t="shared" si="3"/>
        <v>48395</v>
      </c>
      <c r="AJ4" s="20">
        <f t="shared" si="3"/>
        <v>48487</v>
      </c>
      <c r="AK4" s="20">
        <f t="shared" si="3"/>
        <v>48579</v>
      </c>
      <c r="AL4" s="20">
        <f t="shared" si="3"/>
        <v>48669</v>
      </c>
      <c r="AM4" s="20">
        <f t="shared" si="3"/>
        <v>48760</v>
      </c>
      <c r="AN4" s="20">
        <f t="shared" si="3"/>
        <v>48852</v>
      </c>
      <c r="AO4" s="20">
        <f t="shared" si="3"/>
        <v>48944</v>
      </c>
      <c r="AP4" s="20">
        <f t="shared" si="3"/>
        <v>49034</v>
      </c>
      <c r="AQ4" s="20">
        <f t="shared" si="3"/>
        <v>49125</v>
      </c>
      <c r="AR4" s="20">
        <f t="shared" si="3"/>
        <v>49217</v>
      </c>
      <c r="AS4" s="20">
        <f t="shared" si="3"/>
        <v>49309</v>
      </c>
      <c r="AT4" s="20">
        <f t="shared" si="3"/>
        <v>49399</v>
      </c>
      <c r="AU4" s="20">
        <f t="shared" si="3"/>
        <v>49490</v>
      </c>
      <c r="AV4" s="20">
        <f t="shared" si="3"/>
        <v>49582</v>
      </c>
      <c r="AW4" s="20">
        <f t="shared" si="3"/>
        <v>49674</v>
      </c>
      <c r="AX4" s="20">
        <f t="shared" si="3"/>
        <v>49765</v>
      </c>
      <c r="AY4" s="20">
        <f t="shared" si="3"/>
        <v>49856</v>
      </c>
      <c r="AZ4" s="20">
        <f t="shared" si="3"/>
        <v>49948</v>
      </c>
      <c r="BA4" s="20">
        <f t="shared" si="3"/>
        <v>50040</v>
      </c>
      <c r="BB4" s="20">
        <f t="shared" si="3"/>
        <v>50130</v>
      </c>
      <c r="BC4" s="20">
        <f t="shared" si="3"/>
        <v>50221</v>
      </c>
      <c r="BD4" s="20">
        <f t="shared" si="3"/>
        <v>50313</v>
      </c>
      <c r="BE4" s="20">
        <f t="shared" si="3"/>
        <v>50405</v>
      </c>
      <c r="BF4" s="20">
        <f t="shared" si="3"/>
        <v>50495</v>
      </c>
      <c r="BG4" s="20">
        <f t="shared" si="3"/>
        <v>50586</v>
      </c>
      <c r="BH4" s="20">
        <f t="shared" si="3"/>
        <v>50678</v>
      </c>
      <c r="BI4" s="20">
        <f t="shared" si="3"/>
        <v>50770</v>
      </c>
      <c r="BJ4" s="20">
        <f t="shared" si="3"/>
        <v>50860</v>
      </c>
      <c r="BK4" s="20">
        <f t="shared" si="3"/>
        <v>50951</v>
      </c>
      <c r="BL4" s="20">
        <f t="shared" si="3"/>
        <v>51043</v>
      </c>
      <c r="BM4" s="20">
        <f t="shared" si="3"/>
        <v>51135</v>
      </c>
      <c r="BN4" s="20">
        <f t="shared" si="3"/>
        <v>51226</v>
      </c>
      <c r="BO4" s="20">
        <f t="shared" si="3"/>
        <v>51317</v>
      </c>
      <c r="BP4" s="20">
        <f t="shared" si="3"/>
        <v>51409</v>
      </c>
      <c r="BQ4" s="20">
        <f t="shared" si="3"/>
        <v>51501</v>
      </c>
      <c r="BR4" s="20">
        <f t="shared" si="3"/>
        <v>51591</v>
      </c>
      <c r="BS4" s="20">
        <f t="shared" si="3"/>
        <v>51682</v>
      </c>
      <c r="BT4" s="20">
        <f t="shared" si="3"/>
        <v>51774</v>
      </c>
      <c r="BU4" s="20">
        <f t="shared" si="3"/>
        <v>51866</v>
      </c>
      <c r="BV4" s="20">
        <f t="shared" ref="BV4:EG4" si="4">EOMONTH(BV3,2)</f>
        <v>51956</v>
      </c>
      <c r="BW4" s="20">
        <f t="shared" si="4"/>
        <v>52047</v>
      </c>
      <c r="BX4" s="20">
        <f t="shared" si="4"/>
        <v>52139</v>
      </c>
      <c r="BY4" s="20">
        <f t="shared" si="4"/>
        <v>52231</v>
      </c>
      <c r="BZ4" s="20">
        <f t="shared" si="4"/>
        <v>52321</v>
      </c>
      <c r="CA4" s="20">
        <f t="shared" si="4"/>
        <v>52412</v>
      </c>
      <c r="CB4" s="20">
        <f t="shared" si="4"/>
        <v>52504</v>
      </c>
      <c r="CC4" s="20">
        <f t="shared" si="4"/>
        <v>52596</v>
      </c>
      <c r="CD4" s="20">
        <f t="shared" si="4"/>
        <v>52687</v>
      </c>
      <c r="CE4" s="20">
        <f t="shared" si="4"/>
        <v>52778</v>
      </c>
      <c r="CF4" s="20">
        <f t="shared" si="4"/>
        <v>52870</v>
      </c>
      <c r="CG4" s="20">
        <f t="shared" si="4"/>
        <v>52962</v>
      </c>
      <c r="CH4" s="20">
        <f t="shared" si="4"/>
        <v>53052</v>
      </c>
      <c r="CI4" s="20">
        <f t="shared" si="4"/>
        <v>53143</v>
      </c>
      <c r="CJ4" s="20">
        <f t="shared" si="4"/>
        <v>53235</v>
      </c>
      <c r="CK4" s="20">
        <f t="shared" si="4"/>
        <v>53327</v>
      </c>
      <c r="CL4" s="20">
        <f t="shared" si="4"/>
        <v>53417</v>
      </c>
      <c r="CM4" s="20">
        <f t="shared" si="4"/>
        <v>53508</v>
      </c>
      <c r="CN4" s="20">
        <f t="shared" si="4"/>
        <v>53600</v>
      </c>
      <c r="CO4" s="20">
        <f t="shared" si="4"/>
        <v>53692</v>
      </c>
      <c r="CP4" s="20">
        <f t="shared" si="4"/>
        <v>53782</v>
      </c>
      <c r="CQ4" s="20">
        <f t="shared" si="4"/>
        <v>53873</v>
      </c>
      <c r="CR4" s="20">
        <f t="shared" si="4"/>
        <v>53965</v>
      </c>
      <c r="CS4" s="20">
        <f t="shared" si="4"/>
        <v>54057</v>
      </c>
      <c r="CT4" s="20">
        <f t="shared" si="4"/>
        <v>54148</v>
      </c>
      <c r="CU4" s="20">
        <f t="shared" si="4"/>
        <v>54239</v>
      </c>
      <c r="CV4" s="20">
        <f t="shared" si="4"/>
        <v>54331</v>
      </c>
      <c r="CW4" s="20">
        <f t="shared" si="4"/>
        <v>54423</v>
      </c>
      <c r="CX4" s="20">
        <f t="shared" si="4"/>
        <v>54513</v>
      </c>
      <c r="CY4" s="20">
        <f t="shared" si="4"/>
        <v>54604</v>
      </c>
      <c r="CZ4" s="20">
        <f t="shared" si="4"/>
        <v>54696</v>
      </c>
      <c r="DA4" s="20">
        <f t="shared" si="4"/>
        <v>54788</v>
      </c>
      <c r="DB4" s="20">
        <f t="shared" si="4"/>
        <v>54878</v>
      </c>
      <c r="DC4" s="20">
        <f t="shared" si="4"/>
        <v>54969</v>
      </c>
      <c r="DD4" s="20">
        <f t="shared" si="4"/>
        <v>55061</v>
      </c>
      <c r="DE4" s="20">
        <f t="shared" si="4"/>
        <v>55153</v>
      </c>
      <c r="DF4" s="20">
        <f t="shared" si="4"/>
        <v>55243</v>
      </c>
      <c r="DG4" s="20">
        <f t="shared" si="4"/>
        <v>55334</v>
      </c>
      <c r="DH4" s="20">
        <f t="shared" si="4"/>
        <v>55426</v>
      </c>
      <c r="DI4" s="20">
        <f t="shared" si="4"/>
        <v>55518</v>
      </c>
      <c r="DJ4" s="20">
        <f t="shared" si="4"/>
        <v>55609</v>
      </c>
      <c r="DK4" s="20">
        <f t="shared" si="4"/>
        <v>55700</v>
      </c>
      <c r="DL4" s="20">
        <f t="shared" si="4"/>
        <v>55792</v>
      </c>
      <c r="DM4" s="20">
        <f t="shared" si="4"/>
        <v>55884</v>
      </c>
      <c r="DN4" s="20">
        <f t="shared" si="4"/>
        <v>55974</v>
      </c>
      <c r="DO4" s="20">
        <f t="shared" si="4"/>
        <v>56065</v>
      </c>
      <c r="DP4" s="20">
        <f t="shared" si="4"/>
        <v>56157</v>
      </c>
      <c r="DQ4" s="20">
        <f t="shared" si="4"/>
        <v>56249</v>
      </c>
      <c r="DR4" s="20">
        <f t="shared" si="4"/>
        <v>56339</v>
      </c>
      <c r="DS4" s="20">
        <f t="shared" si="4"/>
        <v>56430</v>
      </c>
      <c r="DT4" s="20">
        <f t="shared" si="4"/>
        <v>56522</v>
      </c>
      <c r="DU4" s="20">
        <f t="shared" si="4"/>
        <v>56614</v>
      </c>
      <c r="DV4" s="20">
        <f t="shared" si="4"/>
        <v>56704</v>
      </c>
      <c r="DW4" s="20">
        <f t="shared" si="4"/>
        <v>56795</v>
      </c>
      <c r="DX4" s="20">
        <f t="shared" si="4"/>
        <v>56887</v>
      </c>
      <c r="DY4" s="20">
        <f t="shared" si="4"/>
        <v>56979</v>
      </c>
      <c r="DZ4" s="20">
        <f t="shared" si="4"/>
        <v>57070</v>
      </c>
      <c r="EA4" s="20">
        <f t="shared" si="4"/>
        <v>57161</v>
      </c>
      <c r="EB4" s="20">
        <f t="shared" si="4"/>
        <v>57253</v>
      </c>
      <c r="EC4" s="20">
        <f t="shared" si="4"/>
        <v>57345</v>
      </c>
      <c r="ED4" s="20">
        <f t="shared" si="4"/>
        <v>57435</v>
      </c>
      <c r="EE4" s="20">
        <f t="shared" si="4"/>
        <v>57526</v>
      </c>
      <c r="EF4" s="20">
        <f t="shared" si="4"/>
        <v>57618</v>
      </c>
      <c r="EG4" s="20">
        <f t="shared" si="4"/>
        <v>57710</v>
      </c>
      <c r="EH4" s="20">
        <f t="shared" ref="EH4:FM4" si="5">EOMONTH(EH3,2)</f>
        <v>57800</v>
      </c>
      <c r="EI4" s="20">
        <f t="shared" si="5"/>
        <v>57891</v>
      </c>
      <c r="EJ4" s="20">
        <f t="shared" si="5"/>
        <v>57983</v>
      </c>
      <c r="EK4" s="20">
        <f t="shared" si="5"/>
        <v>58075</v>
      </c>
      <c r="EL4" s="20">
        <f t="shared" si="5"/>
        <v>58165</v>
      </c>
      <c r="EM4" s="20">
        <f t="shared" si="5"/>
        <v>58256</v>
      </c>
      <c r="EN4" s="20">
        <f t="shared" si="5"/>
        <v>58348</v>
      </c>
      <c r="EO4" s="20">
        <f t="shared" si="5"/>
        <v>58440</v>
      </c>
      <c r="EP4" s="20">
        <f t="shared" si="5"/>
        <v>58531</v>
      </c>
      <c r="EQ4" s="20">
        <f t="shared" si="5"/>
        <v>58622</v>
      </c>
      <c r="ER4" s="20">
        <f t="shared" si="5"/>
        <v>58714</v>
      </c>
      <c r="ES4" s="20">
        <f t="shared" si="5"/>
        <v>58806</v>
      </c>
      <c r="ET4" s="20">
        <f t="shared" si="5"/>
        <v>58896</v>
      </c>
      <c r="EU4" s="20">
        <f t="shared" si="5"/>
        <v>58987</v>
      </c>
      <c r="EV4" s="20">
        <f t="shared" si="5"/>
        <v>59079</v>
      </c>
      <c r="EW4" s="20">
        <f t="shared" si="5"/>
        <v>59171</v>
      </c>
      <c r="EX4" s="20">
        <f t="shared" si="5"/>
        <v>59261</v>
      </c>
      <c r="EY4" s="20">
        <f t="shared" si="5"/>
        <v>59352</v>
      </c>
      <c r="EZ4" s="20">
        <f t="shared" si="5"/>
        <v>59444</v>
      </c>
      <c r="FA4" s="20">
        <f t="shared" si="5"/>
        <v>59536</v>
      </c>
      <c r="FB4" s="20">
        <f t="shared" si="5"/>
        <v>59626</v>
      </c>
      <c r="FC4" s="20">
        <f t="shared" si="5"/>
        <v>59717</v>
      </c>
      <c r="FD4" s="20">
        <f t="shared" si="5"/>
        <v>59809</v>
      </c>
      <c r="FE4" s="20">
        <f t="shared" si="5"/>
        <v>59901</v>
      </c>
      <c r="FF4" s="20">
        <f t="shared" si="5"/>
        <v>59992</v>
      </c>
      <c r="FG4" s="20">
        <f t="shared" si="5"/>
        <v>60083</v>
      </c>
      <c r="FH4" s="20">
        <f t="shared" si="5"/>
        <v>60175</v>
      </c>
      <c r="FI4" s="20">
        <f t="shared" si="5"/>
        <v>60267</v>
      </c>
      <c r="FJ4" s="20">
        <f t="shared" si="5"/>
        <v>60357</v>
      </c>
      <c r="FK4" s="20">
        <f t="shared" si="5"/>
        <v>60448</v>
      </c>
      <c r="FL4" s="20">
        <f t="shared" si="5"/>
        <v>60540</v>
      </c>
      <c r="FM4" s="20">
        <f t="shared" si="5"/>
        <v>60632</v>
      </c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</row>
    <row r="5" spans="2:499" x14ac:dyDescent="0.25">
      <c r="B5" t="s">
        <v>72</v>
      </c>
      <c r="I5" s="2">
        <f>I4 - I3 + 1</f>
        <v>92</v>
      </c>
      <c r="J5" s="2">
        <f t="shared" ref="J5:BU5" si="6">J4 - J3 + 1</f>
        <v>90</v>
      </c>
      <c r="K5" s="2">
        <f t="shared" si="6"/>
        <v>91</v>
      </c>
      <c r="L5" s="2">
        <f t="shared" si="6"/>
        <v>92</v>
      </c>
      <c r="M5" s="2">
        <f t="shared" si="6"/>
        <v>92</v>
      </c>
      <c r="N5" s="2">
        <f t="shared" si="6"/>
        <v>90</v>
      </c>
      <c r="O5" s="2">
        <f t="shared" si="6"/>
        <v>91</v>
      </c>
      <c r="P5" s="2">
        <f t="shared" si="6"/>
        <v>92</v>
      </c>
      <c r="Q5" s="2">
        <f t="shared" si="6"/>
        <v>92</v>
      </c>
      <c r="R5" s="2">
        <f t="shared" si="6"/>
        <v>91</v>
      </c>
      <c r="S5" s="2">
        <f t="shared" si="6"/>
        <v>91</v>
      </c>
      <c r="T5" s="2">
        <f t="shared" si="6"/>
        <v>92</v>
      </c>
      <c r="U5" s="2">
        <f t="shared" si="6"/>
        <v>92</v>
      </c>
      <c r="V5" s="2">
        <f t="shared" si="6"/>
        <v>90</v>
      </c>
      <c r="W5" s="2">
        <f t="shared" si="6"/>
        <v>91</v>
      </c>
      <c r="X5" s="2">
        <f t="shared" si="6"/>
        <v>92</v>
      </c>
      <c r="Y5" s="2">
        <f t="shared" si="6"/>
        <v>92</v>
      </c>
      <c r="Z5" s="2">
        <f t="shared" si="6"/>
        <v>90</v>
      </c>
      <c r="AA5" s="2">
        <f t="shared" si="6"/>
        <v>91</v>
      </c>
      <c r="AB5" s="2">
        <f t="shared" si="6"/>
        <v>92</v>
      </c>
      <c r="AC5" s="2">
        <f t="shared" si="6"/>
        <v>92</v>
      </c>
      <c r="AD5" s="2">
        <f t="shared" si="6"/>
        <v>90</v>
      </c>
      <c r="AE5" s="2">
        <f t="shared" si="6"/>
        <v>91</v>
      </c>
      <c r="AF5" s="2">
        <f t="shared" si="6"/>
        <v>92</v>
      </c>
      <c r="AG5" s="2">
        <f t="shared" si="6"/>
        <v>92</v>
      </c>
      <c r="AH5" s="2">
        <f t="shared" si="6"/>
        <v>91</v>
      </c>
      <c r="AI5" s="2">
        <f t="shared" si="6"/>
        <v>91</v>
      </c>
      <c r="AJ5" s="2">
        <f t="shared" si="6"/>
        <v>92</v>
      </c>
      <c r="AK5" s="2">
        <f t="shared" si="6"/>
        <v>92</v>
      </c>
      <c r="AL5" s="2">
        <f t="shared" si="6"/>
        <v>90</v>
      </c>
      <c r="AM5" s="2">
        <f t="shared" si="6"/>
        <v>91</v>
      </c>
      <c r="AN5" s="2">
        <f t="shared" si="6"/>
        <v>92</v>
      </c>
      <c r="AO5" s="2">
        <f t="shared" si="6"/>
        <v>92</v>
      </c>
      <c r="AP5" s="2">
        <f t="shared" si="6"/>
        <v>90</v>
      </c>
      <c r="AQ5" s="2">
        <f t="shared" si="6"/>
        <v>91</v>
      </c>
      <c r="AR5" s="2">
        <f t="shared" si="6"/>
        <v>92</v>
      </c>
      <c r="AS5" s="2">
        <f t="shared" si="6"/>
        <v>92</v>
      </c>
      <c r="AT5" s="2">
        <f t="shared" si="6"/>
        <v>90</v>
      </c>
      <c r="AU5" s="2">
        <f t="shared" si="6"/>
        <v>91</v>
      </c>
      <c r="AV5" s="2">
        <f t="shared" si="6"/>
        <v>92</v>
      </c>
      <c r="AW5" s="2">
        <f t="shared" si="6"/>
        <v>92</v>
      </c>
      <c r="AX5" s="2">
        <f t="shared" si="6"/>
        <v>91</v>
      </c>
      <c r="AY5" s="2">
        <f t="shared" si="6"/>
        <v>91</v>
      </c>
      <c r="AZ5" s="2">
        <f t="shared" si="6"/>
        <v>92</v>
      </c>
      <c r="BA5" s="2">
        <f t="shared" si="6"/>
        <v>92</v>
      </c>
      <c r="BB5" s="2">
        <f t="shared" si="6"/>
        <v>90</v>
      </c>
      <c r="BC5" s="2">
        <f t="shared" si="6"/>
        <v>91</v>
      </c>
      <c r="BD5" s="2">
        <f t="shared" si="6"/>
        <v>92</v>
      </c>
      <c r="BE5" s="2">
        <f t="shared" si="6"/>
        <v>92</v>
      </c>
      <c r="BF5" s="2">
        <f t="shared" si="6"/>
        <v>90</v>
      </c>
      <c r="BG5" s="2">
        <f t="shared" si="6"/>
        <v>91</v>
      </c>
      <c r="BH5" s="2">
        <f t="shared" si="6"/>
        <v>92</v>
      </c>
      <c r="BI5" s="2">
        <f t="shared" si="6"/>
        <v>92</v>
      </c>
      <c r="BJ5" s="2">
        <f t="shared" si="6"/>
        <v>90</v>
      </c>
      <c r="BK5" s="2">
        <f t="shared" si="6"/>
        <v>91</v>
      </c>
      <c r="BL5" s="2">
        <f t="shared" si="6"/>
        <v>92</v>
      </c>
      <c r="BM5" s="2">
        <f t="shared" si="6"/>
        <v>92</v>
      </c>
      <c r="BN5" s="2">
        <f t="shared" si="6"/>
        <v>91</v>
      </c>
      <c r="BO5" s="2">
        <f t="shared" si="6"/>
        <v>91</v>
      </c>
      <c r="BP5" s="2">
        <f t="shared" si="6"/>
        <v>92</v>
      </c>
      <c r="BQ5" s="2">
        <f t="shared" si="6"/>
        <v>92</v>
      </c>
      <c r="BR5" s="2">
        <f t="shared" si="6"/>
        <v>90</v>
      </c>
      <c r="BS5" s="2">
        <f t="shared" si="6"/>
        <v>91</v>
      </c>
      <c r="BT5" s="2">
        <f t="shared" si="6"/>
        <v>92</v>
      </c>
      <c r="BU5" s="2">
        <f t="shared" si="6"/>
        <v>92</v>
      </c>
      <c r="BV5" s="2">
        <f t="shared" ref="BV5:EG5" si="7">BV4 - BV3 + 1</f>
        <v>90</v>
      </c>
      <c r="BW5" s="2">
        <f t="shared" si="7"/>
        <v>91</v>
      </c>
      <c r="BX5" s="2">
        <f t="shared" si="7"/>
        <v>92</v>
      </c>
      <c r="BY5" s="2">
        <f t="shared" si="7"/>
        <v>92</v>
      </c>
      <c r="BZ5" s="2">
        <f t="shared" si="7"/>
        <v>90</v>
      </c>
      <c r="CA5" s="2">
        <f t="shared" si="7"/>
        <v>91</v>
      </c>
      <c r="CB5" s="2">
        <f t="shared" si="7"/>
        <v>92</v>
      </c>
      <c r="CC5" s="2">
        <f t="shared" si="7"/>
        <v>92</v>
      </c>
      <c r="CD5" s="2">
        <f t="shared" si="7"/>
        <v>91</v>
      </c>
      <c r="CE5" s="2">
        <f t="shared" si="7"/>
        <v>91</v>
      </c>
      <c r="CF5" s="2">
        <f t="shared" si="7"/>
        <v>92</v>
      </c>
      <c r="CG5" s="2">
        <f t="shared" si="7"/>
        <v>92</v>
      </c>
      <c r="CH5" s="2">
        <f t="shared" si="7"/>
        <v>90</v>
      </c>
      <c r="CI5" s="2">
        <f t="shared" si="7"/>
        <v>91</v>
      </c>
      <c r="CJ5" s="2">
        <f t="shared" si="7"/>
        <v>92</v>
      </c>
      <c r="CK5" s="2">
        <f t="shared" si="7"/>
        <v>92</v>
      </c>
      <c r="CL5" s="2">
        <f t="shared" si="7"/>
        <v>90</v>
      </c>
      <c r="CM5" s="2">
        <f t="shared" si="7"/>
        <v>91</v>
      </c>
      <c r="CN5" s="2">
        <f t="shared" si="7"/>
        <v>92</v>
      </c>
      <c r="CO5" s="2">
        <f t="shared" si="7"/>
        <v>92</v>
      </c>
      <c r="CP5" s="2">
        <f t="shared" si="7"/>
        <v>90</v>
      </c>
      <c r="CQ5" s="2">
        <f t="shared" si="7"/>
        <v>91</v>
      </c>
      <c r="CR5" s="2">
        <f t="shared" si="7"/>
        <v>92</v>
      </c>
      <c r="CS5" s="2">
        <f t="shared" si="7"/>
        <v>92</v>
      </c>
      <c r="CT5" s="2">
        <f t="shared" si="7"/>
        <v>91</v>
      </c>
      <c r="CU5" s="2">
        <f t="shared" si="7"/>
        <v>91</v>
      </c>
      <c r="CV5" s="2">
        <f t="shared" si="7"/>
        <v>92</v>
      </c>
      <c r="CW5" s="2">
        <f t="shared" si="7"/>
        <v>92</v>
      </c>
      <c r="CX5" s="2">
        <f t="shared" si="7"/>
        <v>90</v>
      </c>
      <c r="CY5" s="2">
        <f t="shared" si="7"/>
        <v>91</v>
      </c>
      <c r="CZ5" s="2">
        <f t="shared" si="7"/>
        <v>92</v>
      </c>
      <c r="DA5" s="2">
        <f t="shared" si="7"/>
        <v>92</v>
      </c>
      <c r="DB5" s="2">
        <f t="shared" si="7"/>
        <v>90</v>
      </c>
      <c r="DC5" s="2">
        <f t="shared" si="7"/>
        <v>91</v>
      </c>
      <c r="DD5" s="2">
        <f t="shared" si="7"/>
        <v>92</v>
      </c>
      <c r="DE5" s="2">
        <f t="shared" si="7"/>
        <v>92</v>
      </c>
      <c r="DF5" s="2">
        <f t="shared" si="7"/>
        <v>90</v>
      </c>
      <c r="DG5" s="2">
        <f t="shared" si="7"/>
        <v>91</v>
      </c>
      <c r="DH5" s="2">
        <f t="shared" si="7"/>
        <v>92</v>
      </c>
      <c r="DI5" s="2">
        <f t="shared" si="7"/>
        <v>92</v>
      </c>
      <c r="DJ5" s="2">
        <f t="shared" si="7"/>
        <v>91</v>
      </c>
      <c r="DK5" s="2">
        <f t="shared" si="7"/>
        <v>91</v>
      </c>
      <c r="DL5" s="2">
        <f t="shared" si="7"/>
        <v>92</v>
      </c>
      <c r="DM5" s="2">
        <f t="shared" si="7"/>
        <v>92</v>
      </c>
      <c r="DN5" s="2">
        <f t="shared" si="7"/>
        <v>90</v>
      </c>
      <c r="DO5" s="2">
        <f t="shared" si="7"/>
        <v>91</v>
      </c>
      <c r="DP5" s="2">
        <f t="shared" si="7"/>
        <v>92</v>
      </c>
      <c r="DQ5" s="2">
        <f t="shared" si="7"/>
        <v>92</v>
      </c>
      <c r="DR5" s="2">
        <f t="shared" si="7"/>
        <v>90</v>
      </c>
      <c r="DS5" s="2">
        <f t="shared" si="7"/>
        <v>91</v>
      </c>
      <c r="DT5" s="2">
        <f t="shared" si="7"/>
        <v>92</v>
      </c>
      <c r="DU5" s="2">
        <f t="shared" si="7"/>
        <v>92</v>
      </c>
      <c r="DV5" s="2">
        <f t="shared" si="7"/>
        <v>90</v>
      </c>
      <c r="DW5" s="2">
        <f t="shared" si="7"/>
        <v>91</v>
      </c>
      <c r="DX5" s="2">
        <f t="shared" si="7"/>
        <v>92</v>
      </c>
      <c r="DY5" s="2">
        <f t="shared" si="7"/>
        <v>92</v>
      </c>
      <c r="DZ5" s="2">
        <f t="shared" si="7"/>
        <v>91</v>
      </c>
      <c r="EA5" s="2">
        <f t="shared" si="7"/>
        <v>91</v>
      </c>
      <c r="EB5" s="2">
        <f t="shared" si="7"/>
        <v>92</v>
      </c>
      <c r="EC5" s="2">
        <f t="shared" si="7"/>
        <v>92</v>
      </c>
      <c r="ED5" s="2">
        <f t="shared" si="7"/>
        <v>90</v>
      </c>
      <c r="EE5" s="2">
        <f t="shared" si="7"/>
        <v>91</v>
      </c>
      <c r="EF5" s="2">
        <f t="shared" si="7"/>
        <v>92</v>
      </c>
      <c r="EG5" s="2">
        <f t="shared" si="7"/>
        <v>92</v>
      </c>
      <c r="EH5" s="2">
        <f t="shared" ref="EH5:FM5" si="8">EH4 - EH3 + 1</f>
        <v>90</v>
      </c>
      <c r="EI5" s="2">
        <f t="shared" si="8"/>
        <v>91</v>
      </c>
      <c r="EJ5" s="2">
        <f t="shared" si="8"/>
        <v>92</v>
      </c>
      <c r="EK5" s="2">
        <f t="shared" si="8"/>
        <v>92</v>
      </c>
      <c r="EL5" s="2">
        <f t="shared" si="8"/>
        <v>90</v>
      </c>
      <c r="EM5" s="2">
        <f t="shared" si="8"/>
        <v>91</v>
      </c>
      <c r="EN5" s="2">
        <f t="shared" si="8"/>
        <v>92</v>
      </c>
      <c r="EO5" s="2">
        <f t="shared" si="8"/>
        <v>92</v>
      </c>
      <c r="EP5" s="2">
        <f t="shared" si="8"/>
        <v>91</v>
      </c>
      <c r="EQ5" s="2">
        <f t="shared" si="8"/>
        <v>91</v>
      </c>
      <c r="ER5" s="2">
        <f t="shared" si="8"/>
        <v>92</v>
      </c>
      <c r="ES5" s="2">
        <f t="shared" si="8"/>
        <v>92</v>
      </c>
      <c r="ET5" s="2">
        <f t="shared" si="8"/>
        <v>90</v>
      </c>
      <c r="EU5" s="2">
        <f t="shared" si="8"/>
        <v>91</v>
      </c>
      <c r="EV5" s="2">
        <f t="shared" si="8"/>
        <v>92</v>
      </c>
      <c r="EW5" s="2">
        <f t="shared" si="8"/>
        <v>92</v>
      </c>
      <c r="EX5" s="2">
        <f t="shared" si="8"/>
        <v>90</v>
      </c>
      <c r="EY5" s="2">
        <f t="shared" si="8"/>
        <v>91</v>
      </c>
      <c r="EZ5" s="2">
        <f t="shared" si="8"/>
        <v>92</v>
      </c>
      <c r="FA5" s="2">
        <f t="shared" si="8"/>
        <v>92</v>
      </c>
      <c r="FB5" s="2">
        <f t="shared" si="8"/>
        <v>90</v>
      </c>
      <c r="FC5" s="2">
        <f t="shared" si="8"/>
        <v>91</v>
      </c>
      <c r="FD5" s="2">
        <f t="shared" si="8"/>
        <v>92</v>
      </c>
      <c r="FE5" s="2">
        <f t="shared" si="8"/>
        <v>92</v>
      </c>
      <c r="FF5" s="2">
        <f t="shared" si="8"/>
        <v>91</v>
      </c>
      <c r="FG5" s="2">
        <f t="shared" si="8"/>
        <v>91</v>
      </c>
      <c r="FH5" s="2">
        <f t="shared" si="8"/>
        <v>92</v>
      </c>
      <c r="FI5" s="2">
        <f t="shared" si="8"/>
        <v>92</v>
      </c>
      <c r="FJ5" s="2">
        <f t="shared" si="8"/>
        <v>90</v>
      </c>
      <c r="FK5" s="2">
        <f t="shared" si="8"/>
        <v>91</v>
      </c>
      <c r="FL5" s="2">
        <f t="shared" si="8"/>
        <v>92</v>
      </c>
      <c r="FM5" s="2">
        <f t="shared" si="8"/>
        <v>92</v>
      </c>
    </row>
    <row r="6" spans="2:499" x14ac:dyDescent="0.25">
      <c r="B6" t="s">
        <v>73</v>
      </c>
      <c r="I6" s="2">
        <f>DATE(I9, 12, 31) - DATE(I9, 1, 1) +1</f>
        <v>365</v>
      </c>
      <c r="J6" s="2">
        <f t="shared" ref="J6:BU6" si="9">DATE(J9, 12, 31) - DATE(J9, 1, 1) +1</f>
        <v>365</v>
      </c>
      <c r="K6" s="2">
        <f t="shared" si="9"/>
        <v>365</v>
      </c>
      <c r="L6" s="2">
        <f t="shared" si="9"/>
        <v>365</v>
      </c>
      <c r="M6" s="2">
        <f t="shared" si="9"/>
        <v>365</v>
      </c>
      <c r="N6" s="2">
        <f t="shared" si="9"/>
        <v>365</v>
      </c>
      <c r="O6" s="2">
        <f t="shared" si="9"/>
        <v>365</v>
      </c>
      <c r="P6" s="2">
        <f t="shared" si="9"/>
        <v>365</v>
      </c>
      <c r="Q6" s="2">
        <f t="shared" si="9"/>
        <v>365</v>
      </c>
      <c r="R6" s="2">
        <f t="shared" si="9"/>
        <v>366</v>
      </c>
      <c r="S6" s="2">
        <f t="shared" si="9"/>
        <v>366</v>
      </c>
      <c r="T6" s="2">
        <f t="shared" si="9"/>
        <v>366</v>
      </c>
      <c r="U6" s="2">
        <f t="shared" si="9"/>
        <v>366</v>
      </c>
      <c r="V6" s="2">
        <f t="shared" si="9"/>
        <v>365</v>
      </c>
      <c r="W6" s="2">
        <f t="shared" si="9"/>
        <v>365</v>
      </c>
      <c r="X6" s="2">
        <f t="shared" si="9"/>
        <v>365</v>
      </c>
      <c r="Y6" s="2">
        <f t="shared" si="9"/>
        <v>365</v>
      </c>
      <c r="Z6" s="2">
        <f t="shared" si="9"/>
        <v>365</v>
      </c>
      <c r="AA6" s="2">
        <f t="shared" si="9"/>
        <v>365</v>
      </c>
      <c r="AB6" s="2">
        <f t="shared" si="9"/>
        <v>365</v>
      </c>
      <c r="AC6" s="2">
        <f t="shared" si="9"/>
        <v>365</v>
      </c>
      <c r="AD6" s="2">
        <f t="shared" si="9"/>
        <v>365</v>
      </c>
      <c r="AE6" s="2">
        <f t="shared" si="9"/>
        <v>365</v>
      </c>
      <c r="AF6" s="2">
        <f t="shared" si="9"/>
        <v>365</v>
      </c>
      <c r="AG6" s="2">
        <f t="shared" si="9"/>
        <v>365</v>
      </c>
      <c r="AH6" s="2">
        <f t="shared" si="9"/>
        <v>366</v>
      </c>
      <c r="AI6" s="2">
        <f t="shared" si="9"/>
        <v>366</v>
      </c>
      <c r="AJ6" s="2">
        <f t="shared" si="9"/>
        <v>366</v>
      </c>
      <c r="AK6" s="2">
        <f t="shared" si="9"/>
        <v>366</v>
      </c>
      <c r="AL6" s="2">
        <f t="shared" si="9"/>
        <v>365</v>
      </c>
      <c r="AM6" s="2">
        <f t="shared" si="9"/>
        <v>365</v>
      </c>
      <c r="AN6" s="2">
        <f t="shared" si="9"/>
        <v>365</v>
      </c>
      <c r="AO6" s="2">
        <f t="shared" si="9"/>
        <v>365</v>
      </c>
      <c r="AP6" s="2">
        <f t="shared" si="9"/>
        <v>365</v>
      </c>
      <c r="AQ6" s="2">
        <f t="shared" si="9"/>
        <v>365</v>
      </c>
      <c r="AR6" s="2">
        <f t="shared" si="9"/>
        <v>365</v>
      </c>
      <c r="AS6" s="2">
        <f t="shared" si="9"/>
        <v>365</v>
      </c>
      <c r="AT6" s="2">
        <f t="shared" si="9"/>
        <v>365</v>
      </c>
      <c r="AU6" s="2">
        <f t="shared" si="9"/>
        <v>365</v>
      </c>
      <c r="AV6" s="2">
        <f t="shared" si="9"/>
        <v>365</v>
      </c>
      <c r="AW6" s="2">
        <f t="shared" si="9"/>
        <v>365</v>
      </c>
      <c r="AX6" s="2">
        <f t="shared" si="9"/>
        <v>366</v>
      </c>
      <c r="AY6" s="2">
        <f t="shared" si="9"/>
        <v>366</v>
      </c>
      <c r="AZ6" s="2">
        <f t="shared" si="9"/>
        <v>366</v>
      </c>
      <c r="BA6" s="2">
        <f t="shared" si="9"/>
        <v>366</v>
      </c>
      <c r="BB6" s="2">
        <f t="shared" si="9"/>
        <v>365</v>
      </c>
      <c r="BC6" s="2">
        <f t="shared" si="9"/>
        <v>365</v>
      </c>
      <c r="BD6" s="2">
        <f t="shared" si="9"/>
        <v>365</v>
      </c>
      <c r="BE6" s="2">
        <f t="shared" si="9"/>
        <v>365</v>
      </c>
      <c r="BF6" s="2">
        <f t="shared" si="9"/>
        <v>365</v>
      </c>
      <c r="BG6" s="2">
        <f t="shared" si="9"/>
        <v>365</v>
      </c>
      <c r="BH6" s="2">
        <f t="shared" si="9"/>
        <v>365</v>
      </c>
      <c r="BI6" s="2">
        <f t="shared" si="9"/>
        <v>365</v>
      </c>
      <c r="BJ6" s="2">
        <f t="shared" si="9"/>
        <v>365</v>
      </c>
      <c r="BK6" s="2">
        <f t="shared" si="9"/>
        <v>365</v>
      </c>
      <c r="BL6" s="2">
        <f t="shared" si="9"/>
        <v>365</v>
      </c>
      <c r="BM6" s="2">
        <f t="shared" si="9"/>
        <v>365</v>
      </c>
      <c r="BN6" s="2">
        <f t="shared" si="9"/>
        <v>366</v>
      </c>
      <c r="BO6" s="2">
        <f t="shared" si="9"/>
        <v>366</v>
      </c>
      <c r="BP6" s="2">
        <f t="shared" si="9"/>
        <v>366</v>
      </c>
      <c r="BQ6" s="2">
        <f t="shared" si="9"/>
        <v>366</v>
      </c>
      <c r="BR6" s="2">
        <f t="shared" si="9"/>
        <v>365</v>
      </c>
      <c r="BS6" s="2">
        <f t="shared" si="9"/>
        <v>365</v>
      </c>
      <c r="BT6" s="2">
        <f t="shared" si="9"/>
        <v>365</v>
      </c>
      <c r="BU6" s="2">
        <f t="shared" si="9"/>
        <v>365</v>
      </c>
      <c r="BV6" s="2">
        <f t="shared" ref="BV6:EG6" si="10">DATE(BV9, 12, 31) - DATE(BV9, 1, 1) +1</f>
        <v>365</v>
      </c>
      <c r="BW6" s="2">
        <f t="shared" si="10"/>
        <v>365</v>
      </c>
      <c r="BX6" s="2">
        <f t="shared" si="10"/>
        <v>365</v>
      </c>
      <c r="BY6" s="2">
        <f t="shared" si="10"/>
        <v>365</v>
      </c>
      <c r="BZ6" s="2">
        <f t="shared" si="10"/>
        <v>365</v>
      </c>
      <c r="CA6" s="2">
        <f t="shared" si="10"/>
        <v>365</v>
      </c>
      <c r="CB6" s="2">
        <f t="shared" si="10"/>
        <v>365</v>
      </c>
      <c r="CC6" s="2">
        <f t="shared" si="10"/>
        <v>365</v>
      </c>
      <c r="CD6" s="2">
        <f t="shared" si="10"/>
        <v>366</v>
      </c>
      <c r="CE6" s="2">
        <f t="shared" si="10"/>
        <v>366</v>
      </c>
      <c r="CF6" s="2">
        <f t="shared" si="10"/>
        <v>366</v>
      </c>
      <c r="CG6" s="2">
        <f t="shared" si="10"/>
        <v>366</v>
      </c>
      <c r="CH6" s="2">
        <f t="shared" si="10"/>
        <v>365</v>
      </c>
      <c r="CI6" s="2">
        <f t="shared" si="10"/>
        <v>365</v>
      </c>
      <c r="CJ6" s="2">
        <f t="shared" si="10"/>
        <v>365</v>
      </c>
      <c r="CK6" s="2">
        <f t="shared" si="10"/>
        <v>365</v>
      </c>
      <c r="CL6" s="2">
        <f t="shared" si="10"/>
        <v>365</v>
      </c>
      <c r="CM6" s="2">
        <f t="shared" si="10"/>
        <v>365</v>
      </c>
      <c r="CN6" s="2">
        <f t="shared" si="10"/>
        <v>365</v>
      </c>
      <c r="CO6" s="2">
        <f t="shared" si="10"/>
        <v>365</v>
      </c>
      <c r="CP6" s="2">
        <f t="shared" si="10"/>
        <v>365</v>
      </c>
      <c r="CQ6" s="2">
        <f t="shared" si="10"/>
        <v>365</v>
      </c>
      <c r="CR6" s="2">
        <f t="shared" si="10"/>
        <v>365</v>
      </c>
      <c r="CS6" s="2">
        <f t="shared" si="10"/>
        <v>365</v>
      </c>
      <c r="CT6" s="2">
        <f t="shared" si="10"/>
        <v>366</v>
      </c>
      <c r="CU6" s="2">
        <f t="shared" si="10"/>
        <v>366</v>
      </c>
      <c r="CV6" s="2">
        <f t="shared" si="10"/>
        <v>366</v>
      </c>
      <c r="CW6" s="2">
        <f t="shared" si="10"/>
        <v>366</v>
      </c>
      <c r="CX6" s="2">
        <f t="shared" si="10"/>
        <v>365</v>
      </c>
      <c r="CY6" s="2">
        <f t="shared" si="10"/>
        <v>365</v>
      </c>
      <c r="CZ6" s="2">
        <f t="shared" si="10"/>
        <v>365</v>
      </c>
      <c r="DA6" s="2">
        <f t="shared" si="10"/>
        <v>365</v>
      </c>
      <c r="DB6" s="2">
        <f t="shared" si="10"/>
        <v>365</v>
      </c>
      <c r="DC6" s="2">
        <f t="shared" si="10"/>
        <v>365</v>
      </c>
      <c r="DD6" s="2">
        <f t="shared" si="10"/>
        <v>365</v>
      </c>
      <c r="DE6" s="2">
        <f t="shared" si="10"/>
        <v>365</v>
      </c>
      <c r="DF6" s="2">
        <f t="shared" si="10"/>
        <v>365</v>
      </c>
      <c r="DG6" s="2">
        <f t="shared" si="10"/>
        <v>365</v>
      </c>
      <c r="DH6" s="2">
        <f t="shared" si="10"/>
        <v>365</v>
      </c>
      <c r="DI6" s="2">
        <f t="shared" si="10"/>
        <v>365</v>
      </c>
      <c r="DJ6" s="2">
        <f t="shared" si="10"/>
        <v>366</v>
      </c>
      <c r="DK6" s="2">
        <f t="shared" si="10"/>
        <v>366</v>
      </c>
      <c r="DL6" s="2">
        <f t="shared" si="10"/>
        <v>366</v>
      </c>
      <c r="DM6" s="2">
        <f t="shared" si="10"/>
        <v>366</v>
      </c>
      <c r="DN6" s="2">
        <f t="shared" si="10"/>
        <v>365</v>
      </c>
      <c r="DO6" s="2">
        <f t="shared" si="10"/>
        <v>365</v>
      </c>
      <c r="DP6" s="2">
        <f t="shared" si="10"/>
        <v>365</v>
      </c>
      <c r="DQ6" s="2">
        <f t="shared" si="10"/>
        <v>365</v>
      </c>
      <c r="DR6" s="2">
        <f t="shared" si="10"/>
        <v>365</v>
      </c>
      <c r="DS6" s="2">
        <f t="shared" si="10"/>
        <v>365</v>
      </c>
      <c r="DT6" s="2">
        <f t="shared" si="10"/>
        <v>365</v>
      </c>
      <c r="DU6" s="2">
        <f t="shared" si="10"/>
        <v>365</v>
      </c>
      <c r="DV6" s="2">
        <f t="shared" si="10"/>
        <v>365</v>
      </c>
      <c r="DW6" s="2">
        <f t="shared" si="10"/>
        <v>365</v>
      </c>
      <c r="DX6" s="2">
        <f t="shared" si="10"/>
        <v>365</v>
      </c>
      <c r="DY6" s="2">
        <f t="shared" si="10"/>
        <v>365</v>
      </c>
      <c r="DZ6" s="2">
        <f t="shared" si="10"/>
        <v>366</v>
      </c>
      <c r="EA6" s="2">
        <f t="shared" si="10"/>
        <v>366</v>
      </c>
      <c r="EB6" s="2">
        <f t="shared" si="10"/>
        <v>366</v>
      </c>
      <c r="EC6" s="2">
        <f t="shared" si="10"/>
        <v>366</v>
      </c>
      <c r="ED6" s="2">
        <f t="shared" si="10"/>
        <v>365</v>
      </c>
      <c r="EE6" s="2">
        <f t="shared" si="10"/>
        <v>365</v>
      </c>
      <c r="EF6" s="2">
        <f t="shared" si="10"/>
        <v>365</v>
      </c>
      <c r="EG6" s="2">
        <f t="shared" si="10"/>
        <v>365</v>
      </c>
      <c r="EH6" s="2">
        <f t="shared" ref="EH6:FM6" si="11">DATE(EH9, 12, 31) - DATE(EH9, 1, 1) +1</f>
        <v>365</v>
      </c>
      <c r="EI6" s="2">
        <f t="shared" si="11"/>
        <v>365</v>
      </c>
      <c r="EJ6" s="2">
        <f t="shared" si="11"/>
        <v>365</v>
      </c>
      <c r="EK6" s="2">
        <f t="shared" si="11"/>
        <v>365</v>
      </c>
      <c r="EL6" s="2">
        <f t="shared" si="11"/>
        <v>365</v>
      </c>
      <c r="EM6" s="2">
        <f t="shared" si="11"/>
        <v>365</v>
      </c>
      <c r="EN6" s="2">
        <f t="shared" si="11"/>
        <v>365</v>
      </c>
      <c r="EO6" s="2">
        <f t="shared" si="11"/>
        <v>365</v>
      </c>
      <c r="EP6" s="2">
        <f t="shared" si="11"/>
        <v>366</v>
      </c>
      <c r="EQ6" s="2">
        <f t="shared" si="11"/>
        <v>366</v>
      </c>
      <c r="ER6" s="2">
        <f t="shared" si="11"/>
        <v>366</v>
      </c>
      <c r="ES6" s="2">
        <f t="shared" si="11"/>
        <v>366</v>
      </c>
      <c r="ET6" s="2">
        <f t="shared" si="11"/>
        <v>365</v>
      </c>
      <c r="EU6" s="2">
        <f t="shared" si="11"/>
        <v>365</v>
      </c>
      <c r="EV6" s="2">
        <f t="shared" si="11"/>
        <v>365</v>
      </c>
      <c r="EW6" s="2">
        <f t="shared" si="11"/>
        <v>365</v>
      </c>
      <c r="EX6" s="2">
        <f t="shared" si="11"/>
        <v>365</v>
      </c>
      <c r="EY6" s="2">
        <f t="shared" si="11"/>
        <v>365</v>
      </c>
      <c r="EZ6" s="2">
        <f t="shared" si="11"/>
        <v>365</v>
      </c>
      <c r="FA6" s="2">
        <f t="shared" si="11"/>
        <v>365</v>
      </c>
      <c r="FB6" s="2">
        <f t="shared" si="11"/>
        <v>365</v>
      </c>
      <c r="FC6" s="2">
        <f t="shared" si="11"/>
        <v>365</v>
      </c>
      <c r="FD6" s="2">
        <f t="shared" si="11"/>
        <v>365</v>
      </c>
      <c r="FE6" s="2">
        <f t="shared" si="11"/>
        <v>365</v>
      </c>
      <c r="FF6" s="2">
        <f t="shared" si="11"/>
        <v>366</v>
      </c>
      <c r="FG6" s="2">
        <f t="shared" si="11"/>
        <v>366</v>
      </c>
      <c r="FH6" s="2">
        <f t="shared" si="11"/>
        <v>366</v>
      </c>
      <c r="FI6" s="2">
        <f t="shared" si="11"/>
        <v>366</v>
      </c>
      <c r="FJ6" s="2">
        <f t="shared" si="11"/>
        <v>365</v>
      </c>
      <c r="FK6" s="2">
        <f t="shared" si="11"/>
        <v>365</v>
      </c>
      <c r="FL6" s="2">
        <f t="shared" si="11"/>
        <v>365</v>
      </c>
      <c r="FM6" s="2">
        <f t="shared" si="11"/>
        <v>365</v>
      </c>
    </row>
    <row r="7" spans="2:499" x14ac:dyDescent="0.25">
      <c r="B7" t="s">
        <v>74</v>
      </c>
      <c r="I7" s="22">
        <f>I5/I6</f>
        <v>0.25205479452054796</v>
      </c>
      <c r="J7" s="22">
        <f t="shared" ref="J7:BU7" si="12">J5/J6</f>
        <v>0.24657534246575341</v>
      </c>
      <c r="K7" s="22">
        <f t="shared" si="12"/>
        <v>0.24931506849315069</v>
      </c>
      <c r="L7" s="22">
        <f t="shared" si="12"/>
        <v>0.25205479452054796</v>
      </c>
      <c r="M7" s="22">
        <f t="shared" si="12"/>
        <v>0.25205479452054796</v>
      </c>
      <c r="N7" s="22">
        <f t="shared" si="12"/>
        <v>0.24657534246575341</v>
      </c>
      <c r="O7" s="22">
        <f t="shared" si="12"/>
        <v>0.24931506849315069</v>
      </c>
      <c r="P7" s="22">
        <f t="shared" si="12"/>
        <v>0.25205479452054796</v>
      </c>
      <c r="Q7" s="22">
        <f t="shared" si="12"/>
        <v>0.25205479452054796</v>
      </c>
      <c r="R7" s="22">
        <f t="shared" si="12"/>
        <v>0.24863387978142076</v>
      </c>
      <c r="S7" s="22">
        <f t="shared" si="12"/>
        <v>0.24863387978142076</v>
      </c>
      <c r="T7" s="22">
        <f t="shared" si="12"/>
        <v>0.25136612021857924</v>
      </c>
      <c r="U7" s="22">
        <f t="shared" si="12"/>
        <v>0.25136612021857924</v>
      </c>
      <c r="V7" s="22">
        <f t="shared" si="12"/>
        <v>0.24657534246575341</v>
      </c>
      <c r="W7" s="22">
        <f t="shared" si="12"/>
        <v>0.24931506849315069</v>
      </c>
      <c r="X7" s="22">
        <f t="shared" si="12"/>
        <v>0.25205479452054796</v>
      </c>
      <c r="Y7" s="22">
        <f t="shared" si="12"/>
        <v>0.25205479452054796</v>
      </c>
      <c r="Z7" s="22">
        <f t="shared" si="12"/>
        <v>0.24657534246575341</v>
      </c>
      <c r="AA7" s="22">
        <f t="shared" si="12"/>
        <v>0.24931506849315069</v>
      </c>
      <c r="AB7" s="22">
        <f t="shared" si="12"/>
        <v>0.25205479452054796</v>
      </c>
      <c r="AC7" s="22">
        <f t="shared" si="12"/>
        <v>0.25205479452054796</v>
      </c>
      <c r="AD7" s="22">
        <f t="shared" si="12"/>
        <v>0.24657534246575341</v>
      </c>
      <c r="AE7" s="22">
        <f t="shared" si="12"/>
        <v>0.24931506849315069</v>
      </c>
      <c r="AF7" s="22">
        <f t="shared" si="12"/>
        <v>0.25205479452054796</v>
      </c>
      <c r="AG7" s="22">
        <f t="shared" si="12"/>
        <v>0.25205479452054796</v>
      </c>
      <c r="AH7" s="22">
        <f t="shared" si="12"/>
        <v>0.24863387978142076</v>
      </c>
      <c r="AI7" s="22">
        <f t="shared" si="12"/>
        <v>0.24863387978142076</v>
      </c>
      <c r="AJ7" s="22">
        <f t="shared" si="12"/>
        <v>0.25136612021857924</v>
      </c>
      <c r="AK7" s="22">
        <f t="shared" si="12"/>
        <v>0.25136612021857924</v>
      </c>
      <c r="AL7" s="22">
        <f t="shared" si="12"/>
        <v>0.24657534246575341</v>
      </c>
      <c r="AM7" s="22">
        <f t="shared" si="12"/>
        <v>0.24931506849315069</v>
      </c>
      <c r="AN7" s="22">
        <f t="shared" si="12"/>
        <v>0.25205479452054796</v>
      </c>
      <c r="AO7" s="22">
        <f t="shared" si="12"/>
        <v>0.25205479452054796</v>
      </c>
      <c r="AP7" s="22">
        <f t="shared" si="12"/>
        <v>0.24657534246575341</v>
      </c>
      <c r="AQ7" s="22">
        <f t="shared" si="12"/>
        <v>0.24931506849315069</v>
      </c>
      <c r="AR7" s="22">
        <f t="shared" si="12"/>
        <v>0.25205479452054796</v>
      </c>
      <c r="AS7" s="22">
        <f t="shared" si="12"/>
        <v>0.25205479452054796</v>
      </c>
      <c r="AT7" s="22">
        <f t="shared" si="12"/>
        <v>0.24657534246575341</v>
      </c>
      <c r="AU7" s="22">
        <f t="shared" si="12"/>
        <v>0.24931506849315069</v>
      </c>
      <c r="AV7" s="22">
        <f t="shared" si="12"/>
        <v>0.25205479452054796</v>
      </c>
      <c r="AW7" s="22">
        <f t="shared" si="12"/>
        <v>0.25205479452054796</v>
      </c>
      <c r="AX7" s="22">
        <f t="shared" si="12"/>
        <v>0.24863387978142076</v>
      </c>
      <c r="AY7" s="22">
        <f t="shared" si="12"/>
        <v>0.24863387978142076</v>
      </c>
      <c r="AZ7" s="22">
        <f t="shared" si="12"/>
        <v>0.25136612021857924</v>
      </c>
      <c r="BA7" s="22">
        <f t="shared" si="12"/>
        <v>0.25136612021857924</v>
      </c>
      <c r="BB7" s="22">
        <f t="shared" si="12"/>
        <v>0.24657534246575341</v>
      </c>
      <c r="BC7" s="22">
        <f t="shared" si="12"/>
        <v>0.24931506849315069</v>
      </c>
      <c r="BD7" s="22">
        <f t="shared" si="12"/>
        <v>0.25205479452054796</v>
      </c>
      <c r="BE7" s="22">
        <f t="shared" si="12"/>
        <v>0.25205479452054796</v>
      </c>
      <c r="BF7" s="22">
        <f t="shared" si="12"/>
        <v>0.24657534246575341</v>
      </c>
      <c r="BG7" s="22">
        <f t="shared" si="12"/>
        <v>0.24931506849315069</v>
      </c>
      <c r="BH7" s="22">
        <f t="shared" si="12"/>
        <v>0.25205479452054796</v>
      </c>
      <c r="BI7" s="22">
        <f t="shared" si="12"/>
        <v>0.25205479452054796</v>
      </c>
      <c r="BJ7" s="22">
        <f t="shared" si="12"/>
        <v>0.24657534246575341</v>
      </c>
      <c r="BK7" s="22">
        <f t="shared" si="12"/>
        <v>0.24931506849315069</v>
      </c>
      <c r="BL7" s="22">
        <f t="shared" si="12"/>
        <v>0.25205479452054796</v>
      </c>
      <c r="BM7" s="22">
        <f t="shared" si="12"/>
        <v>0.25205479452054796</v>
      </c>
      <c r="BN7" s="22">
        <f t="shared" si="12"/>
        <v>0.24863387978142076</v>
      </c>
      <c r="BO7" s="22">
        <f t="shared" si="12"/>
        <v>0.24863387978142076</v>
      </c>
      <c r="BP7" s="22">
        <f t="shared" si="12"/>
        <v>0.25136612021857924</v>
      </c>
      <c r="BQ7" s="22">
        <f t="shared" si="12"/>
        <v>0.25136612021857924</v>
      </c>
      <c r="BR7" s="22">
        <f t="shared" si="12"/>
        <v>0.24657534246575341</v>
      </c>
      <c r="BS7" s="22">
        <f t="shared" si="12"/>
        <v>0.24931506849315069</v>
      </c>
      <c r="BT7" s="22">
        <f t="shared" si="12"/>
        <v>0.25205479452054796</v>
      </c>
      <c r="BU7" s="22">
        <f t="shared" si="12"/>
        <v>0.25205479452054796</v>
      </c>
      <c r="BV7" s="22">
        <f t="shared" ref="BV7:EG7" si="13">BV5/BV6</f>
        <v>0.24657534246575341</v>
      </c>
      <c r="BW7" s="22">
        <f t="shared" si="13"/>
        <v>0.24931506849315069</v>
      </c>
      <c r="BX7" s="22">
        <f t="shared" si="13"/>
        <v>0.25205479452054796</v>
      </c>
      <c r="BY7" s="22">
        <f t="shared" si="13"/>
        <v>0.25205479452054796</v>
      </c>
      <c r="BZ7" s="22">
        <f t="shared" si="13"/>
        <v>0.24657534246575341</v>
      </c>
      <c r="CA7" s="22">
        <f t="shared" si="13"/>
        <v>0.24931506849315069</v>
      </c>
      <c r="CB7" s="22">
        <f t="shared" si="13"/>
        <v>0.25205479452054796</v>
      </c>
      <c r="CC7" s="22">
        <f t="shared" si="13"/>
        <v>0.25205479452054796</v>
      </c>
      <c r="CD7" s="22">
        <f t="shared" si="13"/>
        <v>0.24863387978142076</v>
      </c>
      <c r="CE7" s="22">
        <f t="shared" si="13"/>
        <v>0.24863387978142076</v>
      </c>
      <c r="CF7" s="22">
        <f t="shared" si="13"/>
        <v>0.25136612021857924</v>
      </c>
      <c r="CG7" s="22">
        <f t="shared" si="13"/>
        <v>0.25136612021857924</v>
      </c>
      <c r="CH7" s="22">
        <f t="shared" si="13"/>
        <v>0.24657534246575341</v>
      </c>
      <c r="CI7" s="22">
        <f t="shared" si="13"/>
        <v>0.24931506849315069</v>
      </c>
      <c r="CJ7" s="22">
        <f t="shared" si="13"/>
        <v>0.25205479452054796</v>
      </c>
      <c r="CK7" s="22">
        <f t="shared" si="13"/>
        <v>0.25205479452054796</v>
      </c>
      <c r="CL7" s="22">
        <f t="shared" si="13"/>
        <v>0.24657534246575341</v>
      </c>
      <c r="CM7" s="22">
        <f t="shared" si="13"/>
        <v>0.24931506849315069</v>
      </c>
      <c r="CN7" s="22">
        <f t="shared" si="13"/>
        <v>0.25205479452054796</v>
      </c>
      <c r="CO7" s="22">
        <f t="shared" si="13"/>
        <v>0.25205479452054796</v>
      </c>
      <c r="CP7" s="22">
        <f t="shared" si="13"/>
        <v>0.24657534246575341</v>
      </c>
      <c r="CQ7" s="22">
        <f t="shared" si="13"/>
        <v>0.24931506849315069</v>
      </c>
      <c r="CR7" s="22">
        <f t="shared" si="13"/>
        <v>0.25205479452054796</v>
      </c>
      <c r="CS7" s="22">
        <f t="shared" si="13"/>
        <v>0.25205479452054796</v>
      </c>
      <c r="CT7" s="22">
        <f t="shared" si="13"/>
        <v>0.24863387978142076</v>
      </c>
      <c r="CU7" s="22">
        <f t="shared" si="13"/>
        <v>0.24863387978142076</v>
      </c>
      <c r="CV7" s="22">
        <f t="shared" si="13"/>
        <v>0.25136612021857924</v>
      </c>
      <c r="CW7" s="22">
        <f t="shared" si="13"/>
        <v>0.25136612021857924</v>
      </c>
      <c r="CX7" s="22">
        <f t="shared" si="13"/>
        <v>0.24657534246575341</v>
      </c>
      <c r="CY7" s="22">
        <f t="shared" si="13"/>
        <v>0.24931506849315069</v>
      </c>
      <c r="CZ7" s="22">
        <f t="shared" si="13"/>
        <v>0.25205479452054796</v>
      </c>
      <c r="DA7" s="22">
        <f t="shared" si="13"/>
        <v>0.25205479452054796</v>
      </c>
      <c r="DB7" s="22">
        <f t="shared" si="13"/>
        <v>0.24657534246575341</v>
      </c>
      <c r="DC7" s="22">
        <f t="shared" si="13"/>
        <v>0.24931506849315069</v>
      </c>
      <c r="DD7" s="22">
        <f t="shared" si="13"/>
        <v>0.25205479452054796</v>
      </c>
      <c r="DE7" s="22">
        <f t="shared" si="13"/>
        <v>0.25205479452054796</v>
      </c>
      <c r="DF7" s="22">
        <f t="shared" si="13"/>
        <v>0.24657534246575341</v>
      </c>
      <c r="DG7" s="22">
        <f t="shared" si="13"/>
        <v>0.24931506849315069</v>
      </c>
      <c r="DH7" s="22">
        <f t="shared" si="13"/>
        <v>0.25205479452054796</v>
      </c>
      <c r="DI7" s="22">
        <f t="shared" si="13"/>
        <v>0.25205479452054796</v>
      </c>
      <c r="DJ7" s="22">
        <f t="shared" si="13"/>
        <v>0.24863387978142076</v>
      </c>
      <c r="DK7" s="22">
        <f t="shared" si="13"/>
        <v>0.24863387978142076</v>
      </c>
      <c r="DL7" s="22">
        <f t="shared" si="13"/>
        <v>0.25136612021857924</v>
      </c>
      <c r="DM7" s="22">
        <f t="shared" si="13"/>
        <v>0.25136612021857924</v>
      </c>
      <c r="DN7" s="22">
        <f t="shared" si="13"/>
        <v>0.24657534246575341</v>
      </c>
      <c r="DO7" s="22">
        <f t="shared" si="13"/>
        <v>0.24931506849315069</v>
      </c>
      <c r="DP7" s="22">
        <f t="shared" si="13"/>
        <v>0.25205479452054796</v>
      </c>
      <c r="DQ7" s="22">
        <f t="shared" si="13"/>
        <v>0.25205479452054796</v>
      </c>
      <c r="DR7" s="22">
        <f t="shared" si="13"/>
        <v>0.24657534246575341</v>
      </c>
      <c r="DS7" s="22">
        <f t="shared" si="13"/>
        <v>0.24931506849315069</v>
      </c>
      <c r="DT7" s="22">
        <f t="shared" si="13"/>
        <v>0.25205479452054796</v>
      </c>
      <c r="DU7" s="22">
        <f t="shared" si="13"/>
        <v>0.25205479452054796</v>
      </c>
      <c r="DV7" s="22">
        <f t="shared" si="13"/>
        <v>0.24657534246575341</v>
      </c>
      <c r="DW7" s="22">
        <f t="shared" si="13"/>
        <v>0.24931506849315069</v>
      </c>
      <c r="DX7" s="22">
        <f t="shared" si="13"/>
        <v>0.25205479452054796</v>
      </c>
      <c r="DY7" s="22">
        <f t="shared" si="13"/>
        <v>0.25205479452054796</v>
      </c>
      <c r="DZ7" s="22">
        <f t="shared" si="13"/>
        <v>0.24863387978142076</v>
      </c>
      <c r="EA7" s="22">
        <f t="shared" si="13"/>
        <v>0.24863387978142076</v>
      </c>
      <c r="EB7" s="22">
        <f t="shared" si="13"/>
        <v>0.25136612021857924</v>
      </c>
      <c r="EC7" s="22">
        <f t="shared" si="13"/>
        <v>0.25136612021857924</v>
      </c>
      <c r="ED7" s="22">
        <f t="shared" si="13"/>
        <v>0.24657534246575341</v>
      </c>
      <c r="EE7" s="22">
        <f t="shared" si="13"/>
        <v>0.24931506849315069</v>
      </c>
      <c r="EF7" s="22">
        <f t="shared" si="13"/>
        <v>0.25205479452054796</v>
      </c>
      <c r="EG7" s="22">
        <f t="shared" si="13"/>
        <v>0.25205479452054796</v>
      </c>
      <c r="EH7" s="22">
        <f t="shared" ref="EH7:FM7" si="14">EH5/EH6</f>
        <v>0.24657534246575341</v>
      </c>
      <c r="EI7" s="22">
        <f t="shared" si="14"/>
        <v>0.24931506849315069</v>
      </c>
      <c r="EJ7" s="22">
        <f t="shared" si="14"/>
        <v>0.25205479452054796</v>
      </c>
      <c r="EK7" s="22">
        <f t="shared" si="14"/>
        <v>0.25205479452054796</v>
      </c>
      <c r="EL7" s="22">
        <f t="shared" si="14"/>
        <v>0.24657534246575341</v>
      </c>
      <c r="EM7" s="22">
        <f t="shared" si="14"/>
        <v>0.24931506849315069</v>
      </c>
      <c r="EN7" s="22">
        <f t="shared" si="14"/>
        <v>0.25205479452054796</v>
      </c>
      <c r="EO7" s="22">
        <f t="shared" si="14"/>
        <v>0.25205479452054796</v>
      </c>
      <c r="EP7" s="22">
        <f t="shared" si="14"/>
        <v>0.24863387978142076</v>
      </c>
      <c r="EQ7" s="22">
        <f t="shared" si="14"/>
        <v>0.24863387978142076</v>
      </c>
      <c r="ER7" s="22">
        <f t="shared" si="14"/>
        <v>0.25136612021857924</v>
      </c>
      <c r="ES7" s="22">
        <f t="shared" si="14"/>
        <v>0.25136612021857924</v>
      </c>
      <c r="ET7" s="22">
        <f t="shared" si="14"/>
        <v>0.24657534246575341</v>
      </c>
      <c r="EU7" s="22">
        <f t="shared" si="14"/>
        <v>0.24931506849315069</v>
      </c>
      <c r="EV7" s="22">
        <f t="shared" si="14"/>
        <v>0.25205479452054796</v>
      </c>
      <c r="EW7" s="22">
        <f t="shared" si="14"/>
        <v>0.25205479452054796</v>
      </c>
      <c r="EX7" s="22">
        <f t="shared" si="14"/>
        <v>0.24657534246575341</v>
      </c>
      <c r="EY7" s="22">
        <f t="shared" si="14"/>
        <v>0.24931506849315069</v>
      </c>
      <c r="EZ7" s="22">
        <f t="shared" si="14"/>
        <v>0.25205479452054796</v>
      </c>
      <c r="FA7" s="22">
        <f t="shared" si="14"/>
        <v>0.25205479452054796</v>
      </c>
      <c r="FB7" s="22">
        <f t="shared" si="14"/>
        <v>0.24657534246575341</v>
      </c>
      <c r="FC7" s="22">
        <f t="shared" si="14"/>
        <v>0.24931506849315069</v>
      </c>
      <c r="FD7" s="22">
        <f t="shared" si="14"/>
        <v>0.25205479452054796</v>
      </c>
      <c r="FE7" s="22">
        <f t="shared" si="14"/>
        <v>0.25205479452054796</v>
      </c>
      <c r="FF7" s="22">
        <f t="shared" si="14"/>
        <v>0.24863387978142076</v>
      </c>
      <c r="FG7" s="22">
        <f t="shared" si="14"/>
        <v>0.24863387978142076</v>
      </c>
      <c r="FH7" s="22">
        <f t="shared" si="14"/>
        <v>0.25136612021857924</v>
      </c>
      <c r="FI7" s="22">
        <f t="shared" si="14"/>
        <v>0.25136612021857924</v>
      </c>
      <c r="FJ7" s="22">
        <f t="shared" si="14"/>
        <v>0.24657534246575341</v>
      </c>
      <c r="FK7" s="22">
        <f t="shared" si="14"/>
        <v>0.24931506849315069</v>
      </c>
      <c r="FL7" s="22">
        <f t="shared" si="14"/>
        <v>0.25205479452054796</v>
      </c>
      <c r="FM7" s="22">
        <f t="shared" si="14"/>
        <v>0.25205479452054796</v>
      </c>
    </row>
    <row r="8" spans="2:499" x14ac:dyDescent="0.25">
      <c r="B8" t="s">
        <v>19</v>
      </c>
      <c r="I8" s="2">
        <f>MONTH(I4) / 3</f>
        <v>4</v>
      </c>
      <c r="J8" s="2">
        <f t="shared" ref="J8:BU8" si="15">MONTH(J4) / 3</f>
        <v>1</v>
      </c>
      <c r="K8" s="2">
        <f t="shared" si="15"/>
        <v>2</v>
      </c>
      <c r="L8" s="2">
        <f t="shared" si="15"/>
        <v>3</v>
      </c>
      <c r="M8" s="2">
        <f t="shared" si="15"/>
        <v>4</v>
      </c>
      <c r="N8" s="2">
        <f t="shared" si="15"/>
        <v>1</v>
      </c>
      <c r="O8" s="2">
        <f t="shared" si="15"/>
        <v>2</v>
      </c>
      <c r="P8" s="2">
        <f t="shared" si="15"/>
        <v>3</v>
      </c>
      <c r="Q8" s="2">
        <f t="shared" si="15"/>
        <v>4</v>
      </c>
      <c r="R8" s="2">
        <f t="shared" si="15"/>
        <v>1</v>
      </c>
      <c r="S8" s="2">
        <f t="shared" si="15"/>
        <v>2</v>
      </c>
      <c r="T8" s="2">
        <f t="shared" si="15"/>
        <v>3</v>
      </c>
      <c r="U8" s="2">
        <f t="shared" si="15"/>
        <v>4</v>
      </c>
      <c r="V8" s="2">
        <f t="shared" si="15"/>
        <v>1</v>
      </c>
      <c r="W8" s="2">
        <f t="shared" si="15"/>
        <v>2</v>
      </c>
      <c r="X8" s="2">
        <f t="shared" si="15"/>
        <v>3</v>
      </c>
      <c r="Y8" s="2">
        <f t="shared" si="15"/>
        <v>4</v>
      </c>
      <c r="Z8" s="2">
        <f t="shared" si="15"/>
        <v>1</v>
      </c>
      <c r="AA8" s="2">
        <f t="shared" si="15"/>
        <v>2</v>
      </c>
      <c r="AB8" s="2">
        <f t="shared" si="15"/>
        <v>3</v>
      </c>
      <c r="AC8" s="2">
        <f t="shared" si="15"/>
        <v>4</v>
      </c>
      <c r="AD8" s="2">
        <f t="shared" si="15"/>
        <v>1</v>
      </c>
      <c r="AE8" s="2">
        <f t="shared" si="15"/>
        <v>2</v>
      </c>
      <c r="AF8" s="2">
        <f t="shared" si="15"/>
        <v>3</v>
      </c>
      <c r="AG8" s="2">
        <f t="shared" si="15"/>
        <v>4</v>
      </c>
      <c r="AH8" s="2">
        <f t="shared" si="15"/>
        <v>1</v>
      </c>
      <c r="AI8" s="2">
        <f t="shared" si="15"/>
        <v>2</v>
      </c>
      <c r="AJ8" s="2">
        <f t="shared" si="15"/>
        <v>3</v>
      </c>
      <c r="AK8" s="2">
        <f t="shared" si="15"/>
        <v>4</v>
      </c>
      <c r="AL8" s="2">
        <f t="shared" si="15"/>
        <v>1</v>
      </c>
      <c r="AM8" s="2">
        <f t="shared" si="15"/>
        <v>2</v>
      </c>
      <c r="AN8" s="2">
        <f t="shared" si="15"/>
        <v>3</v>
      </c>
      <c r="AO8" s="2">
        <f t="shared" si="15"/>
        <v>4</v>
      </c>
      <c r="AP8" s="2">
        <f t="shared" si="15"/>
        <v>1</v>
      </c>
      <c r="AQ8" s="2">
        <f t="shared" si="15"/>
        <v>2</v>
      </c>
      <c r="AR8" s="2">
        <f t="shared" si="15"/>
        <v>3</v>
      </c>
      <c r="AS8" s="2">
        <f t="shared" si="15"/>
        <v>4</v>
      </c>
      <c r="AT8" s="2">
        <f t="shared" si="15"/>
        <v>1</v>
      </c>
      <c r="AU8" s="2">
        <f t="shared" si="15"/>
        <v>2</v>
      </c>
      <c r="AV8" s="2">
        <f t="shared" si="15"/>
        <v>3</v>
      </c>
      <c r="AW8" s="2">
        <f t="shared" si="15"/>
        <v>4</v>
      </c>
      <c r="AX8" s="2">
        <f t="shared" si="15"/>
        <v>1</v>
      </c>
      <c r="AY8" s="2">
        <f t="shared" si="15"/>
        <v>2</v>
      </c>
      <c r="AZ8" s="2">
        <f t="shared" si="15"/>
        <v>3</v>
      </c>
      <c r="BA8" s="2">
        <f t="shared" si="15"/>
        <v>4</v>
      </c>
      <c r="BB8" s="2">
        <f t="shared" si="15"/>
        <v>1</v>
      </c>
      <c r="BC8" s="2">
        <f t="shared" si="15"/>
        <v>2</v>
      </c>
      <c r="BD8" s="2">
        <f t="shared" si="15"/>
        <v>3</v>
      </c>
      <c r="BE8" s="2">
        <f t="shared" si="15"/>
        <v>4</v>
      </c>
      <c r="BF8" s="2">
        <f t="shared" si="15"/>
        <v>1</v>
      </c>
      <c r="BG8" s="2">
        <f t="shared" si="15"/>
        <v>2</v>
      </c>
      <c r="BH8" s="2">
        <f t="shared" si="15"/>
        <v>3</v>
      </c>
      <c r="BI8" s="2">
        <f t="shared" si="15"/>
        <v>4</v>
      </c>
      <c r="BJ8" s="2">
        <f t="shared" si="15"/>
        <v>1</v>
      </c>
      <c r="BK8" s="2">
        <f t="shared" si="15"/>
        <v>2</v>
      </c>
      <c r="BL8" s="2">
        <f t="shared" si="15"/>
        <v>3</v>
      </c>
      <c r="BM8" s="2">
        <f t="shared" si="15"/>
        <v>4</v>
      </c>
      <c r="BN8" s="2">
        <f t="shared" si="15"/>
        <v>1</v>
      </c>
      <c r="BO8" s="2">
        <f t="shared" si="15"/>
        <v>2</v>
      </c>
      <c r="BP8" s="2">
        <f t="shared" si="15"/>
        <v>3</v>
      </c>
      <c r="BQ8" s="2">
        <f t="shared" si="15"/>
        <v>4</v>
      </c>
      <c r="BR8" s="2">
        <f t="shared" si="15"/>
        <v>1</v>
      </c>
      <c r="BS8" s="2">
        <f t="shared" si="15"/>
        <v>2</v>
      </c>
      <c r="BT8" s="2">
        <f t="shared" si="15"/>
        <v>3</v>
      </c>
      <c r="BU8" s="2">
        <f t="shared" si="15"/>
        <v>4</v>
      </c>
      <c r="BV8" s="2">
        <f t="shared" ref="BV8:EG8" si="16">MONTH(BV4) / 3</f>
        <v>1</v>
      </c>
      <c r="BW8" s="2">
        <f t="shared" si="16"/>
        <v>2</v>
      </c>
      <c r="BX8" s="2">
        <f t="shared" si="16"/>
        <v>3</v>
      </c>
      <c r="BY8" s="2">
        <f t="shared" si="16"/>
        <v>4</v>
      </c>
      <c r="BZ8" s="2">
        <f t="shared" si="16"/>
        <v>1</v>
      </c>
      <c r="CA8" s="2">
        <f t="shared" si="16"/>
        <v>2</v>
      </c>
      <c r="CB8" s="2">
        <f t="shared" si="16"/>
        <v>3</v>
      </c>
      <c r="CC8" s="2">
        <f t="shared" si="16"/>
        <v>4</v>
      </c>
      <c r="CD8" s="2">
        <f t="shared" si="16"/>
        <v>1</v>
      </c>
      <c r="CE8" s="2">
        <f t="shared" si="16"/>
        <v>2</v>
      </c>
      <c r="CF8" s="2">
        <f t="shared" si="16"/>
        <v>3</v>
      </c>
      <c r="CG8" s="2">
        <f t="shared" si="16"/>
        <v>4</v>
      </c>
      <c r="CH8" s="2">
        <f t="shared" si="16"/>
        <v>1</v>
      </c>
      <c r="CI8" s="2">
        <f t="shared" si="16"/>
        <v>2</v>
      </c>
      <c r="CJ8" s="2">
        <f t="shared" si="16"/>
        <v>3</v>
      </c>
      <c r="CK8" s="2">
        <f t="shared" si="16"/>
        <v>4</v>
      </c>
      <c r="CL8" s="2">
        <f t="shared" si="16"/>
        <v>1</v>
      </c>
      <c r="CM8" s="2">
        <f t="shared" si="16"/>
        <v>2</v>
      </c>
      <c r="CN8" s="2">
        <f t="shared" si="16"/>
        <v>3</v>
      </c>
      <c r="CO8" s="2">
        <f t="shared" si="16"/>
        <v>4</v>
      </c>
      <c r="CP8" s="2">
        <f t="shared" si="16"/>
        <v>1</v>
      </c>
      <c r="CQ8" s="2">
        <f t="shared" si="16"/>
        <v>2</v>
      </c>
      <c r="CR8" s="2">
        <f t="shared" si="16"/>
        <v>3</v>
      </c>
      <c r="CS8" s="2">
        <f t="shared" si="16"/>
        <v>4</v>
      </c>
      <c r="CT8" s="2">
        <f t="shared" si="16"/>
        <v>1</v>
      </c>
      <c r="CU8" s="2">
        <f t="shared" si="16"/>
        <v>2</v>
      </c>
      <c r="CV8" s="2">
        <f t="shared" si="16"/>
        <v>3</v>
      </c>
      <c r="CW8" s="2">
        <f t="shared" si="16"/>
        <v>4</v>
      </c>
      <c r="CX8" s="2">
        <f t="shared" si="16"/>
        <v>1</v>
      </c>
      <c r="CY8" s="2">
        <f t="shared" si="16"/>
        <v>2</v>
      </c>
      <c r="CZ8" s="2">
        <f t="shared" si="16"/>
        <v>3</v>
      </c>
      <c r="DA8" s="2">
        <f t="shared" si="16"/>
        <v>4</v>
      </c>
      <c r="DB8" s="2">
        <f t="shared" si="16"/>
        <v>1</v>
      </c>
      <c r="DC8" s="2">
        <f t="shared" si="16"/>
        <v>2</v>
      </c>
      <c r="DD8" s="2">
        <f t="shared" si="16"/>
        <v>3</v>
      </c>
      <c r="DE8" s="2">
        <f t="shared" si="16"/>
        <v>4</v>
      </c>
      <c r="DF8" s="2">
        <f t="shared" si="16"/>
        <v>1</v>
      </c>
      <c r="DG8" s="2">
        <f t="shared" si="16"/>
        <v>2</v>
      </c>
      <c r="DH8" s="2">
        <f t="shared" si="16"/>
        <v>3</v>
      </c>
      <c r="DI8" s="2">
        <f t="shared" si="16"/>
        <v>4</v>
      </c>
      <c r="DJ8" s="2">
        <f t="shared" si="16"/>
        <v>1</v>
      </c>
      <c r="DK8" s="2">
        <f t="shared" si="16"/>
        <v>2</v>
      </c>
      <c r="DL8" s="2">
        <f t="shared" si="16"/>
        <v>3</v>
      </c>
      <c r="DM8" s="2">
        <f t="shared" si="16"/>
        <v>4</v>
      </c>
      <c r="DN8" s="2">
        <f t="shared" si="16"/>
        <v>1</v>
      </c>
      <c r="DO8" s="2">
        <f t="shared" si="16"/>
        <v>2</v>
      </c>
      <c r="DP8" s="2">
        <f t="shared" si="16"/>
        <v>3</v>
      </c>
      <c r="DQ8" s="2">
        <f t="shared" si="16"/>
        <v>4</v>
      </c>
      <c r="DR8" s="2">
        <f t="shared" si="16"/>
        <v>1</v>
      </c>
      <c r="DS8" s="2">
        <f t="shared" si="16"/>
        <v>2</v>
      </c>
      <c r="DT8" s="2">
        <f t="shared" si="16"/>
        <v>3</v>
      </c>
      <c r="DU8" s="2">
        <f t="shared" si="16"/>
        <v>4</v>
      </c>
      <c r="DV8" s="2">
        <f t="shared" si="16"/>
        <v>1</v>
      </c>
      <c r="DW8" s="2">
        <f t="shared" si="16"/>
        <v>2</v>
      </c>
      <c r="DX8" s="2">
        <f t="shared" si="16"/>
        <v>3</v>
      </c>
      <c r="DY8" s="2">
        <f t="shared" si="16"/>
        <v>4</v>
      </c>
      <c r="DZ8" s="2">
        <f t="shared" si="16"/>
        <v>1</v>
      </c>
      <c r="EA8" s="2">
        <f t="shared" si="16"/>
        <v>2</v>
      </c>
      <c r="EB8" s="2">
        <f t="shared" si="16"/>
        <v>3</v>
      </c>
      <c r="EC8" s="2">
        <f t="shared" si="16"/>
        <v>4</v>
      </c>
      <c r="ED8" s="2">
        <f t="shared" si="16"/>
        <v>1</v>
      </c>
      <c r="EE8" s="2">
        <f t="shared" si="16"/>
        <v>2</v>
      </c>
      <c r="EF8" s="2">
        <f t="shared" si="16"/>
        <v>3</v>
      </c>
      <c r="EG8" s="2">
        <f t="shared" si="16"/>
        <v>4</v>
      </c>
      <c r="EH8" s="2">
        <f t="shared" ref="EH8:FM8" si="17">MONTH(EH4) / 3</f>
        <v>1</v>
      </c>
      <c r="EI8" s="2">
        <f t="shared" si="17"/>
        <v>2</v>
      </c>
      <c r="EJ8" s="2">
        <f t="shared" si="17"/>
        <v>3</v>
      </c>
      <c r="EK8" s="2">
        <f t="shared" si="17"/>
        <v>4</v>
      </c>
      <c r="EL8" s="2">
        <f t="shared" si="17"/>
        <v>1</v>
      </c>
      <c r="EM8" s="2">
        <f t="shared" si="17"/>
        <v>2</v>
      </c>
      <c r="EN8" s="2">
        <f t="shared" si="17"/>
        <v>3</v>
      </c>
      <c r="EO8" s="2">
        <f t="shared" si="17"/>
        <v>4</v>
      </c>
      <c r="EP8" s="2">
        <f t="shared" si="17"/>
        <v>1</v>
      </c>
      <c r="EQ8" s="2">
        <f t="shared" si="17"/>
        <v>2</v>
      </c>
      <c r="ER8" s="2">
        <f t="shared" si="17"/>
        <v>3</v>
      </c>
      <c r="ES8" s="2">
        <f t="shared" si="17"/>
        <v>4</v>
      </c>
      <c r="ET8" s="2">
        <f t="shared" si="17"/>
        <v>1</v>
      </c>
      <c r="EU8" s="2">
        <f t="shared" si="17"/>
        <v>2</v>
      </c>
      <c r="EV8" s="2">
        <f t="shared" si="17"/>
        <v>3</v>
      </c>
      <c r="EW8" s="2">
        <f t="shared" si="17"/>
        <v>4</v>
      </c>
      <c r="EX8" s="2">
        <f t="shared" si="17"/>
        <v>1</v>
      </c>
      <c r="EY8" s="2">
        <f t="shared" si="17"/>
        <v>2</v>
      </c>
      <c r="EZ8" s="2">
        <f t="shared" si="17"/>
        <v>3</v>
      </c>
      <c r="FA8" s="2">
        <f t="shared" si="17"/>
        <v>4</v>
      </c>
      <c r="FB8" s="2">
        <f t="shared" si="17"/>
        <v>1</v>
      </c>
      <c r="FC8" s="2">
        <f t="shared" si="17"/>
        <v>2</v>
      </c>
      <c r="FD8" s="2">
        <f t="shared" si="17"/>
        <v>3</v>
      </c>
      <c r="FE8" s="2">
        <f t="shared" si="17"/>
        <v>4</v>
      </c>
      <c r="FF8" s="2">
        <f t="shared" si="17"/>
        <v>1</v>
      </c>
      <c r="FG8" s="2">
        <f t="shared" si="17"/>
        <v>2</v>
      </c>
      <c r="FH8" s="2">
        <f t="shared" si="17"/>
        <v>3</v>
      </c>
      <c r="FI8" s="2">
        <f t="shared" si="17"/>
        <v>4</v>
      </c>
      <c r="FJ8" s="2">
        <f t="shared" si="17"/>
        <v>1</v>
      </c>
      <c r="FK8" s="2">
        <f t="shared" si="17"/>
        <v>2</v>
      </c>
      <c r="FL8" s="2">
        <f t="shared" si="17"/>
        <v>3</v>
      </c>
      <c r="FM8" s="2">
        <f t="shared" si="17"/>
        <v>4</v>
      </c>
    </row>
    <row r="9" spans="2:499" x14ac:dyDescent="0.25">
      <c r="B9" t="s">
        <v>65</v>
      </c>
      <c r="I9" s="2">
        <f>YEAR(I4)</f>
        <v>2025</v>
      </c>
      <c r="J9" s="2">
        <f t="shared" ref="J9:BU9" si="18">YEAR(J4)</f>
        <v>2026</v>
      </c>
      <c r="K9" s="2">
        <f t="shared" si="18"/>
        <v>2026</v>
      </c>
      <c r="L9" s="2">
        <f t="shared" si="18"/>
        <v>2026</v>
      </c>
      <c r="M9" s="2">
        <f t="shared" si="18"/>
        <v>2026</v>
      </c>
      <c r="N9" s="2">
        <f t="shared" si="18"/>
        <v>2027</v>
      </c>
      <c r="O9" s="2">
        <f t="shared" si="18"/>
        <v>2027</v>
      </c>
      <c r="P9" s="2">
        <f t="shared" si="18"/>
        <v>2027</v>
      </c>
      <c r="Q9" s="2">
        <f t="shared" si="18"/>
        <v>2027</v>
      </c>
      <c r="R9" s="2">
        <f t="shared" si="18"/>
        <v>2028</v>
      </c>
      <c r="S9" s="2">
        <f t="shared" si="18"/>
        <v>2028</v>
      </c>
      <c r="T9" s="2">
        <f t="shared" si="18"/>
        <v>2028</v>
      </c>
      <c r="U9" s="2">
        <f t="shared" si="18"/>
        <v>2028</v>
      </c>
      <c r="V9" s="2">
        <f t="shared" si="18"/>
        <v>2029</v>
      </c>
      <c r="W9" s="2">
        <f t="shared" si="18"/>
        <v>2029</v>
      </c>
      <c r="X9" s="2">
        <f t="shared" si="18"/>
        <v>2029</v>
      </c>
      <c r="Y9" s="2">
        <f t="shared" si="18"/>
        <v>2029</v>
      </c>
      <c r="Z9" s="2">
        <f t="shared" si="18"/>
        <v>2030</v>
      </c>
      <c r="AA9" s="2">
        <f t="shared" si="18"/>
        <v>2030</v>
      </c>
      <c r="AB9" s="2">
        <f t="shared" si="18"/>
        <v>2030</v>
      </c>
      <c r="AC9" s="2">
        <f t="shared" si="18"/>
        <v>2030</v>
      </c>
      <c r="AD9" s="2">
        <f t="shared" si="18"/>
        <v>2031</v>
      </c>
      <c r="AE9" s="2">
        <f t="shared" si="18"/>
        <v>2031</v>
      </c>
      <c r="AF9" s="2">
        <f t="shared" si="18"/>
        <v>2031</v>
      </c>
      <c r="AG9" s="2">
        <f t="shared" si="18"/>
        <v>2031</v>
      </c>
      <c r="AH9" s="2">
        <f t="shared" si="18"/>
        <v>2032</v>
      </c>
      <c r="AI9" s="2">
        <f t="shared" si="18"/>
        <v>2032</v>
      </c>
      <c r="AJ9" s="2">
        <f t="shared" si="18"/>
        <v>2032</v>
      </c>
      <c r="AK9" s="2">
        <f t="shared" si="18"/>
        <v>2032</v>
      </c>
      <c r="AL9" s="2">
        <f t="shared" si="18"/>
        <v>2033</v>
      </c>
      <c r="AM9" s="2">
        <f t="shared" si="18"/>
        <v>2033</v>
      </c>
      <c r="AN9" s="2">
        <f t="shared" si="18"/>
        <v>2033</v>
      </c>
      <c r="AO9" s="2">
        <f t="shared" si="18"/>
        <v>2033</v>
      </c>
      <c r="AP9" s="2">
        <f t="shared" si="18"/>
        <v>2034</v>
      </c>
      <c r="AQ9" s="2">
        <f t="shared" si="18"/>
        <v>2034</v>
      </c>
      <c r="AR9" s="2">
        <f t="shared" si="18"/>
        <v>2034</v>
      </c>
      <c r="AS9" s="2">
        <f t="shared" si="18"/>
        <v>2034</v>
      </c>
      <c r="AT9" s="2">
        <f t="shared" si="18"/>
        <v>2035</v>
      </c>
      <c r="AU9" s="2">
        <f t="shared" si="18"/>
        <v>2035</v>
      </c>
      <c r="AV9" s="2">
        <f t="shared" si="18"/>
        <v>2035</v>
      </c>
      <c r="AW9" s="2">
        <f t="shared" si="18"/>
        <v>2035</v>
      </c>
      <c r="AX9" s="2">
        <f t="shared" si="18"/>
        <v>2036</v>
      </c>
      <c r="AY9" s="2">
        <f t="shared" si="18"/>
        <v>2036</v>
      </c>
      <c r="AZ9" s="2">
        <f t="shared" si="18"/>
        <v>2036</v>
      </c>
      <c r="BA9" s="2">
        <f t="shared" si="18"/>
        <v>2036</v>
      </c>
      <c r="BB9" s="2">
        <f t="shared" si="18"/>
        <v>2037</v>
      </c>
      <c r="BC9" s="2">
        <f t="shared" si="18"/>
        <v>2037</v>
      </c>
      <c r="BD9" s="2">
        <f t="shared" si="18"/>
        <v>2037</v>
      </c>
      <c r="BE9" s="2">
        <f t="shared" si="18"/>
        <v>2037</v>
      </c>
      <c r="BF9" s="2">
        <f t="shared" si="18"/>
        <v>2038</v>
      </c>
      <c r="BG9" s="2">
        <f t="shared" si="18"/>
        <v>2038</v>
      </c>
      <c r="BH9" s="2">
        <f t="shared" si="18"/>
        <v>2038</v>
      </c>
      <c r="BI9" s="2">
        <f t="shared" si="18"/>
        <v>2038</v>
      </c>
      <c r="BJ9" s="2">
        <f t="shared" si="18"/>
        <v>2039</v>
      </c>
      <c r="BK9" s="2">
        <f t="shared" si="18"/>
        <v>2039</v>
      </c>
      <c r="BL9" s="2">
        <f t="shared" si="18"/>
        <v>2039</v>
      </c>
      <c r="BM9" s="2">
        <f t="shared" si="18"/>
        <v>2039</v>
      </c>
      <c r="BN9" s="2">
        <f t="shared" si="18"/>
        <v>2040</v>
      </c>
      <c r="BO9" s="2">
        <f t="shared" si="18"/>
        <v>2040</v>
      </c>
      <c r="BP9" s="2">
        <f t="shared" si="18"/>
        <v>2040</v>
      </c>
      <c r="BQ9" s="2">
        <f t="shared" si="18"/>
        <v>2040</v>
      </c>
      <c r="BR9" s="2">
        <f t="shared" si="18"/>
        <v>2041</v>
      </c>
      <c r="BS9" s="2">
        <f t="shared" si="18"/>
        <v>2041</v>
      </c>
      <c r="BT9" s="2">
        <f t="shared" si="18"/>
        <v>2041</v>
      </c>
      <c r="BU9" s="2">
        <f t="shared" si="18"/>
        <v>2041</v>
      </c>
      <c r="BV9" s="2">
        <f t="shared" ref="BV9:EG9" si="19">YEAR(BV4)</f>
        <v>2042</v>
      </c>
      <c r="BW9" s="2">
        <f t="shared" si="19"/>
        <v>2042</v>
      </c>
      <c r="BX9" s="2">
        <f t="shared" si="19"/>
        <v>2042</v>
      </c>
      <c r="BY9" s="2">
        <f t="shared" si="19"/>
        <v>2042</v>
      </c>
      <c r="BZ9" s="2">
        <f t="shared" si="19"/>
        <v>2043</v>
      </c>
      <c r="CA9" s="2">
        <f t="shared" si="19"/>
        <v>2043</v>
      </c>
      <c r="CB9" s="2">
        <f t="shared" si="19"/>
        <v>2043</v>
      </c>
      <c r="CC9" s="2">
        <f t="shared" si="19"/>
        <v>2043</v>
      </c>
      <c r="CD9" s="2">
        <f t="shared" si="19"/>
        <v>2044</v>
      </c>
      <c r="CE9" s="2">
        <f t="shared" si="19"/>
        <v>2044</v>
      </c>
      <c r="CF9" s="2">
        <f t="shared" si="19"/>
        <v>2044</v>
      </c>
      <c r="CG9" s="2">
        <f t="shared" si="19"/>
        <v>2044</v>
      </c>
      <c r="CH9" s="2">
        <f t="shared" si="19"/>
        <v>2045</v>
      </c>
      <c r="CI9" s="2">
        <f t="shared" si="19"/>
        <v>2045</v>
      </c>
      <c r="CJ9" s="2">
        <f t="shared" si="19"/>
        <v>2045</v>
      </c>
      <c r="CK9" s="2">
        <f t="shared" si="19"/>
        <v>2045</v>
      </c>
      <c r="CL9" s="2">
        <f t="shared" si="19"/>
        <v>2046</v>
      </c>
      <c r="CM9" s="2">
        <f t="shared" si="19"/>
        <v>2046</v>
      </c>
      <c r="CN9" s="2">
        <f t="shared" si="19"/>
        <v>2046</v>
      </c>
      <c r="CO9" s="2">
        <f t="shared" si="19"/>
        <v>2046</v>
      </c>
      <c r="CP9" s="2">
        <f t="shared" si="19"/>
        <v>2047</v>
      </c>
      <c r="CQ9" s="2">
        <f t="shared" si="19"/>
        <v>2047</v>
      </c>
      <c r="CR9" s="2">
        <f t="shared" si="19"/>
        <v>2047</v>
      </c>
      <c r="CS9" s="2">
        <f t="shared" si="19"/>
        <v>2047</v>
      </c>
      <c r="CT9" s="2">
        <f t="shared" si="19"/>
        <v>2048</v>
      </c>
      <c r="CU9" s="2">
        <f t="shared" si="19"/>
        <v>2048</v>
      </c>
      <c r="CV9" s="2">
        <f t="shared" si="19"/>
        <v>2048</v>
      </c>
      <c r="CW9" s="2">
        <f t="shared" si="19"/>
        <v>2048</v>
      </c>
      <c r="CX9" s="2">
        <f t="shared" si="19"/>
        <v>2049</v>
      </c>
      <c r="CY9" s="2">
        <f t="shared" si="19"/>
        <v>2049</v>
      </c>
      <c r="CZ9" s="2">
        <f t="shared" si="19"/>
        <v>2049</v>
      </c>
      <c r="DA9" s="2">
        <f t="shared" si="19"/>
        <v>2049</v>
      </c>
      <c r="DB9" s="2">
        <f t="shared" si="19"/>
        <v>2050</v>
      </c>
      <c r="DC9" s="2">
        <f t="shared" si="19"/>
        <v>2050</v>
      </c>
      <c r="DD9" s="2">
        <f t="shared" si="19"/>
        <v>2050</v>
      </c>
      <c r="DE9" s="2">
        <f t="shared" si="19"/>
        <v>2050</v>
      </c>
      <c r="DF9" s="2">
        <f t="shared" si="19"/>
        <v>2051</v>
      </c>
      <c r="DG9" s="2">
        <f t="shared" si="19"/>
        <v>2051</v>
      </c>
      <c r="DH9" s="2">
        <f t="shared" si="19"/>
        <v>2051</v>
      </c>
      <c r="DI9" s="2">
        <f t="shared" si="19"/>
        <v>2051</v>
      </c>
      <c r="DJ9" s="2">
        <f t="shared" si="19"/>
        <v>2052</v>
      </c>
      <c r="DK9" s="2">
        <f t="shared" si="19"/>
        <v>2052</v>
      </c>
      <c r="DL9" s="2">
        <f t="shared" si="19"/>
        <v>2052</v>
      </c>
      <c r="DM9" s="2">
        <f t="shared" si="19"/>
        <v>2052</v>
      </c>
      <c r="DN9" s="2">
        <f t="shared" si="19"/>
        <v>2053</v>
      </c>
      <c r="DO9" s="2">
        <f t="shared" si="19"/>
        <v>2053</v>
      </c>
      <c r="DP9" s="2">
        <f t="shared" si="19"/>
        <v>2053</v>
      </c>
      <c r="DQ9" s="2">
        <f t="shared" si="19"/>
        <v>2053</v>
      </c>
      <c r="DR9" s="2">
        <f t="shared" si="19"/>
        <v>2054</v>
      </c>
      <c r="DS9" s="2">
        <f t="shared" si="19"/>
        <v>2054</v>
      </c>
      <c r="DT9" s="2">
        <f t="shared" si="19"/>
        <v>2054</v>
      </c>
      <c r="DU9" s="2">
        <f t="shared" si="19"/>
        <v>2054</v>
      </c>
      <c r="DV9" s="2">
        <f t="shared" si="19"/>
        <v>2055</v>
      </c>
      <c r="DW9" s="2">
        <f t="shared" si="19"/>
        <v>2055</v>
      </c>
      <c r="DX9" s="2">
        <f t="shared" si="19"/>
        <v>2055</v>
      </c>
      <c r="DY9" s="2">
        <f t="shared" si="19"/>
        <v>2055</v>
      </c>
      <c r="DZ9" s="2">
        <f t="shared" si="19"/>
        <v>2056</v>
      </c>
      <c r="EA9" s="2">
        <f t="shared" si="19"/>
        <v>2056</v>
      </c>
      <c r="EB9" s="2">
        <f t="shared" si="19"/>
        <v>2056</v>
      </c>
      <c r="EC9" s="2">
        <f t="shared" si="19"/>
        <v>2056</v>
      </c>
      <c r="ED9" s="2">
        <f t="shared" si="19"/>
        <v>2057</v>
      </c>
      <c r="EE9" s="2">
        <f t="shared" si="19"/>
        <v>2057</v>
      </c>
      <c r="EF9" s="2">
        <f t="shared" si="19"/>
        <v>2057</v>
      </c>
      <c r="EG9" s="2">
        <f t="shared" si="19"/>
        <v>2057</v>
      </c>
      <c r="EH9" s="2">
        <f t="shared" ref="EH9:FM9" si="20">YEAR(EH4)</f>
        <v>2058</v>
      </c>
      <c r="EI9" s="2">
        <f t="shared" si="20"/>
        <v>2058</v>
      </c>
      <c r="EJ9" s="2">
        <f t="shared" si="20"/>
        <v>2058</v>
      </c>
      <c r="EK9" s="2">
        <f t="shared" si="20"/>
        <v>2058</v>
      </c>
      <c r="EL9" s="2">
        <f t="shared" si="20"/>
        <v>2059</v>
      </c>
      <c r="EM9" s="2">
        <f t="shared" si="20"/>
        <v>2059</v>
      </c>
      <c r="EN9" s="2">
        <f t="shared" si="20"/>
        <v>2059</v>
      </c>
      <c r="EO9" s="2">
        <f t="shared" si="20"/>
        <v>2059</v>
      </c>
      <c r="EP9" s="2">
        <f t="shared" si="20"/>
        <v>2060</v>
      </c>
      <c r="EQ9" s="2">
        <f t="shared" si="20"/>
        <v>2060</v>
      </c>
      <c r="ER9" s="2">
        <f t="shared" si="20"/>
        <v>2060</v>
      </c>
      <c r="ES9" s="2">
        <f t="shared" si="20"/>
        <v>2060</v>
      </c>
      <c r="ET9" s="2">
        <f t="shared" si="20"/>
        <v>2061</v>
      </c>
      <c r="EU9" s="2">
        <f t="shared" si="20"/>
        <v>2061</v>
      </c>
      <c r="EV9" s="2">
        <f t="shared" si="20"/>
        <v>2061</v>
      </c>
      <c r="EW9" s="2">
        <f t="shared" si="20"/>
        <v>2061</v>
      </c>
      <c r="EX9" s="2">
        <f t="shared" si="20"/>
        <v>2062</v>
      </c>
      <c r="EY9" s="2">
        <f t="shared" si="20"/>
        <v>2062</v>
      </c>
      <c r="EZ9" s="2">
        <f t="shared" si="20"/>
        <v>2062</v>
      </c>
      <c r="FA9" s="2">
        <f t="shared" si="20"/>
        <v>2062</v>
      </c>
      <c r="FB9" s="2">
        <f t="shared" si="20"/>
        <v>2063</v>
      </c>
      <c r="FC9" s="2">
        <f t="shared" si="20"/>
        <v>2063</v>
      </c>
      <c r="FD9" s="2">
        <f t="shared" si="20"/>
        <v>2063</v>
      </c>
      <c r="FE9" s="2">
        <f t="shared" si="20"/>
        <v>2063</v>
      </c>
      <c r="FF9" s="2">
        <f t="shared" si="20"/>
        <v>2064</v>
      </c>
      <c r="FG9" s="2">
        <f t="shared" si="20"/>
        <v>2064</v>
      </c>
      <c r="FH9" s="2">
        <f t="shared" si="20"/>
        <v>2064</v>
      </c>
      <c r="FI9" s="2">
        <f t="shared" si="20"/>
        <v>2064</v>
      </c>
      <c r="FJ9" s="2">
        <f t="shared" si="20"/>
        <v>2065</v>
      </c>
      <c r="FK9" s="2">
        <f t="shared" si="20"/>
        <v>2065</v>
      </c>
      <c r="FL9" s="2">
        <f t="shared" si="20"/>
        <v>2065</v>
      </c>
      <c r="FM9" s="2">
        <f t="shared" si="20"/>
        <v>2065</v>
      </c>
    </row>
    <row r="10" spans="2:499" x14ac:dyDescent="0.25"/>
    <row r="11" spans="2:499" x14ac:dyDescent="0.25">
      <c r="B11" s="40" t="s">
        <v>75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</row>
    <row r="12" spans="2:499" x14ac:dyDescent="0.25">
      <c r="B12" t="s">
        <v>24</v>
      </c>
      <c r="C12" t="s">
        <v>2</v>
      </c>
      <c r="D12" s="16">
        <f>Stat_Inp!F29</f>
        <v>46173</v>
      </c>
      <c r="E12" s="16">
        <f>Stat_Inp!F31</f>
        <v>46721</v>
      </c>
      <c r="I12" s="19">
        <f t="shared" ref="I12:AN12" si="21">MAX(0,(MIN($E12,I$4)-MAX($D12,I$3)+1)/I$5)+((($D12-$E12+1)/I$5)*($D12&gt;I$3)*($E12&lt;I$4))</f>
        <v>0</v>
      </c>
      <c r="J12" s="19">
        <f t="shared" si="21"/>
        <v>0</v>
      </c>
      <c r="K12" s="19">
        <f t="shared" si="21"/>
        <v>0.34065934065934067</v>
      </c>
      <c r="L12" s="19">
        <f t="shared" si="21"/>
        <v>1</v>
      </c>
      <c r="M12" s="19">
        <f t="shared" si="21"/>
        <v>1</v>
      </c>
      <c r="N12" s="19">
        <f t="shared" si="21"/>
        <v>1</v>
      </c>
      <c r="O12" s="19">
        <f t="shared" si="21"/>
        <v>1</v>
      </c>
      <c r="P12" s="19">
        <f t="shared" si="21"/>
        <v>1</v>
      </c>
      <c r="Q12" s="19">
        <f t="shared" si="21"/>
        <v>0.66304347826086951</v>
      </c>
      <c r="R12" s="19">
        <f t="shared" si="21"/>
        <v>0</v>
      </c>
      <c r="S12" s="19">
        <f t="shared" si="21"/>
        <v>0</v>
      </c>
      <c r="T12" s="19">
        <f t="shared" si="21"/>
        <v>0</v>
      </c>
      <c r="U12" s="19">
        <f t="shared" si="21"/>
        <v>0</v>
      </c>
      <c r="V12" s="19">
        <f t="shared" si="21"/>
        <v>0</v>
      </c>
      <c r="W12" s="19">
        <f t="shared" si="21"/>
        <v>0</v>
      </c>
      <c r="X12" s="19">
        <f t="shared" si="21"/>
        <v>0</v>
      </c>
      <c r="Y12" s="19">
        <f t="shared" si="21"/>
        <v>0</v>
      </c>
      <c r="Z12" s="19">
        <f t="shared" si="21"/>
        <v>0</v>
      </c>
      <c r="AA12" s="19">
        <f t="shared" si="21"/>
        <v>0</v>
      </c>
      <c r="AB12" s="19">
        <f t="shared" si="21"/>
        <v>0</v>
      </c>
      <c r="AC12" s="19">
        <f t="shared" si="21"/>
        <v>0</v>
      </c>
      <c r="AD12" s="19">
        <f t="shared" si="21"/>
        <v>0</v>
      </c>
      <c r="AE12" s="19">
        <f t="shared" si="21"/>
        <v>0</v>
      </c>
      <c r="AF12" s="19">
        <f t="shared" si="21"/>
        <v>0</v>
      </c>
      <c r="AG12" s="19">
        <f t="shared" si="21"/>
        <v>0</v>
      </c>
      <c r="AH12" s="19">
        <f t="shared" si="21"/>
        <v>0</v>
      </c>
      <c r="AI12" s="19">
        <f t="shared" si="21"/>
        <v>0</v>
      </c>
      <c r="AJ12" s="19">
        <f t="shared" si="21"/>
        <v>0</v>
      </c>
      <c r="AK12" s="19">
        <f t="shared" si="21"/>
        <v>0</v>
      </c>
      <c r="AL12" s="19">
        <f t="shared" si="21"/>
        <v>0</v>
      </c>
      <c r="AM12" s="19">
        <f t="shared" si="21"/>
        <v>0</v>
      </c>
      <c r="AN12" s="19">
        <f t="shared" si="21"/>
        <v>0</v>
      </c>
      <c r="AO12" s="19">
        <f t="shared" ref="AO12:BT12" si="22">MAX(0,(MIN($E12,AO$4)-MAX($D12,AO$3)+1)/AO$5)+((($D12-$E12+1)/AO$5)*($D12&gt;AO$3)*($E12&lt;AO$4))</f>
        <v>0</v>
      </c>
      <c r="AP12" s="19">
        <f t="shared" si="22"/>
        <v>0</v>
      </c>
      <c r="AQ12" s="19">
        <f t="shared" si="22"/>
        <v>0</v>
      </c>
      <c r="AR12" s="19">
        <f t="shared" si="22"/>
        <v>0</v>
      </c>
      <c r="AS12" s="19">
        <f t="shared" si="22"/>
        <v>0</v>
      </c>
      <c r="AT12" s="19">
        <f t="shared" si="22"/>
        <v>0</v>
      </c>
      <c r="AU12" s="19">
        <f t="shared" si="22"/>
        <v>0</v>
      </c>
      <c r="AV12" s="19">
        <f t="shared" si="22"/>
        <v>0</v>
      </c>
      <c r="AW12" s="19">
        <f t="shared" si="22"/>
        <v>0</v>
      </c>
      <c r="AX12" s="19">
        <f t="shared" si="22"/>
        <v>0</v>
      </c>
      <c r="AY12" s="19">
        <f t="shared" si="22"/>
        <v>0</v>
      </c>
      <c r="AZ12" s="19">
        <f t="shared" si="22"/>
        <v>0</v>
      </c>
      <c r="BA12" s="19">
        <f t="shared" si="22"/>
        <v>0</v>
      </c>
      <c r="BB12" s="19">
        <f t="shared" si="22"/>
        <v>0</v>
      </c>
      <c r="BC12" s="19">
        <f t="shared" si="22"/>
        <v>0</v>
      </c>
      <c r="BD12" s="19">
        <f t="shared" si="22"/>
        <v>0</v>
      </c>
      <c r="BE12" s="19">
        <f t="shared" si="22"/>
        <v>0</v>
      </c>
      <c r="BF12" s="19">
        <f t="shared" si="22"/>
        <v>0</v>
      </c>
      <c r="BG12" s="19">
        <f t="shared" si="22"/>
        <v>0</v>
      </c>
      <c r="BH12" s="19">
        <f t="shared" si="22"/>
        <v>0</v>
      </c>
      <c r="BI12" s="19">
        <f t="shared" si="22"/>
        <v>0</v>
      </c>
      <c r="BJ12" s="19">
        <f t="shared" si="22"/>
        <v>0</v>
      </c>
      <c r="BK12" s="19">
        <f t="shared" si="22"/>
        <v>0</v>
      </c>
      <c r="BL12" s="19">
        <f t="shared" si="22"/>
        <v>0</v>
      </c>
      <c r="BM12" s="19">
        <f t="shared" si="22"/>
        <v>0</v>
      </c>
      <c r="BN12" s="19">
        <f t="shared" si="22"/>
        <v>0</v>
      </c>
      <c r="BO12" s="19">
        <f t="shared" si="22"/>
        <v>0</v>
      </c>
      <c r="BP12" s="19">
        <f t="shared" si="22"/>
        <v>0</v>
      </c>
      <c r="BQ12" s="19">
        <f t="shared" si="22"/>
        <v>0</v>
      </c>
      <c r="BR12" s="19">
        <f t="shared" si="22"/>
        <v>0</v>
      </c>
      <c r="BS12" s="19">
        <f t="shared" si="22"/>
        <v>0</v>
      </c>
      <c r="BT12" s="19">
        <f t="shared" si="22"/>
        <v>0</v>
      </c>
      <c r="BU12" s="19">
        <f t="shared" ref="BU12:CZ12" si="23">MAX(0,(MIN($E12,BU$4)-MAX($D12,BU$3)+1)/BU$5)+((($D12-$E12+1)/BU$5)*($D12&gt;BU$3)*($E12&lt;BU$4))</f>
        <v>0</v>
      </c>
      <c r="BV12" s="19">
        <f t="shared" si="23"/>
        <v>0</v>
      </c>
      <c r="BW12" s="19">
        <f t="shared" si="23"/>
        <v>0</v>
      </c>
      <c r="BX12" s="19">
        <f t="shared" si="23"/>
        <v>0</v>
      </c>
      <c r="BY12" s="19">
        <f t="shared" si="23"/>
        <v>0</v>
      </c>
      <c r="BZ12" s="19">
        <f t="shared" si="23"/>
        <v>0</v>
      </c>
      <c r="CA12" s="19">
        <f t="shared" si="23"/>
        <v>0</v>
      </c>
      <c r="CB12" s="19">
        <f t="shared" si="23"/>
        <v>0</v>
      </c>
      <c r="CC12" s="19">
        <f t="shared" si="23"/>
        <v>0</v>
      </c>
      <c r="CD12" s="19">
        <f t="shared" si="23"/>
        <v>0</v>
      </c>
      <c r="CE12" s="19">
        <f t="shared" si="23"/>
        <v>0</v>
      </c>
      <c r="CF12" s="19">
        <f t="shared" si="23"/>
        <v>0</v>
      </c>
      <c r="CG12" s="19">
        <f t="shared" si="23"/>
        <v>0</v>
      </c>
      <c r="CH12" s="19">
        <f t="shared" si="23"/>
        <v>0</v>
      </c>
      <c r="CI12" s="19">
        <f t="shared" si="23"/>
        <v>0</v>
      </c>
      <c r="CJ12" s="19">
        <f t="shared" si="23"/>
        <v>0</v>
      </c>
      <c r="CK12" s="19">
        <f t="shared" si="23"/>
        <v>0</v>
      </c>
      <c r="CL12" s="19">
        <f t="shared" si="23"/>
        <v>0</v>
      </c>
      <c r="CM12" s="19">
        <f t="shared" si="23"/>
        <v>0</v>
      </c>
      <c r="CN12" s="19">
        <f t="shared" si="23"/>
        <v>0</v>
      </c>
      <c r="CO12" s="19">
        <f t="shared" si="23"/>
        <v>0</v>
      </c>
      <c r="CP12" s="19">
        <f t="shared" si="23"/>
        <v>0</v>
      </c>
      <c r="CQ12" s="19">
        <f t="shared" si="23"/>
        <v>0</v>
      </c>
      <c r="CR12" s="19">
        <f t="shared" si="23"/>
        <v>0</v>
      </c>
      <c r="CS12" s="19">
        <f t="shared" si="23"/>
        <v>0</v>
      </c>
      <c r="CT12" s="19">
        <f t="shared" si="23"/>
        <v>0</v>
      </c>
      <c r="CU12" s="19">
        <f t="shared" si="23"/>
        <v>0</v>
      </c>
      <c r="CV12" s="19">
        <f t="shared" si="23"/>
        <v>0</v>
      </c>
      <c r="CW12" s="19">
        <f t="shared" si="23"/>
        <v>0</v>
      </c>
      <c r="CX12" s="19">
        <f t="shared" si="23"/>
        <v>0</v>
      </c>
      <c r="CY12" s="19">
        <f t="shared" si="23"/>
        <v>0</v>
      </c>
      <c r="CZ12" s="19">
        <f t="shared" si="23"/>
        <v>0</v>
      </c>
      <c r="DA12" s="19">
        <f t="shared" ref="DA12:EF12" si="24">MAX(0,(MIN($E12,DA$4)-MAX($D12,DA$3)+1)/DA$5)+((($D12-$E12+1)/DA$5)*($D12&gt;DA$3)*($E12&lt;DA$4))</f>
        <v>0</v>
      </c>
      <c r="DB12" s="19">
        <f t="shared" si="24"/>
        <v>0</v>
      </c>
      <c r="DC12" s="19">
        <f t="shared" si="24"/>
        <v>0</v>
      </c>
      <c r="DD12" s="19">
        <f t="shared" si="24"/>
        <v>0</v>
      </c>
      <c r="DE12" s="19">
        <f t="shared" si="24"/>
        <v>0</v>
      </c>
      <c r="DF12" s="19">
        <f t="shared" si="24"/>
        <v>0</v>
      </c>
      <c r="DG12" s="19">
        <f t="shared" si="24"/>
        <v>0</v>
      </c>
      <c r="DH12" s="19">
        <f t="shared" si="24"/>
        <v>0</v>
      </c>
      <c r="DI12" s="19">
        <f t="shared" si="24"/>
        <v>0</v>
      </c>
      <c r="DJ12" s="19">
        <f t="shared" si="24"/>
        <v>0</v>
      </c>
      <c r="DK12" s="19">
        <f t="shared" si="24"/>
        <v>0</v>
      </c>
      <c r="DL12" s="19">
        <f t="shared" si="24"/>
        <v>0</v>
      </c>
      <c r="DM12" s="19">
        <f t="shared" si="24"/>
        <v>0</v>
      </c>
      <c r="DN12" s="19">
        <f t="shared" si="24"/>
        <v>0</v>
      </c>
      <c r="DO12" s="19">
        <f t="shared" si="24"/>
        <v>0</v>
      </c>
      <c r="DP12" s="19">
        <f t="shared" si="24"/>
        <v>0</v>
      </c>
      <c r="DQ12" s="19">
        <f t="shared" si="24"/>
        <v>0</v>
      </c>
      <c r="DR12" s="19">
        <f t="shared" si="24"/>
        <v>0</v>
      </c>
      <c r="DS12" s="19">
        <f t="shared" si="24"/>
        <v>0</v>
      </c>
      <c r="DT12" s="19">
        <f t="shared" si="24"/>
        <v>0</v>
      </c>
      <c r="DU12" s="19">
        <f t="shared" si="24"/>
        <v>0</v>
      </c>
      <c r="DV12" s="19">
        <f t="shared" si="24"/>
        <v>0</v>
      </c>
      <c r="DW12" s="19">
        <f t="shared" si="24"/>
        <v>0</v>
      </c>
      <c r="DX12" s="19">
        <f t="shared" si="24"/>
        <v>0</v>
      </c>
      <c r="DY12" s="19">
        <f t="shared" si="24"/>
        <v>0</v>
      </c>
      <c r="DZ12" s="19">
        <f t="shared" si="24"/>
        <v>0</v>
      </c>
      <c r="EA12" s="19">
        <f t="shared" si="24"/>
        <v>0</v>
      </c>
      <c r="EB12" s="19">
        <f t="shared" si="24"/>
        <v>0</v>
      </c>
      <c r="EC12" s="19">
        <f t="shared" si="24"/>
        <v>0</v>
      </c>
      <c r="ED12" s="19">
        <f t="shared" si="24"/>
        <v>0</v>
      </c>
      <c r="EE12" s="19">
        <f t="shared" si="24"/>
        <v>0</v>
      </c>
      <c r="EF12" s="19">
        <f t="shared" si="24"/>
        <v>0</v>
      </c>
      <c r="EG12" s="19">
        <f t="shared" ref="EG12:FM12" si="25">MAX(0,(MIN($E12,EG$4)-MAX($D12,EG$3)+1)/EG$5)+((($D12-$E12+1)/EG$5)*($D12&gt;EG$3)*($E12&lt;EG$4))</f>
        <v>0</v>
      </c>
      <c r="EH12" s="19">
        <f t="shared" si="25"/>
        <v>0</v>
      </c>
      <c r="EI12" s="19">
        <f t="shared" si="25"/>
        <v>0</v>
      </c>
      <c r="EJ12" s="19">
        <f t="shared" si="25"/>
        <v>0</v>
      </c>
      <c r="EK12" s="19">
        <f t="shared" si="25"/>
        <v>0</v>
      </c>
      <c r="EL12" s="19">
        <f t="shared" si="25"/>
        <v>0</v>
      </c>
      <c r="EM12" s="19">
        <f t="shared" si="25"/>
        <v>0</v>
      </c>
      <c r="EN12" s="19">
        <f t="shared" si="25"/>
        <v>0</v>
      </c>
      <c r="EO12" s="19">
        <f t="shared" si="25"/>
        <v>0</v>
      </c>
      <c r="EP12" s="19">
        <f t="shared" si="25"/>
        <v>0</v>
      </c>
      <c r="EQ12" s="19">
        <f t="shared" si="25"/>
        <v>0</v>
      </c>
      <c r="ER12" s="19">
        <f t="shared" si="25"/>
        <v>0</v>
      </c>
      <c r="ES12" s="19">
        <f t="shared" si="25"/>
        <v>0</v>
      </c>
      <c r="ET12" s="19">
        <f t="shared" si="25"/>
        <v>0</v>
      </c>
      <c r="EU12" s="19">
        <f t="shared" si="25"/>
        <v>0</v>
      </c>
      <c r="EV12" s="19">
        <f t="shared" si="25"/>
        <v>0</v>
      </c>
      <c r="EW12" s="19">
        <f t="shared" si="25"/>
        <v>0</v>
      </c>
      <c r="EX12" s="19">
        <f t="shared" si="25"/>
        <v>0</v>
      </c>
      <c r="EY12" s="19">
        <f t="shared" si="25"/>
        <v>0</v>
      </c>
      <c r="EZ12" s="19">
        <f t="shared" si="25"/>
        <v>0</v>
      </c>
      <c r="FA12" s="19">
        <f t="shared" si="25"/>
        <v>0</v>
      </c>
      <c r="FB12" s="19">
        <f t="shared" si="25"/>
        <v>0</v>
      </c>
      <c r="FC12" s="19">
        <f t="shared" si="25"/>
        <v>0</v>
      </c>
      <c r="FD12" s="19">
        <f t="shared" si="25"/>
        <v>0</v>
      </c>
      <c r="FE12" s="19">
        <f t="shared" si="25"/>
        <v>0</v>
      </c>
      <c r="FF12" s="19">
        <f t="shared" si="25"/>
        <v>0</v>
      </c>
      <c r="FG12" s="19">
        <f t="shared" si="25"/>
        <v>0</v>
      </c>
      <c r="FH12" s="19">
        <f t="shared" si="25"/>
        <v>0</v>
      </c>
      <c r="FI12" s="19">
        <f t="shared" si="25"/>
        <v>0</v>
      </c>
      <c r="FJ12" s="19">
        <f t="shared" si="25"/>
        <v>0</v>
      </c>
      <c r="FK12" s="19">
        <f t="shared" si="25"/>
        <v>0</v>
      </c>
      <c r="FL12" s="19">
        <f t="shared" si="25"/>
        <v>0</v>
      </c>
      <c r="FM12" s="19">
        <f t="shared" si="25"/>
        <v>0</v>
      </c>
    </row>
    <row r="13" spans="2:499" x14ac:dyDescent="0.25">
      <c r="B13" t="s">
        <v>76</v>
      </c>
      <c r="C13" t="s">
        <v>77</v>
      </c>
      <c r="H13" s="18">
        <v>0</v>
      </c>
      <c r="I13" s="2">
        <f t="shared" ref="I13:AN13" si="26">IF(I12, H13 + ROUND( I12 * (MONTH(I4) - MONTH(I3) +1), 0), 0)</f>
        <v>0</v>
      </c>
      <c r="J13" s="2">
        <f t="shared" si="26"/>
        <v>0</v>
      </c>
      <c r="K13" s="2">
        <f t="shared" si="26"/>
        <v>1</v>
      </c>
      <c r="L13" s="2">
        <f t="shared" si="26"/>
        <v>4</v>
      </c>
      <c r="M13" s="2">
        <f t="shared" si="26"/>
        <v>7</v>
      </c>
      <c r="N13" s="2">
        <f t="shared" si="26"/>
        <v>10</v>
      </c>
      <c r="O13" s="2">
        <f t="shared" si="26"/>
        <v>13</v>
      </c>
      <c r="P13" s="2">
        <f t="shared" si="26"/>
        <v>16</v>
      </c>
      <c r="Q13" s="2">
        <f t="shared" si="26"/>
        <v>18</v>
      </c>
      <c r="R13" s="2">
        <f t="shared" si="26"/>
        <v>0</v>
      </c>
      <c r="S13" s="2">
        <f t="shared" si="26"/>
        <v>0</v>
      </c>
      <c r="T13" s="2">
        <f t="shared" si="26"/>
        <v>0</v>
      </c>
      <c r="U13" s="2">
        <f t="shared" si="26"/>
        <v>0</v>
      </c>
      <c r="V13" s="2">
        <f t="shared" si="26"/>
        <v>0</v>
      </c>
      <c r="W13" s="2">
        <f t="shared" si="26"/>
        <v>0</v>
      </c>
      <c r="X13" s="2">
        <f t="shared" si="26"/>
        <v>0</v>
      </c>
      <c r="Y13" s="2">
        <f t="shared" si="26"/>
        <v>0</v>
      </c>
      <c r="Z13" s="2">
        <f t="shared" si="26"/>
        <v>0</v>
      </c>
      <c r="AA13" s="2">
        <f t="shared" si="26"/>
        <v>0</v>
      </c>
      <c r="AB13" s="2">
        <f t="shared" si="26"/>
        <v>0</v>
      </c>
      <c r="AC13" s="2">
        <f t="shared" si="26"/>
        <v>0</v>
      </c>
      <c r="AD13" s="2">
        <f t="shared" si="26"/>
        <v>0</v>
      </c>
      <c r="AE13" s="2">
        <f t="shared" si="26"/>
        <v>0</v>
      </c>
      <c r="AF13" s="2">
        <f t="shared" si="26"/>
        <v>0</v>
      </c>
      <c r="AG13" s="2">
        <f t="shared" si="26"/>
        <v>0</v>
      </c>
      <c r="AH13" s="2">
        <f t="shared" si="26"/>
        <v>0</v>
      </c>
      <c r="AI13" s="2">
        <f t="shared" si="26"/>
        <v>0</v>
      </c>
      <c r="AJ13" s="2">
        <f t="shared" si="26"/>
        <v>0</v>
      </c>
      <c r="AK13" s="2">
        <f t="shared" si="26"/>
        <v>0</v>
      </c>
      <c r="AL13" s="2">
        <f t="shared" si="26"/>
        <v>0</v>
      </c>
      <c r="AM13" s="2">
        <f t="shared" si="26"/>
        <v>0</v>
      </c>
      <c r="AN13" s="2">
        <f t="shared" si="26"/>
        <v>0</v>
      </c>
      <c r="AO13" s="2">
        <f t="shared" ref="AO13:BT13" si="27">IF(AO12, AN13 + ROUND( AO12 * (MONTH(AO4) - MONTH(AO3) +1), 0), 0)</f>
        <v>0</v>
      </c>
      <c r="AP13" s="2">
        <f t="shared" si="27"/>
        <v>0</v>
      </c>
      <c r="AQ13" s="2">
        <f t="shared" si="27"/>
        <v>0</v>
      </c>
      <c r="AR13" s="2">
        <f t="shared" si="27"/>
        <v>0</v>
      </c>
      <c r="AS13" s="2">
        <f t="shared" si="27"/>
        <v>0</v>
      </c>
      <c r="AT13" s="2">
        <f t="shared" si="27"/>
        <v>0</v>
      </c>
      <c r="AU13" s="2">
        <f t="shared" si="27"/>
        <v>0</v>
      </c>
      <c r="AV13" s="2">
        <f t="shared" si="27"/>
        <v>0</v>
      </c>
      <c r="AW13" s="2">
        <f t="shared" si="27"/>
        <v>0</v>
      </c>
      <c r="AX13" s="2">
        <f t="shared" si="27"/>
        <v>0</v>
      </c>
      <c r="AY13" s="2">
        <f t="shared" si="27"/>
        <v>0</v>
      </c>
      <c r="AZ13" s="2">
        <f t="shared" si="27"/>
        <v>0</v>
      </c>
      <c r="BA13" s="2">
        <f t="shared" si="27"/>
        <v>0</v>
      </c>
      <c r="BB13" s="2">
        <f t="shared" si="27"/>
        <v>0</v>
      </c>
      <c r="BC13" s="2">
        <f t="shared" si="27"/>
        <v>0</v>
      </c>
      <c r="BD13" s="2">
        <f t="shared" si="27"/>
        <v>0</v>
      </c>
      <c r="BE13" s="2">
        <f t="shared" si="27"/>
        <v>0</v>
      </c>
      <c r="BF13" s="2">
        <f t="shared" si="27"/>
        <v>0</v>
      </c>
      <c r="BG13" s="2">
        <f t="shared" si="27"/>
        <v>0</v>
      </c>
      <c r="BH13" s="2">
        <f t="shared" si="27"/>
        <v>0</v>
      </c>
      <c r="BI13" s="2">
        <f t="shared" si="27"/>
        <v>0</v>
      </c>
      <c r="BJ13" s="2">
        <f t="shared" si="27"/>
        <v>0</v>
      </c>
      <c r="BK13" s="2">
        <f t="shared" si="27"/>
        <v>0</v>
      </c>
      <c r="BL13" s="2">
        <f t="shared" si="27"/>
        <v>0</v>
      </c>
      <c r="BM13" s="2">
        <f t="shared" si="27"/>
        <v>0</v>
      </c>
      <c r="BN13" s="2">
        <f t="shared" si="27"/>
        <v>0</v>
      </c>
      <c r="BO13" s="2">
        <f t="shared" si="27"/>
        <v>0</v>
      </c>
      <c r="BP13" s="2">
        <f t="shared" si="27"/>
        <v>0</v>
      </c>
      <c r="BQ13" s="2">
        <f t="shared" si="27"/>
        <v>0</v>
      </c>
      <c r="BR13" s="2">
        <f t="shared" si="27"/>
        <v>0</v>
      </c>
      <c r="BS13" s="2">
        <f t="shared" si="27"/>
        <v>0</v>
      </c>
      <c r="BT13" s="2">
        <f t="shared" si="27"/>
        <v>0</v>
      </c>
      <c r="BU13" s="2">
        <f t="shared" ref="BU13:CZ13" si="28">IF(BU12, BT13 + ROUND( BU12 * (MONTH(BU4) - MONTH(BU3) +1), 0), 0)</f>
        <v>0</v>
      </c>
      <c r="BV13" s="2">
        <f t="shared" si="28"/>
        <v>0</v>
      </c>
      <c r="BW13" s="2">
        <f t="shared" si="28"/>
        <v>0</v>
      </c>
      <c r="BX13" s="2">
        <f t="shared" si="28"/>
        <v>0</v>
      </c>
      <c r="BY13" s="2">
        <f t="shared" si="28"/>
        <v>0</v>
      </c>
      <c r="BZ13" s="2">
        <f t="shared" si="28"/>
        <v>0</v>
      </c>
      <c r="CA13" s="2">
        <f t="shared" si="28"/>
        <v>0</v>
      </c>
      <c r="CB13" s="2">
        <f t="shared" si="28"/>
        <v>0</v>
      </c>
      <c r="CC13" s="2">
        <f t="shared" si="28"/>
        <v>0</v>
      </c>
      <c r="CD13" s="2">
        <f t="shared" si="28"/>
        <v>0</v>
      </c>
      <c r="CE13" s="2">
        <f t="shared" si="28"/>
        <v>0</v>
      </c>
      <c r="CF13" s="2">
        <f t="shared" si="28"/>
        <v>0</v>
      </c>
      <c r="CG13" s="2">
        <f t="shared" si="28"/>
        <v>0</v>
      </c>
      <c r="CH13" s="2">
        <f t="shared" si="28"/>
        <v>0</v>
      </c>
      <c r="CI13" s="2">
        <f t="shared" si="28"/>
        <v>0</v>
      </c>
      <c r="CJ13" s="2">
        <f t="shared" si="28"/>
        <v>0</v>
      </c>
      <c r="CK13" s="2">
        <f t="shared" si="28"/>
        <v>0</v>
      </c>
      <c r="CL13" s="2">
        <f t="shared" si="28"/>
        <v>0</v>
      </c>
      <c r="CM13" s="2">
        <f t="shared" si="28"/>
        <v>0</v>
      </c>
      <c r="CN13" s="2">
        <f t="shared" si="28"/>
        <v>0</v>
      </c>
      <c r="CO13" s="2">
        <f t="shared" si="28"/>
        <v>0</v>
      </c>
      <c r="CP13" s="2">
        <f t="shared" si="28"/>
        <v>0</v>
      </c>
      <c r="CQ13" s="2">
        <f t="shared" si="28"/>
        <v>0</v>
      </c>
      <c r="CR13" s="2">
        <f t="shared" si="28"/>
        <v>0</v>
      </c>
      <c r="CS13" s="2">
        <f t="shared" si="28"/>
        <v>0</v>
      </c>
      <c r="CT13" s="2">
        <f t="shared" si="28"/>
        <v>0</v>
      </c>
      <c r="CU13" s="2">
        <f t="shared" si="28"/>
        <v>0</v>
      </c>
      <c r="CV13" s="2">
        <f t="shared" si="28"/>
        <v>0</v>
      </c>
      <c r="CW13" s="2">
        <f t="shared" si="28"/>
        <v>0</v>
      </c>
      <c r="CX13" s="2">
        <f t="shared" si="28"/>
        <v>0</v>
      </c>
      <c r="CY13" s="2">
        <f t="shared" si="28"/>
        <v>0</v>
      </c>
      <c r="CZ13" s="2">
        <f t="shared" si="28"/>
        <v>0</v>
      </c>
      <c r="DA13" s="2">
        <f t="shared" ref="DA13:EF13" si="29">IF(DA12, CZ13 + ROUND( DA12 * (MONTH(DA4) - MONTH(DA3) +1), 0), 0)</f>
        <v>0</v>
      </c>
      <c r="DB13" s="2">
        <f t="shared" si="29"/>
        <v>0</v>
      </c>
      <c r="DC13" s="2">
        <f t="shared" si="29"/>
        <v>0</v>
      </c>
      <c r="DD13" s="2">
        <f t="shared" si="29"/>
        <v>0</v>
      </c>
      <c r="DE13" s="2">
        <f t="shared" si="29"/>
        <v>0</v>
      </c>
      <c r="DF13" s="2">
        <f t="shared" si="29"/>
        <v>0</v>
      </c>
      <c r="DG13" s="2">
        <f t="shared" si="29"/>
        <v>0</v>
      </c>
      <c r="DH13" s="2">
        <f t="shared" si="29"/>
        <v>0</v>
      </c>
      <c r="DI13" s="2">
        <f t="shared" si="29"/>
        <v>0</v>
      </c>
      <c r="DJ13" s="2">
        <f t="shared" si="29"/>
        <v>0</v>
      </c>
      <c r="DK13" s="2">
        <f t="shared" si="29"/>
        <v>0</v>
      </c>
      <c r="DL13" s="2">
        <f t="shared" si="29"/>
        <v>0</v>
      </c>
      <c r="DM13" s="2">
        <f t="shared" si="29"/>
        <v>0</v>
      </c>
      <c r="DN13" s="2">
        <f t="shared" si="29"/>
        <v>0</v>
      </c>
      <c r="DO13" s="2">
        <f t="shared" si="29"/>
        <v>0</v>
      </c>
      <c r="DP13" s="2">
        <f t="shared" si="29"/>
        <v>0</v>
      </c>
      <c r="DQ13" s="2">
        <f t="shared" si="29"/>
        <v>0</v>
      </c>
      <c r="DR13" s="2">
        <f t="shared" si="29"/>
        <v>0</v>
      </c>
      <c r="DS13" s="2">
        <f t="shared" si="29"/>
        <v>0</v>
      </c>
      <c r="DT13" s="2">
        <f t="shared" si="29"/>
        <v>0</v>
      </c>
      <c r="DU13" s="2">
        <f t="shared" si="29"/>
        <v>0</v>
      </c>
      <c r="DV13" s="2">
        <f t="shared" si="29"/>
        <v>0</v>
      </c>
      <c r="DW13" s="2">
        <f t="shared" si="29"/>
        <v>0</v>
      </c>
      <c r="DX13" s="2">
        <f t="shared" si="29"/>
        <v>0</v>
      </c>
      <c r="DY13" s="2">
        <f t="shared" si="29"/>
        <v>0</v>
      </c>
      <c r="DZ13" s="2">
        <f t="shared" si="29"/>
        <v>0</v>
      </c>
      <c r="EA13" s="2">
        <f t="shared" si="29"/>
        <v>0</v>
      </c>
      <c r="EB13" s="2">
        <f t="shared" si="29"/>
        <v>0</v>
      </c>
      <c r="EC13" s="2">
        <f t="shared" si="29"/>
        <v>0</v>
      </c>
      <c r="ED13" s="2">
        <f t="shared" si="29"/>
        <v>0</v>
      </c>
      <c r="EE13" s="2">
        <f t="shared" si="29"/>
        <v>0</v>
      </c>
      <c r="EF13" s="2">
        <f t="shared" si="29"/>
        <v>0</v>
      </c>
      <c r="EG13" s="2">
        <f t="shared" ref="EG13:FL13" si="30">IF(EG12, EF13 + ROUND( EG12 * (MONTH(EG4) - MONTH(EG3) +1), 0), 0)</f>
        <v>0</v>
      </c>
      <c r="EH13" s="2">
        <f t="shared" si="30"/>
        <v>0</v>
      </c>
      <c r="EI13" s="2">
        <f t="shared" si="30"/>
        <v>0</v>
      </c>
      <c r="EJ13" s="2">
        <f t="shared" si="30"/>
        <v>0</v>
      </c>
      <c r="EK13" s="2">
        <f t="shared" si="30"/>
        <v>0</v>
      </c>
      <c r="EL13" s="2">
        <f t="shared" si="30"/>
        <v>0</v>
      </c>
      <c r="EM13" s="2">
        <f t="shared" si="30"/>
        <v>0</v>
      </c>
      <c r="EN13" s="2">
        <f t="shared" si="30"/>
        <v>0</v>
      </c>
      <c r="EO13" s="2">
        <f t="shared" si="30"/>
        <v>0</v>
      </c>
      <c r="EP13" s="2">
        <f t="shared" si="30"/>
        <v>0</v>
      </c>
      <c r="EQ13" s="2">
        <f t="shared" si="30"/>
        <v>0</v>
      </c>
      <c r="ER13" s="2">
        <f t="shared" si="30"/>
        <v>0</v>
      </c>
      <c r="ES13" s="2">
        <f t="shared" si="30"/>
        <v>0</v>
      </c>
      <c r="ET13" s="2">
        <f t="shared" si="30"/>
        <v>0</v>
      </c>
      <c r="EU13" s="2">
        <f t="shared" si="30"/>
        <v>0</v>
      </c>
      <c r="EV13" s="2">
        <f t="shared" si="30"/>
        <v>0</v>
      </c>
      <c r="EW13" s="2">
        <f t="shared" si="30"/>
        <v>0</v>
      </c>
      <c r="EX13" s="2">
        <f t="shared" si="30"/>
        <v>0</v>
      </c>
      <c r="EY13" s="2">
        <f t="shared" si="30"/>
        <v>0</v>
      </c>
      <c r="EZ13" s="2">
        <f t="shared" si="30"/>
        <v>0</v>
      </c>
      <c r="FA13" s="2">
        <f t="shared" si="30"/>
        <v>0</v>
      </c>
      <c r="FB13" s="2">
        <f t="shared" si="30"/>
        <v>0</v>
      </c>
      <c r="FC13" s="2">
        <f t="shared" si="30"/>
        <v>0</v>
      </c>
      <c r="FD13" s="2">
        <f t="shared" si="30"/>
        <v>0</v>
      </c>
      <c r="FE13" s="2">
        <f t="shared" si="30"/>
        <v>0</v>
      </c>
      <c r="FF13" s="2">
        <f t="shared" si="30"/>
        <v>0</v>
      </c>
      <c r="FG13" s="2">
        <f t="shared" si="30"/>
        <v>0</v>
      </c>
      <c r="FH13" s="2">
        <f t="shared" si="30"/>
        <v>0</v>
      </c>
      <c r="FI13" s="2">
        <f t="shared" si="30"/>
        <v>0</v>
      </c>
      <c r="FJ13" s="2">
        <f t="shared" si="30"/>
        <v>0</v>
      </c>
      <c r="FK13" s="2">
        <f t="shared" si="30"/>
        <v>0</v>
      </c>
      <c r="FL13" s="2">
        <f t="shared" si="30"/>
        <v>0</v>
      </c>
      <c r="FM13" s="2">
        <f t="shared" ref="FM13" si="31">IF(FM12, FL13 + ROUND( FM12 * (MONTH(FM4) - MONTH(FM3) +1), 0), 0)</f>
        <v>0</v>
      </c>
    </row>
    <row r="14" spans="2:499" x14ac:dyDescent="0.25">
      <c r="B14" t="s">
        <v>78</v>
      </c>
      <c r="C14" t="s">
        <v>2</v>
      </c>
      <c r="D14" s="16">
        <f>Stat_Inp!F42</f>
        <v>46722</v>
      </c>
      <c r="E14" s="16">
        <f>Stat_Inp!F44</f>
        <v>59536</v>
      </c>
      <c r="H14" s="18">
        <v>0</v>
      </c>
      <c r="I14" s="19">
        <f t="shared" ref="I14:AN14" si="32">MAX(0,(MIN($E14,I$4)-MAX($D14,I$3)+1)/I$5)+((($D14-$E14+1)/I$5)*($D14&gt;I$3)*($E14&lt;I$4))</f>
        <v>0</v>
      </c>
      <c r="J14" s="19">
        <f t="shared" si="32"/>
        <v>0</v>
      </c>
      <c r="K14" s="19">
        <f t="shared" si="32"/>
        <v>0</v>
      </c>
      <c r="L14" s="19">
        <f t="shared" si="32"/>
        <v>0</v>
      </c>
      <c r="M14" s="19">
        <f t="shared" si="32"/>
        <v>0</v>
      </c>
      <c r="N14" s="19">
        <f t="shared" si="32"/>
        <v>0</v>
      </c>
      <c r="O14" s="19">
        <f t="shared" si="32"/>
        <v>0</v>
      </c>
      <c r="P14" s="19">
        <f t="shared" si="32"/>
        <v>0</v>
      </c>
      <c r="Q14" s="19">
        <f t="shared" si="32"/>
        <v>0.33695652173913043</v>
      </c>
      <c r="R14" s="19">
        <f t="shared" si="32"/>
        <v>1</v>
      </c>
      <c r="S14" s="19">
        <f t="shared" si="32"/>
        <v>1</v>
      </c>
      <c r="T14" s="19">
        <f t="shared" si="32"/>
        <v>1</v>
      </c>
      <c r="U14" s="19">
        <f t="shared" si="32"/>
        <v>1</v>
      </c>
      <c r="V14" s="19">
        <f t="shared" si="32"/>
        <v>1</v>
      </c>
      <c r="W14" s="19">
        <f t="shared" si="32"/>
        <v>1</v>
      </c>
      <c r="X14" s="19">
        <f t="shared" si="32"/>
        <v>1</v>
      </c>
      <c r="Y14" s="19">
        <f t="shared" si="32"/>
        <v>1</v>
      </c>
      <c r="Z14" s="19">
        <f t="shared" si="32"/>
        <v>1</v>
      </c>
      <c r="AA14" s="19">
        <f t="shared" si="32"/>
        <v>1</v>
      </c>
      <c r="AB14" s="19">
        <f t="shared" si="32"/>
        <v>1</v>
      </c>
      <c r="AC14" s="19">
        <f t="shared" si="32"/>
        <v>1</v>
      </c>
      <c r="AD14" s="19">
        <f t="shared" si="32"/>
        <v>1</v>
      </c>
      <c r="AE14" s="19">
        <f t="shared" si="32"/>
        <v>1</v>
      </c>
      <c r="AF14" s="19">
        <f t="shared" si="32"/>
        <v>1</v>
      </c>
      <c r="AG14" s="19">
        <f t="shared" si="32"/>
        <v>1</v>
      </c>
      <c r="AH14" s="19">
        <f t="shared" si="32"/>
        <v>1</v>
      </c>
      <c r="AI14" s="19">
        <f t="shared" si="32"/>
        <v>1</v>
      </c>
      <c r="AJ14" s="19">
        <f t="shared" si="32"/>
        <v>1</v>
      </c>
      <c r="AK14" s="19">
        <f t="shared" si="32"/>
        <v>1</v>
      </c>
      <c r="AL14" s="19">
        <f t="shared" si="32"/>
        <v>1</v>
      </c>
      <c r="AM14" s="19">
        <f t="shared" si="32"/>
        <v>1</v>
      </c>
      <c r="AN14" s="19">
        <f t="shared" si="32"/>
        <v>1</v>
      </c>
      <c r="AO14" s="19">
        <f t="shared" ref="AO14:BT14" si="33">MAX(0,(MIN($E14,AO$4)-MAX($D14,AO$3)+1)/AO$5)+((($D14-$E14+1)/AO$5)*($D14&gt;AO$3)*($E14&lt;AO$4))</f>
        <v>1</v>
      </c>
      <c r="AP14" s="19">
        <f t="shared" si="33"/>
        <v>1</v>
      </c>
      <c r="AQ14" s="19">
        <f t="shared" si="33"/>
        <v>1</v>
      </c>
      <c r="AR14" s="19">
        <f t="shared" si="33"/>
        <v>1</v>
      </c>
      <c r="AS14" s="19">
        <f t="shared" si="33"/>
        <v>1</v>
      </c>
      <c r="AT14" s="19">
        <f t="shared" si="33"/>
        <v>1</v>
      </c>
      <c r="AU14" s="19">
        <f t="shared" si="33"/>
        <v>1</v>
      </c>
      <c r="AV14" s="19">
        <f t="shared" si="33"/>
        <v>1</v>
      </c>
      <c r="AW14" s="19">
        <f t="shared" si="33"/>
        <v>1</v>
      </c>
      <c r="AX14" s="19">
        <f t="shared" si="33"/>
        <v>1</v>
      </c>
      <c r="AY14" s="19">
        <f t="shared" si="33"/>
        <v>1</v>
      </c>
      <c r="AZ14" s="19">
        <f t="shared" si="33"/>
        <v>1</v>
      </c>
      <c r="BA14" s="19">
        <f t="shared" si="33"/>
        <v>1</v>
      </c>
      <c r="BB14" s="19">
        <f t="shared" si="33"/>
        <v>1</v>
      </c>
      <c r="BC14" s="19">
        <f t="shared" si="33"/>
        <v>1</v>
      </c>
      <c r="BD14" s="19">
        <f t="shared" si="33"/>
        <v>1</v>
      </c>
      <c r="BE14" s="19">
        <f t="shared" si="33"/>
        <v>1</v>
      </c>
      <c r="BF14" s="19">
        <f t="shared" si="33"/>
        <v>1</v>
      </c>
      <c r="BG14" s="19">
        <f t="shared" si="33"/>
        <v>1</v>
      </c>
      <c r="BH14" s="19">
        <f t="shared" si="33"/>
        <v>1</v>
      </c>
      <c r="BI14" s="19">
        <f t="shared" si="33"/>
        <v>1</v>
      </c>
      <c r="BJ14" s="19">
        <f t="shared" si="33"/>
        <v>1</v>
      </c>
      <c r="BK14" s="19">
        <f t="shared" si="33"/>
        <v>1</v>
      </c>
      <c r="BL14" s="19">
        <f t="shared" si="33"/>
        <v>1</v>
      </c>
      <c r="BM14" s="19">
        <f t="shared" si="33"/>
        <v>1</v>
      </c>
      <c r="BN14" s="19">
        <f t="shared" si="33"/>
        <v>1</v>
      </c>
      <c r="BO14" s="19">
        <f t="shared" si="33"/>
        <v>1</v>
      </c>
      <c r="BP14" s="19">
        <f t="shared" si="33"/>
        <v>1</v>
      </c>
      <c r="BQ14" s="19">
        <f t="shared" si="33"/>
        <v>1</v>
      </c>
      <c r="BR14" s="19">
        <f t="shared" si="33"/>
        <v>1</v>
      </c>
      <c r="BS14" s="19">
        <f t="shared" si="33"/>
        <v>1</v>
      </c>
      <c r="BT14" s="19">
        <f t="shared" si="33"/>
        <v>1</v>
      </c>
      <c r="BU14" s="19">
        <f t="shared" ref="BU14:CZ14" si="34">MAX(0,(MIN($E14,BU$4)-MAX($D14,BU$3)+1)/BU$5)+((($D14-$E14+1)/BU$5)*($D14&gt;BU$3)*($E14&lt;BU$4))</f>
        <v>1</v>
      </c>
      <c r="BV14" s="19">
        <f t="shared" si="34"/>
        <v>1</v>
      </c>
      <c r="BW14" s="19">
        <f t="shared" si="34"/>
        <v>1</v>
      </c>
      <c r="BX14" s="19">
        <f t="shared" si="34"/>
        <v>1</v>
      </c>
      <c r="BY14" s="19">
        <f t="shared" si="34"/>
        <v>1</v>
      </c>
      <c r="BZ14" s="19">
        <f t="shared" si="34"/>
        <v>1</v>
      </c>
      <c r="CA14" s="19">
        <f t="shared" si="34"/>
        <v>1</v>
      </c>
      <c r="CB14" s="19">
        <f t="shared" si="34"/>
        <v>1</v>
      </c>
      <c r="CC14" s="19">
        <f t="shared" si="34"/>
        <v>1</v>
      </c>
      <c r="CD14" s="19">
        <f t="shared" si="34"/>
        <v>1</v>
      </c>
      <c r="CE14" s="19">
        <f t="shared" si="34"/>
        <v>1</v>
      </c>
      <c r="CF14" s="19">
        <f t="shared" si="34"/>
        <v>1</v>
      </c>
      <c r="CG14" s="19">
        <f t="shared" si="34"/>
        <v>1</v>
      </c>
      <c r="CH14" s="19">
        <f t="shared" si="34"/>
        <v>1</v>
      </c>
      <c r="CI14" s="19">
        <f t="shared" si="34"/>
        <v>1</v>
      </c>
      <c r="CJ14" s="19">
        <f t="shared" si="34"/>
        <v>1</v>
      </c>
      <c r="CK14" s="19">
        <f t="shared" si="34"/>
        <v>1</v>
      </c>
      <c r="CL14" s="19">
        <f t="shared" si="34"/>
        <v>1</v>
      </c>
      <c r="CM14" s="19">
        <f t="shared" si="34"/>
        <v>1</v>
      </c>
      <c r="CN14" s="19">
        <f t="shared" si="34"/>
        <v>1</v>
      </c>
      <c r="CO14" s="19">
        <f t="shared" si="34"/>
        <v>1</v>
      </c>
      <c r="CP14" s="19">
        <f t="shared" si="34"/>
        <v>1</v>
      </c>
      <c r="CQ14" s="19">
        <f t="shared" si="34"/>
        <v>1</v>
      </c>
      <c r="CR14" s="19">
        <f t="shared" si="34"/>
        <v>1</v>
      </c>
      <c r="CS14" s="19">
        <f t="shared" si="34"/>
        <v>1</v>
      </c>
      <c r="CT14" s="19">
        <f t="shared" si="34"/>
        <v>1</v>
      </c>
      <c r="CU14" s="19">
        <f t="shared" si="34"/>
        <v>1</v>
      </c>
      <c r="CV14" s="19">
        <f t="shared" si="34"/>
        <v>1</v>
      </c>
      <c r="CW14" s="19">
        <f t="shared" si="34"/>
        <v>1</v>
      </c>
      <c r="CX14" s="19">
        <f t="shared" si="34"/>
        <v>1</v>
      </c>
      <c r="CY14" s="19">
        <f t="shared" si="34"/>
        <v>1</v>
      </c>
      <c r="CZ14" s="19">
        <f t="shared" si="34"/>
        <v>1</v>
      </c>
      <c r="DA14" s="19">
        <f t="shared" ref="DA14:EF14" si="35">MAX(0,(MIN($E14,DA$4)-MAX($D14,DA$3)+1)/DA$5)+((($D14-$E14+1)/DA$5)*($D14&gt;DA$3)*($E14&lt;DA$4))</f>
        <v>1</v>
      </c>
      <c r="DB14" s="19">
        <f t="shared" si="35"/>
        <v>1</v>
      </c>
      <c r="DC14" s="19">
        <f t="shared" si="35"/>
        <v>1</v>
      </c>
      <c r="DD14" s="19">
        <f t="shared" si="35"/>
        <v>1</v>
      </c>
      <c r="DE14" s="19">
        <f t="shared" si="35"/>
        <v>1</v>
      </c>
      <c r="DF14" s="19">
        <f t="shared" si="35"/>
        <v>1</v>
      </c>
      <c r="DG14" s="19">
        <f t="shared" si="35"/>
        <v>1</v>
      </c>
      <c r="DH14" s="19">
        <f t="shared" si="35"/>
        <v>1</v>
      </c>
      <c r="DI14" s="19">
        <f t="shared" si="35"/>
        <v>1</v>
      </c>
      <c r="DJ14" s="19">
        <f t="shared" si="35"/>
        <v>1</v>
      </c>
      <c r="DK14" s="19">
        <f t="shared" si="35"/>
        <v>1</v>
      </c>
      <c r="DL14" s="19">
        <f t="shared" si="35"/>
        <v>1</v>
      </c>
      <c r="DM14" s="19">
        <f t="shared" si="35"/>
        <v>1</v>
      </c>
      <c r="DN14" s="19">
        <f t="shared" si="35"/>
        <v>1</v>
      </c>
      <c r="DO14" s="19">
        <f t="shared" si="35"/>
        <v>1</v>
      </c>
      <c r="DP14" s="19">
        <f t="shared" si="35"/>
        <v>1</v>
      </c>
      <c r="DQ14" s="19">
        <f t="shared" si="35"/>
        <v>1</v>
      </c>
      <c r="DR14" s="19">
        <f t="shared" si="35"/>
        <v>1</v>
      </c>
      <c r="DS14" s="19">
        <f t="shared" si="35"/>
        <v>1</v>
      </c>
      <c r="DT14" s="19">
        <f t="shared" si="35"/>
        <v>1</v>
      </c>
      <c r="DU14" s="19">
        <f t="shared" si="35"/>
        <v>1</v>
      </c>
      <c r="DV14" s="19">
        <f t="shared" si="35"/>
        <v>1</v>
      </c>
      <c r="DW14" s="19">
        <f t="shared" si="35"/>
        <v>1</v>
      </c>
      <c r="DX14" s="19">
        <f t="shared" si="35"/>
        <v>1</v>
      </c>
      <c r="DY14" s="19">
        <f t="shared" si="35"/>
        <v>1</v>
      </c>
      <c r="DZ14" s="19">
        <f t="shared" si="35"/>
        <v>1</v>
      </c>
      <c r="EA14" s="19">
        <f t="shared" si="35"/>
        <v>1</v>
      </c>
      <c r="EB14" s="19">
        <f t="shared" si="35"/>
        <v>1</v>
      </c>
      <c r="EC14" s="19">
        <f t="shared" si="35"/>
        <v>1</v>
      </c>
      <c r="ED14" s="19">
        <f t="shared" si="35"/>
        <v>1</v>
      </c>
      <c r="EE14" s="19">
        <f t="shared" si="35"/>
        <v>1</v>
      </c>
      <c r="EF14" s="19">
        <f t="shared" si="35"/>
        <v>1</v>
      </c>
      <c r="EG14" s="19">
        <f t="shared" ref="EG14:FM14" si="36">MAX(0,(MIN($E14,EG$4)-MAX($D14,EG$3)+1)/EG$5)+((($D14-$E14+1)/EG$5)*($D14&gt;EG$3)*($E14&lt;EG$4))</f>
        <v>1</v>
      </c>
      <c r="EH14" s="19">
        <f t="shared" si="36"/>
        <v>1</v>
      </c>
      <c r="EI14" s="19">
        <f t="shared" si="36"/>
        <v>1</v>
      </c>
      <c r="EJ14" s="19">
        <f t="shared" si="36"/>
        <v>1</v>
      </c>
      <c r="EK14" s="19">
        <f t="shared" si="36"/>
        <v>1</v>
      </c>
      <c r="EL14" s="19">
        <f t="shared" si="36"/>
        <v>1</v>
      </c>
      <c r="EM14" s="19">
        <f t="shared" si="36"/>
        <v>1</v>
      </c>
      <c r="EN14" s="19">
        <f t="shared" si="36"/>
        <v>1</v>
      </c>
      <c r="EO14" s="19">
        <f t="shared" si="36"/>
        <v>1</v>
      </c>
      <c r="EP14" s="19">
        <f t="shared" si="36"/>
        <v>1</v>
      </c>
      <c r="EQ14" s="19">
        <f t="shared" si="36"/>
        <v>1</v>
      </c>
      <c r="ER14" s="19">
        <f t="shared" si="36"/>
        <v>1</v>
      </c>
      <c r="ES14" s="19">
        <f t="shared" si="36"/>
        <v>1</v>
      </c>
      <c r="ET14" s="19">
        <f t="shared" si="36"/>
        <v>1</v>
      </c>
      <c r="EU14" s="19">
        <f t="shared" si="36"/>
        <v>1</v>
      </c>
      <c r="EV14" s="19">
        <f t="shared" si="36"/>
        <v>1</v>
      </c>
      <c r="EW14" s="19">
        <f t="shared" si="36"/>
        <v>1</v>
      </c>
      <c r="EX14" s="19">
        <f t="shared" si="36"/>
        <v>1</v>
      </c>
      <c r="EY14" s="19">
        <f t="shared" si="36"/>
        <v>1</v>
      </c>
      <c r="EZ14" s="19">
        <f t="shared" si="36"/>
        <v>1</v>
      </c>
      <c r="FA14" s="19">
        <f t="shared" si="36"/>
        <v>1</v>
      </c>
      <c r="FB14" s="19">
        <f t="shared" si="36"/>
        <v>0</v>
      </c>
      <c r="FC14" s="19">
        <f t="shared" si="36"/>
        <v>0</v>
      </c>
      <c r="FD14" s="19">
        <f t="shared" si="36"/>
        <v>0</v>
      </c>
      <c r="FE14" s="19">
        <f t="shared" si="36"/>
        <v>0</v>
      </c>
      <c r="FF14" s="19">
        <f t="shared" si="36"/>
        <v>0</v>
      </c>
      <c r="FG14" s="19">
        <f t="shared" si="36"/>
        <v>0</v>
      </c>
      <c r="FH14" s="19">
        <f t="shared" si="36"/>
        <v>0</v>
      </c>
      <c r="FI14" s="19">
        <f t="shared" si="36"/>
        <v>0</v>
      </c>
      <c r="FJ14" s="19">
        <f t="shared" si="36"/>
        <v>0</v>
      </c>
      <c r="FK14" s="19">
        <f t="shared" si="36"/>
        <v>0</v>
      </c>
      <c r="FL14" s="19">
        <f t="shared" si="36"/>
        <v>0</v>
      </c>
      <c r="FM14" s="19">
        <f t="shared" si="36"/>
        <v>0</v>
      </c>
    </row>
    <row r="15" spans="2:499" x14ac:dyDescent="0.25">
      <c r="B15" t="s">
        <v>79</v>
      </c>
      <c r="C15" t="s">
        <v>80</v>
      </c>
      <c r="D15" s="16"/>
      <c r="E15" s="16"/>
      <c r="I15" s="2">
        <f t="shared" ref="I15:AN15" si="37">N(AND(H14=0,I14&gt;0))</f>
        <v>0</v>
      </c>
      <c r="J15" s="2">
        <f t="shared" si="37"/>
        <v>0</v>
      </c>
      <c r="K15" s="2">
        <f t="shared" si="37"/>
        <v>0</v>
      </c>
      <c r="L15" s="2">
        <f t="shared" si="37"/>
        <v>0</v>
      </c>
      <c r="M15" s="2">
        <f t="shared" si="37"/>
        <v>0</v>
      </c>
      <c r="N15" s="2">
        <f t="shared" si="37"/>
        <v>0</v>
      </c>
      <c r="O15" s="2">
        <f t="shared" si="37"/>
        <v>0</v>
      </c>
      <c r="P15" s="2">
        <f t="shared" si="37"/>
        <v>0</v>
      </c>
      <c r="Q15" s="2">
        <f t="shared" si="37"/>
        <v>1</v>
      </c>
      <c r="R15" s="2">
        <f t="shared" si="37"/>
        <v>0</v>
      </c>
      <c r="S15" s="2">
        <f t="shared" si="37"/>
        <v>0</v>
      </c>
      <c r="T15" s="2">
        <f t="shared" si="37"/>
        <v>0</v>
      </c>
      <c r="U15" s="2">
        <f t="shared" si="37"/>
        <v>0</v>
      </c>
      <c r="V15" s="2">
        <f t="shared" si="37"/>
        <v>0</v>
      </c>
      <c r="W15" s="2">
        <f t="shared" si="37"/>
        <v>0</v>
      </c>
      <c r="X15" s="2">
        <f t="shared" si="37"/>
        <v>0</v>
      </c>
      <c r="Y15" s="2">
        <f t="shared" si="37"/>
        <v>0</v>
      </c>
      <c r="Z15" s="2">
        <f t="shared" si="37"/>
        <v>0</v>
      </c>
      <c r="AA15" s="2">
        <f t="shared" si="37"/>
        <v>0</v>
      </c>
      <c r="AB15" s="2">
        <f t="shared" si="37"/>
        <v>0</v>
      </c>
      <c r="AC15" s="2">
        <f t="shared" si="37"/>
        <v>0</v>
      </c>
      <c r="AD15" s="2">
        <f t="shared" si="37"/>
        <v>0</v>
      </c>
      <c r="AE15" s="2">
        <f t="shared" si="37"/>
        <v>0</v>
      </c>
      <c r="AF15" s="2">
        <f t="shared" si="37"/>
        <v>0</v>
      </c>
      <c r="AG15" s="2">
        <f t="shared" si="37"/>
        <v>0</v>
      </c>
      <c r="AH15" s="2">
        <f t="shared" si="37"/>
        <v>0</v>
      </c>
      <c r="AI15" s="2">
        <f t="shared" si="37"/>
        <v>0</v>
      </c>
      <c r="AJ15" s="2">
        <f t="shared" si="37"/>
        <v>0</v>
      </c>
      <c r="AK15" s="2">
        <f t="shared" si="37"/>
        <v>0</v>
      </c>
      <c r="AL15" s="2">
        <f t="shared" si="37"/>
        <v>0</v>
      </c>
      <c r="AM15" s="2">
        <f t="shared" si="37"/>
        <v>0</v>
      </c>
      <c r="AN15" s="2">
        <f t="shared" si="37"/>
        <v>0</v>
      </c>
      <c r="AO15" s="2">
        <f t="shared" ref="AO15:BT15" si="38">N(AND(AN14=0,AO14&gt;0))</f>
        <v>0</v>
      </c>
      <c r="AP15" s="2">
        <f t="shared" si="38"/>
        <v>0</v>
      </c>
      <c r="AQ15" s="2">
        <f t="shared" si="38"/>
        <v>0</v>
      </c>
      <c r="AR15" s="2">
        <f t="shared" si="38"/>
        <v>0</v>
      </c>
      <c r="AS15" s="2">
        <f t="shared" si="38"/>
        <v>0</v>
      </c>
      <c r="AT15" s="2">
        <f t="shared" si="38"/>
        <v>0</v>
      </c>
      <c r="AU15" s="2">
        <f t="shared" si="38"/>
        <v>0</v>
      </c>
      <c r="AV15" s="2">
        <f t="shared" si="38"/>
        <v>0</v>
      </c>
      <c r="AW15" s="2">
        <f t="shared" si="38"/>
        <v>0</v>
      </c>
      <c r="AX15" s="2">
        <f t="shared" si="38"/>
        <v>0</v>
      </c>
      <c r="AY15" s="2">
        <f t="shared" si="38"/>
        <v>0</v>
      </c>
      <c r="AZ15" s="2">
        <f t="shared" si="38"/>
        <v>0</v>
      </c>
      <c r="BA15" s="2">
        <f t="shared" si="38"/>
        <v>0</v>
      </c>
      <c r="BB15" s="2">
        <f t="shared" si="38"/>
        <v>0</v>
      </c>
      <c r="BC15" s="2">
        <f t="shared" si="38"/>
        <v>0</v>
      </c>
      <c r="BD15" s="2">
        <f t="shared" si="38"/>
        <v>0</v>
      </c>
      <c r="BE15" s="2">
        <f t="shared" si="38"/>
        <v>0</v>
      </c>
      <c r="BF15" s="2">
        <f t="shared" si="38"/>
        <v>0</v>
      </c>
      <c r="BG15" s="2">
        <f t="shared" si="38"/>
        <v>0</v>
      </c>
      <c r="BH15" s="2">
        <f t="shared" si="38"/>
        <v>0</v>
      </c>
      <c r="BI15" s="2">
        <f t="shared" si="38"/>
        <v>0</v>
      </c>
      <c r="BJ15" s="2">
        <f t="shared" si="38"/>
        <v>0</v>
      </c>
      <c r="BK15" s="2">
        <f t="shared" si="38"/>
        <v>0</v>
      </c>
      <c r="BL15" s="2">
        <f t="shared" si="38"/>
        <v>0</v>
      </c>
      <c r="BM15" s="2">
        <f t="shared" si="38"/>
        <v>0</v>
      </c>
      <c r="BN15" s="2">
        <f t="shared" si="38"/>
        <v>0</v>
      </c>
      <c r="BO15" s="2">
        <f t="shared" si="38"/>
        <v>0</v>
      </c>
      <c r="BP15" s="2">
        <f t="shared" si="38"/>
        <v>0</v>
      </c>
      <c r="BQ15" s="2">
        <f t="shared" si="38"/>
        <v>0</v>
      </c>
      <c r="BR15" s="2">
        <f t="shared" si="38"/>
        <v>0</v>
      </c>
      <c r="BS15" s="2">
        <f t="shared" si="38"/>
        <v>0</v>
      </c>
      <c r="BT15" s="2">
        <f t="shared" si="38"/>
        <v>0</v>
      </c>
      <c r="BU15" s="2">
        <f t="shared" ref="BU15:CZ15" si="39">N(AND(BT14=0,BU14&gt;0))</f>
        <v>0</v>
      </c>
      <c r="BV15" s="2">
        <f t="shared" si="39"/>
        <v>0</v>
      </c>
      <c r="BW15" s="2">
        <f t="shared" si="39"/>
        <v>0</v>
      </c>
      <c r="BX15" s="2">
        <f t="shared" si="39"/>
        <v>0</v>
      </c>
      <c r="BY15" s="2">
        <f t="shared" si="39"/>
        <v>0</v>
      </c>
      <c r="BZ15" s="2">
        <f t="shared" si="39"/>
        <v>0</v>
      </c>
      <c r="CA15" s="2">
        <f t="shared" si="39"/>
        <v>0</v>
      </c>
      <c r="CB15" s="2">
        <f t="shared" si="39"/>
        <v>0</v>
      </c>
      <c r="CC15" s="2">
        <f t="shared" si="39"/>
        <v>0</v>
      </c>
      <c r="CD15" s="2">
        <f t="shared" si="39"/>
        <v>0</v>
      </c>
      <c r="CE15" s="2">
        <f t="shared" si="39"/>
        <v>0</v>
      </c>
      <c r="CF15" s="2">
        <f t="shared" si="39"/>
        <v>0</v>
      </c>
      <c r="CG15" s="2">
        <f t="shared" si="39"/>
        <v>0</v>
      </c>
      <c r="CH15" s="2">
        <f t="shared" si="39"/>
        <v>0</v>
      </c>
      <c r="CI15" s="2">
        <f t="shared" si="39"/>
        <v>0</v>
      </c>
      <c r="CJ15" s="2">
        <f t="shared" si="39"/>
        <v>0</v>
      </c>
      <c r="CK15" s="2">
        <f t="shared" si="39"/>
        <v>0</v>
      </c>
      <c r="CL15" s="2">
        <f t="shared" si="39"/>
        <v>0</v>
      </c>
      <c r="CM15" s="2">
        <f t="shared" si="39"/>
        <v>0</v>
      </c>
      <c r="CN15" s="2">
        <f t="shared" si="39"/>
        <v>0</v>
      </c>
      <c r="CO15" s="2">
        <f t="shared" si="39"/>
        <v>0</v>
      </c>
      <c r="CP15" s="2">
        <f t="shared" si="39"/>
        <v>0</v>
      </c>
      <c r="CQ15" s="2">
        <f t="shared" si="39"/>
        <v>0</v>
      </c>
      <c r="CR15" s="2">
        <f t="shared" si="39"/>
        <v>0</v>
      </c>
      <c r="CS15" s="2">
        <f t="shared" si="39"/>
        <v>0</v>
      </c>
      <c r="CT15" s="2">
        <f t="shared" si="39"/>
        <v>0</v>
      </c>
      <c r="CU15" s="2">
        <f t="shared" si="39"/>
        <v>0</v>
      </c>
      <c r="CV15" s="2">
        <f t="shared" si="39"/>
        <v>0</v>
      </c>
      <c r="CW15" s="2">
        <f t="shared" si="39"/>
        <v>0</v>
      </c>
      <c r="CX15" s="2">
        <f t="shared" si="39"/>
        <v>0</v>
      </c>
      <c r="CY15" s="2">
        <f t="shared" si="39"/>
        <v>0</v>
      </c>
      <c r="CZ15" s="2">
        <f t="shared" si="39"/>
        <v>0</v>
      </c>
      <c r="DA15" s="2">
        <f t="shared" ref="DA15:EF15" si="40">N(AND(CZ14=0,DA14&gt;0))</f>
        <v>0</v>
      </c>
      <c r="DB15" s="2">
        <f t="shared" si="40"/>
        <v>0</v>
      </c>
      <c r="DC15" s="2">
        <f t="shared" si="40"/>
        <v>0</v>
      </c>
      <c r="DD15" s="2">
        <f t="shared" si="40"/>
        <v>0</v>
      </c>
      <c r="DE15" s="2">
        <f t="shared" si="40"/>
        <v>0</v>
      </c>
      <c r="DF15" s="2">
        <f t="shared" si="40"/>
        <v>0</v>
      </c>
      <c r="DG15" s="2">
        <f t="shared" si="40"/>
        <v>0</v>
      </c>
      <c r="DH15" s="2">
        <f t="shared" si="40"/>
        <v>0</v>
      </c>
      <c r="DI15" s="2">
        <f t="shared" si="40"/>
        <v>0</v>
      </c>
      <c r="DJ15" s="2">
        <f t="shared" si="40"/>
        <v>0</v>
      </c>
      <c r="DK15" s="2">
        <f t="shared" si="40"/>
        <v>0</v>
      </c>
      <c r="DL15" s="2">
        <f t="shared" si="40"/>
        <v>0</v>
      </c>
      <c r="DM15" s="2">
        <f t="shared" si="40"/>
        <v>0</v>
      </c>
      <c r="DN15" s="2">
        <f t="shared" si="40"/>
        <v>0</v>
      </c>
      <c r="DO15" s="2">
        <f t="shared" si="40"/>
        <v>0</v>
      </c>
      <c r="DP15" s="2">
        <f t="shared" si="40"/>
        <v>0</v>
      </c>
      <c r="DQ15" s="2">
        <f t="shared" si="40"/>
        <v>0</v>
      </c>
      <c r="DR15" s="2">
        <f t="shared" si="40"/>
        <v>0</v>
      </c>
      <c r="DS15" s="2">
        <f t="shared" si="40"/>
        <v>0</v>
      </c>
      <c r="DT15" s="2">
        <f t="shared" si="40"/>
        <v>0</v>
      </c>
      <c r="DU15" s="2">
        <f t="shared" si="40"/>
        <v>0</v>
      </c>
      <c r="DV15" s="2">
        <f t="shared" si="40"/>
        <v>0</v>
      </c>
      <c r="DW15" s="2">
        <f t="shared" si="40"/>
        <v>0</v>
      </c>
      <c r="DX15" s="2">
        <f t="shared" si="40"/>
        <v>0</v>
      </c>
      <c r="DY15" s="2">
        <f t="shared" si="40"/>
        <v>0</v>
      </c>
      <c r="DZ15" s="2">
        <f t="shared" si="40"/>
        <v>0</v>
      </c>
      <c r="EA15" s="2">
        <f t="shared" si="40"/>
        <v>0</v>
      </c>
      <c r="EB15" s="2">
        <f t="shared" si="40"/>
        <v>0</v>
      </c>
      <c r="EC15" s="2">
        <f t="shared" si="40"/>
        <v>0</v>
      </c>
      <c r="ED15" s="2">
        <f t="shared" si="40"/>
        <v>0</v>
      </c>
      <c r="EE15" s="2">
        <f t="shared" si="40"/>
        <v>0</v>
      </c>
      <c r="EF15" s="2">
        <f t="shared" si="40"/>
        <v>0</v>
      </c>
      <c r="EG15" s="2">
        <f t="shared" ref="EG15:FL15" si="41">N(AND(EF14=0,EG14&gt;0))</f>
        <v>0</v>
      </c>
      <c r="EH15" s="2">
        <f t="shared" si="41"/>
        <v>0</v>
      </c>
      <c r="EI15" s="2">
        <f t="shared" si="41"/>
        <v>0</v>
      </c>
      <c r="EJ15" s="2">
        <f t="shared" si="41"/>
        <v>0</v>
      </c>
      <c r="EK15" s="2">
        <f t="shared" si="41"/>
        <v>0</v>
      </c>
      <c r="EL15" s="2">
        <f t="shared" si="41"/>
        <v>0</v>
      </c>
      <c r="EM15" s="2">
        <f t="shared" si="41"/>
        <v>0</v>
      </c>
      <c r="EN15" s="2">
        <f t="shared" si="41"/>
        <v>0</v>
      </c>
      <c r="EO15" s="2">
        <f t="shared" si="41"/>
        <v>0</v>
      </c>
      <c r="EP15" s="2">
        <f t="shared" si="41"/>
        <v>0</v>
      </c>
      <c r="EQ15" s="2">
        <f t="shared" si="41"/>
        <v>0</v>
      </c>
      <c r="ER15" s="2">
        <f t="shared" si="41"/>
        <v>0</v>
      </c>
      <c r="ES15" s="2">
        <f t="shared" si="41"/>
        <v>0</v>
      </c>
      <c r="ET15" s="2">
        <f t="shared" si="41"/>
        <v>0</v>
      </c>
      <c r="EU15" s="2">
        <f t="shared" si="41"/>
        <v>0</v>
      </c>
      <c r="EV15" s="2">
        <f t="shared" si="41"/>
        <v>0</v>
      </c>
      <c r="EW15" s="2">
        <f t="shared" si="41"/>
        <v>0</v>
      </c>
      <c r="EX15" s="2">
        <f t="shared" si="41"/>
        <v>0</v>
      </c>
      <c r="EY15" s="2">
        <f t="shared" si="41"/>
        <v>0</v>
      </c>
      <c r="EZ15" s="2">
        <f t="shared" si="41"/>
        <v>0</v>
      </c>
      <c r="FA15" s="2">
        <f t="shared" si="41"/>
        <v>0</v>
      </c>
      <c r="FB15" s="2">
        <f t="shared" si="41"/>
        <v>0</v>
      </c>
      <c r="FC15" s="2">
        <f t="shared" si="41"/>
        <v>0</v>
      </c>
      <c r="FD15" s="2">
        <f t="shared" si="41"/>
        <v>0</v>
      </c>
      <c r="FE15" s="2">
        <f t="shared" si="41"/>
        <v>0</v>
      </c>
      <c r="FF15" s="2">
        <f t="shared" si="41"/>
        <v>0</v>
      </c>
      <c r="FG15" s="2">
        <f t="shared" si="41"/>
        <v>0</v>
      </c>
      <c r="FH15" s="2">
        <f t="shared" si="41"/>
        <v>0</v>
      </c>
      <c r="FI15" s="2">
        <f t="shared" si="41"/>
        <v>0</v>
      </c>
      <c r="FJ15" s="2">
        <f t="shared" si="41"/>
        <v>0</v>
      </c>
      <c r="FK15" s="2">
        <f t="shared" si="41"/>
        <v>0</v>
      </c>
      <c r="FL15" s="2">
        <f t="shared" si="41"/>
        <v>0</v>
      </c>
      <c r="FM15" s="2">
        <f t="shared" ref="FM15" si="42">N(AND(FL14=0,FM14&gt;0))</f>
        <v>0</v>
      </c>
    </row>
    <row r="16" spans="2:499" x14ac:dyDescent="0.25">
      <c r="B16" t="s">
        <v>81</v>
      </c>
      <c r="C16" t="s">
        <v>80</v>
      </c>
      <c r="D16" s="16"/>
      <c r="E16" s="16"/>
      <c r="I16" s="2">
        <f t="shared" ref="I16:AN16" si="43">N(AND(I14&gt;0,J14=0))</f>
        <v>0</v>
      </c>
      <c r="J16" s="2">
        <f t="shared" si="43"/>
        <v>0</v>
      </c>
      <c r="K16" s="2">
        <f t="shared" si="43"/>
        <v>0</v>
      </c>
      <c r="L16" s="2">
        <f t="shared" si="43"/>
        <v>0</v>
      </c>
      <c r="M16" s="2">
        <f t="shared" si="43"/>
        <v>0</v>
      </c>
      <c r="N16" s="2">
        <f t="shared" si="43"/>
        <v>0</v>
      </c>
      <c r="O16" s="2">
        <f t="shared" si="43"/>
        <v>0</v>
      </c>
      <c r="P16" s="2">
        <f t="shared" si="43"/>
        <v>0</v>
      </c>
      <c r="Q16" s="2">
        <f t="shared" si="43"/>
        <v>0</v>
      </c>
      <c r="R16" s="2">
        <f t="shared" si="43"/>
        <v>0</v>
      </c>
      <c r="S16" s="2">
        <f t="shared" si="43"/>
        <v>0</v>
      </c>
      <c r="T16" s="2">
        <f t="shared" si="43"/>
        <v>0</v>
      </c>
      <c r="U16" s="2">
        <f t="shared" si="43"/>
        <v>0</v>
      </c>
      <c r="V16" s="2">
        <f t="shared" si="43"/>
        <v>0</v>
      </c>
      <c r="W16" s="2">
        <f t="shared" si="43"/>
        <v>0</v>
      </c>
      <c r="X16" s="2">
        <f t="shared" si="43"/>
        <v>0</v>
      </c>
      <c r="Y16" s="2">
        <f t="shared" si="43"/>
        <v>0</v>
      </c>
      <c r="Z16" s="2">
        <f t="shared" si="43"/>
        <v>0</v>
      </c>
      <c r="AA16" s="2">
        <f t="shared" si="43"/>
        <v>0</v>
      </c>
      <c r="AB16" s="2">
        <f t="shared" si="43"/>
        <v>0</v>
      </c>
      <c r="AC16" s="2">
        <f t="shared" si="43"/>
        <v>0</v>
      </c>
      <c r="AD16" s="2">
        <f t="shared" si="43"/>
        <v>0</v>
      </c>
      <c r="AE16" s="2">
        <f t="shared" si="43"/>
        <v>0</v>
      </c>
      <c r="AF16" s="2">
        <f t="shared" si="43"/>
        <v>0</v>
      </c>
      <c r="AG16" s="2">
        <f t="shared" si="43"/>
        <v>0</v>
      </c>
      <c r="AH16" s="2">
        <f t="shared" si="43"/>
        <v>0</v>
      </c>
      <c r="AI16" s="2">
        <f t="shared" si="43"/>
        <v>0</v>
      </c>
      <c r="AJ16" s="2">
        <f t="shared" si="43"/>
        <v>0</v>
      </c>
      <c r="AK16" s="2">
        <f t="shared" si="43"/>
        <v>0</v>
      </c>
      <c r="AL16" s="2">
        <f t="shared" si="43"/>
        <v>0</v>
      </c>
      <c r="AM16" s="2">
        <f t="shared" si="43"/>
        <v>0</v>
      </c>
      <c r="AN16" s="2">
        <f t="shared" si="43"/>
        <v>0</v>
      </c>
      <c r="AO16" s="2">
        <f t="shared" ref="AO16:BT16" si="44">N(AND(AO14&gt;0,AP14=0))</f>
        <v>0</v>
      </c>
      <c r="AP16" s="2">
        <f t="shared" si="44"/>
        <v>0</v>
      </c>
      <c r="AQ16" s="2">
        <f t="shared" si="44"/>
        <v>0</v>
      </c>
      <c r="AR16" s="2">
        <f t="shared" si="44"/>
        <v>0</v>
      </c>
      <c r="AS16" s="2">
        <f t="shared" si="44"/>
        <v>0</v>
      </c>
      <c r="AT16" s="2">
        <f t="shared" si="44"/>
        <v>0</v>
      </c>
      <c r="AU16" s="2">
        <f t="shared" si="44"/>
        <v>0</v>
      </c>
      <c r="AV16" s="2">
        <f t="shared" si="44"/>
        <v>0</v>
      </c>
      <c r="AW16" s="2">
        <f t="shared" si="44"/>
        <v>0</v>
      </c>
      <c r="AX16" s="2">
        <f t="shared" si="44"/>
        <v>0</v>
      </c>
      <c r="AY16" s="2">
        <f t="shared" si="44"/>
        <v>0</v>
      </c>
      <c r="AZ16" s="2">
        <f t="shared" si="44"/>
        <v>0</v>
      </c>
      <c r="BA16" s="2">
        <f t="shared" si="44"/>
        <v>0</v>
      </c>
      <c r="BB16" s="2">
        <f t="shared" si="44"/>
        <v>0</v>
      </c>
      <c r="BC16" s="2">
        <f t="shared" si="44"/>
        <v>0</v>
      </c>
      <c r="BD16" s="2">
        <f t="shared" si="44"/>
        <v>0</v>
      </c>
      <c r="BE16" s="2">
        <f t="shared" si="44"/>
        <v>0</v>
      </c>
      <c r="BF16" s="2">
        <f t="shared" si="44"/>
        <v>0</v>
      </c>
      <c r="BG16" s="2">
        <f t="shared" si="44"/>
        <v>0</v>
      </c>
      <c r="BH16" s="2">
        <f t="shared" si="44"/>
        <v>0</v>
      </c>
      <c r="BI16" s="2">
        <f t="shared" si="44"/>
        <v>0</v>
      </c>
      <c r="BJ16" s="2">
        <f t="shared" si="44"/>
        <v>0</v>
      </c>
      <c r="BK16" s="2">
        <f t="shared" si="44"/>
        <v>0</v>
      </c>
      <c r="BL16" s="2">
        <f t="shared" si="44"/>
        <v>0</v>
      </c>
      <c r="BM16" s="2">
        <f t="shared" si="44"/>
        <v>0</v>
      </c>
      <c r="BN16" s="2">
        <f t="shared" si="44"/>
        <v>0</v>
      </c>
      <c r="BO16" s="2">
        <f t="shared" si="44"/>
        <v>0</v>
      </c>
      <c r="BP16" s="2">
        <f t="shared" si="44"/>
        <v>0</v>
      </c>
      <c r="BQ16" s="2">
        <f t="shared" si="44"/>
        <v>0</v>
      </c>
      <c r="BR16" s="2">
        <f t="shared" si="44"/>
        <v>0</v>
      </c>
      <c r="BS16" s="2">
        <f t="shared" si="44"/>
        <v>0</v>
      </c>
      <c r="BT16" s="2">
        <f t="shared" si="44"/>
        <v>0</v>
      </c>
      <c r="BU16" s="2">
        <f t="shared" ref="BU16:CZ16" si="45">N(AND(BU14&gt;0,BV14=0))</f>
        <v>0</v>
      </c>
      <c r="BV16" s="2">
        <f t="shared" si="45"/>
        <v>0</v>
      </c>
      <c r="BW16" s="2">
        <f t="shared" si="45"/>
        <v>0</v>
      </c>
      <c r="BX16" s="2">
        <f t="shared" si="45"/>
        <v>0</v>
      </c>
      <c r="BY16" s="2">
        <f t="shared" si="45"/>
        <v>0</v>
      </c>
      <c r="BZ16" s="2">
        <f t="shared" si="45"/>
        <v>0</v>
      </c>
      <c r="CA16" s="2">
        <f t="shared" si="45"/>
        <v>0</v>
      </c>
      <c r="CB16" s="2">
        <f t="shared" si="45"/>
        <v>0</v>
      </c>
      <c r="CC16" s="2">
        <f t="shared" si="45"/>
        <v>0</v>
      </c>
      <c r="CD16" s="2">
        <f t="shared" si="45"/>
        <v>0</v>
      </c>
      <c r="CE16" s="2">
        <f t="shared" si="45"/>
        <v>0</v>
      </c>
      <c r="CF16" s="2">
        <f t="shared" si="45"/>
        <v>0</v>
      </c>
      <c r="CG16" s="2">
        <f t="shared" si="45"/>
        <v>0</v>
      </c>
      <c r="CH16" s="2">
        <f t="shared" si="45"/>
        <v>0</v>
      </c>
      <c r="CI16" s="2">
        <f t="shared" si="45"/>
        <v>0</v>
      </c>
      <c r="CJ16" s="2">
        <f t="shared" si="45"/>
        <v>0</v>
      </c>
      <c r="CK16" s="2">
        <f t="shared" si="45"/>
        <v>0</v>
      </c>
      <c r="CL16" s="2">
        <f t="shared" si="45"/>
        <v>0</v>
      </c>
      <c r="CM16" s="2">
        <f t="shared" si="45"/>
        <v>0</v>
      </c>
      <c r="CN16" s="2">
        <f t="shared" si="45"/>
        <v>0</v>
      </c>
      <c r="CO16" s="2">
        <f t="shared" si="45"/>
        <v>0</v>
      </c>
      <c r="CP16" s="2">
        <f t="shared" si="45"/>
        <v>0</v>
      </c>
      <c r="CQ16" s="2">
        <f t="shared" si="45"/>
        <v>0</v>
      </c>
      <c r="CR16" s="2">
        <f t="shared" si="45"/>
        <v>0</v>
      </c>
      <c r="CS16" s="2">
        <f t="shared" si="45"/>
        <v>0</v>
      </c>
      <c r="CT16" s="2">
        <f t="shared" si="45"/>
        <v>0</v>
      </c>
      <c r="CU16" s="2">
        <f t="shared" si="45"/>
        <v>0</v>
      </c>
      <c r="CV16" s="2">
        <f t="shared" si="45"/>
        <v>0</v>
      </c>
      <c r="CW16" s="2">
        <f t="shared" si="45"/>
        <v>0</v>
      </c>
      <c r="CX16" s="2">
        <f t="shared" si="45"/>
        <v>0</v>
      </c>
      <c r="CY16" s="2">
        <f t="shared" si="45"/>
        <v>0</v>
      </c>
      <c r="CZ16" s="2">
        <f t="shared" si="45"/>
        <v>0</v>
      </c>
      <c r="DA16" s="2">
        <f t="shared" ref="DA16:EF16" si="46">N(AND(DA14&gt;0,DB14=0))</f>
        <v>0</v>
      </c>
      <c r="DB16" s="2">
        <f t="shared" si="46"/>
        <v>0</v>
      </c>
      <c r="DC16" s="2">
        <f t="shared" si="46"/>
        <v>0</v>
      </c>
      <c r="DD16" s="2">
        <f t="shared" si="46"/>
        <v>0</v>
      </c>
      <c r="DE16" s="2">
        <f t="shared" si="46"/>
        <v>0</v>
      </c>
      <c r="DF16" s="2">
        <f t="shared" si="46"/>
        <v>0</v>
      </c>
      <c r="DG16" s="2">
        <f t="shared" si="46"/>
        <v>0</v>
      </c>
      <c r="DH16" s="2">
        <f t="shared" si="46"/>
        <v>0</v>
      </c>
      <c r="DI16" s="2">
        <f t="shared" si="46"/>
        <v>0</v>
      </c>
      <c r="DJ16" s="2">
        <f t="shared" si="46"/>
        <v>0</v>
      </c>
      <c r="DK16" s="2">
        <f t="shared" si="46"/>
        <v>0</v>
      </c>
      <c r="DL16" s="2">
        <f t="shared" si="46"/>
        <v>0</v>
      </c>
      <c r="DM16" s="2">
        <f t="shared" si="46"/>
        <v>0</v>
      </c>
      <c r="DN16" s="2">
        <f t="shared" si="46"/>
        <v>0</v>
      </c>
      <c r="DO16" s="2">
        <f t="shared" si="46"/>
        <v>0</v>
      </c>
      <c r="DP16" s="2">
        <f t="shared" si="46"/>
        <v>0</v>
      </c>
      <c r="DQ16" s="2">
        <f t="shared" si="46"/>
        <v>0</v>
      </c>
      <c r="DR16" s="2">
        <f t="shared" si="46"/>
        <v>0</v>
      </c>
      <c r="DS16" s="2">
        <f t="shared" si="46"/>
        <v>0</v>
      </c>
      <c r="DT16" s="2">
        <f t="shared" si="46"/>
        <v>0</v>
      </c>
      <c r="DU16" s="2">
        <f t="shared" si="46"/>
        <v>0</v>
      </c>
      <c r="DV16" s="2">
        <f t="shared" si="46"/>
        <v>0</v>
      </c>
      <c r="DW16" s="2">
        <f t="shared" si="46"/>
        <v>0</v>
      </c>
      <c r="DX16" s="2">
        <f t="shared" si="46"/>
        <v>0</v>
      </c>
      <c r="DY16" s="2">
        <f t="shared" si="46"/>
        <v>0</v>
      </c>
      <c r="DZ16" s="2">
        <f t="shared" si="46"/>
        <v>0</v>
      </c>
      <c r="EA16" s="2">
        <f t="shared" si="46"/>
        <v>0</v>
      </c>
      <c r="EB16" s="2">
        <f t="shared" si="46"/>
        <v>0</v>
      </c>
      <c r="EC16" s="2">
        <f t="shared" si="46"/>
        <v>0</v>
      </c>
      <c r="ED16" s="2">
        <f t="shared" si="46"/>
        <v>0</v>
      </c>
      <c r="EE16" s="2">
        <f t="shared" si="46"/>
        <v>0</v>
      </c>
      <c r="EF16" s="2">
        <f t="shared" si="46"/>
        <v>0</v>
      </c>
      <c r="EG16" s="2">
        <f t="shared" ref="EG16:FM16" si="47">N(AND(EG14&gt;0,EH14=0))</f>
        <v>0</v>
      </c>
      <c r="EH16" s="2">
        <f t="shared" si="47"/>
        <v>0</v>
      </c>
      <c r="EI16" s="2">
        <f t="shared" si="47"/>
        <v>0</v>
      </c>
      <c r="EJ16" s="2">
        <f t="shared" si="47"/>
        <v>0</v>
      </c>
      <c r="EK16" s="2">
        <f t="shared" si="47"/>
        <v>0</v>
      </c>
      <c r="EL16" s="2">
        <f t="shared" si="47"/>
        <v>0</v>
      </c>
      <c r="EM16" s="2">
        <f t="shared" si="47"/>
        <v>0</v>
      </c>
      <c r="EN16" s="2">
        <f t="shared" si="47"/>
        <v>0</v>
      </c>
      <c r="EO16" s="2">
        <f t="shared" si="47"/>
        <v>0</v>
      </c>
      <c r="EP16" s="2">
        <f t="shared" si="47"/>
        <v>0</v>
      </c>
      <c r="EQ16" s="2">
        <f t="shared" si="47"/>
        <v>0</v>
      </c>
      <c r="ER16" s="2">
        <f t="shared" si="47"/>
        <v>0</v>
      </c>
      <c r="ES16" s="2">
        <f t="shared" si="47"/>
        <v>0</v>
      </c>
      <c r="ET16" s="2">
        <f t="shared" si="47"/>
        <v>0</v>
      </c>
      <c r="EU16" s="2">
        <f t="shared" si="47"/>
        <v>0</v>
      </c>
      <c r="EV16" s="2">
        <f t="shared" si="47"/>
        <v>0</v>
      </c>
      <c r="EW16" s="2">
        <f t="shared" si="47"/>
        <v>0</v>
      </c>
      <c r="EX16" s="2">
        <f t="shared" si="47"/>
        <v>0</v>
      </c>
      <c r="EY16" s="2">
        <f t="shared" si="47"/>
        <v>0</v>
      </c>
      <c r="EZ16" s="2">
        <f t="shared" si="47"/>
        <v>0</v>
      </c>
      <c r="FA16" s="2">
        <f t="shared" si="47"/>
        <v>1</v>
      </c>
      <c r="FB16" s="2">
        <f t="shared" si="47"/>
        <v>0</v>
      </c>
      <c r="FC16" s="2">
        <f t="shared" si="47"/>
        <v>0</v>
      </c>
      <c r="FD16" s="2">
        <f t="shared" si="47"/>
        <v>0</v>
      </c>
      <c r="FE16" s="2">
        <f t="shared" si="47"/>
        <v>0</v>
      </c>
      <c r="FF16" s="2">
        <f t="shared" si="47"/>
        <v>0</v>
      </c>
      <c r="FG16" s="2">
        <f t="shared" si="47"/>
        <v>0</v>
      </c>
      <c r="FH16" s="2">
        <f t="shared" si="47"/>
        <v>0</v>
      </c>
      <c r="FI16" s="2">
        <f t="shared" si="47"/>
        <v>0</v>
      </c>
      <c r="FJ16" s="2">
        <f t="shared" si="47"/>
        <v>0</v>
      </c>
      <c r="FK16" s="2">
        <f t="shared" si="47"/>
        <v>0</v>
      </c>
      <c r="FL16" s="2">
        <f t="shared" si="47"/>
        <v>0</v>
      </c>
      <c r="FM16" s="2">
        <f t="shared" si="47"/>
        <v>0</v>
      </c>
    </row>
    <row r="17" spans="2:169" x14ac:dyDescent="0.25">
      <c r="B17" t="s">
        <v>82</v>
      </c>
      <c r="C17" t="s">
        <v>83</v>
      </c>
      <c r="D17" s="16"/>
      <c r="E17" s="16"/>
      <c r="I17" s="2">
        <f>IF(I14, I9 - YEAR($D14) +1, 0)</f>
        <v>0</v>
      </c>
      <c r="J17" s="2">
        <f t="shared" ref="J17:BU17" si="48">IF(J14, J9 - YEAR($D14) +1, 0)</f>
        <v>0</v>
      </c>
      <c r="K17" s="2">
        <f t="shared" si="48"/>
        <v>0</v>
      </c>
      <c r="L17" s="2">
        <f t="shared" si="48"/>
        <v>0</v>
      </c>
      <c r="M17" s="2">
        <f t="shared" si="48"/>
        <v>0</v>
      </c>
      <c r="N17" s="2">
        <f t="shared" si="48"/>
        <v>0</v>
      </c>
      <c r="O17" s="2">
        <f t="shared" si="48"/>
        <v>0</v>
      </c>
      <c r="P17" s="2">
        <f t="shared" si="48"/>
        <v>0</v>
      </c>
      <c r="Q17" s="2">
        <f t="shared" si="48"/>
        <v>1</v>
      </c>
      <c r="R17" s="2">
        <f t="shared" si="48"/>
        <v>2</v>
      </c>
      <c r="S17" s="2">
        <f t="shared" si="48"/>
        <v>2</v>
      </c>
      <c r="T17" s="2">
        <f t="shared" si="48"/>
        <v>2</v>
      </c>
      <c r="U17" s="2">
        <f t="shared" si="48"/>
        <v>2</v>
      </c>
      <c r="V17" s="2">
        <f t="shared" si="48"/>
        <v>3</v>
      </c>
      <c r="W17" s="2">
        <f t="shared" si="48"/>
        <v>3</v>
      </c>
      <c r="X17" s="2">
        <f t="shared" si="48"/>
        <v>3</v>
      </c>
      <c r="Y17" s="2">
        <f t="shared" si="48"/>
        <v>3</v>
      </c>
      <c r="Z17" s="2">
        <f t="shared" si="48"/>
        <v>4</v>
      </c>
      <c r="AA17" s="2">
        <f t="shared" si="48"/>
        <v>4</v>
      </c>
      <c r="AB17" s="2">
        <f t="shared" si="48"/>
        <v>4</v>
      </c>
      <c r="AC17" s="2">
        <f t="shared" si="48"/>
        <v>4</v>
      </c>
      <c r="AD17" s="2">
        <f t="shared" si="48"/>
        <v>5</v>
      </c>
      <c r="AE17" s="2">
        <f t="shared" si="48"/>
        <v>5</v>
      </c>
      <c r="AF17" s="2">
        <f t="shared" si="48"/>
        <v>5</v>
      </c>
      <c r="AG17" s="2">
        <f t="shared" si="48"/>
        <v>5</v>
      </c>
      <c r="AH17" s="2">
        <f t="shared" si="48"/>
        <v>6</v>
      </c>
      <c r="AI17" s="2">
        <f t="shared" si="48"/>
        <v>6</v>
      </c>
      <c r="AJ17" s="2">
        <f t="shared" si="48"/>
        <v>6</v>
      </c>
      <c r="AK17" s="2">
        <f t="shared" si="48"/>
        <v>6</v>
      </c>
      <c r="AL17" s="2">
        <f t="shared" si="48"/>
        <v>7</v>
      </c>
      <c r="AM17" s="2">
        <f t="shared" si="48"/>
        <v>7</v>
      </c>
      <c r="AN17" s="2">
        <f t="shared" si="48"/>
        <v>7</v>
      </c>
      <c r="AO17" s="2">
        <f t="shared" si="48"/>
        <v>7</v>
      </c>
      <c r="AP17" s="2">
        <f t="shared" si="48"/>
        <v>8</v>
      </c>
      <c r="AQ17" s="2">
        <f t="shared" si="48"/>
        <v>8</v>
      </c>
      <c r="AR17" s="2">
        <f t="shared" si="48"/>
        <v>8</v>
      </c>
      <c r="AS17" s="2">
        <f t="shared" si="48"/>
        <v>8</v>
      </c>
      <c r="AT17" s="2">
        <f t="shared" si="48"/>
        <v>9</v>
      </c>
      <c r="AU17" s="2">
        <f t="shared" si="48"/>
        <v>9</v>
      </c>
      <c r="AV17" s="2">
        <f t="shared" si="48"/>
        <v>9</v>
      </c>
      <c r="AW17" s="2">
        <f t="shared" si="48"/>
        <v>9</v>
      </c>
      <c r="AX17" s="2">
        <f t="shared" si="48"/>
        <v>10</v>
      </c>
      <c r="AY17" s="2">
        <f t="shared" si="48"/>
        <v>10</v>
      </c>
      <c r="AZ17" s="2">
        <f t="shared" si="48"/>
        <v>10</v>
      </c>
      <c r="BA17" s="2">
        <f t="shared" si="48"/>
        <v>10</v>
      </c>
      <c r="BB17" s="2">
        <f t="shared" si="48"/>
        <v>11</v>
      </c>
      <c r="BC17" s="2">
        <f t="shared" si="48"/>
        <v>11</v>
      </c>
      <c r="BD17" s="2">
        <f t="shared" si="48"/>
        <v>11</v>
      </c>
      <c r="BE17" s="2">
        <f t="shared" si="48"/>
        <v>11</v>
      </c>
      <c r="BF17" s="2">
        <f t="shared" si="48"/>
        <v>12</v>
      </c>
      <c r="BG17" s="2">
        <f t="shared" si="48"/>
        <v>12</v>
      </c>
      <c r="BH17" s="2">
        <f t="shared" si="48"/>
        <v>12</v>
      </c>
      <c r="BI17" s="2">
        <f t="shared" si="48"/>
        <v>12</v>
      </c>
      <c r="BJ17" s="2">
        <f t="shared" si="48"/>
        <v>13</v>
      </c>
      <c r="BK17" s="2">
        <f t="shared" si="48"/>
        <v>13</v>
      </c>
      <c r="BL17" s="2">
        <f t="shared" si="48"/>
        <v>13</v>
      </c>
      <c r="BM17" s="2">
        <f t="shared" si="48"/>
        <v>13</v>
      </c>
      <c r="BN17" s="2">
        <f t="shared" si="48"/>
        <v>14</v>
      </c>
      <c r="BO17" s="2">
        <f t="shared" si="48"/>
        <v>14</v>
      </c>
      <c r="BP17" s="2">
        <f t="shared" si="48"/>
        <v>14</v>
      </c>
      <c r="BQ17" s="2">
        <f t="shared" si="48"/>
        <v>14</v>
      </c>
      <c r="BR17" s="2">
        <f t="shared" si="48"/>
        <v>15</v>
      </c>
      <c r="BS17" s="2">
        <f t="shared" si="48"/>
        <v>15</v>
      </c>
      <c r="BT17" s="2">
        <f t="shared" si="48"/>
        <v>15</v>
      </c>
      <c r="BU17" s="2">
        <f t="shared" si="48"/>
        <v>15</v>
      </c>
      <c r="BV17" s="2">
        <f t="shared" ref="BV17:EG17" si="49">IF(BV14, BV9 - YEAR($D14) +1, 0)</f>
        <v>16</v>
      </c>
      <c r="BW17" s="2">
        <f t="shared" si="49"/>
        <v>16</v>
      </c>
      <c r="BX17" s="2">
        <f t="shared" si="49"/>
        <v>16</v>
      </c>
      <c r="BY17" s="2">
        <f t="shared" si="49"/>
        <v>16</v>
      </c>
      <c r="BZ17" s="2">
        <f t="shared" si="49"/>
        <v>17</v>
      </c>
      <c r="CA17" s="2">
        <f t="shared" si="49"/>
        <v>17</v>
      </c>
      <c r="CB17" s="2">
        <f t="shared" si="49"/>
        <v>17</v>
      </c>
      <c r="CC17" s="2">
        <f t="shared" si="49"/>
        <v>17</v>
      </c>
      <c r="CD17" s="2">
        <f t="shared" si="49"/>
        <v>18</v>
      </c>
      <c r="CE17" s="2">
        <f t="shared" si="49"/>
        <v>18</v>
      </c>
      <c r="CF17" s="2">
        <f t="shared" si="49"/>
        <v>18</v>
      </c>
      <c r="CG17" s="2">
        <f t="shared" si="49"/>
        <v>18</v>
      </c>
      <c r="CH17" s="2">
        <f t="shared" si="49"/>
        <v>19</v>
      </c>
      <c r="CI17" s="2">
        <f t="shared" si="49"/>
        <v>19</v>
      </c>
      <c r="CJ17" s="2">
        <f t="shared" si="49"/>
        <v>19</v>
      </c>
      <c r="CK17" s="2">
        <f t="shared" si="49"/>
        <v>19</v>
      </c>
      <c r="CL17" s="2">
        <f t="shared" si="49"/>
        <v>20</v>
      </c>
      <c r="CM17" s="2">
        <f t="shared" si="49"/>
        <v>20</v>
      </c>
      <c r="CN17" s="2">
        <f t="shared" si="49"/>
        <v>20</v>
      </c>
      <c r="CO17" s="2">
        <f t="shared" si="49"/>
        <v>20</v>
      </c>
      <c r="CP17" s="2">
        <f t="shared" si="49"/>
        <v>21</v>
      </c>
      <c r="CQ17" s="2">
        <f t="shared" si="49"/>
        <v>21</v>
      </c>
      <c r="CR17" s="2">
        <f t="shared" si="49"/>
        <v>21</v>
      </c>
      <c r="CS17" s="2">
        <f t="shared" si="49"/>
        <v>21</v>
      </c>
      <c r="CT17" s="2">
        <f t="shared" si="49"/>
        <v>22</v>
      </c>
      <c r="CU17" s="2">
        <f t="shared" si="49"/>
        <v>22</v>
      </c>
      <c r="CV17" s="2">
        <f t="shared" si="49"/>
        <v>22</v>
      </c>
      <c r="CW17" s="2">
        <f t="shared" si="49"/>
        <v>22</v>
      </c>
      <c r="CX17" s="2">
        <f t="shared" si="49"/>
        <v>23</v>
      </c>
      <c r="CY17" s="2">
        <f t="shared" si="49"/>
        <v>23</v>
      </c>
      <c r="CZ17" s="2">
        <f t="shared" si="49"/>
        <v>23</v>
      </c>
      <c r="DA17" s="2">
        <f t="shared" si="49"/>
        <v>23</v>
      </c>
      <c r="DB17" s="2">
        <f t="shared" si="49"/>
        <v>24</v>
      </c>
      <c r="DC17" s="2">
        <f t="shared" si="49"/>
        <v>24</v>
      </c>
      <c r="DD17" s="2">
        <f t="shared" si="49"/>
        <v>24</v>
      </c>
      <c r="DE17" s="2">
        <f t="shared" si="49"/>
        <v>24</v>
      </c>
      <c r="DF17" s="2">
        <f t="shared" si="49"/>
        <v>25</v>
      </c>
      <c r="DG17" s="2">
        <f t="shared" si="49"/>
        <v>25</v>
      </c>
      <c r="DH17" s="2">
        <f t="shared" si="49"/>
        <v>25</v>
      </c>
      <c r="DI17" s="2">
        <f t="shared" si="49"/>
        <v>25</v>
      </c>
      <c r="DJ17" s="2">
        <f t="shared" si="49"/>
        <v>26</v>
      </c>
      <c r="DK17" s="2">
        <f t="shared" si="49"/>
        <v>26</v>
      </c>
      <c r="DL17" s="2">
        <f t="shared" si="49"/>
        <v>26</v>
      </c>
      <c r="DM17" s="2">
        <f t="shared" si="49"/>
        <v>26</v>
      </c>
      <c r="DN17" s="2">
        <f t="shared" si="49"/>
        <v>27</v>
      </c>
      <c r="DO17" s="2">
        <f t="shared" si="49"/>
        <v>27</v>
      </c>
      <c r="DP17" s="2">
        <f t="shared" si="49"/>
        <v>27</v>
      </c>
      <c r="DQ17" s="2">
        <f t="shared" si="49"/>
        <v>27</v>
      </c>
      <c r="DR17" s="2">
        <f t="shared" si="49"/>
        <v>28</v>
      </c>
      <c r="DS17" s="2">
        <f t="shared" si="49"/>
        <v>28</v>
      </c>
      <c r="DT17" s="2">
        <f t="shared" si="49"/>
        <v>28</v>
      </c>
      <c r="DU17" s="2">
        <f t="shared" si="49"/>
        <v>28</v>
      </c>
      <c r="DV17" s="2">
        <f t="shared" si="49"/>
        <v>29</v>
      </c>
      <c r="DW17" s="2">
        <f t="shared" si="49"/>
        <v>29</v>
      </c>
      <c r="DX17" s="2">
        <f t="shared" si="49"/>
        <v>29</v>
      </c>
      <c r="DY17" s="2">
        <f t="shared" si="49"/>
        <v>29</v>
      </c>
      <c r="DZ17" s="2">
        <f t="shared" si="49"/>
        <v>30</v>
      </c>
      <c r="EA17" s="2">
        <f t="shared" si="49"/>
        <v>30</v>
      </c>
      <c r="EB17" s="2">
        <f t="shared" si="49"/>
        <v>30</v>
      </c>
      <c r="EC17" s="2">
        <f t="shared" si="49"/>
        <v>30</v>
      </c>
      <c r="ED17" s="2">
        <f t="shared" si="49"/>
        <v>31</v>
      </c>
      <c r="EE17" s="2">
        <f t="shared" si="49"/>
        <v>31</v>
      </c>
      <c r="EF17" s="2">
        <f t="shared" si="49"/>
        <v>31</v>
      </c>
      <c r="EG17" s="2">
        <f t="shared" si="49"/>
        <v>31</v>
      </c>
      <c r="EH17" s="2">
        <f t="shared" ref="EH17:FM17" si="50">IF(EH14, EH9 - YEAR($D14) +1, 0)</f>
        <v>32</v>
      </c>
      <c r="EI17" s="2">
        <f t="shared" si="50"/>
        <v>32</v>
      </c>
      <c r="EJ17" s="2">
        <f t="shared" si="50"/>
        <v>32</v>
      </c>
      <c r="EK17" s="2">
        <f t="shared" si="50"/>
        <v>32</v>
      </c>
      <c r="EL17" s="2">
        <f t="shared" si="50"/>
        <v>33</v>
      </c>
      <c r="EM17" s="2">
        <f t="shared" si="50"/>
        <v>33</v>
      </c>
      <c r="EN17" s="2">
        <f t="shared" si="50"/>
        <v>33</v>
      </c>
      <c r="EO17" s="2">
        <f t="shared" si="50"/>
        <v>33</v>
      </c>
      <c r="EP17" s="2">
        <f t="shared" si="50"/>
        <v>34</v>
      </c>
      <c r="EQ17" s="2">
        <f t="shared" si="50"/>
        <v>34</v>
      </c>
      <c r="ER17" s="2">
        <f t="shared" si="50"/>
        <v>34</v>
      </c>
      <c r="ES17" s="2">
        <f t="shared" si="50"/>
        <v>34</v>
      </c>
      <c r="ET17" s="2">
        <f t="shared" si="50"/>
        <v>35</v>
      </c>
      <c r="EU17" s="2">
        <f t="shared" si="50"/>
        <v>35</v>
      </c>
      <c r="EV17" s="2">
        <f t="shared" si="50"/>
        <v>35</v>
      </c>
      <c r="EW17" s="2">
        <f t="shared" si="50"/>
        <v>35</v>
      </c>
      <c r="EX17" s="2">
        <f t="shared" si="50"/>
        <v>36</v>
      </c>
      <c r="EY17" s="2">
        <f t="shared" si="50"/>
        <v>36</v>
      </c>
      <c r="EZ17" s="2">
        <f t="shared" si="50"/>
        <v>36</v>
      </c>
      <c r="FA17" s="2">
        <f t="shared" si="50"/>
        <v>36</v>
      </c>
      <c r="FB17" s="2">
        <f t="shared" si="50"/>
        <v>0</v>
      </c>
      <c r="FC17" s="2">
        <f t="shared" si="50"/>
        <v>0</v>
      </c>
      <c r="FD17" s="2">
        <f t="shared" si="50"/>
        <v>0</v>
      </c>
      <c r="FE17" s="2">
        <f t="shared" si="50"/>
        <v>0</v>
      </c>
      <c r="FF17" s="2">
        <f t="shared" si="50"/>
        <v>0</v>
      </c>
      <c r="FG17" s="2">
        <f t="shared" si="50"/>
        <v>0</v>
      </c>
      <c r="FH17" s="2">
        <f t="shared" si="50"/>
        <v>0</v>
      </c>
      <c r="FI17" s="2">
        <f t="shared" si="50"/>
        <v>0</v>
      </c>
      <c r="FJ17" s="2">
        <f t="shared" si="50"/>
        <v>0</v>
      </c>
      <c r="FK17" s="2">
        <f t="shared" si="50"/>
        <v>0</v>
      </c>
      <c r="FL17" s="2">
        <f t="shared" si="50"/>
        <v>0</v>
      </c>
      <c r="FM17" s="2">
        <f t="shared" si="50"/>
        <v>0</v>
      </c>
    </row>
    <row r="18" spans="2:169" x14ac:dyDescent="0.25"/>
    <row r="19" spans="2:169" x14ac:dyDescent="0.25">
      <c r="B19" s="40" t="s">
        <v>66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</row>
    <row r="20" spans="2:169" x14ac:dyDescent="0.25">
      <c r="B20" t="s">
        <v>84</v>
      </c>
      <c r="C20" t="s">
        <v>2</v>
      </c>
      <c r="I20" s="22">
        <f>SUMIFS(Dyn_Inp!$E$8:$AS$8, Dyn_Inp!$E$7:$AS$7, I$9)</f>
        <v>4.9000000000000002E-2</v>
      </c>
      <c r="J20" s="22">
        <f>SUMIFS(Dyn_Inp!$E$8:$AS$8, Dyn_Inp!$E$7:$AS$7, J$9)</f>
        <v>3.5999999999999997E-2</v>
      </c>
      <c r="K20" s="22">
        <f>SUMIFS(Dyn_Inp!$E$8:$AS$8, Dyn_Inp!$E$7:$AS$7, K$9)</f>
        <v>3.5999999999999997E-2</v>
      </c>
      <c r="L20" s="22">
        <f>SUMIFS(Dyn_Inp!$E$8:$AS$8, Dyn_Inp!$E$7:$AS$7, L$9)</f>
        <v>3.5999999999999997E-2</v>
      </c>
      <c r="M20" s="22">
        <f>SUMIFS(Dyn_Inp!$E$8:$AS$8, Dyn_Inp!$E$7:$AS$7, M$9)</f>
        <v>3.5999999999999997E-2</v>
      </c>
      <c r="N20" s="22">
        <f>SUMIFS(Dyn_Inp!$E$8:$AS$8, Dyn_Inp!$E$7:$AS$7, N$9)</f>
        <v>3.2000000000000001E-2</v>
      </c>
      <c r="O20" s="22">
        <f>SUMIFS(Dyn_Inp!$E$8:$AS$8, Dyn_Inp!$E$7:$AS$7, O$9)</f>
        <v>3.2000000000000001E-2</v>
      </c>
      <c r="P20" s="22">
        <f>SUMIFS(Dyn_Inp!$E$8:$AS$8, Dyn_Inp!$E$7:$AS$7, P$9)</f>
        <v>3.2000000000000001E-2</v>
      </c>
      <c r="Q20" s="22">
        <f>SUMIFS(Dyn_Inp!$E$8:$AS$8, Dyn_Inp!$E$7:$AS$7, Q$9)</f>
        <v>3.2000000000000001E-2</v>
      </c>
      <c r="R20" s="22">
        <f>SUMIFS(Dyn_Inp!$E$8:$AS$8, Dyn_Inp!$E$7:$AS$7, R$9)</f>
        <v>0.03</v>
      </c>
      <c r="S20" s="22">
        <f>SUMIFS(Dyn_Inp!$E$8:$AS$8, Dyn_Inp!$E$7:$AS$7, S$9)</f>
        <v>0.03</v>
      </c>
      <c r="T20" s="22">
        <f>SUMIFS(Dyn_Inp!$E$8:$AS$8, Dyn_Inp!$E$7:$AS$7, T$9)</f>
        <v>0.03</v>
      </c>
      <c r="U20" s="22">
        <f>SUMIFS(Dyn_Inp!$E$8:$AS$8, Dyn_Inp!$E$7:$AS$7, U$9)</f>
        <v>0.03</v>
      </c>
      <c r="V20" s="22">
        <f>SUMIFS(Dyn_Inp!$E$8:$AS$8, Dyn_Inp!$E$7:$AS$7, V$9)</f>
        <v>0.03</v>
      </c>
      <c r="W20" s="22">
        <f>SUMIFS(Dyn_Inp!$E$8:$AS$8, Dyn_Inp!$E$7:$AS$7, W$9)</f>
        <v>0.03</v>
      </c>
      <c r="X20" s="22">
        <f>SUMIFS(Dyn_Inp!$E$8:$AS$8, Dyn_Inp!$E$7:$AS$7, X$9)</f>
        <v>0.03</v>
      </c>
      <c r="Y20" s="22">
        <f>SUMIFS(Dyn_Inp!$E$8:$AS$8, Dyn_Inp!$E$7:$AS$7, Y$9)</f>
        <v>0.03</v>
      </c>
      <c r="Z20" s="22">
        <f>SUMIFS(Dyn_Inp!$E$8:$AS$8, Dyn_Inp!$E$7:$AS$7, Z$9)</f>
        <v>2.5000000000000001E-2</v>
      </c>
      <c r="AA20" s="22">
        <f>SUMIFS(Dyn_Inp!$E$8:$AS$8, Dyn_Inp!$E$7:$AS$7, AA$9)</f>
        <v>2.5000000000000001E-2</v>
      </c>
      <c r="AB20" s="22">
        <f>SUMIFS(Dyn_Inp!$E$8:$AS$8, Dyn_Inp!$E$7:$AS$7, AB$9)</f>
        <v>2.5000000000000001E-2</v>
      </c>
      <c r="AC20" s="22">
        <f>SUMIFS(Dyn_Inp!$E$8:$AS$8, Dyn_Inp!$E$7:$AS$7, AC$9)</f>
        <v>2.5000000000000001E-2</v>
      </c>
      <c r="AD20" s="22">
        <f>SUMIFS(Dyn_Inp!$E$8:$AS$8, Dyn_Inp!$E$7:$AS$7, AD$9)</f>
        <v>2.5000000000000001E-2</v>
      </c>
      <c r="AE20" s="22">
        <f>SUMIFS(Dyn_Inp!$E$8:$AS$8, Dyn_Inp!$E$7:$AS$7, AE$9)</f>
        <v>2.5000000000000001E-2</v>
      </c>
      <c r="AF20" s="22">
        <f>SUMIFS(Dyn_Inp!$E$8:$AS$8, Dyn_Inp!$E$7:$AS$7, AF$9)</f>
        <v>2.5000000000000001E-2</v>
      </c>
      <c r="AG20" s="22">
        <f>SUMIFS(Dyn_Inp!$E$8:$AS$8, Dyn_Inp!$E$7:$AS$7, AG$9)</f>
        <v>2.5000000000000001E-2</v>
      </c>
      <c r="AH20" s="22">
        <f>SUMIFS(Dyn_Inp!$E$8:$AS$8, Dyn_Inp!$E$7:$AS$7, AH$9)</f>
        <v>2.5000000000000001E-2</v>
      </c>
      <c r="AI20" s="22">
        <f>SUMIFS(Dyn_Inp!$E$8:$AS$8, Dyn_Inp!$E$7:$AS$7, AI$9)</f>
        <v>2.5000000000000001E-2</v>
      </c>
      <c r="AJ20" s="22">
        <f>SUMIFS(Dyn_Inp!$E$8:$AS$8, Dyn_Inp!$E$7:$AS$7, AJ$9)</f>
        <v>2.5000000000000001E-2</v>
      </c>
      <c r="AK20" s="22">
        <f>SUMIFS(Dyn_Inp!$E$8:$AS$8, Dyn_Inp!$E$7:$AS$7, AK$9)</f>
        <v>2.5000000000000001E-2</v>
      </c>
      <c r="AL20" s="22">
        <f>SUMIFS(Dyn_Inp!$E$8:$AS$8, Dyn_Inp!$E$7:$AS$7, AL$9)</f>
        <v>2.5000000000000001E-2</v>
      </c>
      <c r="AM20" s="22">
        <f>SUMIFS(Dyn_Inp!$E$8:$AS$8, Dyn_Inp!$E$7:$AS$7, AM$9)</f>
        <v>2.5000000000000001E-2</v>
      </c>
      <c r="AN20" s="22">
        <f>SUMIFS(Dyn_Inp!$E$8:$AS$8, Dyn_Inp!$E$7:$AS$7, AN$9)</f>
        <v>2.5000000000000001E-2</v>
      </c>
      <c r="AO20" s="22">
        <f>SUMIFS(Dyn_Inp!$E$8:$AS$8, Dyn_Inp!$E$7:$AS$7, AO$9)</f>
        <v>2.5000000000000001E-2</v>
      </c>
      <c r="AP20" s="22">
        <f>SUMIFS(Dyn_Inp!$E$8:$AS$8, Dyn_Inp!$E$7:$AS$7, AP$9)</f>
        <v>2.5000000000000001E-2</v>
      </c>
      <c r="AQ20" s="22">
        <f>SUMIFS(Dyn_Inp!$E$8:$AS$8, Dyn_Inp!$E$7:$AS$7, AQ$9)</f>
        <v>2.5000000000000001E-2</v>
      </c>
      <c r="AR20" s="22">
        <f>SUMIFS(Dyn_Inp!$E$8:$AS$8, Dyn_Inp!$E$7:$AS$7, AR$9)</f>
        <v>2.5000000000000001E-2</v>
      </c>
      <c r="AS20" s="22">
        <f>SUMIFS(Dyn_Inp!$E$8:$AS$8, Dyn_Inp!$E$7:$AS$7, AS$9)</f>
        <v>2.5000000000000001E-2</v>
      </c>
      <c r="AT20" s="22">
        <f>SUMIFS(Dyn_Inp!$E$8:$AS$8, Dyn_Inp!$E$7:$AS$7, AT$9)</f>
        <v>2.5000000000000001E-2</v>
      </c>
      <c r="AU20" s="22">
        <f>SUMIFS(Dyn_Inp!$E$8:$AS$8, Dyn_Inp!$E$7:$AS$7, AU$9)</f>
        <v>2.5000000000000001E-2</v>
      </c>
      <c r="AV20" s="22">
        <f>SUMIFS(Dyn_Inp!$E$8:$AS$8, Dyn_Inp!$E$7:$AS$7, AV$9)</f>
        <v>2.5000000000000001E-2</v>
      </c>
      <c r="AW20" s="22">
        <f>SUMIFS(Dyn_Inp!$E$8:$AS$8, Dyn_Inp!$E$7:$AS$7, AW$9)</f>
        <v>2.5000000000000001E-2</v>
      </c>
      <c r="AX20" s="22">
        <f>SUMIFS(Dyn_Inp!$E$8:$AS$8, Dyn_Inp!$E$7:$AS$7, AX$9)</f>
        <v>2.5000000000000001E-2</v>
      </c>
      <c r="AY20" s="22">
        <f>SUMIFS(Dyn_Inp!$E$8:$AS$8, Dyn_Inp!$E$7:$AS$7, AY$9)</f>
        <v>2.5000000000000001E-2</v>
      </c>
      <c r="AZ20" s="22">
        <f>SUMIFS(Dyn_Inp!$E$8:$AS$8, Dyn_Inp!$E$7:$AS$7, AZ$9)</f>
        <v>2.5000000000000001E-2</v>
      </c>
      <c r="BA20" s="22">
        <f>SUMIFS(Dyn_Inp!$E$8:$AS$8, Dyn_Inp!$E$7:$AS$7, BA$9)</f>
        <v>2.5000000000000001E-2</v>
      </c>
      <c r="BB20" s="22">
        <f>SUMIFS(Dyn_Inp!$E$8:$AS$8, Dyn_Inp!$E$7:$AS$7, BB$9)</f>
        <v>2.5000000000000001E-2</v>
      </c>
      <c r="BC20" s="22">
        <f>SUMIFS(Dyn_Inp!$E$8:$AS$8, Dyn_Inp!$E$7:$AS$7, BC$9)</f>
        <v>2.5000000000000001E-2</v>
      </c>
      <c r="BD20" s="22">
        <f>SUMIFS(Dyn_Inp!$E$8:$AS$8, Dyn_Inp!$E$7:$AS$7, BD$9)</f>
        <v>2.5000000000000001E-2</v>
      </c>
      <c r="BE20" s="22">
        <f>SUMIFS(Dyn_Inp!$E$8:$AS$8, Dyn_Inp!$E$7:$AS$7, BE$9)</f>
        <v>2.5000000000000001E-2</v>
      </c>
      <c r="BF20" s="22">
        <f>SUMIFS(Dyn_Inp!$E$8:$AS$8, Dyn_Inp!$E$7:$AS$7, BF$9)</f>
        <v>2.5000000000000001E-2</v>
      </c>
      <c r="BG20" s="22">
        <f>SUMIFS(Dyn_Inp!$E$8:$AS$8, Dyn_Inp!$E$7:$AS$7, BG$9)</f>
        <v>2.5000000000000001E-2</v>
      </c>
      <c r="BH20" s="22">
        <f>SUMIFS(Dyn_Inp!$E$8:$AS$8, Dyn_Inp!$E$7:$AS$7, BH$9)</f>
        <v>2.5000000000000001E-2</v>
      </c>
      <c r="BI20" s="22">
        <f>SUMIFS(Dyn_Inp!$E$8:$AS$8, Dyn_Inp!$E$7:$AS$7, BI$9)</f>
        <v>2.5000000000000001E-2</v>
      </c>
      <c r="BJ20" s="22">
        <f>SUMIFS(Dyn_Inp!$E$8:$AS$8, Dyn_Inp!$E$7:$AS$7, BJ$9)</f>
        <v>2.5000000000000001E-2</v>
      </c>
      <c r="BK20" s="22">
        <f>SUMIFS(Dyn_Inp!$E$8:$AS$8, Dyn_Inp!$E$7:$AS$7, BK$9)</f>
        <v>2.5000000000000001E-2</v>
      </c>
      <c r="BL20" s="22">
        <f>SUMIFS(Dyn_Inp!$E$8:$AS$8, Dyn_Inp!$E$7:$AS$7, BL$9)</f>
        <v>2.5000000000000001E-2</v>
      </c>
      <c r="BM20" s="22">
        <f>SUMIFS(Dyn_Inp!$E$8:$AS$8, Dyn_Inp!$E$7:$AS$7, BM$9)</f>
        <v>2.5000000000000001E-2</v>
      </c>
      <c r="BN20" s="22">
        <f>SUMIFS(Dyn_Inp!$E$8:$AS$8, Dyn_Inp!$E$7:$AS$7, BN$9)</f>
        <v>2.5000000000000001E-2</v>
      </c>
      <c r="BO20" s="22">
        <f>SUMIFS(Dyn_Inp!$E$8:$AS$8, Dyn_Inp!$E$7:$AS$7, BO$9)</f>
        <v>2.5000000000000001E-2</v>
      </c>
      <c r="BP20" s="22">
        <f>SUMIFS(Dyn_Inp!$E$8:$AS$8, Dyn_Inp!$E$7:$AS$7, BP$9)</f>
        <v>2.5000000000000001E-2</v>
      </c>
      <c r="BQ20" s="22">
        <f>SUMIFS(Dyn_Inp!$E$8:$AS$8, Dyn_Inp!$E$7:$AS$7, BQ$9)</f>
        <v>2.5000000000000001E-2</v>
      </c>
      <c r="BR20" s="22">
        <f>SUMIFS(Dyn_Inp!$E$8:$AS$8, Dyn_Inp!$E$7:$AS$7, BR$9)</f>
        <v>2.5000000000000001E-2</v>
      </c>
      <c r="BS20" s="22">
        <f>SUMIFS(Dyn_Inp!$E$8:$AS$8, Dyn_Inp!$E$7:$AS$7, BS$9)</f>
        <v>2.5000000000000001E-2</v>
      </c>
      <c r="BT20" s="22">
        <f>SUMIFS(Dyn_Inp!$E$8:$AS$8, Dyn_Inp!$E$7:$AS$7, BT$9)</f>
        <v>2.5000000000000001E-2</v>
      </c>
      <c r="BU20" s="22">
        <f>SUMIFS(Dyn_Inp!$E$8:$AS$8, Dyn_Inp!$E$7:$AS$7, BU$9)</f>
        <v>2.5000000000000001E-2</v>
      </c>
      <c r="BV20" s="22">
        <f>SUMIFS(Dyn_Inp!$E$8:$AS$8, Dyn_Inp!$E$7:$AS$7, BV$9)</f>
        <v>2.5000000000000001E-2</v>
      </c>
      <c r="BW20" s="22">
        <f>SUMIFS(Dyn_Inp!$E$8:$AS$8, Dyn_Inp!$E$7:$AS$7, BW$9)</f>
        <v>2.5000000000000001E-2</v>
      </c>
      <c r="BX20" s="22">
        <f>SUMIFS(Dyn_Inp!$E$8:$AS$8, Dyn_Inp!$E$7:$AS$7, BX$9)</f>
        <v>2.5000000000000001E-2</v>
      </c>
      <c r="BY20" s="22">
        <f>SUMIFS(Dyn_Inp!$E$8:$AS$8, Dyn_Inp!$E$7:$AS$7, BY$9)</f>
        <v>2.5000000000000001E-2</v>
      </c>
      <c r="BZ20" s="22">
        <f>SUMIFS(Dyn_Inp!$E$8:$AS$8, Dyn_Inp!$E$7:$AS$7, BZ$9)</f>
        <v>2.5000000000000001E-2</v>
      </c>
      <c r="CA20" s="22">
        <f>SUMIFS(Dyn_Inp!$E$8:$AS$8, Dyn_Inp!$E$7:$AS$7, CA$9)</f>
        <v>2.5000000000000001E-2</v>
      </c>
      <c r="CB20" s="22">
        <f>SUMIFS(Dyn_Inp!$E$8:$AS$8, Dyn_Inp!$E$7:$AS$7, CB$9)</f>
        <v>2.5000000000000001E-2</v>
      </c>
      <c r="CC20" s="22">
        <f>SUMIFS(Dyn_Inp!$E$8:$AS$8, Dyn_Inp!$E$7:$AS$7, CC$9)</f>
        <v>2.5000000000000001E-2</v>
      </c>
      <c r="CD20" s="22">
        <f>SUMIFS(Dyn_Inp!$E$8:$AS$8, Dyn_Inp!$E$7:$AS$7, CD$9)</f>
        <v>2.5000000000000001E-2</v>
      </c>
      <c r="CE20" s="22">
        <f>SUMIFS(Dyn_Inp!$E$8:$AS$8, Dyn_Inp!$E$7:$AS$7, CE$9)</f>
        <v>2.5000000000000001E-2</v>
      </c>
      <c r="CF20" s="22">
        <f>SUMIFS(Dyn_Inp!$E$8:$AS$8, Dyn_Inp!$E$7:$AS$7, CF$9)</f>
        <v>2.5000000000000001E-2</v>
      </c>
      <c r="CG20" s="22">
        <f>SUMIFS(Dyn_Inp!$E$8:$AS$8, Dyn_Inp!$E$7:$AS$7, CG$9)</f>
        <v>2.5000000000000001E-2</v>
      </c>
      <c r="CH20" s="22">
        <f>SUMIFS(Dyn_Inp!$E$8:$AS$8, Dyn_Inp!$E$7:$AS$7, CH$9)</f>
        <v>2.5000000000000001E-2</v>
      </c>
      <c r="CI20" s="22">
        <f>SUMIFS(Dyn_Inp!$E$8:$AS$8, Dyn_Inp!$E$7:$AS$7, CI$9)</f>
        <v>2.5000000000000001E-2</v>
      </c>
      <c r="CJ20" s="22">
        <f>SUMIFS(Dyn_Inp!$E$8:$AS$8, Dyn_Inp!$E$7:$AS$7, CJ$9)</f>
        <v>2.5000000000000001E-2</v>
      </c>
      <c r="CK20" s="22">
        <f>SUMIFS(Dyn_Inp!$E$8:$AS$8, Dyn_Inp!$E$7:$AS$7, CK$9)</f>
        <v>2.5000000000000001E-2</v>
      </c>
      <c r="CL20" s="22">
        <f>SUMIFS(Dyn_Inp!$E$8:$AS$8, Dyn_Inp!$E$7:$AS$7, CL$9)</f>
        <v>2.5000000000000001E-2</v>
      </c>
      <c r="CM20" s="22">
        <f>SUMIFS(Dyn_Inp!$E$8:$AS$8, Dyn_Inp!$E$7:$AS$7, CM$9)</f>
        <v>2.5000000000000001E-2</v>
      </c>
      <c r="CN20" s="22">
        <f>SUMIFS(Dyn_Inp!$E$8:$AS$8, Dyn_Inp!$E$7:$AS$7, CN$9)</f>
        <v>2.5000000000000001E-2</v>
      </c>
      <c r="CO20" s="22">
        <f>SUMIFS(Dyn_Inp!$E$8:$AS$8, Dyn_Inp!$E$7:$AS$7, CO$9)</f>
        <v>2.5000000000000001E-2</v>
      </c>
      <c r="CP20" s="22">
        <f>SUMIFS(Dyn_Inp!$E$8:$AS$8, Dyn_Inp!$E$7:$AS$7, CP$9)</f>
        <v>2.5000000000000001E-2</v>
      </c>
      <c r="CQ20" s="22">
        <f>SUMIFS(Dyn_Inp!$E$8:$AS$8, Dyn_Inp!$E$7:$AS$7, CQ$9)</f>
        <v>2.5000000000000001E-2</v>
      </c>
      <c r="CR20" s="22">
        <f>SUMIFS(Dyn_Inp!$E$8:$AS$8, Dyn_Inp!$E$7:$AS$7, CR$9)</f>
        <v>2.5000000000000001E-2</v>
      </c>
      <c r="CS20" s="22">
        <f>SUMIFS(Dyn_Inp!$E$8:$AS$8, Dyn_Inp!$E$7:$AS$7, CS$9)</f>
        <v>2.5000000000000001E-2</v>
      </c>
      <c r="CT20" s="22">
        <f>SUMIFS(Dyn_Inp!$E$8:$AS$8, Dyn_Inp!$E$7:$AS$7, CT$9)</f>
        <v>2.5000000000000001E-2</v>
      </c>
      <c r="CU20" s="22">
        <f>SUMIFS(Dyn_Inp!$E$8:$AS$8, Dyn_Inp!$E$7:$AS$7, CU$9)</f>
        <v>2.5000000000000001E-2</v>
      </c>
      <c r="CV20" s="22">
        <f>SUMIFS(Dyn_Inp!$E$8:$AS$8, Dyn_Inp!$E$7:$AS$7, CV$9)</f>
        <v>2.5000000000000001E-2</v>
      </c>
      <c r="CW20" s="22">
        <f>SUMIFS(Dyn_Inp!$E$8:$AS$8, Dyn_Inp!$E$7:$AS$7, CW$9)</f>
        <v>2.5000000000000001E-2</v>
      </c>
      <c r="CX20" s="22">
        <f>SUMIFS(Dyn_Inp!$E$8:$AS$8, Dyn_Inp!$E$7:$AS$7, CX$9)</f>
        <v>2.5000000000000001E-2</v>
      </c>
      <c r="CY20" s="22">
        <f>SUMIFS(Dyn_Inp!$E$8:$AS$8, Dyn_Inp!$E$7:$AS$7, CY$9)</f>
        <v>2.5000000000000001E-2</v>
      </c>
      <c r="CZ20" s="22">
        <f>SUMIFS(Dyn_Inp!$E$8:$AS$8, Dyn_Inp!$E$7:$AS$7, CZ$9)</f>
        <v>2.5000000000000001E-2</v>
      </c>
      <c r="DA20" s="22">
        <f>SUMIFS(Dyn_Inp!$E$8:$AS$8, Dyn_Inp!$E$7:$AS$7, DA$9)</f>
        <v>2.5000000000000001E-2</v>
      </c>
      <c r="DB20" s="22">
        <f>SUMIFS(Dyn_Inp!$E$8:$AS$8, Dyn_Inp!$E$7:$AS$7, DB$9)</f>
        <v>2.5000000000000001E-2</v>
      </c>
      <c r="DC20" s="22">
        <f>SUMIFS(Dyn_Inp!$E$8:$AS$8, Dyn_Inp!$E$7:$AS$7, DC$9)</f>
        <v>2.5000000000000001E-2</v>
      </c>
      <c r="DD20" s="22">
        <f>SUMIFS(Dyn_Inp!$E$8:$AS$8, Dyn_Inp!$E$7:$AS$7, DD$9)</f>
        <v>2.5000000000000001E-2</v>
      </c>
      <c r="DE20" s="22">
        <f>SUMIFS(Dyn_Inp!$E$8:$AS$8, Dyn_Inp!$E$7:$AS$7, DE$9)</f>
        <v>2.5000000000000001E-2</v>
      </c>
      <c r="DF20" s="22">
        <f>SUMIFS(Dyn_Inp!$E$8:$AS$8, Dyn_Inp!$E$7:$AS$7, DF$9)</f>
        <v>2.5000000000000001E-2</v>
      </c>
      <c r="DG20" s="22">
        <f>SUMIFS(Dyn_Inp!$E$8:$AS$8, Dyn_Inp!$E$7:$AS$7, DG$9)</f>
        <v>2.5000000000000001E-2</v>
      </c>
      <c r="DH20" s="22">
        <f>SUMIFS(Dyn_Inp!$E$8:$AS$8, Dyn_Inp!$E$7:$AS$7, DH$9)</f>
        <v>2.5000000000000001E-2</v>
      </c>
      <c r="DI20" s="22">
        <f>SUMIFS(Dyn_Inp!$E$8:$AS$8, Dyn_Inp!$E$7:$AS$7, DI$9)</f>
        <v>2.5000000000000001E-2</v>
      </c>
      <c r="DJ20" s="22">
        <f>SUMIFS(Dyn_Inp!$E$8:$AS$8, Dyn_Inp!$E$7:$AS$7, DJ$9)</f>
        <v>2.5000000000000001E-2</v>
      </c>
      <c r="DK20" s="22">
        <f>SUMIFS(Dyn_Inp!$E$8:$AS$8, Dyn_Inp!$E$7:$AS$7, DK$9)</f>
        <v>2.5000000000000001E-2</v>
      </c>
      <c r="DL20" s="22">
        <f>SUMIFS(Dyn_Inp!$E$8:$AS$8, Dyn_Inp!$E$7:$AS$7, DL$9)</f>
        <v>2.5000000000000001E-2</v>
      </c>
      <c r="DM20" s="22">
        <f>SUMIFS(Dyn_Inp!$E$8:$AS$8, Dyn_Inp!$E$7:$AS$7, DM$9)</f>
        <v>2.5000000000000001E-2</v>
      </c>
      <c r="DN20" s="22">
        <f>SUMIFS(Dyn_Inp!$E$8:$AS$8, Dyn_Inp!$E$7:$AS$7, DN$9)</f>
        <v>2.5000000000000001E-2</v>
      </c>
      <c r="DO20" s="22">
        <f>SUMIFS(Dyn_Inp!$E$8:$AS$8, Dyn_Inp!$E$7:$AS$7, DO$9)</f>
        <v>2.5000000000000001E-2</v>
      </c>
      <c r="DP20" s="22">
        <f>SUMIFS(Dyn_Inp!$E$8:$AS$8, Dyn_Inp!$E$7:$AS$7, DP$9)</f>
        <v>2.5000000000000001E-2</v>
      </c>
      <c r="DQ20" s="22">
        <f>SUMIFS(Dyn_Inp!$E$8:$AS$8, Dyn_Inp!$E$7:$AS$7, DQ$9)</f>
        <v>2.5000000000000001E-2</v>
      </c>
      <c r="DR20" s="22">
        <f>SUMIFS(Dyn_Inp!$E$8:$AS$8, Dyn_Inp!$E$7:$AS$7, DR$9)</f>
        <v>2.5000000000000001E-2</v>
      </c>
      <c r="DS20" s="22">
        <f>SUMIFS(Dyn_Inp!$E$8:$AS$8, Dyn_Inp!$E$7:$AS$7, DS$9)</f>
        <v>2.5000000000000001E-2</v>
      </c>
      <c r="DT20" s="22">
        <f>SUMIFS(Dyn_Inp!$E$8:$AS$8, Dyn_Inp!$E$7:$AS$7, DT$9)</f>
        <v>2.5000000000000001E-2</v>
      </c>
      <c r="DU20" s="22">
        <f>SUMIFS(Dyn_Inp!$E$8:$AS$8, Dyn_Inp!$E$7:$AS$7, DU$9)</f>
        <v>2.5000000000000001E-2</v>
      </c>
      <c r="DV20" s="22">
        <f>SUMIFS(Dyn_Inp!$E$8:$AS$8, Dyn_Inp!$E$7:$AS$7, DV$9)</f>
        <v>2.5000000000000001E-2</v>
      </c>
      <c r="DW20" s="22">
        <f>SUMIFS(Dyn_Inp!$E$8:$AS$8, Dyn_Inp!$E$7:$AS$7, DW$9)</f>
        <v>2.5000000000000001E-2</v>
      </c>
      <c r="DX20" s="22">
        <f>SUMIFS(Dyn_Inp!$E$8:$AS$8, Dyn_Inp!$E$7:$AS$7, DX$9)</f>
        <v>2.5000000000000001E-2</v>
      </c>
      <c r="DY20" s="22">
        <f>SUMIFS(Dyn_Inp!$E$8:$AS$8, Dyn_Inp!$E$7:$AS$7, DY$9)</f>
        <v>2.5000000000000001E-2</v>
      </c>
      <c r="DZ20" s="22">
        <f>SUMIFS(Dyn_Inp!$E$8:$AS$8, Dyn_Inp!$E$7:$AS$7, DZ$9)</f>
        <v>2.5000000000000001E-2</v>
      </c>
      <c r="EA20" s="22">
        <f>SUMIFS(Dyn_Inp!$E$8:$AS$8, Dyn_Inp!$E$7:$AS$7, EA$9)</f>
        <v>2.5000000000000001E-2</v>
      </c>
      <c r="EB20" s="22">
        <f>SUMIFS(Dyn_Inp!$E$8:$AS$8, Dyn_Inp!$E$7:$AS$7, EB$9)</f>
        <v>2.5000000000000001E-2</v>
      </c>
      <c r="EC20" s="22">
        <f>SUMIFS(Dyn_Inp!$E$8:$AS$8, Dyn_Inp!$E$7:$AS$7, EC$9)</f>
        <v>2.5000000000000001E-2</v>
      </c>
      <c r="ED20" s="22">
        <f>SUMIFS(Dyn_Inp!$E$8:$AS$8, Dyn_Inp!$E$7:$AS$7, ED$9)</f>
        <v>2.5000000000000001E-2</v>
      </c>
      <c r="EE20" s="22">
        <f>SUMIFS(Dyn_Inp!$E$8:$AS$8, Dyn_Inp!$E$7:$AS$7, EE$9)</f>
        <v>2.5000000000000001E-2</v>
      </c>
      <c r="EF20" s="22">
        <f>SUMIFS(Dyn_Inp!$E$8:$AS$8, Dyn_Inp!$E$7:$AS$7, EF$9)</f>
        <v>2.5000000000000001E-2</v>
      </c>
      <c r="EG20" s="22">
        <f>SUMIFS(Dyn_Inp!$E$8:$AS$8, Dyn_Inp!$E$7:$AS$7, EG$9)</f>
        <v>2.5000000000000001E-2</v>
      </c>
      <c r="EH20" s="22">
        <f>SUMIFS(Dyn_Inp!$E$8:$AS$8, Dyn_Inp!$E$7:$AS$7, EH$9)</f>
        <v>2.5000000000000001E-2</v>
      </c>
      <c r="EI20" s="22">
        <f>SUMIFS(Dyn_Inp!$E$8:$AS$8, Dyn_Inp!$E$7:$AS$7, EI$9)</f>
        <v>2.5000000000000001E-2</v>
      </c>
      <c r="EJ20" s="22">
        <f>SUMIFS(Dyn_Inp!$E$8:$AS$8, Dyn_Inp!$E$7:$AS$7, EJ$9)</f>
        <v>2.5000000000000001E-2</v>
      </c>
      <c r="EK20" s="22">
        <f>SUMIFS(Dyn_Inp!$E$8:$AS$8, Dyn_Inp!$E$7:$AS$7, EK$9)</f>
        <v>2.5000000000000001E-2</v>
      </c>
      <c r="EL20" s="22">
        <f>SUMIFS(Dyn_Inp!$E$8:$AS$8, Dyn_Inp!$E$7:$AS$7, EL$9)</f>
        <v>2.5000000000000001E-2</v>
      </c>
      <c r="EM20" s="22">
        <f>SUMIFS(Dyn_Inp!$E$8:$AS$8, Dyn_Inp!$E$7:$AS$7, EM$9)</f>
        <v>2.5000000000000001E-2</v>
      </c>
      <c r="EN20" s="22">
        <f>SUMIFS(Dyn_Inp!$E$8:$AS$8, Dyn_Inp!$E$7:$AS$7, EN$9)</f>
        <v>2.5000000000000001E-2</v>
      </c>
      <c r="EO20" s="22">
        <f>SUMIFS(Dyn_Inp!$E$8:$AS$8, Dyn_Inp!$E$7:$AS$7, EO$9)</f>
        <v>2.5000000000000001E-2</v>
      </c>
      <c r="EP20" s="22">
        <f>SUMIFS(Dyn_Inp!$E$8:$AS$8, Dyn_Inp!$E$7:$AS$7, EP$9)</f>
        <v>2.5000000000000001E-2</v>
      </c>
      <c r="EQ20" s="22">
        <f>SUMIFS(Dyn_Inp!$E$8:$AS$8, Dyn_Inp!$E$7:$AS$7, EQ$9)</f>
        <v>2.5000000000000001E-2</v>
      </c>
      <c r="ER20" s="22">
        <f>SUMIFS(Dyn_Inp!$E$8:$AS$8, Dyn_Inp!$E$7:$AS$7, ER$9)</f>
        <v>2.5000000000000001E-2</v>
      </c>
      <c r="ES20" s="22">
        <f>SUMIFS(Dyn_Inp!$E$8:$AS$8, Dyn_Inp!$E$7:$AS$7, ES$9)</f>
        <v>2.5000000000000001E-2</v>
      </c>
      <c r="ET20" s="22">
        <f>SUMIFS(Dyn_Inp!$E$8:$AS$8, Dyn_Inp!$E$7:$AS$7, ET$9)</f>
        <v>2.5000000000000001E-2</v>
      </c>
      <c r="EU20" s="22">
        <f>SUMIFS(Dyn_Inp!$E$8:$AS$8, Dyn_Inp!$E$7:$AS$7, EU$9)</f>
        <v>2.5000000000000001E-2</v>
      </c>
      <c r="EV20" s="22">
        <f>SUMIFS(Dyn_Inp!$E$8:$AS$8, Dyn_Inp!$E$7:$AS$7, EV$9)</f>
        <v>2.5000000000000001E-2</v>
      </c>
      <c r="EW20" s="22">
        <f>SUMIFS(Dyn_Inp!$E$8:$AS$8, Dyn_Inp!$E$7:$AS$7, EW$9)</f>
        <v>2.5000000000000001E-2</v>
      </c>
      <c r="EX20" s="22">
        <f>SUMIFS(Dyn_Inp!$E$8:$AS$8, Dyn_Inp!$E$7:$AS$7, EX$9)</f>
        <v>2.5000000000000001E-2</v>
      </c>
      <c r="EY20" s="22">
        <f>SUMIFS(Dyn_Inp!$E$8:$AS$8, Dyn_Inp!$E$7:$AS$7, EY$9)</f>
        <v>2.5000000000000001E-2</v>
      </c>
      <c r="EZ20" s="22">
        <f>SUMIFS(Dyn_Inp!$E$8:$AS$8, Dyn_Inp!$E$7:$AS$7, EZ$9)</f>
        <v>2.5000000000000001E-2</v>
      </c>
      <c r="FA20" s="22">
        <f>SUMIFS(Dyn_Inp!$E$8:$AS$8, Dyn_Inp!$E$7:$AS$7, FA$9)</f>
        <v>2.5000000000000001E-2</v>
      </c>
      <c r="FB20" s="22">
        <f>SUMIFS(Dyn_Inp!$E$8:$AS$8, Dyn_Inp!$E$7:$AS$7, FB$9)</f>
        <v>2.5000000000000001E-2</v>
      </c>
      <c r="FC20" s="22">
        <f>SUMIFS(Dyn_Inp!$E$8:$AS$8, Dyn_Inp!$E$7:$AS$7, FC$9)</f>
        <v>2.5000000000000001E-2</v>
      </c>
      <c r="FD20" s="22">
        <f>SUMIFS(Dyn_Inp!$E$8:$AS$8, Dyn_Inp!$E$7:$AS$7, FD$9)</f>
        <v>2.5000000000000001E-2</v>
      </c>
      <c r="FE20" s="22">
        <f>SUMIFS(Dyn_Inp!$E$8:$AS$8, Dyn_Inp!$E$7:$AS$7, FE$9)</f>
        <v>2.5000000000000001E-2</v>
      </c>
      <c r="FF20" s="22">
        <f>SUMIFS(Dyn_Inp!$E$8:$AS$8, Dyn_Inp!$E$7:$AS$7, FF$9)</f>
        <v>2.5000000000000001E-2</v>
      </c>
      <c r="FG20" s="22">
        <f>SUMIFS(Dyn_Inp!$E$8:$AS$8, Dyn_Inp!$E$7:$AS$7, FG$9)</f>
        <v>2.5000000000000001E-2</v>
      </c>
      <c r="FH20" s="22">
        <f>SUMIFS(Dyn_Inp!$E$8:$AS$8, Dyn_Inp!$E$7:$AS$7, FH$9)</f>
        <v>2.5000000000000001E-2</v>
      </c>
      <c r="FI20" s="22">
        <f>SUMIFS(Dyn_Inp!$E$8:$AS$8, Dyn_Inp!$E$7:$AS$7, FI$9)</f>
        <v>2.5000000000000001E-2</v>
      </c>
      <c r="FJ20" s="22">
        <f>SUMIFS(Dyn_Inp!$E$8:$AS$8, Dyn_Inp!$E$7:$AS$7, FJ$9)</f>
        <v>2.5000000000000001E-2</v>
      </c>
      <c r="FK20" s="22">
        <f>SUMIFS(Dyn_Inp!$E$8:$AS$8, Dyn_Inp!$E$7:$AS$7, FK$9)</f>
        <v>2.5000000000000001E-2</v>
      </c>
      <c r="FL20" s="22">
        <f>SUMIFS(Dyn_Inp!$E$8:$AS$8, Dyn_Inp!$E$7:$AS$7, FL$9)</f>
        <v>2.5000000000000001E-2</v>
      </c>
      <c r="FM20" s="22">
        <f>SUMIFS(Dyn_Inp!$E$8:$AS$8, Dyn_Inp!$E$7:$AS$7, FM$9)</f>
        <v>2.5000000000000001E-2</v>
      </c>
    </row>
    <row r="21" spans="2:169" x14ac:dyDescent="0.25">
      <c r="B21" t="s">
        <v>85</v>
      </c>
      <c r="C21" t="s">
        <v>80</v>
      </c>
      <c r="D21" s="23">
        <f>Stat_Inp!F24</f>
        <v>1</v>
      </c>
      <c r="I21" s="25">
        <f t="shared" ref="I21:AN21" si="51">N($D21 = I8)</f>
        <v>0</v>
      </c>
      <c r="J21" s="25">
        <f t="shared" si="51"/>
        <v>1</v>
      </c>
      <c r="K21" s="25">
        <f t="shared" si="51"/>
        <v>0</v>
      </c>
      <c r="L21" s="25">
        <f t="shared" si="51"/>
        <v>0</v>
      </c>
      <c r="M21" s="25">
        <f t="shared" si="51"/>
        <v>0</v>
      </c>
      <c r="N21" s="25">
        <f t="shared" si="51"/>
        <v>1</v>
      </c>
      <c r="O21" s="25">
        <f t="shared" si="51"/>
        <v>0</v>
      </c>
      <c r="P21" s="25">
        <f t="shared" si="51"/>
        <v>0</v>
      </c>
      <c r="Q21" s="25">
        <f t="shared" si="51"/>
        <v>0</v>
      </c>
      <c r="R21" s="25">
        <f t="shared" si="51"/>
        <v>1</v>
      </c>
      <c r="S21" s="25">
        <f t="shared" si="51"/>
        <v>0</v>
      </c>
      <c r="T21" s="25">
        <f t="shared" si="51"/>
        <v>0</v>
      </c>
      <c r="U21" s="25">
        <f t="shared" si="51"/>
        <v>0</v>
      </c>
      <c r="V21" s="25">
        <f t="shared" si="51"/>
        <v>1</v>
      </c>
      <c r="W21" s="25">
        <f t="shared" si="51"/>
        <v>0</v>
      </c>
      <c r="X21" s="25">
        <f t="shared" si="51"/>
        <v>0</v>
      </c>
      <c r="Y21" s="25">
        <f t="shared" si="51"/>
        <v>0</v>
      </c>
      <c r="Z21" s="25">
        <f t="shared" si="51"/>
        <v>1</v>
      </c>
      <c r="AA21" s="25">
        <f t="shared" si="51"/>
        <v>0</v>
      </c>
      <c r="AB21" s="25">
        <f t="shared" si="51"/>
        <v>0</v>
      </c>
      <c r="AC21" s="25">
        <f t="shared" si="51"/>
        <v>0</v>
      </c>
      <c r="AD21" s="25">
        <f t="shared" si="51"/>
        <v>1</v>
      </c>
      <c r="AE21" s="25">
        <f t="shared" si="51"/>
        <v>0</v>
      </c>
      <c r="AF21" s="25">
        <f t="shared" si="51"/>
        <v>0</v>
      </c>
      <c r="AG21" s="25">
        <f t="shared" si="51"/>
        <v>0</v>
      </c>
      <c r="AH21" s="25">
        <f t="shared" si="51"/>
        <v>1</v>
      </c>
      <c r="AI21" s="25">
        <f t="shared" si="51"/>
        <v>0</v>
      </c>
      <c r="AJ21" s="25">
        <f t="shared" si="51"/>
        <v>0</v>
      </c>
      <c r="AK21" s="25">
        <f t="shared" si="51"/>
        <v>0</v>
      </c>
      <c r="AL21" s="25">
        <f t="shared" si="51"/>
        <v>1</v>
      </c>
      <c r="AM21" s="25">
        <f t="shared" si="51"/>
        <v>0</v>
      </c>
      <c r="AN21" s="25">
        <f t="shared" si="51"/>
        <v>0</v>
      </c>
      <c r="AO21" s="25">
        <f t="shared" ref="AO21:BT21" si="52">N($D21 = AO8)</f>
        <v>0</v>
      </c>
      <c r="AP21" s="25">
        <f t="shared" si="52"/>
        <v>1</v>
      </c>
      <c r="AQ21" s="25">
        <f t="shared" si="52"/>
        <v>0</v>
      </c>
      <c r="AR21" s="25">
        <f t="shared" si="52"/>
        <v>0</v>
      </c>
      <c r="AS21" s="25">
        <f t="shared" si="52"/>
        <v>0</v>
      </c>
      <c r="AT21" s="25">
        <f t="shared" si="52"/>
        <v>1</v>
      </c>
      <c r="AU21" s="25">
        <f t="shared" si="52"/>
        <v>0</v>
      </c>
      <c r="AV21" s="25">
        <f t="shared" si="52"/>
        <v>0</v>
      </c>
      <c r="AW21" s="25">
        <f t="shared" si="52"/>
        <v>0</v>
      </c>
      <c r="AX21" s="25">
        <f t="shared" si="52"/>
        <v>1</v>
      </c>
      <c r="AY21" s="25">
        <f t="shared" si="52"/>
        <v>0</v>
      </c>
      <c r="AZ21" s="25">
        <f t="shared" si="52"/>
        <v>0</v>
      </c>
      <c r="BA21" s="25">
        <f t="shared" si="52"/>
        <v>0</v>
      </c>
      <c r="BB21" s="25">
        <f t="shared" si="52"/>
        <v>1</v>
      </c>
      <c r="BC21" s="25">
        <f t="shared" si="52"/>
        <v>0</v>
      </c>
      <c r="BD21" s="25">
        <f t="shared" si="52"/>
        <v>0</v>
      </c>
      <c r="BE21" s="25">
        <f t="shared" si="52"/>
        <v>0</v>
      </c>
      <c r="BF21" s="25">
        <f t="shared" si="52"/>
        <v>1</v>
      </c>
      <c r="BG21" s="25">
        <f t="shared" si="52"/>
        <v>0</v>
      </c>
      <c r="BH21" s="25">
        <f t="shared" si="52"/>
        <v>0</v>
      </c>
      <c r="BI21" s="25">
        <f t="shared" si="52"/>
        <v>0</v>
      </c>
      <c r="BJ21" s="25">
        <f t="shared" si="52"/>
        <v>1</v>
      </c>
      <c r="BK21" s="25">
        <f t="shared" si="52"/>
        <v>0</v>
      </c>
      <c r="BL21" s="25">
        <f t="shared" si="52"/>
        <v>0</v>
      </c>
      <c r="BM21" s="25">
        <f t="shared" si="52"/>
        <v>0</v>
      </c>
      <c r="BN21" s="25">
        <f t="shared" si="52"/>
        <v>1</v>
      </c>
      <c r="BO21" s="25">
        <f t="shared" si="52"/>
        <v>0</v>
      </c>
      <c r="BP21" s="25">
        <f t="shared" si="52"/>
        <v>0</v>
      </c>
      <c r="BQ21" s="25">
        <f t="shared" si="52"/>
        <v>0</v>
      </c>
      <c r="BR21" s="25">
        <f t="shared" si="52"/>
        <v>1</v>
      </c>
      <c r="BS21" s="25">
        <f t="shared" si="52"/>
        <v>0</v>
      </c>
      <c r="BT21" s="25">
        <f t="shared" si="52"/>
        <v>0</v>
      </c>
      <c r="BU21" s="25">
        <f t="shared" ref="BU21:CZ21" si="53">N($D21 = BU8)</f>
        <v>0</v>
      </c>
      <c r="BV21" s="25">
        <f t="shared" si="53"/>
        <v>1</v>
      </c>
      <c r="BW21" s="25">
        <f t="shared" si="53"/>
        <v>0</v>
      </c>
      <c r="BX21" s="25">
        <f t="shared" si="53"/>
        <v>0</v>
      </c>
      <c r="BY21" s="25">
        <f t="shared" si="53"/>
        <v>0</v>
      </c>
      <c r="BZ21" s="25">
        <f t="shared" si="53"/>
        <v>1</v>
      </c>
      <c r="CA21" s="25">
        <f t="shared" si="53"/>
        <v>0</v>
      </c>
      <c r="CB21" s="25">
        <f t="shared" si="53"/>
        <v>0</v>
      </c>
      <c r="CC21" s="25">
        <f t="shared" si="53"/>
        <v>0</v>
      </c>
      <c r="CD21" s="25">
        <f t="shared" si="53"/>
        <v>1</v>
      </c>
      <c r="CE21" s="25">
        <f t="shared" si="53"/>
        <v>0</v>
      </c>
      <c r="CF21" s="25">
        <f t="shared" si="53"/>
        <v>0</v>
      </c>
      <c r="CG21" s="25">
        <f t="shared" si="53"/>
        <v>0</v>
      </c>
      <c r="CH21" s="25">
        <f t="shared" si="53"/>
        <v>1</v>
      </c>
      <c r="CI21" s="25">
        <f t="shared" si="53"/>
        <v>0</v>
      </c>
      <c r="CJ21" s="25">
        <f t="shared" si="53"/>
        <v>0</v>
      </c>
      <c r="CK21" s="25">
        <f t="shared" si="53"/>
        <v>0</v>
      </c>
      <c r="CL21" s="25">
        <f t="shared" si="53"/>
        <v>1</v>
      </c>
      <c r="CM21" s="25">
        <f t="shared" si="53"/>
        <v>0</v>
      </c>
      <c r="CN21" s="25">
        <f t="shared" si="53"/>
        <v>0</v>
      </c>
      <c r="CO21" s="25">
        <f t="shared" si="53"/>
        <v>0</v>
      </c>
      <c r="CP21" s="25">
        <f t="shared" si="53"/>
        <v>1</v>
      </c>
      <c r="CQ21" s="25">
        <f t="shared" si="53"/>
        <v>0</v>
      </c>
      <c r="CR21" s="25">
        <f t="shared" si="53"/>
        <v>0</v>
      </c>
      <c r="CS21" s="25">
        <f t="shared" si="53"/>
        <v>0</v>
      </c>
      <c r="CT21" s="25">
        <f t="shared" si="53"/>
        <v>1</v>
      </c>
      <c r="CU21" s="25">
        <f t="shared" si="53"/>
        <v>0</v>
      </c>
      <c r="CV21" s="25">
        <f t="shared" si="53"/>
        <v>0</v>
      </c>
      <c r="CW21" s="25">
        <f t="shared" si="53"/>
        <v>0</v>
      </c>
      <c r="CX21" s="25">
        <f t="shared" si="53"/>
        <v>1</v>
      </c>
      <c r="CY21" s="25">
        <f t="shared" si="53"/>
        <v>0</v>
      </c>
      <c r="CZ21" s="25">
        <f t="shared" si="53"/>
        <v>0</v>
      </c>
      <c r="DA21" s="25">
        <f t="shared" ref="DA21:EF21" si="54">N($D21 = DA8)</f>
        <v>0</v>
      </c>
      <c r="DB21" s="25">
        <f t="shared" si="54"/>
        <v>1</v>
      </c>
      <c r="DC21" s="25">
        <f t="shared" si="54"/>
        <v>0</v>
      </c>
      <c r="DD21" s="25">
        <f t="shared" si="54"/>
        <v>0</v>
      </c>
      <c r="DE21" s="25">
        <f t="shared" si="54"/>
        <v>0</v>
      </c>
      <c r="DF21" s="25">
        <f t="shared" si="54"/>
        <v>1</v>
      </c>
      <c r="DG21" s="25">
        <f t="shared" si="54"/>
        <v>0</v>
      </c>
      <c r="DH21" s="25">
        <f t="shared" si="54"/>
        <v>0</v>
      </c>
      <c r="DI21" s="25">
        <f t="shared" si="54"/>
        <v>0</v>
      </c>
      <c r="DJ21" s="25">
        <f t="shared" si="54"/>
        <v>1</v>
      </c>
      <c r="DK21" s="25">
        <f t="shared" si="54"/>
        <v>0</v>
      </c>
      <c r="DL21" s="25">
        <f t="shared" si="54"/>
        <v>0</v>
      </c>
      <c r="DM21" s="25">
        <f t="shared" si="54"/>
        <v>0</v>
      </c>
      <c r="DN21" s="25">
        <f t="shared" si="54"/>
        <v>1</v>
      </c>
      <c r="DO21" s="25">
        <f t="shared" si="54"/>
        <v>0</v>
      </c>
      <c r="DP21" s="25">
        <f t="shared" si="54"/>
        <v>0</v>
      </c>
      <c r="DQ21" s="25">
        <f t="shared" si="54"/>
        <v>0</v>
      </c>
      <c r="DR21" s="25">
        <f t="shared" si="54"/>
        <v>1</v>
      </c>
      <c r="DS21" s="25">
        <f t="shared" si="54"/>
        <v>0</v>
      </c>
      <c r="DT21" s="25">
        <f t="shared" si="54"/>
        <v>0</v>
      </c>
      <c r="DU21" s="25">
        <f t="shared" si="54"/>
        <v>0</v>
      </c>
      <c r="DV21" s="25">
        <f t="shared" si="54"/>
        <v>1</v>
      </c>
      <c r="DW21" s="25">
        <f t="shared" si="54"/>
        <v>0</v>
      </c>
      <c r="DX21" s="25">
        <f t="shared" si="54"/>
        <v>0</v>
      </c>
      <c r="DY21" s="25">
        <f t="shared" si="54"/>
        <v>0</v>
      </c>
      <c r="DZ21" s="25">
        <f t="shared" si="54"/>
        <v>1</v>
      </c>
      <c r="EA21" s="25">
        <f t="shared" si="54"/>
        <v>0</v>
      </c>
      <c r="EB21" s="25">
        <f t="shared" si="54"/>
        <v>0</v>
      </c>
      <c r="EC21" s="25">
        <f t="shared" si="54"/>
        <v>0</v>
      </c>
      <c r="ED21" s="25">
        <f t="shared" si="54"/>
        <v>1</v>
      </c>
      <c r="EE21" s="25">
        <f t="shared" si="54"/>
        <v>0</v>
      </c>
      <c r="EF21" s="25">
        <f t="shared" si="54"/>
        <v>0</v>
      </c>
      <c r="EG21" s="25">
        <f t="shared" ref="EG21:FM21" si="55">N($D21 = EG8)</f>
        <v>0</v>
      </c>
      <c r="EH21" s="25">
        <f t="shared" si="55"/>
        <v>1</v>
      </c>
      <c r="EI21" s="25">
        <f t="shared" si="55"/>
        <v>0</v>
      </c>
      <c r="EJ21" s="25">
        <f t="shared" si="55"/>
        <v>0</v>
      </c>
      <c r="EK21" s="25">
        <f t="shared" si="55"/>
        <v>0</v>
      </c>
      <c r="EL21" s="25">
        <f t="shared" si="55"/>
        <v>1</v>
      </c>
      <c r="EM21" s="25">
        <f t="shared" si="55"/>
        <v>0</v>
      </c>
      <c r="EN21" s="25">
        <f t="shared" si="55"/>
        <v>0</v>
      </c>
      <c r="EO21" s="25">
        <f t="shared" si="55"/>
        <v>0</v>
      </c>
      <c r="EP21" s="25">
        <f t="shared" si="55"/>
        <v>1</v>
      </c>
      <c r="EQ21" s="25">
        <f t="shared" si="55"/>
        <v>0</v>
      </c>
      <c r="ER21" s="25">
        <f t="shared" si="55"/>
        <v>0</v>
      </c>
      <c r="ES21" s="25">
        <f t="shared" si="55"/>
        <v>0</v>
      </c>
      <c r="ET21" s="25">
        <f t="shared" si="55"/>
        <v>1</v>
      </c>
      <c r="EU21" s="25">
        <f t="shared" si="55"/>
        <v>0</v>
      </c>
      <c r="EV21" s="25">
        <f t="shared" si="55"/>
        <v>0</v>
      </c>
      <c r="EW21" s="25">
        <f t="shared" si="55"/>
        <v>0</v>
      </c>
      <c r="EX21" s="25">
        <f t="shared" si="55"/>
        <v>1</v>
      </c>
      <c r="EY21" s="25">
        <f t="shared" si="55"/>
        <v>0</v>
      </c>
      <c r="EZ21" s="25">
        <f t="shared" si="55"/>
        <v>0</v>
      </c>
      <c r="FA21" s="25">
        <f t="shared" si="55"/>
        <v>0</v>
      </c>
      <c r="FB21" s="25">
        <f t="shared" si="55"/>
        <v>1</v>
      </c>
      <c r="FC21" s="25">
        <f t="shared" si="55"/>
        <v>0</v>
      </c>
      <c r="FD21" s="25">
        <f t="shared" si="55"/>
        <v>0</v>
      </c>
      <c r="FE21" s="25">
        <f t="shared" si="55"/>
        <v>0</v>
      </c>
      <c r="FF21" s="25">
        <f t="shared" si="55"/>
        <v>1</v>
      </c>
      <c r="FG21" s="25">
        <f t="shared" si="55"/>
        <v>0</v>
      </c>
      <c r="FH21" s="25">
        <f t="shared" si="55"/>
        <v>0</v>
      </c>
      <c r="FI21" s="25">
        <f t="shared" si="55"/>
        <v>0</v>
      </c>
      <c r="FJ21" s="25">
        <f t="shared" si="55"/>
        <v>1</v>
      </c>
      <c r="FK21" s="25">
        <f t="shared" si="55"/>
        <v>0</v>
      </c>
      <c r="FL21" s="25">
        <f t="shared" si="55"/>
        <v>0</v>
      </c>
      <c r="FM21" s="25">
        <f t="shared" si="55"/>
        <v>0</v>
      </c>
    </row>
    <row r="22" spans="2:169" x14ac:dyDescent="0.25">
      <c r="B22" t="s">
        <v>86</v>
      </c>
      <c r="C22" t="s">
        <v>2</v>
      </c>
      <c r="I22" s="22">
        <f>I20 * I21</f>
        <v>0</v>
      </c>
      <c r="J22" s="22">
        <f t="shared" ref="J22:BU22" si="56">J20 * J21</f>
        <v>3.5999999999999997E-2</v>
      </c>
      <c r="K22" s="22">
        <f t="shared" si="56"/>
        <v>0</v>
      </c>
      <c r="L22" s="22">
        <f t="shared" si="56"/>
        <v>0</v>
      </c>
      <c r="M22" s="22">
        <f t="shared" si="56"/>
        <v>0</v>
      </c>
      <c r="N22" s="22">
        <f t="shared" si="56"/>
        <v>3.2000000000000001E-2</v>
      </c>
      <c r="O22" s="22">
        <f t="shared" si="56"/>
        <v>0</v>
      </c>
      <c r="P22" s="22">
        <f t="shared" si="56"/>
        <v>0</v>
      </c>
      <c r="Q22" s="22">
        <f t="shared" si="56"/>
        <v>0</v>
      </c>
      <c r="R22" s="22">
        <f t="shared" si="56"/>
        <v>0.03</v>
      </c>
      <c r="S22" s="22">
        <f t="shared" si="56"/>
        <v>0</v>
      </c>
      <c r="T22" s="22">
        <f t="shared" si="56"/>
        <v>0</v>
      </c>
      <c r="U22" s="22">
        <f t="shared" si="56"/>
        <v>0</v>
      </c>
      <c r="V22" s="22">
        <f t="shared" si="56"/>
        <v>0.03</v>
      </c>
      <c r="W22" s="22">
        <f t="shared" si="56"/>
        <v>0</v>
      </c>
      <c r="X22" s="22">
        <f t="shared" si="56"/>
        <v>0</v>
      </c>
      <c r="Y22" s="22">
        <f t="shared" si="56"/>
        <v>0</v>
      </c>
      <c r="Z22" s="22">
        <f t="shared" si="56"/>
        <v>2.5000000000000001E-2</v>
      </c>
      <c r="AA22" s="22">
        <f t="shared" si="56"/>
        <v>0</v>
      </c>
      <c r="AB22" s="22">
        <f t="shared" si="56"/>
        <v>0</v>
      </c>
      <c r="AC22" s="22">
        <f t="shared" si="56"/>
        <v>0</v>
      </c>
      <c r="AD22" s="22">
        <f t="shared" si="56"/>
        <v>2.5000000000000001E-2</v>
      </c>
      <c r="AE22" s="22">
        <f t="shared" si="56"/>
        <v>0</v>
      </c>
      <c r="AF22" s="22">
        <f t="shared" si="56"/>
        <v>0</v>
      </c>
      <c r="AG22" s="22">
        <f t="shared" si="56"/>
        <v>0</v>
      </c>
      <c r="AH22" s="22">
        <f t="shared" si="56"/>
        <v>2.5000000000000001E-2</v>
      </c>
      <c r="AI22" s="22">
        <f t="shared" si="56"/>
        <v>0</v>
      </c>
      <c r="AJ22" s="22">
        <f t="shared" si="56"/>
        <v>0</v>
      </c>
      <c r="AK22" s="22">
        <f t="shared" si="56"/>
        <v>0</v>
      </c>
      <c r="AL22" s="22">
        <f t="shared" si="56"/>
        <v>2.5000000000000001E-2</v>
      </c>
      <c r="AM22" s="22">
        <f t="shared" si="56"/>
        <v>0</v>
      </c>
      <c r="AN22" s="22">
        <f t="shared" si="56"/>
        <v>0</v>
      </c>
      <c r="AO22" s="22">
        <f t="shared" si="56"/>
        <v>0</v>
      </c>
      <c r="AP22" s="22">
        <f t="shared" si="56"/>
        <v>2.5000000000000001E-2</v>
      </c>
      <c r="AQ22" s="22">
        <f t="shared" si="56"/>
        <v>0</v>
      </c>
      <c r="AR22" s="22">
        <f t="shared" si="56"/>
        <v>0</v>
      </c>
      <c r="AS22" s="22">
        <f t="shared" si="56"/>
        <v>0</v>
      </c>
      <c r="AT22" s="22">
        <f t="shared" si="56"/>
        <v>2.5000000000000001E-2</v>
      </c>
      <c r="AU22" s="22">
        <f t="shared" si="56"/>
        <v>0</v>
      </c>
      <c r="AV22" s="22">
        <f t="shared" si="56"/>
        <v>0</v>
      </c>
      <c r="AW22" s="22">
        <f t="shared" si="56"/>
        <v>0</v>
      </c>
      <c r="AX22" s="22">
        <f t="shared" si="56"/>
        <v>2.5000000000000001E-2</v>
      </c>
      <c r="AY22" s="22">
        <f t="shared" si="56"/>
        <v>0</v>
      </c>
      <c r="AZ22" s="22">
        <f t="shared" si="56"/>
        <v>0</v>
      </c>
      <c r="BA22" s="22">
        <f t="shared" si="56"/>
        <v>0</v>
      </c>
      <c r="BB22" s="22">
        <f t="shared" si="56"/>
        <v>2.5000000000000001E-2</v>
      </c>
      <c r="BC22" s="22">
        <f t="shared" si="56"/>
        <v>0</v>
      </c>
      <c r="BD22" s="22">
        <f t="shared" si="56"/>
        <v>0</v>
      </c>
      <c r="BE22" s="22">
        <f t="shared" si="56"/>
        <v>0</v>
      </c>
      <c r="BF22" s="22">
        <f t="shared" si="56"/>
        <v>2.5000000000000001E-2</v>
      </c>
      <c r="BG22" s="22">
        <f t="shared" si="56"/>
        <v>0</v>
      </c>
      <c r="BH22" s="22">
        <f t="shared" si="56"/>
        <v>0</v>
      </c>
      <c r="BI22" s="22">
        <f t="shared" si="56"/>
        <v>0</v>
      </c>
      <c r="BJ22" s="22">
        <f t="shared" si="56"/>
        <v>2.5000000000000001E-2</v>
      </c>
      <c r="BK22" s="22">
        <f t="shared" si="56"/>
        <v>0</v>
      </c>
      <c r="BL22" s="22">
        <f t="shared" si="56"/>
        <v>0</v>
      </c>
      <c r="BM22" s="22">
        <f t="shared" si="56"/>
        <v>0</v>
      </c>
      <c r="BN22" s="22">
        <f t="shared" si="56"/>
        <v>2.5000000000000001E-2</v>
      </c>
      <c r="BO22" s="22">
        <f t="shared" si="56"/>
        <v>0</v>
      </c>
      <c r="BP22" s="22">
        <f t="shared" si="56"/>
        <v>0</v>
      </c>
      <c r="BQ22" s="22">
        <f t="shared" si="56"/>
        <v>0</v>
      </c>
      <c r="BR22" s="22">
        <f t="shared" si="56"/>
        <v>2.5000000000000001E-2</v>
      </c>
      <c r="BS22" s="22">
        <f t="shared" si="56"/>
        <v>0</v>
      </c>
      <c r="BT22" s="22">
        <f t="shared" si="56"/>
        <v>0</v>
      </c>
      <c r="BU22" s="22">
        <f t="shared" si="56"/>
        <v>0</v>
      </c>
      <c r="BV22" s="22">
        <f t="shared" ref="BV22:EG22" si="57">BV20 * BV21</f>
        <v>2.5000000000000001E-2</v>
      </c>
      <c r="BW22" s="22">
        <f t="shared" si="57"/>
        <v>0</v>
      </c>
      <c r="BX22" s="22">
        <f t="shared" si="57"/>
        <v>0</v>
      </c>
      <c r="BY22" s="22">
        <f t="shared" si="57"/>
        <v>0</v>
      </c>
      <c r="BZ22" s="22">
        <f t="shared" si="57"/>
        <v>2.5000000000000001E-2</v>
      </c>
      <c r="CA22" s="22">
        <f t="shared" si="57"/>
        <v>0</v>
      </c>
      <c r="CB22" s="22">
        <f t="shared" si="57"/>
        <v>0</v>
      </c>
      <c r="CC22" s="22">
        <f t="shared" si="57"/>
        <v>0</v>
      </c>
      <c r="CD22" s="22">
        <f t="shared" si="57"/>
        <v>2.5000000000000001E-2</v>
      </c>
      <c r="CE22" s="22">
        <f t="shared" si="57"/>
        <v>0</v>
      </c>
      <c r="CF22" s="22">
        <f t="shared" si="57"/>
        <v>0</v>
      </c>
      <c r="CG22" s="22">
        <f t="shared" si="57"/>
        <v>0</v>
      </c>
      <c r="CH22" s="22">
        <f t="shared" si="57"/>
        <v>2.5000000000000001E-2</v>
      </c>
      <c r="CI22" s="22">
        <f t="shared" si="57"/>
        <v>0</v>
      </c>
      <c r="CJ22" s="22">
        <f t="shared" si="57"/>
        <v>0</v>
      </c>
      <c r="CK22" s="22">
        <f t="shared" si="57"/>
        <v>0</v>
      </c>
      <c r="CL22" s="22">
        <f t="shared" si="57"/>
        <v>2.5000000000000001E-2</v>
      </c>
      <c r="CM22" s="22">
        <f t="shared" si="57"/>
        <v>0</v>
      </c>
      <c r="CN22" s="22">
        <f t="shared" si="57"/>
        <v>0</v>
      </c>
      <c r="CO22" s="22">
        <f t="shared" si="57"/>
        <v>0</v>
      </c>
      <c r="CP22" s="22">
        <f t="shared" si="57"/>
        <v>2.5000000000000001E-2</v>
      </c>
      <c r="CQ22" s="22">
        <f t="shared" si="57"/>
        <v>0</v>
      </c>
      <c r="CR22" s="22">
        <f t="shared" si="57"/>
        <v>0</v>
      </c>
      <c r="CS22" s="22">
        <f t="shared" si="57"/>
        <v>0</v>
      </c>
      <c r="CT22" s="22">
        <f t="shared" si="57"/>
        <v>2.5000000000000001E-2</v>
      </c>
      <c r="CU22" s="22">
        <f t="shared" si="57"/>
        <v>0</v>
      </c>
      <c r="CV22" s="22">
        <f t="shared" si="57"/>
        <v>0</v>
      </c>
      <c r="CW22" s="22">
        <f t="shared" si="57"/>
        <v>0</v>
      </c>
      <c r="CX22" s="22">
        <f t="shared" si="57"/>
        <v>2.5000000000000001E-2</v>
      </c>
      <c r="CY22" s="22">
        <f t="shared" si="57"/>
        <v>0</v>
      </c>
      <c r="CZ22" s="22">
        <f t="shared" si="57"/>
        <v>0</v>
      </c>
      <c r="DA22" s="22">
        <f t="shared" si="57"/>
        <v>0</v>
      </c>
      <c r="DB22" s="22">
        <f t="shared" si="57"/>
        <v>2.5000000000000001E-2</v>
      </c>
      <c r="DC22" s="22">
        <f t="shared" si="57"/>
        <v>0</v>
      </c>
      <c r="DD22" s="22">
        <f t="shared" si="57"/>
        <v>0</v>
      </c>
      <c r="DE22" s="22">
        <f t="shared" si="57"/>
        <v>0</v>
      </c>
      <c r="DF22" s="22">
        <f t="shared" si="57"/>
        <v>2.5000000000000001E-2</v>
      </c>
      <c r="DG22" s="22">
        <f t="shared" si="57"/>
        <v>0</v>
      </c>
      <c r="DH22" s="22">
        <f t="shared" si="57"/>
        <v>0</v>
      </c>
      <c r="DI22" s="22">
        <f t="shared" si="57"/>
        <v>0</v>
      </c>
      <c r="DJ22" s="22">
        <f t="shared" si="57"/>
        <v>2.5000000000000001E-2</v>
      </c>
      <c r="DK22" s="22">
        <f t="shared" si="57"/>
        <v>0</v>
      </c>
      <c r="DL22" s="22">
        <f t="shared" si="57"/>
        <v>0</v>
      </c>
      <c r="DM22" s="22">
        <f t="shared" si="57"/>
        <v>0</v>
      </c>
      <c r="DN22" s="22">
        <f t="shared" si="57"/>
        <v>2.5000000000000001E-2</v>
      </c>
      <c r="DO22" s="22">
        <f t="shared" si="57"/>
        <v>0</v>
      </c>
      <c r="DP22" s="22">
        <f t="shared" si="57"/>
        <v>0</v>
      </c>
      <c r="DQ22" s="22">
        <f t="shared" si="57"/>
        <v>0</v>
      </c>
      <c r="DR22" s="22">
        <f t="shared" si="57"/>
        <v>2.5000000000000001E-2</v>
      </c>
      <c r="DS22" s="22">
        <f t="shared" si="57"/>
        <v>0</v>
      </c>
      <c r="DT22" s="22">
        <f t="shared" si="57"/>
        <v>0</v>
      </c>
      <c r="DU22" s="22">
        <f t="shared" si="57"/>
        <v>0</v>
      </c>
      <c r="DV22" s="22">
        <f t="shared" si="57"/>
        <v>2.5000000000000001E-2</v>
      </c>
      <c r="DW22" s="22">
        <f t="shared" si="57"/>
        <v>0</v>
      </c>
      <c r="DX22" s="22">
        <f t="shared" si="57"/>
        <v>0</v>
      </c>
      <c r="DY22" s="22">
        <f t="shared" si="57"/>
        <v>0</v>
      </c>
      <c r="DZ22" s="22">
        <f t="shared" si="57"/>
        <v>2.5000000000000001E-2</v>
      </c>
      <c r="EA22" s="22">
        <f t="shared" si="57"/>
        <v>0</v>
      </c>
      <c r="EB22" s="22">
        <f t="shared" si="57"/>
        <v>0</v>
      </c>
      <c r="EC22" s="22">
        <f t="shared" si="57"/>
        <v>0</v>
      </c>
      <c r="ED22" s="22">
        <f t="shared" si="57"/>
        <v>2.5000000000000001E-2</v>
      </c>
      <c r="EE22" s="22">
        <f t="shared" si="57"/>
        <v>0</v>
      </c>
      <c r="EF22" s="22">
        <f t="shared" si="57"/>
        <v>0</v>
      </c>
      <c r="EG22" s="22">
        <f t="shared" si="57"/>
        <v>0</v>
      </c>
      <c r="EH22" s="22">
        <f t="shared" ref="EH22:FM22" si="58">EH20 * EH21</f>
        <v>2.5000000000000001E-2</v>
      </c>
      <c r="EI22" s="22">
        <f t="shared" si="58"/>
        <v>0</v>
      </c>
      <c r="EJ22" s="22">
        <f t="shared" si="58"/>
        <v>0</v>
      </c>
      <c r="EK22" s="22">
        <f t="shared" si="58"/>
        <v>0</v>
      </c>
      <c r="EL22" s="22">
        <f t="shared" si="58"/>
        <v>2.5000000000000001E-2</v>
      </c>
      <c r="EM22" s="22">
        <f t="shared" si="58"/>
        <v>0</v>
      </c>
      <c r="EN22" s="22">
        <f t="shared" si="58"/>
        <v>0</v>
      </c>
      <c r="EO22" s="22">
        <f t="shared" si="58"/>
        <v>0</v>
      </c>
      <c r="EP22" s="22">
        <f t="shared" si="58"/>
        <v>2.5000000000000001E-2</v>
      </c>
      <c r="EQ22" s="22">
        <f t="shared" si="58"/>
        <v>0</v>
      </c>
      <c r="ER22" s="22">
        <f t="shared" si="58"/>
        <v>0</v>
      </c>
      <c r="ES22" s="22">
        <f t="shared" si="58"/>
        <v>0</v>
      </c>
      <c r="ET22" s="22">
        <f t="shared" si="58"/>
        <v>2.5000000000000001E-2</v>
      </c>
      <c r="EU22" s="22">
        <f t="shared" si="58"/>
        <v>0</v>
      </c>
      <c r="EV22" s="22">
        <f t="shared" si="58"/>
        <v>0</v>
      </c>
      <c r="EW22" s="22">
        <f t="shared" si="58"/>
        <v>0</v>
      </c>
      <c r="EX22" s="22">
        <f t="shared" si="58"/>
        <v>2.5000000000000001E-2</v>
      </c>
      <c r="EY22" s="22">
        <f t="shared" si="58"/>
        <v>0</v>
      </c>
      <c r="EZ22" s="22">
        <f t="shared" si="58"/>
        <v>0</v>
      </c>
      <c r="FA22" s="22">
        <f t="shared" si="58"/>
        <v>0</v>
      </c>
      <c r="FB22" s="22">
        <f t="shared" si="58"/>
        <v>2.5000000000000001E-2</v>
      </c>
      <c r="FC22" s="22">
        <f t="shared" si="58"/>
        <v>0</v>
      </c>
      <c r="FD22" s="22">
        <f t="shared" si="58"/>
        <v>0</v>
      </c>
      <c r="FE22" s="22">
        <f t="shared" si="58"/>
        <v>0</v>
      </c>
      <c r="FF22" s="22">
        <f t="shared" si="58"/>
        <v>2.5000000000000001E-2</v>
      </c>
      <c r="FG22" s="22">
        <f t="shared" si="58"/>
        <v>0</v>
      </c>
      <c r="FH22" s="22">
        <f t="shared" si="58"/>
        <v>0</v>
      </c>
      <c r="FI22" s="22">
        <f t="shared" si="58"/>
        <v>0</v>
      </c>
      <c r="FJ22" s="22">
        <f t="shared" si="58"/>
        <v>2.5000000000000001E-2</v>
      </c>
      <c r="FK22" s="22">
        <f t="shared" si="58"/>
        <v>0</v>
      </c>
      <c r="FL22" s="22">
        <f t="shared" si="58"/>
        <v>0</v>
      </c>
      <c r="FM22" s="22">
        <f t="shared" si="58"/>
        <v>0</v>
      </c>
    </row>
    <row r="23" spans="2:169" x14ac:dyDescent="0.25">
      <c r="B23" t="s">
        <v>87</v>
      </c>
      <c r="C23" t="s">
        <v>88</v>
      </c>
      <c r="H23" s="17">
        <v>1</v>
      </c>
      <c r="I23" s="24">
        <f>H23 * (1 + I22)</f>
        <v>1</v>
      </c>
      <c r="J23" s="24">
        <f t="shared" ref="J23:BU23" si="59">I23 * (1 + J22)</f>
        <v>1.036</v>
      </c>
      <c r="K23" s="24">
        <f t="shared" si="59"/>
        <v>1.036</v>
      </c>
      <c r="L23" s="24">
        <f t="shared" si="59"/>
        <v>1.036</v>
      </c>
      <c r="M23" s="24">
        <f t="shared" si="59"/>
        <v>1.036</v>
      </c>
      <c r="N23" s="24">
        <f t="shared" si="59"/>
        <v>1.0691520000000001</v>
      </c>
      <c r="O23" s="24">
        <f t="shared" si="59"/>
        <v>1.0691520000000001</v>
      </c>
      <c r="P23" s="24">
        <f t="shared" si="59"/>
        <v>1.0691520000000001</v>
      </c>
      <c r="Q23" s="24">
        <f t="shared" si="59"/>
        <v>1.0691520000000001</v>
      </c>
      <c r="R23" s="24">
        <f t="shared" si="59"/>
        <v>1.1012265600000002</v>
      </c>
      <c r="S23" s="24">
        <f t="shared" si="59"/>
        <v>1.1012265600000002</v>
      </c>
      <c r="T23" s="24">
        <f t="shared" si="59"/>
        <v>1.1012265600000002</v>
      </c>
      <c r="U23" s="24">
        <f t="shared" si="59"/>
        <v>1.1012265600000002</v>
      </c>
      <c r="V23" s="24">
        <f t="shared" si="59"/>
        <v>1.1342633568000002</v>
      </c>
      <c r="W23" s="24">
        <f t="shared" si="59"/>
        <v>1.1342633568000002</v>
      </c>
      <c r="X23" s="24">
        <f t="shared" si="59"/>
        <v>1.1342633568000002</v>
      </c>
      <c r="Y23" s="24">
        <f t="shared" si="59"/>
        <v>1.1342633568000002</v>
      </c>
      <c r="Z23" s="24">
        <f t="shared" si="59"/>
        <v>1.1626199407200002</v>
      </c>
      <c r="AA23" s="24">
        <f t="shared" si="59"/>
        <v>1.1626199407200002</v>
      </c>
      <c r="AB23" s="24">
        <f t="shared" si="59"/>
        <v>1.1626199407200002</v>
      </c>
      <c r="AC23" s="24">
        <f t="shared" si="59"/>
        <v>1.1626199407200002</v>
      </c>
      <c r="AD23" s="24">
        <f t="shared" si="59"/>
        <v>1.1916854392380001</v>
      </c>
      <c r="AE23" s="24">
        <f t="shared" si="59"/>
        <v>1.1916854392380001</v>
      </c>
      <c r="AF23" s="24">
        <f t="shared" si="59"/>
        <v>1.1916854392380001</v>
      </c>
      <c r="AG23" s="24">
        <f t="shared" si="59"/>
        <v>1.1916854392380001</v>
      </c>
      <c r="AH23" s="24">
        <f t="shared" si="59"/>
        <v>1.22147757521895</v>
      </c>
      <c r="AI23" s="24">
        <f t="shared" si="59"/>
        <v>1.22147757521895</v>
      </c>
      <c r="AJ23" s="24">
        <f t="shared" si="59"/>
        <v>1.22147757521895</v>
      </c>
      <c r="AK23" s="24">
        <f t="shared" si="59"/>
        <v>1.22147757521895</v>
      </c>
      <c r="AL23" s="24">
        <f t="shared" si="59"/>
        <v>1.2520145145994237</v>
      </c>
      <c r="AM23" s="24">
        <f t="shared" si="59"/>
        <v>1.2520145145994237</v>
      </c>
      <c r="AN23" s="24">
        <f t="shared" si="59"/>
        <v>1.2520145145994237</v>
      </c>
      <c r="AO23" s="24">
        <f t="shared" si="59"/>
        <v>1.2520145145994237</v>
      </c>
      <c r="AP23" s="24">
        <f t="shared" si="59"/>
        <v>1.2833148774644092</v>
      </c>
      <c r="AQ23" s="24">
        <f t="shared" si="59"/>
        <v>1.2833148774644092</v>
      </c>
      <c r="AR23" s="24">
        <f t="shared" si="59"/>
        <v>1.2833148774644092</v>
      </c>
      <c r="AS23" s="24">
        <f t="shared" si="59"/>
        <v>1.2833148774644092</v>
      </c>
      <c r="AT23" s="24">
        <f t="shared" si="59"/>
        <v>1.3153977494010194</v>
      </c>
      <c r="AU23" s="24">
        <f t="shared" si="59"/>
        <v>1.3153977494010194</v>
      </c>
      <c r="AV23" s="24">
        <f t="shared" si="59"/>
        <v>1.3153977494010194</v>
      </c>
      <c r="AW23" s="24">
        <f t="shared" si="59"/>
        <v>1.3153977494010194</v>
      </c>
      <c r="AX23" s="24">
        <f t="shared" si="59"/>
        <v>1.3482826931360448</v>
      </c>
      <c r="AY23" s="24">
        <f t="shared" si="59"/>
        <v>1.3482826931360448</v>
      </c>
      <c r="AZ23" s="24">
        <f t="shared" si="59"/>
        <v>1.3482826931360448</v>
      </c>
      <c r="BA23" s="24">
        <f t="shared" si="59"/>
        <v>1.3482826931360448</v>
      </c>
      <c r="BB23" s="24">
        <f t="shared" si="59"/>
        <v>1.3819897604644458</v>
      </c>
      <c r="BC23" s="24">
        <f t="shared" si="59"/>
        <v>1.3819897604644458</v>
      </c>
      <c r="BD23" s="24">
        <f t="shared" si="59"/>
        <v>1.3819897604644458</v>
      </c>
      <c r="BE23" s="24">
        <f t="shared" si="59"/>
        <v>1.3819897604644458</v>
      </c>
      <c r="BF23" s="24">
        <f t="shared" si="59"/>
        <v>1.4165395044760567</v>
      </c>
      <c r="BG23" s="24">
        <f t="shared" si="59"/>
        <v>1.4165395044760567</v>
      </c>
      <c r="BH23" s="24">
        <f t="shared" si="59"/>
        <v>1.4165395044760567</v>
      </c>
      <c r="BI23" s="24">
        <f t="shared" si="59"/>
        <v>1.4165395044760567</v>
      </c>
      <c r="BJ23" s="24">
        <f t="shared" si="59"/>
        <v>1.4519529920879579</v>
      </c>
      <c r="BK23" s="24">
        <f t="shared" si="59"/>
        <v>1.4519529920879579</v>
      </c>
      <c r="BL23" s="24">
        <f t="shared" si="59"/>
        <v>1.4519529920879579</v>
      </c>
      <c r="BM23" s="24">
        <f t="shared" si="59"/>
        <v>1.4519529920879579</v>
      </c>
      <c r="BN23" s="24">
        <f t="shared" si="59"/>
        <v>1.4882518168901568</v>
      </c>
      <c r="BO23" s="24">
        <f t="shared" si="59"/>
        <v>1.4882518168901568</v>
      </c>
      <c r="BP23" s="24">
        <f t="shared" si="59"/>
        <v>1.4882518168901568</v>
      </c>
      <c r="BQ23" s="24">
        <f t="shared" si="59"/>
        <v>1.4882518168901568</v>
      </c>
      <c r="BR23" s="24">
        <f t="shared" si="59"/>
        <v>1.5254581123124107</v>
      </c>
      <c r="BS23" s="24">
        <f t="shared" si="59"/>
        <v>1.5254581123124107</v>
      </c>
      <c r="BT23" s="24">
        <f t="shared" si="59"/>
        <v>1.5254581123124107</v>
      </c>
      <c r="BU23" s="24">
        <f t="shared" si="59"/>
        <v>1.5254581123124107</v>
      </c>
      <c r="BV23" s="24">
        <f t="shared" ref="BV23:EG23" si="60">BU23 * (1 + BV22)</f>
        <v>1.5635945651202208</v>
      </c>
      <c r="BW23" s="24">
        <f t="shared" si="60"/>
        <v>1.5635945651202208</v>
      </c>
      <c r="BX23" s="24">
        <f t="shared" si="60"/>
        <v>1.5635945651202208</v>
      </c>
      <c r="BY23" s="24">
        <f t="shared" si="60"/>
        <v>1.5635945651202208</v>
      </c>
      <c r="BZ23" s="24">
        <f t="shared" si="60"/>
        <v>1.6026844292482261</v>
      </c>
      <c r="CA23" s="24">
        <f t="shared" si="60"/>
        <v>1.6026844292482261</v>
      </c>
      <c r="CB23" s="24">
        <f t="shared" si="60"/>
        <v>1.6026844292482261</v>
      </c>
      <c r="CC23" s="24">
        <f t="shared" si="60"/>
        <v>1.6026844292482261</v>
      </c>
      <c r="CD23" s="24">
        <f t="shared" si="60"/>
        <v>1.6427515399794317</v>
      </c>
      <c r="CE23" s="24">
        <f t="shared" si="60"/>
        <v>1.6427515399794317</v>
      </c>
      <c r="CF23" s="24">
        <f t="shared" si="60"/>
        <v>1.6427515399794317</v>
      </c>
      <c r="CG23" s="24">
        <f t="shared" si="60"/>
        <v>1.6427515399794317</v>
      </c>
      <c r="CH23" s="24">
        <f t="shared" si="60"/>
        <v>1.6838203284789173</v>
      </c>
      <c r="CI23" s="24">
        <f t="shared" si="60"/>
        <v>1.6838203284789173</v>
      </c>
      <c r="CJ23" s="24">
        <f t="shared" si="60"/>
        <v>1.6838203284789173</v>
      </c>
      <c r="CK23" s="24">
        <f t="shared" si="60"/>
        <v>1.6838203284789173</v>
      </c>
      <c r="CL23" s="24">
        <f t="shared" si="60"/>
        <v>1.72591583669089</v>
      </c>
      <c r="CM23" s="24">
        <f t="shared" si="60"/>
        <v>1.72591583669089</v>
      </c>
      <c r="CN23" s="24">
        <f t="shared" si="60"/>
        <v>1.72591583669089</v>
      </c>
      <c r="CO23" s="24">
        <f t="shared" si="60"/>
        <v>1.72591583669089</v>
      </c>
      <c r="CP23" s="24">
        <f t="shared" si="60"/>
        <v>1.7690637326081622</v>
      </c>
      <c r="CQ23" s="24">
        <f t="shared" si="60"/>
        <v>1.7690637326081622</v>
      </c>
      <c r="CR23" s="24">
        <f t="shared" si="60"/>
        <v>1.7690637326081622</v>
      </c>
      <c r="CS23" s="24">
        <f t="shared" si="60"/>
        <v>1.7690637326081622</v>
      </c>
      <c r="CT23" s="24">
        <f t="shared" si="60"/>
        <v>1.8132903259233661</v>
      </c>
      <c r="CU23" s="24">
        <f t="shared" si="60"/>
        <v>1.8132903259233661</v>
      </c>
      <c r="CV23" s="24">
        <f t="shared" si="60"/>
        <v>1.8132903259233661</v>
      </c>
      <c r="CW23" s="24">
        <f t="shared" si="60"/>
        <v>1.8132903259233661</v>
      </c>
      <c r="CX23" s="24">
        <f t="shared" si="60"/>
        <v>1.8586225840714501</v>
      </c>
      <c r="CY23" s="24">
        <f t="shared" si="60"/>
        <v>1.8586225840714501</v>
      </c>
      <c r="CZ23" s="24">
        <f t="shared" si="60"/>
        <v>1.8586225840714501</v>
      </c>
      <c r="DA23" s="24">
        <f t="shared" si="60"/>
        <v>1.8586225840714501</v>
      </c>
      <c r="DB23" s="24">
        <f t="shared" si="60"/>
        <v>1.9050881486732363</v>
      </c>
      <c r="DC23" s="24">
        <f t="shared" si="60"/>
        <v>1.9050881486732363</v>
      </c>
      <c r="DD23" s="24">
        <f t="shared" si="60"/>
        <v>1.9050881486732363</v>
      </c>
      <c r="DE23" s="24">
        <f t="shared" si="60"/>
        <v>1.9050881486732363</v>
      </c>
      <c r="DF23" s="24">
        <f t="shared" si="60"/>
        <v>1.9527153523900671</v>
      </c>
      <c r="DG23" s="24">
        <f t="shared" si="60"/>
        <v>1.9527153523900671</v>
      </c>
      <c r="DH23" s="24">
        <f t="shared" si="60"/>
        <v>1.9527153523900671</v>
      </c>
      <c r="DI23" s="24">
        <f t="shared" si="60"/>
        <v>1.9527153523900671</v>
      </c>
      <c r="DJ23" s="24">
        <f t="shared" si="60"/>
        <v>2.0015332361998186</v>
      </c>
      <c r="DK23" s="24">
        <f t="shared" si="60"/>
        <v>2.0015332361998186</v>
      </c>
      <c r="DL23" s="24">
        <f t="shared" si="60"/>
        <v>2.0015332361998186</v>
      </c>
      <c r="DM23" s="24">
        <f t="shared" si="60"/>
        <v>2.0015332361998186</v>
      </c>
      <c r="DN23" s="24">
        <f t="shared" si="60"/>
        <v>2.0515715671048138</v>
      </c>
      <c r="DO23" s="24">
        <f t="shared" si="60"/>
        <v>2.0515715671048138</v>
      </c>
      <c r="DP23" s="24">
        <f t="shared" si="60"/>
        <v>2.0515715671048138</v>
      </c>
      <c r="DQ23" s="24">
        <f t="shared" si="60"/>
        <v>2.0515715671048138</v>
      </c>
      <c r="DR23" s="24">
        <f t="shared" si="60"/>
        <v>2.102860856282434</v>
      </c>
      <c r="DS23" s="24">
        <f t="shared" si="60"/>
        <v>2.102860856282434</v>
      </c>
      <c r="DT23" s="24">
        <f t="shared" si="60"/>
        <v>2.102860856282434</v>
      </c>
      <c r="DU23" s="24">
        <f t="shared" si="60"/>
        <v>2.102860856282434</v>
      </c>
      <c r="DV23" s="24">
        <f t="shared" si="60"/>
        <v>2.1554323776894946</v>
      </c>
      <c r="DW23" s="24">
        <f t="shared" si="60"/>
        <v>2.1554323776894946</v>
      </c>
      <c r="DX23" s="24">
        <f t="shared" si="60"/>
        <v>2.1554323776894946</v>
      </c>
      <c r="DY23" s="24">
        <f t="shared" si="60"/>
        <v>2.1554323776894946</v>
      </c>
      <c r="DZ23" s="24">
        <f t="shared" si="60"/>
        <v>2.2093181871317316</v>
      </c>
      <c r="EA23" s="24">
        <f t="shared" si="60"/>
        <v>2.2093181871317316</v>
      </c>
      <c r="EB23" s="24">
        <f t="shared" si="60"/>
        <v>2.2093181871317316</v>
      </c>
      <c r="EC23" s="24">
        <f t="shared" si="60"/>
        <v>2.2093181871317316</v>
      </c>
      <c r="ED23" s="24">
        <f t="shared" si="60"/>
        <v>2.2645511418100246</v>
      </c>
      <c r="EE23" s="24">
        <f t="shared" si="60"/>
        <v>2.2645511418100246</v>
      </c>
      <c r="EF23" s="24">
        <f t="shared" si="60"/>
        <v>2.2645511418100246</v>
      </c>
      <c r="EG23" s="24">
        <f t="shared" si="60"/>
        <v>2.2645511418100246</v>
      </c>
      <c r="EH23" s="24">
        <f t="shared" ref="EH23:FM23" si="61">EG23 * (1 + EH22)</f>
        <v>2.3211649203552751</v>
      </c>
      <c r="EI23" s="24">
        <f t="shared" si="61"/>
        <v>2.3211649203552751</v>
      </c>
      <c r="EJ23" s="24">
        <f t="shared" si="61"/>
        <v>2.3211649203552751</v>
      </c>
      <c r="EK23" s="24">
        <f t="shared" si="61"/>
        <v>2.3211649203552751</v>
      </c>
      <c r="EL23" s="24">
        <f t="shared" si="61"/>
        <v>2.3791940433641567</v>
      </c>
      <c r="EM23" s="24">
        <f t="shared" si="61"/>
        <v>2.3791940433641567</v>
      </c>
      <c r="EN23" s="24">
        <f t="shared" si="61"/>
        <v>2.3791940433641567</v>
      </c>
      <c r="EO23" s="24">
        <f t="shared" si="61"/>
        <v>2.3791940433641567</v>
      </c>
      <c r="EP23" s="24">
        <f t="shared" si="61"/>
        <v>2.4386738944482604</v>
      </c>
      <c r="EQ23" s="24">
        <f t="shared" si="61"/>
        <v>2.4386738944482604</v>
      </c>
      <c r="ER23" s="24">
        <f t="shared" si="61"/>
        <v>2.4386738944482604</v>
      </c>
      <c r="ES23" s="24">
        <f t="shared" si="61"/>
        <v>2.4386738944482604</v>
      </c>
      <c r="ET23" s="24">
        <f t="shared" si="61"/>
        <v>2.4996407418094666</v>
      </c>
      <c r="EU23" s="24">
        <f t="shared" si="61"/>
        <v>2.4996407418094666</v>
      </c>
      <c r="EV23" s="24">
        <f t="shared" si="61"/>
        <v>2.4996407418094666</v>
      </c>
      <c r="EW23" s="24">
        <f t="shared" si="61"/>
        <v>2.4996407418094666</v>
      </c>
      <c r="EX23" s="24">
        <f t="shared" si="61"/>
        <v>2.5621317603547031</v>
      </c>
      <c r="EY23" s="24">
        <f t="shared" si="61"/>
        <v>2.5621317603547031</v>
      </c>
      <c r="EZ23" s="24">
        <f t="shared" si="61"/>
        <v>2.5621317603547031</v>
      </c>
      <c r="FA23" s="24">
        <f t="shared" si="61"/>
        <v>2.5621317603547031</v>
      </c>
      <c r="FB23" s="24">
        <f t="shared" si="61"/>
        <v>2.6261850543635705</v>
      </c>
      <c r="FC23" s="24">
        <f t="shared" si="61"/>
        <v>2.6261850543635705</v>
      </c>
      <c r="FD23" s="24">
        <f t="shared" si="61"/>
        <v>2.6261850543635705</v>
      </c>
      <c r="FE23" s="24">
        <f t="shared" si="61"/>
        <v>2.6261850543635705</v>
      </c>
      <c r="FF23" s="24">
        <f t="shared" si="61"/>
        <v>2.6918396807226594</v>
      </c>
      <c r="FG23" s="24">
        <f t="shared" si="61"/>
        <v>2.6918396807226594</v>
      </c>
      <c r="FH23" s="24">
        <f t="shared" si="61"/>
        <v>2.6918396807226594</v>
      </c>
      <c r="FI23" s="24">
        <f t="shared" si="61"/>
        <v>2.6918396807226594</v>
      </c>
      <c r="FJ23" s="24">
        <f t="shared" si="61"/>
        <v>2.7591356727407259</v>
      </c>
      <c r="FK23" s="24">
        <f t="shared" si="61"/>
        <v>2.7591356727407259</v>
      </c>
      <c r="FL23" s="24">
        <f t="shared" si="61"/>
        <v>2.7591356727407259</v>
      </c>
      <c r="FM23" s="24">
        <f t="shared" si="61"/>
        <v>2.7591356727407259</v>
      </c>
    </row>
    <row r="24" spans="2:169" x14ac:dyDescent="0.25"/>
    <row r="25" spans="2:169" x14ac:dyDescent="0.25">
      <c r="B25" s="40" t="s">
        <v>89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</row>
    <row r="26" spans="2:169" x14ac:dyDescent="0.25"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</row>
    <row r="27" spans="2:169" x14ac:dyDescent="0.25">
      <c r="B27" t="s">
        <v>90</v>
      </c>
      <c r="C27" t="s">
        <v>80</v>
      </c>
      <c r="H27" s="31">
        <f t="shared" ref="H27:H29" si="62">SUM(I27:FM27)</f>
        <v>1</v>
      </c>
      <c r="I27" s="25">
        <f>N(AND(I$3&lt;=$D12,I$4&gt;=$D12))</f>
        <v>0</v>
      </c>
      <c r="J27" s="25">
        <f t="shared" ref="J27:BU27" si="63">N(AND(J3&lt;=$D12,J4&gt;=$D12))</f>
        <v>0</v>
      </c>
      <c r="K27" s="25">
        <f t="shared" si="63"/>
        <v>1</v>
      </c>
      <c r="L27" s="25">
        <f t="shared" si="63"/>
        <v>0</v>
      </c>
      <c r="M27" s="25">
        <f t="shared" si="63"/>
        <v>0</v>
      </c>
      <c r="N27" s="25">
        <f t="shared" si="63"/>
        <v>0</v>
      </c>
      <c r="O27" s="25">
        <f t="shared" si="63"/>
        <v>0</v>
      </c>
      <c r="P27" s="25">
        <f t="shared" si="63"/>
        <v>0</v>
      </c>
      <c r="Q27" s="25">
        <f t="shared" si="63"/>
        <v>0</v>
      </c>
      <c r="R27" s="25">
        <f t="shared" si="63"/>
        <v>0</v>
      </c>
      <c r="S27" s="25">
        <f t="shared" si="63"/>
        <v>0</v>
      </c>
      <c r="T27" s="25">
        <f t="shared" si="63"/>
        <v>0</v>
      </c>
      <c r="U27" s="25">
        <f t="shared" si="63"/>
        <v>0</v>
      </c>
      <c r="V27" s="25">
        <f t="shared" si="63"/>
        <v>0</v>
      </c>
      <c r="W27" s="25">
        <f t="shared" si="63"/>
        <v>0</v>
      </c>
      <c r="X27" s="25">
        <f t="shared" si="63"/>
        <v>0</v>
      </c>
      <c r="Y27" s="25">
        <f t="shared" si="63"/>
        <v>0</v>
      </c>
      <c r="Z27" s="25">
        <f t="shared" si="63"/>
        <v>0</v>
      </c>
      <c r="AA27" s="25">
        <f t="shared" si="63"/>
        <v>0</v>
      </c>
      <c r="AB27" s="25">
        <f t="shared" si="63"/>
        <v>0</v>
      </c>
      <c r="AC27" s="25">
        <f t="shared" si="63"/>
        <v>0</v>
      </c>
      <c r="AD27" s="25">
        <f t="shared" si="63"/>
        <v>0</v>
      </c>
      <c r="AE27" s="25">
        <f t="shared" si="63"/>
        <v>0</v>
      </c>
      <c r="AF27" s="25">
        <f t="shared" si="63"/>
        <v>0</v>
      </c>
      <c r="AG27" s="25">
        <f t="shared" si="63"/>
        <v>0</v>
      </c>
      <c r="AH27" s="25">
        <f t="shared" si="63"/>
        <v>0</v>
      </c>
      <c r="AI27" s="25">
        <f t="shared" si="63"/>
        <v>0</v>
      </c>
      <c r="AJ27" s="25">
        <f t="shared" si="63"/>
        <v>0</v>
      </c>
      <c r="AK27" s="25">
        <f t="shared" si="63"/>
        <v>0</v>
      </c>
      <c r="AL27" s="25">
        <f t="shared" si="63"/>
        <v>0</v>
      </c>
      <c r="AM27" s="25">
        <f t="shared" si="63"/>
        <v>0</v>
      </c>
      <c r="AN27" s="25">
        <f t="shared" si="63"/>
        <v>0</v>
      </c>
      <c r="AO27" s="25">
        <f t="shared" si="63"/>
        <v>0</v>
      </c>
      <c r="AP27" s="25">
        <f t="shared" si="63"/>
        <v>0</v>
      </c>
      <c r="AQ27" s="25">
        <f t="shared" si="63"/>
        <v>0</v>
      </c>
      <c r="AR27" s="25">
        <f t="shared" si="63"/>
        <v>0</v>
      </c>
      <c r="AS27" s="25">
        <f t="shared" si="63"/>
        <v>0</v>
      </c>
      <c r="AT27" s="25">
        <f t="shared" si="63"/>
        <v>0</v>
      </c>
      <c r="AU27" s="25">
        <f t="shared" si="63"/>
        <v>0</v>
      </c>
      <c r="AV27" s="25">
        <f t="shared" si="63"/>
        <v>0</v>
      </c>
      <c r="AW27" s="25">
        <f t="shared" si="63"/>
        <v>0</v>
      </c>
      <c r="AX27" s="25">
        <f t="shared" si="63"/>
        <v>0</v>
      </c>
      <c r="AY27" s="25">
        <f t="shared" si="63"/>
        <v>0</v>
      </c>
      <c r="AZ27" s="25">
        <f t="shared" si="63"/>
        <v>0</v>
      </c>
      <c r="BA27" s="25">
        <f t="shared" si="63"/>
        <v>0</v>
      </c>
      <c r="BB27" s="25">
        <f t="shared" si="63"/>
        <v>0</v>
      </c>
      <c r="BC27" s="25">
        <f t="shared" si="63"/>
        <v>0</v>
      </c>
      <c r="BD27" s="25">
        <f t="shared" si="63"/>
        <v>0</v>
      </c>
      <c r="BE27" s="25">
        <f t="shared" si="63"/>
        <v>0</v>
      </c>
      <c r="BF27" s="25">
        <f t="shared" si="63"/>
        <v>0</v>
      </c>
      <c r="BG27" s="25">
        <f t="shared" si="63"/>
        <v>0</v>
      </c>
      <c r="BH27" s="25">
        <f t="shared" si="63"/>
        <v>0</v>
      </c>
      <c r="BI27" s="25">
        <f t="shared" si="63"/>
        <v>0</v>
      </c>
      <c r="BJ27" s="25">
        <f t="shared" si="63"/>
        <v>0</v>
      </c>
      <c r="BK27" s="25">
        <f t="shared" si="63"/>
        <v>0</v>
      </c>
      <c r="BL27" s="25">
        <f t="shared" si="63"/>
        <v>0</v>
      </c>
      <c r="BM27" s="25">
        <f t="shared" si="63"/>
        <v>0</v>
      </c>
      <c r="BN27" s="25">
        <f t="shared" si="63"/>
        <v>0</v>
      </c>
      <c r="BO27" s="25">
        <f t="shared" si="63"/>
        <v>0</v>
      </c>
      <c r="BP27" s="25">
        <f t="shared" si="63"/>
        <v>0</v>
      </c>
      <c r="BQ27" s="25">
        <f t="shared" si="63"/>
        <v>0</v>
      </c>
      <c r="BR27" s="25">
        <f t="shared" si="63"/>
        <v>0</v>
      </c>
      <c r="BS27" s="25">
        <f t="shared" si="63"/>
        <v>0</v>
      </c>
      <c r="BT27" s="25">
        <f t="shared" si="63"/>
        <v>0</v>
      </c>
      <c r="BU27" s="25">
        <f t="shared" si="63"/>
        <v>0</v>
      </c>
      <c r="BV27" s="25">
        <f t="shared" ref="BV27:EG27" si="64">N(AND(BV3&lt;=$D12,BV4&gt;=$D12))</f>
        <v>0</v>
      </c>
      <c r="BW27" s="25">
        <f t="shared" si="64"/>
        <v>0</v>
      </c>
      <c r="BX27" s="25">
        <f t="shared" si="64"/>
        <v>0</v>
      </c>
      <c r="BY27" s="25">
        <f t="shared" si="64"/>
        <v>0</v>
      </c>
      <c r="BZ27" s="25">
        <f t="shared" si="64"/>
        <v>0</v>
      </c>
      <c r="CA27" s="25">
        <f t="shared" si="64"/>
        <v>0</v>
      </c>
      <c r="CB27" s="25">
        <f t="shared" si="64"/>
        <v>0</v>
      </c>
      <c r="CC27" s="25">
        <f t="shared" si="64"/>
        <v>0</v>
      </c>
      <c r="CD27" s="25">
        <f t="shared" si="64"/>
        <v>0</v>
      </c>
      <c r="CE27" s="25">
        <f t="shared" si="64"/>
        <v>0</v>
      </c>
      <c r="CF27" s="25">
        <f t="shared" si="64"/>
        <v>0</v>
      </c>
      <c r="CG27" s="25">
        <f t="shared" si="64"/>
        <v>0</v>
      </c>
      <c r="CH27" s="25">
        <f t="shared" si="64"/>
        <v>0</v>
      </c>
      <c r="CI27" s="25">
        <f t="shared" si="64"/>
        <v>0</v>
      </c>
      <c r="CJ27" s="25">
        <f t="shared" si="64"/>
        <v>0</v>
      </c>
      <c r="CK27" s="25">
        <f t="shared" si="64"/>
        <v>0</v>
      </c>
      <c r="CL27" s="25">
        <f t="shared" si="64"/>
        <v>0</v>
      </c>
      <c r="CM27" s="25">
        <f t="shared" si="64"/>
        <v>0</v>
      </c>
      <c r="CN27" s="25">
        <f t="shared" si="64"/>
        <v>0</v>
      </c>
      <c r="CO27" s="25">
        <f t="shared" si="64"/>
        <v>0</v>
      </c>
      <c r="CP27" s="25">
        <f t="shared" si="64"/>
        <v>0</v>
      </c>
      <c r="CQ27" s="25">
        <f t="shared" si="64"/>
        <v>0</v>
      </c>
      <c r="CR27" s="25">
        <f t="shared" si="64"/>
        <v>0</v>
      </c>
      <c r="CS27" s="25">
        <f t="shared" si="64"/>
        <v>0</v>
      </c>
      <c r="CT27" s="25">
        <f t="shared" si="64"/>
        <v>0</v>
      </c>
      <c r="CU27" s="25">
        <f t="shared" si="64"/>
        <v>0</v>
      </c>
      <c r="CV27" s="25">
        <f t="shared" si="64"/>
        <v>0</v>
      </c>
      <c r="CW27" s="25">
        <f t="shared" si="64"/>
        <v>0</v>
      </c>
      <c r="CX27" s="25">
        <f t="shared" si="64"/>
        <v>0</v>
      </c>
      <c r="CY27" s="25">
        <f t="shared" si="64"/>
        <v>0</v>
      </c>
      <c r="CZ27" s="25">
        <f t="shared" si="64"/>
        <v>0</v>
      </c>
      <c r="DA27" s="25">
        <f t="shared" si="64"/>
        <v>0</v>
      </c>
      <c r="DB27" s="25">
        <f t="shared" si="64"/>
        <v>0</v>
      </c>
      <c r="DC27" s="25">
        <f t="shared" si="64"/>
        <v>0</v>
      </c>
      <c r="DD27" s="25">
        <f t="shared" si="64"/>
        <v>0</v>
      </c>
      <c r="DE27" s="25">
        <f t="shared" si="64"/>
        <v>0</v>
      </c>
      <c r="DF27" s="25">
        <f t="shared" si="64"/>
        <v>0</v>
      </c>
      <c r="DG27" s="25">
        <f t="shared" si="64"/>
        <v>0</v>
      </c>
      <c r="DH27" s="25">
        <f t="shared" si="64"/>
        <v>0</v>
      </c>
      <c r="DI27" s="25">
        <f t="shared" si="64"/>
        <v>0</v>
      </c>
      <c r="DJ27" s="25">
        <f t="shared" si="64"/>
        <v>0</v>
      </c>
      <c r="DK27" s="25">
        <f t="shared" si="64"/>
        <v>0</v>
      </c>
      <c r="DL27" s="25">
        <f t="shared" si="64"/>
        <v>0</v>
      </c>
      <c r="DM27" s="25">
        <f t="shared" si="64"/>
        <v>0</v>
      </c>
      <c r="DN27" s="25">
        <f t="shared" si="64"/>
        <v>0</v>
      </c>
      <c r="DO27" s="25">
        <f t="shared" si="64"/>
        <v>0</v>
      </c>
      <c r="DP27" s="25">
        <f t="shared" si="64"/>
        <v>0</v>
      </c>
      <c r="DQ27" s="25">
        <f t="shared" si="64"/>
        <v>0</v>
      </c>
      <c r="DR27" s="25">
        <f t="shared" si="64"/>
        <v>0</v>
      </c>
      <c r="DS27" s="25">
        <f t="shared" si="64"/>
        <v>0</v>
      </c>
      <c r="DT27" s="25">
        <f t="shared" si="64"/>
        <v>0</v>
      </c>
      <c r="DU27" s="25">
        <f t="shared" si="64"/>
        <v>0</v>
      </c>
      <c r="DV27" s="25">
        <f t="shared" si="64"/>
        <v>0</v>
      </c>
      <c r="DW27" s="25">
        <f t="shared" si="64"/>
        <v>0</v>
      </c>
      <c r="DX27" s="25">
        <f t="shared" si="64"/>
        <v>0</v>
      </c>
      <c r="DY27" s="25">
        <f t="shared" si="64"/>
        <v>0</v>
      </c>
      <c r="DZ27" s="25">
        <f t="shared" si="64"/>
        <v>0</v>
      </c>
      <c r="EA27" s="25">
        <f t="shared" si="64"/>
        <v>0</v>
      </c>
      <c r="EB27" s="25">
        <f t="shared" si="64"/>
        <v>0</v>
      </c>
      <c r="EC27" s="25">
        <f t="shared" si="64"/>
        <v>0</v>
      </c>
      <c r="ED27" s="25">
        <f t="shared" si="64"/>
        <v>0</v>
      </c>
      <c r="EE27" s="25">
        <f t="shared" si="64"/>
        <v>0</v>
      </c>
      <c r="EF27" s="25">
        <f t="shared" si="64"/>
        <v>0</v>
      </c>
      <c r="EG27" s="25">
        <f t="shared" si="64"/>
        <v>0</v>
      </c>
      <c r="EH27" s="25">
        <f t="shared" ref="EH27:FM27" si="65">N(AND(EH3&lt;=$D12,EH4&gt;=$D12))</f>
        <v>0</v>
      </c>
      <c r="EI27" s="25">
        <f t="shared" si="65"/>
        <v>0</v>
      </c>
      <c r="EJ27" s="25">
        <f t="shared" si="65"/>
        <v>0</v>
      </c>
      <c r="EK27" s="25">
        <f t="shared" si="65"/>
        <v>0</v>
      </c>
      <c r="EL27" s="25">
        <f t="shared" si="65"/>
        <v>0</v>
      </c>
      <c r="EM27" s="25">
        <f t="shared" si="65"/>
        <v>0</v>
      </c>
      <c r="EN27" s="25">
        <f t="shared" si="65"/>
        <v>0</v>
      </c>
      <c r="EO27" s="25">
        <f t="shared" si="65"/>
        <v>0</v>
      </c>
      <c r="EP27" s="25">
        <f t="shared" si="65"/>
        <v>0</v>
      </c>
      <c r="EQ27" s="25">
        <f t="shared" si="65"/>
        <v>0</v>
      </c>
      <c r="ER27" s="25">
        <f t="shared" si="65"/>
        <v>0</v>
      </c>
      <c r="ES27" s="25">
        <f t="shared" si="65"/>
        <v>0</v>
      </c>
      <c r="ET27" s="25">
        <f t="shared" si="65"/>
        <v>0</v>
      </c>
      <c r="EU27" s="25">
        <f t="shared" si="65"/>
        <v>0</v>
      </c>
      <c r="EV27" s="25">
        <f t="shared" si="65"/>
        <v>0</v>
      </c>
      <c r="EW27" s="25">
        <f t="shared" si="65"/>
        <v>0</v>
      </c>
      <c r="EX27" s="25">
        <f t="shared" si="65"/>
        <v>0</v>
      </c>
      <c r="EY27" s="25">
        <f t="shared" si="65"/>
        <v>0</v>
      </c>
      <c r="EZ27" s="25">
        <f t="shared" si="65"/>
        <v>0</v>
      </c>
      <c r="FA27" s="25">
        <f t="shared" si="65"/>
        <v>0</v>
      </c>
      <c r="FB27" s="25">
        <f t="shared" si="65"/>
        <v>0</v>
      </c>
      <c r="FC27" s="25">
        <f t="shared" si="65"/>
        <v>0</v>
      </c>
      <c r="FD27" s="25">
        <f t="shared" si="65"/>
        <v>0</v>
      </c>
      <c r="FE27" s="25">
        <f t="shared" si="65"/>
        <v>0</v>
      </c>
      <c r="FF27" s="25">
        <f t="shared" si="65"/>
        <v>0</v>
      </c>
      <c r="FG27" s="25">
        <f t="shared" si="65"/>
        <v>0</v>
      </c>
      <c r="FH27" s="25">
        <f t="shared" si="65"/>
        <v>0</v>
      </c>
      <c r="FI27" s="25">
        <f t="shared" si="65"/>
        <v>0</v>
      </c>
      <c r="FJ27" s="25">
        <f t="shared" si="65"/>
        <v>0</v>
      </c>
      <c r="FK27" s="25">
        <f t="shared" si="65"/>
        <v>0</v>
      </c>
      <c r="FL27" s="25">
        <f t="shared" si="65"/>
        <v>0</v>
      </c>
      <c r="FM27" s="25">
        <f t="shared" si="65"/>
        <v>0</v>
      </c>
    </row>
    <row r="28" spans="2:169" x14ac:dyDescent="0.25">
      <c r="B28" t="s">
        <v>91</v>
      </c>
      <c r="C28" t="s">
        <v>80</v>
      </c>
      <c r="D28" s="16">
        <f>Stat_Inp!F25</f>
        <v>46173</v>
      </c>
      <c r="H28" s="31">
        <f t="shared" si="62"/>
        <v>1</v>
      </c>
      <c r="I28" s="25">
        <f>N(AND(I$3&lt;=$D28,I$4&gt;=$D28))</f>
        <v>0</v>
      </c>
      <c r="J28" s="25">
        <f t="shared" ref="J28:BU28" si="66">N(AND(J$3&lt;=$D28,J$4&gt;=$D28))</f>
        <v>0</v>
      </c>
      <c r="K28" s="25">
        <f t="shared" si="66"/>
        <v>1</v>
      </c>
      <c r="L28" s="25">
        <f t="shared" si="66"/>
        <v>0</v>
      </c>
      <c r="M28" s="25">
        <f t="shared" si="66"/>
        <v>0</v>
      </c>
      <c r="N28" s="25">
        <f t="shared" si="66"/>
        <v>0</v>
      </c>
      <c r="O28" s="25">
        <f t="shared" si="66"/>
        <v>0</v>
      </c>
      <c r="P28" s="25">
        <f t="shared" si="66"/>
        <v>0</v>
      </c>
      <c r="Q28" s="25">
        <f t="shared" si="66"/>
        <v>0</v>
      </c>
      <c r="R28" s="25">
        <f t="shared" si="66"/>
        <v>0</v>
      </c>
      <c r="S28" s="25">
        <f t="shared" si="66"/>
        <v>0</v>
      </c>
      <c r="T28" s="25">
        <f t="shared" si="66"/>
        <v>0</v>
      </c>
      <c r="U28" s="25">
        <f t="shared" si="66"/>
        <v>0</v>
      </c>
      <c r="V28" s="25">
        <f t="shared" si="66"/>
        <v>0</v>
      </c>
      <c r="W28" s="25">
        <f t="shared" si="66"/>
        <v>0</v>
      </c>
      <c r="X28" s="25">
        <f t="shared" si="66"/>
        <v>0</v>
      </c>
      <c r="Y28" s="25">
        <f t="shared" si="66"/>
        <v>0</v>
      </c>
      <c r="Z28" s="25">
        <f t="shared" si="66"/>
        <v>0</v>
      </c>
      <c r="AA28" s="25">
        <f t="shared" si="66"/>
        <v>0</v>
      </c>
      <c r="AB28" s="25">
        <f t="shared" si="66"/>
        <v>0</v>
      </c>
      <c r="AC28" s="25">
        <f t="shared" si="66"/>
        <v>0</v>
      </c>
      <c r="AD28" s="25">
        <f t="shared" si="66"/>
        <v>0</v>
      </c>
      <c r="AE28" s="25">
        <f t="shared" si="66"/>
        <v>0</v>
      </c>
      <c r="AF28" s="25">
        <f t="shared" si="66"/>
        <v>0</v>
      </c>
      <c r="AG28" s="25">
        <f t="shared" si="66"/>
        <v>0</v>
      </c>
      <c r="AH28" s="25">
        <f t="shared" si="66"/>
        <v>0</v>
      </c>
      <c r="AI28" s="25">
        <f t="shared" si="66"/>
        <v>0</v>
      </c>
      <c r="AJ28" s="25">
        <f t="shared" si="66"/>
        <v>0</v>
      </c>
      <c r="AK28" s="25">
        <f t="shared" si="66"/>
        <v>0</v>
      </c>
      <c r="AL28" s="25">
        <f t="shared" si="66"/>
        <v>0</v>
      </c>
      <c r="AM28" s="25">
        <f t="shared" si="66"/>
        <v>0</v>
      </c>
      <c r="AN28" s="25">
        <f t="shared" si="66"/>
        <v>0</v>
      </c>
      <c r="AO28" s="25">
        <f t="shared" si="66"/>
        <v>0</v>
      </c>
      <c r="AP28" s="25">
        <f t="shared" si="66"/>
        <v>0</v>
      </c>
      <c r="AQ28" s="25">
        <f t="shared" si="66"/>
        <v>0</v>
      </c>
      <c r="AR28" s="25">
        <f t="shared" si="66"/>
        <v>0</v>
      </c>
      <c r="AS28" s="25">
        <f t="shared" si="66"/>
        <v>0</v>
      </c>
      <c r="AT28" s="25">
        <f t="shared" si="66"/>
        <v>0</v>
      </c>
      <c r="AU28" s="25">
        <f t="shared" si="66"/>
        <v>0</v>
      </c>
      <c r="AV28" s="25">
        <f t="shared" si="66"/>
        <v>0</v>
      </c>
      <c r="AW28" s="25">
        <f t="shared" si="66"/>
        <v>0</v>
      </c>
      <c r="AX28" s="25">
        <f t="shared" si="66"/>
        <v>0</v>
      </c>
      <c r="AY28" s="25">
        <f t="shared" si="66"/>
        <v>0</v>
      </c>
      <c r="AZ28" s="25">
        <f t="shared" si="66"/>
        <v>0</v>
      </c>
      <c r="BA28" s="25">
        <f t="shared" si="66"/>
        <v>0</v>
      </c>
      <c r="BB28" s="25">
        <f t="shared" si="66"/>
        <v>0</v>
      </c>
      <c r="BC28" s="25">
        <f t="shared" si="66"/>
        <v>0</v>
      </c>
      <c r="BD28" s="25">
        <f t="shared" si="66"/>
        <v>0</v>
      </c>
      <c r="BE28" s="25">
        <f t="shared" si="66"/>
        <v>0</v>
      </c>
      <c r="BF28" s="25">
        <f t="shared" si="66"/>
        <v>0</v>
      </c>
      <c r="BG28" s="25">
        <f t="shared" si="66"/>
        <v>0</v>
      </c>
      <c r="BH28" s="25">
        <f t="shared" si="66"/>
        <v>0</v>
      </c>
      <c r="BI28" s="25">
        <f t="shared" si="66"/>
        <v>0</v>
      </c>
      <c r="BJ28" s="25">
        <f t="shared" si="66"/>
        <v>0</v>
      </c>
      <c r="BK28" s="25">
        <f t="shared" si="66"/>
        <v>0</v>
      </c>
      <c r="BL28" s="25">
        <f t="shared" si="66"/>
        <v>0</v>
      </c>
      <c r="BM28" s="25">
        <f t="shared" si="66"/>
        <v>0</v>
      </c>
      <c r="BN28" s="25">
        <f t="shared" si="66"/>
        <v>0</v>
      </c>
      <c r="BO28" s="25">
        <f t="shared" si="66"/>
        <v>0</v>
      </c>
      <c r="BP28" s="25">
        <f t="shared" si="66"/>
        <v>0</v>
      </c>
      <c r="BQ28" s="25">
        <f t="shared" si="66"/>
        <v>0</v>
      </c>
      <c r="BR28" s="25">
        <f t="shared" si="66"/>
        <v>0</v>
      </c>
      <c r="BS28" s="25">
        <f t="shared" si="66"/>
        <v>0</v>
      </c>
      <c r="BT28" s="25">
        <f t="shared" si="66"/>
        <v>0</v>
      </c>
      <c r="BU28" s="25">
        <f t="shared" si="66"/>
        <v>0</v>
      </c>
      <c r="BV28" s="25">
        <f t="shared" ref="BV28:EG28" si="67">N(AND(BV$3&lt;=$D28,BV$4&gt;=$D28))</f>
        <v>0</v>
      </c>
      <c r="BW28" s="25">
        <f t="shared" si="67"/>
        <v>0</v>
      </c>
      <c r="BX28" s="25">
        <f t="shared" si="67"/>
        <v>0</v>
      </c>
      <c r="BY28" s="25">
        <f t="shared" si="67"/>
        <v>0</v>
      </c>
      <c r="BZ28" s="25">
        <f t="shared" si="67"/>
        <v>0</v>
      </c>
      <c r="CA28" s="25">
        <f t="shared" si="67"/>
        <v>0</v>
      </c>
      <c r="CB28" s="25">
        <f t="shared" si="67"/>
        <v>0</v>
      </c>
      <c r="CC28" s="25">
        <f t="shared" si="67"/>
        <v>0</v>
      </c>
      <c r="CD28" s="25">
        <f t="shared" si="67"/>
        <v>0</v>
      </c>
      <c r="CE28" s="25">
        <f t="shared" si="67"/>
        <v>0</v>
      </c>
      <c r="CF28" s="25">
        <f t="shared" si="67"/>
        <v>0</v>
      </c>
      <c r="CG28" s="25">
        <f t="shared" si="67"/>
        <v>0</v>
      </c>
      <c r="CH28" s="25">
        <f t="shared" si="67"/>
        <v>0</v>
      </c>
      <c r="CI28" s="25">
        <f t="shared" si="67"/>
        <v>0</v>
      </c>
      <c r="CJ28" s="25">
        <f t="shared" si="67"/>
        <v>0</v>
      </c>
      <c r="CK28" s="25">
        <f t="shared" si="67"/>
        <v>0</v>
      </c>
      <c r="CL28" s="25">
        <f t="shared" si="67"/>
        <v>0</v>
      </c>
      <c r="CM28" s="25">
        <f t="shared" si="67"/>
        <v>0</v>
      </c>
      <c r="CN28" s="25">
        <f t="shared" si="67"/>
        <v>0</v>
      </c>
      <c r="CO28" s="25">
        <f t="shared" si="67"/>
        <v>0</v>
      </c>
      <c r="CP28" s="25">
        <f t="shared" si="67"/>
        <v>0</v>
      </c>
      <c r="CQ28" s="25">
        <f t="shared" si="67"/>
        <v>0</v>
      </c>
      <c r="CR28" s="25">
        <f t="shared" si="67"/>
        <v>0</v>
      </c>
      <c r="CS28" s="25">
        <f t="shared" si="67"/>
        <v>0</v>
      </c>
      <c r="CT28" s="25">
        <f t="shared" si="67"/>
        <v>0</v>
      </c>
      <c r="CU28" s="25">
        <f t="shared" si="67"/>
        <v>0</v>
      </c>
      <c r="CV28" s="25">
        <f t="shared" si="67"/>
        <v>0</v>
      </c>
      <c r="CW28" s="25">
        <f t="shared" si="67"/>
        <v>0</v>
      </c>
      <c r="CX28" s="25">
        <f t="shared" si="67"/>
        <v>0</v>
      </c>
      <c r="CY28" s="25">
        <f t="shared" si="67"/>
        <v>0</v>
      </c>
      <c r="CZ28" s="25">
        <f t="shared" si="67"/>
        <v>0</v>
      </c>
      <c r="DA28" s="25">
        <f t="shared" si="67"/>
        <v>0</v>
      </c>
      <c r="DB28" s="25">
        <f t="shared" si="67"/>
        <v>0</v>
      </c>
      <c r="DC28" s="25">
        <f t="shared" si="67"/>
        <v>0</v>
      </c>
      <c r="DD28" s="25">
        <f t="shared" si="67"/>
        <v>0</v>
      </c>
      <c r="DE28" s="25">
        <f t="shared" si="67"/>
        <v>0</v>
      </c>
      <c r="DF28" s="25">
        <f t="shared" si="67"/>
        <v>0</v>
      </c>
      <c r="DG28" s="25">
        <f t="shared" si="67"/>
        <v>0</v>
      </c>
      <c r="DH28" s="25">
        <f t="shared" si="67"/>
        <v>0</v>
      </c>
      <c r="DI28" s="25">
        <f t="shared" si="67"/>
        <v>0</v>
      </c>
      <c r="DJ28" s="25">
        <f t="shared" si="67"/>
        <v>0</v>
      </c>
      <c r="DK28" s="25">
        <f t="shared" si="67"/>
        <v>0</v>
      </c>
      <c r="DL28" s="25">
        <f t="shared" si="67"/>
        <v>0</v>
      </c>
      <c r="DM28" s="25">
        <f t="shared" si="67"/>
        <v>0</v>
      </c>
      <c r="DN28" s="25">
        <f t="shared" si="67"/>
        <v>0</v>
      </c>
      <c r="DO28" s="25">
        <f t="shared" si="67"/>
        <v>0</v>
      </c>
      <c r="DP28" s="25">
        <f t="shared" si="67"/>
        <v>0</v>
      </c>
      <c r="DQ28" s="25">
        <f t="shared" si="67"/>
        <v>0</v>
      </c>
      <c r="DR28" s="25">
        <f t="shared" si="67"/>
        <v>0</v>
      </c>
      <c r="DS28" s="25">
        <f t="shared" si="67"/>
        <v>0</v>
      </c>
      <c r="DT28" s="25">
        <f t="shared" si="67"/>
        <v>0</v>
      </c>
      <c r="DU28" s="25">
        <f t="shared" si="67"/>
        <v>0</v>
      </c>
      <c r="DV28" s="25">
        <f t="shared" si="67"/>
        <v>0</v>
      </c>
      <c r="DW28" s="25">
        <f t="shared" si="67"/>
        <v>0</v>
      </c>
      <c r="DX28" s="25">
        <f t="shared" si="67"/>
        <v>0</v>
      </c>
      <c r="DY28" s="25">
        <f t="shared" si="67"/>
        <v>0</v>
      </c>
      <c r="DZ28" s="25">
        <f t="shared" si="67"/>
        <v>0</v>
      </c>
      <c r="EA28" s="25">
        <f t="shared" si="67"/>
        <v>0</v>
      </c>
      <c r="EB28" s="25">
        <f t="shared" si="67"/>
        <v>0</v>
      </c>
      <c r="EC28" s="25">
        <f t="shared" si="67"/>
        <v>0</v>
      </c>
      <c r="ED28" s="25">
        <f t="shared" si="67"/>
        <v>0</v>
      </c>
      <c r="EE28" s="25">
        <f t="shared" si="67"/>
        <v>0</v>
      </c>
      <c r="EF28" s="25">
        <f t="shared" si="67"/>
        <v>0</v>
      </c>
      <c r="EG28" s="25">
        <f t="shared" si="67"/>
        <v>0</v>
      </c>
      <c r="EH28" s="25">
        <f t="shared" ref="EH28:FM28" si="68">N(AND(EH$3&lt;=$D28,EH$4&gt;=$D28))</f>
        <v>0</v>
      </c>
      <c r="EI28" s="25">
        <f t="shared" si="68"/>
        <v>0</v>
      </c>
      <c r="EJ28" s="25">
        <f t="shared" si="68"/>
        <v>0</v>
      </c>
      <c r="EK28" s="25">
        <f t="shared" si="68"/>
        <v>0</v>
      </c>
      <c r="EL28" s="25">
        <f t="shared" si="68"/>
        <v>0</v>
      </c>
      <c r="EM28" s="25">
        <f t="shared" si="68"/>
        <v>0</v>
      </c>
      <c r="EN28" s="25">
        <f t="shared" si="68"/>
        <v>0</v>
      </c>
      <c r="EO28" s="25">
        <f t="shared" si="68"/>
        <v>0</v>
      </c>
      <c r="EP28" s="25">
        <f t="shared" si="68"/>
        <v>0</v>
      </c>
      <c r="EQ28" s="25">
        <f t="shared" si="68"/>
        <v>0</v>
      </c>
      <c r="ER28" s="25">
        <f t="shared" si="68"/>
        <v>0</v>
      </c>
      <c r="ES28" s="25">
        <f t="shared" si="68"/>
        <v>0</v>
      </c>
      <c r="ET28" s="25">
        <f t="shared" si="68"/>
        <v>0</v>
      </c>
      <c r="EU28" s="25">
        <f t="shared" si="68"/>
        <v>0</v>
      </c>
      <c r="EV28" s="25">
        <f t="shared" si="68"/>
        <v>0</v>
      </c>
      <c r="EW28" s="25">
        <f t="shared" si="68"/>
        <v>0</v>
      </c>
      <c r="EX28" s="25">
        <f t="shared" si="68"/>
        <v>0</v>
      </c>
      <c r="EY28" s="25">
        <f t="shared" si="68"/>
        <v>0</v>
      </c>
      <c r="EZ28" s="25">
        <f t="shared" si="68"/>
        <v>0</v>
      </c>
      <c r="FA28" s="25">
        <f t="shared" si="68"/>
        <v>0</v>
      </c>
      <c r="FB28" s="25">
        <f t="shared" si="68"/>
        <v>0</v>
      </c>
      <c r="FC28" s="25">
        <f t="shared" si="68"/>
        <v>0</v>
      </c>
      <c r="FD28" s="25">
        <f t="shared" si="68"/>
        <v>0</v>
      </c>
      <c r="FE28" s="25">
        <f t="shared" si="68"/>
        <v>0</v>
      </c>
      <c r="FF28" s="25">
        <f t="shared" si="68"/>
        <v>0</v>
      </c>
      <c r="FG28" s="25">
        <f t="shared" si="68"/>
        <v>0</v>
      </c>
      <c r="FH28" s="25">
        <f t="shared" si="68"/>
        <v>0</v>
      </c>
      <c r="FI28" s="25">
        <f t="shared" si="68"/>
        <v>0</v>
      </c>
      <c r="FJ28" s="25">
        <f t="shared" si="68"/>
        <v>0</v>
      </c>
      <c r="FK28" s="25">
        <f t="shared" si="68"/>
        <v>0</v>
      </c>
      <c r="FL28" s="25">
        <f t="shared" si="68"/>
        <v>0</v>
      </c>
      <c r="FM28" s="25">
        <f t="shared" si="68"/>
        <v>0</v>
      </c>
    </row>
    <row r="29" spans="2:169" x14ac:dyDescent="0.25">
      <c r="B29" t="s">
        <v>92</v>
      </c>
      <c r="C29" t="s">
        <v>80</v>
      </c>
      <c r="D29" s="16"/>
      <c r="H29" s="31">
        <f t="shared" si="62"/>
        <v>159</v>
      </c>
      <c r="I29" s="25">
        <f>SUM($I28:I28)</f>
        <v>0</v>
      </c>
      <c r="J29" s="25">
        <f>SUM($I28:J28)</f>
        <v>0</v>
      </c>
      <c r="K29" s="25">
        <f>SUM($I28:K28)</f>
        <v>1</v>
      </c>
      <c r="L29" s="25">
        <f>SUM($I28:L28)</f>
        <v>1</v>
      </c>
      <c r="M29" s="25">
        <f>SUM($I28:M28)</f>
        <v>1</v>
      </c>
      <c r="N29" s="25">
        <f>SUM($I28:N28)</f>
        <v>1</v>
      </c>
      <c r="O29" s="25">
        <f>SUM($I28:O28)</f>
        <v>1</v>
      </c>
      <c r="P29" s="25">
        <f>SUM($I28:P28)</f>
        <v>1</v>
      </c>
      <c r="Q29" s="25">
        <f>SUM($I28:Q28)</f>
        <v>1</v>
      </c>
      <c r="R29" s="25">
        <f>SUM($I28:R28)</f>
        <v>1</v>
      </c>
      <c r="S29" s="25">
        <f>SUM($I28:S28)</f>
        <v>1</v>
      </c>
      <c r="T29" s="25">
        <f>SUM($I28:T28)</f>
        <v>1</v>
      </c>
      <c r="U29" s="25">
        <f>SUM($I28:U28)</f>
        <v>1</v>
      </c>
      <c r="V29" s="25">
        <f>SUM($I28:V28)</f>
        <v>1</v>
      </c>
      <c r="W29" s="25">
        <f>SUM($I28:W28)</f>
        <v>1</v>
      </c>
      <c r="X29" s="25">
        <f>SUM($I28:X28)</f>
        <v>1</v>
      </c>
      <c r="Y29" s="25">
        <f>SUM($I28:Y28)</f>
        <v>1</v>
      </c>
      <c r="Z29" s="25">
        <f>SUM($I28:Z28)</f>
        <v>1</v>
      </c>
      <c r="AA29" s="25">
        <f>SUM($I28:AA28)</f>
        <v>1</v>
      </c>
      <c r="AB29" s="25">
        <f>SUM($I28:AB28)</f>
        <v>1</v>
      </c>
      <c r="AC29" s="25">
        <f>SUM($I28:AC28)</f>
        <v>1</v>
      </c>
      <c r="AD29" s="25">
        <f>SUM($I28:AD28)</f>
        <v>1</v>
      </c>
      <c r="AE29" s="25">
        <f>SUM($I28:AE28)</f>
        <v>1</v>
      </c>
      <c r="AF29" s="25">
        <f>SUM($I28:AF28)</f>
        <v>1</v>
      </c>
      <c r="AG29" s="25">
        <f>SUM($I28:AG28)</f>
        <v>1</v>
      </c>
      <c r="AH29" s="25">
        <f>SUM($I28:AH28)</f>
        <v>1</v>
      </c>
      <c r="AI29" s="25">
        <f>SUM($I28:AI28)</f>
        <v>1</v>
      </c>
      <c r="AJ29" s="25">
        <f>SUM($I28:AJ28)</f>
        <v>1</v>
      </c>
      <c r="AK29" s="25">
        <f>SUM($I28:AK28)</f>
        <v>1</v>
      </c>
      <c r="AL29" s="25">
        <f>SUM($I28:AL28)</f>
        <v>1</v>
      </c>
      <c r="AM29" s="25">
        <f>SUM($I28:AM28)</f>
        <v>1</v>
      </c>
      <c r="AN29" s="25">
        <f>SUM($I28:AN28)</f>
        <v>1</v>
      </c>
      <c r="AO29" s="25">
        <f>SUM($I28:AO28)</f>
        <v>1</v>
      </c>
      <c r="AP29" s="25">
        <f>SUM($I28:AP28)</f>
        <v>1</v>
      </c>
      <c r="AQ29" s="25">
        <f>SUM($I28:AQ28)</f>
        <v>1</v>
      </c>
      <c r="AR29" s="25">
        <f>SUM($I28:AR28)</f>
        <v>1</v>
      </c>
      <c r="AS29" s="25">
        <f>SUM($I28:AS28)</f>
        <v>1</v>
      </c>
      <c r="AT29" s="25">
        <f>SUM($I28:AT28)</f>
        <v>1</v>
      </c>
      <c r="AU29" s="25">
        <f>SUM($I28:AU28)</f>
        <v>1</v>
      </c>
      <c r="AV29" s="25">
        <f>SUM($I28:AV28)</f>
        <v>1</v>
      </c>
      <c r="AW29" s="25">
        <f>SUM($I28:AW28)</f>
        <v>1</v>
      </c>
      <c r="AX29" s="25">
        <f>SUM($I28:AX28)</f>
        <v>1</v>
      </c>
      <c r="AY29" s="25">
        <f>SUM($I28:AY28)</f>
        <v>1</v>
      </c>
      <c r="AZ29" s="25">
        <f>SUM($I28:AZ28)</f>
        <v>1</v>
      </c>
      <c r="BA29" s="25">
        <f>SUM($I28:BA28)</f>
        <v>1</v>
      </c>
      <c r="BB29" s="25">
        <f>SUM($I28:BB28)</f>
        <v>1</v>
      </c>
      <c r="BC29" s="25">
        <f>SUM($I28:BC28)</f>
        <v>1</v>
      </c>
      <c r="BD29" s="25">
        <f>SUM($I28:BD28)</f>
        <v>1</v>
      </c>
      <c r="BE29" s="25">
        <f>SUM($I28:BE28)</f>
        <v>1</v>
      </c>
      <c r="BF29" s="25">
        <f>SUM($I28:BF28)</f>
        <v>1</v>
      </c>
      <c r="BG29" s="25">
        <f>SUM($I28:BG28)</f>
        <v>1</v>
      </c>
      <c r="BH29" s="25">
        <f>SUM($I28:BH28)</f>
        <v>1</v>
      </c>
      <c r="BI29" s="25">
        <f>SUM($I28:BI28)</f>
        <v>1</v>
      </c>
      <c r="BJ29" s="25">
        <f>SUM($I28:BJ28)</f>
        <v>1</v>
      </c>
      <c r="BK29" s="25">
        <f>SUM($I28:BK28)</f>
        <v>1</v>
      </c>
      <c r="BL29" s="25">
        <f>SUM($I28:BL28)</f>
        <v>1</v>
      </c>
      <c r="BM29" s="25">
        <f>SUM($I28:BM28)</f>
        <v>1</v>
      </c>
      <c r="BN29" s="25">
        <f>SUM($I28:BN28)</f>
        <v>1</v>
      </c>
      <c r="BO29" s="25">
        <f>SUM($I28:BO28)</f>
        <v>1</v>
      </c>
      <c r="BP29" s="25">
        <f>SUM($I28:BP28)</f>
        <v>1</v>
      </c>
      <c r="BQ29" s="25">
        <f>SUM($I28:BQ28)</f>
        <v>1</v>
      </c>
      <c r="BR29" s="25">
        <f>SUM($I28:BR28)</f>
        <v>1</v>
      </c>
      <c r="BS29" s="25">
        <f>SUM($I28:BS28)</f>
        <v>1</v>
      </c>
      <c r="BT29" s="25">
        <f>SUM($I28:BT28)</f>
        <v>1</v>
      </c>
      <c r="BU29" s="25">
        <f>SUM($I28:BU28)</f>
        <v>1</v>
      </c>
      <c r="BV29" s="25">
        <f>SUM($I28:BV28)</f>
        <v>1</v>
      </c>
      <c r="BW29" s="25">
        <f>SUM($I28:BW28)</f>
        <v>1</v>
      </c>
      <c r="BX29" s="25">
        <f>SUM($I28:BX28)</f>
        <v>1</v>
      </c>
      <c r="BY29" s="25">
        <f>SUM($I28:BY28)</f>
        <v>1</v>
      </c>
      <c r="BZ29" s="25">
        <f>SUM($I28:BZ28)</f>
        <v>1</v>
      </c>
      <c r="CA29" s="25">
        <f>SUM($I28:CA28)</f>
        <v>1</v>
      </c>
      <c r="CB29" s="25">
        <f>SUM($I28:CB28)</f>
        <v>1</v>
      </c>
      <c r="CC29" s="25">
        <f>SUM($I28:CC28)</f>
        <v>1</v>
      </c>
      <c r="CD29" s="25">
        <f>SUM($I28:CD28)</f>
        <v>1</v>
      </c>
      <c r="CE29" s="25">
        <f>SUM($I28:CE28)</f>
        <v>1</v>
      </c>
      <c r="CF29" s="25">
        <f>SUM($I28:CF28)</f>
        <v>1</v>
      </c>
      <c r="CG29" s="25">
        <f>SUM($I28:CG28)</f>
        <v>1</v>
      </c>
      <c r="CH29" s="25">
        <f>SUM($I28:CH28)</f>
        <v>1</v>
      </c>
      <c r="CI29" s="25">
        <f>SUM($I28:CI28)</f>
        <v>1</v>
      </c>
      <c r="CJ29" s="25">
        <f>SUM($I28:CJ28)</f>
        <v>1</v>
      </c>
      <c r="CK29" s="25">
        <f>SUM($I28:CK28)</f>
        <v>1</v>
      </c>
      <c r="CL29" s="25">
        <f>SUM($I28:CL28)</f>
        <v>1</v>
      </c>
      <c r="CM29" s="25">
        <f>SUM($I28:CM28)</f>
        <v>1</v>
      </c>
      <c r="CN29" s="25">
        <f>SUM($I28:CN28)</f>
        <v>1</v>
      </c>
      <c r="CO29" s="25">
        <f>SUM($I28:CO28)</f>
        <v>1</v>
      </c>
      <c r="CP29" s="25">
        <f>SUM($I28:CP28)</f>
        <v>1</v>
      </c>
      <c r="CQ29" s="25">
        <f>SUM($I28:CQ28)</f>
        <v>1</v>
      </c>
      <c r="CR29" s="25">
        <f>SUM($I28:CR28)</f>
        <v>1</v>
      </c>
      <c r="CS29" s="25">
        <f>SUM($I28:CS28)</f>
        <v>1</v>
      </c>
      <c r="CT29" s="25">
        <f>SUM($I28:CT28)</f>
        <v>1</v>
      </c>
      <c r="CU29" s="25">
        <f>SUM($I28:CU28)</f>
        <v>1</v>
      </c>
      <c r="CV29" s="25">
        <f>SUM($I28:CV28)</f>
        <v>1</v>
      </c>
      <c r="CW29" s="25">
        <f>SUM($I28:CW28)</f>
        <v>1</v>
      </c>
      <c r="CX29" s="25">
        <f>SUM($I28:CX28)</f>
        <v>1</v>
      </c>
      <c r="CY29" s="25">
        <f>SUM($I28:CY28)</f>
        <v>1</v>
      </c>
      <c r="CZ29" s="25">
        <f>SUM($I28:CZ28)</f>
        <v>1</v>
      </c>
      <c r="DA29" s="25">
        <f>SUM($I28:DA28)</f>
        <v>1</v>
      </c>
      <c r="DB29" s="25">
        <f>SUM($I28:DB28)</f>
        <v>1</v>
      </c>
      <c r="DC29" s="25">
        <f>SUM($I28:DC28)</f>
        <v>1</v>
      </c>
      <c r="DD29" s="25">
        <f>SUM($I28:DD28)</f>
        <v>1</v>
      </c>
      <c r="DE29" s="25">
        <f>SUM($I28:DE28)</f>
        <v>1</v>
      </c>
      <c r="DF29" s="25">
        <f>SUM($I28:DF28)</f>
        <v>1</v>
      </c>
      <c r="DG29" s="25">
        <f>SUM($I28:DG28)</f>
        <v>1</v>
      </c>
      <c r="DH29" s="25">
        <f>SUM($I28:DH28)</f>
        <v>1</v>
      </c>
      <c r="DI29" s="25">
        <f>SUM($I28:DI28)</f>
        <v>1</v>
      </c>
      <c r="DJ29" s="25">
        <f>SUM($I28:DJ28)</f>
        <v>1</v>
      </c>
      <c r="DK29" s="25">
        <f>SUM($I28:DK28)</f>
        <v>1</v>
      </c>
      <c r="DL29" s="25">
        <f>SUM($I28:DL28)</f>
        <v>1</v>
      </c>
      <c r="DM29" s="25">
        <f>SUM($I28:DM28)</f>
        <v>1</v>
      </c>
      <c r="DN29" s="25">
        <f>SUM($I28:DN28)</f>
        <v>1</v>
      </c>
      <c r="DO29" s="25">
        <f>SUM($I28:DO28)</f>
        <v>1</v>
      </c>
      <c r="DP29" s="25">
        <f>SUM($I28:DP28)</f>
        <v>1</v>
      </c>
      <c r="DQ29" s="25">
        <f>SUM($I28:DQ28)</f>
        <v>1</v>
      </c>
      <c r="DR29" s="25">
        <f>SUM($I28:DR28)</f>
        <v>1</v>
      </c>
      <c r="DS29" s="25">
        <f>SUM($I28:DS28)</f>
        <v>1</v>
      </c>
      <c r="DT29" s="25">
        <f>SUM($I28:DT28)</f>
        <v>1</v>
      </c>
      <c r="DU29" s="25">
        <f>SUM($I28:DU28)</f>
        <v>1</v>
      </c>
      <c r="DV29" s="25">
        <f>SUM($I28:DV28)</f>
        <v>1</v>
      </c>
      <c r="DW29" s="25">
        <f>SUM($I28:DW28)</f>
        <v>1</v>
      </c>
      <c r="DX29" s="25">
        <f>SUM($I28:DX28)</f>
        <v>1</v>
      </c>
      <c r="DY29" s="25">
        <f>SUM($I28:DY28)</f>
        <v>1</v>
      </c>
      <c r="DZ29" s="25">
        <f>SUM($I28:DZ28)</f>
        <v>1</v>
      </c>
      <c r="EA29" s="25">
        <f>SUM($I28:EA28)</f>
        <v>1</v>
      </c>
      <c r="EB29" s="25">
        <f>SUM($I28:EB28)</f>
        <v>1</v>
      </c>
      <c r="EC29" s="25">
        <f>SUM($I28:EC28)</f>
        <v>1</v>
      </c>
      <c r="ED29" s="25">
        <f>SUM($I28:ED28)</f>
        <v>1</v>
      </c>
      <c r="EE29" s="25">
        <f>SUM($I28:EE28)</f>
        <v>1</v>
      </c>
      <c r="EF29" s="25">
        <f>SUM($I28:EF28)</f>
        <v>1</v>
      </c>
      <c r="EG29" s="25">
        <f>SUM($I28:EG28)</f>
        <v>1</v>
      </c>
      <c r="EH29" s="25">
        <f>SUM($I28:EH28)</f>
        <v>1</v>
      </c>
      <c r="EI29" s="25">
        <f>SUM($I28:EI28)</f>
        <v>1</v>
      </c>
      <c r="EJ29" s="25">
        <f>SUM($I28:EJ28)</f>
        <v>1</v>
      </c>
      <c r="EK29" s="25">
        <f>SUM($I28:EK28)</f>
        <v>1</v>
      </c>
      <c r="EL29" s="25">
        <f>SUM($I28:EL28)</f>
        <v>1</v>
      </c>
      <c r="EM29" s="25">
        <f>SUM($I28:EM28)</f>
        <v>1</v>
      </c>
      <c r="EN29" s="25">
        <f>SUM($I28:EN28)</f>
        <v>1</v>
      </c>
      <c r="EO29" s="25">
        <f>SUM($I28:EO28)</f>
        <v>1</v>
      </c>
      <c r="EP29" s="25">
        <f>SUM($I28:EP28)</f>
        <v>1</v>
      </c>
      <c r="EQ29" s="25">
        <f>SUM($I28:EQ28)</f>
        <v>1</v>
      </c>
      <c r="ER29" s="25">
        <f>SUM($I28:ER28)</f>
        <v>1</v>
      </c>
      <c r="ES29" s="25">
        <f>SUM($I28:ES28)</f>
        <v>1</v>
      </c>
      <c r="ET29" s="25">
        <f>SUM($I28:ET28)</f>
        <v>1</v>
      </c>
      <c r="EU29" s="25">
        <f>SUM($I28:EU28)</f>
        <v>1</v>
      </c>
      <c r="EV29" s="25">
        <f>SUM($I28:EV28)</f>
        <v>1</v>
      </c>
      <c r="EW29" s="25">
        <f>SUM($I28:EW28)</f>
        <v>1</v>
      </c>
      <c r="EX29" s="25">
        <f>SUM($I28:EX28)</f>
        <v>1</v>
      </c>
      <c r="EY29" s="25">
        <f>SUM($I28:EY28)</f>
        <v>1</v>
      </c>
      <c r="EZ29" s="25">
        <f>SUM($I28:EZ28)</f>
        <v>1</v>
      </c>
      <c r="FA29" s="25">
        <f>SUM($I28:FA28)</f>
        <v>1</v>
      </c>
      <c r="FB29" s="25">
        <f>SUM($I28:FB28)</f>
        <v>1</v>
      </c>
      <c r="FC29" s="25">
        <f>SUM($I28:FC28)</f>
        <v>1</v>
      </c>
      <c r="FD29" s="25">
        <f>SUM($I28:FD28)</f>
        <v>1</v>
      </c>
      <c r="FE29" s="25">
        <f>SUM($I28:FE28)</f>
        <v>1</v>
      </c>
      <c r="FF29" s="25">
        <f>SUM($I28:FF28)</f>
        <v>1</v>
      </c>
      <c r="FG29" s="25">
        <f>SUM($I28:FG28)</f>
        <v>1</v>
      </c>
      <c r="FH29" s="25">
        <f>SUM($I28:FH28)</f>
        <v>1</v>
      </c>
      <c r="FI29" s="25">
        <f>SUM($I28:FI28)</f>
        <v>1</v>
      </c>
      <c r="FJ29" s="25">
        <f>SUM($I28:FJ28)</f>
        <v>1</v>
      </c>
      <c r="FK29" s="25">
        <f>SUM($I28:FK28)</f>
        <v>1</v>
      </c>
      <c r="FL29" s="25">
        <f>SUM($I28:FL28)</f>
        <v>1</v>
      </c>
      <c r="FM29" s="25">
        <f>SUM($I28:FM28)</f>
        <v>1</v>
      </c>
    </row>
    <row r="30" spans="2:169" x14ac:dyDescent="0.25">
      <c r="H30" s="31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</row>
    <row r="31" spans="2:169" x14ac:dyDescent="0.25">
      <c r="B31" t="s">
        <v>93</v>
      </c>
      <c r="C31" t="s">
        <v>94</v>
      </c>
      <c r="H31" s="31">
        <f t="shared" ref="H31" si="69">SUM(I31:FM31)</f>
        <v>128735.66574448108</v>
      </c>
      <c r="I31" s="25">
        <f>I50</f>
        <v>0</v>
      </c>
      <c r="J31" s="25">
        <f t="shared" ref="J31:BU31" si="70">J50</f>
        <v>0</v>
      </c>
      <c r="K31" s="25">
        <f t="shared" si="70"/>
        <v>-8.4469479452054799</v>
      </c>
      <c r="L31" s="25">
        <f t="shared" si="70"/>
        <v>-25.068361643835619</v>
      </c>
      <c r="M31" s="25">
        <f t="shared" si="70"/>
        <v>-25.068361643835619</v>
      </c>
      <c r="N31" s="25">
        <f t="shared" si="70"/>
        <v>-25.308145972602741</v>
      </c>
      <c r="O31" s="25">
        <f t="shared" si="70"/>
        <v>-25.58934759452055</v>
      </c>
      <c r="P31" s="25">
        <f t="shared" si="70"/>
        <v>-25.870549216438359</v>
      </c>
      <c r="Q31" s="25">
        <f t="shared" si="70"/>
        <v>181.11837932583569</v>
      </c>
      <c r="R31" s="25">
        <f t="shared" si="70"/>
        <v>600.02158714604548</v>
      </c>
      <c r="S31" s="25">
        <f t="shared" si="70"/>
        <v>599.36756448536448</v>
      </c>
      <c r="T31" s="25">
        <f t="shared" si="70"/>
        <v>605.28554547415365</v>
      </c>
      <c r="U31" s="25">
        <f t="shared" si="70"/>
        <v>604.61706971035642</v>
      </c>
      <c r="V31" s="25">
        <f t="shared" si="70"/>
        <v>613.01958138046245</v>
      </c>
      <c r="W31" s="25">
        <f t="shared" si="70"/>
        <v>619.15144833663794</v>
      </c>
      <c r="X31" s="25">
        <f t="shared" si="70"/>
        <v>625.26083340501293</v>
      </c>
      <c r="Y31" s="25">
        <f t="shared" si="70"/>
        <v>624.5663564037543</v>
      </c>
      <c r="Z31" s="25">
        <f t="shared" si="70"/>
        <v>627.9049818381045</v>
      </c>
      <c r="AA31" s="25">
        <f t="shared" si="70"/>
        <v>634.18348714579543</v>
      </c>
      <c r="AB31" s="25">
        <f t="shared" si="70"/>
        <v>640.43889000459308</v>
      </c>
      <c r="AC31" s="25">
        <f t="shared" si="70"/>
        <v>639.72524355409575</v>
      </c>
      <c r="AD31" s="25">
        <f t="shared" si="70"/>
        <v>643.07924267487647</v>
      </c>
      <c r="AE31" s="25">
        <f t="shared" si="70"/>
        <v>649.50712701917826</v>
      </c>
      <c r="AF31" s="25">
        <f t="shared" si="70"/>
        <v>655.91127283946651</v>
      </c>
      <c r="AG31" s="25">
        <f t="shared" si="70"/>
        <v>655.17797770349966</v>
      </c>
      <c r="AH31" s="25">
        <f t="shared" si="70"/>
        <v>664.03950260248064</v>
      </c>
      <c r="AI31" s="25">
        <f t="shared" si="70"/>
        <v>663.30638018210038</v>
      </c>
      <c r="AJ31" s="25">
        <f t="shared" si="70"/>
        <v>669.84613775129105</v>
      </c>
      <c r="AK31" s="25">
        <f t="shared" si="70"/>
        <v>669.09681421957998</v>
      </c>
      <c r="AL31" s="25">
        <f t="shared" si="70"/>
        <v>674.31569080012775</v>
      </c>
      <c r="AM31" s="25">
        <f t="shared" si="70"/>
        <v>681.05074526258352</v>
      </c>
      <c r="AN31" s="25">
        <f t="shared" si="70"/>
        <v>687.76074094760384</v>
      </c>
      <c r="AO31" s="25">
        <f t="shared" si="70"/>
        <v>686.98666250885935</v>
      </c>
      <c r="AP31" s="25">
        <f t="shared" si="70"/>
        <v>690.38876471835943</v>
      </c>
      <c r="AQ31" s="25">
        <f t="shared" si="70"/>
        <v>697.28170689471062</v>
      </c>
      <c r="AR31" s="25">
        <f t="shared" si="70"/>
        <v>704.14890531029255</v>
      </c>
      <c r="AS31" s="25">
        <f t="shared" si="70"/>
        <v>703.35366738637231</v>
      </c>
      <c r="AT31" s="25">
        <f t="shared" si="70"/>
        <v>706.77247414647536</v>
      </c>
      <c r="AU31" s="25">
        <f t="shared" si="70"/>
        <v>713.8262379924804</v>
      </c>
      <c r="AV31" s="25">
        <f t="shared" si="70"/>
        <v>720.85355596979866</v>
      </c>
      <c r="AW31" s="25">
        <f t="shared" si="70"/>
        <v>720.03662957357324</v>
      </c>
      <c r="AX31" s="25">
        <f t="shared" si="70"/>
        <v>729.50563917938507</v>
      </c>
      <c r="AY31" s="25">
        <f t="shared" si="70"/>
        <v>728.68910578457189</v>
      </c>
      <c r="AZ31" s="25">
        <f t="shared" si="70"/>
        <v>735.8621005886655</v>
      </c>
      <c r="BA31" s="25">
        <f t="shared" si="70"/>
        <v>735.0275228017199</v>
      </c>
      <c r="BB31" s="25">
        <f t="shared" si="70"/>
        <v>740.49453440275511</v>
      </c>
      <c r="BC31" s="25">
        <f t="shared" si="70"/>
        <v>747.87894398655169</v>
      </c>
      <c r="BD31" s="25">
        <f t="shared" si="70"/>
        <v>755.23545038891609</v>
      </c>
      <c r="BE31" s="25">
        <f t="shared" si="70"/>
        <v>754.3735068573618</v>
      </c>
      <c r="BF31" s="25">
        <f t="shared" si="70"/>
        <v>757.84447589178433</v>
      </c>
      <c r="BG31" s="25">
        <f t="shared" si="70"/>
        <v>765.39881147285189</v>
      </c>
      <c r="BH31" s="25">
        <f t="shared" si="70"/>
        <v>772.92448777905338</v>
      </c>
      <c r="BI31" s="25">
        <f t="shared" si="70"/>
        <v>772.03918813500331</v>
      </c>
      <c r="BJ31" s="25">
        <f t="shared" si="70"/>
        <v>775.52823601809996</v>
      </c>
      <c r="BK31" s="25">
        <f t="shared" si="70"/>
        <v>783.25563541414851</v>
      </c>
      <c r="BL31" s="25">
        <f t="shared" si="70"/>
        <v>790.95360053956119</v>
      </c>
      <c r="BM31" s="25">
        <f t="shared" si="70"/>
        <v>790.0443608802027</v>
      </c>
      <c r="BN31" s="25">
        <f t="shared" si="70"/>
        <v>800.16929208884937</v>
      </c>
      <c r="BO31" s="25">
        <f t="shared" si="70"/>
        <v>799.26068858523854</v>
      </c>
      <c r="BP31" s="25">
        <f t="shared" si="70"/>
        <v>807.11509054233204</v>
      </c>
      <c r="BQ31" s="25">
        <f t="shared" si="70"/>
        <v>806.1864080094781</v>
      </c>
      <c r="BR31" s="25">
        <f t="shared" si="70"/>
        <v>811.92139507578793</v>
      </c>
      <c r="BS31" s="25">
        <f t="shared" si="70"/>
        <v>820.00454676886739</v>
      </c>
      <c r="BT31" s="25">
        <f t="shared" si="70"/>
        <v>828.0566555907169</v>
      </c>
      <c r="BU31" s="25">
        <f t="shared" si="70"/>
        <v>827.0977254370838</v>
      </c>
      <c r="BV31" s="25">
        <f t="shared" ref="BV31:EG31" si="71">BV50</f>
        <v>830.64311754767584</v>
      </c>
      <c r="BW31" s="25">
        <f t="shared" si="71"/>
        <v>838.90906500704762</v>
      </c>
      <c r="BX31" s="25">
        <f t="shared" si="71"/>
        <v>847.14313500951016</v>
      </c>
      <c r="BY31" s="25">
        <f t="shared" si="71"/>
        <v>846.1584240778293</v>
      </c>
      <c r="BZ31" s="25">
        <f t="shared" si="71"/>
        <v>849.72330744418537</v>
      </c>
      <c r="CA31" s="25">
        <f t="shared" si="71"/>
        <v>858.17540305692705</v>
      </c>
      <c r="CB31" s="25">
        <f t="shared" si="71"/>
        <v>866.59476576243856</v>
      </c>
      <c r="CC31" s="25">
        <f t="shared" si="71"/>
        <v>865.58362953325809</v>
      </c>
      <c r="CD31" s="25">
        <f t="shared" si="71"/>
        <v>876.41626122990226</v>
      </c>
      <c r="CE31" s="25">
        <f t="shared" si="71"/>
        <v>875.40602955335885</v>
      </c>
      <c r="CF31" s="25">
        <f t="shared" si="71"/>
        <v>883.99331946751033</v>
      </c>
      <c r="CG31" s="25">
        <f t="shared" si="71"/>
        <v>882.96076290305405</v>
      </c>
      <c r="CH31" s="25">
        <f t="shared" si="71"/>
        <v>888.9847760575974</v>
      </c>
      <c r="CI31" s="25">
        <f t="shared" si="71"/>
        <v>897.81944709183767</v>
      </c>
      <c r="CJ31" s="25">
        <f t="shared" si="71"/>
        <v>906.61960962477576</v>
      </c>
      <c r="CK31" s="25">
        <f t="shared" si="71"/>
        <v>905.55362438747386</v>
      </c>
      <c r="CL31" s="25">
        <f t="shared" si="71"/>
        <v>909.17913844547559</v>
      </c>
      <c r="CM31" s="25">
        <f t="shared" si="71"/>
        <v>918.2103494005529</v>
      </c>
      <c r="CN31" s="25">
        <f t="shared" si="71"/>
        <v>927.20613062789755</v>
      </c>
      <c r="CO31" s="25">
        <f t="shared" si="71"/>
        <v>926.1116882354562</v>
      </c>
      <c r="CP31" s="25">
        <f t="shared" si="71"/>
        <v>929.75813716677442</v>
      </c>
      <c r="CQ31" s="25">
        <f t="shared" si="71"/>
        <v>938.98946573263993</v>
      </c>
      <c r="CR31" s="25">
        <f t="shared" si="71"/>
        <v>948.18442031368147</v>
      </c>
      <c r="CS31" s="25">
        <f t="shared" si="71"/>
        <v>947.06080933722194</v>
      </c>
      <c r="CT31" s="25">
        <f t="shared" si="71"/>
        <v>958.65643426923373</v>
      </c>
      <c r="CU31" s="25">
        <f t="shared" si="71"/>
        <v>957.53402410535682</v>
      </c>
      <c r="CV31" s="25">
        <f t="shared" si="71"/>
        <v>966.90916195906129</v>
      </c>
      <c r="CW31" s="25">
        <f t="shared" si="71"/>
        <v>965.76194789952058</v>
      </c>
      <c r="CX31" s="25">
        <f t="shared" si="71"/>
        <v>972.09728538483773</v>
      </c>
      <c r="CY31" s="25">
        <f t="shared" si="71"/>
        <v>981.73981488878644</v>
      </c>
      <c r="CZ31" s="25">
        <f t="shared" si="71"/>
        <v>991.3440104842864</v>
      </c>
      <c r="DA31" s="25">
        <f t="shared" si="71"/>
        <v>990.15985646562376</v>
      </c>
      <c r="DB31" s="25">
        <f t="shared" si="71"/>
        <v>993.87130369348949</v>
      </c>
      <c r="DC31" s="25">
        <f t="shared" si="71"/>
        <v>1003.7250345043249</v>
      </c>
      <c r="DD31" s="25">
        <f t="shared" si="71"/>
        <v>1013.5394145451024</v>
      </c>
      <c r="DE31" s="25">
        <f t="shared" si="71"/>
        <v>1012.3238491517658</v>
      </c>
      <c r="DF31" s="25">
        <f t="shared" si="71"/>
        <v>1016.0576973393843</v>
      </c>
      <c r="DG31" s="25">
        <f t="shared" si="71"/>
        <v>1026.1264430995509</v>
      </c>
      <c r="DH31" s="25">
        <f t="shared" si="71"/>
        <v>1036.1547958065098</v>
      </c>
      <c r="DI31" s="25">
        <f t="shared" si="71"/>
        <v>1034.907033754133</v>
      </c>
      <c r="DJ31" s="25">
        <f t="shared" si="71"/>
        <v>1047.3246300724122</v>
      </c>
      <c r="DK31" s="25">
        <f t="shared" si="71"/>
        <v>1046.0783958481652</v>
      </c>
      <c r="DL31" s="25">
        <f t="shared" si="71"/>
        <v>1056.2999883548864</v>
      </c>
      <c r="DM31" s="25">
        <f t="shared" si="71"/>
        <v>1055.0262138742648</v>
      </c>
      <c r="DN31" s="25">
        <f t="shared" si="71"/>
        <v>1061.696453725453</v>
      </c>
      <c r="DO31" s="25">
        <f t="shared" si="71"/>
        <v>1072.2069134795452</v>
      </c>
      <c r="DP31" s="25">
        <f t="shared" si="71"/>
        <v>1082.6748167914675</v>
      </c>
      <c r="DQ31" s="25">
        <f t="shared" si="71"/>
        <v>1081.3602265486697</v>
      </c>
      <c r="DR31" s="25">
        <f t="shared" si="71"/>
        <v>1085.1634924296786</v>
      </c>
      <c r="DS31" s="25">
        <f t="shared" si="71"/>
        <v>1095.9007744267669</v>
      </c>
      <c r="DT31" s="25">
        <f t="shared" si="71"/>
        <v>1106.5943775567334</v>
      </c>
      <c r="DU31" s="25">
        <f t="shared" si="71"/>
        <v>1105.2451150336581</v>
      </c>
      <c r="DV31" s="25">
        <f t="shared" si="71"/>
        <v>1109.0722595368252</v>
      </c>
      <c r="DW31" s="25">
        <f t="shared" si="71"/>
        <v>1120.0404238044885</v>
      </c>
      <c r="DX31" s="25">
        <f t="shared" si="71"/>
        <v>1130.9637587194534</v>
      </c>
      <c r="DY31" s="25">
        <f t="shared" si="71"/>
        <v>1129.5789571090938</v>
      </c>
      <c r="DZ31" s="25">
        <f t="shared" si="71"/>
        <v>1142.8813576564894</v>
      </c>
      <c r="EA31" s="25">
        <f t="shared" si="71"/>
        <v>1141.498444838237</v>
      </c>
      <c r="EB31" s="25">
        <f t="shared" si="71"/>
        <v>1152.6289102876499</v>
      </c>
      <c r="EC31" s="25">
        <f t="shared" si="71"/>
        <v>1151.2154367827968</v>
      </c>
      <c r="ED31" s="25">
        <f t="shared" si="71"/>
        <v>1158.2454622346922</v>
      </c>
      <c r="EE31" s="25">
        <f t="shared" si="71"/>
        <v>1169.6878244926734</v>
      </c>
      <c r="EF31" s="25">
        <f t="shared" si="71"/>
        <v>1181.0829694213328</v>
      </c>
      <c r="EG31" s="25">
        <f t="shared" si="71"/>
        <v>1179.62440199293</v>
      </c>
      <c r="EH31" s="25">
        <f t="shared" ref="EH31:FM31" si="72">EH50</f>
        <v>1183.5253990614274</v>
      </c>
      <c r="EI31" s="25">
        <f t="shared" si="72"/>
        <v>1195.2112052684445</v>
      </c>
      <c r="EJ31" s="25">
        <f t="shared" si="72"/>
        <v>1206.8485551990084</v>
      </c>
      <c r="EK31" s="25">
        <f t="shared" si="72"/>
        <v>1205.351716060688</v>
      </c>
      <c r="EL31" s="25">
        <f t="shared" si="72"/>
        <v>1209.2780675930053</v>
      </c>
      <c r="EM31" s="25">
        <f t="shared" si="72"/>
        <v>1221.2116342176073</v>
      </c>
      <c r="EN31" s="25">
        <f t="shared" si="72"/>
        <v>1233.0954746449474</v>
      </c>
      <c r="EO31" s="25">
        <f t="shared" si="72"/>
        <v>1231.559407003962</v>
      </c>
      <c r="EP31" s="25">
        <f t="shared" si="72"/>
        <v>1245.8134640343101</v>
      </c>
      <c r="EQ31" s="25">
        <f t="shared" si="72"/>
        <v>1244.2796836221216</v>
      </c>
      <c r="ER31" s="25">
        <f t="shared" si="72"/>
        <v>1256.38541165024</v>
      </c>
      <c r="ES31" s="25">
        <f t="shared" si="72"/>
        <v>1254.817736561632</v>
      </c>
      <c r="ET31" s="25">
        <f t="shared" si="72"/>
        <v>1262.2337529386964</v>
      </c>
      <c r="EU31" s="25">
        <f t="shared" si="72"/>
        <v>1274.6760528658813</v>
      </c>
      <c r="EV31" s="25">
        <f t="shared" si="72"/>
        <v>1287.0659907164236</v>
      </c>
      <c r="EW31" s="25">
        <f t="shared" si="72"/>
        <v>1285.4484994145935</v>
      </c>
      <c r="EX31" s="25">
        <f t="shared" si="72"/>
        <v>1289.4531094439558</v>
      </c>
      <c r="EY31" s="25">
        <f t="shared" si="72"/>
        <v>1302.1565152331377</v>
      </c>
      <c r="EZ31" s="25">
        <f t="shared" si="72"/>
        <v>1314.8061913798647</v>
      </c>
      <c r="FA31" s="25">
        <f t="shared" si="72"/>
        <v>1313.1464552712819</v>
      </c>
      <c r="FB31" s="25">
        <f t="shared" si="72"/>
        <v>0</v>
      </c>
      <c r="FC31" s="25">
        <f t="shared" si="72"/>
        <v>0</v>
      </c>
      <c r="FD31" s="25">
        <f t="shared" si="72"/>
        <v>0</v>
      </c>
      <c r="FE31" s="25">
        <f t="shared" si="72"/>
        <v>0</v>
      </c>
      <c r="FF31" s="25">
        <f t="shared" si="72"/>
        <v>0</v>
      </c>
      <c r="FG31" s="25">
        <f t="shared" si="72"/>
        <v>0</v>
      </c>
      <c r="FH31" s="25">
        <f t="shared" si="72"/>
        <v>0</v>
      </c>
      <c r="FI31" s="25">
        <f t="shared" si="72"/>
        <v>0</v>
      </c>
      <c r="FJ31" s="25">
        <f t="shared" si="72"/>
        <v>0</v>
      </c>
      <c r="FK31" s="25">
        <f t="shared" si="72"/>
        <v>0</v>
      </c>
      <c r="FL31" s="25">
        <f t="shared" si="72"/>
        <v>0</v>
      </c>
      <c r="FM31" s="25">
        <f t="shared" si="72"/>
        <v>0</v>
      </c>
    </row>
    <row r="32" spans="2:169" x14ac:dyDescent="0.25">
      <c r="B32" t="s">
        <v>95</v>
      </c>
      <c r="C32" t="s">
        <v>94</v>
      </c>
      <c r="H32" s="31">
        <f t="shared" ref="H32:H35" si="73">SUM(I32:FM32)</f>
        <v>8758.8599170033049</v>
      </c>
      <c r="I32" s="25">
        <f>I118</f>
        <v>0</v>
      </c>
      <c r="J32" s="25">
        <f t="shared" ref="J32:BU32" si="74">J118</f>
        <v>0</v>
      </c>
      <c r="K32" s="25">
        <f t="shared" si="74"/>
        <v>0</v>
      </c>
      <c r="L32" s="25">
        <f t="shared" si="74"/>
        <v>0</v>
      </c>
      <c r="M32" s="25">
        <f t="shared" si="74"/>
        <v>0</v>
      </c>
      <c r="N32" s="25">
        <f t="shared" si="74"/>
        <v>0</v>
      </c>
      <c r="O32" s="25">
        <f t="shared" si="74"/>
        <v>0</v>
      </c>
      <c r="P32" s="25">
        <f t="shared" si="74"/>
        <v>0</v>
      </c>
      <c r="Q32" s="25">
        <f t="shared" si="74"/>
        <v>0</v>
      </c>
      <c r="R32" s="25">
        <f t="shared" si="74"/>
        <v>26.684072857976155</v>
      </c>
      <c r="S32" s="25">
        <f t="shared" si="74"/>
        <v>30.510580803682803</v>
      </c>
      <c r="T32" s="25">
        <f t="shared" si="74"/>
        <v>30.785699092673831</v>
      </c>
      <c r="U32" s="25">
        <f t="shared" si="74"/>
        <v>30.725536273932082</v>
      </c>
      <c r="V32" s="25">
        <f t="shared" si="74"/>
        <v>31.933269173556692</v>
      </c>
      <c r="W32" s="25">
        <f t="shared" si="74"/>
        <v>32.22693172016043</v>
      </c>
      <c r="X32" s="25">
        <f t="shared" si="74"/>
        <v>32.518570896862123</v>
      </c>
      <c r="Y32" s="25">
        <f t="shared" si="74"/>
        <v>32.456067966748847</v>
      </c>
      <c r="Z32" s="25">
        <f t="shared" si="74"/>
        <v>33.272955214744478</v>
      </c>
      <c r="AA32" s="25">
        <f t="shared" si="74"/>
        <v>33.579815212984606</v>
      </c>
      <c r="AB32" s="25">
        <f t="shared" si="74"/>
        <v>33.884595990824337</v>
      </c>
      <c r="AC32" s="25">
        <f t="shared" si="74"/>
        <v>33.820367810279578</v>
      </c>
      <c r="AD32" s="25">
        <f t="shared" si="74"/>
        <v>34.638638690053952</v>
      </c>
      <c r="AE32" s="25">
        <f t="shared" si="74"/>
        <v>34.95894280158906</v>
      </c>
      <c r="AF32" s="25">
        <f t="shared" si="74"/>
        <v>35.277110445962947</v>
      </c>
      <c r="AG32" s="25">
        <f t="shared" si="74"/>
        <v>35.211113883725929</v>
      </c>
      <c r="AH32" s="25">
        <f t="shared" si="74"/>
        <v>36.331055234223257</v>
      </c>
      <c r="AI32" s="25">
        <f t="shared" si="74"/>
        <v>36.265074216389038</v>
      </c>
      <c r="AJ32" s="25">
        <f t="shared" si="74"/>
        <v>36.596152397616201</v>
      </c>
      <c r="AK32" s="25">
        <f t="shared" si="74"/>
        <v>36.528713279762201</v>
      </c>
      <c r="AL32" s="25">
        <f t="shared" si="74"/>
        <v>37.449919021326565</v>
      </c>
      <c r="AM32" s="25">
        <f t="shared" si="74"/>
        <v>37.797868443495531</v>
      </c>
      <c r="AN32" s="25">
        <f t="shared" si="74"/>
        <v>38.143562575695306</v>
      </c>
      <c r="AO32" s="25">
        <f t="shared" si="74"/>
        <v>38.073895516208303</v>
      </c>
      <c r="AP32" s="25">
        <f t="shared" si="74"/>
        <v>38.896495673967415</v>
      </c>
      <c r="AQ32" s="25">
        <f t="shared" si="74"/>
        <v>39.258654990386972</v>
      </c>
      <c r="AR32" s="25">
        <f t="shared" si="74"/>
        <v>39.618497368337287</v>
      </c>
      <c r="AS32" s="25">
        <f t="shared" si="74"/>
        <v>39.54692595518447</v>
      </c>
      <c r="AT32" s="25">
        <f t="shared" si="74"/>
        <v>40.371029522497849</v>
      </c>
      <c r="AU32" s="25">
        <f t="shared" si="74"/>
        <v>40.747662789186251</v>
      </c>
      <c r="AV32" s="25">
        <f t="shared" si="74"/>
        <v>41.121915927692839</v>
      </c>
      <c r="AW32" s="25">
        <f t="shared" si="74"/>
        <v>41.048392552032553</v>
      </c>
      <c r="AX32" s="25">
        <f t="shared" si="74"/>
        <v>42.223007526144656</v>
      </c>
      <c r="AY32" s="25">
        <f t="shared" si="74"/>
        <v>42.14951952061147</v>
      </c>
      <c r="AZ32" s="25">
        <f t="shared" si="74"/>
        <v>42.537589052979897</v>
      </c>
      <c r="BA32" s="25">
        <f t="shared" si="74"/>
        <v>42.462477052154796</v>
      </c>
      <c r="BB32" s="25">
        <f t="shared" si="74"/>
        <v>43.40601494556303</v>
      </c>
      <c r="BC32" s="25">
        <f t="shared" si="74"/>
        <v>43.812406328652671</v>
      </c>
      <c r="BD32" s="25">
        <f t="shared" si="74"/>
        <v>44.216286425413408</v>
      </c>
      <c r="BE32" s="25">
        <f t="shared" si="74"/>
        <v>44.138711507573525</v>
      </c>
      <c r="BF32" s="25">
        <f t="shared" si="74"/>
        <v>44.967509679575656</v>
      </c>
      <c r="BG32" s="25">
        <f t="shared" si="74"/>
        <v>45.38919440241969</v>
      </c>
      <c r="BH32" s="25">
        <f t="shared" si="74"/>
        <v>45.808299790525766</v>
      </c>
      <c r="BI32" s="25">
        <f t="shared" si="74"/>
        <v>45.728622822561256</v>
      </c>
      <c r="BJ32" s="25">
        <f t="shared" si="74"/>
        <v>46.559048090944067</v>
      </c>
      <c r="BK32" s="25">
        <f t="shared" si="74"/>
        <v>46.996308557136381</v>
      </c>
      <c r="BL32" s="25">
        <f t="shared" si="74"/>
        <v>47.430919938971471</v>
      </c>
      <c r="BM32" s="25">
        <f t="shared" si="74"/>
        <v>47.349088369629207</v>
      </c>
      <c r="BN32" s="25">
        <f t="shared" si="74"/>
        <v>48.582736287996447</v>
      </c>
      <c r="BO32" s="25">
        <f t="shared" si="74"/>
        <v>48.500961972671469</v>
      </c>
      <c r="BP32" s="25">
        <f t="shared" si="74"/>
        <v>48.950358148809883</v>
      </c>
      <c r="BQ32" s="25">
        <f t="shared" si="74"/>
        <v>48.866776720853032</v>
      </c>
      <c r="BR32" s="25">
        <f t="shared" si="74"/>
        <v>49.834432406135981</v>
      </c>
      <c r="BS32" s="25">
        <f t="shared" si="74"/>
        <v>50.303710579061082</v>
      </c>
      <c r="BT32" s="25">
        <f t="shared" si="74"/>
        <v>50.770194893575486</v>
      </c>
      <c r="BU32" s="25">
        <f t="shared" si="74"/>
        <v>50.683891179748493</v>
      </c>
      <c r="BV32" s="25">
        <f t="shared" ref="BV32:EG32" si="75">BV118</f>
        <v>51.519387428605896</v>
      </c>
      <c r="BW32" s="25">
        <f t="shared" si="75"/>
        <v>52.005117220497304</v>
      </c>
      <c r="BX32" s="25">
        <f t="shared" si="75"/>
        <v>52.487978041266878</v>
      </c>
      <c r="BY32" s="25">
        <f t="shared" si="75"/>
        <v>52.3993540574156</v>
      </c>
      <c r="BZ32" s="25">
        <f t="shared" si="75"/>
        <v>53.236604519291753</v>
      </c>
      <c r="CA32" s="25">
        <f t="shared" si="75"/>
        <v>53.739087644986455</v>
      </c>
      <c r="CB32" s="25">
        <f t="shared" si="75"/>
        <v>54.238624809030433</v>
      </c>
      <c r="CC32" s="25">
        <f t="shared" si="75"/>
        <v>54.147622548404193</v>
      </c>
      <c r="CD32" s="25">
        <f t="shared" si="75"/>
        <v>55.444963510691203</v>
      </c>
      <c r="CE32" s="25">
        <f t="shared" si="75"/>
        <v>55.354042659802296</v>
      </c>
      <c r="CF32" s="25">
        <f t="shared" si="75"/>
        <v>55.869398752075931</v>
      </c>
      <c r="CG32" s="25">
        <f t="shared" si="75"/>
        <v>55.776468661274869</v>
      </c>
      <c r="CH32" s="25">
        <f t="shared" si="75"/>
        <v>56.770136694498838</v>
      </c>
      <c r="CI32" s="25">
        <f t="shared" si="75"/>
        <v>57.307051608128411</v>
      </c>
      <c r="CJ32" s="25">
        <f t="shared" si="75"/>
        <v>57.840860756640772</v>
      </c>
      <c r="CK32" s="25">
        <f t="shared" si="75"/>
        <v>57.744922085283605</v>
      </c>
      <c r="CL32" s="25">
        <f t="shared" si="75"/>
        <v>58.587629309407873</v>
      </c>
      <c r="CM32" s="25">
        <f t="shared" si="75"/>
        <v>59.142232815912777</v>
      </c>
      <c r="CN32" s="25">
        <f t="shared" si="75"/>
        <v>59.693647646921733</v>
      </c>
      <c r="CO32" s="25">
        <f t="shared" si="75"/>
        <v>59.595147831602013</v>
      </c>
      <c r="CP32" s="25">
        <f t="shared" si="75"/>
        <v>60.439739194324765</v>
      </c>
      <c r="CQ32" s="25">
        <f t="shared" si="75"/>
        <v>61.012353285800607</v>
      </c>
      <c r="CR32" s="25">
        <f t="shared" si="75"/>
        <v>61.581693718642285</v>
      </c>
      <c r="CS32" s="25">
        <f t="shared" si="75"/>
        <v>61.480568730760929</v>
      </c>
      <c r="CT32" s="25">
        <f t="shared" si="75"/>
        <v>62.846579084231038</v>
      </c>
      <c r="CU32" s="25">
        <f t="shared" si="75"/>
        <v>62.745562169482113</v>
      </c>
      <c r="CV32" s="25">
        <f t="shared" si="75"/>
        <v>63.331824576315519</v>
      </c>
      <c r="CW32" s="25">
        <f t="shared" si="75"/>
        <v>63.228575310956856</v>
      </c>
      <c r="CX32" s="25">
        <f t="shared" si="75"/>
        <v>64.250262533950462</v>
      </c>
      <c r="CY32" s="25">
        <f t="shared" si="75"/>
        <v>64.859884709853802</v>
      </c>
      <c r="CZ32" s="25">
        <f t="shared" si="75"/>
        <v>65.466056833996745</v>
      </c>
      <c r="DA32" s="25">
        <f t="shared" si="75"/>
        <v>65.359482972317096</v>
      </c>
      <c r="DB32" s="25">
        <f t="shared" si="75"/>
        <v>66.209924181729122</v>
      </c>
      <c r="DC32" s="25">
        <f t="shared" si="75"/>
        <v>66.838554475252252</v>
      </c>
      <c r="DD32" s="25">
        <f t="shared" si="75"/>
        <v>67.46364319947017</v>
      </c>
      <c r="DE32" s="25">
        <f t="shared" si="75"/>
        <v>67.354242314069879</v>
      </c>
      <c r="DF32" s="25">
        <f t="shared" si="75"/>
        <v>68.206699609859655</v>
      </c>
      <c r="DG32" s="25">
        <f t="shared" si="75"/>
        <v>68.854681248822601</v>
      </c>
      <c r="DH32" s="25">
        <f t="shared" si="75"/>
        <v>69.499027512996847</v>
      </c>
      <c r="DI32" s="25">
        <f t="shared" si="75"/>
        <v>69.386728928282935</v>
      </c>
      <c r="DJ32" s="25">
        <f t="shared" si="75"/>
        <v>70.826716706517104</v>
      </c>
      <c r="DK32" s="25">
        <f t="shared" si="75"/>
        <v>70.714555626334871</v>
      </c>
      <c r="DL32" s="25">
        <f t="shared" si="75"/>
        <v>71.376998951939783</v>
      </c>
      <c r="DM32" s="25">
        <f t="shared" si="75"/>
        <v>71.262359248683836</v>
      </c>
      <c r="DN32" s="25">
        <f t="shared" si="75"/>
        <v>72.314187684605841</v>
      </c>
      <c r="DO32" s="25">
        <f t="shared" si="75"/>
        <v>73.001923583022077</v>
      </c>
      <c r="DP32" s="25">
        <f t="shared" si="75"/>
        <v>73.685829401643034</v>
      </c>
      <c r="DQ32" s="25">
        <f t="shared" si="75"/>
        <v>73.567516279791235</v>
      </c>
      <c r="DR32" s="25">
        <f t="shared" si="75"/>
        <v>74.426221167986142</v>
      </c>
      <c r="DS32" s="25">
        <f t="shared" si="75"/>
        <v>75.134371068272046</v>
      </c>
      <c r="DT32" s="25">
        <f t="shared" si="75"/>
        <v>75.838589870516969</v>
      </c>
      <c r="DU32" s="25">
        <f t="shared" si="75"/>
        <v>75.717156243440186</v>
      </c>
      <c r="DV32" s="25">
        <f t="shared" si="75"/>
        <v>76.578010207629333</v>
      </c>
      <c r="DW32" s="25">
        <f t="shared" si="75"/>
        <v>77.306939512266979</v>
      </c>
      <c r="DX32" s="25">
        <f t="shared" si="75"/>
        <v>78.031834175161762</v>
      </c>
      <c r="DY32" s="25">
        <f t="shared" si="75"/>
        <v>77.907202030229413</v>
      </c>
      <c r="DZ32" s="25">
        <f t="shared" si="75"/>
        <v>79.426822189084049</v>
      </c>
      <c r="EA32" s="25">
        <f t="shared" si="75"/>
        <v>79.302360035441325</v>
      </c>
      <c r="EB32" s="25">
        <f t="shared" si="75"/>
        <v>80.046601925888496</v>
      </c>
      <c r="EC32" s="25">
        <f t="shared" si="75"/>
        <v>79.91938931045172</v>
      </c>
      <c r="ED32" s="25">
        <f t="shared" si="75"/>
        <v>81.003598450437366</v>
      </c>
      <c r="EE32" s="25">
        <f t="shared" si="75"/>
        <v>81.775205574203625</v>
      </c>
      <c r="EF32" s="25">
        <f t="shared" si="75"/>
        <v>82.54256313833092</v>
      </c>
      <c r="EG32" s="25">
        <f t="shared" si="75"/>
        <v>90.415661932790655</v>
      </c>
      <c r="EH32" s="25">
        <f t="shared" ref="EH32:FM32" si="76">EH118</f>
        <v>106.51728591552846</v>
      </c>
      <c r="EI32" s="25">
        <f t="shared" si="76"/>
        <v>107.56900847416</v>
      </c>
      <c r="EJ32" s="25">
        <f t="shared" si="76"/>
        <v>108.61636996791076</v>
      </c>
      <c r="EK32" s="25">
        <f t="shared" si="76"/>
        <v>108.48165444546191</v>
      </c>
      <c r="EL32" s="25">
        <f t="shared" si="76"/>
        <v>108.83502608337047</v>
      </c>
      <c r="EM32" s="25">
        <f t="shared" si="76"/>
        <v>109.90904707958465</v>
      </c>
      <c r="EN32" s="25">
        <f t="shared" si="76"/>
        <v>110.97859271804526</v>
      </c>
      <c r="EO32" s="25">
        <f t="shared" si="76"/>
        <v>110.84034663035658</v>
      </c>
      <c r="EP32" s="25">
        <f t="shared" si="76"/>
        <v>112.12321176308791</v>
      </c>
      <c r="EQ32" s="25">
        <f t="shared" si="76"/>
        <v>111.98517152599095</v>
      </c>
      <c r="ER32" s="25">
        <f t="shared" si="76"/>
        <v>113.0746870485216</v>
      </c>
      <c r="ES32" s="25">
        <f t="shared" si="76"/>
        <v>112.93359629054687</v>
      </c>
      <c r="ET32" s="25">
        <f t="shared" si="76"/>
        <v>113.60103776448267</v>
      </c>
      <c r="EU32" s="25">
        <f t="shared" si="76"/>
        <v>114.72084475792931</v>
      </c>
      <c r="EV32" s="25">
        <f t="shared" si="76"/>
        <v>115.83593916447812</v>
      </c>
      <c r="EW32" s="25">
        <f t="shared" si="76"/>
        <v>115.69036494731341</v>
      </c>
      <c r="EX32" s="25">
        <f t="shared" si="76"/>
        <v>116.05077984995602</v>
      </c>
      <c r="EY32" s="25">
        <f t="shared" si="76"/>
        <v>117.19408637098239</v>
      </c>
      <c r="EZ32" s="25">
        <f t="shared" si="76"/>
        <v>118.33255722418782</v>
      </c>
      <c r="FA32" s="25">
        <f t="shared" si="76"/>
        <v>118.18318097441536</v>
      </c>
      <c r="FB32" s="25">
        <f t="shared" si="76"/>
        <v>0</v>
      </c>
      <c r="FC32" s="25">
        <f t="shared" si="76"/>
        <v>0</v>
      </c>
      <c r="FD32" s="25">
        <f t="shared" si="76"/>
        <v>0</v>
      </c>
      <c r="FE32" s="25">
        <f t="shared" si="76"/>
        <v>0</v>
      </c>
      <c r="FF32" s="25">
        <f t="shared" si="76"/>
        <v>0</v>
      </c>
      <c r="FG32" s="25">
        <f t="shared" si="76"/>
        <v>0</v>
      </c>
      <c r="FH32" s="25">
        <f t="shared" si="76"/>
        <v>0</v>
      </c>
      <c r="FI32" s="25">
        <f t="shared" si="76"/>
        <v>0</v>
      </c>
      <c r="FJ32" s="25">
        <f t="shared" si="76"/>
        <v>0</v>
      </c>
      <c r="FK32" s="25">
        <f t="shared" si="76"/>
        <v>0</v>
      </c>
      <c r="FL32" s="25">
        <f t="shared" si="76"/>
        <v>0</v>
      </c>
      <c r="FM32" s="25">
        <f t="shared" si="76"/>
        <v>0</v>
      </c>
    </row>
    <row r="33" spans="2:169" x14ac:dyDescent="0.25">
      <c r="B33" t="s">
        <v>96</v>
      </c>
      <c r="C33" t="s">
        <v>94</v>
      </c>
      <c r="H33" s="31">
        <f t="shared" si="73"/>
        <v>0</v>
      </c>
      <c r="I33" s="25">
        <f>I99</f>
        <v>0</v>
      </c>
      <c r="J33" s="25">
        <f t="shared" ref="J33:BU33" si="77">J99</f>
        <v>0</v>
      </c>
      <c r="K33" s="25">
        <f t="shared" si="77"/>
        <v>2.7847081138040042</v>
      </c>
      <c r="L33" s="25">
        <f t="shared" si="77"/>
        <v>5.3897576396206546</v>
      </c>
      <c r="M33" s="25">
        <f t="shared" si="77"/>
        <v>0</v>
      </c>
      <c r="N33" s="25">
        <f t="shared" si="77"/>
        <v>0.26158290410958784</v>
      </c>
      <c r="O33" s="25">
        <f t="shared" si="77"/>
        <v>0</v>
      </c>
      <c r="P33" s="25">
        <f t="shared" si="77"/>
        <v>0</v>
      </c>
      <c r="Q33" s="25">
        <f t="shared" si="77"/>
        <v>-67.496389742045878</v>
      </c>
      <c r="R33" s="25">
        <f t="shared" si="77"/>
        <v>-138.74897335923961</v>
      </c>
      <c r="S33" s="25">
        <f t="shared" si="77"/>
        <v>0.21561186615855377</v>
      </c>
      <c r="T33" s="25">
        <f t="shared" si="77"/>
        <v>0.21798122732519687</v>
      </c>
      <c r="U33" s="25">
        <f t="shared" si="77"/>
        <v>0.21798122732516845</v>
      </c>
      <c r="V33" s="25">
        <f t="shared" si="77"/>
        <v>-7.1821203372118134</v>
      </c>
      <c r="W33" s="25">
        <f t="shared" si="77"/>
        <v>0.22399837115264631</v>
      </c>
      <c r="X33" s="25">
        <f t="shared" si="77"/>
        <v>0.22645989171468273</v>
      </c>
      <c r="Y33" s="25">
        <f t="shared" si="77"/>
        <v>0.22645989171473957</v>
      </c>
      <c r="Z33" s="25">
        <f t="shared" si="77"/>
        <v>-5.6387183071294089</v>
      </c>
      <c r="AA33" s="25">
        <f t="shared" si="77"/>
        <v>0.23018133386781869</v>
      </c>
      <c r="AB33" s="25">
        <f t="shared" si="77"/>
        <v>0.23271079907502212</v>
      </c>
      <c r="AC33" s="25">
        <f t="shared" si="77"/>
        <v>0.2327107990752495</v>
      </c>
      <c r="AD33" s="25">
        <f t="shared" si="77"/>
        <v>-5.7536898776087639</v>
      </c>
      <c r="AE33" s="25">
        <f t="shared" si="77"/>
        <v>0.23651887065096844</v>
      </c>
      <c r="AF33" s="25">
        <f t="shared" si="77"/>
        <v>0.23911797911947019</v>
      </c>
      <c r="AG33" s="25">
        <f t="shared" si="77"/>
        <v>0.23911797911964072</v>
      </c>
      <c r="AH33" s="25">
        <f t="shared" si="77"/>
        <v>-5.269129007679453</v>
      </c>
      <c r="AI33" s="25">
        <f t="shared" si="77"/>
        <v>0.24168871001546677</v>
      </c>
      <c r="AJ33" s="25">
        <f t="shared" si="77"/>
        <v>0.24434462990589623</v>
      </c>
      <c r="AK33" s="25">
        <f t="shared" si="77"/>
        <v>0.24434462990583938</v>
      </c>
      <c r="AL33" s="25">
        <f t="shared" si="77"/>
        <v>-6.5881531661216002</v>
      </c>
      <c r="AM33" s="25">
        <f t="shared" si="77"/>
        <v>0.24967322043633544</v>
      </c>
      <c r="AN33" s="25">
        <f t="shared" si="77"/>
        <v>0.25241688219921343</v>
      </c>
      <c r="AO33" s="25">
        <f t="shared" si="77"/>
        <v>0.2524168821992987</v>
      </c>
      <c r="AP33" s="25">
        <f t="shared" si="77"/>
        <v>-6.1121982909120049</v>
      </c>
      <c r="AQ33" s="25">
        <f t="shared" si="77"/>
        <v>0.25649805438365547</v>
      </c>
      <c r="AR33" s="25">
        <f t="shared" si="77"/>
        <v>0.25931671432189773</v>
      </c>
      <c r="AS33" s="25">
        <f t="shared" si="77"/>
        <v>0.25931671432178405</v>
      </c>
      <c r="AT33" s="25">
        <f t="shared" si="77"/>
        <v>-6.2363679590660297</v>
      </c>
      <c r="AU33" s="25">
        <f t="shared" si="77"/>
        <v>0.26349350917956826</v>
      </c>
      <c r="AV33" s="25">
        <f t="shared" si="77"/>
        <v>0.2663890422473969</v>
      </c>
      <c r="AW33" s="25">
        <f t="shared" si="77"/>
        <v>0.26638904224745374</v>
      </c>
      <c r="AX33" s="25">
        <f t="shared" si="77"/>
        <v>-5.7018114428150568</v>
      </c>
      <c r="AY33" s="25">
        <f t="shared" si="77"/>
        <v>0.26918683345485306</v>
      </c>
      <c r="AZ33" s="25">
        <f t="shared" si="77"/>
        <v>0.27214493052576927</v>
      </c>
      <c r="BA33" s="25">
        <f t="shared" si="77"/>
        <v>0.27214493052576927</v>
      </c>
      <c r="BB33" s="25">
        <f t="shared" si="77"/>
        <v>-7.1486235974589931</v>
      </c>
      <c r="BC33" s="25">
        <f t="shared" si="77"/>
        <v>0.27801345004050404</v>
      </c>
      <c r="BD33" s="25">
        <f t="shared" si="77"/>
        <v>0.28106854289796956</v>
      </c>
      <c r="BE33" s="25">
        <f t="shared" si="77"/>
        <v>0.28106854289811167</v>
      </c>
      <c r="BF33" s="25">
        <f t="shared" si="77"/>
        <v>-6.623464365512973</v>
      </c>
      <c r="BG33" s="25">
        <f t="shared" si="77"/>
        <v>0.28554678972778902</v>
      </c>
      <c r="BH33" s="25">
        <f t="shared" si="77"/>
        <v>0.28868466653798919</v>
      </c>
      <c r="BI33" s="25">
        <f t="shared" si="77"/>
        <v>0.28868466653804603</v>
      </c>
      <c r="BJ33" s="25">
        <f t="shared" si="77"/>
        <v>-6.7575028315757208</v>
      </c>
      <c r="BK33" s="25">
        <f t="shared" si="77"/>
        <v>0.29326846290740605</v>
      </c>
      <c r="BL33" s="25">
        <f t="shared" si="77"/>
        <v>0.29649119326899154</v>
      </c>
      <c r="BM33" s="25">
        <f t="shared" si="77"/>
        <v>0.29649119326904838</v>
      </c>
      <c r="BN33" s="25">
        <f t="shared" si="77"/>
        <v>-6.1689131584174106</v>
      </c>
      <c r="BO33" s="25">
        <f t="shared" si="77"/>
        <v>0.2995396165749753</v>
      </c>
      <c r="BP33" s="25">
        <f t="shared" si="77"/>
        <v>0.30283126071333299</v>
      </c>
      <c r="BQ33" s="25">
        <f t="shared" si="77"/>
        <v>0.30283126071321931</v>
      </c>
      <c r="BR33" s="25">
        <f t="shared" si="77"/>
        <v>-7.7535928482589043</v>
      </c>
      <c r="BS33" s="25">
        <f t="shared" si="77"/>
        <v>0.30929576080086463</v>
      </c>
      <c r="BT33" s="25">
        <f t="shared" si="77"/>
        <v>0.31269461531496745</v>
      </c>
      <c r="BU33" s="25">
        <f t="shared" si="77"/>
        <v>0.31269461531513798</v>
      </c>
      <c r="BV33" s="25">
        <f t="shared" ref="BV33:EG33" si="78">BV99</f>
        <v>-7.1752591487269228</v>
      </c>
      <c r="BW33" s="25">
        <f t="shared" si="78"/>
        <v>0.31761115825719344</v>
      </c>
      <c r="BX33" s="25">
        <f t="shared" si="78"/>
        <v>0.32110139076542055</v>
      </c>
      <c r="BY33" s="25">
        <f t="shared" si="78"/>
        <v>0.32110139076553423</v>
      </c>
      <c r="BZ33" s="25">
        <f t="shared" si="78"/>
        <v>-7.3198772386247128</v>
      </c>
      <c r="CA33" s="25">
        <f t="shared" si="78"/>
        <v>0.32613444064998021</v>
      </c>
      <c r="CB33" s="25">
        <f t="shared" si="78"/>
        <v>0.32971833560213781</v>
      </c>
      <c r="CC33" s="25">
        <f t="shared" si="78"/>
        <v>0.32971833560236519</v>
      </c>
      <c r="CD33" s="25">
        <f t="shared" si="78"/>
        <v>-6.6729063985590074</v>
      </c>
      <c r="CE33" s="25">
        <f t="shared" si="78"/>
        <v>0.33304340984949476</v>
      </c>
      <c r="CF33" s="25">
        <f t="shared" si="78"/>
        <v>0.33670322754034032</v>
      </c>
      <c r="CG33" s="25">
        <f t="shared" si="78"/>
        <v>0.3367032275400561</v>
      </c>
      <c r="CH33" s="25">
        <f t="shared" si="78"/>
        <v>-8.4062707826959695</v>
      </c>
      <c r="CI33" s="25">
        <f t="shared" si="78"/>
        <v>0.34382557866655361</v>
      </c>
      <c r="CJ33" s="25">
        <f t="shared" si="78"/>
        <v>0.34760388172884404</v>
      </c>
      <c r="CK33" s="25">
        <f t="shared" si="78"/>
        <v>0.34760388172890089</v>
      </c>
      <c r="CL33" s="25">
        <f t="shared" si="78"/>
        <v>-7.7704874714170273</v>
      </c>
      <c r="CM33" s="25">
        <f t="shared" si="78"/>
        <v>0.3530042215696767</v>
      </c>
      <c r="CN33" s="25">
        <f t="shared" si="78"/>
        <v>0.35688338883960569</v>
      </c>
      <c r="CO33" s="25">
        <f t="shared" si="78"/>
        <v>0.35688338883960569</v>
      </c>
      <c r="CP33" s="25">
        <f t="shared" si="78"/>
        <v>-7.9264372396818885</v>
      </c>
      <c r="CQ33" s="25">
        <f t="shared" si="78"/>
        <v>0.36241233054539634</v>
      </c>
      <c r="CR33" s="25">
        <f t="shared" si="78"/>
        <v>0.36639488362823158</v>
      </c>
      <c r="CS33" s="25">
        <f t="shared" si="78"/>
        <v>0.3663948836281179</v>
      </c>
      <c r="CT33" s="25">
        <f t="shared" si="78"/>
        <v>-7.2164057683312421</v>
      </c>
      <c r="CU33" s="25">
        <f t="shared" si="78"/>
        <v>0.37002532875067118</v>
      </c>
      <c r="CV33" s="25">
        <f t="shared" si="78"/>
        <v>0.3740915411547121</v>
      </c>
      <c r="CW33" s="25">
        <f t="shared" si="78"/>
        <v>0.37409154115454157</v>
      </c>
      <c r="CX33" s="25">
        <f t="shared" si="78"/>
        <v>-9.1100541465514766</v>
      </c>
      <c r="CY33" s="25">
        <f t="shared" si="78"/>
        <v>0.38194003673788757</v>
      </c>
      <c r="CZ33" s="25">
        <f t="shared" si="78"/>
        <v>0.38613717999862729</v>
      </c>
      <c r="DA33" s="25">
        <f t="shared" si="78"/>
        <v>0.38613717999874098</v>
      </c>
      <c r="DB33" s="25">
        <f t="shared" si="78"/>
        <v>-8.4122204996191954</v>
      </c>
      <c r="DC33" s="25">
        <f t="shared" si="78"/>
        <v>0.39207154109266185</v>
      </c>
      <c r="DD33" s="25">
        <f t="shared" si="78"/>
        <v>0.39638001956609514</v>
      </c>
      <c r="DE33" s="25">
        <f t="shared" si="78"/>
        <v>0.39638001956626567</v>
      </c>
      <c r="DF33" s="25">
        <f t="shared" si="78"/>
        <v>-8.5802961288565598</v>
      </c>
      <c r="DG33" s="25">
        <f t="shared" si="78"/>
        <v>0.4024563330563069</v>
      </c>
      <c r="DH33" s="25">
        <f t="shared" si="78"/>
        <v>0.40687893012278664</v>
      </c>
      <c r="DI33" s="25">
        <f t="shared" si="78"/>
        <v>0.40687893012301402</v>
      </c>
      <c r="DJ33" s="25">
        <f t="shared" si="78"/>
        <v>-7.8021711480023441</v>
      </c>
      <c r="DK33" s="25">
        <f t="shared" si="78"/>
        <v>0.41084644755403588</v>
      </c>
      <c r="DL33" s="25">
        <f t="shared" si="78"/>
        <v>0.41536124368087712</v>
      </c>
      <c r="DM33" s="25">
        <f t="shared" si="78"/>
        <v>0.41536124368087712</v>
      </c>
      <c r="DN33" s="25">
        <f t="shared" si="78"/>
        <v>-9.8685307755719123</v>
      </c>
      <c r="DO33" s="25">
        <f t="shared" si="78"/>
        <v>0.42401126687605029</v>
      </c>
      <c r="DP33" s="25">
        <f t="shared" si="78"/>
        <v>0.42867073134721068</v>
      </c>
      <c r="DQ33" s="25">
        <f t="shared" si="78"/>
        <v>0.42867073134709699</v>
      </c>
      <c r="DR33" s="25">
        <f t="shared" si="78"/>
        <v>-9.1036989643122297</v>
      </c>
      <c r="DS33" s="25">
        <f t="shared" si="78"/>
        <v>0.43519455198440937</v>
      </c>
      <c r="DT33" s="25">
        <f t="shared" si="78"/>
        <v>0.43997690969831638</v>
      </c>
      <c r="DU33" s="25">
        <f t="shared" si="78"/>
        <v>0.43997690969843006</v>
      </c>
      <c r="DV33" s="25">
        <f t="shared" si="78"/>
        <v>-9.2847374070965998</v>
      </c>
      <c r="DW33" s="25">
        <f t="shared" si="78"/>
        <v>0.44665741922028701</v>
      </c>
      <c r="DX33" s="25">
        <f t="shared" si="78"/>
        <v>0.45156574250836456</v>
      </c>
      <c r="DY33" s="25">
        <f t="shared" si="78"/>
        <v>0.45156574250847825</v>
      </c>
      <c r="DZ33" s="25">
        <f t="shared" si="78"/>
        <v>-8.4331096779842483</v>
      </c>
      <c r="EA33" s="25">
        <f t="shared" si="78"/>
        <v>0.45590532469856271</v>
      </c>
      <c r="EB33" s="25">
        <f t="shared" si="78"/>
        <v>0.46091527332185933</v>
      </c>
      <c r="EC33" s="25">
        <f t="shared" si="78"/>
        <v>0.46091527332157511</v>
      </c>
      <c r="ED33" s="25">
        <f t="shared" si="78"/>
        <v>-10.685482663550545</v>
      </c>
      <c r="EE33" s="25">
        <f t="shared" si="78"/>
        <v>0.47045003302707755</v>
      </c>
      <c r="EF33" s="25">
        <f t="shared" si="78"/>
        <v>0.47561981360962591</v>
      </c>
      <c r="EG33" s="25">
        <f t="shared" si="78"/>
        <v>0.47561981360962591</v>
      </c>
      <c r="EH33" s="25">
        <f t="shared" ref="EH33:FM33" si="79">EH99</f>
        <v>-9.848335269158099</v>
      </c>
      <c r="EI33" s="25">
        <f t="shared" si="79"/>
        <v>0.48279428728903895</v>
      </c>
      <c r="EJ33" s="25">
        <f t="shared" si="79"/>
        <v>0.48809971901732752</v>
      </c>
      <c r="EK33" s="25">
        <f t="shared" si="79"/>
        <v>0.48809971901761173</v>
      </c>
      <c r="EL33" s="25">
        <f t="shared" si="79"/>
        <v>-10.043216569183244</v>
      </c>
      <c r="EM33" s="25">
        <f t="shared" si="79"/>
        <v>0.49544714790772559</v>
      </c>
      <c r="EN33" s="25">
        <f t="shared" si="79"/>
        <v>0.50089162206040783</v>
      </c>
      <c r="EO33" s="25">
        <f t="shared" si="79"/>
        <v>0.50089162206046467</v>
      </c>
      <c r="EP33" s="25">
        <f t="shared" si="79"/>
        <v>-9.1122765902866263</v>
      </c>
      <c r="EQ33" s="25">
        <f t="shared" si="79"/>
        <v>0.50564189412807536</v>
      </c>
      <c r="ER33" s="25">
        <f t="shared" si="79"/>
        <v>0.51119839845921433</v>
      </c>
      <c r="ES33" s="25">
        <f t="shared" si="79"/>
        <v>0.5111983984590438</v>
      </c>
      <c r="ET33" s="25">
        <f t="shared" si="79"/>
        <v>-11.564887608018694</v>
      </c>
      <c r="EU33" s="25">
        <f t="shared" si="79"/>
        <v>0.52170974172912565</v>
      </c>
      <c r="EV33" s="25">
        <f t="shared" si="79"/>
        <v>0.52744281581419727</v>
      </c>
      <c r="EW33" s="25">
        <f t="shared" si="79"/>
        <v>0.52744281581408359</v>
      </c>
      <c r="EX33" s="25">
        <f t="shared" si="79"/>
        <v>-10.649714208443811</v>
      </c>
      <c r="EY33" s="25">
        <f t="shared" si="79"/>
        <v>0.5353354887089381</v>
      </c>
      <c r="EZ33" s="25">
        <f t="shared" si="79"/>
        <v>0.54121829627689522</v>
      </c>
      <c r="FA33" s="25">
        <f t="shared" si="79"/>
        <v>0.5412182962770089</v>
      </c>
      <c r="FB33" s="25">
        <f t="shared" si="79"/>
        <v>428.19993106672234</v>
      </c>
      <c r="FC33" s="25">
        <f t="shared" si="79"/>
        <v>0</v>
      </c>
      <c r="FD33" s="25">
        <f t="shared" si="79"/>
        <v>0</v>
      </c>
      <c r="FE33" s="25">
        <f t="shared" si="79"/>
        <v>0</v>
      </c>
      <c r="FF33" s="25">
        <f t="shared" si="79"/>
        <v>0</v>
      </c>
      <c r="FG33" s="25">
        <f t="shared" si="79"/>
        <v>0</v>
      </c>
      <c r="FH33" s="25">
        <f t="shared" si="79"/>
        <v>0</v>
      </c>
      <c r="FI33" s="25">
        <f t="shared" si="79"/>
        <v>0</v>
      </c>
      <c r="FJ33" s="25">
        <f t="shared" si="79"/>
        <v>0</v>
      </c>
      <c r="FK33" s="25">
        <f t="shared" si="79"/>
        <v>0</v>
      </c>
      <c r="FL33" s="25">
        <f t="shared" si="79"/>
        <v>0</v>
      </c>
      <c r="FM33" s="25">
        <f t="shared" si="79"/>
        <v>0</v>
      </c>
    </row>
    <row r="34" spans="2:169" x14ac:dyDescent="0.25">
      <c r="B34" t="s">
        <v>29</v>
      </c>
      <c r="C34" t="s">
        <v>94</v>
      </c>
      <c r="H34" s="31">
        <f t="shared" si="73"/>
        <v>-31414.999999999996</v>
      </c>
      <c r="I34" s="25">
        <f>-1 * I71</f>
        <v>0</v>
      </c>
      <c r="J34" s="25">
        <f t="shared" ref="J34:BU34" si="80">-1 * J71</f>
        <v>0</v>
      </c>
      <c r="K34" s="25">
        <f t="shared" si="80"/>
        <v>-3141.5</v>
      </c>
      <c r="L34" s="25">
        <f t="shared" si="80"/>
        <v>-5890.3125</v>
      </c>
      <c r="M34" s="25">
        <f t="shared" si="80"/>
        <v>-5890.3125</v>
      </c>
      <c r="N34" s="25">
        <f t="shared" si="80"/>
        <v>-6021.208333333333</v>
      </c>
      <c r="O34" s="25">
        <f t="shared" si="80"/>
        <v>-5131.1166666666668</v>
      </c>
      <c r="P34" s="25">
        <f t="shared" si="80"/>
        <v>-2827.35</v>
      </c>
      <c r="Q34" s="25">
        <f t="shared" si="80"/>
        <v>-2513.2000000000003</v>
      </c>
      <c r="R34" s="25">
        <f t="shared" si="80"/>
        <v>0</v>
      </c>
      <c r="S34" s="25">
        <f t="shared" si="80"/>
        <v>0</v>
      </c>
      <c r="T34" s="25">
        <f t="shared" si="80"/>
        <v>0</v>
      </c>
      <c r="U34" s="25">
        <f t="shared" si="80"/>
        <v>0</v>
      </c>
      <c r="V34" s="25">
        <f t="shared" si="80"/>
        <v>0</v>
      </c>
      <c r="W34" s="25">
        <f t="shared" si="80"/>
        <v>0</v>
      </c>
      <c r="X34" s="25">
        <f t="shared" si="80"/>
        <v>0</v>
      </c>
      <c r="Y34" s="25">
        <f t="shared" si="80"/>
        <v>0</v>
      </c>
      <c r="Z34" s="25">
        <f t="shared" si="80"/>
        <v>0</v>
      </c>
      <c r="AA34" s="25">
        <f t="shared" si="80"/>
        <v>0</v>
      </c>
      <c r="AB34" s="25">
        <f t="shared" si="80"/>
        <v>0</v>
      </c>
      <c r="AC34" s="25">
        <f t="shared" si="80"/>
        <v>0</v>
      </c>
      <c r="AD34" s="25">
        <f t="shared" si="80"/>
        <v>0</v>
      </c>
      <c r="AE34" s="25">
        <f t="shared" si="80"/>
        <v>0</v>
      </c>
      <c r="AF34" s="25">
        <f t="shared" si="80"/>
        <v>0</v>
      </c>
      <c r="AG34" s="25">
        <f t="shared" si="80"/>
        <v>0</v>
      </c>
      <c r="AH34" s="25">
        <f t="shared" si="80"/>
        <v>0</v>
      </c>
      <c r="AI34" s="25">
        <f t="shared" si="80"/>
        <v>0</v>
      </c>
      <c r="AJ34" s="25">
        <f t="shared" si="80"/>
        <v>0</v>
      </c>
      <c r="AK34" s="25">
        <f t="shared" si="80"/>
        <v>0</v>
      </c>
      <c r="AL34" s="25">
        <f t="shared" si="80"/>
        <v>0</v>
      </c>
      <c r="AM34" s="25">
        <f t="shared" si="80"/>
        <v>0</v>
      </c>
      <c r="AN34" s="25">
        <f t="shared" si="80"/>
        <v>0</v>
      </c>
      <c r="AO34" s="25">
        <f t="shared" si="80"/>
        <v>0</v>
      </c>
      <c r="AP34" s="25">
        <f t="shared" si="80"/>
        <v>0</v>
      </c>
      <c r="AQ34" s="25">
        <f t="shared" si="80"/>
        <v>0</v>
      </c>
      <c r="AR34" s="25">
        <f t="shared" si="80"/>
        <v>0</v>
      </c>
      <c r="AS34" s="25">
        <f t="shared" si="80"/>
        <v>0</v>
      </c>
      <c r="AT34" s="25">
        <f t="shared" si="80"/>
        <v>0</v>
      </c>
      <c r="AU34" s="25">
        <f t="shared" si="80"/>
        <v>0</v>
      </c>
      <c r="AV34" s="25">
        <f t="shared" si="80"/>
        <v>0</v>
      </c>
      <c r="AW34" s="25">
        <f t="shared" si="80"/>
        <v>0</v>
      </c>
      <c r="AX34" s="25">
        <f t="shared" si="80"/>
        <v>0</v>
      </c>
      <c r="AY34" s="25">
        <f t="shared" si="80"/>
        <v>0</v>
      </c>
      <c r="AZ34" s="25">
        <f t="shared" si="80"/>
        <v>0</v>
      </c>
      <c r="BA34" s="25">
        <f t="shared" si="80"/>
        <v>0</v>
      </c>
      <c r="BB34" s="25">
        <f t="shared" si="80"/>
        <v>0</v>
      </c>
      <c r="BC34" s="25">
        <f t="shared" si="80"/>
        <v>0</v>
      </c>
      <c r="BD34" s="25">
        <f t="shared" si="80"/>
        <v>0</v>
      </c>
      <c r="BE34" s="25">
        <f t="shared" si="80"/>
        <v>0</v>
      </c>
      <c r="BF34" s="25">
        <f t="shared" si="80"/>
        <v>0</v>
      </c>
      <c r="BG34" s="25">
        <f t="shared" si="80"/>
        <v>0</v>
      </c>
      <c r="BH34" s="25">
        <f t="shared" si="80"/>
        <v>0</v>
      </c>
      <c r="BI34" s="25">
        <f t="shared" si="80"/>
        <v>0</v>
      </c>
      <c r="BJ34" s="25">
        <f t="shared" si="80"/>
        <v>0</v>
      </c>
      <c r="BK34" s="25">
        <f t="shared" si="80"/>
        <v>0</v>
      </c>
      <c r="BL34" s="25">
        <f t="shared" si="80"/>
        <v>0</v>
      </c>
      <c r="BM34" s="25">
        <f t="shared" si="80"/>
        <v>0</v>
      </c>
      <c r="BN34" s="25">
        <f t="shared" si="80"/>
        <v>0</v>
      </c>
      <c r="BO34" s="25">
        <f t="shared" si="80"/>
        <v>0</v>
      </c>
      <c r="BP34" s="25">
        <f t="shared" si="80"/>
        <v>0</v>
      </c>
      <c r="BQ34" s="25">
        <f t="shared" si="80"/>
        <v>0</v>
      </c>
      <c r="BR34" s="25">
        <f t="shared" si="80"/>
        <v>0</v>
      </c>
      <c r="BS34" s="25">
        <f t="shared" si="80"/>
        <v>0</v>
      </c>
      <c r="BT34" s="25">
        <f t="shared" si="80"/>
        <v>0</v>
      </c>
      <c r="BU34" s="25">
        <f t="shared" si="80"/>
        <v>0</v>
      </c>
      <c r="BV34" s="25">
        <f t="shared" ref="BV34:EG34" si="81">-1 * BV71</f>
        <v>0</v>
      </c>
      <c r="BW34" s="25">
        <f t="shared" si="81"/>
        <v>0</v>
      </c>
      <c r="BX34" s="25">
        <f t="shared" si="81"/>
        <v>0</v>
      </c>
      <c r="BY34" s="25">
        <f t="shared" si="81"/>
        <v>0</v>
      </c>
      <c r="BZ34" s="25">
        <f t="shared" si="81"/>
        <v>0</v>
      </c>
      <c r="CA34" s="25">
        <f t="shared" si="81"/>
        <v>0</v>
      </c>
      <c r="CB34" s="25">
        <f t="shared" si="81"/>
        <v>0</v>
      </c>
      <c r="CC34" s="25">
        <f t="shared" si="81"/>
        <v>0</v>
      </c>
      <c r="CD34" s="25">
        <f t="shared" si="81"/>
        <v>0</v>
      </c>
      <c r="CE34" s="25">
        <f t="shared" si="81"/>
        <v>0</v>
      </c>
      <c r="CF34" s="25">
        <f t="shared" si="81"/>
        <v>0</v>
      </c>
      <c r="CG34" s="25">
        <f t="shared" si="81"/>
        <v>0</v>
      </c>
      <c r="CH34" s="25">
        <f t="shared" si="81"/>
        <v>0</v>
      </c>
      <c r="CI34" s="25">
        <f t="shared" si="81"/>
        <v>0</v>
      </c>
      <c r="CJ34" s="25">
        <f t="shared" si="81"/>
        <v>0</v>
      </c>
      <c r="CK34" s="25">
        <f t="shared" si="81"/>
        <v>0</v>
      </c>
      <c r="CL34" s="25">
        <f t="shared" si="81"/>
        <v>0</v>
      </c>
      <c r="CM34" s="25">
        <f t="shared" si="81"/>
        <v>0</v>
      </c>
      <c r="CN34" s="25">
        <f t="shared" si="81"/>
        <v>0</v>
      </c>
      <c r="CO34" s="25">
        <f t="shared" si="81"/>
        <v>0</v>
      </c>
      <c r="CP34" s="25">
        <f t="shared" si="81"/>
        <v>0</v>
      </c>
      <c r="CQ34" s="25">
        <f t="shared" si="81"/>
        <v>0</v>
      </c>
      <c r="CR34" s="25">
        <f t="shared" si="81"/>
        <v>0</v>
      </c>
      <c r="CS34" s="25">
        <f t="shared" si="81"/>
        <v>0</v>
      </c>
      <c r="CT34" s="25">
        <f t="shared" si="81"/>
        <v>0</v>
      </c>
      <c r="CU34" s="25">
        <f t="shared" si="81"/>
        <v>0</v>
      </c>
      <c r="CV34" s="25">
        <f t="shared" si="81"/>
        <v>0</v>
      </c>
      <c r="CW34" s="25">
        <f t="shared" si="81"/>
        <v>0</v>
      </c>
      <c r="CX34" s="25">
        <f t="shared" si="81"/>
        <v>0</v>
      </c>
      <c r="CY34" s="25">
        <f t="shared" si="81"/>
        <v>0</v>
      </c>
      <c r="CZ34" s="25">
        <f t="shared" si="81"/>
        <v>0</v>
      </c>
      <c r="DA34" s="25">
        <f t="shared" si="81"/>
        <v>0</v>
      </c>
      <c r="DB34" s="25">
        <f t="shared" si="81"/>
        <v>0</v>
      </c>
      <c r="DC34" s="25">
        <f t="shared" si="81"/>
        <v>0</v>
      </c>
      <c r="DD34" s="25">
        <f t="shared" si="81"/>
        <v>0</v>
      </c>
      <c r="DE34" s="25">
        <f t="shared" si="81"/>
        <v>0</v>
      </c>
      <c r="DF34" s="25">
        <f t="shared" si="81"/>
        <v>0</v>
      </c>
      <c r="DG34" s="25">
        <f t="shared" si="81"/>
        <v>0</v>
      </c>
      <c r="DH34" s="25">
        <f t="shared" si="81"/>
        <v>0</v>
      </c>
      <c r="DI34" s="25">
        <f t="shared" si="81"/>
        <v>0</v>
      </c>
      <c r="DJ34" s="25">
        <f t="shared" si="81"/>
        <v>0</v>
      </c>
      <c r="DK34" s="25">
        <f t="shared" si="81"/>
        <v>0</v>
      </c>
      <c r="DL34" s="25">
        <f t="shared" si="81"/>
        <v>0</v>
      </c>
      <c r="DM34" s="25">
        <f t="shared" si="81"/>
        <v>0</v>
      </c>
      <c r="DN34" s="25">
        <f t="shared" si="81"/>
        <v>0</v>
      </c>
      <c r="DO34" s="25">
        <f t="shared" si="81"/>
        <v>0</v>
      </c>
      <c r="DP34" s="25">
        <f t="shared" si="81"/>
        <v>0</v>
      </c>
      <c r="DQ34" s="25">
        <f t="shared" si="81"/>
        <v>0</v>
      </c>
      <c r="DR34" s="25">
        <f t="shared" si="81"/>
        <v>0</v>
      </c>
      <c r="DS34" s="25">
        <f t="shared" si="81"/>
        <v>0</v>
      </c>
      <c r="DT34" s="25">
        <f t="shared" si="81"/>
        <v>0</v>
      </c>
      <c r="DU34" s="25">
        <f t="shared" si="81"/>
        <v>0</v>
      </c>
      <c r="DV34" s="25">
        <f t="shared" si="81"/>
        <v>0</v>
      </c>
      <c r="DW34" s="25">
        <f t="shared" si="81"/>
        <v>0</v>
      </c>
      <c r="DX34" s="25">
        <f t="shared" si="81"/>
        <v>0</v>
      </c>
      <c r="DY34" s="25">
        <f t="shared" si="81"/>
        <v>0</v>
      </c>
      <c r="DZ34" s="25">
        <f t="shared" si="81"/>
        <v>0</v>
      </c>
      <c r="EA34" s="25">
        <f t="shared" si="81"/>
        <v>0</v>
      </c>
      <c r="EB34" s="25">
        <f t="shared" si="81"/>
        <v>0</v>
      </c>
      <c r="EC34" s="25">
        <f t="shared" si="81"/>
        <v>0</v>
      </c>
      <c r="ED34" s="25">
        <f t="shared" si="81"/>
        <v>0</v>
      </c>
      <c r="EE34" s="25">
        <f t="shared" si="81"/>
        <v>0</v>
      </c>
      <c r="EF34" s="25">
        <f t="shared" si="81"/>
        <v>0</v>
      </c>
      <c r="EG34" s="25">
        <f t="shared" si="81"/>
        <v>0</v>
      </c>
      <c r="EH34" s="25">
        <f t="shared" ref="EH34:FM34" si="82">-1 * EH71</f>
        <v>0</v>
      </c>
      <c r="EI34" s="25">
        <f t="shared" si="82"/>
        <v>0</v>
      </c>
      <c r="EJ34" s="25">
        <f t="shared" si="82"/>
        <v>0</v>
      </c>
      <c r="EK34" s="25">
        <f t="shared" si="82"/>
        <v>0</v>
      </c>
      <c r="EL34" s="25">
        <f t="shared" si="82"/>
        <v>0</v>
      </c>
      <c r="EM34" s="25">
        <f t="shared" si="82"/>
        <v>0</v>
      </c>
      <c r="EN34" s="25">
        <f t="shared" si="82"/>
        <v>0</v>
      </c>
      <c r="EO34" s="25">
        <f t="shared" si="82"/>
        <v>0</v>
      </c>
      <c r="EP34" s="25">
        <f t="shared" si="82"/>
        <v>0</v>
      </c>
      <c r="EQ34" s="25">
        <f t="shared" si="82"/>
        <v>0</v>
      </c>
      <c r="ER34" s="25">
        <f t="shared" si="82"/>
        <v>0</v>
      </c>
      <c r="ES34" s="25">
        <f t="shared" si="82"/>
        <v>0</v>
      </c>
      <c r="ET34" s="25">
        <f t="shared" si="82"/>
        <v>0</v>
      </c>
      <c r="EU34" s="25">
        <f t="shared" si="82"/>
        <v>0</v>
      </c>
      <c r="EV34" s="25">
        <f t="shared" si="82"/>
        <v>0</v>
      </c>
      <c r="EW34" s="25">
        <f t="shared" si="82"/>
        <v>0</v>
      </c>
      <c r="EX34" s="25">
        <f t="shared" si="82"/>
        <v>0</v>
      </c>
      <c r="EY34" s="25">
        <f t="shared" si="82"/>
        <v>0</v>
      </c>
      <c r="EZ34" s="25">
        <f t="shared" si="82"/>
        <v>0</v>
      </c>
      <c r="FA34" s="25">
        <f t="shared" si="82"/>
        <v>0</v>
      </c>
      <c r="FB34" s="25">
        <f t="shared" si="82"/>
        <v>0</v>
      </c>
      <c r="FC34" s="25">
        <f t="shared" si="82"/>
        <v>0</v>
      </c>
      <c r="FD34" s="25">
        <f t="shared" si="82"/>
        <v>0</v>
      </c>
      <c r="FE34" s="25">
        <f t="shared" si="82"/>
        <v>0</v>
      </c>
      <c r="FF34" s="25">
        <f t="shared" si="82"/>
        <v>0</v>
      </c>
      <c r="FG34" s="25">
        <f t="shared" si="82"/>
        <v>0</v>
      </c>
      <c r="FH34" s="25">
        <f t="shared" si="82"/>
        <v>0</v>
      </c>
      <c r="FI34" s="25">
        <f t="shared" si="82"/>
        <v>0</v>
      </c>
      <c r="FJ34" s="25">
        <f t="shared" si="82"/>
        <v>0</v>
      </c>
      <c r="FK34" s="25">
        <f t="shared" si="82"/>
        <v>0</v>
      </c>
      <c r="FL34" s="25">
        <f t="shared" si="82"/>
        <v>0</v>
      </c>
      <c r="FM34" s="25">
        <f t="shared" si="82"/>
        <v>0</v>
      </c>
    </row>
    <row r="35" spans="2:169" x14ac:dyDescent="0.25">
      <c r="B35" s="29" t="s">
        <v>97</v>
      </c>
      <c r="C35" s="29" t="s">
        <v>94</v>
      </c>
      <c r="D35" s="29"/>
      <c r="E35" s="29"/>
      <c r="F35" s="29"/>
      <c r="G35" s="29"/>
      <c r="H35" s="32">
        <f t="shared" si="73"/>
        <v>106079.52566148438</v>
      </c>
      <c r="I35" s="30">
        <f>SUM(I31:I34)</f>
        <v>0</v>
      </c>
      <c r="J35" s="30">
        <f t="shared" ref="J35:BU35" si="83">SUM(J31:J34)</f>
        <v>0</v>
      </c>
      <c r="K35" s="30">
        <f t="shared" si="83"/>
        <v>-3147.1622398314016</v>
      </c>
      <c r="L35" s="30">
        <f t="shared" si="83"/>
        <v>-5909.9911040042152</v>
      </c>
      <c r="M35" s="30">
        <f t="shared" si="83"/>
        <v>-5915.3808616438355</v>
      </c>
      <c r="N35" s="30">
        <f t="shared" si="83"/>
        <v>-6046.254896401826</v>
      </c>
      <c r="O35" s="30">
        <f t="shared" si="83"/>
        <v>-5156.7060142611872</v>
      </c>
      <c r="P35" s="30">
        <f t="shared" si="83"/>
        <v>-2853.2205492164385</v>
      </c>
      <c r="Q35" s="30">
        <f t="shared" si="83"/>
        <v>-2399.5780104162104</v>
      </c>
      <c r="R35" s="30">
        <f t="shared" si="83"/>
        <v>487.95668664478205</v>
      </c>
      <c r="S35" s="30">
        <f t="shared" si="83"/>
        <v>630.09375715520582</v>
      </c>
      <c r="T35" s="30">
        <f t="shared" si="83"/>
        <v>636.28922579415257</v>
      </c>
      <c r="U35" s="30">
        <f t="shared" si="83"/>
        <v>635.56058721161367</v>
      </c>
      <c r="V35" s="30">
        <f t="shared" si="83"/>
        <v>637.77073021680735</v>
      </c>
      <c r="W35" s="30">
        <f t="shared" si="83"/>
        <v>651.60237842795107</v>
      </c>
      <c r="X35" s="30">
        <f t="shared" si="83"/>
        <v>658.00586419358979</v>
      </c>
      <c r="Y35" s="30">
        <f t="shared" si="83"/>
        <v>657.24888426221787</v>
      </c>
      <c r="Z35" s="30">
        <f t="shared" si="83"/>
        <v>655.53921874571961</v>
      </c>
      <c r="AA35" s="30">
        <f t="shared" si="83"/>
        <v>667.99348369264783</v>
      </c>
      <c r="AB35" s="30">
        <f t="shared" si="83"/>
        <v>674.55619679449239</v>
      </c>
      <c r="AC35" s="30">
        <f t="shared" si="83"/>
        <v>673.77832216345053</v>
      </c>
      <c r="AD35" s="30">
        <f t="shared" si="83"/>
        <v>671.96419148732173</v>
      </c>
      <c r="AE35" s="30">
        <f t="shared" si="83"/>
        <v>684.70258869141821</v>
      </c>
      <c r="AF35" s="30">
        <f t="shared" si="83"/>
        <v>691.42750126454894</v>
      </c>
      <c r="AG35" s="30">
        <f t="shared" si="83"/>
        <v>690.62820956634528</v>
      </c>
      <c r="AH35" s="30">
        <f t="shared" si="83"/>
        <v>695.10142882902448</v>
      </c>
      <c r="AI35" s="30">
        <f t="shared" si="83"/>
        <v>699.81314310850485</v>
      </c>
      <c r="AJ35" s="30">
        <f t="shared" si="83"/>
        <v>706.68663477881307</v>
      </c>
      <c r="AK35" s="30">
        <f t="shared" si="83"/>
        <v>705.86987212924805</v>
      </c>
      <c r="AL35" s="30">
        <f t="shared" si="83"/>
        <v>705.17745665533266</v>
      </c>
      <c r="AM35" s="30">
        <f t="shared" si="83"/>
        <v>719.09828692651536</v>
      </c>
      <c r="AN35" s="30">
        <f t="shared" si="83"/>
        <v>726.15672040549839</v>
      </c>
      <c r="AO35" s="30">
        <f t="shared" si="83"/>
        <v>725.31297490726695</v>
      </c>
      <c r="AP35" s="30">
        <f t="shared" si="83"/>
        <v>723.17306210141476</v>
      </c>
      <c r="AQ35" s="30">
        <f t="shared" si="83"/>
        <v>736.79685993948124</v>
      </c>
      <c r="AR35" s="30">
        <f t="shared" si="83"/>
        <v>744.0267193929518</v>
      </c>
      <c r="AS35" s="30">
        <f t="shared" si="83"/>
        <v>743.15991005587864</v>
      </c>
      <c r="AT35" s="30">
        <f t="shared" si="83"/>
        <v>740.90713570990715</v>
      </c>
      <c r="AU35" s="30">
        <f t="shared" si="83"/>
        <v>754.83739429084631</v>
      </c>
      <c r="AV35" s="30">
        <f t="shared" si="83"/>
        <v>762.2418609397389</v>
      </c>
      <c r="AW35" s="30">
        <f t="shared" si="83"/>
        <v>761.35141116785326</v>
      </c>
      <c r="AX35" s="30">
        <f t="shared" si="83"/>
        <v>766.02683526271471</v>
      </c>
      <c r="AY35" s="30">
        <f t="shared" si="83"/>
        <v>771.10781213863811</v>
      </c>
      <c r="AZ35" s="30">
        <f t="shared" si="83"/>
        <v>778.67183457217118</v>
      </c>
      <c r="BA35" s="30">
        <f t="shared" si="83"/>
        <v>777.76214478440045</v>
      </c>
      <c r="BB35" s="30">
        <f t="shared" si="83"/>
        <v>776.75192575085907</v>
      </c>
      <c r="BC35" s="30">
        <f t="shared" si="83"/>
        <v>791.96936376524479</v>
      </c>
      <c r="BD35" s="30">
        <f t="shared" si="83"/>
        <v>799.73280535722745</v>
      </c>
      <c r="BE35" s="30">
        <f t="shared" si="83"/>
        <v>798.79328690783336</v>
      </c>
      <c r="BF35" s="30">
        <f t="shared" si="83"/>
        <v>796.188521205847</v>
      </c>
      <c r="BG35" s="30">
        <f t="shared" si="83"/>
        <v>811.0735526649994</v>
      </c>
      <c r="BH35" s="30">
        <f t="shared" si="83"/>
        <v>819.02147223611712</v>
      </c>
      <c r="BI35" s="30">
        <f t="shared" si="83"/>
        <v>818.05649562410269</v>
      </c>
      <c r="BJ35" s="30">
        <f t="shared" si="83"/>
        <v>815.32978127746833</v>
      </c>
      <c r="BK35" s="30">
        <f t="shared" si="83"/>
        <v>830.54521243419231</v>
      </c>
      <c r="BL35" s="30">
        <f t="shared" si="83"/>
        <v>838.68101167180157</v>
      </c>
      <c r="BM35" s="30">
        <f t="shared" si="83"/>
        <v>837.68994044310091</v>
      </c>
      <c r="BN35" s="30">
        <f t="shared" si="83"/>
        <v>842.58311521842847</v>
      </c>
      <c r="BO35" s="30">
        <f t="shared" si="83"/>
        <v>848.06119017448498</v>
      </c>
      <c r="BP35" s="30">
        <f t="shared" si="83"/>
        <v>856.36827995185524</v>
      </c>
      <c r="BQ35" s="30">
        <f t="shared" si="83"/>
        <v>855.35601599104439</v>
      </c>
      <c r="BR35" s="30">
        <f t="shared" si="83"/>
        <v>854.00223463366501</v>
      </c>
      <c r="BS35" s="30">
        <f t="shared" si="83"/>
        <v>870.61755310872934</v>
      </c>
      <c r="BT35" s="30">
        <f t="shared" si="83"/>
        <v>879.1395450996074</v>
      </c>
      <c r="BU35" s="30">
        <f t="shared" si="83"/>
        <v>878.09431123214745</v>
      </c>
      <c r="BV35" s="30">
        <f t="shared" ref="BV35:EG35" si="84">SUM(BV31:BV34)</f>
        <v>874.98724582755483</v>
      </c>
      <c r="BW35" s="30">
        <f t="shared" si="84"/>
        <v>891.23179338580212</v>
      </c>
      <c r="BX35" s="30">
        <f t="shared" si="84"/>
        <v>899.95221444154242</v>
      </c>
      <c r="BY35" s="30">
        <f t="shared" si="84"/>
        <v>898.87887952601045</v>
      </c>
      <c r="BZ35" s="30">
        <f t="shared" si="84"/>
        <v>895.6400347248524</v>
      </c>
      <c r="CA35" s="30">
        <f t="shared" si="84"/>
        <v>912.24062514256354</v>
      </c>
      <c r="CB35" s="30">
        <f t="shared" si="84"/>
        <v>921.16310890707109</v>
      </c>
      <c r="CC35" s="30">
        <f t="shared" si="84"/>
        <v>920.06097041726468</v>
      </c>
      <c r="CD35" s="30">
        <f t="shared" si="84"/>
        <v>925.18831834203445</v>
      </c>
      <c r="CE35" s="30">
        <f t="shared" si="84"/>
        <v>931.09311562301059</v>
      </c>
      <c r="CF35" s="30">
        <f t="shared" si="84"/>
        <v>940.1994214471265</v>
      </c>
      <c r="CG35" s="30">
        <f t="shared" si="84"/>
        <v>939.07393479186896</v>
      </c>
      <c r="CH35" s="30">
        <f t="shared" si="84"/>
        <v>937.34864196940032</v>
      </c>
      <c r="CI35" s="30">
        <f t="shared" si="84"/>
        <v>955.47032427863269</v>
      </c>
      <c r="CJ35" s="30">
        <f t="shared" si="84"/>
        <v>964.80807426314527</v>
      </c>
      <c r="CK35" s="30">
        <f t="shared" si="84"/>
        <v>963.64615035448639</v>
      </c>
      <c r="CL35" s="30">
        <f t="shared" si="84"/>
        <v>959.99628028346638</v>
      </c>
      <c r="CM35" s="30">
        <f t="shared" si="84"/>
        <v>977.70558643803531</v>
      </c>
      <c r="CN35" s="30">
        <f t="shared" si="84"/>
        <v>987.25666166365886</v>
      </c>
      <c r="CO35" s="30">
        <f t="shared" si="84"/>
        <v>986.06371945589785</v>
      </c>
      <c r="CP35" s="30">
        <f t="shared" si="84"/>
        <v>982.27143912141719</v>
      </c>
      <c r="CQ35" s="30">
        <f t="shared" si="84"/>
        <v>1000.3642313489859</v>
      </c>
      <c r="CR35" s="30">
        <f t="shared" si="84"/>
        <v>1010.132508915952</v>
      </c>
      <c r="CS35" s="30">
        <f t="shared" si="84"/>
        <v>1008.907772951611</v>
      </c>
      <c r="CT35" s="30">
        <f t="shared" si="84"/>
        <v>1014.2866075851335</v>
      </c>
      <c r="CU35" s="30">
        <f t="shared" si="84"/>
        <v>1020.6496116035896</v>
      </c>
      <c r="CV35" s="30">
        <f t="shared" si="84"/>
        <v>1030.6150780765315</v>
      </c>
      <c r="CW35" s="30">
        <f t="shared" si="84"/>
        <v>1029.364614751632</v>
      </c>
      <c r="CX35" s="30">
        <f t="shared" si="84"/>
        <v>1027.2374937722368</v>
      </c>
      <c r="CY35" s="30">
        <f t="shared" si="84"/>
        <v>1046.9816396353781</v>
      </c>
      <c r="CZ35" s="30">
        <f t="shared" si="84"/>
        <v>1057.196204498282</v>
      </c>
      <c r="DA35" s="30">
        <f t="shared" si="84"/>
        <v>1055.9054766179395</v>
      </c>
      <c r="DB35" s="30">
        <f t="shared" si="84"/>
        <v>1051.6690073755994</v>
      </c>
      <c r="DC35" s="30">
        <f t="shared" si="84"/>
        <v>1070.9556605206699</v>
      </c>
      <c r="DD35" s="30">
        <f t="shared" si="84"/>
        <v>1081.3994377641386</v>
      </c>
      <c r="DE35" s="30">
        <f t="shared" si="84"/>
        <v>1080.074471485402</v>
      </c>
      <c r="DF35" s="30">
        <f t="shared" si="84"/>
        <v>1075.6841008203874</v>
      </c>
      <c r="DG35" s="30">
        <f t="shared" si="84"/>
        <v>1095.3835806814297</v>
      </c>
      <c r="DH35" s="30">
        <f t="shared" si="84"/>
        <v>1106.0607022496295</v>
      </c>
      <c r="DI35" s="30">
        <f t="shared" si="84"/>
        <v>1104.7006416125389</v>
      </c>
      <c r="DJ35" s="30">
        <f t="shared" si="84"/>
        <v>1110.349175630927</v>
      </c>
      <c r="DK35" s="30">
        <f t="shared" si="84"/>
        <v>1117.203797922054</v>
      </c>
      <c r="DL35" s="30">
        <f t="shared" si="84"/>
        <v>1128.0923485505073</v>
      </c>
      <c r="DM35" s="30">
        <f t="shared" si="84"/>
        <v>1126.7039343666297</v>
      </c>
      <c r="DN35" s="30">
        <f t="shared" si="84"/>
        <v>1124.1421106344869</v>
      </c>
      <c r="DO35" s="30">
        <f t="shared" si="84"/>
        <v>1145.6328483294433</v>
      </c>
      <c r="DP35" s="30">
        <f t="shared" si="84"/>
        <v>1156.7893169244578</v>
      </c>
      <c r="DQ35" s="30">
        <f t="shared" si="84"/>
        <v>1155.3564135598081</v>
      </c>
      <c r="DR35" s="30">
        <f t="shared" si="84"/>
        <v>1150.4860146333526</v>
      </c>
      <c r="DS35" s="30">
        <f t="shared" si="84"/>
        <v>1171.4703400470235</v>
      </c>
      <c r="DT35" s="30">
        <f t="shared" si="84"/>
        <v>1182.8729443369486</v>
      </c>
      <c r="DU35" s="30">
        <f t="shared" si="84"/>
        <v>1181.4022481867969</v>
      </c>
      <c r="DV35" s="30">
        <f t="shared" si="84"/>
        <v>1176.365532337358</v>
      </c>
      <c r="DW35" s="30">
        <f t="shared" si="84"/>
        <v>1197.7940207359757</v>
      </c>
      <c r="DX35" s="30">
        <f t="shared" si="84"/>
        <v>1209.4471586371235</v>
      </c>
      <c r="DY35" s="30">
        <f t="shared" si="84"/>
        <v>1207.9377248818319</v>
      </c>
      <c r="DZ35" s="30">
        <f t="shared" si="84"/>
        <v>1213.8750701675892</v>
      </c>
      <c r="EA35" s="30">
        <f t="shared" si="84"/>
        <v>1221.2567101983768</v>
      </c>
      <c r="EB35" s="30">
        <f t="shared" si="84"/>
        <v>1233.1364274868604</v>
      </c>
      <c r="EC35" s="30">
        <f t="shared" si="84"/>
        <v>1231.5957413665701</v>
      </c>
      <c r="ED35" s="30">
        <f t="shared" si="84"/>
        <v>1228.5635780215789</v>
      </c>
      <c r="EE35" s="30">
        <f t="shared" si="84"/>
        <v>1251.933480099904</v>
      </c>
      <c r="EF35" s="30">
        <f t="shared" si="84"/>
        <v>1264.1011523732734</v>
      </c>
      <c r="EG35" s="30">
        <f t="shared" si="84"/>
        <v>1270.5156837393304</v>
      </c>
      <c r="EH35" s="30">
        <f t="shared" ref="EH35:FM35" si="85">SUM(EH31:EH34)</f>
        <v>1280.1943497077978</v>
      </c>
      <c r="EI35" s="30">
        <f t="shared" si="85"/>
        <v>1303.2630080298936</v>
      </c>
      <c r="EJ35" s="30">
        <f t="shared" si="85"/>
        <v>1315.9530248859364</v>
      </c>
      <c r="EK35" s="30">
        <f t="shared" si="85"/>
        <v>1314.3214702251676</v>
      </c>
      <c r="EL35" s="30">
        <f t="shared" si="85"/>
        <v>1308.0698771071925</v>
      </c>
      <c r="EM35" s="30">
        <f t="shared" si="85"/>
        <v>1331.6161284450998</v>
      </c>
      <c r="EN35" s="30">
        <f t="shared" si="85"/>
        <v>1344.5749589850532</v>
      </c>
      <c r="EO35" s="30">
        <f t="shared" si="85"/>
        <v>1342.900645256379</v>
      </c>
      <c r="EP35" s="30">
        <f t="shared" si="85"/>
        <v>1348.8243992071114</v>
      </c>
      <c r="EQ35" s="30">
        <f t="shared" si="85"/>
        <v>1356.7704970422405</v>
      </c>
      <c r="ER35" s="30">
        <f t="shared" si="85"/>
        <v>1369.9712970972209</v>
      </c>
      <c r="ES35" s="30">
        <f t="shared" si="85"/>
        <v>1368.2625312506379</v>
      </c>
      <c r="ET35" s="30">
        <f t="shared" si="85"/>
        <v>1364.2699030951603</v>
      </c>
      <c r="EU35" s="30">
        <f t="shared" si="85"/>
        <v>1389.9186073655399</v>
      </c>
      <c r="EV35" s="30">
        <f t="shared" si="85"/>
        <v>1403.4293726967157</v>
      </c>
      <c r="EW35" s="30">
        <f t="shared" si="85"/>
        <v>1401.6663071777209</v>
      </c>
      <c r="EX35" s="30">
        <f t="shared" si="85"/>
        <v>1394.8541750854679</v>
      </c>
      <c r="EY35" s="30">
        <f t="shared" si="85"/>
        <v>1419.885937092829</v>
      </c>
      <c r="EZ35" s="30">
        <f t="shared" si="85"/>
        <v>1433.6799669003294</v>
      </c>
      <c r="FA35" s="30">
        <f t="shared" si="85"/>
        <v>1431.8708545419743</v>
      </c>
      <c r="FB35" s="30">
        <f t="shared" si="85"/>
        <v>428.19993106672234</v>
      </c>
      <c r="FC35" s="30">
        <f t="shared" si="85"/>
        <v>0</v>
      </c>
      <c r="FD35" s="30">
        <f t="shared" si="85"/>
        <v>0</v>
      </c>
      <c r="FE35" s="30">
        <f t="shared" si="85"/>
        <v>0</v>
      </c>
      <c r="FF35" s="30">
        <f t="shared" si="85"/>
        <v>0</v>
      </c>
      <c r="FG35" s="30">
        <f t="shared" si="85"/>
        <v>0</v>
      </c>
      <c r="FH35" s="30">
        <f t="shared" si="85"/>
        <v>0</v>
      </c>
      <c r="FI35" s="30">
        <f t="shared" si="85"/>
        <v>0</v>
      </c>
      <c r="FJ35" s="30">
        <f t="shared" si="85"/>
        <v>0</v>
      </c>
      <c r="FK35" s="30">
        <f t="shared" si="85"/>
        <v>0</v>
      </c>
      <c r="FL35" s="30">
        <f t="shared" si="85"/>
        <v>0</v>
      </c>
      <c r="FM35" s="30">
        <f t="shared" si="85"/>
        <v>0</v>
      </c>
    </row>
    <row r="36" spans="2:169" x14ac:dyDescent="0.25"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</row>
    <row r="37" spans="2:169" x14ac:dyDescent="0.25">
      <c r="B37" t="s">
        <v>1</v>
      </c>
      <c r="C37" t="s">
        <v>2</v>
      </c>
      <c r="D37" s="43">
        <f>SUM(I37:FM37)</f>
        <v>9.384409667968753E-2</v>
      </c>
      <c r="I37" s="22">
        <f>IFERROR(I$27 * XIRR(I35:$FM35, I$4:$FM$4,0), 0)</f>
        <v>0</v>
      </c>
      <c r="J37" s="22">
        <f>IFERROR(J$27 * XIRR(J35:$FM35, J$4:$FM$4,0), 0)</f>
        <v>0</v>
      </c>
      <c r="K37" s="22">
        <f>IFERROR(K$27 * XIRR(K35:$FM35, K$4:$FM$4,0), 0)</f>
        <v>9.384409667968753E-2</v>
      </c>
      <c r="L37" s="22">
        <f>IFERROR(L$27 * XIRR(L35:$FM35, L$4:$FM$4,0), 0)</f>
        <v>0</v>
      </c>
      <c r="M37" s="22">
        <f>IFERROR(M$27 * XIRR(M35:$FM35, M$4:$FM$4,0), 0)</f>
        <v>0</v>
      </c>
      <c r="N37" s="22">
        <f>IFERROR(N$27 * XIRR(N35:$FM35, N$4:$FM$4,0), 0)</f>
        <v>0</v>
      </c>
      <c r="O37" s="22">
        <f>IFERROR(O$27 * XIRR(O35:$FM35, O$4:$FM$4,0), 0)</f>
        <v>0</v>
      </c>
      <c r="P37" s="22">
        <f>IFERROR(P$27 * XIRR(P35:$FM35, P$4:$FM$4,0), 0)</f>
        <v>0</v>
      </c>
      <c r="Q37" s="22">
        <f>IFERROR(Q$27 * XIRR(Q35:$FM35, Q$4:$FM$4,0), 0)</f>
        <v>0</v>
      </c>
      <c r="R37" s="22">
        <f>IFERROR(R$27 * XIRR(R35:$FM35, R$4:$FM$4,0), 0)</f>
        <v>0</v>
      </c>
      <c r="S37" s="22">
        <f>IFERROR(S$27 * XIRR(S35:$FM35, S$4:$FM$4,0), 0)</f>
        <v>0</v>
      </c>
      <c r="T37" s="22">
        <f>IFERROR(T$27 * XIRR(T35:$FM35, T$4:$FM$4,0), 0)</f>
        <v>0</v>
      </c>
      <c r="U37" s="22">
        <f>IFERROR(U$27 * XIRR(U35:$FM35, U$4:$FM$4,0), 0)</f>
        <v>0</v>
      </c>
      <c r="V37" s="22">
        <f>IFERROR(V$27 * XIRR(V35:$FM35, V$4:$FM$4,0), 0)</f>
        <v>0</v>
      </c>
      <c r="W37" s="22">
        <f>IFERROR(W$27 * XIRR(W35:$FM35, W$4:$FM$4,0), 0)</f>
        <v>0</v>
      </c>
      <c r="X37" s="22">
        <f>IFERROR(X$27 * XIRR(X35:$FM35, X$4:$FM$4,0), 0)</f>
        <v>0</v>
      </c>
      <c r="Y37" s="22">
        <f>IFERROR(Y$27 * XIRR(Y35:$FM35, Y$4:$FM$4,0), 0)</f>
        <v>0</v>
      </c>
      <c r="Z37" s="22">
        <f>IFERROR(Z$27 * XIRR(Z35:$FM35, Z$4:$FM$4,0), 0)</f>
        <v>0</v>
      </c>
      <c r="AA37" s="22">
        <f>IFERROR(AA$27 * XIRR(AA35:$FM35, AA$4:$FM$4,0), 0)</f>
        <v>0</v>
      </c>
      <c r="AB37" s="22">
        <f>IFERROR(AB$27 * XIRR(AB35:$FM35, AB$4:$FM$4,0), 0)</f>
        <v>0</v>
      </c>
      <c r="AC37" s="22">
        <f>IFERROR(AC$27 * XIRR(AC35:$FM35, AC$4:$FM$4,0), 0)</f>
        <v>0</v>
      </c>
      <c r="AD37" s="22">
        <f>IFERROR(AD$27 * XIRR(AD35:$FM35, AD$4:$FM$4,0), 0)</f>
        <v>0</v>
      </c>
      <c r="AE37" s="22">
        <f>IFERROR(AE$27 * XIRR(AE35:$FM35, AE$4:$FM$4,0), 0)</f>
        <v>0</v>
      </c>
      <c r="AF37" s="22">
        <f>IFERROR(AF$27 * XIRR(AF35:$FM35, AF$4:$FM$4,0), 0)</f>
        <v>0</v>
      </c>
      <c r="AG37" s="22">
        <f>IFERROR(AG$27 * XIRR(AG35:$FM35, AG$4:$FM$4,0), 0)</f>
        <v>0</v>
      </c>
      <c r="AH37" s="22">
        <f>IFERROR(AH$27 * XIRR(AH35:$FM35, AH$4:$FM$4,0), 0)</f>
        <v>0</v>
      </c>
      <c r="AI37" s="22">
        <f>IFERROR(AI$27 * XIRR(AI35:$FM35, AI$4:$FM$4,0), 0)</f>
        <v>0</v>
      </c>
      <c r="AJ37" s="22">
        <f>IFERROR(AJ$27 * XIRR(AJ35:$FM35, AJ$4:$FM$4,0), 0)</f>
        <v>0</v>
      </c>
      <c r="AK37" s="22">
        <f>IFERROR(AK$27 * XIRR(AK35:$FM35, AK$4:$FM$4,0), 0)</f>
        <v>0</v>
      </c>
      <c r="AL37" s="22">
        <f>IFERROR(AL$27 * XIRR(AL35:$FM35, AL$4:$FM$4,0), 0)</f>
        <v>0</v>
      </c>
      <c r="AM37" s="22">
        <f>IFERROR(AM$27 * XIRR(AM35:$FM35, AM$4:$FM$4,0), 0)</f>
        <v>0</v>
      </c>
      <c r="AN37" s="22">
        <f>IFERROR(AN$27 * XIRR(AN35:$FM35, AN$4:$FM$4,0), 0)</f>
        <v>0</v>
      </c>
      <c r="AO37" s="22">
        <f>IFERROR(AO$27 * XIRR(AO35:$FM35, AO$4:$FM$4,0), 0)</f>
        <v>0</v>
      </c>
      <c r="AP37" s="22">
        <f>IFERROR(AP$27 * XIRR(AP35:$FM35, AP$4:$FM$4,0), 0)</f>
        <v>0</v>
      </c>
      <c r="AQ37" s="22">
        <f>IFERROR(AQ$27 * XIRR(AQ35:$FM35, AQ$4:$FM$4,0), 0)</f>
        <v>0</v>
      </c>
      <c r="AR37" s="22">
        <f>IFERROR(AR$27 * XIRR(AR35:$FM35, AR$4:$FM$4,0), 0)</f>
        <v>0</v>
      </c>
      <c r="AS37" s="22">
        <f>IFERROR(AS$27 * XIRR(AS35:$FM35, AS$4:$FM$4,0), 0)</f>
        <v>0</v>
      </c>
      <c r="AT37" s="22">
        <f>IFERROR(AT$27 * XIRR(AT35:$FM35, AT$4:$FM$4,0), 0)</f>
        <v>0</v>
      </c>
      <c r="AU37" s="22">
        <f>IFERROR(AU$27 * XIRR(AU35:$FM35, AU$4:$FM$4,0), 0)</f>
        <v>0</v>
      </c>
      <c r="AV37" s="22">
        <f>IFERROR(AV$27 * XIRR(AV35:$FM35, AV$4:$FM$4,0), 0)</f>
        <v>0</v>
      </c>
      <c r="AW37" s="22">
        <f>IFERROR(AW$27 * XIRR(AW35:$FM35, AW$4:$FM$4,0), 0)</f>
        <v>0</v>
      </c>
      <c r="AX37" s="22">
        <f>IFERROR(AX$27 * XIRR(AX35:$FM35, AX$4:$FM$4,0), 0)</f>
        <v>0</v>
      </c>
      <c r="AY37" s="22">
        <f>IFERROR(AY$27 * XIRR(AY35:$FM35, AY$4:$FM$4,0), 0)</f>
        <v>0</v>
      </c>
      <c r="AZ37" s="22">
        <f>IFERROR(AZ$27 * XIRR(AZ35:$FM35, AZ$4:$FM$4,0), 0)</f>
        <v>0</v>
      </c>
      <c r="BA37" s="22">
        <f>IFERROR(BA$27 * XIRR(BA35:$FM35, BA$4:$FM$4,0), 0)</f>
        <v>0</v>
      </c>
      <c r="BB37" s="22">
        <f>IFERROR(BB$27 * XIRR(BB35:$FM35, BB$4:$FM$4,0), 0)</f>
        <v>0</v>
      </c>
      <c r="BC37" s="22">
        <f>IFERROR(BC$27 * XIRR(BC35:$FM35, BC$4:$FM$4,0), 0)</f>
        <v>0</v>
      </c>
      <c r="BD37" s="22">
        <f>IFERROR(BD$27 * XIRR(BD35:$FM35, BD$4:$FM$4,0), 0)</f>
        <v>0</v>
      </c>
      <c r="BE37" s="22">
        <f>IFERROR(BE$27 * XIRR(BE35:$FM35, BE$4:$FM$4,0), 0)</f>
        <v>0</v>
      </c>
      <c r="BF37" s="22">
        <f>IFERROR(BF$27 * XIRR(BF35:$FM35, BF$4:$FM$4,0), 0)</f>
        <v>0</v>
      </c>
      <c r="BG37" s="22">
        <f>IFERROR(BG$27 * XIRR(BG35:$FM35, BG$4:$FM$4,0), 0)</f>
        <v>0</v>
      </c>
      <c r="BH37" s="22">
        <f>IFERROR(BH$27 * XIRR(BH35:$FM35, BH$4:$FM$4,0), 0)</f>
        <v>0</v>
      </c>
      <c r="BI37" s="22">
        <f>IFERROR(BI$27 * XIRR(BI35:$FM35, BI$4:$FM$4,0), 0)</f>
        <v>0</v>
      </c>
      <c r="BJ37" s="22">
        <f>IFERROR(BJ$27 * XIRR(BJ35:$FM35, BJ$4:$FM$4,0), 0)</f>
        <v>0</v>
      </c>
      <c r="BK37" s="22">
        <f>IFERROR(BK$27 * XIRR(BK35:$FM35, BK$4:$FM$4,0), 0)</f>
        <v>0</v>
      </c>
      <c r="BL37" s="22">
        <f>IFERROR(BL$27 * XIRR(BL35:$FM35, BL$4:$FM$4,0), 0)</f>
        <v>0</v>
      </c>
      <c r="BM37" s="22">
        <f>IFERROR(BM$27 * XIRR(BM35:$FM35, BM$4:$FM$4,0), 0)</f>
        <v>0</v>
      </c>
      <c r="BN37" s="22">
        <f>IFERROR(BN$27 * XIRR(BN35:$FM35, BN$4:$FM$4,0), 0)</f>
        <v>0</v>
      </c>
      <c r="BO37" s="22">
        <f>IFERROR(BO$27 * XIRR(BO35:$FM35, BO$4:$FM$4,0), 0)</f>
        <v>0</v>
      </c>
      <c r="BP37" s="22">
        <f>IFERROR(BP$27 * XIRR(BP35:$FM35, BP$4:$FM$4,0), 0)</f>
        <v>0</v>
      </c>
      <c r="BQ37" s="22">
        <f>IFERROR(BQ$27 * XIRR(BQ35:$FM35, BQ$4:$FM$4,0), 0)</f>
        <v>0</v>
      </c>
      <c r="BR37" s="22">
        <f>IFERROR(BR$27 * XIRR(BR35:$FM35, BR$4:$FM$4,0), 0)</f>
        <v>0</v>
      </c>
      <c r="BS37" s="22">
        <f>IFERROR(BS$27 * XIRR(BS35:$FM35, BS$4:$FM$4,0), 0)</f>
        <v>0</v>
      </c>
      <c r="BT37" s="22">
        <f>IFERROR(BT$27 * XIRR(BT35:$FM35, BT$4:$FM$4,0), 0)</f>
        <v>0</v>
      </c>
      <c r="BU37" s="22">
        <f>IFERROR(BU$27 * XIRR(BU35:$FM35, BU$4:$FM$4,0), 0)</f>
        <v>0</v>
      </c>
      <c r="BV37" s="22">
        <f>IFERROR(BV$27 * XIRR(BV35:$FM35, BV$4:$FM$4,0), 0)</f>
        <v>0</v>
      </c>
      <c r="BW37" s="22">
        <f>IFERROR(BW$27 * XIRR(BW35:$FM35, BW$4:$FM$4,0), 0)</f>
        <v>0</v>
      </c>
      <c r="BX37" s="22">
        <f>IFERROR(BX$27 * XIRR(BX35:$FM35, BX$4:$FM$4,0), 0)</f>
        <v>0</v>
      </c>
      <c r="BY37" s="22">
        <f>IFERROR(BY$27 * XIRR(BY35:$FM35, BY$4:$FM$4,0), 0)</f>
        <v>0</v>
      </c>
      <c r="BZ37" s="22">
        <f>IFERROR(BZ$27 * XIRR(BZ35:$FM35, BZ$4:$FM$4,0), 0)</f>
        <v>0</v>
      </c>
      <c r="CA37" s="22">
        <f>IFERROR(CA$27 * XIRR(CA35:$FM35, CA$4:$FM$4,0), 0)</f>
        <v>0</v>
      </c>
      <c r="CB37" s="22">
        <f>IFERROR(CB$27 * XIRR(CB35:$FM35, CB$4:$FM$4,0), 0)</f>
        <v>0</v>
      </c>
      <c r="CC37" s="22">
        <f>IFERROR(CC$27 * XIRR(CC35:$FM35, CC$4:$FM$4,0), 0)</f>
        <v>0</v>
      </c>
      <c r="CD37" s="22">
        <f>IFERROR(CD$27 * XIRR(CD35:$FM35, CD$4:$FM$4,0), 0)</f>
        <v>0</v>
      </c>
      <c r="CE37" s="22">
        <f>IFERROR(CE$27 * XIRR(CE35:$FM35, CE$4:$FM$4,0), 0)</f>
        <v>0</v>
      </c>
      <c r="CF37" s="22">
        <f>IFERROR(CF$27 * XIRR(CF35:$FM35, CF$4:$FM$4,0), 0)</f>
        <v>0</v>
      </c>
      <c r="CG37" s="22">
        <f>IFERROR(CG$27 * XIRR(CG35:$FM35, CG$4:$FM$4,0), 0)</f>
        <v>0</v>
      </c>
      <c r="CH37" s="22">
        <f>IFERROR(CH$27 * XIRR(CH35:$FM35, CH$4:$FM$4,0), 0)</f>
        <v>0</v>
      </c>
      <c r="CI37" s="22">
        <f>IFERROR(CI$27 * XIRR(CI35:$FM35, CI$4:$FM$4,0), 0)</f>
        <v>0</v>
      </c>
      <c r="CJ37" s="22">
        <f>IFERROR(CJ$27 * XIRR(CJ35:$FM35, CJ$4:$FM$4,0), 0)</f>
        <v>0</v>
      </c>
      <c r="CK37" s="22">
        <f>IFERROR(CK$27 * XIRR(CK35:$FM35, CK$4:$FM$4,0), 0)</f>
        <v>0</v>
      </c>
      <c r="CL37" s="22">
        <f>IFERROR(CL$27 * XIRR(CL35:$FM35, CL$4:$FM$4,0), 0)</f>
        <v>0</v>
      </c>
      <c r="CM37" s="22">
        <f>IFERROR(CM$27 * XIRR(CM35:$FM35, CM$4:$FM$4,0), 0)</f>
        <v>0</v>
      </c>
      <c r="CN37" s="22">
        <f>IFERROR(CN$27 * XIRR(CN35:$FM35, CN$4:$FM$4,0), 0)</f>
        <v>0</v>
      </c>
      <c r="CO37" s="22">
        <f>IFERROR(CO$27 * XIRR(CO35:$FM35, CO$4:$FM$4,0), 0)</f>
        <v>0</v>
      </c>
      <c r="CP37" s="22">
        <f>IFERROR(CP$27 * XIRR(CP35:$FM35, CP$4:$FM$4,0), 0)</f>
        <v>0</v>
      </c>
      <c r="CQ37" s="22">
        <f>IFERROR(CQ$27 * XIRR(CQ35:$FM35, CQ$4:$FM$4,0), 0)</f>
        <v>0</v>
      </c>
      <c r="CR37" s="22">
        <f>IFERROR(CR$27 * XIRR(CR35:$FM35, CR$4:$FM$4,0), 0)</f>
        <v>0</v>
      </c>
      <c r="CS37" s="22">
        <f>IFERROR(CS$27 * XIRR(CS35:$FM35, CS$4:$FM$4,0), 0)</f>
        <v>0</v>
      </c>
      <c r="CT37" s="22">
        <f>IFERROR(CT$27 * XIRR(CT35:$FM35, CT$4:$FM$4,0), 0)</f>
        <v>0</v>
      </c>
      <c r="CU37" s="22">
        <f>IFERROR(CU$27 * XIRR(CU35:$FM35, CU$4:$FM$4,0), 0)</f>
        <v>0</v>
      </c>
      <c r="CV37" s="22">
        <f>IFERROR(CV$27 * XIRR(CV35:$FM35, CV$4:$FM$4,0), 0)</f>
        <v>0</v>
      </c>
      <c r="CW37" s="22">
        <f>IFERROR(CW$27 * XIRR(CW35:$FM35, CW$4:$FM$4,0), 0)</f>
        <v>0</v>
      </c>
      <c r="CX37" s="22">
        <f>IFERROR(CX$27 * XIRR(CX35:$FM35, CX$4:$FM$4,0), 0)</f>
        <v>0</v>
      </c>
      <c r="CY37" s="22">
        <f>IFERROR(CY$27 * XIRR(CY35:$FM35, CY$4:$FM$4,0), 0)</f>
        <v>0</v>
      </c>
      <c r="CZ37" s="22">
        <f>IFERROR(CZ$27 * XIRR(CZ35:$FM35, CZ$4:$FM$4,0), 0)</f>
        <v>0</v>
      </c>
      <c r="DA37" s="22">
        <f>IFERROR(DA$27 * XIRR(DA35:$FM35, DA$4:$FM$4,0), 0)</f>
        <v>0</v>
      </c>
      <c r="DB37" s="22">
        <f>IFERROR(DB$27 * XIRR(DB35:$FM35, DB$4:$FM$4,0), 0)</f>
        <v>0</v>
      </c>
      <c r="DC37" s="22">
        <f>IFERROR(DC$27 * XIRR(DC35:$FM35, DC$4:$FM$4,0), 0)</f>
        <v>0</v>
      </c>
      <c r="DD37" s="22">
        <f>IFERROR(DD$27 * XIRR(DD35:$FM35, DD$4:$FM$4,0), 0)</f>
        <v>0</v>
      </c>
      <c r="DE37" s="22">
        <f>IFERROR(DE$27 * XIRR(DE35:$FM35, DE$4:$FM$4,0), 0)</f>
        <v>0</v>
      </c>
      <c r="DF37" s="22">
        <f>IFERROR(DF$27 * XIRR(DF35:$FM35, DF$4:$FM$4,0), 0)</f>
        <v>0</v>
      </c>
      <c r="DG37" s="22">
        <f>IFERROR(DG$27 * XIRR(DG35:$FM35, DG$4:$FM$4,0), 0)</f>
        <v>0</v>
      </c>
      <c r="DH37" s="22">
        <f>IFERROR(DH$27 * XIRR(DH35:$FM35, DH$4:$FM$4,0), 0)</f>
        <v>0</v>
      </c>
      <c r="DI37" s="22">
        <f>IFERROR(DI$27 * XIRR(DI35:$FM35, DI$4:$FM$4,0), 0)</f>
        <v>0</v>
      </c>
      <c r="DJ37" s="22">
        <f>IFERROR(DJ$27 * XIRR(DJ35:$FM35, DJ$4:$FM$4,0), 0)</f>
        <v>0</v>
      </c>
      <c r="DK37" s="22">
        <f>IFERROR(DK$27 * XIRR(DK35:$FM35, DK$4:$FM$4,0), 0)</f>
        <v>0</v>
      </c>
      <c r="DL37" s="22">
        <f>IFERROR(DL$27 * XIRR(DL35:$FM35, DL$4:$FM$4,0), 0)</f>
        <v>0</v>
      </c>
      <c r="DM37" s="22">
        <f>IFERROR(DM$27 * XIRR(DM35:$FM35, DM$4:$FM$4,0), 0)</f>
        <v>0</v>
      </c>
      <c r="DN37" s="22">
        <f>IFERROR(DN$27 * XIRR(DN35:$FM35, DN$4:$FM$4,0), 0)</f>
        <v>0</v>
      </c>
      <c r="DO37" s="22">
        <f>IFERROR(DO$27 * XIRR(DO35:$FM35, DO$4:$FM$4,0), 0)</f>
        <v>0</v>
      </c>
      <c r="DP37" s="22">
        <f>IFERROR(DP$27 * XIRR(DP35:$FM35, DP$4:$FM$4,0), 0)</f>
        <v>0</v>
      </c>
      <c r="DQ37" s="22">
        <f>IFERROR(DQ$27 * XIRR(DQ35:$FM35, DQ$4:$FM$4,0), 0)</f>
        <v>0</v>
      </c>
      <c r="DR37" s="22">
        <f>IFERROR(DR$27 * XIRR(DR35:$FM35, DR$4:$FM$4,0), 0)</f>
        <v>0</v>
      </c>
      <c r="DS37" s="22">
        <f>IFERROR(DS$27 * XIRR(DS35:$FM35, DS$4:$FM$4,0), 0)</f>
        <v>0</v>
      </c>
      <c r="DT37" s="22">
        <f>IFERROR(DT$27 * XIRR(DT35:$FM35, DT$4:$FM$4,0), 0)</f>
        <v>0</v>
      </c>
      <c r="DU37" s="22">
        <f>IFERROR(DU$27 * XIRR(DU35:$FM35, DU$4:$FM$4,0), 0)</f>
        <v>0</v>
      </c>
      <c r="DV37" s="22">
        <f>IFERROR(DV$27 * XIRR(DV35:$FM35, DV$4:$FM$4,0), 0)</f>
        <v>0</v>
      </c>
      <c r="DW37" s="22">
        <f>IFERROR(DW$27 * XIRR(DW35:$FM35, DW$4:$FM$4,0), 0)</f>
        <v>0</v>
      </c>
      <c r="DX37" s="22">
        <f>IFERROR(DX$27 * XIRR(DX35:$FM35, DX$4:$FM$4,0), 0)</f>
        <v>0</v>
      </c>
      <c r="DY37" s="22">
        <f>IFERROR(DY$27 * XIRR(DY35:$FM35, DY$4:$FM$4,0), 0)</f>
        <v>0</v>
      </c>
      <c r="DZ37" s="22">
        <f>IFERROR(DZ$27 * XIRR(DZ35:$FM35, DZ$4:$FM$4,0), 0)</f>
        <v>0</v>
      </c>
      <c r="EA37" s="22">
        <f>IFERROR(EA$27 * XIRR(EA35:$FM35, EA$4:$FM$4,0), 0)</f>
        <v>0</v>
      </c>
      <c r="EB37" s="22">
        <f>IFERROR(EB$27 * XIRR(EB35:$FM35, EB$4:$FM$4,0), 0)</f>
        <v>0</v>
      </c>
      <c r="EC37" s="22">
        <f>IFERROR(EC$27 * XIRR(EC35:$FM35, EC$4:$FM$4,0), 0)</f>
        <v>0</v>
      </c>
      <c r="ED37" s="22">
        <f>IFERROR(ED$27 * XIRR(ED35:$FM35, ED$4:$FM$4,0), 0)</f>
        <v>0</v>
      </c>
      <c r="EE37" s="22">
        <f>IFERROR(EE$27 * XIRR(EE35:$FM35, EE$4:$FM$4,0), 0)</f>
        <v>0</v>
      </c>
      <c r="EF37" s="22">
        <f>IFERROR(EF$27 * XIRR(EF35:$FM35, EF$4:$FM$4,0), 0)</f>
        <v>0</v>
      </c>
      <c r="EG37" s="22">
        <f>IFERROR(EG$27 * XIRR(EG35:$FM35, EG$4:$FM$4,0), 0)</f>
        <v>0</v>
      </c>
      <c r="EH37" s="22">
        <f>IFERROR(EH$27 * XIRR(EH35:$FM35, EH$4:$FM$4,0), 0)</f>
        <v>0</v>
      </c>
      <c r="EI37" s="22">
        <f>IFERROR(EI$27 * XIRR(EI35:$FM35, EI$4:$FM$4,0), 0)</f>
        <v>0</v>
      </c>
      <c r="EJ37" s="22">
        <f>IFERROR(EJ$27 * XIRR(EJ35:$FM35, EJ$4:$FM$4,0), 0)</f>
        <v>0</v>
      </c>
      <c r="EK37" s="22">
        <f>IFERROR(EK$27 * XIRR(EK35:$FM35, EK$4:$FM$4,0), 0)</f>
        <v>0</v>
      </c>
      <c r="EL37" s="22">
        <f>IFERROR(EL$27 * XIRR(EL35:$FM35, EL$4:$FM$4,0), 0)</f>
        <v>0</v>
      </c>
      <c r="EM37" s="22">
        <f>IFERROR(EM$27 * XIRR(EM35:$FM35, EM$4:$FM$4,0), 0)</f>
        <v>0</v>
      </c>
      <c r="EN37" s="22">
        <f>IFERROR(EN$27 * XIRR(EN35:$FM35, EN$4:$FM$4,0), 0)</f>
        <v>0</v>
      </c>
      <c r="EO37" s="22">
        <f>IFERROR(EO$27 * XIRR(EO35:$FM35, EO$4:$FM$4,0), 0)</f>
        <v>0</v>
      </c>
      <c r="EP37" s="22">
        <f>IFERROR(EP$27 * XIRR(EP35:$FM35, EP$4:$FM$4,0), 0)</f>
        <v>0</v>
      </c>
      <c r="EQ37" s="22">
        <f>IFERROR(EQ$27 * XIRR(EQ35:$FM35, EQ$4:$FM$4,0), 0)</f>
        <v>0</v>
      </c>
      <c r="ER37" s="22">
        <f>IFERROR(ER$27 * XIRR(ER35:$FM35, ER$4:$FM$4,0), 0)</f>
        <v>0</v>
      </c>
      <c r="ES37" s="22">
        <f>IFERROR(ES$27 * XIRR(ES35:$FM35, ES$4:$FM$4,0), 0)</f>
        <v>0</v>
      </c>
      <c r="ET37" s="22">
        <f>IFERROR(ET$27 * XIRR(ET35:$FM35, ET$4:$FM$4,0), 0)</f>
        <v>0</v>
      </c>
      <c r="EU37" s="22">
        <f>IFERROR(EU$27 * XIRR(EU35:$FM35, EU$4:$FM$4,0), 0)</f>
        <v>0</v>
      </c>
      <c r="EV37" s="22">
        <f>IFERROR(EV$27 * XIRR(EV35:$FM35, EV$4:$FM$4,0), 0)</f>
        <v>0</v>
      </c>
      <c r="EW37" s="22">
        <f>IFERROR(EW$27 * XIRR(EW35:$FM35, EW$4:$FM$4,0), 0)</f>
        <v>0</v>
      </c>
      <c r="EX37" s="22">
        <f>IFERROR(EX$27 * XIRR(EX35:$FM35, EX$4:$FM$4,0), 0)</f>
        <v>0</v>
      </c>
      <c r="EY37" s="22">
        <f>IFERROR(EY$27 * XIRR(EY35:$FM35, EY$4:$FM$4,0), 0)</f>
        <v>0</v>
      </c>
      <c r="EZ37" s="22">
        <f>IFERROR(EZ$27 * XIRR(EZ35:$FM35, EZ$4:$FM$4,0), 0)</f>
        <v>0</v>
      </c>
      <c r="FA37" s="22">
        <f>IFERROR(FA$27 * XIRR(FA35:$FM35, FA$4:$FM$4,0), 0)</f>
        <v>0</v>
      </c>
      <c r="FB37" s="22">
        <f>IFERROR(FB$27 * XIRR(FB35:$FM35, FB$4:$FM$4,0), 0)</f>
        <v>0</v>
      </c>
      <c r="FC37" s="22">
        <f>IFERROR(FC$27 * XIRR(FC35:$FM35, FC$4:$FM$4,0), 0)</f>
        <v>0</v>
      </c>
      <c r="FD37" s="22">
        <f>IFERROR(FD$27 * XIRR(FD35:$FM35, FD$4:$FM$4,0), 0)</f>
        <v>0</v>
      </c>
      <c r="FE37" s="22">
        <f>IFERROR(FE$27 * XIRR(FE35:$FM35, FE$4:$FM$4,0), 0)</f>
        <v>0</v>
      </c>
      <c r="FF37" s="22">
        <f>IFERROR(FF$27 * XIRR(FF35:$FM35, FF$4:$FM$4,0), 0)</f>
        <v>0</v>
      </c>
      <c r="FG37" s="22">
        <f>IFERROR(FG$27 * XIRR(FG35:$FM35, FG$4:$FM$4,0), 0)</f>
        <v>0</v>
      </c>
      <c r="FH37" s="22">
        <f>IFERROR(FH$27 * XIRR(FH35:$FM35, FH$4:$FM$4,0), 0)</f>
        <v>0</v>
      </c>
      <c r="FI37" s="22">
        <f>IFERROR(FI$27 * XIRR(FI35:$FM35, FI$4:$FM$4,0), 0)</f>
        <v>0</v>
      </c>
      <c r="FJ37" s="22">
        <f>IFERROR(FJ$27 * XIRR(FJ35:$FM35, FJ$4:$FM$4,0), 0)</f>
        <v>0</v>
      </c>
      <c r="FK37" s="22">
        <f>IFERROR(FK$27 * XIRR(FK35:$FM35, FK$4:$FM$4,0), 0)</f>
        <v>0</v>
      </c>
      <c r="FL37" s="22">
        <f>IFERROR(FL$27 * XIRR(FL35:$FM35, FL$4:$FM$4,0), 0)</f>
        <v>0</v>
      </c>
      <c r="FM37" s="22">
        <f>IFERROR(FM$27 * XIRR(FM35:$FM35, FM$4:$FM$4,0), 0)</f>
        <v>0</v>
      </c>
    </row>
    <row r="38" spans="2:169" x14ac:dyDescent="0.25"/>
    <row r="39" spans="2:169" x14ac:dyDescent="0.25">
      <c r="B39" s="34" t="s">
        <v>98</v>
      </c>
    </row>
    <row r="40" spans="2:169" x14ac:dyDescent="0.25">
      <c r="B40" t="s">
        <v>99</v>
      </c>
      <c r="C40" t="s">
        <v>94</v>
      </c>
      <c r="D40" s="23">
        <f>Stat_Inp!F26</f>
        <v>90</v>
      </c>
      <c r="H40" s="31">
        <f t="shared" ref="H40:H42" si="86">SUM(I40:FM40)</f>
        <v>-5490</v>
      </c>
      <c r="I40" s="25">
        <f>-1 * $D40 * $D61 * I28</f>
        <v>0</v>
      </c>
      <c r="J40" s="25">
        <f t="shared" ref="J40:BU40" si="87">-1 * $D40 * $D61 * J28</f>
        <v>0</v>
      </c>
      <c r="K40" s="25">
        <f t="shared" si="87"/>
        <v>-5490</v>
      </c>
      <c r="L40" s="25">
        <f t="shared" si="87"/>
        <v>0</v>
      </c>
      <c r="M40" s="25">
        <f t="shared" si="87"/>
        <v>0</v>
      </c>
      <c r="N40" s="25">
        <f t="shared" si="87"/>
        <v>0</v>
      </c>
      <c r="O40" s="25">
        <f t="shared" si="87"/>
        <v>0</v>
      </c>
      <c r="P40" s="25">
        <f t="shared" si="87"/>
        <v>0</v>
      </c>
      <c r="Q40" s="25">
        <f t="shared" si="87"/>
        <v>0</v>
      </c>
      <c r="R40" s="25">
        <f t="shared" si="87"/>
        <v>0</v>
      </c>
      <c r="S40" s="25">
        <f t="shared" si="87"/>
        <v>0</v>
      </c>
      <c r="T40" s="25">
        <f t="shared" si="87"/>
        <v>0</v>
      </c>
      <c r="U40" s="25">
        <f t="shared" si="87"/>
        <v>0</v>
      </c>
      <c r="V40" s="25">
        <f t="shared" si="87"/>
        <v>0</v>
      </c>
      <c r="W40" s="25">
        <f t="shared" si="87"/>
        <v>0</v>
      </c>
      <c r="X40" s="25">
        <f t="shared" si="87"/>
        <v>0</v>
      </c>
      <c r="Y40" s="25">
        <f t="shared" si="87"/>
        <v>0</v>
      </c>
      <c r="Z40" s="25">
        <f t="shared" si="87"/>
        <v>0</v>
      </c>
      <c r="AA40" s="25">
        <f t="shared" si="87"/>
        <v>0</v>
      </c>
      <c r="AB40" s="25">
        <f t="shared" si="87"/>
        <v>0</v>
      </c>
      <c r="AC40" s="25">
        <f t="shared" si="87"/>
        <v>0</v>
      </c>
      <c r="AD40" s="25">
        <f t="shared" si="87"/>
        <v>0</v>
      </c>
      <c r="AE40" s="25">
        <f t="shared" si="87"/>
        <v>0</v>
      </c>
      <c r="AF40" s="25">
        <f t="shared" si="87"/>
        <v>0</v>
      </c>
      <c r="AG40" s="25">
        <f t="shared" si="87"/>
        <v>0</v>
      </c>
      <c r="AH40" s="25">
        <f t="shared" si="87"/>
        <v>0</v>
      </c>
      <c r="AI40" s="25">
        <f t="shared" si="87"/>
        <v>0</v>
      </c>
      <c r="AJ40" s="25">
        <f t="shared" si="87"/>
        <v>0</v>
      </c>
      <c r="AK40" s="25">
        <f t="shared" si="87"/>
        <v>0</v>
      </c>
      <c r="AL40" s="25">
        <f t="shared" si="87"/>
        <v>0</v>
      </c>
      <c r="AM40" s="25">
        <f t="shared" si="87"/>
        <v>0</v>
      </c>
      <c r="AN40" s="25">
        <f t="shared" si="87"/>
        <v>0</v>
      </c>
      <c r="AO40" s="25">
        <f t="shared" si="87"/>
        <v>0</v>
      </c>
      <c r="AP40" s="25">
        <f t="shared" si="87"/>
        <v>0</v>
      </c>
      <c r="AQ40" s="25">
        <f t="shared" si="87"/>
        <v>0</v>
      </c>
      <c r="AR40" s="25">
        <f t="shared" si="87"/>
        <v>0</v>
      </c>
      <c r="AS40" s="25">
        <f t="shared" si="87"/>
        <v>0</v>
      </c>
      <c r="AT40" s="25">
        <f t="shared" si="87"/>
        <v>0</v>
      </c>
      <c r="AU40" s="25">
        <f t="shared" si="87"/>
        <v>0</v>
      </c>
      <c r="AV40" s="25">
        <f t="shared" si="87"/>
        <v>0</v>
      </c>
      <c r="AW40" s="25">
        <f t="shared" si="87"/>
        <v>0</v>
      </c>
      <c r="AX40" s="25">
        <f t="shared" si="87"/>
        <v>0</v>
      </c>
      <c r="AY40" s="25">
        <f t="shared" si="87"/>
        <v>0</v>
      </c>
      <c r="AZ40" s="25">
        <f t="shared" si="87"/>
        <v>0</v>
      </c>
      <c r="BA40" s="25">
        <f t="shared" si="87"/>
        <v>0</v>
      </c>
      <c r="BB40" s="25">
        <f t="shared" si="87"/>
        <v>0</v>
      </c>
      <c r="BC40" s="25">
        <f t="shared" si="87"/>
        <v>0</v>
      </c>
      <c r="BD40" s="25">
        <f t="shared" si="87"/>
        <v>0</v>
      </c>
      <c r="BE40" s="25">
        <f t="shared" si="87"/>
        <v>0</v>
      </c>
      <c r="BF40" s="25">
        <f t="shared" si="87"/>
        <v>0</v>
      </c>
      <c r="BG40" s="25">
        <f t="shared" si="87"/>
        <v>0</v>
      </c>
      <c r="BH40" s="25">
        <f t="shared" si="87"/>
        <v>0</v>
      </c>
      <c r="BI40" s="25">
        <f t="shared" si="87"/>
        <v>0</v>
      </c>
      <c r="BJ40" s="25">
        <f t="shared" si="87"/>
        <v>0</v>
      </c>
      <c r="BK40" s="25">
        <f t="shared" si="87"/>
        <v>0</v>
      </c>
      <c r="BL40" s="25">
        <f t="shared" si="87"/>
        <v>0</v>
      </c>
      <c r="BM40" s="25">
        <f t="shared" si="87"/>
        <v>0</v>
      </c>
      <c r="BN40" s="25">
        <f t="shared" si="87"/>
        <v>0</v>
      </c>
      <c r="BO40" s="25">
        <f t="shared" si="87"/>
        <v>0</v>
      </c>
      <c r="BP40" s="25">
        <f t="shared" si="87"/>
        <v>0</v>
      </c>
      <c r="BQ40" s="25">
        <f t="shared" si="87"/>
        <v>0</v>
      </c>
      <c r="BR40" s="25">
        <f t="shared" si="87"/>
        <v>0</v>
      </c>
      <c r="BS40" s="25">
        <f t="shared" si="87"/>
        <v>0</v>
      </c>
      <c r="BT40" s="25">
        <f t="shared" si="87"/>
        <v>0</v>
      </c>
      <c r="BU40" s="25">
        <f t="shared" si="87"/>
        <v>0</v>
      </c>
      <c r="BV40" s="25">
        <f t="shared" ref="BV40:EG40" si="88">-1 * $D40 * $D61 * BV28</f>
        <v>0</v>
      </c>
      <c r="BW40" s="25">
        <f t="shared" si="88"/>
        <v>0</v>
      </c>
      <c r="BX40" s="25">
        <f t="shared" si="88"/>
        <v>0</v>
      </c>
      <c r="BY40" s="25">
        <f t="shared" si="88"/>
        <v>0</v>
      </c>
      <c r="BZ40" s="25">
        <f t="shared" si="88"/>
        <v>0</v>
      </c>
      <c r="CA40" s="25">
        <f t="shared" si="88"/>
        <v>0</v>
      </c>
      <c r="CB40" s="25">
        <f t="shared" si="88"/>
        <v>0</v>
      </c>
      <c r="CC40" s="25">
        <f t="shared" si="88"/>
        <v>0</v>
      </c>
      <c r="CD40" s="25">
        <f t="shared" si="88"/>
        <v>0</v>
      </c>
      <c r="CE40" s="25">
        <f t="shared" si="88"/>
        <v>0</v>
      </c>
      <c r="CF40" s="25">
        <f t="shared" si="88"/>
        <v>0</v>
      </c>
      <c r="CG40" s="25">
        <f t="shared" si="88"/>
        <v>0</v>
      </c>
      <c r="CH40" s="25">
        <f t="shared" si="88"/>
        <v>0</v>
      </c>
      <c r="CI40" s="25">
        <f t="shared" si="88"/>
        <v>0</v>
      </c>
      <c r="CJ40" s="25">
        <f t="shared" si="88"/>
        <v>0</v>
      </c>
      <c r="CK40" s="25">
        <f t="shared" si="88"/>
        <v>0</v>
      </c>
      <c r="CL40" s="25">
        <f t="shared" si="88"/>
        <v>0</v>
      </c>
      <c r="CM40" s="25">
        <f t="shared" si="88"/>
        <v>0</v>
      </c>
      <c r="CN40" s="25">
        <f t="shared" si="88"/>
        <v>0</v>
      </c>
      <c r="CO40" s="25">
        <f t="shared" si="88"/>
        <v>0</v>
      </c>
      <c r="CP40" s="25">
        <f t="shared" si="88"/>
        <v>0</v>
      </c>
      <c r="CQ40" s="25">
        <f t="shared" si="88"/>
        <v>0</v>
      </c>
      <c r="CR40" s="25">
        <f t="shared" si="88"/>
        <v>0</v>
      </c>
      <c r="CS40" s="25">
        <f t="shared" si="88"/>
        <v>0</v>
      </c>
      <c r="CT40" s="25">
        <f t="shared" si="88"/>
        <v>0</v>
      </c>
      <c r="CU40" s="25">
        <f t="shared" si="88"/>
        <v>0</v>
      </c>
      <c r="CV40" s="25">
        <f t="shared" si="88"/>
        <v>0</v>
      </c>
      <c r="CW40" s="25">
        <f t="shared" si="88"/>
        <v>0</v>
      </c>
      <c r="CX40" s="25">
        <f t="shared" si="88"/>
        <v>0</v>
      </c>
      <c r="CY40" s="25">
        <f t="shared" si="88"/>
        <v>0</v>
      </c>
      <c r="CZ40" s="25">
        <f t="shared" si="88"/>
        <v>0</v>
      </c>
      <c r="DA40" s="25">
        <f t="shared" si="88"/>
        <v>0</v>
      </c>
      <c r="DB40" s="25">
        <f t="shared" si="88"/>
        <v>0</v>
      </c>
      <c r="DC40" s="25">
        <f t="shared" si="88"/>
        <v>0</v>
      </c>
      <c r="DD40" s="25">
        <f t="shared" si="88"/>
        <v>0</v>
      </c>
      <c r="DE40" s="25">
        <f t="shared" si="88"/>
        <v>0</v>
      </c>
      <c r="DF40" s="25">
        <f t="shared" si="88"/>
        <v>0</v>
      </c>
      <c r="DG40" s="25">
        <f t="shared" si="88"/>
        <v>0</v>
      </c>
      <c r="DH40" s="25">
        <f t="shared" si="88"/>
        <v>0</v>
      </c>
      <c r="DI40" s="25">
        <f t="shared" si="88"/>
        <v>0</v>
      </c>
      <c r="DJ40" s="25">
        <f t="shared" si="88"/>
        <v>0</v>
      </c>
      <c r="DK40" s="25">
        <f t="shared" si="88"/>
        <v>0</v>
      </c>
      <c r="DL40" s="25">
        <f t="shared" si="88"/>
        <v>0</v>
      </c>
      <c r="DM40" s="25">
        <f t="shared" si="88"/>
        <v>0</v>
      </c>
      <c r="DN40" s="25">
        <f t="shared" si="88"/>
        <v>0</v>
      </c>
      <c r="DO40" s="25">
        <f t="shared" si="88"/>
        <v>0</v>
      </c>
      <c r="DP40" s="25">
        <f t="shared" si="88"/>
        <v>0</v>
      </c>
      <c r="DQ40" s="25">
        <f t="shared" si="88"/>
        <v>0</v>
      </c>
      <c r="DR40" s="25">
        <f t="shared" si="88"/>
        <v>0</v>
      </c>
      <c r="DS40" s="25">
        <f t="shared" si="88"/>
        <v>0</v>
      </c>
      <c r="DT40" s="25">
        <f t="shared" si="88"/>
        <v>0</v>
      </c>
      <c r="DU40" s="25">
        <f t="shared" si="88"/>
        <v>0</v>
      </c>
      <c r="DV40" s="25">
        <f t="shared" si="88"/>
        <v>0</v>
      </c>
      <c r="DW40" s="25">
        <f t="shared" si="88"/>
        <v>0</v>
      </c>
      <c r="DX40" s="25">
        <f t="shared" si="88"/>
        <v>0</v>
      </c>
      <c r="DY40" s="25">
        <f t="shared" si="88"/>
        <v>0</v>
      </c>
      <c r="DZ40" s="25">
        <f t="shared" si="88"/>
        <v>0</v>
      </c>
      <c r="EA40" s="25">
        <f t="shared" si="88"/>
        <v>0</v>
      </c>
      <c r="EB40" s="25">
        <f t="shared" si="88"/>
        <v>0</v>
      </c>
      <c r="EC40" s="25">
        <f t="shared" si="88"/>
        <v>0</v>
      </c>
      <c r="ED40" s="25">
        <f t="shared" si="88"/>
        <v>0</v>
      </c>
      <c r="EE40" s="25">
        <f t="shared" si="88"/>
        <v>0</v>
      </c>
      <c r="EF40" s="25">
        <f t="shared" si="88"/>
        <v>0</v>
      </c>
      <c r="EG40" s="25">
        <f t="shared" si="88"/>
        <v>0</v>
      </c>
      <c r="EH40" s="25">
        <f t="shared" ref="EH40:FM40" si="89">-1 * $D40 * $D61 * EH28</f>
        <v>0</v>
      </c>
      <c r="EI40" s="25">
        <f t="shared" si="89"/>
        <v>0</v>
      </c>
      <c r="EJ40" s="25">
        <f t="shared" si="89"/>
        <v>0</v>
      </c>
      <c r="EK40" s="25">
        <f t="shared" si="89"/>
        <v>0</v>
      </c>
      <c r="EL40" s="25">
        <f t="shared" si="89"/>
        <v>0</v>
      </c>
      <c r="EM40" s="25">
        <f t="shared" si="89"/>
        <v>0</v>
      </c>
      <c r="EN40" s="25">
        <f t="shared" si="89"/>
        <v>0</v>
      </c>
      <c r="EO40" s="25">
        <f t="shared" si="89"/>
        <v>0</v>
      </c>
      <c r="EP40" s="25">
        <f t="shared" si="89"/>
        <v>0</v>
      </c>
      <c r="EQ40" s="25">
        <f t="shared" si="89"/>
        <v>0</v>
      </c>
      <c r="ER40" s="25">
        <f t="shared" si="89"/>
        <v>0</v>
      </c>
      <c r="ES40" s="25">
        <f t="shared" si="89"/>
        <v>0</v>
      </c>
      <c r="ET40" s="25">
        <f t="shared" si="89"/>
        <v>0</v>
      </c>
      <c r="EU40" s="25">
        <f t="shared" si="89"/>
        <v>0</v>
      </c>
      <c r="EV40" s="25">
        <f t="shared" si="89"/>
        <v>0</v>
      </c>
      <c r="EW40" s="25">
        <f t="shared" si="89"/>
        <v>0</v>
      </c>
      <c r="EX40" s="25">
        <f t="shared" si="89"/>
        <v>0</v>
      </c>
      <c r="EY40" s="25">
        <f t="shared" si="89"/>
        <v>0</v>
      </c>
      <c r="EZ40" s="25">
        <f t="shared" si="89"/>
        <v>0</v>
      </c>
      <c r="FA40" s="25">
        <f t="shared" si="89"/>
        <v>0</v>
      </c>
      <c r="FB40" s="25">
        <f t="shared" si="89"/>
        <v>0</v>
      </c>
      <c r="FC40" s="25">
        <f t="shared" si="89"/>
        <v>0</v>
      </c>
      <c r="FD40" s="25">
        <f t="shared" si="89"/>
        <v>0</v>
      </c>
      <c r="FE40" s="25">
        <f t="shared" si="89"/>
        <v>0</v>
      </c>
      <c r="FF40" s="25">
        <f t="shared" si="89"/>
        <v>0</v>
      </c>
      <c r="FG40" s="25">
        <f t="shared" si="89"/>
        <v>0</v>
      </c>
      <c r="FH40" s="25">
        <f t="shared" si="89"/>
        <v>0</v>
      </c>
      <c r="FI40" s="25">
        <f t="shared" si="89"/>
        <v>0</v>
      </c>
      <c r="FJ40" s="25">
        <f t="shared" si="89"/>
        <v>0</v>
      </c>
      <c r="FK40" s="25">
        <f t="shared" si="89"/>
        <v>0</v>
      </c>
      <c r="FL40" s="25">
        <f t="shared" si="89"/>
        <v>0</v>
      </c>
      <c r="FM40" s="25">
        <f t="shared" si="89"/>
        <v>0</v>
      </c>
    </row>
    <row r="41" spans="2:169" x14ac:dyDescent="0.25">
      <c r="B41" t="s">
        <v>100</v>
      </c>
      <c r="C41" t="s">
        <v>94</v>
      </c>
      <c r="H41" s="31">
        <f t="shared" si="86"/>
        <v>106079.52566148438</v>
      </c>
      <c r="I41" s="25">
        <f>I29 * I35</f>
        <v>0</v>
      </c>
      <c r="J41" s="25">
        <f t="shared" ref="J41:BU41" si="90">J29 * J35</f>
        <v>0</v>
      </c>
      <c r="K41" s="25">
        <f t="shared" si="90"/>
        <v>-3147.1622398314016</v>
      </c>
      <c r="L41" s="25">
        <f t="shared" si="90"/>
        <v>-5909.9911040042152</v>
      </c>
      <c r="M41" s="25">
        <f t="shared" si="90"/>
        <v>-5915.3808616438355</v>
      </c>
      <c r="N41" s="25">
        <f t="shared" si="90"/>
        <v>-6046.254896401826</v>
      </c>
      <c r="O41" s="25">
        <f t="shared" si="90"/>
        <v>-5156.7060142611872</v>
      </c>
      <c r="P41" s="25">
        <f t="shared" si="90"/>
        <v>-2853.2205492164385</v>
      </c>
      <c r="Q41" s="25">
        <f t="shared" si="90"/>
        <v>-2399.5780104162104</v>
      </c>
      <c r="R41" s="25">
        <f t="shared" si="90"/>
        <v>487.95668664478205</v>
      </c>
      <c r="S41" s="25">
        <f t="shared" si="90"/>
        <v>630.09375715520582</v>
      </c>
      <c r="T41" s="25">
        <f t="shared" si="90"/>
        <v>636.28922579415257</v>
      </c>
      <c r="U41" s="25">
        <f t="shared" si="90"/>
        <v>635.56058721161367</v>
      </c>
      <c r="V41" s="25">
        <f t="shared" si="90"/>
        <v>637.77073021680735</v>
      </c>
      <c r="W41" s="25">
        <f t="shared" si="90"/>
        <v>651.60237842795107</v>
      </c>
      <c r="X41" s="25">
        <f t="shared" si="90"/>
        <v>658.00586419358979</v>
      </c>
      <c r="Y41" s="25">
        <f t="shared" si="90"/>
        <v>657.24888426221787</v>
      </c>
      <c r="Z41" s="25">
        <f t="shared" si="90"/>
        <v>655.53921874571961</v>
      </c>
      <c r="AA41" s="25">
        <f t="shared" si="90"/>
        <v>667.99348369264783</v>
      </c>
      <c r="AB41" s="25">
        <f t="shared" si="90"/>
        <v>674.55619679449239</v>
      </c>
      <c r="AC41" s="25">
        <f t="shared" si="90"/>
        <v>673.77832216345053</v>
      </c>
      <c r="AD41" s="25">
        <f t="shared" si="90"/>
        <v>671.96419148732173</v>
      </c>
      <c r="AE41" s="25">
        <f t="shared" si="90"/>
        <v>684.70258869141821</v>
      </c>
      <c r="AF41" s="25">
        <f t="shared" si="90"/>
        <v>691.42750126454894</v>
      </c>
      <c r="AG41" s="25">
        <f t="shared" si="90"/>
        <v>690.62820956634528</v>
      </c>
      <c r="AH41" s="25">
        <f t="shared" si="90"/>
        <v>695.10142882902448</v>
      </c>
      <c r="AI41" s="25">
        <f t="shared" si="90"/>
        <v>699.81314310850485</v>
      </c>
      <c r="AJ41" s="25">
        <f t="shared" si="90"/>
        <v>706.68663477881307</v>
      </c>
      <c r="AK41" s="25">
        <f t="shared" si="90"/>
        <v>705.86987212924805</v>
      </c>
      <c r="AL41" s="25">
        <f t="shared" si="90"/>
        <v>705.17745665533266</v>
      </c>
      <c r="AM41" s="25">
        <f t="shared" si="90"/>
        <v>719.09828692651536</v>
      </c>
      <c r="AN41" s="25">
        <f t="shared" si="90"/>
        <v>726.15672040549839</v>
      </c>
      <c r="AO41" s="25">
        <f t="shared" si="90"/>
        <v>725.31297490726695</v>
      </c>
      <c r="AP41" s="25">
        <f t="shared" si="90"/>
        <v>723.17306210141476</v>
      </c>
      <c r="AQ41" s="25">
        <f t="shared" si="90"/>
        <v>736.79685993948124</v>
      </c>
      <c r="AR41" s="25">
        <f t="shared" si="90"/>
        <v>744.0267193929518</v>
      </c>
      <c r="AS41" s="25">
        <f t="shared" si="90"/>
        <v>743.15991005587864</v>
      </c>
      <c r="AT41" s="25">
        <f t="shared" si="90"/>
        <v>740.90713570990715</v>
      </c>
      <c r="AU41" s="25">
        <f t="shared" si="90"/>
        <v>754.83739429084631</v>
      </c>
      <c r="AV41" s="25">
        <f t="shared" si="90"/>
        <v>762.2418609397389</v>
      </c>
      <c r="AW41" s="25">
        <f t="shared" si="90"/>
        <v>761.35141116785326</v>
      </c>
      <c r="AX41" s="25">
        <f t="shared" si="90"/>
        <v>766.02683526271471</v>
      </c>
      <c r="AY41" s="25">
        <f t="shared" si="90"/>
        <v>771.10781213863811</v>
      </c>
      <c r="AZ41" s="25">
        <f t="shared" si="90"/>
        <v>778.67183457217118</v>
      </c>
      <c r="BA41" s="25">
        <f t="shared" si="90"/>
        <v>777.76214478440045</v>
      </c>
      <c r="BB41" s="25">
        <f t="shared" si="90"/>
        <v>776.75192575085907</v>
      </c>
      <c r="BC41" s="25">
        <f t="shared" si="90"/>
        <v>791.96936376524479</v>
      </c>
      <c r="BD41" s="25">
        <f t="shared" si="90"/>
        <v>799.73280535722745</v>
      </c>
      <c r="BE41" s="25">
        <f t="shared" si="90"/>
        <v>798.79328690783336</v>
      </c>
      <c r="BF41" s="25">
        <f t="shared" si="90"/>
        <v>796.188521205847</v>
      </c>
      <c r="BG41" s="25">
        <f t="shared" si="90"/>
        <v>811.0735526649994</v>
      </c>
      <c r="BH41" s="25">
        <f t="shared" si="90"/>
        <v>819.02147223611712</v>
      </c>
      <c r="BI41" s="25">
        <f t="shared" si="90"/>
        <v>818.05649562410269</v>
      </c>
      <c r="BJ41" s="25">
        <f t="shared" si="90"/>
        <v>815.32978127746833</v>
      </c>
      <c r="BK41" s="25">
        <f t="shared" si="90"/>
        <v>830.54521243419231</v>
      </c>
      <c r="BL41" s="25">
        <f t="shared" si="90"/>
        <v>838.68101167180157</v>
      </c>
      <c r="BM41" s="25">
        <f t="shared" si="90"/>
        <v>837.68994044310091</v>
      </c>
      <c r="BN41" s="25">
        <f t="shared" si="90"/>
        <v>842.58311521842847</v>
      </c>
      <c r="BO41" s="25">
        <f t="shared" si="90"/>
        <v>848.06119017448498</v>
      </c>
      <c r="BP41" s="25">
        <f t="shared" si="90"/>
        <v>856.36827995185524</v>
      </c>
      <c r="BQ41" s="25">
        <f t="shared" si="90"/>
        <v>855.35601599104439</v>
      </c>
      <c r="BR41" s="25">
        <f t="shared" si="90"/>
        <v>854.00223463366501</v>
      </c>
      <c r="BS41" s="25">
        <f t="shared" si="90"/>
        <v>870.61755310872934</v>
      </c>
      <c r="BT41" s="25">
        <f t="shared" si="90"/>
        <v>879.1395450996074</v>
      </c>
      <c r="BU41" s="25">
        <f t="shared" si="90"/>
        <v>878.09431123214745</v>
      </c>
      <c r="BV41" s="25">
        <f t="shared" ref="BV41:EG41" si="91">BV29 * BV35</f>
        <v>874.98724582755483</v>
      </c>
      <c r="BW41" s="25">
        <f t="shared" si="91"/>
        <v>891.23179338580212</v>
      </c>
      <c r="BX41" s="25">
        <f t="shared" si="91"/>
        <v>899.95221444154242</v>
      </c>
      <c r="BY41" s="25">
        <f t="shared" si="91"/>
        <v>898.87887952601045</v>
      </c>
      <c r="BZ41" s="25">
        <f t="shared" si="91"/>
        <v>895.6400347248524</v>
      </c>
      <c r="CA41" s="25">
        <f t="shared" si="91"/>
        <v>912.24062514256354</v>
      </c>
      <c r="CB41" s="25">
        <f t="shared" si="91"/>
        <v>921.16310890707109</v>
      </c>
      <c r="CC41" s="25">
        <f t="shared" si="91"/>
        <v>920.06097041726468</v>
      </c>
      <c r="CD41" s="25">
        <f t="shared" si="91"/>
        <v>925.18831834203445</v>
      </c>
      <c r="CE41" s="25">
        <f t="shared" si="91"/>
        <v>931.09311562301059</v>
      </c>
      <c r="CF41" s="25">
        <f t="shared" si="91"/>
        <v>940.1994214471265</v>
      </c>
      <c r="CG41" s="25">
        <f t="shared" si="91"/>
        <v>939.07393479186896</v>
      </c>
      <c r="CH41" s="25">
        <f t="shared" si="91"/>
        <v>937.34864196940032</v>
      </c>
      <c r="CI41" s="25">
        <f t="shared" si="91"/>
        <v>955.47032427863269</v>
      </c>
      <c r="CJ41" s="25">
        <f t="shared" si="91"/>
        <v>964.80807426314527</v>
      </c>
      <c r="CK41" s="25">
        <f t="shared" si="91"/>
        <v>963.64615035448639</v>
      </c>
      <c r="CL41" s="25">
        <f t="shared" si="91"/>
        <v>959.99628028346638</v>
      </c>
      <c r="CM41" s="25">
        <f t="shared" si="91"/>
        <v>977.70558643803531</v>
      </c>
      <c r="CN41" s="25">
        <f t="shared" si="91"/>
        <v>987.25666166365886</v>
      </c>
      <c r="CO41" s="25">
        <f t="shared" si="91"/>
        <v>986.06371945589785</v>
      </c>
      <c r="CP41" s="25">
        <f t="shared" si="91"/>
        <v>982.27143912141719</v>
      </c>
      <c r="CQ41" s="25">
        <f t="shared" si="91"/>
        <v>1000.3642313489859</v>
      </c>
      <c r="CR41" s="25">
        <f t="shared" si="91"/>
        <v>1010.132508915952</v>
      </c>
      <c r="CS41" s="25">
        <f t="shared" si="91"/>
        <v>1008.907772951611</v>
      </c>
      <c r="CT41" s="25">
        <f t="shared" si="91"/>
        <v>1014.2866075851335</v>
      </c>
      <c r="CU41" s="25">
        <f t="shared" si="91"/>
        <v>1020.6496116035896</v>
      </c>
      <c r="CV41" s="25">
        <f t="shared" si="91"/>
        <v>1030.6150780765315</v>
      </c>
      <c r="CW41" s="25">
        <f t="shared" si="91"/>
        <v>1029.364614751632</v>
      </c>
      <c r="CX41" s="25">
        <f t="shared" si="91"/>
        <v>1027.2374937722368</v>
      </c>
      <c r="CY41" s="25">
        <f t="shared" si="91"/>
        <v>1046.9816396353781</v>
      </c>
      <c r="CZ41" s="25">
        <f t="shared" si="91"/>
        <v>1057.196204498282</v>
      </c>
      <c r="DA41" s="25">
        <f t="shared" si="91"/>
        <v>1055.9054766179395</v>
      </c>
      <c r="DB41" s="25">
        <f t="shared" si="91"/>
        <v>1051.6690073755994</v>
      </c>
      <c r="DC41" s="25">
        <f t="shared" si="91"/>
        <v>1070.9556605206699</v>
      </c>
      <c r="DD41" s="25">
        <f t="shared" si="91"/>
        <v>1081.3994377641386</v>
      </c>
      <c r="DE41" s="25">
        <f t="shared" si="91"/>
        <v>1080.074471485402</v>
      </c>
      <c r="DF41" s="25">
        <f t="shared" si="91"/>
        <v>1075.6841008203874</v>
      </c>
      <c r="DG41" s="25">
        <f t="shared" si="91"/>
        <v>1095.3835806814297</v>
      </c>
      <c r="DH41" s="25">
        <f t="shared" si="91"/>
        <v>1106.0607022496295</v>
      </c>
      <c r="DI41" s="25">
        <f t="shared" si="91"/>
        <v>1104.7006416125389</v>
      </c>
      <c r="DJ41" s="25">
        <f t="shared" si="91"/>
        <v>1110.349175630927</v>
      </c>
      <c r="DK41" s="25">
        <f t="shared" si="91"/>
        <v>1117.203797922054</v>
      </c>
      <c r="DL41" s="25">
        <f t="shared" si="91"/>
        <v>1128.0923485505073</v>
      </c>
      <c r="DM41" s="25">
        <f t="shared" si="91"/>
        <v>1126.7039343666297</v>
      </c>
      <c r="DN41" s="25">
        <f t="shared" si="91"/>
        <v>1124.1421106344869</v>
      </c>
      <c r="DO41" s="25">
        <f t="shared" si="91"/>
        <v>1145.6328483294433</v>
      </c>
      <c r="DP41" s="25">
        <f t="shared" si="91"/>
        <v>1156.7893169244578</v>
      </c>
      <c r="DQ41" s="25">
        <f t="shared" si="91"/>
        <v>1155.3564135598081</v>
      </c>
      <c r="DR41" s="25">
        <f t="shared" si="91"/>
        <v>1150.4860146333526</v>
      </c>
      <c r="DS41" s="25">
        <f t="shared" si="91"/>
        <v>1171.4703400470235</v>
      </c>
      <c r="DT41" s="25">
        <f t="shared" si="91"/>
        <v>1182.8729443369486</v>
      </c>
      <c r="DU41" s="25">
        <f t="shared" si="91"/>
        <v>1181.4022481867969</v>
      </c>
      <c r="DV41" s="25">
        <f t="shared" si="91"/>
        <v>1176.365532337358</v>
      </c>
      <c r="DW41" s="25">
        <f t="shared" si="91"/>
        <v>1197.7940207359757</v>
      </c>
      <c r="DX41" s="25">
        <f t="shared" si="91"/>
        <v>1209.4471586371235</v>
      </c>
      <c r="DY41" s="25">
        <f t="shared" si="91"/>
        <v>1207.9377248818319</v>
      </c>
      <c r="DZ41" s="25">
        <f t="shared" si="91"/>
        <v>1213.8750701675892</v>
      </c>
      <c r="EA41" s="25">
        <f t="shared" si="91"/>
        <v>1221.2567101983768</v>
      </c>
      <c r="EB41" s="25">
        <f t="shared" si="91"/>
        <v>1233.1364274868604</v>
      </c>
      <c r="EC41" s="25">
        <f t="shared" si="91"/>
        <v>1231.5957413665701</v>
      </c>
      <c r="ED41" s="25">
        <f t="shared" si="91"/>
        <v>1228.5635780215789</v>
      </c>
      <c r="EE41" s="25">
        <f t="shared" si="91"/>
        <v>1251.933480099904</v>
      </c>
      <c r="EF41" s="25">
        <f t="shared" si="91"/>
        <v>1264.1011523732734</v>
      </c>
      <c r="EG41" s="25">
        <f t="shared" si="91"/>
        <v>1270.5156837393304</v>
      </c>
      <c r="EH41" s="25">
        <f t="shared" ref="EH41:FM41" si="92">EH29 * EH35</f>
        <v>1280.1943497077978</v>
      </c>
      <c r="EI41" s="25">
        <f t="shared" si="92"/>
        <v>1303.2630080298936</v>
      </c>
      <c r="EJ41" s="25">
        <f t="shared" si="92"/>
        <v>1315.9530248859364</v>
      </c>
      <c r="EK41" s="25">
        <f t="shared" si="92"/>
        <v>1314.3214702251676</v>
      </c>
      <c r="EL41" s="25">
        <f t="shared" si="92"/>
        <v>1308.0698771071925</v>
      </c>
      <c r="EM41" s="25">
        <f t="shared" si="92"/>
        <v>1331.6161284450998</v>
      </c>
      <c r="EN41" s="25">
        <f t="shared" si="92"/>
        <v>1344.5749589850532</v>
      </c>
      <c r="EO41" s="25">
        <f t="shared" si="92"/>
        <v>1342.900645256379</v>
      </c>
      <c r="EP41" s="25">
        <f t="shared" si="92"/>
        <v>1348.8243992071114</v>
      </c>
      <c r="EQ41" s="25">
        <f t="shared" si="92"/>
        <v>1356.7704970422405</v>
      </c>
      <c r="ER41" s="25">
        <f t="shared" si="92"/>
        <v>1369.9712970972209</v>
      </c>
      <c r="ES41" s="25">
        <f t="shared" si="92"/>
        <v>1368.2625312506379</v>
      </c>
      <c r="ET41" s="25">
        <f t="shared" si="92"/>
        <v>1364.2699030951603</v>
      </c>
      <c r="EU41" s="25">
        <f t="shared" si="92"/>
        <v>1389.9186073655399</v>
      </c>
      <c r="EV41" s="25">
        <f t="shared" si="92"/>
        <v>1403.4293726967157</v>
      </c>
      <c r="EW41" s="25">
        <f t="shared" si="92"/>
        <v>1401.6663071777209</v>
      </c>
      <c r="EX41" s="25">
        <f t="shared" si="92"/>
        <v>1394.8541750854679</v>
      </c>
      <c r="EY41" s="25">
        <f t="shared" si="92"/>
        <v>1419.885937092829</v>
      </c>
      <c r="EZ41" s="25">
        <f t="shared" si="92"/>
        <v>1433.6799669003294</v>
      </c>
      <c r="FA41" s="25">
        <f t="shared" si="92"/>
        <v>1431.8708545419743</v>
      </c>
      <c r="FB41" s="25">
        <f t="shared" si="92"/>
        <v>428.19993106672234</v>
      </c>
      <c r="FC41" s="25">
        <f t="shared" si="92"/>
        <v>0</v>
      </c>
      <c r="FD41" s="25">
        <f t="shared" si="92"/>
        <v>0</v>
      </c>
      <c r="FE41" s="25">
        <f t="shared" si="92"/>
        <v>0</v>
      </c>
      <c r="FF41" s="25">
        <f t="shared" si="92"/>
        <v>0</v>
      </c>
      <c r="FG41" s="25">
        <f t="shared" si="92"/>
        <v>0</v>
      </c>
      <c r="FH41" s="25">
        <f t="shared" si="92"/>
        <v>0</v>
      </c>
      <c r="FI41" s="25">
        <f t="shared" si="92"/>
        <v>0</v>
      </c>
      <c r="FJ41" s="25">
        <f t="shared" si="92"/>
        <v>0</v>
      </c>
      <c r="FK41" s="25">
        <f t="shared" si="92"/>
        <v>0</v>
      </c>
      <c r="FL41" s="25">
        <f t="shared" si="92"/>
        <v>0</v>
      </c>
      <c r="FM41" s="25">
        <f t="shared" si="92"/>
        <v>0</v>
      </c>
    </row>
    <row r="42" spans="2:169" x14ac:dyDescent="0.25">
      <c r="B42" s="29" t="s">
        <v>101</v>
      </c>
      <c r="C42" s="29" t="s">
        <v>94</v>
      </c>
      <c r="D42" s="29"/>
      <c r="E42" s="29"/>
      <c r="F42" s="29"/>
      <c r="G42" s="29"/>
      <c r="H42" s="32">
        <f t="shared" si="86"/>
        <v>100589.5256614844</v>
      </c>
      <c r="I42" s="30">
        <f>SUM(I40:I41)</f>
        <v>0</v>
      </c>
      <c r="J42" s="30">
        <f t="shared" ref="J42:BU42" si="93">SUM(J40:J41)</f>
        <v>0</v>
      </c>
      <c r="K42" s="30">
        <f t="shared" si="93"/>
        <v>-8637.1622398314012</v>
      </c>
      <c r="L42" s="30">
        <f t="shared" si="93"/>
        <v>-5909.9911040042152</v>
      </c>
      <c r="M42" s="30">
        <f t="shared" si="93"/>
        <v>-5915.3808616438355</v>
      </c>
      <c r="N42" s="30">
        <f t="shared" si="93"/>
        <v>-6046.254896401826</v>
      </c>
      <c r="O42" s="30">
        <f t="shared" si="93"/>
        <v>-5156.7060142611872</v>
      </c>
      <c r="P42" s="30">
        <f t="shared" si="93"/>
        <v>-2853.2205492164385</v>
      </c>
      <c r="Q42" s="30">
        <f t="shared" si="93"/>
        <v>-2399.5780104162104</v>
      </c>
      <c r="R42" s="30">
        <f t="shared" si="93"/>
        <v>487.95668664478205</v>
      </c>
      <c r="S42" s="30">
        <f t="shared" si="93"/>
        <v>630.09375715520582</v>
      </c>
      <c r="T42" s="30">
        <f t="shared" si="93"/>
        <v>636.28922579415257</v>
      </c>
      <c r="U42" s="30">
        <f t="shared" si="93"/>
        <v>635.56058721161367</v>
      </c>
      <c r="V42" s="30">
        <f t="shared" si="93"/>
        <v>637.77073021680735</v>
      </c>
      <c r="W42" s="30">
        <f t="shared" si="93"/>
        <v>651.60237842795107</v>
      </c>
      <c r="X42" s="30">
        <f t="shared" si="93"/>
        <v>658.00586419358979</v>
      </c>
      <c r="Y42" s="30">
        <f t="shared" si="93"/>
        <v>657.24888426221787</v>
      </c>
      <c r="Z42" s="30">
        <f t="shared" si="93"/>
        <v>655.53921874571961</v>
      </c>
      <c r="AA42" s="30">
        <f t="shared" si="93"/>
        <v>667.99348369264783</v>
      </c>
      <c r="AB42" s="30">
        <f t="shared" si="93"/>
        <v>674.55619679449239</v>
      </c>
      <c r="AC42" s="30">
        <f t="shared" si="93"/>
        <v>673.77832216345053</v>
      </c>
      <c r="AD42" s="30">
        <f t="shared" si="93"/>
        <v>671.96419148732173</v>
      </c>
      <c r="AE42" s="30">
        <f t="shared" si="93"/>
        <v>684.70258869141821</v>
      </c>
      <c r="AF42" s="30">
        <f t="shared" si="93"/>
        <v>691.42750126454894</v>
      </c>
      <c r="AG42" s="30">
        <f t="shared" si="93"/>
        <v>690.62820956634528</v>
      </c>
      <c r="AH42" s="30">
        <f t="shared" si="93"/>
        <v>695.10142882902448</v>
      </c>
      <c r="AI42" s="30">
        <f t="shared" si="93"/>
        <v>699.81314310850485</v>
      </c>
      <c r="AJ42" s="30">
        <f t="shared" si="93"/>
        <v>706.68663477881307</v>
      </c>
      <c r="AK42" s="30">
        <f t="shared" si="93"/>
        <v>705.86987212924805</v>
      </c>
      <c r="AL42" s="30">
        <f t="shared" si="93"/>
        <v>705.17745665533266</v>
      </c>
      <c r="AM42" s="30">
        <f t="shared" si="93"/>
        <v>719.09828692651536</v>
      </c>
      <c r="AN42" s="30">
        <f t="shared" si="93"/>
        <v>726.15672040549839</v>
      </c>
      <c r="AO42" s="30">
        <f t="shared" si="93"/>
        <v>725.31297490726695</v>
      </c>
      <c r="AP42" s="30">
        <f t="shared" si="93"/>
        <v>723.17306210141476</v>
      </c>
      <c r="AQ42" s="30">
        <f t="shared" si="93"/>
        <v>736.79685993948124</v>
      </c>
      <c r="AR42" s="30">
        <f t="shared" si="93"/>
        <v>744.0267193929518</v>
      </c>
      <c r="AS42" s="30">
        <f t="shared" si="93"/>
        <v>743.15991005587864</v>
      </c>
      <c r="AT42" s="30">
        <f t="shared" si="93"/>
        <v>740.90713570990715</v>
      </c>
      <c r="AU42" s="30">
        <f t="shared" si="93"/>
        <v>754.83739429084631</v>
      </c>
      <c r="AV42" s="30">
        <f t="shared" si="93"/>
        <v>762.2418609397389</v>
      </c>
      <c r="AW42" s="30">
        <f t="shared" si="93"/>
        <v>761.35141116785326</v>
      </c>
      <c r="AX42" s="30">
        <f t="shared" si="93"/>
        <v>766.02683526271471</v>
      </c>
      <c r="AY42" s="30">
        <f t="shared" si="93"/>
        <v>771.10781213863811</v>
      </c>
      <c r="AZ42" s="30">
        <f t="shared" si="93"/>
        <v>778.67183457217118</v>
      </c>
      <c r="BA42" s="30">
        <f t="shared" si="93"/>
        <v>777.76214478440045</v>
      </c>
      <c r="BB42" s="30">
        <f t="shared" si="93"/>
        <v>776.75192575085907</v>
      </c>
      <c r="BC42" s="30">
        <f t="shared" si="93"/>
        <v>791.96936376524479</v>
      </c>
      <c r="BD42" s="30">
        <f t="shared" si="93"/>
        <v>799.73280535722745</v>
      </c>
      <c r="BE42" s="30">
        <f t="shared" si="93"/>
        <v>798.79328690783336</v>
      </c>
      <c r="BF42" s="30">
        <f t="shared" si="93"/>
        <v>796.188521205847</v>
      </c>
      <c r="BG42" s="30">
        <f t="shared" si="93"/>
        <v>811.0735526649994</v>
      </c>
      <c r="BH42" s="30">
        <f t="shared" si="93"/>
        <v>819.02147223611712</v>
      </c>
      <c r="BI42" s="30">
        <f t="shared" si="93"/>
        <v>818.05649562410269</v>
      </c>
      <c r="BJ42" s="30">
        <f t="shared" si="93"/>
        <v>815.32978127746833</v>
      </c>
      <c r="BK42" s="30">
        <f t="shared" si="93"/>
        <v>830.54521243419231</v>
      </c>
      <c r="BL42" s="30">
        <f t="shared" si="93"/>
        <v>838.68101167180157</v>
      </c>
      <c r="BM42" s="30">
        <f t="shared" si="93"/>
        <v>837.68994044310091</v>
      </c>
      <c r="BN42" s="30">
        <f t="shared" si="93"/>
        <v>842.58311521842847</v>
      </c>
      <c r="BO42" s="30">
        <f t="shared" si="93"/>
        <v>848.06119017448498</v>
      </c>
      <c r="BP42" s="30">
        <f t="shared" si="93"/>
        <v>856.36827995185524</v>
      </c>
      <c r="BQ42" s="30">
        <f t="shared" si="93"/>
        <v>855.35601599104439</v>
      </c>
      <c r="BR42" s="30">
        <f t="shared" si="93"/>
        <v>854.00223463366501</v>
      </c>
      <c r="BS42" s="30">
        <f t="shared" si="93"/>
        <v>870.61755310872934</v>
      </c>
      <c r="BT42" s="30">
        <f t="shared" si="93"/>
        <v>879.1395450996074</v>
      </c>
      <c r="BU42" s="30">
        <f t="shared" si="93"/>
        <v>878.09431123214745</v>
      </c>
      <c r="BV42" s="30">
        <f t="shared" ref="BV42:EG42" si="94">SUM(BV40:BV41)</f>
        <v>874.98724582755483</v>
      </c>
      <c r="BW42" s="30">
        <f t="shared" si="94"/>
        <v>891.23179338580212</v>
      </c>
      <c r="BX42" s="30">
        <f t="shared" si="94"/>
        <v>899.95221444154242</v>
      </c>
      <c r="BY42" s="30">
        <f t="shared" si="94"/>
        <v>898.87887952601045</v>
      </c>
      <c r="BZ42" s="30">
        <f t="shared" si="94"/>
        <v>895.6400347248524</v>
      </c>
      <c r="CA42" s="30">
        <f t="shared" si="94"/>
        <v>912.24062514256354</v>
      </c>
      <c r="CB42" s="30">
        <f t="shared" si="94"/>
        <v>921.16310890707109</v>
      </c>
      <c r="CC42" s="30">
        <f t="shared" si="94"/>
        <v>920.06097041726468</v>
      </c>
      <c r="CD42" s="30">
        <f t="shared" si="94"/>
        <v>925.18831834203445</v>
      </c>
      <c r="CE42" s="30">
        <f t="shared" si="94"/>
        <v>931.09311562301059</v>
      </c>
      <c r="CF42" s="30">
        <f t="shared" si="94"/>
        <v>940.1994214471265</v>
      </c>
      <c r="CG42" s="30">
        <f t="shared" si="94"/>
        <v>939.07393479186896</v>
      </c>
      <c r="CH42" s="30">
        <f t="shared" si="94"/>
        <v>937.34864196940032</v>
      </c>
      <c r="CI42" s="30">
        <f t="shared" si="94"/>
        <v>955.47032427863269</v>
      </c>
      <c r="CJ42" s="30">
        <f t="shared" si="94"/>
        <v>964.80807426314527</v>
      </c>
      <c r="CK42" s="30">
        <f t="shared" si="94"/>
        <v>963.64615035448639</v>
      </c>
      <c r="CL42" s="30">
        <f t="shared" si="94"/>
        <v>959.99628028346638</v>
      </c>
      <c r="CM42" s="30">
        <f t="shared" si="94"/>
        <v>977.70558643803531</v>
      </c>
      <c r="CN42" s="30">
        <f t="shared" si="94"/>
        <v>987.25666166365886</v>
      </c>
      <c r="CO42" s="30">
        <f t="shared" si="94"/>
        <v>986.06371945589785</v>
      </c>
      <c r="CP42" s="30">
        <f t="shared" si="94"/>
        <v>982.27143912141719</v>
      </c>
      <c r="CQ42" s="30">
        <f t="shared" si="94"/>
        <v>1000.3642313489859</v>
      </c>
      <c r="CR42" s="30">
        <f t="shared" si="94"/>
        <v>1010.132508915952</v>
      </c>
      <c r="CS42" s="30">
        <f t="shared" si="94"/>
        <v>1008.907772951611</v>
      </c>
      <c r="CT42" s="30">
        <f t="shared" si="94"/>
        <v>1014.2866075851335</v>
      </c>
      <c r="CU42" s="30">
        <f t="shared" si="94"/>
        <v>1020.6496116035896</v>
      </c>
      <c r="CV42" s="30">
        <f t="shared" si="94"/>
        <v>1030.6150780765315</v>
      </c>
      <c r="CW42" s="30">
        <f t="shared" si="94"/>
        <v>1029.364614751632</v>
      </c>
      <c r="CX42" s="30">
        <f t="shared" si="94"/>
        <v>1027.2374937722368</v>
      </c>
      <c r="CY42" s="30">
        <f t="shared" si="94"/>
        <v>1046.9816396353781</v>
      </c>
      <c r="CZ42" s="30">
        <f t="shared" si="94"/>
        <v>1057.196204498282</v>
      </c>
      <c r="DA42" s="30">
        <f t="shared" si="94"/>
        <v>1055.9054766179395</v>
      </c>
      <c r="DB42" s="30">
        <f t="shared" si="94"/>
        <v>1051.6690073755994</v>
      </c>
      <c r="DC42" s="30">
        <f t="shared" si="94"/>
        <v>1070.9556605206699</v>
      </c>
      <c r="DD42" s="30">
        <f t="shared" si="94"/>
        <v>1081.3994377641386</v>
      </c>
      <c r="DE42" s="30">
        <f t="shared" si="94"/>
        <v>1080.074471485402</v>
      </c>
      <c r="DF42" s="30">
        <f t="shared" si="94"/>
        <v>1075.6841008203874</v>
      </c>
      <c r="DG42" s="30">
        <f t="shared" si="94"/>
        <v>1095.3835806814297</v>
      </c>
      <c r="DH42" s="30">
        <f t="shared" si="94"/>
        <v>1106.0607022496295</v>
      </c>
      <c r="DI42" s="30">
        <f t="shared" si="94"/>
        <v>1104.7006416125389</v>
      </c>
      <c r="DJ42" s="30">
        <f t="shared" si="94"/>
        <v>1110.349175630927</v>
      </c>
      <c r="DK42" s="30">
        <f t="shared" si="94"/>
        <v>1117.203797922054</v>
      </c>
      <c r="DL42" s="30">
        <f t="shared" si="94"/>
        <v>1128.0923485505073</v>
      </c>
      <c r="DM42" s="30">
        <f t="shared" si="94"/>
        <v>1126.7039343666297</v>
      </c>
      <c r="DN42" s="30">
        <f t="shared" si="94"/>
        <v>1124.1421106344869</v>
      </c>
      <c r="DO42" s="30">
        <f t="shared" si="94"/>
        <v>1145.6328483294433</v>
      </c>
      <c r="DP42" s="30">
        <f t="shared" si="94"/>
        <v>1156.7893169244578</v>
      </c>
      <c r="DQ42" s="30">
        <f t="shared" si="94"/>
        <v>1155.3564135598081</v>
      </c>
      <c r="DR42" s="30">
        <f t="shared" si="94"/>
        <v>1150.4860146333526</v>
      </c>
      <c r="DS42" s="30">
        <f t="shared" si="94"/>
        <v>1171.4703400470235</v>
      </c>
      <c r="DT42" s="30">
        <f t="shared" si="94"/>
        <v>1182.8729443369486</v>
      </c>
      <c r="DU42" s="30">
        <f t="shared" si="94"/>
        <v>1181.4022481867969</v>
      </c>
      <c r="DV42" s="30">
        <f t="shared" si="94"/>
        <v>1176.365532337358</v>
      </c>
      <c r="DW42" s="30">
        <f t="shared" si="94"/>
        <v>1197.7940207359757</v>
      </c>
      <c r="DX42" s="30">
        <f t="shared" si="94"/>
        <v>1209.4471586371235</v>
      </c>
      <c r="DY42" s="30">
        <f t="shared" si="94"/>
        <v>1207.9377248818319</v>
      </c>
      <c r="DZ42" s="30">
        <f t="shared" si="94"/>
        <v>1213.8750701675892</v>
      </c>
      <c r="EA42" s="30">
        <f t="shared" si="94"/>
        <v>1221.2567101983768</v>
      </c>
      <c r="EB42" s="30">
        <f t="shared" si="94"/>
        <v>1233.1364274868604</v>
      </c>
      <c r="EC42" s="30">
        <f t="shared" si="94"/>
        <v>1231.5957413665701</v>
      </c>
      <c r="ED42" s="30">
        <f t="shared" si="94"/>
        <v>1228.5635780215789</v>
      </c>
      <c r="EE42" s="30">
        <f t="shared" si="94"/>
        <v>1251.933480099904</v>
      </c>
      <c r="EF42" s="30">
        <f t="shared" si="94"/>
        <v>1264.1011523732734</v>
      </c>
      <c r="EG42" s="30">
        <f t="shared" si="94"/>
        <v>1270.5156837393304</v>
      </c>
      <c r="EH42" s="30">
        <f t="shared" ref="EH42:FM42" si="95">SUM(EH40:EH41)</f>
        <v>1280.1943497077978</v>
      </c>
      <c r="EI42" s="30">
        <f t="shared" si="95"/>
        <v>1303.2630080298936</v>
      </c>
      <c r="EJ42" s="30">
        <f t="shared" si="95"/>
        <v>1315.9530248859364</v>
      </c>
      <c r="EK42" s="30">
        <f t="shared" si="95"/>
        <v>1314.3214702251676</v>
      </c>
      <c r="EL42" s="30">
        <f t="shared" si="95"/>
        <v>1308.0698771071925</v>
      </c>
      <c r="EM42" s="30">
        <f t="shared" si="95"/>
        <v>1331.6161284450998</v>
      </c>
      <c r="EN42" s="30">
        <f t="shared" si="95"/>
        <v>1344.5749589850532</v>
      </c>
      <c r="EO42" s="30">
        <f t="shared" si="95"/>
        <v>1342.900645256379</v>
      </c>
      <c r="EP42" s="30">
        <f t="shared" si="95"/>
        <v>1348.8243992071114</v>
      </c>
      <c r="EQ42" s="30">
        <f t="shared" si="95"/>
        <v>1356.7704970422405</v>
      </c>
      <c r="ER42" s="30">
        <f t="shared" si="95"/>
        <v>1369.9712970972209</v>
      </c>
      <c r="ES42" s="30">
        <f t="shared" si="95"/>
        <v>1368.2625312506379</v>
      </c>
      <c r="ET42" s="30">
        <f t="shared" si="95"/>
        <v>1364.2699030951603</v>
      </c>
      <c r="EU42" s="30">
        <f t="shared" si="95"/>
        <v>1389.9186073655399</v>
      </c>
      <c r="EV42" s="30">
        <f t="shared" si="95"/>
        <v>1403.4293726967157</v>
      </c>
      <c r="EW42" s="30">
        <f t="shared" si="95"/>
        <v>1401.6663071777209</v>
      </c>
      <c r="EX42" s="30">
        <f t="shared" si="95"/>
        <v>1394.8541750854679</v>
      </c>
      <c r="EY42" s="30">
        <f t="shared" si="95"/>
        <v>1419.885937092829</v>
      </c>
      <c r="EZ42" s="30">
        <f t="shared" si="95"/>
        <v>1433.6799669003294</v>
      </c>
      <c r="FA42" s="30">
        <f t="shared" si="95"/>
        <v>1431.8708545419743</v>
      </c>
      <c r="FB42" s="30">
        <f t="shared" si="95"/>
        <v>428.19993106672234</v>
      </c>
      <c r="FC42" s="30">
        <f t="shared" si="95"/>
        <v>0</v>
      </c>
      <c r="FD42" s="30">
        <f t="shared" si="95"/>
        <v>0</v>
      </c>
      <c r="FE42" s="30">
        <f t="shared" si="95"/>
        <v>0</v>
      </c>
      <c r="FF42" s="30">
        <f t="shared" si="95"/>
        <v>0</v>
      </c>
      <c r="FG42" s="30">
        <f t="shared" si="95"/>
        <v>0</v>
      </c>
      <c r="FH42" s="30">
        <f t="shared" si="95"/>
        <v>0</v>
      </c>
      <c r="FI42" s="30">
        <f t="shared" si="95"/>
        <v>0</v>
      </c>
      <c r="FJ42" s="30">
        <f t="shared" si="95"/>
        <v>0</v>
      </c>
      <c r="FK42" s="30">
        <f t="shared" si="95"/>
        <v>0</v>
      </c>
      <c r="FL42" s="30">
        <f t="shared" si="95"/>
        <v>0</v>
      </c>
      <c r="FM42" s="30">
        <f t="shared" si="95"/>
        <v>0</v>
      </c>
    </row>
    <row r="43" spans="2:169" x14ac:dyDescent="0.25"/>
    <row r="44" spans="2:169" x14ac:dyDescent="0.25">
      <c r="B44" t="s">
        <v>102</v>
      </c>
      <c r="C44" t="s">
        <v>2</v>
      </c>
      <c r="D44" s="43">
        <f>SUM(I44:FM44)</f>
        <v>7.9572534179687501E-2</v>
      </c>
      <c r="I44" s="22">
        <f>IFERROR(I$27 * XIRR(I42:$FM42, I$4:$FM$4,0), 0)</f>
        <v>0</v>
      </c>
      <c r="J44" s="22">
        <f>IFERROR(J$27 * XIRR(J42:$FM42, J$4:$FM$4,0), 0)</f>
        <v>0</v>
      </c>
      <c r="K44" s="22">
        <f>IFERROR(K$27 * XIRR(K42:$FM42, K$4:$FM$4,0), 0)</f>
        <v>7.9572534179687501E-2</v>
      </c>
      <c r="L44" s="22">
        <f>IFERROR(L$27 * XIRR(L42:$FM42, L$4:$FM$4,0), 0)</f>
        <v>0</v>
      </c>
      <c r="M44" s="22">
        <f>IFERROR(M$27 * XIRR(M42:$FM42, M$4:$FM$4,0), 0)</f>
        <v>0</v>
      </c>
      <c r="N44" s="22">
        <f>IFERROR(N$27 * XIRR(N42:$FM42, N$4:$FM$4,0), 0)</f>
        <v>0</v>
      </c>
      <c r="O44" s="22">
        <f>IFERROR(O$27 * XIRR(O42:$FM42, O$4:$FM$4,0), 0)</f>
        <v>0</v>
      </c>
      <c r="P44" s="22">
        <f>IFERROR(P$27 * XIRR(P42:$FM42, P$4:$FM$4,0), 0)</f>
        <v>0</v>
      </c>
      <c r="Q44" s="22">
        <f>IFERROR(Q$27 * XIRR(Q42:$FM42, Q$4:$FM$4,0), 0)</f>
        <v>0</v>
      </c>
      <c r="R44" s="22">
        <f>IFERROR(R$27 * XIRR(R42:$FM42, R$4:$FM$4,0), 0)</f>
        <v>0</v>
      </c>
      <c r="S44" s="22">
        <f>IFERROR(S$27 * XIRR(S42:$FM42, S$4:$FM$4,0), 0)</f>
        <v>0</v>
      </c>
      <c r="T44" s="22">
        <f>IFERROR(T$27 * XIRR(T42:$FM42, T$4:$FM$4,0), 0)</f>
        <v>0</v>
      </c>
      <c r="U44" s="22">
        <f>IFERROR(U$27 * XIRR(U42:$FM42, U$4:$FM$4,0), 0)</f>
        <v>0</v>
      </c>
      <c r="V44" s="22">
        <f>IFERROR(V$27 * XIRR(V42:$FM42, V$4:$FM$4,0), 0)</f>
        <v>0</v>
      </c>
      <c r="W44" s="22">
        <f>IFERROR(W$27 * XIRR(W42:$FM42, W$4:$FM$4,0), 0)</f>
        <v>0</v>
      </c>
      <c r="X44" s="22">
        <f>IFERROR(X$27 * XIRR(X42:$FM42, X$4:$FM$4,0), 0)</f>
        <v>0</v>
      </c>
      <c r="Y44" s="22">
        <f>IFERROR(Y$27 * XIRR(Y42:$FM42, Y$4:$FM$4,0), 0)</f>
        <v>0</v>
      </c>
      <c r="Z44" s="22">
        <f>IFERROR(Z$27 * XIRR(Z42:$FM42, Z$4:$FM$4,0), 0)</f>
        <v>0</v>
      </c>
      <c r="AA44" s="22">
        <f>IFERROR(AA$27 * XIRR(AA42:$FM42, AA$4:$FM$4,0), 0)</f>
        <v>0</v>
      </c>
      <c r="AB44" s="22">
        <f>IFERROR(AB$27 * XIRR(AB42:$FM42, AB$4:$FM$4,0), 0)</f>
        <v>0</v>
      </c>
      <c r="AC44" s="22">
        <f>IFERROR(AC$27 * XIRR(AC42:$FM42, AC$4:$FM$4,0), 0)</f>
        <v>0</v>
      </c>
      <c r="AD44" s="22">
        <f>IFERROR(AD$27 * XIRR(AD42:$FM42, AD$4:$FM$4,0), 0)</f>
        <v>0</v>
      </c>
      <c r="AE44" s="22">
        <f>IFERROR(AE$27 * XIRR(AE42:$FM42, AE$4:$FM$4,0), 0)</f>
        <v>0</v>
      </c>
      <c r="AF44" s="22">
        <f>IFERROR(AF$27 * XIRR(AF42:$FM42, AF$4:$FM$4,0), 0)</f>
        <v>0</v>
      </c>
      <c r="AG44" s="22">
        <f>IFERROR(AG$27 * XIRR(AG42:$FM42, AG$4:$FM$4,0), 0)</f>
        <v>0</v>
      </c>
      <c r="AH44" s="22">
        <f>IFERROR(AH$27 * XIRR(AH42:$FM42, AH$4:$FM$4,0), 0)</f>
        <v>0</v>
      </c>
      <c r="AI44" s="22">
        <f>IFERROR(AI$27 * XIRR(AI42:$FM42, AI$4:$FM$4,0), 0)</f>
        <v>0</v>
      </c>
      <c r="AJ44" s="22">
        <f>IFERROR(AJ$27 * XIRR(AJ42:$FM42, AJ$4:$FM$4,0), 0)</f>
        <v>0</v>
      </c>
      <c r="AK44" s="22">
        <f>IFERROR(AK$27 * XIRR(AK42:$FM42, AK$4:$FM$4,0), 0)</f>
        <v>0</v>
      </c>
      <c r="AL44" s="22">
        <f>IFERROR(AL$27 * XIRR(AL42:$FM42, AL$4:$FM$4,0), 0)</f>
        <v>0</v>
      </c>
      <c r="AM44" s="22">
        <f>IFERROR(AM$27 * XIRR(AM42:$FM42, AM$4:$FM$4,0), 0)</f>
        <v>0</v>
      </c>
      <c r="AN44" s="22">
        <f>IFERROR(AN$27 * XIRR(AN42:$FM42, AN$4:$FM$4,0), 0)</f>
        <v>0</v>
      </c>
      <c r="AO44" s="22">
        <f>IFERROR(AO$27 * XIRR(AO42:$FM42, AO$4:$FM$4,0), 0)</f>
        <v>0</v>
      </c>
      <c r="AP44" s="22">
        <f>IFERROR(AP$27 * XIRR(AP42:$FM42, AP$4:$FM$4,0), 0)</f>
        <v>0</v>
      </c>
      <c r="AQ44" s="22">
        <f>IFERROR(AQ$27 * XIRR(AQ42:$FM42, AQ$4:$FM$4,0), 0)</f>
        <v>0</v>
      </c>
      <c r="AR44" s="22">
        <f>IFERROR(AR$27 * XIRR(AR42:$FM42, AR$4:$FM$4,0), 0)</f>
        <v>0</v>
      </c>
      <c r="AS44" s="22">
        <f>IFERROR(AS$27 * XIRR(AS42:$FM42, AS$4:$FM$4,0), 0)</f>
        <v>0</v>
      </c>
      <c r="AT44" s="22">
        <f>IFERROR(AT$27 * XIRR(AT42:$FM42, AT$4:$FM$4,0), 0)</f>
        <v>0</v>
      </c>
      <c r="AU44" s="22">
        <f>IFERROR(AU$27 * XIRR(AU42:$FM42, AU$4:$FM$4,0), 0)</f>
        <v>0</v>
      </c>
      <c r="AV44" s="22">
        <f>IFERROR(AV$27 * XIRR(AV42:$FM42, AV$4:$FM$4,0), 0)</f>
        <v>0</v>
      </c>
      <c r="AW44" s="22">
        <f>IFERROR(AW$27 * XIRR(AW42:$FM42, AW$4:$FM$4,0), 0)</f>
        <v>0</v>
      </c>
      <c r="AX44" s="22">
        <f>IFERROR(AX$27 * XIRR(AX42:$FM42, AX$4:$FM$4,0), 0)</f>
        <v>0</v>
      </c>
      <c r="AY44" s="22">
        <f>IFERROR(AY$27 * XIRR(AY42:$FM42, AY$4:$FM$4,0), 0)</f>
        <v>0</v>
      </c>
      <c r="AZ44" s="22">
        <f>IFERROR(AZ$27 * XIRR(AZ42:$FM42, AZ$4:$FM$4,0), 0)</f>
        <v>0</v>
      </c>
      <c r="BA44" s="22">
        <f>IFERROR(BA$27 * XIRR(BA42:$FM42, BA$4:$FM$4,0), 0)</f>
        <v>0</v>
      </c>
      <c r="BB44" s="22">
        <f>IFERROR(BB$27 * XIRR(BB42:$FM42, BB$4:$FM$4,0), 0)</f>
        <v>0</v>
      </c>
      <c r="BC44" s="22">
        <f>IFERROR(BC$27 * XIRR(BC42:$FM42, BC$4:$FM$4,0), 0)</f>
        <v>0</v>
      </c>
      <c r="BD44" s="22">
        <f>IFERROR(BD$27 * XIRR(BD42:$FM42, BD$4:$FM$4,0), 0)</f>
        <v>0</v>
      </c>
      <c r="BE44" s="22">
        <f>IFERROR(BE$27 * XIRR(BE42:$FM42, BE$4:$FM$4,0), 0)</f>
        <v>0</v>
      </c>
      <c r="BF44" s="22">
        <f>IFERROR(BF$27 * XIRR(BF42:$FM42, BF$4:$FM$4,0), 0)</f>
        <v>0</v>
      </c>
      <c r="BG44" s="22">
        <f>IFERROR(BG$27 * XIRR(BG42:$FM42, BG$4:$FM$4,0), 0)</f>
        <v>0</v>
      </c>
      <c r="BH44" s="22">
        <f>IFERROR(BH$27 * XIRR(BH42:$FM42, BH$4:$FM$4,0), 0)</f>
        <v>0</v>
      </c>
      <c r="BI44" s="22">
        <f>IFERROR(BI$27 * XIRR(BI42:$FM42, BI$4:$FM$4,0), 0)</f>
        <v>0</v>
      </c>
      <c r="BJ44" s="22">
        <f>IFERROR(BJ$27 * XIRR(BJ42:$FM42, BJ$4:$FM$4,0), 0)</f>
        <v>0</v>
      </c>
      <c r="BK44" s="22">
        <f>IFERROR(BK$27 * XIRR(BK42:$FM42, BK$4:$FM$4,0), 0)</f>
        <v>0</v>
      </c>
      <c r="BL44" s="22">
        <f>IFERROR(BL$27 * XIRR(BL42:$FM42, BL$4:$FM$4,0), 0)</f>
        <v>0</v>
      </c>
      <c r="BM44" s="22">
        <f>IFERROR(BM$27 * XIRR(BM42:$FM42, BM$4:$FM$4,0), 0)</f>
        <v>0</v>
      </c>
      <c r="BN44" s="22">
        <f>IFERROR(BN$27 * XIRR(BN42:$FM42, BN$4:$FM$4,0), 0)</f>
        <v>0</v>
      </c>
      <c r="BO44" s="22">
        <f>IFERROR(BO$27 * XIRR(BO42:$FM42, BO$4:$FM$4,0), 0)</f>
        <v>0</v>
      </c>
      <c r="BP44" s="22">
        <f>IFERROR(BP$27 * XIRR(BP42:$FM42, BP$4:$FM$4,0), 0)</f>
        <v>0</v>
      </c>
      <c r="BQ44" s="22">
        <f>IFERROR(BQ$27 * XIRR(BQ42:$FM42, BQ$4:$FM$4,0), 0)</f>
        <v>0</v>
      </c>
      <c r="BR44" s="22">
        <f>IFERROR(BR$27 * XIRR(BR42:$FM42, BR$4:$FM$4,0), 0)</f>
        <v>0</v>
      </c>
      <c r="BS44" s="22">
        <f>IFERROR(BS$27 * XIRR(BS42:$FM42, BS$4:$FM$4,0), 0)</f>
        <v>0</v>
      </c>
      <c r="BT44" s="22">
        <f>IFERROR(BT$27 * XIRR(BT42:$FM42, BT$4:$FM$4,0), 0)</f>
        <v>0</v>
      </c>
      <c r="BU44" s="22">
        <f>IFERROR(BU$27 * XIRR(BU42:$FM42, BU$4:$FM$4,0), 0)</f>
        <v>0</v>
      </c>
      <c r="BV44" s="22">
        <f>IFERROR(BV$27 * XIRR(BV42:$FM42, BV$4:$FM$4,0), 0)</f>
        <v>0</v>
      </c>
      <c r="BW44" s="22">
        <f>IFERROR(BW$27 * XIRR(BW42:$FM42, BW$4:$FM$4,0), 0)</f>
        <v>0</v>
      </c>
      <c r="BX44" s="22">
        <f>IFERROR(BX$27 * XIRR(BX42:$FM42, BX$4:$FM$4,0), 0)</f>
        <v>0</v>
      </c>
      <c r="BY44" s="22">
        <f>IFERROR(BY$27 * XIRR(BY42:$FM42, BY$4:$FM$4,0), 0)</f>
        <v>0</v>
      </c>
      <c r="BZ44" s="22">
        <f>IFERROR(BZ$27 * XIRR(BZ42:$FM42, BZ$4:$FM$4,0), 0)</f>
        <v>0</v>
      </c>
      <c r="CA44" s="22">
        <f>IFERROR(CA$27 * XIRR(CA42:$FM42, CA$4:$FM$4,0), 0)</f>
        <v>0</v>
      </c>
      <c r="CB44" s="22">
        <f>IFERROR(CB$27 * XIRR(CB42:$FM42, CB$4:$FM$4,0), 0)</f>
        <v>0</v>
      </c>
      <c r="CC44" s="22">
        <f>IFERROR(CC$27 * XIRR(CC42:$FM42, CC$4:$FM$4,0), 0)</f>
        <v>0</v>
      </c>
      <c r="CD44" s="22">
        <f>IFERROR(CD$27 * XIRR(CD42:$FM42, CD$4:$FM$4,0), 0)</f>
        <v>0</v>
      </c>
      <c r="CE44" s="22">
        <f>IFERROR(CE$27 * XIRR(CE42:$FM42, CE$4:$FM$4,0), 0)</f>
        <v>0</v>
      </c>
      <c r="CF44" s="22">
        <f>IFERROR(CF$27 * XIRR(CF42:$FM42, CF$4:$FM$4,0), 0)</f>
        <v>0</v>
      </c>
      <c r="CG44" s="22">
        <f>IFERROR(CG$27 * XIRR(CG42:$FM42, CG$4:$FM$4,0), 0)</f>
        <v>0</v>
      </c>
      <c r="CH44" s="22">
        <f>IFERROR(CH$27 * XIRR(CH42:$FM42, CH$4:$FM$4,0), 0)</f>
        <v>0</v>
      </c>
      <c r="CI44" s="22">
        <f>IFERROR(CI$27 * XIRR(CI42:$FM42, CI$4:$FM$4,0), 0)</f>
        <v>0</v>
      </c>
      <c r="CJ44" s="22">
        <f>IFERROR(CJ$27 * XIRR(CJ42:$FM42, CJ$4:$FM$4,0), 0)</f>
        <v>0</v>
      </c>
      <c r="CK44" s="22">
        <f>IFERROR(CK$27 * XIRR(CK42:$FM42, CK$4:$FM$4,0), 0)</f>
        <v>0</v>
      </c>
      <c r="CL44" s="22">
        <f>IFERROR(CL$27 * XIRR(CL42:$FM42, CL$4:$FM$4,0), 0)</f>
        <v>0</v>
      </c>
      <c r="CM44" s="22">
        <f>IFERROR(CM$27 * XIRR(CM42:$FM42, CM$4:$FM$4,0), 0)</f>
        <v>0</v>
      </c>
      <c r="CN44" s="22">
        <f>IFERROR(CN$27 * XIRR(CN42:$FM42, CN$4:$FM$4,0), 0)</f>
        <v>0</v>
      </c>
      <c r="CO44" s="22">
        <f>IFERROR(CO$27 * XIRR(CO42:$FM42, CO$4:$FM$4,0), 0)</f>
        <v>0</v>
      </c>
      <c r="CP44" s="22">
        <f>IFERROR(CP$27 * XIRR(CP42:$FM42, CP$4:$FM$4,0), 0)</f>
        <v>0</v>
      </c>
      <c r="CQ44" s="22">
        <f>IFERROR(CQ$27 * XIRR(CQ42:$FM42, CQ$4:$FM$4,0), 0)</f>
        <v>0</v>
      </c>
      <c r="CR44" s="22">
        <f>IFERROR(CR$27 * XIRR(CR42:$FM42, CR$4:$FM$4,0), 0)</f>
        <v>0</v>
      </c>
      <c r="CS44" s="22">
        <f>IFERROR(CS$27 * XIRR(CS42:$FM42, CS$4:$FM$4,0), 0)</f>
        <v>0</v>
      </c>
      <c r="CT44" s="22">
        <f>IFERROR(CT$27 * XIRR(CT42:$FM42, CT$4:$FM$4,0), 0)</f>
        <v>0</v>
      </c>
      <c r="CU44" s="22">
        <f>IFERROR(CU$27 * XIRR(CU42:$FM42, CU$4:$FM$4,0), 0)</f>
        <v>0</v>
      </c>
      <c r="CV44" s="22">
        <f>IFERROR(CV$27 * XIRR(CV42:$FM42, CV$4:$FM$4,0), 0)</f>
        <v>0</v>
      </c>
      <c r="CW44" s="22">
        <f>IFERROR(CW$27 * XIRR(CW42:$FM42, CW$4:$FM$4,0), 0)</f>
        <v>0</v>
      </c>
      <c r="CX44" s="22">
        <f>IFERROR(CX$27 * XIRR(CX42:$FM42, CX$4:$FM$4,0), 0)</f>
        <v>0</v>
      </c>
      <c r="CY44" s="22">
        <f>IFERROR(CY$27 * XIRR(CY42:$FM42, CY$4:$FM$4,0), 0)</f>
        <v>0</v>
      </c>
      <c r="CZ44" s="22">
        <f>IFERROR(CZ$27 * XIRR(CZ42:$FM42, CZ$4:$FM$4,0), 0)</f>
        <v>0</v>
      </c>
      <c r="DA44" s="22">
        <f>IFERROR(DA$27 * XIRR(DA42:$FM42, DA$4:$FM$4,0), 0)</f>
        <v>0</v>
      </c>
      <c r="DB44" s="22">
        <f>IFERROR(DB$27 * XIRR(DB42:$FM42, DB$4:$FM$4,0), 0)</f>
        <v>0</v>
      </c>
      <c r="DC44" s="22">
        <f>IFERROR(DC$27 * XIRR(DC42:$FM42, DC$4:$FM$4,0), 0)</f>
        <v>0</v>
      </c>
      <c r="DD44" s="22">
        <f>IFERROR(DD$27 * XIRR(DD42:$FM42, DD$4:$FM$4,0), 0)</f>
        <v>0</v>
      </c>
      <c r="DE44" s="22">
        <f>IFERROR(DE$27 * XIRR(DE42:$FM42, DE$4:$FM$4,0), 0)</f>
        <v>0</v>
      </c>
      <c r="DF44" s="22">
        <f>IFERROR(DF$27 * XIRR(DF42:$FM42, DF$4:$FM$4,0), 0)</f>
        <v>0</v>
      </c>
      <c r="DG44" s="22">
        <f>IFERROR(DG$27 * XIRR(DG42:$FM42, DG$4:$FM$4,0), 0)</f>
        <v>0</v>
      </c>
      <c r="DH44" s="22">
        <f>IFERROR(DH$27 * XIRR(DH42:$FM42, DH$4:$FM$4,0), 0)</f>
        <v>0</v>
      </c>
      <c r="DI44" s="22">
        <f>IFERROR(DI$27 * XIRR(DI42:$FM42, DI$4:$FM$4,0), 0)</f>
        <v>0</v>
      </c>
      <c r="DJ44" s="22">
        <f>IFERROR(DJ$27 * XIRR(DJ42:$FM42, DJ$4:$FM$4,0), 0)</f>
        <v>0</v>
      </c>
      <c r="DK44" s="22">
        <f>IFERROR(DK$27 * XIRR(DK42:$FM42, DK$4:$FM$4,0), 0)</f>
        <v>0</v>
      </c>
      <c r="DL44" s="22">
        <f>IFERROR(DL$27 * XIRR(DL42:$FM42, DL$4:$FM$4,0), 0)</f>
        <v>0</v>
      </c>
      <c r="DM44" s="22">
        <f>IFERROR(DM$27 * XIRR(DM42:$FM42, DM$4:$FM$4,0), 0)</f>
        <v>0</v>
      </c>
      <c r="DN44" s="22">
        <f>IFERROR(DN$27 * XIRR(DN42:$FM42, DN$4:$FM$4,0), 0)</f>
        <v>0</v>
      </c>
      <c r="DO44" s="22">
        <f>IFERROR(DO$27 * XIRR(DO42:$FM42, DO$4:$FM$4,0), 0)</f>
        <v>0</v>
      </c>
      <c r="DP44" s="22">
        <f>IFERROR(DP$27 * XIRR(DP42:$FM42, DP$4:$FM$4,0), 0)</f>
        <v>0</v>
      </c>
      <c r="DQ44" s="22">
        <f>IFERROR(DQ$27 * XIRR(DQ42:$FM42, DQ$4:$FM$4,0), 0)</f>
        <v>0</v>
      </c>
      <c r="DR44" s="22">
        <f>IFERROR(DR$27 * XIRR(DR42:$FM42, DR$4:$FM$4,0), 0)</f>
        <v>0</v>
      </c>
      <c r="DS44" s="22">
        <f>IFERROR(DS$27 * XIRR(DS42:$FM42, DS$4:$FM$4,0), 0)</f>
        <v>0</v>
      </c>
      <c r="DT44" s="22">
        <f>IFERROR(DT$27 * XIRR(DT42:$FM42, DT$4:$FM$4,0), 0)</f>
        <v>0</v>
      </c>
      <c r="DU44" s="22">
        <f>IFERROR(DU$27 * XIRR(DU42:$FM42, DU$4:$FM$4,0), 0)</f>
        <v>0</v>
      </c>
      <c r="DV44" s="22">
        <f>IFERROR(DV$27 * XIRR(DV42:$FM42, DV$4:$FM$4,0), 0)</f>
        <v>0</v>
      </c>
      <c r="DW44" s="22">
        <f>IFERROR(DW$27 * XIRR(DW42:$FM42, DW$4:$FM$4,0), 0)</f>
        <v>0</v>
      </c>
      <c r="DX44" s="22">
        <f>IFERROR(DX$27 * XIRR(DX42:$FM42, DX$4:$FM$4,0), 0)</f>
        <v>0</v>
      </c>
      <c r="DY44" s="22">
        <f>IFERROR(DY$27 * XIRR(DY42:$FM42, DY$4:$FM$4,0), 0)</f>
        <v>0</v>
      </c>
      <c r="DZ44" s="22">
        <f>IFERROR(DZ$27 * XIRR(DZ42:$FM42, DZ$4:$FM$4,0), 0)</f>
        <v>0</v>
      </c>
      <c r="EA44" s="22">
        <f>IFERROR(EA$27 * XIRR(EA42:$FM42, EA$4:$FM$4,0), 0)</f>
        <v>0</v>
      </c>
      <c r="EB44" s="22">
        <f>IFERROR(EB$27 * XIRR(EB42:$FM42, EB$4:$FM$4,0), 0)</f>
        <v>0</v>
      </c>
      <c r="EC44" s="22">
        <f>IFERROR(EC$27 * XIRR(EC42:$FM42, EC$4:$FM$4,0), 0)</f>
        <v>0</v>
      </c>
      <c r="ED44" s="22">
        <f>IFERROR(ED$27 * XIRR(ED42:$FM42, ED$4:$FM$4,0), 0)</f>
        <v>0</v>
      </c>
      <c r="EE44" s="22">
        <f>IFERROR(EE$27 * XIRR(EE42:$FM42, EE$4:$FM$4,0), 0)</f>
        <v>0</v>
      </c>
      <c r="EF44" s="22">
        <f>IFERROR(EF$27 * XIRR(EF42:$FM42, EF$4:$FM$4,0), 0)</f>
        <v>0</v>
      </c>
      <c r="EG44" s="22">
        <f>IFERROR(EG$27 * XIRR(EG42:$FM42, EG$4:$FM$4,0), 0)</f>
        <v>0</v>
      </c>
      <c r="EH44" s="22">
        <f>IFERROR(EH$27 * XIRR(EH42:$FM42, EH$4:$FM$4,0), 0)</f>
        <v>0</v>
      </c>
      <c r="EI44" s="22">
        <f>IFERROR(EI$27 * XIRR(EI42:$FM42, EI$4:$FM$4,0), 0)</f>
        <v>0</v>
      </c>
      <c r="EJ44" s="22">
        <f>IFERROR(EJ$27 * XIRR(EJ42:$FM42, EJ$4:$FM$4,0), 0)</f>
        <v>0</v>
      </c>
      <c r="EK44" s="22">
        <f>IFERROR(EK$27 * XIRR(EK42:$FM42, EK$4:$FM$4,0), 0)</f>
        <v>0</v>
      </c>
      <c r="EL44" s="22">
        <f>IFERROR(EL$27 * XIRR(EL42:$FM42, EL$4:$FM$4,0), 0)</f>
        <v>0</v>
      </c>
      <c r="EM44" s="22">
        <f>IFERROR(EM$27 * XIRR(EM42:$FM42, EM$4:$FM$4,0), 0)</f>
        <v>0</v>
      </c>
      <c r="EN44" s="22">
        <f>IFERROR(EN$27 * XIRR(EN42:$FM42, EN$4:$FM$4,0), 0)</f>
        <v>0</v>
      </c>
      <c r="EO44" s="22">
        <f>IFERROR(EO$27 * XIRR(EO42:$FM42, EO$4:$FM$4,0), 0)</f>
        <v>0</v>
      </c>
      <c r="EP44" s="22">
        <f>IFERROR(EP$27 * XIRR(EP42:$FM42, EP$4:$FM$4,0), 0)</f>
        <v>0</v>
      </c>
      <c r="EQ44" s="22">
        <f>IFERROR(EQ$27 * XIRR(EQ42:$FM42, EQ$4:$FM$4,0), 0)</f>
        <v>0</v>
      </c>
      <c r="ER44" s="22">
        <f>IFERROR(ER$27 * XIRR(ER42:$FM42, ER$4:$FM$4,0), 0)</f>
        <v>0</v>
      </c>
      <c r="ES44" s="22">
        <f>IFERROR(ES$27 * XIRR(ES42:$FM42, ES$4:$FM$4,0), 0)</f>
        <v>0</v>
      </c>
      <c r="ET44" s="22">
        <f>IFERROR(ET$27 * XIRR(ET42:$FM42, ET$4:$FM$4,0), 0)</f>
        <v>0</v>
      </c>
      <c r="EU44" s="22">
        <f>IFERROR(EU$27 * XIRR(EU42:$FM42, EU$4:$FM$4,0), 0)</f>
        <v>0</v>
      </c>
      <c r="EV44" s="22">
        <f>IFERROR(EV$27 * XIRR(EV42:$FM42, EV$4:$FM$4,0), 0)</f>
        <v>0</v>
      </c>
      <c r="EW44" s="22">
        <f>IFERROR(EW$27 * XIRR(EW42:$FM42, EW$4:$FM$4,0), 0)</f>
        <v>0</v>
      </c>
      <c r="EX44" s="22">
        <f>IFERROR(EX$27 * XIRR(EX42:$FM42, EX$4:$FM$4,0), 0)</f>
        <v>0</v>
      </c>
      <c r="EY44" s="22">
        <f>IFERROR(EY$27 * XIRR(EY42:$FM42, EY$4:$FM$4,0), 0)</f>
        <v>0</v>
      </c>
      <c r="EZ44" s="22">
        <f>IFERROR(EZ$27 * XIRR(EZ42:$FM42, EZ$4:$FM$4,0), 0)</f>
        <v>0</v>
      </c>
      <c r="FA44" s="22">
        <f>IFERROR(FA$27 * XIRR(FA42:$FM42, FA$4:$FM$4,0), 0)</f>
        <v>0</v>
      </c>
      <c r="FB44" s="22">
        <f>IFERROR(FB$27 * XIRR(FB42:$FM42, FB$4:$FM$4,0), 0)</f>
        <v>0</v>
      </c>
      <c r="FC44" s="22">
        <f>IFERROR(FC$27 * XIRR(FC42:$FM42, FC$4:$FM$4,0), 0)</f>
        <v>0</v>
      </c>
      <c r="FD44" s="22">
        <f>IFERROR(FD$27 * XIRR(FD42:$FM42, FD$4:$FM$4,0), 0)</f>
        <v>0</v>
      </c>
      <c r="FE44" s="22">
        <f>IFERROR(FE$27 * XIRR(FE42:$FM42, FE$4:$FM$4,0), 0)</f>
        <v>0</v>
      </c>
      <c r="FF44" s="22">
        <f>IFERROR(FF$27 * XIRR(FF42:$FM42, FF$4:$FM$4,0), 0)</f>
        <v>0</v>
      </c>
      <c r="FG44" s="22">
        <f>IFERROR(FG$27 * XIRR(FG42:$FM42, FG$4:$FM$4,0), 0)</f>
        <v>0</v>
      </c>
      <c r="FH44" s="22">
        <f>IFERROR(FH$27 * XIRR(FH42:$FM42, FH$4:$FM$4,0), 0)</f>
        <v>0</v>
      </c>
      <c r="FI44" s="22">
        <f>IFERROR(FI$27 * XIRR(FI42:$FM42, FI$4:$FM$4,0), 0)</f>
        <v>0</v>
      </c>
      <c r="FJ44" s="22">
        <f>IFERROR(FJ$27 * XIRR(FJ42:$FM42, FJ$4:$FM$4,0), 0)</f>
        <v>0</v>
      </c>
      <c r="FK44" s="22">
        <f>IFERROR(FK$27 * XIRR(FK42:$FM42, FK$4:$FM$4,0), 0)</f>
        <v>0</v>
      </c>
      <c r="FL44" s="22">
        <f>IFERROR(FL$27 * XIRR(FL42:$FM42, FL$4:$FM$4,0), 0)</f>
        <v>0</v>
      </c>
      <c r="FM44" s="22">
        <f>IFERROR(FM$27 * XIRR(FM42:$FM42, FM$4:$FM$4,0), 0)</f>
        <v>0</v>
      </c>
    </row>
    <row r="45" spans="2:169" x14ac:dyDescent="0.25"/>
    <row r="46" spans="2:169" x14ac:dyDescent="0.25"/>
    <row r="47" spans="2:169" x14ac:dyDescent="0.25">
      <c r="B47" s="40" t="s">
        <v>103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</row>
    <row r="48" spans="2:169" x14ac:dyDescent="0.25">
      <c r="B48" t="s">
        <v>42</v>
      </c>
      <c r="C48" t="s">
        <v>94</v>
      </c>
      <c r="H48" s="31">
        <f t="shared" ref="H48:H50" si="96">SUM(I48:FM48)</f>
        <v>202885.33380248275</v>
      </c>
      <c r="I48" s="25">
        <f>I87</f>
        <v>0</v>
      </c>
      <c r="J48" s="25">
        <f t="shared" ref="J48:BU48" si="97">J87</f>
        <v>0</v>
      </c>
      <c r="K48" s="25">
        <f t="shared" si="97"/>
        <v>0</v>
      </c>
      <c r="L48" s="25">
        <f t="shared" si="97"/>
        <v>0</v>
      </c>
      <c r="M48" s="25">
        <f t="shared" si="97"/>
        <v>0</v>
      </c>
      <c r="N48" s="25">
        <f t="shared" si="97"/>
        <v>0</v>
      </c>
      <c r="O48" s="25">
        <f t="shared" si="97"/>
        <v>0</v>
      </c>
      <c r="P48" s="25">
        <f t="shared" si="97"/>
        <v>0</v>
      </c>
      <c r="Q48" s="25">
        <f t="shared" si="97"/>
        <v>322.07189312506858</v>
      </c>
      <c r="R48" s="25">
        <f t="shared" si="97"/>
        <v>970.41492298430398</v>
      </c>
      <c r="S48" s="25">
        <f t="shared" si="97"/>
        <v>969.69054859035793</v>
      </c>
      <c r="T48" s="25">
        <f t="shared" si="97"/>
        <v>979.60610650019521</v>
      </c>
      <c r="U48" s="25">
        <f t="shared" si="97"/>
        <v>978.86572431563297</v>
      </c>
      <c r="V48" s="25">
        <f t="shared" si="97"/>
        <v>988.28204261199733</v>
      </c>
      <c r="W48" s="25">
        <f t="shared" si="97"/>
        <v>998.51275472046405</v>
      </c>
      <c r="X48" s="25">
        <f t="shared" si="97"/>
        <v>1008.7186443852097</v>
      </c>
      <c r="Y48" s="25">
        <f t="shared" si="97"/>
        <v>1007.9518664156644</v>
      </c>
      <c r="Z48" s="25">
        <f t="shared" si="97"/>
        <v>1009.9387188300557</v>
      </c>
      <c r="AA48" s="25">
        <f t="shared" si="97"/>
        <v>1020.3913056873758</v>
      </c>
      <c r="AB48" s="25">
        <f t="shared" si="97"/>
        <v>1030.8184495398821</v>
      </c>
      <c r="AC48" s="25">
        <f t="shared" si="97"/>
        <v>1030.0325021210981</v>
      </c>
      <c r="AD48" s="25">
        <f t="shared" si="97"/>
        <v>1032.0605525823846</v>
      </c>
      <c r="AE48" s="25">
        <f t="shared" si="97"/>
        <v>1042.7397137309329</v>
      </c>
      <c r="AF48" s="25">
        <f t="shared" si="97"/>
        <v>1053.392795799547</v>
      </c>
      <c r="AG48" s="25">
        <f t="shared" si="97"/>
        <v>1052.5871996952935</v>
      </c>
      <c r="AH48" s="25">
        <f t="shared" si="97"/>
        <v>1063.4554333607921</v>
      </c>
      <c r="AI48" s="25">
        <f t="shared" si="97"/>
        <v>1062.6519592071468</v>
      </c>
      <c r="AJ48" s="25">
        <f t="shared" si="97"/>
        <v>1073.5082233118917</v>
      </c>
      <c r="AK48" s="25">
        <f t="shared" si="97"/>
        <v>1072.6869933594155</v>
      </c>
      <c r="AL48" s="25">
        <f t="shared" si="97"/>
        <v>1077.7387779054072</v>
      </c>
      <c r="AM48" s="25">
        <f t="shared" si="97"/>
        <v>1088.8855733631958</v>
      </c>
      <c r="AN48" s="25">
        <f t="shared" si="97"/>
        <v>1100.0049694876284</v>
      </c>
      <c r="AO48" s="25">
        <f t="shared" si="97"/>
        <v>1099.1585900805972</v>
      </c>
      <c r="AP48" s="25">
        <f t="shared" si="97"/>
        <v>1101.3152042754193</v>
      </c>
      <c r="AQ48" s="25">
        <f t="shared" si="97"/>
        <v>1112.703258029901</v>
      </c>
      <c r="AR48" s="25">
        <f t="shared" si="97"/>
        <v>1124.0632274676927</v>
      </c>
      <c r="AS48" s="25">
        <f t="shared" si="97"/>
        <v>1123.1956885754857</v>
      </c>
      <c r="AT48" s="25">
        <f t="shared" si="97"/>
        <v>1125.3968652277406</v>
      </c>
      <c r="AU48" s="25">
        <f t="shared" si="97"/>
        <v>1137.0312734465892</v>
      </c>
      <c r="AV48" s="25">
        <f t="shared" si="97"/>
        <v>1148.6368952408309</v>
      </c>
      <c r="AW48" s="25">
        <f t="shared" si="97"/>
        <v>1147.7476678763187</v>
      </c>
      <c r="AX48" s="25">
        <f t="shared" si="97"/>
        <v>1159.5876859762438</v>
      </c>
      <c r="AY48" s="25">
        <f t="shared" si="97"/>
        <v>1158.7008008481657</v>
      </c>
      <c r="AZ48" s="25">
        <f t="shared" si="97"/>
        <v>1170.5272924739513</v>
      </c>
      <c r="BA48" s="25">
        <f t="shared" si="97"/>
        <v>1169.6208082662406</v>
      </c>
      <c r="BB48" s="25">
        <f t="shared" si="97"/>
        <v>1175.1182072813672</v>
      </c>
      <c r="BC48" s="25">
        <f t="shared" si="97"/>
        <v>1187.2610310357559</v>
      </c>
      <c r="BD48" s="25">
        <f t="shared" si="97"/>
        <v>1199.3736110527918</v>
      </c>
      <c r="BE48" s="25">
        <f t="shared" si="97"/>
        <v>1198.4393665529508</v>
      </c>
      <c r="BF48" s="25">
        <f t="shared" si="97"/>
        <v>1200.7795769110307</v>
      </c>
      <c r="BG48" s="25">
        <f t="shared" si="97"/>
        <v>1213.184675864253</v>
      </c>
      <c r="BH48" s="25">
        <f t="shared" si="97"/>
        <v>1225.5587749866886</v>
      </c>
      <c r="BI48" s="25">
        <f t="shared" si="97"/>
        <v>1224.6011743743518</v>
      </c>
      <c r="BJ48" s="25">
        <f t="shared" si="97"/>
        <v>1226.9895661426267</v>
      </c>
      <c r="BK48" s="25">
        <f t="shared" si="97"/>
        <v>1239.6624647897775</v>
      </c>
      <c r="BL48" s="25">
        <f t="shared" si="97"/>
        <v>1252.3035886103719</v>
      </c>
      <c r="BM48" s="25">
        <f t="shared" si="97"/>
        <v>1251.3220479827266</v>
      </c>
      <c r="BN48" s="25">
        <f t="shared" si="97"/>
        <v>1264.2184898017292</v>
      </c>
      <c r="BO48" s="25">
        <f t="shared" si="97"/>
        <v>1263.2395345648533</v>
      </c>
      <c r="BP48" s="25">
        <f t="shared" si="97"/>
        <v>1276.1206987383205</v>
      </c>
      <c r="BQ48" s="25">
        <f t="shared" si="97"/>
        <v>1275.1201097847015</v>
      </c>
      <c r="BR48" s="25">
        <f t="shared" si="97"/>
        <v>1281.1012006518808</v>
      </c>
      <c r="BS48" s="25">
        <f t="shared" si="97"/>
        <v>1294.3267235455244</v>
      </c>
      <c r="BT48" s="25">
        <f t="shared" si="97"/>
        <v>1307.5188630120174</v>
      </c>
      <c r="BU48" s="25">
        <f t="shared" si="97"/>
        <v>1306.4876318900976</v>
      </c>
      <c r="BV48" s="25">
        <f t="shared" ref="BV48:EG48" si="98">BV87</f>
        <v>1309.0263156263607</v>
      </c>
      <c r="BW48" s="25">
        <f t="shared" si="98"/>
        <v>1322.536894202992</v>
      </c>
      <c r="BX48" s="25">
        <f t="shared" si="98"/>
        <v>1336.0132547667936</v>
      </c>
      <c r="BY48" s="25">
        <f t="shared" si="98"/>
        <v>1334.956242866826</v>
      </c>
      <c r="BZ48" s="25">
        <f t="shared" si="98"/>
        <v>1337.546998099157</v>
      </c>
      <c r="CA48" s="25">
        <f t="shared" si="98"/>
        <v>1351.348619191117</v>
      </c>
      <c r="CB48" s="25">
        <f t="shared" si="98"/>
        <v>1365.1151668199263</v>
      </c>
      <c r="CC48" s="25">
        <f t="shared" si="98"/>
        <v>1364.0317296224591</v>
      </c>
      <c r="CD48" s="25">
        <f t="shared" si="98"/>
        <v>1378.0763347089614</v>
      </c>
      <c r="CE48" s="25">
        <f t="shared" si="98"/>
        <v>1376.995751299153</v>
      </c>
      <c r="CF48" s="25">
        <f t="shared" si="98"/>
        <v>1391.0231097567789</v>
      </c>
      <c r="CG48" s="25">
        <f t="shared" si="98"/>
        <v>1389.9186467715576</v>
      </c>
      <c r="CH48" s="25">
        <f t="shared" si="98"/>
        <v>1396.424610281143</v>
      </c>
      <c r="CI48" s="25">
        <f t="shared" si="98"/>
        <v>1410.8267639453636</v>
      </c>
      <c r="CJ48" s="25">
        <f t="shared" si="98"/>
        <v>1425.1920685523614</v>
      </c>
      <c r="CK48" s="25">
        <f t="shared" si="98"/>
        <v>1424.0537823467728</v>
      </c>
      <c r="CL48" s="25">
        <f t="shared" si="98"/>
        <v>1426.80692693232</v>
      </c>
      <c r="CM48" s="25">
        <f t="shared" si="98"/>
        <v>1441.518820009192</v>
      </c>
      <c r="CN48" s="25">
        <f t="shared" si="98"/>
        <v>1456.1929428024109</v>
      </c>
      <c r="CO48" s="25">
        <f t="shared" si="98"/>
        <v>1455.0261994416828</v>
      </c>
      <c r="CP48" s="25">
        <f t="shared" si="98"/>
        <v>1457.8355940346303</v>
      </c>
      <c r="CQ48" s="25">
        <f t="shared" si="98"/>
        <v>1472.8637121487461</v>
      </c>
      <c r="CR48" s="25">
        <f t="shared" si="98"/>
        <v>1487.8531157221175</v>
      </c>
      <c r="CS48" s="25">
        <f t="shared" si="98"/>
        <v>1486.6572037773713</v>
      </c>
      <c r="CT48" s="25">
        <f t="shared" si="98"/>
        <v>1501.9493739739676</v>
      </c>
      <c r="CU48" s="25">
        <f t="shared" si="98"/>
        <v>1500.7566120768256</v>
      </c>
      <c r="CV48" s="25">
        <f t="shared" si="98"/>
        <v>1516.0293224984625</v>
      </c>
      <c r="CW48" s="25">
        <f t="shared" si="98"/>
        <v>1514.8102020181568</v>
      </c>
      <c r="CX48" s="25">
        <f t="shared" si="98"/>
        <v>1521.8855563509489</v>
      </c>
      <c r="CY48" s="25">
        <f t="shared" si="98"/>
        <v>1537.5661066709065</v>
      </c>
      <c r="CZ48" s="25">
        <f t="shared" si="98"/>
        <v>1553.2059825264946</v>
      </c>
      <c r="DA48" s="25">
        <f t="shared" si="98"/>
        <v>1551.9495275395452</v>
      </c>
      <c r="DB48" s="25">
        <f t="shared" si="98"/>
        <v>1554.9343008859842</v>
      </c>
      <c r="DC48" s="25">
        <f t="shared" si="98"/>
        <v>1570.9513272486772</v>
      </c>
      <c r="DD48" s="25">
        <f t="shared" si="98"/>
        <v>1586.9266622853916</v>
      </c>
      <c r="DE48" s="25">
        <f t="shared" si="98"/>
        <v>1585.6387959237682</v>
      </c>
      <c r="DF48" s="25">
        <f t="shared" si="98"/>
        <v>1588.6843041750521</v>
      </c>
      <c r="DG48" s="25">
        <f t="shared" si="98"/>
        <v>1605.0448300386672</v>
      </c>
      <c r="DH48" s="25">
        <f t="shared" si="98"/>
        <v>1621.3626222931539</v>
      </c>
      <c r="DI48" s="25">
        <f t="shared" si="98"/>
        <v>1620.0425592724901</v>
      </c>
      <c r="DJ48" s="25">
        <f t="shared" si="98"/>
        <v>1636.6899609179825</v>
      </c>
      <c r="DK48" s="25">
        <f t="shared" si="98"/>
        <v>1635.3733749604703</v>
      </c>
      <c r="DL48" s="25">
        <f t="shared" si="98"/>
        <v>1651.9988300476605</v>
      </c>
      <c r="DM48" s="25">
        <f t="shared" si="98"/>
        <v>1650.653149146274</v>
      </c>
      <c r="DN48" s="25">
        <f t="shared" si="98"/>
        <v>1658.345998991651</v>
      </c>
      <c r="DO48" s="25">
        <f t="shared" si="98"/>
        <v>1675.4151603873086</v>
      </c>
      <c r="DP48" s="25">
        <f t="shared" si="98"/>
        <v>1692.4394247848757</v>
      </c>
      <c r="DQ48" s="25">
        <f t="shared" si="98"/>
        <v>1691.0525335737909</v>
      </c>
      <c r="DR48" s="25">
        <f t="shared" si="98"/>
        <v>1694.2873568242828</v>
      </c>
      <c r="DS48" s="25">
        <f t="shared" si="98"/>
        <v>1711.7219440088074</v>
      </c>
      <c r="DT48" s="25">
        <f t="shared" si="98"/>
        <v>1729.11051177029</v>
      </c>
      <c r="DU48" s="25">
        <f t="shared" si="98"/>
        <v>1727.6889482789279</v>
      </c>
      <c r="DV48" s="25">
        <f t="shared" si="98"/>
        <v>1730.9893162991757</v>
      </c>
      <c r="DW48" s="25">
        <f t="shared" si="98"/>
        <v>1748.7969323361392</v>
      </c>
      <c r="DX48" s="25">
        <f t="shared" si="98"/>
        <v>1766.5573784644839</v>
      </c>
      <c r="DY48" s="25">
        <f t="shared" si="98"/>
        <v>1765.1002758858378</v>
      </c>
      <c r="DZ48" s="25">
        <f t="shared" si="98"/>
        <v>1783.2194844725022</v>
      </c>
      <c r="EA48" s="25">
        <f t="shared" si="98"/>
        <v>1781.7662199209849</v>
      </c>
      <c r="EB48" s="25">
        <f t="shared" si="98"/>
        <v>1799.8606885659265</v>
      </c>
      <c r="EC48" s="25">
        <f t="shared" si="98"/>
        <v>1798.3753086403085</v>
      </c>
      <c r="ED48" s="25">
        <f t="shared" si="98"/>
        <v>1806.737610070265</v>
      </c>
      <c r="EE48" s="25">
        <f t="shared" si="98"/>
        <v>1825.314702887249</v>
      </c>
      <c r="EF48" s="25">
        <f t="shared" si="98"/>
        <v>1843.8422378189907</v>
      </c>
      <c r="EG48" s="25">
        <f t="shared" si="98"/>
        <v>1842.3113694223011</v>
      </c>
      <c r="EH48" s="25">
        <f t="shared" ref="EH48:FM48" si="99">EH87</f>
        <v>1845.8159921341614</v>
      </c>
      <c r="EI48" s="25">
        <f t="shared" si="99"/>
        <v>1864.789844958372</v>
      </c>
      <c r="EJ48" s="25">
        <f t="shared" si="99"/>
        <v>1883.7129009502087</v>
      </c>
      <c r="EK48" s="25">
        <f t="shared" si="99"/>
        <v>1882.1437608436015</v>
      </c>
      <c r="EL48" s="25">
        <f t="shared" si="99"/>
        <v>1885.7190822949594</v>
      </c>
      <c r="EM48" s="25">
        <f t="shared" si="99"/>
        <v>1905.0979224437465</v>
      </c>
      <c r="EN48" s="25">
        <f t="shared" si="99"/>
        <v>1924.4246958393508</v>
      </c>
      <c r="EO48" s="25">
        <f t="shared" si="99"/>
        <v>1922.8163272300785</v>
      </c>
      <c r="EP48" s="25">
        <f t="shared" si="99"/>
        <v>1942.5335168409661</v>
      </c>
      <c r="EQ48" s="25">
        <f t="shared" si="99"/>
        <v>1940.9293846955127</v>
      </c>
      <c r="ER48" s="25">
        <f t="shared" si="99"/>
        <v>1960.6186975234527</v>
      </c>
      <c r="ES48" s="25">
        <f t="shared" si="99"/>
        <v>1958.9791160140799</v>
      </c>
      <c r="ET48" s="25">
        <f t="shared" si="99"/>
        <v>1968.0669576997195</v>
      </c>
      <c r="EU48" s="25">
        <f t="shared" si="99"/>
        <v>1988.2811110406344</v>
      </c>
      <c r="EV48" s="25">
        <f t="shared" si="99"/>
        <v>2008.4405617489863</v>
      </c>
      <c r="EW48" s="25">
        <f t="shared" si="99"/>
        <v>2006.7507694788694</v>
      </c>
      <c r="EX48" s="25">
        <f t="shared" si="99"/>
        <v>2010.5463469097967</v>
      </c>
      <c r="EY48" s="25">
        <f t="shared" si="99"/>
        <v>2031.1911620316514</v>
      </c>
      <c r="EZ48" s="25">
        <f t="shared" si="99"/>
        <v>2051.7799069551302</v>
      </c>
      <c r="FA48" s="25">
        <f t="shared" si="99"/>
        <v>2050.0478698782604</v>
      </c>
      <c r="FB48" s="25">
        <f t="shared" si="99"/>
        <v>0</v>
      </c>
      <c r="FC48" s="25">
        <f t="shared" si="99"/>
        <v>0</v>
      </c>
      <c r="FD48" s="25">
        <f t="shared" si="99"/>
        <v>0</v>
      </c>
      <c r="FE48" s="25">
        <f t="shared" si="99"/>
        <v>0</v>
      </c>
      <c r="FF48" s="25">
        <f t="shared" si="99"/>
        <v>0</v>
      </c>
      <c r="FG48" s="25">
        <f t="shared" si="99"/>
        <v>0</v>
      </c>
      <c r="FH48" s="25">
        <f t="shared" si="99"/>
        <v>0</v>
      </c>
      <c r="FI48" s="25">
        <f t="shared" si="99"/>
        <v>0</v>
      </c>
      <c r="FJ48" s="25">
        <f t="shared" si="99"/>
        <v>0</v>
      </c>
      <c r="FK48" s="25">
        <f t="shared" si="99"/>
        <v>0</v>
      </c>
      <c r="FL48" s="25">
        <f t="shared" si="99"/>
        <v>0</v>
      </c>
      <c r="FM48" s="25">
        <f t="shared" si="99"/>
        <v>0</v>
      </c>
    </row>
    <row r="49" spans="2:169" x14ac:dyDescent="0.25">
      <c r="B49" t="s">
        <v>104</v>
      </c>
      <c r="C49" t="s">
        <v>94</v>
      </c>
      <c r="H49" s="31">
        <f t="shared" si="96"/>
        <v>-74149.668058001524</v>
      </c>
      <c r="I49" s="25">
        <f>-1 * I93</f>
        <v>0</v>
      </c>
      <c r="J49" s="25">
        <f t="shared" ref="J49:BU49" si="100">-1 * J93</f>
        <v>0</v>
      </c>
      <c r="K49" s="25">
        <f t="shared" si="100"/>
        <v>-8.4469479452054799</v>
      </c>
      <c r="L49" s="25">
        <f t="shared" si="100"/>
        <v>-25.068361643835619</v>
      </c>
      <c r="M49" s="25">
        <f t="shared" si="100"/>
        <v>-25.068361643835619</v>
      </c>
      <c r="N49" s="25">
        <f t="shared" si="100"/>
        <v>-25.308145972602741</v>
      </c>
      <c r="O49" s="25">
        <f t="shared" si="100"/>
        <v>-25.58934759452055</v>
      </c>
      <c r="P49" s="25">
        <f t="shared" si="100"/>
        <v>-25.870549216438359</v>
      </c>
      <c r="Q49" s="25">
        <f t="shared" si="100"/>
        <v>-140.95351379923289</v>
      </c>
      <c r="R49" s="25">
        <f t="shared" si="100"/>
        <v>-370.39333583825851</v>
      </c>
      <c r="S49" s="25">
        <f t="shared" si="100"/>
        <v>-370.32298410499345</v>
      </c>
      <c r="T49" s="25">
        <f t="shared" si="100"/>
        <v>-374.32056102604156</v>
      </c>
      <c r="U49" s="25">
        <f t="shared" si="100"/>
        <v>-374.24865460527656</v>
      </c>
      <c r="V49" s="25">
        <f t="shared" si="100"/>
        <v>-375.26246123153487</v>
      </c>
      <c r="W49" s="25">
        <f t="shared" si="100"/>
        <v>-379.3613063838261</v>
      </c>
      <c r="X49" s="25">
        <f t="shared" si="100"/>
        <v>-383.45781098019677</v>
      </c>
      <c r="Y49" s="25">
        <f t="shared" si="100"/>
        <v>-383.38551001191007</v>
      </c>
      <c r="Z49" s="25">
        <f t="shared" si="100"/>
        <v>-382.03373699195117</v>
      </c>
      <c r="AA49" s="25">
        <f t="shared" si="100"/>
        <v>-386.20781854158042</v>
      </c>
      <c r="AB49" s="25">
        <f t="shared" si="100"/>
        <v>-390.37955953528905</v>
      </c>
      <c r="AC49" s="25">
        <f t="shared" si="100"/>
        <v>-390.30725856700235</v>
      </c>
      <c r="AD49" s="25">
        <f t="shared" si="100"/>
        <v>-388.98130990750815</v>
      </c>
      <c r="AE49" s="25">
        <f t="shared" si="100"/>
        <v>-393.23258671175461</v>
      </c>
      <c r="AF49" s="25">
        <f t="shared" si="100"/>
        <v>-397.4815229600805</v>
      </c>
      <c r="AG49" s="25">
        <f t="shared" si="100"/>
        <v>-397.4092219917938</v>
      </c>
      <c r="AH49" s="25">
        <f t="shared" si="100"/>
        <v>-399.41593075831145</v>
      </c>
      <c r="AI49" s="25">
        <f t="shared" si="100"/>
        <v>-399.34557902504639</v>
      </c>
      <c r="AJ49" s="25">
        <f t="shared" si="100"/>
        <v>-403.66208556060059</v>
      </c>
      <c r="AK49" s="25">
        <f t="shared" si="100"/>
        <v>-403.59017913983558</v>
      </c>
      <c r="AL49" s="25">
        <f t="shared" si="100"/>
        <v>-403.42308710527948</v>
      </c>
      <c r="AM49" s="25">
        <f t="shared" si="100"/>
        <v>-407.8348281006123</v>
      </c>
      <c r="AN49" s="25">
        <f t="shared" si="100"/>
        <v>-412.24422854002461</v>
      </c>
      <c r="AO49" s="25">
        <f t="shared" si="100"/>
        <v>-412.17192757173785</v>
      </c>
      <c r="AP49" s="25">
        <f t="shared" si="100"/>
        <v>-410.92643955705995</v>
      </c>
      <c r="AQ49" s="25">
        <f t="shared" si="100"/>
        <v>-415.42155113519033</v>
      </c>
      <c r="AR49" s="25">
        <f t="shared" si="100"/>
        <v>-419.91432215740025</v>
      </c>
      <c r="AS49" s="25">
        <f t="shared" si="100"/>
        <v>-419.8420211891135</v>
      </c>
      <c r="AT49" s="25">
        <f t="shared" si="100"/>
        <v>-418.62439108126517</v>
      </c>
      <c r="AU49" s="25">
        <f t="shared" si="100"/>
        <v>-423.2050354541089</v>
      </c>
      <c r="AV49" s="25">
        <f t="shared" si="100"/>
        <v>-427.78333927103216</v>
      </c>
      <c r="AW49" s="25">
        <f t="shared" si="100"/>
        <v>-427.71103830274546</v>
      </c>
      <c r="AX49" s="25">
        <f t="shared" si="100"/>
        <v>-430.08204679685883</v>
      </c>
      <c r="AY49" s="25">
        <f t="shared" si="100"/>
        <v>-430.01169506359378</v>
      </c>
      <c r="AZ49" s="25">
        <f t="shared" si="100"/>
        <v>-434.66519188528582</v>
      </c>
      <c r="BA49" s="25">
        <f t="shared" si="100"/>
        <v>-434.59328546452076</v>
      </c>
      <c r="BB49" s="25">
        <f t="shared" si="100"/>
        <v>-434.62367287861207</v>
      </c>
      <c r="BC49" s="25">
        <f t="shared" si="100"/>
        <v>-439.38208704920419</v>
      </c>
      <c r="BD49" s="25">
        <f t="shared" si="100"/>
        <v>-444.13816066387574</v>
      </c>
      <c r="BE49" s="25">
        <f t="shared" si="100"/>
        <v>-444.06585969558898</v>
      </c>
      <c r="BF49" s="25">
        <f t="shared" si="100"/>
        <v>-442.93510101924642</v>
      </c>
      <c r="BG49" s="25">
        <f t="shared" si="100"/>
        <v>-447.78586439140111</v>
      </c>
      <c r="BH49" s="25">
        <f t="shared" si="100"/>
        <v>-452.63428720763528</v>
      </c>
      <c r="BI49" s="25">
        <f t="shared" si="100"/>
        <v>-452.56198623934853</v>
      </c>
      <c r="BJ49" s="25">
        <f t="shared" si="100"/>
        <v>-451.46133012452674</v>
      </c>
      <c r="BK49" s="25">
        <f t="shared" si="100"/>
        <v>-456.40682937562894</v>
      </c>
      <c r="BL49" s="25">
        <f t="shared" si="100"/>
        <v>-461.3499880708107</v>
      </c>
      <c r="BM49" s="25">
        <f t="shared" si="100"/>
        <v>-461.27768710252394</v>
      </c>
      <c r="BN49" s="25">
        <f t="shared" si="100"/>
        <v>-464.04919771287985</v>
      </c>
      <c r="BO49" s="25">
        <f t="shared" si="100"/>
        <v>-463.97884597961485</v>
      </c>
      <c r="BP49" s="25">
        <f t="shared" si="100"/>
        <v>-469.00560819598843</v>
      </c>
      <c r="BQ49" s="25">
        <f t="shared" si="100"/>
        <v>-468.93370177522343</v>
      </c>
      <c r="BR49" s="25">
        <f t="shared" si="100"/>
        <v>-469.17980557609292</v>
      </c>
      <c r="BS49" s="25">
        <f t="shared" si="100"/>
        <v>-474.32217677665699</v>
      </c>
      <c r="BT49" s="25">
        <f t="shared" si="100"/>
        <v>-479.46220742130055</v>
      </c>
      <c r="BU49" s="25">
        <f t="shared" si="100"/>
        <v>-479.38990645301385</v>
      </c>
      <c r="BV49" s="25">
        <f t="shared" ref="BV49:EG49" si="101">-1 * BV93</f>
        <v>-478.38319807868481</v>
      </c>
      <c r="BW49" s="25">
        <f t="shared" si="101"/>
        <v>-483.6278291959444</v>
      </c>
      <c r="BX49" s="25">
        <f t="shared" si="101"/>
        <v>-488.87011975728336</v>
      </c>
      <c r="BY49" s="25">
        <f t="shared" si="101"/>
        <v>-488.79781878899666</v>
      </c>
      <c r="BZ49" s="25">
        <f t="shared" si="101"/>
        <v>-487.82369065497164</v>
      </c>
      <c r="CA49" s="25">
        <f t="shared" si="101"/>
        <v>-493.17321613418994</v>
      </c>
      <c r="CB49" s="25">
        <f t="shared" si="101"/>
        <v>-498.52040105748773</v>
      </c>
      <c r="CC49" s="25">
        <f t="shared" si="101"/>
        <v>-498.44810008920103</v>
      </c>
      <c r="CD49" s="25">
        <f t="shared" si="101"/>
        <v>-501.66007347905918</v>
      </c>
      <c r="CE49" s="25">
        <f t="shared" si="101"/>
        <v>-501.58972174579412</v>
      </c>
      <c r="CF49" s="25">
        <f t="shared" si="101"/>
        <v>-507.02979028926859</v>
      </c>
      <c r="CG49" s="25">
        <f t="shared" si="101"/>
        <v>-506.95788386850359</v>
      </c>
      <c r="CH49" s="25">
        <f t="shared" si="101"/>
        <v>-507.43983422354569</v>
      </c>
      <c r="CI49" s="25">
        <f t="shared" si="101"/>
        <v>-513.00731685352594</v>
      </c>
      <c r="CJ49" s="25">
        <f t="shared" si="101"/>
        <v>-518.57245892758567</v>
      </c>
      <c r="CK49" s="25">
        <f t="shared" si="101"/>
        <v>-518.50015795929892</v>
      </c>
      <c r="CL49" s="25">
        <f t="shared" si="101"/>
        <v>-517.62778848684445</v>
      </c>
      <c r="CM49" s="25">
        <f t="shared" si="101"/>
        <v>-523.30847060863914</v>
      </c>
      <c r="CN49" s="25">
        <f t="shared" si="101"/>
        <v>-528.98681217451337</v>
      </c>
      <c r="CO49" s="25">
        <f t="shared" si="101"/>
        <v>-528.91451120622662</v>
      </c>
      <c r="CP49" s="25">
        <f t="shared" si="101"/>
        <v>-528.07745686785586</v>
      </c>
      <c r="CQ49" s="25">
        <f t="shared" si="101"/>
        <v>-533.87424641610619</v>
      </c>
      <c r="CR49" s="25">
        <f t="shared" si="101"/>
        <v>-539.66869540843607</v>
      </c>
      <c r="CS49" s="25">
        <f t="shared" si="101"/>
        <v>-539.59639444014931</v>
      </c>
      <c r="CT49" s="25">
        <f t="shared" si="101"/>
        <v>-543.29293970473384</v>
      </c>
      <c r="CU49" s="25">
        <f t="shared" si="101"/>
        <v>-543.22258797146878</v>
      </c>
      <c r="CV49" s="25">
        <f t="shared" si="101"/>
        <v>-549.12016053940124</v>
      </c>
      <c r="CW49" s="25">
        <f t="shared" si="101"/>
        <v>-549.04825411863624</v>
      </c>
      <c r="CX49" s="25">
        <f t="shared" si="101"/>
        <v>-549.78827096611121</v>
      </c>
      <c r="CY49" s="25">
        <f t="shared" si="101"/>
        <v>-555.82629178212005</v>
      </c>
      <c r="CZ49" s="25">
        <f t="shared" si="101"/>
        <v>-561.86197204220821</v>
      </c>
      <c r="DA49" s="25">
        <f t="shared" si="101"/>
        <v>-561.78967107392145</v>
      </c>
      <c r="DB49" s="25">
        <f t="shared" si="101"/>
        <v>-561.06299719249466</v>
      </c>
      <c r="DC49" s="25">
        <f t="shared" si="101"/>
        <v>-567.22629274435235</v>
      </c>
      <c r="DD49" s="25">
        <f t="shared" si="101"/>
        <v>-573.38724774028913</v>
      </c>
      <c r="DE49" s="25">
        <f t="shared" si="101"/>
        <v>-573.31494677200237</v>
      </c>
      <c r="DF49" s="25">
        <f t="shared" si="101"/>
        <v>-572.62660683566787</v>
      </c>
      <c r="DG49" s="25">
        <f t="shared" si="101"/>
        <v>-578.91838693911632</v>
      </c>
      <c r="DH49" s="25">
        <f t="shared" si="101"/>
        <v>-585.20782648664397</v>
      </c>
      <c r="DI49" s="25">
        <f t="shared" si="101"/>
        <v>-585.13552551835721</v>
      </c>
      <c r="DJ49" s="25">
        <f t="shared" si="101"/>
        <v>-589.36533084557016</v>
      </c>
      <c r="DK49" s="25">
        <f t="shared" si="101"/>
        <v>-589.29497911230521</v>
      </c>
      <c r="DL49" s="25">
        <f t="shared" si="101"/>
        <v>-595.69884169277418</v>
      </c>
      <c r="DM49" s="25">
        <f t="shared" si="101"/>
        <v>-595.62693527200918</v>
      </c>
      <c r="DN49" s="25">
        <f t="shared" si="101"/>
        <v>-596.64954526619795</v>
      </c>
      <c r="DO49" s="25">
        <f t="shared" si="101"/>
        <v>-603.20824690776328</v>
      </c>
      <c r="DP49" s="25">
        <f t="shared" si="101"/>
        <v>-609.76460799340805</v>
      </c>
      <c r="DQ49" s="25">
        <f t="shared" si="101"/>
        <v>-609.69230702512129</v>
      </c>
      <c r="DR49" s="25">
        <f t="shared" si="101"/>
        <v>-609.12386439460408</v>
      </c>
      <c r="DS49" s="25">
        <f t="shared" si="101"/>
        <v>-615.82116958204062</v>
      </c>
      <c r="DT49" s="25">
        <f t="shared" si="101"/>
        <v>-622.5161342135566</v>
      </c>
      <c r="DU49" s="25">
        <f t="shared" si="101"/>
        <v>-622.44383324526984</v>
      </c>
      <c r="DV49" s="25">
        <f t="shared" si="101"/>
        <v>-621.91705676235063</v>
      </c>
      <c r="DW49" s="25">
        <f t="shared" si="101"/>
        <v>-628.75650853165087</v>
      </c>
      <c r="DX49" s="25">
        <f t="shared" si="101"/>
        <v>-635.59361974503065</v>
      </c>
      <c r="DY49" s="25">
        <f t="shared" si="101"/>
        <v>-635.52131877674401</v>
      </c>
      <c r="DZ49" s="25">
        <f t="shared" si="101"/>
        <v>-640.33812681601285</v>
      </c>
      <c r="EA49" s="25">
        <f t="shared" si="101"/>
        <v>-640.26777508274779</v>
      </c>
      <c r="EB49" s="25">
        <f t="shared" si="101"/>
        <v>-647.23177827827669</v>
      </c>
      <c r="EC49" s="25">
        <f t="shared" si="101"/>
        <v>-647.15987185751169</v>
      </c>
      <c r="ED49" s="25">
        <f t="shared" si="101"/>
        <v>-648.49214783557284</v>
      </c>
      <c r="EE49" s="25">
        <f t="shared" si="101"/>
        <v>-655.62687839457567</v>
      </c>
      <c r="EF49" s="25">
        <f t="shared" si="101"/>
        <v>-662.75926839765793</v>
      </c>
      <c r="EG49" s="25">
        <f t="shared" si="101"/>
        <v>-662.68696742937118</v>
      </c>
      <c r="EH49" s="25">
        <f t="shared" ref="EH49:FM49" si="102">-1 * EH93</f>
        <v>-662.29059307273405</v>
      </c>
      <c r="EI49" s="25">
        <f t="shared" si="102"/>
        <v>-669.57863968992751</v>
      </c>
      <c r="EJ49" s="25">
        <f t="shared" si="102"/>
        <v>-676.8643457512004</v>
      </c>
      <c r="EK49" s="25">
        <f t="shared" si="102"/>
        <v>-676.79204478291365</v>
      </c>
      <c r="EL49" s="25">
        <f t="shared" si="102"/>
        <v>-676.44101470195426</v>
      </c>
      <c r="EM49" s="25">
        <f t="shared" si="102"/>
        <v>-683.88628822613919</v>
      </c>
      <c r="EN49" s="25">
        <f t="shared" si="102"/>
        <v>-691.32922119440332</v>
      </c>
      <c r="EO49" s="25">
        <f t="shared" si="102"/>
        <v>-691.25692022611656</v>
      </c>
      <c r="EP49" s="25">
        <f t="shared" si="102"/>
        <v>-696.72005280665599</v>
      </c>
      <c r="EQ49" s="25">
        <f t="shared" si="102"/>
        <v>-696.64970107339104</v>
      </c>
      <c r="ER49" s="25">
        <f t="shared" si="102"/>
        <v>-704.23328587321271</v>
      </c>
      <c r="ES49" s="25">
        <f t="shared" si="102"/>
        <v>-704.1613794524477</v>
      </c>
      <c r="ET49" s="25">
        <f t="shared" si="102"/>
        <v>-705.83320476102324</v>
      </c>
      <c r="EU49" s="25">
        <f t="shared" si="102"/>
        <v>-713.60505817475314</v>
      </c>
      <c r="EV49" s="25">
        <f t="shared" si="102"/>
        <v>-721.3745710325627</v>
      </c>
      <c r="EW49" s="25">
        <f t="shared" si="102"/>
        <v>-721.30227006427594</v>
      </c>
      <c r="EX49" s="25">
        <f t="shared" si="102"/>
        <v>-721.09323746584107</v>
      </c>
      <c r="EY49" s="25">
        <f t="shared" si="102"/>
        <v>-729.03464679851356</v>
      </c>
      <c r="EZ49" s="25">
        <f t="shared" si="102"/>
        <v>-736.97371557526537</v>
      </c>
      <c r="FA49" s="25">
        <f t="shared" si="102"/>
        <v>-736.90141460697862</v>
      </c>
      <c r="FB49" s="25">
        <f t="shared" si="102"/>
        <v>0</v>
      </c>
      <c r="FC49" s="25">
        <f t="shared" si="102"/>
        <v>0</v>
      </c>
      <c r="FD49" s="25">
        <f t="shared" si="102"/>
        <v>0</v>
      </c>
      <c r="FE49" s="25">
        <f t="shared" si="102"/>
        <v>0</v>
      </c>
      <c r="FF49" s="25">
        <f t="shared" si="102"/>
        <v>0</v>
      </c>
      <c r="FG49" s="25">
        <f t="shared" si="102"/>
        <v>0</v>
      </c>
      <c r="FH49" s="25">
        <f t="shared" si="102"/>
        <v>0</v>
      </c>
      <c r="FI49" s="25">
        <f t="shared" si="102"/>
        <v>0</v>
      </c>
      <c r="FJ49" s="25">
        <f t="shared" si="102"/>
        <v>0</v>
      </c>
      <c r="FK49" s="25">
        <f t="shared" si="102"/>
        <v>0</v>
      </c>
      <c r="FL49" s="25">
        <f t="shared" si="102"/>
        <v>0</v>
      </c>
      <c r="FM49" s="25">
        <f t="shared" si="102"/>
        <v>0</v>
      </c>
    </row>
    <row r="50" spans="2:169" x14ac:dyDescent="0.25">
      <c r="B50" s="29" t="s">
        <v>93</v>
      </c>
      <c r="C50" s="29" t="s">
        <v>94</v>
      </c>
      <c r="D50" s="29"/>
      <c r="E50" s="29"/>
      <c r="F50" s="29"/>
      <c r="G50" s="29"/>
      <c r="H50" s="32">
        <f t="shared" si="96"/>
        <v>128735.66574448108</v>
      </c>
      <c r="I50" s="30">
        <f>SUM(I48:I49)</f>
        <v>0</v>
      </c>
      <c r="J50" s="30">
        <f t="shared" ref="J50:BU50" si="103">SUM(J48:J49)</f>
        <v>0</v>
      </c>
      <c r="K50" s="30">
        <f t="shared" si="103"/>
        <v>-8.4469479452054799</v>
      </c>
      <c r="L50" s="30">
        <f t="shared" si="103"/>
        <v>-25.068361643835619</v>
      </c>
      <c r="M50" s="30">
        <f t="shared" si="103"/>
        <v>-25.068361643835619</v>
      </c>
      <c r="N50" s="30">
        <f t="shared" si="103"/>
        <v>-25.308145972602741</v>
      </c>
      <c r="O50" s="30">
        <f t="shared" si="103"/>
        <v>-25.58934759452055</v>
      </c>
      <c r="P50" s="30">
        <f t="shared" si="103"/>
        <v>-25.870549216438359</v>
      </c>
      <c r="Q50" s="30">
        <f t="shared" si="103"/>
        <v>181.11837932583569</v>
      </c>
      <c r="R50" s="30">
        <f t="shared" si="103"/>
        <v>600.02158714604548</v>
      </c>
      <c r="S50" s="30">
        <f t="shared" si="103"/>
        <v>599.36756448536448</v>
      </c>
      <c r="T50" s="30">
        <f t="shared" si="103"/>
        <v>605.28554547415365</v>
      </c>
      <c r="U50" s="30">
        <f t="shared" si="103"/>
        <v>604.61706971035642</v>
      </c>
      <c r="V50" s="30">
        <f t="shared" si="103"/>
        <v>613.01958138046245</v>
      </c>
      <c r="W50" s="30">
        <f t="shared" si="103"/>
        <v>619.15144833663794</v>
      </c>
      <c r="X50" s="30">
        <f t="shared" si="103"/>
        <v>625.26083340501293</v>
      </c>
      <c r="Y50" s="30">
        <f t="shared" si="103"/>
        <v>624.5663564037543</v>
      </c>
      <c r="Z50" s="30">
        <f t="shared" si="103"/>
        <v>627.9049818381045</v>
      </c>
      <c r="AA50" s="30">
        <f t="shared" si="103"/>
        <v>634.18348714579543</v>
      </c>
      <c r="AB50" s="30">
        <f t="shared" si="103"/>
        <v>640.43889000459308</v>
      </c>
      <c r="AC50" s="30">
        <f t="shared" si="103"/>
        <v>639.72524355409575</v>
      </c>
      <c r="AD50" s="30">
        <f t="shared" si="103"/>
        <v>643.07924267487647</v>
      </c>
      <c r="AE50" s="30">
        <f t="shared" si="103"/>
        <v>649.50712701917826</v>
      </c>
      <c r="AF50" s="30">
        <f t="shared" si="103"/>
        <v>655.91127283946651</v>
      </c>
      <c r="AG50" s="30">
        <f t="shared" si="103"/>
        <v>655.17797770349966</v>
      </c>
      <c r="AH50" s="30">
        <f t="shared" si="103"/>
        <v>664.03950260248064</v>
      </c>
      <c r="AI50" s="30">
        <f t="shared" si="103"/>
        <v>663.30638018210038</v>
      </c>
      <c r="AJ50" s="30">
        <f t="shared" si="103"/>
        <v>669.84613775129105</v>
      </c>
      <c r="AK50" s="30">
        <f t="shared" si="103"/>
        <v>669.09681421957998</v>
      </c>
      <c r="AL50" s="30">
        <f t="shared" si="103"/>
        <v>674.31569080012775</v>
      </c>
      <c r="AM50" s="30">
        <f t="shared" si="103"/>
        <v>681.05074526258352</v>
      </c>
      <c r="AN50" s="30">
        <f t="shared" si="103"/>
        <v>687.76074094760384</v>
      </c>
      <c r="AO50" s="30">
        <f t="shared" si="103"/>
        <v>686.98666250885935</v>
      </c>
      <c r="AP50" s="30">
        <f t="shared" si="103"/>
        <v>690.38876471835943</v>
      </c>
      <c r="AQ50" s="30">
        <f t="shared" si="103"/>
        <v>697.28170689471062</v>
      </c>
      <c r="AR50" s="30">
        <f t="shared" si="103"/>
        <v>704.14890531029255</v>
      </c>
      <c r="AS50" s="30">
        <f t="shared" si="103"/>
        <v>703.35366738637231</v>
      </c>
      <c r="AT50" s="30">
        <f t="shared" si="103"/>
        <v>706.77247414647536</v>
      </c>
      <c r="AU50" s="30">
        <f t="shared" si="103"/>
        <v>713.8262379924804</v>
      </c>
      <c r="AV50" s="30">
        <f t="shared" si="103"/>
        <v>720.85355596979866</v>
      </c>
      <c r="AW50" s="30">
        <f t="shared" si="103"/>
        <v>720.03662957357324</v>
      </c>
      <c r="AX50" s="30">
        <f t="shared" si="103"/>
        <v>729.50563917938507</v>
      </c>
      <c r="AY50" s="30">
        <f t="shared" si="103"/>
        <v>728.68910578457189</v>
      </c>
      <c r="AZ50" s="30">
        <f t="shared" si="103"/>
        <v>735.8621005886655</v>
      </c>
      <c r="BA50" s="30">
        <f t="shared" si="103"/>
        <v>735.0275228017199</v>
      </c>
      <c r="BB50" s="30">
        <f t="shared" si="103"/>
        <v>740.49453440275511</v>
      </c>
      <c r="BC50" s="30">
        <f t="shared" si="103"/>
        <v>747.87894398655169</v>
      </c>
      <c r="BD50" s="30">
        <f t="shared" si="103"/>
        <v>755.23545038891609</v>
      </c>
      <c r="BE50" s="30">
        <f t="shared" si="103"/>
        <v>754.3735068573618</v>
      </c>
      <c r="BF50" s="30">
        <f t="shared" si="103"/>
        <v>757.84447589178433</v>
      </c>
      <c r="BG50" s="30">
        <f t="shared" si="103"/>
        <v>765.39881147285189</v>
      </c>
      <c r="BH50" s="30">
        <f t="shared" si="103"/>
        <v>772.92448777905338</v>
      </c>
      <c r="BI50" s="30">
        <f t="shared" si="103"/>
        <v>772.03918813500331</v>
      </c>
      <c r="BJ50" s="30">
        <f t="shared" si="103"/>
        <v>775.52823601809996</v>
      </c>
      <c r="BK50" s="30">
        <f t="shared" si="103"/>
        <v>783.25563541414851</v>
      </c>
      <c r="BL50" s="30">
        <f t="shared" si="103"/>
        <v>790.95360053956119</v>
      </c>
      <c r="BM50" s="30">
        <f t="shared" si="103"/>
        <v>790.0443608802027</v>
      </c>
      <c r="BN50" s="30">
        <f t="shared" si="103"/>
        <v>800.16929208884937</v>
      </c>
      <c r="BO50" s="30">
        <f t="shared" si="103"/>
        <v>799.26068858523854</v>
      </c>
      <c r="BP50" s="30">
        <f t="shared" si="103"/>
        <v>807.11509054233204</v>
      </c>
      <c r="BQ50" s="30">
        <f t="shared" si="103"/>
        <v>806.1864080094781</v>
      </c>
      <c r="BR50" s="30">
        <f t="shared" si="103"/>
        <v>811.92139507578793</v>
      </c>
      <c r="BS50" s="30">
        <f t="shared" si="103"/>
        <v>820.00454676886739</v>
      </c>
      <c r="BT50" s="30">
        <f t="shared" si="103"/>
        <v>828.0566555907169</v>
      </c>
      <c r="BU50" s="30">
        <f t="shared" si="103"/>
        <v>827.0977254370838</v>
      </c>
      <c r="BV50" s="30">
        <f t="shared" ref="BV50:EG50" si="104">SUM(BV48:BV49)</f>
        <v>830.64311754767584</v>
      </c>
      <c r="BW50" s="30">
        <f t="shared" si="104"/>
        <v>838.90906500704762</v>
      </c>
      <c r="BX50" s="30">
        <f t="shared" si="104"/>
        <v>847.14313500951016</v>
      </c>
      <c r="BY50" s="30">
        <f t="shared" si="104"/>
        <v>846.1584240778293</v>
      </c>
      <c r="BZ50" s="30">
        <f t="shared" si="104"/>
        <v>849.72330744418537</v>
      </c>
      <c r="CA50" s="30">
        <f t="shared" si="104"/>
        <v>858.17540305692705</v>
      </c>
      <c r="CB50" s="30">
        <f t="shared" si="104"/>
        <v>866.59476576243856</v>
      </c>
      <c r="CC50" s="30">
        <f t="shared" si="104"/>
        <v>865.58362953325809</v>
      </c>
      <c r="CD50" s="30">
        <f t="shared" si="104"/>
        <v>876.41626122990226</v>
      </c>
      <c r="CE50" s="30">
        <f t="shared" si="104"/>
        <v>875.40602955335885</v>
      </c>
      <c r="CF50" s="30">
        <f t="shared" si="104"/>
        <v>883.99331946751033</v>
      </c>
      <c r="CG50" s="30">
        <f t="shared" si="104"/>
        <v>882.96076290305405</v>
      </c>
      <c r="CH50" s="30">
        <f t="shared" si="104"/>
        <v>888.9847760575974</v>
      </c>
      <c r="CI50" s="30">
        <f t="shared" si="104"/>
        <v>897.81944709183767</v>
      </c>
      <c r="CJ50" s="30">
        <f t="shared" si="104"/>
        <v>906.61960962477576</v>
      </c>
      <c r="CK50" s="30">
        <f t="shared" si="104"/>
        <v>905.55362438747386</v>
      </c>
      <c r="CL50" s="30">
        <f t="shared" si="104"/>
        <v>909.17913844547559</v>
      </c>
      <c r="CM50" s="30">
        <f t="shared" si="104"/>
        <v>918.2103494005529</v>
      </c>
      <c r="CN50" s="30">
        <f t="shared" si="104"/>
        <v>927.20613062789755</v>
      </c>
      <c r="CO50" s="30">
        <f t="shared" si="104"/>
        <v>926.1116882354562</v>
      </c>
      <c r="CP50" s="30">
        <f t="shared" si="104"/>
        <v>929.75813716677442</v>
      </c>
      <c r="CQ50" s="30">
        <f t="shared" si="104"/>
        <v>938.98946573263993</v>
      </c>
      <c r="CR50" s="30">
        <f t="shared" si="104"/>
        <v>948.18442031368147</v>
      </c>
      <c r="CS50" s="30">
        <f t="shared" si="104"/>
        <v>947.06080933722194</v>
      </c>
      <c r="CT50" s="30">
        <f t="shared" si="104"/>
        <v>958.65643426923373</v>
      </c>
      <c r="CU50" s="30">
        <f t="shared" si="104"/>
        <v>957.53402410535682</v>
      </c>
      <c r="CV50" s="30">
        <f t="shared" si="104"/>
        <v>966.90916195906129</v>
      </c>
      <c r="CW50" s="30">
        <f t="shared" si="104"/>
        <v>965.76194789952058</v>
      </c>
      <c r="CX50" s="30">
        <f t="shared" si="104"/>
        <v>972.09728538483773</v>
      </c>
      <c r="CY50" s="30">
        <f t="shared" si="104"/>
        <v>981.73981488878644</v>
      </c>
      <c r="CZ50" s="30">
        <f t="shared" si="104"/>
        <v>991.3440104842864</v>
      </c>
      <c r="DA50" s="30">
        <f t="shared" si="104"/>
        <v>990.15985646562376</v>
      </c>
      <c r="DB50" s="30">
        <f t="shared" si="104"/>
        <v>993.87130369348949</v>
      </c>
      <c r="DC50" s="30">
        <f t="shared" si="104"/>
        <v>1003.7250345043249</v>
      </c>
      <c r="DD50" s="30">
        <f t="shared" si="104"/>
        <v>1013.5394145451024</v>
      </c>
      <c r="DE50" s="30">
        <f t="shared" si="104"/>
        <v>1012.3238491517658</v>
      </c>
      <c r="DF50" s="30">
        <f t="shared" si="104"/>
        <v>1016.0576973393843</v>
      </c>
      <c r="DG50" s="30">
        <f t="shared" si="104"/>
        <v>1026.1264430995509</v>
      </c>
      <c r="DH50" s="30">
        <f t="shared" si="104"/>
        <v>1036.1547958065098</v>
      </c>
      <c r="DI50" s="30">
        <f t="shared" si="104"/>
        <v>1034.907033754133</v>
      </c>
      <c r="DJ50" s="30">
        <f t="shared" si="104"/>
        <v>1047.3246300724122</v>
      </c>
      <c r="DK50" s="30">
        <f t="shared" si="104"/>
        <v>1046.0783958481652</v>
      </c>
      <c r="DL50" s="30">
        <f t="shared" si="104"/>
        <v>1056.2999883548864</v>
      </c>
      <c r="DM50" s="30">
        <f t="shared" si="104"/>
        <v>1055.0262138742648</v>
      </c>
      <c r="DN50" s="30">
        <f t="shared" si="104"/>
        <v>1061.696453725453</v>
      </c>
      <c r="DO50" s="30">
        <f t="shared" si="104"/>
        <v>1072.2069134795452</v>
      </c>
      <c r="DP50" s="30">
        <f t="shared" si="104"/>
        <v>1082.6748167914675</v>
      </c>
      <c r="DQ50" s="30">
        <f t="shared" si="104"/>
        <v>1081.3602265486697</v>
      </c>
      <c r="DR50" s="30">
        <f t="shared" si="104"/>
        <v>1085.1634924296786</v>
      </c>
      <c r="DS50" s="30">
        <f t="shared" si="104"/>
        <v>1095.9007744267669</v>
      </c>
      <c r="DT50" s="30">
        <f t="shared" si="104"/>
        <v>1106.5943775567334</v>
      </c>
      <c r="DU50" s="30">
        <f t="shared" si="104"/>
        <v>1105.2451150336581</v>
      </c>
      <c r="DV50" s="30">
        <f t="shared" si="104"/>
        <v>1109.0722595368252</v>
      </c>
      <c r="DW50" s="30">
        <f t="shared" si="104"/>
        <v>1120.0404238044885</v>
      </c>
      <c r="DX50" s="30">
        <f t="shared" si="104"/>
        <v>1130.9637587194534</v>
      </c>
      <c r="DY50" s="30">
        <f t="shared" si="104"/>
        <v>1129.5789571090938</v>
      </c>
      <c r="DZ50" s="30">
        <f t="shared" si="104"/>
        <v>1142.8813576564894</v>
      </c>
      <c r="EA50" s="30">
        <f t="shared" si="104"/>
        <v>1141.498444838237</v>
      </c>
      <c r="EB50" s="30">
        <f t="shared" si="104"/>
        <v>1152.6289102876499</v>
      </c>
      <c r="EC50" s="30">
        <f t="shared" si="104"/>
        <v>1151.2154367827968</v>
      </c>
      <c r="ED50" s="30">
        <f t="shared" si="104"/>
        <v>1158.2454622346922</v>
      </c>
      <c r="EE50" s="30">
        <f t="shared" si="104"/>
        <v>1169.6878244926734</v>
      </c>
      <c r="EF50" s="30">
        <f t="shared" si="104"/>
        <v>1181.0829694213328</v>
      </c>
      <c r="EG50" s="30">
        <f t="shared" si="104"/>
        <v>1179.62440199293</v>
      </c>
      <c r="EH50" s="30">
        <f t="shared" ref="EH50:FM50" si="105">SUM(EH48:EH49)</f>
        <v>1183.5253990614274</v>
      </c>
      <c r="EI50" s="30">
        <f t="shared" si="105"/>
        <v>1195.2112052684445</v>
      </c>
      <c r="EJ50" s="30">
        <f t="shared" si="105"/>
        <v>1206.8485551990084</v>
      </c>
      <c r="EK50" s="30">
        <f t="shared" si="105"/>
        <v>1205.351716060688</v>
      </c>
      <c r="EL50" s="30">
        <f t="shared" si="105"/>
        <v>1209.2780675930053</v>
      </c>
      <c r="EM50" s="30">
        <f t="shared" si="105"/>
        <v>1221.2116342176073</v>
      </c>
      <c r="EN50" s="30">
        <f t="shared" si="105"/>
        <v>1233.0954746449474</v>
      </c>
      <c r="EO50" s="30">
        <f t="shared" si="105"/>
        <v>1231.559407003962</v>
      </c>
      <c r="EP50" s="30">
        <f t="shared" si="105"/>
        <v>1245.8134640343101</v>
      </c>
      <c r="EQ50" s="30">
        <f t="shared" si="105"/>
        <v>1244.2796836221216</v>
      </c>
      <c r="ER50" s="30">
        <f t="shared" si="105"/>
        <v>1256.38541165024</v>
      </c>
      <c r="ES50" s="30">
        <f t="shared" si="105"/>
        <v>1254.817736561632</v>
      </c>
      <c r="ET50" s="30">
        <f t="shared" si="105"/>
        <v>1262.2337529386964</v>
      </c>
      <c r="EU50" s="30">
        <f t="shared" si="105"/>
        <v>1274.6760528658813</v>
      </c>
      <c r="EV50" s="30">
        <f t="shared" si="105"/>
        <v>1287.0659907164236</v>
      </c>
      <c r="EW50" s="30">
        <f t="shared" si="105"/>
        <v>1285.4484994145935</v>
      </c>
      <c r="EX50" s="30">
        <f t="shared" si="105"/>
        <v>1289.4531094439558</v>
      </c>
      <c r="EY50" s="30">
        <f t="shared" si="105"/>
        <v>1302.1565152331377</v>
      </c>
      <c r="EZ50" s="30">
        <f t="shared" si="105"/>
        <v>1314.8061913798647</v>
      </c>
      <c r="FA50" s="30">
        <f t="shared" si="105"/>
        <v>1313.1464552712819</v>
      </c>
      <c r="FB50" s="30">
        <f t="shared" si="105"/>
        <v>0</v>
      </c>
      <c r="FC50" s="30">
        <f t="shared" si="105"/>
        <v>0</v>
      </c>
      <c r="FD50" s="30">
        <f t="shared" si="105"/>
        <v>0</v>
      </c>
      <c r="FE50" s="30">
        <f t="shared" si="105"/>
        <v>0</v>
      </c>
      <c r="FF50" s="30">
        <f t="shared" si="105"/>
        <v>0</v>
      </c>
      <c r="FG50" s="30">
        <f t="shared" si="105"/>
        <v>0</v>
      </c>
      <c r="FH50" s="30">
        <f t="shared" si="105"/>
        <v>0</v>
      </c>
      <c r="FI50" s="30">
        <f t="shared" si="105"/>
        <v>0</v>
      </c>
      <c r="FJ50" s="30">
        <f t="shared" si="105"/>
        <v>0</v>
      </c>
      <c r="FK50" s="30">
        <f t="shared" si="105"/>
        <v>0</v>
      </c>
      <c r="FL50" s="30">
        <f t="shared" si="105"/>
        <v>0</v>
      </c>
      <c r="FM50" s="30">
        <f t="shared" si="105"/>
        <v>0</v>
      </c>
    </row>
    <row r="51" spans="2:169" x14ac:dyDescent="0.25">
      <c r="B51" s="39" t="s">
        <v>105</v>
      </c>
      <c r="C51" t="s">
        <v>2</v>
      </c>
      <c r="I51" s="22">
        <f>IFERROR(I50 / I48, 0)</f>
        <v>0</v>
      </c>
      <c r="J51" s="22">
        <f t="shared" ref="J51:BU51" si="106">IFERROR(J50 / J48, 0)</f>
        <v>0</v>
      </c>
      <c r="K51" s="22">
        <f t="shared" si="106"/>
        <v>0</v>
      </c>
      <c r="L51" s="22">
        <f t="shared" si="106"/>
        <v>0</v>
      </c>
      <c r="M51" s="22">
        <f t="shared" si="106"/>
        <v>0</v>
      </c>
      <c r="N51" s="22">
        <f t="shared" si="106"/>
        <v>0</v>
      </c>
      <c r="O51" s="22">
        <f t="shared" si="106"/>
        <v>0</v>
      </c>
      <c r="P51" s="22">
        <f t="shared" si="106"/>
        <v>0</v>
      </c>
      <c r="Q51" s="22">
        <f t="shared" si="106"/>
        <v>0.56235388182570434</v>
      </c>
      <c r="R51" s="22">
        <f t="shared" si="106"/>
        <v>0.61831446831094383</v>
      </c>
      <c r="S51" s="22">
        <f t="shared" si="106"/>
        <v>0.61810189380175651</v>
      </c>
      <c r="T51" s="22">
        <f t="shared" si="106"/>
        <v>0.6178866602175811</v>
      </c>
      <c r="U51" s="22">
        <f t="shared" si="106"/>
        <v>0.61767110104204548</v>
      </c>
      <c r="V51" s="22">
        <f t="shared" si="106"/>
        <v>0.62028809079670377</v>
      </c>
      <c r="W51" s="22">
        <f t="shared" si="106"/>
        <v>0.62007364994548397</v>
      </c>
      <c r="X51" s="22">
        <f t="shared" si="106"/>
        <v>0.61985652479546927</v>
      </c>
      <c r="Y51" s="22">
        <f t="shared" si="106"/>
        <v>0.61963906929876389</v>
      </c>
      <c r="Z51" s="22">
        <f t="shared" si="106"/>
        <v>0.62172582368709373</v>
      </c>
      <c r="AA51" s="22">
        <f t="shared" si="106"/>
        <v>0.62151008501447824</v>
      </c>
      <c r="AB51" s="22">
        <f t="shared" si="106"/>
        <v>0.62129164479978072</v>
      </c>
      <c r="AC51" s="22">
        <f t="shared" si="106"/>
        <v>0.62107287123147981</v>
      </c>
      <c r="AD51" s="22">
        <f t="shared" si="106"/>
        <v>0.62310224052821983</v>
      </c>
      <c r="AE51" s="22">
        <f t="shared" si="106"/>
        <v>0.62288519221660354</v>
      </c>
      <c r="AF51" s="22">
        <f t="shared" si="106"/>
        <v>0.62266542495348687</v>
      </c>
      <c r="AG51" s="22">
        <f t="shared" si="106"/>
        <v>0.62244532129325036</v>
      </c>
      <c r="AH51" s="22">
        <f t="shared" si="106"/>
        <v>0.62441686014424258</v>
      </c>
      <c r="AI51" s="22">
        <f t="shared" si="106"/>
        <v>0.62419908459680307</v>
      </c>
      <c r="AJ51" s="22">
        <f t="shared" si="106"/>
        <v>0.62397858088570723</v>
      </c>
      <c r="AK51" s="22">
        <f t="shared" si="106"/>
        <v>0.62375773954722669</v>
      </c>
      <c r="AL51" s="22">
        <f t="shared" si="106"/>
        <v>0.62567637411234744</v>
      </c>
      <c r="AM51" s="22">
        <f t="shared" si="106"/>
        <v>0.62545667049206122</v>
      </c>
      <c r="AN51" s="22">
        <f t="shared" si="106"/>
        <v>0.62523421259447232</v>
      </c>
      <c r="AO51" s="22">
        <f t="shared" si="106"/>
        <v>0.62501141210067346</v>
      </c>
      <c r="AP51" s="22">
        <f t="shared" si="106"/>
        <v>0.62687663081214073</v>
      </c>
      <c r="AQ51" s="22">
        <f t="shared" si="106"/>
        <v>0.6266555812277248</v>
      </c>
      <c r="AR51" s="22">
        <f t="shared" si="106"/>
        <v>0.62643175944524954</v>
      </c>
      <c r="AS51" s="22">
        <f t="shared" si="106"/>
        <v>0.62620759190984243</v>
      </c>
      <c r="AT51" s="22">
        <f t="shared" si="106"/>
        <v>0.62802065296623122</v>
      </c>
      <c r="AU51" s="22">
        <f t="shared" si="106"/>
        <v>0.6277982450110785</v>
      </c>
      <c r="AV51" s="22">
        <f t="shared" si="106"/>
        <v>0.6275730467622318</v>
      </c>
      <c r="AW51" s="22">
        <f t="shared" si="106"/>
        <v>0.62734749956482982</v>
      </c>
      <c r="AX51" s="22">
        <f t="shared" si="106"/>
        <v>0.62910778374230703</v>
      </c>
      <c r="AY51" s="22">
        <f t="shared" si="106"/>
        <v>0.62888461391514838</v>
      </c>
      <c r="AZ51" s="22">
        <f t="shared" si="106"/>
        <v>0.6286586441170412</v>
      </c>
      <c r="BA51" s="22">
        <f t="shared" si="106"/>
        <v>0.62843232405489635</v>
      </c>
      <c r="BB51" s="22">
        <f t="shared" si="106"/>
        <v>0.63014472060294868</v>
      </c>
      <c r="BC51" s="22">
        <f t="shared" si="106"/>
        <v>0.62991955807233802</v>
      </c>
      <c r="BD51" s="22">
        <f t="shared" si="106"/>
        <v>0.62969156852299091</v>
      </c>
      <c r="BE51" s="22">
        <f t="shared" si="106"/>
        <v>0.62946322351472195</v>
      </c>
      <c r="BF51" s="22">
        <f t="shared" si="106"/>
        <v>0.63112705317766682</v>
      </c>
      <c r="BG51" s="22">
        <f t="shared" si="106"/>
        <v>0.63090049412930005</v>
      </c>
      <c r="BH51" s="22">
        <f t="shared" si="106"/>
        <v>0.63067108942812511</v>
      </c>
      <c r="BI51" s="22">
        <f t="shared" si="106"/>
        <v>0.63044132595204949</v>
      </c>
      <c r="BJ51" s="22">
        <f t="shared" si="106"/>
        <v>0.63205772682825867</v>
      </c>
      <c r="BK51" s="22">
        <f t="shared" si="106"/>
        <v>0.63182975822936882</v>
      </c>
      <c r="BL51" s="22">
        <f t="shared" si="106"/>
        <v>0.63159892515939275</v>
      </c>
      <c r="BM51" s="22">
        <f t="shared" si="106"/>
        <v>0.63136772995716328</v>
      </c>
      <c r="BN51" s="22">
        <f t="shared" si="106"/>
        <v>0.63293591933965632</v>
      </c>
      <c r="BO51" s="22">
        <f t="shared" si="106"/>
        <v>0.6327071522983635</v>
      </c>
      <c r="BP51" s="22">
        <f t="shared" si="106"/>
        <v>0.63247551061613017</v>
      </c>
      <c r="BQ51" s="22">
        <f t="shared" si="106"/>
        <v>0.63224350539464014</v>
      </c>
      <c r="BR51" s="22">
        <f t="shared" si="106"/>
        <v>0.6337683507459414</v>
      </c>
      <c r="BS51" s="22">
        <f t="shared" si="106"/>
        <v>0.633537523294462</v>
      </c>
      <c r="BT51" s="22">
        <f t="shared" si="106"/>
        <v>0.63330379317296792</v>
      </c>
      <c r="BU51" s="22">
        <f t="shared" si="106"/>
        <v>0.63306969407779257</v>
      </c>
      <c r="BV51" s="22">
        <f t="shared" ref="BV51:EG51" si="107">IFERROR(BV50 / BV48, 0)</f>
        <v>0.63455035825633377</v>
      </c>
      <c r="BW51" s="22">
        <f t="shared" si="107"/>
        <v>0.63431808116975386</v>
      </c>
      <c r="BX51" s="22">
        <f t="shared" si="107"/>
        <v>0.63408288202753071</v>
      </c>
      <c r="BY51" s="22">
        <f t="shared" si="107"/>
        <v>0.63384731042621989</v>
      </c>
      <c r="BZ51" s="22">
        <f t="shared" si="107"/>
        <v>0.63528482262811103</v>
      </c>
      <c r="CA51" s="22">
        <f t="shared" si="107"/>
        <v>0.63505108220749806</v>
      </c>
      <c r="CB51" s="22">
        <f t="shared" si="107"/>
        <v>0.6348144001514503</v>
      </c>
      <c r="CC51" s="22">
        <f t="shared" si="107"/>
        <v>0.63457734210687089</v>
      </c>
      <c r="CD51" s="22">
        <f t="shared" si="107"/>
        <v>0.63597076530234031</v>
      </c>
      <c r="CE51" s="22">
        <f t="shared" si="107"/>
        <v>0.63573618780409469</v>
      </c>
      <c r="CF51" s="22">
        <f t="shared" si="107"/>
        <v>0.63549865797849825</v>
      </c>
      <c r="CG51" s="22">
        <f t="shared" si="107"/>
        <v>0.63526075065900922</v>
      </c>
      <c r="CH51" s="22">
        <f t="shared" si="107"/>
        <v>0.63661494470411661</v>
      </c>
      <c r="CI51" s="22">
        <f t="shared" si="107"/>
        <v>0.63637823582329422</v>
      </c>
      <c r="CJ51" s="22">
        <f t="shared" si="107"/>
        <v>0.63613854555454719</v>
      </c>
      <c r="CK51" s="22">
        <f t="shared" si="107"/>
        <v>0.63589847210346551</v>
      </c>
      <c r="CL51" s="22">
        <f t="shared" si="107"/>
        <v>0.63721245060131537</v>
      </c>
      <c r="CM51" s="22">
        <f t="shared" si="107"/>
        <v>0.63697423623973071</v>
      </c>
      <c r="CN51" s="22">
        <f t="shared" si="107"/>
        <v>0.63673302031220536</v>
      </c>
      <c r="CO51" s="22">
        <f t="shared" si="107"/>
        <v>0.63649141753655036</v>
      </c>
      <c r="CP51" s="22">
        <f t="shared" si="107"/>
        <v>0.63776611091901247</v>
      </c>
      <c r="CQ51" s="22">
        <f t="shared" si="107"/>
        <v>0.63752637666845469</v>
      </c>
      <c r="CR51" s="22">
        <f t="shared" si="107"/>
        <v>0.63728362046914011</v>
      </c>
      <c r="CS51" s="22">
        <f t="shared" si="107"/>
        <v>0.63704047370899197</v>
      </c>
      <c r="CT51" s="22">
        <f t="shared" si="107"/>
        <v>0.63827479865899228</v>
      </c>
      <c r="CU51" s="22">
        <f t="shared" si="107"/>
        <v>0.63803418648962074</v>
      </c>
      <c r="CV51" s="22">
        <f t="shared" si="107"/>
        <v>0.63779054112592326</v>
      </c>
      <c r="CW51" s="22">
        <f t="shared" si="107"/>
        <v>0.63754650359025289</v>
      </c>
      <c r="CX51" s="22">
        <f t="shared" si="107"/>
        <v>0.63874532571006981</v>
      </c>
      <c r="CY51" s="22">
        <f t="shared" si="107"/>
        <v>0.63850250771618589</v>
      </c>
      <c r="CZ51" s="22">
        <f t="shared" si="107"/>
        <v>0.63825662638237746</v>
      </c>
      <c r="DA51" s="22">
        <f t="shared" si="107"/>
        <v>0.63801034691857494</v>
      </c>
      <c r="DB51" s="22">
        <f t="shared" si="107"/>
        <v>0.63917253811121977</v>
      </c>
      <c r="DC51" s="22">
        <f t="shared" si="107"/>
        <v>0.63892815588514917</v>
      </c>
      <c r="DD51" s="22">
        <f t="shared" si="107"/>
        <v>0.63868068930511701</v>
      </c>
      <c r="DE51" s="22">
        <f t="shared" si="107"/>
        <v>0.63843282073708463</v>
      </c>
      <c r="DF51" s="22">
        <f t="shared" si="107"/>
        <v>0.63955922184740621</v>
      </c>
      <c r="DG51" s="22">
        <f t="shared" si="107"/>
        <v>0.63931326022515544</v>
      </c>
      <c r="DH51" s="22">
        <f t="shared" si="107"/>
        <v>0.63906419301873219</v>
      </c>
      <c r="DI51" s="22">
        <f t="shared" si="107"/>
        <v>0.63881471991629468</v>
      </c>
      <c r="DJ51" s="22">
        <f t="shared" si="107"/>
        <v>0.6399041083413205</v>
      </c>
      <c r="DK51" s="22">
        <f t="shared" si="107"/>
        <v>0.63965722560051508</v>
      </c>
      <c r="DL51" s="22">
        <f t="shared" si="107"/>
        <v>0.63940722544241269</v>
      </c>
      <c r="DM51" s="22">
        <f t="shared" si="107"/>
        <v>0.63915681766331689</v>
      </c>
      <c r="DN51" s="22">
        <f t="shared" si="107"/>
        <v>0.64021407738253189</v>
      </c>
      <c r="DO51" s="22">
        <f t="shared" si="107"/>
        <v>0.63996491068618555</v>
      </c>
      <c r="DP51" s="22">
        <f t="shared" si="107"/>
        <v>0.63971259528481217</v>
      </c>
      <c r="DQ51" s="22">
        <f t="shared" si="107"/>
        <v>0.6394598660181029</v>
      </c>
      <c r="DR51" s="22">
        <f t="shared" si="107"/>
        <v>0.64048373380043033</v>
      </c>
      <c r="DS51" s="22">
        <f t="shared" si="107"/>
        <v>0.64023294102323436</v>
      </c>
      <c r="DT51" s="22">
        <f t="shared" si="107"/>
        <v>0.63997897764428313</v>
      </c>
      <c r="DU51" s="22">
        <f t="shared" si="107"/>
        <v>0.6397245963370144</v>
      </c>
      <c r="DV51" s="22">
        <f t="shared" si="107"/>
        <v>0.64071583174643842</v>
      </c>
      <c r="DW51" s="22">
        <f t="shared" si="107"/>
        <v>0.64046339691840426</v>
      </c>
      <c r="DX51" s="22">
        <f t="shared" si="107"/>
        <v>0.64020776936354185</v>
      </c>
      <c r="DY51" s="22">
        <f t="shared" si="107"/>
        <v>0.63995171976402321</v>
      </c>
      <c r="DZ51" s="22">
        <f t="shared" si="107"/>
        <v>0.64090896696015376</v>
      </c>
      <c r="EA51" s="22">
        <f t="shared" si="107"/>
        <v>0.64065556529007406</v>
      </c>
      <c r="EB51" s="22">
        <f t="shared" si="107"/>
        <v>0.64039895843607153</v>
      </c>
      <c r="EC51" s="22">
        <f t="shared" si="107"/>
        <v>0.64014192768982814</v>
      </c>
      <c r="ED51" s="22">
        <f t="shared" si="107"/>
        <v>0.64107010103677842</v>
      </c>
      <c r="EE51" s="22">
        <f t="shared" si="107"/>
        <v>0.64081433335439786</v>
      </c>
      <c r="EF51" s="22">
        <f t="shared" si="107"/>
        <v>0.64055532799725312</v>
      </c>
      <c r="EG51" s="22">
        <f t="shared" si="107"/>
        <v>0.6402958921991716</v>
      </c>
      <c r="EH51" s="22">
        <f t="shared" ref="EH51:FM51" si="108">IFERROR(EH50 / EH48, 0)</f>
        <v>0.64119359898546369</v>
      </c>
      <c r="EI51" s="22">
        <f t="shared" si="108"/>
        <v>0.64093614006951294</v>
      </c>
      <c r="EJ51" s="22">
        <f t="shared" si="108"/>
        <v>0.64067542064941696</v>
      </c>
      <c r="EK51" s="22">
        <f t="shared" si="108"/>
        <v>0.64041426650663158</v>
      </c>
      <c r="EL51" s="22">
        <f t="shared" si="108"/>
        <v>0.64128219253171515</v>
      </c>
      <c r="EM51" s="22">
        <f t="shared" si="108"/>
        <v>0.64102302555194091</v>
      </c>
      <c r="EN51" s="22">
        <f t="shared" si="108"/>
        <v>0.64076057499725891</v>
      </c>
      <c r="EO51" s="22">
        <f t="shared" si="108"/>
        <v>0.64049768538115659</v>
      </c>
      <c r="EP51" s="22">
        <f t="shared" si="108"/>
        <v>0.64133434673513745</v>
      </c>
      <c r="EQ51" s="22">
        <f t="shared" si="108"/>
        <v>0.64107416448709209</v>
      </c>
      <c r="ER51" s="22">
        <f t="shared" si="108"/>
        <v>0.64081068554392451</v>
      </c>
      <c r="ES51" s="22">
        <f t="shared" si="108"/>
        <v>0.64054676555960444</v>
      </c>
      <c r="ET51" s="22">
        <f t="shared" si="108"/>
        <v>0.64135711846613064</v>
      </c>
      <c r="EU51" s="22">
        <f t="shared" si="108"/>
        <v>0.64109448396798197</v>
      </c>
      <c r="EV51" s="22">
        <f t="shared" si="108"/>
        <v>0.64082851901558058</v>
      </c>
      <c r="EW51" s="22">
        <f t="shared" si="108"/>
        <v>0.64056210614953946</v>
      </c>
      <c r="EX51" s="22">
        <f t="shared" si="108"/>
        <v>0.64134463322660584</v>
      </c>
      <c r="EY51" s="22">
        <f t="shared" si="108"/>
        <v>0.64108023881449261</v>
      </c>
      <c r="EZ51" s="22">
        <f t="shared" si="108"/>
        <v>0.64081249013255781</v>
      </c>
      <c r="FA51" s="22">
        <f t="shared" si="108"/>
        <v>0.6405442890215346</v>
      </c>
      <c r="FB51" s="22">
        <f t="shared" si="108"/>
        <v>0</v>
      </c>
      <c r="FC51" s="22">
        <f t="shared" si="108"/>
        <v>0</v>
      </c>
      <c r="FD51" s="22">
        <f t="shared" si="108"/>
        <v>0</v>
      </c>
      <c r="FE51" s="22">
        <f t="shared" si="108"/>
        <v>0</v>
      </c>
      <c r="FF51" s="22">
        <f t="shared" si="108"/>
        <v>0</v>
      </c>
      <c r="FG51" s="22">
        <f t="shared" si="108"/>
        <v>0</v>
      </c>
      <c r="FH51" s="22">
        <f t="shared" si="108"/>
        <v>0</v>
      </c>
      <c r="FI51" s="22">
        <f t="shared" si="108"/>
        <v>0</v>
      </c>
      <c r="FJ51" s="22">
        <f t="shared" si="108"/>
        <v>0</v>
      </c>
      <c r="FK51" s="22">
        <f t="shared" si="108"/>
        <v>0</v>
      </c>
      <c r="FL51" s="22">
        <f t="shared" si="108"/>
        <v>0</v>
      </c>
      <c r="FM51" s="22">
        <f t="shared" si="108"/>
        <v>0</v>
      </c>
    </row>
    <row r="52" spans="2:169" x14ac:dyDescent="0.25">
      <c r="I52" s="25"/>
    </row>
    <row r="53" spans="2:169" x14ac:dyDescent="0.25">
      <c r="B53" t="s">
        <v>106</v>
      </c>
      <c r="C53" t="s">
        <v>94</v>
      </c>
      <c r="H53" s="31">
        <f t="shared" ref="H53:H54" si="109">SUM(I53:FM53)</f>
        <v>-31414.999999999996</v>
      </c>
      <c r="I53" s="25">
        <f>I105</f>
        <v>0</v>
      </c>
      <c r="J53" s="25">
        <f t="shared" ref="J53:BU53" si="110">J105</f>
        <v>0</v>
      </c>
      <c r="K53" s="25">
        <f t="shared" si="110"/>
        <v>0</v>
      </c>
      <c r="L53" s="25">
        <f t="shared" si="110"/>
        <v>0</v>
      </c>
      <c r="M53" s="25">
        <f t="shared" si="110"/>
        <v>0</v>
      </c>
      <c r="N53" s="25">
        <f t="shared" si="110"/>
        <v>0</v>
      </c>
      <c r="O53" s="25">
        <f t="shared" si="110"/>
        <v>0</v>
      </c>
      <c r="P53" s="25">
        <f t="shared" si="110"/>
        <v>0</v>
      </c>
      <c r="Q53" s="25">
        <f t="shared" si="110"/>
        <v>-88.937442922374416</v>
      </c>
      <c r="R53" s="25">
        <f t="shared" si="110"/>
        <v>-260.36111111111109</v>
      </c>
      <c r="S53" s="25">
        <f t="shared" si="110"/>
        <v>-260.36111111111109</v>
      </c>
      <c r="T53" s="25">
        <f t="shared" si="110"/>
        <v>-263.22222222222217</v>
      </c>
      <c r="U53" s="25">
        <f t="shared" si="110"/>
        <v>-263.22222222222217</v>
      </c>
      <c r="V53" s="25">
        <f t="shared" si="110"/>
        <v>-258.20547945205476</v>
      </c>
      <c r="W53" s="25">
        <f t="shared" si="110"/>
        <v>-261.07442922374423</v>
      </c>
      <c r="X53" s="25">
        <f t="shared" si="110"/>
        <v>-263.94337899543376</v>
      </c>
      <c r="Y53" s="25">
        <f t="shared" si="110"/>
        <v>-263.94337899543376</v>
      </c>
      <c r="Z53" s="25">
        <f t="shared" si="110"/>
        <v>-258.20547945205476</v>
      </c>
      <c r="AA53" s="25">
        <f t="shared" si="110"/>
        <v>-261.07442922374423</v>
      </c>
      <c r="AB53" s="25">
        <f t="shared" si="110"/>
        <v>-263.94337899543376</v>
      </c>
      <c r="AC53" s="25">
        <f t="shared" si="110"/>
        <v>-263.94337899543376</v>
      </c>
      <c r="AD53" s="25">
        <f t="shared" si="110"/>
        <v>-258.20547945205476</v>
      </c>
      <c r="AE53" s="25">
        <f t="shared" si="110"/>
        <v>-261.07442922374423</v>
      </c>
      <c r="AF53" s="25">
        <f t="shared" si="110"/>
        <v>-263.94337899543376</v>
      </c>
      <c r="AG53" s="25">
        <f t="shared" si="110"/>
        <v>-263.94337899543376</v>
      </c>
      <c r="AH53" s="25">
        <f t="shared" si="110"/>
        <v>-260.36111111111109</v>
      </c>
      <c r="AI53" s="25">
        <f t="shared" si="110"/>
        <v>-260.36111111111109</v>
      </c>
      <c r="AJ53" s="25">
        <f t="shared" si="110"/>
        <v>-263.22222222222217</v>
      </c>
      <c r="AK53" s="25">
        <f t="shared" si="110"/>
        <v>-263.22222222222217</v>
      </c>
      <c r="AL53" s="25">
        <f t="shared" si="110"/>
        <v>-258.20547945205476</v>
      </c>
      <c r="AM53" s="25">
        <f t="shared" si="110"/>
        <v>-261.07442922374423</v>
      </c>
      <c r="AN53" s="25">
        <f t="shared" si="110"/>
        <v>-263.94337899543376</v>
      </c>
      <c r="AO53" s="25">
        <f t="shared" si="110"/>
        <v>-263.94337899543376</v>
      </c>
      <c r="AP53" s="25">
        <f t="shared" si="110"/>
        <v>-258.20547945205476</v>
      </c>
      <c r="AQ53" s="25">
        <f t="shared" si="110"/>
        <v>-261.07442922374423</v>
      </c>
      <c r="AR53" s="25">
        <f t="shared" si="110"/>
        <v>-263.94337899543376</v>
      </c>
      <c r="AS53" s="25">
        <f t="shared" si="110"/>
        <v>-263.94337899543376</v>
      </c>
      <c r="AT53" s="25">
        <f t="shared" si="110"/>
        <v>-258.20547945205476</v>
      </c>
      <c r="AU53" s="25">
        <f t="shared" si="110"/>
        <v>-261.07442922374423</v>
      </c>
      <c r="AV53" s="25">
        <f t="shared" si="110"/>
        <v>-263.94337899543376</v>
      </c>
      <c r="AW53" s="25">
        <f t="shared" si="110"/>
        <v>-263.94337899543376</v>
      </c>
      <c r="AX53" s="25">
        <f t="shared" si="110"/>
        <v>-260.36111111111109</v>
      </c>
      <c r="AY53" s="25">
        <f t="shared" si="110"/>
        <v>-260.36111111111109</v>
      </c>
      <c r="AZ53" s="25">
        <f t="shared" si="110"/>
        <v>-263.22222222222217</v>
      </c>
      <c r="BA53" s="25">
        <f t="shared" si="110"/>
        <v>-263.22222222222217</v>
      </c>
      <c r="BB53" s="25">
        <f t="shared" si="110"/>
        <v>-258.20547945205476</v>
      </c>
      <c r="BC53" s="25">
        <f t="shared" si="110"/>
        <v>-261.07442922374423</v>
      </c>
      <c r="BD53" s="25">
        <f t="shared" si="110"/>
        <v>-263.94337899543376</v>
      </c>
      <c r="BE53" s="25">
        <f t="shared" si="110"/>
        <v>-263.94337899543376</v>
      </c>
      <c r="BF53" s="25">
        <f t="shared" si="110"/>
        <v>-258.20547945205476</v>
      </c>
      <c r="BG53" s="25">
        <f t="shared" si="110"/>
        <v>-261.07442922374423</v>
      </c>
      <c r="BH53" s="25">
        <f t="shared" si="110"/>
        <v>-263.94337899543376</v>
      </c>
      <c r="BI53" s="25">
        <f t="shared" si="110"/>
        <v>-263.94337899543376</v>
      </c>
      <c r="BJ53" s="25">
        <f t="shared" si="110"/>
        <v>-258.20547945205476</v>
      </c>
      <c r="BK53" s="25">
        <f t="shared" si="110"/>
        <v>-261.07442922374423</v>
      </c>
      <c r="BL53" s="25">
        <f t="shared" si="110"/>
        <v>-263.94337899543376</v>
      </c>
      <c r="BM53" s="25">
        <f t="shared" si="110"/>
        <v>-263.94337899543376</v>
      </c>
      <c r="BN53" s="25">
        <f t="shared" si="110"/>
        <v>-260.36111111111109</v>
      </c>
      <c r="BO53" s="25">
        <f t="shared" si="110"/>
        <v>-260.36111111111109</v>
      </c>
      <c r="BP53" s="25">
        <f t="shared" si="110"/>
        <v>-263.22222222222217</v>
      </c>
      <c r="BQ53" s="25">
        <f t="shared" si="110"/>
        <v>-263.22222222222217</v>
      </c>
      <c r="BR53" s="25">
        <f t="shared" si="110"/>
        <v>-258.20547945205476</v>
      </c>
      <c r="BS53" s="25">
        <f t="shared" si="110"/>
        <v>-261.07442922374423</v>
      </c>
      <c r="BT53" s="25">
        <f t="shared" si="110"/>
        <v>-263.94337899543376</v>
      </c>
      <c r="BU53" s="25">
        <f t="shared" si="110"/>
        <v>-263.94337899543376</v>
      </c>
      <c r="BV53" s="25">
        <f t="shared" ref="BV53:EG53" si="111">BV105</f>
        <v>-258.20547945205476</v>
      </c>
      <c r="BW53" s="25">
        <f t="shared" si="111"/>
        <v>-261.07442922374423</v>
      </c>
      <c r="BX53" s="25">
        <f t="shared" si="111"/>
        <v>-263.94337899543376</v>
      </c>
      <c r="BY53" s="25">
        <f t="shared" si="111"/>
        <v>-263.94337899543376</v>
      </c>
      <c r="BZ53" s="25">
        <f t="shared" si="111"/>
        <v>-258.20547945205476</v>
      </c>
      <c r="CA53" s="25">
        <f t="shared" si="111"/>
        <v>-261.07442922374423</v>
      </c>
      <c r="CB53" s="25">
        <f t="shared" si="111"/>
        <v>-263.94337899543376</v>
      </c>
      <c r="CC53" s="25">
        <f t="shared" si="111"/>
        <v>-263.94337899543376</v>
      </c>
      <c r="CD53" s="25">
        <f t="shared" si="111"/>
        <v>-260.36111111111109</v>
      </c>
      <c r="CE53" s="25">
        <f t="shared" si="111"/>
        <v>-260.36111111111109</v>
      </c>
      <c r="CF53" s="25">
        <f t="shared" si="111"/>
        <v>-263.22222222222217</v>
      </c>
      <c r="CG53" s="25">
        <f t="shared" si="111"/>
        <v>-263.22222222222217</v>
      </c>
      <c r="CH53" s="25">
        <f t="shared" si="111"/>
        <v>-258.20547945205476</v>
      </c>
      <c r="CI53" s="25">
        <f t="shared" si="111"/>
        <v>-261.07442922374423</v>
      </c>
      <c r="CJ53" s="25">
        <f t="shared" si="111"/>
        <v>-263.94337899543376</v>
      </c>
      <c r="CK53" s="25">
        <f t="shared" si="111"/>
        <v>-263.94337899543376</v>
      </c>
      <c r="CL53" s="25">
        <f t="shared" si="111"/>
        <v>-258.20547945205476</v>
      </c>
      <c r="CM53" s="25">
        <f t="shared" si="111"/>
        <v>-261.07442922374423</v>
      </c>
      <c r="CN53" s="25">
        <f t="shared" si="111"/>
        <v>-263.94337899543376</v>
      </c>
      <c r="CO53" s="25">
        <f t="shared" si="111"/>
        <v>-263.94337899543376</v>
      </c>
      <c r="CP53" s="25">
        <f t="shared" si="111"/>
        <v>-258.20547945205476</v>
      </c>
      <c r="CQ53" s="25">
        <f t="shared" si="111"/>
        <v>-261.07442922374423</v>
      </c>
      <c r="CR53" s="25">
        <f t="shared" si="111"/>
        <v>-263.94337899543376</v>
      </c>
      <c r="CS53" s="25">
        <f t="shared" si="111"/>
        <v>-263.94337899543376</v>
      </c>
      <c r="CT53" s="25">
        <f t="shared" si="111"/>
        <v>-260.36111111111109</v>
      </c>
      <c r="CU53" s="25">
        <f t="shared" si="111"/>
        <v>-260.36111111111109</v>
      </c>
      <c r="CV53" s="25">
        <f t="shared" si="111"/>
        <v>-263.22222222222217</v>
      </c>
      <c r="CW53" s="25">
        <f t="shared" si="111"/>
        <v>-263.22222222222217</v>
      </c>
      <c r="CX53" s="25">
        <f t="shared" si="111"/>
        <v>-258.20547945205476</v>
      </c>
      <c r="CY53" s="25">
        <f t="shared" si="111"/>
        <v>-261.07442922374423</v>
      </c>
      <c r="CZ53" s="25">
        <f t="shared" si="111"/>
        <v>-263.94337899543376</v>
      </c>
      <c r="DA53" s="25">
        <f t="shared" si="111"/>
        <v>-263.94337899543376</v>
      </c>
      <c r="DB53" s="25">
        <f t="shared" si="111"/>
        <v>-258.20547945205476</v>
      </c>
      <c r="DC53" s="25">
        <f t="shared" si="111"/>
        <v>-261.07442922374423</v>
      </c>
      <c r="DD53" s="25">
        <f t="shared" si="111"/>
        <v>-263.94337899543376</v>
      </c>
      <c r="DE53" s="25">
        <f t="shared" si="111"/>
        <v>-263.94337899543376</v>
      </c>
      <c r="DF53" s="25">
        <f t="shared" si="111"/>
        <v>-258.20547945205476</v>
      </c>
      <c r="DG53" s="25">
        <f t="shared" si="111"/>
        <v>-261.07442922374423</v>
      </c>
      <c r="DH53" s="25">
        <f t="shared" si="111"/>
        <v>-263.94337899543376</v>
      </c>
      <c r="DI53" s="25">
        <f t="shared" si="111"/>
        <v>-263.94337899543376</v>
      </c>
      <c r="DJ53" s="25">
        <f t="shared" si="111"/>
        <v>-260.36111111111109</v>
      </c>
      <c r="DK53" s="25">
        <f t="shared" si="111"/>
        <v>-260.36111111111109</v>
      </c>
      <c r="DL53" s="25">
        <f t="shared" si="111"/>
        <v>-263.22222222222217</v>
      </c>
      <c r="DM53" s="25">
        <f t="shared" si="111"/>
        <v>-263.22222222222217</v>
      </c>
      <c r="DN53" s="25">
        <f t="shared" si="111"/>
        <v>-258.20547945205476</v>
      </c>
      <c r="DO53" s="25">
        <f t="shared" si="111"/>
        <v>-261.07442922374423</v>
      </c>
      <c r="DP53" s="25">
        <f t="shared" si="111"/>
        <v>-263.94337899543376</v>
      </c>
      <c r="DQ53" s="25">
        <f t="shared" si="111"/>
        <v>-263.94337899543376</v>
      </c>
      <c r="DR53" s="25">
        <f t="shared" si="111"/>
        <v>-258.20547945205476</v>
      </c>
      <c r="DS53" s="25">
        <f t="shared" si="111"/>
        <v>-261.07442922374423</v>
      </c>
      <c r="DT53" s="25">
        <f t="shared" si="111"/>
        <v>-263.94337899543376</v>
      </c>
      <c r="DU53" s="25">
        <f t="shared" si="111"/>
        <v>-263.94337899543376</v>
      </c>
      <c r="DV53" s="25">
        <f t="shared" si="111"/>
        <v>-258.20547945205476</v>
      </c>
      <c r="DW53" s="25">
        <f t="shared" si="111"/>
        <v>-261.07442922374423</v>
      </c>
      <c r="DX53" s="25">
        <f t="shared" si="111"/>
        <v>-263.94337899543376</v>
      </c>
      <c r="DY53" s="25">
        <f t="shared" si="111"/>
        <v>-263.94337899543376</v>
      </c>
      <c r="DZ53" s="25">
        <f t="shared" si="111"/>
        <v>-260.36111111111109</v>
      </c>
      <c r="EA53" s="25">
        <f t="shared" si="111"/>
        <v>-260.36111111111109</v>
      </c>
      <c r="EB53" s="25">
        <f t="shared" si="111"/>
        <v>-263.22222222222217</v>
      </c>
      <c r="EC53" s="25">
        <f t="shared" si="111"/>
        <v>-263.22222222222217</v>
      </c>
      <c r="ED53" s="25">
        <f t="shared" si="111"/>
        <v>-258.20547945205476</v>
      </c>
      <c r="EE53" s="25">
        <f t="shared" si="111"/>
        <v>-261.07442922374423</v>
      </c>
      <c r="EF53" s="25">
        <f t="shared" si="111"/>
        <v>-263.94337899543376</v>
      </c>
      <c r="EG53" s="25">
        <f t="shared" si="111"/>
        <v>-175.00593607303387</v>
      </c>
      <c r="EH53" s="25">
        <f t="shared" ref="EH53:FM53" si="112">EH105</f>
        <v>0</v>
      </c>
      <c r="EI53" s="25">
        <f t="shared" si="112"/>
        <v>0</v>
      </c>
      <c r="EJ53" s="25">
        <f t="shared" si="112"/>
        <v>0</v>
      </c>
      <c r="EK53" s="25">
        <f t="shared" si="112"/>
        <v>0</v>
      </c>
      <c r="EL53" s="25">
        <f t="shared" si="112"/>
        <v>0</v>
      </c>
      <c r="EM53" s="25">
        <f t="shared" si="112"/>
        <v>0</v>
      </c>
      <c r="EN53" s="25">
        <f t="shared" si="112"/>
        <v>0</v>
      </c>
      <c r="EO53" s="25">
        <f t="shared" si="112"/>
        <v>0</v>
      </c>
      <c r="EP53" s="25">
        <f t="shared" si="112"/>
        <v>0</v>
      </c>
      <c r="EQ53" s="25">
        <f t="shared" si="112"/>
        <v>0</v>
      </c>
      <c r="ER53" s="25">
        <f t="shared" si="112"/>
        <v>0</v>
      </c>
      <c r="ES53" s="25">
        <f t="shared" si="112"/>
        <v>0</v>
      </c>
      <c r="ET53" s="25">
        <f t="shared" si="112"/>
        <v>0</v>
      </c>
      <c r="EU53" s="25">
        <f t="shared" si="112"/>
        <v>0</v>
      </c>
      <c r="EV53" s="25">
        <f t="shared" si="112"/>
        <v>0</v>
      </c>
      <c r="EW53" s="25">
        <f t="shared" si="112"/>
        <v>0</v>
      </c>
      <c r="EX53" s="25">
        <f t="shared" si="112"/>
        <v>0</v>
      </c>
      <c r="EY53" s="25">
        <f t="shared" si="112"/>
        <v>0</v>
      </c>
      <c r="EZ53" s="25">
        <f t="shared" si="112"/>
        <v>0</v>
      </c>
      <c r="FA53" s="25">
        <f t="shared" si="112"/>
        <v>0</v>
      </c>
      <c r="FB53" s="25">
        <f t="shared" si="112"/>
        <v>0</v>
      </c>
      <c r="FC53" s="25">
        <f t="shared" si="112"/>
        <v>0</v>
      </c>
      <c r="FD53" s="25">
        <f t="shared" si="112"/>
        <v>0</v>
      </c>
      <c r="FE53" s="25">
        <f t="shared" si="112"/>
        <v>0</v>
      </c>
      <c r="FF53" s="25">
        <f t="shared" si="112"/>
        <v>0</v>
      </c>
      <c r="FG53" s="25">
        <f t="shared" si="112"/>
        <v>0</v>
      </c>
      <c r="FH53" s="25">
        <f t="shared" si="112"/>
        <v>0</v>
      </c>
      <c r="FI53" s="25">
        <f t="shared" si="112"/>
        <v>0</v>
      </c>
      <c r="FJ53" s="25">
        <f t="shared" si="112"/>
        <v>0</v>
      </c>
      <c r="FK53" s="25">
        <f t="shared" si="112"/>
        <v>0</v>
      </c>
      <c r="FL53" s="25">
        <f t="shared" si="112"/>
        <v>0</v>
      </c>
      <c r="FM53" s="25">
        <f t="shared" si="112"/>
        <v>0</v>
      </c>
    </row>
    <row r="54" spans="2:169" x14ac:dyDescent="0.25">
      <c r="B54" t="s">
        <v>107</v>
      </c>
      <c r="C54" t="s">
        <v>94</v>
      </c>
      <c r="H54" s="31">
        <f t="shared" si="109"/>
        <v>97320.665744481084</v>
      </c>
      <c r="I54" s="25">
        <f>SUM(I50,I53)</f>
        <v>0</v>
      </c>
      <c r="J54" s="25">
        <f t="shared" ref="J54:BU54" si="113">SUM(J50,J53)</f>
        <v>0</v>
      </c>
      <c r="K54" s="25">
        <f t="shared" si="113"/>
        <v>-8.4469479452054799</v>
      </c>
      <c r="L54" s="25">
        <f t="shared" si="113"/>
        <v>-25.068361643835619</v>
      </c>
      <c r="M54" s="25">
        <f t="shared" si="113"/>
        <v>-25.068361643835619</v>
      </c>
      <c r="N54" s="25">
        <f t="shared" si="113"/>
        <v>-25.308145972602741</v>
      </c>
      <c r="O54" s="25">
        <f t="shared" si="113"/>
        <v>-25.58934759452055</v>
      </c>
      <c r="P54" s="25">
        <f t="shared" si="113"/>
        <v>-25.870549216438359</v>
      </c>
      <c r="Q54" s="25">
        <f t="shared" si="113"/>
        <v>92.180936403461274</v>
      </c>
      <c r="R54" s="25">
        <f t="shared" si="113"/>
        <v>339.66047603493439</v>
      </c>
      <c r="S54" s="25">
        <f t="shared" si="113"/>
        <v>339.0064533742534</v>
      </c>
      <c r="T54" s="25">
        <f t="shared" si="113"/>
        <v>342.06332325193148</v>
      </c>
      <c r="U54" s="25">
        <f t="shared" si="113"/>
        <v>341.39484748813425</v>
      </c>
      <c r="V54" s="25">
        <f t="shared" si="113"/>
        <v>354.81410192840769</v>
      </c>
      <c r="W54" s="25">
        <f t="shared" si="113"/>
        <v>358.07701911289371</v>
      </c>
      <c r="X54" s="25">
        <f t="shared" si="113"/>
        <v>361.31745440957917</v>
      </c>
      <c r="Y54" s="25">
        <f t="shared" si="113"/>
        <v>360.62297740832054</v>
      </c>
      <c r="Z54" s="25">
        <f t="shared" si="113"/>
        <v>369.69950238604974</v>
      </c>
      <c r="AA54" s="25">
        <f t="shared" si="113"/>
        <v>373.10905792205119</v>
      </c>
      <c r="AB54" s="25">
        <f t="shared" si="113"/>
        <v>376.49551100915932</v>
      </c>
      <c r="AC54" s="25">
        <f t="shared" si="113"/>
        <v>375.78186455866199</v>
      </c>
      <c r="AD54" s="25">
        <f t="shared" si="113"/>
        <v>384.87376322282171</v>
      </c>
      <c r="AE54" s="25">
        <f t="shared" si="113"/>
        <v>388.43269779543402</v>
      </c>
      <c r="AF54" s="25">
        <f t="shared" si="113"/>
        <v>391.96789384403274</v>
      </c>
      <c r="AG54" s="25">
        <f t="shared" si="113"/>
        <v>391.2345987080659</v>
      </c>
      <c r="AH54" s="25">
        <f t="shared" si="113"/>
        <v>403.67839149136955</v>
      </c>
      <c r="AI54" s="25">
        <f t="shared" si="113"/>
        <v>402.9452690709893</v>
      </c>
      <c r="AJ54" s="25">
        <f t="shared" si="113"/>
        <v>406.62391552906888</v>
      </c>
      <c r="AK54" s="25">
        <f t="shared" si="113"/>
        <v>405.87459199735781</v>
      </c>
      <c r="AL54" s="25">
        <f t="shared" si="113"/>
        <v>416.11021134807299</v>
      </c>
      <c r="AM54" s="25">
        <f t="shared" si="113"/>
        <v>419.97631603883929</v>
      </c>
      <c r="AN54" s="25">
        <f t="shared" si="113"/>
        <v>423.81736195217007</v>
      </c>
      <c r="AO54" s="25">
        <f t="shared" si="113"/>
        <v>423.04328351342559</v>
      </c>
      <c r="AP54" s="25">
        <f t="shared" si="113"/>
        <v>432.18328526630467</v>
      </c>
      <c r="AQ54" s="25">
        <f t="shared" si="113"/>
        <v>436.20727767096639</v>
      </c>
      <c r="AR54" s="25">
        <f t="shared" si="113"/>
        <v>440.20552631485879</v>
      </c>
      <c r="AS54" s="25">
        <f t="shared" si="113"/>
        <v>439.41028839093855</v>
      </c>
      <c r="AT54" s="25">
        <f t="shared" si="113"/>
        <v>448.5669946944206</v>
      </c>
      <c r="AU54" s="25">
        <f t="shared" si="113"/>
        <v>452.75180876873617</v>
      </c>
      <c r="AV54" s="25">
        <f t="shared" si="113"/>
        <v>456.9101769743649</v>
      </c>
      <c r="AW54" s="25">
        <f t="shared" si="113"/>
        <v>456.09325057813948</v>
      </c>
      <c r="AX54" s="25">
        <f t="shared" si="113"/>
        <v>469.14452806827398</v>
      </c>
      <c r="AY54" s="25">
        <f t="shared" si="113"/>
        <v>468.32799467346081</v>
      </c>
      <c r="AZ54" s="25">
        <f t="shared" si="113"/>
        <v>472.63987836644333</v>
      </c>
      <c r="BA54" s="25">
        <f t="shared" si="113"/>
        <v>471.80530057949773</v>
      </c>
      <c r="BB54" s="25">
        <f t="shared" si="113"/>
        <v>482.28905495070035</v>
      </c>
      <c r="BC54" s="25">
        <f t="shared" si="113"/>
        <v>486.80451476280746</v>
      </c>
      <c r="BD54" s="25">
        <f t="shared" si="113"/>
        <v>491.29207139348233</v>
      </c>
      <c r="BE54" s="25">
        <f t="shared" si="113"/>
        <v>490.43012786192804</v>
      </c>
      <c r="BF54" s="25">
        <f t="shared" si="113"/>
        <v>499.63899643972957</v>
      </c>
      <c r="BG54" s="25">
        <f t="shared" si="113"/>
        <v>504.32438224910766</v>
      </c>
      <c r="BH54" s="25">
        <f t="shared" si="113"/>
        <v>508.98110878361962</v>
      </c>
      <c r="BI54" s="25">
        <f t="shared" si="113"/>
        <v>508.09580913956955</v>
      </c>
      <c r="BJ54" s="25">
        <f t="shared" si="113"/>
        <v>517.3227565660452</v>
      </c>
      <c r="BK54" s="25">
        <f t="shared" si="113"/>
        <v>522.18120619040428</v>
      </c>
      <c r="BL54" s="25">
        <f t="shared" si="113"/>
        <v>527.01022154412749</v>
      </c>
      <c r="BM54" s="25">
        <f t="shared" si="113"/>
        <v>526.100981884769</v>
      </c>
      <c r="BN54" s="25">
        <f t="shared" si="113"/>
        <v>539.80818097773829</v>
      </c>
      <c r="BO54" s="25">
        <f t="shared" si="113"/>
        <v>538.89957747412745</v>
      </c>
      <c r="BP54" s="25">
        <f t="shared" si="113"/>
        <v>543.89286832010987</v>
      </c>
      <c r="BQ54" s="25">
        <f t="shared" si="113"/>
        <v>542.96418578725593</v>
      </c>
      <c r="BR54" s="25">
        <f t="shared" si="113"/>
        <v>553.71591562373317</v>
      </c>
      <c r="BS54" s="25">
        <f t="shared" si="113"/>
        <v>558.93011754512315</v>
      </c>
      <c r="BT54" s="25">
        <f t="shared" si="113"/>
        <v>564.1132765952832</v>
      </c>
      <c r="BU54" s="25">
        <f t="shared" si="113"/>
        <v>563.15434644164998</v>
      </c>
      <c r="BV54" s="25">
        <f t="shared" ref="BV54:EG54" si="114">SUM(BV50,BV53)</f>
        <v>572.43763809562108</v>
      </c>
      <c r="BW54" s="25">
        <f t="shared" si="114"/>
        <v>577.83463578330338</v>
      </c>
      <c r="BX54" s="25">
        <f t="shared" si="114"/>
        <v>583.19975601407646</v>
      </c>
      <c r="BY54" s="25">
        <f t="shared" si="114"/>
        <v>582.21504508239559</v>
      </c>
      <c r="BZ54" s="25">
        <f t="shared" si="114"/>
        <v>591.51782799213061</v>
      </c>
      <c r="CA54" s="25">
        <f t="shared" si="114"/>
        <v>597.10097383318282</v>
      </c>
      <c r="CB54" s="25">
        <f t="shared" si="114"/>
        <v>602.65138676700485</v>
      </c>
      <c r="CC54" s="25">
        <f t="shared" si="114"/>
        <v>601.64025053782439</v>
      </c>
      <c r="CD54" s="25">
        <f t="shared" si="114"/>
        <v>616.05515011879118</v>
      </c>
      <c r="CE54" s="25">
        <f t="shared" si="114"/>
        <v>615.04491844224776</v>
      </c>
      <c r="CF54" s="25">
        <f t="shared" si="114"/>
        <v>620.77109724528816</v>
      </c>
      <c r="CG54" s="25">
        <f t="shared" si="114"/>
        <v>619.73854068083187</v>
      </c>
      <c r="CH54" s="25">
        <f t="shared" si="114"/>
        <v>630.77929660554264</v>
      </c>
      <c r="CI54" s="25">
        <f t="shared" si="114"/>
        <v>636.74501786809344</v>
      </c>
      <c r="CJ54" s="25">
        <f t="shared" si="114"/>
        <v>642.67623062934194</v>
      </c>
      <c r="CK54" s="25">
        <f t="shared" si="114"/>
        <v>641.61024539204004</v>
      </c>
      <c r="CL54" s="25">
        <f t="shared" si="114"/>
        <v>650.97365899342083</v>
      </c>
      <c r="CM54" s="25">
        <f t="shared" si="114"/>
        <v>657.13592017680867</v>
      </c>
      <c r="CN54" s="25">
        <f t="shared" si="114"/>
        <v>663.26275163246373</v>
      </c>
      <c r="CO54" s="25">
        <f t="shared" si="114"/>
        <v>662.16830924002238</v>
      </c>
      <c r="CP54" s="25">
        <f t="shared" si="114"/>
        <v>671.55265771471966</v>
      </c>
      <c r="CQ54" s="25">
        <f t="shared" si="114"/>
        <v>677.9150365088957</v>
      </c>
      <c r="CR54" s="25">
        <f t="shared" si="114"/>
        <v>684.24104131824765</v>
      </c>
      <c r="CS54" s="25">
        <f t="shared" si="114"/>
        <v>683.11743034178812</v>
      </c>
      <c r="CT54" s="25">
        <f t="shared" si="114"/>
        <v>698.29532315812264</v>
      </c>
      <c r="CU54" s="25">
        <f t="shared" si="114"/>
        <v>697.17291299424573</v>
      </c>
      <c r="CV54" s="25">
        <f t="shared" si="114"/>
        <v>703.68693973683912</v>
      </c>
      <c r="CW54" s="25">
        <f t="shared" si="114"/>
        <v>702.53972567729841</v>
      </c>
      <c r="CX54" s="25">
        <f t="shared" si="114"/>
        <v>713.89180593278297</v>
      </c>
      <c r="CY54" s="25">
        <f t="shared" si="114"/>
        <v>720.66538566504221</v>
      </c>
      <c r="CZ54" s="25">
        <f t="shared" si="114"/>
        <v>727.4006314888527</v>
      </c>
      <c r="DA54" s="25">
        <f t="shared" si="114"/>
        <v>726.21647747019006</v>
      </c>
      <c r="DB54" s="25">
        <f t="shared" si="114"/>
        <v>735.66582424143473</v>
      </c>
      <c r="DC54" s="25">
        <f t="shared" si="114"/>
        <v>742.65060528058063</v>
      </c>
      <c r="DD54" s="25">
        <f t="shared" si="114"/>
        <v>749.59603554966861</v>
      </c>
      <c r="DE54" s="25">
        <f t="shared" si="114"/>
        <v>748.38047015633197</v>
      </c>
      <c r="DF54" s="25">
        <f t="shared" si="114"/>
        <v>757.85221788732952</v>
      </c>
      <c r="DG54" s="25">
        <f t="shared" si="114"/>
        <v>765.05201387580667</v>
      </c>
      <c r="DH54" s="25">
        <f t="shared" si="114"/>
        <v>772.21141681107611</v>
      </c>
      <c r="DI54" s="25">
        <f t="shared" si="114"/>
        <v>770.96365475869925</v>
      </c>
      <c r="DJ54" s="25">
        <f t="shared" si="114"/>
        <v>786.96351896130113</v>
      </c>
      <c r="DK54" s="25">
        <f t="shared" si="114"/>
        <v>785.71728473705411</v>
      </c>
      <c r="DL54" s="25">
        <f t="shared" si="114"/>
        <v>793.07776613266424</v>
      </c>
      <c r="DM54" s="25">
        <f t="shared" si="114"/>
        <v>791.80399165204267</v>
      </c>
      <c r="DN54" s="25">
        <f t="shared" si="114"/>
        <v>803.49097427339825</v>
      </c>
      <c r="DO54" s="25">
        <f t="shared" si="114"/>
        <v>811.13248425580093</v>
      </c>
      <c r="DP54" s="25">
        <f t="shared" si="114"/>
        <v>818.73143779603379</v>
      </c>
      <c r="DQ54" s="25">
        <f t="shared" si="114"/>
        <v>817.41684755323604</v>
      </c>
      <c r="DR54" s="25">
        <f t="shared" si="114"/>
        <v>826.95801297762387</v>
      </c>
      <c r="DS54" s="25">
        <f t="shared" si="114"/>
        <v>834.8263452030227</v>
      </c>
      <c r="DT54" s="25">
        <f t="shared" si="114"/>
        <v>842.65099856129973</v>
      </c>
      <c r="DU54" s="25">
        <f t="shared" si="114"/>
        <v>841.30173603822436</v>
      </c>
      <c r="DV54" s="25">
        <f t="shared" si="114"/>
        <v>850.86678008477043</v>
      </c>
      <c r="DW54" s="25">
        <f t="shared" si="114"/>
        <v>858.96599458074422</v>
      </c>
      <c r="DX54" s="25">
        <f t="shared" si="114"/>
        <v>867.02037972401968</v>
      </c>
      <c r="DY54" s="25">
        <f t="shared" si="114"/>
        <v>865.63557811366013</v>
      </c>
      <c r="DZ54" s="25">
        <f t="shared" si="114"/>
        <v>882.52024654537831</v>
      </c>
      <c r="EA54" s="25">
        <f t="shared" si="114"/>
        <v>881.13733372712591</v>
      </c>
      <c r="EB54" s="25">
        <f t="shared" si="114"/>
        <v>889.40668806542772</v>
      </c>
      <c r="EC54" s="25">
        <f t="shared" si="114"/>
        <v>887.99321456057464</v>
      </c>
      <c r="ED54" s="25">
        <f t="shared" si="114"/>
        <v>900.03998278263748</v>
      </c>
      <c r="EE54" s="25">
        <f t="shared" si="114"/>
        <v>908.61339526892914</v>
      </c>
      <c r="EF54" s="25">
        <f t="shared" si="114"/>
        <v>917.13959042589909</v>
      </c>
      <c r="EG54" s="25">
        <f t="shared" si="114"/>
        <v>1004.6184659198962</v>
      </c>
      <c r="EH54" s="25">
        <f t="shared" ref="EH54:FM54" si="115">SUM(EH50,EH53)</f>
        <v>1183.5253990614274</v>
      </c>
      <c r="EI54" s="25">
        <f t="shared" si="115"/>
        <v>1195.2112052684445</v>
      </c>
      <c r="EJ54" s="25">
        <f t="shared" si="115"/>
        <v>1206.8485551990084</v>
      </c>
      <c r="EK54" s="25">
        <f t="shared" si="115"/>
        <v>1205.351716060688</v>
      </c>
      <c r="EL54" s="25">
        <f t="shared" si="115"/>
        <v>1209.2780675930053</v>
      </c>
      <c r="EM54" s="25">
        <f t="shared" si="115"/>
        <v>1221.2116342176073</v>
      </c>
      <c r="EN54" s="25">
        <f t="shared" si="115"/>
        <v>1233.0954746449474</v>
      </c>
      <c r="EO54" s="25">
        <f t="shared" si="115"/>
        <v>1231.559407003962</v>
      </c>
      <c r="EP54" s="25">
        <f t="shared" si="115"/>
        <v>1245.8134640343101</v>
      </c>
      <c r="EQ54" s="25">
        <f t="shared" si="115"/>
        <v>1244.2796836221216</v>
      </c>
      <c r="ER54" s="25">
        <f t="shared" si="115"/>
        <v>1256.38541165024</v>
      </c>
      <c r="ES54" s="25">
        <f t="shared" si="115"/>
        <v>1254.817736561632</v>
      </c>
      <c r="ET54" s="25">
        <f t="shared" si="115"/>
        <v>1262.2337529386964</v>
      </c>
      <c r="EU54" s="25">
        <f t="shared" si="115"/>
        <v>1274.6760528658813</v>
      </c>
      <c r="EV54" s="25">
        <f t="shared" si="115"/>
        <v>1287.0659907164236</v>
      </c>
      <c r="EW54" s="25">
        <f t="shared" si="115"/>
        <v>1285.4484994145935</v>
      </c>
      <c r="EX54" s="25">
        <f t="shared" si="115"/>
        <v>1289.4531094439558</v>
      </c>
      <c r="EY54" s="25">
        <f t="shared" si="115"/>
        <v>1302.1565152331377</v>
      </c>
      <c r="EZ54" s="25">
        <f t="shared" si="115"/>
        <v>1314.8061913798647</v>
      </c>
      <c r="FA54" s="25">
        <f t="shared" si="115"/>
        <v>1313.1464552712819</v>
      </c>
      <c r="FB54" s="25">
        <f t="shared" si="115"/>
        <v>0</v>
      </c>
      <c r="FC54" s="25">
        <f t="shared" si="115"/>
        <v>0</v>
      </c>
      <c r="FD54" s="25">
        <f t="shared" si="115"/>
        <v>0</v>
      </c>
      <c r="FE54" s="25">
        <f t="shared" si="115"/>
        <v>0</v>
      </c>
      <c r="FF54" s="25">
        <f t="shared" si="115"/>
        <v>0</v>
      </c>
      <c r="FG54" s="25">
        <f t="shared" si="115"/>
        <v>0</v>
      </c>
      <c r="FH54" s="25">
        <f t="shared" si="115"/>
        <v>0</v>
      </c>
      <c r="FI54" s="25">
        <f t="shared" si="115"/>
        <v>0</v>
      </c>
      <c r="FJ54" s="25">
        <f t="shared" si="115"/>
        <v>0</v>
      </c>
      <c r="FK54" s="25">
        <f t="shared" si="115"/>
        <v>0</v>
      </c>
      <c r="FL54" s="25">
        <f t="shared" si="115"/>
        <v>0</v>
      </c>
      <c r="FM54" s="25">
        <f t="shared" si="115"/>
        <v>0</v>
      </c>
    </row>
    <row r="55" spans="2:169" x14ac:dyDescent="0.25">
      <c r="I55" s="25"/>
    </row>
    <row r="56" spans="2:169" x14ac:dyDescent="0.25">
      <c r="B56" t="s">
        <v>57</v>
      </c>
      <c r="C56" t="s">
        <v>94</v>
      </c>
      <c r="H56" s="31">
        <f t="shared" ref="H56:H57" si="116">SUM(I56:FM56)</f>
        <v>-8771.0415712647846</v>
      </c>
      <c r="I56" s="25">
        <f>-1 * MAX(I110, 0)</f>
        <v>0</v>
      </c>
      <c r="J56" s="25">
        <f t="shared" ref="J56:BU56" si="117">-1 * MAX(J110, 0)</f>
        <v>0</v>
      </c>
      <c r="K56" s="25">
        <f t="shared" si="117"/>
        <v>0</v>
      </c>
      <c r="L56" s="25">
        <f t="shared" si="117"/>
        <v>0</v>
      </c>
      <c r="M56" s="25">
        <f t="shared" si="117"/>
        <v>0</v>
      </c>
      <c r="N56" s="25">
        <f t="shared" si="117"/>
        <v>0</v>
      </c>
      <c r="O56" s="25">
        <f t="shared" si="117"/>
        <v>0</v>
      </c>
      <c r="P56" s="25">
        <f t="shared" si="117"/>
        <v>0</v>
      </c>
      <c r="Q56" s="25">
        <f t="shared" si="117"/>
        <v>-8.2962842763115141</v>
      </c>
      <c r="R56" s="25">
        <f t="shared" si="117"/>
        <v>-30.569442843144095</v>
      </c>
      <c r="S56" s="25">
        <f t="shared" si="117"/>
        <v>-30.510580803682803</v>
      </c>
      <c r="T56" s="25">
        <f t="shared" si="117"/>
        <v>-30.785699092673831</v>
      </c>
      <c r="U56" s="25">
        <f t="shared" si="117"/>
        <v>-30.725536273932082</v>
      </c>
      <c r="V56" s="25">
        <f t="shared" si="117"/>
        <v>-31.933269173556692</v>
      </c>
      <c r="W56" s="25">
        <f t="shared" si="117"/>
        <v>-32.22693172016043</v>
      </c>
      <c r="X56" s="25">
        <f t="shared" si="117"/>
        <v>-32.518570896862123</v>
      </c>
      <c r="Y56" s="25">
        <f t="shared" si="117"/>
        <v>-32.456067966748847</v>
      </c>
      <c r="Z56" s="25">
        <f t="shared" si="117"/>
        <v>-33.272955214744478</v>
      </c>
      <c r="AA56" s="25">
        <f t="shared" si="117"/>
        <v>-33.579815212984606</v>
      </c>
      <c r="AB56" s="25">
        <f t="shared" si="117"/>
        <v>-33.884595990824337</v>
      </c>
      <c r="AC56" s="25">
        <f t="shared" si="117"/>
        <v>-33.820367810279578</v>
      </c>
      <c r="AD56" s="25">
        <f t="shared" si="117"/>
        <v>-34.638638690053952</v>
      </c>
      <c r="AE56" s="25">
        <f t="shared" si="117"/>
        <v>-34.95894280158906</v>
      </c>
      <c r="AF56" s="25">
        <f t="shared" si="117"/>
        <v>-35.277110445962947</v>
      </c>
      <c r="AG56" s="25">
        <f t="shared" si="117"/>
        <v>-35.211113883725929</v>
      </c>
      <c r="AH56" s="25">
        <f t="shared" si="117"/>
        <v>-36.331055234223257</v>
      </c>
      <c r="AI56" s="25">
        <f t="shared" si="117"/>
        <v>-36.265074216389038</v>
      </c>
      <c r="AJ56" s="25">
        <f t="shared" si="117"/>
        <v>-36.596152397616201</v>
      </c>
      <c r="AK56" s="25">
        <f t="shared" si="117"/>
        <v>-36.528713279762201</v>
      </c>
      <c r="AL56" s="25">
        <f t="shared" si="117"/>
        <v>-37.449919021326565</v>
      </c>
      <c r="AM56" s="25">
        <f t="shared" si="117"/>
        <v>-37.797868443495531</v>
      </c>
      <c r="AN56" s="25">
        <f t="shared" si="117"/>
        <v>-38.143562575695306</v>
      </c>
      <c r="AO56" s="25">
        <f t="shared" si="117"/>
        <v>-38.073895516208303</v>
      </c>
      <c r="AP56" s="25">
        <f t="shared" si="117"/>
        <v>-38.896495673967415</v>
      </c>
      <c r="AQ56" s="25">
        <f t="shared" si="117"/>
        <v>-39.258654990386972</v>
      </c>
      <c r="AR56" s="25">
        <f t="shared" si="117"/>
        <v>-39.618497368337287</v>
      </c>
      <c r="AS56" s="25">
        <f t="shared" si="117"/>
        <v>-39.54692595518447</v>
      </c>
      <c r="AT56" s="25">
        <f t="shared" si="117"/>
        <v>-40.371029522497849</v>
      </c>
      <c r="AU56" s="25">
        <f t="shared" si="117"/>
        <v>-40.747662789186251</v>
      </c>
      <c r="AV56" s="25">
        <f t="shared" si="117"/>
        <v>-41.121915927692839</v>
      </c>
      <c r="AW56" s="25">
        <f t="shared" si="117"/>
        <v>-41.048392552032553</v>
      </c>
      <c r="AX56" s="25">
        <f t="shared" si="117"/>
        <v>-42.223007526144656</v>
      </c>
      <c r="AY56" s="25">
        <f t="shared" si="117"/>
        <v>-42.14951952061147</v>
      </c>
      <c r="AZ56" s="25">
        <f t="shared" si="117"/>
        <v>-42.537589052979897</v>
      </c>
      <c r="BA56" s="25">
        <f t="shared" si="117"/>
        <v>-42.462477052154796</v>
      </c>
      <c r="BB56" s="25">
        <f t="shared" si="117"/>
        <v>-43.40601494556303</v>
      </c>
      <c r="BC56" s="25">
        <f t="shared" si="117"/>
        <v>-43.812406328652671</v>
      </c>
      <c r="BD56" s="25">
        <f t="shared" si="117"/>
        <v>-44.216286425413408</v>
      </c>
      <c r="BE56" s="25">
        <f t="shared" si="117"/>
        <v>-44.138711507573525</v>
      </c>
      <c r="BF56" s="25">
        <f t="shared" si="117"/>
        <v>-44.967509679575656</v>
      </c>
      <c r="BG56" s="25">
        <f t="shared" si="117"/>
        <v>-45.38919440241969</v>
      </c>
      <c r="BH56" s="25">
        <f t="shared" si="117"/>
        <v>-45.808299790525766</v>
      </c>
      <c r="BI56" s="25">
        <f t="shared" si="117"/>
        <v>-45.728622822561256</v>
      </c>
      <c r="BJ56" s="25">
        <f t="shared" si="117"/>
        <v>-46.559048090944067</v>
      </c>
      <c r="BK56" s="25">
        <f t="shared" si="117"/>
        <v>-46.996308557136381</v>
      </c>
      <c r="BL56" s="25">
        <f t="shared" si="117"/>
        <v>-47.430919938971471</v>
      </c>
      <c r="BM56" s="25">
        <f t="shared" si="117"/>
        <v>-47.349088369629207</v>
      </c>
      <c r="BN56" s="25">
        <f t="shared" si="117"/>
        <v>-48.582736287996447</v>
      </c>
      <c r="BO56" s="25">
        <f t="shared" si="117"/>
        <v>-48.500961972671469</v>
      </c>
      <c r="BP56" s="25">
        <f t="shared" si="117"/>
        <v>-48.950358148809883</v>
      </c>
      <c r="BQ56" s="25">
        <f t="shared" si="117"/>
        <v>-48.866776720853032</v>
      </c>
      <c r="BR56" s="25">
        <f t="shared" si="117"/>
        <v>-49.834432406135981</v>
      </c>
      <c r="BS56" s="25">
        <f t="shared" si="117"/>
        <v>-50.303710579061082</v>
      </c>
      <c r="BT56" s="25">
        <f t="shared" si="117"/>
        <v>-50.770194893575486</v>
      </c>
      <c r="BU56" s="25">
        <f t="shared" si="117"/>
        <v>-50.683891179748493</v>
      </c>
      <c r="BV56" s="25">
        <f t="shared" ref="BV56:EG56" si="118">-1 * MAX(BV110, 0)</f>
        <v>-51.519387428605896</v>
      </c>
      <c r="BW56" s="25">
        <f t="shared" si="118"/>
        <v>-52.005117220497304</v>
      </c>
      <c r="BX56" s="25">
        <f t="shared" si="118"/>
        <v>-52.487978041266878</v>
      </c>
      <c r="BY56" s="25">
        <f t="shared" si="118"/>
        <v>-52.3993540574156</v>
      </c>
      <c r="BZ56" s="25">
        <f t="shared" si="118"/>
        <v>-53.236604519291753</v>
      </c>
      <c r="CA56" s="25">
        <f t="shared" si="118"/>
        <v>-53.739087644986455</v>
      </c>
      <c r="CB56" s="25">
        <f t="shared" si="118"/>
        <v>-54.238624809030433</v>
      </c>
      <c r="CC56" s="25">
        <f t="shared" si="118"/>
        <v>-54.147622548404193</v>
      </c>
      <c r="CD56" s="25">
        <f t="shared" si="118"/>
        <v>-55.444963510691203</v>
      </c>
      <c r="CE56" s="25">
        <f t="shared" si="118"/>
        <v>-55.354042659802296</v>
      </c>
      <c r="CF56" s="25">
        <f t="shared" si="118"/>
        <v>-55.869398752075931</v>
      </c>
      <c r="CG56" s="25">
        <f t="shared" si="118"/>
        <v>-55.776468661274869</v>
      </c>
      <c r="CH56" s="25">
        <f t="shared" si="118"/>
        <v>-56.770136694498838</v>
      </c>
      <c r="CI56" s="25">
        <f t="shared" si="118"/>
        <v>-57.307051608128411</v>
      </c>
      <c r="CJ56" s="25">
        <f t="shared" si="118"/>
        <v>-57.840860756640772</v>
      </c>
      <c r="CK56" s="25">
        <f t="shared" si="118"/>
        <v>-57.744922085283605</v>
      </c>
      <c r="CL56" s="25">
        <f t="shared" si="118"/>
        <v>-58.587629309407873</v>
      </c>
      <c r="CM56" s="25">
        <f t="shared" si="118"/>
        <v>-59.142232815912777</v>
      </c>
      <c r="CN56" s="25">
        <f t="shared" si="118"/>
        <v>-59.693647646921733</v>
      </c>
      <c r="CO56" s="25">
        <f t="shared" si="118"/>
        <v>-59.595147831602013</v>
      </c>
      <c r="CP56" s="25">
        <f t="shared" si="118"/>
        <v>-60.439739194324765</v>
      </c>
      <c r="CQ56" s="25">
        <f t="shared" si="118"/>
        <v>-61.012353285800607</v>
      </c>
      <c r="CR56" s="25">
        <f t="shared" si="118"/>
        <v>-61.581693718642285</v>
      </c>
      <c r="CS56" s="25">
        <f t="shared" si="118"/>
        <v>-61.480568730760929</v>
      </c>
      <c r="CT56" s="25">
        <f t="shared" si="118"/>
        <v>-62.846579084231038</v>
      </c>
      <c r="CU56" s="25">
        <f t="shared" si="118"/>
        <v>-62.745562169482113</v>
      </c>
      <c r="CV56" s="25">
        <f t="shared" si="118"/>
        <v>-63.331824576315519</v>
      </c>
      <c r="CW56" s="25">
        <f t="shared" si="118"/>
        <v>-63.228575310956856</v>
      </c>
      <c r="CX56" s="25">
        <f t="shared" si="118"/>
        <v>-64.250262533950462</v>
      </c>
      <c r="CY56" s="25">
        <f t="shared" si="118"/>
        <v>-64.859884709853802</v>
      </c>
      <c r="CZ56" s="25">
        <f t="shared" si="118"/>
        <v>-65.466056833996745</v>
      </c>
      <c r="DA56" s="25">
        <f t="shared" si="118"/>
        <v>-65.359482972317096</v>
      </c>
      <c r="DB56" s="25">
        <f t="shared" si="118"/>
        <v>-66.209924181729122</v>
      </c>
      <c r="DC56" s="25">
        <f t="shared" si="118"/>
        <v>-66.838554475252252</v>
      </c>
      <c r="DD56" s="25">
        <f t="shared" si="118"/>
        <v>-67.46364319947017</v>
      </c>
      <c r="DE56" s="25">
        <f t="shared" si="118"/>
        <v>-67.354242314069879</v>
      </c>
      <c r="DF56" s="25">
        <f t="shared" si="118"/>
        <v>-68.206699609859655</v>
      </c>
      <c r="DG56" s="25">
        <f t="shared" si="118"/>
        <v>-68.854681248822601</v>
      </c>
      <c r="DH56" s="25">
        <f t="shared" si="118"/>
        <v>-69.499027512996847</v>
      </c>
      <c r="DI56" s="25">
        <f t="shared" si="118"/>
        <v>-69.386728928282935</v>
      </c>
      <c r="DJ56" s="25">
        <f t="shared" si="118"/>
        <v>-70.826716706517104</v>
      </c>
      <c r="DK56" s="25">
        <f t="shared" si="118"/>
        <v>-70.714555626334871</v>
      </c>
      <c r="DL56" s="25">
        <f t="shared" si="118"/>
        <v>-71.376998951939783</v>
      </c>
      <c r="DM56" s="25">
        <f t="shared" si="118"/>
        <v>-71.262359248683836</v>
      </c>
      <c r="DN56" s="25">
        <f t="shared" si="118"/>
        <v>-72.314187684605841</v>
      </c>
      <c r="DO56" s="25">
        <f t="shared" si="118"/>
        <v>-73.001923583022077</v>
      </c>
      <c r="DP56" s="25">
        <f t="shared" si="118"/>
        <v>-73.685829401643034</v>
      </c>
      <c r="DQ56" s="25">
        <f t="shared" si="118"/>
        <v>-73.567516279791235</v>
      </c>
      <c r="DR56" s="25">
        <f t="shared" si="118"/>
        <v>-74.426221167986142</v>
      </c>
      <c r="DS56" s="25">
        <f t="shared" si="118"/>
        <v>-75.134371068272046</v>
      </c>
      <c r="DT56" s="25">
        <f t="shared" si="118"/>
        <v>-75.838589870516969</v>
      </c>
      <c r="DU56" s="25">
        <f t="shared" si="118"/>
        <v>-75.717156243440186</v>
      </c>
      <c r="DV56" s="25">
        <f t="shared" si="118"/>
        <v>-76.578010207629333</v>
      </c>
      <c r="DW56" s="25">
        <f t="shared" si="118"/>
        <v>-77.306939512266979</v>
      </c>
      <c r="DX56" s="25">
        <f t="shared" si="118"/>
        <v>-78.031834175161762</v>
      </c>
      <c r="DY56" s="25">
        <f t="shared" si="118"/>
        <v>-77.907202030229413</v>
      </c>
      <c r="DZ56" s="25">
        <f t="shared" si="118"/>
        <v>-79.426822189084049</v>
      </c>
      <c r="EA56" s="25">
        <f t="shared" si="118"/>
        <v>-79.302360035441325</v>
      </c>
      <c r="EB56" s="25">
        <f t="shared" si="118"/>
        <v>-80.046601925888496</v>
      </c>
      <c r="EC56" s="25">
        <f t="shared" si="118"/>
        <v>-79.91938931045172</v>
      </c>
      <c r="ED56" s="25">
        <f t="shared" si="118"/>
        <v>-81.003598450437366</v>
      </c>
      <c r="EE56" s="25">
        <f t="shared" si="118"/>
        <v>-81.775205574203625</v>
      </c>
      <c r="EF56" s="25">
        <f t="shared" si="118"/>
        <v>-82.54256313833092</v>
      </c>
      <c r="EG56" s="25">
        <f t="shared" si="118"/>
        <v>-90.415661932790655</v>
      </c>
      <c r="EH56" s="25">
        <f t="shared" ref="EH56:FM56" si="119">-1 * MAX(EH110, 0)</f>
        <v>-106.51728591552846</v>
      </c>
      <c r="EI56" s="25">
        <f t="shared" si="119"/>
        <v>-107.56900847416</v>
      </c>
      <c r="EJ56" s="25">
        <f t="shared" si="119"/>
        <v>-108.61636996791076</v>
      </c>
      <c r="EK56" s="25">
        <f t="shared" si="119"/>
        <v>-108.48165444546191</v>
      </c>
      <c r="EL56" s="25">
        <f t="shared" si="119"/>
        <v>-108.83502608337047</v>
      </c>
      <c r="EM56" s="25">
        <f t="shared" si="119"/>
        <v>-109.90904707958465</v>
      </c>
      <c r="EN56" s="25">
        <f t="shared" si="119"/>
        <v>-110.97859271804526</v>
      </c>
      <c r="EO56" s="25">
        <f t="shared" si="119"/>
        <v>-110.84034663035658</v>
      </c>
      <c r="EP56" s="25">
        <f t="shared" si="119"/>
        <v>-112.12321176308791</v>
      </c>
      <c r="EQ56" s="25">
        <f t="shared" si="119"/>
        <v>-111.98517152599095</v>
      </c>
      <c r="ER56" s="25">
        <f t="shared" si="119"/>
        <v>-113.0746870485216</v>
      </c>
      <c r="ES56" s="25">
        <f t="shared" si="119"/>
        <v>-112.93359629054687</v>
      </c>
      <c r="ET56" s="25">
        <f t="shared" si="119"/>
        <v>-113.60103776448267</v>
      </c>
      <c r="EU56" s="25">
        <f t="shared" si="119"/>
        <v>-114.72084475792931</v>
      </c>
      <c r="EV56" s="25">
        <f t="shared" si="119"/>
        <v>-115.83593916447812</v>
      </c>
      <c r="EW56" s="25">
        <f t="shared" si="119"/>
        <v>-115.69036494731341</v>
      </c>
      <c r="EX56" s="25">
        <f t="shared" si="119"/>
        <v>-116.05077984995602</v>
      </c>
      <c r="EY56" s="25">
        <f t="shared" si="119"/>
        <v>-117.19408637098239</v>
      </c>
      <c r="EZ56" s="25">
        <f t="shared" si="119"/>
        <v>-118.33255722418782</v>
      </c>
      <c r="FA56" s="25">
        <f t="shared" si="119"/>
        <v>-118.18318097441536</v>
      </c>
      <c r="FB56" s="25">
        <f t="shared" si="119"/>
        <v>0</v>
      </c>
      <c r="FC56" s="25">
        <f t="shared" si="119"/>
        <v>0</v>
      </c>
      <c r="FD56" s="25">
        <f t="shared" si="119"/>
        <v>0</v>
      </c>
      <c r="FE56" s="25">
        <f t="shared" si="119"/>
        <v>0</v>
      </c>
      <c r="FF56" s="25">
        <f t="shared" si="119"/>
        <v>0</v>
      </c>
      <c r="FG56" s="25">
        <f t="shared" si="119"/>
        <v>0</v>
      </c>
      <c r="FH56" s="25">
        <f t="shared" si="119"/>
        <v>0</v>
      </c>
      <c r="FI56" s="25">
        <f t="shared" si="119"/>
        <v>0</v>
      </c>
      <c r="FJ56" s="25">
        <f t="shared" si="119"/>
        <v>0</v>
      </c>
      <c r="FK56" s="25">
        <f t="shared" si="119"/>
        <v>0</v>
      </c>
      <c r="FL56" s="25">
        <f t="shared" si="119"/>
        <v>0</v>
      </c>
      <c r="FM56" s="25">
        <f t="shared" si="119"/>
        <v>0</v>
      </c>
    </row>
    <row r="57" spans="2:169" x14ac:dyDescent="0.25">
      <c r="B57" s="29" t="s">
        <v>108</v>
      </c>
      <c r="C57" s="29" t="s">
        <v>94</v>
      </c>
      <c r="D57" s="29"/>
      <c r="E57" s="29"/>
      <c r="F57" s="29"/>
      <c r="G57" s="29"/>
      <c r="H57" s="32">
        <f t="shared" si="116"/>
        <v>88549.624173216347</v>
      </c>
      <c r="I57" s="30">
        <f>SUM(I54,I56)</f>
        <v>0</v>
      </c>
      <c r="J57" s="30">
        <f t="shared" ref="J57:BU57" si="120">SUM(J54,J56)</f>
        <v>0</v>
      </c>
      <c r="K57" s="30">
        <f t="shared" si="120"/>
        <v>-8.4469479452054799</v>
      </c>
      <c r="L57" s="30">
        <f t="shared" si="120"/>
        <v>-25.068361643835619</v>
      </c>
      <c r="M57" s="30">
        <f t="shared" si="120"/>
        <v>-25.068361643835619</v>
      </c>
      <c r="N57" s="30">
        <f t="shared" si="120"/>
        <v>-25.308145972602741</v>
      </c>
      <c r="O57" s="30">
        <f t="shared" si="120"/>
        <v>-25.58934759452055</v>
      </c>
      <c r="P57" s="30">
        <f t="shared" si="120"/>
        <v>-25.870549216438359</v>
      </c>
      <c r="Q57" s="30">
        <f t="shared" si="120"/>
        <v>83.884652127149764</v>
      </c>
      <c r="R57" s="30">
        <f t="shared" si="120"/>
        <v>309.0910331917903</v>
      </c>
      <c r="S57" s="30">
        <f t="shared" si="120"/>
        <v>308.49587257057061</v>
      </c>
      <c r="T57" s="30">
        <f t="shared" si="120"/>
        <v>311.27762415925764</v>
      </c>
      <c r="U57" s="30">
        <f t="shared" si="120"/>
        <v>310.66931121420214</v>
      </c>
      <c r="V57" s="30">
        <f t="shared" si="120"/>
        <v>322.88083275485099</v>
      </c>
      <c r="W57" s="30">
        <f t="shared" si="120"/>
        <v>325.85008739273326</v>
      </c>
      <c r="X57" s="30">
        <f t="shared" si="120"/>
        <v>328.79888351271705</v>
      </c>
      <c r="Y57" s="30">
        <f t="shared" si="120"/>
        <v>328.1669094415717</v>
      </c>
      <c r="Z57" s="30">
        <f t="shared" si="120"/>
        <v>336.42654717130529</v>
      </c>
      <c r="AA57" s="30">
        <f t="shared" si="120"/>
        <v>339.52924270906658</v>
      </c>
      <c r="AB57" s="30">
        <f t="shared" si="120"/>
        <v>342.61091501833499</v>
      </c>
      <c r="AC57" s="30">
        <f t="shared" si="120"/>
        <v>341.96149674838239</v>
      </c>
      <c r="AD57" s="30">
        <f t="shared" si="120"/>
        <v>350.23512453276777</v>
      </c>
      <c r="AE57" s="30">
        <f t="shared" si="120"/>
        <v>353.47375499384498</v>
      </c>
      <c r="AF57" s="30">
        <f t="shared" si="120"/>
        <v>356.69078339806981</v>
      </c>
      <c r="AG57" s="30">
        <f t="shared" si="120"/>
        <v>356.02348482433996</v>
      </c>
      <c r="AH57" s="30">
        <f t="shared" si="120"/>
        <v>367.34733625714631</v>
      </c>
      <c r="AI57" s="30">
        <f t="shared" si="120"/>
        <v>366.68019485460024</v>
      </c>
      <c r="AJ57" s="30">
        <f t="shared" si="120"/>
        <v>370.02776313145267</v>
      </c>
      <c r="AK57" s="30">
        <f t="shared" si="120"/>
        <v>369.34587871759561</v>
      </c>
      <c r="AL57" s="30">
        <f t="shared" si="120"/>
        <v>378.66029232674646</v>
      </c>
      <c r="AM57" s="30">
        <f t="shared" si="120"/>
        <v>382.17844759534375</v>
      </c>
      <c r="AN57" s="30">
        <f t="shared" si="120"/>
        <v>385.67379937647479</v>
      </c>
      <c r="AO57" s="30">
        <f t="shared" si="120"/>
        <v>384.96938799721727</v>
      </c>
      <c r="AP57" s="30">
        <f t="shared" si="120"/>
        <v>393.28678959233724</v>
      </c>
      <c r="AQ57" s="30">
        <f t="shared" si="120"/>
        <v>396.94862268057943</v>
      </c>
      <c r="AR57" s="30">
        <f t="shared" si="120"/>
        <v>400.58702894652151</v>
      </c>
      <c r="AS57" s="30">
        <f t="shared" si="120"/>
        <v>399.86336243575408</v>
      </c>
      <c r="AT57" s="30">
        <f t="shared" si="120"/>
        <v>408.19596517192275</v>
      </c>
      <c r="AU57" s="30">
        <f t="shared" si="120"/>
        <v>412.00414597954989</v>
      </c>
      <c r="AV57" s="30">
        <f t="shared" si="120"/>
        <v>415.78826104667206</v>
      </c>
      <c r="AW57" s="30">
        <f t="shared" si="120"/>
        <v>415.04485802610691</v>
      </c>
      <c r="AX57" s="30">
        <f t="shared" si="120"/>
        <v>426.92152054212931</v>
      </c>
      <c r="AY57" s="30">
        <f t="shared" si="120"/>
        <v>426.17847515284933</v>
      </c>
      <c r="AZ57" s="30">
        <f t="shared" si="120"/>
        <v>430.10228931346342</v>
      </c>
      <c r="BA57" s="30">
        <f t="shared" si="120"/>
        <v>429.34282352734294</v>
      </c>
      <c r="BB57" s="30">
        <f t="shared" si="120"/>
        <v>438.88304000513733</v>
      </c>
      <c r="BC57" s="30">
        <f t="shared" si="120"/>
        <v>442.99210843415477</v>
      </c>
      <c r="BD57" s="30">
        <f t="shared" si="120"/>
        <v>447.07578496806894</v>
      </c>
      <c r="BE57" s="30">
        <f t="shared" si="120"/>
        <v>446.29141635435451</v>
      </c>
      <c r="BF57" s="30">
        <f t="shared" si="120"/>
        <v>454.67148676015393</v>
      </c>
      <c r="BG57" s="30">
        <f t="shared" si="120"/>
        <v>458.935187846688</v>
      </c>
      <c r="BH57" s="30">
        <f t="shared" si="120"/>
        <v>463.17280899309384</v>
      </c>
      <c r="BI57" s="30">
        <f t="shared" si="120"/>
        <v>462.3671863170083</v>
      </c>
      <c r="BJ57" s="30">
        <f t="shared" si="120"/>
        <v>470.76370847510111</v>
      </c>
      <c r="BK57" s="30">
        <f t="shared" si="120"/>
        <v>475.18489763326789</v>
      </c>
      <c r="BL57" s="30">
        <f t="shared" si="120"/>
        <v>479.57930160515605</v>
      </c>
      <c r="BM57" s="30">
        <f t="shared" si="120"/>
        <v>478.75189351513978</v>
      </c>
      <c r="BN57" s="30">
        <f t="shared" si="120"/>
        <v>491.22544468974183</v>
      </c>
      <c r="BO57" s="30">
        <f t="shared" si="120"/>
        <v>490.39861550145599</v>
      </c>
      <c r="BP57" s="30">
        <f t="shared" si="120"/>
        <v>494.9425101713</v>
      </c>
      <c r="BQ57" s="30">
        <f t="shared" si="120"/>
        <v>494.09740906640292</v>
      </c>
      <c r="BR57" s="30">
        <f t="shared" si="120"/>
        <v>503.88148321759718</v>
      </c>
      <c r="BS57" s="30">
        <f t="shared" si="120"/>
        <v>508.62640696606206</v>
      </c>
      <c r="BT57" s="30">
        <f t="shared" si="120"/>
        <v>513.34308170170766</v>
      </c>
      <c r="BU57" s="30">
        <f t="shared" si="120"/>
        <v>512.47045526190152</v>
      </c>
      <c r="BV57" s="30">
        <f t="shared" ref="BV57:EG57" si="121">SUM(BV54,BV56)</f>
        <v>520.91825066701517</v>
      </c>
      <c r="BW57" s="30">
        <f t="shared" si="121"/>
        <v>525.82951856280613</v>
      </c>
      <c r="BX57" s="30">
        <f t="shared" si="121"/>
        <v>530.71177797280961</v>
      </c>
      <c r="BY57" s="30">
        <f t="shared" si="121"/>
        <v>529.81569102497997</v>
      </c>
      <c r="BZ57" s="30">
        <f t="shared" si="121"/>
        <v>538.28122347283886</v>
      </c>
      <c r="CA57" s="30">
        <f t="shared" si="121"/>
        <v>543.36188618819642</v>
      </c>
      <c r="CB57" s="30">
        <f t="shared" si="121"/>
        <v>548.41276195797445</v>
      </c>
      <c r="CC57" s="30">
        <f t="shared" si="121"/>
        <v>547.49262798942016</v>
      </c>
      <c r="CD57" s="30">
        <f t="shared" si="121"/>
        <v>560.61018660809998</v>
      </c>
      <c r="CE57" s="30">
        <f t="shared" si="121"/>
        <v>559.69087578244546</v>
      </c>
      <c r="CF57" s="30">
        <f t="shared" si="121"/>
        <v>564.90169849321228</v>
      </c>
      <c r="CG57" s="30">
        <f t="shared" si="121"/>
        <v>563.96207201955701</v>
      </c>
      <c r="CH57" s="30">
        <f t="shared" si="121"/>
        <v>574.00915991104375</v>
      </c>
      <c r="CI57" s="30">
        <f t="shared" si="121"/>
        <v>579.43796625996504</v>
      </c>
      <c r="CJ57" s="30">
        <f t="shared" si="121"/>
        <v>584.83536987270122</v>
      </c>
      <c r="CK57" s="30">
        <f t="shared" si="121"/>
        <v>583.86532330675641</v>
      </c>
      <c r="CL57" s="30">
        <f t="shared" si="121"/>
        <v>592.38602968401301</v>
      </c>
      <c r="CM57" s="30">
        <f t="shared" si="121"/>
        <v>597.99368736089593</v>
      </c>
      <c r="CN57" s="30">
        <f t="shared" si="121"/>
        <v>603.56910398554203</v>
      </c>
      <c r="CO57" s="30">
        <f t="shared" si="121"/>
        <v>602.57316140842033</v>
      </c>
      <c r="CP57" s="30">
        <f t="shared" si="121"/>
        <v>611.11291852039494</v>
      </c>
      <c r="CQ57" s="30">
        <f t="shared" si="121"/>
        <v>616.9026832230951</v>
      </c>
      <c r="CR57" s="30">
        <f t="shared" si="121"/>
        <v>622.65934759960533</v>
      </c>
      <c r="CS57" s="30">
        <f t="shared" si="121"/>
        <v>621.63686161102714</v>
      </c>
      <c r="CT57" s="30">
        <f t="shared" si="121"/>
        <v>635.44874407389159</v>
      </c>
      <c r="CU57" s="30">
        <f t="shared" si="121"/>
        <v>634.42735082476361</v>
      </c>
      <c r="CV57" s="30">
        <f t="shared" si="121"/>
        <v>640.35511516052361</v>
      </c>
      <c r="CW57" s="30">
        <f t="shared" si="121"/>
        <v>639.31115036634151</v>
      </c>
      <c r="CX57" s="30">
        <f t="shared" si="121"/>
        <v>649.64154339883248</v>
      </c>
      <c r="CY57" s="30">
        <f t="shared" si="121"/>
        <v>655.80550095518845</v>
      </c>
      <c r="CZ57" s="30">
        <f t="shared" si="121"/>
        <v>661.93457465485596</v>
      </c>
      <c r="DA57" s="30">
        <f t="shared" si="121"/>
        <v>660.85699449787296</v>
      </c>
      <c r="DB57" s="30">
        <f t="shared" si="121"/>
        <v>669.45590005970564</v>
      </c>
      <c r="DC57" s="30">
        <f t="shared" si="121"/>
        <v>675.81205080532834</v>
      </c>
      <c r="DD57" s="30">
        <f t="shared" si="121"/>
        <v>682.13239235019842</v>
      </c>
      <c r="DE57" s="30">
        <f t="shared" si="121"/>
        <v>681.02622784226207</v>
      </c>
      <c r="DF57" s="30">
        <f t="shared" si="121"/>
        <v>689.64551827746982</v>
      </c>
      <c r="DG57" s="30">
        <f t="shared" si="121"/>
        <v>696.19733262698401</v>
      </c>
      <c r="DH57" s="30">
        <f t="shared" si="121"/>
        <v>702.7123892980793</v>
      </c>
      <c r="DI57" s="30">
        <f t="shared" si="121"/>
        <v>701.57692583041626</v>
      </c>
      <c r="DJ57" s="30">
        <f t="shared" si="121"/>
        <v>716.13680225478402</v>
      </c>
      <c r="DK57" s="30">
        <f t="shared" si="121"/>
        <v>715.0027291107192</v>
      </c>
      <c r="DL57" s="30">
        <f t="shared" si="121"/>
        <v>721.70076718072448</v>
      </c>
      <c r="DM57" s="30">
        <f t="shared" si="121"/>
        <v>720.54163240335879</v>
      </c>
      <c r="DN57" s="30">
        <f t="shared" si="121"/>
        <v>731.17678658879242</v>
      </c>
      <c r="DO57" s="30">
        <f t="shared" si="121"/>
        <v>738.13056067277887</v>
      </c>
      <c r="DP57" s="30">
        <f t="shared" si="121"/>
        <v>745.0456083943908</v>
      </c>
      <c r="DQ57" s="30">
        <f t="shared" si="121"/>
        <v>743.84933127344482</v>
      </c>
      <c r="DR57" s="30">
        <f t="shared" si="121"/>
        <v>752.53179180963775</v>
      </c>
      <c r="DS57" s="30">
        <f t="shared" si="121"/>
        <v>759.69197413475069</v>
      </c>
      <c r="DT57" s="30">
        <f t="shared" si="121"/>
        <v>766.81240869078272</v>
      </c>
      <c r="DU57" s="30">
        <f t="shared" si="121"/>
        <v>765.58457979478419</v>
      </c>
      <c r="DV57" s="30">
        <f t="shared" si="121"/>
        <v>774.28876987714114</v>
      </c>
      <c r="DW57" s="30">
        <f t="shared" si="121"/>
        <v>781.6590550684773</v>
      </c>
      <c r="DX57" s="30">
        <f t="shared" si="121"/>
        <v>788.98854554885793</v>
      </c>
      <c r="DY57" s="30">
        <f t="shared" si="121"/>
        <v>787.7283760834307</v>
      </c>
      <c r="DZ57" s="30">
        <f t="shared" si="121"/>
        <v>803.09342435629424</v>
      </c>
      <c r="EA57" s="30">
        <f t="shared" si="121"/>
        <v>801.83497369168458</v>
      </c>
      <c r="EB57" s="30">
        <f t="shared" si="121"/>
        <v>809.36008613953925</v>
      </c>
      <c r="EC57" s="30">
        <f t="shared" si="121"/>
        <v>808.07382525012292</v>
      </c>
      <c r="ED57" s="30">
        <f t="shared" si="121"/>
        <v>819.0363843322001</v>
      </c>
      <c r="EE57" s="30">
        <f t="shared" si="121"/>
        <v>826.83818969472554</v>
      </c>
      <c r="EF57" s="30">
        <f t="shared" si="121"/>
        <v>834.59702728756815</v>
      </c>
      <c r="EG57" s="30">
        <f t="shared" si="121"/>
        <v>914.20280398710554</v>
      </c>
      <c r="EH57" s="30">
        <f t="shared" ref="EH57:FM57" si="122">SUM(EH54,EH56)</f>
        <v>1077.008113145899</v>
      </c>
      <c r="EI57" s="30">
        <f t="shared" si="122"/>
        <v>1087.6421967942845</v>
      </c>
      <c r="EJ57" s="30">
        <f t="shared" si="122"/>
        <v>1098.2321852310977</v>
      </c>
      <c r="EK57" s="30">
        <f t="shared" si="122"/>
        <v>1096.8700616152259</v>
      </c>
      <c r="EL57" s="30">
        <f t="shared" si="122"/>
        <v>1100.4430415096349</v>
      </c>
      <c r="EM57" s="30">
        <f t="shared" si="122"/>
        <v>1111.3025871380225</v>
      </c>
      <c r="EN57" s="30">
        <f t="shared" si="122"/>
        <v>1122.1168819269021</v>
      </c>
      <c r="EO57" s="30">
        <f t="shared" si="122"/>
        <v>1120.7190603736053</v>
      </c>
      <c r="EP57" s="30">
        <f t="shared" si="122"/>
        <v>1133.6902522712221</v>
      </c>
      <c r="EQ57" s="30">
        <f t="shared" si="122"/>
        <v>1132.2945120961308</v>
      </c>
      <c r="ER57" s="30">
        <f t="shared" si="122"/>
        <v>1143.3107246017184</v>
      </c>
      <c r="ES57" s="30">
        <f t="shared" si="122"/>
        <v>1141.8841402710852</v>
      </c>
      <c r="ET57" s="30">
        <f t="shared" si="122"/>
        <v>1148.6327151742137</v>
      </c>
      <c r="EU57" s="30">
        <f t="shared" si="122"/>
        <v>1159.9552081079519</v>
      </c>
      <c r="EV57" s="30">
        <f t="shared" si="122"/>
        <v>1171.2300515519455</v>
      </c>
      <c r="EW57" s="30">
        <f t="shared" si="122"/>
        <v>1169.7581344672801</v>
      </c>
      <c r="EX57" s="30">
        <f t="shared" si="122"/>
        <v>1173.4023295939999</v>
      </c>
      <c r="EY57" s="30">
        <f t="shared" si="122"/>
        <v>1184.9624288621553</v>
      </c>
      <c r="EZ57" s="30">
        <f t="shared" si="122"/>
        <v>1196.4736341556768</v>
      </c>
      <c r="FA57" s="30">
        <f t="shared" si="122"/>
        <v>1194.9632742968665</v>
      </c>
      <c r="FB57" s="30">
        <f t="shared" si="122"/>
        <v>0</v>
      </c>
      <c r="FC57" s="30">
        <f t="shared" si="122"/>
        <v>0</v>
      </c>
      <c r="FD57" s="30">
        <f t="shared" si="122"/>
        <v>0</v>
      </c>
      <c r="FE57" s="30">
        <f t="shared" si="122"/>
        <v>0</v>
      </c>
      <c r="FF57" s="30">
        <f t="shared" si="122"/>
        <v>0</v>
      </c>
      <c r="FG57" s="30">
        <f t="shared" si="122"/>
        <v>0</v>
      </c>
      <c r="FH57" s="30">
        <f t="shared" si="122"/>
        <v>0</v>
      </c>
      <c r="FI57" s="30">
        <f t="shared" si="122"/>
        <v>0</v>
      </c>
      <c r="FJ57" s="30">
        <f t="shared" si="122"/>
        <v>0</v>
      </c>
      <c r="FK57" s="30">
        <f t="shared" si="122"/>
        <v>0</v>
      </c>
      <c r="FL57" s="30">
        <f t="shared" si="122"/>
        <v>0</v>
      </c>
      <c r="FM57" s="30">
        <f t="shared" si="122"/>
        <v>0</v>
      </c>
    </row>
    <row r="58" spans="2:169" x14ac:dyDescent="0.25"/>
    <row r="59" spans="2:169" x14ac:dyDescent="0.25">
      <c r="B59" s="40" t="s">
        <v>109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</row>
    <row r="60" spans="2:169" x14ac:dyDescent="0.25">
      <c r="B60" t="s">
        <v>110</v>
      </c>
      <c r="C60" t="s">
        <v>80</v>
      </c>
      <c r="D60" s="16"/>
      <c r="E60" s="16"/>
      <c r="I60" s="2">
        <f>N(AND(SUM($I15:I15)=1,SUM($H16:H16)=0))</f>
        <v>0</v>
      </c>
      <c r="J60" s="2">
        <f>N(AND(SUM($I15:J15)=1,SUM($H16:I16)=0))</f>
        <v>0</v>
      </c>
      <c r="K60" s="2">
        <f>N(AND(SUM($I15:K15)=1,SUM($H16:J16)=0))</f>
        <v>0</v>
      </c>
      <c r="L60" s="2">
        <f>N(AND(SUM($I15:L15)=1,SUM($H16:K16)=0))</f>
        <v>0</v>
      </c>
      <c r="M60" s="2">
        <f>N(AND(SUM($I15:M15)=1,SUM($H16:L16)=0))</f>
        <v>0</v>
      </c>
      <c r="N60" s="2">
        <f>N(AND(SUM($I15:N15)=1,SUM($H16:M16)=0))</f>
        <v>0</v>
      </c>
      <c r="O60" s="2">
        <f>N(AND(SUM($I15:O15)=1,SUM($H16:N16)=0))</f>
        <v>0</v>
      </c>
      <c r="P60" s="2">
        <f>N(AND(SUM($I15:P15)=1,SUM($H16:O16)=0))</f>
        <v>0</v>
      </c>
      <c r="Q60" s="2">
        <f>N(AND(SUM($I15:Q15)=1,SUM($H16:P16)=0))</f>
        <v>1</v>
      </c>
      <c r="R60" s="2">
        <f>N(AND(SUM($I15:R15)=1,SUM($H16:Q16)=0))</f>
        <v>1</v>
      </c>
      <c r="S60" s="2">
        <f>N(AND(SUM($I15:S15)=1,SUM($H16:R16)=0))</f>
        <v>1</v>
      </c>
      <c r="T60" s="2">
        <f>N(AND(SUM($I15:T15)=1,SUM($H16:S16)=0))</f>
        <v>1</v>
      </c>
      <c r="U60" s="2">
        <f>N(AND(SUM($I15:U15)=1,SUM($H16:T16)=0))</f>
        <v>1</v>
      </c>
      <c r="V60" s="2">
        <f>N(AND(SUM($I15:V15)=1,SUM($H16:U16)=0))</f>
        <v>1</v>
      </c>
      <c r="W60" s="2">
        <f>N(AND(SUM($I15:W15)=1,SUM($H16:V16)=0))</f>
        <v>1</v>
      </c>
      <c r="X60" s="2">
        <f>N(AND(SUM($I15:X15)=1,SUM($H16:W16)=0))</f>
        <v>1</v>
      </c>
      <c r="Y60" s="2">
        <f>N(AND(SUM($I15:Y15)=1,SUM($H16:X16)=0))</f>
        <v>1</v>
      </c>
      <c r="Z60" s="2">
        <f>N(AND(SUM($I15:Z15)=1,SUM($H16:Y16)=0))</f>
        <v>1</v>
      </c>
      <c r="AA60" s="2">
        <f>N(AND(SUM($I15:AA15)=1,SUM($H16:Z16)=0))</f>
        <v>1</v>
      </c>
      <c r="AB60" s="2">
        <f>N(AND(SUM($I15:AB15)=1,SUM($H16:AA16)=0))</f>
        <v>1</v>
      </c>
      <c r="AC60" s="2">
        <f>N(AND(SUM($I15:AC15)=1,SUM($H16:AB16)=0))</f>
        <v>1</v>
      </c>
      <c r="AD60" s="2">
        <f>N(AND(SUM($I15:AD15)=1,SUM($H16:AC16)=0))</f>
        <v>1</v>
      </c>
      <c r="AE60" s="2">
        <f>N(AND(SUM($I15:AE15)=1,SUM($H16:AD16)=0))</f>
        <v>1</v>
      </c>
      <c r="AF60" s="2">
        <f>N(AND(SUM($I15:AF15)=1,SUM($H16:AE16)=0))</f>
        <v>1</v>
      </c>
      <c r="AG60" s="2">
        <f>N(AND(SUM($I15:AG15)=1,SUM($H16:AF16)=0))</f>
        <v>1</v>
      </c>
      <c r="AH60" s="2">
        <f>N(AND(SUM($I15:AH15)=1,SUM($H16:AG16)=0))</f>
        <v>1</v>
      </c>
      <c r="AI60" s="2">
        <f>N(AND(SUM($I15:AI15)=1,SUM($H16:AH16)=0))</f>
        <v>1</v>
      </c>
      <c r="AJ60" s="2">
        <f>N(AND(SUM($I15:AJ15)=1,SUM($H16:AI16)=0))</f>
        <v>1</v>
      </c>
      <c r="AK60" s="2">
        <f>N(AND(SUM($I15:AK15)=1,SUM($H16:AJ16)=0))</f>
        <v>1</v>
      </c>
      <c r="AL60" s="2">
        <f>N(AND(SUM($I15:AL15)=1,SUM($H16:AK16)=0))</f>
        <v>1</v>
      </c>
      <c r="AM60" s="2">
        <f>N(AND(SUM($I15:AM15)=1,SUM($H16:AL16)=0))</f>
        <v>1</v>
      </c>
      <c r="AN60" s="2">
        <f>N(AND(SUM($I15:AN15)=1,SUM($H16:AM16)=0))</f>
        <v>1</v>
      </c>
      <c r="AO60" s="2">
        <f>N(AND(SUM($I15:AO15)=1,SUM($H16:AN16)=0))</f>
        <v>1</v>
      </c>
      <c r="AP60" s="2">
        <f>N(AND(SUM($I15:AP15)=1,SUM($H16:AO16)=0))</f>
        <v>1</v>
      </c>
      <c r="AQ60" s="2">
        <f>N(AND(SUM($I15:AQ15)=1,SUM($H16:AP16)=0))</f>
        <v>1</v>
      </c>
      <c r="AR60" s="2">
        <f>N(AND(SUM($I15:AR15)=1,SUM($H16:AQ16)=0))</f>
        <v>1</v>
      </c>
      <c r="AS60" s="2">
        <f>N(AND(SUM($I15:AS15)=1,SUM($H16:AR16)=0))</f>
        <v>1</v>
      </c>
      <c r="AT60" s="2">
        <f>N(AND(SUM($I15:AT15)=1,SUM($H16:AS16)=0))</f>
        <v>1</v>
      </c>
      <c r="AU60" s="2">
        <f>N(AND(SUM($I15:AU15)=1,SUM($H16:AT16)=0))</f>
        <v>1</v>
      </c>
      <c r="AV60" s="2">
        <f>N(AND(SUM($I15:AV15)=1,SUM($H16:AU16)=0))</f>
        <v>1</v>
      </c>
      <c r="AW60" s="2">
        <f>N(AND(SUM($I15:AW15)=1,SUM($H16:AV16)=0))</f>
        <v>1</v>
      </c>
      <c r="AX60" s="2">
        <f>N(AND(SUM($I15:AX15)=1,SUM($H16:AW16)=0))</f>
        <v>1</v>
      </c>
      <c r="AY60" s="2">
        <f>N(AND(SUM($I15:AY15)=1,SUM($H16:AX16)=0))</f>
        <v>1</v>
      </c>
      <c r="AZ60" s="2">
        <f>N(AND(SUM($I15:AZ15)=1,SUM($H16:AY16)=0))</f>
        <v>1</v>
      </c>
      <c r="BA60" s="2">
        <f>N(AND(SUM($I15:BA15)=1,SUM($H16:AZ16)=0))</f>
        <v>1</v>
      </c>
      <c r="BB60" s="2">
        <f>N(AND(SUM($I15:BB15)=1,SUM($H16:BA16)=0))</f>
        <v>1</v>
      </c>
      <c r="BC60" s="2">
        <f>N(AND(SUM($I15:BC15)=1,SUM($H16:BB16)=0))</f>
        <v>1</v>
      </c>
      <c r="BD60" s="2">
        <f>N(AND(SUM($I15:BD15)=1,SUM($H16:BC16)=0))</f>
        <v>1</v>
      </c>
      <c r="BE60" s="2">
        <f>N(AND(SUM($I15:BE15)=1,SUM($H16:BD16)=0))</f>
        <v>1</v>
      </c>
      <c r="BF60" s="2">
        <f>N(AND(SUM($I15:BF15)=1,SUM($H16:BE16)=0))</f>
        <v>1</v>
      </c>
      <c r="BG60" s="2">
        <f>N(AND(SUM($I15:BG15)=1,SUM($H16:BF16)=0))</f>
        <v>1</v>
      </c>
      <c r="BH60" s="2">
        <f>N(AND(SUM($I15:BH15)=1,SUM($H16:BG16)=0))</f>
        <v>1</v>
      </c>
      <c r="BI60" s="2">
        <f>N(AND(SUM($I15:BI15)=1,SUM($H16:BH16)=0))</f>
        <v>1</v>
      </c>
      <c r="BJ60" s="2">
        <f>N(AND(SUM($I15:BJ15)=1,SUM($H16:BI16)=0))</f>
        <v>1</v>
      </c>
      <c r="BK60" s="2">
        <f>N(AND(SUM($I15:BK15)=1,SUM($H16:BJ16)=0))</f>
        <v>1</v>
      </c>
      <c r="BL60" s="2">
        <f>N(AND(SUM($I15:BL15)=1,SUM($H16:BK16)=0))</f>
        <v>1</v>
      </c>
      <c r="BM60" s="2">
        <f>N(AND(SUM($I15:BM15)=1,SUM($H16:BL16)=0))</f>
        <v>1</v>
      </c>
      <c r="BN60" s="2">
        <f>N(AND(SUM($I15:BN15)=1,SUM($H16:BM16)=0))</f>
        <v>1</v>
      </c>
      <c r="BO60" s="2">
        <f>N(AND(SUM($I15:BO15)=1,SUM($H16:BN16)=0))</f>
        <v>1</v>
      </c>
      <c r="BP60" s="2">
        <f>N(AND(SUM($I15:BP15)=1,SUM($H16:BO16)=0))</f>
        <v>1</v>
      </c>
      <c r="BQ60" s="2">
        <f>N(AND(SUM($I15:BQ15)=1,SUM($H16:BP16)=0))</f>
        <v>1</v>
      </c>
      <c r="BR60" s="2">
        <f>N(AND(SUM($I15:BR15)=1,SUM($H16:BQ16)=0))</f>
        <v>1</v>
      </c>
      <c r="BS60" s="2">
        <f>N(AND(SUM($I15:BS15)=1,SUM($H16:BR16)=0))</f>
        <v>1</v>
      </c>
      <c r="BT60" s="2">
        <f>N(AND(SUM($I15:BT15)=1,SUM($H16:BS16)=0))</f>
        <v>1</v>
      </c>
      <c r="BU60" s="2">
        <f>N(AND(SUM($I15:BU15)=1,SUM($H16:BT16)=0))</f>
        <v>1</v>
      </c>
      <c r="BV60" s="2">
        <f>N(AND(SUM($I15:BV15)=1,SUM($H16:BU16)=0))</f>
        <v>1</v>
      </c>
      <c r="BW60" s="2">
        <f>N(AND(SUM($I15:BW15)=1,SUM($H16:BV16)=0))</f>
        <v>1</v>
      </c>
      <c r="BX60" s="2">
        <f>N(AND(SUM($I15:BX15)=1,SUM($H16:BW16)=0))</f>
        <v>1</v>
      </c>
      <c r="BY60" s="2">
        <f>N(AND(SUM($I15:BY15)=1,SUM($H16:BX16)=0))</f>
        <v>1</v>
      </c>
      <c r="BZ60" s="2">
        <f>N(AND(SUM($I15:BZ15)=1,SUM($H16:BY16)=0))</f>
        <v>1</v>
      </c>
      <c r="CA60" s="2">
        <f>N(AND(SUM($I15:CA15)=1,SUM($H16:BZ16)=0))</f>
        <v>1</v>
      </c>
      <c r="CB60" s="2">
        <f>N(AND(SUM($I15:CB15)=1,SUM($H16:CA16)=0))</f>
        <v>1</v>
      </c>
      <c r="CC60" s="2">
        <f>N(AND(SUM($I15:CC15)=1,SUM($H16:CB16)=0))</f>
        <v>1</v>
      </c>
      <c r="CD60" s="2">
        <f>N(AND(SUM($I15:CD15)=1,SUM($H16:CC16)=0))</f>
        <v>1</v>
      </c>
      <c r="CE60" s="2">
        <f>N(AND(SUM($I15:CE15)=1,SUM($H16:CD16)=0))</f>
        <v>1</v>
      </c>
      <c r="CF60" s="2">
        <f>N(AND(SUM($I15:CF15)=1,SUM($H16:CE16)=0))</f>
        <v>1</v>
      </c>
      <c r="CG60" s="2">
        <f>N(AND(SUM($I15:CG15)=1,SUM($H16:CF16)=0))</f>
        <v>1</v>
      </c>
      <c r="CH60" s="2">
        <f>N(AND(SUM($I15:CH15)=1,SUM($H16:CG16)=0))</f>
        <v>1</v>
      </c>
      <c r="CI60" s="2">
        <f>N(AND(SUM($I15:CI15)=1,SUM($H16:CH16)=0))</f>
        <v>1</v>
      </c>
      <c r="CJ60" s="2">
        <f>N(AND(SUM($I15:CJ15)=1,SUM($H16:CI16)=0))</f>
        <v>1</v>
      </c>
      <c r="CK60" s="2">
        <f>N(AND(SUM($I15:CK15)=1,SUM($H16:CJ16)=0))</f>
        <v>1</v>
      </c>
      <c r="CL60" s="2">
        <f>N(AND(SUM($I15:CL15)=1,SUM($H16:CK16)=0))</f>
        <v>1</v>
      </c>
      <c r="CM60" s="2">
        <f>N(AND(SUM($I15:CM15)=1,SUM($H16:CL16)=0))</f>
        <v>1</v>
      </c>
      <c r="CN60" s="2">
        <f>N(AND(SUM($I15:CN15)=1,SUM($H16:CM16)=0))</f>
        <v>1</v>
      </c>
      <c r="CO60" s="2">
        <f>N(AND(SUM($I15:CO15)=1,SUM($H16:CN16)=0))</f>
        <v>1</v>
      </c>
      <c r="CP60" s="2">
        <f>N(AND(SUM($I15:CP15)=1,SUM($H16:CO16)=0))</f>
        <v>1</v>
      </c>
      <c r="CQ60" s="2">
        <f>N(AND(SUM($I15:CQ15)=1,SUM($H16:CP16)=0))</f>
        <v>1</v>
      </c>
      <c r="CR60" s="2">
        <f>N(AND(SUM($I15:CR15)=1,SUM($H16:CQ16)=0))</f>
        <v>1</v>
      </c>
      <c r="CS60" s="2">
        <f>N(AND(SUM($I15:CS15)=1,SUM($H16:CR16)=0))</f>
        <v>1</v>
      </c>
      <c r="CT60" s="2">
        <f>N(AND(SUM($I15:CT15)=1,SUM($H16:CS16)=0))</f>
        <v>1</v>
      </c>
      <c r="CU60" s="2">
        <f>N(AND(SUM($I15:CU15)=1,SUM($H16:CT16)=0))</f>
        <v>1</v>
      </c>
      <c r="CV60" s="2">
        <f>N(AND(SUM($I15:CV15)=1,SUM($H16:CU16)=0))</f>
        <v>1</v>
      </c>
      <c r="CW60" s="2">
        <f>N(AND(SUM($I15:CW15)=1,SUM($H16:CV16)=0))</f>
        <v>1</v>
      </c>
      <c r="CX60" s="2">
        <f>N(AND(SUM($I15:CX15)=1,SUM($H16:CW16)=0))</f>
        <v>1</v>
      </c>
      <c r="CY60" s="2">
        <f>N(AND(SUM($I15:CY15)=1,SUM($H16:CX16)=0))</f>
        <v>1</v>
      </c>
      <c r="CZ60" s="2">
        <f>N(AND(SUM($I15:CZ15)=1,SUM($H16:CY16)=0))</f>
        <v>1</v>
      </c>
      <c r="DA60" s="2">
        <f>N(AND(SUM($I15:DA15)=1,SUM($H16:CZ16)=0))</f>
        <v>1</v>
      </c>
      <c r="DB60" s="2">
        <f>N(AND(SUM($I15:DB15)=1,SUM($H16:DA16)=0))</f>
        <v>1</v>
      </c>
      <c r="DC60" s="2">
        <f>N(AND(SUM($I15:DC15)=1,SUM($H16:DB16)=0))</f>
        <v>1</v>
      </c>
      <c r="DD60" s="2">
        <f>N(AND(SUM($I15:DD15)=1,SUM($H16:DC16)=0))</f>
        <v>1</v>
      </c>
      <c r="DE60" s="2">
        <f>N(AND(SUM($I15:DE15)=1,SUM($H16:DD16)=0))</f>
        <v>1</v>
      </c>
      <c r="DF60" s="2">
        <f>N(AND(SUM($I15:DF15)=1,SUM($H16:DE16)=0))</f>
        <v>1</v>
      </c>
      <c r="DG60" s="2">
        <f>N(AND(SUM($I15:DG15)=1,SUM($H16:DF16)=0))</f>
        <v>1</v>
      </c>
      <c r="DH60" s="2">
        <f>N(AND(SUM($I15:DH15)=1,SUM($H16:DG16)=0))</f>
        <v>1</v>
      </c>
      <c r="DI60" s="2">
        <f>N(AND(SUM($I15:DI15)=1,SUM($H16:DH16)=0))</f>
        <v>1</v>
      </c>
      <c r="DJ60" s="2">
        <f>N(AND(SUM($I15:DJ15)=1,SUM($H16:DI16)=0))</f>
        <v>1</v>
      </c>
      <c r="DK60" s="2">
        <f>N(AND(SUM($I15:DK15)=1,SUM($H16:DJ16)=0))</f>
        <v>1</v>
      </c>
      <c r="DL60" s="2">
        <f>N(AND(SUM($I15:DL15)=1,SUM($H16:DK16)=0))</f>
        <v>1</v>
      </c>
      <c r="DM60" s="2">
        <f>N(AND(SUM($I15:DM15)=1,SUM($H16:DL16)=0))</f>
        <v>1</v>
      </c>
      <c r="DN60" s="2">
        <f>N(AND(SUM($I15:DN15)=1,SUM($H16:DM16)=0))</f>
        <v>1</v>
      </c>
      <c r="DO60" s="2">
        <f>N(AND(SUM($I15:DO15)=1,SUM($H16:DN16)=0))</f>
        <v>1</v>
      </c>
      <c r="DP60" s="2">
        <f>N(AND(SUM($I15:DP15)=1,SUM($H16:DO16)=0))</f>
        <v>1</v>
      </c>
      <c r="DQ60" s="2">
        <f>N(AND(SUM($I15:DQ15)=1,SUM($H16:DP16)=0))</f>
        <v>1</v>
      </c>
      <c r="DR60" s="2">
        <f>N(AND(SUM($I15:DR15)=1,SUM($H16:DQ16)=0))</f>
        <v>1</v>
      </c>
      <c r="DS60" s="2">
        <f>N(AND(SUM($I15:DS15)=1,SUM($H16:DR16)=0))</f>
        <v>1</v>
      </c>
      <c r="DT60" s="2">
        <f>N(AND(SUM($I15:DT15)=1,SUM($H16:DS16)=0))</f>
        <v>1</v>
      </c>
      <c r="DU60" s="2">
        <f>N(AND(SUM($I15:DU15)=1,SUM($H16:DT16)=0))</f>
        <v>1</v>
      </c>
      <c r="DV60" s="2">
        <f>N(AND(SUM($I15:DV15)=1,SUM($H16:DU16)=0))</f>
        <v>1</v>
      </c>
      <c r="DW60" s="2">
        <f>N(AND(SUM($I15:DW15)=1,SUM($H16:DV16)=0))</f>
        <v>1</v>
      </c>
      <c r="DX60" s="2">
        <f>N(AND(SUM($I15:DX15)=1,SUM($H16:DW16)=0))</f>
        <v>1</v>
      </c>
      <c r="DY60" s="2">
        <f>N(AND(SUM($I15:DY15)=1,SUM($H16:DX16)=0))</f>
        <v>1</v>
      </c>
      <c r="DZ60" s="2">
        <f>N(AND(SUM($I15:DZ15)=1,SUM($H16:DY16)=0))</f>
        <v>1</v>
      </c>
      <c r="EA60" s="2">
        <f>N(AND(SUM($I15:EA15)=1,SUM($H16:DZ16)=0))</f>
        <v>1</v>
      </c>
      <c r="EB60" s="2">
        <f>N(AND(SUM($I15:EB15)=1,SUM($H16:EA16)=0))</f>
        <v>1</v>
      </c>
      <c r="EC60" s="2">
        <f>N(AND(SUM($I15:EC15)=1,SUM($H16:EB16)=0))</f>
        <v>1</v>
      </c>
      <c r="ED60" s="2">
        <f>N(AND(SUM($I15:ED15)=1,SUM($H16:EC16)=0))</f>
        <v>1</v>
      </c>
      <c r="EE60" s="2">
        <f>N(AND(SUM($I15:EE15)=1,SUM($H16:ED16)=0))</f>
        <v>1</v>
      </c>
      <c r="EF60" s="2">
        <f>N(AND(SUM($I15:EF15)=1,SUM($H16:EE16)=0))</f>
        <v>1</v>
      </c>
      <c r="EG60" s="2">
        <f>N(AND(SUM($I15:EG15)=1,SUM($H16:EF16)=0))</f>
        <v>1</v>
      </c>
      <c r="EH60" s="2">
        <f>N(AND(SUM($I15:EH15)=1,SUM($H16:EG16)=0))</f>
        <v>1</v>
      </c>
      <c r="EI60" s="2">
        <f>N(AND(SUM($I15:EI15)=1,SUM($H16:EH16)=0))</f>
        <v>1</v>
      </c>
      <c r="EJ60" s="2">
        <f>N(AND(SUM($I15:EJ15)=1,SUM($H16:EI16)=0))</f>
        <v>1</v>
      </c>
      <c r="EK60" s="2">
        <f>N(AND(SUM($I15:EK15)=1,SUM($H16:EJ16)=0))</f>
        <v>1</v>
      </c>
      <c r="EL60" s="2">
        <f>N(AND(SUM($I15:EL15)=1,SUM($H16:EK16)=0))</f>
        <v>1</v>
      </c>
      <c r="EM60" s="2">
        <f>N(AND(SUM($I15:EM15)=1,SUM($H16:EL16)=0))</f>
        <v>1</v>
      </c>
      <c r="EN60" s="2">
        <f>N(AND(SUM($I15:EN15)=1,SUM($H16:EM16)=0))</f>
        <v>1</v>
      </c>
      <c r="EO60" s="2">
        <f>N(AND(SUM($I15:EO15)=1,SUM($H16:EN16)=0))</f>
        <v>1</v>
      </c>
      <c r="EP60" s="2">
        <f>N(AND(SUM($I15:EP15)=1,SUM($H16:EO16)=0))</f>
        <v>1</v>
      </c>
      <c r="EQ60" s="2">
        <f>N(AND(SUM($I15:EQ15)=1,SUM($H16:EP16)=0))</f>
        <v>1</v>
      </c>
      <c r="ER60" s="2">
        <f>N(AND(SUM($I15:ER15)=1,SUM($H16:EQ16)=0))</f>
        <v>1</v>
      </c>
      <c r="ES60" s="2">
        <f>N(AND(SUM($I15:ES15)=1,SUM($H16:ER16)=0))</f>
        <v>1</v>
      </c>
      <c r="ET60" s="2">
        <f>N(AND(SUM($I15:ET15)=1,SUM($H16:ES16)=0))</f>
        <v>1</v>
      </c>
      <c r="EU60" s="2">
        <f>N(AND(SUM($I15:EU15)=1,SUM($H16:ET16)=0))</f>
        <v>1</v>
      </c>
      <c r="EV60" s="2">
        <f>N(AND(SUM($I15:EV15)=1,SUM($H16:EU16)=0))</f>
        <v>1</v>
      </c>
      <c r="EW60" s="2">
        <f>N(AND(SUM($I15:EW15)=1,SUM($H16:EV16)=0))</f>
        <v>1</v>
      </c>
      <c r="EX60" s="2">
        <f>N(AND(SUM($I15:EX15)=1,SUM($H16:EW16)=0))</f>
        <v>1</v>
      </c>
      <c r="EY60" s="2">
        <f>N(AND(SUM($I15:EY15)=1,SUM($H16:EX16)=0))</f>
        <v>1</v>
      </c>
      <c r="EZ60" s="2">
        <f>N(AND(SUM($I15:EZ15)=1,SUM($H16:EY16)=0))</f>
        <v>1</v>
      </c>
      <c r="FA60" s="2">
        <f>N(AND(SUM($I15:FA15)=1,SUM($H16:EZ16)=0))</f>
        <v>1</v>
      </c>
      <c r="FB60" s="2">
        <f>N(AND(SUM($I15:FB15)=1,SUM($H16:FA16)=0))</f>
        <v>0</v>
      </c>
      <c r="FC60" s="2">
        <f>N(AND(SUM($I15:FC15)=1,SUM($H16:FB16)=0))</f>
        <v>0</v>
      </c>
      <c r="FD60" s="2">
        <f>N(AND(SUM($I15:FD15)=1,SUM($H16:FC16)=0))</f>
        <v>0</v>
      </c>
      <c r="FE60" s="2">
        <f>N(AND(SUM($I15:FE15)=1,SUM($H16:FD16)=0))</f>
        <v>0</v>
      </c>
      <c r="FF60" s="2">
        <f>N(AND(SUM($I15:FF15)=1,SUM($H16:FE16)=0))</f>
        <v>0</v>
      </c>
      <c r="FG60" s="2">
        <f>N(AND(SUM($I15:FG15)=1,SUM($H16:FF16)=0))</f>
        <v>0</v>
      </c>
      <c r="FH60" s="2">
        <f>N(AND(SUM($I15:FH15)=1,SUM($H16:FG16)=0))</f>
        <v>0</v>
      </c>
      <c r="FI60" s="2">
        <f>N(AND(SUM($I15:FI15)=1,SUM($H16:FH16)=0))</f>
        <v>0</v>
      </c>
      <c r="FJ60" s="2">
        <f>N(AND(SUM($I15:FJ15)=1,SUM($H16:FI16)=0))</f>
        <v>0</v>
      </c>
      <c r="FK60" s="2">
        <f>N(AND(SUM($I15:FK15)=1,SUM($H16:FJ16)=0))</f>
        <v>0</v>
      </c>
      <c r="FL60" s="2">
        <f>N(AND(SUM($I15:FL15)=1,SUM($H16:FK16)=0))</f>
        <v>0</v>
      </c>
      <c r="FM60" s="2">
        <f>N(AND(SUM($I15:FM15)=1,SUM($H16:FL16)=0))</f>
        <v>0</v>
      </c>
    </row>
    <row r="61" spans="2:169" x14ac:dyDescent="0.25">
      <c r="B61" t="s">
        <v>111</v>
      </c>
      <c r="C61" t="s">
        <v>112</v>
      </c>
      <c r="D61" s="27">
        <f>Stat_Inp!F50</f>
        <v>61</v>
      </c>
      <c r="I61" s="2">
        <f>$D61 * I60</f>
        <v>0</v>
      </c>
      <c r="J61" s="2">
        <f t="shared" ref="J61:BU61" si="123">$D61 * J60</f>
        <v>0</v>
      </c>
      <c r="K61" s="2">
        <f t="shared" si="123"/>
        <v>0</v>
      </c>
      <c r="L61" s="2">
        <f t="shared" si="123"/>
        <v>0</v>
      </c>
      <c r="M61" s="2">
        <f t="shared" si="123"/>
        <v>0</v>
      </c>
      <c r="N61" s="2">
        <f t="shared" si="123"/>
        <v>0</v>
      </c>
      <c r="O61" s="2">
        <f t="shared" si="123"/>
        <v>0</v>
      </c>
      <c r="P61" s="2">
        <f t="shared" si="123"/>
        <v>0</v>
      </c>
      <c r="Q61" s="2">
        <f t="shared" si="123"/>
        <v>61</v>
      </c>
      <c r="R61" s="2">
        <f t="shared" si="123"/>
        <v>61</v>
      </c>
      <c r="S61" s="2">
        <f t="shared" si="123"/>
        <v>61</v>
      </c>
      <c r="T61" s="2">
        <f t="shared" si="123"/>
        <v>61</v>
      </c>
      <c r="U61" s="2">
        <f t="shared" si="123"/>
        <v>61</v>
      </c>
      <c r="V61" s="2">
        <f t="shared" si="123"/>
        <v>61</v>
      </c>
      <c r="W61" s="2">
        <f t="shared" si="123"/>
        <v>61</v>
      </c>
      <c r="X61" s="2">
        <f t="shared" si="123"/>
        <v>61</v>
      </c>
      <c r="Y61" s="2">
        <f t="shared" si="123"/>
        <v>61</v>
      </c>
      <c r="Z61" s="2">
        <f t="shared" si="123"/>
        <v>61</v>
      </c>
      <c r="AA61" s="2">
        <f t="shared" si="123"/>
        <v>61</v>
      </c>
      <c r="AB61" s="2">
        <f t="shared" si="123"/>
        <v>61</v>
      </c>
      <c r="AC61" s="2">
        <f t="shared" si="123"/>
        <v>61</v>
      </c>
      <c r="AD61" s="2">
        <f t="shared" si="123"/>
        <v>61</v>
      </c>
      <c r="AE61" s="2">
        <f t="shared" si="123"/>
        <v>61</v>
      </c>
      <c r="AF61" s="2">
        <f t="shared" si="123"/>
        <v>61</v>
      </c>
      <c r="AG61" s="2">
        <f t="shared" si="123"/>
        <v>61</v>
      </c>
      <c r="AH61" s="2">
        <f t="shared" si="123"/>
        <v>61</v>
      </c>
      <c r="AI61" s="2">
        <f t="shared" si="123"/>
        <v>61</v>
      </c>
      <c r="AJ61" s="2">
        <f t="shared" si="123"/>
        <v>61</v>
      </c>
      <c r="AK61" s="2">
        <f t="shared" si="123"/>
        <v>61</v>
      </c>
      <c r="AL61" s="2">
        <f t="shared" si="123"/>
        <v>61</v>
      </c>
      <c r="AM61" s="2">
        <f t="shared" si="123"/>
        <v>61</v>
      </c>
      <c r="AN61" s="2">
        <f t="shared" si="123"/>
        <v>61</v>
      </c>
      <c r="AO61" s="2">
        <f t="shared" si="123"/>
        <v>61</v>
      </c>
      <c r="AP61" s="2">
        <f t="shared" si="123"/>
        <v>61</v>
      </c>
      <c r="AQ61" s="2">
        <f t="shared" si="123"/>
        <v>61</v>
      </c>
      <c r="AR61" s="2">
        <f t="shared" si="123"/>
        <v>61</v>
      </c>
      <c r="AS61" s="2">
        <f t="shared" si="123"/>
        <v>61</v>
      </c>
      <c r="AT61" s="2">
        <f t="shared" si="123"/>
        <v>61</v>
      </c>
      <c r="AU61" s="2">
        <f t="shared" si="123"/>
        <v>61</v>
      </c>
      <c r="AV61" s="2">
        <f t="shared" si="123"/>
        <v>61</v>
      </c>
      <c r="AW61" s="2">
        <f t="shared" si="123"/>
        <v>61</v>
      </c>
      <c r="AX61" s="2">
        <f t="shared" si="123"/>
        <v>61</v>
      </c>
      <c r="AY61" s="2">
        <f t="shared" si="123"/>
        <v>61</v>
      </c>
      <c r="AZ61" s="2">
        <f t="shared" si="123"/>
        <v>61</v>
      </c>
      <c r="BA61" s="2">
        <f t="shared" si="123"/>
        <v>61</v>
      </c>
      <c r="BB61" s="2">
        <f t="shared" si="123"/>
        <v>61</v>
      </c>
      <c r="BC61" s="2">
        <f t="shared" si="123"/>
        <v>61</v>
      </c>
      <c r="BD61" s="2">
        <f t="shared" si="123"/>
        <v>61</v>
      </c>
      <c r="BE61" s="2">
        <f t="shared" si="123"/>
        <v>61</v>
      </c>
      <c r="BF61" s="2">
        <f t="shared" si="123"/>
        <v>61</v>
      </c>
      <c r="BG61" s="2">
        <f t="shared" si="123"/>
        <v>61</v>
      </c>
      <c r="BH61" s="2">
        <f t="shared" si="123"/>
        <v>61</v>
      </c>
      <c r="BI61" s="2">
        <f t="shared" si="123"/>
        <v>61</v>
      </c>
      <c r="BJ61" s="2">
        <f t="shared" si="123"/>
        <v>61</v>
      </c>
      <c r="BK61" s="2">
        <f t="shared" si="123"/>
        <v>61</v>
      </c>
      <c r="BL61" s="2">
        <f t="shared" si="123"/>
        <v>61</v>
      </c>
      <c r="BM61" s="2">
        <f t="shared" si="123"/>
        <v>61</v>
      </c>
      <c r="BN61" s="2">
        <f t="shared" si="123"/>
        <v>61</v>
      </c>
      <c r="BO61" s="2">
        <f t="shared" si="123"/>
        <v>61</v>
      </c>
      <c r="BP61" s="2">
        <f t="shared" si="123"/>
        <v>61</v>
      </c>
      <c r="BQ61" s="2">
        <f t="shared" si="123"/>
        <v>61</v>
      </c>
      <c r="BR61" s="2">
        <f t="shared" si="123"/>
        <v>61</v>
      </c>
      <c r="BS61" s="2">
        <f t="shared" si="123"/>
        <v>61</v>
      </c>
      <c r="BT61" s="2">
        <f t="shared" si="123"/>
        <v>61</v>
      </c>
      <c r="BU61" s="2">
        <f t="shared" si="123"/>
        <v>61</v>
      </c>
      <c r="BV61" s="2">
        <f t="shared" ref="BV61:EG61" si="124">$D61 * BV60</f>
        <v>61</v>
      </c>
      <c r="BW61" s="2">
        <f t="shared" si="124"/>
        <v>61</v>
      </c>
      <c r="BX61" s="2">
        <f t="shared" si="124"/>
        <v>61</v>
      </c>
      <c r="BY61" s="2">
        <f t="shared" si="124"/>
        <v>61</v>
      </c>
      <c r="BZ61" s="2">
        <f t="shared" si="124"/>
        <v>61</v>
      </c>
      <c r="CA61" s="2">
        <f t="shared" si="124"/>
        <v>61</v>
      </c>
      <c r="CB61" s="2">
        <f t="shared" si="124"/>
        <v>61</v>
      </c>
      <c r="CC61" s="2">
        <f t="shared" si="124"/>
        <v>61</v>
      </c>
      <c r="CD61" s="2">
        <f t="shared" si="124"/>
        <v>61</v>
      </c>
      <c r="CE61" s="2">
        <f t="shared" si="124"/>
        <v>61</v>
      </c>
      <c r="CF61" s="2">
        <f t="shared" si="124"/>
        <v>61</v>
      </c>
      <c r="CG61" s="2">
        <f t="shared" si="124"/>
        <v>61</v>
      </c>
      <c r="CH61" s="2">
        <f t="shared" si="124"/>
        <v>61</v>
      </c>
      <c r="CI61" s="2">
        <f t="shared" si="124"/>
        <v>61</v>
      </c>
      <c r="CJ61" s="2">
        <f t="shared" si="124"/>
        <v>61</v>
      </c>
      <c r="CK61" s="2">
        <f t="shared" si="124"/>
        <v>61</v>
      </c>
      <c r="CL61" s="2">
        <f t="shared" si="124"/>
        <v>61</v>
      </c>
      <c r="CM61" s="2">
        <f t="shared" si="124"/>
        <v>61</v>
      </c>
      <c r="CN61" s="2">
        <f t="shared" si="124"/>
        <v>61</v>
      </c>
      <c r="CO61" s="2">
        <f t="shared" si="124"/>
        <v>61</v>
      </c>
      <c r="CP61" s="2">
        <f t="shared" si="124"/>
        <v>61</v>
      </c>
      <c r="CQ61" s="2">
        <f t="shared" si="124"/>
        <v>61</v>
      </c>
      <c r="CR61" s="2">
        <f t="shared" si="124"/>
        <v>61</v>
      </c>
      <c r="CS61" s="2">
        <f t="shared" si="124"/>
        <v>61</v>
      </c>
      <c r="CT61" s="2">
        <f t="shared" si="124"/>
        <v>61</v>
      </c>
      <c r="CU61" s="2">
        <f t="shared" si="124"/>
        <v>61</v>
      </c>
      <c r="CV61" s="2">
        <f t="shared" si="124"/>
        <v>61</v>
      </c>
      <c r="CW61" s="2">
        <f t="shared" si="124"/>
        <v>61</v>
      </c>
      <c r="CX61" s="2">
        <f t="shared" si="124"/>
        <v>61</v>
      </c>
      <c r="CY61" s="2">
        <f t="shared" si="124"/>
        <v>61</v>
      </c>
      <c r="CZ61" s="2">
        <f t="shared" si="124"/>
        <v>61</v>
      </c>
      <c r="DA61" s="2">
        <f t="shared" si="124"/>
        <v>61</v>
      </c>
      <c r="DB61" s="2">
        <f t="shared" si="124"/>
        <v>61</v>
      </c>
      <c r="DC61" s="2">
        <f t="shared" si="124"/>
        <v>61</v>
      </c>
      <c r="DD61" s="2">
        <f t="shared" si="124"/>
        <v>61</v>
      </c>
      <c r="DE61" s="2">
        <f t="shared" si="124"/>
        <v>61</v>
      </c>
      <c r="DF61" s="2">
        <f t="shared" si="124"/>
        <v>61</v>
      </c>
      <c r="DG61" s="2">
        <f t="shared" si="124"/>
        <v>61</v>
      </c>
      <c r="DH61" s="2">
        <f t="shared" si="124"/>
        <v>61</v>
      </c>
      <c r="DI61" s="2">
        <f t="shared" si="124"/>
        <v>61</v>
      </c>
      <c r="DJ61" s="2">
        <f t="shared" si="124"/>
        <v>61</v>
      </c>
      <c r="DK61" s="2">
        <f t="shared" si="124"/>
        <v>61</v>
      </c>
      <c r="DL61" s="2">
        <f t="shared" si="124"/>
        <v>61</v>
      </c>
      <c r="DM61" s="2">
        <f t="shared" si="124"/>
        <v>61</v>
      </c>
      <c r="DN61" s="2">
        <f t="shared" si="124"/>
        <v>61</v>
      </c>
      <c r="DO61" s="2">
        <f t="shared" si="124"/>
        <v>61</v>
      </c>
      <c r="DP61" s="2">
        <f t="shared" si="124"/>
        <v>61</v>
      </c>
      <c r="DQ61" s="2">
        <f t="shared" si="124"/>
        <v>61</v>
      </c>
      <c r="DR61" s="2">
        <f t="shared" si="124"/>
        <v>61</v>
      </c>
      <c r="DS61" s="2">
        <f t="shared" si="124"/>
        <v>61</v>
      </c>
      <c r="DT61" s="2">
        <f t="shared" si="124"/>
        <v>61</v>
      </c>
      <c r="DU61" s="2">
        <f t="shared" si="124"/>
        <v>61</v>
      </c>
      <c r="DV61" s="2">
        <f t="shared" si="124"/>
        <v>61</v>
      </c>
      <c r="DW61" s="2">
        <f t="shared" si="124"/>
        <v>61</v>
      </c>
      <c r="DX61" s="2">
        <f t="shared" si="124"/>
        <v>61</v>
      </c>
      <c r="DY61" s="2">
        <f t="shared" si="124"/>
        <v>61</v>
      </c>
      <c r="DZ61" s="2">
        <f t="shared" si="124"/>
        <v>61</v>
      </c>
      <c r="EA61" s="2">
        <f t="shared" si="124"/>
        <v>61</v>
      </c>
      <c r="EB61" s="2">
        <f t="shared" si="124"/>
        <v>61</v>
      </c>
      <c r="EC61" s="2">
        <f t="shared" si="124"/>
        <v>61</v>
      </c>
      <c r="ED61" s="2">
        <f t="shared" si="124"/>
        <v>61</v>
      </c>
      <c r="EE61" s="2">
        <f t="shared" si="124"/>
        <v>61</v>
      </c>
      <c r="EF61" s="2">
        <f t="shared" si="124"/>
        <v>61</v>
      </c>
      <c r="EG61" s="2">
        <f t="shared" si="124"/>
        <v>61</v>
      </c>
      <c r="EH61" s="2">
        <f t="shared" ref="EH61:FM61" si="125">$D61 * EH60</f>
        <v>61</v>
      </c>
      <c r="EI61" s="2">
        <f t="shared" si="125"/>
        <v>61</v>
      </c>
      <c r="EJ61" s="2">
        <f t="shared" si="125"/>
        <v>61</v>
      </c>
      <c r="EK61" s="2">
        <f t="shared" si="125"/>
        <v>61</v>
      </c>
      <c r="EL61" s="2">
        <f t="shared" si="125"/>
        <v>61</v>
      </c>
      <c r="EM61" s="2">
        <f t="shared" si="125"/>
        <v>61</v>
      </c>
      <c r="EN61" s="2">
        <f t="shared" si="125"/>
        <v>61</v>
      </c>
      <c r="EO61" s="2">
        <f t="shared" si="125"/>
        <v>61</v>
      </c>
      <c r="EP61" s="2">
        <f t="shared" si="125"/>
        <v>61</v>
      </c>
      <c r="EQ61" s="2">
        <f t="shared" si="125"/>
        <v>61</v>
      </c>
      <c r="ER61" s="2">
        <f t="shared" si="125"/>
        <v>61</v>
      </c>
      <c r="ES61" s="2">
        <f t="shared" si="125"/>
        <v>61</v>
      </c>
      <c r="ET61" s="2">
        <f t="shared" si="125"/>
        <v>61</v>
      </c>
      <c r="EU61" s="2">
        <f t="shared" si="125"/>
        <v>61</v>
      </c>
      <c r="EV61" s="2">
        <f t="shared" si="125"/>
        <v>61</v>
      </c>
      <c r="EW61" s="2">
        <f t="shared" si="125"/>
        <v>61</v>
      </c>
      <c r="EX61" s="2">
        <f t="shared" si="125"/>
        <v>61</v>
      </c>
      <c r="EY61" s="2">
        <f t="shared" si="125"/>
        <v>61</v>
      </c>
      <c r="EZ61" s="2">
        <f t="shared" si="125"/>
        <v>61</v>
      </c>
      <c r="FA61" s="2">
        <f t="shared" si="125"/>
        <v>61</v>
      </c>
      <c r="FB61" s="2">
        <f t="shared" si="125"/>
        <v>0</v>
      </c>
      <c r="FC61" s="2">
        <f t="shared" si="125"/>
        <v>0</v>
      </c>
      <c r="FD61" s="2">
        <f t="shared" si="125"/>
        <v>0</v>
      </c>
      <c r="FE61" s="2">
        <f t="shared" si="125"/>
        <v>0</v>
      </c>
      <c r="FF61" s="2">
        <f t="shared" si="125"/>
        <v>0</v>
      </c>
      <c r="FG61" s="2">
        <f t="shared" si="125"/>
        <v>0</v>
      </c>
      <c r="FH61" s="2">
        <f t="shared" si="125"/>
        <v>0</v>
      </c>
      <c r="FI61" s="2">
        <f t="shared" si="125"/>
        <v>0</v>
      </c>
      <c r="FJ61" s="2">
        <f t="shared" si="125"/>
        <v>0</v>
      </c>
      <c r="FK61" s="2">
        <f t="shared" si="125"/>
        <v>0</v>
      </c>
      <c r="FL61" s="2">
        <f t="shared" si="125"/>
        <v>0</v>
      </c>
      <c r="FM61" s="2">
        <f t="shared" si="125"/>
        <v>0</v>
      </c>
    </row>
    <row r="62" spans="2:169" x14ac:dyDescent="0.25"/>
    <row r="63" spans="2:169" x14ac:dyDescent="0.25">
      <c r="B63" t="s">
        <v>113</v>
      </c>
      <c r="C63" t="s">
        <v>114</v>
      </c>
      <c r="D63" s="27">
        <f>Stat_Inp!F51</f>
        <v>1250</v>
      </c>
      <c r="F63" s="9"/>
      <c r="I63" s="25">
        <f t="shared" ref="I63:AN63" si="126" xml:space="preserve"> $D63 * I7 * I14 * I61</f>
        <v>0</v>
      </c>
      <c r="J63" s="25">
        <f t="shared" si="126"/>
        <v>0</v>
      </c>
      <c r="K63" s="25">
        <f t="shared" si="126"/>
        <v>0</v>
      </c>
      <c r="L63" s="25">
        <f t="shared" si="126"/>
        <v>0</v>
      </c>
      <c r="M63" s="25">
        <f t="shared" si="126"/>
        <v>0</v>
      </c>
      <c r="N63" s="25">
        <f t="shared" si="126"/>
        <v>0</v>
      </c>
      <c r="O63" s="25">
        <f t="shared" si="126"/>
        <v>0</v>
      </c>
      <c r="P63" s="25">
        <f t="shared" si="126"/>
        <v>0</v>
      </c>
      <c r="Q63" s="25">
        <f t="shared" si="126"/>
        <v>6476.0273972602745</v>
      </c>
      <c r="R63" s="25">
        <f t="shared" si="126"/>
        <v>18958.333333333336</v>
      </c>
      <c r="S63" s="25">
        <f t="shared" si="126"/>
        <v>18958.333333333336</v>
      </c>
      <c r="T63" s="25">
        <f t="shared" si="126"/>
        <v>19166.666666666664</v>
      </c>
      <c r="U63" s="25">
        <f t="shared" si="126"/>
        <v>19166.666666666664</v>
      </c>
      <c r="V63" s="25">
        <f t="shared" si="126"/>
        <v>18801.369863013697</v>
      </c>
      <c r="W63" s="25">
        <f t="shared" si="126"/>
        <v>19010.273972602739</v>
      </c>
      <c r="X63" s="25">
        <f t="shared" si="126"/>
        <v>19219.178082191782</v>
      </c>
      <c r="Y63" s="25">
        <f t="shared" si="126"/>
        <v>19219.178082191782</v>
      </c>
      <c r="Z63" s="25">
        <f t="shared" si="126"/>
        <v>18801.369863013697</v>
      </c>
      <c r="AA63" s="25">
        <f t="shared" si="126"/>
        <v>19010.273972602739</v>
      </c>
      <c r="AB63" s="25">
        <f t="shared" si="126"/>
        <v>19219.178082191782</v>
      </c>
      <c r="AC63" s="25">
        <f t="shared" si="126"/>
        <v>19219.178082191782</v>
      </c>
      <c r="AD63" s="25">
        <f t="shared" si="126"/>
        <v>18801.369863013697</v>
      </c>
      <c r="AE63" s="25">
        <f t="shared" si="126"/>
        <v>19010.273972602739</v>
      </c>
      <c r="AF63" s="25">
        <f t="shared" si="126"/>
        <v>19219.178082191782</v>
      </c>
      <c r="AG63" s="25">
        <f t="shared" si="126"/>
        <v>19219.178082191782</v>
      </c>
      <c r="AH63" s="25">
        <f t="shared" si="126"/>
        <v>18958.333333333336</v>
      </c>
      <c r="AI63" s="25">
        <f t="shared" si="126"/>
        <v>18958.333333333336</v>
      </c>
      <c r="AJ63" s="25">
        <f t="shared" si="126"/>
        <v>19166.666666666664</v>
      </c>
      <c r="AK63" s="25">
        <f t="shared" si="126"/>
        <v>19166.666666666664</v>
      </c>
      <c r="AL63" s="25">
        <f t="shared" si="126"/>
        <v>18801.369863013697</v>
      </c>
      <c r="AM63" s="25">
        <f t="shared" si="126"/>
        <v>19010.273972602739</v>
      </c>
      <c r="AN63" s="25">
        <f t="shared" si="126"/>
        <v>19219.178082191782</v>
      </c>
      <c r="AO63" s="25">
        <f t="shared" ref="AO63:BT63" si="127" xml:space="preserve"> $D63 * AO7 * AO14 * AO61</f>
        <v>19219.178082191782</v>
      </c>
      <c r="AP63" s="25">
        <f t="shared" si="127"/>
        <v>18801.369863013697</v>
      </c>
      <c r="AQ63" s="25">
        <f t="shared" si="127"/>
        <v>19010.273972602739</v>
      </c>
      <c r="AR63" s="25">
        <f t="shared" si="127"/>
        <v>19219.178082191782</v>
      </c>
      <c r="AS63" s="25">
        <f t="shared" si="127"/>
        <v>19219.178082191782</v>
      </c>
      <c r="AT63" s="25">
        <f t="shared" si="127"/>
        <v>18801.369863013697</v>
      </c>
      <c r="AU63" s="25">
        <f t="shared" si="127"/>
        <v>19010.273972602739</v>
      </c>
      <c r="AV63" s="25">
        <f t="shared" si="127"/>
        <v>19219.178082191782</v>
      </c>
      <c r="AW63" s="25">
        <f t="shared" si="127"/>
        <v>19219.178082191782</v>
      </c>
      <c r="AX63" s="25">
        <f t="shared" si="127"/>
        <v>18958.333333333336</v>
      </c>
      <c r="AY63" s="25">
        <f t="shared" si="127"/>
        <v>18958.333333333336</v>
      </c>
      <c r="AZ63" s="25">
        <f t="shared" si="127"/>
        <v>19166.666666666664</v>
      </c>
      <c r="BA63" s="25">
        <f t="shared" si="127"/>
        <v>19166.666666666664</v>
      </c>
      <c r="BB63" s="25">
        <f t="shared" si="127"/>
        <v>18801.369863013697</v>
      </c>
      <c r="BC63" s="25">
        <f t="shared" si="127"/>
        <v>19010.273972602739</v>
      </c>
      <c r="BD63" s="25">
        <f t="shared" si="127"/>
        <v>19219.178082191782</v>
      </c>
      <c r="BE63" s="25">
        <f t="shared" si="127"/>
        <v>19219.178082191782</v>
      </c>
      <c r="BF63" s="25">
        <f t="shared" si="127"/>
        <v>18801.369863013697</v>
      </c>
      <c r="BG63" s="25">
        <f t="shared" si="127"/>
        <v>19010.273972602739</v>
      </c>
      <c r="BH63" s="25">
        <f t="shared" si="127"/>
        <v>19219.178082191782</v>
      </c>
      <c r="BI63" s="25">
        <f t="shared" si="127"/>
        <v>19219.178082191782</v>
      </c>
      <c r="BJ63" s="25">
        <f t="shared" si="127"/>
        <v>18801.369863013697</v>
      </c>
      <c r="BK63" s="25">
        <f t="shared" si="127"/>
        <v>19010.273972602739</v>
      </c>
      <c r="BL63" s="25">
        <f t="shared" si="127"/>
        <v>19219.178082191782</v>
      </c>
      <c r="BM63" s="25">
        <f t="shared" si="127"/>
        <v>19219.178082191782</v>
      </c>
      <c r="BN63" s="25">
        <f t="shared" si="127"/>
        <v>18958.333333333336</v>
      </c>
      <c r="BO63" s="25">
        <f t="shared" si="127"/>
        <v>18958.333333333336</v>
      </c>
      <c r="BP63" s="25">
        <f t="shared" si="127"/>
        <v>19166.666666666664</v>
      </c>
      <c r="BQ63" s="25">
        <f t="shared" si="127"/>
        <v>19166.666666666664</v>
      </c>
      <c r="BR63" s="25">
        <f t="shared" si="127"/>
        <v>18801.369863013697</v>
      </c>
      <c r="BS63" s="25">
        <f t="shared" si="127"/>
        <v>19010.273972602739</v>
      </c>
      <c r="BT63" s="25">
        <f t="shared" si="127"/>
        <v>19219.178082191782</v>
      </c>
      <c r="BU63" s="25">
        <f t="shared" ref="BU63:CZ63" si="128" xml:space="preserve"> $D63 * BU7 * BU14 * BU61</f>
        <v>19219.178082191782</v>
      </c>
      <c r="BV63" s="25">
        <f t="shared" si="128"/>
        <v>18801.369863013697</v>
      </c>
      <c r="BW63" s="25">
        <f t="shared" si="128"/>
        <v>19010.273972602739</v>
      </c>
      <c r="BX63" s="25">
        <f t="shared" si="128"/>
        <v>19219.178082191782</v>
      </c>
      <c r="BY63" s="25">
        <f t="shared" si="128"/>
        <v>19219.178082191782</v>
      </c>
      <c r="BZ63" s="25">
        <f t="shared" si="128"/>
        <v>18801.369863013697</v>
      </c>
      <c r="CA63" s="25">
        <f t="shared" si="128"/>
        <v>19010.273972602739</v>
      </c>
      <c r="CB63" s="25">
        <f t="shared" si="128"/>
        <v>19219.178082191782</v>
      </c>
      <c r="CC63" s="25">
        <f t="shared" si="128"/>
        <v>19219.178082191782</v>
      </c>
      <c r="CD63" s="25">
        <f t="shared" si="128"/>
        <v>18958.333333333336</v>
      </c>
      <c r="CE63" s="25">
        <f t="shared" si="128"/>
        <v>18958.333333333336</v>
      </c>
      <c r="CF63" s="25">
        <f t="shared" si="128"/>
        <v>19166.666666666664</v>
      </c>
      <c r="CG63" s="25">
        <f t="shared" si="128"/>
        <v>19166.666666666664</v>
      </c>
      <c r="CH63" s="25">
        <f t="shared" si="128"/>
        <v>18801.369863013697</v>
      </c>
      <c r="CI63" s="25">
        <f t="shared" si="128"/>
        <v>19010.273972602739</v>
      </c>
      <c r="CJ63" s="25">
        <f t="shared" si="128"/>
        <v>19219.178082191782</v>
      </c>
      <c r="CK63" s="25">
        <f t="shared" si="128"/>
        <v>19219.178082191782</v>
      </c>
      <c r="CL63" s="25">
        <f t="shared" si="128"/>
        <v>18801.369863013697</v>
      </c>
      <c r="CM63" s="25">
        <f t="shared" si="128"/>
        <v>19010.273972602739</v>
      </c>
      <c r="CN63" s="25">
        <f t="shared" si="128"/>
        <v>19219.178082191782</v>
      </c>
      <c r="CO63" s="25">
        <f t="shared" si="128"/>
        <v>19219.178082191782</v>
      </c>
      <c r="CP63" s="25">
        <f t="shared" si="128"/>
        <v>18801.369863013697</v>
      </c>
      <c r="CQ63" s="25">
        <f t="shared" si="128"/>
        <v>19010.273972602739</v>
      </c>
      <c r="CR63" s="25">
        <f t="shared" si="128"/>
        <v>19219.178082191782</v>
      </c>
      <c r="CS63" s="25">
        <f t="shared" si="128"/>
        <v>19219.178082191782</v>
      </c>
      <c r="CT63" s="25">
        <f t="shared" si="128"/>
        <v>18958.333333333336</v>
      </c>
      <c r="CU63" s="25">
        <f t="shared" si="128"/>
        <v>18958.333333333336</v>
      </c>
      <c r="CV63" s="25">
        <f t="shared" si="128"/>
        <v>19166.666666666664</v>
      </c>
      <c r="CW63" s="25">
        <f t="shared" si="128"/>
        <v>19166.666666666664</v>
      </c>
      <c r="CX63" s="25">
        <f t="shared" si="128"/>
        <v>18801.369863013697</v>
      </c>
      <c r="CY63" s="25">
        <f t="shared" si="128"/>
        <v>19010.273972602739</v>
      </c>
      <c r="CZ63" s="25">
        <f t="shared" si="128"/>
        <v>19219.178082191782</v>
      </c>
      <c r="DA63" s="25">
        <f t="shared" ref="DA63:EF63" si="129" xml:space="preserve"> $D63 * DA7 * DA14 * DA61</f>
        <v>19219.178082191782</v>
      </c>
      <c r="DB63" s="25">
        <f t="shared" si="129"/>
        <v>18801.369863013697</v>
      </c>
      <c r="DC63" s="25">
        <f t="shared" si="129"/>
        <v>19010.273972602739</v>
      </c>
      <c r="DD63" s="25">
        <f t="shared" si="129"/>
        <v>19219.178082191782</v>
      </c>
      <c r="DE63" s="25">
        <f t="shared" si="129"/>
        <v>19219.178082191782</v>
      </c>
      <c r="DF63" s="25">
        <f t="shared" si="129"/>
        <v>18801.369863013697</v>
      </c>
      <c r="DG63" s="25">
        <f t="shared" si="129"/>
        <v>19010.273972602739</v>
      </c>
      <c r="DH63" s="25">
        <f t="shared" si="129"/>
        <v>19219.178082191782</v>
      </c>
      <c r="DI63" s="25">
        <f t="shared" si="129"/>
        <v>19219.178082191782</v>
      </c>
      <c r="DJ63" s="25">
        <f t="shared" si="129"/>
        <v>18958.333333333336</v>
      </c>
      <c r="DK63" s="25">
        <f t="shared" si="129"/>
        <v>18958.333333333336</v>
      </c>
      <c r="DL63" s="25">
        <f t="shared" si="129"/>
        <v>19166.666666666664</v>
      </c>
      <c r="DM63" s="25">
        <f t="shared" si="129"/>
        <v>19166.666666666664</v>
      </c>
      <c r="DN63" s="25">
        <f t="shared" si="129"/>
        <v>18801.369863013697</v>
      </c>
      <c r="DO63" s="25">
        <f t="shared" si="129"/>
        <v>19010.273972602739</v>
      </c>
      <c r="DP63" s="25">
        <f t="shared" si="129"/>
        <v>19219.178082191782</v>
      </c>
      <c r="DQ63" s="25">
        <f t="shared" si="129"/>
        <v>19219.178082191782</v>
      </c>
      <c r="DR63" s="25">
        <f t="shared" si="129"/>
        <v>18801.369863013697</v>
      </c>
      <c r="DS63" s="25">
        <f t="shared" si="129"/>
        <v>19010.273972602739</v>
      </c>
      <c r="DT63" s="25">
        <f t="shared" si="129"/>
        <v>19219.178082191782</v>
      </c>
      <c r="DU63" s="25">
        <f t="shared" si="129"/>
        <v>19219.178082191782</v>
      </c>
      <c r="DV63" s="25">
        <f t="shared" si="129"/>
        <v>18801.369863013697</v>
      </c>
      <c r="DW63" s="25">
        <f t="shared" si="129"/>
        <v>19010.273972602739</v>
      </c>
      <c r="DX63" s="25">
        <f t="shared" si="129"/>
        <v>19219.178082191782</v>
      </c>
      <c r="DY63" s="25">
        <f t="shared" si="129"/>
        <v>19219.178082191782</v>
      </c>
      <c r="DZ63" s="25">
        <f t="shared" si="129"/>
        <v>18958.333333333336</v>
      </c>
      <c r="EA63" s="25">
        <f t="shared" si="129"/>
        <v>18958.333333333336</v>
      </c>
      <c r="EB63" s="25">
        <f t="shared" si="129"/>
        <v>19166.666666666664</v>
      </c>
      <c r="EC63" s="25">
        <f t="shared" si="129"/>
        <v>19166.666666666664</v>
      </c>
      <c r="ED63" s="25">
        <f t="shared" si="129"/>
        <v>18801.369863013697</v>
      </c>
      <c r="EE63" s="25">
        <f t="shared" si="129"/>
        <v>19010.273972602739</v>
      </c>
      <c r="EF63" s="25">
        <f t="shared" si="129"/>
        <v>19219.178082191782</v>
      </c>
      <c r="EG63" s="25">
        <f t="shared" ref="EG63:FM63" si="130" xml:space="preserve"> $D63 * EG7 * EG14 * EG61</f>
        <v>19219.178082191782</v>
      </c>
      <c r="EH63" s="25">
        <f t="shared" si="130"/>
        <v>18801.369863013697</v>
      </c>
      <c r="EI63" s="25">
        <f t="shared" si="130"/>
        <v>19010.273972602739</v>
      </c>
      <c r="EJ63" s="25">
        <f t="shared" si="130"/>
        <v>19219.178082191782</v>
      </c>
      <c r="EK63" s="25">
        <f t="shared" si="130"/>
        <v>19219.178082191782</v>
      </c>
      <c r="EL63" s="25">
        <f t="shared" si="130"/>
        <v>18801.369863013697</v>
      </c>
      <c r="EM63" s="25">
        <f t="shared" si="130"/>
        <v>19010.273972602739</v>
      </c>
      <c r="EN63" s="25">
        <f t="shared" si="130"/>
        <v>19219.178082191782</v>
      </c>
      <c r="EO63" s="25">
        <f t="shared" si="130"/>
        <v>19219.178082191782</v>
      </c>
      <c r="EP63" s="25">
        <f t="shared" si="130"/>
        <v>18958.333333333336</v>
      </c>
      <c r="EQ63" s="25">
        <f t="shared" si="130"/>
        <v>18958.333333333336</v>
      </c>
      <c r="ER63" s="25">
        <f t="shared" si="130"/>
        <v>19166.666666666664</v>
      </c>
      <c r="ES63" s="25">
        <f t="shared" si="130"/>
        <v>19166.666666666664</v>
      </c>
      <c r="ET63" s="25">
        <f t="shared" si="130"/>
        <v>18801.369863013697</v>
      </c>
      <c r="EU63" s="25">
        <f t="shared" si="130"/>
        <v>19010.273972602739</v>
      </c>
      <c r="EV63" s="25">
        <f t="shared" si="130"/>
        <v>19219.178082191782</v>
      </c>
      <c r="EW63" s="25">
        <f t="shared" si="130"/>
        <v>19219.178082191782</v>
      </c>
      <c r="EX63" s="25">
        <f t="shared" si="130"/>
        <v>18801.369863013697</v>
      </c>
      <c r="EY63" s="25">
        <f t="shared" si="130"/>
        <v>19010.273972602739</v>
      </c>
      <c r="EZ63" s="25">
        <f t="shared" si="130"/>
        <v>19219.178082191782</v>
      </c>
      <c r="FA63" s="25">
        <f t="shared" si="130"/>
        <v>19219.178082191782</v>
      </c>
      <c r="FB63" s="25">
        <f t="shared" si="130"/>
        <v>0</v>
      </c>
      <c r="FC63" s="25">
        <f t="shared" si="130"/>
        <v>0</v>
      </c>
      <c r="FD63" s="25">
        <f t="shared" si="130"/>
        <v>0</v>
      </c>
      <c r="FE63" s="25">
        <f t="shared" si="130"/>
        <v>0</v>
      </c>
      <c r="FF63" s="25">
        <f t="shared" si="130"/>
        <v>0</v>
      </c>
      <c r="FG63" s="25">
        <f t="shared" si="130"/>
        <v>0</v>
      </c>
      <c r="FH63" s="25">
        <f t="shared" si="130"/>
        <v>0</v>
      </c>
      <c r="FI63" s="25">
        <f t="shared" si="130"/>
        <v>0</v>
      </c>
      <c r="FJ63" s="25">
        <f t="shared" si="130"/>
        <v>0</v>
      </c>
      <c r="FK63" s="25">
        <f t="shared" si="130"/>
        <v>0</v>
      </c>
      <c r="FL63" s="25">
        <f t="shared" si="130"/>
        <v>0</v>
      </c>
      <c r="FM63" s="25">
        <f t="shared" si="130"/>
        <v>0</v>
      </c>
    </row>
    <row r="64" spans="2:169" x14ac:dyDescent="0.25">
      <c r="B64" t="s">
        <v>115</v>
      </c>
      <c r="C64" t="s">
        <v>2</v>
      </c>
      <c r="D64" s="28">
        <f>Stat_Inp!F54</f>
        <v>0.995</v>
      </c>
      <c r="I64" s="22">
        <f>$D64</f>
        <v>0.995</v>
      </c>
      <c r="J64" s="22">
        <f t="shared" ref="J64:BU64" si="131">$D64</f>
        <v>0.995</v>
      </c>
      <c r="K64" s="22">
        <f t="shared" si="131"/>
        <v>0.995</v>
      </c>
      <c r="L64" s="22">
        <f t="shared" si="131"/>
        <v>0.995</v>
      </c>
      <c r="M64" s="22">
        <f t="shared" si="131"/>
        <v>0.995</v>
      </c>
      <c r="N64" s="22">
        <f t="shared" si="131"/>
        <v>0.995</v>
      </c>
      <c r="O64" s="22">
        <f t="shared" si="131"/>
        <v>0.995</v>
      </c>
      <c r="P64" s="22">
        <f t="shared" si="131"/>
        <v>0.995</v>
      </c>
      <c r="Q64" s="22">
        <f t="shared" si="131"/>
        <v>0.995</v>
      </c>
      <c r="R64" s="22">
        <f t="shared" si="131"/>
        <v>0.995</v>
      </c>
      <c r="S64" s="22">
        <f t="shared" si="131"/>
        <v>0.995</v>
      </c>
      <c r="T64" s="22">
        <f t="shared" si="131"/>
        <v>0.995</v>
      </c>
      <c r="U64" s="22">
        <f t="shared" si="131"/>
        <v>0.995</v>
      </c>
      <c r="V64" s="22">
        <f t="shared" si="131"/>
        <v>0.995</v>
      </c>
      <c r="W64" s="22">
        <f t="shared" si="131"/>
        <v>0.995</v>
      </c>
      <c r="X64" s="22">
        <f t="shared" si="131"/>
        <v>0.995</v>
      </c>
      <c r="Y64" s="22">
        <f t="shared" si="131"/>
        <v>0.995</v>
      </c>
      <c r="Z64" s="22">
        <f t="shared" si="131"/>
        <v>0.995</v>
      </c>
      <c r="AA64" s="22">
        <f t="shared" si="131"/>
        <v>0.995</v>
      </c>
      <c r="AB64" s="22">
        <f t="shared" si="131"/>
        <v>0.995</v>
      </c>
      <c r="AC64" s="22">
        <f t="shared" si="131"/>
        <v>0.995</v>
      </c>
      <c r="AD64" s="22">
        <f t="shared" si="131"/>
        <v>0.995</v>
      </c>
      <c r="AE64" s="22">
        <f t="shared" si="131"/>
        <v>0.995</v>
      </c>
      <c r="AF64" s="22">
        <f t="shared" si="131"/>
        <v>0.995</v>
      </c>
      <c r="AG64" s="22">
        <f t="shared" si="131"/>
        <v>0.995</v>
      </c>
      <c r="AH64" s="22">
        <f t="shared" si="131"/>
        <v>0.995</v>
      </c>
      <c r="AI64" s="22">
        <f t="shared" si="131"/>
        <v>0.995</v>
      </c>
      <c r="AJ64" s="22">
        <f t="shared" si="131"/>
        <v>0.995</v>
      </c>
      <c r="AK64" s="22">
        <f t="shared" si="131"/>
        <v>0.995</v>
      </c>
      <c r="AL64" s="22">
        <f t="shared" si="131"/>
        <v>0.995</v>
      </c>
      <c r="AM64" s="22">
        <f t="shared" si="131"/>
        <v>0.995</v>
      </c>
      <c r="AN64" s="22">
        <f t="shared" si="131"/>
        <v>0.995</v>
      </c>
      <c r="AO64" s="22">
        <f t="shared" si="131"/>
        <v>0.995</v>
      </c>
      <c r="AP64" s="22">
        <f t="shared" si="131"/>
        <v>0.995</v>
      </c>
      <c r="AQ64" s="22">
        <f t="shared" si="131"/>
        <v>0.995</v>
      </c>
      <c r="AR64" s="22">
        <f t="shared" si="131"/>
        <v>0.995</v>
      </c>
      <c r="AS64" s="22">
        <f t="shared" si="131"/>
        <v>0.995</v>
      </c>
      <c r="AT64" s="22">
        <f t="shared" si="131"/>
        <v>0.995</v>
      </c>
      <c r="AU64" s="22">
        <f t="shared" si="131"/>
        <v>0.995</v>
      </c>
      <c r="AV64" s="22">
        <f t="shared" si="131"/>
        <v>0.995</v>
      </c>
      <c r="AW64" s="22">
        <f t="shared" si="131"/>
        <v>0.995</v>
      </c>
      <c r="AX64" s="22">
        <f t="shared" si="131"/>
        <v>0.995</v>
      </c>
      <c r="AY64" s="22">
        <f t="shared" si="131"/>
        <v>0.995</v>
      </c>
      <c r="AZ64" s="22">
        <f t="shared" si="131"/>
        <v>0.995</v>
      </c>
      <c r="BA64" s="22">
        <f t="shared" si="131"/>
        <v>0.995</v>
      </c>
      <c r="BB64" s="22">
        <f t="shared" si="131"/>
        <v>0.995</v>
      </c>
      <c r="BC64" s="22">
        <f t="shared" si="131"/>
        <v>0.995</v>
      </c>
      <c r="BD64" s="22">
        <f t="shared" si="131"/>
        <v>0.995</v>
      </c>
      <c r="BE64" s="22">
        <f t="shared" si="131"/>
        <v>0.995</v>
      </c>
      <c r="BF64" s="22">
        <f t="shared" si="131"/>
        <v>0.995</v>
      </c>
      <c r="BG64" s="22">
        <f t="shared" si="131"/>
        <v>0.995</v>
      </c>
      <c r="BH64" s="22">
        <f t="shared" si="131"/>
        <v>0.995</v>
      </c>
      <c r="BI64" s="22">
        <f t="shared" si="131"/>
        <v>0.995</v>
      </c>
      <c r="BJ64" s="22">
        <f t="shared" si="131"/>
        <v>0.995</v>
      </c>
      <c r="BK64" s="22">
        <f t="shared" si="131"/>
        <v>0.995</v>
      </c>
      <c r="BL64" s="22">
        <f t="shared" si="131"/>
        <v>0.995</v>
      </c>
      <c r="BM64" s="22">
        <f t="shared" si="131"/>
        <v>0.995</v>
      </c>
      <c r="BN64" s="22">
        <f t="shared" si="131"/>
        <v>0.995</v>
      </c>
      <c r="BO64" s="22">
        <f t="shared" si="131"/>
        <v>0.995</v>
      </c>
      <c r="BP64" s="22">
        <f t="shared" si="131"/>
        <v>0.995</v>
      </c>
      <c r="BQ64" s="22">
        <f t="shared" si="131"/>
        <v>0.995</v>
      </c>
      <c r="BR64" s="22">
        <f t="shared" si="131"/>
        <v>0.995</v>
      </c>
      <c r="BS64" s="22">
        <f t="shared" si="131"/>
        <v>0.995</v>
      </c>
      <c r="BT64" s="22">
        <f t="shared" si="131"/>
        <v>0.995</v>
      </c>
      <c r="BU64" s="22">
        <f t="shared" si="131"/>
        <v>0.995</v>
      </c>
      <c r="BV64" s="22">
        <f t="shared" ref="BV64:EG64" si="132">$D64</f>
        <v>0.995</v>
      </c>
      <c r="BW64" s="22">
        <f t="shared" si="132"/>
        <v>0.995</v>
      </c>
      <c r="BX64" s="22">
        <f t="shared" si="132"/>
        <v>0.995</v>
      </c>
      <c r="BY64" s="22">
        <f t="shared" si="132"/>
        <v>0.995</v>
      </c>
      <c r="BZ64" s="22">
        <f t="shared" si="132"/>
        <v>0.995</v>
      </c>
      <c r="CA64" s="22">
        <f t="shared" si="132"/>
        <v>0.995</v>
      </c>
      <c r="CB64" s="22">
        <f t="shared" si="132"/>
        <v>0.995</v>
      </c>
      <c r="CC64" s="22">
        <f t="shared" si="132"/>
        <v>0.995</v>
      </c>
      <c r="CD64" s="22">
        <f t="shared" si="132"/>
        <v>0.995</v>
      </c>
      <c r="CE64" s="22">
        <f t="shared" si="132"/>
        <v>0.995</v>
      </c>
      <c r="CF64" s="22">
        <f t="shared" si="132"/>
        <v>0.995</v>
      </c>
      <c r="CG64" s="22">
        <f t="shared" si="132"/>
        <v>0.995</v>
      </c>
      <c r="CH64" s="22">
        <f t="shared" si="132"/>
        <v>0.995</v>
      </c>
      <c r="CI64" s="22">
        <f t="shared" si="132"/>
        <v>0.995</v>
      </c>
      <c r="CJ64" s="22">
        <f t="shared" si="132"/>
        <v>0.995</v>
      </c>
      <c r="CK64" s="22">
        <f t="shared" si="132"/>
        <v>0.995</v>
      </c>
      <c r="CL64" s="22">
        <f t="shared" si="132"/>
        <v>0.995</v>
      </c>
      <c r="CM64" s="22">
        <f t="shared" si="132"/>
        <v>0.995</v>
      </c>
      <c r="CN64" s="22">
        <f t="shared" si="132"/>
        <v>0.995</v>
      </c>
      <c r="CO64" s="22">
        <f t="shared" si="132"/>
        <v>0.995</v>
      </c>
      <c r="CP64" s="22">
        <f t="shared" si="132"/>
        <v>0.995</v>
      </c>
      <c r="CQ64" s="22">
        <f t="shared" si="132"/>
        <v>0.995</v>
      </c>
      <c r="CR64" s="22">
        <f t="shared" si="132"/>
        <v>0.995</v>
      </c>
      <c r="CS64" s="22">
        <f t="shared" si="132"/>
        <v>0.995</v>
      </c>
      <c r="CT64" s="22">
        <f t="shared" si="132"/>
        <v>0.995</v>
      </c>
      <c r="CU64" s="22">
        <f t="shared" si="132"/>
        <v>0.995</v>
      </c>
      <c r="CV64" s="22">
        <f t="shared" si="132"/>
        <v>0.995</v>
      </c>
      <c r="CW64" s="22">
        <f t="shared" si="132"/>
        <v>0.995</v>
      </c>
      <c r="CX64" s="22">
        <f t="shared" si="132"/>
        <v>0.995</v>
      </c>
      <c r="CY64" s="22">
        <f t="shared" si="132"/>
        <v>0.995</v>
      </c>
      <c r="CZ64" s="22">
        <f t="shared" si="132"/>
        <v>0.995</v>
      </c>
      <c r="DA64" s="22">
        <f t="shared" si="132"/>
        <v>0.995</v>
      </c>
      <c r="DB64" s="22">
        <f t="shared" si="132"/>
        <v>0.995</v>
      </c>
      <c r="DC64" s="22">
        <f t="shared" si="132"/>
        <v>0.995</v>
      </c>
      <c r="DD64" s="22">
        <f t="shared" si="132"/>
        <v>0.995</v>
      </c>
      <c r="DE64" s="22">
        <f t="shared" si="132"/>
        <v>0.995</v>
      </c>
      <c r="DF64" s="22">
        <f t="shared" si="132"/>
        <v>0.995</v>
      </c>
      <c r="DG64" s="22">
        <f t="shared" si="132"/>
        <v>0.995</v>
      </c>
      <c r="DH64" s="22">
        <f t="shared" si="132"/>
        <v>0.995</v>
      </c>
      <c r="DI64" s="22">
        <f t="shared" si="132"/>
        <v>0.995</v>
      </c>
      <c r="DJ64" s="22">
        <f t="shared" si="132"/>
        <v>0.995</v>
      </c>
      <c r="DK64" s="22">
        <f t="shared" si="132"/>
        <v>0.995</v>
      </c>
      <c r="DL64" s="22">
        <f t="shared" si="132"/>
        <v>0.995</v>
      </c>
      <c r="DM64" s="22">
        <f t="shared" si="132"/>
        <v>0.995</v>
      </c>
      <c r="DN64" s="22">
        <f t="shared" si="132"/>
        <v>0.995</v>
      </c>
      <c r="DO64" s="22">
        <f t="shared" si="132"/>
        <v>0.995</v>
      </c>
      <c r="DP64" s="22">
        <f t="shared" si="132"/>
        <v>0.995</v>
      </c>
      <c r="DQ64" s="22">
        <f t="shared" si="132"/>
        <v>0.995</v>
      </c>
      <c r="DR64" s="22">
        <f t="shared" si="132"/>
        <v>0.995</v>
      </c>
      <c r="DS64" s="22">
        <f t="shared" si="132"/>
        <v>0.995</v>
      </c>
      <c r="DT64" s="22">
        <f t="shared" si="132"/>
        <v>0.995</v>
      </c>
      <c r="DU64" s="22">
        <f t="shared" si="132"/>
        <v>0.995</v>
      </c>
      <c r="DV64" s="22">
        <f t="shared" si="132"/>
        <v>0.995</v>
      </c>
      <c r="DW64" s="22">
        <f t="shared" si="132"/>
        <v>0.995</v>
      </c>
      <c r="DX64" s="22">
        <f t="shared" si="132"/>
        <v>0.995</v>
      </c>
      <c r="DY64" s="22">
        <f t="shared" si="132"/>
        <v>0.995</v>
      </c>
      <c r="DZ64" s="22">
        <f t="shared" si="132"/>
        <v>0.995</v>
      </c>
      <c r="EA64" s="22">
        <f t="shared" si="132"/>
        <v>0.995</v>
      </c>
      <c r="EB64" s="22">
        <f t="shared" si="132"/>
        <v>0.995</v>
      </c>
      <c r="EC64" s="22">
        <f t="shared" si="132"/>
        <v>0.995</v>
      </c>
      <c r="ED64" s="22">
        <f t="shared" si="132"/>
        <v>0.995</v>
      </c>
      <c r="EE64" s="22">
        <f t="shared" si="132"/>
        <v>0.995</v>
      </c>
      <c r="EF64" s="22">
        <f t="shared" si="132"/>
        <v>0.995</v>
      </c>
      <c r="EG64" s="22">
        <f t="shared" si="132"/>
        <v>0.995</v>
      </c>
      <c r="EH64" s="22">
        <f t="shared" ref="EH64:FM64" si="133">$D64</f>
        <v>0.995</v>
      </c>
      <c r="EI64" s="22">
        <f t="shared" si="133"/>
        <v>0.995</v>
      </c>
      <c r="EJ64" s="22">
        <f t="shared" si="133"/>
        <v>0.995</v>
      </c>
      <c r="EK64" s="22">
        <f t="shared" si="133"/>
        <v>0.995</v>
      </c>
      <c r="EL64" s="22">
        <f t="shared" si="133"/>
        <v>0.995</v>
      </c>
      <c r="EM64" s="22">
        <f t="shared" si="133"/>
        <v>0.995</v>
      </c>
      <c r="EN64" s="22">
        <f t="shared" si="133"/>
        <v>0.995</v>
      </c>
      <c r="EO64" s="22">
        <f t="shared" si="133"/>
        <v>0.995</v>
      </c>
      <c r="EP64" s="22">
        <f t="shared" si="133"/>
        <v>0.995</v>
      </c>
      <c r="EQ64" s="22">
        <f t="shared" si="133"/>
        <v>0.995</v>
      </c>
      <c r="ER64" s="22">
        <f t="shared" si="133"/>
        <v>0.995</v>
      </c>
      <c r="ES64" s="22">
        <f t="shared" si="133"/>
        <v>0.995</v>
      </c>
      <c r="ET64" s="22">
        <f t="shared" si="133"/>
        <v>0.995</v>
      </c>
      <c r="EU64" s="22">
        <f t="shared" si="133"/>
        <v>0.995</v>
      </c>
      <c r="EV64" s="22">
        <f t="shared" si="133"/>
        <v>0.995</v>
      </c>
      <c r="EW64" s="22">
        <f t="shared" si="133"/>
        <v>0.995</v>
      </c>
      <c r="EX64" s="22">
        <f t="shared" si="133"/>
        <v>0.995</v>
      </c>
      <c r="EY64" s="22">
        <f t="shared" si="133"/>
        <v>0.995</v>
      </c>
      <c r="EZ64" s="22">
        <f t="shared" si="133"/>
        <v>0.995</v>
      </c>
      <c r="FA64" s="22">
        <f t="shared" si="133"/>
        <v>0.995</v>
      </c>
      <c r="FB64" s="22">
        <f t="shared" si="133"/>
        <v>0.995</v>
      </c>
      <c r="FC64" s="22">
        <f t="shared" si="133"/>
        <v>0.995</v>
      </c>
      <c r="FD64" s="22">
        <f t="shared" si="133"/>
        <v>0.995</v>
      </c>
      <c r="FE64" s="22">
        <f t="shared" si="133"/>
        <v>0.995</v>
      </c>
      <c r="FF64" s="22">
        <f t="shared" si="133"/>
        <v>0.995</v>
      </c>
      <c r="FG64" s="22">
        <f t="shared" si="133"/>
        <v>0.995</v>
      </c>
      <c r="FH64" s="22">
        <f t="shared" si="133"/>
        <v>0.995</v>
      </c>
      <c r="FI64" s="22">
        <f t="shared" si="133"/>
        <v>0.995</v>
      </c>
      <c r="FJ64" s="22">
        <f t="shared" si="133"/>
        <v>0.995</v>
      </c>
      <c r="FK64" s="22">
        <f t="shared" si="133"/>
        <v>0.995</v>
      </c>
      <c r="FL64" s="22">
        <f t="shared" si="133"/>
        <v>0.995</v>
      </c>
      <c r="FM64" s="22">
        <f t="shared" si="133"/>
        <v>0.995</v>
      </c>
    </row>
    <row r="65" spans="2:169" x14ac:dyDescent="0.25">
      <c r="B65" t="s">
        <v>116</v>
      </c>
      <c r="C65" t="s">
        <v>2</v>
      </c>
      <c r="D65" s="28">
        <f>Stat_Inp!F55</f>
        <v>3.0000000000000001E-3</v>
      </c>
      <c r="I65" s="22">
        <f t="shared" ref="I65:AN65" si="134">IF(I14, IF(I15, 1, H65 - ($D65 * I7 * I14)), 0)</f>
        <v>0</v>
      </c>
      <c r="J65" s="22">
        <f t="shared" si="134"/>
        <v>0</v>
      </c>
      <c r="K65" s="22">
        <f t="shared" si="134"/>
        <v>0</v>
      </c>
      <c r="L65" s="22">
        <f t="shared" si="134"/>
        <v>0</v>
      </c>
      <c r="M65" s="22">
        <f t="shared" si="134"/>
        <v>0</v>
      </c>
      <c r="N65" s="22">
        <f t="shared" si="134"/>
        <v>0</v>
      </c>
      <c r="O65" s="22">
        <f t="shared" si="134"/>
        <v>0</v>
      </c>
      <c r="P65" s="22">
        <f t="shared" si="134"/>
        <v>0</v>
      </c>
      <c r="Q65" s="22">
        <f t="shared" si="134"/>
        <v>1</v>
      </c>
      <c r="R65" s="22">
        <f t="shared" si="134"/>
        <v>0.99925409836065571</v>
      </c>
      <c r="S65" s="22">
        <f t="shared" si="134"/>
        <v>0.99850819672131141</v>
      </c>
      <c r="T65" s="22">
        <f t="shared" si="134"/>
        <v>0.99775409836065565</v>
      </c>
      <c r="U65" s="22">
        <f t="shared" si="134"/>
        <v>0.99699999999999989</v>
      </c>
      <c r="V65" s="22">
        <f t="shared" si="134"/>
        <v>0.99626027397260264</v>
      </c>
      <c r="W65" s="22">
        <f t="shared" si="134"/>
        <v>0.99551232876712314</v>
      </c>
      <c r="X65" s="22">
        <f t="shared" si="134"/>
        <v>0.99475616438356151</v>
      </c>
      <c r="Y65" s="22">
        <f t="shared" si="134"/>
        <v>0.99399999999999988</v>
      </c>
      <c r="Z65" s="22">
        <f t="shared" si="134"/>
        <v>0.99326027397260264</v>
      </c>
      <c r="AA65" s="22">
        <f t="shared" si="134"/>
        <v>0.99251232876712314</v>
      </c>
      <c r="AB65" s="22">
        <f t="shared" si="134"/>
        <v>0.99175616438356151</v>
      </c>
      <c r="AC65" s="22">
        <f t="shared" si="134"/>
        <v>0.99099999999999988</v>
      </c>
      <c r="AD65" s="22">
        <f t="shared" si="134"/>
        <v>0.99026027397260263</v>
      </c>
      <c r="AE65" s="22">
        <f t="shared" si="134"/>
        <v>0.98951232876712314</v>
      </c>
      <c r="AF65" s="22">
        <f t="shared" si="134"/>
        <v>0.98875616438356151</v>
      </c>
      <c r="AG65" s="22">
        <f t="shared" si="134"/>
        <v>0.98799999999999988</v>
      </c>
      <c r="AH65" s="22">
        <f t="shared" si="134"/>
        <v>0.98725409836065559</v>
      </c>
      <c r="AI65" s="22">
        <f t="shared" si="134"/>
        <v>0.98650819672131129</v>
      </c>
      <c r="AJ65" s="22">
        <f t="shared" si="134"/>
        <v>0.98575409836065553</v>
      </c>
      <c r="AK65" s="22">
        <f t="shared" si="134"/>
        <v>0.98499999999999976</v>
      </c>
      <c r="AL65" s="22">
        <f t="shared" si="134"/>
        <v>0.98426027397260252</v>
      </c>
      <c r="AM65" s="22">
        <f t="shared" si="134"/>
        <v>0.98351232876712302</v>
      </c>
      <c r="AN65" s="22">
        <f t="shared" si="134"/>
        <v>0.98275616438356139</v>
      </c>
      <c r="AO65" s="22">
        <f t="shared" ref="AO65:BT65" si="135">IF(AO14, IF(AO15, 1, AN65 - ($D65 * AO7 * AO14)), 0)</f>
        <v>0.98199999999999976</v>
      </c>
      <c r="AP65" s="22">
        <f t="shared" si="135"/>
        <v>0.98126027397260251</v>
      </c>
      <c r="AQ65" s="22">
        <f t="shared" si="135"/>
        <v>0.98051232876712302</v>
      </c>
      <c r="AR65" s="22">
        <f t="shared" si="135"/>
        <v>0.97975616438356139</v>
      </c>
      <c r="AS65" s="22">
        <f t="shared" si="135"/>
        <v>0.97899999999999976</v>
      </c>
      <c r="AT65" s="22">
        <f t="shared" si="135"/>
        <v>0.97826027397260251</v>
      </c>
      <c r="AU65" s="22">
        <f t="shared" si="135"/>
        <v>0.97751232876712302</v>
      </c>
      <c r="AV65" s="22">
        <f t="shared" si="135"/>
        <v>0.97675616438356139</v>
      </c>
      <c r="AW65" s="22">
        <f t="shared" si="135"/>
        <v>0.97599999999999976</v>
      </c>
      <c r="AX65" s="22">
        <f t="shared" si="135"/>
        <v>0.97525409836065546</v>
      </c>
      <c r="AY65" s="22">
        <f t="shared" si="135"/>
        <v>0.97450819672131117</v>
      </c>
      <c r="AZ65" s="22">
        <f t="shared" si="135"/>
        <v>0.97375409836065541</v>
      </c>
      <c r="BA65" s="22">
        <f t="shared" si="135"/>
        <v>0.97299999999999964</v>
      </c>
      <c r="BB65" s="22">
        <f t="shared" si="135"/>
        <v>0.9722602739726024</v>
      </c>
      <c r="BC65" s="22">
        <f t="shared" si="135"/>
        <v>0.9715123287671229</v>
      </c>
      <c r="BD65" s="22">
        <f t="shared" si="135"/>
        <v>0.97075616438356127</v>
      </c>
      <c r="BE65" s="22">
        <f t="shared" si="135"/>
        <v>0.96999999999999964</v>
      </c>
      <c r="BF65" s="22">
        <f t="shared" si="135"/>
        <v>0.96926027397260239</v>
      </c>
      <c r="BG65" s="22">
        <f t="shared" si="135"/>
        <v>0.9685123287671229</v>
      </c>
      <c r="BH65" s="22">
        <f t="shared" si="135"/>
        <v>0.96775616438356127</v>
      </c>
      <c r="BI65" s="22">
        <f t="shared" si="135"/>
        <v>0.96699999999999964</v>
      </c>
      <c r="BJ65" s="22">
        <f t="shared" si="135"/>
        <v>0.96626027397260239</v>
      </c>
      <c r="BK65" s="22">
        <f t="shared" si="135"/>
        <v>0.9655123287671229</v>
      </c>
      <c r="BL65" s="22">
        <f t="shared" si="135"/>
        <v>0.96475616438356127</v>
      </c>
      <c r="BM65" s="22">
        <f t="shared" si="135"/>
        <v>0.96399999999999963</v>
      </c>
      <c r="BN65" s="22">
        <f t="shared" si="135"/>
        <v>0.96325409836065534</v>
      </c>
      <c r="BO65" s="22">
        <f t="shared" si="135"/>
        <v>0.96250819672131105</v>
      </c>
      <c r="BP65" s="22">
        <f t="shared" si="135"/>
        <v>0.96175409836065529</v>
      </c>
      <c r="BQ65" s="22">
        <f t="shared" si="135"/>
        <v>0.96099999999999952</v>
      </c>
      <c r="BR65" s="22">
        <f t="shared" si="135"/>
        <v>0.96026027397260227</v>
      </c>
      <c r="BS65" s="22">
        <f t="shared" si="135"/>
        <v>0.95951232876712278</v>
      </c>
      <c r="BT65" s="22">
        <f t="shared" si="135"/>
        <v>0.95875616438356115</v>
      </c>
      <c r="BU65" s="22">
        <f t="shared" ref="BU65:CZ65" si="136">IF(BU14, IF(BU15, 1, BT65 - ($D65 * BU7 * BU14)), 0)</f>
        <v>0.95799999999999952</v>
      </c>
      <c r="BV65" s="22">
        <f t="shared" si="136"/>
        <v>0.95726027397260227</v>
      </c>
      <c r="BW65" s="22">
        <f t="shared" si="136"/>
        <v>0.95651232876712278</v>
      </c>
      <c r="BX65" s="22">
        <f t="shared" si="136"/>
        <v>0.95575616438356115</v>
      </c>
      <c r="BY65" s="22">
        <f t="shared" si="136"/>
        <v>0.95499999999999952</v>
      </c>
      <c r="BZ65" s="22">
        <f t="shared" si="136"/>
        <v>0.95426027397260227</v>
      </c>
      <c r="CA65" s="22">
        <f t="shared" si="136"/>
        <v>0.95351232876712277</v>
      </c>
      <c r="CB65" s="22">
        <f t="shared" si="136"/>
        <v>0.95275616438356114</v>
      </c>
      <c r="CC65" s="22">
        <f t="shared" si="136"/>
        <v>0.95199999999999951</v>
      </c>
      <c r="CD65" s="22">
        <f t="shared" si="136"/>
        <v>0.95125409836065522</v>
      </c>
      <c r="CE65" s="22">
        <f t="shared" si="136"/>
        <v>0.95050819672131093</v>
      </c>
      <c r="CF65" s="22">
        <f t="shared" si="136"/>
        <v>0.94975409836065516</v>
      </c>
      <c r="CG65" s="22">
        <f t="shared" si="136"/>
        <v>0.9489999999999994</v>
      </c>
      <c r="CH65" s="22">
        <f t="shared" si="136"/>
        <v>0.94826027397260215</v>
      </c>
      <c r="CI65" s="22">
        <f t="shared" si="136"/>
        <v>0.94751232876712266</v>
      </c>
      <c r="CJ65" s="22">
        <f t="shared" si="136"/>
        <v>0.94675616438356103</v>
      </c>
      <c r="CK65" s="22">
        <f t="shared" si="136"/>
        <v>0.9459999999999994</v>
      </c>
      <c r="CL65" s="22">
        <f t="shared" si="136"/>
        <v>0.94526027397260215</v>
      </c>
      <c r="CM65" s="22">
        <f t="shared" si="136"/>
        <v>0.94451232876712266</v>
      </c>
      <c r="CN65" s="22">
        <f t="shared" si="136"/>
        <v>0.94375616438356102</v>
      </c>
      <c r="CO65" s="22">
        <f t="shared" si="136"/>
        <v>0.94299999999999939</v>
      </c>
      <c r="CP65" s="22">
        <f t="shared" si="136"/>
        <v>0.94226027397260215</v>
      </c>
      <c r="CQ65" s="22">
        <f t="shared" si="136"/>
        <v>0.94151232876712265</v>
      </c>
      <c r="CR65" s="22">
        <f t="shared" si="136"/>
        <v>0.94075616438356102</v>
      </c>
      <c r="CS65" s="22">
        <f t="shared" si="136"/>
        <v>0.93999999999999939</v>
      </c>
      <c r="CT65" s="22">
        <f t="shared" si="136"/>
        <v>0.9392540983606551</v>
      </c>
      <c r="CU65" s="22">
        <f t="shared" si="136"/>
        <v>0.93850819672131081</v>
      </c>
      <c r="CV65" s="22">
        <f t="shared" si="136"/>
        <v>0.93775409836065504</v>
      </c>
      <c r="CW65" s="22">
        <f t="shared" si="136"/>
        <v>0.93699999999999928</v>
      </c>
      <c r="CX65" s="22">
        <f t="shared" si="136"/>
        <v>0.93626027397260203</v>
      </c>
      <c r="CY65" s="22">
        <f t="shared" si="136"/>
        <v>0.93551232876712254</v>
      </c>
      <c r="CZ65" s="22">
        <f t="shared" si="136"/>
        <v>0.93475616438356091</v>
      </c>
      <c r="DA65" s="22">
        <f t="shared" ref="DA65:EF65" si="137">IF(DA14, IF(DA15, 1, CZ65 - ($D65 * DA7 * DA14)), 0)</f>
        <v>0.93399999999999928</v>
      </c>
      <c r="DB65" s="22">
        <f t="shared" si="137"/>
        <v>0.93326027397260203</v>
      </c>
      <c r="DC65" s="22">
        <f t="shared" si="137"/>
        <v>0.93251232876712253</v>
      </c>
      <c r="DD65" s="22">
        <f t="shared" si="137"/>
        <v>0.9317561643835609</v>
      </c>
      <c r="DE65" s="22">
        <f t="shared" si="137"/>
        <v>0.93099999999999927</v>
      </c>
      <c r="DF65" s="22">
        <f t="shared" si="137"/>
        <v>0.93026027397260203</v>
      </c>
      <c r="DG65" s="22">
        <f t="shared" si="137"/>
        <v>0.92951232876712253</v>
      </c>
      <c r="DH65" s="22">
        <f t="shared" si="137"/>
        <v>0.9287561643835609</v>
      </c>
      <c r="DI65" s="22">
        <f t="shared" si="137"/>
        <v>0.92799999999999927</v>
      </c>
      <c r="DJ65" s="22">
        <f t="shared" si="137"/>
        <v>0.92725409836065498</v>
      </c>
      <c r="DK65" s="22">
        <f t="shared" si="137"/>
        <v>0.92650819672131068</v>
      </c>
      <c r="DL65" s="22">
        <f t="shared" si="137"/>
        <v>0.92575409836065492</v>
      </c>
      <c r="DM65" s="22">
        <f t="shared" si="137"/>
        <v>0.92499999999999916</v>
      </c>
      <c r="DN65" s="22">
        <f t="shared" si="137"/>
        <v>0.92426027397260191</v>
      </c>
      <c r="DO65" s="22">
        <f t="shared" si="137"/>
        <v>0.92351232876712241</v>
      </c>
      <c r="DP65" s="22">
        <f t="shared" si="137"/>
        <v>0.92275616438356078</v>
      </c>
      <c r="DQ65" s="22">
        <f t="shared" si="137"/>
        <v>0.92199999999999915</v>
      </c>
      <c r="DR65" s="22">
        <f t="shared" si="137"/>
        <v>0.92126027397260191</v>
      </c>
      <c r="DS65" s="22">
        <f t="shared" si="137"/>
        <v>0.92051232876712241</v>
      </c>
      <c r="DT65" s="22">
        <f t="shared" si="137"/>
        <v>0.91975616438356078</v>
      </c>
      <c r="DU65" s="22">
        <f t="shared" si="137"/>
        <v>0.91899999999999915</v>
      </c>
      <c r="DV65" s="22">
        <f t="shared" si="137"/>
        <v>0.9182602739726019</v>
      </c>
      <c r="DW65" s="22">
        <f t="shared" si="137"/>
        <v>0.91751232876712241</v>
      </c>
      <c r="DX65" s="22">
        <f t="shared" si="137"/>
        <v>0.91675616438356078</v>
      </c>
      <c r="DY65" s="22">
        <f t="shared" si="137"/>
        <v>0.91599999999999915</v>
      </c>
      <c r="DZ65" s="22">
        <f t="shared" si="137"/>
        <v>0.91525409836065486</v>
      </c>
      <c r="EA65" s="22">
        <f t="shared" si="137"/>
        <v>0.91450819672131056</v>
      </c>
      <c r="EB65" s="22">
        <f t="shared" si="137"/>
        <v>0.9137540983606548</v>
      </c>
      <c r="EC65" s="22">
        <f t="shared" si="137"/>
        <v>0.91299999999999903</v>
      </c>
      <c r="ED65" s="22">
        <f t="shared" si="137"/>
        <v>0.91226027397260179</v>
      </c>
      <c r="EE65" s="22">
        <f t="shared" si="137"/>
        <v>0.91151232876712229</v>
      </c>
      <c r="EF65" s="22">
        <f t="shared" si="137"/>
        <v>0.91075616438356066</v>
      </c>
      <c r="EG65" s="22">
        <f t="shared" ref="EG65:FM65" si="138">IF(EG14, IF(EG15, 1, EF65 - ($D65 * EG7 * EG14)), 0)</f>
        <v>0.90999999999999903</v>
      </c>
      <c r="EH65" s="22">
        <f t="shared" si="138"/>
        <v>0.90926027397260178</v>
      </c>
      <c r="EI65" s="22">
        <f t="shared" si="138"/>
        <v>0.90851232876712229</v>
      </c>
      <c r="EJ65" s="22">
        <f t="shared" si="138"/>
        <v>0.90775616438356066</v>
      </c>
      <c r="EK65" s="22">
        <f t="shared" si="138"/>
        <v>0.90699999999999903</v>
      </c>
      <c r="EL65" s="22">
        <f t="shared" si="138"/>
        <v>0.90626027397260178</v>
      </c>
      <c r="EM65" s="22">
        <f t="shared" si="138"/>
        <v>0.90551232876712229</v>
      </c>
      <c r="EN65" s="22">
        <f t="shared" si="138"/>
        <v>0.90475616438356066</v>
      </c>
      <c r="EO65" s="22">
        <f t="shared" si="138"/>
        <v>0.90399999999999903</v>
      </c>
      <c r="EP65" s="22">
        <f t="shared" si="138"/>
        <v>0.90325409836065473</v>
      </c>
      <c r="EQ65" s="22">
        <f t="shared" si="138"/>
        <v>0.90250819672131044</v>
      </c>
      <c r="ER65" s="22">
        <f t="shared" si="138"/>
        <v>0.90175409836065468</v>
      </c>
      <c r="ES65" s="22">
        <f t="shared" si="138"/>
        <v>0.90099999999999891</v>
      </c>
      <c r="ET65" s="22">
        <f t="shared" si="138"/>
        <v>0.90026027397260167</v>
      </c>
      <c r="EU65" s="22">
        <f t="shared" si="138"/>
        <v>0.89951232876712217</v>
      </c>
      <c r="EV65" s="22">
        <f t="shared" si="138"/>
        <v>0.89875616438356054</v>
      </c>
      <c r="EW65" s="22">
        <f t="shared" si="138"/>
        <v>0.89799999999999891</v>
      </c>
      <c r="EX65" s="22">
        <f t="shared" si="138"/>
        <v>0.89726027397260166</v>
      </c>
      <c r="EY65" s="22">
        <f t="shared" si="138"/>
        <v>0.89651232876712217</v>
      </c>
      <c r="EZ65" s="22">
        <f t="shared" si="138"/>
        <v>0.89575616438356054</v>
      </c>
      <c r="FA65" s="22">
        <f t="shared" si="138"/>
        <v>0.89499999999999891</v>
      </c>
      <c r="FB65" s="22">
        <f t="shared" si="138"/>
        <v>0</v>
      </c>
      <c r="FC65" s="22">
        <f t="shared" si="138"/>
        <v>0</v>
      </c>
      <c r="FD65" s="22">
        <f t="shared" si="138"/>
        <v>0</v>
      </c>
      <c r="FE65" s="22">
        <f t="shared" si="138"/>
        <v>0</v>
      </c>
      <c r="FF65" s="22">
        <f t="shared" si="138"/>
        <v>0</v>
      </c>
      <c r="FG65" s="22">
        <f t="shared" si="138"/>
        <v>0</v>
      </c>
      <c r="FH65" s="22">
        <f t="shared" si="138"/>
        <v>0</v>
      </c>
      <c r="FI65" s="22">
        <f t="shared" si="138"/>
        <v>0</v>
      </c>
      <c r="FJ65" s="22">
        <f t="shared" si="138"/>
        <v>0</v>
      </c>
      <c r="FK65" s="22">
        <f t="shared" si="138"/>
        <v>0</v>
      </c>
      <c r="FL65" s="22">
        <f t="shared" si="138"/>
        <v>0</v>
      </c>
      <c r="FM65" s="22">
        <f t="shared" si="138"/>
        <v>0</v>
      </c>
    </row>
    <row r="66" spans="2:169" x14ac:dyDescent="0.25">
      <c r="B66" s="29" t="s">
        <v>117</v>
      </c>
      <c r="C66" s="29" t="s">
        <v>114</v>
      </c>
      <c r="D66" s="29"/>
      <c r="E66" s="29"/>
      <c r="F66" s="29"/>
      <c r="G66" s="29"/>
      <c r="H66" s="32">
        <f>SUM(I66:FM66)</f>
        <v>2521445.2230689693</v>
      </c>
      <c r="I66" s="30">
        <f>PRODUCT(I63:I65)</f>
        <v>0</v>
      </c>
      <c r="J66" s="30">
        <f t="shared" ref="J66:BU66" si="139">PRODUCT(J63:J65)</f>
        <v>0</v>
      </c>
      <c r="K66" s="30">
        <f t="shared" si="139"/>
        <v>0</v>
      </c>
      <c r="L66" s="30">
        <f t="shared" si="139"/>
        <v>0</v>
      </c>
      <c r="M66" s="30">
        <f t="shared" si="139"/>
        <v>0</v>
      </c>
      <c r="N66" s="30">
        <f t="shared" si="139"/>
        <v>0</v>
      </c>
      <c r="O66" s="30">
        <f t="shared" si="139"/>
        <v>0</v>
      </c>
      <c r="P66" s="30">
        <f t="shared" si="139"/>
        <v>0</v>
      </c>
      <c r="Q66" s="30">
        <f t="shared" si="139"/>
        <v>6443.6472602739732</v>
      </c>
      <c r="R66" s="30">
        <f t="shared" si="139"/>
        <v>18849.471320013661</v>
      </c>
      <c r="S66" s="30">
        <f t="shared" si="139"/>
        <v>18835.400973360654</v>
      </c>
      <c r="T66" s="30">
        <f t="shared" si="139"/>
        <v>19028.002117486336</v>
      </c>
      <c r="U66" s="30">
        <f t="shared" si="139"/>
        <v>19013.620833333331</v>
      </c>
      <c r="V66" s="30">
        <f t="shared" si="139"/>
        <v>18637.402601332327</v>
      </c>
      <c r="W66" s="30">
        <f t="shared" si="139"/>
        <v>18830.337302401949</v>
      </c>
      <c r="X66" s="30">
        <f t="shared" si="139"/>
        <v>19022.803892287484</v>
      </c>
      <c r="Y66" s="30">
        <f t="shared" si="139"/>
        <v>19008.343698630139</v>
      </c>
      <c r="Z66" s="30">
        <f t="shared" si="139"/>
        <v>18581.280512291232</v>
      </c>
      <c r="AA66" s="30">
        <f t="shared" si="139"/>
        <v>18773.591634593729</v>
      </c>
      <c r="AB66" s="30">
        <f t="shared" si="139"/>
        <v>18965.434645712143</v>
      </c>
      <c r="AC66" s="30">
        <f t="shared" si="139"/>
        <v>18950.974452054794</v>
      </c>
      <c r="AD66" s="30">
        <f t="shared" si="139"/>
        <v>18525.158423250137</v>
      </c>
      <c r="AE66" s="30">
        <f t="shared" si="139"/>
        <v>18716.84596678551</v>
      </c>
      <c r="AF66" s="30">
        <f t="shared" si="139"/>
        <v>18908.065399136798</v>
      </c>
      <c r="AG66" s="30">
        <f t="shared" si="139"/>
        <v>18893.605205479453</v>
      </c>
      <c r="AH66" s="30">
        <f t="shared" si="139"/>
        <v>18623.108820013658</v>
      </c>
      <c r="AI66" s="30">
        <f t="shared" si="139"/>
        <v>18609.038473360655</v>
      </c>
      <c r="AJ66" s="30">
        <f t="shared" si="139"/>
        <v>18799.152117486334</v>
      </c>
      <c r="AK66" s="30">
        <f t="shared" si="139"/>
        <v>18784.770833333328</v>
      </c>
      <c r="AL66" s="30">
        <f t="shared" si="139"/>
        <v>18412.914245167944</v>
      </c>
      <c r="AM66" s="30">
        <f t="shared" si="139"/>
        <v>18603.35463116907</v>
      </c>
      <c r="AN66" s="30">
        <f t="shared" si="139"/>
        <v>18793.326905986112</v>
      </c>
      <c r="AO66" s="30">
        <f t="shared" si="139"/>
        <v>18778.866712328763</v>
      </c>
      <c r="AP66" s="30">
        <f t="shared" si="139"/>
        <v>18356.792156126849</v>
      </c>
      <c r="AQ66" s="30">
        <f t="shared" si="139"/>
        <v>18546.60896336085</v>
      </c>
      <c r="AR66" s="30">
        <f t="shared" si="139"/>
        <v>18735.957659410768</v>
      </c>
      <c r="AS66" s="30">
        <f t="shared" si="139"/>
        <v>18721.497465753422</v>
      </c>
      <c r="AT66" s="30">
        <f t="shared" si="139"/>
        <v>18300.67006708575</v>
      </c>
      <c r="AU66" s="30">
        <f t="shared" si="139"/>
        <v>18489.86329555263</v>
      </c>
      <c r="AV66" s="30">
        <f t="shared" si="139"/>
        <v>18678.588412835426</v>
      </c>
      <c r="AW66" s="30">
        <f t="shared" si="139"/>
        <v>18664.128219178081</v>
      </c>
      <c r="AX66" s="30">
        <f t="shared" si="139"/>
        <v>18396.746320013659</v>
      </c>
      <c r="AY66" s="30">
        <f t="shared" si="139"/>
        <v>18382.675973360652</v>
      </c>
      <c r="AZ66" s="30">
        <f t="shared" si="139"/>
        <v>18570.302117486332</v>
      </c>
      <c r="BA66" s="30">
        <f t="shared" si="139"/>
        <v>18555.920833333326</v>
      </c>
      <c r="BB66" s="30">
        <f t="shared" si="139"/>
        <v>18188.425889003556</v>
      </c>
      <c r="BC66" s="30">
        <f t="shared" si="139"/>
        <v>18376.37195993619</v>
      </c>
      <c r="BD66" s="30">
        <f t="shared" si="139"/>
        <v>18563.849919684741</v>
      </c>
      <c r="BE66" s="30">
        <f t="shared" si="139"/>
        <v>18549.389726027392</v>
      </c>
      <c r="BF66" s="30">
        <f t="shared" si="139"/>
        <v>18132.303799962461</v>
      </c>
      <c r="BG66" s="30">
        <f t="shared" si="139"/>
        <v>18319.62629212797</v>
      </c>
      <c r="BH66" s="30">
        <f t="shared" si="139"/>
        <v>18506.480673109396</v>
      </c>
      <c r="BI66" s="30">
        <f t="shared" si="139"/>
        <v>18492.02047945205</v>
      </c>
      <c r="BJ66" s="30">
        <f t="shared" si="139"/>
        <v>18076.181710921366</v>
      </c>
      <c r="BK66" s="30">
        <f t="shared" si="139"/>
        <v>18262.880624319754</v>
      </c>
      <c r="BL66" s="30">
        <f t="shared" si="139"/>
        <v>18449.111426534055</v>
      </c>
      <c r="BM66" s="30">
        <f t="shared" si="139"/>
        <v>18434.651232876709</v>
      </c>
      <c r="BN66" s="30">
        <f t="shared" si="139"/>
        <v>18170.383820013656</v>
      </c>
      <c r="BO66" s="30">
        <f t="shared" si="139"/>
        <v>18156.313473360649</v>
      </c>
      <c r="BP66" s="30">
        <f t="shared" si="139"/>
        <v>18341.452117486329</v>
      </c>
      <c r="BQ66" s="30">
        <f t="shared" si="139"/>
        <v>18327.070833333324</v>
      </c>
      <c r="BR66" s="30">
        <f t="shared" si="139"/>
        <v>17963.937532839172</v>
      </c>
      <c r="BS66" s="30">
        <f t="shared" si="139"/>
        <v>18149.389288703311</v>
      </c>
      <c r="BT66" s="30">
        <f t="shared" si="139"/>
        <v>18334.372933383365</v>
      </c>
      <c r="BU66" s="30">
        <f t="shared" si="139"/>
        <v>18319.91273972602</v>
      </c>
      <c r="BV66" s="30">
        <f t="shared" ref="BV66:EG66" si="140">PRODUCT(BV63:BV65)</f>
        <v>17907.815443798074</v>
      </c>
      <c r="BW66" s="30">
        <f t="shared" si="140"/>
        <v>18092.643620895095</v>
      </c>
      <c r="BX66" s="30">
        <f t="shared" si="140"/>
        <v>18277.003686808024</v>
      </c>
      <c r="BY66" s="30">
        <f t="shared" si="140"/>
        <v>18262.543493150679</v>
      </c>
      <c r="BZ66" s="30">
        <f t="shared" si="140"/>
        <v>17851.693354756979</v>
      </c>
      <c r="CA66" s="30">
        <f t="shared" si="140"/>
        <v>18035.897953086875</v>
      </c>
      <c r="CB66" s="30">
        <f t="shared" si="140"/>
        <v>18219.634440232683</v>
      </c>
      <c r="CC66" s="30">
        <f t="shared" si="140"/>
        <v>18205.174246575334</v>
      </c>
      <c r="CD66" s="30">
        <f t="shared" si="140"/>
        <v>17944.021320013653</v>
      </c>
      <c r="CE66" s="30">
        <f t="shared" si="140"/>
        <v>17929.950973360646</v>
      </c>
      <c r="CF66" s="30">
        <f t="shared" si="140"/>
        <v>18112.602117486327</v>
      </c>
      <c r="CG66" s="30">
        <f t="shared" si="140"/>
        <v>18098.220833333322</v>
      </c>
      <c r="CH66" s="30">
        <f t="shared" si="140"/>
        <v>17739.449176674785</v>
      </c>
      <c r="CI66" s="30">
        <f t="shared" si="140"/>
        <v>17922.406617470435</v>
      </c>
      <c r="CJ66" s="30">
        <f t="shared" si="140"/>
        <v>18104.895947081994</v>
      </c>
      <c r="CK66" s="30">
        <f t="shared" si="140"/>
        <v>18090.435753424648</v>
      </c>
      <c r="CL66" s="30">
        <f t="shared" si="140"/>
        <v>17683.32708763369</v>
      </c>
      <c r="CM66" s="30">
        <f t="shared" si="140"/>
        <v>17865.660949662215</v>
      </c>
      <c r="CN66" s="30">
        <f t="shared" si="140"/>
        <v>18047.526700506653</v>
      </c>
      <c r="CO66" s="30">
        <f t="shared" si="140"/>
        <v>18033.066506849307</v>
      </c>
      <c r="CP66" s="30">
        <f t="shared" si="140"/>
        <v>17627.204998592595</v>
      </c>
      <c r="CQ66" s="30">
        <f t="shared" si="140"/>
        <v>17808.915281853995</v>
      </c>
      <c r="CR66" s="30">
        <f t="shared" si="140"/>
        <v>17990.157453931308</v>
      </c>
      <c r="CS66" s="30">
        <f t="shared" si="140"/>
        <v>17975.697260273962</v>
      </c>
      <c r="CT66" s="30">
        <f t="shared" si="140"/>
        <v>17717.65882001365</v>
      </c>
      <c r="CU66" s="30">
        <f t="shared" si="140"/>
        <v>17703.588473360644</v>
      </c>
      <c r="CV66" s="30">
        <f t="shared" si="140"/>
        <v>17883.752117486325</v>
      </c>
      <c r="CW66" s="30">
        <f t="shared" si="140"/>
        <v>17869.37083333332</v>
      </c>
      <c r="CX66" s="30">
        <f t="shared" si="140"/>
        <v>17514.960820510401</v>
      </c>
      <c r="CY66" s="30">
        <f t="shared" si="140"/>
        <v>17695.423946237555</v>
      </c>
      <c r="CZ66" s="30">
        <f t="shared" si="140"/>
        <v>17875.418960780622</v>
      </c>
      <c r="DA66" s="30">
        <f t="shared" si="140"/>
        <v>17860.958767123277</v>
      </c>
      <c r="DB66" s="30">
        <f t="shared" si="140"/>
        <v>17458.838731469303</v>
      </c>
      <c r="DC66" s="30">
        <f t="shared" si="140"/>
        <v>17638.678278429335</v>
      </c>
      <c r="DD66" s="30">
        <f t="shared" si="140"/>
        <v>17818.049714205281</v>
      </c>
      <c r="DE66" s="30">
        <f t="shared" si="140"/>
        <v>17803.589520547932</v>
      </c>
      <c r="DF66" s="30">
        <f t="shared" si="140"/>
        <v>17402.716642428208</v>
      </c>
      <c r="DG66" s="30">
        <f t="shared" si="140"/>
        <v>17581.932610621116</v>
      </c>
      <c r="DH66" s="30">
        <f t="shared" si="140"/>
        <v>17760.680467629936</v>
      </c>
      <c r="DI66" s="30">
        <f t="shared" si="140"/>
        <v>17746.220273972591</v>
      </c>
      <c r="DJ66" s="30">
        <f t="shared" si="140"/>
        <v>17491.296320013647</v>
      </c>
      <c r="DK66" s="30">
        <f t="shared" si="140"/>
        <v>17477.225973360641</v>
      </c>
      <c r="DL66" s="30">
        <f t="shared" si="140"/>
        <v>17654.902117486323</v>
      </c>
      <c r="DM66" s="30">
        <f t="shared" si="140"/>
        <v>17640.520833333318</v>
      </c>
      <c r="DN66" s="30">
        <f t="shared" si="140"/>
        <v>17290.472464346014</v>
      </c>
      <c r="DO66" s="30">
        <f t="shared" si="140"/>
        <v>17468.441275004676</v>
      </c>
      <c r="DP66" s="30">
        <f t="shared" si="140"/>
        <v>17645.94197447925</v>
      </c>
      <c r="DQ66" s="30">
        <f t="shared" si="140"/>
        <v>17631.481780821905</v>
      </c>
      <c r="DR66" s="30">
        <f t="shared" si="140"/>
        <v>17234.350375304919</v>
      </c>
      <c r="DS66" s="30">
        <f t="shared" si="140"/>
        <v>17411.695607196456</v>
      </c>
      <c r="DT66" s="30">
        <f t="shared" si="140"/>
        <v>17588.572727903909</v>
      </c>
      <c r="DU66" s="30">
        <f t="shared" si="140"/>
        <v>17574.11253424656</v>
      </c>
      <c r="DV66" s="30">
        <f t="shared" si="140"/>
        <v>17178.228286263824</v>
      </c>
      <c r="DW66" s="30">
        <f t="shared" si="140"/>
        <v>17354.949939388236</v>
      </c>
      <c r="DX66" s="30">
        <f t="shared" si="140"/>
        <v>17531.203481328565</v>
      </c>
      <c r="DY66" s="30">
        <f t="shared" si="140"/>
        <v>17516.743287671219</v>
      </c>
      <c r="DZ66" s="30">
        <f t="shared" si="140"/>
        <v>17264.933820013644</v>
      </c>
      <c r="EA66" s="30">
        <f t="shared" si="140"/>
        <v>17250.863473360641</v>
      </c>
      <c r="EB66" s="30">
        <f t="shared" si="140"/>
        <v>17426.052117486321</v>
      </c>
      <c r="EC66" s="30">
        <f t="shared" si="140"/>
        <v>17411.670833333315</v>
      </c>
      <c r="ED66" s="30">
        <f t="shared" si="140"/>
        <v>17065.984108181627</v>
      </c>
      <c r="EE66" s="30">
        <f t="shared" si="140"/>
        <v>17241.458603771796</v>
      </c>
      <c r="EF66" s="30">
        <f t="shared" si="140"/>
        <v>17416.464988177879</v>
      </c>
      <c r="EG66" s="30">
        <f t="shared" si="140"/>
        <v>17402.004794520533</v>
      </c>
      <c r="EH66" s="30">
        <f t="shared" ref="EH66:FM66" si="141">PRODUCT(EH63:EH65)</f>
        <v>17009.862019140532</v>
      </c>
      <c r="EI66" s="30">
        <f t="shared" si="141"/>
        <v>17184.712935963576</v>
      </c>
      <c r="EJ66" s="30">
        <f t="shared" si="141"/>
        <v>17359.095741602534</v>
      </c>
      <c r="EK66" s="30">
        <f t="shared" si="141"/>
        <v>17344.635547945189</v>
      </c>
      <c r="EL66" s="30">
        <f t="shared" si="141"/>
        <v>16953.739930099437</v>
      </c>
      <c r="EM66" s="30">
        <f t="shared" si="141"/>
        <v>17127.967268155357</v>
      </c>
      <c r="EN66" s="30">
        <f t="shared" si="141"/>
        <v>17301.726495027193</v>
      </c>
      <c r="EO66" s="30">
        <f t="shared" si="141"/>
        <v>17287.266301369847</v>
      </c>
      <c r="EP66" s="30">
        <f t="shared" si="141"/>
        <v>17038.571320013645</v>
      </c>
      <c r="EQ66" s="30">
        <f t="shared" si="141"/>
        <v>17024.500973360638</v>
      </c>
      <c r="ER66" s="30">
        <f t="shared" si="141"/>
        <v>17197.202117486318</v>
      </c>
      <c r="ES66" s="30">
        <f t="shared" si="141"/>
        <v>17182.820833333313</v>
      </c>
      <c r="ET66" s="30">
        <f t="shared" si="141"/>
        <v>16841.495752017243</v>
      </c>
      <c r="EU66" s="30">
        <f t="shared" si="141"/>
        <v>17014.475932538917</v>
      </c>
      <c r="EV66" s="30">
        <f t="shared" si="141"/>
        <v>17186.988001876507</v>
      </c>
      <c r="EW66" s="30">
        <f t="shared" si="141"/>
        <v>17172.527808219158</v>
      </c>
      <c r="EX66" s="30">
        <f t="shared" si="141"/>
        <v>16785.373662976148</v>
      </c>
      <c r="EY66" s="30">
        <f t="shared" si="141"/>
        <v>16957.730264730697</v>
      </c>
      <c r="EZ66" s="30">
        <f t="shared" si="141"/>
        <v>17129.618755301162</v>
      </c>
      <c r="FA66" s="30">
        <f t="shared" si="141"/>
        <v>17115.158561643817</v>
      </c>
      <c r="FB66" s="30">
        <f t="shared" si="141"/>
        <v>0</v>
      </c>
      <c r="FC66" s="30">
        <f t="shared" si="141"/>
        <v>0</v>
      </c>
      <c r="FD66" s="30">
        <f t="shared" si="141"/>
        <v>0</v>
      </c>
      <c r="FE66" s="30">
        <f t="shared" si="141"/>
        <v>0</v>
      </c>
      <c r="FF66" s="30">
        <f t="shared" si="141"/>
        <v>0</v>
      </c>
      <c r="FG66" s="30">
        <f t="shared" si="141"/>
        <v>0</v>
      </c>
      <c r="FH66" s="30">
        <f t="shared" si="141"/>
        <v>0</v>
      </c>
      <c r="FI66" s="30">
        <f t="shared" si="141"/>
        <v>0</v>
      </c>
      <c r="FJ66" s="30">
        <f t="shared" si="141"/>
        <v>0</v>
      </c>
      <c r="FK66" s="30">
        <f t="shared" si="141"/>
        <v>0</v>
      </c>
      <c r="FL66" s="30">
        <f t="shared" si="141"/>
        <v>0</v>
      </c>
      <c r="FM66" s="30">
        <f t="shared" si="141"/>
        <v>0</v>
      </c>
    </row>
    <row r="67" spans="2:169" x14ac:dyDescent="0.25"/>
    <row r="68" spans="2:169" x14ac:dyDescent="0.25">
      <c r="B68" s="40" t="s">
        <v>118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  <c r="FI68" s="40"/>
      <c r="FJ68" s="40"/>
      <c r="FK68" s="40"/>
      <c r="FL68" s="40"/>
      <c r="FM68" s="40"/>
    </row>
    <row r="69" spans="2:169" x14ac:dyDescent="0.25">
      <c r="B69" t="s">
        <v>119</v>
      </c>
      <c r="C69" t="s">
        <v>2</v>
      </c>
      <c r="H69" s="33">
        <f>SUM(I69:FM69)</f>
        <v>0.99999999999999989</v>
      </c>
      <c r="I69" s="22" cm="1">
        <f t="array" ref="I69">SUMPRODUCT(Dyn_Inp!$E$5:$AB$5, (Dyn_Inp!$E$4:$AB$4 &lt;=I13) * (Dyn_Inp!$E$4:$AB$4 &gt; H13))</f>
        <v>0</v>
      </c>
      <c r="J69" s="22" cm="1">
        <f t="array" ref="J69">SUMPRODUCT(Dyn_Inp!$E$5:$AB$5, (Dyn_Inp!$E$4:$AB$4 &lt;=J13) * (Dyn_Inp!$E$4:$AB$4 &gt; I13))</f>
        <v>0</v>
      </c>
      <c r="K69" s="22" cm="1">
        <f t="array" ref="K69">SUMPRODUCT(Dyn_Inp!$E$5:$AB$5, (Dyn_Inp!$E$4:$AB$4 &lt;=K13) * (Dyn_Inp!$E$4:$AB$4 &gt; J13))</f>
        <v>0.1</v>
      </c>
      <c r="L69" s="22" cm="1">
        <f t="array" ref="L69">SUMPRODUCT(Dyn_Inp!$E$5:$AB$5, (Dyn_Inp!$E$4:$AB$4 &lt;=L13) * (Dyn_Inp!$E$4:$AB$4 &gt; K13))</f>
        <v>0.1875</v>
      </c>
      <c r="M69" s="22" cm="1">
        <f t="array" ref="M69">SUMPRODUCT(Dyn_Inp!$E$5:$AB$5, (Dyn_Inp!$E$4:$AB$4 &lt;=M13) * (Dyn_Inp!$E$4:$AB$4 &gt; L13))</f>
        <v>0.1875</v>
      </c>
      <c r="N69" s="22" cm="1">
        <f t="array" ref="N69">SUMPRODUCT(Dyn_Inp!$E$5:$AB$5, (Dyn_Inp!$E$4:$AB$4 &lt;=N13) * (Dyn_Inp!$E$4:$AB$4 &gt; M13))</f>
        <v>0.19166666666666665</v>
      </c>
      <c r="O69" s="22" cm="1">
        <f t="array" ref="O69">SUMPRODUCT(Dyn_Inp!$E$5:$AB$5, (Dyn_Inp!$E$4:$AB$4 &lt;=O13) * (Dyn_Inp!$E$4:$AB$4 &gt; N13))</f>
        <v>0.16333333333333333</v>
      </c>
      <c r="P69" s="22" cm="1">
        <f t="array" ref="P69">SUMPRODUCT(Dyn_Inp!$E$5:$AB$5, (Dyn_Inp!$E$4:$AB$4 &lt;=P13) * (Dyn_Inp!$E$4:$AB$4 &gt; O13))</f>
        <v>0.09</v>
      </c>
      <c r="Q69" s="22" cm="1">
        <f t="array" ref="Q69">SUMPRODUCT(Dyn_Inp!$E$5:$AB$5, (Dyn_Inp!$E$4:$AB$4 &lt;=Q13) * (Dyn_Inp!$E$4:$AB$4 &gt; P13))</f>
        <v>0.08</v>
      </c>
      <c r="R69" s="22" cm="1">
        <f t="array" ref="R69">SUMPRODUCT(Dyn_Inp!$E$5:$AB$5, (Dyn_Inp!$E$4:$AB$4 &lt;=R13) * (Dyn_Inp!$E$4:$AB$4 &gt; Q13))</f>
        <v>0</v>
      </c>
      <c r="S69" s="22" cm="1">
        <f t="array" ref="S69">SUMPRODUCT(Dyn_Inp!$E$5:$AB$5, (Dyn_Inp!$E$4:$AB$4 &lt;=S13) * (Dyn_Inp!$E$4:$AB$4 &gt; R13))</f>
        <v>0</v>
      </c>
      <c r="T69" s="22" cm="1">
        <f t="array" ref="T69">SUMPRODUCT(Dyn_Inp!$E$5:$AB$5, (Dyn_Inp!$E$4:$AB$4 &lt;=T13) * (Dyn_Inp!$E$4:$AB$4 &gt; S13))</f>
        <v>0</v>
      </c>
      <c r="U69" s="22" cm="1">
        <f t="array" ref="U69">SUMPRODUCT(Dyn_Inp!$E$5:$AB$5, (Dyn_Inp!$E$4:$AB$4 &lt;=U13) * (Dyn_Inp!$E$4:$AB$4 &gt; T13))</f>
        <v>0</v>
      </c>
      <c r="V69" s="22" cm="1">
        <f t="array" ref="V69">SUMPRODUCT(Dyn_Inp!$E$5:$AB$5, (Dyn_Inp!$E$4:$AB$4 &lt;=V13) * (Dyn_Inp!$E$4:$AB$4 &gt; U13))</f>
        <v>0</v>
      </c>
      <c r="W69" s="22" cm="1">
        <f t="array" ref="W69">SUMPRODUCT(Dyn_Inp!$E$5:$AB$5, (Dyn_Inp!$E$4:$AB$4 &lt;=W13) * (Dyn_Inp!$E$4:$AB$4 &gt; V13))</f>
        <v>0</v>
      </c>
      <c r="X69" s="22" cm="1">
        <f t="array" ref="X69">SUMPRODUCT(Dyn_Inp!$E$5:$AB$5, (Dyn_Inp!$E$4:$AB$4 &lt;=X13) * (Dyn_Inp!$E$4:$AB$4 &gt; W13))</f>
        <v>0</v>
      </c>
      <c r="Y69" s="22" cm="1">
        <f t="array" ref="Y69">SUMPRODUCT(Dyn_Inp!$E$5:$AB$5, (Dyn_Inp!$E$4:$AB$4 &lt;=Y13) * (Dyn_Inp!$E$4:$AB$4 &gt; X13))</f>
        <v>0</v>
      </c>
      <c r="Z69" s="22" cm="1">
        <f t="array" ref="Z69">SUMPRODUCT(Dyn_Inp!$E$5:$AB$5, (Dyn_Inp!$E$4:$AB$4 &lt;=Z13) * (Dyn_Inp!$E$4:$AB$4 &gt; Y13))</f>
        <v>0</v>
      </c>
      <c r="AA69" s="22" cm="1">
        <f t="array" ref="AA69">SUMPRODUCT(Dyn_Inp!$E$5:$AB$5, (Dyn_Inp!$E$4:$AB$4 &lt;=AA13) * (Dyn_Inp!$E$4:$AB$4 &gt; Z13))</f>
        <v>0</v>
      </c>
      <c r="AB69" s="22" cm="1">
        <f t="array" ref="AB69">SUMPRODUCT(Dyn_Inp!$E$5:$AB$5, (Dyn_Inp!$E$4:$AB$4 &lt;=AB13) * (Dyn_Inp!$E$4:$AB$4 &gt; AA13))</f>
        <v>0</v>
      </c>
      <c r="AC69" s="22" cm="1">
        <f t="array" ref="AC69">SUMPRODUCT(Dyn_Inp!$E$5:$AB$5, (Dyn_Inp!$E$4:$AB$4 &lt;=AC13) * (Dyn_Inp!$E$4:$AB$4 &gt; AB13))</f>
        <v>0</v>
      </c>
      <c r="AD69" s="22" cm="1">
        <f t="array" ref="AD69">SUMPRODUCT(Dyn_Inp!$E$5:$AB$5, (Dyn_Inp!$E$4:$AB$4 &lt;=AD13) * (Dyn_Inp!$E$4:$AB$4 &gt; AC13))</f>
        <v>0</v>
      </c>
      <c r="AE69" s="22" cm="1">
        <f t="array" ref="AE69">SUMPRODUCT(Dyn_Inp!$E$5:$AB$5, (Dyn_Inp!$E$4:$AB$4 &lt;=AE13) * (Dyn_Inp!$E$4:$AB$4 &gt; AD13))</f>
        <v>0</v>
      </c>
      <c r="AF69" s="22" cm="1">
        <f t="array" ref="AF69">SUMPRODUCT(Dyn_Inp!$E$5:$AB$5, (Dyn_Inp!$E$4:$AB$4 &lt;=AF13) * (Dyn_Inp!$E$4:$AB$4 &gt; AE13))</f>
        <v>0</v>
      </c>
      <c r="AG69" s="22" cm="1">
        <f t="array" ref="AG69">SUMPRODUCT(Dyn_Inp!$E$5:$AB$5, (Dyn_Inp!$E$4:$AB$4 &lt;=AG13) * (Dyn_Inp!$E$4:$AB$4 &gt; AF13))</f>
        <v>0</v>
      </c>
      <c r="AH69" s="22" cm="1">
        <f t="array" ref="AH69">SUMPRODUCT(Dyn_Inp!$E$5:$AB$5, (Dyn_Inp!$E$4:$AB$4 &lt;=AH13) * (Dyn_Inp!$E$4:$AB$4 &gt; AG13))</f>
        <v>0</v>
      </c>
      <c r="AI69" s="22" cm="1">
        <f t="array" ref="AI69">SUMPRODUCT(Dyn_Inp!$E$5:$AB$5, (Dyn_Inp!$E$4:$AB$4 &lt;=AI13) * (Dyn_Inp!$E$4:$AB$4 &gt; AH13))</f>
        <v>0</v>
      </c>
      <c r="AJ69" s="22" cm="1">
        <f t="array" ref="AJ69">SUMPRODUCT(Dyn_Inp!$E$5:$AB$5, (Dyn_Inp!$E$4:$AB$4 &lt;=AJ13) * (Dyn_Inp!$E$4:$AB$4 &gt; AI13))</f>
        <v>0</v>
      </c>
      <c r="AK69" s="22" cm="1">
        <f t="array" ref="AK69">SUMPRODUCT(Dyn_Inp!$E$5:$AB$5, (Dyn_Inp!$E$4:$AB$4 &lt;=AK13) * (Dyn_Inp!$E$4:$AB$4 &gt; AJ13))</f>
        <v>0</v>
      </c>
      <c r="AL69" s="22" cm="1">
        <f t="array" ref="AL69">SUMPRODUCT(Dyn_Inp!$E$5:$AB$5, (Dyn_Inp!$E$4:$AB$4 &lt;=AL13) * (Dyn_Inp!$E$4:$AB$4 &gt; AK13))</f>
        <v>0</v>
      </c>
      <c r="AM69" s="22" cm="1">
        <f t="array" ref="AM69">SUMPRODUCT(Dyn_Inp!$E$5:$AB$5, (Dyn_Inp!$E$4:$AB$4 &lt;=AM13) * (Dyn_Inp!$E$4:$AB$4 &gt; AL13))</f>
        <v>0</v>
      </c>
      <c r="AN69" s="22" cm="1">
        <f t="array" ref="AN69">SUMPRODUCT(Dyn_Inp!$E$5:$AB$5, (Dyn_Inp!$E$4:$AB$4 &lt;=AN13) * (Dyn_Inp!$E$4:$AB$4 &gt; AM13))</f>
        <v>0</v>
      </c>
      <c r="AO69" s="22" cm="1">
        <f t="array" ref="AO69">SUMPRODUCT(Dyn_Inp!$E$5:$AB$5, (Dyn_Inp!$E$4:$AB$4 &lt;=AO13) * (Dyn_Inp!$E$4:$AB$4 &gt; AN13))</f>
        <v>0</v>
      </c>
      <c r="AP69" s="22" cm="1">
        <f t="array" ref="AP69">SUMPRODUCT(Dyn_Inp!$E$5:$AB$5, (Dyn_Inp!$E$4:$AB$4 &lt;=AP13) * (Dyn_Inp!$E$4:$AB$4 &gt; AO13))</f>
        <v>0</v>
      </c>
      <c r="AQ69" s="22" cm="1">
        <f t="array" ref="AQ69">SUMPRODUCT(Dyn_Inp!$E$5:$AB$5, (Dyn_Inp!$E$4:$AB$4 &lt;=AQ13) * (Dyn_Inp!$E$4:$AB$4 &gt; AP13))</f>
        <v>0</v>
      </c>
      <c r="AR69" s="22" cm="1">
        <f t="array" ref="AR69">SUMPRODUCT(Dyn_Inp!$E$5:$AB$5, (Dyn_Inp!$E$4:$AB$4 &lt;=AR13) * (Dyn_Inp!$E$4:$AB$4 &gt; AQ13))</f>
        <v>0</v>
      </c>
      <c r="AS69" s="22" cm="1">
        <f t="array" ref="AS69">SUMPRODUCT(Dyn_Inp!$E$5:$AB$5, (Dyn_Inp!$E$4:$AB$4 &lt;=AS13) * (Dyn_Inp!$E$4:$AB$4 &gt; AR13))</f>
        <v>0</v>
      </c>
      <c r="AT69" s="22" cm="1">
        <f t="array" ref="AT69">SUMPRODUCT(Dyn_Inp!$E$5:$AB$5, (Dyn_Inp!$E$4:$AB$4 &lt;=AT13) * (Dyn_Inp!$E$4:$AB$4 &gt; AS13))</f>
        <v>0</v>
      </c>
      <c r="AU69" s="22" cm="1">
        <f t="array" ref="AU69">SUMPRODUCT(Dyn_Inp!$E$5:$AB$5, (Dyn_Inp!$E$4:$AB$4 &lt;=AU13) * (Dyn_Inp!$E$4:$AB$4 &gt; AT13))</f>
        <v>0</v>
      </c>
      <c r="AV69" s="22" cm="1">
        <f t="array" ref="AV69">SUMPRODUCT(Dyn_Inp!$E$5:$AB$5, (Dyn_Inp!$E$4:$AB$4 &lt;=AV13) * (Dyn_Inp!$E$4:$AB$4 &gt; AU13))</f>
        <v>0</v>
      </c>
      <c r="AW69" s="22" cm="1">
        <f t="array" ref="AW69">SUMPRODUCT(Dyn_Inp!$E$5:$AB$5, (Dyn_Inp!$E$4:$AB$4 &lt;=AW13) * (Dyn_Inp!$E$4:$AB$4 &gt; AV13))</f>
        <v>0</v>
      </c>
      <c r="AX69" s="22" cm="1">
        <f t="array" ref="AX69">SUMPRODUCT(Dyn_Inp!$E$5:$AB$5, (Dyn_Inp!$E$4:$AB$4 &lt;=AX13) * (Dyn_Inp!$E$4:$AB$4 &gt; AW13))</f>
        <v>0</v>
      </c>
      <c r="AY69" s="22" cm="1">
        <f t="array" ref="AY69">SUMPRODUCT(Dyn_Inp!$E$5:$AB$5, (Dyn_Inp!$E$4:$AB$4 &lt;=AY13) * (Dyn_Inp!$E$4:$AB$4 &gt; AX13))</f>
        <v>0</v>
      </c>
      <c r="AZ69" s="22" cm="1">
        <f t="array" ref="AZ69">SUMPRODUCT(Dyn_Inp!$E$5:$AB$5, (Dyn_Inp!$E$4:$AB$4 &lt;=AZ13) * (Dyn_Inp!$E$4:$AB$4 &gt; AY13))</f>
        <v>0</v>
      </c>
      <c r="BA69" s="22" cm="1">
        <f t="array" ref="BA69">SUMPRODUCT(Dyn_Inp!$E$5:$AB$5, (Dyn_Inp!$E$4:$AB$4 &lt;=BA13) * (Dyn_Inp!$E$4:$AB$4 &gt; AZ13))</f>
        <v>0</v>
      </c>
      <c r="BB69" s="22" cm="1">
        <f t="array" ref="BB69">SUMPRODUCT(Dyn_Inp!$E$5:$AB$5, (Dyn_Inp!$E$4:$AB$4 &lt;=BB13) * (Dyn_Inp!$E$4:$AB$4 &gt; BA13))</f>
        <v>0</v>
      </c>
      <c r="BC69" s="22" cm="1">
        <f t="array" ref="BC69">SUMPRODUCT(Dyn_Inp!$E$5:$AB$5, (Dyn_Inp!$E$4:$AB$4 &lt;=BC13) * (Dyn_Inp!$E$4:$AB$4 &gt; BB13))</f>
        <v>0</v>
      </c>
      <c r="BD69" s="22" cm="1">
        <f t="array" ref="BD69">SUMPRODUCT(Dyn_Inp!$E$5:$AB$5, (Dyn_Inp!$E$4:$AB$4 &lt;=BD13) * (Dyn_Inp!$E$4:$AB$4 &gt; BC13))</f>
        <v>0</v>
      </c>
      <c r="BE69" s="22" cm="1">
        <f t="array" ref="BE69">SUMPRODUCT(Dyn_Inp!$E$5:$AB$5, (Dyn_Inp!$E$4:$AB$4 &lt;=BE13) * (Dyn_Inp!$E$4:$AB$4 &gt; BD13))</f>
        <v>0</v>
      </c>
      <c r="BF69" s="22" cm="1">
        <f t="array" ref="BF69">SUMPRODUCT(Dyn_Inp!$E$5:$AB$5, (Dyn_Inp!$E$4:$AB$4 &lt;=BF13) * (Dyn_Inp!$E$4:$AB$4 &gt; BE13))</f>
        <v>0</v>
      </c>
      <c r="BG69" s="22" cm="1">
        <f t="array" ref="BG69">SUMPRODUCT(Dyn_Inp!$E$5:$AB$5, (Dyn_Inp!$E$4:$AB$4 &lt;=BG13) * (Dyn_Inp!$E$4:$AB$4 &gt; BF13))</f>
        <v>0</v>
      </c>
      <c r="BH69" s="22" cm="1">
        <f t="array" ref="BH69">SUMPRODUCT(Dyn_Inp!$E$5:$AB$5, (Dyn_Inp!$E$4:$AB$4 &lt;=BH13) * (Dyn_Inp!$E$4:$AB$4 &gt; BG13))</f>
        <v>0</v>
      </c>
      <c r="BI69" s="22" cm="1">
        <f t="array" ref="BI69">SUMPRODUCT(Dyn_Inp!$E$5:$AB$5, (Dyn_Inp!$E$4:$AB$4 &lt;=BI13) * (Dyn_Inp!$E$4:$AB$4 &gt; BH13))</f>
        <v>0</v>
      </c>
      <c r="BJ69" s="22" cm="1">
        <f t="array" ref="BJ69">SUMPRODUCT(Dyn_Inp!$E$5:$AB$5, (Dyn_Inp!$E$4:$AB$4 &lt;=BJ13) * (Dyn_Inp!$E$4:$AB$4 &gt; BI13))</f>
        <v>0</v>
      </c>
      <c r="BK69" s="22" cm="1">
        <f t="array" ref="BK69">SUMPRODUCT(Dyn_Inp!$E$5:$AB$5, (Dyn_Inp!$E$4:$AB$4 &lt;=BK13) * (Dyn_Inp!$E$4:$AB$4 &gt; BJ13))</f>
        <v>0</v>
      </c>
      <c r="BL69" s="22" cm="1">
        <f t="array" ref="BL69">SUMPRODUCT(Dyn_Inp!$E$5:$AB$5, (Dyn_Inp!$E$4:$AB$4 &lt;=BL13) * (Dyn_Inp!$E$4:$AB$4 &gt; BK13))</f>
        <v>0</v>
      </c>
      <c r="BM69" s="22" cm="1">
        <f t="array" ref="BM69">SUMPRODUCT(Dyn_Inp!$E$5:$AB$5, (Dyn_Inp!$E$4:$AB$4 &lt;=BM13) * (Dyn_Inp!$E$4:$AB$4 &gt; BL13))</f>
        <v>0</v>
      </c>
      <c r="BN69" s="22" cm="1">
        <f t="array" ref="BN69">SUMPRODUCT(Dyn_Inp!$E$5:$AB$5, (Dyn_Inp!$E$4:$AB$4 &lt;=BN13) * (Dyn_Inp!$E$4:$AB$4 &gt; BM13))</f>
        <v>0</v>
      </c>
      <c r="BO69" s="22" cm="1">
        <f t="array" ref="BO69">SUMPRODUCT(Dyn_Inp!$E$5:$AB$5, (Dyn_Inp!$E$4:$AB$4 &lt;=BO13) * (Dyn_Inp!$E$4:$AB$4 &gt; BN13))</f>
        <v>0</v>
      </c>
      <c r="BP69" s="22" cm="1">
        <f t="array" ref="BP69">SUMPRODUCT(Dyn_Inp!$E$5:$AB$5, (Dyn_Inp!$E$4:$AB$4 &lt;=BP13) * (Dyn_Inp!$E$4:$AB$4 &gt; BO13))</f>
        <v>0</v>
      </c>
      <c r="BQ69" s="22" cm="1">
        <f t="array" ref="BQ69">SUMPRODUCT(Dyn_Inp!$E$5:$AB$5, (Dyn_Inp!$E$4:$AB$4 &lt;=BQ13) * (Dyn_Inp!$E$4:$AB$4 &gt; BP13))</f>
        <v>0</v>
      </c>
      <c r="BR69" s="22" cm="1">
        <f t="array" ref="BR69">SUMPRODUCT(Dyn_Inp!$E$5:$AB$5, (Dyn_Inp!$E$4:$AB$4 &lt;=BR13) * (Dyn_Inp!$E$4:$AB$4 &gt; BQ13))</f>
        <v>0</v>
      </c>
      <c r="BS69" s="22" cm="1">
        <f t="array" ref="BS69">SUMPRODUCT(Dyn_Inp!$E$5:$AB$5, (Dyn_Inp!$E$4:$AB$4 &lt;=BS13) * (Dyn_Inp!$E$4:$AB$4 &gt; BR13))</f>
        <v>0</v>
      </c>
      <c r="BT69" s="22" cm="1">
        <f t="array" ref="BT69">SUMPRODUCT(Dyn_Inp!$E$5:$AB$5, (Dyn_Inp!$E$4:$AB$4 &lt;=BT13) * (Dyn_Inp!$E$4:$AB$4 &gt; BS13))</f>
        <v>0</v>
      </c>
      <c r="BU69" s="22" cm="1">
        <f t="array" ref="BU69">SUMPRODUCT(Dyn_Inp!$E$5:$AB$5, (Dyn_Inp!$E$4:$AB$4 &lt;=BU13) * (Dyn_Inp!$E$4:$AB$4 &gt; BT13))</f>
        <v>0</v>
      </c>
      <c r="BV69" s="22" cm="1">
        <f t="array" ref="BV69">SUMPRODUCT(Dyn_Inp!$E$5:$AB$5, (Dyn_Inp!$E$4:$AB$4 &lt;=BV13) * (Dyn_Inp!$E$4:$AB$4 &gt; BU13))</f>
        <v>0</v>
      </c>
      <c r="BW69" s="22" cm="1">
        <f t="array" ref="BW69">SUMPRODUCT(Dyn_Inp!$E$5:$AB$5, (Dyn_Inp!$E$4:$AB$4 &lt;=BW13) * (Dyn_Inp!$E$4:$AB$4 &gt; BV13))</f>
        <v>0</v>
      </c>
      <c r="BX69" s="22" cm="1">
        <f t="array" ref="BX69">SUMPRODUCT(Dyn_Inp!$E$5:$AB$5, (Dyn_Inp!$E$4:$AB$4 &lt;=BX13) * (Dyn_Inp!$E$4:$AB$4 &gt; BW13))</f>
        <v>0</v>
      </c>
      <c r="BY69" s="22" cm="1">
        <f t="array" ref="BY69">SUMPRODUCT(Dyn_Inp!$E$5:$AB$5, (Dyn_Inp!$E$4:$AB$4 &lt;=BY13) * (Dyn_Inp!$E$4:$AB$4 &gt; BX13))</f>
        <v>0</v>
      </c>
      <c r="BZ69" s="22" cm="1">
        <f t="array" ref="BZ69">SUMPRODUCT(Dyn_Inp!$E$5:$AB$5, (Dyn_Inp!$E$4:$AB$4 &lt;=BZ13) * (Dyn_Inp!$E$4:$AB$4 &gt; BY13))</f>
        <v>0</v>
      </c>
      <c r="CA69" s="22" cm="1">
        <f t="array" ref="CA69">SUMPRODUCT(Dyn_Inp!$E$5:$AB$5, (Dyn_Inp!$E$4:$AB$4 &lt;=CA13) * (Dyn_Inp!$E$4:$AB$4 &gt; BZ13))</f>
        <v>0</v>
      </c>
      <c r="CB69" s="22" cm="1">
        <f t="array" ref="CB69">SUMPRODUCT(Dyn_Inp!$E$5:$AB$5, (Dyn_Inp!$E$4:$AB$4 &lt;=CB13) * (Dyn_Inp!$E$4:$AB$4 &gt; CA13))</f>
        <v>0</v>
      </c>
      <c r="CC69" s="22" cm="1">
        <f t="array" ref="CC69">SUMPRODUCT(Dyn_Inp!$E$5:$AB$5, (Dyn_Inp!$E$4:$AB$4 &lt;=CC13) * (Dyn_Inp!$E$4:$AB$4 &gt; CB13))</f>
        <v>0</v>
      </c>
      <c r="CD69" s="22" cm="1">
        <f t="array" ref="CD69">SUMPRODUCT(Dyn_Inp!$E$5:$AB$5, (Dyn_Inp!$E$4:$AB$4 &lt;=CD13) * (Dyn_Inp!$E$4:$AB$4 &gt; CC13))</f>
        <v>0</v>
      </c>
      <c r="CE69" s="22" cm="1">
        <f t="array" ref="CE69">SUMPRODUCT(Dyn_Inp!$E$5:$AB$5, (Dyn_Inp!$E$4:$AB$4 &lt;=CE13) * (Dyn_Inp!$E$4:$AB$4 &gt; CD13))</f>
        <v>0</v>
      </c>
      <c r="CF69" s="22" cm="1">
        <f t="array" ref="CF69">SUMPRODUCT(Dyn_Inp!$E$5:$AB$5, (Dyn_Inp!$E$4:$AB$4 &lt;=CF13) * (Dyn_Inp!$E$4:$AB$4 &gt; CE13))</f>
        <v>0</v>
      </c>
      <c r="CG69" s="22" cm="1">
        <f t="array" ref="CG69">SUMPRODUCT(Dyn_Inp!$E$5:$AB$5, (Dyn_Inp!$E$4:$AB$4 &lt;=CG13) * (Dyn_Inp!$E$4:$AB$4 &gt; CF13))</f>
        <v>0</v>
      </c>
      <c r="CH69" s="22" cm="1">
        <f t="array" ref="CH69">SUMPRODUCT(Dyn_Inp!$E$5:$AB$5, (Dyn_Inp!$E$4:$AB$4 &lt;=CH13) * (Dyn_Inp!$E$4:$AB$4 &gt; CG13))</f>
        <v>0</v>
      </c>
      <c r="CI69" s="22" cm="1">
        <f t="array" ref="CI69">SUMPRODUCT(Dyn_Inp!$E$5:$AB$5, (Dyn_Inp!$E$4:$AB$4 &lt;=CI13) * (Dyn_Inp!$E$4:$AB$4 &gt; CH13))</f>
        <v>0</v>
      </c>
      <c r="CJ69" s="22" cm="1">
        <f t="array" ref="CJ69">SUMPRODUCT(Dyn_Inp!$E$5:$AB$5, (Dyn_Inp!$E$4:$AB$4 &lt;=CJ13) * (Dyn_Inp!$E$4:$AB$4 &gt; CI13))</f>
        <v>0</v>
      </c>
      <c r="CK69" s="22" cm="1">
        <f t="array" ref="CK69">SUMPRODUCT(Dyn_Inp!$E$5:$AB$5, (Dyn_Inp!$E$4:$AB$4 &lt;=CK13) * (Dyn_Inp!$E$4:$AB$4 &gt; CJ13))</f>
        <v>0</v>
      </c>
      <c r="CL69" s="22" cm="1">
        <f t="array" ref="CL69">SUMPRODUCT(Dyn_Inp!$E$5:$AB$5, (Dyn_Inp!$E$4:$AB$4 &lt;=CL13) * (Dyn_Inp!$E$4:$AB$4 &gt; CK13))</f>
        <v>0</v>
      </c>
      <c r="CM69" s="22" cm="1">
        <f t="array" ref="CM69">SUMPRODUCT(Dyn_Inp!$E$5:$AB$5, (Dyn_Inp!$E$4:$AB$4 &lt;=CM13) * (Dyn_Inp!$E$4:$AB$4 &gt; CL13))</f>
        <v>0</v>
      </c>
      <c r="CN69" s="22" cm="1">
        <f t="array" ref="CN69">SUMPRODUCT(Dyn_Inp!$E$5:$AB$5, (Dyn_Inp!$E$4:$AB$4 &lt;=CN13) * (Dyn_Inp!$E$4:$AB$4 &gt; CM13))</f>
        <v>0</v>
      </c>
      <c r="CO69" s="22" cm="1">
        <f t="array" ref="CO69">SUMPRODUCT(Dyn_Inp!$E$5:$AB$5, (Dyn_Inp!$E$4:$AB$4 &lt;=CO13) * (Dyn_Inp!$E$4:$AB$4 &gt; CN13))</f>
        <v>0</v>
      </c>
      <c r="CP69" s="22" cm="1">
        <f t="array" ref="CP69">SUMPRODUCT(Dyn_Inp!$E$5:$AB$5, (Dyn_Inp!$E$4:$AB$4 &lt;=CP13) * (Dyn_Inp!$E$4:$AB$4 &gt; CO13))</f>
        <v>0</v>
      </c>
      <c r="CQ69" s="22" cm="1">
        <f t="array" ref="CQ69">SUMPRODUCT(Dyn_Inp!$E$5:$AB$5, (Dyn_Inp!$E$4:$AB$4 &lt;=CQ13) * (Dyn_Inp!$E$4:$AB$4 &gt; CP13))</f>
        <v>0</v>
      </c>
      <c r="CR69" s="22" cm="1">
        <f t="array" ref="CR69">SUMPRODUCT(Dyn_Inp!$E$5:$AB$5, (Dyn_Inp!$E$4:$AB$4 &lt;=CR13) * (Dyn_Inp!$E$4:$AB$4 &gt; CQ13))</f>
        <v>0</v>
      </c>
      <c r="CS69" s="22" cm="1">
        <f t="array" ref="CS69">SUMPRODUCT(Dyn_Inp!$E$5:$AB$5, (Dyn_Inp!$E$4:$AB$4 &lt;=CS13) * (Dyn_Inp!$E$4:$AB$4 &gt; CR13))</f>
        <v>0</v>
      </c>
      <c r="CT69" s="22" cm="1">
        <f t="array" ref="CT69">SUMPRODUCT(Dyn_Inp!$E$5:$AB$5, (Dyn_Inp!$E$4:$AB$4 &lt;=CT13) * (Dyn_Inp!$E$4:$AB$4 &gt; CS13))</f>
        <v>0</v>
      </c>
      <c r="CU69" s="22" cm="1">
        <f t="array" ref="CU69">SUMPRODUCT(Dyn_Inp!$E$5:$AB$5, (Dyn_Inp!$E$4:$AB$4 &lt;=CU13) * (Dyn_Inp!$E$4:$AB$4 &gt; CT13))</f>
        <v>0</v>
      </c>
      <c r="CV69" s="22" cm="1">
        <f t="array" ref="CV69">SUMPRODUCT(Dyn_Inp!$E$5:$AB$5, (Dyn_Inp!$E$4:$AB$4 &lt;=CV13) * (Dyn_Inp!$E$4:$AB$4 &gt; CU13))</f>
        <v>0</v>
      </c>
      <c r="CW69" s="22" cm="1">
        <f t="array" ref="CW69">SUMPRODUCT(Dyn_Inp!$E$5:$AB$5, (Dyn_Inp!$E$4:$AB$4 &lt;=CW13) * (Dyn_Inp!$E$4:$AB$4 &gt; CV13))</f>
        <v>0</v>
      </c>
      <c r="CX69" s="22" cm="1">
        <f t="array" ref="CX69">SUMPRODUCT(Dyn_Inp!$E$5:$AB$5, (Dyn_Inp!$E$4:$AB$4 &lt;=CX13) * (Dyn_Inp!$E$4:$AB$4 &gt; CW13))</f>
        <v>0</v>
      </c>
      <c r="CY69" s="22" cm="1">
        <f t="array" ref="CY69">SUMPRODUCT(Dyn_Inp!$E$5:$AB$5, (Dyn_Inp!$E$4:$AB$4 &lt;=CY13) * (Dyn_Inp!$E$4:$AB$4 &gt; CX13))</f>
        <v>0</v>
      </c>
      <c r="CZ69" s="22" cm="1">
        <f t="array" ref="CZ69">SUMPRODUCT(Dyn_Inp!$E$5:$AB$5, (Dyn_Inp!$E$4:$AB$4 &lt;=CZ13) * (Dyn_Inp!$E$4:$AB$4 &gt; CY13))</f>
        <v>0</v>
      </c>
      <c r="DA69" s="22" cm="1">
        <f t="array" ref="DA69">SUMPRODUCT(Dyn_Inp!$E$5:$AB$5, (Dyn_Inp!$E$4:$AB$4 &lt;=DA13) * (Dyn_Inp!$E$4:$AB$4 &gt; CZ13))</f>
        <v>0</v>
      </c>
      <c r="DB69" s="22" cm="1">
        <f t="array" ref="DB69">SUMPRODUCT(Dyn_Inp!$E$5:$AB$5, (Dyn_Inp!$E$4:$AB$4 &lt;=DB13) * (Dyn_Inp!$E$4:$AB$4 &gt; DA13))</f>
        <v>0</v>
      </c>
      <c r="DC69" s="22" cm="1">
        <f t="array" ref="DC69">SUMPRODUCT(Dyn_Inp!$E$5:$AB$5, (Dyn_Inp!$E$4:$AB$4 &lt;=DC13) * (Dyn_Inp!$E$4:$AB$4 &gt; DB13))</f>
        <v>0</v>
      </c>
      <c r="DD69" s="22" cm="1">
        <f t="array" ref="DD69">SUMPRODUCT(Dyn_Inp!$E$5:$AB$5, (Dyn_Inp!$E$4:$AB$4 &lt;=DD13) * (Dyn_Inp!$E$4:$AB$4 &gt; DC13))</f>
        <v>0</v>
      </c>
      <c r="DE69" s="22" cm="1">
        <f t="array" ref="DE69">SUMPRODUCT(Dyn_Inp!$E$5:$AB$5, (Dyn_Inp!$E$4:$AB$4 &lt;=DE13) * (Dyn_Inp!$E$4:$AB$4 &gt; DD13))</f>
        <v>0</v>
      </c>
      <c r="DF69" s="22" cm="1">
        <f t="array" ref="DF69">SUMPRODUCT(Dyn_Inp!$E$5:$AB$5, (Dyn_Inp!$E$4:$AB$4 &lt;=DF13) * (Dyn_Inp!$E$4:$AB$4 &gt; DE13))</f>
        <v>0</v>
      </c>
      <c r="DG69" s="22" cm="1">
        <f t="array" ref="DG69">SUMPRODUCT(Dyn_Inp!$E$5:$AB$5, (Dyn_Inp!$E$4:$AB$4 &lt;=DG13) * (Dyn_Inp!$E$4:$AB$4 &gt; DF13))</f>
        <v>0</v>
      </c>
      <c r="DH69" s="22" cm="1">
        <f t="array" ref="DH69">SUMPRODUCT(Dyn_Inp!$E$5:$AB$5, (Dyn_Inp!$E$4:$AB$4 &lt;=DH13) * (Dyn_Inp!$E$4:$AB$4 &gt; DG13))</f>
        <v>0</v>
      </c>
      <c r="DI69" s="22" cm="1">
        <f t="array" ref="DI69">SUMPRODUCT(Dyn_Inp!$E$5:$AB$5, (Dyn_Inp!$E$4:$AB$4 &lt;=DI13) * (Dyn_Inp!$E$4:$AB$4 &gt; DH13))</f>
        <v>0</v>
      </c>
      <c r="DJ69" s="22" cm="1">
        <f t="array" ref="DJ69">SUMPRODUCT(Dyn_Inp!$E$5:$AB$5, (Dyn_Inp!$E$4:$AB$4 &lt;=DJ13) * (Dyn_Inp!$E$4:$AB$4 &gt; DI13))</f>
        <v>0</v>
      </c>
      <c r="DK69" s="22" cm="1">
        <f t="array" ref="DK69">SUMPRODUCT(Dyn_Inp!$E$5:$AB$5, (Dyn_Inp!$E$4:$AB$4 &lt;=DK13) * (Dyn_Inp!$E$4:$AB$4 &gt; DJ13))</f>
        <v>0</v>
      </c>
      <c r="DL69" s="22" cm="1">
        <f t="array" ref="DL69">SUMPRODUCT(Dyn_Inp!$E$5:$AB$5, (Dyn_Inp!$E$4:$AB$4 &lt;=DL13) * (Dyn_Inp!$E$4:$AB$4 &gt; DK13))</f>
        <v>0</v>
      </c>
      <c r="DM69" s="22" cm="1">
        <f t="array" ref="DM69">SUMPRODUCT(Dyn_Inp!$E$5:$AB$5, (Dyn_Inp!$E$4:$AB$4 &lt;=DM13) * (Dyn_Inp!$E$4:$AB$4 &gt; DL13))</f>
        <v>0</v>
      </c>
      <c r="DN69" s="22" cm="1">
        <f t="array" ref="DN69">SUMPRODUCT(Dyn_Inp!$E$5:$AB$5, (Dyn_Inp!$E$4:$AB$4 &lt;=DN13) * (Dyn_Inp!$E$4:$AB$4 &gt; DM13))</f>
        <v>0</v>
      </c>
      <c r="DO69" s="22" cm="1">
        <f t="array" ref="DO69">SUMPRODUCT(Dyn_Inp!$E$5:$AB$5, (Dyn_Inp!$E$4:$AB$4 &lt;=DO13) * (Dyn_Inp!$E$4:$AB$4 &gt; DN13))</f>
        <v>0</v>
      </c>
      <c r="DP69" s="22" cm="1">
        <f t="array" ref="DP69">SUMPRODUCT(Dyn_Inp!$E$5:$AB$5, (Dyn_Inp!$E$4:$AB$4 &lt;=DP13) * (Dyn_Inp!$E$4:$AB$4 &gt; DO13))</f>
        <v>0</v>
      </c>
      <c r="DQ69" s="22" cm="1">
        <f t="array" ref="DQ69">SUMPRODUCT(Dyn_Inp!$E$5:$AB$5, (Dyn_Inp!$E$4:$AB$4 &lt;=DQ13) * (Dyn_Inp!$E$4:$AB$4 &gt; DP13))</f>
        <v>0</v>
      </c>
      <c r="DR69" s="22" cm="1">
        <f t="array" ref="DR69">SUMPRODUCT(Dyn_Inp!$E$5:$AB$5, (Dyn_Inp!$E$4:$AB$4 &lt;=DR13) * (Dyn_Inp!$E$4:$AB$4 &gt; DQ13))</f>
        <v>0</v>
      </c>
      <c r="DS69" s="22" cm="1">
        <f t="array" ref="DS69">SUMPRODUCT(Dyn_Inp!$E$5:$AB$5, (Dyn_Inp!$E$4:$AB$4 &lt;=DS13) * (Dyn_Inp!$E$4:$AB$4 &gt; DR13))</f>
        <v>0</v>
      </c>
      <c r="DT69" s="22" cm="1">
        <f t="array" ref="DT69">SUMPRODUCT(Dyn_Inp!$E$5:$AB$5, (Dyn_Inp!$E$4:$AB$4 &lt;=DT13) * (Dyn_Inp!$E$4:$AB$4 &gt; DS13))</f>
        <v>0</v>
      </c>
      <c r="DU69" s="22" cm="1">
        <f t="array" ref="DU69">SUMPRODUCT(Dyn_Inp!$E$5:$AB$5, (Dyn_Inp!$E$4:$AB$4 &lt;=DU13) * (Dyn_Inp!$E$4:$AB$4 &gt; DT13))</f>
        <v>0</v>
      </c>
      <c r="DV69" s="22" cm="1">
        <f t="array" ref="DV69">SUMPRODUCT(Dyn_Inp!$E$5:$AB$5, (Dyn_Inp!$E$4:$AB$4 &lt;=DV13) * (Dyn_Inp!$E$4:$AB$4 &gt; DU13))</f>
        <v>0</v>
      </c>
      <c r="DW69" s="22" cm="1">
        <f t="array" ref="DW69">SUMPRODUCT(Dyn_Inp!$E$5:$AB$5, (Dyn_Inp!$E$4:$AB$4 &lt;=DW13) * (Dyn_Inp!$E$4:$AB$4 &gt; DV13))</f>
        <v>0</v>
      </c>
      <c r="DX69" s="22" cm="1">
        <f t="array" ref="DX69">SUMPRODUCT(Dyn_Inp!$E$5:$AB$5, (Dyn_Inp!$E$4:$AB$4 &lt;=DX13) * (Dyn_Inp!$E$4:$AB$4 &gt; DW13))</f>
        <v>0</v>
      </c>
      <c r="DY69" s="22" cm="1">
        <f t="array" ref="DY69">SUMPRODUCT(Dyn_Inp!$E$5:$AB$5, (Dyn_Inp!$E$4:$AB$4 &lt;=DY13) * (Dyn_Inp!$E$4:$AB$4 &gt; DX13))</f>
        <v>0</v>
      </c>
      <c r="DZ69" s="22" cm="1">
        <f t="array" ref="DZ69">SUMPRODUCT(Dyn_Inp!$E$5:$AB$5, (Dyn_Inp!$E$4:$AB$4 &lt;=DZ13) * (Dyn_Inp!$E$4:$AB$4 &gt; DY13))</f>
        <v>0</v>
      </c>
      <c r="EA69" s="22" cm="1">
        <f t="array" ref="EA69">SUMPRODUCT(Dyn_Inp!$E$5:$AB$5, (Dyn_Inp!$E$4:$AB$4 &lt;=EA13) * (Dyn_Inp!$E$4:$AB$4 &gt; DZ13))</f>
        <v>0</v>
      </c>
      <c r="EB69" s="22" cm="1">
        <f t="array" ref="EB69">SUMPRODUCT(Dyn_Inp!$E$5:$AB$5, (Dyn_Inp!$E$4:$AB$4 &lt;=EB13) * (Dyn_Inp!$E$4:$AB$4 &gt; EA13))</f>
        <v>0</v>
      </c>
      <c r="EC69" s="22" cm="1">
        <f t="array" ref="EC69">SUMPRODUCT(Dyn_Inp!$E$5:$AB$5, (Dyn_Inp!$E$4:$AB$4 &lt;=EC13) * (Dyn_Inp!$E$4:$AB$4 &gt; EB13))</f>
        <v>0</v>
      </c>
      <c r="ED69" s="22" cm="1">
        <f t="array" ref="ED69">SUMPRODUCT(Dyn_Inp!$E$5:$AB$5, (Dyn_Inp!$E$4:$AB$4 &lt;=ED13) * (Dyn_Inp!$E$4:$AB$4 &gt; EC13))</f>
        <v>0</v>
      </c>
      <c r="EE69" s="22" cm="1">
        <f t="array" ref="EE69">SUMPRODUCT(Dyn_Inp!$E$5:$AB$5, (Dyn_Inp!$E$4:$AB$4 &lt;=EE13) * (Dyn_Inp!$E$4:$AB$4 &gt; ED13))</f>
        <v>0</v>
      </c>
      <c r="EF69" s="22" cm="1">
        <f t="array" ref="EF69">SUMPRODUCT(Dyn_Inp!$E$5:$AB$5, (Dyn_Inp!$E$4:$AB$4 &lt;=EF13) * (Dyn_Inp!$E$4:$AB$4 &gt; EE13))</f>
        <v>0</v>
      </c>
      <c r="EG69" s="22" cm="1">
        <f t="array" ref="EG69">SUMPRODUCT(Dyn_Inp!$E$5:$AB$5, (Dyn_Inp!$E$4:$AB$4 &lt;=EG13) * (Dyn_Inp!$E$4:$AB$4 &gt; EF13))</f>
        <v>0</v>
      </c>
      <c r="EH69" s="22" cm="1">
        <f t="array" ref="EH69">SUMPRODUCT(Dyn_Inp!$E$5:$AB$5, (Dyn_Inp!$E$4:$AB$4 &lt;=EH13) * (Dyn_Inp!$E$4:$AB$4 &gt; EG13))</f>
        <v>0</v>
      </c>
      <c r="EI69" s="22" cm="1">
        <f t="array" ref="EI69">SUMPRODUCT(Dyn_Inp!$E$5:$AB$5, (Dyn_Inp!$E$4:$AB$4 &lt;=EI13) * (Dyn_Inp!$E$4:$AB$4 &gt; EH13))</f>
        <v>0</v>
      </c>
      <c r="EJ69" s="22" cm="1">
        <f t="array" ref="EJ69">SUMPRODUCT(Dyn_Inp!$E$5:$AB$5, (Dyn_Inp!$E$4:$AB$4 &lt;=EJ13) * (Dyn_Inp!$E$4:$AB$4 &gt; EI13))</f>
        <v>0</v>
      </c>
      <c r="EK69" s="22" cm="1">
        <f t="array" ref="EK69">SUMPRODUCT(Dyn_Inp!$E$5:$AB$5, (Dyn_Inp!$E$4:$AB$4 &lt;=EK13) * (Dyn_Inp!$E$4:$AB$4 &gt; EJ13))</f>
        <v>0</v>
      </c>
      <c r="EL69" s="22" cm="1">
        <f t="array" ref="EL69">SUMPRODUCT(Dyn_Inp!$E$5:$AB$5, (Dyn_Inp!$E$4:$AB$4 &lt;=EL13) * (Dyn_Inp!$E$4:$AB$4 &gt; EK13))</f>
        <v>0</v>
      </c>
      <c r="EM69" s="22" cm="1">
        <f t="array" ref="EM69">SUMPRODUCT(Dyn_Inp!$E$5:$AB$5, (Dyn_Inp!$E$4:$AB$4 &lt;=EM13) * (Dyn_Inp!$E$4:$AB$4 &gt; EL13))</f>
        <v>0</v>
      </c>
      <c r="EN69" s="22" cm="1">
        <f t="array" ref="EN69">SUMPRODUCT(Dyn_Inp!$E$5:$AB$5, (Dyn_Inp!$E$4:$AB$4 &lt;=EN13) * (Dyn_Inp!$E$4:$AB$4 &gt; EM13))</f>
        <v>0</v>
      </c>
      <c r="EO69" s="22" cm="1">
        <f t="array" ref="EO69">SUMPRODUCT(Dyn_Inp!$E$5:$AB$5, (Dyn_Inp!$E$4:$AB$4 &lt;=EO13) * (Dyn_Inp!$E$4:$AB$4 &gt; EN13))</f>
        <v>0</v>
      </c>
      <c r="EP69" s="22" cm="1">
        <f t="array" ref="EP69">SUMPRODUCT(Dyn_Inp!$E$5:$AB$5, (Dyn_Inp!$E$4:$AB$4 &lt;=EP13) * (Dyn_Inp!$E$4:$AB$4 &gt; EO13))</f>
        <v>0</v>
      </c>
      <c r="EQ69" s="22" cm="1">
        <f t="array" ref="EQ69">SUMPRODUCT(Dyn_Inp!$E$5:$AB$5, (Dyn_Inp!$E$4:$AB$4 &lt;=EQ13) * (Dyn_Inp!$E$4:$AB$4 &gt; EP13))</f>
        <v>0</v>
      </c>
      <c r="ER69" s="22" cm="1">
        <f t="array" ref="ER69">SUMPRODUCT(Dyn_Inp!$E$5:$AB$5, (Dyn_Inp!$E$4:$AB$4 &lt;=ER13) * (Dyn_Inp!$E$4:$AB$4 &gt; EQ13))</f>
        <v>0</v>
      </c>
      <c r="ES69" s="22" cm="1">
        <f t="array" ref="ES69">SUMPRODUCT(Dyn_Inp!$E$5:$AB$5, (Dyn_Inp!$E$4:$AB$4 &lt;=ES13) * (Dyn_Inp!$E$4:$AB$4 &gt; ER13))</f>
        <v>0</v>
      </c>
      <c r="ET69" s="22" cm="1">
        <f t="array" ref="ET69">SUMPRODUCT(Dyn_Inp!$E$5:$AB$5, (Dyn_Inp!$E$4:$AB$4 &lt;=ET13) * (Dyn_Inp!$E$4:$AB$4 &gt; ES13))</f>
        <v>0</v>
      </c>
      <c r="EU69" s="22" cm="1">
        <f t="array" ref="EU69">SUMPRODUCT(Dyn_Inp!$E$5:$AB$5, (Dyn_Inp!$E$4:$AB$4 &lt;=EU13) * (Dyn_Inp!$E$4:$AB$4 &gt; ET13))</f>
        <v>0</v>
      </c>
      <c r="EV69" s="22" cm="1">
        <f t="array" ref="EV69">SUMPRODUCT(Dyn_Inp!$E$5:$AB$5, (Dyn_Inp!$E$4:$AB$4 &lt;=EV13) * (Dyn_Inp!$E$4:$AB$4 &gt; EU13))</f>
        <v>0</v>
      </c>
      <c r="EW69" s="22" cm="1">
        <f t="array" ref="EW69">SUMPRODUCT(Dyn_Inp!$E$5:$AB$5, (Dyn_Inp!$E$4:$AB$4 &lt;=EW13) * (Dyn_Inp!$E$4:$AB$4 &gt; EV13))</f>
        <v>0</v>
      </c>
      <c r="EX69" s="22" cm="1">
        <f t="array" ref="EX69">SUMPRODUCT(Dyn_Inp!$E$5:$AB$5, (Dyn_Inp!$E$4:$AB$4 &lt;=EX13) * (Dyn_Inp!$E$4:$AB$4 &gt; EW13))</f>
        <v>0</v>
      </c>
      <c r="EY69" s="22" cm="1">
        <f t="array" ref="EY69">SUMPRODUCT(Dyn_Inp!$E$5:$AB$5, (Dyn_Inp!$E$4:$AB$4 &lt;=EY13) * (Dyn_Inp!$E$4:$AB$4 &gt; EX13))</f>
        <v>0</v>
      </c>
      <c r="EZ69" s="22" cm="1">
        <f t="array" ref="EZ69">SUMPRODUCT(Dyn_Inp!$E$5:$AB$5, (Dyn_Inp!$E$4:$AB$4 &lt;=EZ13) * (Dyn_Inp!$E$4:$AB$4 &gt; EY13))</f>
        <v>0</v>
      </c>
      <c r="FA69" s="22" cm="1">
        <f t="array" ref="FA69">SUMPRODUCT(Dyn_Inp!$E$5:$AB$5, (Dyn_Inp!$E$4:$AB$4 &lt;=FA13) * (Dyn_Inp!$E$4:$AB$4 &gt; EZ13))</f>
        <v>0</v>
      </c>
      <c r="FB69" s="22" cm="1">
        <f t="array" ref="FB69">SUMPRODUCT(Dyn_Inp!$E$5:$AB$5, (Dyn_Inp!$E$4:$AB$4 &lt;=FB13) * (Dyn_Inp!$E$4:$AB$4 &gt; FA13))</f>
        <v>0</v>
      </c>
      <c r="FC69" s="22" cm="1">
        <f t="array" ref="FC69">SUMPRODUCT(Dyn_Inp!$E$5:$AB$5, (Dyn_Inp!$E$4:$AB$4 &lt;=FC13) * (Dyn_Inp!$E$4:$AB$4 &gt; FB13))</f>
        <v>0</v>
      </c>
      <c r="FD69" s="22" cm="1">
        <f t="array" ref="FD69">SUMPRODUCT(Dyn_Inp!$E$5:$AB$5, (Dyn_Inp!$E$4:$AB$4 &lt;=FD13) * (Dyn_Inp!$E$4:$AB$4 &gt; FC13))</f>
        <v>0</v>
      </c>
      <c r="FE69" s="22" cm="1">
        <f t="array" ref="FE69">SUMPRODUCT(Dyn_Inp!$E$5:$AB$5, (Dyn_Inp!$E$4:$AB$4 &lt;=FE13) * (Dyn_Inp!$E$4:$AB$4 &gt; FD13))</f>
        <v>0</v>
      </c>
      <c r="FF69" s="22" cm="1">
        <f t="array" ref="FF69">SUMPRODUCT(Dyn_Inp!$E$5:$AB$5, (Dyn_Inp!$E$4:$AB$4 &lt;=FF13) * (Dyn_Inp!$E$4:$AB$4 &gt; FE13))</f>
        <v>0</v>
      </c>
      <c r="FG69" s="22" cm="1">
        <f t="array" ref="FG69">SUMPRODUCT(Dyn_Inp!$E$5:$AB$5, (Dyn_Inp!$E$4:$AB$4 &lt;=FG13) * (Dyn_Inp!$E$4:$AB$4 &gt; FF13))</f>
        <v>0</v>
      </c>
      <c r="FH69" s="22" cm="1">
        <f t="array" ref="FH69">SUMPRODUCT(Dyn_Inp!$E$5:$AB$5, (Dyn_Inp!$E$4:$AB$4 &lt;=FH13) * (Dyn_Inp!$E$4:$AB$4 &gt; FG13))</f>
        <v>0</v>
      </c>
      <c r="FI69" s="22" cm="1">
        <f t="array" ref="FI69">SUMPRODUCT(Dyn_Inp!$E$5:$AB$5, (Dyn_Inp!$E$4:$AB$4 &lt;=FI13) * (Dyn_Inp!$E$4:$AB$4 &gt; FH13))</f>
        <v>0</v>
      </c>
      <c r="FJ69" s="22" cm="1">
        <f t="array" ref="FJ69">SUMPRODUCT(Dyn_Inp!$E$5:$AB$5, (Dyn_Inp!$E$4:$AB$4 &lt;=FJ13) * (Dyn_Inp!$E$4:$AB$4 &gt; FI13))</f>
        <v>0</v>
      </c>
      <c r="FK69" s="22" cm="1">
        <f t="array" ref="FK69">SUMPRODUCT(Dyn_Inp!$E$5:$AB$5, (Dyn_Inp!$E$4:$AB$4 &lt;=FK13) * (Dyn_Inp!$E$4:$AB$4 &gt; FJ13))</f>
        <v>0</v>
      </c>
      <c r="FL69" s="22" cm="1">
        <f t="array" ref="FL69">SUMPRODUCT(Dyn_Inp!$E$5:$AB$5, (Dyn_Inp!$E$4:$AB$4 &lt;=FL13) * (Dyn_Inp!$E$4:$AB$4 &gt; FK13))</f>
        <v>0</v>
      </c>
      <c r="FM69" s="22" cm="1">
        <f t="array" ref="FM69">SUMPRODUCT(Dyn_Inp!$E$5:$AB$5, (Dyn_Inp!$E$4:$AB$4 &lt;=FM13) * (Dyn_Inp!$E$4:$AB$4 &gt; FL13))</f>
        <v>0</v>
      </c>
    </row>
    <row r="70" spans="2:169" x14ac:dyDescent="0.25"/>
    <row r="71" spans="2:169" x14ac:dyDescent="0.25">
      <c r="B71" s="29" t="s">
        <v>29</v>
      </c>
      <c r="C71" s="29" t="s">
        <v>94</v>
      </c>
      <c r="D71" s="52">
        <f>Stat_Inp!F34</f>
        <v>515</v>
      </c>
      <c r="E71" s="29"/>
      <c r="F71" s="29"/>
      <c r="G71" s="29"/>
      <c r="H71" s="32">
        <f>SUM(I71:FM71)</f>
        <v>31414.999999999996</v>
      </c>
      <c r="I71" s="30">
        <f>$D71 * $D61 * I69</f>
        <v>0</v>
      </c>
      <c r="J71" s="30">
        <f t="shared" ref="J71:BU71" si="142">$D71 * $D61 * J69</f>
        <v>0</v>
      </c>
      <c r="K71" s="30">
        <f t="shared" si="142"/>
        <v>3141.5</v>
      </c>
      <c r="L71" s="30">
        <f t="shared" si="142"/>
        <v>5890.3125</v>
      </c>
      <c r="M71" s="30">
        <f t="shared" si="142"/>
        <v>5890.3125</v>
      </c>
      <c r="N71" s="30">
        <f t="shared" si="142"/>
        <v>6021.208333333333</v>
      </c>
      <c r="O71" s="30">
        <f t="shared" si="142"/>
        <v>5131.1166666666668</v>
      </c>
      <c r="P71" s="30">
        <f t="shared" si="142"/>
        <v>2827.35</v>
      </c>
      <c r="Q71" s="30">
        <f t="shared" si="142"/>
        <v>2513.2000000000003</v>
      </c>
      <c r="R71" s="30">
        <f t="shared" si="142"/>
        <v>0</v>
      </c>
      <c r="S71" s="30">
        <f t="shared" si="142"/>
        <v>0</v>
      </c>
      <c r="T71" s="30">
        <f t="shared" si="142"/>
        <v>0</v>
      </c>
      <c r="U71" s="30">
        <f t="shared" si="142"/>
        <v>0</v>
      </c>
      <c r="V71" s="30">
        <f t="shared" si="142"/>
        <v>0</v>
      </c>
      <c r="W71" s="30">
        <f t="shared" si="142"/>
        <v>0</v>
      </c>
      <c r="X71" s="30">
        <f t="shared" si="142"/>
        <v>0</v>
      </c>
      <c r="Y71" s="30">
        <f t="shared" si="142"/>
        <v>0</v>
      </c>
      <c r="Z71" s="30">
        <f t="shared" si="142"/>
        <v>0</v>
      </c>
      <c r="AA71" s="30">
        <f t="shared" si="142"/>
        <v>0</v>
      </c>
      <c r="AB71" s="30">
        <f t="shared" si="142"/>
        <v>0</v>
      </c>
      <c r="AC71" s="30">
        <f t="shared" si="142"/>
        <v>0</v>
      </c>
      <c r="AD71" s="30">
        <f t="shared" si="142"/>
        <v>0</v>
      </c>
      <c r="AE71" s="30">
        <f t="shared" si="142"/>
        <v>0</v>
      </c>
      <c r="AF71" s="30">
        <f t="shared" si="142"/>
        <v>0</v>
      </c>
      <c r="AG71" s="30">
        <f t="shared" si="142"/>
        <v>0</v>
      </c>
      <c r="AH71" s="30">
        <f t="shared" si="142"/>
        <v>0</v>
      </c>
      <c r="AI71" s="30">
        <f t="shared" si="142"/>
        <v>0</v>
      </c>
      <c r="AJ71" s="30">
        <f t="shared" si="142"/>
        <v>0</v>
      </c>
      <c r="AK71" s="30">
        <f t="shared" si="142"/>
        <v>0</v>
      </c>
      <c r="AL71" s="30">
        <f t="shared" si="142"/>
        <v>0</v>
      </c>
      <c r="AM71" s="30">
        <f t="shared" si="142"/>
        <v>0</v>
      </c>
      <c r="AN71" s="30">
        <f t="shared" si="142"/>
        <v>0</v>
      </c>
      <c r="AO71" s="30">
        <f t="shared" si="142"/>
        <v>0</v>
      </c>
      <c r="AP71" s="30">
        <f t="shared" si="142"/>
        <v>0</v>
      </c>
      <c r="AQ71" s="30">
        <f t="shared" si="142"/>
        <v>0</v>
      </c>
      <c r="AR71" s="30">
        <f t="shared" si="142"/>
        <v>0</v>
      </c>
      <c r="AS71" s="30">
        <f t="shared" si="142"/>
        <v>0</v>
      </c>
      <c r="AT71" s="30">
        <f t="shared" si="142"/>
        <v>0</v>
      </c>
      <c r="AU71" s="30">
        <f t="shared" si="142"/>
        <v>0</v>
      </c>
      <c r="AV71" s="30">
        <f t="shared" si="142"/>
        <v>0</v>
      </c>
      <c r="AW71" s="30">
        <f t="shared" si="142"/>
        <v>0</v>
      </c>
      <c r="AX71" s="30">
        <f t="shared" si="142"/>
        <v>0</v>
      </c>
      <c r="AY71" s="30">
        <f t="shared" si="142"/>
        <v>0</v>
      </c>
      <c r="AZ71" s="30">
        <f t="shared" si="142"/>
        <v>0</v>
      </c>
      <c r="BA71" s="30">
        <f t="shared" si="142"/>
        <v>0</v>
      </c>
      <c r="BB71" s="30">
        <f t="shared" si="142"/>
        <v>0</v>
      </c>
      <c r="BC71" s="30">
        <f t="shared" si="142"/>
        <v>0</v>
      </c>
      <c r="BD71" s="30">
        <f t="shared" si="142"/>
        <v>0</v>
      </c>
      <c r="BE71" s="30">
        <f t="shared" si="142"/>
        <v>0</v>
      </c>
      <c r="BF71" s="30">
        <f t="shared" si="142"/>
        <v>0</v>
      </c>
      <c r="BG71" s="30">
        <f t="shared" si="142"/>
        <v>0</v>
      </c>
      <c r="BH71" s="30">
        <f t="shared" si="142"/>
        <v>0</v>
      </c>
      <c r="BI71" s="30">
        <f t="shared" si="142"/>
        <v>0</v>
      </c>
      <c r="BJ71" s="30">
        <f t="shared" si="142"/>
        <v>0</v>
      </c>
      <c r="BK71" s="30">
        <f t="shared" si="142"/>
        <v>0</v>
      </c>
      <c r="BL71" s="30">
        <f t="shared" si="142"/>
        <v>0</v>
      </c>
      <c r="BM71" s="30">
        <f t="shared" si="142"/>
        <v>0</v>
      </c>
      <c r="BN71" s="30">
        <f t="shared" si="142"/>
        <v>0</v>
      </c>
      <c r="BO71" s="30">
        <f t="shared" si="142"/>
        <v>0</v>
      </c>
      <c r="BP71" s="30">
        <f t="shared" si="142"/>
        <v>0</v>
      </c>
      <c r="BQ71" s="30">
        <f t="shared" si="142"/>
        <v>0</v>
      </c>
      <c r="BR71" s="30">
        <f t="shared" si="142"/>
        <v>0</v>
      </c>
      <c r="BS71" s="30">
        <f t="shared" si="142"/>
        <v>0</v>
      </c>
      <c r="BT71" s="30">
        <f t="shared" si="142"/>
        <v>0</v>
      </c>
      <c r="BU71" s="30">
        <f t="shared" si="142"/>
        <v>0</v>
      </c>
      <c r="BV71" s="30">
        <f t="shared" ref="BV71:EG71" si="143">$D71 * $D61 * BV69</f>
        <v>0</v>
      </c>
      <c r="BW71" s="30">
        <f t="shared" si="143"/>
        <v>0</v>
      </c>
      <c r="BX71" s="30">
        <f t="shared" si="143"/>
        <v>0</v>
      </c>
      <c r="BY71" s="30">
        <f t="shared" si="143"/>
        <v>0</v>
      </c>
      <c r="BZ71" s="30">
        <f t="shared" si="143"/>
        <v>0</v>
      </c>
      <c r="CA71" s="30">
        <f t="shared" si="143"/>
        <v>0</v>
      </c>
      <c r="CB71" s="30">
        <f t="shared" si="143"/>
        <v>0</v>
      </c>
      <c r="CC71" s="30">
        <f t="shared" si="143"/>
        <v>0</v>
      </c>
      <c r="CD71" s="30">
        <f t="shared" si="143"/>
        <v>0</v>
      </c>
      <c r="CE71" s="30">
        <f t="shared" si="143"/>
        <v>0</v>
      </c>
      <c r="CF71" s="30">
        <f t="shared" si="143"/>
        <v>0</v>
      </c>
      <c r="CG71" s="30">
        <f t="shared" si="143"/>
        <v>0</v>
      </c>
      <c r="CH71" s="30">
        <f t="shared" si="143"/>
        <v>0</v>
      </c>
      <c r="CI71" s="30">
        <f t="shared" si="143"/>
        <v>0</v>
      </c>
      <c r="CJ71" s="30">
        <f t="shared" si="143"/>
        <v>0</v>
      </c>
      <c r="CK71" s="30">
        <f t="shared" si="143"/>
        <v>0</v>
      </c>
      <c r="CL71" s="30">
        <f t="shared" si="143"/>
        <v>0</v>
      </c>
      <c r="CM71" s="30">
        <f t="shared" si="143"/>
        <v>0</v>
      </c>
      <c r="CN71" s="30">
        <f t="shared" si="143"/>
        <v>0</v>
      </c>
      <c r="CO71" s="30">
        <f t="shared" si="143"/>
        <v>0</v>
      </c>
      <c r="CP71" s="30">
        <f t="shared" si="143"/>
        <v>0</v>
      </c>
      <c r="CQ71" s="30">
        <f t="shared" si="143"/>
        <v>0</v>
      </c>
      <c r="CR71" s="30">
        <f t="shared" si="143"/>
        <v>0</v>
      </c>
      <c r="CS71" s="30">
        <f t="shared" si="143"/>
        <v>0</v>
      </c>
      <c r="CT71" s="30">
        <f t="shared" si="143"/>
        <v>0</v>
      </c>
      <c r="CU71" s="30">
        <f t="shared" si="143"/>
        <v>0</v>
      </c>
      <c r="CV71" s="30">
        <f t="shared" si="143"/>
        <v>0</v>
      </c>
      <c r="CW71" s="30">
        <f t="shared" si="143"/>
        <v>0</v>
      </c>
      <c r="CX71" s="30">
        <f t="shared" si="143"/>
        <v>0</v>
      </c>
      <c r="CY71" s="30">
        <f t="shared" si="143"/>
        <v>0</v>
      </c>
      <c r="CZ71" s="30">
        <f t="shared" si="143"/>
        <v>0</v>
      </c>
      <c r="DA71" s="30">
        <f t="shared" si="143"/>
        <v>0</v>
      </c>
      <c r="DB71" s="30">
        <f t="shared" si="143"/>
        <v>0</v>
      </c>
      <c r="DC71" s="30">
        <f t="shared" si="143"/>
        <v>0</v>
      </c>
      <c r="DD71" s="30">
        <f t="shared" si="143"/>
        <v>0</v>
      </c>
      <c r="DE71" s="30">
        <f t="shared" si="143"/>
        <v>0</v>
      </c>
      <c r="DF71" s="30">
        <f t="shared" si="143"/>
        <v>0</v>
      </c>
      <c r="DG71" s="30">
        <f t="shared" si="143"/>
        <v>0</v>
      </c>
      <c r="DH71" s="30">
        <f t="shared" si="143"/>
        <v>0</v>
      </c>
      <c r="DI71" s="30">
        <f t="shared" si="143"/>
        <v>0</v>
      </c>
      <c r="DJ71" s="30">
        <f t="shared" si="143"/>
        <v>0</v>
      </c>
      <c r="DK71" s="30">
        <f t="shared" si="143"/>
        <v>0</v>
      </c>
      <c r="DL71" s="30">
        <f t="shared" si="143"/>
        <v>0</v>
      </c>
      <c r="DM71" s="30">
        <f t="shared" si="143"/>
        <v>0</v>
      </c>
      <c r="DN71" s="30">
        <f t="shared" si="143"/>
        <v>0</v>
      </c>
      <c r="DO71" s="30">
        <f t="shared" si="143"/>
        <v>0</v>
      </c>
      <c r="DP71" s="30">
        <f t="shared" si="143"/>
        <v>0</v>
      </c>
      <c r="DQ71" s="30">
        <f t="shared" si="143"/>
        <v>0</v>
      </c>
      <c r="DR71" s="30">
        <f t="shared" si="143"/>
        <v>0</v>
      </c>
      <c r="DS71" s="30">
        <f t="shared" si="143"/>
        <v>0</v>
      </c>
      <c r="DT71" s="30">
        <f t="shared" si="143"/>
        <v>0</v>
      </c>
      <c r="DU71" s="30">
        <f t="shared" si="143"/>
        <v>0</v>
      </c>
      <c r="DV71" s="30">
        <f t="shared" si="143"/>
        <v>0</v>
      </c>
      <c r="DW71" s="30">
        <f t="shared" si="143"/>
        <v>0</v>
      </c>
      <c r="DX71" s="30">
        <f t="shared" si="143"/>
        <v>0</v>
      </c>
      <c r="DY71" s="30">
        <f t="shared" si="143"/>
        <v>0</v>
      </c>
      <c r="DZ71" s="30">
        <f t="shared" si="143"/>
        <v>0</v>
      </c>
      <c r="EA71" s="30">
        <f t="shared" si="143"/>
        <v>0</v>
      </c>
      <c r="EB71" s="30">
        <f t="shared" si="143"/>
        <v>0</v>
      </c>
      <c r="EC71" s="30">
        <f t="shared" si="143"/>
        <v>0</v>
      </c>
      <c r="ED71" s="30">
        <f t="shared" si="143"/>
        <v>0</v>
      </c>
      <c r="EE71" s="30">
        <f t="shared" si="143"/>
        <v>0</v>
      </c>
      <c r="EF71" s="30">
        <f t="shared" si="143"/>
        <v>0</v>
      </c>
      <c r="EG71" s="30">
        <f t="shared" si="143"/>
        <v>0</v>
      </c>
      <c r="EH71" s="30">
        <f t="shared" ref="EH71:FM71" si="144">$D71 * $D61 * EH69</f>
        <v>0</v>
      </c>
      <c r="EI71" s="30">
        <f t="shared" si="144"/>
        <v>0</v>
      </c>
      <c r="EJ71" s="30">
        <f t="shared" si="144"/>
        <v>0</v>
      </c>
      <c r="EK71" s="30">
        <f t="shared" si="144"/>
        <v>0</v>
      </c>
      <c r="EL71" s="30">
        <f t="shared" si="144"/>
        <v>0</v>
      </c>
      <c r="EM71" s="30">
        <f t="shared" si="144"/>
        <v>0</v>
      </c>
      <c r="EN71" s="30">
        <f t="shared" si="144"/>
        <v>0</v>
      </c>
      <c r="EO71" s="30">
        <f t="shared" si="144"/>
        <v>0</v>
      </c>
      <c r="EP71" s="30">
        <f t="shared" si="144"/>
        <v>0</v>
      </c>
      <c r="EQ71" s="30">
        <f t="shared" si="144"/>
        <v>0</v>
      </c>
      <c r="ER71" s="30">
        <f t="shared" si="144"/>
        <v>0</v>
      </c>
      <c r="ES71" s="30">
        <f t="shared" si="144"/>
        <v>0</v>
      </c>
      <c r="ET71" s="30">
        <f t="shared" si="144"/>
        <v>0</v>
      </c>
      <c r="EU71" s="30">
        <f t="shared" si="144"/>
        <v>0</v>
      </c>
      <c r="EV71" s="30">
        <f t="shared" si="144"/>
        <v>0</v>
      </c>
      <c r="EW71" s="30">
        <f t="shared" si="144"/>
        <v>0</v>
      </c>
      <c r="EX71" s="30">
        <f t="shared" si="144"/>
        <v>0</v>
      </c>
      <c r="EY71" s="30">
        <f t="shared" si="144"/>
        <v>0</v>
      </c>
      <c r="EZ71" s="30">
        <f t="shared" si="144"/>
        <v>0</v>
      </c>
      <c r="FA71" s="30">
        <f t="shared" si="144"/>
        <v>0</v>
      </c>
      <c r="FB71" s="30">
        <f t="shared" si="144"/>
        <v>0</v>
      </c>
      <c r="FC71" s="30">
        <f t="shared" si="144"/>
        <v>0</v>
      </c>
      <c r="FD71" s="30">
        <f t="shared" si="144"/>
        <v>0</v>
      </c>
      <c r="FE71" s="30">
        <f t="shared" si="144"/>
        <v>0</v>
      </c>
      <c r="FF71" s="30">
        <f t="shared" si="144"/>
        <v>0</v>
      </c>
      <c r="FG71" s="30">
        <f t="shared" si="144"/>
        <v>0</v>
      </c>
      <c r="FH71" s="30">
        <f t="shared" si="144"/>
        <v>0</v>
      </c>
      <c r="FI71" s="30">
        <f t="shared" si="144"/>
        <v>0</v>
      </c>
      <c r="FJ71" s="30">
        <f t="shared" si="144"/>
        <v>0</v>
      </c>
      <c r="FK71" s="30">
        <f t="shared" si="144"/>
        <v>0</v>
      </c>
      <c r="FL71" s="30">
        <f t="shared" si="144"/>
        <v>0</v>
      </c>
      <c r="FM71" s="30">
        <f t="shared" si="144"/>
        <v>0</v>
      </c>
    </row>
    <row r="72" spans="2:169" x14ac:dyDescent="0.25"/>
    <row r="73" spans="2:169" x14ac:dyDescent="0.25">
      <c r="B73" s="40" t="s">
        <v>42</v>
      </c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40"/>
      <c r="DT73" s="40"/>
      <c r="DU73" s="40"/>
      <c r="DV73" s="40"/>
      <c r="DW73" s="40"/>
      <c r="DX73" s="40"/>
      <c r="DY73" s="40"/>
      <c r="DZ73" s="40"/>
      <c r="EA73" s="40"/>
      <c r="EB73" s="40"/>
      <c r="EC73" s="40"/>
      <c r="ED73" s="40"/>
      <c r="EE73" s="40"/>
      <c r="EF73" s="40"/>
      <c r="EG73" s="40"/>
      <c r="EH73" s="40"/>
      <c r="EI73" s="40"/>
      <c r="EJ73" s="40"/>
      <c r="EK73" s="40"/>
      <c r="EL73" s="40"/>
      <c r="EM73" s="40"/>
      <c r="EN73" s="40"/>
      <c r="EO73" s="40"/>
      <c r="EP73" s="40"/>
      <c r="EQ73" s="40"/>
      <c r="ER73" s="40"/>
      <c r="ES73" s="40"/>
      <c r="ET73" s="40"/>
      <c r="EU73" s="40"/>
      <c r="EV73" s="40"/>
      <c r="EW73" s="40"/>
      <c r="EX73" s="40"/>
      <c r="EY73" s="40"/>
      <c r="EZ73" s="40"/>
      <c r="FA73" s="40"/>
      <c r="FB73" s="40"/>
      <c r="FC73" s="40"/>
      <c r="FD73" s="40"/>
      <c r="FE73" s="40"/>
      <c r="FF73" s="40"/>
      <c r="FG73" s="40"/>
      <c r="FH73" s="40"/>
      <c r="FI73" s="40"/>
      <c r="FJ73" s="40"/>
      <c r="FK73" s="40"/>
      <c r="FL73" s="40"/>
      <c r="FM73" s="40"/>
    </row>
    <row r="74" spans="2:169" x14ac:dyDescent="0.25">
      <c r="B74" t="s">
        <v>120</v>
      </c>
      <c r="C74" t="s">
        <v>114</v>
      </c>
      <c r="H74" s="31">
        <f>SUM(I74:FM74)</f>
        <v>2521445.2230689693</v>
      </c>
      <c r="I74" s="25">
        <f>I66</f>
        <v>0</v>
      </c>
      <c r="J74" s="25">
        <f t="shared" ref="J74:BU74" si="145">J66</f>
        <v>0</v>
      </c>
      <c r="K74" s="25">
        <f t="shared" si="145"/>
        <v>0</v>
      </c>
      <c r="L74" s="25">
        <f t="shared" si="145"/>
        <v>0</v>
      </c>
      <c r="M74" s="25">
        <f t="shared" si="145"/>
        <v>0</v>
      </c>
      <c r="N74" s="25">
        <f t="shared" si="145"/>
        <v>0</v>
      </c>
      <c r="O74" s="25">
        <f t="shared" si="145"/>
        <v>0</v>
      </c>
      <c r="P74" s="25">
        <f t="shared" si="145"/>
        <v>0</v>
      </c>
      <c r="Q74" s="25">
        <f t="shared" si="145"/>
        <v>6443.6472602739732</v>
      </c>
      <c r="R74" s="25">
        <f t="shared" si="145"/>
        <v>18849.471320013661</v>
      </c>
      <c r="S74" s="25">
        <f t="shared" si="145"/>
        <v>18835.400973360654</v>
      </c>
      <c r="T74" s="25">
        <f t="shared" si="145"/>
        <v>19028.002117486336</v>
      </c>
      <c r="U74" s="25">
        <f t="shared" si="145"/>
        <v>19013.620833333331</v>
      </c>
      <c r="V74" s="25">
        <f t="shared" si="145"/>
        <v>18637.402601332327</v>
      </c>
      <c r="W74" s="25">
        <f t="shared" si="145"/>
        <v>18830.337302401949</v>
      </c>
      <c r="X74" s="25">
        <f t="shared" si="145"/>
        <v>19022.803892287484</v>
      </c>
      <c r="Y74" s="25">
        <f t="shared" si="145"/>
        <v>19008.343698630139</v>
      </c>
      <c r="Z74" s="25">
        <f t="shared" si="145"/>
        <v>18581.280512291232</v>
      </c>
      <c r="AA74" s="25">
        <f t="shared" si="145"/>
        <v>18773.591634593729</v>
      </c>
      <c r="AB74" s="25">
        <f t="shared" si="145"/>
        <v>18965.434645712143</v>
      </c>
      <c r="AC74" s="25">
        <f t="shared" si="145"/>
        <v>18950.974452054794</v>
      </c>
      <c r="AD74" s="25">
        <f t="shared" si="145"/>
        <v>18525.158423250137</v>
      </c>
      <c r="AE74" s="25">
        <f t="shared" si="145"/>
        <v>18716.84596678551</v>
      </c>
      <c r="AF74" s="25">
        <f t="shared" si="145"/>
        <v>18908.065399136798</v>
      </c>
      <c r="AG74" s="25">
        <f t="shared" si="145"/>
        <v>18893.605205479453</v>
      </c>
      <c r="AH74" s="25">
        <f t="shared" si="145"/>
        <v>18623.108820013658</v>
      </c>
      <c r="AI74" s="25">
        <f t="shared" si="145"/>
        <v>18609.038473360655</v>
      </c>
      <c r="AJ74" s="25">
        <f t="shared" si="145"/>
        <v>18799.152117486334</v>
      </c>
      <c r="AK74" s="25">
        <f t="shared" si="145"/>
        <v>18784.770833333328</v>
      </c>
      <c r="AL74" s="25">
        <f t="shared" si="145"/>
        <v>18412.914245167944</v>
      </c>
      <c r="AM74" s="25">
        <f t="shared" si="145"/>
        <v>18603.35463116907</v>
      </c>
      <c r="AN74" s="25">
        <f t="shared" si="145"/>
        <v>18793.326905986112</v>
      </c>
      <c r="AO74" s="25">
        <f t="shared" si="145"/>
        <v>18778.866712328763</v>
      </c>
      <c r="AP74" s="25">
        <f t="shared" si="145"/>
        <v>18356.792156126849</v>
      </c>
      <c r="AQ74" s="25">
        <f t="shared" si="145"/>
        <v>18546.60896336085</v>
      </c>
      <c r="AR74" s="25">
        <f t="shared" si="145"/>
        <v>18735.957659410768</v>
      </c>
      <c r="AS74" s="25">
        <f t="shared" si="145"/>
        <v>18721.497465753422</v>
      </c>
      <c r="AT74" s="25">
        <f t="shared" si="145"/>
        <v>18300.67006708575</v>
      </c>
      <c r="AU74" s="25">
        <f t="shared" si="145"/>
        <v>18489.86329555263</v>
      </c>
      <c r="AV74" s="25">
        <f t="shared" si="145"/>
        <v>18678.588412835426</v>
      </c>
      <c r="AW74" s="25">
        <f t="shared" si="145"/>
        <v>18664.128219178081</v>
      </c>
      <c r="AX74" s="25">
        <f t="shared" si="145"/>
        <v>18396.746320013659</v>
      </c>
      <c r="AY74" s="25">
        <f t="shared" si="145"/>
        <v>18382.675973360652</v>
      </c>
      <c r="AZ74" s="25">
        <f t="shared" si="145"/>
        <v>18570.302117486332</v>
      </c>
      <c r="BA74" s="25">
        <f t="shared" si="145"/>
        <v>18555.920833333326</v>
      </c>
      <c r="BB74" s="25">
        <f t="shared" si="145"/>
        <v>18188.425889003556</v>
      </c>
      <c r="BC74" s="25">
        <f t="shared" si="145"/>
        <v>18376.37195993619</v>
      </c>
      <c r="BD74" s="25">
        <f t="shared" si="145"/>
        <v>18563.849919684741</v>
      </c>
      <c r="BE74" s="25">
        <f t="shared" si="145"/>
        <v>18549.389726027392</v>
      </c>
      <c r="BF74" s="25">
        <f t="shared" si="145"/>
        <v>18132.303799962461</v>
      </c>
      <c r="BG74" s="25">
        <f t="shared" si="145"/>
        <v>18319.62629212797</v>
      </c>
      <c r="BH74" s="25">
        <f t="shared" si="145"/>
        <v>18506.480673109396</v>
      </c>
      <c r="BI74" s="25">
        <f t="shared" si="145"/>
        <v>18492.02047945205</v>
      </c>
      <c r="BJ74" s="25">
        <f t="shared" si="145"/>
        <v>18076.181710921366</v>
      </c>
      <c r="BK74" s="25">
        <f t="shared" si="145"/>
        <v>18262.880624319754</v>
      </c>
      <c r="BL74" s="25">
        <f t="shared" si="145"/>
        <v>18449.111426534055</v>
      </c>
      <c r="BM74" s="25">
        <f t="shared" si="145"/>
        <v>18434.651232876709</v>
      </c>
      <c r="BN74" s="25">
        <f t="shared" si="145"/>
        <v>18170.383820013656</v>
      </c>
      <c r="BO74" s="25">
        <f t="shared" si="145"/>
        <v>18156.313473360649</v>
      </c>
      <c r="BP74" s="25">
        <f t="shared" si="145"/>
        <v>18341.452117486329</v>
      </c>
      <c r="BQ74" s="25">
        <f t="shared" si="145"/>
        <v>18327.070833333324</v>
      </c>
      <c r="BR74" s="25">
        <f t="shared" si="145"/>
        <v>17963.937532839172</v>
      </c>
      <c r="BS74" s="25">
        <f t="shared" si="145"/>
        <v>18149.389288703311</v>
      </c>
      <c r="BT74" s="25">
        <f t="shared" si="145"/>
        <v>18334.372933383365</v>
      </c>
      <c r="BU74" s="25">
        <f t="shared" si="145"/>
        <v>18319.91273972602</v>
      </c>
      <c r="BV74" s="25">
        <f t="shared" ref="BV74:EG74" si="146">BV66</f>
        <v>17907.815443798074</v>
      </c>
      <c r="BW74" s="25">
        <f t="shared" si="146"/>
        <v>18092.643620895095</v>
      </c>
      <c r="BX74" s="25">
        <f t="shared" si="146"/>
        <v>18277.003686808024</v>
      </c>
      <c r="BY74" s="25">
        <f t="shared" si="146"/>
        <v>18262.543493150679</v>
      </c>
      <c r="BZ74" s="25">
        <f t="shared" si="146"/>
        <v>17851.693354756979</v>
      </c>
      <c r="CA74" s="25">
        <f t="shared" si="146"/>
        <v>18035.897953086875</v>
      </c>
      <c r="CB74" s="25">
        <f t="shared" si="146"/>
        <v>18219.634440232683</v>
      </c>
      <c r="CC74" s="25">
        <f t="shared" si="146"/>
        <v>18205.174246575334</v>
      </c>
      <c r="CD74" s="25">
        <f t="shared" si="146"/>
        <v>17944.021320013653</v>
      </c>
      <c r="CE74" s="25">
        <f t="shared" si="146"/>
        <v>17929.950973360646</v>
      </c>
      <c r="CF74" s="25">
        <f t="shared" si="146"/>
        <v>18112.602117486327</v>
      </c>
      <c r="CG74" s="25">
        <f t="shared" si="146"/>
        <v>18098.220833333322</v>
      </c>
      <c r="CH74" s="25">
        <f t="shared" si="146"/>
        <v>17739.449176674785</v>
      </c>
      <c r="CI74" s="25">
        <f t="shared" si="146"/>
        <v>17922.406617470435</v>
      </c>
      <c r="CJ74" s="25">
        <f t="shared" si="146"/>
        <v>18104.895947081994</v>
      </c>
      <c r="CK74" s="25">
        <f t="shared" si="146"/>
        <v>18090.435753424648</v>
      </c>
      <c r="CL74" s="25">
        <f t="shared" si="146"/>
        <v>17683.32708763369</v>
      </c>
      <c r="CM74" s="25">
        <f t="shared" si="146"/>
        <v>17865.660949662215</v>
      </c>
      <c r="CN74" s="25">
        <f t="shared" si="146"/>
        <v>18047.526700506653</v>
      </c>
      <c r="CO74" s="25">
        <f t="shared" si="146"/>
        <v>18033.066506849307</v>
      </c>
      <c r="CP74" s="25">
        <f t="shared" si="146"/>
        <v>17627.204998592595</v>
      </c>
      <c r="CQ74" s="25">
        <f t="shared" si="146"/>
        <v>17808.915281853995</v>
      </c>
      <c r="CR74" s="25">
        <f t="shared" si="146"/>
        <v>17990.157453931308</v>
      </c>
      <c r="CS74" s="25">
        <f t="shared" si="146"/>
        <v>17975.697260273962</v>
      </c>
      <c r="CT74" s="25">
        <f t="shared" si="146"/>
        <v>17717.65882001365</v>
      </c>
      <c r="CU74" s="25">
        <f t="shared" si="146"/>
        <v>17703.588473360644</v>
      </c>
      <c r="CV74" s="25">
        <f t="shared" si="146"/>
        <v>17883.752117486325</v>
      </c>
      <c r="CW74" s="25">
        <f t="shared" si="146"/>
        <v>17869.37083333332</v>
      </c>
      <c r="CX74" s="25">
        <f t="shared" si="146"/>
        <v>17514.960820510401</v>
      </c>
      <c r="CY74" s="25">
        <f t="shared" si="146"/>
        <v>17695.423946237555</v>
      </c>
      <c r="CZ74" s="25">
        <f t="shared" si="146"/>
        <v>17875.418960780622</v>
      </c>
      <c r="DA74" s="25">
        <f t="shared" si="146"/>
        <v>17860.958767123277</v>
      </c>
      <c r="DB74" s="25">
        <f t="shared" si="146"/>
        <v>17458.838731469303</v>
      </c>
      <c r="DC74" s="25">
        <f t="shared" si="146"/>
        <v>17638.678278429335</v>
      </c>
      <c r="DD74" s="25">
        <f t="shared" si="146"/>
        <v>17818.049714205281</v>
      </c>
      <c r="DE74" s="25">
        <f t="shared" si="146"/>
        <v>17803.589520547932</v>
      </c>
      <c r="DF74" s="25">
        <f t="shared" si="146"/>
        <v>17402.716642428208</v>
      </c>
      <c r="DG74" s="25">
        <f t="shared" si="146"/>
        <v>17581.932610621116</v>
      </c>
      <c r="DH74" s="25">
        <f t="shared" si="146"/>
        <v>17760.680467629936</v>
      </c>
      <c r="DI74" s="25">
        <f t="shared" si="146"/>
        <v>17746.220273972591</v>
      </c>
      <c r="DJ74" s="25">
        <f t="shared" si="146"/>
        <v>17491.296320013647</v>
      </c>
      <c r="DK74" s="25">
        <f t="shared" si="146"/>
        <v>17477.225973360641</v>
      </c>
      <c r="DL74" s="25">
        <f t="shared" si="146"/>
        <v>17654.902117486323</v>
      </c>
      <c r="DM74" s="25">
        <f t="shared" si="146"/>
        <v>17640.520833333318</v>
      </c>
      <c r="DN74" s="25">
        <f t="shared" si="146"/>
        <v>17290.472464346014</v>
      </c>
      <c r="DO74" s="25">
        <f t="shared" si="146"/>
        <v>17468.441275004676</v>
      </c>
      <c r="DP74" s="25">
        <f t="shared" si="146"/>
        <v>17645.94197447925</v>
      </c>
      <c r="DQ74" s="25">
        <f t="shared" si="146"/>
        <v>17631.481780821905</v>
      </c>
      <c r="DR74" s="25">
        <f t="shared" si="146"/>
        <v>17234.350375304919</v>
      </c>
      <c r="DS74" s="25">
        <f t="shared" si="146"/>
        <v>17411.695607196456</v>
      </c>
      <c r="DT74" s="25">
        <f t="shared" si="146"/>
        <v>17588.572727903909</v>
      </c>
      <c r="DU74" s="25">
        <f t="shared" si="146"/>
        <v>17574.11253424656</v>
      </c>
      <c r="DV74" s="25">
        <f t="shared" si="146"/>
        <v>17178.228286263824</v>
      </c>
      <c r="DW74" s="25">
        <f t="shared" si="146"/>
        <v>17354.949939388236</v>
      </c>
      <c r="DX74" s="25">
        <f t="shared" si="146"/>
        <v>17531.203481328565</v>
      </c>
      <c r="DY74" s="25">
        <f t="shared" si="146"/>
        <v>17516.743287671219</v>
      </c>
      <c r="DZ74" s="25">
        <f t="shared" si="146"/>
        <v>17264.933820013644</v>
      </c>
      <c r="EA74" s="25">
        <f t="shared" si="146"/>
        <v>17250.863473360641</v>
      </c>
      <c r="EB74" s="25">
        <f t="shared" si="146"/>
        <v>17426.052117486321</v>
      </c>
      <c r="EC74" s="25">
        <f t="shared" si="146"/>
        <v>17411.670833333315</v>
      </c>
      <c r="ED74" s="25">
        <f t="shared" si="146"/>
        <v>17065.984108181627</v>
      </c>
      <c r="EE74" s="25">
        <f t="shared" si="146"/>
        <v>17241.458603771796</v>
      </c>
      <c r="EF74" s="25">
        <f t="shared" si="146"/>
        <v>17416.464988177879</v>
      </c>
      <c r="EG74" s="25">
        <f t="shared" si="146"/>
        <v>17402.004794520533</v>
      </c>
      <c r="EH74" s="25">
        <f t="shared" ref="EH74:FM74" si="147">EH66</f>
        <v>17009.862019140532</v>
      </c>
      <c r="EI74" s="25">
        <f t="shared" si="147"/>
        <v>17184.712935963576</v>
      </c>
      <c r="EJ74" s="25">
        <f t="shared" si="147"/>
        <v>17359.095741602534</v>
      </c>
      <c r="EK74" s="25">
        <f t="shared" si="147"/>
        <v>17344.635547945189</v>
      </c>
      <c r="EL74" s="25">
        <f t="shared" si="147"/>
        <v>16953.739930099437</v>
      </c>
      <c r="EM74" s="25">
        <f t="shared" si="147"/>
        <v>17127.967268155357</v>
      </c>
      <c r="EN74" s="25">
        <f t="shared" si="147"/>
        <v>17301.726495027193</v>
      </c>
      <c r="EO74" s="25">
        <f t="shared" si="147"/>
        <v>17287.266301369847</v>
      </c>
      <c r="EP74" s="25">
        <f t="shared" si="147"/>
        <v>17038.571320013645</v>
      </c>
      <c r="EQ74" s="25">
        <f t="shared" si="147"/>
        <v>17024.500973360638</v>
      </c>
      <c r="ER74" s="25">
        <f t="shared" si="147"/>
        <v>17197.202117486318</v>
      </c>
      <c r="ES74" s="25">
        <f t="shared" si="147"/>
        <v>17182.820833333313</v>
      </c>
      <c r="ET74" s="25">
        <f t="shared" si="147"/>
        <v>16841.495752017243</v>
      </c>
      <c r="EU74" s="25">
        <f t="shared" si="147"/>
        <v>17014.475932538917</v>
      </c>
      <c r="EV74" s="25">
        <f t="shared" si="147"/>
        <v>17186.988001876507</v>
      </c>
      <c r="EW74" s="25">
        <f t="shared" si="147"/>
        <v>17172.527808219158</v>
      </c>
      <c r="EX74" s="25">
        <f t="shared" si="147"/>
        <v>16785.373662976148</v>
      </c>
      <c r="EY74" s="25">
        <f t="shared" si="147"/>
        <v>16957.730264730697</v>
      </c>
      <c r="EZ74" s="25">
        <f t="shared" si="147"/>
        <v>17129.618755301162</v>
      </c>
      <c r="FA74" s="25">
        <f t="shared" si="147"/>
        <v>17115.158561643817</v>
      </c>
      <c r="FB74" s="25">
        <f t="shared" si="147"/>
        <v>0</v>
      </c>
      <c r="FC74" s="25">
        <f t="shared" si="147"/>
        <v>0</v>
      </c>
      <c r="FD74" s="25">
        <f t="shared" si="147"/>
        <v>0</v>
      </c>
      <c r="FE74" s="25">
        <f t="shared" si="147"/>
        <v>0</v>
      </c>
      <c r="FF74" s="25">
        <f t="shared" si="147"/>
        <v>0</v>
      </c>
      <c r="FG74" s="25">
        <f t="shared" si="147"/>
        <v>0</v>
      </c>
      <c r="FH74" s="25">
        <f t="shared" si="147"/>
        <v>0</v>
      </c>
      <c r="FI74" s="25">
        <f t="shared" si="147"/>
        <v>0</v>
      </c>
      <c r="FJ74" s="25">
        <f t="shared" si="147"/>
        <v>0</v>
      </c>
      <c r="FK74" s="25">
        <f t="shared" si="147"/>
        <v>0</v>
      </c>
      <c r="FL74" s="25">
        <f t="shared" si="147"/>
        <v>0</v>
      </c>
      <c r="FM74" s="25">
        <f t="shared" si="147"/>
        <v>0</v>
      </c>
    </row>
    <row r="75" spans="2:169" x14ac:dyDescent="0.25">
      <c r="B75" s="1"/>
    </row>
    <row r="76" spans="2:169" x14ac:dyDescent="0.25">
      <c r="B76" s="34" t="s">
        <v>121</v>
      </c>
    </row>
    <row r="77" spans="2:169" x14ac:dyDescent="0.25">
      <c r="B77" t="s">
        <v>122</v>
      </c>
      <c r="C77" t="s">
        <v>44</v>
      </c>
      <c r="D77" s="35">
        <f>Stat_Inp!F66</f>
        <v>45</v>
      </c>
      <c r="I77" s="8">
        <f>$D77</f>
        <v>45</v>
      </c>
      <c r="J77" s="8">
        <f t="shared" ref="J77:BU78" si="148">$D77</f>
        <v>45</v>
      </c>
      <c r="K77" s="8">
        <f t="shared" si="148"/>
        <v>45</v>
      </c>
      <c r="L77" s="8">
        <f t="shared" si="148"/>
        <v>45</v>
      </c>
      <c r="M77" s="8">
        <f t="shared" si="148"/>
        <v>45</v>
      </c>
      <c r="N77" s="8">
        <f t="shared" si="148"/>
        <v>45</v>
      </c>
      <c r="O77" s="8">
        <f t="shared" si="148"/>
        <v>45</v>
      </c>
      <c r="P77" s="8">
        <f t="shared" si="148"/>
        <v>45</v>
      </c>
      <c r="Q77" s="8">
        <f t="shared" si="148"/>
        <v>45</v>
      </c>
      <c r="R77" s="8">
        <f t="shared" si="148"/>
        <v>45</v>
      </c>
      <c r="S77" s="8">
        <f t="shared" si="148"/>
        <v>45</v>
      </c>
      <c r="T77" s="8">
        <f t="shared" si="148"/>
        <v>45</v>
      </c>
      <c r="U77" s="8">
        <f t="shared" si="148"/>
        <v>45</v>
      </c>
      <c r="V77" s="8">
        <f t="shared" si="148"/>
        <v>45</v>
      </c>
      <c r="W77" s="8">
        <f t="shared" si="148"/>
        <v>45</v>
      </c>
      <c r="X77" s="8">
        <f t="shared" si="148"/>
        <v>45</v>
      </c>
      <c r="Y77" s="8">
        <f t="shared" si="148"/>
        <v>45</v>
      </c>
      <c r="Z77" s="8">
        <f t="shared" si="148"/>
        <v>45</v>
      </c>
      <c r="AA77" s="8">
        <f t="shared" si="148"/>
        <v>45</v>
      </c>
      <c r="AB77" s="8">
        <f t="shared" si="148"/>
        <v>45</v>
      </c>
      <c r="AC77" s="8">
        <f t="shared" si="148"/>
        <v>45</v>
      </c>
      <c r="AD77" s="8">
        <f t="shared" si="148"/>
        <v>45</v>
      </c>
      <c r="AE77" s="8">
        <f t="shared" si="148"/>
        <v>45</v>
      </c>
      <c r="AF77" s="8">
        <f t="shared" si="148"/>
        <v>45</v>
      </c>
      <c r="AG77" s="8">
        <f t="shared" si="148"/>
        <v>45</v>
      </c>
      <c r="AH77" s="8">
        <f t="shared" si="148"/>
        <v>45</v>
      </c>
      <c r="AI77" s="8">
        <f t="shared" si="148"/>
        <v>45</v>
      </c>
      <c r="AJ77" s="8">
        <f t="shared" si="148"/>
        <v>45</v>
      </c>
      <c r="AK77" s="8">
        <f t="shared" si="148"/>
        <v>45</v>
      </c>
      <c r="AL77" s="8">
        <f t="shared" si="148"/>
        <v>45</v>
      </c>
      <c r="AM77" s="8">
        <f t="shared" si="148"/>
        <v>45</v>
      </c>
      <c r="AN77" s="8">
        <f t="shared" si="148"/>
        <v>45</v>
      </c>
      <c r="AO77" s="8">
        <f t="shared" si="148"/>
        <v>45</v>
      </c>
      <c r="AP77" s="8">
        <f t="shared" si="148"/>
        <v>45</v>
      </c>
      <c r="AQ77" s="8">
        <f t="shared" si="148"/>
        <v>45</v>
      </c>
      <c r="AR77" s="8">
        <f t="shared" si="148"/>
        <v>45</v>
      </c>
      <c r="AS77" s="8">
        <f t="shared" si="148"/>
        <v>45</v>
      </c>
      <c r="AT77" s="8">
        <f t="shared" si="148"/>
        <v>45</v>
      </c>
      <c r="AU77" s="8">
        <f t="shared" si="148"/>
        <v>45</v>
      </c>
      <c r="AV77" s="8">
        <f t="shared" si="148"/>
        <v>45</v>
      </c>
      <c r="AW77" s="8">
        <f t="shared" si="148"/>
        <v>45</v>
      </c>
      <c r="AX77" s="8">
        <f t="shared" si="148"/>
        <v>45</v>
      </c>
      <c r="AY77" s="8">
        <f t="shared" si="148"/>
        <v>45</v>
      </c>
      <c r="AZ77" s="8">
        <f t="shared" si="148"/>
        <v>45</v>
      </c>
      <c r="BA77" s="8">
        <f t="shared" si="148"/>
        <v>45</v>
      </c>
      <c r="BB77" s="8">
        <f t="shared" si="148"/>
        <v>45</v>
      </c>
      <c r="BC77" s="8">
        <f t="shared" si="148"/>
        <v>45</v>
      </c>
      <c r="BD77" s="8">
        <f t="shared" si="148"/>
        <v>45</v>
      </c>
      <c r="BE77" s="8">
        <f t="shared" si="148"/>
        <v>45</v>
      </c>
      <c r="BF77" s="8">
        <f t="shared" si="148"/>
        <v>45</v>
      </c>
      <c r="BG77" s="8">
        <f t="shared" si="148"/>
        <v>45</v>
      </c>
      <c r="BH77" s="8">
        <f t="shared" si="148"/>
        <v>45</v>
      </c>
      <c r="BI77" s="8">
        <f t="shared" si="148"/>
        <v>45</v>
      </c>
      <c r="BJ77" s="8">
        <f t="shared" si="148"/>
        <v>45</v>
      </c>
      <c r="BK77" s="8">
        <f t="shared" si="148"/>
        <v>45</v>
      </c>
      <c r="BL77" s="8">
        <f t="shared" si="148"/>
        <v>45</v>
      </c>
      <c r="BM77" s="8">
        <f t="shared" si="148"/>
        <v>45</v>
      </c>
      <c r="BN77" s="8">
        <f t="shared" si="148"/>
        <v>45</v>
      </c>
      <c r="BO77" s="8">
        <f t="shared" si="148"/>
        <v>45</v>
      </c>
      <c r="BP77" s="8">
        <f t="shared" si="148"/>
        <v>45</v>
      </c>
      <c r="BQ77" s="8">
        <f t="shared" si="148"/>
        <v>45</v>
      </c>
      <c r="BR77" s="8">
        <f t="shared" si="148"/>
        <v>45</v>
      </c>
      <c r="BS77" s="8">
        <f t="shared" si="148"/>
        <v>45</v>
      </c>
      <c r="BT77" s="8">
        <f t="shared" si="148"/>
        <v>45</v>
      </c>
      <c r="BU77" s="8">
        <f t="shared" si="148"/>
        <v>45</v>
      </c>
      <c r="BV77" s="8">
        <f t="shared" ref="BV77:EG78" si="149">$D77</f>
        <v>45</v>
      </c>
      <c r="BW77" s="8">
        <f t="shared" si="149"/>
        <v>45</v>
      </c>
      <c r="BX77" s="8">
        <f t="shared" si="149"/>
        <v>45</v>
      </c>
      <c r="BY77" s="8">
        <f t="shared" si="149"/>
        <v>45</v>
      </c>
      <c r="BZ77" s="8">
        <f t="shared" si="149"/>
        <v>45</v>
      </c>
      <c r="CA77" s="8">
        <f t="shared" si="149"/>
        <v>45</v>
      </c>
      <c r="CB77" s="8">
        <f t="shared" si="149"/>
        <v>45</v>
      </c>
      <c r="CC77" s="8">
        <f t="shared" si="149"/>
        <v>45</v>
      </c>
      <c r="CD77" s="8">
        <f t="shared" si="149"/>
        <v>45</v>
      </c>
      <c r="CE77" s="8">
        <f t="shared" si="149"/>
        <v>45</v>
      </c>
      <c r="CF77" s="8">
        <f t="shared" si="149"/>
        <v>45</v>
      </c>
      <c r="CG77" s="8">
        <f t="shared" si="149"/>
        <v>45</v>
      </c>
      <c r="CH77" s="8">
        <f t="shared" si="149"/>
        <v>45</v>
      </c>
      <c r="CI77" s="8">
        <f t="shared" si="149"/>
        <v>45</v>
      </c>
      <c r="CJ77" s="8">
        <f t="shared" si="149"/>
        <v>45</v>
      </c>
      <c r="CK77" s="8">
        <f t="shared" si="149"/>
        <v>45</v>
      </c>
      <c r="CL77" s="8">
        <f t="shared" si="149"/>
        <v>45</v>
      </c>
      <c r="CM77" s="8">
        <f t="shared" si="149"/>
        <v>45</v>
      </c>
      <c r="CN77" s="8">
        <f t="shared" si="149"/>
        <v>45</v>
      </c>
      <c r="CO77" s="8">
        <f t="shared" si="149"/>
        <v>45</v>
      </c>
      <c r="CP77" s="8">
        <f t="shared" si="149"/>
        <v>45</v>
      </c>
      <c r="CQ77" s="8">
        <f t="shared" si="149"/>
        <v>45</v>
      </c>
      <c r="CR77" s="8">
        <f t="shared" si="149"/>
        <v>45</v>
      </c>
      <c r="CS77" s="8">
        <f t="shared" si="149"/>
        <v>45</v>
      </c>
      <c r="CT77" s="8">
        <f t="shared" si="149"/>
        <v>45</v>
      </c>
      <c r="CU77" s="8">
        <f t="shared" si="149"/>
        <v>45</v>
      </c>
      <c r="CV77" s="8">
        <f t="shared" si="149"/>
        <v>45</v>
      </c>
      <c r="CW77" s="8">
        <f t="shared" si="149"/>
        <v>45</v>
      </c>
      <c r="CX77" s="8">
        <f t="shared" si="149"/>
        <v>45</v>
      </c>
      <c r="CY77" s="8">
        <f t="shared" si="149"/>
        <v>45</v>
      </c>
      <c r="CZ77" s="8">
        <f t="shared" si="149"/>
        <v>45</v>
      </c>
      <c r="DA77" s="8">
        <f t="shared" si="149"/>
        <v>45</v>
      </c>
      <c r="DB77" s="8">
        <f t="shared" si="149"/>
        <v>45</v>
      </c>
      <c r="DC77" s="8">
        <f t="shared" si="149"/>
        <v>45</v>
      </c>
      <c r="DD77" s="8">
        <f t="shared" si="149"/>
        <v>45</v>
      </c>
      <c r="DE77" s="8">
        <f t="shared" si="149"/>
        <v>45</v>
      </c>
      <c r="DF77" s="8">
        <f t="shared" si="149"/>
        <v>45</v>
      </c>
      <c r="DG77" s="8">
        <f t="shared" si="149"/>
        <v>45</v>
      </c>
      <c r="DH77" s="8">
        <f t="shared" si="149"/>
        <v>45</v>
      </c>
      <c r="DI77" s="8">
        <f t="shared" si="149"/>
        <v>45</v>
      </c>
      <c r="DJ77" s="8">
        <f t="shared" si="149"/>
        <v>45</v>
      </c>
      <c r="DK77" s="8">
        <f t="shared" si="149"/>
        <v>45</v>
      </c>
      <c r="DL77" s="8">
        <f t="shared" si="149"/>
        <v>45</v>
      </c>
      <c r="DM77" s="8">
        <f t="shared" si="149"/>
        <v>45</v>
      </c>
      <c r="DN77" s="8">
        <f t="shared" si="149"/>
        <v>45</v>
      </c>
      <c r="DO77" s="8">
        <f t="shared" si="149"/>
        <v>45</v>
      </c>
      <c r="DP77" s="8">
        <f t="shared" si="149"/>
        <v>45</v>
      </c>
      <c r="DQ77" s="8">
        <f t="shared" si="149"/>
        <v>45</v>
      </c>
      <c r="DR77" s="8">
        <f t="shared" si="149"/>
        <v>45</v>
      </c>
      <c r="DS77" s="8">
        <f t="shared" si="149"/>
        <v>45</v>
      </c>
      <c r="DT77" s="8">
        <f t="shared" si="149"/>
        <v>45</v>
      </c>
      <c r="DU77" s="8">
        <f t="shared" si="149"/>
        <v>45</v>
      </c>
      <c r="DV77" s="8">
        <f t="shared" si="149"/>
        <v>45</v>
      </c>
      <c r="DW77" s="8">
        <f t="shared" si="149"/>
        <v>45</v>
      </c>
      <c r="DX77" s="8">
        <f t="shared" si="149"/>
        <v>45</v>
      </c>
      <c r="DY77" s="8">
        <f t="shared" si="149"/>
        <v>45</v>
      </c>
      <c r="DZ77" s="8">
        <f t="shared" si="149"/>
        <v>45</v>
      </c>
      <c r="EA77" s="8">
        <f t="shared" si="149"/>
        <v>45</v>
      </c>
      <c r="EB77" s="8">
        <f t="shared" si="149"/>
        <v>45</v>
      </c>
      <c r="EC77" s="8">
        <f t="shared" si="149"/>
        <v>45</v>
      </c>
      <c r="ED77" s="8">
        <f t="shared" si="149"/>
        <v>45</v>
      </c>
      <c r="EE77" s="8">
        <f t="shared" si="149"/>
        <v>45</v>
      </c>
      <c r="EF77" s="8">
        <f t="shared" si="149"/>
        <v>45</v>
      </c>
      <c r="EG77" s="8">
        <f t="shared" si="149"/>
        <v>45</v>
      </c>
      <c r="EH77" s="8">
        <f t="shared" ref="EH77:FM78" si="150">$D77</f>
        <v>45</v>
      </c>
      <c r="EI77" s="8">
        <f t="shared" si="150"/>
        <v>45</v>
      </c>
      <c r="EJ77" s="8">
        <f t="shared" si="150"/>
        <v>45</v>
      </c>
      <c r="EK77" s="8">
        <f t="shared" si="150"/>
        <v>45</v>
      </c>
      <c r="EL77" s="8">
        <f t="shared" si="150"/>
        <v>45</v>
      </c>
      <c r="EM77" s="8">
        <f t="shared" si="150"/>
        <v>45</v>
      </c>
      <c r="EN77" s="8">
        <f t="shared" si="150"/>
        <v>45</v>
      </c>
      <c r="EO77" s="8">
        <f t="shared" si="150"/>
        <v>45</v>
      </c>
      <c r="EP77" s="8">
        <f t="shared" si="150"/>
        <v>45</v>
      </c>
      <c r="EQ77" s="8">
        <f t="shared" si="150"/>
        <v>45</v>
      </c>
      <c r="ER77" s="8">
        <f t="shared" si="150"/>
        <v>45</v>
      </c>
      <c r="ES77" s="8">
        <f t="shared" si="150"/>
        <v>45</v>
      </c>
      <c r="ET77" s="8">
        <f t="shared" si="150"/>
        <v>45</v>
      </c>
      <c r="EU77" s="8">
        <f t="shared" si="150"/>
        <v>45</v>
      </c>
      <c r="EV77" s="8">
        <f t="shared" si="150"/>
        <v>45</v>
      </c>
      <c r="EW77" s="8">
        <f t="shared" si="150"/>
        <v>45</v>
      </c>
      <c r="EX77" s="8">
        <f t="shared" si="150"/>
        <v>45</v>
      </c>
      <c r="EY77" s="8">
        <f t="shared" si="150"/>
        <v>45</v>
      </c>
      <c r="EZ77" s="8">
        <f t="shared" si="150"/>
        <v>45</v>
      </c>
      <c r="FA77" s="8">
        <f t="shared" si="150"/>
        <v>45</v>
      </c>
      <c r="FB77" s="8">
        <f t="shared" si="150"/>
        <v>45</v>
      </c>
      <c r="FC77" s="8">
        <f t="shared" si="150"/>
        <v>45</v>
      </c>
      <c r="FD77" s="8">
        <f t="shared" si="150"/>
        <v>45</v>
      </c>
      <c r="FE77" s="8">
        <f t="shared" si="150"/>
        <v>45</v>
      </c>
      <c r="FF77" s="8">
        <f t="shared" si="150"/>
        <v>45</v>
      </c>
      <c r="FG77" s="8">
        <f t="shared" si="150"/>
        <v>45</v>
      </c>
      <c r="FH77" s="8">
        <f t="shared" si="150"/>
        <v>45</v>
      </c>
      <c r="FI77" s="8">
        <f t="shared" si="150"/>
        <v>45</v>
      </c>
      <c r="FJ77" s="8">
        <f t="shared" si="150"/>
        <v>45</v>
      </c>
      <c r="FK77" s="8">
        <f t="shared" si="150"/>
        <v>45</v>
      </c>
      <c r="FL77" s="8">
        <f t="shared" si="150"/>
        <v>45</v>
      </c>
      <c r="FM77" s="8">
        <f t="shared" si="150"/>
        <v>45</v>
      </c>
    </row>
    <row r="78" spans="2:169" x14ac:dyDescent="0.25">
      <c r="B78" t="s">
        <v>123</v>
      </c>
      <c r="C78" t="s">
        <v>44</v>
      </c>
      <c r="D78" s="35">
        <f>Stat_Inp!F67</f>
        <v>1.75</v>
      </c>
      <c r="I78" s="8">
        <f>$D78</f>
        <v>1.75</v>
      </c>
      <c r="J78" s="8">
        <f t="shared" si="148"/>
        <v>1.75</v>
      </c>
      <c r="K78" s="8">
        <f t="shared" si="148"/>
        <v>1.75</v>
      </c>
      <c r="L78" s="8">
        <f t="shared" si="148"/>
        <v>1.75</v>
      </c>
      <c r="M78" s="8">
        <f t="shared" si="148"/>
        <v>1.75</v>
      </c>
      <c r="N78" s="8">
        <f t="shared" si="148"/>
        <v>1.75</v>
      </c>
      <c r="O78" s="8">
        <f t="shared" si="148"/>
        <v>1.75</v>
      </c>
      <c r="P78" s="8">
        <f t="shared" si="148"/>
        <v>1.75</v>
      </c>
      <c r="Q78" s="8">
        <f t="shared" si="148"/>
        <v>1.75</v>
      </c>
      <c r="R78" s="8">
        <f t="shared" si="148"/>
        <v>1.75</v>
      </c>
      <c r="S78" s="8">
        <f t="shared" si="148"/>
        <v>1.75</v>
      </c>
      <c r="T78" s="8">
        <f t="shared" si="148"/>
        <v>1.75</v>
      </c>
      <c r="U78" s="8">
        <f t="shared" si="148"/>
        <v>1.75</v>
      </c>
      <c r="V78" s="8">
        <f t="shared" si="148"/>
        <v>1.75</v>
      </c>
      <c r="W78" s="8">
        <f t="shared" si="148"/>
        <v>1.75</v>
      </c>
      <c r="X78" s="8">
        <f t="shared" si="148"/>
        <v>1.75</v>
      </c>
      <c r="Y78" s="8">
        <f t="shared" si="148"/>
        <v>1.75</v>
      </c>
      <c r="Z78" s="8">
        <f t="shared" si="148"/>
        <v>1.75</v>
      </c>
      <c r="AA78" s="8">
        <f t="shared" si="148"/>
        <v>1.75</v>
      </c>
      <c r="AB78" s="8">
        <f t="shared" si="148"/>
        <v>1.75</v>
      </c>
      <c r="AC78" s="8">
        <f t="shared" si="148"/>
        <v>1.75</v>
      </c>
      <c r="AD78" s="8">
        <f t="shared" si="148"/>
        <v>1.75</v>
      </c>
      <c r="AE78" s="8">
        <f t="shared" si="148"/>
        <v>1.75</v>
      </c>
      <c r="AF78" s="8">
        <f t="shared" si="148"/>
        <v>1.75</v>
      </c>
      <c r="AG78" s="8">
        <f t="shared" si="148"/>
        <v>1.75</v>
      </c>
      <c r="AH78" s="8">
        <f t="shared" si="148"/>
        <v>1.75</v>
      </c>
      <c r="AI78" s="8">
        <f t="shared" si="148"/>
        <v>1.75</v>
      </c>
      <c r="AJ78" s="8">
        <f t="shared" si="148"/>
        <v>1.75</v>
      </c>
      <c r="AK78" s="8">
        <f t="shared" si="148"/>
        <v>1.75</v>
      </c>
      <c r="AL78" s="8">
        <f t="shared" si="148"/>
        <v>1.75</v>
      </c>
      <c r="AM78" s="8">
        <f t="shared" si="148"/>
        <v>1.75</v>
      </c>
      <c r="AN78" s="8">
        <f t="shared" si="148"/>
        <v>1.75</v>
      </c>
      <c r="AO78" s="8">
        <f t="shared" si="148"/>
        <v>1.75</v>
      </c>
      <c r="AP78" s="8">
        <f t="shared" si="148"/>
        <v>1.75</v>
      </c>
      <c r="AQ78" s="8">
        <f t="shared" si="148"/>
        <v>1.75</v>
      </c>
      <c r="AR78" s="8">
        <f t="shared" si="148"/>
        <v>1.75</v>
      </c>
      <c r="AS78" s="8">
        <f t="shared" si="148"/>
        <v>1.75</v>
      </c>
      <c r="AT78" s="8">
        <f t="shared" si="148"/>
        <v>1.75</v>
      </c>
      <c r="AU78" s="8">
        <f t="shared" si="148"/>
        <v>1.75</v>
      </c>
      <c r="AV78" s="8">
        <f t="shared" si="148"/>
        <v>1.75</v>
      </c>
      <c r="AW78" s="8">
        <f t="shared" si="148"/>
        <v>1.75</v>
      </c>
      <c r="AX78" s="8">
        <f t="shared" si="148"/>
        <v>1.75</v>
      </c>
      <c r="AY78" s="8">
        <f t="shared" si="148"/>
        <v>1.75</v>
      </c>
      <c r="AZ78" s="8">
        <f t="shared" si="148"/>
        <v>1.75</v>
      </c>
      <c r="BA78" s="8">
        <f t="shared" si="148"/>
        <v>1.75</v>
      </c>
      <c r="BB78" s="8">
        <f t="shared" si="148"/>
        <v>1.75</v>
      </c>
      <c r="BC78" s="8">
        <f t="shared" si="148"/>
        <v>1.75</v>
      </c>
      <c r="BD78" s="8">
        <f t="shared" si="148"/>
        <v>1.75</v>
      </c>
      <c r="BE78" s="8">
        <f t="shared" si="148"/>
        <v>1.75</v>
      </c>
      <c r="BF78" s="8">
        <f t="shared" si="148"/>
        <v>1.75</v>
      </c>
      <c r="BG78" s="8">
        <f t="shared" si="148"/>
        <v>1.75</v>
      </c>
      <c r="BH78" s="8">
        <f t="shared" si="148"/>
        <v>1.75</v>
      </c>
      <c r="BI78" s="8">
        <f t="shared" si="148"/>
        <v>1.75</v>
      </c>
      <c r="BJ78" s="8">
        <f t="shared" si="148"/>
        <v>1.75</v>
      </c>
      <c r="BK78" s="8">
        <f t="shared" si="148"/>
        <v>1.75</v>
      </c>
      <c r="BL78" s="8">
        <f t="shared" si="148"/>
        <v>1.75</v>
      </c>
      <c r="BM78" s="8">
        <f t="shared" si="148"/>
        <v>1.75</v>
      </c>
      <c r="BN78" s="8">
        <f t="shared" si="148"/>
        <v>1.75</v>
      </c>
      <c r="BO78" s="8">
        <f t="shared" si="148"/>
        <v>1.75</v>
      </c>
      <c r="BP78" s="8">
        <f t="shared" si="148"/>
        <v>1.75</v>
      </c>
      <c r="BQ78" s="8">
        <f t="shared" si="148"/>
        <v>1.75</v>
      </c>
      <c r="BR78" s="8">
        <f t="shared" si="148"/>
        <v>1.75</v>
      </c>
      <c r="BS78" s="8">
        <f t="shared" si="148"/>
        <v>1.75</v>
      </c>
      <c r="BT78" s="8">
        <f t="shared" si="148"/>
        <v>1.75</v>
      </c>
      <c r="BU78" s="8">
        <f t="shared" si="148"/>
        <v>1.75</v>
      </c>
      <c r="BV78" s="8">
        <f t="shared" si="149"/>
        <v>1.75</v>
      </c>
      <c r="BW78" s="8">
        <f t="shared" si="149"/>
        <v>1.75</v>
      </c>
      <c r="BX78" s="8">
        <f t="shared" si="149"/>
        <v>1.75</v>
      </c>
      <c r="BY78" s="8">
        <f t="shared" si="149"/>
        <v>1.75</v>
      </c>
      <c r="BZ78" s="8">
        <f t="shared" si="149"/>
        <v>1.75</v>
      </c>
      <c r="CA78" s="8">
        <f t="shared" si="149"/>
        <v>1.75</v>
      </c>
      <c r="CB78" s="8">
        <f t="shared" si="149"/>
        <v>1.75</v>
      </c>
      <c r="CC78" s="8">
        <f t="shared" si="149"/>
        <v>1.75</v>
      </c>
      <c r="CD78" s="8">
        <f t="shared" si="149"/>
        <v>1.75</v>
      </c>
      <c r="CE78" s="8">
        <f t="shared" si="149"/>
        <v>1.75</v>
      </c>
      <c r="CF78" s="8">
        <f t="shared" si="149"/>
        <v>1.75</v>
      </c>
      <c r="CG78" s="8">
        <f t="shared" si="149"/>
        <v>1.75</v>
      </c>
      <c r="CH78" s="8">
        <f t="shared" si="149"/>
        <v>1.75</v>
      </c>
      <c r="CI78" s="8">
        <f t="shared" si="149"/>
        <v>1.75</v>
      </c>
      <c r="CJ78" s="8">
        <f t="shared" si="149"/>
        <v>1.75</v>
      </c>
      <c r="CK78" s="8">
        <f t="shared" si="149"/>
        <v>1.75</v>
      </c>
      <c r="CL78" s="8">
        <f t="shared" si="149"/>
        <v>1.75</v>
      </c>
      <c r="CM78" s="8">
        <f t="shared" si="149"/>
        <v>1.75</v>
      </c>
      <c r="CN78" s="8">
        <f t="shared" si="149"/>
        <v>1.75</v>
      </c>
      <c r="CO78" s="8">
        <f t="shared" si="149"/>
        <v>1.75</v>
      </c>
      <c r="CP78" s="8">
        <f t="shared" si="149"/>
        <v>1.75</v>
      </c>
      <c r="CQ78" s="8">
        <f t="shared" si="149"/>
        <v>1.75</v>
      </c>
      <c r="CR78" s="8">
        <f t="shared" si="149"/>
        <v>1.75</v>
      </c>
      <c r="CS78" s="8">
        <f t="shared" si="149"/>
        <v>1.75</v>
      </c>
      <c r="CT78" s="8">
        <f t="shared" si="149"/>
        <v>1.75</v>
      </c>
      <c r="CU78" s="8">
        <f t="shared" si="149"/>
        <v>1.75</v>
      </c>
      <c r="CV78" s="8">
        <f t="shared" si="149"/>
        <v>1.75</v>
      </c>
      <c r="CW78" s="8">
        <f t="shared" si="149"/>
        <v>1.75</v>
      </c>
      <c r="CX78" s="8">
        <f t="shared" si="149"/>
        <v>1.75</v>
      </c>
      <c r="CY78" s="8">
        <f t="shared" si="149"/>
        <v>1.75</v>
      </c>
      <c r="CZ78" s="8">
        <f t="shared" si="149"/>
        <v>1.75</v>
      </c>
      <c r="DA78" s="8">
        <f t="shared" si="149"/>
        <v>1.75</v>
      </c>
      <c r="DB78" s="8">
        <f t="shared" si="149"/>
        <v>1.75</v>
      </c>
      <c r="DC78" s="8">
        <f t="shared" si="149"/>
        <v>1.75</v>
      </c>
      <c r="DD78" s="8">
        <f t="shared" si="149"/>
        <v>1.75</v>
      </c>
      <c r="DE78" s="8">
        <f t="shared" si="149"/>
        <v>1.75</v>
      </c>
      <c r="DF78" s="8">
        <f t="shared" si="149"/>
        <v>1.75</v>
      </c>
      <c r="DG78" s="8">
        <f t="shared" si="149"/>
        <v>1.75</v>
      </c>
      <c r="DH78" s="8">
        <f t="shared" si="149"/>
        <v>1.75</v>
      </c>
      <c r="DI78" s="8">
        <f t="shared" si="149"/>
        <v>1.75</v>
      </c>
      <c r="DJ78" s="8">
        <f t="shared" si="149"/>
        <v>1.75</v>
      </c>
      <c r="DK78" s="8">
        <f t="shared" si="149"/>
        <v>1.75</v>
      </c>
      <c r="DL78" s="8">
        <f t="shared" si="149"/>
        <v>1.75</v>
      </c>
      <c r="DM78" s="8">
        <f t="shared" si="149"/>
        <v>1.75</v>
      </c>
      <c r="DN78" s="8">
        <f t="shared" si="149"/>
        <v>1.75</v>
      </c>
      <c r="DO78" s="8">
        <f t="shared" si="149"/>
        <v>1.75</v>
      </c>
      <c r="DP78" s="8">
        <f t="shared" si="149"/>
        <v>1.75</v>
      </c>
      <c r="DQ78" s="8">
        <f t="shared" si="149"/>
        <v>1.75</v>
      </c>
      <c r="DR78" s="8">
        <f t="shared" si="149"/>
        <v>1.75</v>
      </c>
      <c r="DS78" s="8">
        <f t="shared" si="149"/>
        <v>1.75</v>
      </c>
      <c r="DT78" s="8">
        <f t="shared" si="149"/>
        <v>1.75</v>
      </c>
      <c r="DU78" s="8">
        <f t="shared" si="149"/>
        <v>1.75</v>
      </c>
      <c r="DV78" s="8">
        <f t="shared" si="149"/>
        <v>1.75</v>
      </c>
      <c r="DW78" s="8">
        <f t="shared" si="149"/>
        <v>1.75</v>
      </c>
      <c r="DX78" s="8">
        <f t="shared" si="149"/>
        <v>1.75</v>
      </c>
      <c r="DY78" s="8">
        <f t="shared" si="149"/>
        <v>1.75</v>
      </c>
      <c r="DZ78" s="8">
        <f t="shared" si="149"/>
        <v>1.75</v>
      </c>
      <c r="EA78" s="8">
        <f t="shared" si="149"/>
        <v>1.75</v>
      </c>
      <c r="EB78" s="8">
        <f t="shared" si="149"/>
        <v>1.75</v>
      </c>
      <c r="EC78" s="8">
        <f t="shared" si="149"/>
        <v>1.75</v>
      </c>
      <c r="ED78" s="8">
        <f t="shared" si="149"/>
        <v>1.75</v>
      </c>
      <c r="EE78" s="8">
        <f t="shared" si="149"/>
        <v>1.75</v>
      </c>
      <c r="EF78" s="8">
        <f t="shared" si="149"/>
        <v>1.75</v>
      </c>
      <c r="EG78" s="8">
        <f t="shared" si="149"/>
        <v>1.75</v>
      </c>
      <c r="EH78" s="8">
        <f t="shared" si="150"/>
        <v>1.75</v>
      </c>
      <c r="EI78" s="8">
        <f t="shared" si="150"/>
        <v>1.75</v>
      </c>
      <c r="EJ78" s="8">
        <f t="shared" si="150"/>
        <v>1.75</v>
      </c>
      <c r="EK78" s="8">
        <f t="shared" si="150"/>
        <v>1.75</v>
      </c>
      <c r="EL78" s="8">
        <f t="shared" si="150"/>
        <v>1.75</v>
      </c>
      <c r="EM78" s="8">
        <f t="shared" si="150"/>
        <v>1.75</v>
      </c>
      <c r="EN78" s="8">
        <f t="shared" si="150"/>
        <v>1.75</v>
      </c>
      <c r="EO78" s="8">
        <f t="shared" si="150"/>
        <v>1.75</v>
      </c>
      <c r="EP78" s="8">
        <f t="shared" si="150"/>
        <v>1.75</v>
      </c>
      <c r="EQ78" s="8">
        <f t="shared" si="150"/>
        <v>1.75</v>
      </c>
      <c r="ER78" s="8">
        <f t="shared" si="150"/>
        <v>1.75</v>
      </c>
      <c r="ES78" s="8">
        <f t="shared" si="150"/>
        <v>1.75</v>
      </c>
      <c r="ET78" s="8">
        <f t="shared" si="150"/>
        <v>1.75</v>
      </c>
      <c r="EU78" s="8">
        <f t="shared" si="150"/>
        <v>1.75</v>
      </c>
      <c r="EV78" s="8">
        <f t="shared" si="150"/>
        <v>1.75</v>
      </c>
      <c r="EW78" s="8">
        <f t="shared" si="150"/>
        <v>1.75</v>
      </c>
      <c r="EX78" s="8">
        <f t="shared" si="150"/>
        <v>1.75</v>
      </c>
      <c r="EY78" s="8">
        <f t="shared" si="150"/>
        <v>1.75</v>
      </c>
      <c r="EZ78" s="8">
        <f t="shared" si="150"/>
        <v>1.75</v>
      </c>
      <c r="FA78" s="8">
        <f t="shared" si="150"/>
        <v>1.75</v>
      </c>
      <c r="FB78" s="8">
        <f t="shared" si="150"/>
        <v>1.75</v>
      </c>
      <c r="FC78" s="8">
        <f t="shared" si="150"/>
        <v>1.75</v>
      </c>
      <c r="FD78" s="8">
        <f t="shared" si="150"/>
        <v>1.75</v>
      </c>
      <c r="FE78" s="8">
        <f t="shared" si="150"/>
        <v>1.75</v>
      </c>
      <c r="FF78" s="8">
        <f t="shared" si="150"/>
        <v>1.75</v>
      </c>
      <c r="FG78" s="8">
        <f t="shared" si="150"/>
        <v>1.75</v>
      </c>
      <c r="FH78" s="8">
        <f t="shared" si="150"/>
        <v>1.75</v>
      </c>
      <c r="FI78" s="8">
        <f t="shared" si="150"/>
        <v>1.75</v>
      </c>
      <c r="FJ78" s="8">
        <f t="shared" si="150"/>
        <v>1.75</v>
      </c>
      <c r="FK78" s="8">
        <f t="shared" si="150"/>
        <v>1.75</v>
      </c>
      <c r="FL78" s="8">
        <f t="shared" si="150"/>
        <v>1.75</v>
      </c>
      <c r="FM78" s="8">
        <f t="shared" si="150"/>
        <v>1.75</v>
      </c>
    </row>
    <row r="79" spans="2:169" x14ac:dyDescent="0.25"/>
    <row r="80" spans="2:169" x14ac:dyDescent="0.25">
      <c r="B80" s="34" t="s">
        <v>124</v>
      </c>
    </row>
    <row r="81" spans="2:169" x14ac:dyDescent="0.25">
      <c r="B81" t="str">
        <f>B77</f>
        <v>Merchant price</v>
      </c>
      <c r="C81" t="s">
        <v>44</v>
      </c>
      <c r="I81" s="8">
        <f>I77 * I$23</f>
        <v>45</v>
      </c>
      <c r="J81" s="8">
        <f t="shared" ref="J81:BU81" si="151">J77 * J$23</f>
        <v>46.620000000000005</v>
      </c>
      <c r="K81" s="8">
        <f t="shared" si="151"/>
        <v>46.620000000000005</v>
      </c>
      <c r="L81" s="8">
        <f t="shared" si="151"/>
        <v>46.620000000000005</v>
      </c>
      <c r="M81" s="8">
        <f t="shared" si="151"/>
        <v>46.620000000000005</v>
      </c>
      <c r="N81" s="8">
        <f t="shared" si="151"/>
        <v>48.111840000000008</v>
      </c>
      <c r="O81" s="8">
        <f t="shared" si="151"/>
        <v>48.111840000000008</v>
      </c>
      <c r="P81" s="8">
        <f t="shared" si="151"/>
        <v>48.111840000000008</v>
      </c>
      <c r="Q81" s="8">
        <f t="shared" si="151"/>
        <v>48.111840000000008</v>
      </c>
      <c r="R81" s="8">
        <f t="shared" si="151"/>
        <v>49.555195200000007</v>
      </c>
      <c r="S81" s="8">
        <f t="shared" si="151"/>
        <v>49.555195200000007</v>
      </c>
      <c r="T81" s="8">
        <f t="shared" si="151"/>
        <v>49.555195200000007</v>
      </c>
      <c r="U81" s="8">
        <f t="shared" si="151"/>
        <v>49.555195200000007</v>
      </c>
      <c r="V81" s="8">
        <f t="shared" si="151"/>
        <v>51.041851056000013</v>
      </c>
      <c r="W81" s="8">
        <f t="shared" si="151"/>
        <v>51.041851056000013</v>
      </c>
      <c r="X81" s="8">
        <f t="shared" si="151"/>
        <v>51.041851056000013</v>
      </c>
      <c r="Y81" s="8">
        <f t="shared" si="151"/>
        <v>51.041851056000013</v>
      </c>
      <c r="Z81" s="8">
        <f t="shared" si="151"/>
        <v>52.317897332400008</v>
      </c>
      <c r="AA81" s="8">
        <f t="shared" si="151"/>
        <v>52.317897332400008</v>
      </c>
      <c r="AB81" s="8">
        <f t="shared" si="151"/>
        <v>52.317897332400008</v>
      </c>
      <c r="AC81" s="8">
        <f t="shared" si="151"/>
        <v>52.317897332400008</v>
      </c>
      <c r="AD81" s="8">
        <f t="shared" si="151"/>
        <v>53.625844765710006</v>
      </c>
      <c r="AE81" s="8">
        <f t="shared" si="151"/>
        <v>53.625844765710006</v>
      </c>
      <c r="AF81" s="8">
        <f t="shared" si="151"/>
        <v>53.625844765710006</v>
      </c>
      <c r="AG81" s="8">
        <f t="shared" si="151"/>
        <v>53.625844765710006</v>
      </c>
      <c r="AH81" s="8">
        <f t="shared" si="151"/>
        <v>54.966490884852746</v>
      </c>
      <c r="AI81" s="8">
        <f t="shared" si="151"/>
        <v>54.966490884852746</v>
      </c>
      <c r="AJ81" s="8">
        <f t="shared" si="151"/>
        <v>54.966490884852746</v>
      </c>
      <c r="AK81" s="8">
        <f t="shared" si="151"/>
        <v>54.966490884852746</v>
      </c>
      <c r="AL81" s="8">
        <f t="shared" si="151"/>
        <v>56.340653156974064</v>
      </c>
      <c r="AM81" s="8">
        <f t="shared" si="151"/>
        <v>56.340653156974064</v>
      </c>
      <c r="AN81" s="8">
        <f t="shared" si="151"/>
        <v>56.340653156974064</v>
      </c>
      <c r="AO81" s="8">
        <f t="shared" si="151"/>
        <v>56.340653156974064</v>
      </c>
      <c r="AP81" s="8">
        <f t="shared" si="151"/>
        <v>57.749169485898413</v>
      </c>
      <c r="AQ81" s="8">
        <f t="shared" si="151"/>
        <v>57.749169485898413</v>
      </c>
      <c r="AR81" s="8">
        <f t="shared" si="151"/>
        <v>57.749169485898413</v>
      </c>
      <c r="AS81" s="8">
        <f t="shared" si="151"/>
        <v>57.749169485898413</v>
      </c>
      <c r="AT81" s="8">
        <f t="shared" si="151"/>
        <v>59.192898723045872</v>
      </c>
      <c r="AU81" s="8">
        <f t="shared" si="151"/>
        <v>59.192898723045872</v>
      </c>
      <c r="AV81" s="8">
        <f t="shared" si="151"/>
        <v>59.192898723045872</v>
      </c>
      <c r="AW81" s="8">
        <f t="shared" si="151"/>
        <v>59.192898723045872</v>
      </c>
      <c r="AX81" s="8">
        <f t="shared" si="151"/>
        <v>60.672721191122015</v>
      </c>
      <c r="AY81" s="8">
        <f t="shared" si="151"/>
        <v>60.672721191122015</v>
      </c>
      <c r="AZ81" s="8">
        <f t="shared" si="151"/>
        <v>60.672721191122015</v>
      </c>
      <c r="BA81" s="8">
        <f t="shared" si="151"/>
        <v>60.672721191122015</v>
      </c>
      <c r="BB81" s="8">
        <f t="shared" si="151"/>
        <v>62.189539220900059</v>
      </c>
      <c r="BC81" s="8">
        <f t="shared" si="151"/>
        <v>62.189539220900059</v>
      </c>
      <c r="BD81" s="8">
        <f t="shared" si="151"/>
        <v>62.189539220900059</v>
      </c>
      <c r="BE81" s="8">
        <f t="shared" si="151"/>
        <v>62.189539220900059</v>
      </c>
      <c r="BF81" s="8">
        <f t="shared" si="151"/>
        <v>63.744277701422554</v>
      </c>
      <c r="BG81" s="8">
        <f t="shared" si="151"/>
        <v>63.744277701422554</v>
      </c>
      <c r="BH81" s="8">
        <f t="shared" si="151"/>
        <v>63.744277701422554</v>
      </c>
      <c r="BI81" s="8">
        <f t="shared" si="151"/>
        <v>63.744277701422554</v>
      </c>
      <c r="BJ81" s="8">
        <f t="shared" si="151"/>
        <v>65.337884643958105</v>
      </c>
      <c r="BK81" s="8">
        <f t="shared" si="151"/>
        <v>65.337884643958105</v>
      </c>
      <c r="BL81" s="8">
        <f t="shared" si="151"/>
        <v>65.337884643958105</v>
      </c>
      <c r="BM81" s="8">
        <f t="shared" si="151"/>
        <v>65.337884643958105</v>
      </c>
      <c r="BN81" s="8">
        <f t="shared" si="151"/>
        <v>66.971331760057055</v>
      </c>
      <c r="BO81" s="8">
        <f t="shared" si="151"/>
        <v>66.971331760057055</v>
      </c>
      <c r="BP81" s="8">
        <f t="shared" si="151"/>
        <v>66.971331760057055</v>
      </c>
      <c r="BQ81" s="8">
        <f t="shared" si="151"/>
        <v>66.971331760057055</v>
      </c>
      <c r="BR81" s="8">
        <f t="shared" si="151"/>
        <v>68.645615054058482</v>
      </c>
      <c r="BS81" s="8">
        <f t="shared" si="151"/>
        <v>68.645615054058482</v>
      </c>
      <c r="BT81" s="8">
        <f t="shared" si="151"/>
        <v>68.645615054058482</v>
      </c>
      <c r="BU81" s="8">
        <f t="shared" si="151"/>
        <v>68.645615054058482</v>
      </c>
      <c r="BV81" s="8">
        <f t="shared" ref="BV81:EG81" si="152">BV77 * BV$23</f>
        <v>70.361755430409929</v>
      </c>
      <c r="BW81" s="8">
        <f t="shared" si="152"/>
        <v>70.361755430409929</v>
      </c>
      <c r="BX81" s="8">
        <f t="shared" si="152"/>
        <v>70.361755430409929</v>
      </c>
      <c r="BY81" s="8">
        <f t="shared" si="152"/>
        <v>70.361755430409929</v>
      </c>
      <c r="BZ81" s="8">
        <f t="shared" si="152"/>
        <v>72.120799316170178</v>
      </c>
      <c r="CA81" s="8">
        <f t="shared" si="152"/>
        <v>72.120799316170178</v>
      </c>
      <c r="CB81" s="8">
        <f t="shared" si="152"/>
        <v>72.120799316170178</v>
      </c>
      <c r="CC81" s="8">
        <f t="shared" si="152"/>
        <v>72.120799316170178</v>
      </c>
      <c r="CD81" s="8">
        <f t="shared" si="152"/>
        <v>73.923819299074424</v>
      </c>
      <c r="CE81" s="8">
        <f t="shared" si="152"/>
        <v>73.923819299074424</v>
      </c>
      <c r="CF81" s="8">
        <f t="shared" si="152"/>
        <v>73.923819299074424</v>
      </c>
      <c r="CG81" s="8">
        <f t="shared" si="152"/>
        <v>73.923819299074424</v>
      </c>
      <c r="CH81" s="8">
        <f t="shared" si="152"/>
        <v>75.771914781551274</v>
      </c>
      <c r="CI81" s="8">
        <f t="shared" si="152"/>
        <v>75.771914781551274</v>
      </c>
      <c r="CJ81" s="8">
        <f t="shared" si="152"/>
        <v>75.771914781551274</v>
      </c>
      <c r="CK81" s="8">
        <f t="shared" si="152"/>
        <v>75.771914781551274</v>
      </c>
      <c r="CL81" s="8">
        <f t="shared" si="152"/>
        <v>77.666212651090049</v>
      </c>
      <c r="CM81" s="8">
        <f t="shared" si="152"/>
        <v>77.666212651090049</v>
      </c>
      <c r="CN81" s="8">
        <f t="shared" si="152"/>
        <v>77.666212651090049</v>
      </c>
      <c r="CO81" s="8">
        <f t="shared" si="152"/>
        <v>77.666212651090049</v>
      </c>
      <c r="CP81" s="8">
        <f t="shared" si="152"/>
        <v>79.607867967367298</v>
      </c>
      <c r="CQ81" s="8">
        <f t="shared" si="152"/>
        <v>79.607867967367298</v>
      </c>
      <c r="CR81" s="8">
        <f t="shared" si="152"/>
        <v>79.607867967367298</v>
      </c>
      <c r="CS81" s="8">
        <f t="shared" si="152"/>
        <v>79.607867967367298</v>
      </c>
      <c r="CT81" s="8">
        <f t="shared" si="152"/>
        <v>81.59806466655148</v>
      </c>
      <c r="CU81" s="8">
        <f t="shared" si="152"/>
        <v>81.59806466655148</v>
      </c>
      <c r="CV81" s="8">
        <f t="shared" si="152"/>
        <v>81.59806466655148</v>
      </c>
      <c r="CW81" s="8">
        <f t="shared" si="152"/>
        <v>81.59806466655148</v>
      </c>
      <c r="CX81" s="8">
        <f t="shared" si="152"/>
        <v>83.638016283215251</v>
      </c>
      <c r="CY81" s="8">
        <f t="shared" si="152"/>
        <v>83.638016283215251</v>
      </c>
      <c r="CZ81" s="8">
        <f t="shared" si="152"/>
        <v>83.638016283215251</v>
      </c>
      <c r="DA81" s="8">
        <f t="shared" si="152"/>
        <v>83.638016283215251</v>
      </c>
      <c r="DB81" s="8">
        <f t="shared" si="152"/>
        <v>85.728966690295636</v>
      </c>
      <c r="DC81" s="8">
        <f t="shared" si="152"/>
        <v>85.728966690295636</v>
      </c>
      <c r="DD81" s="8">
        <f t="shared" si="152"/>
        <v>85.728966690295636</v>
      </c>
      <c r="DE81" s="8">
        <f t="shared" si="152"/>
        <v>85.728966690295636</v>
      </c>
      <c r="DF81" s="8">
        <f t="shared" si="152"/>
        <v>87.872190857553022</v>
      </c>
      <c r="DG81" s="8">
        <f t="shared" si="152"/>
        <v>87.872190857553022</v>
      </c>
      <c r="DH81" s="8">
        <f t="shared" si="152"/>
        <v>87.872190857553022</v>
      </c>
      <c r="DI81" s="8">
        <f t="shared" si="152"/>
        <v>87.872190857553022</v>
      </c>
      <c r="DJ81" s="8">
        <f t="shared" si="152"/>
        <v>90.068995628991843</v>
      </c>
      <c r="DK81" s="8">
        <f t="shared" si="152"/>
        <v>90.068995628991843</v>
      </c>
      <c r="DL81" s="8">
        <f t="shared" si="152"/>
        <v>90.068995628991843</v>
      </c>
      <c r="DM81" s="8">
        <f t="shared" si="152"/>
        <v>90.068995628991843</v>
      </c>
      <c r="DN81" s="8">
        <f t="shared" si="152"/>
        <v>92.320720519716616</v>
      </c>
      <c r="DO81" s="8">
        <f t="shared" si="152"/>
        <v>92.320720519716616</v>
      </c>
      <c r="DP81" s="8">
        <f t="shared" si="152"/>
        <v>92.320720519716616</v>
      </c>
      <c r="DQ81" s="8">
        <f t="shared" si="152"/>
        <v>92.320720519716616</v>
      </c>
      <c r="DR81" s="8">
        <f t="shared" si="152"/>
        <v>94.628738532709534</v>
      </c>
      <c r="DS81" s="8">
        <f t="shared" si="152"/>
        <v>94.628738532709534</v>
      </c>
      <c r="DT81" s="8">
        <f t="shared" si="152"/>
        <v>94.628738532709534</v>
      </c>
      <c r="DU81" s="8">
        <f t="shared" si="152"/>
        <v>94.628738532709534</v>
      </c>
      <c r="DV81" s="8">
        <f t="shared" si="152"/>
        <v>96.994456996027253</v>
      </c>
      <c r="DW81" s="8">
        <f t="shared" si="152"/>
        <v>96.994456996027253</v>
      </c>
      <c r="DX81" s="8">
        <f t="shared" si="152"/>
        <v>96.994456996027253</v>
      </c>
      <c r="DY81" s="8">
        <f t="shared" si="152"/>
        <v>96.994456996027253</v>
      </c>
      <c r="DZ81" s="8">
        <f t="shared" si="152"/>
        <v>99.419318420927922</v>
      </c>
      <c r="EA81" s="8">
        <f t="shared" si="152"/>
        <v>99.419318420927922</v>
      </c>
      <c r="EB81" s="8">
        <f t="shared" si="152"/>
        <v>99.419318420927922</v>
      </c>
      <c r="EC81" s="8">
        <f t="shared" si="152"/>
        <v>99.419318420927922</v>
      </c>
      <c r="ED81" s="8">
        <f t="shared" si="152"/>
        <v>101.90480138145111</v>
      </c>
      <c r="EE81" s="8">
        <f t="shared" si="152"/>
        <v>101.90480138145111</v>
      </c>
      <c r="EF81" s="8">
        <f t="shared" si="152"/>
        <v>101.90480138145111</v>
      </c>
      <c r="EG81" s="8">
        <f t="shared" si="152"/>
        <v>101.90480138145111</v>
      </c>
      <c r="EH81" s="8">
        <f t="shared" ref="EH81:FM81" si="153">EH77 * EH$23</f>
        <v>104.45242141598737</v>
      </c>
      <c r="EI81" s="8">
        <f t="shared" si="153"/>
        <v>104.45242141598737</v>
      </c>
      <c r="EJ81" s="8">
        <f t="shared" si="153"/>
        <v>104.45242141598737</v>
      </c>
      <c r="EK81" s="8">
        <f t="shared" si="153"/>
        <v>104.45242141598737</v>
      </c>
      <c r="EL81" s="8">
        <f t="shared" si="153"/>
        <v>107.06373195138706</v>
      </c>
      <c r="EM81" s="8">
        <f t="shared" si="153"/>
        <v>107.06373195138706</v>
      </c>
      <c r="EN81" s="8">
        <f t="shared" si="153"/>
        <v>107.06373195138706</v>
      </c>
      <c r="EO81" s="8">
        <f t="shared" si="153"/>
        <v>107.06373195138706</v>
      </c>
      <c r="EP81" s="8">
        <f t="shared" si="153"/>
        <v>109.74032525017172</v>
      </c>
      <c r="EQ81" s="8">
        <f t="shared" si="153"/>
        <v>109.74032525017172</v>
      </c>
      <c r="ER81" s="8">
        <f t="shared" si="153"/>
        <v>109.74032525017172</v>
      </c>
      <c r="ES81" s="8">
        <f t="shared" si="153"/>
        <v>109.74032525017172</v>
      </c>
      <c r="ET81" s="8">
        <f t="shared" si="153"/>
        <v>112.483833381426</v>
      </c>
      <c r="EU81" s="8">
        <f t="shared" si="153"/>
        <v>112.483833381426</v>
      </c>
      <c r="EV81" s="8">
        <f t="shared" si="153"/>
        <v>112.483833381426</v>
      </c>
      <c r="EW81" s="8">
        <f t="shared" si="153"/>
        <v>112.483833381426</v>
      </c>
      <c r="EX81" s="8">
        <f t="shared" si="153"/>
        <v>115.29592921596164</v>
      </c>
      <c r="EY81" s="8">
        <f t="shared" si="153"/>
        <v>115.29592921596164</v>
      </c>
      <c r="EZ81" s="8">
        <f t="shared" si="153"/>
        <v>115.29592921596164</v>
      </c>
      <c r="FA81" s="8">
        <f t="shared" si="153"/>
        <v>115.29592921596164</v>
      </c>
      <c r="FB81" s="8">
        <f t="shared" si="153"/>
        <v>118.17832744636067</v>
      </c>
      <c r="FC81" s="8">
        <f t="shared" si="153"/>
        <v>118.17832744636067</v>
      </c>
      <c r="FD81" s="8">
        <f t="shared" si="153"/>
        <v>118.17832744636067</v>
      </c>
      <c r="FE81" s="8">
        <f t="shared" si="153"/>
        <v>118.17832744636067</v>
      </c>
      <c r="FF81" s="8">
        <f t="shared" si="153"/>
        <v>121.13278563251967</v>
      </c>
      <c r="FG81" s="8">
        <f t="shared" si="153"/>
        <v>121.13278563251967</v>
      </c>
      <c r="FH81" s="8">
        <f t="shared" si="153"/>
        <v>121.13278563251967</v>
      </c>
      <c r="FI81" s="8">
        <f t="shared" si="153"/>
        <v>121.13278563251967</v>
      </c>
      <c r="FJ81" s="8">
        <f t="shared" si="153"/>
        <v>124.16110527333267</v>
      </c>
      <c r="FK81" s="8">
        <f t="shared" si="153"/>
        <v>124.16110527333267</v>
      </c>
      <c r="FL81" s="8">
        <f t="shared" si="153"/>
        <v>124.16110527333267</v>
      </c>
      <c r="FM81" s="8">
        <f t="shared" si="153"/>
        <v>124.16110527333267</v>
      </c>
    </row>
    <row r="82" spans="2:169" x14ac:dyDescent="0.25">
      <c r="B82" t="str">
        <f>B78</f>
        <v>GoO price</v>
      </c>
      <c r="C82" t="s">
        <v>44</v>
      </c>
      <c r="I82" s="8">
        <f>I78 * I$23</f>
        <v>1.75</v>
      </c>
      <c r="J82" s="8">
        <f t="shared" ref="J82:BU82" si="154">J78 * J$23</f>
        <v>1.8130000000000002</v>
      </c>
      <c r="K82" s="8">
        <f t="shared" si="154"/>
        <v>1.8130000000000002</v>
      </c>
      <c r="L82" s="8">
        <f t="shared" si="154"/>
        <v>1.8130000000000002</v>
      </c>
      <c r="M82" s="8">
        <f t="shared" si="154"/>
        <v>1.8130000000000002</v>
      </c>
      <c r="N82" s="8">
        <f t="shared" si="154"/>
        <v>1.8710160000000002</v>
      </c>
      <c r="O82" s="8">
        <f t="shared" si="154"/>
        <v>1.8710160000000002</v>
      </c>
      <c r="P82" s="8">
        <f t="shared" si="154"/>
        <v>1.8710160000000002</v>
      </c>
      <c r="Q82" s="8">
        <f t="shared" si="154"/>
        <v>1.8710160000000002</v>
      </c>
      <c r="R82" s="8">
        <f t="shared" si="154"/>
        <v>1.9271464800000002</v>
      </c>
      <c r="S82" s="8">
        <f t="shared" si="154"/>
        <v>1.9271464800000002</v>
      </c>
      <c r="T82" s="8">
        <f t="shared" si="154"/>
        <v>1.9271464800000002</v>
      </c>
      <c r="U82" s="8">
        <f t="shared" si="154"/>
        <v>1.9271464800000002</v>
      </c>
      <c r="V82" s="8">
        <f t="shared" si="154"/>
        <v>1.9849608744000005</v>
      </c>
      <c r="W82" s="8">
        <f t="shared" si="154"/>
        <v>1.9849608744000005</v>
      </c>
      <c r="X82" s="8">
        <f t="shared" si="154"/>
        <v>1.9849608744000005</v>
      </c>
      <c r="Y82" s="8">
        <f t="shared" si="154"/>
        <v>1.9849608744000005</v>
      </c>
      <c r="Z82" s="8">
        <f t="shared" si="154"/>
        <v>2.0345848962600002</v>
      </c>
      <c r="AA82" s="8">
        <f t="shared" si="154"/>
        <v>2.0345848962600002</v>
      </c>
      <c r="AB82" s="8">
        <f t="shared" si="154"/>
        <v>2.0345848962600002</v>
      </c>
      <c r="AC82" s="8">
        <f t="shared" si="154"/>
        <v>2.0345848962600002</v>
      </c>
      <c r="AD82" s="8">
        <f t="shared" si="154"/>
        <v>2.0854495186665001</v>
      </c>
      <c r="AE82" s="8">
        <f t="shared" si="154"/>
        <v>2.0854495186665001</v>
      </c>
      <c r="AF82" s="8">
        <f t="shared" si="154"/>
        <v>2.0854495186665001</v>
      </c>
      <c r="AG82" s="8">
        <f t="shared" si="154"/>
        <v>2.0854495186665001</v>
      </c>
      <c r="AH82" s="8">
        <f t="shared" si="154"/>
        <v>2.1375857566331624</v>
      </c>
      <c r="AI82" s="8">
        <f t="shared" si="154"/>
        <v>2.1375857566331624</v>
      </c>
      <c r="AJ82" s="8">
        <f t="shared" si="154"/>
        <v>2.1375857566331624</v>
      </c>
      <c r="AK82" s="8">
        <f t="shared" si="154"/>
        <v>2.1375857566331624</v>
      </c>
      <c r="AL82" s="8">
        <f t="shared" si="154"/>
        <v>2.1910254005489915</v>
      </c>
      <c r="AM82" s="8">
        <f t="shared" si="154"/>
        <v>2.1910254005489915</v>
      </c>
      <c r="AN82" s="8">
        <f t="shared" si="154"/>
        <v>2.1910254005489915</v>
      </c>
      <c r="AO82" s="8">
        <f t="shared" si="154"/>
        <v>2.1910254005489915</v>
      </c>
      <c r="AP82" s="8">
        <f t="shared" si="154"/>
        <v>2.245801035562716</v>
      </c>
      <c r="AQ82" s="8">
        <f t="shared" si="154"/>
        <v>2.245801035562716</v>
      </c>
      <c r="AR82" s="8">
        <f t="shared" si="154"/>
        <v>2.245801035562716</v>
      </c>
      <c r="AS82" s="8">
        <f t="shared" si="154"/>
        <v>2.245801035562716</v>
      </c>
      <c r="AT82" s="8">
        <f t="shared" si="154"/>
        <v>2.3019460614517842</v>
      </c>
      <c r="AU82" s="8">
        <f t="shared" si="154"/>
        <v>2.3019460614517842</v>
      </c>
      <c r="AV82" s="8">
        <f t="shared" si="154"/>
        <v>2.3019460614517842</v>
      </c>
      <c r="AW82" s="8">
        <f t="shared" si="154"/>
        <v>2.3019460614517842</v>
      </c>
      <c r="AX82" s="8">
        <f t="shared" si="154"/>
        <v>2.3594947129880781</v>
      </c>
      <c r="AY82" s="8">
        <f t="shared" si="154"/>
        <v>2.3594947129880781</v>
      </c>
      <c r="AZ82" s="8">
        <f t="shared" si="154"/>
        <v>2.3594947129880781</v>
      </c>
      <c r="BA82" s="8">
        <f t="shared" si="154"/>
        <v>2.3594947129880781</v>
      </c>
      <c r="BB82" s="8">
        <f t="shared" si="154"/>
        <v>2.41848208081278</v>
      </c>
      <c r="BC82" s="8">
        <f t="shared" si="154"/>
        <v>2.41848208081278</v>
      </c>
      <c r="BD82" s="8">
        <f t="shared" si="154"/>
        <v>2.41848208081278</v>
      </c>
      <c r="BE82" s="8">
        <f t="shared" si="154"/>
        <v>2.41848208081278</v>
      </c>
      <c r="BF82" s="8">
        <f t="shared" si="154"/>
        <v>2.4789441328330994</v>
      </c>
      <c r="BG82" s="8">
        <f t="shared" si="154"/>
        <v>2.4789441328330994</v>
      </c>
      <c r="BH82" s="8">
        <f t="shared" si="154"/>
        <v>2.4789441328330994</v>
      </c>
      <c r="BI82" s="8">
        <f t="shared" si="154"/>
        <v>2.4789441328330994</v>
      </c>
      <c r="BJ82" s="8">
        <f t="shared" si="154"/>
        <v>2.5409177361539266</v>
      </c>
      <c r="BK82" s="8">
        <f t="shared" si="154"/>
        <v>2.5409177361539266</v>
      </c>
      <c r="BL82" s="8">
        <f t="shared" si="154"/>
        <v>2.5409177361539266</v>
      </c>
      <c r="BM82" s="8">
        <f t="shared" si="154"/>
        <v>2.5409177361539266</v>
      </c>
      <c r="BN82" s="8">
        <f t="shared" si="154"/>
        <v>2.6044406795577744</v>
      </c>
      <c r="BO82" s="8">
        <f t="shared" si="154"/>
        <v>2.6044406795577744</v>
      </c>
      <c r="BP82" s="8">
        <f t="shared" si="154"/>
        <v>2.6044406795577744</v>
      </c>
      <c r="BQ82" s="8">
        <f t="shared" si="154"/>
        <v>2.6044406795577744</v>
      </c>
      <c r="BR82" s="8">
        <f t="shared" si="154"/>
        <v>2.6695516965467188</v>
      </c>
      <c r="BS82" s="8">
        <f t="shared" si="154"/>
        <v>2.6695516965467188</v>
      </c>
      <c r="BT82" s="8">
        <f t="shared" si="154"/>
        <v>2.6695516965467188</v>
      </c>
      <c r="BU82" s="8">
        <f t="shared" si="154"/>
        <v>2.6695516965467188</v>
      </c>
      <c r="BV82" s="8">
        <f t="shared" ref="BV82:EG82" si="155">BV78 * BV$23</f>
        <v>2.7362904889603863</v>
      </c>
      <c r="BW82" s="8">
        <f t="shared" si="155"/>
        <v>2.7362904889603863</v>
      </c>
      <c r="BX82" s="8">
        <f t="shared" si="155"/>
        <v>2.7362904889603863</v>
      </c>
      <c r="BY82" s="8">
        <f t="shared" si="155"/>
        <v>2.7362904889603863</v>
      </c>
      <c r="BZ82" s="8">
        <f t="shared" si="155"/>
        <v>2.8046977511843956</v>
      </c>
      <c r="CA82" s="8">
        <f t="shared" si="155"/>
        <v>2.8046977511843956</v>
      </c>
      <c r="CB82" s="8">
        <f t="shared" si="155"/>
        <v>2.8046977511843956</v>
      </c>
      <c r="CC82" s="8">
        <f t="shared" si="155"/>
        <v>2.8046977511843956</v>
      </c>
      <c r="CD82" s="8">
        <f t="shared" si="155"/>
        <v>2.8748151949640053</v>
      </c>
      <c r="CE82" s="8">
        <f t="shared" si="155"/>
        <v>2.8748151949640053</v>
      </c>
      <c r="CF82" s="8">
        <f t="shared" si="155"/>
        <v>2.8748151949640053</v>
      </c>
      <c r="CG82" s="8">
        <f t="shared" si="155"/>
        <v>2.8748151949640053</v>
      </c>
      <c r="CH82" s="8">
        <f t="shared" si="155"/>
        <v>2.9466855748381051</v>
      </c>
      <c r="CI82" s="8">
        <f t="shared" si="155"/>
        <v>2.9466855748381051</v>
      </c>
      <c r="CJ82" s="8">
        <f t="shared" si="155"/>
        <v>2.9466855748381051</v>
      </c>
      <c r="CK82" s="8">
        <f t="shared" si="155"/>
        <v>2.9466855748381051</v>
      </c>
      <c r="CL82" s="8">
        <f t="shared" si="155"/>
        <v>3.0203527142090576</v>
      </c>
      <c r="CM82" s="8">
        <f t="shared" si="155"/>
        <v>3.0203527142090576</v>
      </c>
      <c r="CN82" s="8">
        <f t="shared" si="155"/>
        <v>3.0203527142090576</v>
      </c>
      <c r="CO82" s="8">
        <f t="shared" si="155"/>
        <v>3.0203527142090576</v>
      </c>
      <c r="CP82" s="8">
        <f t="shared" si="155"/>
        <v>3.0958615320642839</v>
      </c>
      <c r="CQ82" s="8">
        <f t="shared" si="155"/>
        <v>3.0958615320642839</v>
      </c>
      <c r="CR82" s="8">
        <f t="shared" si="155"/>
        <v>3.0958615320642839</v>
      </c>
      <c r="CS82" s="8">
        <f t="shared" si="155"/>
        <v>3.0958615320642839</v>
      </c>
      <c r="CT82" s="8">
        <f t="shared" si="155"/>
        <v>3.1732580703658906</v>
      </c>
      <c r="CU82" s="8">
        <f t="shared" si="155"/>
        <v>3.1732580703658906</v>
      </c>
      <c r="CV82" s="8">
        <f t="shared" si="155"/>
        <v>3.1732580703658906</v>
      </c>
      <c r="CW82" s="8">
        <f t="shared" si="155"/>
        <v>3.1732580703658906</v>
      </c>
      <c r="CX82" s="8">
        <f t="shared" si="155"/>
        <v>3.2525895221250378</v>
      </c>
      <c r="CY82" s="8">
        <f t="shared" si="155"/>
        <v>3.2525895221250378</v>
      </c>
      <c r="CZ82" s="8">
        <f t="shared" si="155"/>
        <v>3.2525895221250378</v>
      </c>
      <c r="DA82" s="8">
        <f t="shared" si="155"/>
        <v>3.2525895221250378</v>
      </c>
      <c r="DB82" s="8">
        <f t="shared" si="155"/>
        <v>3.3339042601781634</v>
      </c>
      <c r="DC82" s="8">
        <f t="shared" si="155"/>
        <v>3.3339042601781634</v>
      </c>
      <c r="DD82" s="8">
        <f t="shared" si="155"/>
        <v>3.3339042601781634</v>
      </c>
      <c r="DE82" s="8">
        <f t="shared" si="155"/>
        <v>3.3339042601781634</v>
      </c>
      <c r="DF82" s="8">
        <f t="shared" si="155"/>
        <v>3.4172518666826175</v>
      </c>
      <c r="DG82" s="8">
        <f t="shared" si="155"/>
        <v>3.4172518666826175</v>
      </c>
      <c r="DH82" s="8">
        <f t="shared" si="155"/>
        <v>3.4172518666826175</v>
      </c>
      <c r="DI82" s="8">
        <f t="shared" si="155"/>
        <v>3.4172518666826175</v>
      </c>
      <c r="DJ82" s="8">
        <f t="shared" si="155"/>
        <v>3.5026831633496824</v>
      </c>
      <c r="DK82" s="8">
        <f t="shared" si="155"/>
        <v>3.5026831633496824</v>
      </c>
      <c r="DL82" s="8">
        <f t="shared" si="155"/>
        <v>3.5026831633496824</v>
      </c>
      <c r="DM82" s="8">
        <f t="shared" si="155"/>
        <v>3.5026831633496824</v>
      </c>
      <c r="DN82" s="8">
        <f t="shared" si="155"/>
        <v>3.5902502424334242</v>
      </c>
      <c r="DO82" s="8">
        <f t="shared" si="155"/>
        <v>3.5902502424334242</v>
      </c>
      <c r="DP82" s="8">
        <f t="shared" si="155"/>
        <v>3.5902502424334242</v>
      </c>
      <c r="DQ82" s="8">
        <f t="shared" si="155"/>
        <v>3.5902502424334242</v>
      </c>
      <c r="DR82" s="8">
        <f t="shared" si="155"/>
        <v>3.6800064984942598</v>
      </c>
      <c r="DS82" s="8">
        <f t="shared" si="155"/>
        <v>3.6800064984942598</v>
      </c>
      <c r="DT82" s="8">
        <f t="shared" si="155"/>
        <v>3.6800064984942598</v>
      </c>
      <c r="DU82" s="8">
        <f t="shared" si="155"/>
        <v>3.6800064984942598</v>
      </c>
      <c r="DV82" s="8">
        <f t="shared" si="155"/>
        <v>3.7720066609566154</v>
      </c>
      <c r="DW82" s="8">
        <f t="shared" si="155"/>
        <v>3.7720066609566154</v>
      </c>
      <c r="DX82" s="8">
        <f t="shared" si="155"/>
        <v>3.7720066609566154</v>
      </c>
      <c r="DY82" s="8">
        <f t="shared" si="155"/>
        <v>3.7720066609566154</v>
      </c>
      <c r="DZ82" s="8">
        <f t="shared" si="155"/>
        <v>3.8663068274805301</v>
      </c>
      <c r="EA82" s="8">
        <f t="shared" si="155"/>
        <v>3.8663068274805301</v>
      </c>
      <c r="EB82" s="8">
        <f t="shared" si="155"/>
        <v>3.8663068274805301</v>
      </c>
      <c r="EC82" s="8">
        <f t="shared" si="155"/>
        <v>3.8663068274805301</v>
      </c>
      <c r="ED82" s="8">
        <f t="shared" si="155"/>
        <v>3.9629644981675431</v>
      </c>
      <c r="EE82" s="8">
        <f t="shared" si="155"/>
        <v>3.9629644981675431</v>
      </c>
      <c r="EF82" s="8">
        <f t="shared" si="155"/>
        <v>3.9629644981675431</v>
      </c>
      <c r="EG82" s="8">
        <f t="shared" si="155"/>
        <v>3.9629644981675431</v>
      </c>
      <c r="EH82" s="8">
        <f t="shared" ref="EH82:FM82" si="156">EH78 * EH$23</f>
        <v>4.0620386106217312</v>
      </c>
      <c r="EI82" s="8">
        <f t="shared" si="156"/>
        <v>4.0620386106217312</v>
      </c>
      <c r="EJ82" s="8">
        <f t="shared" si="156"/>
        <v>4.0620386106217312</v>
      </c>
      <c r="EK82" s="8">
        <f t="shared" si="156"/>
        <v>4.0620386106217312</v>
      </c>
      <c r="EL82" s="8">
        <f t="shared" si="156"/>
        <v>4.1635895758872739</v>
      </c>
      <c r="EM82" s="8">
        <f t="shared" si="156"/>
        <v>4.1635895758872739</v>
      </c>
      <c r="EN82" s="8">
        <f t="shared" si="156"/>
        <v>4.1635895758872739</v>
      </c>
      <c r="EO82" s="8">
        <f t="shared" si="156"/>
        <v>4.1635895758872739</v>
      </c>
      <c r="EP82" s="8">
        <f t="shared" si="156"/>
        <v>4.2676793152844557</v>
      </c>
      <c r="EQ82" s="8">
        <f t="shared" si="156"/>
        <v>4.2676793152844557</v>
      </c>
      <c r="ER82" s="8">
        <f t="shared" si="156"/>
        <v>4.2676793152844557</v>
      </c>
      <c r="ES82" s="8">
        <f t="shared" si="156"/>
        <v>4.2676793152844557</v>
      </c>
      <c r="ET82" s="8">
        <f t="shared" si="156"/>
        <v>4.374371298166567</v>
      </c>
      <c r="EU82" s="8">
        <f t="shared" si="156"/>
        <v>4.374371298166567</v>
      </c>
      <c r="EV82" s="8">
        <f t="shared" si="156"/>
        <v>4.374371298166567</v>
      </c>
      <c r="EW82" s="8">
        <f t="shared" si="156"/>
        <v>4.374371298166567</v>
      </c>
      <c r="EX82" s="8">
        <f t="shared" si="156"/>
        <v>4.4837305806207306</v>
      </c>
      <c r="EY82" s="8">
        <f t="shared" si="156"/>
        <v>4.4837305806207306</v>
      </c>
      <c r="EZ82" s="8">
        <f t="shared" si="156"/>
        <v>4.4837305806207306</v>
      </c>
      <c r="FA82" s="8">
        <f t="shared" si="156"/>
        <v>4.4837305806207306</v>
      </c>
      <c r="FB82" s="8">
        <f t="shared" si="156"/>
        <v>4.5958238451362483</v>
      </c>
      <c r="FC82" s="8">
        <f t="shared" si="156"/>
        <v>4.5958238451362483</v>
      </c>
      <c r="FD82" s="8">
        <f t="shared" si="156"/>
        <v>4.5958238451362483</v>
      </c>
      <c r="FE82" s="8">
        <f t="shared" si="156"/>
        <v>4.5958238451362483</v>
      </c>
      <c r="FF82" s="8">
        <f t="shared" si="156"/>
        <v>4.7107194412646543</v>
      </c>
      <c r="FG82" s="8">
        <f t="shared" si="156"/>
        <v>4.7107194412646543</v>
      </c>
      <c r="FH82" s="8">
        <f t="shared" si="156"/>
        <v>4.7107194412646543</v>
      </c>
      <c r="FI82" s="8">
        <f t="shared" si="156"/>
        <v>4.7107194412646543</v>
      </c>
      <c r="FJ82" s="8">
        <f t="shared" si="156"/>
        <v>4.8284874272962703</v>
      </c>
      <c r="FK82" s="8">
        <f t="shared" si="156"/>
        <v>4.8284874272962703</v>
      </c>
      <c r="FL82" s="8">
        <f t="shared" si="156"/>
        <v>4.8284874272962703</v>
      </c>
      <c r="FM82" s="8">
        <f t="shared" si="156"/>
        <v>4.8284874272962703</v>
      </c>
    </row>
    <row r="83" spans="2:169" x14ac:dyDescent="0.25"/>
    <row r="84" spans="2:169" x14ac:dyDescent="0.25">
      <c r="B84" s="34" t="s">
        <v>125</v>
      </c>
    </row>
    <row r="85" spans="2:169" x14ac:dyDescent="0.25">
      <c r="B85" t="str">
        <f>B77</f>
        <v>Merchant price</v>
      </c>
      <c r="C85" t="s">
        <v>94</v>
      </c>
      <c r="H85" s="31">
        <f t="shared" ref="H85:H87" si="157">SUM(I85:FM85)</f>
        <v>195290.69563875336</v>
      </c>
      <c r="I85" s="25">
        <f>I$74 * I81 / 1000</f>
        <v>0</v>
      </c>
      <c r="J85" s="25">
        <f t="shared" ref="J85:BU85" si="158">J$74 * J81 / 1000</f>
        <v>0</v>
      </c>
      <c r="K85" s="25">
        <f t="shared" si="158"/>
        <v>0</v>
      </c>
      <c r="L85" s="25">
        <f t="shared" si="158"/>
        <v>0</v>
      </c>
      <c r="M85" s="25">
        <f t="shared" si="158"/>
        <v>0</v>
      </c>
      <c r="N85" s="25">
        <f t="shared" si="158"/>
        <v>0</v>
      </c>
      <c r="O85" s="25">
        <f t="shared" si="158"/>
        <v>0</v>
      </c>
      <c r="P85" s="25">
        <f t="shared" si="158"/>
        <v>0</v>
      </c>
      <c r="Q85" s="25">
        <f t="shared" si="158"/>
        <v>310.01572600273983</v>
      </c>
      <c r="R85" s="25">
        <f t="shared" si="158"/>
        <v>934.08923068007869</v>
      </c>
      <c r="S85" s="25">
        <f t="shared" si="158"/>
        <v>933.39197190515733</v>
      </c>
      <c r="T85" s="25">
        <f t="shared" si="158"/>
        <v>942.93635919804888</v>
      </c>
      <c r="U85" s="25">
        <f t="shared" si="158"/>
        <v>942.22369185462003</v>
      </c>
      <c r="V85" s="25">
        <f t="shared" si="158"/>
        <v>951.28752764791182</v>
      </c>
      <c r="W85" s="25">
        <f t="shared" si="158"/>
        <v>961.13527192344134</v>
      </c>
      <c r="X85" s="25">
        <f t="shared" si="158"/>
        <v>970.95912293763502</v>
      </c>
      <c r="Y85" s="25">
        <f t="shared" si="158"/>
        <v>970.22104788673585</v>
      </c>
      <c r="Z85" s="25">
        <f t="shared" si="158"/>
        <v>972.13352614657765</v>
      </c>
      <c r="AA85" s="25">
        <f t="shared" si="158"/>
        <v>982.19483969907833</v>
      </c>
      <c r="AB85" s="25">
        <f t="shared" si="158"/>
        <v>992.23166265870998</v>
      </c>
      <c r="AC85" s="25">
        <f t="shared" si="158"/>
        <v>991.47513573153822</v>
      </c>
      <c r="AD85" s="25">
        <f t="shared" si="158"/>
        <v>993.42726986539697</v>
      </c>
      <c r="AE85" s="25">
        <f t="shared" si="158"/>
        <v>1003.7066763185451</v>
      </c>
      <c r="AF85" s="25">
        <f t="shared" si="158"/>
        <v>1013.9609799140026</v>
      </c>
      <c r="AG85" s="25">
        <f t="shared" si="158"/>
        <v>1013.1855398136515</v>
      </c>
      <c r="AH85" s="25">
        <f t="shared" si="158"/>
        <v>1023.6469412029015</v>
      </c>
      <c r="AI85" s="25">
        <f t="shared" si="158"/>
        <v>1022.8735436218525</v>
      </c>
      <c r="AJ85" s="25">
        <f t="shared" si="158"/>
        <v>1033.3234235087727</v>
      </c>
      <c r="AK85" s="25">
        <f t="shared" si="158"/>
        <v>1032.532934784464</v>
      </c>
      <c r="AL85" s="25">
        <f t="shared" si="158"/>
        <v>1037.3956150961139</v>
      </c>
      <c r="AM85" s="25">
        <f t="shared" si="158"/>
        <v>1048.1251508308837</v>
      </c>
      <c r="AN85" s="25">
        <f t="shared" si="158"/>
        <v>1058.8283128757921</v>
      </c>
      <c r="AO85" s="25">
        <f t="shared" si="158"/>
        <v>1058.0136161203609</v>
      </c>
      <c r="AP85" s="25">
        <f t="shared" si="158"/>
        <v>1060.0895014415801</v>
      </c>
      <c r="AQ85" s="25">
        <f t="shared" si="158"/>
        <v>1071.0512644138084</v>
      </c>
      <c r="AR85" s="25">
        <f t="shared" si="158"/>
        <v>1081.9859943539288</v>
      </c>
      <c r="AS85" s="25">
        <f t="shared" si="158"/>
        <v>1081.150930179612</v>
      </c>
      <c r="AT85" s="25">
        <f t="shared" si="158"/>
        <v>1083.2697098448839</v>
      </c>
      <c r="AU85" s="25">
        <f t="shared" si="158"/>
        <v>1094.46860545661</v>
      </c>
      <c r="AV85" s="25">
        <f t="shared" si="158"/>
        <v>1105.6397922104254</v>
      </c>
      <c r="AW85" s="25">
        <f t="shared" si="158"/>
        <v>1104.7838514317507</v>
      </c>
      <c r="AX85" s="25">
        <f t="shared" si="158"/>
        <v>1116.1806602979887</v>
      </c>
      <c r="AY85" s="25">
        <f t="shared" si="158"/>
        <v>1115.3269740784483</v>
      </c>
      <c r="AZ85" s="25">
        <f t="shared" si="158"/>
        <v>1126.710762809151</v>
      </c>
      <c r="BA85" s="25">
        <f t="shared" si="158"/>
        <v>1125.8382111653652</v>
      </c>
      <c r="BB85" s="25">
        <f t="shared" si="158"/>
        <v>1131.1298251906207</v>
      </c>
      <c r="BC85" s="25">
        <f t="shared" si="158"/>
        <v>1142.8181047402998</v>
      </c>
      <c r="BD85" s="25">
        <f t="shared" si="158"/>
        <v>1154.4772726711365</v>
      </c>
      <c r="BE85" s="25">
        <f t="shared" si="158"/>
        <v>1153.5779998905409</v>
      </c>
      <c r="BF85" s="25">
        <f t="shared" si="158"/>
        <v>1155.8306087913666</v>
      </c>
      <c r="BG85" s="25">
        <f t="shared" si="158"/>
        <v>1167.7713457516875</v>
      </c>
      <c r="BH85" s="25">
        <f t="shared" si="158"/>
        <v>1179.6822433026948</v>
      </c>
      <c r="BI85" s="25">
        <f t="shared" si="158"/>
        <v>1178.7604887025846</v>
      </c>
      <c r="BJ85" s="25">
        <f t="shared" si="158"/>
        <v>1181.0594754314054</v>
      </c>
      <c r="BK85" s="25">
        <f t="shared" si="158"/>
        <v>1193.2579874981816</v>
      </c>
      <c r="BL85" s="25">
        <f t="shared" si="158"/>
        <v>1205.4259141704115</v>
      </c>
      <c r="BM85" s="25">
        <f t="shared" si="158"/>
        <v>1204.4811157052984</v>
      </c>
      <c r="BN85" s="25">
        <f t="shared" si="158"/>
        <v>1216.8948030177073</v>
      </c>
      <c r="BO85" s="25">
        <f t="shared" si="158"/>
        <v>1215.9524931640299</v>
      </c>
      <c r="BP85" s="25">
        <f t="shared" si="158"/>
        <v>1228.3514747213781</v>
      </c>
      <c r="BQ85" s="25">
        <f t="shared" si="158"/>
        <v>1227.3883409692314</v>
      </c>
      <c r="BR85" s="25">
        <f t="shared" si="158"/>
        <v>1233.1455407344308</v>
      </c>
      <c r="BS85" s="25">
        <f t="shared" si="158"/>
        <v>1245.8759905785796</v>
      </c>
      <c r="BT85" s="25">
        <f t="shared" si="158"/>
        <v>1258.5743066425837</v>
      </c>
      <c r="BU85" s="25">
        <f t="shared" si="158"/>
        <v>1257.5816777551743</v>
      </c>
      <c r="BV85" s="25">
        <f t="shared" ref="BV85:EG85" si="159">BV$74 * BV81 / 1000</f>
        <v>1260.025330549438</v>
      </c>
      <c r="BW85" s="25">
        <f t="shared" si="159"/>
        <v>1273.0301655429869</v>
      </c>
      <c r="BX85" s="25">
        <f t="shared" si="159"/>
        <v>1286.0020634118869</v>
      </c>
      <c r="BY85" s="25">
        <f t="shared" si="159"/>
        <v>1284.9846188022923</v>
      </c>
      <c r="BZ85" s="25">
        <f t="shared" si="159"/>
        <v>1287.4783938922367</v>
      </c>
      <c r="CA85" s="25">
        <f t="shared" si="159"/>
        <v>1300.763376761503</v>
      </c>
      <c r="CB85" s="25">
        <f t="shared" si="159"/>
        <v>1314.014599078004</v>
      </c>
      <c r="CC85" s="25">
        <f t="shared" si="159"/>
        <v>1312.9717183531693</v>
      </c>
      <c r="CD85" s="25">
        <f t="shared" si="159"/>
        <v>1326.4905895594281</v>
      </c>
      <c r="CE85" s="25">
        <f t="shared" si="159"/>
        <v>1325.450455795976</v>
      </c>
      <c r="CF85" s="25">
        <f t="shared" si="159"/>
        <v>1338.9527259690919</v>
      </c>
      <c r="CG85" s="25">
        <f t="shared" si="159"/>
        <v>1337.8896065180768</v>
      </c>
      <c r="CH85" s="25">
        <f t="shared" si="159"/>
        <v>1344.1520312866617</v>
      </c>
      <c r="CI85" s="25">
        <f t="shared" si="159"/>
        <v>1358.0150668992806</v>
      </c>
      <c r="CJ85" s="25">
        <f t="shared" si="159"/>
        <v>1371.84263283115</v>
      </c>
      <c r="CK85" s="25">
        <f t="shared" si="159"/>
        <v>1370.7469562696208</v>
      </c>
      <c r="CL85" s="25">
        <f t="shared" si="159"/>
        <v>1373.397041966939</v>
      </c>
      <c r="CM85" s="25">
        <f t="shared" si="159"/>
        <v>1387.558222468741</v>
      </c>
      <c r="CN85" s="25">
        <f t="shared" si="159"/>
        <v>1401.6830465477751</v>
      </c>
      <c r="CO85" s="25">
        <f t="shared" si="159"/>
        <v>1400.559978072208</v>
      </c>
      <c r="CP85" s="25">
        <f t="shared" si="159"/>
        <v>1403.2642081616762</v>
      </c>
      <c r="CQ85" s="25">
        <f t="shared" si="159"/>
        <v>1417.7297763998627</v>
      </c>
      <c r="CR85" s="25">
        <f t="shared" si="159"/>
        <v>1432.1580793047121</v>
      </c>
      <c r="CS85" s="25">
        <f t="shared" si="159"/>
        <v>1431.0069341172557</v>
      </c>
      <c r="CT85" s="25">
        <f t="shared" si="159"/>
        <v>1445.7266701353699</v>
      </c>
      <c r="CU85" s="25">
        <f t="shared" si="159"/>
        <v>1444.5785570792973</v>
      </c>
      <c r="CV85" s="25">
        <f t="shared" si="159"/>
        <v>1459.279561763226</v>
      </c>
      <c r="CW85" s="25">
        <f t="shared" si="159"/>
        <v>1458.106076808921</v>
      </c>
      <c r="CX85" s="25">
        <f t="shared" si="159"/>
        <v>1464.9165783057263</v>
      </c>
      <c r="CY85" s="25">
        <f t="shared" si="159"/>
        <v>1480.0101561538138</v>
      </c>
      <c r="CZ85" s="25">
        <f t="shared" si="159"/>
        <v>1495.0645821110643</v>
      </c>
      <c r="DA85" s="25">
        <f t="shared" si="159"/>
        <v>1493.8551601984927</v>
      </c>
      <c r="DB85" s="25">
        <f t="shared" si="159"/>
        <v>1496.7282040613752</v>
      </c>
      <c r="DC85" s="25">
        <f t="shared" si="159"/>
        <v>1512.1456625923097</v>
      </c>
      <c r="DD85" s="25">
        <f t="shared" si="159"/>
        <v>1527.5229904351363</v>
      </c>
      <c r="DE85" s="25">
        <f t="shared" si="159"/>
        <v>1526.28333297475</v>
      </c>
      <c r="DF85" s="25">
        <f t="shared" si="159"/>
        <v>1529.2148382433656</v>
      </c>
      <c r="DG85" s="25">
        <f t="shared" si="159"/>
        <v>1544.9629380051342</v>
      </c>
      <c r="DH85" s="25">
        <f t="shared" si="159"/>
        <v>1560.6699038115919</v>
      </c>
      <c r="DI85" s="25">
        <f t="shared" si="159"/>
        <v>1559.3992549146963</v>
      </c>
      <c r="DJ85" s="25">
        <f t="shared" si="159"/>
        <v>1575.4234917927104</v>
      </c>
      <c r="DK85" s="25">
        <f t="shared" si="159"/>
        <v>1574.1561898015223</v>
      </c>
      <c r="DL85" s="25">
        <f t="shared" si="159"/>
        <v>1590.1593016501545</v>
      </c>
      <c r="DM85" s="25">
        <f t="shared" si="159"/>
        <v>1588.863993830638</v>
      </c>
      <c r="DN85" s="25">
        <f t="shared" si="159"/>
        <v>1596.2688760347442</v>
      </c>
      <c r="DO85" s="25">
        <f t="shared" si="159"/>
        <v>1612.699084864789</v>
      </c>
      <c r="DP85" s="25">
        <f t="shared" si="159"/>
        <v>1629.0860773330353</v>
      </c>
      <c r="DQ85" s="25">
        <f t="shared" si="159"/>
        <v>1627.7511018357345</v>
      </c>
      <c r="DR85" s="25">
        <f t="shared" si="159"/>
        <v>1630.8648354458337</v>
      </c>
      <c r="DS85" s="25">
        <f t="shared" si="159"/>
        <v>1647.6467910245206</v>
      </c>
      <c r="DT85" s="25">
        <f t="shared" si="159"/>
        <v>1664.3844498323647</v>
      </c>
      <c r="DU85" s="25">
        <f t="shared" si="159"/>
        <v>1663.0160999476311</v>
      </c>
      <c r="DV85" s="25">
        <f t="shared" si="159"/>
        <v>1666.1929247799553</v>
      </c>
      <c r="DW85" s="25">
        <f t="shared" si="159"/>
        <v>1683.3339455641981</v>
      </c>
      <c r="DX85" s="25">
        <f t="shared" si="159"/>
        <v>1700.4295621583267</v>
      </c>
      <c r="DY85" s="25">
        <f t="shared" si="159"/>
        <v>1699.027003526475</v>
      </c>
      <c r="DZ85" s="25">
        <f t="shared" si="159"/>
        <v>1716.4679529681839</v>
      </c>
      <c r="EA85" s="25">
        <f t="shared" si="159"/>
        <v>1715.0690886939963</v>
      </c>
      <c r="EB85" s="25">
        <f t="shared" si="159"/>
        <v>1732.4862242880577</v>
      </c>
      <c r="EC85" s="25">
        <f t="shared" si="159"/>
        <v>1731.0564468195482</v>
      </c>
      <c r="ED85" s="25">
        <f t="shared" si="159"/>
        <v>1739.1057209232497</v>
      </c>
      <c r="EE85" s="25">
        <f t="shared" si="159"/>
        <v>1756.9874145438762</v>
      </c>
      <c r="EF85" s="25">
        <f t="shared" si="159"/>
        <v>1774.8214053872639</v>
      </c>
      <c r="EG85" s="25">
        <f t="shared" si="159"/>
        <v>1773.3478422246749</v>
      </c>
      <c r="EH85" s="25">
        <f t="shared" ref="EH85:FM85" si="160">EH$74 * EH81 / 1000</f>
        <v>1776.7212758510645</v>
      </c>
      <c r="EI85" s="25">
        <f t="shared" si="160"/>
        <v>1794.9848775000371</v>
      </c>
      <c r="EJ85" s="25">
        <f t="shared" si="160"/>
        <v>1813.1995838023399</v>
      </c>
      <c r="EK85" s="25">
        <f t="shared" si="160"/>
        <v>1811.6891815606859</v>
      </c>
      <c r="EL85" s="25">
        <f t="shared" si="160"/>
        <v>1815.1306674496936</v>
      </c>
      <c r="EM85" s="25">
        <f t="shared" si="160"/>
        <v>1833.7840964699164</v>
      </c>
      <c r="EN85" s="25">
        <f t="shared" si="160"/>
        <v>1852.387407759803</v>
      </c>
      <c r="EO85" s="25">
        <f t="shared" si="160"/>
        <v>1850.8392454621078</v>
      </c>
      <c r="EP85" s="25">
        <f t="shared" si="160"/>
        <v>1869.818358456545</v>
      </c>
      <c r="EQ85" s="25">
        <f t="shared" si="160"/>
        <v>1868.2742740384615</v>
      </c>
      <c r="ER85" s="25">
        <f t="shared" si="160"/>
        <v>1887.2265537658905</v>
      </c>
      <c r="ES85" s="25">
        <f t="shared" si="160"/>
        <v>1885.6483469654245</v>
      </c>
      <c r="ET85" s="25">
        <f t="shared" si="160"/>
        <v>1894.3960020639011</v>
      </c>
      <c r="EU85" s="25">
        <f t="shared" si="160"/>
        <v>1913.8534758679903</v>
      </c>
      <c r="EV85" s="25">
        <f t="shared" si="160"/>
        <v>1933.2582947316446</v>
      </c>
      <c r="EW85" s="25">
        <f t="shared" si="160"/>
        <v>1931.6317567176284</v>
      </c>
      <c r="EX85" s="25">
        <f t="shared" si="160"/>
        <v>1935.2852537099648</v>
      </c>
      <c r="EY85" s="25">
        <f t="shared" si="160"/>
        <v>1955.1572682657606</v>
      </c>
      <c r="EZ85" s="25">
        <f t="shared" si="160"/>
        <v>1974.9753115076119</v>
      </c>
      <c r="FA85" s="25">
        <f t="shared" si="160"/>
        <v>1973.3081100432453</v>
      </c>
      <c r="FB85" s="25">
        <f t="shared" si="160"/>
        <v>0</v>
      </c>
      <c r="FC85" s="25">
        <f t="shared" si="160"/>
        <v>0</v>
      </c>
      <c r="FD85" s="25">
        <f t="shared" si="160"/>
        <v>0</v>
      </c>
      <c r="FE85" s="25">
        <f t="shared" si="160"/>
        <v>0</v>
      </c>
      <c r="FF85" s="25">
        <f t="shared" si="160"/>
        <v>0</v>
      </c>
      <c r="FG85" s="25">
        <f t="shared" si="160"/>
        <v>0</v>
      </c>
      <c r="FH85" s="25">
        <f t="shared" si="160"/>
        <v>0</v>
      </c>
      <c r="FI85" s="25">
        <f t="shared" si="160"/>
        <v>0</v>
      </c>
      <c r="FJ85" s="25">
        <f t="shared" si="160"/>
        <v>0</v>
      </c>
      <c r="FK85" s="25">
        <f t="shared" si="160"/>
        <v>0</v>
      </c>
      <c r="FL85" s="25">
        <f t="shared" si="160"/>
        <v>0</v>
      </c>
      <c r="FM85" s="25">
        <f t="shared" si="160"/>
        <v>0</v>
      </c>
    </row>
    <row r="86" spans="2:169" x14ac:dyDescent="0.25">
      <c r="B86" t="str">
        <f>B78</f>
        <v>GoO price</v>
      </c>
      <c r="C86" t="s">
        <v>94</v>
      </c>
      <c r="H86" s="31">
        <f t="shared" si="157"/>
        <v>7594.6381637292989</v>
      </c>
      <c r="I86" s="25">
        <f>I$74 * I82 / 1000</f>
        <v>0</v>
      </c>
      <c r="J86" s="25">
        <f t="shared" ref="J86:BU86" si="161">J$74 * J82 / 1000</f>
        <v>0</v>
      </c>
      <c r="K86" s="25">
        <f t="shared" si="161"/>
        <v>0</v>
      </c>
      <c r="L86" s="25">
        <f t="shared" si="161"/>
        <v>0</v>
      </c>
      <c r="M86" s="25">
        <f t="shared" si="161"/>
        <v>0</v>
      </c>
      <c r="N86" s="25">
        <f t="shared" si="161"/>
        <v>0</v>
      </c>
      <c r="O86" s="25">
        <f t="shared" si="161"/>
        <v>0</v>
      </c>
      <c r="P86" s="25">
        <f t="shared" si="161"/>
        <v>0</v>
      </c>
      <c r="Q86" s="25">
        <f t="shared" si="161"/>
        <v>12.05616712232877</v>
      </c>
      <c r="R86" s="25">
        <f t="shared" si="161"/>
        <v>36.325692304225285</v>
      </c>
      <c r="S86" s="25">
        <f t="shared" si="161"/>
        <v>36.298576685200558</v>
      </c>
      <c r="T86" s="25">
        <f t="shared" si="161"/>
        <v>36.669747302146348</v>
      </c>
      <c r="U86" s="25">
        <f t="shared" si="161"/>
        <v>36.642032461012995</v>
      </c>
      <c r="V86" s="25">
        <f t="shared" si="161"/>
        <v>36.994514964085461</v>
      </c>
      <c r="W86" s="25">
        <f t="shared" si="161"/>
        <v>37.377482797022722</v>
      </c>
      <c r="X86" s="25">
        <f t="shared" si="161"/>
        <v>37.759521447574699</v>
      </c>
      <c r="Y86" s="25">
        <f t="shared" si="161"/>
        <v>37.730818528928623</v>
      </c>
      <c r="Z86" s="25">
        <f t="shared" si="161"/>
        <v>37.805192683478019</v>
      </c>
      <c r="AA86" s="25">
        <f t="shared" si="161"/>
        <v>38.19646598829749</v>
      </c>
      <c r="AB86" s="25">
        <f t="shared" si="161"/>
        <v>38.586786881172053</v>
      </c>
      <c r="AC86" s="25">
        <f t="shared" si="161"/>
        <v>38.557366389559817</v>
      </c>
      <c r="AD86" s="25">
        <f t="shared" si="161"/>
        <v>38.633282716987665</v>
      </c>
      <c r="AE86" s="25">
        <f t="shared" si="161"/>
        <v>39.033037412387863</v>
      </c>
      <c r="AF86" s="25">
        <f t="shared" si="161"/>
        <v>39.431815885544545</v>
      </c>
      <c r="AG86" s="25">
        <f t="shared" si="161"/>
        <v>39.401659881642011</v>
      </c>
      <c r="AH86" s="25">
        <f t="shared" si="161"/>
        <v>39.808492157890612</v>
      </c>
      <c r="AI86" s="25">
        <f t="shared" si="161"/>
        <v>39.778415585294262</v>
      </c>
      <c r="AJ86" s="25">
        <f t="shared" si="161"/>
        <v>40.184799803118942</v>
      </c>
      <c r="AK86" s="25">
        <f t="shared" si="161"/>
        <v>40.154058574951385</v>
      </c>
      <c r="AL86" s="25">
        <f t="shared" si="161"/>
        <v>40.343162809293325</v>
      </c>
      <c r="AM86" s="25">
        <f t="shared" si="161"/>
        <v>40.760422532312148</v>
      </c>
      <c r="AN86" s="25">
        <f t="shared" si="161"/>
        <v>41.176656611836364</v>
      </c>
      <c r="AO86" s="25">
        <f t="shared" si="161"/>
        <v>41.14497396023625</v>
      </c>
      <c r="AP86" s="25">
        <f t="shared" si="161"/>
        <v>41.225702833839222</v>
      </c>
      <c r="AQ86" s="25">
        <f t="shared" si="161"/>
        <v>41.651993616092547</v>
      </c>
      <c r="AR86" s="25">
        <f t="shared" si="161"/>
        <v>42.077233113763903</v>
      </c>
      <c r="AS86" s="25">
        <f t="shared" si="161"/>
        <v>42.044758395873799</v>
      </c>
      <c r="AT86" s="25">
        <f t="shared" si="161"/>
        <v>42.1271553828566</v>
      </c>
      <c r="AU86" s="25">
        <f t="shared" si="161"/>
        <v>42.562667989979282</v>
      </c>
      <c r="AV86" s="25">
        <f t="shared" si="161"/>
        <v>42.997103030405441</v>
      </c>
      <c r="AW86" s="25">
        <f t="shared" si="161"/>
        <v>42.963816444568089</v>
      </c>
      <c r="AX86" s="25">
        <f t="shared" si="161"/>
        <v>43.40702567825511</v>
      </c>
      <c r="AY86" s="25">
        <f t="shared" si="161"/>
        <v>43.373826769717432</v>
      </c>
      <c r="AZ86" s="25">
        <f t="shared" si="161"/>
        <v>43.816529664800314</v>
      </c>
      <c r="BA86" s="25">
        <f t="shared" si="161"/>
        <v>43.782597100875321</v>
      </c>
      <c r="BB86" s="25">
        <f t="shared" si="161"/>
        <v>43.988382090746363</v>
      </c>
      <c r="BC86" s="25">
        <f t="shared" si="161"/>
        <v>44.442926295456104</v>
      </c>
      <c r="BD86" s="25">
        <f t="shared" si="161"/>
        <v>44.896338381655312</v>
      </c>
      <c r="BE86" s="25">
        <f t="shared" si="161"/>
        <v>44.861366662409928</v>
      </c>
      <c r="BF86" s="25">
        <f t="shared" si="161"/>
        <v>44.948968119664258</v>
      </c>
      <c r="BG86" s="25">
        <f t="shared" si="161"/>
        <v>45.413330112565625</v>
      </c>
      <c r="BH86" s="25">
        <f t="shared" si="161"/>
        <v>45.876531683993683</v>
      </c>
      <c r="BI86" s="25">
        <f t="shared" si="161"/>
        <v>45.840685671767176</v>
      </c>
      <c r="BJ86" s="25">
        <f t="shared" si="161"/>
        <v>45.930090711221332</v>
      </c>
      <c r="BK86" s="25">
        <f t="shared" si="161"/>
        <v>46.40447729159596</v>
      </c>
      <c r="BL86" s="25">
        <f t="shared" si="161"/>
        <v>46.877674439960451</v>
      </c>
      <c r="BM86" s="25">
        <f t="shared" si="161"/>
        <v>46.84093227742828</v>
      </c>
      <c r="BN86" s="25">
        <f t="shared" si="161"/>
        <v>47.323686784021959</v>
      </c>
      <c r="BO86" s="25">
        <f t="shared" si="161"/>
        <v>47.287041400823384</v>
      </c>
      <c r="BP86" s="25">
        <f t="shared" si="161"/>
        <v>47.769224016942474</v>
      </c>
      <c r="BQ86" s="25">
        <f t="shared" si="161"/>
        <v>47.731768815470112</v>
      </c>
      <c r="BR86" s="25">
        <f t="shared" si="161"/>
        <v>47.955659917450085</v>
      </c>
      <c r="BS86" s="25">
        <f t="shared" si="161"/>
        <v>48.45073296694477</v>
      </c>
      <c r="BT86" s="25">
        <f t="shared" si="161"/>
        <v>48.944556369433805</v>
      </c>
      <c r="BU86" s="25">
        <f t="shared" si="161"/>
        <v>48.905954134923441</v>
      </c>
      <c r="BV86" s="25">
        <f t="shared" ref="BV86:EG86" si="162">BV$74 * BV82 / 1000</f>
        <v>49.000985076922589</v>
      </c>
      <c r="BW86" s="25">
        <f t="shared" si="162"/>
        <v>49.506728660005052</v>
      </c>
      <c r="BX86" s="25">
        <f t="shared" si="162"/>
        <v>50.011191354906707</v>
      </c>
      <c r="BY86" s="25">
        <f t="shared" si="162"/>
        <v>49.971624064533593</v>
      </c>
      <c r="BZ86" s="25">
        <f t="shared" si="162"/>
        <v>50.06860420692032</v>
      </c>
      <c r="CA86" s="25">
        <f t="shared" si="162"/>
        <v>50.585242429613999</v>
      </c>
      <c r="CB86" s="25">
        <f t="shared" si="162"/>
        <v>51.100567741922369</v>
      </c>
      <c r="CC86" s="25">
        <f t="shared" si="162"/>
        <v>51.060011269289916</v>
      </c>
      <c r="CD86" s="25">
        <f t="shared" si="162"/>
        <v>51.585745149533317</v>
      </c>
      <c r="CE86" s="25">
        <f t="shared" si="162"/>
        <v>51.545295503176845</v>
      </c>
      <c r="CF86" s="25">
        <f t="shared" si="162"/>
        <v>52.070383787686907</v>
      </c>
      <c r="CG86" s="25">
        <f t="shared" si="162"/>
        <v>52.029040253480758</v>
      </c>
      <c r="CH86" s="25">
        <f t="shared" si="162"/>
        <v>52.272578994481293</v>
      </c>
      <c r="CI86" s="25">
        <f t="shared" si="162"/>
        <v>52.811697046083125</v>
      </c>
      <c r="CJ86" s="25">
        <f t="shared" si="162"/>
        <v>53.349435721211385</v>
      </c>
      <c r="CK86" s="25">
        <f t="shared" si="162"/>
        <v>53.306826077151918</v>
      </c>
      <c r="CL86" s="25">
        <f t="shared" si="162"/>
        <v>53.409884965380968</v>
      </c>
      <c r="CM86" s="25">
        <f t="shared" si="162"/>
        <v>53.96059754045104</v>
      </c>
      <c r="CN86" s="25">
        <f t="shared" si="162"/>
        <v>54.509896254635706</v>
      </c>
      <c r="CO86" s="25">
        <f t="shared" si="162"/>
        <v>54.466221369474752</v>
      </c>
      <c r="CP86" s="25">
        <f t="shared" si="162"/>
        <v>54.571385872954075</v>
      </c>
      <c r="CQ86" s="25">
        <f t="shared" si="162"/>
        <v>55.133935748883545</v>
      </c>
      <c r="CR86" s="25">
        <f t="shared" si="162"/>
        <v>55.695036417405476</v>
      </c>
      <c r="CS86" s="25">
        <f t="shared" si="162"/>
        <v>55.650269660115505</v>
      </c>
      <c r="CT86" s="25">
        <f t="shared" si="162"/>
        <v>56.222703838597724</v>
      </c>
      <c r="CU86" s="25">
        <f t="shared" si="162"/>
        <v>56.178054997528221</v>
      </c>
      <c r="CV86" s="25">
        <f t="shared" si="162"/>
        <v>56.749760735236563</v>
      </c>
      <c r="CW86" s="25">
        <f t="shared" si="162"/>
        <v>56.704125209235819</v>
      </c>
      <c r="CX86" s="25">
        <f t="shared" si="162"/>
        <v>56.968978045222684</v>
      </c>
      <c r="CY86" s="25">
        <f t="shared" si="162"/>
        <v>57.555950517092761</v>
      </c>
      <c r="CZ86" s="25">
        <f t="shared" si="162"/>
        <v>58.141400415430283</v>
      </c>
      <c r="DA86" s="25">
        <f t="shared" si="162"/>
        <v>58.094367341052504</v>
      </c>
      <c r="DB86" s="25">
        <f t="shared" si="162"/>
        <v>58.206096824609034</v>
      </c>
      <c r="DC86" s="25">
        <f t="shared" si="162"/>
        <v>58.805664656367597</v>
      </c>
      <c r="DD86" s="25">
        <f t="shared" si="162"/>
        <v>59.403671850255293</v>
      </c>
      <c r="DE86" s="25">
        <f t="shared" si="162"/>
        <v>59.355462949018062</v>
      </c>
      <c r="DF86" s="25">
        <f t="shared" si="162"/>
        <v>59.46946593168645</v>
      </c>
      <c r="DG86" s="25">
        <f t="shared" si="162"/>
        <v>60.081892033532995</v>
      </c>
      <c r="DH86" s="25">
        <f t="shared" si="162"/>
        <v>60.692718481561904</v>
      </c>
      <c r="DI86" s="25">
        <f t="shared" si="162"/>
        <v>60.643304357793753</v>
      </c>
      <c r="DJ86" s="25">
        <f t="shared" si="162"/>
        <v>61.26646912527206</v>
      </c>
      <c r="DK86" s="25">
        <f t="shared" si="162"/>
        <v>61.217185158948077</v>
      </c>
      <c r="DL86" s="25">
        <f t="shared" si="162"/>
        <v>61.839528397506001</v>
      </c>
      <c r="DM86" s="25">
        <f t="shared" si="162"/>
        <v>61.789155315635924</v>
      </c>
      <c r="DN86" s="25">
        <f t="shared" si="162"/>
        <v>62.07712295690672</v>
      </c>
      <c r="DO86" s="25">
        <f t="shared" si="162"/>
        <v>62.716075522519567</v>
      </c>
      <c r="DP86" s="25">
        <f t="shared" si="162"/>
        <v>63.353347451840264</v>
      </c>
      <c r="DQ86" s="25">
        <f t="shared" si="162"/>
        <v>63.301431738056344</v>
      </c>
      <c r="DR86" s="25">
        <f t="shared" si="162"/>
        <v>63.422521378449083</v>
      </c>
      <c r="DS86" s="25">
        <f t="shared" si="162"/>
        <v>64.075152984286916</v>
      </c>
      <c r="DT86" s="25">
        <f t="shared" si="162"/>
        <v>64.726061937925294</v>
      </c>
      <c r="DU86" s="25">
        <f t="shared" si="162"/>
        <v>64.672848331296763</v>
      </c>
      <c r="DV86" s="25">
        <f t="shared" si="162"/>
        <v>64.796391519220492</v>
      </c>
      <c r="DW86" s="25">
        <f t="shared" si="162"/>
        <v>65.462986771941033</v>
      </c>
      <c r="DX86" s="25">
        <f t="shared" si="162"/>
        <v>66.127816306157158</v>
      </c>
      <c r="DY86" s="25">
        <f t="shared" si="162"/>
        <v>66.073272359362917</v>
      </c>
      <c r="DZ86" s="25">
        <f t="shared" si="162"/>
        <v>66.751531504318265</v>
      </c>
      <c r="EA86" s="25">
        <f t="shared" si="162"/>
        <v>66.697131226988745</v>
      </c>
      <c r="EB86" s="25">
        <f t="shared" si="162"/>
        <v>67.37446427786891</v>
      </c>
      <c r="EC86" s="25">
        <f t="shared" si="162"/>
        <v>67.318861820760219</v>
      </c>
      <c r="ED86" s="25">
        <f t="shared" si="162"/>
        <v>67.631889147015258</v>
      </c>
      <c r="EE86" s="25">
        <f t="shared" si="162"/>
        <v>68.32728834337297</v>
      </c>
      <c r="EF86" s="25">
        <f t="shared" si="162"/>
        <v>69.02083243172693</v>
      </c>
      <c r="EG86" s="25">
        <f t="shared" si="162"/>
        <v>68.963527197626249</v>
      </c>
      <c r="EH86" s="25">
        <f t="shared" ref="EH86:FM86" si="163">EH$74 * EH82 / 1000</f>
        <v>69.094716283096957</v>
      </c>
      <c r="EI86" s="25">
        <f t="shared" si="163"/>
        <v>69.804967458334787</v>
      </c>
      <c r="EJ86" s="25">
        <f t="shared" si="163"/>
        <v>70.513317147868776</v>
      </c>
      <c r="EK86" s="25">
        <f t="shared" si="163"/>
        <v>70.454579282915574</v>
      </c>
      <c r="EL86" s="25">
        <f t="shared" si="163"/>
        <v>70.588414845265859</v>
      </c>
      <c r="EM86" s="25">
        <f t="shared" si="163"/>
        <v>71.313825973830063</v>
      </c>
      <c r="EN86" s="25">
        <f t="shared" si="163"/>
        <v>72.037288079547892</v>
      </c>
      <c r="EO86" s="25">
        <f t="shared" si="163"/>
        <v>71.977081767970844</v>
      </c>
      <c r="EP86" s="25">
        <f t="shared" si="163"/>
        <v>72.715158384421201</v>
      </c>
      <c r="EQ86" s="25">
        <f t="shared" si="163"/>
        <v>72.655110657051281</v>
      </c>
      <c r="ER86" s="25">
        <f t="shared" si="163"/>
        <v>73.392143757562394</v>
      </c>
      <c r="ES86" s="25">
        <f t="shared" si="163"/>
        <v>73.330769048655398</v>
      </c>
      <c r="ET86" s="25">
        <f t="shared" si="163"/>
        <v>73.670955635818387</v>
      </c>
      <c r="EU86" s="25">
        <f t="shared" si="163"/>
        <v>74.427635172644074</v>
      </c>
      <c r="EV86" s="25">
        <f t="shared" si="163"/>
        <v>75.182267017341744</v>
      </c>
      <c r="EW86" s="25">
        <f t="shared" si="163"/>
        <v>75.119012761241123</v>
      </c>
      <c r="EX86" s="25">
        <f t="shared" si="163"/>
        <v>75.261093199831961</v>
      </c>
      <c r="EY86" s="25">
        <f t="shared" si="163"/>
        <v>76.03389376589071</v>
      </c>
      <c r="EZ86" s="25">
        <f t="shared" si="163"/>
        <v>76.804595447518238</v>
      </c>
      <c r="FA86" s="25">
        <f t="shared" si="163"/>
        <v>76.739759835015093</v>
      </c>
      <c r="FB86" s="25">
        <f t="shared" si="163"/>
        <v>0</v>
      </c>
      <c r="FC86" s="25">
        <f t="shared" si="163"/>
        <v>0</v>
      </c>
      <c r="FD86" s="25">
        <f t="shared" si="163"/>
        <v>0</v>
      </c>
      <c r="FE86" s="25">
        <f t="shared" si="163"/>
        <v>0</v>
      </c>
      <c r="FF86" s="25">
        <f t="shared" si="163"/>
        <v>0</v>
      </c>
      <c r="FG86" s="25">
        <f t="shared" si="163"/>
        <v>0</v>
      </c>
      <c r="FH86" s="25">
        <f t="shared" si="163"/>
        <v>0</v>
      </c>
      <c r="FI86" s="25">
        <f t="shared" si="163"/>
        <v>0</v>
      </c>
      <c r="FJ86" s="25">
        <f t="shared" si="163"/>
        <v>0</v>
      </c>
      <c r="FK86" s="25">
        <f t="shared" si="163"/>
        <v>0</v>
      </c>
      <c r="FL86" s="25">
        <f t="shared" si="163"/>
        <v>0</v>
      </c>
      <c r="FM86" s="25">
        <f t="shared" si="163"/>
        <v>0</v>
      </c>
    </row>
    <row r="87" spans="2:169" x14ac:dyDescent="0.25">
      <c r="B87" s="29" t="s">
        <v>126</v>
      </c>
      <c r="C87" s="29" t="s">
        <v>94</v>
      </c>
      <c r="D87" s="29"/>
      <c r="E87" s="29"/>
      <c r="F87" s="29"/>
      <c r="G87" s="29"/>
      <c r="H87" s="32">
        <f t="shared" si="157"/>
        <v>202885.33380248275</v>
      </c>
      <c r="I87" s="30">
        <f>SUM(I85:I86)</f>
        <v>0</v>
      </c>
      <c r="J87" s="30">
        <f t="shared" ref="J87:BU87" si="164">SUM(J85:J86)</f>
        <v>0</v>
      </c>
      <c r="K87" s="30">
        <f t="shared" si="164"/>
        <v>0</v>
      </c>
      <c r="L87" s="30">
        <f t="shared" si="164"/>
        <v>0</v>
      </c>
      <c r="M87" s="30">
        <f t="shared" si="164"/>
        <v>0</v>
      </c>
      <c r="N87" s="30">
        <f t="shared" si="164"/>
        <v>0</v>
      </c>
      <c r="O87" s="30">
        <f t="shared" si="164"/>
        <v>0</v>
      </c>
      <c r="P87" s="30">
        <f t="shared" si="164"/>
        <v>0</v>
      </c>
      <c r="Q87" s="30">
        <f t="shared" si="164"/>
        <v>322.07189312506858</v>
      </c>
      <c r="R87" s="30">
        <f t="shared" si="164"/>
        <v>970.41492298430398</v>
      </c>
      <c r="S87" s="30">
        <f t="shared" si="164"/>
        <v>969.69054859035793</v>
      </c>
      <c r="T87" s="30">
        <f t="shared" si="164"/>
        <v>979.60610650019521</v>
      </c>
      <c r="U87" s="30">
        <f t="shared" si="164"/>
        <v>978.86572431563297</v>
      </c>
      <c r="V87" s="30">
        <f t="shared" si="164"/>
        <v>988.28204261199733</v>
      </c>
      <c r="W87" s="30">
        <f t="shared" si="164"/>
        <v>998.51275472046405</v>
      </c>
      <c r="X87" s="30">
        <f t="shared" si="164"/>
        <v>1008.7186443852097</v>
      </c>
      <c r="Y87" s="30">
        <f t="shared" si="164"/>
        <v>1007.9518664156644</v>
      </c>
      <c r="Z87" s="30">
        <f t="shared" si="164"/>
        <v>1009.9387188300557</v>
      </c>
      <c r="AA87" s="30">
        <f t="shared" si="164"/>
        <v>1020.3913056873758</v>
      </c>
      <c r="AB87" s="30">
        <f t="shared" si="164"/>
        <v>1030.8184495398821</v>
      </c>
      <c r="AC87" s="30">
        <f t="shared" si="164"/>
        <v>1030.0325021210981</v>
      </c>
      <c r="AD87" s="30">
        <f t="shared" si="164"/>
        <v>1032.0605525823846</v>
      </c>
      <c r="AE87" s="30">
        <f t="shared" si="164"/>
        <v>1042.7397137309329</v>
      </c>
      <c r="AF87" s="30">
        <f t="shared" si="164"/>
        <v>1053.392795799547</v>
      </c>
      <c r="AG87" s="30">
        <f t="shared" si="164"/>
        <v>1052.5871996952935</v>
      </c>
      <c r="AH87" s="30">
        <f t="shared" si="164"/>
        <v>1063.4554333607921</v>
      </c>
      <c r="AI87" s="30">
        <f t="shared" si="164"/>
        <v>1062.6519592071468</v>
      </c>
      <c r="AJ87" s="30">
        <f t="shared" si="164"/>
        <v>1073.5082233118917</v>
      </c>
      <c r="AK87" s="30">
        <f t="shared" si="164"/>
        <v>1072.6869933594155</v>
      </c>
      <c r="AL87" s="30">
        <f t="shared" si="164"/>
        <v>1077.7387779054072</v>
      </c>
      <c r="AM87" s="30">
        <f t="shared" si="164"/>
        <v>1088.8855733631958</v>
      </c>
      <c r="AN87" s="30">
        <f t="shared" si="164"/>
        <v>1100.0049694876284</v>
      </c>
      <c r="AO87" s="30">
        <f t="shared" si="164"/>
        <v>1099.1585900805972</v>
      </c>
      <c r="AP87" s="30">
        <f t="shared" si="164"/>
        <v>1101.3152042754193</v>
      </c>
      <c r="AQ87" s="30">
        <f t="shared" si="164"/>
        <v>1112.703258029901</v>
      </c>
      <c r="AR87" s="30">
        <f t="shared" si="164"/>
        <v>1124.0632274676927</v>
      </c>
      <c r="AS87" s="30">
        <f t="shared" si="164"/>
        <v>1123.1956885754857</v>
      </c>
      <c r="AT87" s="30">
        <f t="shared" si="164"/>
        <v>1125.3968652277406</v>
      </c>
      <c r="AU87" s="30">
        <f t="shared" si="164"/>
        <v>1137.0312734465892</v>
      </c>
      <c r="AV87" s="30">
        <f t="shared" si="164"/>
        <v>1148.6368952408309</v>
      </c>
      <c r="AW87" s="30">
        <f t="shared" si="164"/>
        <v>1147.7476678763187</v>
      </c>
      <c r="AX87" s="30">
        <f t="shared" si="164"/>
        <v>1159.5876859762438</v>
      </c>
      <c r="AY87" s="30">
        <f t="shared" si="164"/>
        <v>1158.7008008481657</v>
      </c>
      <c r="AZ87" s="30">
        <f t="shared" si="164"/>
        <v>1170.5272924739513</v>
      </c>
      <c r="BA87" s="30">
        <f t="shared" si="164"/>
        <v>1169.6208082662406</v>
      </c>
      <c r="BB87" s="30">
        <f t="shared" si="164"/>
        <v>1175.1182072813672</v>
      </c>
      <c r="BC87" s="30">
        <f t="shared" si="164"/>
        <v>1187.2610310357559</v>
      </c>
      <c r="BD87" s="30">
        <f t="shared" si="164"/>
        <v>1199.3736110527918</v>
      </c>
      <c r="BE87" s="30">
        <f t="shared" si="164"/>
        <v>1198.4393665529508</v>
      </c>
      <c r="BF87" s="30">
        <f t="shared" si="164"/>
        <v>1200.7795769110307</v>
      </c>
      <c r="BG87" s="30">
        <f t="shared" si="164"/>
        <v>1213.184675864253</v>
      </c>
      <c r="BH87" s="30">
        <f t="shared" si="164"/>
        <v>1225.5587749866886</v>
      </c>
      <c r="BI87" s="30">
        <f t="shared" si="164"/>
        <v>1224.6011743743518</v>
      </c>
      <c r="BJ87" s="30">
        <f t="shared" si="164"/>
        <v>1226.9895661426267</v>
      </c>
      <c r="BK87" s="30">
        <f t="shared" si="164"/>
        <v>1239.6624647897775</v>
      </c>
      <c r="BL87" s="30">
        <f t="shared" si="164"/>
        <v>1252.3035886103719</v>
      </c>
      <c r="BM87" s="30">
        <f t="shared" si="164"/>
        <v>1251.3220479827266</v>
      </c>
      <c r="BN87" s="30">
        <f t="shared" si="164"/>
        <v>1264.2184898017292</v>
      </c>
      <c r="BO87" s="30">
        <f t="shared" si="164"/>
        <v>1263.2395345648533</v>
      </c>
      <c r="BP87" s="30">
        <f t="shared" si="164"/>
        <v>1276.1206987383205</v>
      </c>
      <c r="BQ87" s="30">
        <f t="shared" si="164"/>
        <v>1275.1201097847015</v>
      </c>
      <c r="BR87" s="30">
        <f t="shared" si="164"/>
        <v>1281.1012006518808</v>
      </c>
      <c r="BS87" s="30">
        <f t="shared" si="164"/>
        <v>1294.3267235455244</v>
      </c>
      <c r="BT87" s="30">
        <f t="shared" si="164"/>
        <v>1307.5188630120174</v>
      </c>
      <c r="BU87" s="30">
        <f t="shared" si="164"/>
        <v>1306.4876318900976</v>
      </c>
      <c r="BV87" s="30">
        <f t="shared" ref="BV87:EG87" si="165">SUM(BV85:BV86)</f>
        <v>1309.0263156263607</v>
      </c>
      <c r="BW87" s="30">
        <f t="shared" si="165"/>
        <v>1322.536894202992</v>
      </c>
      <c r="BX87" s="30">
        <f t="shared" si="165"/>
        <v>1336.0132547667936</v>
      </c>
      <c r="BY87" s="30">
        <f t="shared" si="165"/>
        <v>1334.956242866826</v>
      </c>
      <c r="BZ87" s="30">
        <f t="shared" si="165"/>
        <v>1337.546998099157</v>
      </c>
      <c r="CA87" s="30">
        <f t="shared" si="165"/>
        <v>1351.348619191117</v>
      </c>
      <c r="CB87" s="30">
        <f t="shared" si="165"/>
        <v>1365.1151668199263</v>
      </c>
      <c r="CC87" s="30">
        <f t="shared" si="165"/>
        <v>1364.0317296224591</v>
      </c>
      <c r="CD87" s="30">
        <f t="shared" si="165"/>
        <v>1378.0763347089614</v>
      </c>
      <c r="CE87" s="30">
        <f t="shared" si="165"/>
        <v>1376.995751299153</v>
      </c>
      <c r="CF87" s="30">
        <f t="shared" si="165"/>
        <v>1391.0231097567789</v>
      </c>
      <c r="CG87" s="30">
        <f t="shared" si="165"/>
        <v>1389.9186467715576</v>
      </c>
      <c r="CH87" s="30">
        <f t="shared" si="165"/>
        <v>1396.424610281143</v>
      </c>
      <c r="CI87" s="30">
        <f t="shared" si="165"/>
        <v>1410.8267639453636</v>
      </c>
      <c r="CJ87" s="30">
        <f t="shared" si="165"/>
        <v>1425.1920685523614</v>
      </c>
      <c r="CK87" s="30">
        <f t="shared" si="165"/>
        <v>1424.0537823467728</v>
      </c>
      <c r="CL87" s="30">
        <f t="shared" si="165"/>
        <v>1426.80692693232</v>
      </c>
      <c r="CM87" s="30">
        <f t="shared" si="165"/>
        <v>1441.518820009192</v>
      </c>
      <c r="CN87" s="30">
        <f t="shared" si="165"/>
        <v>1456.1929428024109</v>
      </c>
      <c r="CO87" s="30">
        <f t="shared" si="165"/>
        <v>1455.0261994416828</v>
      </c>
      <c r="CP87" s="30">
        <f t="shared" si="165"/>
        <v>1457.8355940346303</v>
      </c>
      <c r="CQ87" s="30">
        <f t="shared" si="165"/>
        <v>1472.8637121487461</v>
      </c>
      <c r="CR87" s="30">
        <f t="shared" si="165"/>
        <v>1487.8531157221175</v>
      </c>
      <c r="CS87" s="30">
        <f t="shared" si="165"/>
        <v>1486.6572037773713</v>
      </c>
      <c r="CT87" s="30">
        <f t="shared" si="165"/>
        <v>1501.9493739739676</v>
      </c>
      <c r="CU87" s="30">
        <f t="shared" si="165"/>
        <v>1500.7566120768256</v>
      </c>
      <c r="CV87" s="30">
        <f t="shared" si="165"/>
        <v>1516.0293224984625</v>
      </c>
      <c r="CW87" s="30">
        <f t="shared" si="165"/>
        <v>1514.8102020181568</v>
      </c>
      <c r="CX87" s="30">
        <f t="shared" si="165"/>
        <v>1521.8855563509489</v>
      </c>
      <c r="CY87" s="30">
        <f t="shared" si="165"/>
        <v>1537.5661066709065</v>
      </c>
      <c r="CZ87" s="30">
        <f t="shared" si="165"/>
        <v>1553.2059825264946</v>
      </c>
      <c r="DA87" s="30">
        <f t="shared" si="165"/>
        <v>1551.9495275395452</v>
      </c>
      <c r="DB87" s="30">
        <f t="shared" si="165"/>
        <v>1554.9343008859842</v>
      </c>
      <c r="DC87" s="30">
        <f t="shared" si="165"/>
        <v>1570.9513272486772</v>
      </c>
      <c r="DD87" s="30">
        <f t="shared" si="165"/>
        <v>1586.9266622853916</v>
      </c>
      <c r="DE87" s="30">
        <f t="shared" si="165"/>
        <v>1585.6387959237682</v>
      </c>
      <c r="DF87" s="30">
        <f t="shared" si="165"/>
        <v>1588.6843041750521</v>
      </c>
      <c r="DG87" s="30">
        <f t="shared" si="165"/>
        <v>1605.0448300386672</v>
      </c>
      <c r="DH87" s="30">
        <f t="shared" si="165"/>
        <v>1621.3626222931539</v>
      </c>
      <c r="DI87" s="30">
        <f t="shared" si="165"/>
        <v>1620.0425592724901</v>
      </c>
      <c r="DJ87" s="30">
        <f t="shared" si="165"/>
        <v>1636.6899609179825</v>
      </c>
      <c r="DK87" s="30">
        <f t="shared" si="165"/>
        <v>1635.3733749604703</v>
      </c>
      <c r="DL87" s="30">
        <f t="shared" si="165"/>
        <v>1651.9988300476605</v>
      </c>
      <c r="DM87" s="30">
        <f t="shared" si="165"/>
        <v>1650.653149146274</v>
      </c>
      <c r="DN87" s="30">
        <f t="shared" si="165"/>
        <v>1658.345998991651</v>
      </c>
      <c r="DO87" s="30">
        <f t="shared" si="165"/>
        <v>1675.4151603873086</v>
      </c>
      <c r="DP87" s="30">
        <f t="shared" si="165"/>
        <v>1692.4394247848757</v>
      </c>
      <c r="DQ87" s="30">
        <f t="shared" si="165"/>
        <v>1691.0525335737909</v>
      </c>
      <c r="DR87" s="30">
        <f t="shared" si="165"/>
        <v>1694.2873568242828</v>
      </c>
      <c r="DS87" s="30">
        <f t="shared" si="165"/>
        <v>1711.7219440088074</v>
      </c>
      <c r="DT87" s="30">
        <f t="shared" si="165"/>
        <v>1729.11051177029</v>
      </c>
      <c r="DU87" s="30">
        <f t="shared" si="165"/>
        <v>1727.6889482789279</v>
      </c>
      <c r="DV87" s="30">
        <f t="shared" si="165"/>
        <v>1730.9893162991757</v>
      </c>
      <c r="DW87" s="30">
        <f t="shared" si="165"/>
        <v>1748.7969323361392</v>
      </c>
      <c r="DX87" s="30">
        <f t="shared" si="165"/>
        <v>1766.5573784644839</v>
      </c>
      <c r="DY87" s="30">
        <f t="shared" si="165"/>
        <v>1765.1002758858378</v>
      </c>
      <c r="DZ87" s="30">
        <f t="shared" si="165"/>
        <v>1783.2194844725022</v>
      </c>
      <c r="EA87" s="30">
        <f t="shared" si="165"/>
        <v>1781.7662199209849</v>
      </c>
      <c r="EB87" s="30">
        <f t="shared" si="165"/>
        <v>1799.8606885659265</v>
      </c>
      <c r="EC87" s="30">
        <f t="shared" si="165"/>
        <v>1798.3753086403085</v>
      </c>
      <c r="ED87" s="30">
        <f t="shared" si="165"/>
        <v>1806.737610070265</v>
      </c>
      <c r="EE87" s="30">
        <f t="shared" si="165"/>
        <v>1825.314702887249</v>
      </c>
      <c r="EF87" s="30">
        <f t="shared" si="165"/>
        <v>1843.8422378189907</v>
      </c>
      <c r="EG87" s="30">
        <f t="shared" si="165"/>
        <v>1842.3113694223011</v>
      </c>
      <c r="EH87" s="30">
        <f t="shared" ref="EH87:FM87" si="166">SUM(EH85:EH86)</f>
        <v>1845.8159921341614</v>
      </c>
      <c r="EI87" s="30">
        <f t="shared" si="166"/>
        <v>1864.789844958372</v>
      </c>
      <c r="EJ87" s="30">
        <f t="shared" si="166"/>
        <v>1883.7129009502087</v>
      </c>
      <c r="EK87" s="30">
        <f t="shared" si="166"/>
        <v>1882.1437608436015</v>
      </c>
      <c r="EL87" s="30">
        <f t="shared" si="166"/>
        <v>1885.7190822949594</v>
      </c>
      <c r="EM87" s="30">
        <f t="shared" si="166"/>
        <v>1905.0979224437465</v>
      </c>
      <c r="EN87" s="30">
        <f t="shared" si="166"/>
        <v>1924.4246958393508</v>
      </c>
      <c r="EO87" s="30">
        <f t="shared" si="166"/>
        <v>1922.8163272300785</v>
      </c>
      <c r="EP87" s="30">
        <f t="shared" si="166"/>
        <v>1942.5335168409661</v>
      </c>
      <c r="EQ87" s="30">
        <f t="shared" si="166"/>
        <v>1940.9293846955127</v>
      </c>
      <c r="ER87" s="30">
        <f t="shared" si="166"/>
        <v>1960.6186975234527</v>
      </c>
      <c r="ES87" s="30">
        <f t="shared" si="166"/>
        <v>1958.9791160140799</v>
      </c>
      <c r="ET87" s="30">
        <f t="shared" si="166"/>
        <v>1968.0669576997195</v>
      </c>
      <c r="EU87" s="30">
        <f t="shared" si="166"/>
        <v>1988.2811110406344</v>
      </c>
      <c r="EV87" s="30">
        <f t="shared" si="166"/>
        <v>2008.4405617489863</v>
      </c>
      <c r="EW87" s="30">
        <f t="shared" si="166"/>
        <v>2006.7507694788694</v>
      </c>
      <c r="EX87" s="30">
        <f t="shared" si="166"/>
        <v>2010.5463469097967</v>
      </c>
      <c r="EY87" s="30">
        <f t="shared" si="166"/>
        <v>2031.1911620316514</v>
      </c>
      <c r="EZ87" s="30">
        <f t="shared" si="166"/>
        <v>2051.7799069551302</v>
      </c>
      <c r="FA87" s="30">
        <f t="shared" si="166"/>
        <v>2050.0478698782604</v>
      </c>
      <c r="FB87" s="30">
        <f t="shared" si="166"/>
        <v>0</v>
      </c>
      <c r="FC87" s="30">
        <f t="shared" si="166"/>
        <v>0</v>
      </c>
      <c r="FD87" s="30">
        <f t="shared" si="166"/>
        <v>0</v>
      </c>
      <c r="FE87" s="30">
        <f t="shared" si="166"/>
        <v>0</v>
      </c>
      <c r="FF87" s="30">
        <f t="shared" si="166"/>
        <v>0</v>
      </c>
      <c r="FG87" s="30">
        <f t="shared" si="166"/>
        <v>0</v>
      </c>
      <c r="FH87" s="30">
        <f t="shared" si="166"/>
        <v>0</v>
      </c>
      <c r="FI87" s="30">
        <f t="shared" si="166"/>
        <v>0</v>
      </c>
      <c r="FJ87" s="30">
        <f t="shared" si="166"/>
        <v>0</v>
      </c>
      <c r="FK87" s="30">
        <f t="shared" si="166"/>
        <v>0</v>
      </c>
      <c r="FL87" s="30">
        <f t="shared" si="166"/>
        <v>0</v>
      </c>
      <c r="FM87" s="30">
        <f t="shared" si="166"/>
        <v>0</v>
      </c>
    </row>
    <row r="88" spans="2:169" x14ac:dyDescent="0.25"/>
    <row r="89" spans="2:169" x14ac:dyDescent="0.25">
      <c r="B89" s="40" t="s">
        <v>46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  <c r="DY89" s="40"/>
      <c r="DZ89" s="40"/>
      <c r="EA89" s="40"/>
      <c r="EB89" s="40"/>
      <c r="EC89" s="40"/>
      <c r="ED89" s="40"/>
      <c r="EE89" s="40"/>
      <c r="EF89" s="40"/>
      <c r="EG89" s="40"/>
      <c r="EH89" s="40"/>
      <c r="EI89" s="40"/>
      <c r="EJ89" s="40"/>
      <c r="EK89" s="40"/>
      <c r="EL89" s="40"/>
      <c r="EM89" s="40"/>
      <c r="EN89" s="40"/>
      <c r="EO89" s="40"/>
      <c r="EP89" s="40"/>
      <c r="EQ89" s="40"/>
      <c r="ER89" s="40"/>
      <c r="ES89" s="40"/>
      <c r="ET89" s="40"/>
      <c r="EU89" s="40"/>
      <c r="EV89" s="40"/>
      <c r="EW89" s="40"/>
      <c r="EX89" s="40"/>
      <c r="EY89" s="40"/>
      <c r="EZ89" s="40"/>
      <c r="FA89" s="40"/>
      <c r="FB89" s="40"/>
      <c r="FC89" s="40"/>
      <c r="FD89" s="40"/>
      <c r="FE89" s="40"/>
      <c r="FF89" s="40"/>
      <c r="FG89" s="40"/>
      <c r="FH89" s="40"/>
      <c r="FI89" s="40"/>
      <c r="FJ89" s="40"/>
      <c r="FK89" s="40"/>
      <c r="FL89" s="40"/>
      <c r="FM89" s="40"/>
    </row>
    <row r="90" spans="2:169" x14ac:dyDescent="0.25">
      <c r="B90" t="str">
        <f>Stat_Inp!B81</f>
        <v>OPEX excl. balancing, land lease</v>
      </c>
      <c r="C90" t="s">
        <v>94</v>
      </c>
      <c r="D90" s="35">
        <f>Stat_Inp!F81</f>
        <v>14.96</v>
      </c>
      <c r="E90" t="s">
        <v>48</v>
      </c>
      <c r="F90" t="s">
        <v>127</v>
      </c>
      <c r="H90" s="31">
        <f t="shared" ref="H90:H92" si="167">SUM(I90:FM90)</f>
        <v>55546.522611019675</v>
      </c>
      <c r="I90" s="25">
        <f t="shared" ref="I90:AN90" si="168">$D90 * I7 * I14 * I61 * I23</f>
        <v>0</v>
      </c>
      <c r="J90" s="25">
        <f t="shared" si="168"/>
        <v>0</v>
      </c>
      <c r="K90" s="25">
        <f t="shared" si="168"/>
        <v>0</v>
      </c>
      <c r="L90" s="25">
        <f t="shared" si="168"/>
        <v>0</v>
      </c>
      <c r="M90" s="25">
        <f t="shared" si="168"/>
        <v>0</v>
      </c>
      <c r="N90" s="25">
        <f t="shared" si="168"/>
        <v>0</v>
      </c>
      <c r="O90" s="25">
        <f t="shared" si="168"/>
        <v>0</v>
      </c>
      <c r="P90" s="25">
        <f t="shared" si="168"/>
        <v>0</v>
      </c>
      <c r="Q90" s="25">
        <f t="shared" si="168"/>
        <v>82.864728281424675</v>
      </c>
      <c r="R90" s="25">
        <f t="shared" si="168"/>
        <v>249.86096495360005</v>
      </c>
      <c r="S90" s="25">
        <f t="shared" si="168"/>
        <v>249.86096495360005</v>
      </c>
      <c r="T90" s="25">
        <f t="shared" si="168"/>
        <v>252.60668984320006</v>
      </c>
      <c r="U90" s="25">
        <f t="shared" si="168"/>
        <v>252.60668984320006</v>
      </c>
      <c r="V90" s="25">
        <f t="shared" si="168"/>
        <v>255.22603616253897</v>
      </c>
      <c r="W90" s="25">
        <f t="shared" si="168"/>
        <v>258.0618810087895</v>
      </c>
      <c r="X90" s="25">
        <f t="shared" si="168"/>
        <v>260.89772585503988</v>
      </c>
      <c r="Y90" s="25">
        <f t="shared" si="168"/>
        <v>260.89772585503988</v>
      </c>
      <c r="Z90" s="25">
        <f t="shared" si="168"/>
        <v>261.60668706660243</v>
      </c>
      <c r="AA90" s="25">
        <f t="shared" si="168"/>
        <v>264.51342803400922</v>
      </c>
      <c r="AB90" s="25">
        <f t="shared" si="168"/>
        <v>267.4201690014159</v>
      </c>
      <c r="AC90" s="25">
        <f t="shared" si="168"/>
        <v>267.4201690014159</v>
      </c>
      <c r="AD90" s="25">
        <f t="shared" si="168"/>
        <v>268.14685424326751</v>
      </c>
      <c r="AE90" s="25">
        <f t="shared" si="168"/>
        <v>271.12626373485944</v>
      </c>
      <c r="AF90" s="25">
        <f t="shared" si="168"/>
        <v>274.10567322645124</v>
      </c>
      <c r="AG90" s="25">
        <f t="shared" si="168"/>
        <v>274.10567322645124</v>
      </c>
      <c r="AH90" s="25">
        <f t="shared" si="168"/>
        <v>277.14511863334496</v>
      </c>
      <c r="AI90" s="25">
        <f t="shared" si="168"/>
        <v>277.14511863334496</v>
      </c>
      <c r="AJ90" s="25">
        <f t="shared" si="168"/>
        <v>280.19066938755753</v>
      </c>
      <c r="AK90" s="25">
        <f t="shared" si="168"/>
        <v>280.19066938755753</v>
      </c>
      <c r="AL90" s="25">
        <f t="shared" si="168"/>
        <v>281.72178873933285</v>
      </c>
      <c r="AM90" s="25">
        <f t="shared" si="168"/>
        <v>284.85203083643665</v>
      </c>
      <c r="AN90" s="25">
        <f t="shared" si="168"/>
        <v>287.98227293354034</v>
      </c>
      <c r="AO90" s="25">
        <f t="shared" ref="AO90:BT90" si="169">$D90 * AO7 * AO14 * AO61 * AO23</f>
        <v>287.98227293354034</v>
      </c>
      <c r="AP90" s="25">
        <f t="shared" si="169"/>
        <v>288.76483345781617</v>
      </c>
      <c r="AQ90" s="25">
        <f t="shared" si="169"/>
        <v>291.97333160734752</v>
      </c>
      <c r="AR90" s="25">
        <f t="shared" si="169"/>
        <v>295.18182975687881</v>
      </c>
      <c r="AS90" s="25">
        <f t="shared" si="169"/>
        <v>295.18182975687881</v>
      </c>
      <c r="AT90" s="25">
        <f t="shared" si="169"/>
        <v>295.98395429426159</v>
      </c>
      <c r="AU90" s="25">
        <f t="shared" si="169"/>
        <v>299.27266489753123</v>
      </c>
      <c r="AV90" s="25">
        <f t="shared" si="169"/>
        <v>302.56137550080075</v>
      </c>
      <c r="AW90" s="25">
        <f t="shared" si="169"/>
        <v>302.56137550080075</v>
      </c>
      <c r="AX90" s="25">
        <f t="shared" si="169"/>
        <v>305.91635452128099</v>
      </c>
      <c r="AY90" s="25">
        <f t="shared" si="169"/>
        <v>305.91635452128099</v>
      </c>
      <c r="AZ90" s="25">
        <f t="shared" si="169"/>
        <v>309.27807270283353</v>
      </c>
      <c r="BA90" s="25">
        <f t="shared" si="169"/>
        <v>309.27807270283353</v>
      </c>
      <c r="BB90" s="25">
        <f t="shared" si="169"/>
        <v>310.96814198040852</v>
      </c>
      <c r="BC90" s="25">
        <f t="shared" si="169"/>
        <v>314.42334355796868</v>
      </c>
      <c r="BD90" s="25">
        <f t="shared" si="169"/>
        <v>317.87854513552878</v>
      </c>
      <c r="BE90" s="25">
        <f t="shared" si="169"/>
        <v>317.87854513552878</v>
      </c>
      <c r="BF90" s="25">
        <f t="shared" si="169"/>
        <v>318.74234552991868</v>
      </c>
      <c r="BG90" s="25">
        <f t="shared" si="169"/>
        <v>322.28392714691785</v>
      </c>
      <c r="BH90" s="25">
        <f t="shared" si="169"/>
        <v>325.82550876391696</v>
      </c>
      <c r="BI90" s="25">
        <f t="shared" si="169"/>
        <v>325.82550876391696</v>
      </c>
      <c r="BJ90" s="25">
        <f t="shared" si="169"/>
        <v>326.71090416816662</v>
      </c>
      <c r="BK90" s="25">
        <f t="shared" si="169"/>
        <v>330.34102532559075</v>
      </c>
      <c r="BL90" s="25">
        <f t="shared" si="169"/>
        <v>333.97114648301482</v>
      </c>
      <c r="BM90" s="25">
        <f t="shared" si="169"/>
        <v>333.97114648301482</v>
      </c>
      <c r="BN90" s="25">
        <f t="shared" si="169"/>
        <v>337.67441557359734</v>
      </c>
      <c r="BO90" s="25">
        <f t="shared" si="169"/>
        <v>337.67441557359734</v>
      </c>
      <c r="BP90" s="25">
        <f t="shared" si="169"/>
        <v>341.38512343704349</v>
      </c>
      <c r="BQ90" s="25">
        <f t="shared" si="169"/>
        <v>341.38512343704349</v>
      </c>
      <c r="BR90" s="25">
        <f t="shared" si="169"/>
        <v>343.25064369168001</v>
      </c>
      <c r="BS90" s="25">
        <f t="shared" si="169"/>
        <v>347.06453973269873</v>
      </c>
      <c r="BT90" s="25">
        <f t="shared" si="169"/>
        <v>350.8784357737174</v>
      </c>
      <c r="BU90" s="25">
        <f t="shared" ref="BU90:CZ90" si="170">$D90 * BU7 * BU14 * BU61 * BU23</f>
        <v>350.8784357737174</v>
      </c>
      <c r="BV90" s="25">
        <f t="shared" si="170"/>
        <v>351.83190978397198</v>
      </c>
      <c r="BW90" s="25">
        <f t="shared" si="170"/>
        <v>355.74115322601619</v>
      </c>
      <c r="BX90" s="25">
        <f t="shared" si="170"/>
        <v>359.6503966680603</v>
      </c>
      <c r="BY90" s="25">
        <f t="shared" si="170"/>
        <v>359.6503966680603</v>
      </c>
      <c r="BZ90" s="25">
        <f t="shared" si="170"/>
        <v>360.62770752857119</v>
      </c>
      <c r="CA90" s="25">
        <f t="shared" si="170"/>
        <v>364.63468205666652</v>
      </c>
      <c r="CB90" s="25">
        <f t="shared" si="170"/>
        <v>368.64165658476179</v>
      </c>
      <c r="CC90" s="25">
        <f t="shared" si="170"/>
        <v>368.64165658476179</v>
      </c>
      <c r="CD90" s="25">
        <f t="shared" si="170"/>
        <v>372.72937274439988</v>
      </c>
      <c r="CE90" s="25">
        <f t="shared" si="170"/>
        <v>372.72937274439988</v>
      </c>
      <c r="CF90" s="25">
        <f t="shared" si="170"/>
        <v>376.82529991741529</v>
      </c>
      <c r="CG90" s="25">
        <f t="shared" si="170"/>
        <v>376.82529991741529</v>
      </c>
      <c r="CH90" s="25">
        <f t="shared" si="170"/>
        <v>378.88448522220506</v>
      </c>
      <c r="CI90" s="25">
        <f t="shared" si="170"/>
        <v>383.09431283578522</v>
      </c>
      <c r="CJ90" s="25">
        <f t="shared" si="170"/>
        <v>387.30414044936526</v>
      </c>
      <c r="CK90" s="25">
        <f t="shared" si="170"/>
        <v>387.30414044936526</v>
      </c>
      <c r="CL90" s="25">
        <f t="shared" si="170"/>
        <v>388.35659735276016</v>
      </c>
      <c r="CM90" s="25">
        <f t="shared" si="170"/>
        <v>392.67167065667979</v>
      </c>
      <c r="CN90" s="25">
        <f t="shared" si="170"/>
        <v>396.98674396059937</v>
      </c>
      <c r="CO90" s="25">
        <f t="shared" si="170"/>
        <v>396.98674396059937</v>
      </c>
      <c r="CP90" s="25">
        <f t="shared" si="170"/>
        <v>398.06551228657912</v>
      </c>
      <c r="CQ90" s="25">
        <f t="shared" si="170"/>
        <v>402.48846242309679</v>
      </c>
      <c r="CR90" s="25">
        <f t="shared" si="170"/>
        <v>406.91141255961435</v>
      </c>
      <c r="CS90" s="25">
        <f t="shared" si="170"/>
        <v>406.91141255961435</v>
      </c>
      <c r="CT90" s="25">
        <f t="shared" si="170"/>
        <v>411.42348634983898</v>
      </c>
      <c r="CU90" s="25">
        <f t="shared" si="170"/>
        <v>411.42348634983898</v>
      </c>
      <c r="CV90" s="25">
        <f t="shared" si="170"/>
        <v>415.94462356247459</v>
      </c>
      <c r="CW90" s="25">
        <f t="shared" si="170"/>
        <v>415.94462356247459</v>
      </c>
      <c r="CX90" s="25">
        <f t="shared" si="170"/>
        <v>418.21757884608712</v>
      </c>
      <c r="CY90" s="25">
        <f t="shared" si="170"/>
        <v>422.86444083326597</v>
      </c>
      <c r="CZ90" s="25">
        <f t="shared" si="170"/>
        <v>427.51130282044471</v>
      </c>
      <c r="DA90" s="25">
        <f t="shared" ref="DA90:EF90" si="171">$D90 * DA7 * DA14 * DA61 * DA23</f>
        <v>427.51130282044471</v>
      </c>
      <c r="DB90" s="25">
        <f t="shared" si="171"/>
        <v>428.67301831723933</v>
      </c>
      <c r="DC90" s="25">
        <f t="shared" si="171"/>
        <v>433.43605185409763</v>
      </c>
      <c r="DD90" s="25">
        <f t="shared" si="171"/>
        <v>438.19908539095582</v>
      </c>
      <c r="DE90" s="25">
        <f t="shared" si="171"/>
        <v>438.19908539095582</v>
      </c>
      <c r="DF90" s="25">
        <f t="shared" si="171"/>
        <v>439.38984377517028</v>
      </c>
      <c r="DG90" s="25">
        <f t="shared" si="171"/>
        <v>444.27195315045003</v>
      </c>
      <c r="DH90" s="25">
        <f t="shared" si="171"/>
        <v>449.15406252572973</v>
      </c>
      <c r="DI90" s="25">
        <f t="shared" si="171"/>
        <v>449.15406252572973</v>
      </c>
      <c r="DJ90" s="25">
        <f t="shared" si="171"/>
        <v>454.13454773883086</v>
      </c>
      <c r="DK90" s="25">
        <f t="shared" si="171"/>
        <v>454.13454773883086</v>
      </c>
      <c r="DL90" s="25">
        <f t="shared" si="171"/>
        <v>459.12503727442243</v>
      </c>
      <c r="DM90" s="25">
        <f t="shared" si="171"/>
        <v>459.12503727442243</v>
      </c>
      <c r="DN90" s="25">
        <f t="shared" si="171"/>
        <v>461.63395461628818</v>
      </c>
      <c r="DO90" s="25">
        <f t="shared" si="171"/>
        <v>466.7632207786915</v>
      </c>
      <c r="DP90" s="25">
        <f t="shared" si="171"/>
        <v>471.89248694109466</v>
      </c>
      <c r="DQ90" s="25">
        <f t="shared" si="171"/>
        <v>471.89248694109466</v>
      </c>
      <c r="DR90" s="25">
        <f t="shared" si="171"/>
        <v>473.17480348169533</v>
      </c>
      <c r="DS90" s="25">
        <f t="shared" si="171"/>
        <v>478.43230129815873</v>
      </c>
      <c r="DT90" s="25">
        <f t="shared" si="171"/>
        <v>483.68979911462202</v>
      </c>
      <c r="DU90" s="25">
        <f t="shared" si="171"/>
        <v>483.68979911462202</v>
      </c>
      <c r="DV90" s="25">
        <f t="shared" si="171"/>
        <v>485.00417356873766</v>
      </c>
      <c r="DW90" s="25">
        <f t="shared" si="171"/>
        <v>490.39310883061262</v>
      </c>
      <c r="DX90" s="25">
        <f t="shared" si="171"/>
        <v>495.78204409248752</v>
      </c>
      <c r="DY90" s="25">
        <f t="shared" si="171"/>
        <v>495.78204409248752</v>
      </c>
      <c r="DZ90" s="25">
        <f t="shared" si="171"/>
        <v>501.27956787227572</v>
      </c>
      <c r="EA90" s="25">
        <f t="shared" si="171"/>
        <v>501.27956787227572</v>
      </c>
      <c r="EB90" s="25">
        <f t="shared" si="171"/>
        <v>506.78813455219085</v>
      </c>
      <c r="EC90" s="25">
        <f t="shared" si="171"/>
        <v>506.78813455219085</v>
      </c>
      <c r="ED90" s="25">
        <f t="shared" si="171"/>
        <v>509.55750985565487</v>
      </c>
      <c r="EE90" s="25">
        <f t="shared" si="171"/>
        <v>515.21925996516222</v>
      </c>
      <c r="EF90" s="25">
        <f t="shared" si="171"/>
        <v>520.88101007466958</v>
      </c>
      <c r="EG90" s="25">
        <f t="shared" ref="EG90:FM90" si="172">$D90 * EG7 * EG14 * EG61 * EG23</f>
        <v>520.88101007466958</v>
      </c>
      <c r="EH90" s="25">
        <f t="shared" si="172"/>
        <v>522.29644760204621</v>
      </c>
      <c r="EI90" s="25">
        <f t="shared" si="172"/>
        <v>528.09974146429124</v>
      </c>
      <c r="EJ90" s="25">
        <f t="shared" si="172"/>
        <v>533.90303532653627</v>
      </c>
      <c r="EK90" s="25">
        <f t="shared" si="172"/>
        <v>533.90303532653627</v>
      </c>
      <c r="EL90" s="25">
        <f t="shared" si="172"/>
        <v>535.3538587920973</v>
      </c>
      <c r="EM90" s="25">
        <f t="shared" si="172"/>
        <v>541.30223500089858</v>
      </c>
      <c r="EN90" s="25">
        <f t="shared" si="172"/>
        <v>547.25061120969963</v>
      </c>
      <c r="EO90" s="25">
        <f t="shared" si="172"/>
        <v>547.25061120969963</v>
      </c>
      <c r="EP90" s="25">
        <f t="shared" si="172"/>
        <v>553.31884882434736</v>
      </c>
      <c r="EQ90" s="25">
        <f t="shared" si="172"/>
        <v>553.31884882434736</v>
      </c>
      <c r="ER90" s="25">
        <f t="shared" si="172"/>
        <v>559.39927573450507</v>
      </c>
      <c r="ES90" s="25">
        <f t="shared" si="172"/>
        <v>559.39927573450507</v>
      </c>
      <c r="ET90" s="25">
        <f t="shared" si="172"/>
        <v>562.45614789344711</v>
      </c>
      <c r="EU90" s="25">
        <f t="shared" si="172"/>
        <v>568.70566064781883</v>
      </c>
      <c r="EV90" s="25">
        <f t="shared" si="172"/>
        <v>574.95517340219055</v>
      </c>
      <c r="EW90" s="25">
        <f t="shared" si="172"/>
        <v>574.95517340219055</v>
      </c>
      <c r="EX90" s="25">
        <f t="shared" si="172"/>
        <v>576.51755159078323</v>
      </c>
      <c r="EY90" s="25">
        <f t="shared" si="172"/>
        <v>582.92330216401433</v>
      </c>
      <c r="EZ90" s="25">
        <f t="shared" si="172"/>
        <v>589.32905273724521</v>
      </c>
      <c r="FA90" s="25">
        <f t="shared" si="172"/>
        <v>589.32905273724521</v>
      </c>
      <c r="FB90" s="25">
        <f t="shared" si="172"/>
        <v>0</v>
      </c>
      <c r="FC90" s="25">
        <f t="shared" si="172"/>
        <v>0</v>
      </c>
      <c r="FD90" s="25">
        <f t="shared" si="172"/>
        <v>0</v>
      </c>
      <c r="FE90" s="25">
        <f t="shared" si="172"/>
        <v>0</v>
      </c>
      <c r="FF90" s="25">
        <f t="shared" si="172"/>
        <v>0</v>
      </c>
      <c r="FG90" s="25">
        <f t="shared" si="172"/>
        <v>0</v>
      </c>
      <c r="FH90" s="25">
        <f t="shared" si="172"/>
        <v>0</v>
      </c>
      <c r="FI90" s="25">
        <f t="shared" si="172"/>
        <v>0</v>
      </c>
      <c r="FJ90" s="25">
        <f t="shared" si="172"/>
        <v>0</v>
      </c>
      <c r="FK90" s="25">
        <f t="shared" si="172"/>
        <v>0</v>
      </c>
      <c r="FL90" s="25">
        <f t="shared" si="172"/>
        <v>0</v>
      </c>
      <c r="FM90" s="25">
        <f t="shared" si="172"/>
        <v>0</v>
      </c>
    </row>
    <row r="91" spans="2:169" x14ac:dyDescent="0.25">
      <c r="B91" t="s">
        <v>50</v>
      </c>
      <c r="C91" t="s">
        <v>94</v>
      </c>
      <c r="D91" s="35">
        <f>Stat_Inp!F82</f>
        <v>5</v>
      </c>
      <c r="E91" t="s">
        <v>44</v>
      </c>
      <c r="F91" t="s">
        <v>128</v>
      </c>
      <c r="H91" s="31">
        <f t="shared" si="167"/>
        <v>12607.226115344838</v>
      </c>
      <c r="I91" s="25">
        <f>$D91 * I74 / 1000</f>
        <v>0</v>
      </c>
      <c r="J91" s="25">
        <f t="shared" ref="J91:BU91" si="173">$D91 * J74 / 1000</f>
        <v>0</v>
      </c>
      <c r="K91" s="25">
        <f t="shared" si="173"/>
        <v>0</v>
      </c>
      <c r="L91" s="25">
        <f t="shared" si="173"/>
        <v>0</v>
      </c>
      <c r="M91" s="25">
        <f t="shared" si="173"/>
        <v>0</v>
      </c>
      <c r="N91" s="25">
        <f t="shared" si="173"/>
        <v>0</v>
      </c>
      <c r="O91" s="25">
        <f t="shared" si="173"/>
        <v>0</v>
      </c>
      <c r="P91" s="25">
        <f t="shared" si="173"/>
        <v>0</v>
      </c>
      <c r="Q91" s="25">
        <f t="shared" si="173"/>
        <v>32.218236301369863</v>
      </c>
      <c r="R91" s="25">
        <f t="shared" si="173"/>
        <v>94.247356600068301</v>
      </c>
      <c r="S91" s="25">
        <f t="shared" si="173"/>
        <v>94.177004866803273</v>
      </c>
      <c r="T91" s="25">
        <f t="shared" si="173"/>
        <v>95.140010587431675</v>
      </c>
      <c r="U91" s="25">
        <f t="shared" si="173"/>
        <v>95.068104166666657</v>
      </c>
      <c r="V91" s="25">
        <f t="shared" si="173"/>
        <v>93.187013006661644</v>
      </c>
      <c r="W91" s="25">
        <f t="shared" si="173"/>
        <v>94.151686512009746</v>
      </c>
      <c r="X91" s="25">
        <f t="shared" si="173"/>
        <v>95.114019461437422</v>
      </c>
      <c r="Y91" s="25">
        <f t="shared" si="173"/>
        <v>95.041718493150697</v>
      </c>
      <c r="Z91" s="25">
        <f t="shared" si="173"/>
        <v>92.906402561456176</v>
      </c>
      <c r="AA91" s="25">
        <f t="shared" si="173"/>
        <v>93.867958172968642</v>
      </c>
      <c r="AB91" s="25">
        <f t="shared" si="173"/>
        <v>94.82717322856071</v>
      </c>
      <c r="AC91" s="25">
        <f t="shared" si="173"/>
        <v>94.75487226027397</v>
      </c>
      <c r="AD91" s="25">
        <f t="shared" si="173"/>
        <v>92.625792116250679</v>
      </c>
      <c r="AE91" s="25">
        <f t="shared" si="173"/>
        <v>93.584229833927537</v>
      </c>
      <c r="AF91" s="25">
        <f t="shared" si="173"/>
        <v>94.540326995683998</v>
      </c>
      <c r="AG91" s="25">
        <f t="shared" si="173"/>
        <v>94.468026027397272</v>
      </c>
      <c r="AH91" s="25">
        <f t="shared" si="173"/>
        <v>93.115544100068291</v>
      </c>
      <c r="AI91" s="25">
        <f t="shared" si="173"/>
        <v>93.045192366803263</v>
      </c>
      <c r="AJ91" s="25">
        <f t="shared" si="173"/>
        <v>93.995760587431661</v>
      </c>
      <c r="AK91" s="25">
        <f t="shared" si="173"/>
        <v>93.923854166666644</v>
      </c>
      <c r="AL91" s="25">
        <f t="shared" si="173"/>
        <v>92.064571225839728</v>
      </c>
      <c r="AM91" s="25">
        <f t="shared" si="173"/>
        <v>93.016773155845357</v>
      </c>
      <c r="AN91" s="25">
        <f t="shared" si="173"/>
        <v>93.966634529930573</v>
      </c>
      <c r="AO91" s="25">
        <f t="shared" si="173"/>
        <v>93.894333561643819</v>
      </c>
      <c r="AP91" s="25">
        <f t="shared" si="173"/>
        <v>91.783960780634246</v>
      </c>
      <c r="AQ91" s="25">
        <f t="shared" si="173"/>
        <v>92.733044816804252</v>
      </c>
      <c r="AR91" s="25">
        <f t="shared" si="173"/>
        <v>93.679788297053832</v>
      </c>
      <c r="AS91" s="25">
        <f t="shared" si="173"/>
        <v>93.607487328767107</v>
      </c>
      <c r="AT91" s="25">
        <f t="shared" si="173"/>
        <v>91.503350335428749</v>
      </c>
      <c r="AU91" s="25">
        <f t="shared" si="173"/>
        <v>92.449316477763148</v>
      </c>
      <c r="AV91" s="25">
        <f t="shared" si="173"/>
        <v>93.392942064177134</v>
      </c>
      <c r="AW91" s="25">
        <f t="shared" si="173"/>
        <v>93.320641095890409</v>
      </c>
      <c r="AX91" s="25">
        <f t="shared" si="173"/>
        <v>91.983731600068296</v>
      </c>
      <c r="AY91" s="25">
        <f t="shared" si="173"/>
        <v>91.913379866803268</v>
      </c>
      <c r="AZ91" s="25">
        <f t="shared" si="173"/>
        <v>92.851510587431662</v>
      </c>
      <c r="BA91" s="25">
        <f t="shared" si="173"/>
        <v>92.77960416666663</v>
      </c>
      <c r="BB91" s="25">
        <f t="shared" si="173"/>
        <v>90.942129445017784</v>
      </c>
      <c r="BC91" s="25">
        <f t="shared" si="173"/>
        <v>91.881859799680953</v>
      </c>
      <c r="BD91" s="25">
        <f t="shared" si="173"/>
        <v>92.81924959842371</v>
      </c>
      <c r="BE91" s="25">
        <f t="shared" si="173"/>
        <v>92.746948630136956</v>
      </c>
      <c r="BF91" s="25">
        <f t="shared" si="173"/>
        <v>90.661518999812316</v>
      </c>
      <c r="BG91" s="25">
        <f t="shared" si="173"/>
        <v>91.598131460639848</v>
      </c>
      <c r="BH91" s="25">
        <f t="shared" si="173"/>
        <v>92.532403365546983</v>
      </c>
      <c r="BI91" s="25">
        <f t="shared" si="173"/>
        <v>92.460102397260258</v>
      </c>
      <c r="BJ91" s="25">
        <f t="shared" si="173"/>
        <v>90.380908554606833</v>
      </c>
      <c r="BK91" s="25">
        <f t="shared" si="173"/>
        <v>91.314403121598758</v>
      </c>
      <c r="BL91" s="25">
        <f t="shared" si="173"/>
        <v>92.245557132670271</v>
      </c>
      <c r="BM91" s="25">
        <f t="shared" si="173"/>
        <v>92.173256164383545</v>
      </c>
      <c r="BN91" s="25">
        <f t="shared" si="173"/>
        <v>90.851919100068272</v>
      </c>
      <c r="BO91" s="25">
        <f t="shared" si="173"/>
        <v>90.781567366803245</v>
      </c>
      <c r="BP91" s="25">
        <f t="shared" si="173"/>
        <v>91.707260587431648</v>
      </c>
      <c r="BQ91" s="25">
        <f t="shared" si="173"/>
        <v>91.63535416666663</v>
      </c>
      <c r="BR91" s="25">
        <f t="shared" si="173"/>
        <v>89.819687664195868</v>
      </c>
      <c r="BS91" s="25">
        <f t="shared" si="173"/>
        <v>90.746946443516563</v>
      </c>
      <c r="BT91" s="25">
        <f t="shared" si="173"/>
        <v>91.671864666916818</v>
      </c>
      <c r="BU91" s="25">
        <f t="shared" si="173"/>
        <v>91.599563698630092</v>
      </c>
      <c r="BV91" s="25">
        <f t="shared" ref="BV91:EG91" si="174">$D91 * BV74 / 1000</f>
        <v>89.539077218990371</v>
      </c>
      <c r="BW91" s="25">
        <f t="shared" si="174"/>
        <v>90.463218104475473</v>
      </c>
      <c r="BX91" s="25">
        <f t="shared" si="174"/>
        <v>91.38501843404012</v>
      </c>
      <c r="BY91" s="25">
        <f t="shared" si="174"/>
        <v>91.312717465753394</v>
      </c>
      <c r="BZ91" s="25">
        <f t="shared" si="174"/>
        <v>89.258466773784889</v>
      </c>
      <c r="CA91" s="25">
        <f t="shared" si="174"/>
        <v>90.179489765434383</v>
      </c>
      <c r="CB91" s="25">
        <f t="shared" si="174"/>
        <v>91.098172201163408</v>
      </c>
      <c r="CC91" s="25">
        <f t="shared" si="174"/>
        <v>91.025871232876668</v>
      </c>
      <c r="CD91" s="25">
        <f t="shared" si="174"/>
        <v>89.720106600068263</v>
      </c>
      <c r="CE91" s="25">
        <f t="shared" si="174"/>
        <v>89.649754866803235</v>
      </c>
      <c r="CF91" s="25">
        <f t="shared" si="174"/>
        <v>90.563010587431634</v>
      </c>
      <c r="CG91" s="25">
        <f t="shared" si="174"/>
        <v>90.491104166666616</v>
      </c>
      <c r="CH91" s="25">
        <f t="shared" si="174"/>
        <v>88.697245883373924</v>
      </c>
      <c r="CI91" s="25">
        <f t="shared" si="174"/>
        <v>89.612033087352174</v>
      </c>
      <c r="CJ91" s="25">
        <f t="shared" si="174"/>
        <v>90.524479735409969</v>
      </c>
      <c r="CK91" s="25">
        <f t="shared" si="174"/>
        <v>90.452178767123243</v>
      </c>
      <c r="CL91" s="25">
        <f t="shared" si="174"/>
        <v>88.416635438168456</v>
      </c>
      <c r="CM91" s="25">
        <f t="shared" si="174"/>
        <v>89.328304748311069</v>
      </c>
      <c r="CN91" s="25">
        <f t="shared" si="174"/>
        <v>90.237633502533271</v>
      </c>
      <c r="CO91" s="25">
        <f t="shared" si="174"/>
        <v>90.165332534246545</v>
      </c>
      <c r="CP91" s="25">
        <f t="shared" si="174"/>
        <v>88.136024992962973</v>
      </c>
      <c r="CQ91" s="25">
        <f t="shared" si="174"/>
        <v>89.044576409269965</v>
      </c>
      <c r="CR91" s="25">
        <f t="shared" si="174"/>
        <v>89.950787269656544</v>
      </c>
      <c r="CS91" s="25">
        <f t="shared" si="174"/>
        <v>89.878486301369819</v>
      </c>
      <c r="CT91" s="25">
        <f t="shared" si="174"/>
        <v>88.588294100068254</v>
      </c>
      <c r="CU91" s="25">
        <f t="shared" si="174"/>
        <v>88.517942366803211</v>
      </c>
      <c r="CV91" s="25">
        <f t="shared" si="174"/>
        <v>89.41876058743162</v>
      </c>
      <c r="CW91" s="25">
        <f t="shared" si="174"/>
        <v>89.346854166666603</v>
      </c>
      <c r="CX91" s="25">
        <f t="shared" si="174"/>
        <v>87.574804102552008</v>
      </c>
      <c r="CY91" s="25">
        <f t="shared" si="174"/>
        <v>88.47711973118777</v>
      </c>
      <c r="CZ91" s="25">
        <f t="shared" si="174"/>
        <v>89.377094803903105</v>
      </c>
      <c r="DA91" s="25">
        <f t="shared" si="174"/>
        <v>89.30479383561638</v>
      </c>
      <c r="DB91" s="25">
        <f t="shared" si="174"/>
        <v>87.294193657346511</v>
      </c>
      <c r="DC91" s="25">
        <f t="shared" si="174"/>
        <v>88.19339139214668</v>
      </c>
      <c r="DD91" s="25">
        <f t="shared" si="174"/>
        <v>89.090248571026407</v>
      </c>
      <c r="DE91" s="25">
        <f t="shared" si="174"/>
        <v>89.017947602739653</v>
      </c>
      <c r="DF91" s="25">
        <f t="shared" si="174"/>
        <v>87.013583212141029</v>
      </c>
      <c r="DG91" s="25">
        <f t="shared" si="174"/>
        <v>87.909663053105589</v>
      </c>
      <c r="DH91" s="25">
        <f t="shared" si="174"/>
        <v>88.803402338149681</v>
      </c>
      <c r="DI91" s="25">
        <f t="shared" si="174"/>
        <v>88.731101369862955</v>
      </c>
      <c r="DJ91" s="25">
        <f t="shared" si="174"/>
        <v>87.45648160006823</v>
      </c>
      <c r="DK91" s="25">
        <f t="shared" si="174"/>
        <v>87.386129866803216</v>
      </c>
      <c r="DL91" s="25">
        <f t="shared" si="174"/>
        <v>88.274510587431607</v>
      </c>
      <c r="DM91" s="25">
        <f t="shared" si="174"/>
        <v>88.202604166666589</v>
      </c>
      <c r="DN91" s="25">
        <f t="shared" si="174"/>
        <v>86.452362321730064</v>
      </c>
      <c r="DO91" s="25">
        <f t="shared" si="174"/>
        <v>87.34220637502338</v>
      </c>
      <c r="DP91" s="25">
        <f t="shared" si="174"/>
        <v>88.229709872396256</v>
      </c>
      <c r="DQ91" s="25">
        <f t="shared" si="174"/>
        <v>88.157408904109531</v>
      </c>
      <c r="DR91" s="25">
        <f t="shared" si="174"/>
        <v>86.171751876524596</v>
      </c>
      <c r="DS91" s="25">
        <f t="shared" si="174"/>
        <v>87.058478035982276</v>
      </c>
      <c r="DT91" s="25">
        <f t="shared" si="174"/>
        <v>87.942863639519544</v>
      </c>
      <c r="DU91" s="25">
        <f t="shared" si="174"/>
        <v>87.87056267123279</v>
      </c>
      <c r="DV91" s="25">
        <f t="shared" si="174"/>
        <v>85.891141431319113</v>
      </c>
      <c r="DW91" s="25">
        <f t="shared" si="174"/>
        <v>86.774749696941171</v>
      </c>
      <c r="DX91" s="25">
        <f t="shared" si="174"/>
        <v>87.656017406642817</v>
      </c>
      <c r="DY91" s="25">
        <f t="shared" si="174"/>
        <v>87.583716438356092</v>
      </c>
      <c r="DZ91" s="25">
        <f t="shared" si="174"/>
        <v>86.32466910006822</v>
      </c>
      <c r="EA91" s="25">
        <f t="shared" si="174"/>
        <v>86.254317366803207</v>
      </c>
      <c r="EB91" s="25">
        <f t="shared" si="174"/>
        <v>87.130260587431607</v>
      </c>
      <c r="EC91" s="25">
        <f t="shared" si="174"/>
        <v>87.058354166666575</v>
      </c>
      <c r="ED91" s="25">
        <f t="shared" si="174"/>
        <v>85.329920540908134</v>
      </c>
      <c r="EE91" s="25">
        <f t="shared" si="174"/>
        <v>86.207293018858977</v>
      </c>
      <c r="EF91" s="25">
        <f t="shared" si="174"/>
        <v>87.082324940889393</v>
      </c>
      <c r="EG91" s="25">
        <f t="shared" si="174"/>
        <v>87.010023972602667</v>
      </c>
      <c r="EH91" s="25">
        <f t="shared" ref="EH91:FM91" si="175">$D91 * EH74 / 1000</f>
        <v>85.049310095702666</v>
      </c>
      <c r="EI91" s="25">
        <f t="shared" si="175"/>
        <v>85.923564679817872</v>
      </c>
      <c r="EJ91" s="25">
        <f t="shared" si="175"/>
        <v>86.795478708012666</v>
      </c>
      <c r="EK91" s="25">
        <f t="shared" si="175"/>
        <v>86.723177739725941</v>
      </c>
      <c r="EL91" s="25">
        <f t="shared" si="175"/>
        <v>84.768699650497169</v>
      </c>
      <c r="EM91" s="25">
        <f t="shared" si="175"/>
        <v>85.639836340776796</v>
      </c>
      <c r="EN91" s="25">
        <f t="shared" si="175"/>
        <v>86.508632475135968</v>
      </c>
      <c r="EO91" s="25">
        <f t="shared" si="175"/>
        <v>86.436331506849243</v>
      </c>
      <c r="EP91" s="25">
        <f t="shared" si="175"/>
        <v>85.192856600068225</v>
      </c>
      <c r="EQ91" s="25">
        <f t="shared" si="175"/>
        <v>85.122504866803197</v>
      </c>
      <c r="ER91" s="25">
        <f t="shared" si="175"/>
        <v>85.986010587431593</v>
      </c>
      <c r="ES91" s="25">
        <f t="shared" si="175"/>
        <v>85.914104166666576</v>
      </c>
      <c r="ET91" s="25">
        <f t="shared" si="175"/>
        <v>84.207478760086218</v>
      </c>
      <c r="EU91" s="25">
        <f t="shared" si="175"/>
        <v>85.072379662694587</v>
      </c>
      <c r="EV91" s="25">
        <f t="shared" si="175"/>
        <v>85.934940009382544</v>
      </c>
      <c r="EW91" s="25">
        <f t="shared" si="175"/>
        <v>85.862639041095804</v>
      </c>
      <c r="EX91" s="25">
        <f t="shared" si="175"/>
        <v>83.926868314880736</v>
      </c>
      <c r="EY91" s="25">
        <f t="shared" si="175"/>
        <v>84.788651323653482</v>
      </c>
      <c r="EZ91" s="25">
        <f t="shared" si="175"/>
        <v>85.648093776505817</v>
      </c>
      <c r="FA91" s="25">
        <f t="shared" si="175"/>
        <v>85.575792808219092</v>
      </c>
      <c r="FB91" s="25">
        <f t="shared" si="175"/>
        <v>0</v>
      </c>
      <c r="FC91" s="25">
        <f t="shared" si="175"/>
        <v>0</v>
      </c>
      <c r="FD91" s="25">
        <f t="shared" si="175"/>
        <v>0</v>
      </c>
      <c r="FE91" s="25">
        <f t="shared" si="175"/>
        <v>0</v>
      </c>
      <c r="FF91" s="25">
        <f t="shared" si="175"/>
        <v>0</v>
      </c>
      <c r="FG91" s="25">
        <f t="shared" si="175"/>
        <v>0</v>
      </c>
      <c r="FH91" s="25">
        <f t="shared" si="175"/>
        <v>0</v>
      </c>
      <c r="FI91" s="25">
        <f t="shared" si="175"/>
        <v>0</v>
      </c>
      <c r="FJ91" s="25">
        <f t="shared" si="175"/>
        <v>0</v>
      </c>
      <c r="FK91" s="25">
        <f t="shared" si="175"/>
        <v>0</v>
      </c>
      <c r="FL91" s="25">
        <f t="shared" si="175"/>
        <v>0</v>
      </c>
      <c r="FM91" s="25">
        <f t="shared" si="175"/>
        <v>0</v>
      </c>
    </row>
    <row r="92" spans="2:169" x14ac:dyDescent="0.25">
      <c r="B92" t="s">
        <v>51</v>
      </c>
      <c r="C92" t="s">
        <v>94</v>
      </c>
      <c r="D92" s="35">
        <f>Stat_Inp!F83</f>
        <v>96</v>
      </c>
      <c r="E92" t="s">
        <v>52</v>
      </c>
      <c r="F92" t="s">
        <v>127</v>
      </c>
      <c r="H92" s="31">
        <f t="shared" si="167"/>
        <v>5995.9193316370065</v>
      </c>
      <c r="I92" s="25">
        <f t="shared" ref="I92:AN92" si="176">I7 * SUM(I12,I14) * $D92 * I23</f>
        <v>0</v>
      </c>
      <c r="J92" s="25">
        <f t="shared" si="176"/>
        <v>0</v>
      </c>
      <c r="K92" s="25">
        <f t="shared" si="176"/>
        <v>8.4469479452054799</v>
      </c>
      <c r="L92" s="25">
        <f t="shared" si="176"/>
        <v>25.068361643835619</v>
      </c>
      <c r="M92" s="25">
        <f t="shared" si="176"/>
        <v>25.068361643835619</v>
      </c>
      <c r="N92" s="25">
        <f t="shared" si="176"/>
        <v>25.308145972602741</v>
      </c>
      <c r="O92" s="25">
        <f t="shared" si="176"/>
        <v>25.58934759452055</v>
      </c>
      <c r="P92" s="25">
        <f t="shared" si="176"/>
        <v>25.870549216438359</v>
      </c>
      <c r="Q92" s="25">
        <f t="shared" si="176"/>
        <v>25.870549216438359</v>
      </c>
      <c r="R92" s="25">
        <f t="shared" si="176"/>
        <v>26.285014284590169</v>
      </c>
      <c r="S92" s="25">
        <f t="shared" si="176"/>
        <v>26.285014284590169</v>
      </c>
      <c r="T92" s="25">
        <f t="shared" si="176"/>
        <v>26.57386059540984</v>
      </c>
      <c r="U92" s="25">
        <f t="shared" si="176"/>
        <v>26.57386059540984</v>
      </c>
      <c r="V92" s="25">
        <f t="shared" si="176"/>
        <v>26.849412062334249</v>
      </c>
      <c r="W92" s="25">
        <f t="shared" si="176"/>
        <v>27.147738863026856</v>
      </c>
      <c r="X92" s="25">
        <f t="shared" si="176"/>
        <v>27.446065663719459</v>
      </c>
      <c r="Y92" s="25">
        <f t="shared" si="176"/>
        <v>27.446065663719459</v>
      </c>
      <c r="Z92" s="25">
        <f t="shared" si="176"/>
        <v>27.520647363892607</v>
      </c>
      <c r="AA92" s="25">
        <f t="shared" si="176"/>
        <v>27.826432334602526</v>
      </c>
      <c r="AB92" s="25">
        <f t="shared" si="176"/>
        <v>28.132217305312444</v>
      </c>
      <c r="AC92" s="25">
        <f t="shared" si="176"/>
        <v>28.132217305312444</v>
      </c>
      <c r="AD92" s="25">
        <f t="shared" si="176"/>
        <v>28.208663547989918</v>
      </c>
      <c r="AE92" s="25">
        <f t="shared" si="176"/>
        <v>28.522093142967588</v>
      </c>
      <c r="AF92" s="25">
        <f t="shared" si="176"/>
        <v>28.835522737945251</v>
      </c>
      <c r="AG92" s="25">
        <f t="shared" si="176"/>
        <v>28.835522737945251</v>
      </c>
      <c r="AH92" s="25">
        <f t="shared" si="176"/>
        <v>29.155268024898216</v>
      </c>
      <c r="AI92" s="25">
        <f t="shared" si="176"/>
        <v>29.155268024898216</v>
      </c>
      <c r="AJ92" s="25">
        <f t="shared" si="176"/>
        <v>29.475655585611381</v>
      </c>
      <c r="AK92" s="25">
        <f t="shared" si="176"/>
        <v>29.475655585611381</v>
      </c>
      <c r="AL92" s="25">
        <f t="shared" si="176"/>
        <v>29.636727140106906</v>
      </c>
      <c r="AM92" s="25">
        <f t="shared" si="176"/>
        <v>29.966024108330316</v>
      </c>
      <c r="AN92" s="25">
        <f t="shared" si="176"/>
        <v>30.295321076553726</v>
      </c>
      <c r="AO92" s="25">
        <f t="shared" ref="AO92:BT92" si="177">AO7 * SUM(AO12,AO14) * $D92 * AO23</f>
        <v>30.295321076553726</v>
      </c>
      <c r="AP92" s="25">
        <f t="shared" si="177"/>
        <v>30.377645318609574</v>
      </c>
      <c r="AQ92" s="25">
        <f t="shared" si="177"/>
        <v>30.715174711038575</v>
      </c>
      <c r="AR92" s="25">
        <f t="shared" si="177"/>
        <v>31.052704103467569</v>
      </c>
      <c r="AS92" s="25">
        <f t="shared" si="177"/>
        <v>31.052704103467569</v>
      </c>
      <c r="AT92" s="25">
        <f t="shared" si="177"/>
        <v>31.137086451574813</v>
      </c>
      <c r="AU92" s="25">
        <f t="shared" si="177"/>
        <v>31.483054078814536</v>
      </c>
      <c r="AV92" s="25">
        <f t="shared" si="177"/>
        <v>31.829021706054256</v>
      </c>
      <c r="AW92" s="25">
        <f t="shared" si="177"/>
        <v>31.829021706054256</v>
      </c>
      <c r="AX92" s="25">
        <f t="shared" si="177"/>
        <v>32.181960675509529</v>
      </c>
      <c r="AY92" s="25">
        <f t="shared" si="177"/>
        <v>32.181960675509529</v>
      </c>
      <c r="AZ92" s="25">
        <f t="shared" si="177"/>
        <v>32.535608595020619</v>
      </c>
      <c r="BA92" s="25">
        <f t="shared" si="177"/>
        <v>32.535608595020619</v>
      </c>
      <c r="BB92" s="25">
        <f t="shared" si="177"/>
        <v>32.713401453185782</v>
      </c>
      <c r="BC92" s="25">
        <f t="shared" si="177"/>
        <v>33.076883691554521</v>
      </c>
      <c r="BD92" s="25">
        <f t="shared" si="177"/>
        <v>33.440365929923246</v>
      </c>
      <c r="BE92" s="25">
        <f t="shared" si="177"/>
        <v>33.440365929923246</v>
      </c>
      <c r="BF92" s="25">
        <f t="shared" si="177"/>
        <v>33.531236489515422</v>
      </c>
      <c r="BG92" s="25">
        <f t="shared" si="177"/>
        <v>33.903805783843374</v>
      </c>
      <c r="BH92" s="25">
        <f t="shared" si="177"/>
        <v>34.27637507817132</v>
      </c>
      <c r="BI92" s="25">
        <f t="shared" si="177"/>
        <v>34.27637507817132</v>
      </c>
      <c r="BJ92" s="25">
        <f t="shared" si="177"/>
        <v>34.369517401753306</v>
      </c>
      <c r="BK92" s="25">
        <f t="shared" si="177"/>
        <v>34.751400928439452</v>
      </c>
      <c r="BL92" s="25">
        <f t="shared" si="177"/>
        <v>35.133284455125604</v>
      </c>
      <c r="BM92" s="25">
        <f t="shared" si="177"/>
        <v>35.133284455125604</v>
      </c>
      <c r="BN92" s="25">
        <f t="shared" si="177"/>
        <v>35.522863039214236</v>
      </c>
      <c r="BO92" s="25">
        <f t="shared" si="177"/>
        <v>35.522863039214236</v>
      </c>
      <c r="BP92" s="25">
        <f t="shared" si="177"/>
        <v>35.913224171513292</v>
      </c>
      <c r="BQ92" s="25">
        <f t="shared" si="177"/>
        <v>35.913224171513292</v>
      </c>
      <c r="BR92" s="25">
        <f t="shared" si="177"/>
        <v>36.109474220217059</v>
      </c>
      <c r="BS92" s="25">
        <f t="shared" si="177"/>
        <v>36.510690600441698</v>
      </c>
      <c r="BT92" s="25">
        <f t="shared" si="177"/>
        <v>36.91190698066633</v>
      </c>
      <c r="BU92" s="25">
        <f t="shared" ref="BU92:CZ92" si="178">BU7 * SUM(BU12,BU14) * $D92 * BU23</f>
        <v>36.91190698066633</v>
      </c>
      <c r="BV92" s="25">
        <f t="shared" si="178"/>
        <v>37.012211075722483</v>
      </c>
      <c r="BW92" s="25">
        <f t="shared" si="178"/>
        <v>37.42345786545274</v>
      </c>
      <c r="BX92" s="25">
        <f t="shared" si="178"/>
        <v>37.834704655182989</v>
      </c>
      <c r="BY92" s="25">
        <f t="shared" si="178"/>
        <v>37.834704655182989</v>
      </c>
      <c r="BZ92" s="25">
        <f t="shared" si="178"/>
        <v>37.937516352615539</v>
      </c>
      <c r="CA92" s="25">
        <f t="shared" si="178"/>
        <v>38.359044312089054</v>
      </c>
      <c r="CB92" s="25">
        <f t="shared" si="178"/>
        <v>38.780572271562555</v>
      </c>
      <c r="CC92" s="25">
        <f t="shared" si="178"/>
        <v>38.780572271562555</v>
      </c>
      <c r="CD92" s="25">
        <f t="shared" si="178"/>
        <v>39.210594134591027</v>
      </c>
      <c r="CE92" s="25">
        <f t="shared" si="178"/>
        <v>39.210594134591027</v>
      </c>
      <c r="CF92" s="25">
        <f t="shared" si="178"/>
        <v>39.641479784421691</v>
      </c>
      <c r="CG92" s="25">
        <f t="shared" si="178"/>
        <v>39.641479784421691</v>
      </c>
      <c r="CH92" s="25">
        <f t="shared" si="178"/>
        <v>39.858103117966699</v>
      </c>
      <c r="CI92" s="25">
        <f t="shared" si="178"/>
        <v>40.300970930388551</v>
      </c>
      <c r="CJ92" s="25">
        <f t="shared" si="178"/>
        <v>40.743838742810404</v>
      </c>
      <c r="CK92" s="25">
        <f t="shared" si="178"/>
        <v>40.743838742810404</v>
      </c>
      <c r="CL92" s="25">
        <f t="shared" si="178"/>
        <v>40.854555695915856</v>
      </c>
      <c r="CM92" s="25">
        <f t="shared" si="178"/>
        <v>41.308495203648263</v>
      </c>
      <c r="CN92" s="25">
        <f t="shared" si="178"/>
        <v>41.762434711380656</v>
      </c>
      <c r="CO92" s="25">
        <f t="shared" si="178"/>
        <v>41.762434711380656</v>
      </c>
      <c r="CP92" s="25">
        <f t="shared" si="178"/>
        <v>41.875919588313756</v>
      </c>
      <c r="CQ92" s="25">
        <f t="shared" si="178"/>
        <v>42.341207583739468</v>
      </c>
      <c r="CR92" s="25">
        <f t="shared" si="178"/>
        <v>42.806495579165173</v>
      </c>
      <c r="CS92" s="25">
        <f t="shared" si="178"/>
        <v>42.806495579165173</v>
      </c>
      <c r="CT92" s="25">
        <f t="shared" si="178"/>
        <v>43.281159254826576</v>
      </c>
      <c r="CU92" s="25">
        <f t="shared" si="178"/>
        <v>43.281159254826576</v>
      </c>
      <c r="CV92" s="25">
        <f t="shared" si="178"/>
        <v>43.756776389494995</v>
      </c>
      <c r="CW92" s="25">
        <f t="shared" si="178"/>
        <v>43.756776389494995</v>
      </c>
      <c r="CX92" s="25">
        <f t="shared" si="178"/>
        <v>43.995888017472133</v>
      </c>
      <c r="CY92" s="25">
        <f t="shared" si="178"/>
        <v>44.484731217666273</v>
      </c>
      <c r="CZ92" s="25">
        <f t="shared" si="178"/>
        <v>44.973574417860405</v>
      </c>
      <c r="DA92" s="25">
        <f t="shared" ref="DA92:EF92" si="179">DA7 * SUM(DA12,DA14) * $D92 * DA23</f>
        <v>44.973574417860405</v>
      </c>
      <c r="DB92" s="25">
        <f t="shared" si="179"/>
        <v>45.095785217908933</v>
      </c>
      <c r="DC92" s="25">
        <f t="shared" si="179"/>
        <v>45.596849498107929</v>
      </c>
      <c r="DD92" s="25">
        <f t="shared" si="179"/>
        <v>46.097913778306911</v>
      </c>
      <c r="DE92" s="25">
        <f t="shared" si="179"/>
        <v>46.097913778306911</v>
      </c>
      <c r="DF92" s="25">
        <f t="shared" si="179"/>
        <v>46.223179848356658</v>
      </c>
      <c r="DG92" s="25">
        <f t="shared" si="179"/>
        <v>46.736770735560619</v>
      </c>
      <c r="DH92" s="25">
        <f t="shared" si="179"/>
        <v>47.250361622764579</v>
      </c>
      <c r="DI92" s="25">
        <f t="shared" si="179"/>
        <v>47.250361622764579</v>
      </c>
      <c r="DJ92" s="25">
        <f t="shared" si="179"/>
        <v>47.774301506671087</v>
      </c>
      <c r="DK92" s="25">
        <f t="shared" si="179"/>
        <v>47.774301506671087</v>
      </c>
      <c r="DL92" s="25">
        <f t="shared" si="179"/>
        <v>48.299293830920206</v>
      </c>
      <c r="DM92" s="25">
        <f t="shared" si="179"/>
        <v>48.299293830920206</v>
      </c>
      <c r="DN92" s="25">
        <f t="shared" si="179"/>
        <v>48.563228328179697</v>
      </c>
      <c r="DO92" s="25">
        <f t="shared" si="179"/>
        <v>49.102819754048369</v>
      </c>
      <c r="DP92" s="25">
        <f t="shared" si="179"/>
        <v>49.642411179917026</v>
      </c>
      <c r="DQ92" s="25">
        <f t="shared" si="179"/>
        <v>49.642411179917026</v>
      </c>
      <c r="DR92" s="25">
        <f t="shared" si="179"/>
        <v>49.777309036384189</v>
      </c>
      <c r="DS92" s="25">
        <f t="shared" si="179"/>
        <v>50.330390247899572</v>
      </c>
      <c r="DT92" s="25">
        <f t="shared" si="179"/>
        <v>50.883471459414949</v>
      </c>
      <c r="DU92" s="25">
        <f t="shared" si="179"/>
        <v>50.883471459414949</v>
      </c>
      <c r="DV92" s="25">
        <f t="shared" si="179"/>
        <v>51.021741762293786</v>
      </c>
      <c r="DW92" s="25">
        <f t="shared" si="179"/>
        <v>51.588650004097055</v>
      </c>
      <c r="DX92" s="25">
        <f t="shared" si="179"/>
        <v>52.155558245900316</v>
      </c>
      <c r="DY92" s="25">
        <f t="shared" si="179"/>
        <v>52.155558245900316</v>
      </c>
      <c r="DZ92" s="25">
        <f t="shared" si="179"/>
        <v>52.733889843668877</v>
      </c>
      <c r="EA92" s="25">
        <f t="shared" si="179"/>
        <v>52.733889843668877</v>
      </c>
      <c r="EB92" s="25">
        <f t="shared" si="179"/>
        <v>53.313383138654238</v>
      </c>
      <c r="EC92" s="25">
        <f t="shared" si="179"/>
        <v>53.313383138654238</v>
      </c>
      <c r="ED92" s="25">
        <f t="shared" si="179"/>
        <v>53.604717439009896</v>
      </c>
      <c r="EE92" s="25">
        <f t="shared" si="179"/>
        <v>54.200325410554456</v>
      </c>
      <c r="EF92" s="25">
        <f t="shared" si="179"/>
        <v>54.795933382099008</v>
      </c>
      <c r="EG92" s="25">
        <f t="shared" ref="EG92:FM92" si="180">EG7 * SUM(EG12,EG14) * $D92 * EG23</f>
        <v>54.795933382099008</v>
      </c>
      <c r="EH92" s="25">
        <f t="shared" si="180"/>
        <v>54.944835374985139</v>
      </c>
      <c r="EI92" s="25">
        <f t="shared" si="180"/>
        <v>55.555333545818314</v>
      </c>
      <c r="EJ92" s="25">
        <f t="shared" si="180"/>
        <v>56.165831716651482</v>
      </c>
      <c r="EK92" s="25">
        <f t="shared" si="180"/>
        <v>56.165831716651482</v>
      </c>
      <c r="EL92" s="25">
        <f t="shared" si="180"/>
        <v>56.318456259359763</v>
      </c>
      <c r="EM92" s="25">
        <f t="shared" si="180"/>
        <v>56.944216884463764</v>
      </c>
      <c r="EN92" s="25">
        <f t="shared" si="180"/>
        <v>57.569977509567757</v>
      </c>
      <c r="EO92" s="25">
        <f t="shared" si="180"/>
        <v>57.569977509567757</v>
      </c>
      <c r="EP92" s="25">
        <f t="shared" si="180"/>
        <v>58.208347382240447</v>
      </c>
      <c r="EQ92" s="25">
        <f t="shared" si="180"/>
        <v>58.208347382240447</v>
      </c>
      <c r="ER92" s="25">
        <f t="shared" si="180"/>
        <v>58.847999551276054</v>
      </c>
      <c r="ES92" s="25">
        <f t="shared" si="180"/>
        <v>58.847999551276054</v>
      </c>
      <c r="ET92" s="25">
        <f t="shared" si="180"/>
        <v>59.169578107489833</v>
      </c>
      <c r="EU92" s="25">
        <f t="shared" si="180"/>
        <v>59.827017864239728</v>
      </c>
      <c r="EV92" s="25">
        <f t="shared" si="180"/>
        <v>60.484457620989616</v>
      </c>
      <c r="EW92" s="25">
        <f t="shared" si="180"/>
        <v>60.484457620989616</v>
      </c>
      <c r="EX92" s="25">
        <f t="shared" si="180"/>
        <v>60.648817560177079</v>
      </c>
      <c r="EY92" s="25">
        <f t="shared" si="180"/>
        <v>61.322693310845722</v>
      </c>
      <c r="EZ92" s="25">
        <f t="shared" si="180"/>
        <v>61.99656906151435</v>
      </c>
      <c r="FA92" s="25">
        <f t="shared" si="180"/>
        <v>61.99656906151435</v>
      </c>
      <c r="FB92" s="25">
        <f t="shared" si="180"/>
        <v>0</v>
      </c>
      <c r="FC92" s="25">
        <f t="shared" si="180"/>
        <v>0</v>
      </c>
      <c r="FD92" s="25">
        <f t="shared" si="180"/>
        <v>0</v>
      </c>
      <c r="FE92" s="25">
        <f t="shared" si="180"/>
        <v>0</v>
      </c>
      <c r="FF92" s="25">
        <f t="shared" si="180"/>
        <v>0</v>
      </c>
      <c r="FG92" s="25">
        <f t="shared" si="180"/>
        <v>0</v>
      </c>
      <c r="FH92" s="25">
        <f t="shared" si="180"/>
        <v>0</v>
      </c>
      <c r="FI92" s="25">
        <f t="shared" si="180"/>
        <v>0</v>
      </c>
      <c r="FJ92" s="25">
        <f t="shared" si="180"/>
        <v>0</v>
      </c>
      <c r="FK92" s="25">
        <f t="shared" si="180"/>
        <v>0</v>
      </c>
      <c r="FL92" s="25">
        <f t="shared" si="180"/>
        <v>0</v>
      </c>
      <c r="FM92" s="25">
        <f t="shared" si="180"/>
        <v>0</v>
      </c>
    </row>
    <row r="93" spans="2:169" x14ac:dyDescent="0.25">
      <c r="B93" s="29" t="s">
        <v>129</v>
      </c>
      <c r="C93" s="29" t="s">
        <v>94</v>
      </c>
      <c r="D93" s="37"/>
      <c r="E93" s="29"/>
      <c r="F93" s="29"/>
      <c r="G93" s="29"/>
      <c r="H93" s="32">
        <f t="shared" ref="H93" si="181">SUM(I93:FM93)</f>
        <v>74149.668058001524</v>
      </c>
      <c r="I93" s="30">
        <f>SUM(I90:I92)</f>
        <v>0</v>
      </c>
      <c r="J93" s="30">
        <f t="shared" ref="J93:BU93" si="182">SUM(J90:J92)</f>
        <v>0</v>
      </c>
      <c r="K93" s="30">
        <f t="shared" si="182"/>
        <v>8.4469479452054799</v>
      </c>
      <c r="L93" s="30">
        <f t="shared" si="182"/>
        <v>25.068361643835619</v>
      </c>
      <c r="M93" s="30">
        <f t="shared" si="182"/>
        <v>25.068361643835619</v>
      </c>
      <c r="N93" s="30">
        <f t="shared" si="182"/>
        <v>25.308145972602741</v>
      </c>
      <c r="O93" s="30">
        <f t="shared" si="182"/>
        <v>25.58934759452055</v>
      </c>
      <c r="P93" s="30">
        <f t="shared" si="182"/>
        <v>25.870549216438359</v>
      </c>
      <c r="Q93" s="30">
        <f t="shared" si="182"/>
        <v>140.95351379923289</v>
      </c>
      <c r="R93" s="30">
        <f t="shared" si="182"/>
        <v>370.39333583825851</v>
      </c>
      <c r="S93" s="30">
        <f t="shared" si="182"/>
        <v>370.32298410499345</v>
      </c>
      <c r="T93" s="30">
        <f t="shared" si="182"/>
        <v>374.32056102604156</v>
      </c>
      <c r="U93" s="30">
        <f t="shared" si="182"/>
        <v>374.24865460527656</v>
      </c>
      <c r="V93" s="30">
        <f t="shared" si="182"/>
        <v>375.26246123153487</v>
      </c>
      <c r="W93" s="30">
        <f t="shared" si="182"/>
        <v>379.3613063838261</v>
      </c>
      <c r="X93" s="30">
        <f t="shared" si="182"/>
        <v>383.45781098019677</v>
      </c>
      <c r="Y93" s="30">
        <f t="shared" si="182"/>
        <v>383.38551001191007</v>
      </c>
      <c r="Z93" s="30">
        <f t="shared" si="182"/>
        <v>382.03373699195117</v>
      </c>
      <c r="AA93" s="30">
        <f t="shared" si="182"/>
        <v>386.20781854158042</v>
      </c>
      <c r="AB93" s="30">
        <f t="shared" si="182"/>
        <v>390.37955953528905</v>
      </c>
      <c r="AC93" s="30">
        <f t="shared" si="182"/>
        <v>390.30725856700235</v>
      </c>
      <c r="AD93" s="30">
        <f t="shared" si="182"/>
        <v>388.98130990750815</v>
      </c>
      <c r="AE93" s="30">
        <f t="shared" si="182"/>
        <v>393.23258671175461</v>
      </c>
      <c r="AF93" s="30">
        <f t="shared" si="182"/>
        <v>397.4815229600805</v>
      </c>
      <c r="AG93" s="30">
        <f t="shared" si="182"/>
        <v>397.4092219917938</v>
      </c>
      <c r="AH93" s="30">
        <f t="shared" si="182"/>
        <v>399.41593075831145</v>
      </c>
      <c r="AI93" s="30">
        <f t="shared" si="182"/>
        <v>399.34557902504639</v>
      </c>
      <c r="AJ93" s="30">
        <f t="shared" si="182"/>
        <v>403.66208556060059</v>
      </c>
      <c r="AK93" s="30">
        <f t="shared" si="182"/>
        <v>403.59017913983558</v>
      </c>
      <c r="AL93" s="30">
        <f t="shared" si="182"/>
        <v>403.42308710527948</v>
      </c>
      <c r="AM93" s="30">
        <f t="shared" si="182"/>
        <v>407.8348281006123</v>
      </c>
      <c r="AN93" s="30">
        <f t="shared" si="182"/>
        <v>412.24422854002461</v>
      </c>
      <c r="AO93" s="30">
        <f t="shared" si="182"/>
        <v>412.17192757173785</v>
      </c>
      <c r="AP93" s="30">
        <f t="shared" si="182"/>
        <v>410.92643955705995</v>
      </c>
      <c r="AQ93" s="30">
        <f t="shared" si="182"/>
        <v>415.42155113519033</v>
      </c>
      <c r="AR93" s="30">
        <f t="shared" si="182"/>
        <v>419.91432215740025</v>
      </c>
      <c r="AS93" s="30">
        <f t="shared" si="182"/>
        <v>419.8420211891135</v>
      </c>
      <c r="AT93" s="30">
        <f t="shared" si="182"/>
        <v>418.62439108126517</v>
      </c>
      <c r="AU93" s="30">
        <f t="shared" si="182"/>
        <v>423.2050354541089</v>
      </c>
      <c r="AV93" s="30">
        <f t="shared" si="182"/>
        <v>427.78333927103216</v>
      </c>
      <c r="AW93" s="30">
        <f t="shared" si="182"/>
        <v>427.71103830274546</v>
      </c>
      <c r="AX93" s="30">
        <f t="shared" si="182"/>
        <v>430.08204679685883</v>
      </c>
      <c r="AY93" s="30">
        <f t="shared" si="182"/>
        <v>430.01169506359378</v>
      </c>
      <c r="AZ93" s="30">
        <f t="shared" si="182"/>
        <v>434.66519188528582</v>
      </c>
      <c r="BA93" s="30">
        <f t="shared" si="182"/>
        <v>434.59328546452076</v>
      </c>
      <c r="BB93" s="30">
        <f t="shared" si="182"/>
        <v>434.62367287861207</v>
      </c>
      <c r="BC93" s="30">
        <f t="shared" si="182"/>
        <v>439.38208704920419</v>
      </c>
      <c r="BD93" s="30">
        <f t="shared" si="182"/>
        <v>444.13816066387574</v>
      </c>
      <c r="BE93" s="30">
        <f t="shared" si="182"/>
        <v>444.06585969558898</v>
      </c>
      <c r="BF93" s="30">
        <f t="shared" si="182"/>
        <v>442.93510101924642</v>
      </c>
      <c r="BG93" s="30">
        <f t="shared" si="182"/>
        <v>447.78586439140111</v>
      </c>
      <c r="BH93" s="30">
        <f t="shared" si="182"/>
        <v>452.63428720763528</v>
      </c>
      <c r="BI93" s="30">
        <f t="shared" si="182"/>
        <v>452.56198623934853</v>
      </c>
      <c r="BJ93" s="30">
        <f t="shared" si="182"/>
        <v>451.46133012452674</v>
      </c>
      <c r="BK93" s="30">
        <f t="shared" si="182"/>
        <v>456.40682937562894</v>
      </c>
      <c r="BL93" s="30">
        <f t="shared" si="182"/>
        <v>461.3499880708107</v>
      </c>
      <c r="BM93" s="30">
        <f t="shared" si="182"/>
        <v>461.27768710252394</v>
      </c>
      <c r="BN93" s="30">
        <f t="shared" si="182"/>
        <v>464.04919771287985</v>
      </c>
      <c r="BO93" s="30">
        <f t="shared" si="182"/>
        <v>463.97884597961485</v>
      </c>
      <c r="BP93" s="30">
        <f t="shared" si="182"/>
        <v>469.00560819598843</v>
      </c>
      <c r="BQ93" s="30">
        <f t="shared" si="182"/>
        <v>468.93370177522343</v>
      </c>
      <c r="BR93" s="30">
        <f t="shared" si="182"/>
        <v>469.17980557609292</v>
      </c>
      <c r="BS93" s="30">
        <f t="shared" si="182"/>
        <v>474.32217677665699</v>
      </c>
      <c r="BT93" s="30">
        <f t="shared" si="182"/>
        <v>479.46220742130055</v>
      </c>
      <c r="BU93" s="30">
        <f t="shared" si="182"/>
        <v>479.38990645301385</v>
      </c>
      <c r="BV93" s="30">
        <f t="shared" ref="BV93:EG93" si="183">SUM(BV90:BV92)</f>
        <v>478.38319807868481</v>
      </c>
      <c r="BW93" s="30">
        <f t="shared" si="183"/>
        <v>483.6278291959444</v>
      </c>
      <c r="BX93" s="30">
        <f t="shared" si="183"/>
        <v>488.87011975728336</v>
      </c>
      <c r="BY93" s="30">
        <f t="shared" si="183"/>
        <v>488.79781878899666</v>
      </c>
      <c r="BZ93" s="30">
        <f t="shared" si="183"/>
        <v>487.82369065497164</v>
      </c>
      <c r="CA93" s="30">
        <f t="shared" si="183"/>
        <v>493.17321613418994</v>
      </c>
      <c r="CB93" s="30">
        <f t="shared" si="183"/>
        <v>498.52040105748773</v>
      </c>
      <c r="CC93" s="30">
        <f t="shared" si="183"/>
        <v>498.44810008920103</v>
      </c>
      <c r="CD93" s="30">
        <f t="shared" si="183"/>
        <v>501.66007347905918</v>
      </c>
      <c r="CE93" s="30">
        <f t="shared" si="183"/>
        <v>501.58972174579412</v>
      </c>
      <c r="CF93" s="30">
        <f t="shared" si="183"/>
        <v>507.02979028926859</v>
      </c>
      <c r="CG93" s="30">
        <f t="shared" si="183"/>
        <v>506.95788386850359</v>
      </c>
      <c r="CH93" s="30">
        <f t="shared" si="183"/>
        <v>507.43983422354569</v>
      </c>
      <c r="CI93" s="30">
        <f t="shared" si="183"/>
        <v>513.00731685352594</v>
      </c>
      <c r="CJ93" s="30">
        <f t="shared" si="183"/>
        <v>518.57245892758567</v>
      </c>
      <c r="CK93" s="30">
        <f t="shared" si="183"/>
        <v>518.50015795929892</v>
      </c>
      <c r="CL93" s="30">
        <f t="shared" si="183"/>
        <v>517.62778848684445</v>
      </c>
      <c r="CM93" s="30">
        <f t="shared" si="183"/>
        <v>523.30847060863914</v>
      </c>
      <c r="CN93" s="30">
        <f t="shared" si="183"/>
        <v>528.98681217451337</v>
      </c>
      <c r="CO93" s="30">
        <f t="shared" si="183"/>
        <v>528.91451120622662</v>
      </c>
      <c r="CP93" s="30">
        <f t="shared" si="183"/>
        <v>528.07745686785586</v>
      </c>
      <c r="CQ93" s="30">
        <f t="shared" si="183"/>
        <v>533.87424641610619</v>
      </c>
      <c r="CR93" s="30">
        <f t="shared" si="183"/>
        <v>539.66869540843607</v>
      </c>
      <c r="CS93" s="30">
        <f t="shared" si="183"/>
        <v>539.59639444014931</v>
      </c>
      <c r="CT93" s="30">
        <f t="shared" si="183"/>
        <v>543.29293970473384</v>
      </c>
      <c r="CU93" s="30">
        <f t="shared" si="183"/>
        <v>543.22258797146878</v>
      </c>
      <c r="CV93" s="30">
        <f t="shared" si="183"/>
        <v>549.12016053940124</v>
      </c>
      <c r="CW93" s="30">
        <f t="shared" si="183"/>
        <v>549.04825411863624</v>
      </c>
      <c r="CX93" s="30">
        <f t="shared" si="183"/>
        <v>549.78827096611121</v>
      </c>
      <c r="CY93" s="30">
        <f t="shared" si="183"/>
        <v>555.82629178212005</v>
      </c>
      <c r="CZ93" s="30">
        <f t="shared" si="183"/>
        <v>561.86197204220821</v>
      </c>
      <c r="DA93" s="30">
        <f t="shared" si="183"/>
        <v>561.78967107392145</v>
      </c>
      <c r="DB93" s="30">
        <f t="shared" si="183"/>
        <v>561.06299719249466</v>
      </c>
      <c r="DC93" s="30">
        <f t="shared" si="183"/>
        <v>567.22629274435235</v>
      </c>
      <c r="DD93" s="30">
        <f t="shared" si="183"/>
        <v>573.38724774028913</v>
      </c>
      <c r="DE93" s="30">
        <f t="shared" si="183"/>
        <v>573.31494677200237</v>
      </c>
      <c r="DF93" s="30">
        <f t="shared" si="183"/>
        <v>572.62660683566787</v>
      </c>
      <c r="DG93" s="30">
        <f t="shared" si="183"/>
        <v>578.91838693911632</v>
      </c>
      <c r="DH93" s="30">
        <f t="shared" si="183"/>
        <v>585.20782648664397</v>
      </c>
      <c r="DI93" s="30">
        <f t="shared" si="183"/>
        <v>585.13552551835721</v>
      </c>
      <c r="DJ93" s="30">
        <f t="shared" si="183"/>
        <v>589.36533084557016</v>
      </c>
      <c r="DK93" s="30">
        <f t="shared" si="183"/>
        <v>589.29497911230521</v>
      </c>
      <c r="DL93" s="30">
        <f t="shared" si="183"/>
        <v>595.69884169277418</v>
      </c>
      <c r="DM93" s="30">
        <f t="shared" si="183"/>
        <v>595.62693527200918</v>
      </c>
      <c r="DN93" s="30">
        <f t="shared" si="183"/>
        <v>596.64954526619795</v>
      </c>
      <c r="DO93" s="30">
        <f t="shared" si="183"/>
        <v>603.20824690776328</v>
      </c>
      <c r="DP93" s="30">
        <f t="shared" si="183"/>
        <v>609.76460799340805</v>
      </c>
      <c r="DQ93" s="30">
        <f t="shared" si="183"/>
        <v>609.69230702512129</v>
      </c>
      <c r="DR93" s="30">
        <f t="shared" si="183"/>
        <v>609.12386439460408</v>
      </c>
      <c r="DS93" s="30">
        <f t="shared" si="183"/>
        <v>615.82116958204062</v>
      </c>
      <c r="DT93" s="30">
        <f t="shared" si="183"/>
        <v>622.5161342135566</v>
      </c>
      <c r="DU93" s="30">
        <f t="shared" si="183"/>
        <v>622.44383324526984</v>
      </c>
      <c r="DV93" s="30">
        <f t="shared" si="183"/>
        <v>621.91705676235063</v>
      </c>
      <c r="DW93" s="30">
        <f t="shared" si="183"/>
        <v>628.75650853165087</v>
      </c>
      <c r="DX93" s="30">
        <f t="shared" si="183"/>
        <v>635.59361974503065</v>
      </c>
      <c r="DY93" s="30">
        <f t="shared" si="183"/>
        <v>635.52131877674401</v>
      </c>
      <c r="DZ93" s="30">
        <f t="shared" si="183"/>
        <v>640.33812681601285</v>
      </c>
      <c r="EA93" s="30">
        <f t="shared" si="183"/>
        <v>640.26777508274779</v>
      </c>
      <c r="EB93" s="30">
        <f t="shared" si="183"/>
        <v>647.23177827827669</v>
      </c>
      <c r="EC93" s="30">
        <f t="shared" si="183"/>
        <v>647.15987185751169</v>
      </c>
      <c r="ED93" s="30">
        <f t="shared" si="183"/>
        <v>648.49214783557284</v>
      </c>
      <c r="EE93" s="30">
        <f t="shared" si="183"/>
        <v>655.62687839457567</v>
      </c>
      <c r="EF93" s="30">
        <f t="shared" si="183"/>
        <v>662.75926839765793</v>
      </c>
      <c r="EG93" s="30">
        <f t="shared" si="183"/>
        <v>662.68696742937118</v>
      </c>
      <c r="EH93" s="30">
        <f t="shared" ref="EH93:FM93" si="184">SUM(EH90:EH92)</f>
        <v>662.29059307273405</v>
      </c>
      <c r="EI93" s="30">
        <f t="shared" si="184"/>
        <v>669.57863968992751</v>
      </c>
      <c r="EJ93" s="30">
        <f t="shared" si="184"/>
        <v>676.8643457512004</v>
      </c>
      <c r="EK93" s="30">
        <f t="shared" si="184"/>
        <v>676.79204478291365</v>
      </c>
      <c r="EL93" s="30">
        <f t="shared" si="184"/>
        <v>676.44101470195426</v>
      </c>
      <c r="EM93" s="30">
        <f t="shared" si="184"/>
        <v>683.88628822613919</v>
      </c>
      <c r="EN93" s="30">
        <f t="shared" si="184"/>
        <v>691.32922119440332</v>
      </c>
      <c r="EO93" s="30">
        <f t="shared" si="184"/>
        <v>691.25692022611656</v>
      </c>
      <c r="EP93" s="30">
        <f t="shared" si="184"/>
        <v>696.72005280665599</v>
      </c>
      <c r="EQ93" s="30">
        <f t="shared" si="184"/>
        <v>696.64970107339104</v>
      </c>
      <c r="ER93" s="30">
        <f t="shared" si="184"/>
        <v>704.23328587321271</v>
      </c>
      <c r="ES93" s="30">
        <f t="shared" si="184"/>
        <v>704.1613794524477</v>
      </c>
      <c r="ET93" s="30">
        <f t="shared" si="184"/>
        <v>705.83320476102324</v>
      </c>
      <c r="EU93" s="30">
        <f t="shared" si="184"/>
        <v>713.60505817475314</v>
      </c>
      <c r="EV93" s="30">
        <f t="shared" si="184"/>
        <v>721.3745710325627</v>
      </c>
      <c r="EW93" s="30">
        <f t="shared" si="184"/>
        <v>721.30227006427594</v>
      </c>
      <c r="EX93" s="30">
        <f t="shared" si="184"/>
        <v>721.09323746584107</v>
      </c>
      <c r="EY93" s="30">
        <f t="shared" si="184"/>
        <v>729.03464679851356</v>
      </c>
      <c r="EZ93" s="30">
        <f t="shared" si="184"/>
        <v>736.97371557526537</v>
      </c>
      <c r="FA93" s="30">
        <f t="shared" si="184"/>
        <v>736.90141460697862</v>
      </c>
      <c r="FB93" s="30">
        <f t="shared" si="184"/>
        <v>0</v>
      </c>
      <c r="FC93" s="30">
        <f t="shared" si="184"/>
        <v>0</v>
      </c>
      <c r="FD93" s="30">
        <f t="shared" si="184"/>
        <v>0</v>
      </c>
      <c r="FE93" s="30">
        <f t="shared" si="184"/>
        <v>0</v>
      </c>
      <c r="FF93" s="30">
        <f t="shared" si="184"/>
        <v>0</v>
      </c>
      <c r="FG93" s="30">
        <f t="shared" si="184"/>
        <v>0</v>
      </c>
      <c r="FH93" s="30">
        <f t="shared" si="184"/>
        <v>0</v>
      </c>
      <c r="FI93" s="30">
        <f t="shared" si="184"/>
        <v>0</v>
      </c>
      <c r="FJ93" s="30">
        <f t="shared" si="184"/>
        <v>0</v>
      </c>
      <c r="FK93" s="30">
        <f t="shared" si="184"/>
        <v>0</v>
      </c>
      <c r="FL93" s="30">
        <f t="shared" si="184"/>
        <v>0</v>
      </c>
      <c r="FM93" s="30">
        <f t="shared" si="184"/>
        <v>0</v>
      </c>
    </row>
    <row r="94" spans="2:169" x14ac:dyDescent="0.25"/>
    <row r="95" spans="2:169" x14ac:dyDescent="0.25">
      <c r="B95" s="40" t="s">
        <v>130</v>
      </c>
      <c r="C95" s="40"/>
      <c r="D95" s="40" t="s">
        <v>131</v>
      </c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  <c r="ED95" s="40"/>
      <c r="EE95" s="40"/>
      <c r="EF95" s="40"/>
      <c r="EG95" s="40"/>
      <c r="EH95" s="40"/>
      <c r="EI95" s="40"/>
      <c r="EJ95" s="40"/>
      <c r="EK95" s="40"/>
      <c r="EL95" s="40"/>
      <c r="EM95" s="40"/>
      <c r="EN95" s="40"/>
      <c r="EO95" s="40"/>
      <c r="EP95" s="40"/>
      <c r="EQ95" s="40"/>
      <c r="ER95" s="40"/>
      <c r="ES95" s="40"/>
      <c r="ET95" s="40"/>
      <c r="EU95" s="40"/>
      <c r="EV95" s="40"/>
      <c r="EW95" s="40"/>
      <c r="EX95" s="40"/>
      <c r="EY95" s="40"/>
      <c r="EZ95" s="40"/>
      <c r="FA95" s="40"/>
      <c r="FB95" s="40"/>
      <c r="FC95" s="40"/>
      <c r="FD95" s="40"/>
      <c r="FE95" s="40"/>
      <c r="FF95" s="40"/>
      <c r="FG95" s="40"/>
      <c r="FH95" s="40"/>
      <c r="FI95" s="40"/>
      <c r="FJ95" s="40"/>
      <c r="FK95" s="40"/>
      <c r="FL95" s="40"/>
      <c r="FM95" s="40"/>
    </row>
    <row r="96" spans="2:169" x14ac:dyDescent="0.25">
      <c r="B96" t="s">
        <v>132</v>
      </c>
      <c r="C96" t="s">
        <v>94</v>
      </c>
      <c r="D96" s="35">
        <f>Stat_Inp!F92</f>
        <v>30</v>
      </c>
      <c r="I96" s="25">
        <f t="shared" ref="I96:AN96" si="185">I87*($D96/I5)</f>
        <v>0</v>
      </c>
      <c r="J96" s="25">
        <f t="shared" si="185"/>
        <v>0</v>
      </c>
      <c r="K96" s="25">
        <f t="shared" si="185"/>
        <v>0</v>
      </c>
      <c r="L96" s="25">
        <f t="shared" si="185"/>
        <v>0</v>
      </c>
      <c r="M96" s="25">
        <f t="shared" si="185"/>
        <v>0</v>
      </c>
      <c r="N96" s="25">
        <f t="shared" si="185"/>
        <v>0</v>
      </c>
      <c r="O96" s="25">
        <f t="shared" si="185"/>
        <v>0</v>
      </c>
      <c r="P96" s="25">
        <f t="shared" si="185"/>
        <v>0</v>
      </c>
      <c r="Q96" s="25">
        <f t="shared" si="185"/>
        <v>105.02344341034845</v>
      </c>
      <c r="R96" s="25">
        <f t="shared" si="185"/>
        <v>319.91700757724306</v>
      </c>
      <c r="S96" s="25">
        <f t="shared" si="185"/>
        <v>319.67820283198614</v>
      </c>
      <c r="T96" s="25">
        <f t="shared" si="185"/>
        <v>319.4367738587593</v>
      </c>
      <c r="U96" s="25">
        <f t="shared" si="185"/>
        <v>319.19534488553251</v>
      </c>
      <c r="V96" s="25">
        <f t="shared" si="185"/>
        <v>329.42734753733242</v>
      </c>
      <c r="W96" s="25">
        <f t="shared" si="185"/>
        <v>329.18002902872439</v>
      </c>
      <c r="X96" s="25">
        <f t="shared" si="185"/>
        <v>328.92999273430752</v>
      </c>
      <c r="Y96" s="25">
        <f t="shared" si="185"/>
        <v>328.67995643989059</v>
      </c>
      <c r="Z96" s="25">
        <f t="shared" si="185"/>
        <v>336.64623961001854</v>
      </c>
      <c r="AA96" s="25">
        <f t="shared" si="185"/>
        <v>336.39273813869534</v>
      </c>
      <c r="AB96" s="25">
        <f t="shared" si="185"/>
        <v>336.1364509369181</v>
      </c>
      <c r="AC96" s="25">
        <f t="shared" si="185"/>
        <v>335.88016373514068</v>
      </c>
      <c r="AD96" s="25">
        <f t="shared" si="185"/>
        <v>344.02018419412821</v>
      </c>
      <c r="AE96" s="25">
        <f t="shared" si="185"/>
        <v>343.76034518602182</v>
      </c>
      <c r="AF96" s="25">
        <f t="shared" si="185"/>
        <v>343.49765080420013</v>
      </c>
      <c r="AG96" s="25">
        <f t="shared" si="185"/>
        <v>343.23495642237833</v>
      </c>
      <c r="AH96" s="25">
        <f t="shared" si="185"/>
        <v>350.58970330575562</v>
      </c>
      <c r="AI96" s="25">
        <f t="shared" si="185"/>
        <v>350.32482171664179</v>
      </c>
      <c r="AJ96" s="25">
        <f t="shared" si="185"/>
        <v>350.05702934083428</v>
      </c>
      <c r="AK96" s="25">
        <f t="shared" si="185"/>
        <v>349.78923696502682</v>
      </c>
      <c r="AL96" s="25">
        <f t="shared" si="185"/>
        <v>359.24625930180241</v>
      </c>
      <c r="AM96" s="25">
        <f t="shared" si="185"/>
        <v>358.97326594391069</v>
      </c>
      <c r="AN96" s="25">
        <f t="shared" si="185"/>
        <v>358.69727265900929</v>
      </c>
      <c r="AO96" s="25">
        <f t="shared" ref="AO96:BT96" si="186">AO87*($D96/AO5)</f>
        <v>358.42127937410777</v>
      </c>
      <c r="AP96" s="25">
        <f t="shared" si="186"/>
        <v>367.1050680918064</v>
      </c>
      <c r="AQ96" s="25">
        <f t="shared" si="186"/>
        <v>366.82524989996733</v>
      </c>
      <c r="AR96" s="25">
        <f t="shared" si="186"/>
        <v>366.54235678294327</v>
      </c>
      <c r="AS96" s="25">
        <f t="shared" si="186"/>
        <v>366.25946366591927</v>
      </c>
      <c r="AT96" s="25">
        <f t="shared" si="186"/>
        <v>375.13228840924683</v>
      </c>
      <c r="AU96" s="25">
        <f t="shared" si="186"/>
        <v>374.84547476261184</v>
      </c>
      <c r="AV96" s="25">
        <f t="shared" si="186"/>
        <v>374.55550931766226</v>
      </c>
      <c r="AW96" s="25">
        <f t="shared" si="186"/>
        <v>374.26554387271261</v>
      </c>
      <c r="AX96" s="25">
        <f t="shared" si="186"/>
        <v>382.28165471744302</v>
      </c>
      <c r="AY96" s="25">
        <f t="shared" si="186"/>
        <v>381.98927500488981</v>
      </c>
      <c r="AZ96" s="25">
        <f t="shared" si="186"/>
        <v>381.69368232846239</v>
      </c>
      <c r="BA96" s="25">
        <f t="shared" si="186"/>
        <v>381.39808965203497</v>
      </c>
      <c r="BB96" s="25">
        <f t="shared" si="186"/>
        <v>391.70606909378904</v>
      </c>
      <c r="BC96" s="25">
        <f t="shared" si="186"/>
        <v>391.40473550629315</v>
      </c>
      <c r="BD96" s="25">
        <f t="shared" si="186"/>
        <v>391.10009056069299</v>
      </c>
      <c r="BE96" s="25">
        <f t="shared" si="186"/>
        <v>390.79544561509266</v>
      </c>
      <c r="BF96" s="25">
        <f t="shared" si="186"/>
        <v>400.25985897034354</v>
      </c>
      <c r="BG96" s="25">
        <f t="shared" si="186"/>
        <v>399.95099204316034</v>
      </c>
      <c r="BH96" s="25">
        <f t="shared" si="186"/>
        <v>399.63873097392019</v>
      </c>
      <c r="BI96" s="25">
        <f t="shared" si="186"/>
        <v>399.32646990467993</v>
      </c>
      <c r="BJ96" s="25">
        <f t="shared" si="186"/>
        <v>408.99652204754221</v>
      </c>
      <c r="BK96" s="25">
        <f t="shared" si="186"/>
        <v>408.67993344717939</v>
      </c>
      <c r="BL96" s="25">
        <f t="shared" si="186"/>
        <v>408.35986585120821</v>
      </c>
      <c r="BM96" s="25">
        <f t="shared" si="186"/>
        <v>408.03979825523697</v>
      </c>
      <c r="BN96" s="25">
        <f t="shared" si="186"/>
        <v>416.77532630826238</v>
      </c>
      <c r="BO96" s="25">
        <f t="shared" si="186"/>
        <v>416.45259381258899</v>
      </c>
      <c r="BP96" s="25">
        <f t="shared" si="186"/>
        <v>416.12631480597406</v>
      </c>
      <c r="BQ96" s="25">
        <f t="shared" si="186"/>
        <v>415.80003579935919</v>
      </c>
      <c r="BR96" s="25">
        <f t="shared" si="186"/>
        <v>427.03373355062695</v>
      </c>
      <c r="BS96" s="25">
        <f t="shared" si="186"/>
        <v>426.70111765237067</v>
      </c>
      <c r="BT96" s="25">
        <f t="shared" si="186"/>
        <v>426.36484663435351</v>
      </c>
      <c r="BU96" s="25">
        <f t="shared" ref="BU96:CZ96" si="187">BU87*($D96/BU5)</f>
        <v>426.02857561633618</v>
      </c>
      <c r="BV96" s="25">
        <f t="shared" si="187"/>
        <v>436.34210520878685</v>
      </c>
      <c r="BW96" s="25">
        <f t="shared" si="187"/>
        <v>436.0011739130743</v>
      </c>
      <c r="BX96" s="25">
        <f t="shared" si="187"/>
        <v>435.65649611960663</v>
      </c>
      <c r="BY96" s="25">
        <f t="shared" si="187"/>
        <v>435.3118183261389</v>
      </c>
      <c r="BZ96" s="25">
        <f t="shared" si="187"/>
        <v>445.84899936638567</v>
      </c>
      <c r="CA96" s="25">
        <f t="shared" si="187"/>
        <v>445.49954478828033</v>
      </c>
      <c r="CB96" s="25">
        <f t="shared" si="187"/>
        <v>445.146250049976</v>
      </c>
      <c r="CC96" s="25">
        <f t="shared" si="187"/>
        <v>444.79295531167145</v>
      </c>
      <c r="CD96" s="25">
        <f t="shared" si="187"/>
        <v>454.31087957438291</v>
      </c>
      <c r="CE96" s="25">
        <f t="shared" si="187"/>
        <v>453.95464328543505</v>
      </c>
      <c r="CF96" s="25">
        <f t="shared" si="187"/>
        <v>453.59449231199312</v>
      </c>
      <c r="CG96" s="25">
        <f t="shared" si="187"/>
        <v>453.23434133855142</v>
      </c>
      <c r="CH96" s="25">
        <f t="shared" si="187"/>
        <v>465.47487009371434</v>
      </c>
      <c r="CI96" s="25">
        <f t="shared" si="187"/>
        <v>465.10772437759238</v>
      </c>
      <c r="CJ96" s="25">
        <f t="shared" si="187"/>
        <v>464.73654409316134</v>
      </c>
      <c r="CK96" s="25">
        <f t="shared" si="187"/>
        <v>464.36536380873025</v>
      </c>
      <c r="CL96" s="25">
        <f t="shared" si="187"/>
        <v>475.60230897743998</v>
      </c>
      <c r="CM96" s="25">
        <f t="shared" si="187"/>
        <v>475.22598461841494</v>
      </c>
      <c r="CN96" s="25">
        <f t="shared" si="187"/>
        <v>474.84552482687315</v>
      </c>
      <c r="CO96" s="25">
        <f t="shared" si="187"/>
        <v>474.46506503533135</v>
      </c>
      <c r="CP96" s="25">
        <f t="shared" si="187"/>
        <v>485.94519801154343</v>
      </c>
      <c r="CQ96" s="25">
        <f t="shared" si="187"/>
        <v>485.55946554354267</v>
      </c>
      <c r="CR96" s="25">
        <f t="shared" si="187"/>
        <v>485.16949425721225</v>
      </c>
      <c r="CS96" s="25">
        <f t="shared" si="187"/>
        <v>484.77952297088194</v>
      </c>
      <c r="CT96" s="25">
        <f t="shared" si="187"/>
        <v>495.14814526614316</v>
      </c>
      <c r="CU96" s="25">
        <f t="shared" si="187"/>
        <v>494.75492705829413</v>
      </c>
      <c r="CV96" s="25">
        <f t="shared" si="187"/>
        <v>494.35738777123777</v>
      </c>
      <c r="CW96" s="25">
        <f t="shared" si="187"/>
        <v>493.95984848418158</v>
      </c>
      <c r="CX96" s="25">
        <f t="shared" si="187"/>
        <v>507.2951854503163</v>
      </c>
      <c r="CY96" s="25">
        <f t="shared" si="187"/>
        <v>506.88992527612299</v>
      </c>
      <c r="CZ96" s="25">
        <f t="shared" si="187"/>
        <v>506.48021169342218</v>
      </c>
      <c r="DA96" s="25">
        <f t="shared" ref="DA96:EF96" si="188">DA87*($D96/DA5)</f>
        <v>506.07049811072125</v>
      </c>
      <c r="DB96" s="25">
        <f t="shared" si="188"/>
        <v>518.31143362866135</v>
      </c>
      <c r="DC96" s="25">
        <f t="shared" si="188"/>
        <v>517.89604195011339</v>
      </c>
      <c r="DD96" s="25">
        <f t="shared" si="188"/>
        <v>517.47608552784504</v>
      </c>
      <c r="DE96" s="25">
        <f t="shared" si="188"/>
        <v>517.05612910557659</v>
      </c>
      <c r="DF96" s="25">
        <f t="shared" si="188"/>
        <v>529.56143472501731</v>
      </c>
      <c r="DG96" s="25">
        <f t="shared" si="188"/>
        <v>529.13565825450564</v>
      </c>
      <c r="DH96" s="25">
        <f t="shared" si="188"/>
        <v>528.70520292168067</v>
      </c>
      <c r="DI96" s="25">
        <f t="shared" si="188"/>
        <v>528.27474758885546</v>
      </c>
      <c r="DJ96" s="25">
        <f t="shared" si="188"/>
        <v>539.56811898395028</v>
      </c>
      <c r="DK96" s="25">
        <f t="shared" si="188"/>
        <v>539.13407965729789</v>
      </c>
      <c r="DL96" s="25">
        <f t="shared" si="188"/>
        <v>538.69527066771536</v>
      </c>
      <c r="DM96" s="25">
        <f t="shared" si="188"/>
        <v>538.25646167813284</v>
      </c>
      <c r="DN96" s="25">
        <f t="shared" si="188"/>
        <v>552.78199966388365</v>
      </c>
      <c r="DO96" s="25">
        <f t="shared" si="188"/>
        <v>552.33466825955225</v>
      </c>
      <c r="DP96" s="25">
        <f t="shared" si="188"/>
        <v>551.8824211255029</v>
      </c>
      <c r="DQ96" s="25">
        <f t="shared" si="188"/>
        <v>551.43017399145356</v>
      </c>
      <c r="DR96" s="25">
        <f t="shared" si="188"/>
        <v>564.7624522747609</v>
      </c>
      <c r="DS96" s="25">
        <f t="shared" si="188"/>
        <v>564.30393758532114</v>
      </c>
      <c r="DT96" s="25">
        <f t="shared" si="188"/>
        <v>563.84038427292069</v>
      </c>
      <c r="DU96" s="25">
        <f t="shared" si="188"/>
        <v>563.37683096052001</v>
      </c>
      <c r="DV96" s="25">
        <f t="shared" si="188"/>
        <v>576.99643876639186</v>
      </c>
      <c r="DW96" s="25">
        <f t="shared" si="188"/>
        <v>576.52646120971622</v>
      </c>
      <c r="DX96" s="25">
        <f t="shared" si="188"/>
        <v>576.05131906450561</v>
      </c>
      <c r="DY96" s="25">
        <f t="shared" si="188"/>
        <v>575.57617691929499</v>
      </c>
      <c r="DZ96" s="25">
        <f t="shared" si="188"/>
        <v>587.87455532060517</v>
      </c>
      <c r="EA96" s="25">
        <f t="shared" si="188"/>
        <v>587.39545711680819</v>
      </c>
      <c r="EB96" s="25">
        <f t="shared" si="188"/>
        <v>586.91109409758474</v>
      </c>
      <c r="EC96" s="25">
        <f t="shared" si="188"/>
        <v>586.42673107836151</v>
      </c>
      <c r="ED96" s="25">
        <f t="shared" si="188"/>
        <v>602.24587002342162</v>
      </c>
      <c r="EE96" s="25">
        <f t="shared" si="188"/>
        <v>601.75209985293918</v>
      </c>
      <c r="EF96" s="25">
        <f t="shared" si="188"/>
        <v>601.25290363662737</v>
      </c>
      <c r="EG96" s="25">
        <f t="shared" ref="EG96:FM96" si="189">EG87*($D96/EG5)</f>
        <v>600.75370742031555</v>
      </c>
      <c r="EH96" s="25">
        <f t="shared" si="189"/>
        <v>615.27199737805381</v>
      </c>
      <c r="EI96" s="25">
        <f t="shared" si="189"/>
        <v>614.76588295330941</v>
      </c>
      <c r="EJ96" s="25">
        <f t="shared" si="189"/>
        <v>614.25420683158984</v>
      </c>
      <c r="EK96" s="25">
        <f t="shared" si="189"/>
        <v>613.74253070987004</v>
      </c>
      <c r="EL96" s="25">
        <f t="shared" si="189"/>
        <v>628.57302743165314</v>
      </c>
      <c r="EM96" s="25">
        <f t="shared" si="189"/>
        <v>628.05426014629006</v>
      </c>
      <c r="EN96" s="25">
        <f t="shared" si="189"/>
        <v>627.52979212152741</v>
      </c>
      <c r="EO96" s="25">
        <f t="shared" si="189"/>
        <v>627.00532409676475</v>
      </c>
      <c r="EP96" s="25">
        <f t="shared" si="189"/>
        <v>640.3956648926262</v>
      </c>
      <c r="EQ96" s="25">
        <f t="shared" si="189"/>
        <v>639.86683011939976</v>
      </c>
      <c r="ER96" s="25">
        <f t="shared" si="189"/>
        <v>639.3321839750389</v>
      </c>
      <c r="ES96" s="25">
        <f t="shared" si="189"/>
        <v>638.79753783067827</v>
      </c>
      <c r="ET96" s="25">
        <f t="shared" si="189"/>
        <v>656.02231923323984</v>
      </c>
      <c r="EU96" s="25">
        <f t="shared" si="189"/>
        <v>655.4772893540553</v>
      </c>
      <c r="EV96" s="25">
        <f t="shared" si="189"/>
        <v>654.92627013553897</v>
      </c>
      <c r="EW96" s="25">
        <f t="shared" si="189"/>
        <v>654.37525091702264</v>
      </c>
      <c r="EX96" s="25">
        <f t="shared" si="189"/>
        <v>670.18211563659884</v>
      </c>
      <c r="EY96" s="25">
        <f t="shared" si="189"/>
        <v>669.62346001043454</v>
      </c>
      <c r="EZ96" s="25">
        <f t="shared" si="189"/>
        <v>669.05866531145546</v>
      </c>
      <c r="FA96" s="25">
        <f t="shared" si="189"/>
        <v>668.49387061247626</v>
      </c>
      <c r="FB96" s="25">
        <f t="shared" si="189"/>
        <v>0</v>
      </c>
      <c r="FC96" s="25">
        <f t="shared" si="189"/>
        <v>0</v>
      </c>
      <c r="FD96" s="25">
        <f t="shared" si="189"/>
        <v>0</v>
      </c>
      <c r="FE96" s="25">
        <f t="shared" si="189"/>
        <v>0</v>
      </c>
      <c r="FF96" s="25">
        <f t="shared" si="189"/>
        <v>0</v>
      </c>
      <c r="FG96" s="25">
        <f t="shared" si="189"/>
        <v>0</v>
      </c>
      <c r="FH96" s="25">
        <f t="shared" si="189"/>
        <v>0</v>
      </c>
      <c r="FI96" s="25">
        <f t="shared" si="189"/>
        <v>0</v>
      </c>
      <c r="FJ96" s="25">
        <f t="shared" si="189"/>
        <v>0</v>
      </c>
      <c r="FK96" s="25">
        <f t="shared" si="189"/>
        <v>0</v>
      </c>
      <c r="FL96" s="25">
        <f t="shared" si="189"/>
        <v>0</v>
      </c>
      <c r="FM96" s="25">
        <f t="shared" si="189"/>
        <v>0</v>
      </c>
    </row>
    <row r="97" spans="2:169" x14ac:dyDescent="0.25">
      <c r="B97" t="s">
        <v>133</v>
      </c>
      <c r="C97" t="s">
        <v>94</v>
      </c>
      <c r="D97" s="35">
        <f>Stat_Inp!F93</f>
        <v>30</v>
      </c>
      <c r="I97" s="25">
        <f t="shared" ref="I97:AN97" si="190">-1 * I93*($D97/I5)</f>
        <v>0</v>
      </c>
      <c r="J97" s="25">
        <f t="shared" si="190"/>
        <v>0</v>
      </c>
      <c r="K97" s="25">
        <f t="shared" si="190"/>
        <v>-2.7847081138040042</v>
      </c>
      <c r="L97" s="25">
        <f t="shared" si="190"/>
        <v>-8.1744657534246592</v>
      </c>
      <c r="M97" s="25">
        <f t="shared" si="190"/>
        <v>-8.1744657534246592</v>
      </c>
      <c r="N97" s="25">
        <f t="shared" si="190"/>
        <v>-8.436048657534247</v>
      </c>
      <c r="O97" s="25">
        <f t="shared" si="190"/>
        <v>-8.436048657534247</v>
      </c>
      <c r="P97" s="25">
        <f t="shared" si="190"/>
        <v>-8.436048657534247</v>
      </c>
      <c r="Q97" s="25">
        <f t="shared" si="190"/>
        <v>-45.963102325836815</v>
      </c>
      <c r="R97" s="25">
        <f t="shared" si="190"/>
        <v>-122.10769313349181</v>
      </c>
      <c r="S97" s="25">
        <f t="shared" si="190"/>
        <v>-122.08450025439345</v>
      </c>
      <c r="T97" s="25">
        <f t="shared" si="190"/>
        <v>-122.06105250849181</v>
      </c>
      <c r="U97" s="25">
        <f t="shared" si="190"/>
        <v>-122.03760476259018</v>
      </c>
      <c r="V97" s="25">
        <f t="shared" si="190"/>
        <v>-125.08748707717828</v>
      </c>
      <c r="W97" s="25">
        <f t="shared" si="190"/>
        <v>-125.0641669397229</v>
      </c>
      <c r="X97" s="25">
        <f t="shared" si="190"/>
        <v>-125.04059053702069</v>
      </c>
      <c r="Y97" s="25">
        <f t="shared" si="190"/>
        <v>-125.0170141343185</v>
      </c>
      <c r="Z97" s="25">
        <f t="shared" si="190"/>
        <v>-127.34457899731706</v>
      </c>
      <c r="AA97" s="25">
        <f t="shared" si="190"/>
        <v>-127.32125885986167</v>
      </c>
      <c r="AB97" s="25">
        <f t="shared" si="190"/>
        <v>-127.29768245715947</v>
      </c>
      <c r="AC97" s="25">
        <f t="shared" si="190"/>
        <v>-127.27410605445729</v>
      </c>
      <c r="AD97" s="25">
        <f t="shared" si="190"/>
        <v>-129.66043663583605</v>
      </c>
      <c r="AE97" s="25">
        <f t="shared" si="190"/>
        <v>-129.63711649838064</v>
      </c>
      <c r="AF97" s="25">
        <f t="shared" si="190"/>
        <v>-129.61354009567842</v>
      </c>
      <c r="AG97" s="25">
        <f t="shared" si="190"/>
        <v>-129.58996369297626</v>
      </c>
      <c r="AH97" s="25">
        <f t="shared" si="190"/>
        <v>-131.67558156867409</v>
      </c>
      <c r="AI97" s="25">
        <f t="shared" si="190"/>
        <v>-131.65238868957573</v>
      </c>
      <c r="AJ97" s="25">
        <f t="shared" si="190"/>
        <v>-131.62894094367411</v>
      </c>
      <c r="AK97" s="25">
        <f t="shared" si="190"/>
        <v>-131.60549319777249</v>
      </c>
      <c r="AL97" s="25">
        <f t="shared" si="190"/>
        <v>-134.47436236842648</v>
      </c>
      <c r="AM97" s="25">
        <f t="shared" si="190"/>
        <v>-134.4510422309711</v>
      </c>
      <c r="AN97" s="25">
        <f t="shared" si="190"/>
        <v>-134.42746582826891</v>
      </c>
      <c r="AO97" s="25">
        <f t="shared" ref="AO97:BT97" si="191">-1 * AO93*($D97/AO5)</f>
        <v>-134.40388942556669</v>
      </c>
      <c r="AP97" s="25">
        <f t="shared" si="191"/>
        <v>-136.97547985235332</v>
      </c>
      <c r="AQ97" s="25">
        <f t="shared" si="191"/>
        <v>-136.9521597148979</v>
      </c>
      <c r="AR97" s="25">
        <f t="shared" si="191"/>
        <v>-136.92858331219574</v>
      </c>
      <c r="AS97" s="25">
        <f t="shared" si="191"/>
        <v>-136.90500690949352</v>
      </c>
      <c r="AT97" s="25">
        <f t="shared" si="191"/>
        <v>-139.54146369375505</v>
      </c>
      <c r="AU97" s="25">
        <f t="shared" si="191"/>
        <v>-139.51814355629963</v>
      </c>
      <c r="AV97" s="25">
        <f t="shared" si="191"/>
        <v>-139.49456715359744</v>
      </c>
      <c r="AW97" s="25">
        <f t="shared" si="191"/>
        <v>-139.47099075089525</v>
      </c>
      <c r="AX97" s="25">
        <f t="shared" si="191"/>
        <v>-141.7852901528106</v>
      </c>
      <c r="AY97" s="25">
        <f t="shared" si="191"/>
        <v>-141.76209727371224</v>
      </c>
      <c r="AZ97" s="25">
        <f t="shared" si="191"/>
        <v>-141.73864952781059</v>
      </c>
      <c r="BA97" s="25">
        <f t="shared" si="191"/>
        <v>-141.71520178190895</v>
      </c>
      <c r="BB97" s="25">
        <f t="shared" si="191"/>
        <v>-144.87455762620402</v>
      </c>
      <c r="BC97" s="25">
        <f t="shared" si="191"/>
        <v>-144.85123748874864</v>
      </c>
      <c r="BD97" s="25">
        <f t="shared" si="191"/>
        <v>-144.82766108604645</v>
      </c>
      <c r="BE97" s="25">
        <f t="shared" si="191"/>
        <v>-144.80408468334423</v>
      </c>
      <c r="BF97" s="25">
        <f t="shared" si="191"/>
        <v>-147.64503367308214</v>
      </c>
      <c r="BG97" s="25">
        <f t="shared" si="191"/>
        <v>-147.62171353562672</v>
      </c>
      <c r="BH97" s="25">
        <f t="shared" si="191"/>
        <v>-147.59813713292456</v>
      </c>
      <c r="BI97" s="25">
        <f t="shared" si="191"/>
        <v>-147.57456073022234</v>
      </c>
      <c r="BJ97" s="25">
        <f t="shared" si="191"/>
        <v>-150.48711004150891</v>
      </c>
      <c r="BK97" s="25">
        <f t="shared" si="191"/>
        <v>-150.4637899040535</v>
      </c>
      <c r="BL97" s="25">
        <f t="shared" si="191"/>
        <v>-150.44021350135131</v>
      </c>
      <c r="BM97" s="25">
        <f t="shared" si="191"/>
        <v>-150.41663709864912</v>
      </c>
      <c r="BN97" s="25">
        <f t="shared" si="191"/>
        <v>-152.98325199325708</v>
      </c>
      <c r="BO97" s="25">
        <f t="shared" si="191"/>
        <v>-152.96005911415872</v>
      </c>
      <c r="BP97" s="25">
        <f t="shared" si="191"/>
        <v>-152.9366113682571</v>
      </c>
      <c r="BQ97" s="25">
        <f t="shared" si="191"/>
        <v>-152.91316362235546</v>
      </c>
      <c r="BR97" s="25">
        <f t="shared" si="191"/>
        <v>-156.39326852536431</v>
      </c>
      <c r="BS97" s="25">
        <f t="shared" si="191"/>
        <v>-156.36994838790889</v>
      </c>
      <c r="BT97" s="25">
        <f t="shared" si="191"/>
        <v>-156.3463719852067</v>
      </c>
      <c r="BU97" s="25">
        <f t="shared" ref="BU97:CZ97" si="192">-1 * BU93*($D97/BU5)</f>
        <v>-156.32279558250451</v>
      </c>
      <c r="BV97" s="25">
        <f t="shared" si="192"/>
        <v>-159.46106602622825</v>
      </c>
      <c r="BW97" s="25">
        <f t="shared" si="192"/>
        <v>-159.43774588877287</v>
      </c>
      <c r="BX97" s="25">
        <f t="shared" si="192"/>
        <v>-159.41416948607068</v>
      </c>
      <c r="BY97" s="25">
        <f t="shared" si="192"/>
        <v>-159.39059308336849</v>
      </c>
      <c r="BZ97" s="25">
        <f t="shared" si="192"/>
        <v>-162.60789688499054</v>
      </c>
      <c r="CA97" s="25">
        <f t="shared" si="192"/>
        <v>-162.58457674753515</v>
      </c>
      <c r="CB97" s="25">
        <f t="shared" si="192"/>
        <v>-162.56100034483296</v>
      </c>
      <c r="CC97" s="25">
        <f t="shared" si="192"/>
        <v>-162.53742394213077</v>
      </c>
      <c r="CD97" s="25">
        <f t="shared" si="192"/>
        <v>-165.38244180628325</v>
      </c>
      <c r="CE97" s="25">
        <f t="shared" si="192"/>
        <v>-165.35924892718486</v>
      </c>
      <c r="CF97" s="25">
        <f t="shared" si="192"/>
        <v>-165.33580118128324</v>
      </c>
      <c r="CG97" s="25">
        <f t="shared" si="192"/>
        <v>-165.3123534353816</v>
      </c>
      <c r="CH97" s="25">
        <f t="shared" si="192"/>
        <v>-169.14661140784855</v>
      </c>
      <c r="CI97" s="25">
        <f t="shared" si="192"/>
        <v>-169.12329127039317</v>
      </c>
      <c r="CJ97" s="25">
        <f t="shared" si="192"/>
        <v>-169.09971486769098</v>
      </c>
      <c r="CK97" s="25">
        <f t="shared" si="192"/>
        <v>-169.07613846498879</v>
      </c>
      <c r="CL97" s="25">
        <f t="shared" si="192"/>
        <v>-172.54259616228148</v>
      </c>
      <c r="CM97" s="25">
        <f t="shared" si="192"/>
        <v>-172.5192760248261</v>
      </c>
      <c r="CN97" s="25">
        <f t="shared" si="192"/>
        <v>-172.49569962212394</v>
      </c>
      <c r="CO97" s="25">
        <f t="shared" si="192"/>
        <v>-172.47212321942172</v>
      </c>
      <c r="CP97" s="25">
        <f t="shared" si="192"/>
        <v>-176.02581895595193</v>
      </c>
      <c r="CQ97" s="25">
        <f t="shared" si="192"/>
        <v>-176.00249881849655</v>
      </c>
      <c r="CR97" s="25">
        <f t="shared" si="192"/>
        <v>-175.97892241579436</v>
      </c>
      <c r="CS97" s="25">
        <f t="shared" si="192"/>
        <v>-175.95534601309217</v>
      </c>
      <c r="CT97" s="25">
        <f t="shared" si="192"/>
        <v>-179.10756254002214</v>
      </c>
      <c r="CU97" s="25">
        <f t="shared" si="192"/>
        <v>-179.08436966092378</v>
      </c>
      <c r="CV97" s="25">
        <f t="shared" si="192"/>
        <v>-179.06092191502213</v>
      </c>
      <c r="CW97" s="25">
        <f t="shared" si="192"/>
        <v>-179.03747416912051</v>
      </c>
      <c r="CX97" s="25">
        <f t="shared" si="192"/>
        <v>-183.26275698870373</v>
      </c>
      <c r="CY97" s="25">
        <f t="shared" si="192"/>
        <v>-183.23943685124837</v>
      </c>
      <c r="CZ97" s="25">
        <f t="shared" si="192"/>
        <v>-183.21586044854615</v>
      </c>
      <c r="DA97" s="25">
        <f t="shared" ref="DA97:EF97" si="193">-1 * DA93*($D97/DA5)</f>
        <v>-183.19228404584396</v>
      </c>
      <c r="DB97" s="25">
        <f t="shared" si="193"/>
        <v>-187.02099906416487</v>
      </c>
      <c r="DC97" s="25">
        <f t="shared" si="193"/>
        <v>-186.99767892670957</v>
      </c>
      <c r="DD97" s="25">
        <f t="shared" si="193"/>
        <v>-186.97410252400732</v>
      </c>
      <c r="DE97" s="25">
        <f t="shared" si="193"/>
        <v>-186.95052612130513</v>
      </c>
      <c r="DF97" s="25">
        <f t="shared" si="193"/>
        <v>-190.87553561188929</v>
      </c>
      <c r="DG97" s="25">
        <f t="shared" si="193"/>
        <v>-190.85221547443396</v>
      </c>
      <c r="DH97" s="25">
        <f t="shared" si="193"/>
        <v>-190.82863907173174</v>
      </c>
      <c r="DI97" s="25">
        <f t="shared" si="193"/>
        <v>-190.80506266902952</v>
      </c>
      <c r="DJ97" s="25">
        <f t="shared" si="193"/>
        <v>-194.29626291612203</v>
      </c>
      <c r="DK97" s="25">
        <f t="shared" si="193"/>
        <v>-194.2730700370237</v>
      </c>
      <c r="DL97" s="25">
        <f t="shared" si="193"/>
        <v>-194.24962229112202</v>
      </c>
      <c r="DM97" s="25">
        <f t="shared" si="193"/>
        <v>-194.22617454522037</v>
      </c>
      <c r="DN97" s="25">
        <f t="shared" si="193"/>
        <v>-198.88318175539931</v>
      </c>
      <c r="DO97" s="25">
        <f t="shared" si="193"/>
        <v>-198.85986161794395</v>
      </c>
      <c r="DP97" s="25">
        <f t="shared" si="193"/>
        <v>-198.83628521524176</v>
      </c>
      <c r="DQ97" s="25">
        <f t="shared" si="193"/>
        <v>-198.81270881253957</v>
      </c>
      <c r="DR97" s="25">
        <f t="shared" si="193"/>
        <v>-203.04128813153469</v>
      </c>
      <c r="DS97" s="25">
        <f t="shared" si="193"/>
        <v>-203.01796799407933</v>
      </c>
      <c r="DT97" s="25">
        <f t="shared" si="193"/>
        <v>-202.99439159137717</v>
      </c>
      <c r="DU97" s="25">
        <f t="shared" si="193"/>
        <v>-202.97081518867495</v>
      </c>
      <c r="DV97" s="25">
        <f t="shared" si="193"/>
        <v>-207.3056855874502</v>
      </c>
      <c r="DW97" s="25">
        <f t="shared" si="193"/>
        <v>-207.28236544999478</v>
      </c>
      <c r="DX97" s="25">
        <f t="shared" si="193"/>
        <v>-207.25878904729259</v>
      </c>
      <c r="DY97" s="25">
        <f t="shared" si="193"/>
        <v>-207.23521264459043</v>
      </c>
      <c r="DZ97" s="25">
        <f t="shared" si="193"/>
        <v>-211.10048136791633</v>
      </c>
      <c r="EA97" s="25">
        <f t="shared" si="193"/>
        <v>-211.07728848881794</v>
      </c>
      <c r="EB97" s="25">
        <f t="shared" si="193"/>
        <v>-211.05384074291632</v>
      </c>
      <c r="EC97" s="25">
        <f t="shared" si="193"/>
        <v>-211.03039299701467</v>
      </c>
      <c r="ED97" s="25">
        <f t="shared" si="193"/>
        <v>-216.16404927852426</v>
      </c>
      <c r="EE97" s="25">
        <f t="shared" si="193"/>
        <v>-216.1407291410689</v>
      </c>
      <c r="EF97" s="25">
        <f t="shared" si="193"/>
        <v>-216.11715273836671</v>
      </c>
      <c r="EG97" s="25">
        <f t="shared" ref="EG97:FM97" si="194">-1 * EG93*($D97/EG5)</f>
        <v>-216.09357633566452</v>
      </c>
      <c r="EH97" s="25">
        <f t="shared" si="194"/>
        <v>-220.76353102424468</v>
      </c>
      <c r="EI97" s="25">
        <f t="shared" si="194"/>
        <v>-220.7402108867893</v>
      </c>
      <c r="EJ97" s="25">
        <f t="shared" si="194"/>
        <v>-220.71663448408708</v>
      </c>
      <c r="EK97" s="25">
        <f t="shared" si="194"/>
        <v>-220.69305808138489</v>
      </c>
      <c r="EL97" s="25">
        <f t="shared" si="194"/>
        <v>-225.48033823398475</v>
      </c>
      <c r="EM97" s="25">
        <f t="shared" si="194"/>
        <v>-225.4570180965294</v>
      </c>
      <c r="EN97" s="25">
        <f t="shared" si="194"/>
        <v>-225.43344169382718</v>
      </c>
      <c r="EO97" s="25">
        <f t="shared" si="194"/>
        <v>-225.40986529112496</v>
      </c>
      <c r="EP97" s="25">
        <f t="shared" si="194"/>
        <v>-229.68792949669978</v>
      </c>
      <c r="EQ97" s="25">
        <f t="shared" si="194"/>
        <v>-229.66473661760145</v>
      </c>
      <c r="ER97" s="25">
        <f t="shared" si="194"/>
        <v>-229.6412888716998</v>
      </c>
      <c r="ES97" s="25">
        <f t="shared" si="194"/>
        <v>-229.61784112579818</v>
      </c>
      <c r="ET97" s="25">
        <f t="shared" si="194"/>
        <v>-235.27773492034106</v>
      </c>
      <c r="EU97" s="25">
        <f t="shared" si="194"/>
        <v>-235.25441478288565</v>
      </c>
      <c r="EV97" s="25">
        <f t="shared" si="194"/>
        <v>-235.23083838018349</v>
      </c>
      <c r="EW97" s="25">
        <f t="shared" si="194"/>
        <v>-235.20726197748129</v>
      </c>
      <c r="EX97" s="25">
        <f t="shared" si="194"/>
        <v>-240.36441248861368</v>
      </c>
      <c r="EY97" s="25">
        <f t="shared" si="194"/>
        <v>-240.34109235115832</v>
      </c>
      <c r="EZ97" s="25">
        <f t="shared" si="194"/>
        <v>-240.3175159484561</v>
      </c>
      <c r="FA97" s="25">
        <f t="shared" si="194"/>
        <v>-240.29393954575391</v>
      </c>
      <c r="FB97" s="25">
        <f t="shared" si="194"/>
        <v>0</v>
      </c>
      <c r="FC97" s="25">
        <f t="shared" si="194"/>
        <v>0</v>
      </c>
      <c r="FD97" s="25">
        <f t="shared" si="194"/>
        <v>0</v>
      </c>
      <c r="FE97" s="25">
        <f t="shared" si="194"/>
        <v>0</v>
      </c>
      <c r="FF97" s="25">
        <f t="shared" si="194"/>
        <v>0</v>
      </c>
      <c r="FG97" s="25">
        <f t="shared" si="194"/>
        <v>0</v>
      </c>
      <c r="FH97" s="25">
        <f t="shared" si="194"/>
        <v>0</v>
      </c>
      <c r="FI97" s="25">
        <f t="shared" si="194"/>
        <v>0</v>
      </c>
      <c r="FJ97" s="25">
        <f t="shared" si="194"/>
        <v>0</v>
      </c>
      <c r="FK97" s="25">
        <f t="shared" si="194"/>
        <v>0</v>
      </c>
      <c r="FL97" s="25">
        <f t="shared" si="194"/>
        <v>0</v>
      </c>
      <c r="FM97" s="25">
        <f t="shared" si="194"/>
        <v>0</v>
      </c>
    </row>
    <row r="98" spans="2:169" x14ac:dyDescent="0.25">
      <c r="B98" s="29" t="s">
        <v>134</v>
      </c>
      <c r="C98" s="29" t="s">
        <v>94</v>
      </c>
      <c r="D98" s="29"/>
      <c r="E98" s="29"/>
      <c r="F98" s="29"/>
      <c r="G98" s="29"/>
      <c r="H98" s="38"/>
      <c r="I98" s="30">
        <f>SUM(I96:I97)</f>
        <v>0</v>
      </c>
      <c r="J98" s="30">
        <f t="shared" ref="J98:BU98" si="195">SUM(J96:J97)</f>
        <v>0</v>
      </c>
      <c r="K98" s="30">
        <f t="shared" si="195"/>
        <v>-2.7847081138040042</v>
      </c>
      <c r="L98" s="30">
        <f t="shared" si="195"/>
        <v>-8.1744657534246592</v>
      </c>
      <c r="M98" s="30">
        <f t="shared" si="195"/>
        <v>-8.1744657534246592</v>
      </c>
      <c r="N98" s="30">
        <f t="shared" si="195"/>
        <v>-8.436048657534247</v>
      </c>
      <c r="O98" s="30">
        <f t="shared" si="195"/>
        <v>-8.436048657534247</v>
      </c>
      <c r="P98" s="30">
        <f t="shared" si="195"/>
        <v>-8.436048657534247</v>
      </c>
      <c r="Q98" s="30">
        <f t="shared" si="195"/>
        <v>59.060341084511634</v>
      </c>
      <c r="R98" s="30">
        <f t="shared" si="195"/>
        <v>197.80931444375125</v>
      </c>
      <c r="S98" s="30">
        <f t="shared" si="195"/>
        <v>197.59370257759269</v>
      </c>
      <c r="T98" s="30">
        <f t="shared" si="195"/>
        <v>197.3757213502675</v>
      </c>
      <c r="U98" s="30">
        <f t="shared" si="195"/>
        <v>197.15774012294233</v>
      </c>
      <c r="V98" s="30">
        <f t="shared" si="195"/>
        <v>204.33986046015414</v>
      </c>
      <c r="W98" s="30">
        <f t="shared" si="195"/>
        <v>204.1158620890015</v>
      </c>
      <c r="X98" s="30">
        <f t="shared" si="195"/>
        <v>203.88940219728681</v>
      </c>
      <c r="Y98" s="30">
        <f t="shared" si="195"/>
        <v>203.66294230557207</v>
      </c>
      <c r="Z98" s="30">
        <f t="shared" si="195"/>
        <v>209.30166061270148</v>
      </c>
      <c r="AA98" s="30">
        <f t="shared" si="195"/>
        <v>209.07147927883366</v>
      </c>
      <c r="AB98" s="30">
        <f t="shared" si="195"/>
        <v>208.83876847975864</v>
      </c>
      <c r="AC98" s="30">
        <f t="shared" si="195"/>
        <v>208.60605768068339</v>
      </c>
      <c r="AD98" s="30">
        <f t="shared" si="195"/>
        <v>214.35974755829216</v>
      </c>
      <c r="AE98" s="30">
        <f t="shared" si="195"/>
        <v>214.12322868764119</v>
      </c>
      <c r="AF98" s="30">
        <f t="shared" si="195"/>
        <v>213.88411070852172</v>
      </c>
      <c r="AG98" s="30">
        <f t="shared" si="195"/>
        <v>213.64499272940208</v>
      </c>
      <c r="AH98" s="30">
        <f t="shared" si="195"/>
        <v>218.91412173708153</v>
      </c>
      <c r="AI98" s="30">
        <f t="shared" si="195"/>
        <v>218.67243302706606</v>
      </c>
      <c r="AJ98" s="30">
        <f t="shared" si="195"/>
        <v>218.42808839716017</v>
      </c>
      <c r="AK98" s="30">
        <f t="shared" si="195"/>
        <v>218.18374376725433</v>
      </c>
      <c r="AL98" s="30">
        <f t="shared" si="195"/>
        <v>224.77189693337593</v>
      </c>
      <c r="AM98" s="30">
        <f t="shared" si="195"/>
        <v>224.52222371293959</v>
      </c>
      <c r="AN98" s="30">
        <f t="shared" si="195"/>
        <v>224.26980683074038</v>
      </c>
      <c r="AO98" s="30">
        <f t="shared" si="195"/>
        <v>224.01738994854108</v>
      </c>
      <c r="AP98" s="30">
        <f t="shared" si="195"/>
        <v>230.12958823945308</v>
      </c>
      <c r="AQ98" s="30">
        <f t="shared" si="195"/>
        <v>229.87309018506943</v>
      </c>
      <c r="AR98" s="30">
        <f t="shared" si="195"/>
        <v>229.61377347074753</v>
      </c>
      <c r="AS98" s="30">
        <f t="shared" si="195"/>
        <v>229.35445675642575</v>
      </c>
      <c r="AT98" s="30">
        <f t="shared" si="195"/>
        <v>235.59082471549178</v>
      </c>
      <c r="AU98" s="30">
        <f t="shared" si="195"/>
        <v>235.32733120631221</v>
      </c>
      <c r="AV98" s="30">
        <f t="shared" si="195"/>
        <v>235.06094216406481</v>
      </c>
      <c r="AW98" s="30">
        <f t="shared" si="195"/>
        <v>234.79455312181736</v>
      </c>
      <c r="AX98" s="30">
        <f t="shared" si="195"/>
        <v>240.49636456463242</v>
      </c>
      <c r="AY98" s="30">
        <f t="shared" si="195"/>
        <v>240.22717773117756</v>
      </c>
      <c r="AZ98" s="30">
        <f t="shared" si="195"/>
        <v>239.95503280065179</v>
      </c>
      <c r="BA98" s="30">
        <f t="shared" si="195"/>
        <v>239.68288787012602</v>
      </c>
      <c r="BB98" s="30">
        <f t="shared" si="195"/>
        <v>246.83151146758502</v>
      </c>
      <c r="BC98" s="30">
        <f t="shared" si="195"/>
        <v>246.55349801754451</v>
      </c>
      <c r="BD98" s="30">
        <f t="shared" si="195"/>
        <v>246.27242947464654</v>
      </c>
      <c r="BE98" s="30">
        <f t="shared" si="195"/>
        <v>245.99136093174843</v>
      </c>
      <c r="BF98" s="30">
        <f t="shared" si="195"/>
        <v>252.6148252972614</v>
      </c>
      <c r="BG98" s="30">
        <f t="shared" si="195"/>
        <v>252.32927850753362</v>
      </c>
      <c r="BH98" s="30">
        <f t="shared" si="195"/>
        <v>252.04059384099563</v>
      </c>
      <c r="BI98" s="30">
        <f t="shared" si="195"/>
        <v>251.75190917445758</v>
      </c>
      <c r="BJ98" s="30">
        <f t="shared" si="195"/>
        <v>258.5094120060333</v>
      </c>
      <c r="BK98" s="30">
        <f t="shared" si="195"/>
        <v>258.2161435431259</v>
      </c>
      <c r="BL98" s="30">
        <f t="shared" si="195"/>
        <v>257.9196523498569</v>
      </c>
      <c r="BM98" s="30">
        <f t="shared" si="195"/>
        <v>257.62316115658786</v>
      </c>
      <c r="BN98" s="30">
        <f t="shared" si="195"/>
        <v>263.79207431500527</v>
      </c>
      <c r="BO98" s="30">
        <f t="shared" si="195"/>
        <v>263.49253469843029</v>
      </c>
      <c r="BP98" s="30">
        <f t="shared" si="195"/>
        <v>263.18970343771696</v>
      </c>
      <c r="BQ98" s="30">
        <f t="shared" si="195"/>
        <v>262.88687217700374</v>
      </c>
      <c r="BR98" s="30">
        <f t="shared" si="195"/>
        <v>270.64046502526264</v>
      </c>
      <c r="BS98" s="30">
        <f t="shared" si="195"/>
        <v>270.33116926446178</v>
      </c>
      <c r="BT98" s="30">
        <f t="shared" si="195"/>
        <v>270.01847464914681</v>
      </c>
      <c r="BU98" s="30">
        <f t="shared" si="195"/>
        <v>269.70578003383167</v>
      </c>
      <c r="BV98" s="30">
        <f t="shared" ref="BV98:EG98" si="196">SUM(BV96:BV97)</f>
        <v>276.8810391825586</v>
      </c>
      <c r="BW98" s="30">
        <f t="shared" si="196"/>
        <v>276.5634280243014</v>
      </c>
      <c r="BX98" s="30">
        <f t="shared" si="196"/>
        <v>276.24232663353598</v>
      </c>
      <c r="BY98" s="30">
        <f t="shared" si="196"/>
        <v>275.92122524277045</v>
      </c>
      <c r="BZ98" s="30">
        <f t="shared" si="196"/>
        <v>283.24110248139516</v>
      </c>
      <c r="CA98" s="30">
        <f t="shared" si="196"/>
        <v>282.91496804074518</v>
      </c>
      <c r="CB98" s="30">
        <f t="shared" si="196"/>
        <v>282.58524970514304</v>
      </c>
      <c r="CC98" s="30">
        <f t="shared" si="196"/>
        <v>282.25553136954068</v>
      </c>
      <c r="CD98" s="30">
        <f t="shared" si="196"/>
        <v>288.92843776809968</v>
      </c>
      <c r="CE98" s="30">
        <f t="shared" si="196"/>
        <v>288.59539435825019</v>
      </c>
      <c r="CF98" s="30">
        <f t="shared" si="196"/>
        <v>288.25869113070985</v>
      </c>
      <c r="CG98" s="30">
        <f t="shared" si="196"/>
        <v>287.92198790316979</v>
      </c>
      <c r="CH98" s="30">
        <f t="shared" si="196"/>
        <v>296.32825868586576</v>
      </c>
      <c r="CI98" s="30">
        <f t="shared" si="196"/>
        <v>295.98443310719921</v>
      </c>
      <c r="CJ98" s="30">
        <f t="shared" si="196"/>
        <v>295.63682922547036</v>
      </c>
      <c r="CK98" s="30">
        <f t="shared" si="196"/>
        <v>295.28922534374146</v>
      </c>
      <c r="CL98" s="30">
        <f t="shared" si="196"/>
        <v>303.05971281515849</v>
      </c>
      <c r="CM98" s="30">
        <f t="shared" si="196"/>
        <v>302.70670859358881</v>
      </c>
      <c r="CN98" s="30">
        <f t="shared" si="196"/>
        <v>302.34982520474921</v>
      </c>
      <c r="CO98" s="30">
        <f t="shared" si="196"/>
        <v>301.9929418159096</v>
      </c>
      <c r="CP98" s="30">
        <f t="shared" si="196"/>
        <v>309.91937905559149</v>
      </c>
      <c r="CQ98" s="30">
        <f t="shared" si="196"/>
        <v>309.5569667250461</v>
      </c>
      <c r="CR98" s="30">
        <f t="shared" si="196"/>
        <v>309.19057184141786</v>
      </c>
      <c r="CS98" s="30">
        <f t="shared" si="196"/>
        <v>308.82417695778975</v>
      </c>
      <c r="CT98" s="30">
        <f t="shared" si="196"/>
        <v>316.04058272612099</v>
      </c>
      <c r="CU98" s="30">
        <f t="shared" si="196"/>
        <v>315.67055739737032</v>
      </c>
      <c r="CV98" s="30">
        <f t="shared" si="196"/>
        <v>315.2964658562156</v>
      </c>
      <c r="CW98" s="30">
        <f t="shared" si="196"/>
        <v>314.92237431506106</v>
      </c>
      <c r="CX98" s="30">
        <f t="shared" si="196"/>
        <v>324.03242846161254</v>
      </c>
      <c r="CY98" s="30">
        <f t="shared" si="196"/>
        <v>323.65048842487465</v>
      </c>
      <c r="CZ98" s="30">
        <f t="shared" si="196"/>
        <v>323.26435124487602</v>
      </c>
      <c r="DA98" s="30">
        <f t="shared" si="196"/>
        <v>322.87821406487728</v>
      </c>
      <c r="DB98" s="30">
        <f t="shared" si="196"/>
        <v>331.29043456449648</v>
      </c>
      <c r="DC98" s="30">
        <f t="shared" si="196"/>
        <v>330.89836302340382</v>
      </c>
      <c r="DD98" s="30">
        <f t="shared" si="196"/>
        <v>330.50198300383772</v>
      </c>
      <c r="DE98" s="30">
        <f t="shared" si="196"/>
        <v>330.10560298427146</v>
      </c>
      <c r="DF98" s="30">
        <f t="shared" si="196"/>
        <v>338.68589911312802</v>
      </c>
      <c r="DG98" s="30">
        <f t="shared" si="196"/>
        <v>338.28344278007171</v>
      </c>
      <c r="DH98" s="30">
        <f t="shared" si="196"/>
        <v>337.87656384994892</v>
      </c>
      <c r="DI98" s="30">
        <f t="shared" si="196"/>
        <v>337.46968491982591</v>
      </c>
      <c r="DJ98" s="30">
        <f t="shared" si="196"/>
        <v>345.27185606782825</v>
      </c>
      <c r="DK98" s="30">
        <f t="shared" si="196"/>
        <v>344.86100962027422</v>
      </c>
      <c r="DL98" s="30">
        <f t="shared" si="196"/>
        <v>344.44564837659334</v>
      </c>
      <c r="DM98" s="30">
        <f t="shared" si="196"/>
        <v>344.03028713291246</v>
      </c>
      <c r="DN98" s="30">
        <f t="shared" si="196"/>
        <v>353.89881790848438</v>
      </c>
      <c r="DO98" s="30">
        <f t="shared" si="196"/>
        <v>353.47480664160832</v>
      </c>
      <c r="DP98" s="30">
        <f t="shared" si="196"/>
        <v>353.04613591026111</v>
      </c>
      <c r="DQ98" s="30">
        <f t="shared" si="196"/>
        <v>352.61746517891402</v>
      </c>
      <c r="DR98" s="30">
        <f t="shared" si="196"/>
        <v>361.72116414322625</v>
      </c>
      <c r="DS98" s="30">
        <f t="shared" si="196"/>
        <v>361.28596959124184</v>
      </c>
      <c r="DT98" s="30">
        <f t="shared" si="196"/>
        <v>360.84599268154352</v>
      </c>
      <c r="DU98" s="30">
        <f t="shared" si="196"/>
        <v>360.40601577184509</v>
      </c>
      <c r="DV98" s="30">
        <f t="shared" si="196"/>
        <v>369.69075317894169</v>
      </c>
      <c r="DW98" s="30">
        <f t="shared" si="196"/>
        <v>369.2440957597214</v>
      </c>
      <c r="DX98" s="30">
        <f t="shared" si="196"/>
        <v>368.79253001721304</v>
      </c>
      <c r="DY98" s="30">
        <f t="shared" si="196"/>
        <v>368.34096427470456</v>
      </c>
      <c r="DZ98" s="30">
        <f t="shared" si="196"/>
        <v>376.77407395268881</v>
      </c>
      <c r="EA98" s="30">
        <f t="shared" si="196"/>
        <v>376.31816862799025</v>
      </c>
      <c r="EB98" s="30">
        <f t="shared" si="196"/>
        <v>375.85725335466839</v>
      </c>
      <c r="EC98" s="30">
        <f t="shared" si="196"/>
        <v>375.39633808134681</v>
      </c>
      <c r="ED98" s="30">
        <f t="shared" si="196"/>
        <v>386.08182074489736</v>
      </c>
      <c r="EE98" s="30">
        <f t="shared" si="196"/>
        <v>385.61137071187028</v>
      </c>
      <c r="EF98" s="30">
        <f t="shared" si="196"/>
        <v>385.13575089826065</v>
      </c>
      <c r="EG98" s="30">
        <f t="shared" si="196"/>
        <v>384.66013108465103</v>
      </c>
      <c r="EH98" s="30">
        <f t="shared" ref="EH98:FM98" si="197">SUM(EH96:EH97)</f>
        <v>394.50846635380913</v>
      </c>
      <c r="EI98" s="30">
        <f t="shared" si="197"/>
        <v>394.02567206652009</v>
      </c>
      <c r="EJ98" s="30">
        <f t="shared" si="197"/>
        <v>393.53757234750276</v>
      </c>
      <c r="EK98" s="30">
        <f t="shared" si="197"/>
        <v>393.04947262848515</v>
      </c>
      <c r="EL98" s="30">
        <f t="shared" si="197"/>
        <v>403.09268919766839</v>
      </c>
      <c r="EM98" s="30">
        <f t="shared" si="197"/>
        <v>402.59724204976067</v>
      </c>
      <c r="EN98" s="30">
        <f t="shared" si="197"/>
        <v>402.09635042770026</v>
      </c>
      <c r="EO98" s="30">
        <f t="shared" si="197"/>
        <v>401.59545880563979</v>
      </c>
      <c r="EP98" s="30">
        <f t="shared" si="197"/>
        <v>410.70773539592642</v>
      </c>
      <c r="EQ98" s="30">
        <f t="shared" si="197"/>
        <v>410.20209350179834</v>
      </c>
      <c r="ER98" s="30">
        <f t="shared" si="197"/>
        <v>409.69089510333913</v>
      </c>
      <c r="ES98" s="30">
        <f t="shared" si="197"/>
        <v>409.17969670488009</v>
      </c>
      <c r="ET98" s="30">
        <f t="shared" si="197"/>
        <v>420.74458431289878</v>
      </c>
      <c r="EU98" s="30">
        <f t="shared" si="197"/>
        <v>420.22287457116965</v>
      </c>
      <c r="EV98" s="30">
        <f t="shared" si="197"/>
        <v>419.69543175535546</v>
      </c>
      <c r="EW98" s="30">
        <f t="shared" si="197"/>
        <v>419.16798893954137</v>
      </c>
      <c r="EX98" s="30">
        <f t="shared" si="197"/>
        <v>429.81770314798518</v>
      </c>
      <c r="EY98" s="30">
        <f t="shared" si="197"/>
        <v>429.28236765927625</v>
      </c>
      <c r="EZ98" s="30">
        <f t="shared" si="197"/>
        <v>428.74114936299935</v>
      </c>
      <c r="FA98" s="30">
        <f t="shared" si="197"/>
        <v>428.19993106672234</v>
      </c>
      <c r="FB98" s="30">
        <f t="shared" si="197"/>
        <v>0</v>
      </c>
      <c r="FC98" s="30">
        <f t="shared" si="197"/>
        <v>0</v>
      </c>
      <c r="FD98" s="30">
        <f t="shared" si="197"/>
        <v>0</v>
      </c>
      <c r="FE98" s="30">
        <f t="shared" si="197"/>
        <v>0</v>
      </c>
      <c r="FF98" s="30">
        <f t="shared" si="197"/>
        <v>0</v>
      </c>
      <c r="FG98" s="30">
        <f t="shared" si="197"/>
        <v>0</v>
      </c>
      <c r="FH98" s="30">
        <f t="shared" si="197"/>
        <v>0</v>
      </c>
      <c r="FI98" s="30">
        <f t="shared" si="197"/>
        <v>0</v>
      </c>
      <c r="FJ98" s="30">
        <f t="shared" si="197"/>
        <v>0</v>
      </c>
      <c r="FK98" s="30">
        <f t="shared" si="197"/>
        <v>0</v>
      </c>
      <c r="FL98" s="30">
        <f t="shared" si="197"/>
        <v>0</v>
      </c>
      <c r="FM98" s="30">
        <f t="shared" si="197"/>
        <v>0</v>
      </c>
    </row>
    <row r="99" spans="2:169" x14ac:dyDescent="0.25">
      <c r="B99" t="s">
        <v>96</v>
      </c>
      <c r="C99" t="s">
        <v>94</v>
      </c>
      <c r="H99" s="31">
        <f t="shared" ref="H99" si="198">SUM(I99:FM99)</f>
        <v>0</v>
      </c>
      <c r="I99" s="25">
        <f>H98-I98</f>
        <v>0</v>
      </c>
      <c r="J99" s="25">
        <f t="shared" ref="J99:BU99" si="199">I98-J98</f>
        <v>0</v>
      </c>
      <c r="K99" s="25">
        <f t="shared" si="199"/>
        <v>2.7847081138040042</v>
      </c>
      <c r="L99" s="25">
        <f t="shared" si="199"/>
        <v>5.3897576396206546</v>
      </c>
      <c r="M99" s="25">
        <f t="shared" si="199"/>
        <v>0</v>
      </c>
      <c r="N99" s="25">
        <f t="shared" si="199"/>
        <v>0.26158290410958784</v>
      </c>
      <c r="O99" s="25">
        <f t="shared" si="199"/>
        <v>0</v>
      </c>
      <c r="P99" s="25">
        <f t="shared" si="199"/>
        <v>0</v>
      </c>
      <c r="Q99" s="25">
        <f t="shared" si="199"/>
        <v>-67.496389742045878</v>
      </c>
      <c r="R99" s="25">
        <f t="shared" si="199"/>
        <v>-138.74897335923961</v>
      </c>
      <c r="S99" s="25">
        <f t="shared" si="199"/>
        <v>0.21561186615855377</v>
      </c>
      <c r="T99" s="25">
        <f t="shared" si="199"/>
        <v>0.21798122732519687</v>
      </c>
      <c r="U99" s="25">
        <f t="shared" si="199"/>
        <v>0.21798122732516845</v>
      </c>
      <c r="V99" s="25">
        <f t="shared" si="199"/>
        <v>-7.1821203372118134</v>
      </c>
      <c r="W99" s="25">
        <f t="shared" si="199"/>
        <v>0.22399837115264631</v>
      </c>
      <c r="X99" s="25">
        <f t="shared" si="199"/>
        <v>0.22645989171468273</v>
      </c>
      <c r="Y99" s="25">
        <f t="shared" si="199"/>
        <v>0.22645989171473957</v>
      </c>
      <c r="Z99" s="25">
        <f t="shared" si="199"/>
        <v>-5.6387183071294089</v>
      </c>
      <c r="AA99" s="25">
        <f t="shared" si="199"/>
        <v>0.23018133386781869</v>
      </c>
      <c r="AB99" s="25">
        <f t="shared" si="199"/>
        <v>0.23271079907502212</v>
      </c>
      <c r="AC99" s="25">
        <f t="shared" si="199"/>
        <v>0.2327107990752495</v>
      </c>
      <c r="AD99" s="25">
        <f t="shared" si="199"/>
        <v>-5.7536898776087639</v>
      </c>
      <c r="AE99" s="25">
        <f t="shared" si="199"/>
        <v>0.23651887065096844</v>
      </c>
      <c r="AF99" s="25">
        <f t="shared" si="199"/>
        <v>0.23911797911947019</v>
      </c>
      <c r="AG99" s="25">
        <f t="shared" si="199"/>
        <v>0.23911797911964072</v>
      </c>
      <c r="AH99" s="25">
        <f t="shared" si="199"/>
        <v>-5.269129007679453</v>
      </c>
      <c r="AI99" s="25">
        <f t="shared" si="199"/>
        <v>0.24168871001546677</v>
      </c>
      <c r="AJ99" s="25">
        <f t="shared" si="199"/>
        <v>0.24434462990589623</v>
      </c>
      <c r="AK99" s="25">
        <f t="shared" si="199"/>
        <v>0.24434462990583938</v>
      </c>
      <c r="AL99" s="25">
        <f t="shared" si="199"/>
        <v>-6.5881531661216002</v>
      </c>
      <c r="AM99" s="25">
        <f t="shared" si="199"/>
        <v>0.24967322043633544</v>
      </c>
      <c r="AN99" s="25">
        <f t="shared" si="199"/>
        <v>0.25241688219921343</v>
      </c>
      <c r="AO99" s="25">
        <f t="shared" si="199"/>
        <v>0.2524168821992987</v>
      </c>
      <c r="AP99" s="25">
        <f t="shared" si="199"/>
        <v>-6.1121982909120049</v>
      </c>
      <c r="AQ99" s="25">
        <f t="shared" si="199"/>
        <v>0.25649805438365547</v>
      </c>
      <c r="AR99" s="25">
        <f t="shared" si="199"/>
        <v>0.25931671432189773</v>
      </c>
      <c r="AS99" s="25">
        <f t="shared" si="199"/>
        <v>0.25931671432178405</v>
      </c>
      <c r="AT99" s="25">
        <f t="shared" si="199"/>
        <v>-6.2363679590660297</v>
      </c>
      <c r="AU99" s="25">
        <f t="shared" si="199"/>
        <v>0.26349350917956826</v>
      </c>
      <c r="AV99" s="25">
        <f t="shared" si="199"/>
        <v>0.2663890422473969</v>
      </c>
      <c r="AW99" s="25">
        <f t="shared" si="199"/>
        <v>0.26638904224745374</v>
      </c>
      <c r="AX99" s="25">
        <f t="shared" si="199"/>
        <v>-5.7018114428150568</v>
      </c>
      <c r="AY99" s="25">
        <f t="shared" si="199"/>
        <v>0.26918683345485306</v>
      </c>
      <c r="AZ99" s="25">
        <f t="shared" si="199"/>
        <v>0.27214493052576927</v>
      </c>
      <c r="BA99" s="25">
        <f t="shared" si="199"/>
        <v>0.27214493052576927</v>
      </c>
      <c r="BB99" s="25">
        <f t="shared" si="199"/>
        <v>-7.1486235974589931</v>
      </c>
      <c r="BC99" s="25">
        <f t="shared" si="199"/>
        <v>0.27801345004050404</v>
      </c>
      <c r="BD99" s="25">
        <f t="shared" si="199"/>
        <v>0.28106854289796956</v>
      </c>
      <c r="BE99" s="25">
        <f t="shared" si="199"/>
        <v>0.28106854289811167</v>
      </c>
      <c r="BF99" s="25">
        <f t="shared" si="199"/>
        <v>-6.623464365512973</v>
      </c>
      <c r="BG99" s="25">
        <f t="shared" si="199"/>
        <v>0.28554678972778902</v>
      </c>
      <c r="BH99" s="25">
        <f t="shared" si="199"/>
        <v>0.28868466653798919</v>
      </c>
      <c r="BI99" s="25">
        <f t="shared" si="199"/>
        <v>0.28868466653804603</v>
      </c>
      <c r="BJ99" s="25">
        <f t="shared" si="199"/>
        <v>-6.7575028315757208</v>
      </c>
      <c r="BK99" s="25">
        <f t="shared" si="199"/>
        <v>0.29326846290740605</v>
      </c>
      <c r="BL99" s="25">
        <f t="shared" si="199"/>
        <v>0.29649119326899154</v>
      </c>
      <c r="BM99" s="25">
        <f t="shared" si="199"/>
        <v>0.29649119326904838</v>
      </c>
      <c r="BN99" s="25">
        <f t="shared" si="199"/>
        <v>-6.1689131584174106</v>
      </c>
      <c r="BO99" s="25">
        <f t="shared" si="199"/>
        <v>0.2995396165749753</v>
      </c>
      <c r="BP99" s="25">
        <f t="shared" si="199"/>
        <v>0.30283126071333299</v>
      </c>
      <c r="BQ99" s="25">
        <f t="shared" si="199"/>
        <v>0.30283126071321931</v>
      </c>
      <c r="BR99" s="25">
        <f t="shared" si="199"/>
        <v>-7.7535928482589043</v>
      </c>
      <c r="BS99" s="25">
        <f t="shared" si="199"/>
        <v>0.30929576080086463</v>
      </c>
      <c r="BT99" s="25">
        <f t="shared" si="199"/>
        <v>0.31269461531496745</v>
      </c>
      <c r="BU99" s="25">
        <f t="shared" si="199"/>
        <v>0.31269461531513798</v>
      </c>
      <c r="BV99" s="25">
        <f t="shared" ref="BV99:EG99" si="200">BU98-BV98</f>
        <v>-7.1752591487269228</v>
      </c>
      <c r="BW99" s="25">
        <f t="shared" si="200"/>
        <v>0.31761115825719344</v>
      </c>
      <c r="BX99" s="25">
        <f t="shared" si="200"/>
        <v>0.32110139076542055</v>
      </c>
      <c r="BY99" s="25">
        <f t="shared" si="200"/>
        <v>0.32110139076553423</v>
      </c>
      <c r="BZ99" s="25">
        <f t="shared" si="200"/>
        <v>-7.3198772386247128</v>
      </c>
      <c r="CA99" s="25">
        <f t="shared" si="200"/>
        <v>0.32613444064998021</v>
      </c>
      <c r="CB99" s="25">
        <f t="shared" si="200"/>
        <v>0.32971833560213781</v>
      </c>
      <c r="CC99" s="25">
        <f t="shared" si="200"/>
        <v>0.32971833560236519</v>
      </c>
      <c r="CD99" s="25">
        <f t="shared" si="200"/>
        <v>-6.6729063985590074</v>
      </c>
      <c r="CE99" s="25">
        <f t="shared" si="200"/>
        <v>0.33304340984949476</v>
      </c>
      <c r="CF99" s="25">
        <f t="shared" si="200"/>
        <v>0.33670322754034032</v>
      </c>
      <c r="CG99" s="25">
        <f t="shared" si="200"/>
        <v>0.3367032275400561</v>
      </c>
      <c r="CH99" s="25">
        <f t="shared" si="200"/>
        <v>-8.4062707826959695</v>
      </c>
      <c r="CI99" s="25">
        <f t="shared" si="200"/>
        <v>0.34382557866655361</v>
      </c>
      <c r="CJ99" s="25">
        <f t="shared" si="200"/>
        <v>0.34760388172884404</v>
      </c>
      <c r="CK99" s="25">
        <f t="shared" si="200"/>
        <v>0.34760388172890089</v>
      </c>
      <c r="CL99" s="25">
        <f t="shared" si="200"/>
        <v>-7.7704874714170273</v>
      </c>
      <c r="CM99" s="25">
        <f t="shared" si="200"/>
        <v>0.3530042215696767</v>
      </c>
      <c r="CN99" s="25">
        <f t="shared" si="200"/>
        <v>0.35688338883960569</v>
      </c>
      <c r="CO99" s="25">
        <f t="shared" si="200"/>
        <v>0.35688338883960569</v>
      </c>
      <c r="CP99" s="25">
        <f t="shared" si="200"/>
        <v>-7.9264372396818885</v>
      </c>
      <c r="CQ99" s="25">
        <f t="shared" si="200"/>
        <v>0.36241233054539634</v>
      </c>
      <c r="CR99" s="25">
        <f t="shared" si="200"/>
        <v>0.36639488362823158</v>
      </c>
      <c r="CS99" s="25">
        <f t="shared" si="200"/>
        <v>0.3663948836281179</v>
      </c>
      <c r="CT99" s="25">
        <f t="shared" si="200"/>
        <v>-7.2164057683312421</v>
      </c>
      <c r="CU99" s="25">
        <f t="shared" si="200"/>
        <v>0.37002532875067118</v>
      </c>
      <c r="CV99" s="25">
        <f t="shared" si="200"/>
        <v>0.3740915411547121</v>
      </c>
      <c r="CW99" s="25">
        <f t="shared" si="200"/>
        <v>0.37409154115454157</v>
      </c>
      <c r="CX99" s="25">
        <f t="shared" si="200"/>
        <v>-9.1100541465514766</v>
      </c>
      <c r="CY99" s="25">
        <f t="shared" si="200"/>
        <v>0.38194003673788757</v>
      </c>
      <c r="CZ99" s="25">
        <f t="shared" si="200"/>
        <v>0.38613717999862729</v>
      </c>
      <c r="DA99" s="25">
        <f t="shared" si="200"/>
        <v>0.38613717999874098</v>
      </c>
      <c r="DB99" s="25">
        <f t="shared" si="200"/>
        <v>-8.4122204996191954</v>
      </c>
      <c r="DC99" s="25">
        <f t="shared" si="200"/>
        <v>0.39207154109266185</v>
      </c>
      <c r="DD99" s="25">
        <f t="shared" si="200"/>
        <v>0.39638001956609514</v>
      </c>
      <c r="DE99" s="25">
        <f t="shared" si="200"/>
        <v>0.39638001956626567</v>
      </c>
      <c r="DF99" s="25">
        <f t="shared" si="200"/>
        <v>-8.5802961288565598</v>
      </c>
      <c r="DG99" s="25">
        <f t="shared" si="200"/>
        <v>0.4024563330563069</v>
      </c>
      <c r="DH99" s="25">
        <f t="shared" si="200"/>
        <v>0.40687893012278664</v>
      </c>
      <c r="DI99" s="25">
        <f t="shared" si="200"/>
        <v>0.40687893012301402</v>
      </c>
      <c r="DJ99" s="25">
        <f t="shared" si="200"/>
        <v>-7.8021711480023441</v>
      </c>
      <c r="DK99" s="25">
        <f t="shared" si="200"/>
        <v>0.41084644755403588</v>
      </c>
      <c r="DL99" s="25">
        <f t="shared" si="200"/>
        <v>0.41536124368087712</v>
      </c>
      <c r="DM99" s="25">
        <f t="shared" si="200"/>
        <v>0.41536124368087712</v>
      </c>
      <c r="DN99" s="25">
        <f t="shared" si="200"/>
        <v>-9.8685307755719123</v>
      </c>
      <c r="DO99" s="25">
        <f t="shared" si="200"/>
        <v>0.42401126687605029</v>
      </c>
      <c r="DP99" s="25">
        <f t="shared" si="200"/>
        <v>0.42867073134721068</v>
      </c>
      <c r="DQ99" s="25">
        <f t="shared" si="200"/>
        <v>0.42867073134709699</v>
      </c>
      <c r="DR99" s="25">
        <f t="shared" si="200"/>
        <v>-9.1036989643122297</v>
      </c>
      <c r="DS99" s="25">
        <f t="shared" si="200"/>
        <v>0.43519455198440937</v>
      </c>
      <c r="DT99" s="25">
        <f t="shared" si="200"/>
        <v>0.43997690969831638</v>
      </c>
      <c r="DU99" s="25">
        <f t="shared" si="200"/>
        <v>0.43997690969843006</v>
      </c>
      <c r="DV99" s="25">
        <f t="shared" si="200"/>
        <v>-9.2847374070965998</v>
      </c>
      <c r="DW99" s="25">
        <f t="shared" si="200"/>
        <v>0.44665741922028701</v>
      </c>
      <c r="DX99" s="25">
        <f t="shared" si="200"/>
        <v>0.45156574250836456</v>
      </c>
      <c r="DY99" s="25">
        <f t="shared" si="200"/>
        <v>0.45156574250847825</v>
      </c>
      <c r="DZ99" s="25">
        <f t="shared" si="200"/>
        <v>-8.4331096779842483</v>
      </c>
      <c r="EA99" s="25">
        <f t="shared" si="200"/>
        <v>0.45590532469856271</v>
      </c>
      <c r="EB99" s="25">
        <f t="shared" si="200"/>
        <v>0.46091527332185933</v>
      </c>
      <c r="EC99" s="25">
        <f t="shared" si="200"/>
        <v>0.46091527332157511</v>
      </c>
      <c r="ED99" s="25">
        <f t="shared" si="200"/>
        <v>-10.685482663550545</v>
      </c>
      <c r="EE99" s="25">
        <f t="shared" si="200"/>
        <v>0.47045003302707755</v>
      </c>
      <c r="EF99" s="25">
        <f t="shared" si="200"/>
        <v>0.47561981360962591</v>
      </c>
      <c r="EG99" s="25">
        <f t="shared" si="200"/>
        <v>0.47561981360962591</v>
      </c>
      <c r="EH99" s="25">
        <f t="shared" ref="EH99:FM99" si="201">EG98-EH98</f>
        <v>-9.848335269158099</v>
      </c>
      <c r="EI99" s="25">
        <f t="shared" si="201"/>
        <v>0.48279428728903895</v>
      </c>
      <c r="EJ99" s="25">
        <f t="shared" si="201"/>
        <v>0.48809971901732752</v>
      </c>
      <c r="EK99" s="25">
        <f t="shared" si="201"/>
        <v>0.48809971901761173</v>
      </c>
      <c r="EL99" s="25">
        <f t="shared" si="201"/>
        <v>-10.043216569183244</v>
      </c>
      <c r="EM99" s="25">
        <f t="shared" si="201"/>
        <v>0.49544714790772559</v>
      </c>
      <c r="EN99" s="25">
        <f t="shared" si="201"/>
        <v>0.50089162206040783</v>
      </c>
      <c r="EO99" s="25">
        <f t="shared" si="201"/>
        <v>0.50089162206046467</v>
      </c>
      <c r="EP99" s="25">
        <f t="shared" si="201"/>
        <v>-9.1122765902866263</v>
      </c>
      <c r="EQ99" s="25">
        <f t="shared" si="201"/>
        <v>0.50564189412807536</v>
      </c>
      <c r="ER99" s="25">
        <f t="shared" si="201"/>
        <v>0.51119839845921433</v>
      </c>
      <c r="ES99" s="25">
        <f t="shared" si="201"/>
        <v>0.5111983984590438</v>
      </c>
      <c r="ET99" s="25">
        <f t="shared" si="201"/>
        <v>-11.564887608018694</v>
      </c>
      <c r="EU99" s="25">
        <f t="shared" si="201"/>
        <v>0.52170974172912565</v>
      </c>
      <c r="EV99" s="25">
        <f t="shared" si="201"/>
        <v>0.52744281581419727</v>
      </c>
      <c r="EW99" s="25">
        <f t="shared" si="201"/>
        <v>0.52744281581408359</v>
      </c>
      <c r="EX99" s="25">
        <f t="shared" si="201"/>
        <v>-10.649714208443811</v>
      </c>
      <c r="EY99" s="25">
        <f t="shared" si="201"/>
        <v>0.5353354887089381</v>
      </c>
      <c r="EZ99" s="25">
        <f t="shared" si="201"/>
        <v>0.54121829627689522</v>
      </c>
      <c r="FA99" s="25">
        <f t="shared" si="201"/>
        <v>0.5412182962770089</v>
      </c>
      <c r="FB99" s="25">
        <f t="shared" si="201"/>
        <v>428.19993106672234</v>
      </c>
      <c r="FC99" s="25">
        <f t="shared" si="201"/>
        <v>0</v>
      </c>
      <c r="FD99" s="25">
        <f t="shared" si="201"/>
        <v>0</v>
      </c>
      <c r="FE99" s="25">
        <f t="shared" si="201"/>
        <v>0</v>
      </c>
      <c r="FF99" s="25">
        <f t="shared" si="201"/>
        <v>0</v>
      </c>
      <c r="FG99" s="25">
        <f t="shared" si="201"/>
        <v>0</v>
      </c>
      <c r="FH99" s="25">
        <f t="shared" si="201"/>
        <v>0</v>
      </c>
      <c r="FI99" s="25">
        <f t="shared" si="201"/>
        <v>0</v>
      </c>
      <c r="FJ99" s="25">
        <f t="shared" si="201"/>
        <v>0</v>
      </c>
      <c r="FK99" s="25">
        <f t="shared" si="201"/>
        <v>0</v>
      </c>
      <c r="FL99" s="25">
        <f t="shared" si="201"/>
        <v>0</v>
      </c>
      <c r="FM99" s="25">
        <f t="shared" si="201"/>
        <v>0</v>
      </c>
    </row>
    <row r="100" spans="2:169" x14ac:dyDescent="0.25"/>
    <row r="101" spans="2:169" x14ac:dyDescent="0.25">
      <c r="B101" s="40" t="s">
        <v>135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 s="40"/>
      <c r="DT101" s="40"/>
      <c r="DU101" s="40"/>
      <c r="DV101" s="40"/>
      <c r="DW101" s="40"/>
      <c r="DX101" s="40"/>
      <c r="DY101" s="40"/>
      <c r="DZ101" s="40"/>
      <c r="EA101" s="40"/>
      <c r="EB101" s="40"/>
      <c r="EC101" s="40"/>
      <c r="ED101" s="40"/>
      <c r="EE101" s="40"/>
      <c r="EF101" s="40"/>
      <c r="EG101" s="40"/>
      <c r="EH101" s="40"/>
      <c r="EI101" s="40"/>
      <c r="EJ101" s="40"/>
      <c r="EK101" s="40"/>
      <c r="EL101" s="40"/>
      <c r="EM101" s="40"/>
      <c r="EN101" s="40"/>
      <c r="EO101" s="40"/>
      <c r="EP101" s="40"/>
      <c r="EQ101" s="40"/>
      <c r="ER101" s="40"/>
      <c r="ES101" s="40"/>
      <c r="ET101" s="40"/>
      <c r="EU101" s="40"/>
      <c r="EV101" s="40"/>
      <c r="EW101" s="40"/>
      <c r="EX101" s="40"/>
      <c r="EY101" s="40"/>
      <c r="EZ101" s="40"/>
      <c r="FA101" s="40"/>
      <c r="FB101" s="40"/>
      <c r="FC101" s="40"/>
      <c r="FD101" s="40"/>
      <c r="FE101" s="40"/>
      <c r="FF101" s="40"/>
      <c r="FG101" s="40"/>
      <c r="FH101" s="40"/>
      <c r="FI101" s="40"/>
      <c r="FJ101" s="40"/>
      <c r="FK101" s="40"/>
      <c r="FL101" s="40"/>
      <c r="FM101" s="40"/>
    </row>
    <row r="102" spans="2:169" x14ac:dyDescent="0.25">
      <c r="B102" s="34" t="s">
        <v>106</v>
      </c>
    </row>
    <row r="103" spans="2:169" x14ac:dyDescent="0.25">
      <c r="B103" t="s">
        <v>136</v>
      </c>
      <c r="C103" t="s">
        <v>94</v>
      </c>
      <c r="I103" s="25">
        <f>H106</f>
        <v>0</v>
      </c>
      <c r="J103" s="25">
        <f t="shared" ref="J103:BU103" si="202">I106</f>
        <v>0</v>
      </c>
      <c r="K103" s="25">
        <f t="shared" si="202"/>
        <v>0</v>
      </c>
      <c r="L103" s="25">
        <f t="shared" si="202"/>
        <v>3141.5</v>
      </c>
      <c r="M103" s="25">
        <f t="shared" si="202"/>
        <v>9031.8125</v>
      </c>
      <c r="N103" s="25">
        <f t="shared" si="202"/>
        <v>14922.125</v>
      </c>
      <c r="O103" s="25">
        <f t="shared" si="202"/>
        <v>20943.333333333332</v>
      </c>
      <c r="P103" s="25">
        <f t="shared" si="202"/>
        <v>26074.449999999997</v>
      </c>
      <c r="Q103" s="25">
        <f t="shared" si="202"/>
        <v>28901.799999999996</v>
      </c>
      <c r="R103" s="25">
        <f t="shared" si="202"/>
        <v>31326.062557077621</v>
      </c>
      <c r="S103" s="25">
        <f t="shared" si="202"/>
        <v>31065.701445966512</v>
      </c>
      <c r="T103" s="25">
        <f t="shared" si="202"/>
        <v>30805.340334855402</v>
      </c>
      <c r="U103" s="25">
        <f t="shared" si="202"/>
        <v>30542.118112633179</v>
      </c>
      <c r="V103" s="25">
        <f t="shared" si="202"/>
        <v>30278.895890410957</v>
      </c>
      <c r="W103" s="25">
        <f t="shared" si="202"/>
        <v>30020.690410958901</v>
      </c>
      <c r="X103" s="25">
        <f t="shared" si="202"/>
        <v>29759.615981735158</v>
      </c>
      <c r="Y103" s="25">
        <f t="shared" si="202"/>
        <v>29495.672602739724</v>
      </c>
      <c r="Z103" s="25">
        <f t="shared" si="202"/>
        <v>29231.729223744289</v>
      </c>
      <c r="AA103" s="25">
        <f t="shared" si="202"/>
        <v>28973.523744292233</v>
      </c>
      <c r="AB103" s="25">
        <f t="shared" si="202"/>
        <v>28712.44931506849</v>
      </c>
      <c r="AC103" s="25">
        <f t="shared" si="202"/>
        <v>28448.505936073056</v>
      </c>
      <c r="AD103" s="25">
        <f t="shared" si="202"/>
        <v>28184.562557077621</v>
      </c>
      <c r="AE103" s="25">
        <f t="shared" si="202"/>
        <v>27926.357077625566</v>
      </c>
      <c r="AF103" s="25">
        <f t="shared" si="202"/>
        <v>27665.282648401822</v>
      </c>
      <c r="AG103" s="25">
        <f t="shared" si="202"/>
        <v>27401.339269406388</v>
      </c>
      <c r="AH103" s="25">
        <f t="shared" si="202"/>
        <v>27137.395890410953</v>
      </c>
      <c r="AI103" s="25">
        <f t="shared" si="202"/>
        <v>26877.034779299844</v>
      </c>
      <c r="AJ103" s="25">
        <f t="shared" si="202"/>
        <v>26616.673668188734</v>
      </c>
      <c r="AK103" s="25">
        <f t="shared" si="202"/>
        <v>26353.451445966512</v>
      </c>
      <c r="AL103" s="25">
        <f t="shared" si="202"/>
        <v>26090.229223744289</v>
      </c>
      <c r="AM103" s="25">
        <f t="shared" si="202"/>
        <v>25832.023744292233</v>
      </c>
      <c r="AN103" s="25">
        <f t="shared" si="202"/>
        <v>25570.94931506849</v>
      </c>
      <c r="AO103" s="25">
        <f t="shared" si="202"/>
        <v>25307.005936073056</v>
      </c>
      <c r="AP103" s="25">
        <f t="shared" si="202"/>
        <v>25043.062557077621</v>
      </c>
      <c r="AQ103" s="25">
        <f t="shared" si="202"/>
        <v>24784.857077625566</v>
      </c>
      <c r="AR103" s="25">
        <f t="shared" si="202"/>
        <v>24523.782648401822</v>
      </c>
      <c r="AS103" s="25">
        <f t="shared" si="202"/>
        <v>24259.839269406388</v>
      </c>
      <c r="AT103" s="25">
        <f t="shared" si="202"/>
        <v>23995.895890410953</v>
      </c>
      <c r="AU103" s="25">
        <f t="shared" si="202"/>
        <v>23737.690410958898</v>
      </c>
      <c r="AV103" s="25">
        <f t="shared" si="202"/>
        <v>23476.615981735154</v>
      </c>
      <c r="AW103" s="25">
        <f t="shared" si="202"/>
        <v>23212.67260273972</v>
      </c>
      <c r="AX103" s="25">
        <f t="shared" si="202"/>
        <v>22948.729223744285</v>
      </c>
      <c r="AY103" s="25">
        <f t="shared" si="202"/>
        <v>22688.368112633176</v>
      </c>
      <c r="AZ103" s="25">
        <f t="shared" si="202"/>
        <v>22428.007001522066</v>
      </c>
      <c r="BA103" s="25">
        <f t="shared" si="202"/>
        <v>22164.784779299844</v>
      </c>
      <c r="BB103" s="25">
        <f t="shared" si="202"/>
        <v>21901.562557077621</v>
      </c>
      <c r="BC103" s="25">
        <f t="shared" si="202"/>
        <v>21643.357077625566</v>
      </c>
      <c r="BD103" s="25">
        <f t="shared" si="202"/>
        <v>21382.282648401822</v>
      </c>
      <c r="BE103" s="25">
        <f t="shared" si="202"/>
        <v>21118.339269406388</v>
      </c>
      <c r="BF103" s="25">
        <f t="shared" si="202"/>
        <v>20854.395890410953</v>
      </c>
      <c r="BG103" s="25">
        <f t="shared" si="202"/>
        <v>20596.190410958898</v>
      </c>
      <c r="BH103" s="25">
        <f t="shared" si="202"/>
        <v>20335.115981735154</v>
      </c>
      <c r="BI103" s="25">
        <f t="shared" si="202"/>
        <v>20071.17260273972</v>
      </c>
      <c r="BJ103" s="25">
        <f t="shared" si="202"/>
        <v>19807.229223744285</v>
      </c>
      <c r="BK103" s="25">
        <f t="shared" si="202"/>
        <v>19549.02374429223</v>
      </c>
      <c r="BL103" s="25">
        <f t="shared" si="202"/>
        <v>19287.949315068487</v>
      </c>
      <c r="BM103" s="25">
        <f t="shared" si="202"/>
        <v>19024.005936073052</v>
      </c>
      <c r="BN103" s="25">
        <f t="shared" si="202"/>
        <v>18760.062557077617</v>
      </c>
      <c r="BO103" s="25">
        <f t="shared" si="202"/>
        <v>18499.701445966508</v>
      </c>
      <c r="BP103" s="25">
        <f t="shared" si="202"/>
        <v>18239.340334855398</v>
      </c>
      <c r="BQ103" s="25">
        <f t="shared" si="202"/>
        <v>17976.118112633176</v>
      </c>
      <c r="BR103" s="25">
        <f t="shared" si="202"/>
        <v>17712.895890410953</v>
      </c>
      <c r="BS103" s="25">
        <f t="shared" si="202"/>
        <v>17454.690410958898</v>
      </c>
      <c r="BT103" s="25">
        <f t="shared" si="202"/>
        <v>17193.615981735154</v>
      </c>
      <c r="BU103" s="25">
        <f t="shared" si="202"/>
        <v>16929.67260273972</v>
      </c>
      <c r="BV103" s="25">
        <f t="shared" ref="BV103:EG103" si="203">BU106</f>
        <v>16665.729223744285</v>
      </c>
      <c r="BW103" s="25">
        <f t="shared" si="203"/>
        <v>16407.52374429223</v>
      </c>
      <c r="BX103" s="25">
        <f t="shared" si="203"/>
        <v>16146.449315068485</v>
      </c>
      <c r="BY103" s="25">
        <f t="shared" si="203"/>
        <v>15882.50593607305</v>
      </c>
      <c r="BZ103" s="25">
        <f t="shared" si="203"/>
        <v>15618.562557077616</v>
      </c>
      <c r="CA103" s="25">
        <f t="shared" si="203"/>
        <v>15360.35707762556</v>
      </c>
      <c r="CB103" s="25">
        <f t="shared" si="203"/>
        <v>15099.282648401815</v>
      </c>
      <c r="CC103" s="25">
        <f t="shared" si="203"/>
        <v>14835.33926940638</v>
      </c>
      <c r="CD103" s="25">
        <f t="shared" si="203"/>
        <v>14571.395890410946</v>
      </c>
      <c r="CE103" s="25">
        <f t="shared" si="203"/>
        <v>14311.034779299835</v>
      </c>
      <c r="CF103" s="25">
        <f t="shared" si="203"/>
        <v>14050.673668188723</v>
      </c>
      <c r="CG103" s="25">
        <f t="shared" si="203"/>
        <v>13787.451445966501</v>
      </c>
      <c r="CH103" s="25">
        <f t="shared" si="203"/>
        <v>13524.229223744278</v>
      </c>
      <c r="CI103" s="25">
        <f t="shared" si="203"/>
        <v>13266.023744292223</v>
      </c>
      <c r="CJ103" s="25">
        <f t="shared" si="203"/>
        <v>13004.949315068478</v>
      </c>
      <c r="CK103" s="25">
        <f t="shared" si="203"/>
        <v>12741.005936073043</v>
      </c>
      <c r="CL103" s="25">
        <f t="shared" si="203"/>
        <v>12477.062557077608</v>
      </c>
      <c r="CM103" s="25">
        <f t="shared" si="203"/>
        <v>12218.857077625553</v>
      </c>
      <c r="CN103" s="25">
        <f t="shared" si="203"/>
        <v>11957.782648401808</v>
      </c>
      <c r="CO103" s="25">
        <f t="shared" si="203"/>
        <v>11693.839269406373</v>
      </c>
      <c r="CP103" s="25">
        <f t="shared" si="203"/>
        <v>11429.895890410939</v>
      </c>
      <c r="CQ103" s="25">
        <f t="shared" si="203"/>
        <v>11171.690410958883</v>
      </c>
      <c r="CR103" s="25">
        <f t="shared" si="203"/>
        <v>10910.615981735138</v>
      </c>
      <c r="CS103" s="25">
        <f t="shared" si="203"/>
        <v>10646.672602739704</v>
      </c>
      <c r="CT103" s="25">
        <f t="shared" si="203"/>
        <v>10382.729223744269</v>
      </c>
      <c r="CU103" s="25">
        <f t="shared" si="203"/>
        <v>10122.368112633158</v>
      </c>
      <c r="CV103" s="25">
        <f t="shared" si="203"/>
        <v>9862.0070015220463</v>
      </c>
      <c r="CW103" s="25">
        <f t="shared" si="203"/>
        <v>9598.7847792998236</v>
      </c>
      <c r="CX103" s="25">
        <f t="shared" si="203"/>
        <v>9335.562557077601</v>
      </c>
      <c r="CY103" s="25">
        <f t="shared" si="203"/>
        <v>9077.3570776255456</v>
      </c>
      <c r="CZ103" s="25">
        <f t="shared" si="203"/>
        <v>8816.2826484018005</v>
      </c>
      <c r="DA103" s="25">
        <f t="shared" si="203"/>
        <v>8552.3392694063659</v>
      </c>
      <c r="DB103" s="25">
        <f t="shared" si="203"/>
        <v>8288.3958904109313</v>
      </c>
      <c r="DC103" s="25">
        <f t="shared" si="203"/>
        <v>8030.1904109588768</v>
      </c>
      <c r="DD103" s="25">
        <f t="shared" si="203"/>
        <v>7769.1159817351327</v>
      </c>
      <c r="DE103" s="25">
        <f t="shared" si="203"/>
        <v>7505.172602739699</v>
      </c>
      <c r="DF103" s="25">
        <f t="shared" si="203"/>
        <v>7241.2292237442653</v>
      </c>
      <c r="DG103" s="25">
        <f t="shared" si="203"/>
        <v>6983.0237442922107</v>
      </c>
      <c r="DH103" s="25">
        <f t="shared" si="203"/>
        <v>6721.9493150684666</v>
      </c>
      <c r="DI103" s="25">
        <f t="shared" si="203"/>
        <v>6458.0059360730329</v>
      </c>
      <c r="DJ103" s="25">
        <f t="shared" si="203"/>
        <v>6194.0625570775992</v>
      </c>
      <c r="DK103" s="25">
        <f t="shared" si="203"/>
        <v>5933.7014459664879</v>
      </c>
      <c r="DL103" s="25">
        <f t="shared" si="203"/>
        <v>5673.3403348553766</v>
      </c>
      <c r="DM103" s="25">
        <f t="shared" si="203"/>
        <v>5410.1181126331539</v>
      </c>
      <c r="DN103" s="25">
        <f t="shared" si="203"/>
        <v>5146.8958904109313</v>
      </c>
      <c r="DO103" s="25">
        <f t="shared" si="203"/>
        <v>4888.6904109588768</v>
      </c>
      <c r="DP103" s="25">
        <f t="shared" si="203"/>
        <v>4627.6159817351327</v>
      </c>
      <c r="DQ103" s="25">
        <f t="shared" si="203"/>
        <v>4363.672602739699</v>
      </c>
      <c r="DR103" s="25">
        <f t="shared" si="203"/>
        <v>4099.7292237442653</v>
      </c>
      <c r="DS103" s="25">
        <f t="shared" si="203"/>
        <v>3841.5237442922107</v>
      </c>
      <c r="DT103" s="25">
        <f t="shared" si="203"/>
        <v>3580.4493150684666</v>
      </c>
      <c r="DU103" s="25">
        <f t="shared" si="203"/>
        <v>3316.5059360730329</v>
      </c>
      <c r="DV103" s="25">
        <f t="shared" si="203"/>
        <v>3052.5625570775992</v>
      </c>
      <c r="DW103" s="25">
        <f t="shared" si="203"/>
        <v>2794.3570776255447</v>
      </c>
      <c r="DX103" s="25">
        <f t="shared" si="203"/>
        <v>2533.2826484018005</v>
      </c>
      <c r="DY103" s="25">
        <f t="shared" si="203"/>
        <v>2269.3392694063668</v>
      </c>
      <c r="DZ103" s="25">
        <f t="shared" si="203"/>
        <v>2005.3958904109331</v>
      </c>
      <c r="EA103" s="25">
        <f t="shared" si="203"/>
        <v>1745.034779299822</v>
      </c>
      <c r="EB103" s="25">
        <f t="shared" si="203"/>
        <v>1484.673668188711</v>
      </c>
      <c r="EC103" s="25">
        <f t="shared" si="203"/>
        <v>1221.4514459664888</v>
      </c>
      <c r="ED103" s="25">
        <f t="shared" si="203"/>
        <v>958.22922374426662</v>
      </c>
      <c r="EE103" s="25">
        <f t="shared" si="203"/>
        <v>700.02374429221186</v>
      </c>
      <c r="EF103" s="25">
        <f t="shared" si="203"/>
        <v>438.94931506846763</v>
      </c>
      <c r="EG103" s="25">
        <f t="shared" si="203"/>
        <v>175.00593607303387</v>
      </c>
      <c r="EH103" s="25">
        <f t="shared" ref="EH103:FM103" si="204">EG106</f>
        <v>0</v>
      </c>
      <c r="EI103" s="25">
        <f t="shared" si="204"/>
        <v>0</v>
      </c>
      <c r="EJ103" s="25">
        <f t="shared" si="204"/>
        <v>0</v>
      </c>
      <c r="EK103" s="25">
        <f t="shared" si="204"/>
        <v>0</v>
      </c>
      <c r="EL103" s="25">
        <f t="shared" si="204"/>
        <v>0</v>
      </c>
      <c r="EM103" s="25">
        <f t="shared" si="204"/>
        <v>0</v>
      </c>
      <c r="EN103" s="25">
        <f t="shared" si="204"/>
        <v>0</v>
      </c>
      <c r="EO103" s="25">
        <f t="shared" si="204"/>
        <v>0</v>
      </c>
      <c r="EP103" s="25">
        <f t="shared" si="204"/>
        <v>0</v>
      </c>
      <c r="EQ103" s="25">
        <f t="shared" si="204"/>
        <v>0</v>
      </c>
      <c r="ER103" s="25">
        <f t="shared" si="204"/>
        <v>0</v>
      </c>
      <c r="ES103" s="25">
        <f t="shared" si="204"/>
        <v>0</v>
      </c>
      <c r="ET103" s="25">
        <f t="shared" si="204"/>
        <v>0</v>
      </c>
      <c r="EU103" s="25">
        <f t="shared" si="204"/>
        <v>0</v>
      </c>
      <c r="EV103" s="25">
        <f t="shared" si="204"/>
        <v>0</v>
      </c>
      <c r="EW103" s="25">
        <f t="shared" si="204"/>
        <v>0</v>
      </c>
      <c r="EX103" s="25">
        <f t="shared" si="204"/>
        <v>0</v>
      </c>
      <c r="EY103" s="25">
        <f t="shared" si="204"/>
        <v>0</v>
      </c>
      <c r="EZ103" s="25">
        <f t="shared" si="204"/>
        <v>0</v>
      </c>
      <c r="FA103" s="25">
        <f t="shared" si="204"/>
        <v>0</v>
      </c>
      <c r="FB103" s="25">
        <f t="shared" si="204"/>
        <v>0</v>
      </c>
      <c r="FC103" s="25">
        <f t="shared" si="204"/>
        <v>0</v>
      </c>
      <c r="FD103" s="25">
        <f t="shared" si="204"/>
        <v>0</v>
      </c>
      <c r="FE103" s="25">
        <f t="shared" si="204"/>
        <v>0</v>
      </c>
      <c r="FF103" s="25">
        <f t="shared" si="204"/>
        <v>0</v>
      </c>
      <c r="FG103" s="25">
        <f t="shared" si="204"/>
        <v>0</v>
      </c>
      <c r="FH103" s="25">
        <f t="shared" si="204"/>
        <v>0</v>
      </c>
      <c r="FI103" s="25">
        <f t="shared" si="204"/>
        <v>0</v>
      </c>
      <c r="FJ103" s="25">
        <f t="shared" si="204"/>
        <v>0</v>
      </c>
      <c r="FK103" s="25">
        <f t="shared" si="204"/>
        <v>0</v>
      </c>
      <c r="FL103" s="25">
        <f t="shared" si="204"/>
        <v>0</v>
      </c>
      <c r="FM103" s="25">
        <f t="shared" si="204"/>
        <v>0</v>
      </c>
    </row>
    <row r="104" spans="2:169" x14ac:dyDescent="0.25">
      <c r="B104" t="s">
        <v>137</v>
      </c>
      <c r="C104" t="s">
        <v>94</v>
      </c>
      <c r="D104" t="s">
        <v>58</v>
      </c>
      <c r="H104" s="31">
        <f t="shared" ref="H104:H105" si="205">SUM(I104:FM104)</f>
        <v>31414.999999999996</v>
      </c>
      <c r="I104" s="25">
        <f>I71</f>
        <v>0</v>
      </c>
      <c r="J104" s="25">
        <f t="shared" ref="J104:BU104" si="206">J71</f>
        <v>0</v>
      </c>
      <c r="K104" s="25">
        <f t="shared" si="206"/>
        <v>3141.5</v>
      </c>
      <c r="L104" s="25">
        <f t="shared" si="206"/>
        <v>5890.3125</v>
      </c>
      <c r="M104" s="25">
        <f t="shared" si="206"/>
        <v>5890.3125</v>
      </c>
      <c r="N104" s="25">
        <f t="shared" si="206"/>
        <v>6021.208333333333</v>
      </c>
      <c r="O104" s="25">
        <f t="shared" si="206"/>
        <v>5131.1166666666668</v>
      </c>
      <c r="P104" s="25">
        <f t="shared" si="206"/>
        <v>2827.35</v>
      </c>
      <c r="Q104" s="25">
        <f t="shared" si="206"/>
        <v>2513.2000000000003</v>
      </c>
      <c r="R104" s="25">
        <f t="shared" si="206"/>
        <v>0</v>
      </c>
      <c r="S104" s="25">
        <f t="shared" si="206"/>
        <v>0</v>
      </c>
      <c r="T104" s="25">
        <f t="shared" si="206"/>
        <v>0</v>
      </c>
      <c r="U104" s="25">
        <f t="shared" si="206"/>
        <v>0</v>
      </c>
      <c r="V104" s="25">
        <f t="shared" si="206"/>
        <v>0</v>
      </c>
      <c r="W104" s="25">
        <f t="shared" si="206"/>
        <v>0</v>
      </c>
      <c r="X104" s="25">
        <f t="shared" si="206"/>
        <v>0</v>
      </c>
      <c r="Y104" s="25">
        <f t="shared" si="206"/>
        <v>0</v>
      </c>
      <c r="Z104" s="25">
        <f t="shared" si="206"/>
        <v>0</v>
      </c>
      <c r="AA104" s="25">
        <f t="shared" si="206"/>
        <v>0</v>
      </c>
      <c r="AB104" s="25">
        <f t="shared" si="206"/>
        <v>0</v>
      </c>
      <c r="AC104" s="25">
        <f t="shared" si="206"/>
        <v>0</v>
      </c>
      <c r="AD104" s="25">
        <f t="shared" si="206"/>
        <v>0</v>
      </c>
      <c r="AE104" s="25">
        <f t="shared" si="206"/>
        <v>0</v>
      </c>
      <c r="AF104" s="25">
        <f t="shared" si="206"/>
        <v>0</v>
      </c>
      <c r="AG104" s="25">
        <f t="shared" si="206"/>
        <v>0</v>
      </c>
      <c r="AH104" s="25">
        <f t="shared" si="206"/>
        <v>0</v>
      </c>
      <c r="AI104" s="25">
        <f t="shared" si="206"/>
        <v>0</v>
      </c>
      <c r="AJ104" s="25">
        <f t="shared" si="206"/>
        <v>0</v>
      </c>
      <c r="AK104" s="25">
        <f t="shared" si="206"/>
        <v>0</v>
      </c>
      <c r="AL104" s="25">
        <f t="shared" si="206"/>
        <v>0</v>
      </c>
      <c r="AM104" s="25">
        <f t="shared" si="206"/>
        <v>0</v>
      </c>
      <c r="AN104" s="25">
        <f t="shared" si="206"/>
        <v>0</v>
      </c>
      <c r="AO104" s="25">
        <f t="shared" si="206"/>
        <v>0</v>
      </c>
      <c r="AP104" s="25">
        <f t="shared" si="206"/>
        <v>0</v>
      </c>
      <c r="AQ104" s="25">
        <f t="shared" si="206"/>
        <v>0</v>
      </c>
      <c r="AR104" s="25">
        <f t="shared" si="206"/>
        <v>0</v>
      </c>
      <c r="AS104" s="25">
        <f t="shared" si="206"/>
        <v>0</v>
      </c>
      <c r="AT104" s="25">
        <f t="shared" si="206"/>
        <v>0</v>
      </c>
      <c r="AU104" s="25">
        <f t="shared" si="206"/>
        <v>0</v>
      </c>
      <c r="AV104" s="25">
        <f t="shared" si="206"/>
        <v>0</v>
      </c>
      <c r="AW104" s="25">
        <f t="shared" si="206"/>
        <v>0</v>
      </c>
      <c r="AX104" s="25">
        <f t="shared" si="206"/>
        <v>0</v>
      </c>
      <c r="AY104" s="25">
        <f t="shared" si="206"/>
        <v>0</v>
      </c>
      <c r="AZ104" s="25">
        <f t="shared" si="206"/>
        <v>0</v>
      </c>
      <c r="BA104" s="25">
        <f t="shared" si="206"/>
        <v>0</v>
      </c>
      <c r="BB104" s="25">
        <f t="shared" si="206"/>
        <v>0</v>
      </c>
      <c r="BC104" s="25">
        <f t="shared" si="206"/>
        <v>0</v>
      </c>
      <c r="BD104" s="25">
        <f t="shared" si="206"/>
        <v>0</v>
      </c>
      <c r="BE104" s="25">
        <f t="shared" si="206"/>
        <v>0</v>
      </c>
      <c r="BF104" s="25">
        <f t="shared" si="206"/>
        <v>0</v>
      </c>
      <c r="BG104" s="25">
        <f t="shared" si="206"/>
        <v>0</v>
      </c>
      <c r="BH104" s="25">
        <f t="shared" si="206"/>
        <v>0</v>
      </c>
      <c r="BI104" s="25">
        <f t="shared" si="206"/>
        <v>0</v>
      </c>
      <c r="BJ104" s="25">
        <f t="shared" si="206"/>
        <v>0</v>
      </c>
      <c r="BK104" s="25">
        <f t="shared" si="206"/>
        <v>0</v>
      </c>
      <c r="BL104" s="25">
        <f t="shared" si="206"/>
        <v>0</v>
      </c>
      <c r="BM104" s="25">
        <f t="shared" si="206"/>
        <v>0</v>
      </c>
      <c r="BN104" s="25">
        <f t="shared" si="206"/>
        <v>0</v>
      </c>
      <c r="BO104" s="25">
        <f t="shared" si="206"/>
        <v>0</v>
      </c>
      <c r="BP104" s="25">
        <f t="shared" si="206"/>
        <v>0</v>
      </c>
      <c r="BQ104" s="25">
        <f t="shared" si="206"/>
        <v>0</v>
      </c>
      <c r="BR104" s="25">
        <f t="shared" si="206"/>
        <v>0</v>
      </c>
      <c r="BS104" s="25">
        <f t="shared" si="206"/>
        <v>0</v>
      </c>
      <c r="BT104" s="25">
        <f t="shared" si="206"/>
        <v>0</v>
      </c>
      <c r="BU104" s="25">
        <f t="shared" si="206"/>
        <v>0</v>
      </c>
      <c r="BV104" s="25">
        <f t="shared" ref="BV104:EG104" si="207">BV71</f>
        <v>0</v>
      </c>
      <c r="BW104" s="25">
        <f t="shared" si="207"/>
        <v>0</v>
      </c>
      <c r="BX104" s="25">
        <f t="shared" si="207"/>
        <v>0</v>
      </c>
      <c r="BY104" s="25">
        <f t="shared" si="207"/>
        <v>0</v>
      </c>
      <c r="BZ104" s="25">
        <f t="shared" si="207"/>
        <v>0</v>
      </c>
      <c r="CA104" s="25">
        <f t="shared" si="207"/>
        <v>0</v>
      </c>
      <c r="CB104" s="25">
        <f t="shared" si="207"/>
        <v>0</v>
      </c>
      <c r="CC104" s="25">
        <f t="shared" si="207"/>
        <v>0</v>
      </c>
      <c r="CD104" s="25">
        <f t="shared" si="207"/>
        <v>0</v>
      </c>
      <c r="CE104" s="25">
        <f t="shared" si="207"/>
        <v>0</v>
      </c>
      <c r="CF104" s="25">
        <f t="shared" si="207"/>
        <v>0</v>
      </c>
      <c r="CG104" s="25">
        <f t="shared" si="207"/>
        <v>0</v>
      </c>
      <c r="CH104" s="25">
        <f t="shared" si="207"/>
        <v>0</v>
      </c>
      <c r="CI104" s="25">
        <f t="shared" si="207"/>
        <v>0</v>
      </c>
      <c r="CJ104" s="25">
        <f t="shared" si="207"/>
        <v>0</v>
      </c>
      <c r="CK104" s="25">
        <f t="shared" si="207"/>
        <v>0</v>
      </c>
      <c r="CL104" s="25">
        <f t="shared" si="207"/>
        <v>0</v>
      </c>
      <c r="CM104" s="25">
        <f t="shared" si="207"/>
        <v>0</v>
      </c>
      <c r="CN104" s="25">
        <f t="shared" si="207"/>
        <v>0</v>
      </c>
      <c r="CO104" s="25">
        <f t="shared" si="207"/>
        <v>0</v>
      </c>
      <c r="CP104" s="25">
        <f t="shared" si="207"/>
        <v>0</v>
      </c>
      <c r="CQ104" s="25">
        <f t="shared" si="207"/>
        <v>0</v>
      </c>
      <c r="CR104" s="25">
        <f t="shared" si="207"/>
        <v>0</v>
      </c>
      <c r="CS104" s="25">
        <f t="shared" si="207"/>
        <v>0</v>
      </c>
      <c r="CT104" s="25">
        <f t="shared" si="207"/>
        <v>0</v>
      </c>
      <c r="CU104" s="25">
        <f t="shared" si="207"/>
        <v>0</v>
      </c>
      <c r="CV104" s="25">
        <f t="shared" si="207"/>
        <v>0</v>
      </c>
      <c r="CW104" s="25">
        <f t="shared" si="207"/>
        <v>0</v>
      </c>
      <c r="CX104" s="25">
        <f t="shared" si="207"/>
        <v>0</v>
      </c>
      <c r="CY104" s="25">
        <f t="shared" si="207"/>
        <v>0</v>
      </c>
      <c r="CZ104" s="25">
        <f t="shared" si="207"/>
        <v>0</v>
      </c>
      <c r="DA104" s="25">
        <f t="shared" si="207"/>
        <v>0</v>
      </c>
      <c r="DB104" s="25">
        <f t="shared" si="207"/>
        <v>0</v>
      </c>
      <c r="DC104" s="25">
        <f t="shared" si="207"/>
        <v>0</v>
      </c>
      <c r="DD104" s="25">
        <f t="shared" si="207"/>
        <v>0</v>
      </c>
      <c r="DE104" s="25">
        <f t="shared" si="207"/>
        <v>0</v>
      </c>
      <c r="DF104" s="25">
        <f t="shared" si="207"/>
        <v>0</v>
      </c>
      <c r="DG104" s="25">
        <f t="shared" si="207"/>
        <v>0</v>
      </c>
      <c r="DH104" s="25">
        <f t="shared" si="207"/>
        <v>0</v>
      </c>
      <c r="DI104" s="25">
        <f t="shared" si="207"/>
        <v>0</v>
      </c>
      <c r="DJ104" s="25">
        <f t="shared" si="207"/>
        <v>0</v>
      </c>
      <c r="DK104" s="25">
        <f t="shared" si="207"/>
        <v>0</v>
      </c>
      <c r="DL104" s="25">
        <f t="shared" si="207"/>
        <v>0</v>
      </c>
      <c r="DM104" s="25">
        <f t="shared" si="207"/>
        <v>0</v>
      </c>
      <c r="DN104" s="25">
        <f t="shared" si="207"/>
        <v>0</v>
      </c>
      <c r="DO104" s="25">
        <f t="shared" si="207"/>
        <v>0</v>
      </c>
      <c r="DP104" s="25">
        <f t="shared" si="207"/>
        <v>0</v>
      </c>
      <c r="DQ104" s="25">
        <f t="shared" si="207"/>
        <v>0</v>
      </c>
      <c r="DR104" s="25">
        <f t="shared" si="207"/>
        <v>0</v>
      </c>
      <c r="DS104" s="25">
        <f t="shared" si="207"/>
        <v>0</v>
      </c>
      <c r="DT104" s="25">
        <f t="shared" si="207"/>
        <v>0</v>
      </c>
      <c r="DU104" s="25">
        <f t="shared" si="207"/>
        <v>0</v>
      </c>
      <c r="DV104" s="25">
        <f t="shared" si="207"/>
        <v>0</v>
      </c>
      <c r="DW104" s="25">
        <f t="shared" si="207"/>
        <v>0</v>
      </c>
      <c r="DX104" s="25">
        <f t="shared" si="207"/>
        <v>0</v>
      </c>
      <c r="DY104" s="25">
        <f t="shared" si="207"/>
        <v>0</v>
      </c>
      <c r="DZ104" s="25">
        <f t="shared" si="207"/>
        <v>0</v>
      </c>
      <c r="EA104" s="25">
        <f t="shared" si="207"/>
        <v>0</v>
      </c>
      <c r="EB104" s="25">
        <f t="shared" si="207"/>
        <v>0</v>
      </c>
      <c r="EC104" s="25">
        <f t="shared" si="207"/>
        <v>0</v>
      </c>
      <c r="ED104" s="25">
        <f t="shared" si="207"/>
        <v>0</v>
      </c>
      <c r="EE104" s="25">
        <f t="shared" si="207"/>
        <v>0</v>
      </c>
      <c r="EF104" s="25">
        <f t="shared" si="207"/>
        <v>0</v>
      </c>
      <c r="EG104" s="25">
        <f t="shared" si="207"/>
        <v>0</v>
      </c>
      <c r="EH104" s="25">
        <f t="shared" ref="EH104:FM104" si="208">EH71</f>
        <v>0</v>
      </c>
      <c r="EI104" s="25">
        <f t="shared" si="208"/>
        <v>0</v>
      </c>
      <c r="EJ104" s="25">
        <f t="shared" si="208"/>
        <v>0</v>
      </c>
      <c r="EK104" s="25">
        <f t="shared" si="208"/>
        <v>0</v>
      </c>
      <c r="EL104" s="25">
        <f t="shared" si="208"/>
        <v>0</v>
      </c>
      <c r="EM104" s="25">
        <f t="shared" si="208"/>
        <v>0</v>
      </c>
      <c r="EN104" s="25">
        <f t="shared" si="208"/>
        <v>0</v>
      </c>
      <c r="EO104" s="25">
        <f t="shared" si="208"/>
        <v>0</v>
      </c>
      <c r="EP104" s="25">
        <f t="shared" si="208"/>
        <v>0</v>
      </c>
      <c r="EQ104" s="25">
        <f t="shared" si="208"/>
        <v>0</v>
      </c>
      <c r="ER104" s="25">
        <f t="shared" si="208"/>
        <v>0</v>
      </c>
      <c r="ES104" s="25">
        <f t="shared" si="208"/>
        <v>0</v>
      </c>
      <c r="ET104" s="25">
        <f t="shared" si="208"/>
        <v>0</v>
      </c>
      <c r="EU104" s="25">
        <f t="shared" si="208"/>
        <v>0</v>
      </c>
      <c r="EV104" s="25">
        <f t="shared" si="208"/>
        <v>0</v>
      </c>
      <c r="EW104" s="25">
        <f t="shared" si="208"/>
        <v>0</v>
      </c>
      <c r="EX104" s="25">
        <f t="shared" si="208"/>
        <v>0</v>
      </c>
      <c r="EY104" s="25">
        <f t="shared" si="208"/>
        <v>0</v>
      </c>
      <c r="EZ104" s="25">
        <f t="shared" si="208"/>
        <v>0</v>
      </c>
      <c r="FA104" s="25">
        <f t="shared" si="208"/>
        <v>0</v>
      </c>
      <c r="FB104" s="25">
        <f t="shared" si="208"/>
        <v>0</v>
      </c>
      <c r="FC104" s="25">
        <f t="shared" si="208"/>
        <v>0</v>
      </c>
      <c r="FD104" s="25">
        <f t="shared" si="208"/>
        <v>0</v>
      </c>
      <c r="FE104" s="25">
        <f t="shared" si="208"/>
        <v>0</v>
      </c>
      <c r="FF104" s="25">
        <f t="shared" si="208"/>
        <v>0</v>
      </c>
      <c r="FG104" s="25">
        <f t="shared" si="208"/>
        <v>0</v>
      </c>
      <c r="FH104" s="25">
        <f t="shared" si="208"/>
        <v>0</v>
      </c>
      <c r="FI104" s="25">
        <f t="shared" si="208"/>
        <v>0</v>
      </c>
      <c r="FJ104" s="25">
        <f t="shared" si="208"/>
        <v>0</v>
      </c>
      <c r="FK104" s="25">
        <f t="shared" si="208"/>
        <v>0</v>
      </c>
      <c r="FL104" s="25">
        <f t="shared" si="208"/>
        <v>0</v>
      </c>
      <c r="FM104" s="25">
        <f t="shared" si="208"/>
        <v>0</v>
      </c>
    </row>
    <row r="105" spans="2:169" x14ac:dyDescent="0.25">
      <c r="B105" t="s">
        <v>106</v>
      </c>
      <c r="C105" t="s">
        <v>94</v>
      </c>
      <c r="D105" s="27">
        <f>Stat_Inp!F96</f>
        <v>30</v>
      </c>
      <c r="H105" s="31">
        <f t="shared" si="205"/>
        <v>-31414.999999999996</v>
      </c>
      <c r="I105" s="25">
        <f>-1*MIN(($H104/$D105)*I7*I14,SUM(I103:I104))</f>
        <v>0</v>
      </c>
      <c r="J105" s="25">
        <f t="shared" ref="J105:BU105" si="209">-1*MIN(($H104/$D105)*J7*J14,SUM(J103:J104))</f>
        <v>0</v>
      </c>
      <c r="K105" s="25">
        <f t="shared" si="209"/>
        <v>0</v>
      </c>
      <c r="L105" s="25">
        <f t="shared" si="209"/>
        <v>0</v>
      </c>
      <c r="M105" s="25">
        <f t="shared" si="209"/>
        <v>0</v>
      </c>
      <c r="N105" s="25">
        <f t="shared" si="209"/>
        <v>0</v>
      </c>
      <c r="O105" s="25">
        <f t="shared" si="209"/>
        <v>0</v>
      </c>
      <c r="P105" s="25">
        <f t="shared" si="209"/>
        <v>0</v>
      </c>
      <c r="Q105" s="25">
        <f t="shared" si="209"/>
        <v>-88.937442922374416</v>
      </c>
      <c r="R105" s="25">
        <f t="shared" si="209"/>
        <v>-260.36111111111109</v>
      </c>
      <c r="S105" s="25">
        <f t="shared" si="209"/>
        <v>-260.36111111111109</v>
      </c>
      <c r="T105" s="25">
        <f t="shared" si="209"/>
        <v>-263.22222222222217</v>
      </c>
      <c r="U105" s="25">
        <f t="shared" si="209"/>
        <v>-263.22222222222217</v>
      </c>
      <c r="V105" s="25">
        <f t="shared" si="209"/>
        <v>-258.20547945205476</v>
      </c>
      <c r="W105" s="25">
        <f t="shared" si="209"/>
        <v>-261.07442922374423</v>
      </c>
      <c r="X105" s="25">
        <f t="shared" si="209"/>
        <v>-263.94337899543376</v>
      </c>
      <c r="Y105" s="25">
        <f t="shared" si="209"/>
        <v>-263.94337899543376</v>
      </c>
      <c r="Z105" s="25">
        <f t="shared" si="209"/>
        <v>-258.20547945205476</v>
      </c>
      <c r="AA105" s="25">
        <f t="shared" si="209"/>
        <v>-261.07442922374423</v>
      </c>
      <c r="AB105" s="25">
        <f t="shared" si="209"/>
        <v>-263.94337899543376</v>
      </c>
      <c r="AC105" s="25">
        <f t="shared" si="209"/>
        <v>-263.94337899543376</v>
      </c>
      <c r="AD105" s="25">
        <f t="shared" si="209"/>
        <v>-258.20547945205476</v>
      </c>
      <c r="AE105" s="25">
        <f t="shared" si="209"/>
        <v>-261.07442922374423</v>
      </c>
      <c r="AF105" s="25">
        <f t="shared" si="209"/>
        <v>-263.94337899543376</v>
      </c>
      <c r="AG105" s="25">
        <f t="shared" si="209"/>
        <v>-263.94337899543376</v>
      </c>
      <c r="AH105" s="25">
        <f t="shared" si="209"/>
        <v>-260.36111111111109</v>
      </c>
      <c r="AI105" s="25">
        <f t="shared" si="209"/>
        <v>-260.36111111111109</v>
      </c>
      <c r="AJ105" s="25">
        <f t="shared" si="209"/>
        <v>-263.22222222222217</v>
      </c>
      <c r="AK105" s="25">
        <f t="shared" si="209"/>
        <v>-263.22222222222217</v>
      </c>
      <c r="AL105" s="25">
        <f t="shared" si="209"/>
        <v>-258.20547945205476</v>
      </c>
      <c r="AM105" s="25">
        <f t="shared" si="209"/>
        <v>-261.07442922374423</v>
      </c>
      <c r="AN105" s="25">
        <f t="shared" si="209"/>
        <v>-263.94337899543376</v>
      </c>
      <c r="AO105" s="25">
        <f t="shared" si="209"/>
        <v>-263.94337899543376</v>
      </c>
      <c r="AP105" s="25">
        <f t="shared" si="209"/>
        <v>-258.20547945205476</v>
      </c>
      <c r="AQ105" s="25">
        <f t="shared" si="209"/>
        <v>-261.07442922374423</v>
      </c>
      <c r="AR105" s="25">
        <f t="shared" si="209"/>
        <v>-263.94337899543376</v>
      </c>
      <c r="AS105" s="25">
        <f t="shared" si="209"/>
        <v>-263.94337899543376</v>
      </c>
      <c r="AT105" s="25">
        <f t="shared" si="209"/>
        <v>-258.20547945205476</v>
      </c>
      <c r="AU105" s="25">
        <f t="shared" si="209"/>
        <v>-261.07442922374423</v>
      </c>
      <c r="AV105" s="25">
        <f t="shared" si="209"/>
        <v>-263.94337899543376</v>
      </c>
      <c r="AW105" s="25">
        <f t="shared" si="209"/>
        <v>-263.94337899543376</v>
      </c>
      <c r="AX105" s="25">
        <f t="shared" si="209"/>
        <v>-260.36111111111109</v>
      </c>
      <c r="AY105" s="25">
        <f t="shared" si="209"/>
        <v>-260.36111111111109</v>
      </c>
      <c r="AZ105" s="25">
        <f t="shared" si="209"/>
        <v>-263.22222222222217</v>
      </c>
      <c r="BA105" s="25">
        <f t="shared" si="209"/>
        <v>-263.22222222222217</v>
      </c>
      <c r="BB105" s="25">
        <f t="shared" si="209"/>
        <v>-258.20547945205476</v>
      </c>
      <c r="BC105" s="25">
        <f t="shared" si="209"/>
        <v>-261.07442922374423</v>
      </c>
      <c r="BD105" s="25">
        <f t="shared" si="209"/>
        <v>-263.94337899543376</v>
      </c>
      <c r="BE105" s="25">
        <f t="shared" si="209"/>
        <v>-263.94337899543376</v>
      </c>
      <c r="BF105" s="25">
        <f t="shared" si="209"/>
        <v>-258.20547945205476</v>
      </c>
      <c r="BG105" s="25">
        <f t="shared" si="209"/>
        <v>-261.07442922374423</v>
      </c>
      <c r="BH105" s="25">
        <f t="shared" si="209"/>
        <v>-263.94337899543376</v>
      </c>
      <c r="BI105" s="25">
        <f t="shared" si="209"/>
        <v>-263.94337899543376</v>
      </c>
      <c r="BJ105" s="25">
        <f t="shared" si="209"/>
        <v>-258.20547945205476</v>
      </c>
      <c r="BK105" s="25">
        <f t="shared" si="209"/>
        <v>-261.07442922374423</v>
      </c>
      <c r="BL105" s="25">
        <f t="shared" si="209"/>
        <v>-263.94337899543376</v>
      </c>
      <c r="BM105" s="25">
        <f t="shared" si="209"/>
        <v>-263.94337899543376</v>
      </c>
      <c r="BN105" s="25">
        <f t="shared" si="209"/>
        <v>-260.36111111111109</v>
      </c>
      <c r="BO105" s="25">
        <f t="shared" si="209"/>
        <v>-260.36111111111109</v>
      </c>
      <c r="BP105" s="25">
        <f t="shared" si="209"/>
        <v>-263.22222222222217</v>
      </c>
      <c r="BQ105" s="25">
        <f t="shared" si="209"/>
        <v>-263.22222222222217</v>
      </c>
      <c r="BR105" s="25">
        <f t="shared" si="209"/>
        <v>-258.20547945205476</v>
      </c>
      <c r="BS105" s="25">
        <f t="shared" si="209"/>
        <v>-261.07442922374423</v>
      </c>
      <c r="BT105" s="25">
        <f t="shared" si="209"/>
        <v>-263.94337899543376</v>
      </c>
      <c r="BU105" s="25">
        <f t="shared" si="209"/>
        <v>-263.94337899543376</v>
      </c>
      <c r="BV105" s="25">
        <f t="shared" ref="BV105:EG105" si="210">-1*MIN(($H104/$D105)*BV7*BV14,SUM(BV103:BV104))</f>
        <v>-258.20547945205476</v>
      </c>
      <c r="BW105" s="25">
        <f t="shared" si="210"/>
        <v>-261.07442922374423</v>
      </c>
      <c r="BX105" s="25">
        <f t="shared" si="210"/>
        <v>-263.94337899543376</v>
      </c>
      <c r="BY105" s="25">
        <f t="shared" si="210"/>
        <v>-263.94337899543376</v>
      </c>
      <c r="BZ105" s="25">
        <f t="shared" si="210"/>
        <v>-258.20547945205476</v>
      </c>
      <c r="CA105" s="25">
        <f t="shared" si="210"/>
        <v>-261.07442922374423</v>
      </c>
      <c r="CB105" s="25">
        <f t="shared" si="210"/>
        <v>-263.94337899543376</v>
      </c>
      <c r="CC105" s="25">
        <f t="shared" si="210"/>
        <v>-263.94337899543376</v>
      </c>
      <c r="CD105" s="25">
        <f t="shared" si="210"/>
        <v>-260.36111111111109</v>
      </c>
      <c r="CE105" s="25">
        <f t="shared" si="210"/>
        <v>-260.36111111111109</v>
      </c>
      <c r="CF105" s="25">
        <f t="shared" si="210"/>
        <v>-263.22222222222217</v>
      </c>
      <c r="CG105" s="25">
        <f t="shared" si="210"/>
        <v>-263.22222222222217</v>
      </c>
      <c r="CH105" s="25">
        <f t="shared" si="210"/>
        <v>-258.20547945205476</v>
      </c>
      <c r="CI105" s="25">
        <f t="shared" si="210"/>
        <v>-261.07442922374423</v>
      </c>
      <c r="CJ105" s="25">
        <f t="shared" si="210"/>
        <v>-263.94337899543376</v>
      </c>
      <c r="CK105" s="25">
        <f t="shared" si="210"/>
        <v>-263.94337899543376</v>
      </c>
      <c r="CL105" s="25">
        <f t="shared" si="210"/>
        <v>-258.20547945205476</v>
      </c>
      <c r="CM105" s="25">
        <f t="shared" si="210"/>
        <v>-261.07442922374423</v>
      </c>
      <c r="CN105" s="25">
        <f t="shared" si="210"/>
        <v>-263.94337899543376</v>
      </c>
      <c r="CO105" s="25">
        <f t="shared" si="210"/>
        <v>-263.94337899543376</v>
      </c>
      <c r="CP105" s="25">
        <f t="shared" si="210"/>
        <v>-258.20547945205476</v>
      </c>
      <c r="CQ105" s="25">
        <f t="shared" si="210"/>
        <v>-261.07442922374423</v>
      </c>
      <c r="CR105" s="25">
        <f t="shared" si="210"/>
        <v>-263.94337899543376</v>
      </c>
      <c r="CS105" s="25">
        <f t="shared" si="210"/>
        <v>-263.94337899543376</v>
      </c>
      <c r="CT105" s="25">
        <f t="shared" si="210"/>
        <v>-260.36111111111109</v>
      </c>
      <c r="CU105" s="25">
        <f t="shared" si="210"/>
        <v>-260.36111111111109</v>
      </c>
      <c r="CV105" s="25">
        <f t="shared" si="210"/>
        <v>-263.22222222222217</v>
      </c>
      <c r="CW105" s="25">
        <f t="shared" si="210"/>
        <v>-263.22222222222217</v>
      </c>
      <c r="CX105" s="25">
        <f t="shared" si="210"/>
        <v>-258.20547945205476</v>
      </c>
      <c r="CY105" s="25">
        <f t="shared" si="210"/>
        <v>-261.07442922374423</v>
      </c>
      <c r="CZ105" s="25">
        <f t="shared" si="210"/>
        <v>-263.94337899543376</v>
      </c>
      <c r="DA105" s="25">
        <f t="shared" si="210"/>
        <v>-263.94337899543376</v>
      </c>
      <c r="DB105" s="25">
        <f t="shared" si="210"/>
        <v>-258.20547945205476</v>
      </c>
      <c r="DC105" s="25">
        <f t="shared" si="210"/>
        <v>-261.07442922374423</v>
      </c>
      <c r="DD105" s="25">
        <f t="shared" si="210"/>
        <v>-263.94337899543376</v>
      </c>
      <c r="DE105" s="25">
        <f t="shared" si="210"/>
        <v>-263.94337899543376</v>
      </c>
      <c r="DF105" s="25">
        <f t="shared" si="210"/>
        <v>-258.20547945205476</v>
      </c>
      <c r="DG105" s="25">
        <f t="shared" si="210"/>
        <v>-261.07442922374423</v>
      </c>
      <c r="DH105" s="25">
        <f t="shared" si="210"/>
        <v>-263.94337899543376</v>
      </c>
      <c r="DI105" s="25">
        <f t="shared" si="210"/>
        <v>-263.94337899543376</v>
      </c>
      <c r="DJ105" s="25">
        <f t="shared" si="210"/>
        <v>-260.36111111111109</v>
      </c>
      <c r="DK105" s="25">
        <f t="shared" si="210"/>
        <v>-260.36111111111109</v>
      </c>
      <c r="DL105" s="25">
        <f t="shared" si="210"/>
        <v>-263.22222222222217</v>
      </c>
      <c r="DM105" s="25">
        <f t="shared" si="210"/>
        <v>-263.22222222222217</v>
      </c>
      <c r="DN105" s="25">
        <f t="shared" si="210"/>
        <v>-258.20547945205476</v>
      </c>
      <c r="DO105" s="25">
        <f t="shared" si="210"/>
        <v>-261.07442922374423</v>
      </c>
      <c r="DP105" s="25">
        <f t="shared" si="210"/>
        <v>-263.94337899543376</v>
      </c>
      <c r="DQ105" s="25">
        <f t="shared" si="210"/>
        <v>-263.94337899543376</v>
      </c>
      <c r="DR105" s="25">
        <f t="shared" si="210"/>
        <v>-258.20547945205476</v>
      </c>
      <c r="DS105" s="25">
        <f t="shared" si="210"/>
        <v>-261.07442922374423</v>
      </c>
      <c r="DT105" s="25">
        <f t="shared" si="210"/>
        <v>-263.94337899543376</v>
      </c>
      <c r="DU105" s="25">
        <f t="shared" si="210"/>
        <v>-263.94337899543376</v>
      </c>
      <c r="DV105" s="25">
        <f t="shared" si="210"/>
        <v>-258.20547945205476</v>
      </c>
      <c r="DW105" s="25">
        <f t="shared" si="210"/>
        <v>-261.07442922374423</v>
      </c>
      <c r="DX105" s="25">
        <f t="shared" si="210"/>
        <v>-263.94337899543376</v>
      </c>
      <c r="DY105" s="25">
        <f t="shared" si="210"/>
        <v>-263.94337899543376</v>
      </c>
      <c r="DZ105" s="25">
        <f t="shared" si="210"/>
        <v>-260.36111111111109</v>
      </c>
      <c r="EA105" s="25">
        <f t="shared" si="210"/>
        <v>-260.36111111111109</v>
      </c>
      <c r="EB105" s="25">
        <f t="shared" si="210"/>
        <v>-263.22222222222217</v>
      </c>
      <c r="EC105" s="25">
        <f t="shared" si="210"/>
        <v>-263.22222222222217</v>
      </c>
      <c r="ED105" s="25">
        <f t="shared" si="210"/>
        <v>-258.20547945205476</v>
      </c>
      <c r="EE105" s="25">
        <f t="shared" si="210"/>
        <v>-261.07442922374423</v>
      </c>
      <c r="EF105" s="25">
        <f t="shared" si="210"/>
        <v>-263.94337899543376</v>
      </c>
      <c r="EG105" s="25">
        <f t="shared" si="210"/>
        <v>-175.00593607303387</v>
      </c>
      <c r="EH105" s="25">
        <f t="shared" ref="EH105:FM105" si="211">-1*MIN(($H104/$D105)*EH7*EH14,SUM(EH103:EH104))</f>
        <v>0</v>
      </c>
      <c r="EI105" s="25">
        <f t="shared" si="211"/>
        <v>0</v>
      </c>
      <c r="EJ105" s="25">
        <f t="shared" si="211"/>
        <v>0</v>
      </c>
      <c r="EK105" s="25">
        <f t="shared" si="211"/>
        <v>0</v>
      </c>
      <c r="EL105" s="25">
        <f t="shared" si="211"/>
        <v>0</v>
      </c>
      <c r="EM105" s="25">
        <f t="shared" si="211"/>
        <v>0</v>
      </c>
      <c r="EN105" s="25">
        <f t="shared" si="211"/>
        <v>0</v>
      </c>
      <c r="EO105" s="25">
        <f t="shared" si="211"/>
        <v>0</v>
      </c>
      <c r="EP105" s="25">
        <f t="shared" si="211"/>
        <v>0</v>
      </c>
      <c r="EQ105" s="25">
        <f t="shared" si="211"/>
        <v>0</v>
      </c>
      <c r="ER105" s="25">
        <f t="shared" si="211"/>
        <v>0</v>
      </c>
      <c r="ES105" s="25">
        <f t="shared" si="211"/>
        <v>0</v>
      </c>
      <c r="ET105" s="25">
        <f t="shared" si="211"/>
        <v>0</v>
      </c>
      <c r="EU105" s="25">
        <f t="shared" si="211"/>
        <v>0</v>
      </c>
      <c r="EV105" s="25">
        <f t="shared" si="211"/>
        <v>0</v>
      </c>
      <c r="EW105" s="25">
        <f t="shared" si="211"/>
        <v>0</v>
      </c>
      <c r="EX105" s="25">
        <f t="shared" si="211"/>
        <v>0</v>
      </c>
      <c r="EY105" s="25">
        <f t="shared" si="211"/>
        <v>0</v>
      </c>
      <c r="EZ105" s="25">
        <f t="shared" si="211"/>
        <v>0</v>
      </c>
      <c r="FA105" s="25">
        <f t="shared" si="211"/>
        <v>0</v>
      </c>
      <c r="FB105" s="25">
        <f t="shared" si="211"/>
        <v>0</v>
      </c>
      <c r="FC105" s="25">
        <f t="shared" si="211"/>
        <v>0</v>
      </c>
      <c r="FD105" s="25">
        <f t="shared" si="211"/>
        <v>0</v>
      </c>
      <c r="FE105" s="25">
        <f t="shared" si="211"/>
        <v>0</v>
      </c>
      <c r="FF105" s="25">
        <f t="shared" si="211"/>
        <v>0</v>
      </c>
      <c r="FG105" s="25">
        <f t="shared" si="211"/>
        <v>0</v>
      </c>
      <c r="FH105" s="25">
        <f t="shared" si="211"/>
        <v>0</v>
      </c>
      <c r="FI105" s="25">
        <f t="shared" si="211"/>
        <v>0</v>
      </c>
      <c r="FJ105" s="25">
        <f t="shared" si="211"/>
        <v>0</v>
      </c>
      <c r="FK105" s="25">
        <f t="shared" si="211"/>
        <v>0</v>
      </c>
      <c r="FL105" s="25">
        <f t="shared" si="211"/>
        <v>0</v>
      </c>
      <c r="FM105" s="25">
        <f t="shared" si="211"/>
        <v>0</v>
      </c>
    </row>
    <row r="106" spans="2:169" x14ac:dyDescent="0.25">
      <c r="B106" t="s">
        <v>138</v>
      </c>
      <c r="C106" t="s">
        <v>94</v>
      </c>
      <c r="H106" s="38"/>
      <c r="I106" s="25">
        <f>SUM(I103:I105)</f>
        <v>0</v>
      </c>
      <c r="J106" s="25">
        <f t="shared" ref="J106:BU106" si="212">SUM(J103:J105)</f>
        <v>0</v>
      </c>
      <c r="K106" s="25">
        <f t="shared" si="212"/>
        <v>3141.5</v>
      </c>
      <c r="L106" s="25">
        <f t="shared" si="212"/>
        <v>9031.8125</v>
      </c>
      <c r="M106" s="25">
        <f t="shared" si="212"/>
        <v>14922.125</v>
      </c>
      <c r="N106" s="25">
        <f t="shared" si="212"/>
        <v>20943.333333333332</v>
      </c>
      <c r="O106" s="25">
        <f t="shared" si="212"/>
        <v>26074.449999999997</v>
      </c>
      <c r="P106" s="25">
        <f t="shared" si="212"/>
        <v>28901.799999999996</v>
      </c>
      <c r="Q106" s="25">
        <f t="shared" si="212"/>
        <v>31326.062557077621</v>
      </c>
      <c r="R106" s="25">
        <f t="shared" si="212"/>
        <v>31065.701445966512</v>
      </c>
      <c r="S106" s="25">
        <f t="shared" si="212"/>
        <v>30805.340334855402</v>
      </c>
      <c r="T106" s="25">
        <f t="shared" si="212"/>
        <v>30542.118112633179</v>
      </c>
      <c r="U106" s="25">
        <f t="shared" si="212"/>
        <v>30278.895890410957</v>
      </c>
      <c r="V106" s="25">
        <f t="shared" si="212"/>
        <v>30020.690410958901</v>
      </c>
      <c r="W106" s="25">
        <f t="shared" si="212"/>
        <v>29759.615981735158</v>
      </c>
      <c r="X106" s="25">
        <f t="shared" si="212"/>
        <v>29495.672602739724</v>
      </c>
      <c r="Y106" s="25">
        <f t="shared" si="212"/>
        <v>29231.729223744289</v>
      </c>
      <c r="Z106" s="25">
        <f t="shared" si="212"/>
        <v>28973.523744292233</v>
      </c>
      <c r="AA106" s="25">
        <f t="shared" si="212"/>
        <v>28712.44931506849</v>
      </c>
      <c r="AB106" s="25">
        <f t="shared" si="212"/>
        <v>28448.505936073056</v>
      </c>
      <c r="AC106" s="25">
        <f t="shared" si="212"/>
        <v>28184.562557077621</v>
      </c>
      <c r="AD106" s="25">
        <f t="shared" si="212"/>
        <v>27926.357077625566</v>
      </c>
      <c r="AE106" s="25">
        <f t="shared" si="212"/>
        <v>27665.282648401822</v>
      </c>
      <c r="AF106" s="25">
        <f t="shared" si="212"/>
        <v>27401.339269406388</v>
      </c>
      <c r="AG106" s="25">
        <f t="shared" si="212"/>
        <v>27137.395890410953</v>
      </c>
      <c r="AH106" s="25">
        <f t="shared" si="212"/>
        <v>26877.034779299844</v>
      </c>
      <c r="AI106" s="25">
        <f t="shared" si="212"/>
        <v>26616.673668188734</v>
      </c>
      <c r="AJ106" s="25">
        <f t="shared" si="212"/>
        <v>26353.451445966512</v>
      </c>
      <c r="AK106" s="25">
        <f t="shared" si="212"/>
        <v>26090.229223744289</v>
      </c>
      <c r="AL106" s="25">
        <f t="shared" si="212"/>
        <v>25832.023744292233</v>
      </c>
      <c r="AM106" s="25">
        <f t="shared" si="212"/>
        <v>25570.94931506849</v>
      </c>
      <c r="AN106" s="25">
        <f t="shared" si="212"/>
        <v>25307.005936073056</v>
      </c>
      <c r="AO106" s="25">
        <f t="shared" si="212"/>
        <v>25043.062557077621</v>
      </c>
      <c r="AP106" s="25">
        <f t="shared" si="212"/>
        <v>24784.857077625566</v>
      </c>
      <c r="AQ106" s="25">
        <f t="shared" si="212"/>
        <v>24523.782648401822</v>
      </c>
      <c r="AR106" s="25">
        <f t="shared" si="212"/>
        <v>24259.839269406388</v>
      </c>
      <c r="AS106" s="25">
        <f t="shared" si="212"/>
        <v>23995.895890410953</v>
      </c>
      <c r="AT106" s="25">
        <f t="shared" si="212"/>
        <v>23737.690410958898</v>
      </c>
      <c r="AU106" s="25">
        <f t="shared" si="212"/>
        <v>23476.615981735154</v>
      </c>
      <c r="AV106" s="25">
        <f t="shared" si="212"/>
        <v>23212.67260273972</v>
      </c>
      <c r="AW106" s="25">
        <f t="shared" si="212"/>
        <v>22948.729223744285</v>
      </c>
      <c r="AX106" s="25">
        <f t="shared" si="212"/>
        <v>22688.368112633176</v>
      </c>
      <c r="AY106" s="25">
        <f t="shared" si="212"/>
        <v>22428.007001522066</v>
      </c>
      <c r="AZ106" s="25">
        <f t="shared" si="212"/>
        <v>22164.784779299844</v>
      </c>
      <c r="BA106" s="25">
        <f t="shared" si="212"/>
        <v>21901.562557077621</v>
      </c>
      <c r="BB106" s="25">
        <f t="shared" si="212"/>
        <v>21643.357077625566</v>
      </c>
      <c r="BC106" s="25">
        <f t="shared" si="212"/>
        <v>21382.282648401822</v>
      </c>
      <c r="BD106" s="25">
        <f t="shared" si="212"/>
        <v>21118.339269406388</v>
      </c>
      <c r="BE106" s="25">
        <f t="shared" si="212"/>
        <v>20854.395890410953</v>
      </c>
      <c r="BF106" s="25">
        <f t="shared" si="212"/>
        <v>20596.190410958898</v>
      </c>
      <c r="BG106" s="25">
        <f t="shared" si="212"/>
        <v>20335.115981735154</v>
      </c>
      <c r="BH106" s="25">
        <f t="shared" si="212"/>
        <v>20071.17260273972</v>
      </c>
      <c r="BI106" s="25">
        <f t="shared" si="212"/>
        <v>19807.229223744285</v>
      </c>
      <c r="BJ106" s="25">
        <f t="shared" si="212"/>
        <v>19549.02374429223</v>
      </c>
      <c r="BK106" s="25">
        <f t="shared" si="212"/>
        <v>19287.949315068487</v>
      </c>
      <c r="BL106" s="25">
        <f t="shared" si="212"/>
        <v>19024.005936073052</v>
      </c>
      <c r="BM106" s="25">
        <f t="shared" si="212"/>
        <v>18760.062557077617</v>
      </c>
      <c r="BN106" s="25">
        <f t="shared" si="212"/>
        <v>18499.701445966508</v>
      </c>
      <c r="BO106" s="25">
        <f t="shared" si="212"/>
        <v>18239.340334855398</v>
      </c>
      <c r="BP106" s="25">
        <f t="shared" si="212"/>
        <v>17976.118112633176</v>
      </c>
      <c r="BQ106" s="25">
        <f t="shared" si="212"/>
        <v>17712.895890410953</v>
      </c>
      <c r="BR106" s="25">
        <f t="shared" si="212"/>
        <v>17454.690410958898</v>
      </c>
      <c r="BS106" s="25">
        <f t="shared" si="212"/>
        <v>17193.615981735154</v>
      </c>
      <c r="BT106" s="25">
        <f t="shared" si="212"/>
        <v>16929.67260273972</v>
      </c>
      <c r="BU106" s="25">
        <f t="shared" si="212"/>
        <v>16665.729223744285</v>
      </c>
      <c r="BV106" s="25">
        <f t="shared" ref="BV106:EG106" si="213">SUM(BV103:BV105)</f>
        <v>16407.52374429223</v>
      </c>
      <c r="BW106" s="25">
        <f t="shared" si="213"/>
        <v>16146.449315068485</v>
      </c>
      <c r="BX106" s="25">
        <f t="shared" si="213"/>
        <v>15882.50593607305</v>
      </c>
      <c r="BY106" s="25">
        <f t="shared" si="213"/>
        <v>15618.562557077616</v>
      </c>
      <c r="BZ106" s="25">
        <f t="shared" si="213"/>
        <v>15360.35707762556</v>
      </c>
      <c r="CA106" s="25">
        <f t="shared" si="213"/>
        <v>15099.282648401815</v>
      </c>
      <c r="CB106" s="25">
        <f t="shared" si="213"/>
        <v>14835.33926940638</v>
      </c>
      <c r="CC106" s="25">
        <f t="shared" si="213"/>
        <v>14571.395890410946</v>
      </c>
      <c r="CD106" s="25">
        <f t="shared" si="213"/>
        <v>14311.034779299835</v>
      </c>
      <c r="CE106" s="25">
        <f t="shared" si="213"/>
        <v>14050.673668188723</v>
      </c>
      <c r="CF106" s="25">
        <f t="shared" si="213"/>
        <v>13787.451445966501</v>
      </c>
      <c r="CG106" s="25">
        <f t="shared" si="213"/>
        <v>13524.229223744278</v>
      </c>
      <c r="CH106" s="25">
        <f t="shared" si="213"/>
        <v>13266.023744292223</v>
      </c>
      <c r="CI106" s="25">
        <f t="shared" si="213"/>
        <v>13004.949315068478</v>
      </c>
      <c r="CJ106" s="25">
        <f t="shared" si="213"/>
        <v>12741.005936073043</v>
      </c>
      <c r="CK106" s="25">
        <f t="shared" si="213"/>
        <v>12477.062557077608</v>
      </c>
      <c r="CL106" s="25">
        <f t="shared" si="213"/>
        <v>12218.857077625553</v>
      </c>
      <c r="CM106" s="25">
        <f t="shared" si="213"/>
        <v>11957.782648401808</v>
      </c>
      <c r="CN106" s="25">
        <f t="shared" si="213"/>
        <v>11693.839269406373</v>
      </c>
      <c r="CO106" s="25">
        <f t="shared" si="213"/>
        <v>11429.895890410939</v>
      </c>
      <c r="CP106" s="25">
        <f t="shared" si="213"/>
        <v>11171.690410958883</v>
      </c>
      <c r="CQ106" s="25">
        <f t="shared" si="213"/>
        <v>10910.615981735138</v>
      </c>
      <c r="CR106" s="25">
        <f t="shared" si="213"/>
        <v>10646.672602739704</v>
      </c>
      <c r="CS106" s="25">
        <f t="shared" si="213"/>
        <v>10382.729223744269</v>
      </c>
      <c r="CT106" s="25">
        <f t="shared" si="213"/>
        <v>10122.368112633158</v>
      </c>
      <c r="CU106" s="25">
        <f t="shared" si="213"/>
        <v>9862.0070015220463</v>
      </c>
      <c r="CV106" s="25">
        <f t="shared" si="213"/>
        <v>9598.7847792998236</v>
      </c>
      <c r="CW106" s="25">
        <f t="shared" si="213"/>
        <v>9335.562557077601</v>
      </c>
      <c r="CX106" s="25">
        <f t="shared" si="213"/>
        <v>9077.3570776255456</v>
      </c>
      <c r="CY106" s="25">
        <f t="shared" si="213"/>
        <v>8816.2826484018005</v>
      </c>
      <c r="CZ106" s="25">
        <f t="shared" si="213"/>
        <v>8552.3392694063659</v>
      </c>
      <c r="DA106" s="25">
        <f t="shared" si="213"/>
        <v>8288.3958904109313</v>
      </c>
      <c r="DB106" s="25">
        <f t="shared" si="213"/>
        <v>8030.1904109588768</v>
      </c>
      <c r="DC106" s="25">
        <f t="shared" si="213"/>
        <v>7769.1159817351327</v>
      </c>
      <c r="DD106" s="25">
        <f t="shared" si="213"/>
        <v>7505.172602739699</v>
      </c>
      <c r="DE106" s="25">
        <f t="shared" si="213"/>
        <v>7241.2292237442653</v>
      </c>
      <c r="DF106" s="25">
        <f t="shared" si="213"/>
        <v>6983.0237442922107</v>
      </c>
      <c r="DG106" s="25">
        <f t="shared" si="213"/>
        <v>6721.9493150684666</v>
      </c>
      <c r="DH106" s="25">
        <f t="shared" si="213"/>
        <v>6458.0059360730329</v>
      </c>
      <c r="DI106" s="25">
        <f t="shared" si="213"/>
        <v>6194.0625570775992</v>
      </c>
      <c r="DJ106" s="25">
        <f t="shared" si="213"/>
        <v>5933.7014459664879</v>
      </c>
      <c r="DK106" s="25">
        <f t="shared" si="213"/>
        <v>5673.3403348553766</v>
      </c>
      <c r="DL106" s="25">
        <f t="shared" si="213"/>
        <v>5410.1181126331539</v>
      </c>
      <c r="DM106" s="25">
        <f t="shared" si="213"/>
        <v>5146.8958904109313</v>
      </c>
      <c r="DN106" s="25">
        <f t="shared" si="213"/>
        <v>4888.6904109588768</v>
      </c>
      <c r="DO106" s="25">
        <f t="shared" si="213"/>
        <v>4627.6159817351327</v>
      </c>
      <c r="DP106" s="25">
        <f t="shared" si="213"/>
        <v>4363.672602739699</v>
      </c>
      <c r="DQ106" s="25">
        <f t="shared" si="213"/>
        <v>4099.7292237442653</v>
      </c>
      <c r="DR106" s="25">
        <f t="shared" si="213"/>
        <v>3841.5237442922107</v>
      </c>
      <c r="DS106" s="25">
        <f t="shared" si="213"/>
        <v>3580.4493150684666</v>
      </c>
      <c r="DT106" s="25">
        <f t="shared" si="213"/>
        <v>3316.5059360730329</v>
      </c>
      <c r="DU106" s="25">
        <f t="shared" si="213"/>
        <v>3052.5625570775992</v>
      </c>
      <c r="DV106" s="25">
        <f t="shared" si="213"/>
        <v>2794.3570776255447</v>
      </c>
      <c r="DW106" s="25">
        <f t="shared" si="213"/>
        <v>2533.2826484018005</v>
      </c>
      <c r="DX106" s="25">
        <f t="shared" si="213"/>
        <v>2269.3392694063668</v>
      </c>
      <c r="DY106" s="25">
        <f t="shared" si="213"/>
        <v>2005.3958904109331</v>
      </c>
      <c r="DZ106" s="25">
        <f t="shared" si="213"/>
        <v>1745.034779299822</v>
      </c>
      <c r="EA106" s="25">
        <f t="shared" si="213"/>
        <v>1484.673668188711</v>
      </c>
      <c r="EB106" s="25">
        <f t="shared" si="213"/>
        <v>1221.4514459664888</v>
      </c>
      <c r="EC106" s="25">
        <f t="shared" si="213"/>
        <v>958.22922374426662</v>
      </c>
      <c r="ED106" s="25">
        <f t="shared" si="213"/>
        <v>700.02374429221186</v>
      </c>
      <c r="EE106" s="25">
        <f t="shared" si="213"/>
        <v>438.94931506846763</v>
      </c>
      <c r="EF106" s="25">
        <f t="shared" si="213"/>
        <v>175.00593607303387</v>
      </c>
      <c r="EG106" s="25">
        <f t="shared" si="213"/>
        <v>0</v>
      </c>
      <c r="EH106" s="25">
        <f t="shared" ref="EH106:FM106" si="214">SUM(EH103:EH105)</f>
        <v>0</v>
      </c>
      <c r="EI106" s="25">
        <f t="shared" si="214"/>
        <v>0</v>
      </c>
      <c r="EJ106" s="25">
        <f t="shared" si="214"/>
        <v>0</v>
      </c>
      <c r="EK106" s="25">
        <f t="shared" si="214"/>
        <v>0</v>
      </c>
      <c r="EL106" s="25">
        <f t="shared" si="214"/>
        <v>0</v>
      </c>
      <c r="EM106" s="25">
        <f t="shared" si="214"/>
        <v>0</v>
      </c>
      <c r="EN106" s="25">
        <f t="shared" si="214"/>
        <v>0</v>
      </c>
      <c r="EO106" s="25">
        <f t="shared" si="214"/>
        <v>0</v>
      </c>
      <c r="EP106" s="25">
        <f t="shared" si="214"/>
        <v>0</v>
      </c>
      <c r="EQ106" s="25">
        <f t="shared" si="214"/>
        <v>0</v>
      </c>
      <c r="ER106" s="25">
        <f t="shared" si="214"/>
        <v>0</v>
      </c>
      <c r="ES106" s="25">
        <f t="shared" si="214"/>
        <v>0</v>
      </c>
      <c r="ET106" s="25">
        <f t="shared" si="214"/>
        <v>0</v>
      </c>
      <c r="EU106" s="25">
        <f t="shared" si="214"/>
        <v>0</v>
      </c>
      <c r="EV106" s="25">
        <f t="shared" si="214"/>
        <v>0</v>
      </c>
      <c r="EW106" s="25">
        <f t="shared" si="214"/>
        <v>0</v>
      </c>
      <c r="EX106" s="25">
        <f t="shared" si="214"/>
        <v>0</v>
      </c>
      <c r="EY106" s="25">
        <f t="shared" si="214"/>
        <v>0</v>
      </c>
      <c r="EZ106" s="25">
        <f t="shared" si="214"/>
        <v>0</v>
      </c>
      <c r="FA106" s="25">
        <f t="shared" si="214"/>
        <v>0</v>
      </c>
      <c r="FB106" s="25">
        <f t="shared" si="214"/>
        <v>0</v>
      </c>
      <c r="FC106" s="25">
        <f t="shared" si="214"/>
        <v>0</v>
      </c>
      <c r="FD106" s="25">
        <f t="shared" si="214"/>
        <v>0</v>
      </c>
      <c r="FE106" s="25">
        <f t="shared" si="214"/>
        <v>0</v>
      </c>
      <c r="FF106" s="25">
        <f t="shared" si="214"/>
        <v>0</v>
      </c>
      <c r="FG106" s="25">
        <f t="shared" si="214"/>
        <v>0</v>
      </c>
      <c r="FH106" s="25">
        <f t="shared" si="214"/>
        <v>0</v>
      </c>
      <c r="FI106" s="25">
        <f t="shared" si="214"/>
        <v>0</v>
      </c>
      <c r="FJ106" s="25">
        <f t="shared" si="214"/>
        <v>0</v>
      </c>
      <c r="FK106" s="25">
        <f t="shared" si="214"/>
        <v>0</v>
      </c>
      <c r="FL106" s="25">
        <f t="shared" si="214"/>
        <v>0</v>
      </c>
      <c r="FM106" s="25">
        <f t="shared" si="214"/>
        <v>0</v>
      </c>
    </row>
    <row r="107" spans="2:169" x14ac:dyDescent="0.25"/>
    <row r="108" spans="2:169" x14ac:dyDescent="0.25">
      <c r="B108" s="34" t="s">
        <v>139</v>
      </c>
    </row>
    <row r="109" spans="2:169" x14ac:dyDescent="0.25">
      <c r="B109" t="s">
        <v>107</v>
      </c>
      <c r="C109" t="s">
        <v>94</v>
      </c>
      <c r="D109" s="2" t="s">
        <v>60</v>
      </c>
      <c r="H109" s="31">
        <f t="shared" ref="H109:H110" si="215">SUM(I109:FM109)</f>
        <v>97320.665744481084</v>
      </c>
      <c r="I109" s="25">
        <f>I54</f>
        <v>0</v>
      </c>
      <c r="J109" s="25">
        <f t="shared" ref="J109:BU109" si="216">J54</f>
        <v>0</v>
      </c>
      <c r="K109" s="25">
        <f t="shared" si="216"/>
        <v>-8.4469479452054799</v>
      </c>
      <c r="L109" s="25">
        <f t="shared" si="216"/>
        <v>-25.068361643835619</v>
      </c>
      <c r="M109" s="25">
        <f t="shared" si="216"/>
        <v>-25.068361643835619</v>
      </c>
      <c r="N109" s="25">
        <f t="shared" si="216"/>
        <v>-25.308145972602741</v>
      </c>
      <c r="O109" s="25">
        <f t="shared" si="216"/>
        <v>-25.58934759452055</v>
      </c>
      <c r="P109" s="25">
        <f t="shared" si="216"/>
        <v>-25.870549216438359</v>
      </c>
      <c r="Q109" s="25">
        <f t="shared" si="216"/>
        <v>92.180936403461274</v>
      </c>
      <c r="R109" s="25">
        <f t="shared" si="216"/>
        <v>339.66047603493439</v>
      </c>
      <c r="S109" s="25">
        <f t="shared" si="216"/>
        <v>339.0064533742534</v>
      </c>
      <c r="T109" s="25">
        <f t="shared" si="216"/>
        <v>342.06332325193148</v>
      </c>
      <c r="U109" s="25">
        <f t="shared" si="216"/>
        <v>341.39484748813425</v>
      </c>
      <c r="V109" s="25">
        <f t="shared" si="216"/>
        <v>354.81410192840769</v>
      </c>
      <c r="W109" s="25">
        <f t="shared" si="216"/>
        <v>358.07701911289371</v>
      </c>
      <c r="X109" s="25">
        <f t="shared" si="216"/>
        <v>361.31745440957917</v>
      </c>
      <c r="Y109" s="25">
        <f t="shared" si="216"/>
        <v>360.62297740832054</v>
      </c>
      <c r="Z109" s="25">
        <f t="shared" si="216"/>
        <v>369.69950238604974</v>
      </c>
      <c r="AA109" s="25">
        <f t="shared" si="216"/>
        <v>373.10905792205119</v>
      </c>
      <c r="AB109" s="25">
        <f t="shared" si="216"/>
        <v>376.49551100915932</v>
      </c>
      <c r="AC109" s="25">
        <f t="shared" si="216"/>
        <v>375.78186455866199</v>
      </c>
      <c r="AD109" s="25">
        <f t="shared" si="216"/>
        <v>384.87376322282171</v>
      </c>
      <c r="AE109" s="25">
        <f t="shared" si="216"/>
        <v>388.43269779543402</v>
      </c>
      <c r="AF109" s="25">
        <f t="shared" si="216"/>
        <v>391.96789384403274</v>
      </c>
      <c r="AG109" s="25">
        <f t="shared" si="216"/>
        <v>391.2345987080659</v>
      </c>
      <c r="AH109" s="25">
        <f t="shared" si="216"/>
        <v>403.67839149136955</v>
      </c>
      <c r="AI109" s="25">
        <f t="shared" si="216"/>
        <v>402.9452690709893</v>
      </c>
      <c r="AJ109" s="25">
        <f t="shared" si="216"/>
        <v>406.62391552906888</v>
      </c>
      <c r="AK109" s="25">
        <f t="shared" si="216"/>
        <v>405.87459199735781</v>
      </c>
      <c r="AL109" s="25">
        <f t="shared" si="216"/>
        <v>416.11021134807299</v>
      </c>
      <c r="AM109" s="25">
        <f t="shared" si="216"/>
        <v>419.97631603883929</v>
      </c>
      <c r="AN109" s="25">
        <f t="shared" si="216"/>
        <v>423.81736195217007</v>
      </c>
      <c r="AO109" s="25">
        <f t="shared" si="216"/>
        <v>423.04328351342559</v>
      </c>
      <c r="AP109" s="25">
        <f t="shared" si="216"/>
        <v>432.18328526630467</v>
      </c>
      <c r="AQ109" s="25">
        <f t="shared" si="216"/>
        <v>436.20727767096639</v>
      </c>
      <c r="AR109" s="25">
        <f t="shared" si="216"/>
        <v>440.20552631485879</v>
      </c>
      <c r="AS109" s="25">
        <f t="shared" si="216"/>
        <v>439.41028839093855</v>
      </c>
      <c r="AT109" s="25">
        <f t="shared" si="216"/>
        <v>448.5669946944206</v>
      </c>
      <c r="AU109" s="25">
        <f t="shared" si="216"/>
        <v>452.75180876873617</v>
      </c>
      <c r="AV109" s="25">
        <f t="shared" si="216"/>
        <v>456.9101769743649</v>
      </c>
      <c r="AW109" s="25">
        <f t="shared" si="216"/>
        <v>456.09325057813948</v>
      </c>
      <c r="AX109" s="25">
        <f t="shared" si="216"/>
        <v>469.14452806827398</v>
      </c>
      <c r="AY109" s="25">
        <f t="shared" si="216"/>
        <v>468.32799467346081</v>
      </c>
      <c r="AZ109" s="25">
        <f t="shared" si="216"/>
        <v>472.63987836644333</v>
      </c>
      <c r="BA109" s="25">
        <f t="shared" si="216"/>
        <v>471.80530057949773</v>
      </c>
      <c r="BB109" s="25">
        <f t="shared" si="216"/>
        <v>482.28905495070035</v>
      </c>
      <c r="BC109" s="25">
        <f t="shared" si="216"/>
        <v>486.80451476280746</v>
      </c>
      <c r="BD109" s="25">
        <f t="shared" si="216"/>
        <v>491.29207139348233</v>
      </c>
      <c r="BE109" s="25">
        <f t="shared" si="216"/>
        <v>490.43012786192804</v>
      </c>
      <c r="BF109" s="25">
        <f t="shared" si="216"/>
        <v>499.63899643972957</v>
      </c>
      <c r="BG109" s="25">
        <f t="shared" si="216"/>
        <v>504.32438224910766</v>
      </c>
      <c r="BH109" s="25">
        <f t="shared" si="216"/>
        <v>508.98110878361962</v>
      </c>
      <c r="BI109" s="25">
        <f t="shared" si="216"/>
        <v>508.09580913956955</v>
      </c>
      <c r="BJ109" s="25">
        <f t="shared" si="216"/>
        <v>517.3227565660452</v>
      </c>
      <c r="BK109" s="25">
        <f t="shared" si="216"/>
        <v>522.18120619040428</v>
      </c>
      <c r="BL109" s="25">
        <f t="shared" si="216"/>
        <v>527.01022154412749</v>
      </c>
      <c r="BM109" s="25">
        <f t="shared" si="216"/>
        <v>526.100981884769</v>
      </c>
      <c r="BN109" s="25">
        <f t="shared" si="216"/>
        <v>539.80818097773829</v>
      </c>
      <c r="BO109" s="25">
        <f t="shared" si="216"/>
        <v>538.89957747412745</v>
      </c>
      <c r="BP109" s="25">
        <f t="shared" si="216"/>
        <v>543.89286832010987</v>
      </c>
      <c r="BQ109" s="25">
        <f t="shared" si="216"/>
        <v>542.96418578725593</v>
      </c>
      <c r="BR109" s="25">
        <f t="shared" si="216"/>
        <v>553.71591562373317</v>
      </c>
      <c r="BS109" s="25">
        <f t="shared" si="216"/>
        <v>558.93011754512315</v>
      </c>
      <c r="BT109" s="25">
        <f t="shared" si="216"/>
        <v>564.1132765952832</v>
      </c>
      <c r="BU109" s="25">
        <f t="shared" si="216"/>
        <v>563.15434644164998</v>
      </c>
      <c r="BV109" s="25">
        <f t="shared" ref="BV109:EG109" si="217">BV54</f>
        <v>572.43763809562108</v>
      </c>
      <c r="BW109" s="25">
        <f t="shared" si="217"/>
        <v>577.83463578330338</v>
      </c>
      <c r="BX109" s="25">
        <f t="shared" si="217"/>
        <v>583.19975601407646</v>
      </c>
      <c r="BY109" s="25">
        <f t="shared" si="217"/>
        <v>582.21504508239559</v>
      </c>
      <c r="BZ109" s="25">
        <f t="shared" si="217"/>
        <v>591.51782799213061</v>
      </c>
      <c r="CA109" s="25">
        <f t="shared" si="217"/>
        <v>597.10097383318282</v>
      </c>
      <c r="CB109" s="25">
        <f t="shared" si="217"/>
        <v>602.65138676700485</v>
      </c>
      <c r="CC109" s="25">
        <f t="shared" si="217"/>
        <v>601.64025053782439</v>
      </c>
      <c r="CD109" s="25">
        <f t="shared" si="217"/>
        <v>616.05515011879118</v>
      </c>
      <c r="CE109" s="25">
        <f t="shared" si="217"/>
        <v>615.04491844224776</v>
      </c>
      <c r="CF109" s="25">
        <f t="shared" si="217"/>
        <v>620.77109724528816</v>
      </c>
      <c r="CG109" s="25">
        <f t="shared" si="217"/>
        <v>619.73854068083187</v>
      </c>
      <c r="CH109" s="25">
        <f t="shared" si="217"/>
        <v>630.77929660554264</v>
      </c>
      <c r="CI109" s="25">
        <f t="shared" si="217"/>
        <v>636.74501786809344</v>
      </c>
      <c r="CJ109" s="25">
        <f t="shared" si="217"/>
        <v>642.67623062934194</v>
      </c>
      <c r="CK109" s="25">
        <f t="shared" si="217"/>
        <v>641.61024539204004</v>
      </c>
      <c r="CL109" s="25">
        <f t="shared" si="217"/>
        <v>650.97365899342083</v>
      </c>
      <c r="CM109" s="25">
        <f t="shared" si="217"/>
        <v>657.13592017680867</v>
      </c>
      <c r="CN109" s="25">
        <f t="shared" si="217"/>
        <v>663.26275163246373</v>
      </c>
      <c r="CO109" s="25">
        <f t="shared" si="217"/>
        <v>662.16830924002238</v>
      </c>
      <c r="CP109" s="25">
        <f t="shared" si="217"/>
        <v>671.55265771471966</v>
      </c>
      <c r="CQ109" s="25">
        <f t="shared" si="217"/>
        <v>677.9150365088957</v>
      </c>
      <c r="CR109" s="25">
        <f t="shared" si="217"/>
        <v>684.24104131824765</v>
      </c>
      <c r="CS109" s="25">
        <f t="shared" si="217"/>
        <v>683.11743034178812</v>
      </c>
      <c r="CT109" s="25">
        <f t="shared" si="217"/>
        <v>698.29532315812264</v>
      </c>
      <c r="CU109" s="25">
        <f t="shared" si="217"/>
        <v>697.17291299424573</v>
      </c>
      <c r="CV109" s="25">
        <f t="shared" si="217"/>
        <v>703.68693973683912</v>
      </c>
      <c r="CW109" s="25">
        <f t="shared" si="217"/>
        <v>702.53972567729841</v>
      </c>
      <c r="CX109" s="25">
        <f t="shared" si="217"/>
        <v>713.89180593278297</v>
      </c>
      <c r="CY109" s="25">
        <f t="shared" si="217"/>
        <v>720.66538566504221</v>
      </c>
      <c r="CZ109" s="25">
        <f t="shared" si="217"/>
        <v>727.4006314888527</v>
      </c>
      <c r="DA109" s="25">
        <f t="shared" si="217"/>
        <v>726.21647747019006</v>
      </c>
      <c r="DB109" s="25">
        <f t="shared" si="217"/>
        <v>735.66582424143473</v>
      </c>
      <c r="DC109" s="25">
        <f t="shared" si="217"/>
        <v>742.65060528058063</v>
      </c>
      <c r="DD109" s="25">
        <f t="shared" si="217"/>
        <v>749.59603554966861</v>
      </c>
      <c r="DE109" s="25">
        <f t="shared" si="217"/>
        <v>748.38047015633197</v>
      </c>
      <c r="DF109" s="25">
        <f t="shared" si="217"/>
        <v>757.85221788732952</v>
      </c>
      <c r="DG109" s="25">
        <f t="shared" si="217"/>
        <v>765.05201387580667</v>
      </c>
      <c r="DH109" s="25">
        <f t="shared" si="217"/>
        <v>772.21141681107611</v>
      </c>
      <c r="DI109" s="25">
        <f t="shared" si="217"/>
        <v>770.96365475869925</v>
      </c>
      <c r="DJ109" s="25">
        <f t="shared" si="217"/>
        <v>786.96351896130113</v>
      </c>
      <c r="DK109" s="25">
        <f t="shared" si="217"/>
        <v>785.71728473705411</v>
      </c>
      <c r="DL109" s="25">
        <f t="shared" si="217"/>
        <v>793.07776613266424</v>
      </c>
      <c r="DM109" s="25">
        <f t="shared" si="217"/>
        <v>791.80399165204267</v>
      </c>
      <c r="DN109" s="25">
        <f t="shared" si="217"/>
        <v>803.49097427339825</v>
      </c>
      <c r="DO109" s="25">
        <f t="shared" si="217"/>
        <v>811.13248425580093</v>
      </c>
      <c r="DP109" s="25">
        <f t="shared" si="217"/>
        <v>818.73143779603379</v>
      </c>
      <c r="DQ109" s="25">
        <f t="shared" si="217"/>
        <v>817.41684755323604</v>
      </c>
      <c r="DR109" s="25">
        <f t="shared" si="217"/>
        <v>826.95801297762387</v>
      </c>
      <c r="DS109" s="25">
        <f t="shared" si="217"/>
        <v>834.8263452030227</v>
      </c>
      <c r="DT109" s="25">
        <f t="shared" si="217"/>
        <v>842.65099856129973</v>
      </c>
      <c r="DU109" s="25">
        <f t="shared" si="217"/>
        <v>841.30173603822436</v>
      </c>
      <c r="DV109" s="25">
        <f t="shared" si="217"/>
        <v>850.86678008477043</v>
      </c>
      <c r="DW109" s="25">
        <f t="shared" si="217"/>
        <v>858.96599458074422</v>
      </c>
      <c r="DX109" s="25">
        <f t="shared" si="217"/>
        <v>867.02037972401968</v>
      </c>
      <c r="DY109" s="25">
        <f t="shared" si="217"/>
        <v>865.63557811366013</v>
      </c>
      <c r="DZ109" s="25">
        <f t="shared" si="217"/>
        <v>882.52024654537831</v>
      </c>
      <c r="EA109" s="25">
        <f t="shared" si="217"/>
        <v>881.13733372712591</v>
      </c>
      <c r="EB109" s="25">
        <f t="shared" si="217"/>
        <v>889.40668806542772</v>
      </c>
      <c r="EC109" s="25">
        <f t="shared" si="217"/>
        <v>887.99321456057464</v>
      </c>
      <c r="ED109" s="25">
        <f t="shared" si="217"/>
        <v>900.03998278263748</v>
      </c>
      <c r="EE109" s="25">
        <f t="shared" si="217"/>
        <v>908.61339526892914</v>
      </c>
      <c r="EF109" s="25">
        <f t="shared" si="217"/>
        <v>917.13959042589909</v>
      </c>
      <c r="EG109" s="25">
        <f t="shared" si="217"/>
        <v>1004.6184659198962</v>
      </c>
      <c r="EH109" s="25">
        <f t="shared" ref="EH109:FM109" si="218">EH54</f>
        <v>1183.5253990614274</v>
      </c>
      <c r="EI109" s="25">
        <f t="shared" si="218"/>
        <v>1195.2112052684445</v>
      </c>
      <c r="EJ109" s="25">
        <f t="shared" si="218"/>
        <v>1206.8485551990084</v>
      </c>
      <c r="EK109" s="25">
        <f t="shared" si="218"/>
        <v>1205.351716060688</v>
      </c>
      <c r="EL109" s="25">
        <f t="shared" si="218"/>
        <v>1209.2780675930053</v>
      </c>
      <c r="EM109" s="25">
        <f t="shared" si="218"/>
        <v>1221.2116342176073</v>
      </c>
      <c r="EN109" s="25">
        <f t="shared" si="218"/>
        <v>1233.0954746449474</v>
      </c>
      <c r="EO109" s="25">
        <f t="shared" si="218"/>
        <v>1231.559407003962</v>
      </c>
      <c r="EP109" s="25">
        <f t="shared" si="218"/>
        <v>1245.8134640343101</v>
      </c>
      <c r="EQ109" s="25">
        <f t="shared" si="218"/>
        <v>1244.2796836221216</v>
      </c>
      <c r="ER109" s="25">
        <f t="shared" si="218"/>
        <v>1256.38541165024</v>
      </c>
      <c r="ES109" s="25">
        <f t="shared" si="218"/>
        <v>1254.817736561632</v>
      </c>
      <c r="ET109" s="25">
        <f t="shared" si="218"/>
        <v>1262.2337529386964</v>
      </c>
      <c r="EU109" s="25">
        <f t="shared" si="218"/>
        <v>1274.6760528658813</v>
      </c>
      <c r="EV109" s="25">
        <f t="shared" si="218"/>
        <v>1287.0659907164236</v>
      </c>
      <c r="EW109" s="25">
        <f t="shared" si="218"/>
        <v>1285.4484994145935</v>
      </c>
      <c r="EX109" s="25">
        <f t="shared" si="218"/>
        <v>1289.4531094439558</v>
      </c>
      <c r="EY109" s="25">
        <f t="shared" si="218"/>
        <v>1302.1565152331377</v>
      </c>
      <c r="EZ109" s="25">
        <f t="shared" si="218"/>
        <v>1314.8061913798647</v>
      </c>
      <c r="FA109" s="25">
        <f t="shared" si="218"/>
        <v>1313.1464552712819</v>
      </c>
      <c r="FB109" s="25">
        <f t="shared" si="218"/>
        <v>0</v>
      </c>
      <c r="FC109" s="25">
        <f t="shared" si="218"/>
        <v>0</v>
      </c>
      <c r="FD109" s="25">
        <f t="shared" si="218"/>
        <v>0</v>
      </c>
      <c r="FE109" s="25">
        <f t="shared" si="218"/>
        <v>0</v>
      </c>
      <c r="FF109" s="25">
        <f t="shared" si="218"/>
        <v>0</v>
      </c>
      <c r="FG109" s="25">
        <f t="shared" si="218"/>
        <v>0</v>
      </c>
      <c r="FH109" s="25">
        <f t="shared" si="218"/>
        <v>0</v>
      </c>
      <c r="FI109" s="25">
        <f t="shared" si="218"/>
        <v>0</v>
      </c>
      <c r="FJ109" s="25">
        <f t="shared" si="218"/>
        <v>0</v>
      </c>
      <c r="FK109" s="25">
        <f t="shared" si="218"/>
        <v>0</v>
      </c>
      <c r="FL109" s="25">
        <f t="shared" si="218"/>
        <v>0</v>
      </c>
      <c r="FM109" s="25">
        <f t="shared" si="218"/>
        <v>0</v>
      </c>
    </row>
    <row r="110" spans="2:169" x14ac:dyDescent="0.25">
      <c r="B110" t="s">
        <v>57</v>
      </c>
      <c r="C110" t="s">
        <v>94</v>
      </c>
      <c r="D110" s="28">
        <f>Stat_Inp!F97</f>
        <v>0.09</v>
      </c>
      <c r="H110" s="31">
        <f t="shared" si="215"/>
        <v>8758.8599170033049</v>
      </c>
      <c r="I110" s="25">
        <f t="shared" ref="I110:BU110" si="219">$D110 * I109</f>
        <v>0</v>
      </c>
      <c r="J110" s="25">
        <f t="shared" si="219"/>
        <v>0</v>
      </c>
      <c r="K110" s="25">
        <f t="shared" si="219"/>
        <v>-0.76022531506849311</v>
      </c>
      <c r="L110" s="25">
        <f t="shared" si="219"/>
        <v>-2.2561525479452058</v>
      </c>
      <c r="M110" s="25">
        <f t="shared" si="219"/>
        <v>-2.2561525479452058</v>
      </c>
      <c r="N110" s="25">
        <f t="shared" si="219"/>
        <v>-2.2777331375342467</v>
      </c>
      <c r="O110" s="25">
        <f t="shared" si="219"/>
        <v>-2.3030412835068494</v>
      </c>
      <c r="P110" s="25">
        <f t="shared" si="219"/>
        <v>-2.3283494294794522</v>
      </c>
      <c r="Q110" s="25">
        <f t="shared" si="219"/>
        <v>8.2962842763115141</v>
      </c>
      <c r="R110" s="25">
        <f t="shared" si="219"/>
        <v>30.569442843144095</v>
      </c>
      <c r="S110" s="25">
        <f t="shared" si="219"/>
        <v>30.510580803682803</v>
      </c>
      <c r="T110" s="25">
        <f t="shared" si="219"/>
        <v>30.785699092673831</v>
      </c>
      <c r="U110" s="25">
        <f t="shared" si="219"/>
        <v>30.725536273932082</v>
      </c>
      <c r="V110" s="25">
        <f t="shared" si="219"/>
        <v>31.933269173556692</v>
      </c>
      <c r="W110" s="25">
        <f t="shared" si="219"/>
        <v>32.22693172016043</v>
      </c>
      <c r="X110" s="25">
        <f t="shared" si="219"/>
        <v>32.518570896862123</v>
      </c>
      <c r="Y110" s="25">
        <f t="shared" si="219"/>
        <v>32.456067966748847</v>
      </c>
      <c r="Z110" s="25">
        <f t="shared" si="219"/>
        <v>33.272955214744478</v>
      </c>
      <c r="AA110" s="25">
        <f t="shared" si="219"/>
        <v>33.579815212984606</v>
      </c>
      <c r="AB110" s="25">
        <f t="shared" si="219"/>
        <v>33.884595990824337</v>
      </c>
      <c r="AC110" s="25">
        <f t="shared" si="219"/>
        <v>33.820367810279578</v>
      </c>
      <c r="AD110" s="25">
        <f t="shared" si="219"/>
        <v>34.638638690053952</v>
      </c>
      <c r="AE110" s="25">
        <f t="shared" si="219"/>
        <v>34.95894280158906</v>
      </c>
      <c r="AF110" s="25">
        <f t="shared" si="219"/>
        <v>35.277110445962947</v>
      </c>
      <c r="AG110" s="25">
        <f t="shared" si="219"/>
        <v>35.211113883725929</v>
      </c>
      <c r="AH110" s="25">
        <f t="shared" si="219"/>
        <v>36.331055234223257</v>
      </c>
      <c r="AI110" s="25">
        <f t="shared" si="219"/>
        <v>36.265074216389038</v>
      </c>
      <c r="AJ110" s="25">
        <f t="shared" si="219"/>
        <v>36.596152397616201</v>
      </c>
      <c r="AK110" s="25">
        <f t="shared" si="219"/>
        <v>36.528713279762201</v>
      </c>
      <c r="AL110" s="25">
        <f t="shared" si="219"/>
        <v>37.449919021326565</v>
      </c>
      <c r="AM110" s="25">
        <f t="shared" si="219"/>
        <v>37.797868443495531</v>
      </c>
      <c r="AN110" s="25">
        <f t="shared" si="219"/>
        <v>38.143562575695306</v>
      </c>
      <c r="AO110" s="25">
        <f t="shared" si="219"/>
        <v>38.073895516208303</v>
      </c>
      <c r="AP110" s="25">
        <f t="shared" si="219"/>
        <v>38.896495673967415</v>
      </c>
      <c r="AQ110" s="25">
        <f t="shared" si="219"/>
        <v>39.258654990386972</v>
      </c>
      <c r="AR110" s="25">
        <f t="shared" si="219"/>
        <v>39.618497368337287</v>
      </c>
      <c r="AS110" s="25">
        <f t="shared" si="219"/>
        <v>39.54692595518447</v>
      </c>
      <c r="AT110" s="25">
        <f t="shared" si="219"/>
        <v>40.371029522497849</v>
      </c>
      <c r="AU110" s="25">
        <f t="shared" si="219"/>
        <v>40.747662789186251</v>
      </c>
      <c r="AV110" s="25">
        <f t="shared" si="219"/>
        <v>41.121915927692839</v>
      </c>
      <c r="AW110" s="25">
        <f t="shared" si="219"/>
        <v>41.048392552032553</v>
      </c>
      <c r="AX110" s="25">
        <f t="shared" si="219"/>
        <v>42.223007526144656</v>
      </c>
      <c r="AY110" s="25">
        <f t="shared" si="219"/>
        <v>42.14951952061147</v>
      </c>
      <c r="AZ110" s="25">
        <f t="shared" si="219"/>
        <v>42.537589052979897</v>
      </c>
      <c r="BA110" s="25">
        <f t="shared" si="219"/>
        <v>42.462477052154796</v>
      </c>
      <c r="BB110" s="25">
        <f t="shared" si="219"/>
        <v>43.40601494556303</v>
      </c>
      <c r="BC110" s="25">
        <f t="shared" si="219"/>
        <v>43.812406328652671</v>
      </c>
      <c r="BD110" s="25">
        <f t="shared" si="219"/>
        <v>44.216286425413408</v>
      </c>
      <c r="BE110" s="25">
        <f t="shared" si="219"/>
        <v>44.138711507573525</v>
      </c>
      <c r="BF110" s="25">
        <f t="shared" si="219"/>
        <v>44.967509679575656</v>
      </c>
      <c r="BG110" s="25">
        <f t="shared" si="219"/>
        <v>45.38919440241969</v>
      </c>
      <c r="BH110" s="25">
        <f t="shared" si="219"/>
        <v>45.808299790525766</v>
      </c>
      <c r="BI110" s="25">
        <f t="shared" si="219"/>
        <v>45.728622822561256</v>
      </c>
      <c r="BJ110" s="25">
        <f t="shared" si="219"/>
        <v>46.559048090944067</v>
      </c>
      <c r="BK110" s="25">
        <f t="shared" si="219"/>
        <v>46.996308557136381</v>
      </c>
      <c r="BL110" s="25">
        <f t="shared" si="219"/>
        <v>47.430919938971471</v>
      </c>
      <c r="BM110" s="25">
        <f t="shared" si="219"/>
        <v>47.349088369629207</v>
      </c>
      <c r="BN110" s="25">
        <f t="shared" si="219"/>
        <v>48.582736287996447</v>
      </c>
      <c r="BO110" s="25">
        <f t="shared" si="219"/>
        <v>48.500961972671469</v>
      </c>
      <c r="BP110" s="25">
        <f t="shared" si="219"/>
        <v>48.950358148809883</v>
      </c>
      <c r="BQ110" s="25">
        <f t="shared" si="219"/>
        <v>48.866776720853032</v>
      </c>
      <c r="BR110" s="25">
        <f t="shared" si="219"/>
        <v>49.834432406135981</v>
      </c>
      <c r="BS110" s="25">
        <f t="shared" si="219"/>
        <v>50.303710579061082</v>
      </c>
      <c r="BT110" s="25">
        <f t="shared" si="219"/>
        <v>50.770194893575486</v>
      </c>
      <c r="BU110" s="25">
        <f t="shared" si="219"/>
        <v>50.683891179748493</v>
      </c>
      <c r="BV110" s="25">
        <f t="shared" ref="BV110:EG110" si="220">$D110 * BV109</f>
        <v>51.519387428605896</v>
      </c>
      <c r="BW110" s="25">
        <f t="shared" si="220"/>
        <v>52.005117220497304</v>
      </c>
      <c r="BX110" s="25">
        <f t="shared" si="220"/>
        <v>52.487978041266878</v>
      </c>
      <c r="BY110" s="25">
        <f t="shared" si="220"/>
        <v>52.3993540574156</v>
      </c>
      <c r="BZ110" s="25">
        <f t="shared" si="220"/>
        <v>53.236604519291753</v>
      </c>
      <c r="CA110" s="25">
        <f t="shared" si="220"/>
        <v>53.739087644986455</v>
      </c>
      <c r="CB110" s="25">
        <f t="shared" si="220"/>
        <v>54.238624809030433</v>
      </c>
      <c r="CC110" s="25">
        <f t="shared" si="220"/>
        <v>54.147622548404193</v>
      </c>
      <c r="CD110" s="25">
        <f t="shared" si="220"/>
        <v>55.444963510691203</v>
      </c>
      <c r="CE110" s="25">
        <f t="shared" si="220"/>
        <v>55.354042659802296</v>
      </c>
      <c r="CF110" s="25">
        <f t="shared" si="220"/>
        <v>55.869398752075931</v>
      </c>
      <c r="CG110" s="25">
        <f t="shared" si="220"/>
        <v>55.776468661274869</v>
      </c>
      <c r="CH110" s="25">
        <f t="shared" si="220"/>
        <v>56.770136694498838</v>
      </c>
      <c r="CI110" s="25">
        <f t="shared" si="220"/>
        <v>57.307051608128411</v>
      </c>
      <c r="CJ110" s="25">
        <f t="shared" si="220"/>
        <v>57.840860756640772</v>
      </c>
      <c r="CK110" s="25">
        <f t="shared" si="220"/>
        <v>57.744922085283605</v>
      </c>
      <c r="CL110" s="25">
        <f t="shared" si="220"/>
        <v>58.587629309407873</v>
      </c>
      <c r="CM110" s="25">
        <f t="shared" si="220"/>
        <v>59.142232815912777</v>
      </c>
      <c r="CN110" s="25">
        <f t="shared" si="220"/>
        <v>59.693647646921733</v>
      </c>
      <c r="CO110" s="25">
        <f t="shared" si="220"/>
        <v>59.595147831602013</v>
      </c>
      <c r="CP110" s="25">
        <f t="shared" si="220"/>
        <v>60.439739194324765</v>
      </c>
      <c r="CQ110" s="25">
        <f t="shared" si="220"/>
        <v>61.012353285800607</v>
      </c>
      <c r="CR110" s="25">
        <f t="shared" si="220"/>
        <v>61.581693718642285</v>
      </c>
      <c r="CS110" s="25">
        <f t="shared" si="220"/>
        <v>61.480568730760929</v>
      </c>
      <c r="CT110" s="25">
        <f t="shared" si="220"/>
        <v>62.846579084231038</v>
      </c>
      <c r="CU110" s="25">
        <f t="shared" si="220"/>
        <v>62.745562169482113</v>
      </c>
      <c r="CV110" s="25">
        <f t="shared" si="220"/>
        <v>63.331824576315519</v>
      </c>
      <c r="CW110" s="25">
        <f t="shared" si="220"/>
        <v>63.228575310956856</v>
      </c>
      <c r="CX110" s="25">
        <f t="shared" si="220"/>
        <v>64.250262533950462</v>
      </c>
      <c r="CY110" s="25">
        <f t="shared" si="220"/>
        <v>64.859884709853802</v>
      </c>
      <c r="CZ110" s="25">
        <f t="shared" si="220"/>
        <v>65.466056833996745</v>
      </c>
      <c r="DA110" s="25">
        <f t="shared" si="220"/>
        <v>65.359482972317096</v>
      </c>
      <c r="DB110" s="25">
        <f t="shared" si="220"/>
        <v>66.209924181729122</v>
      </c>
      <c r="DC110" s="25">
        <f t="shared" si="220"/>
        <v>66.838554475252252</v>
      </c>
      <c r="DD110" s="25">
        <f t="shared" si="220"/>
        <v>67.46364319947017</v>
      </c>
      <c r="DE110" s="25">
        <f t="shared" si="220"/>
        <v>67.354242314069879</v>
      </c>
      <c r="DF110" s="25">
        <f t="shared" si="220"/>
        <v>68.206699609859655</v>
      </c>
      <c r="DG110" s="25">
        <f t="shared" si="220"/>
        <v>68.854681248822601</v>
      </c>
      <c r="DH110" s="25">
        <f t="shared" si="220"/>
        <v>69.499027512996847</v>
      </c>
      <c r="DI110" s="25">
        <f t="shared" si="220"/>
        <v>69.386728928282935</v>
      </c>
      <c r="DJ110" s="25">
        <f t="shared" si="220"/>
        <v>70.826716706517104</v>
      </c>
      <c r="DK110" s="25">
        <f t="shared" si="220"/>
        <v>70.714555626334871</v>
      </c>
      <c r="DL110" s="25">
        <f t="shared" si="220"/>
        <v>71.376998951939783</v>
      </c>
      <c r="DM110" s="25">
        <f t="shared" si="220"/>
        <v>71.262359248683836</v>
      </c>
      <c r="DN110" s="25">
        <f t="shared" si="220"/>
        <v>72.314187684605841</v>
      </c>
      <c r="DO110" s="25">
        <f t="shared" si="220"/>
        <v>73.001923583022077</v>
      </c>
      <c r="DP110" s="25">
        <f t="shared" si="220"/>
        <v>73.685829401643034</v>
      </c>
      <c r="DQ110" s="25">
        <f t="shared" si="220"/>
        <v>73.567516279791235</v>
      </c>
      <c r="DR110" s="25">
        <f t="shared" si="220"/>
        <v>74.426221167986142</v>
      </c>
      <c r="DS110" s="25">
        <f t="shared" si="220"/>
        <v>75.134371068272046</v>
      </c>
      <c r="DT110" s="25">
        <f t="shared" si="220"/>
        <v>75.838589870516969</v>
      </c>
      <c r="DU110" s="25">
        <f t="shared" si="220"/>
        <v>75.717156243440186</v>
      </c>
      <c r="DV110" s="25">
        <f t="shared" si="220"/>
        <v>76.578010207629333</v>
      </c>
      <c r="DW110" s="25">
        <f t="shared" si="220"/>
        <v>77.306939512266979</v>
      </c>
      <c r="DX110" s="25">
        <f t="shared" si="220"/>
        <v>78.031834175161762</v>
      </c>
      <c r="DY110" s="25">
        <f t="shared" si="220"/>
        <v>77.907202030229413</v>
      </c>
      <c r="DZ110" s="25">
        <f t="shared" si="220"/>
        <v>79.426822189084049</v>
      </c>
      <c r="EA110" s="25">
        <f t="shared" si="220"/>
        <v>79.302360035441325</v>
      </c>
      <c r="EB110" s="25">
        <f t="shared" si="220"/>
        <v>80.046601925888496</v>
      </c>
      <c r="EC110" s="25">
        <f t="shared" si="220"/>
        <v>79.91938931045172</v>
      </c>
      <c r="ED110" s="25">
        <f t="shared" si="220"/>
        <v>81.003598450437366</v>
      </c>
      <c r="EE110" s="25">
        <f t="shared" si="220"/>
        <v>81.775205574203625</v>
      </c>
      <c r="EF110" s="25">
        <f t="shared" si="220"/>
        <v>82.54256313833092</v>
      </c>
      <c r="EG110" s="25">
        <f t="shared" si="220"/>
        <v>90.415661932790655</v>
      </c>
      <c r="EH110" s="25">
        <f t="shared" ref="EH110:FM110" si="221">$D110 * EH109</f>
        <v>106.51728591552846</v>
      </c>
      <c r="EI110" s="25">
        <f t="shared" si="221"/>
        <v>107.56900847416</v>
      </c>
      <c r="EJ110" s="25">
        <f t="shared" si="221"/>
        <v>108.61636996791076</v>
      </c>
      <c r="EK110" s="25">
        <f t="shared" si="221"/>
        <v>108.48165444546191</v>
      </c>
      <c r="EL110" s="25">
        <f t="shared" si="221"/>
        <v>108.83502608337047</v>
      </c>
      <c r="EM110" s="25">
        <f t="shared" si="221"/>
        <v>109.90904707958465</v>
      </c>
      <c r="EN110" s="25">
        <f t="shared" si="221"/>
        <v>110.97859271804526</v>
      </c>
      <c r="EO110" s="25">
        <f t="shared" si="221"/>
        <v>110.84034663035658</v>
      </c>
      <c r="EP110" s="25">
        <f t="shared" si="221"/>
        <v>112.12321176308791</v>
      </c>
      <c r="EQ110" s="25">
        <f t="shared" si="221"/>
        <v>111.98517152599095</v>
      </c>
      <c r="ER110" s="25">
        <f t="shared" si="221"/>
        <v>113.0746870485216</v>
      </c>
      <c r="ES110" s="25">
        <f t="shared" si="221"/>
        <v>112.93359629054687</v>
      </c>
      <c r="ET110" s="25">
        <f t="shared" si="221"/>
        <v>113.60103776448267</v>
      </c>
      <c r="EU110" s="25">
        <f t="shared" si="221"/>
        <v>114.72084475792931</v>
      </c>
      <c r="EV110" s="25">
        <f t="shared" si="221"/>
        <v>115.83593916447812</v>
      </c>
      <c r="EW110" s="25">
        <f t="shared" si="221"/>
        <v>115.69036494731341</v>
      </c>
      <c r="EX110" s="25">
        <f t="shared" si="221"/>
        <v>116.05077984995602</v>
      </c>
      <c r="EY110" s="25">
        <f t="shared" si="221"/>
        <v>117.19408637098239</v>
      </c>
      <c r="EZ110" s="25">
        <f t="shared" si="221"/>
        <v>118.33255722418782</v>
      </c>
      <c r="FA110" s="25">
        <f t="shared" si="221"/>
        <v>118.18318097441536</v>
      </c>
      <c r="FB110" s="25">
        <f t="shared" si="221"/>
        <v>0</v>
      </c>
      <c r="FC110" s="25">
        <f t="shared" si="221"/>
        <v>0</v>
      </c>
      <c r="FD110" s="25">
        <f t="shared" si="221"/>
        <v>0</v>
      </c>
      <c r="FE110" s="25">
        <f t="shared" si="221"/>
        <v>0</v>
      </c>
      <c r="FF110" s="25">
        <f t="shared" si="221"/>
        <v>0</v>
      </c>
      <c r="FG110" s="25">
        <f t="shared" si="221"/>
        <v>0</v>
      </c>
      <c r="FH110" s="25">
        <f t="shared" si="221"/>
        <v>0</v>
      </c>
      <c r="FI110" s="25">
        <f t="shared" si="221"/>
        <v>0</v>
      </c>
      <c r="FJ110" s="25">
        <f t="shared" si="221"/>
        <v>0</v>
      </c>
      <c r="FK110" s="25">
        <f t="shared" si="221"/>
        <v>0</v>
      </c>
      <c r="FL110" s="25">
        <f t="shared" si="221"/>
        <v>0</v>
      </c>
      <c r="FM110" s="25">
        <f t="shared" si="221"/>
        <v>0</v>
      </c>
    </row>
    <row r="111" spans="2:169" x14ac:dyDescent="0.25"/>
    <row r="112" spans="2:169" x14ac:dyDescent="0.25">
      <c r="B112" s="34" t="s">
        <v>140</v>
      </c>
    </row>
    <row r="113" spans="1:169" x14ac:dyDescent="0.25">
      <c r="B113" t="s">
        <v>136</v>
      </c>
      <c r="I113" s="25">
        <f>H116</f>
        <v>0</v>
      </c>
      <c r="J113" s="25">
        <f t="shared" ref="J113:L113" si="222">I116</f>
        <v>0</v>
      </c>
      <c r="K113" s="25">
        <f t="shared" si="222"/>
        <v>0</v>
      </c>
      <c r="L113" s="25">
        <f t="shared" si="222"/>
        <v>0.76022531506849311</v>
      </c>
      <c r="M113" s="25">
        <f t="shared" ref="M113:BX113" si="223">L116</f>
        <v>3.016377863013699</v>
      </c>
      <c r="N113" s="25">
        <f t="shared" si="223"/>
        <v>5.2725304109589048</v>
      </c>
      <c r="O113" s="25">
        <f t="shared" si="223"/>
        <v>7.5502635484931515</v>
      </c>
      <c r="P113" s="25">
        <f t="shared" si="223"/>
        <v>9.853304832000001</v>
      </c>
      <c r="Q113" s="25">
        <f t="shared" si="223"/>
        <v>12.181654261479453</v>
      </c>
      <c r="R113" s="25">
        <f t="shared" si="223"/>
        <v>3.8853699851679391</v>
      </c>
      <c r="S113" s="25">
        <f t="shared" si="223"/>
        <v>0</v>
      </c>
      <c r="T113" s="25">
        <f t="shared" si="223"/>
        <v>0</v>
      </c>
      <c r="U113" s="25">
        <f t="shared" si="223"/>
        <v>0</v>
      </c>
      <c r="V113" s="25">
        <f t="shared" si="223"/>
        <v>0</v>
      </c>
      <c r="W113" s="25">
        <f t="shared" si="223"/>
        <v>0</v>
      </c>
      <c r="X113" s="25">
        <f t="shared" si="223"/>
        <v>0</v>
      </c>
      <c r="Y113" s="25">
        <f t="shared" si="223"/>
        <v>0</v>
      </c>
      <c r="Z113" s="25">
        <f t="shared" si="223"/>
        <v>0</v>
      </c>
      <c r="AA113" s="25">
        <f t="shared" si="223"/>
        <v>0</v>
      </c>
      <c r="AB113" s="25">
        <f t="shared" si="223"/>
        <v>0</v>
      </c>
      <c r="AC113" s="25">
        <f t="shared" si="223"/>
        <v>0</v>
      </c>
      <c r="AD113" s="25">
        <f t="shared" si="223"/>
        <v>0</v>
      </c>
      <c r="AE113" s="25">
        <f t="shared" si="223"/>
        <v>0</v>
      </c>
      <c r="AF113" s="25">
        <f t="shared" si="223"/>
        <v>0</v>
      </c>
      <c r="AG113" s="25">
        <f t="shared" si="223"/>
        <v>0</v>
      </c>
      <c r="AH113" s="25">
        <f t="shared" si="223"/>
        <v>0</v>
      </c>
      <c r="AI113" s="25">
        <f t="shared" si="223"/>
        <v>0</v>
      </c>
      <c r="AJ113" s="25">
        <f t="shared" si="223"/>
        <v>0</v>
      </c>
      <c r="AK113" s="25">
        <f t="shared" si="223"/>
        <v>0</v>
      </c>
      <c r="AL113" s="25">
        <f t="shared" si="223"/>
        <v>0</v>
      </c>
      <c r="AM113" s="25">
        <f t="shared" si="223"/>
        <v>0</v>
      </c>
      <c r="AN113" s="25">
        <f t="shared" si="223"/>
        <v>0</v>
      </c>
      <c r="AO113" s="25">
        <f t="shared" si="223"/>
        <v>0</v>
      </c>
      <c r="AP113" s="25">
        <f t="shared" si="223"/>
        <v>0</v>
      </c>
      <c r="AQ113" s="25">
        <f t="shared" si="223"/>
        <v>0</v>
      </c>
      <c r="AR113" s="25">
        <f t="shared" si="223"/>
        <v>0</v>
      </c>
      <c r="AS113" s="25">
        <f t="shared" si="223"/>
        <v>0</v>
      </c>
      <c r="AT113" s="25">
        <f t="shared" si="223"/>
        <v>0</v>
      </c>
      <c r="AU113" s="25">
        <f t="shared" si="223"/>
        <v>0</v>
      </c>
      <c r="AV113" s="25">
        <f t="shared" si="223"/>
        <v>0</v>
      </c>
      <c r="AW113" s="25">
        <f t="shared" si="223"/>
        <v>0</v>
      </c>
      <c r="AX113" s="25">
        <f t="shared" si="223"/>
        <v>0</v>
      </c>
      <c r="AY113" s="25">
        <f t="shared" si="223"/>
        <v>0</v>
      </c>
      <c r="AZ113" s="25">
        <f t="shared" si="223"/>
        <v>0</v>
      </c>
      <c r="BA113" s="25">
        <f t="shared" si="223"/>
        <v>0</v>
      </c>
      <c r="BB113" s="25">
        <f t="shared" si="223"/>
        <v>0</v>
      </c>
      <c r="BC113" s="25">
        <f t="shared" si="223"/>
        <v>0</v>
      </c>
      <c r="BD113" s="25">
        <f t="shared" si="223"/>
        <v>0</v>
      </c>
      <c r="BE113" s="25">
        <f t="shared" si="223"/>
        <v>0</v>
      </c>
      <c r="BF113" s="25">
        <f t="shared" si="223"/>
        <v>0</v>
      </c>
      <c r="BG113" s="25">
        <f t="shared" si="223"/>
        <v>0</v>
      </c>
      <c r="BH113" s="25">
        <f t="shared" si="223"/>
        <v>0</v>
      </c>
      <c r="BI113" s="25">
        <f t="shared" si="223"/>
        <v>0</v>
      </c>
      <c r="BJ113" s="25">
        <f t="shared" si="223"/>
        <v>0</v>
      </c>
      <c r="BK113" s="25">
        <f t="shared" si="223"/>
        <v>0</v>
      </c>
      <c r="BL113" s="25">
        <f t="shared" si="223"/>
        <v>0</v>
      </c>
      <c r="BM113" s="25">
        <f t="shared" si="223"/>
        <v>0</v>
      </c>
      <c r="BN113" s="25">
        <f t="shared" si="223"/>
        <v>0</v>
      </c>
      <c r="BO113" s="25">
        <f t="shared" si="223"/>
        <v>0</v>
      </c>
      <c r="BP113" s="25">
        <f t="shared" si="223"/>
        <v>0</v>
      </c>
      <c r="BQ113" s="25">
        <f t="shared" si="223"/>
        <v>0</v>
      </c>
      <c r="BR113" s="25">
        <f t="shared" si="223"/>
        <v>0</v>
      </c>
      <c r="BS113" s="25">
        <f t="shared" si="223"/>
        <v>0</v>
      </c>
      <c r="BT113" s="25">
        <f t="shared" si="223"/>
        <v>0</v>
      </c>
      <c r="BU113" s="25">
        <f t="shared" si="223"/>
        <v>0</v>
      </c>
      <c r="BV113" s="25">
        <f t="shared" si="223"/>
        <v>0</v>
      </c>
      <c r="BW113" s="25">
        <f t="shared" si="223"/>
        <v>0</v>
      </c>
      <c r="BX113" s="25">
        <f t="shared" si="223"/>
        <v>0</v>
      </c>
      <c r="BY113" s="25">
        <f t="shared" ref="BY113:EJ113" si="224">BX116</f>
        <v>0</v>
      </c>
      <c r="BZ113" s="25">
        <f t="shared" si="224"/>
        <v>0</v>
      </c>
      <c r="CA113" s="25">
        <f t="shared" si="224"/>
        <v>0</v>
      </c>
      <c r="CB113" s="25">
        <f t="shared" si="224"/>
        <v>0</v>
      </c>
      <c r="CC113" s="25">
        <f t="shared" si="224"/>
        <v>0</v>
      </c>
      <c r="CD113" s="25">
        <f t="shared" si="224"/>
        <v>0</v>
      </c>
      <c r="CE113" s="25">
        <f t="shared" si="224"/>
        <v>0</v>
      </c>
      <c r="CF113" s="25">
        <f t="shared" si="224"/>
        <v>0</v>
      </c>
      <c r="CG113" s="25">
        <f t="shared" si="224"/>
        <v>0</v>
      </c>
      <c r="CH113" s="25">
        <f t="shared" si="224"/>
        <v>0</v>
      </c>
      <c r="CI113" s="25">
        <f t="shared" si="224"/>
        <v>0</v>
      </c>
      <c r="CJ113" s="25">
        <f t="shared" si="224"/>
        <v>0</v>
      </c>
      <c r="CK113" s="25">
        <f t="shared" si="224"/>
        <v>0</v>
      </c>
      <c r="CL113" s="25">
        <f t="shared" si="224"/>
        <v>0</v>
      </c>
      <c r="CM113" s="25">
        <f t="shared" si="224"/>
        <v>0</v>
      </c>
      <c r="CN113" s="25">
        <f t="shared" si="224"/>
        <v>0</v>
      </c>
      <c r="CO113" s="25">
        <f t="shared" si="224"/>
        <v>0</v>
      </c>
      <c r="CP113" s="25">
        <f t="shared" si="224"/>
        <v>0</v>
      </c>
      <c r="CQ113" s="25">
        <f t="shared" si="224"/>
        <v>0</v>
      </c>
      <c r="CR113" s="25">
        <f t="shared" si="224"/>
        <v>0</v>
      </c>
      <c r="CS113" s="25">
        <f t="shared" si="224"/>
        <v>0</v>
      </c>
      <c r="CT113" s="25">
        <f t="shared" si="224"/>
        <v>0</v>
      </c>
      <c r="CU113" s="25">
        <f t="shared" si="224"/>
        <v>0</v>
      </c>
      <c r="CV113" s="25">
        <f t="shared" si="224"/>
        <v>0</v>
      </c>
      <c r="CW113" s="25">
        <f t="shared" si="224"/>
        <v>0</v>
      </c>
      <c r="CX113" s="25">
        <f t="shared" si="224"/>
        <v>0</v>
      </c>
      <c r="CY113" s="25">
        <f t="shared" si="224"/>
        <v>0</v>
      </c>
      <c r="CZ113" s="25">
        <f t="shared" si="224"/>
        <v>0</v>
      </c>
      <c r="DA113" s="25">
        <f t="shared" si="224"/>
        <v>0</v>
      </c>
      <c r="DB113" s="25">
        <f t="shared" si="224"/>
        <v>0</v>
      </c>
      <c r="DC113" s="25">
        <f t="shared" si="224"/>
        <v>0</v>
      </c>
      <c r="DD113" s="25">
        <f t="shared" si="224"/>
        <v>0</v>
      </c>
      <c r="DE113" s="25">
        <f t="shared" si="224"/>
        <v>0</v>
      </c>
      <c r="DF113" s="25">
        <f t="shared" si="224"/>
        <v>0</v>
      </c>
      <c r="DG113" s="25">
        <f t="shared" si="224"/>
        <v>0</v>
      </c>
      <c r="DH113" s="25">
        <f t="shared" si="224"/>
        <v>0</v>
      </c>
      <c r="DI113" s="25">
        <f t="shared" si="224"/>
        <v>0</v>
      </c>
      <c r="DJ113" s="25">
        <f t="shared" si="224"/>
        <v>0</v>
      </c>
      <c r="DK113" s="25">
        <f t="shared" si="224"/>
        <v>0</v>
      </c>
      <c r="DL113" s="25">
        <f t="shared" si="224"/>
        <v>0</v>
      </c>
      <c r="DM113" s="25">
        <f t="shared" si="224"/>
        <v>0</v>
      </c>
      <c r="DN113" s="25">
        <f t="shared" si="224"/>
        <v>0</v>
      </c>
      <c r="DO113" s="25">
        <f t="shared" si="224"/>
        <v>0</v>
      </c>
      <c r="DP113" s="25">
        <f t="shared" si="224"/>
        <v>0</v>
      </c>
      <c r="DQ113" s="25">
        <f t="shared" si="224"/>
        <v>0</v>
      </c>
      <c r="DR113" s="25">
        <f t="shared" si="224"/>
        <v>0</v>
      </c>
      <c r="DS113" s="25">
        <f t="shared" si="224"/>
        <v>0</v>
      </c>
      <c r="DT113" s="25">
        <f t="shared" si="224"/>
        <v>0</v>
      </c>
      <c r="DU113" s="25">
        <f t="shared" si="224"/>
        <v>0</v>
      </c>
      <c r="DV113" s="25">
        <f t="shared" si="224"/>
        <v>0</v>
      </c>
      <c r="DW113" s="25">
        <f t="shared" si="224"/>
        <v>0</v>
      </c>
      <c r="DX113" s="25">
        <f t="shared" si="224"/>
        <v>0</v>
      </c>
      <c r="DY113" s="25">
        <f t="shared" si="224"/>
        <v>0</v>
      </c>
      <c r="DZ113" s="25">
        <f t="shared" si="224"/>
        <v>0</v>
      </c>
      <c r="EA113" s="25">
        <f t="shared" si="224"/>
        <v>0</v>
      </c>
      <c r="EB113" s="25">
        <f t="shared" si="224"/>
        <v>0</v>
      </c>
      <c r="EC113" s="25">
        <f t="shared" si="224"/>
        <v>0</v>
      </c>
      <c r="ED113" s="25">
        <f t="shared" si="224"/>
        <v>0</v>
      </c>
      <c r="EE113" s="25">
        <f t="shared" si="224"/>
        <v>0</v>
      </c>
      <c r="EF113" s="25">
        <f t="shared" si="224"/>
        <v>0</v>
      </c>
      <c r="EG113" s="25">
        <f t="shared" si="224"/>
        <v>0</v>
      </c>
      <c r="EH113" s="25">
        <f t="shared" si="224"/>
        <v>0</v>
      </c>
      <c r="EI113" s="25">
        <f t="shared" si="224"/>
        <v>0</v>
      </c>
      <c r="EJ113" s="25">
        <f t="shared" si="224"/>
        <v>0</v>
      </c>
      <c r="EK113" s="25">
        <f t="shared" ref="EK113:FM113" si="225">EJ116</f>
        <v>0</v>
      </c>
      <c r="EL113" s="25">
        <f t="shared" si="225"/>
        <v>0</v>
      </c>
      <c r="EM113" s="25">
        <f t="shared" si="225"/>
        <v>0</v>
      </c>
      <c r="EN113" s="25">
        <f t="shared" si="225"/>
        <v>0</v>
      </c>
      <c r="EO113" s="25">
        <f t="shared" si="225"/>
        <v>0</v>
      </c>
      <c r="EP113" s="25">
        <f t="shared" si="225"/>
        <v>0</v>
      </c>
      <c r="EQ113" s="25">
        <f t="shared" si="225"/>
        <v>0</v>
      </c>
      <c r="ER113" s="25">
        <f t="shared" si="225"/>
        <v>0</v>
      </c>
      <c r="ES113" s="25">
        <f t="shared" si="225"/>
        <v>0</v>
      </c>
      <c r="ET113" s="25">
        <f t="shared" si="225"/>
        <v>0</v>
      </c>
      <c r="EU113" s="25">
        <f t="shared" si="225"/>
        <v>0</v>
      </c>
      <c r="EV113" s="25">
        <f t="shared" si="225"/>
        <v>0</v>
      </c>
      <c r="EW113" s="25">
        <f t="shared" si="225"/>
        <v>0</v>
      </c>
      <c r="EX113" s="25">
        <f t="shared" si="225"/>
        <v>0</v>
      </c>
      <c r="EY113" s="25">
        <f t="shared" si="225"/>
        <v>0</v>
      </c>
      <c r="EZ113" s="25">
        <f t="shared" si="225"/>
        <v>0</v>
      </c>
      <c r="FA113" s="25">
        <f t="shared" si="225"/>
        <v>0</v>
      </c>
      <c r="FB113" s="25">
        <f t="shared" si="225"/>
        <v>0</v>
      </c>
      <c r="FC113" s="25">
        <f t="shared" si="225"/>
        <v>0</v>
      </c>
      <c r="FD113" s="25">
        <f t="shared" si="225"/>
        <v>0</v>
      </c>
      <c r="FE113" s="25">
        <f t="shared" si="225"/>
        <v>0</v>
      </c>
      <c r="FF113" s="25">
        <f t="shared" si="225"/>
        <v>0</v>
      </c>
      <c r="FG113" s="25">
        <f t="shared" si="225"/>
        <v>0</v>
      </c>
      <c r="FH113" s="25">
        <f t="shared" si="225"/>
        <v>0</v>
      </c>
      <c r="FI113" s="25">
        <f t="shared" si="225"/>
        <v>0</v>
      </c>
      <c r="FJ113" s="25">
        <f t="shared" si="225"/>
        <v>0</v>
      </c>
      <c r="FK113" s="25">
        <f t="shared" si="225"/>
        <v>0</v>
      </c>
      <c r="FL113" s="25">
        <f t="shared" si="225"/>
        <v>0</v>
      </c>
      <c r="FM113" s="25">
        <f t="shared" si="225"/>
        <v>0</v>
      </c>
    </row>
    <row r="114" spans="1:169" x14ac:dyDescent="0.25">
      <c r="B114" t="s">
        <v>141</v>
      </c>
      <c r="H114" s="31">
        <f t="shared" ref="H114:H115" si="226">SUM(I114:FM114)</f>
        <v>12.181654261479453</v>
      </c>
      <c r="I114" s="25">
        <f>-1 * MIN(I110, 0)</f>
        <v>0</v>
      </c>
      <c r="J114" s="25">
        <f t="shared" ref="J114:L114" si="227">-1 * MIN(J110, 0)</f>
        <v>0</v>
      </c>
      <c r="K114" s="25">
        <f t="shared" si="227"/>
        <v>0.76022531506849311</v>
      </c>
      <c r="L114" s="25">
        <f t="shared" si="227"/>
        <v>2.2561525479452058</v>
      </c>
      <c r="M114" s="25">
        <f t="shared" ref="M114:BX114" si="228">-1 * MIN(M110, 0)</f>
        <v>2.2561525479452058</v>
      </c>
      <c r="N114" s="25">
        <f t="shared" si="228"/>
        <v>2.2777331375342467</v>
      </c>
      <c r="O114" s="25">
        <f t="shared" si="228"/>
        <v>2.3030412835068494</v>
      </c>
      <c r="P114" s="25">
        <f t="shared" si="228"/>
        <v>2.3283494294794522</v>
      </c>
      <c r="Q114" s="25">
        <f t="shared" si="228"/>
        <v>0</v>
      </c>
      <c r="R114" s="25">
        <f t="shared" si="228"/>
        <v>0</v>
      </c>
      <c r="S114" s="25">
        <f t="shared" si="228"/>
        <v>0</v>
      </c>
      <c r="T114" s="25">
        <f t="shared" si="228"/>
        <v>0</v>
      </c>
      <c r="U114" s="25">
        <f t="shared" si="228"/>
        <v>0</v>
      </c>
      <c r="V114" s="25">
        <f t="shared" si="228"/>
        <v>0</v>
      </c>
      <c r="W114" s="25">
        <f t="shared" si="228"/>
        <v>0</v>
      </c>
      <c r="X114" s="25">
        <f t="shared" si="228"/>
        <v>0</v>
      </c>
      <c r="Y114" s="25">
        <f t="shared" si="228"/>
        <v>0</v>
      </c>
      <c r="Z114" s="25">
        <f t="shared" si="228"/>
        <v>0</v>
      </c>
      <c r="AA114" s="25">
        <f t="shared" si="228"/>
        <v>0</v>
      </c>
      <c r="AB114" s="25">
        <f t="shared" si="228"/>
        <v>0</v>
      </c>
      <c r="AC114" s="25">
        <f t="shared" si="228"/>
        <v>0</v>
      </c>
      <c r="AD114" s="25">
        <f t="shared" si="228"/>
        <v>0</v>
      </c>
      <c r="AE114" s="25">
        <f t="shared" si="228"/>
        <v>0</v>
      </c>
      <c r="AF114" s="25">
        <f t="shared" si="228"/>
        <v>0</v>
      </c>
      <c r="AG114" s="25">
        <f t="shared" si="228"/>
        <v>0</v>
      </c>
      <c r="AH114" s="25">
        <f t="shared" si="228"/>
        <v>0</v>
      </c>
      <c r="AI114" s="25">
        <f t="shared" si="228"/>
        <v>0</v>
      </c>
      <c r="AJ114" s="25">
        <f t="shared" si="228"/>
        <v>0</v>
      </c>
      <c r="AK114" s="25">
        <f t="shared" si="228"/>
        <v>0</v>
      </c>
      <c r="AL114" s="25">
        <f t="shared" si="228"/>
        <v>0</v>
      </c>
      <c r="AM114" s="25">
        <f t="shared" si="228"/>
        <v>0</v>
      </c>
      <c r="AN114" s="25">
        <f t="shared" si="228"/>
        <v>0</v>
      </c>
      <c r="AO114" s="25">
        <f t="shared" si="228"/>
        <v>0</v>
      </c>
      <c r="AP114" s="25">
        <f t="shared" si="228"/>
        <v>0</v>
      </c>
      <c r="AQ114" s="25">
        <f t="shared" si="228"/>
        <v>0</v>
      </c>
      <c r="AR114" s="25">
        <f t="shared" si="228"/>
        <v>0</v>
      </c>
      <c r="AS114" s="25">
        <f t="shared" si="228"/>
        <v>0</v>
      </c>
      <c r="AT114" s="25">
        <f t="shared" si="228"/>
        <v>0</v>
      </c>
      <c r="AU114" s="25">
        <f t="shared" si="228"/>
        <v>0</v>
      </c>
      <c r="AV114" s="25">
        <f t="shared" si="228"/>
        <v>0</v>
      </c>
      <c r="AW114" s="25">
        <f t="shared" si="228"/>
        <v>0</v>
      </c>
      <c r="AX114" s="25">
        <f t="shared" si="228"/>
        <v>0</v>
      </c>
      <c r="AY114" s="25">
        <f t="shared" si="228"/>
        <v>0</v>
      </c>
      <c r="AZ114" s="25">
        <f t="shared" si="228"/>
        <v>0</v>
      </c>
      <c r="BA114" s="25">
        <f t="shared" si="228"/>
        <v>0</v>
      </c>
      <c r="BB114" s="25">
        <f t="shared" si="228"/>
        <v>0</v>
      </c>
      <c r="BC114" s="25">
        <f t="shared" si="228"/>
        <v>0</v>
      </c>
      <c r="BD114" s="25">
        <f t="shared" si="228"/>
        <v>0</v>
      </c>
      <c r="BE114" s="25">
        <f t="shared" si="228"/>
        <v>0</v>
      </c>
      <c r="BF114" s="25">
        <f t="shared" si="228"/>
        <v>0</v>
      </c>
      <c r="BG114" s="25">
        <f t="shared" si="228"/>
        <v>0</v>
      </c>
      <c r="BH114" s="25">
        <f t="shared" si="228"/>
        <v>0</v>
      </c>
      <c r="BI114" s="25">
        <f t="shared" si="228"/>
        <v>0</v>
      </c>
      <c r="BJ114" s="25">
        <f t="shared" si="228"/>
        <v>0</v>
      </c>
      <c r="BK114" s="25">
        <f t="shared" si="228"/>
        <v>0</v>
      </c>
      <c r="BL114" s="25">
        <f t="shared" si="228"/>
        <v>0</v>
      </c>
      <c r="BM114" s="25">
        <f t="shared" si="228"/>
        <v>0</v>
      </c>
      <c r="BN114" s="25">
        <f t="shared" si="228"/>
        <v>0</v>
      </c>
      <c r="BO114" s="25">
        <f t="shared" si="228"/>
        <v>0</v>
      </c>
      <c r="BP114" s="25">
        <f t="shared" si="228"/>
        <v>0</v>
      </c>
      <c r="BQ114" s="25">
        <f t="shared" si="228"/>
        <v>0</v>
      </c>
      <c r="BR114" s="25">
        <f t="shared" si="228"/>
        <v>0</v>
      </c>
      <c r="BS114" s="25">
        <f t="shared" si="228"/>
        <v>0</v>
      </c>
      <c r="BT114" s="25">
        <f t="shared" si="228"/>
        <v>0</v>
      </c>
      <c r="BU114" s="25">
        <f t="shared" si="228"/>
        <v>0</v>
      </c>
      <c r="BV114" s="25">
        <f t="shared" si="228"/>
        <v>0</v>
      </c>
      <c r="BW114" s="25">
        <f t="shared" si="228"/>
        <v>0</v>
      </c>
      <c r="BX114" s="25">
        <f t="shared" si="228"/>
        <v>0</v>
      </c>
      <c r="BY114" s="25">
        <f t="shared" ref="BY114:EJ114" si="229">-1 * MIN(BY110, 0)</f>
        <v>0</v>
      </c>
      <c r="BZ114" s="25">
        <f t="shared" si="229"/>
        <v>0</v>
      </c>
      <c r="CA114" s="25">
        <f t="shared" si="229"/>
        <v>0</v>
      </c>
      <c r="CB114" s="25">
        <f t="shared" si="229"/>
        <v>0</v>
      </c>
      <c r="CC114" s="25">
        <f t="shared" si="229"/>
        <v>0</v>
      </c>
      <c r="CD114" s="25">
        <f t="shared" si="229"/>
        <v>0</v>
      </c>
      <c r="CE114" s="25">
        <f t="shared" si="229"/>
        <v>0</v>
      </c>
      <c r="CF114" s="25">
        <f t="shared" si="229"/>
        <v>0</v>
      </c>
      <c r="CG114" s="25">
        <f t="shared" si="229"/>
        <v>0</v>
      </c>
      <c r="CH114" s="25">
        <f t="shared" si="229"/>
        <v>0</v>
      </c>
      <c r="CI114" s="25">
        <f t="shared" si="229"/>
        <v>0</v>
      </c>
      <c r="CJ114" s="25">
        <f t="shared" si="229"/>
        <v>0</v>
      </c>
      <c r="CK114" s="25">
        <f t="shared" si="229"/>
        <v>0</v>
      </c>
      <c r="CL114" s="25">
        <f t="shared" si="229"/>
        <v>0</v>
      </c>
      <c r="CM114" s="25">
        <f t="shared" si="229"/>
        <v>0</v>
      </c>
      <c r="CN114" s="25">
        <f t="shared" si="229"/>
        <v>0</v>
      </c>
      <c r="CO114" s="25">
        <f t="shared" si="229"/>
        <v>0</v>
      </c>
      <c r="CP114" s="25">
        <f t="shared" si="229"/>
        <v>0</v>
      </c>
      <c r="CQ114" s="25">
        <f t="shared" si="229"/>
        <v>0</v>
      </c>
      <c r="CR114" s="25">
        <f t="shared" si="229"/>
        <v>0</v>
      </c>
      <c r="CS114" s="25">
        <f t="shared" si="229"/>
        <v>0</v>
      </c>
      <c r="CT114" s="25">
        <f t="shared" si="229"/>
        <v>0</v>
      </c>
      <c r="CU114" s="25">
        <f t="shared" si="229"/>
        <v>0</v>
      </c>
      <c r="CV114" s="25">
        <f t="shared" si="229"/>
        <v>0</v>
      </c>
      <c r="CW114" s="25">
        <f t="shared" si="229"/>
        <v>0</v>
      </c>
      <c r="CX114" s="25">
        <f t="shared" si="229"/>
        <v>0</v>
      </c>
      <c r="CY114" s="25">
        <f t="shared" si="229"/>
        <v>0</v>
      </c>
      <c r="CZ114" s="25">
        <f t="shared" si="229"/>
        <v>0</v>
      </c>
      <c r="DA114" s="25">
        <f t="shared" si="229"/>
        <v>0</v>
      </c>
      <c r="DB114" s="25">
        <f t="shared" si="229"/>
        <v>0</v>
      </c>
      <c r="DC114" s="25">
        <f t="shared" si="229"/>
        <v>0</v>
      </c>
      <c r="DD114" s="25">
        <f t="shared" si="229"/>
        <v>0</v>
      </c>
      <c r="DE114" s="25">
        <f t="shared" si="229"/>
        <v>0</v>
      </c>
      <c r="DF114" s="25">
        <f t="shared" si="229"/>
        <v>0</v>
      </c>
      <c r="DG114" s="25">
        <f t="shared" si="229"/>
        <v>0</v>
      </c>
      <c r="DH114" s="25">
        <f t="shared" si="229"/>
        <v>0</v>
      </c>
      <c r="DI114" s="25">
        <f t="shared" si="229"/>
        <v>0</v>
      </c>
      <c r="DJ114" s="25">
        <f t="shared" si="229"/>
        <v>0</v>
      </c>
      <c r="DK114" s="25">
        <f t="shared" si="229"/>
        <v>0</v>
      </c>
      <c r="DL114" s="25">
        <f t="shared" si="229"/>
        <v>0</v>
      </c>
      <c r="DM114" s="25">
        <f t="shared" si="229"/>
        <v>0</v>
      </c>
      <c r="DN114" s="25">
        <f t="shared" si="229"/>
        <v>0</v>
      </c>
      <c r="DO114" s="25">
        <f t="shared" si="229"/>
        <v>0</v>
      </c>
      <c r="DP114" s="25">
        <f t="shared" si="229"/>
        <v>0</v>
      </c>
      <c r="DQ114" s="25">
        <f t="shared" si="229"/>
        <v>0</v>
      </c>
      <c r="DR114" s="25">
        <f t="shared" si="229"/>
        <v>0</v>
      </c>
      <c r="DS114" s="25">
        <f t="shared" si="229"/>
        <v>0</v>
      </c>
      <c r="DT114" s="25">
        <f t="shared" si="229"/>
        <v>0</v>
      </c>
      <c r="DU114" s="25">
        <f t="shared" si="229"/>
        <v>0</v>
      </c>
      <c r="DV114" s="25">
        <f t="shared" si="229"/>
        <v>0</v>
      </c>
      <c r="DW114" s="25">
        <f t="shared" si="229"/>
        <v>0</v>
      </c>
      <c r="DX114" s="25">
        <f t="shared" si="229"/>
        <v>0</v>
      </c>
      <c r="DY114" s="25">
        <f t="shared" si="229"/>
        <v>0</v>
      </c>
      <c r="DZ114" s="25">
        <f t="shared" si="229"/>
        <v>0</v>
      </c>
      <c r="EA114" s="25">
        <f t="shared" si="229"/>
        <v>0</v>
      </c>
      <c r="EB114" s="25">
        <f t="shared" si="229"/>
        <v>0</v>
      </c>
      <c r="EC114" s="25">
        <f t="shared" si="229"/>
        <v>0</v>
      </c>
      <c r="ED114" s="25">
        <f t="shared" si="229"/>
        <v>0</v>
      </c>
      <c r="EE114" s="25">
        <f t="shared" si="229"/>
        <v>0</v>
      </c>
      <c r="EF114" s="25">
        <f t="shared" si="229"/>
        <v>0</v>
      </c>
      <c r="EG114" s="25">
        <f t="shared" si="229"/>
        <v>0</v>
      </c>
      <c r="EH114" s="25">
        <f t="shared" si="229"/>
        <v>0</v>
      </c>
      <c r="EI114" s="25">
        <f t="shared" si="229"/>
        <v>0</v>
      </c>
      <c r="EJ114" s="25">
        <f t="shared" si="229"/>
        <v>0</v>
      </c>
      <c r="EK114" s="25">
        <f t="shared" ref="EK114:FM114" si="230">-1 * MIN(EK110, 0)</f>
        <v>0</v>
      </c>
      <c r="EL114" s="25">
        <f t="shared" si="230"/>
        <v>0</v>
      </c>
      <c r="EM114" s="25">
        <f t="shared" si="230"/>
        <v>0</v>
      </c>
      <c r="EN114" s="25">
        <f t="shared" si="230"/>
        <v>0</v>
      </c>
      <c r="EO114" s="25">
        <f t="shared" si="230"/>
        <v>0</v>
      </c>
      <c r="EP114" s="25">
        <f t="shared" si="230"/>
        <v>0</v>
      </c>
      <c r="EQ114" s="25">
        <f t="shared" si="230"/>
        <v>0</v>
      </c>
      <c r="ER114" s="25">
        <f t="shared" si="230"/>
        <v>0</v>
      </c>
      <c r="ES114" s="25">
        <f t="shared" si="230"/>
        <v>0</v>
      </c>
      <c r="ET114" s="25">
        <f t="shared" si="230"/>
        <v>0</v>
      </c>
      <c r="EU114" s="25">
        <f t="shared" si="230"/>
        <v>0</v>
      </c>
      <c r="EV114" s="25">
        <f t="shared" si="230"/>
        <v>0</v>
      </c>
      <c r="EW114" s="25">
        <f t="shared" si="230"/>
        <v>0</v>
      </c>
      <c r="EX114" s="25">
        <f t="shared" si="230"/>
        <v>0</v>
      </c>
      <c r="EY114" s="25">
        <f t="shared" si="230"/>
        <v>0</v>
      </c>
      <c r="EZ114" s="25">
        <f t="shared" si="230"/>
        <v>0</v>
      </c>
      <c r="FA114" s="25">
        <f t="shared" si="230"/>
        <v>0</v>
      </c>
      <c r="FB114" s="25">
        <f t="shared" si="230"/>
        <v>0</v>
      </c>
      <c r="FC114" s="25">
        <f t="shared" si="230"/>
        <v>0</v>
      </c>
      <c r="FD114" s="25">
        <f t="shared" si="230"/>
        <v>0</v>
      </c>
      <c r="FE114" s="25">
        <f t="shared" si="230"/>
        <v>0</v>
      </c>
      <c r="FF114" s="25">
        <f t="shared" si="230"/>
        <v>0</v>
      </c>
      <c r="FG114" s="25">
        <f t="shared" si="230"/>
        <v>0</v>
      </c>
      <c r="FH114" s="25">
        <f t="shared" si="230"/>
        <v>0</v>
      </c>
      <c r="FI114" s="25">
        <f t="shared" si="230"/>
        <v>0</v>
      </c>
      <c r="FJ114" s="25">
        <f t="shared" si="230"/>
        <v>0</v>
      </c>
      <c r="FK114" s="25">
        <f t="shared" si="230"/>
        <v>0</v>
      </c>
      <c r="FL114" s="25">
        <f t="shared" si="230"/>
        <v>0</v>
      </c>
      <c r="FM114" s="25">
        <f t="shared" si="230"/>
        <v>0</v>
      </c>
    </row>
    <row r="115" spans="1:169" x14ac:dyDescent="0.25">
      <c r="B115" t="s">
        <v>142</v>
      </c>
      <c r="H115" s="31">
        <f t="shared" si="226"/>
        <v>-12.181654261479453</v>
      </c>
      <c r="I115" s="25">
        <f>-1 * MIN( MAX(I110, 0), SUM(I113:I114))</f>
        <v>0</v>
      </c>
      <c r="J115" s="25">
        <f t="shared" ref="J115:BU115" si="231">-1 * MIN( MAX(J110, 0), SUM(J113:J114))</f>
        <v>0</v>
      </c>
      <c r="K115" s="25">
        <f t="shared" si="231"/>
        <v>0</v>
      </c>
      <c r="L115" s="25">
        <f t="shared" si="231"/>
        <v>0</v>
      </c>
      <c r="M115" s="25">
        <f t="shared" si="231"/>
        <v>0</v>
      </c>
      <c r="N115" s="25">
        <f t="shared" si="231"/>
        <v>0</v>
      </c>
      <c r="O115" s="25">
        <f t="shared" si="231"/>
        <v>0</v>
      </c>
      <c r="P115" s="25">
        <f t="shared" si="231"/>
        <v>0</v>
      </c>
      <c r="Q115" s="25">
        <f t="shared" si="231"/>
        <v>-8.2962842763115141</v>
      </c>
      <c r="R115" s="25">
        <f t="shared" si="231"/>
        <v>-3.8853699851679391</v>
      </c>
      <c r="S115" s="25">
        <f t="shared" si="231"/>
        <v>0</v>
      </c>
      <c r="T115" s="25">
        <f t="shared" si="231"/>
        <v>0</v>
      </c>
      <c r="U115" s="25">
        <f t="shared" si="231"/>
        <v>0</v>
      </c>
      <c r="V115" s="25">
        <f t="shared" si="231"/>
        <v>0</v>
      </c>
      <c r="W115" s="25">
        <f t="shared" si="231"/>
        <v>0</v>
      </c>
      <c r="X115" s="25">
        <f t="shared" si="231"/>
        <v>0</v>
      </c>
      <c r="Y115" s="25">
        <f t="shared" si="231"/>
        <v>0</v>
      </c>
      <c r="Z115" s="25">
        <f t="shared" si="231"/>
        <v>0</v>
      </c>
      <c r="AA115" s="25">
        <f t="shared" si="231"/>
        <v>0</v>
      </c>
      <c r="AB115" s="25">
        <f t="shared" si="231"/>
        <v>0</v>
      </c>
      <c r="AC115" s="25">
        <f t="shared" si="231"/>
        <v>0</v>
      </c>
      <c r="AD115" s="25">
        <f t="shared" si="231"/>
        <v>0</v>
      </c>
      <c r="AE115" s="25">
        <f t="shared" si="231"/>
        <v>0</v>
      </c>
      <c r="AF115" s="25">
        <f t="shared" si="231"/>
        <v>0</v>
      </c>
      <c r="AG115" s="25">
        <f t="shared" si="231"/>
        <v>0</v>
      </c>
      <c r="AH115" s="25">
        <f t="shared" si="231"/>
        <v>0</v>
      </c>
      <c r="AI115" s="25">
        <f t="shared" si="231"/>
        <v>0</v>
      </c>
      <c r="AJ115" s="25">
        <f t="shared" si="231"/>
        <v>0</v>
      </c>
      <c r="AK115" s="25">
        <f t="shared" si="231"/>
        <v>0</v>
      </c>
      <c r="AL115" s="25">
        <f t="shared" si="231"/>
        <v>0</v>
      </c>
      <c r="AM115" s="25">
        <f t="shared" si="231"/>
        <v>0</v>
      </c>
      <c r="AN115" s="25">
        <f t="shared" si="231"/>
        <v>0</v>
      </c>
      <c r="AO115" s="25">
        <f t="shared" si="231"/>
        <v>0</v>
      </c>
      <c r="AP115" s="25">
        <f t="shared" si="231"/>
        <v>0</v>
      </c>
      <c r="AQ115" s="25">
        <f t="shared" si="231"/>
        <v>0</v>
      </c>
      <c r="AR115" s="25">
        <f t="shared" si="231"/>
        <v>0</v>
      </c>
      <c r="AS115" s="25">
        <f t="shared" si="231"/>
        <v>0</v>
      </c>
      <c r="AT115" s="25">
        <f t="shared" si="231"/>
        <v>0</v>
      </c>
      <c r="AU115" s="25">
        <f t="shared" si="231"/>
        <v>0</v>
      </c>
      <c r="AV115" s="25">
        <f t="shared" si="231"/>
        <v>0</v>
      </c>
      <c r="AW115" s="25">
        <f t="shared" si="231"/>
        <v>0</v>
      </c>
      <c r="AX115" s="25">
        <f t="shared" si="231"/>
        <v>0</v>
      </c>
      <c r="AY115" s="25">
        <f t="shared" si="231"/>
        <v>0</v>
      </c>
      <c r="AZ115" s="25">
        <f t="shared" si="231"/>
        <v>0</v>
      </c>
      <c r="BA115" s="25">
        <f t="shared" si="231"/>
        <v>0</v>
      </c>
      <c r="BB115" s="25">
        <f t="shared" si="231"/>
        <v>0</v>
      </c>
      <c r="BC115" s="25">
        <f t="shared" si="231"/>
        <v>0</v>
      </c>
      <c r="BD115" s="25">
        <f t="shared" si="231"/>
        <v>0</v>
      </c>
      <c r="BE115" s="25">
        <f t="shared" si="231"/>
        <v>0</v>
      </c>
      <c r="BF115" s="25">
        <f t="shared" si="231"/>
        <v>0</v>
      </c>
      <c r="BG115" s="25">
        <f t="shared" si="231"/>
        <v>0</v>
      </c>
      <c r="BH115" s="25">
        <f t="shared" si="231"/>
        <v>0</v>
      </c>
      <c r="BI115" s="25">
        <f t="shared" si="231"/>
        <v>0</v>
      </c>
      <c r="BJ115" s="25">
        <f t="shared" si="231"/>
        <v>0</v>
      </c>
      <c r="BK115" s="25">
        <f t="shared" si="231"/>
        <v>0</v>
      </c>
      <c r="BL115" s="25">
        <f t="shared" si="231"/>
        <v>0</v>
      </c>
      <c r="BM115" s="25">
        <f t="shared" si="231"/>
        <v>0</v>
      </c>
      <c r="BN115" s="25">
        <f t="shared" si="231"/>
        <v>0</v>
      </c>
      <c r="BO115" s="25">
        <f t="shared" si="231"/>
        <v>0</v>
      </c>
      <c r="BP115" s="25">
        <f t="shared" si="231"/>
        <v>0</v>
      </c>
      <c r="BQ115" s="25">
        <f t="shared" si="231"/>
        <v>0</v>
      </c>
      <c r="BR115" s="25">
        <f t="shared" si="231"/>
        <v>0</v>
      </c>
      <c r="BS115" s="25">
        <f t="shared" si="231"/>
        <v>0</v>
      </c>
      <c r="BT115" s="25">
        <f t="shared" si="231"/>
        <v>0</v>
      </c>
      <c r="BU115" s="25">
        <f t="shared" si="231"/>
        <v>0</v>
      </c>
      <c r="BV115" s="25">
        <f t="shared" ref="BV115:EG115" si="232">-1 * MIN( MAX(BV110, 0), SUM(BV113:BV114))</f>
        <v>0</v>
      </c>
      <c r="BW115" s="25">
        <f t="shared" si="232"/>
        <v>0</v>
      </c>
      <c r="BX115" s="25">
        <f t="shared" si="232"/>
        <v>0</v>
      </c>
      <c r="BY115" s="25">
        <f t="shared" si="232"/>
        <v>0</v>
      </c>
      <c r="BZ115" s="25">
        <f t="shared" si="232"/>
        <v>0</v>
      </c>
      <c r="CA115" s="25">
        <f t="shared" si="232"/>
        <v>0</v>
      </c>
      <c r="CB115" s="25">
        <f t="shared" si="232"/>
        <v>0</v>
      </c>
      <c r="CC115" s="25">
        <f t="shared" si="232"/>
        <v>0</v>
      </c>
      <c r="CD115" s="25">
        <f t="shared" si="232"/>
        <v>0</v>
      </c>
      <c r="CE115" s="25">
        <f t="shared" si="232"/>
        <v>0</v>
      </c>
      <c r="CF115" s="25">
        <f t="shared" si="232"/>
        <v>0</v>
      </c>
      <c r="CG115" s="25">
        <f t="shared" si="232"/>
        <v>0</v>
      </c>
      <c r="CH115" s="25">
        <f t="shared" si="232"/>
        <v>0</v>
      </c>
      <c r="CI115" s="25">
        <f t="shared" si="232"/>
        <v>0</v>
      </c>
      <c r="CJ115" s="25">
        <f t="shared" si="232"/>
        <v>0</v>
      </c>
      <c r="CK115" s="25">
        <f t="shared" si="232"/>
        <v>0</v>
      </c>
      <c r="CL115" s="25">
        <f t="shared" si="232"/>
        <v>0</v>
      </c>
      <c r="CM115" s="25">
        <f t="shared" si="232"/>
        <v>0</v>
      </c>
      <c r="CN115" s="25">
        <f t="shared" si="232"/>
        <v>0</v>
      </c>
      <c r="CO115" s="25">
        <f t="shared" si="232"/>
        <v>0</v>
      </c>
      <c r="CP115" s="25">
        <f t="shared" si="232"/>
        <v>0</v>
      </c>
      <c r="CQ115" s="25">
        <f t="shared" si="232"/>
        <v>0</v>
      </c>
      <c r="CR115" s="25">
        <f t="shared" si="232"/>
        <v>0</v>
      </c>
      <c r="CS115" s="25">
        <f t="shared" si="232"/>
        <v>0</v>
      </c>
      <c r="CT115" s="25">
        <f t="shared" si="232"/>
        <v>0</v>
      </c>
      <c r="CU115" s="25">
        <f t="shared" si="232"/>
        <v>0</v>
      </c>
      <c r="CV115" s="25">
        <f t="shared" si="232"/>
        <v>0</v>
      </c>
      <c r="CW115" s="25">
        <f t="shared" si="232"/>
        <v>0</v>
      </c>
      <c r="CX115" s="25">
        <f t="shared" si="232"/>
        <v>0</v>
      </c>
      <c r="CY115" s="25">
        <f t="shared" si="232"/>
        <v>0</v>
      </c>
      <c r="CZ115" s="25">
        <f t="shared" si="232"/>
        <v>0</v>
      </c>
      <c r="DA115" s="25">
        <f t="shared" si="232"/>
        <v>0</v>
      </c>
      <c r="DB115" s="25">
        <f t="shared" si="232"/>
        <v>0</v>
      </c>
      <c r="DC115" s="25">
        <f t="shared" si="232"/>
        <v>0</v>
      </c>
      <c r="DD115" s="25">
        <f t="shared" si="232"/>
        <v>0</v>
      </c>
      <c r="DE115" s="25">
        <f t="shared" si="232"/>
        <v>0</v>
      </c>
      <c r="DF115" s="25">
        <f t="shared" si="232"/>
        <v>0</v>
      </c>
      <c r="DG115" s="25">
        <f t="shared" si="232"/>
        <v>0</v>
      </c>
      <c r="DH115" s="25">
        <f t="shared" si="232"/>
        <v>0</v>
      </c>
      <c r="DI115" s="25">
        <f t="shared" si="232"/>
        <v>0</v>
      </c>
      <c r="DJ115" s="25">
        <f t="shared" si="232"/>
        <v>0</v>
      </c>
      <c r="DK115" s="25">
        <f t="shared" si="232"/>
        <v>0</v>
      </c>
      <c r="DL115" s="25">
        <f t="shared" si="232"/>
        <v>0</v>
      </c>
      <c r="DM115" s="25">
        <f t="shared" si="232"/>
        <v>0</v>
      </c>
      <c r="DN115" s="25">
        <f t="shared" si="232"/>
        <v>0</v>
      </c>
      <c r="DO115" s="25">
        <f t="shared" si="232"/>
        <v>0</v>
      </c>
      <c r="DP115" s="25">
        <f t="shared" si="232"/>
        <v>0</v>
      </c>
      <c r="DQ115" s="25">
        <f t="shared" si="232"/>
        <v>0</v>
      </c>
      <c r="DR115" s="25">
        <f t="shared" si="232"/>
        <v>0</v>
      </c>
      <c r="DS115" s="25">
        <f t="shared" si="232"/>
        <v>0</v>
      </c>
      <c r="DT115" s="25">
        <f t="shared" si="232"/>
        <v>0</v>
      </c>
      <c r="DU115" s="25">
        <f t="shared" si="232"/>
        <v>0</v>
      </c>
      <c r="DV115" s="25">
        <f t="shared" si="232"/>
        <v>0</v>
      </c>
      <c r="DW115" s="25">
        <f t="shared" si="232"/>
        <v>0</v>
      </c>
      <c r="DX115" s="25">
        <f t="shared" si="232"/>
        <v>0</v>
      </c>
      <c r="DY115" s="25">
        <f t="shared" si="232"/>
        <v>0</v>
      </c>
      <c r="DZ115" s="25">
        <f t="shared" si="232"/>
        <v>0</v>
      </c>
      <c r="EA115" s="25">
        <f t="shared" si="232"/>
        <v>0</v>
      </c>
      <c r="EB115" s="25">
        <f t="shared" si="232"/>
        <v>0</v>
      </c>
      <c r="EC115" s="25">
        <f t="shared" si="232"/>
        <v>0</v>
      </c>
      <c r="ED115" s="25">
        <f t="shared" si="232"/>
        <v>0</v>
      </c>
      <c r="EE115" s="25">
        <f t="shared" si="232"/>
        <v>0</v>
      </c>
      <c r="EF115" s="25">
        <f t="shared" si="232"/>
        <v>0</v>
      </c>
      <c r="EG115" s="25">
        <f t="shared" si="232"/>
        <v>0</v>
      </c>
      <c r="EH115" s="25">
        <f t="shared" ref="EH115:FM115" si="233">-1 * MIN( MAX(EH110, 0), SUM(EH113:EH114))</f>
        <v>0</v>
      </c>
      <c r="EI115" s="25">
        <f t="shared" si="233"/>
        <v>0</v>
      </c>
      <c r="EJ115" s="25">
        <f t="shared" si="233"/>
        <v>0</v>
      </c>
      <c r="EK115" s="25">
        <f t="shared" si="233"/>
        <v>0</v>
      </c>
      <c r="EL115" s="25">
        <f t="shared" si="233"/>
        <v>0</v>
      </c>
      <c r="EM115" s="25">
        <f t="shared" si="233"/>
        <v>0</v>
      </c>
      <c r="EN115" s="25">
        <f t="shared" si="233"/>
        <v>0</v>
      </c>
      <c r="EO115" s="25">
        <f t="shared" si="233"/>
        <v>0</v>
      </c>
      <c r="EP115" s="25">
        <f t="shared" si="233"/>
        <v>0</v>
      </c>
      <c r="EQ115" s="25">
        <f t="shared" si="233"/>
        <v>0</v>
      </c>
      <c r="ER115" s="25">
        <f t="shared" si="233"/>
        <v>0</v>
      </c>
      <c r="ES115" s="25">
        <f t="shared" si="233"/>
        <v>0</v>
      </c>
      <c r="ET115" s="25">
        <f t="shared" si="233"/>
        <v>0</v>
      </c>
      <c r="EU115" s="25">
        <f t="shared" si="233"/>
        <v>0</v>
      </c>
      <c r="EV115" s="25">
        <f t="shared" si="233"/>
        <v>0</v>
      </c>
      <c r="EW115" s="25">
        <f t="shared" si="233"/>
        <v>0</v>
      </c>
      <c r="EX115" s="25">
        <f t="shared" si="233"/>
        <v>0</v>
      </c>
      <c r="EY115" s="25">
        <f t="shared" si="233"/>
        <v>0</v>
      </c>
      <c r="EZ115" s="25">
        <f t="shared" si="233"/>
        <v>0</v>
      </c>
      <c r="FA115" s="25">
        <f t="shared" si="233"/>
        <v>0</v>
      </c>
      <c r="FB115" s="25">
        <f t="shared" si="233"/>
        <v>0</v>
      </c>
      <c r="FC115" s="25">
        <f t="shared" si="233"/>
        <v>0</v>
      </c>
      <c r="FD115" s="25">
        <f t="shared" si="233"/>
        <v>0</v>
      </c>
      <c r="FE115" s="25">
        <f t="shared" si="233"/>
        <v>0</v>
      </c>
      <c r="FF115" s="25">
        <f t="shared" si="233"/>
        <v>0</v>
      </c>
      <c r="FG115" s="25">
        <f t="shared" si="233"/>
        <v>0</v>
      </c>
      <c r="FH115" s="25">
        <f t="shared" si="233"/>
        <v>0</v>
      </c>
      <c r="FI115" s="25">
        <f t="shared" si="233"/>
        <v>0</v>
      </c>
      <c r="FJ115" s="25">
        <f t="shared" si="233"/>
        <v>0</v>
      </c>
      <c r="FK115" s="25">
        <f t="shared" si="233"/>
        <v>0</v>
      </c>
      <c r="FL115" s="25">
        <f t="shared" si="233"/>
        <v>0</v>
      </c>
      <c r="FM115" s="25">
        <f t="shared" si="233"/>
        <v>0</v>
      </c>
    </row>
    <row r="116" spans="1:169" x14ac:dyDescent="0.25">
      <c r="B116" t="s">
        <v>138</v>
      </c>
      <c r="H116" s="38"/>
      <c r="I116" s="25">
        <f>SUM(I113:I115)</f>
        <v>0</v>
      </c>
      <c r="J116" s="25">
        <f t="shared" ref="J116:L116" si="234">SUM(J113:J115)</f>
        <v>0</v>
      </c>
      <c r="K116" s="25">
        <f t="shared" si="234"/>
        <v>0.76022531506849311</v>
      </c>
      <c r="L116" s="25">
        <f t="shared" si="234"/>
        <v>3.016377863013699</v>
      </c>
      <c r="M116" s="25">
        <f t="shared" ref="M116" si="235">SUM(M113:M115)</f>
        <v>5.2725304109589048</v>
      </c>
      <c r="N116" s="25">
        <f t="shared" ref="N116" si="236">SUM(N113:N115)</f>
        <v>7.5502635484931515</v>
      </c>
      <c r="O116" s="25">
        <f t="shared" ref="O116" si="237">SUM(O113:O115)</f>
        <v>9.853304832000001</v>
      </c>
      <c r="P116" s="25">
        <f t="shared" ref="P116" si="238">SUM(P113:P115)</f>
        <v>12.181654261479453</v>
      </c>
      <c r="Q116" s="25">
        <f t="shared" ref="Q116" si="239">SUM(Q113:Q115)</f>
        <v>3.8853699851679391</v>
      </c>
      <c r="R116" s="25">
        <f t="shared" ref="R116" si="240">SUM(R113:R115)</f>
        <v>0</v>
      </c>
      <c r="S116" s="25">
        <f t="shared" ref="S116" si="241">SUM(S113:S115)</f>
        <v>0</v>
      </c>
      <c r="T116" s="25">
        <f t="shared" ref="T116" si="242">SUM(T113:T115)</f>
        <v>0</v>
      </c>
      <c r="U116" s="25">
        <f t="shared" ref="U116" si="243">SUM(U113:U115)</f>
        <v>0</v>
      </c>
      <c r="V116" s="25">
        <f t="shared" ref="V116" si="244">SUM(V113:V115)</f>
        <v>0</v>
      </c>
      <c r="W116" s="25">
        <f t="shared" ref="W116" si="245">SUM(W113:W115)</f>
        <v>0</v>
      </c>
      <c r="X116" s="25">
        <f t="shared" ref="X116" si="246">SUM(X113:X115)</f>
        <v>0</v>
      </c>
      <c r="Y116" s="25">
        <f t="shared" ref="Y116" si="247">SUM(Y113:Y115)</f>
        <v>0</v>
      </c>
      <c r="Z116" s="25">
        <f t="shared" ref="Z116" si="248">SUM(Z113:Z115)</f>
        <v>0</v>
      </c>
      <c r="AA116" s="25">
        <f t="shared" ref="AA116" si="249">SUM(AA113:AA115)</f>
        <v>0</v>
      </c>
      <c r="AB116" s="25">
        <f t="shared" ref="AB116" si="250">SUM(AB113:AB115)</f>
        <v>0</v>
      </c>
      <c r="AC116" s="25">
        <f t="shared" ref="AC116" si="251">SUM(AC113:AC115)</f>
        <v>0</v>
      </c>
      <c r="AD116" s="25">
        <f t="shared" ref="AD116" si="252">SUM(AD113:AD115)</f>
        <v>0</v>
      </c>
      <c r="AE116" s="25">
        <f t="shared" ref="AE116" si="253">SUM(AE113:AE115)</f>
        <v>0</v>
      </c>
      <c r="AF116" s="25">
        <f t="shared" ref="AF116" si="254">SUM(AF113:AF115)</f>
        <v>0</v>
      </c>
      <c r="AG116" s="25">
        <f t="shared" ref="AG116" si="255">SUM(AG113:AG115)</f>
        <v>0</v>
      </c>
      <c r="AH116" s="25">
        <f t="shared" ref="AH116" si="256">SUM(AH113:AH115)</f>
        <v>0</v>
      </c>
      <c r="AI116" s="25">
        <f t="shared" ref="AI116" si="257">SUM(AI113:AI115)</f>
        <v>0</v>
      </c>
      <c r="AJ116" s="25">
        <f t="shared" ref="AJ116" si="258">SUM(AJ113:AJ115)</f>
        <v>0</v>
      </c>
      <c r="AK116" s="25">
        <f t="shared" ref="AK116" si="259">SUM(AK113:AK115)</f>
        <v>0</v>
      </c>
      <c r="AL116" s="25">
        <f t="shared" ref="AL116" si="260">SUM(AL113:AL115)</f>
        <v>0</v>
      </c>
      <c r="AM116" s="25">
        <f t="shared" ref="AM116" si="261">SUM(AM113:AM115)</f>
        <v>0</v>
      </c>
      <c r="AN116" s="25">
        <f t="shared" ref="AN116" si="262">SUM(AN113:AN115)</f>
        <v>0</v>
      </c>
      <c r="AO116" s="25">
        <f t="shared" ref="AO116" si="263">SUM(AO113:AO115)</f>
        <v>0</v>
      </c>
      <c r="AP116" s="25">
        <f t="shared" ref="AP116" si="264">SUM(AP113:AP115)</f>
        <v>0</v>
      </c>
      <c r="AQ116" s="25">
        <f t="shared" ref="AQ116" si="265">SUM(AQ113:AQ115)</f>
        <v>0</v>
      </c>
      <c r="AR116" s="25">
        <f t="shared" ref="AR116" si="266">SUM(AR113:AR115)</f>
        <v>0</v>
      </c>
      <c r="AS116" s="25">
        <f t="shared" ref="AS116" si="267">SUM(AS113:AS115)</f>
        <v>0</v>
      </c>
      <c r="AT116" s="25">
        <f t="shared" ref="AT116" si="268">SUM(AT113:AT115)</f>
        <v>0</v>
      </c>
      <c r="AU116" s="25">
        <f t="shared" ref="AU116" si="269">SUM(AU113:AU115)</f>
        <v>0</v>
      </c>
      <c r="AV116" s="25">
        <f t="shared" ref="AV116" si="270">SUM(AV113:AV115)</f>
        <v>0</v>
      </c>
      <c r="AW116" s="25">
        <f t="shared" ref="AW116" si="271">SUM(AW113:AW115)</f>
        <v>0</v>
      </c>
      <c r="AX116" s="25">
        <f t="shared" ref="AX116" si="272">SUM(AX113:AX115)</f>
        <v>0</v>
      </c>
      <c r="AY116" s="25">
        <f t="shared" ref="AY116" si="273">SUM(AY113:AY115)</f>
        <v>0</v>
      </c>
      <c r="AZ116" s="25">
        <f t="shared" ref="AZ116" si="274">SUM(AZ113:AZ115)</f>
        <v>0</v>
      </c>
      <c r="BA116" s="25">
        <f t="shared" ref="BA116" si="275">SUM(BA113:BA115)</f>
        <v>0</v>
      </c>
      <c r="BB116" s="25">
        <f t="shared" ref="BB116" si="276">SUM(BB113:BB115)</f>
        <v>0</v>
      </c>
      <c r="BC116" s="25">
        <f t="shared" ref="BC116" si="277">SUM(BC113:BC115)</f>
        <v>0</v>
      </c>
      <c r="BD116" s="25">
        <f t="shared" ref="BD116" si="278">SUM(BD113:BD115)</f>
        <v>0</v>
      </c>
      <c r="BE116" s="25">
        <f t="shared" ref="BE116" si="279">SUM(BE113:BE115)</f>
        <v>0</v>
      </c>
      <c r="BF116" s="25">
        <f t="shared" ref="BF116" si="280">SUM(BF113:BF115)</f>
        <v>0</v>
      </c>
      <c r="BG116" s="25">
        <f t="shared" ref="BG116" si="281">SUM(BG113:BG115)</f>
        <v>0</v>
      </c>
      <c r="BH116" s="25">
        <f t="shared" ref="BH116" si="282">SUM(BH113:BH115)</f>
        <v>0</v>
      </c>
      <c r="BI116" s="25">
        <f t="shared" ref="BI116" si="283">SUM(BI113:BI115)</f>
        <v>0</v>
      </c>
      <c r="BJ116" s="25">
        <f t="shared" ref="BJ116" si="284">SUM(BJ113:BJ115)</f>
        <v>0</v>
      </c>
      <c r="BK116" s="25">
        <f t="shared" ref="BK116" si="285">SUM(BK113:BK115)</f>
        <v>0</v>
      </c>
      <c r="BL116" s="25">
        <f t="shared" ref="BL116" si="286">SUM(BL113:BL115)</f>
        <v>0</v>
      </c>
      <c r="BM116" s="25">
        <f t="shared" ref="BM116" si="287">SUM(BM113:BM115)</f>
        <v>0</v>
      </c>
      <c r="BN116" s="25">
        <f t="shared" ref="BN116" si="288">SUM(BN113:BN115)</f>
        <v>0</v>
      </c>
      <c r="BO116" s="25">
        <f t="shared" ref="BO116" si="289">SUM(BO113:BO115)</f>
        <v>0</v>
      </c>
      <c r="BP116" s="25">
        <f t="shared" ref="BP116" si="290">SUM(BP113:BP115)</f>
        <v>0</v>
      </c>
      <c r="BQ116" s="25">
        <f t="shared" ref="BQ116" si="291">SUM(BQ113:BQ115)</f>
        <v>0</v>
      </c>
      <c r="BR116" s="25">
        <f t="shared" ref="BR116" si="292">SUM(BR113:BR115)</f>
        <v>0</v>
      </c>
      <c r="BS116" s="25">
        <f t="shared" ref="BS116" si="293">SUM(BS113:BS115)</f>
        <v>0</v>
      </c>
      <c r="BT116" s="25">
        <f t="shared" ref="BT116" si="294">SUM(BT113:BT115)</f>
        <v>0</v>
      </c>
      <c r="BU116" s="25">
        <f t="shared" ref="BU116" si="295">SUM(BU113:BU115)</f>
        <v>0</v>
      </c>
      <c r="BV116" s="25">
        <f t="shared" ref="BV116" si="296">SUM(BV113:BV115)</f>
        <v>0</v>
      </c>
      <c r="BW116" s="25">
        <f t="shared" ref="BW116" si="297">SUM(BW113:BW115)</f>
        <v>0</v>
      </c>
      <c r="BX116" s="25">
        <f t="shared" ref="BX116" si="298">SUM(BX113:BX115)</f>
        <v>0</v>
      </c>
      <c r="BY116" s="25">
        <f t="shared" ref="BY116" si="299">SUM(BY113:BY115)</f>
        <v>0</v>
      </c>
      <c r="BZ116" s="25">
        <f t="shared" ref="BZ116" si="300">SUM(BZ113:BZ115)</f>
        <v>0</v>
      </c>
      <c r="CA116" s="25">
        <f t="shared" ref="CA116" si="301">SUM(CA113:CA115)</f>
        <v>0</v>
      </c>
      <c r="CB116" s="25">
        <f t="shared" ref="CB116" si="302">SUM(CB113:CB115)</f>
        <v>0</v>
      </c>
      <c r="CC116" s="25">
        <f t="shared" ref="CC116" si="303">SUM(CC113:CC115)</f>
        <v>0</v>
      </c>
      <c r="CD116" s="25">
        <f t="shared" ref="CD116" si="304">SUM(CD113:CD115)</f>
        <v>0</v>
      </c>
      <c r="CE116" s="25">
        <f t="shared" ref="CE116" si="305">SUM(CE113:CE115)</f>
        <v>0</v>
      </c>
      <c r="CF116" s="25">
        <f t="shared" ref="CF116" si="306">SUM(CF113:CF115)</f>
        <v>0</v>
      </c>
      <c r="CG116" s="25">
        <f t="shared" ref="CG116" si="307">SUM(CG113:CG115)</f>
        <v>0</v>
      </c>
      <c r="CH116" s="25">
        <f t="shared" ref="CH116" si="308">SUM(CH113:CH115)</f>
        <v>0</v>
      </c>
      <c r="CI116" s="25">
        <f t="shared" ref="CI116" si="309">SUM(CI113:CI115)</f>
        <v>0</v>
      </c>
      <c r="CJ116" s="25">
        <f t="shared" ref="CJ116" si="310">SUM(CJ113:CJ115)</f>
        <v>0</v>
      </c>
      <c r="CK116" s="25">
        <f t="shared" ref="CK116" si="311">SUM(CK113:CK115)</f>
        <v>0</v>
      </c>
      <c r="CL116" s="25">
        <f t="shared" ref="CL116" si="312">SUM(CL113:CL115)</f>
        <v>0</v>
      </c>
      <c r="CM116" s="25">
        <f t="shared" ref="CM116" si="313">SUM(CM113:CM115)</f>
        <v>0</v>
      </c>
      <c r="CN116" s="25">
        <f t="shared" ref="CN116" si="314">SUM(CN113:CN115)</f>
        <v>0</v>
      </c>
      <c r="CO116" s="25">
        <f t="shared" ref="CO116" si="315">SUM(CO113:CO115)</f>
        <v>0</v>
      </c>
      <c r="CP116" s="25">
        <f t="shared" ref="CP116" si="316">SUM(CP113:CP115)</f>
        <v>0</v>
      </c>
      <c r="CQ116" s="25">
        <f t="shared" ref="CQ116" si="317">SUM(CQ113:CQ115)</f>
        <v>0</v>
      </c>
      <c r="CR116" s="25">
        <f t="shared" ref="CR116" si="318">SUM(CR113:CR115)</f>
        <v>0</v>
      </c>
      <c r="CS116" s="25">
        <f t="shared" ref="CS116" si="319">SUM(CS113:CS115)</f>
        <v>0</v>
      </c>
      <c r="CT116" s="25">
        <f t="shared" ref="CT116" si="320">SUM(CT113:CT115)</f>
        <v>0</v>
      </c>
      <c r="CU116" s="25">
        <f t="shared" ref="CU116" si="321">SUM(CU113:CU115)</f>
        <v>0</v>
      </c>
      <c r="CV116" s="25">
        <f t="shared" ref="CV116" si="322">SUM(CV113:CV115)</f>
        <v>0</v>
      </c>
      <c r="CW116" s="25">
        <f t="shared" ref="CW116" si="323">SUM(CW113:CW115)</f>
        <v>0</v>
      </c>
      <c r="CX116" s="25">
        <f t="shared" ref="CX116" si="324">SUM(CX113:CX115)</f>
        <v>0</v>
      </c>
      <c r="CY116" s="25">
        <f t="shared" ref="CY116" si="325">SUM(CY113:CY115)</f>
        <v>0</v>
      </c>
      <c r="CZ116" s="25">
        <f t="shared" ref="CZ116" si="326">SUM(CZ113:CZ115)</f>
        <v>0</v>
      </c>
      <c r="DA116" s="25">
        <f t="shared" ref="DA116" si="327">SUM(DA113:DA115)</f>
        <v>0</v>
      </c>
      <c r="DB116" s="25">
        <f t="shared" ref="DB116" si="328">SUM(DB113:DB115)</f>
        <v>0</v>
      </c>
      <c r="DC116" s="25">
        <f t="shared" ref="DC116" si="329">SUM(DC113:DC115)</f>
        <v>0</v>
      </c>
      <c r="DD116" s="25">
        <f t="shared" ref="DD116" si="330">SUM(DD113:DD115)</f>
        <v>0</v>
      </c>
      <c r="DE116" s="25">
        <f t="shared" ref="DE116" si="331">SUM(DE113:DE115)</f>
        <v>0</v>
      </c>
      <c r="DF116" s="25">
        <f t="shared" ref="DF116" si="332">SUM(DF113:DF115)</f>
        <v>0</v>
      </c>
      <c r="DG116" s="25">
        <f t="shared" ref="DG116" si="333">SUM(DG113:DG115)</f>
        <v>0</v>
      </c>
      <c r="DH116" s="25">
        <f t="shared" ref="DH116" si="334">SUM(DH113:DH115)</f>
        <v>0</v>
      </c>
      <c r="DI116" s="25">
        <f t="shared" ref="DI116" si="335">SUM(DI113:DI115)</f>
        <v>0</v>
      </c>
      <c r="DJ116" s="25">
        <f t="shared" ref="DJ116" si="336">SUM(DJ113:DJ115)</f>
        <v>0</v>
      </c>
      <c r="DK116" s="25">
        <f t="shared" ref="DK116" si="337">SUM(DK113:DK115)</f>
        <v>0</v>
      </c>
      <c r="DL116" s="25">
        <f t="shared" ref="DL116" si="338">SUM(DL113:DL115)</f>
        <v>0</v>
      </c>
      <c r="DM116" s="25">
        <f t="shared" ref="DM116" si="339">SUM(DM113:DM115)</f>
        <v>0</v>
      </c>
      <c r="DN116" s="25">
        <f t="shared" ref="DN116" si="340">SUM(DN113:DN115)</f>
        <v>0</v>
      </c>
      <c r="DO116" s="25">
        <f t="shared" ref="DO116" si="341">SUM(DO113:DO115)</f>
        <v>0</v>
      </c>
      <c r="DP116" s="25">
        <f t="shared" ref="DP116" si="342">SUM(DP113:DP115)</f>
        <v>0</v>
      </c>
      <c r="DQ116" s="25">
        <f t="shared" ref="DQ116" si="343">SUM(DQ113:DQ115)</f>
        <v>0</v>
      </c>
      <c r="DR116" s="25">
        <f t="shared" ref="DR116" si="344">SUM(DR113:DR115)</f>
        <v>0</v>
      </c>
      <c r="DS116" s="25">
        <f t="shared" ref="DS116" si="345">SUM(DS113:DS115)</f>
        <v>0</v>
      </c>
      <c r="DT116" s="25">
        <f t="shared" ref="DT116" si="346">SUM(DT113:DT115)</f>
        <v>0</v>
      </c>
      <c r="DU116" s="25">
        <f t="shared" ref="DU116" si="347">SUM(DU113:DU115)</f>
        <v>0</v>
      </c>
      <c r="DV116" s="25">
        <f t="shared" ref="DV116" si="348">SUM(DV113:DV115)</f>
        <v>0</v>
      </c>
      <c r="DW116" s="25">
        <f t="shared" ref="DW116" si="349">SUM(DW113:DW115)</f>
        <v>0</v>
      </c>
      <c r="DX116" s="25">
        <f t="shared" ref="DX116" si="350">SUM(DX113:DX115)</f>
        <v>0</v>
      </c>
      <c r="DY116" s="25">
        <f t="shared" ref="DY116" si="351">SUM(DY113:DY115)</f>
        <v>0</v>
      </c>
      <c r="DZ116" s="25">
        <f t="shared" ref="DZ116" si="352">SUM(DZ113:DZ115)</f>
        <v>0</v>
      </c>
      <c r="EA116" s="25">
        <f t="shared" ref="EA116" si="353">SUM(EA113:EA115)</f>
        <v>0</v>
      </c>
      <c r="EB116" s="25">
        <f t="shared" ref="EB116" si="354">SUM(EB113:EB115)</f>
        <v>0</v>
      </c>
      <c r="EC116" s="25">
        <f t="shared" ref="EC116" si="355">SUM(EC113:EC115)</f>
        <v>0</v>
      </c>
      <c r="ED116" s="25">
        <f t="shared" ref="ED116" si="356">SUM(ED113:ED115)</f>
        <v>0</v>
      </c>
      <c r="EE116" s="25">
        <f t="shared" ref="EE116" si="357">SUM(EE113:EE115)</f>
        <v>0</v>
      </c>
      <c r="EF116" s="25">
        <f t="shared" ref="EF116" si="358">SUM(EF113:EF115)</f>
        <v>0</v>
      </c>
      <c r="EG116" s="25">
        <f t="shared" ref="EG116" si="359">SUM(EG113:EG115)</f>
        <v>0</v>
      </c>
      <c r="EH116" s="25">
        <f t="shared" ref="EH116" si="360">SUM(EH113:EH115)</f>
        <v>0</v>
      </c>
      <c r="EI116" s="25">
        <f t="shared" ref="EI116" si="361">SUM(EI113:EI115)</f>
        <v>0</v>
      </c>
      <c r="EJ116" s="25">
        <f t="shared" ref="EJ116" si="362">SUM(EJ113:EJ115)</f>
        <v>0</v>
      </c>
      <c r="EK116" s="25">
        <f t="shared" ref="EK116" si="363">SUM(EK113:EK115)</f>
        <v>0</v>
      </c>
      <c r="EL116" s="25">
        <f t="shared" ref="EL116" si="364">SUM(EL113:EL115)</f>
        <v>0</v>
      </c>
      <c r="EM116" s="25">
        <f t="shared" ref="EM116" si="365">SUM(EM113:EM115)</f>
        <v>0</v>
      </c>
      <c r="EN116" s="25">
        <f t="shared" ref="EN116" si="366">SUM(EN113:EN115)</f>
        <v>0</v>
      </c>
      <c r="EO116" s="25">
        <f t="shared" ref="EO116" si="367">SUM(EO113:EO115)</f>
        <v>0</v>
      </c>
      <c r="EP116" s="25">
        <f t="shared" ref="EP116" si="368">SUM(EP113:EP115)</f>
        <v>0</v>
      </c>
      <c r="EQ116" s="25">
        <f t="shared" ref="EQ116" si="369">SUM(EQ113:EQ115)</f>
        <v>0</v>
      </c>
      <c r="ER116" s="25">
        <f t="shared" ref="ER116" si="370">SUM(ER113:ER115)</f>
        <v>0</v>
      </c>
      <c r="ES116" s="25">
        <f t="shared" ref="ES116" si="371">SUM(ES113:ES115)</f>
        <v>0</v>
      </c>
      <c r="ET116" s="25">
        <f t="shared" ref="ET116" si="372">SUM(ET113:ET115)</f>
        <v>0</v>
      </c>
      <c r="EU116" s="25">
        <f t="shared" ref="EU116" si="373">SUM(EU113:EU115)</f>
        <v>0</v>
      </c>
      <c r="EV116" s="25">
        <f t="shared" ref="EV116" si="374">SUM(EV113:EV115)</f>
        <v>0</v>
      </c>
      <c r="EW116" s="25">
        <f t="shared" ref="EW116" si="375">SUM(EW113:EW115)</f>
        <v>0</v>
      </c>
      <c r="EX116" s="25">
        <f t="shared" ref="EX116" si="376">SUM(EX113:EX115)</f>
        <v>0</v>
      </c>
      <c r="EY116" s="25">
        <f t="shared" ref="EY116" si="377">SUM(EY113:EY115)</f>
        <v>0</v>
      </c>
      <c r="EZ116" s="25">
        <f t="shared" ref="EZ116" si="378">SUM(EZ113:EZ115)</f>
        <v>0</v>
      </c>
      <c r="FA116" s="25">
        <f t="shared" ref="FA116" si="379">SUM(FA113:FA115)</f>
        <v>0</v>
      </c>
      <c r="FB116" s="25">
        <f t="shared" ref="FB116" si="380">SUM(FB113:FB115)</f>
        <v>0</v>
      </c>
      <c r="FC116" s="25">
        <f t="shared" ref="FC116" si="381">SUM(FC113:FC115)</f>
        <v>0</v>
      </c>
      <c r="FD116" s="25">
        <f t="shared" ref="FD116" si="382">SUM(FD113:FD115)</f>
        <v>0</v>
      </c>
      <c r="FE116" s="25">
        <f t="shared" ref="FE116" si="383">SUM(FE113:FE115)</f>
        <v>0</v>
      </c>
      <c r="FF116" s="25">
        <f t="shared" ref="FF116" si="384">SUM(FF113:FF115)</f>
        <v>0</v>
      </c>
      <c r="FG116" s="25">
        <f t="shared" ref="FG116" si="385">SUM(FG113:FG115)</f>
        <v>0</v>
      </c>
      <c r="FH116" s="25">
        <f t="shared" ref="FH116" si="386">SUM(FH113:FH115)</f>
        <v>0</v>
      </c>
      <c r="FI116" s="25">
        <f t="shared" ref="FI116" si="387">SUM(FI113:FI115)</f>
        <v>0</v>
      </c>
      <c r="FJ116" s="25">
        <f t="shared" ref="FJ116" si="388">SUM(FJ113:FJ115)</f>
        <v>0</v>
      </c>
      <c r="FK116" s="25">
        <f t="shared" ref="FK116" si="389">SUM(FK113:FK115)</f>
        <v>0</v>
      </c>
      <c r="FL116" s="25">
        <f t="shared" ref="FL116" si="390">SUM(FL113:FL115)</f>
        <v>0</v>
      </c>
      <c r="FM116" s="25">
        <f t="shared" ref="FM116" si="391">SUM(FM113:FM115)</f>
        <v>0</v>
      </c>
    </row>
    <row r="117" spans="1:169" x14ac:dyDescent="0.25"/>
    <row r="118" spans="1:169" x14ac:dyDescent="0.25">
      <c r="B118" s="29" t="s">
        <v>143</v>
      </c>
      <c r="C118" s="29"/>
      <c r="D118" s="29"/>
      <c r="E118" s="29"/>
      <c r="F118" s="29"/>
      <c r="G118" s="29"/>
      <c r="H118" s="29"/>
      <c r="I118" s="30">
        <f>MAX(SUM(I110, I115), 0)</f>
        <v>0</v>
      </c>
      <c r="J118" s="30">
        <f t="shared" ref="J118:BU118" si="392">MAX(SUM(J110, J115), 0)</f>
        <v>0</v>
      </c>
      <c r="K118" s="30">
        <f t="shared" si="392"/>
        <v>0</v>
      </c>
      <c r="L118" s="30">
        <f t="shared" si="392"/>
        <v>0</v>
      </c>
      <c r="M118" s="30">
        <f t="shared" si="392"/>
        <v>0</v>
      </c>
      <c r="N118" s="30">
        <f t="shared" si="392"/>
        <v>0</v>
      </c>
      <c r="O118" s="30">
        <f t="shared" si="392"/>
        <v>0</v>
      </c>
      <c r="P118" s="30">
        <f t="shared" si="392"/>
        <v>0</v>
      </c>
      <c r="Q118" s="30">
        <f t="shared" si="392"/>
        <v>0</v>
      </c>
      <c r="R118" s="30">
        <f t="shared" si="392"/>
        <v>26.684072857976155</v>
      </c>
      <c r="S118" s="30">
        <f t="shared" si="392"/>
        <v>30.510580803682803</v>
      </c>
      <c r="T118" s="30">
        <f t="shared" si="392"/>
        <v>30.785699092673831</v>
      </c>
      <c r="U118" s="30">
        <f t="shared" si="392"/>
        <v>30.725536273932082</v>
      </c>
      <c r="V118" s="30">
        <f t="shared" si="392"/>
        <v>31.933269173556692</v>
      </c>
      <c r="W118" s="30">
        <f t="shared" si="392"/>
        <v>32.22693172016043</v>
      </c>
      <c r="X118" s="30">
        <f t="shared" si="392"/>
        <v>32.518570896862123</v>
      </c>
      <c r="Y118" s="30">
        <f t="shared" si="392"/>
        <v>32.456067966748847</v>
      </c>
      <c r="Z118" s="30">
        <f t="shared" si="392"/>
        <v>33.272955214744478</v>
      </c>
      <c r="AA118" s="30">
        <f t="shared" si="392"/>
        <v>33.579815212984606</v>
      </c>
      <c r="AB118" s="30">
        <f t="shared" si="392"/>
        <v>33.884595990824337</v>
      </c>
      <c r="AC118" s="30">
        <f t="shared" si="392"/>
        <v>33.820367810279578</v>
      </c>
      <c r="AD118" s="30">
        <f t="shared" si="392"/>
        <v>34.638638690053952</v>
      </c>
      <c r="AE118" s="30">
        <f t="shared" si="392"/>
        <v>34.95894280158906</v>
      </c>
      <c r="AF118" s="30">
        <f t="shared" si="392"/>
        <v>35.277110445962947</v>
      </c>
      <c r="AG118" s="30">
        <f t="shared" si="392"/>
        <v>35.211113883725929</v>
      </c>
      <c r="AH118" s="30">
        <f t="shared" si="392"/>
        <v>36.331055234223257</v>
      </c>
      <c r="AI118" s="30">
        <f t="shared" si="392"/>
        <v>36.265074216389038</v>
      </c>
      <c r="AJ118" s="30">
        <f t="shared" si="392"/>
        <v>36.596152397616201</v>
      </c>
      <c r="AK118" s="30">
        <f t="shared" si="392"/>
        <v>36.528713279762201</v>
      </c>
      <c r="AL118" s="30">
        <f t="shared" si="392"/>
        <v>37.449919021326565</v>
      </c>
      <c r="AM118" s="30">
        <f t="shared" si="392"/>
        <v>37.797868443495531</v>
      </c>
      <c r="AN118" s="30">
        <f t="shared" si="392"/>
        <v>38.143562575695306</v>
      </c>
      <c r="AO118" s="30">
        <f t="shared" si="392"/>
        <v>38.073895516208303</v>
      </c>
      <c r="AP118" s="30">
        <f t="shared" si="392"/>
        <v>38.896495673967415</v>
      </c>
      <c r="AQ118" s="30">
        <f t="shared" si="392"/>
        <v>39.258654990386972</v>
      </c>
      <c r="AR118" s="30">
        <f t="shared" si="392"/>
        <v>39.618497368337287</v>
      </c>
      <c r="AS118" s="30">
        <f t="shared" si="392"/>
        <v>39.54692595518447</v>
      </c>
      <c r="AT118" s="30">
        <f t="shared" si="392"/>
        <v>40.371029522497849</v>
      </c>
      <c r="AU118" s="30">
        <f t="shared" si="392"/>
        <v>40.747662789186251</v>
      </c>
      <c r="AV118" s="30">
        <f t="shared" si="392"/>
        <v>41.121915927692839</v>
      </c>
      <c r="AW118" s="30">
        <f t="shared" si="392"/>
        <v>41.048392552032553</v>
      </c>
      <c r="AX118" s="30">
        <f t="shared" si="392"/>
        <v>42.223007526144656</v>
      </c>
      <c r="AY118" s="30">
        <f t="shared" si="392"/>
        <v>42.14951952061147</v>
      </c>
      <c r="AZ118" s="30">
        <f t="shared" si="392"/>
        <v>42.537589052979897</v>
      </c>
      <c r="BA118" s="30">
        <f t="shared" si="392"/>
        <v>42.462477052154796</v>
      </c>
      <c r="BB118" s="30">
        <f t="shared" si="392"/>
        <v>43.40601494556303</v>
      </c>
      <c r="BC118" s="30">
        <f t="shared" si="392"/>
        <v>43.812406328652671</v>
      </c>
      <c r="BD118" s="30">
        <f t="shared" si="392"/>
        <v>44.216286425413408</v>
      </c>
      <c r="BE118" s="30">
        <f t="shared" si="392"/>
        <v>44.138711507573525</v>
      </c>
      <c r="BF118" s="30">
        <f t="shared" si="392"/>
        <v>44.967509679575656</v>
      </c>
      <c r="BG118" s="30">
        <f t="shared" si="392"/>
        <v>45.38919440241969</v>
      </c>
      <c r="BH118" s="30">
        <f t="shared" si="392"/>
        <v>45.808299790525766</v>
      </c>
      <c r="BI118" s="30">
        <f t="shared" si="392"/>
        <v>45.728622822561256</v>
      </c>
      <c r="BJ118" s="30">
        <f t="shared" si="392"/>
        <v>46.559048090944067</v>
      </c>
      <c r="BK118" s="30">
        <f t="shared" si="392"/>
        <v>46.996308557136381</v>
      </c>
      <c r="BL118" s="30">
        <f t="shared" si="392"/>
        <v>47.430919938971471</v>
      </c>
      <c r="BM118" s="30">
        <f t="shared" si="392"/>
        <v>47.349088369629207</v>
      </c>
      <c r="BN118" s="30">
        <f t="shared" si="392"/>
        <v>48.582736287996447</v>
      </c>
      <c r="BO118" s="30">
        <f t="shared" si="392"/>
        <v>48.500961972671469</v>
      </c>
      <c r="BP118" s="30">
        <f t="shared" si="392"/>
        <v>48.950358148809883</v>
      </c>
      <c r="BQ118" s="30">
        <f t="shared" si="392"/>
        <v>48.866776720853032</v>
      </c>
      <c r="BR118" s="30">
        <f t="shared" si="392"/>
        <v>49.834432406135981</v>
      </c>
      <c r="BS118" s="30">
        <f t="shared" si="392"/>
        <v>50.303710579061082</v>
      </c>
      <c r="BT118" s="30">
        <f t="shared" si="392"/>
        <v>50.770194893575486</v>
      </c>
      <c r="BU118" s="30">
        <f t="shared" si="392"/>
        <v>50.683891179748493</v>
      </c>
      <c r="BV118" s="30">
        <f t="shared" ref="BV118:EG118" si="393">MAX(SUM(BV110, BV115), 0)</f>
        <v>51.519387428605896</v>
      </c>
      <c r="BW118" s="30">
        <f t="shared" si="393"/>
        <v>52.005117220497304</v>
      </c>
      <c r="BX118" s="30">
        <f t="shared" si="393"/>
        <v>52.487978041266878</v>
      </c>
      <c r="BY118" s="30">
        <f t="shared" si="393"/>
        <v>52.3993540574156</v>
      </c>
      <c r="BZ118" s="30">
        <f t="shared" si="393"/>
        <v>53.236604519291753</v>
      </c>
      <c r="CA118" s="30">
        <f t="shared" si="393"/>
        <v>53.739087644986455</v>
      </c>
      <c r="CB118" s="30">
        <f t="shared" si="393"/>
        <v>54.238624809030433</v>
      </c>
      <c r="CC118" s="30">
        <f t="shared" si="393"/>
        <v>54.147622548404193</v>
      </c>
      <c r="CD118" s="30">
        <f t="shared" si="393"/>
        <v>55.444963510691203</v>
      </c>
      <c r="CE118" s="30">
        <f t="shared" si="393"/>
        <v>55.354042659802296</v>
      </c>
      <c r="CF118" s="30">
        <f t="shared" si="393"/>
        <v>55.869398752075931</v>
      </c>
      <c r="CG118" s="30">
        <f t="shared" si="393"/>
        <v>55.776468661274869</v>
      </c>
      <c r="CH118" s="30">
        <f t="shared" si="393"/>
        <v>56.770136694498838</v>
      </c>
      <c r="CI118" s="30">
        <f t="shared" si="393"/>
        <v>57.307051608128411</v>
      </c>
      <c r="CJ118" s="30">
        <f t="shared" si="393"/>
        <v>57.840860756640772</v>
      </c>
      <c r="CK118" s="30">
        <f t="shared" si="393"/>
        <v>57.744922085283605</v>
      </c>
      <c r="CL118" s="30">
        <f t="shared" si="393"/>
        <v>58.587629309407873</v>
      </c>
      <c r="CM118" s="30">
        <f t="shared" si="393"/>
        <v>59.142232815912777</v>
      </c>
      <c r="CN118" s="30">
        <f t="shared" si="393"/>
        <v>59.693647646921733</v>
      </c>
      <c r="CO118" s="30">
        <f t="shared" si="393"/>
        <v>59.595147831602013</v>
      </c>
      <c r="CP118" s="30">
        <f t="shared" si="393"/>
        <v>60.439739194324765</v>
      </c>
      <c r="CQ118" s="30">
        <f t="shared" si="393"/>
        <v>61.012353285800607</v>
      </c>
      <c r="CR118" s="30">
        <f t="shared" si="393"/>
        <v>61.581693718642285</v>
      </c>
      <c r="CS118" s="30">
        <f t="shared" si="393"/>
        <v>61.480568730760929</v>
      </c>
      <c r="CT118" s="30">
        <f t="shared" si="393"/>
        <v>62.846579084231038</v>
      </c>
      <c r="CU118" s="30">
        <f t="shared" si="393"/>
        <v>62.745562169482113</v>
      </c>
      <c r="CV118" s="30">
        <f t="shared" si="393"/>
        <v>63.331824576315519</v>
      </c>
      <c r="CW118" s="30">
        <f t="shared" si="393"/>
        <v>63.228575310956856</v>
      </c>
      <c r="CX118" s="30">
        <f t="shared" si="393"/>
        <v>64.250262533950462</v>
      </c>
      <c r="CY118" s="30">
        <f t="shared" si="393"/>
        <v>64.859884709853802</v>
      </c>
      <c r="CZ118" s="30">
        <f t="shared" si="393"/>
        <v>65.466056833996745</v>
      </c>
      <c r="DA118" s="30">
        <f t="shared" si="393"/>
        <v>65.359482972317096</v>
      </c>
      <c r="DB118" s="30">
        <f t="shared" si="393"/>
        <v>66.209924181729122</v>
      </c>
      <c r="DC118" s="30">
        <f t="shared" si="393"/>
        <v>66.838554475252252</v>
      </c>
      <c r="DD118" s="30">
        <f t="shared" si="393"/>
        <v>67.46364319947017</v>
      </c>
      <c r="DE118" s="30">
        <f t="shared" si="393"/>
        <v>67.354242314069879</v>
      </c>
      <c r="DF118" s="30">
        <f t="shared" si="393"/>
        <v>68.206699609859655</v>
      </c>
      <c r="DG118" s="30">
        <f t="shared" si="393"/>
        <v>68.854681248822601</v>
      </c>
      <c r="DH118" s="30">
        <f t="shared" si="393"/>
        <v>69.499027512996847</v>
      </c>
      <c r="DI118" s="30">
        <f t="shared" si="393"/>
        <v>69.386728928282935</v>
      </c>
      <c r="DJ118" s="30">
        <f t="shared" si="393"/>
        <v>70.826716706517104</v>
      </c>
      <c r="DK118" s="30">
        <f t="shared" si="393"/>
        <v>70.714555626334871</v>
      </c>
      <c r="DL118" s="30">
        <f t="shared" si="393"/>
        <v>71.376998951939783</v>
      </c>
      <c r="DM118" s="30">
        <f t="shared" si="393"/>
        <v>71.262359248683836</v>
      </c>
      <c r="DN118" s="30">
        <f t="shared" si="393"/>
        <v>72.314187684605841</v>
      </c>
      <c r="DO118" s="30">
        <f t="shared" si="393"/>
        <v>73.001923583022077</v>
      </c>
      <c r="DP118" s="30">
        <f t="shared" si="393"/>
        <v>73.685829401643034</v>
      </c>
      <c r="DQ118" s="30">
        <f t="shared" si="393"/>
        <v>73.567516279791235</v>
      </c>
      <c r="DR118" s="30">
        <f t="shared" si="393"/>
        <v>74.426221167986142</v>
      </c>
      <c r="DS118" s="30">
        <f t="shared" si="393"/>
        <v>75.134371068272046</v>
      </c>
      <c r="DT118" s="30">
        <f t="shared" si="393"/>
        <v>75.838589870516969</v>
      </c>
      <c r="DU118" s="30">
        <f t="shared" si="393"/>
        <v>75.717156243440186</v>
      </c>
      <c r="DV118" s="30">
        <f t="shared" si="393"/>
        <v>76.578010207629333</v>
      </c>
      <c r="DW118" s="30">
        <f t="shared" si="393"/>
        <v>77.306939512266979</v>
      </c>
      <c r="DX118" s="30">
        <f t="shared" si="393"/>
        <v>78.031834175161762</v>
      </c>
      <c r="DY118" s="30">
        <f t="shared" si="393"/>
        <v>77.907202030229413</v>
      </c>
      <c r="DZ118" s="30">
        <f t="shared" si="393"/>
        <v>79.426822189084049</v>
      </c>
      <c r="EA118" s="30">
        <f t="shared" si="393"/>
        <v>79.302360035441325</v>
      </c>
      <c r="EB118" s="30">
        <f t="shared" si="393"/>
        <v>80.046601925888496</v>
      </c>
      <c r="EC118" s="30">
        <f t="shared" si="393"/>
        <v>79.91938931045172</v>
      </c>
      <c r="ED118" s="30">
        <f t="shared" si="393"/>
        <v>81.003598450437366</v>
      </c>
      <c r="EE118" s="30">
        <f t="shared" si="393"/>
        <v>81.775205574203625</v>
      </c>
      <c r="EF118" s="30">
        <f t="shared" si="393"/>
        <v>82.54256313833092</v>
      </c>
      <c r="EG118" s="30">
        <f t="shared" si="393"/>
        <v>90.415661932790655</v>
      </c>
      <c r="EH118" s="30">
        <f t="shared" ref="EH118:FM118" si="394">MAX(SUM(EH110, EH115), 0)</f>
        <v>106.51728591552846</v>
      </c>
      <c r="EI118" s="30">
        <f t="shared" si="394"/>
        <v>107.56900847416</v>
      </c>
      <c r="EJ118" s="30">
        <f t="shared" si="394"/>
        <v>108.61636996791076</v>
      </c>
      <c r="EK118" s="30">
        <f t="shared" si="394"/>
        <v>108.48165444546191</v>
      </c>
      <c r="EL118" s="30">
        <f t="shared" si="394"/>
        <v>108.83502608337047</v>
      </c>
      <c r="EM118" s="30">
        <f t="shared" si="394"/>
        <v>109.90904707958465</v>
      </c>
      <c r="EN118" s="30">
        <f t="shared" si="394"/>
        <v>110.97859271804526</v>
      </c>
      <c r="EO118" s="30">
        <f t="shared" si="394"/>
        <v>110.84034663035658</v>
      </c>
      <c r="EP118" s="30">
        <f t="shared" si="394"/>
        <v>112.12321176308791</v>
      </c>
      <c r="EQ118" s="30">
        <f t="shared" si="394"/>
        <v>111.98517152599095</v>
      </c>
      <c r="ER118" s="30">
        <f t="shared" si="394"/>
        <v>113.0746870485216</v>
      </c>
      <c r="ES118" s="30">
        <f t="shared" si="394"/>
        <v>112.93359629054687</v>
      </c>
      <c r="ET118" s="30">
        <f t="shared" si="394"/>
        <v>113.60103776448267</v>
      </c>
      <c r="EU118" s="30">
        <f t="shared" si="394"/>
        <v>114.72084475792931</v>
      </c>
      <c r="EV118" s="30">
        <f t="shared" si="394"/>
        <v>115.83593916447812</v>
      </c>
      <c r="EW118" s="30">
        <f t="shared" si="394"/>
        <v>115.69036494731341</v>
      </c>
      <c r="EX118" s="30">
        <f t="shared" si="394"/>
        <v>116.05077984995602</v>
      </c>
      <c r="EY118" s="30">
        <f t="shared" si="394"/>
        <v>117.19408637098239</v>
      </c>
      <c r="EZ118" s="30">
        <f t="shared" si="394"/>
        <v>118.33255722418782</v>
      </c>
      <c r="FA118" s="30">
        <f t="shared" si="394"/>
        <v>118.18318097441536</v>
      </c>
      <c r="FB118" s="30">
        <f t="shared" si="394"/>
        <v>0</v>
      </c>
      <c r="FC118" s="30">
        <f t="shared" si="394"/>
        <v>0</v>
      </c>
      <c r="FD118" s="30">
        <f t="shared" si="394"/>
        <v>0</v>
      </c>
      <c r="FE118" s="30">
        <f t="shared" si="394"/>
        <v>0</v>
      </c>
      <c r="FF118" s="30">
        <f t="shared" si="394"/>
        <v>0</v>
      </c>
      <c r="FG118" s="30">
        <f t="shared" si="394"/>
        <v>0</v>
      </c>
      <c r="FH118" s="30">
        <f t="shared" si="394"/>
        <v>0</v>
      </c>
      <c r="FI118" s="30">
        <f t="shared" si="394"/>
        <v>0</v>
      </c>
      <c r="FJ118" s="30">
        <f t="shared" si="394"/>
        <v>0</v>
      </c>
      <c r="FK118" s="30">
        <f t="shared" si="394"/>
        <v>0</v>
      </c>
      <c r="FL118" s="30">
        <f t="shared" si="394"/>
        <v>0</v>
      </c>
      <c r="FM118" s="30">
        <f t="shared" si="394"/>
        <v>0</v>
      </c>
    </row>
    <row r="119" spans="1:169" x14ac:dyDescent="0.25"/>
    <row r="120" spans="1:169" x14ac:dyDescent="0.25">
      <c r="A120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8e42aa-7502-48aa-9973-d5430de63b43">
      <Terms xmlns="http://schemas.microsoft.com/office/infopath/2007/PartnerControls"/>
    </lcf76f155ced4ddcb4097134ff3c332f>
    <TaxCatchAll xmlns="3ba8be79-126f-4ecc-b268-0e8a1c9d82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5C80BA76C054AAAC0D3CDDFCEC309" ma:contentTypeVersion="14" ma:contentTypeDescription="Create a new document." ma:contentTypeScope="" ma:versionID="d968673a7c3a10ddeefea4f97a096cd1">
  <xsd:schema xmlns:xsd="http://www.w3.org/2001/XMLSchema" xmlns:xs="http://www.w3.org/2001/XMLSchema" xmlns:p="http://schemas.microsoft.com/office/2006/metadata/properties" xmlns:ns2="3ba8be79-126f-4ecc-b268-0e8a1c9d820a" xmlns:ns3="348e42aa-7502-48aa-9973-d5430de63b43" targetNamespace="http://schemas.microsoft.com/office/2006/metadata/properties" ma:root="true" ma:fieldsID="65bd50756c71f8c38774f3a5c983a670" ns2:_="" ns3:_="">
    <xsd:import namespace="3ba8be79-126f-4ecc-b268-0e8a1c9d820a"/>
    <xsd:import namespace="348e42aa-7502-48aa-9973-d5430de63b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8be79-126f-4ecc-b268-0e8a1c9d82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54c7780-c79f-4b81-a1cc-c56cb19b1b79}" ma:internalName="TaxCatchAll" ma:showField="CatchAllData" ma:web="3ba8be79-126f-4ecc-b268-0e8a1c9d8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e42aa-7502-48aa-9973-d5430de63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080c10-e0a6-4b42-beda-2db26c8ffc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5802B7-CBA7-47EE-840A-8FFBF978BE5E}">
  <ds:schemaRefs>
    <ds:schemaRef ds:uri="http://schemas.microsoft.com/office/2006/metadata/properties"/>
    <ds:schemaRef ds:uri="http://schemas.microsoft.com/office/infopath/2007/PartnerControls"/>
    <ds:schemaRef ds:uri="348e42aa-7502-48aa-9973-d5430de63b43"/>
    <ds:schemaRef ds:uri="3ba8be79-126f-4ecc-b268-0e8a1c9d820a"/>
  </ds:schemaRefs>
</ds:datastoreItem>
</file>

<file path=customXml/itemProps2.xml><?xml version="1.0" encoding="utf-8"?>
<ds:datastoreItem xmlns:ds="http://schemas.openxmlformats.org/officeDocument/2006/customXml" ds:itemID="{8F44D7EB-6026-4907-8BFF-5405DCDB0F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A5FF44-5149-4D9C-9F7F-7C894706DC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a8be79-126f-4ecc-b268-0e8a1c9d820a"/>
    <ds:schemaRef ds:uri="348e42aa-7502-48aa-9973-d5430de63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728984-5573-4501-93e1-26196c1472d0}" enabled="0" method="" siteId="{42728984-5573-4501-93e1-26196c1472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Stat_Inp</vt:lpstr>
      <vt:lpstr>Dyn_Inp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Gibbs</dc:creator>
  <cp:keywords/>
  <dc:description/>
  <cp:lastModifiedBy>Zádeczki Zalán</cp:lastModifiedBy>
  <cp:revision/>
  <dcterms:created xsi:type="dcterms:W3CDTF">2025-09-08T08:46:11Z</dcterms:created>
  <dcterms:modified xsi:type="dcterms:W3CDTF">2026-09-08T08:53:35Z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0x010100CB25C80BA76C054AAAC0D3CDDFCEC309</vt:lpwstr>
  </property>
  <property fmtid="{D5CDD505-2E9C-101B-9397-08002B2CF9AE}" pid="3" name="MediaServiceImageTags">
    <vt:lpwstr/>
  </property>
</Properties>
</file>