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deczkiz\Downloads\"/>
    </mc:Choice>
  </mc:AlternateContent>
  <xr:revisionPtr revIDLastSave="0" documentId="8_{1C9ABAB1-E4A8-4DDA-A5E6-83C3B9AC044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id_Deposits_Devex" sheetId="1" r:id="rId1"/>
  </sheets>
  <definedNames>
    <definedName name="Days_In_Year">Bid_Deposits_Devex!$S$4</definedName>
    <definedName name="Million">Bid_Deposits_Devex!$R$4</definedName>
    <definedName name="Thousand">Bid_Deposits_Devex!$Q$4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" l="1"/>
  <c r="E72" i="1"/>
  <c r="F84" i="1"/>
  <c r="E84" i="1"/>
  <c r="G68" i="1"/>
  <c r="I33" i="1"/>
  <c r="H33" i="1"/>
  <c r="F33" i="1"/>
  <c r="I32" i="1"/>
  <c r="H32" i="1"/>
  <c r="F32" i="1"/>
  <c r="I31" i="1"/>
  <c r="H31" i="1"/>
  <c r="F31" i="1"/>
  <c r="I30" i="1"/>
  <c r="H30" i="1"/>
  <c r="F30" i="1"/>
  <c r="I29" i="1" a="1"/>
  <c r="I29" i="1" s="1"/>
  <c r="H29" i="1" a="1"/>
  <c r="H29" i="1" s="1"/>
  <c r="F29" i="1" a="1"/>
  <c r="F29" i="1" s="1"/>
  <c r="I28" i="1"/>
  <c r="H28" i="1"/>
  <c r="F28" i="1"/>
  <c r="I27" i="1" a="1"/>
  <c r="I27" i="1" s="1"/>
  <c r="H27" i="1" a="1"/>
  <c r="H27" i="1" s="1"/>
  <c r="F27" i="1" a="1"/>
  <c r="F27" i="1" s="1"/>
  <c r="I26" i="1" a="1"/>
  <c r="I26" i="1" s="1"/>
  <c r="H26" i="1" a="1"/>
  <c r="H26" i="1" s="1"/>
  <c r="F26" i="1" a="1"/>
  <c r="F26" i="1" s="1"/>
  <c r="I25" i="1" a="1"/>
  <c r="I25" i="1" s="1"/>
  <c r="H25" i="1" a="1"/>
  <c r="H25" i="1" s="1"/>
  <c r="F25" i="1" a="1"/>
  <c r="F25" i="1" s="1"/>
  <c r="I24" i="1" a="1"/>
  <c r="I24" i="1" s="1"/>
  <c r="H24" i="1" a="1"/>
  <c r="H24" i="1" s="1"/>
  <c r="F24" i="1" a="1"/>
  <c r="F24" i="1" s="1"/>
  <c r="E33" i="1"/>
  <c r="E32" i="1"/>
  <c r="E31" i="1"/>
  <c r="E30" i="1"/>
  <c r="E29" i="1" a="1"/>
  <c r="E29" i="1" s="1"/>
  <c r="E28" i="1"/>
  <c r="E27" i="1" a="1"/>
  <c r="E27" i="1" s="1"/>
  <c r="E26" i="1" a="1"/>
  <c r="E26" i="1" s="1"/>
  <c r="E25" i="1" a="1"/>
  <c r="E25" i="1" s="1"/>
  <c r="E24" i="1" a="1"/>
  <c r="E24" i="1" s="1"/>
  <c r="I233" i="1"/>
  <c r="I231" i="1"/>
  <c r="I230" i="1"/>
  <c r="I227" i="1"/>
  <c r="I226" i="1"/>
  <c r="I225" i="1"/>
  <c r="I212" i="1"/>
  <c r="I213" i="1"/>
  <c r="I214" i="1"/>
  <c r="I215" i="1"/>
  <c r="I216" i="1"/>
  <c r="I217" i="1"/>
  <c r="I218" i="1"/>
  <c r="I219" i="1"/>
  <c r="I220" i="1"/>
  <c r="I221" i="1"/>
  <c r="I222" i="1"/>
  <c r="I199" i="1"/>
  <c r="I200" i="1"/>
  <c r="I201" i="1"/>
  <c r="I202" i="1"/>
  <c r="I203" i="1"/>
  <c r="I204" i="1"/>
  <c r="I205" i="1"/>
  <c r="I206" i="1"/>
  <c r="I207" i="1"/>
  <c r="I208" i="1"/>
  <c r="I209" i="1"/>
  <c r="I186" i="1"/>
  <c r="I187" i="1"/>
  <c r="I188" i="1"/>
  <c r="I189" i="1"/>
  <c r="I190" i="1"/>
  <c r="I191" i="1"/>
  <c r="I192" i="1"/>
  <c r="I193" i="1"/>
  <c r="I194" i="1"/>
  <c r="I195" i="1"/>
  <c r="I196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60" i="1"/>
  <c r="I161" i="1"/>
  <c r="I162" i="1"/>
  <c r="I163" i="1"/>
  <c r="I164" i="1"/>
  <c r="I165" i="1"/>
  <c r="I166" i="1"/>
  <c r="I167" i="1"/>
  <c r="I168" i="1"/>
  <c r="I169" i="1"/>
  <c r="C135" i="1"/>
  <c r="C136" i="1" s="1"/>
  <c r="C137" i="1" s="1"/>
  <c r="I131" i="1"/>
  <c r="H131" i="1"/>
  <c r="F131" i="1"/>
  <c r="E131" i="1"/>
  <c r="L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L81" i="1"/>
  <c r="L80" i="1"/>
  <c r="L79" i="1"/>
  <c r="L78" i="1"/>
  <c r="L77" i="1"/>
  <c r="L76" i="1"/>
  <c r="L75" i="1"/>
  <c r="I75" i="1"/>
  <c r="I123" i="1" s="1"/>
  <c r="H75" i="1"/>
  <c r="H123" i="1" s="1"/>
  <c r="F75" i="1"/>
  <c r="F123" i="1" s="1"/>
  <c r="E75" i="1"/>
  <c r="J75" i="1" s="1"/>
  <c r="L70" i="1"/>
  <c r="L68" i="1"/>
  <c r="I68" i="1"/>
  <c r="H68" i="1"/>
  <c r="F68" i="1"/>
  <c r="E68" i="1"/>
  <c r="L67" i="1"/>
  <c r="I67" i="1"/>
  <c r="I80" i="1" s="1"/>
  <c r="H67" i="1"/>
  <c r="H80" i="1" s="1"/>
  <c r="F67" i="1"/>
  <c r="F80" i="1" s="1"/>
  <c r="E67" i="1"/>
  <c r="E80" i="1" s="1"/>
  <c r="L66" i="1"/>
  <c r="I66" i="1"/>
  <c r="I69" i="1" s="1"/>
  <c r="H66" i="1"/>
  <c r="H69" i="1" s="1"/>
  <c r="F66" i="1"/>
  <c r="E66" i="1"/>
  <c r="L65" i="1"/>
  <c r="L64" i="1"/>
  <c r="L63" i="1"/>
  <c r="I63" i="1"/>
  <c r="H63" i="1"/>
  <c r="H76" i="1" s="1"/>
  <c r="F63" i="1"/>
  <c r="F76" i="1" s="1"/>
  <c r="E63" i="1"/>
  <c r="E76" i="1" s="1"/>
  <c r="I21" i="1"/>
  <c r="I22" i="1" s="1"/>
  <c r="H21" i="1"/>
  <c r="H22" i="1" s="1"/>
  <c r="F21" i="1"/>
  <c r="F22" i="1" s="1"/>
  <c r="E21" i="1"/>
  <c r="E22" i="1" s="1"/>
  <c r="I20" i="1"/>
  <c r="H20" i="1"/>
  <c r="F20" i="1"/>
  <c r="E20" i="1"/>
  <c r="B2" i="1"/>
  <c r="G63" i="1" l="1"/>
  <c r="G67" i="1"/>
  <c r="J68" i="1"/>
  <c r="G66" i="1"/>
  <c r="J66" i="1" s="1"/>
  <c r="E69" i="1"/>
  <c r="J63" i="1"/>
  <c r="J67" i="1"/>
  <c r="F64" i="1"/>
  <c r="G64" i="1" s="1"/>
  <c r="H70" i="1"/>
  <c r="H81" i="1" s="1"/>
  <c r="J80" i="1"/>
  <c r="E65" i="1"/>
  <c r="E78" i="1" s="1"/>
  <c r="I34" i="1"/>
  <c r="I122" i="1" s="1"/>
  <c r="H34" i="1"/>
  <c r="H122" i="1" s="1"/>
  <c r="F34" i="1"/>
  <c r="F122" i="1" s="1"/>
  <c r="E34" i="1"/>
  <c r="E122" i="1" s="1"/>
  <c r="E64" i="1"/>
  <c r="E77" i="1" s="1"/>
  <c r="F118" i="1"/>
  <c r="F119" i="1" s="1"/>
  <c r="F125" i="1" s="1"/>
  <c r="E118" i="1"/>
  <c r="I105" i="1" s="1"/>
  <c r="E123" i="1"/>
  <c r="J123" i="1" s="1"/>
  <c r="I76" i="1"/>
  <c r="J76" i="1" s="1"/>
  <c r="I70" i="1"/>
  <c r="I113" i="1"/>
  <c r="F69" i="1"/>
  <c r="F70" i="1" s="1"/>
  <c r="F79" i="1"/>
  <c r="C138" i="1"/>
  <c r="H65" i="1"/>
  <c r="H78" i="1" s="1"/>
  <c r="H128" i="1" s="1"/>
  <c r="H64" i="1"/>
  <c r="F65" i="1"/>
  <c r="I65" i="1"/>
  <c r="I64" i="1"/>
  <c r="E79" i="1"/>
  <c r="H79" i="1"/>
  <c r="I79" i="1"/>
  <c r="H72" i="1" l="1"/>
  <c r="G69" i="1"/>
  <c r="J69" i="1"/>
  <c r="I111" i="1"/>
  <c r="H107" i="1"/>
  <c r="H86" i="1"/>
  <c r="H110" i="1"/>
  <c r="I107" i="1"/>
  <c r="H101" i="1"/>
  <c r="I117" i="1"/>
  <c r="J117" i="1" s="1"/>
  <c r="E119" i="1"/>
  <c r="E125" i="1" s="1"/>
  <c r="I95" i="1"/>
  <c r="I116" i="1"/>
  <c r="H88" i="1"/>
  <c r="I115" i="1"/>
  <c r="I103" i="1"/>
  <c r="I108" i="1"/>
  <c r="I112" i="1"/>
  <c r="J112" i="1" s="1"/>
  <c r="I90" i="1"/>
  <c r="H117" i="1"/>
  <c r="H89" i="1"/>
  <c r="H103" i="1"/>
  <c r="J103" i="1" s="1"/>
  <c r="I110" i="1"/>
  <c r="J110" i="1" s="1"/>
  <c r="H90" i="1"/>
  <c r="H130" i="1"/>
  <c r="H111" i="1"/>
  <c r="I93" i="1"/>
  <c r="H116" i="1"/>
  <c r="J116" i="1" s="1"/>
  <c r="I102" i="1"/>
  <c r="I104" i="1"/>
  <c r="H96" i="1"/>
  <c r="H106" i="1"/>
  <c r="H97" i="1"/>
  <c r="J97" i="1" s="1"/>
  <c r="H92" i="1"/>
  <c r="H118" i="1"/>
  <c r="H94" i="1"/>
  <c r="I94" i="1"/>
  <c r="H109" i="1"/>
  <c r="H104" i="1"/>
  <c r="H95" i="1"/>
  <c r="I86" i="1"/>
  <c r="I100" i="1"/>
  <c r="H114" i="1"/>
  <c r="H137" i="1" s="1"/>
  <c r="H87" i="1"/>
  <c r="J87" i="1" s="1"/>
  <c r="H99" i="1"/>
  <c r="H113" i="1"/>
  <c r="J113" i="1" s="1"/>
  <c r="I88" i="1"/>
  <c r="J88" i="1" s="1"/>
  <c r="H102" i="1"/>
  <c r="I87" i="1"/>
  <c r="H112" i="1"/>
  <c r="I97" i="1"/>
  <c r="I96" i="1"/>
  <c r="F77" i="1"/>
  <c r="J64" i="1"/>
  <c r="F78" i="1"/>
  <c r="F128" i="1" s="1"/>
  <c r="G65" i="1"/>
  <c r="J65" i="1" s="1"/>
  <c r="I78" i="1"/>
  <c r="I128" i="1" s="1"/>
  <c r="H91" i="1"/>
  <c r="J91" i="1" s="1"/>
  <c r="I114" i="1"/>
  <c r="I92" i="1"/>
  <c r="I99" i="1"/>
  <c r="I101" i="1"/>
  <c r="I98" i="1"/>
  <c r="J98" i="1" s="1"/>
  <c r="H108" i="1"/>
  <c r="J108" i="1" s="1"/>
  <c r="I118" i="1"/>
  <c r="H115" i="1"/>
  <c r="J115" i="1" s="1"/>
  <c r="H100" i="1"/>
  <c r="J100" i="1" s="1"/>
  <c r="I109" i="1"/>
  <c r="J109" i="1" s="1"/>
  <c r="H105" i="1"/>
  <c r="J105" i="1" s="1"/>
  <c r="H93" i="1"/>
  <c r="J93" i="1" s="1"/>
  <c r="I89" i="1"/>
  <c r="H98" i="1"/>
  <c r="I106" i="1"/>
  <c r="I91" i="1"/>
  <c r="I138" i="1" s="1"/>
  <c r="E129" i="1"/>
  <c r="I81" i="1"/>
  <c r="I136" i="1" s="1"/>
  <c r="I72" i="1"/>
  <c r="I130" i="1" s="1"/>
  <c r="J95" i="1"/>
  <c r="I135" i="1"/>
  <c r="J79" i="1"/>
  <c r="E128" i="1"/>
  <c r="E82" i="1"/>
  <c r="F71" i="1"/>
  <c r="F81" i="1"/>
  <c r="F83" i="1" s="1"/>
  <c r="F124" i="1" s="1"/>
  <c r="F126" i="1" s="1"/>
  <c r="F72" i="1"/>
  <c r="F130" i="1" s="1"/>
  <c r="C139" i="1"/>
  <c r="I137" i="1"/>
  <c r="I83" i="1"/>
  <c r="I124" i="1" s="1"/>
  <c r="H83" i="1"/>
  <c r="H124" i="1" s="1"/>
  <c r="E70" i="1"/>
  <c r="G70" i="1" s="1"/>
  <c r="H71" i="1"/>
  <c r="H129" i="1" s="1"/>
  <c r="H77" i="1"/>
  <c r="H82" i="1" s="1"/>
  <c r="H127" i="1" s="1"/>
  <c r="I71" i="1"/>
  <c r="I77" i="1"/>
  <c r="J96" i="1" l="1"/>
  <c r="J106" i="1"/>
  <c r="J102" i="1"/>
  <c r="J90" i="1"/>
  <c r="H119" i="1"/>
  <c r="H125" i="1" s="1"/>
  <c r="J125" i="1" s="1"/>
  <c r="J118" i="1"/>
  <c r="J104" i="1"/>
  <c r="J70" i="1"/>
  <c r="J111" i="1"/>
  <c r="H135" i="1"/>
  <c r="H136" i="1"/>
  <c r="H134" i="1"/>
  <c r="J94" i="1"/>
  <c r="I134" i="1"/>
  <c r="J99" i="1"/>
  <c r="J101" i="1"/>
  <c r="J92" i="1"/>
  <c r="J86" i="1"/>
  <c r="H138" i="1"/>
  <c r="J114" i="1"/>
  <c r="J107" i="1"/>
  <c r="J89" i="1"/>
  <c r="J128" i="1"/>
  <c r="F82" i="1"/>
  <c r="F127" i="1" s="1"/>
  <c r="F129" i="1"/>
  <c r="G71" i="1"/>
  <c r="J71" i="1" s="1"/>
  <c r="I82" i="1"/>
  <c r="I127" i="1" s="1"/>
  <c r="I129" i="1"/>
  <c r="J78" i="1"/>
  <c r="I119" i="1"/>
  <c r="I125" i="1" s="1"/>
  <c r="I126" i="1" s="1"/>
  <c r="M135" i="1"/>
  <c r="M136" i="1"/>
  <c r="J77" i="1"/>
  <c r="F134" i="1"/>
  <c r="M134" i="1"/>
  <c r="M137" i="1"/>
  <c r="M138" i="1"/>
  <c r="E81" i="1"/>
  <c r="G72" i="1"/>
  <c r="H126" i="1"/>
  <c r="C140" i="1"/>
  <c r="M139" i="1"/>
  <c r="F139" i="1"/>
  <c r="I139" i="1"/>
  <c r="H139" i="1"/>
  <c r="E127" i="1"/>
  <c r="F135" i="1"/>
  <c r="F138" i="1"/>
  <c r="F137" i="1"/>
  <c r="F136" i="1"/>
  <c r="E139" i="1" l="1"/>
  <c r="J139" i="1" s="1"/>
  <c r="J72" i="1"/>
  <c r="J119" i="1"/>
  <c r="J129" i="1"/>
  <c r="J127" i="1"/>
  <c r="J82" i="1"/>
  <c r="E140" i="1"/>
  <c r="M140" i="1"/>
  <c r="C141" i="1"/>
  <c r="I140" i="1"/>
  <c r="H140" i="1"/>
  <c r="F140" i="1"/>
  <c r="E130" i="1"/>
  <c r="J130" i="1" s="1"/>
  <c r="J81" i="1"/>
  <c r="E138" i="1"/>
  <c r="J138" i="1" s="1"/>
  <c r="E135" i="1"/>
  <c r="J135" i="1" s="1"/>
  <c r="E83" i="1"/>
  <c r="E136" i="1"/>
  <c r="J136" i="1" s="1"/>
  <c r="E137" i="1"/>
  <c r="J137" i="1" s="1"/>
  <c r="E134" i="1"/>
  <c r="J140" i="1" l="1"/>
  <c r="E124" i="1"/>
  <c r="J83" i="1"/>
  <c r="J134" i="1"/>
  <c r="L134" i="1" s="1"/>
  <c r="L135" i="1" s="1"/>
  <c r="L136" i="1" s="1"/>
  <c r="L137" i="1" s="1"/>
  <c r="L138" i="1" s="1"/>
  <c r="L139" i="1" s="1"/>
  <c r="I141" i="1"/>
  <c r="C142" i="1"/>
  <c r="M141" i="1"/>
  <c r="E141" i="1"/>
  <c r="H141" i="1"/>
  <c r="F141" i="1"/>
  <c r="J124" i="1" l="1"/>
  <c r="E126" i="1"/>
  <c r="J126" i="1" s="1"/>
  <c r="L140" i="1"/>
  <c r="J141" i="1"/>
  <c r="C143" i="1"/>
  <c r="M142" i="1"/>
  <c r="I142" i="1"/>
  <c r="H142" i="1"/>
  <c r="F142" i="1"/>
  <c r="E142" i="1"/>
  <c r="J142" i="1" l="1"/>
  <c r="L141" i="1"/>
  <c r="L142" i="1" s="1"/>
  <c r="E143" i="1"/>
  <c r="I143" i="1"/>
  <c r="M143" i="1"/>
  <c r="C144" i="1"/>
  <c r="F143" i="1"/>
  <c r="H143" i="1"/>
  <c r="I144" i="1" l="1"/>
  <c r="C145" i="1"/>
  <c r="M144" i="1"/>
  <c r="E144" i="1"/>
  <c r="F144" i="1"/>
  <c r="H144" i="1"/>
  <c r="J143" i="1"/>
  <c r="L143" i="1" s="1"/>
  <c r="J144" i="1" l="1"/>
  <c r="L144" i="1" s="1"/>
  <c r="C146" i="1"/>
  <c r="M145" i="1"/>
  <c r="H145" i="1"/>
  <c r="F145" i="1"/>
  <c r="E145" i="1"/>
  <c r="I145" i="1"/>
  <c r="J145" i="1" l="1"/>
  <c r="L145" i="1" s="1"/>
  <c r="E146" i="1"/>
  <c r="I146" i="1"/>
  <c r="C147" i="1"/>
  <c r="M146" i="1"/>
  <c r="H146" i="1"/>
  <c r="F146" i="1"/>
  <c r="I147" i="1" l="1"/>
  <c r="C148" i="1"/>
  <c r="M147" i="1"/>
  <c r="E147" i="1"/>
  <c r="F147" i="1"/>
  <c r="H147" i="1"/>
  <c r="J146" i="1"/>
  <c r="L146" i="1" s="1"/>
  <c r="J147" i="1" l="1"/>
  <c r="L147" i="1" s="1"/>
  <c r="C149" i="1"/>
  <c r="M148" i="1"/>
  <c r="I148" i="1"/>
  <c r="H148" i="1"/>
  <c r="F148" i="1"/>
  <c r="E148" i="1"/>
  <c r="J148" i="1" l="1"/>
  <c r="L148" i="1" s="1"/>
  <c r="E149" i="1"/>
  <c r="I149" i="1"/>
  <c r="M149" i="1"/>
  <c r="C150" i="1"/>
  <c r="H149" i="1"/>
  <c r="F149" i="1"/>
  <c r="I150" i="1" l="1"/>
  <c r="C151" i="1"/>
  <c r="M150" i="1"/>
  <c r="E150" i="1"/>
  <c r="F150" i="1"/>
  <c r="H150" i="1"/>
  <c r="J149" i="1"/>
  <c r="L149" i="1" s="1"/>
  <c r="J150" i="1" l="1"/>
  <c r="L150" i="1" s="1"/>
  <c r="C152" i="1"/>
  <c r="M151" i="1"/>
  <c r="H151" i="1"/>
  <c r="F151" i="1"/>
  <c r="I151" i="1"/>
  <c r="E151" i="1"/>
  <c r="J151" i="1" l="1"/>
  <c r="L151" i="1" s="1"/>
  <c r="E152" i="1"/>
  <c r="M152" i="1"/>
  <c r="I152" i="1"/>
  <c r="C153" i="1"/>
  <c r="H152" i="1"/>
  <c r="F152" i="1"/>
  <c r="J152" i="1" l="1"/>
  <c r="L152" i="1" s="1"/>
  <c r="C154" i="1"/>
  <c r="M153" i="1"/>
  <c r="H153" i="1"/>
  <c r="E153" i="1"/>
  <c r="I153" i="1"/>
  <c r="F153" i="1"/>
  <c r="J153" i="1" l="1"/>
  <c r="L153" i="1" s="1"/>
  <c r="M154" i="1"/>
  <c r="H154" i="1"/>
  <c r="H155" i="1" s="1"/>
  <c r="H156" i="1" s="1"/>
  <c r="F154" i="1"/>
  <c r="F155" i="1" s="1"/>
  <c r="F156" i="1" s="1"/>
  <c r="I154" i="1"/>
  <c r="I155" i="1" s="1"/>
  <c r="I156" i="1" s="1"/>
  <c r="E154" i="1"/>
  <c r="J154" i="1" l="1"/>
  <c r="L154" i="1" s="1"/>
  <c r="E155" i="1"/>
  <c r="E156" i="1" l="1"/>
  <c r="J1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tc={308DFC54-B95C-452B-BFE5-5A3E1D64498A}</author>
  </authors>
  <commentList>
    <comment ref="C158" authorId="0" shapeId="0" xr:uid="{308DFC54-B95C-452B-BFE5-5A3E1D64498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Kapacitas_palyazati_kiiras_2026 (3).pdf, uploaded 2026-10-19 – 4. melléklet (Kiértékelő táblázat, pontszámítás), pp. 36–41. Note: ÖSZ-4 table leaves x = 50 % undefined (40 ≤ x &lt; 50 → 90, 50 &lt; x → 100); modelled as 90 like ÖSZ-3.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<sst xmlns="http://schemas.openxmlformats.org/spreadsheetml/2006/main" count="452" uniqueCount="163">
  <si>
    <t>Bora, Iváncsa, Dunaújváros</t>
  </si>
  <si>
    <t>Bid strategy – 40 % overbuild</t>
  </si>
  <si>
    <t>x</t>
  </si>
  <si>
    <t>The bid: commitments and points</t>
  </si>
  <si>
    <t>BORA 1</t>
  </si>
  <si>
    <t>BORA 2</t>
  </si>
  <si>
    <t>Iváncsa</t>
  </si>
  <si>
    <t>Dunaújváros</t>
  </si>
  <si>
    <t>Net connection capacity</t>
  </si>
  <si>
    <t>MVA</t>
  </si>
  <si>
    <t>Overbuild (ÖSZ-3)</t>
  </si>
  <si>
    <t>%</t>
  </si>
  <si>
    <t>BESS power, share of MVA (ÖSZ-4)</t>
  </si>
  <si>
    <t>BESS duration</t>
  </si>
  <si>
    <t>h</t>
  </si>
  <si>
    <t>Municipal one-off (ÖSZ-1)</t>
  </si>
  <si>
    <t>EUR k/MW</t>
  </si>
  <si>
    <t>Community contribution (ÖSZ-2)</t>
  </si>
  <si>
    <t>EUR/MWh</t>
  </si>
  <si>
    <t>Partial award accepted (ÖSZ-5)</t>
  </si>
  <si>
    <t>flag</t>
  </si>
  <si>
    <t>Performance security multiple (ÖSZ-6)</t>
  </si>
  <si>
    <t>Brownfield site (ÖSZ-7)</t>
  </si>
  <si>
    <t>Shared connection (ÖSZ-8)</t>
  </si>
  <si>
    <t>EU turbines ≥ 80 % (ÖSZ-9)</t>
  </si>
  <si>
    <t>EU transformers ≥ 80 % (ÖSZ-9)</t>
  </si>
  <si>
    <t>Wind committed</t>
  </si>
  <si>
    <t>MW</t>
  </si>
  <si>
    <t>BESS power</t>
  </si>
  <si>
    <t>BESS energy</t>
  </si>
  <si>
    <t>MWh</t>
  </si>
  <si>
    <t>Points – municipal one-off</t>
  </si>
  <si>
    <t>points</t>
  </si>
  <si>
    <t>Points – community contribution</t>
  </si>
  <si>
    <t>Points – overbuild</t>
  </si>
  <si>
    <t>Points – BESS</t>
  </si>
  <si>
    <t>Points – partial award</t>
  </si>
  <si>
    <t>Points – performance security</t>
  </si>
  <si>
    <t>Points – brownfield</t>
  </si>
  <si>
    <t>Points – shared connection</t>
  </si>
  <si>
    <t>Points – EU turbines</t>
  </si>
  <si>
    <t>Points – EU transformers</t>
  </si>
  <si>
    <t>Points total, European turbine</t>
  </si>
  <si>
    <t>Key dates</t>
  </si>
  <si>
    <t>Date</t>
  </si>
  <si>
    <t>Signing fee and DD paid</t>
  </si>
  <si>
    <t>date</t>
  </si>
  <si>
    <t>Bid submission: fee paid, bid security posted</t>
  </si>
  <si>
    <t>Performance security posted (bid security released)</t>
  </si>
  <si>
    <t>TSO security paid</t>
  </si>
  <si>
    <t>Devex contingency paid</t>
  </si>
  <si>
    <t>Connection agreement (HCSSZ): fees paid</t>
  </si>
  <si>
    <t>Notice to proceed</t>
  </si>
  <si>
    <t>COD</t>
  </si>
  <si>
    <t>Performance security released</t>
  </si>
  <si>
    <t>Rates and fees</t>
  </si>
  <si>
    <t>FX rate</t>
  </si>
  <si>
    <t>HUF/EUR</t>
  </si>
  <si>
    <t>Security base: benchmark investment, wind</t>
  </si>
  <si>
    <t>HUF/MW</t>
  </si>
  <si>
    <t>Security base: benchmark investment, BESS</t>
  </si>
  <si>
    <t>HUF/MWh</t>
  </si>
  <si>
    <t>Participation fee per bid</t>
  </si>
  <si>
    <t>HUF</t>
  </si>
  <si>
    <t>Bid security, share of base</t>
  </si>
  <si>
    <t>Performance security, minimum share of base</t>
  </si>
  <si>
    <t>TSO security</t>
  </si>
  <si>
    <t>HUF/MVA</t>
  </si>
  <si>
    <t>Indirect connection fee (közvetett)</t>
  </si>
  <si>
    <t>Direct connection fee per connection point (közvetlen)</t>
  </si>
  <si>
    <t>Bank guarantee fee</t>
  </si>
  <si>
    <t>Signing fee and DD</t>
  </si>
  <si>
    <t>EUR k</t>
  </si>
  <si>
    <t>Devex incl. contingency</t>
  </si>
  <si>
    <t>Devex contingency</t>
  </si>
  <si>
    <t>Guarantees, securities and connection fees (HUF)</t>
  </si>
  <si>
    <t>Total</t>
  </si>
  <si>
    <t>Participation fee</t>
  </si>
  <si>
    <t>Bid security (guarantee)</t>
  </si>
  <si>
    <t>Performance security (guarantee)</t>
  </si>
  <si>
    <t>TSO connection-request security (cash)</t>
  </si>
  <si>
    <t>Direct connection fee</t>
  </si>
  <si>
    <t>Indirect connection fee, gross</t>
  </si>
  <si>
    <t>Less TSO security credited</t>
  </si>
  <si>
    <t>Indirect connection fee, payable</t>
  </si>
  <si>
    <t>Peak guarantee (performance security)</t>
  </si>
  <si>
    <t>Cash: fee, TSO security, connection fees</t>
  </si>
  <si>
    <t>Deposits and fees to COD (EUR k)</t>
  </si>
  <si>
    <t>TSO connection-request security</t>
  </si>
  <si>
    <t>Indirect connection fee, net of TSO security</t>
  </si>
  <si>
    <t>Guarantee fees to COD</t>
  </si>
  <si>
    <t>Deposits and fees in cash</t>
  </si>
  <si>
    <t>Devex, land and contingency to COD (EUR k)</t>
  </si>
  <si>
    <t>HUF m</t>
  </si>
  <si>
    <t>Capacity allocation process - Awarding – Land reservation fee</t>
  </si>
  <si>
    <t>Land purchase price</t>
  </si>
  <si>
    <t>Grid connection plan – Design fee</t>
  </si>
  <si>
    <t>Administrative fee</t>
  </si>
  <si>
    <t>Land contracting (additional land) – Legal fee, agent fee</t>
  </si>
  <si>
    <t>Wind measurement – Met Masts</t>
  </si>
  <si>
    <t>Design fee</t>
  </si>
  <si>
    <t>EYA</t>
  </si>
  <si>
    <t>Land reclassification – Administrative fee</t>
  </si>
  <si>
    <t>Report fee</t>
  </si>
  <si>
    <t>Zoning plan modification – Design fee</t>
  </si>
  <si>
    <t>Municipality donation – Donation</t>
  </si>
  <si>
    <t>Environmental assessment – Bird-bat monitoring</t>
  </si>
  <si>
    <t>Assessment fee</t>
  </si>
  <si>
    <t>Other project development – Geotechnical assessment fee</t>
  </si>
  <si>
    <t>Archaeological</t>
  </si>
  <si>
    <t>Topography</t>
  </si>
  <si>
    <t>Building permit - Turbines – Administrative fee</t>
  </si>
  <si>
    <t>Cable right – Administrative fee</t>
  </si>
  <si>
    <t>Compensation</t>
  </si>
  <si>
    <t>Building permit - Substation, switching station – Administrative fee</t>
  </si>
  <si>
    <t>Building permit - BESS – Administrative fee</t>
  </si>
  <si>
    <t>HEPURA permit – Administrative fee</t>
  </si>
  <si>
    <t>Legal costs</t>
  </si>
  <si>
    <t>Financial costs</t>
  </si>
  <si>
    <t>RtB – Land purchase price</t>
  </si>
  <si>
    <t>Contingency on devex and participation fee</t>
  </si>
  <si>
    <t>Devex, land and contingency</t>
  </si>
  <si>
    <t>Summary to COD</t>
  </si>
  <si>
    <t>Total cash to COD</t>
  </si>
  <si>
    <t>Peak guarantee</t>
  </si>
  <si>
    <t>Fee, TSO security and connection fees in cash</t>
  </si>
  <si>
    <t>Cash to COD by quarter (EUR k)</t>
  </si>
  <si>
    <t>Cumulative</t>
  </si>
  <si>
    <t>Guarantees</t>
  </si>
  <si>
    <t>Check: quarters vs summary</t>
  </si>
  <si>
    <t>Lower bound</t>
  </si>
  <si>
    <t>Below the first bound</t>
  </si>
  <si>
    <t>Band 1</t>
  </si>
  <si>
    <t>Band 2</t>
  </si>
  <si>
    <t>Band 3</t>
  </si>
  <si>
    <t>Band 4</t>
  </si>
  <si>
    <t>Band 5</t>
  </si>
  <si>
    <t>Band 6</t>
  </si>
  <si>
    <t>Band 7</t>
  </si>
  <si>
    <t>Band 8</t>
  </si>
  <si>
    <t>Band 9</t>
  </si>
  <si>
    <t>Band 10</t>
  </si>
  <si>
    <t>***END***</t>
  </si>
  <si>
    <t>Scoring tables (Annex 4 – Kiértékelő táblázat, pontszámítás)</t>
  </si>
  <si>
    <t>Lower bound incl.</t>
  </si>
  <si>
    <t>Score (0–100)</t>
  </si>
  <si>
    <t>Weighted points</t>
  </si>
  <si>
    <t>ÖSZ-1 – Municipal one-off contribution (EUR k/MW)</t>
  </si>
  <si>
    <t>weight</t>
  </si>
  <si>
    <t>ÖSZ-2 – Annual community contribution (EUR/MWh)</t>
  </si>
  <si>
    <t>Band 11</t>
  </si>
  <si>
    <t>ÖSZ-3 – Overbuild, wind MW over MVA (%)</t>
  </si>
  <si>
    <t>ÖSZ-4 – BESS power, share of bid capacity (%)</t>
  </si>
  <si>
    <t>ÖSZ-6 – Performance security vs minimum (x)</t>
  </si>
  <si>
    <t>Yes / no criteria (score if flag = 1)</t>
  </si>
  <si>
    <t>ÖSZ-5 – Partial award accepted</t>
  </si>
  <si>
    <t>ÖSZ-7 – Brownfield site (≥ 70 %)</t>
  </si>
  <si>
    <t>ÖSZ-8 – Shared connection point</t>
  </si>
  <si>
    <t>ÖSZ-9 – EU-manufactured equipment (≥ 80 % of cost)</t>
  </si>
  <si>
    <t>Turbine units</t>
  </si>
  <si>
    <t>Generator transformers</t>
  </si>
  <si>
    <t>Maximum achievable points</t>
  </si>
  <si>
    <r>
      <t>BORA</t>
    </r>
    <r>
      <rPr>
        <b/>
        <sz val="10"/>
        <color rgb="FFFFFFFF"/>
        <rFont val="Symbol"/>
        <family val="1"/>
        <charset val="2"/>
      </rPr>
      <t xml:space="preserve"> 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</si>
</sst>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\–"/>
    <numFmt numFmtId="165" formatCode="0.0%;\(0.0%\);\–"/>
    <numFmt numFmtId="166" formatCode="0;\-0;\–"/>
    <numFmt numFmtId="167" formatCode="0.00\x"/>
    <numFmt numFmtId="168" formatCode="#,##0.0;\(#,##0.0\);\–"/>
    <numFmt numFmtId="169" formatCode="#,##0.00;\(#,##0.00\);\–"/>
    <numFmt numFmtId="170" formatCode="dd\-mmm\-yy"/>
    <numFmt numFmtId="171" formatCode="0.0"/>
    <numFmt numFmtId="172" formatCode="0.0%"/>
    <numFmt numFmtId="173" formatCode="0.0&quot;x&quot;"/>
  </numFmts>
  <fonts count="17" x14ac:knownFonts="1">
    <font>
      <sz val="10"/>
      <color rgb="FF000000"/>
      <name val="Aptos Narrow"/>
      <charset val="1"/>
    </font>
    <font>
      <b/>
      <sz val="12"/>
      <color rgb="FFFFFFFF"/>
      <name val="Aptos Narrow"/>
      <family val="2"/>
    </font>
    <font>
      <sz val="10"/>
      <color rgb="FF0000FF"/>
      <name val="Aptos Narrow"/>
      <family val="2"/>
    </font>
    <font>
      <b/>
      <sz val="10"/>
      <color rgb="FFFFFFFF"/>
      <name val="Aptos Narrow"/>
      <family val="2"/>
    </font>
    <font>
      <b/>
      <sz val="10"/>
      <color rgb="FF000000"/>
      <name val="Aptos Narrow"/>
      <family val="2"/>
    </font>
    <font>
      <i/>
      <sz val="10"/>
      <color rgb="FF808080"/>
      <name val="Aptos Narrow"/>
      <family val="2"/>
    </font>
    <font>
      <b/>
      <sz val="16"/>
      <color rgb="FF0000FF"/>
      <name val="Aptos Narrow"/>
      <family val="2"/>
    </font>
    <font>
      <b/>
      <sz val="10"/>
      <name val="Aptos Narrow"/>
      <family val="2"/>
    </font>
    <font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10"/>
      <color rgb="FFFFFFFF"/>
      <name val="Aptos Narrow"/>
      <family val="2"/>
    </font>
    <font>
      <i/>
      <sz val="10"/>
      <color rgb="FF808080"/>
      <name val="Aptos Narrow"/>
      <family val="2"/>
    </font>
    <font>
      <b/>
      <sz val="10"/>
      <color rgb="FF000000"/>
      <name val="Aptos Narrow"/>
      <family val="2"/>
    </font>
    <font>
      <sz val="10"/>
      <color rgb="FF0000FF"/>
      <name val="Aptos Narrow"/>
      <family val="2"/>
    </font>
    <font>
      <b/>
      <sz val="10"/>
      <color rgb="FFFFFFFF"/>
      <name val="Symbol"/>
      <family val="1"/>
      <charset val="2"/>
    </font>
    <font>
      <b/>
      <sz val="10"/>
      <color rgb="FFFFFFFF"/>
      <name val="Aptos Narrow"/>
      <family val="2"/>
    </font>
    <font>
      <b/>
      <sz val="10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563C"/>
        <bgColor rgb="FF003300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63C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8" fillId="0" borderId="0">
      <alignment horizontal="right"/>
    </xf>
    <xf numFmtId="0" fontId="2" fillId="3" borderId="1">
      <alignment horizontal="right"/>
    </xf>
    <xf numFmtId="0" fontId="8" fillId="0" borderId="0"/>
    <xf numFmtId="0" fontId="3" fillId="2" borderId="0"/>
    <xf numFmtId="0" fontId="4" fillId="0" borderId="2">
      <alignment horizontal="right"/>
    </xf>
    <xf numFmtId="0" fontId="5" fillId="0" borderId="0"/>
  </cellStyleXfs>
  <cellXfs count="65">
    <xf numFmtId="0" fontId="0" fillId="0" borderId="0" xfId="0"/>
    <xf numFmtId="0" fontId="1" fillId="2" borderId="0" xfId="1"/>
    <xf numFmtId="0" fontId="6" fillId="3" borderId="1" xfId="3" applyFont="1" applyAlignment="1">
      <alignment horizontal="left"/>
    </xf>
    <xf numFmtId="0" fontId="3" fillId="2" borderId="0" xfId="5"/>
    <xf numFmtId="0" fontId="3" fillId="2" borderId="0" xfId="5" applyAlignment="1">
      <alignment horizontal="right"/>
    </xf>
    <xf numFmtId="0" fontId="8" fillId="0" borderId="0" xfId="4"/>
    <xf numFmtId="0" fontId="5" fillId="0" borderId="0" xfId="7"/>
    <xf numFmtId="164" fontId="2" fillId="3" borderId="1" xfId="3" applyNumberFormat="1">
      <alignment horizontal="right"/>
    </xf>
    <xf numFmtId="165" fontId="2" fillId="3" borderId="1" xfId="3" applyNumberFormat="1">
      <alignment horizontal="right"/>
    </xf>
    <xf numFmtId="166" fontId="2" fillId="3" borderId="1" xfId="3" applyNumberFormat="1">
      <alignment horizontal="right"/>
    </xf>
    <xf numFmtId="164" fontId="8" fillId="0" borderId="0" xfId="2" applyNumberFormat="1">
      <alignment horizontal="right"/>
    </xf>
    <xf numFmtId="168" fontId="8" fillId="0" borderId="0" xfId="2" applyNumberFormat="1">
      <alignment horizontal="right"/>
    </xf>
    <xf numFmtId="169" fontId="2" fillId="3" borderId="1" xfId="3" applyNumberFormat="1">
      <alignment horizontal="right"/>
    </xf>
    <xf numFmtId="169" fontId="8" fillId="0" borderId="0" xfId="2" applyNumberFormat="1">
      <alignment horizontal="right"/>
    </xf>
    <xf numFmtId="0" fontId="7" fillId="0" borderId="0" xfId="4" applyFont="1"/>
    <xf numFmtId="169" fontId="4" fillId="0" borderId="2" xfId="6" applyNumberFormat="1">
      <alignment horizontal="right"/>
    </xf>
    <xf numFmtId="170" fontId="2" fillId="3" borderId="1" xfId="3" applyNumberFormat="1">
      <alignment horizontal="right"/>
    </xf>
    <xf numFmtId="170" fontId="8" fillId="0" borderId="0" xfId="2" applyNumberFormat="1">
      <alignment horizontal="right"/>
    </xf>
    <xf numFmtId="164" fontId="4" fillId="0" borderId="2" xfId="6" applyNumberFormat="1">
      <alignment horizontal="right"/>
    </xf>
    <xf numFmtId="170" fontId="2" fillId="3" borderId="1" xfId="3" applyNumberFormat="1" applyAlignment="1">
      <alignment horizontal="left"/>
    </xf>
    <xf numFmtId="170" fontId="8" fillId="0" borderId="0" xfId="2" applyNumberFormat="1" applyAlignment="1">
      <alignment horizontal="left"/>
    </xf>
    <xf numFmtId="0" fontId="8" fillId="0" borderId="0" xfId="2">
      <alignment horizontal="right"/>
    </xf>
    <xf numFmtId="0" fontId="8" fillId="4" borderId="0" xfId="4" applyFill="1"/>
    <xf numFmtId="0" fontId="5" fillId="4" borderId="0" xfId="7" applyFill="1"/>
    <xf numFmtId="164" fontId="8" fillId="4" borderId="0" xfId="2" applyNumberFormat="1" applyFill="1">
      <alignment horizontal="right"/>
    </xf>
    <xf numFmtId="0" fontId="0" fillId="4" borderId="0" xfId="0" applyFill="1"/>
    <xf numFmtId="170" fontId="8" fillId="4" borderId="0" xfId="2" applyNumberFormat="1" applyFill="1">
      <alignment horizontal="right"/>
    </xf>
    <xf numFmtId="0" fontId="8" fillId="5" borderId="0" xfId="4" applyFill="1"/>
    <xf numFmtId="0" fontId="5" fillId="5" borderId="0" xfId="7" applyFill="1"/>
    <xf numFmtId="164" fontId="8" fillId="5" borderId="0" xfId="2" applyNumberFormat="1" applyFill="1">
      <alignment horizontal="right"/>
    </xf>
    <xf numFmtId="0" fontId="0" fillId="5" borderId="0" xfId="0" applyFill="1"/>
    <xf numFmtId="170" fontId="8" fillId="5" borderId="0" xfId="2" applyNumberFormat="1" applyFill="1">
      <alignment horizontal="right"/>
    </xf>
    <xf numFmtId="0" fontId="9" fillId="0" borderId="0" xfId="0" applyFont="1"/>
    <xf numFmtId="0" fontId="10" fillId="6" borderId="0" xfId="0" applyFont="1" applyFill="1"/>
    <xf numFmtId="0" fontId="10" fillId="6" borderId="0" xfId="0" applyFont="1" applyFill="1" applyAlignment="1">
      <alignment horizontal="right"/>
    </xf>
    <xf numFmtId="0" fontId="12" fillId="0" borderId="3" xfId="0" applyFont="1" applyBorder="1"/>
    <xf numFmtId="0" fontId="11" fillId="0" borderId="3" xfId="7" applyFont="1" applyBorder="1"/>
    <xf numFmtId="2" fontId="13" fillId="7" borderId="4" xfId="0" applyNumberFormat="1" applyFont="1" applyFill="1" applyBorder="1" applyAlignment="1">
      <alignment horizontal="right"/>
    </xf>
    <xf numFmtId="0" fontId="9" fillId="0" borderId="3" xfId="0" applyFont="1" applyBorder="1"/>
    <xf numFmtId="0" fontId="11" fillId="0" borderId="0" xfId="0" applyFont="1"/>
    <xf numFmtId="0" fontId="9" fillId="0" borderId="0" xfId="0" applyFont="1" applyAlignment="1">
      <alignment horizontal="right"/>
    </xf>
    <xf numFmtId="0" fontId="13" fillId="7" borderId="0" xfId="0" applyFont="1" applyFill="1" applyAlignment="1">
      <alignment horizontal="right"/>
    </xf>
    <xf numFmtId="166" fontId="9" fillId="0" borderId="0" xfId="0" applyNumberFormat="1" applyFont="1" applyAlignment="1">
      <alignment horizontal="right"/>
    </xf>
    <xf numFmtId="164" fontId="13" fillId="7" borderId="0" xfId="0" applyNumberFormat="1" applyFont="1" applyFill="1" applyAlignment="1">
      <alignment horizontal="right"/>
    </xf>
    <xf numFmtId="169" fontId="9" fillId="0" borderId="0" xfId="0" applyNumberFormat="1" applyFont="1" applyAlignment="1">
      <alignment horizontal="right"/>
    </xf>
    <xf numFmtId="166" fontId="13" fillId="7" borderId="0" xfId="0" applyNumberFormat="1" applyFont="1" applyFill="1" applyAlignment="1">
      <alignment horizontal="right"/>
    </xf>
    <xf numFmtId="0" fontId="11" fillId="0" borderId="3" xfId="0" applyFont="1" applyBorder="1"/>
    <xf numFmtId="169" fontId="12" fillId="0" borderId="3" xfId="0" applyNumberFormat="1" applyFont="1" applyBorder="1"/>
    <xf numFmtId="3" fontId="13" fillId="7" borderId="0" xfId="0" applyNumberFormat="1" applyFont="1" applyFill="1" applyAlignment="1">
      <alignment horizontal="right"/>
    </xf>
    <xf numFmtId="171" fontId="13" fillId="7" borderId="0" xfId="0" applyNumberFormat="1" applyFont="1" applyFill="1" applyAlignment="1">
      <alignment horizontal="right"/>
    </xf>
    <xf numFmtId="172" fontId="13" fillId="7" borderId="0" xfId="0" applyNumberFormat="1" applyFont="1" applyFill="1" applyAlignment="1">
      <alignment horizontal="right"/>
    </xf>
    <xf numFmtId="173" fontId="13" fillId="7" borderId="0" xfId="0" applyNumberFormat="1" applyFont="1" applyFill="1" applyAlignment="1">
      <alignment horizontal="right"/>
    </xf>
    <xf numFmtId="169" fontId="0" fillId="0" borderId="0" xfId="2" applyNumberFormat="1" applyFont="1">
      <alignment horizontal="right"/>
    </xf>
    <xf numFmtId="169" fontId="0" fillId="0" borderId="1" xfId="3" applyNumberFormat="1" applyFont="1" applyFill="1">
      <alignment horizontal="right"/>
    </xf>
    <xf numFmtId="166" fontId="2" fillId="3" borderId="5" xfId="3" applyNumberFormat="1" applyBorder="1">
      <alignment horizontal="right"/>
    </xf>
    <xf numFmtId="0" fontId="8" fillId="0" borderId="6" xfId="4" applyBorder="1"/>
    <xf numFmtId="0" fontId="5" fillId="0" borderId="6" xfId="7" applyBorder="1"/>
    <xf numFmtId="167" fontId="2" fillId="3" borderId="7" xfId="3" applyNumberFormat="1" applyBorder="1">
      <alignment horizontal="right"/>
    </xf>
    <xf numFmtId="0" fontId="15" fillId="2" borderId="0" xfId="5" applyFont="1" applyAlignment="1">
      <alignment horizontal="center"/>
    </xf>
    <xf numFmtId="164" fontId="8" fillId="0" borderId="8" xfId="2" applyNumberFormat="1" applyBorder="1">
      <alignment horizontal="right"/>
    </xf>
    <xf numFmtId="164" fontId="16" fillId="0" borderId="0" xfId="2" applyNumberFormat="1" applyFont="1">
      <alignment horizontal="right"/>
    </xf>
    <xf numFmtId="164" fontId="16" fillId="0" borderId="9" xfId="2" applyNumberFormat="1" applyFont="1" applyBorder="1">
      <alignment horizontal="right"/>
    </xf>
    <xf numFmtId="0" fontId="3" fillId="2" borderId="0" xfId="5" applyAlignment="1">
      <alignment horizontal="center"/>
    </xf>
    <xf numFmtId="164" fontId="0" fillId="0" borderId="0" xfId="0" applyNumberFormat="1"/>
    <xf numFmtId="0" fontId="8" fillId="0" borderId="0" xfId="0" applyFont="1"/>
  </cellXfs>
  <cellStyles count="8">
    <cellStyle name="fep_banner" xfId="1" xr:uid="{00000000-0005-0000-0000-000006000000}"/>
    <cellStyle name="fep_calc" xfId="2" xr:uid="{00000000-0005-0000-0000-000007000000}"/>
    <cellStyle name="fep_input" xfId="3" xr:uid="{00000000-0005-0000-0000-00000A000000}"/>
    <cellStyle name="fep_label" xfId="4" xr:uid="{00000000-0005-0000-0000-00000B000000}"/>
    <cellStyle name="fep_section" xfId="5" xr:uid="{00000000-0005-0000-0000-00000E000000}"/>
    <cellStyle name="fep_total" xfId="6" xr:uid="{00000000-0005-0000-0000-000011000000}"/>
    <cellStyle name="fep_unit" xfId="7" xr:uid="{00000000-0005-0000-0000-000012000000}"/>
    <cellStyle name="Normal" xfId="0" builtinId="0"/>
  </cellStyles>
  <dxfs count="2">
    <dxf>
      <font>
        <b/>
        <color rgb="FFFF0000"/>
      </font>
    </dxf>
    <dxf>
      <font>
        <b/>
        <color rgb="FF00B05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6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63C"/>
      <rgbColor rgb="FF00B050"/>
      <rgbColor rgb="FF003300"/>
      <rgbColor rgb="FF333300"/>
      <rgbColor rgb="FF993300"/>
      <rgbColor rgb="FF993366"/>
      <rgbColor rgb="FF333399"/>
      <rgbColor rgb="FF3C3C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ádeczki Zalán" id="{F260787B-2618-4B9C-8BBD-0E10C000D7D6}" userId="S::zalan.zadeczki@futurealgroup.com::859bb901-d59a-4d05-86af-7c7fa75f15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8" dT="2026-10-19T15:02:05.68" personId="{F260787B-2618-4B9C-8BBD-0E10C000D7D6}" id="{308DFC54-B95C-452B-BFE5-5A3E1D64498A}">
    <text>Source: Kapacitas_palyazati_kiiras_2026 (3).pdf, uploaded 2026-10-19 – 4. melléklet (Kiértékelő táblázat, pontszámítás), pp. 36–41. Note: ÖSZ-4 table leaves x = 50 % undefined (40 ≤ x &lt; 50 → 90, 50 &lt; x → 100); modelled as 90 like ÖSZ-3.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3648A8-97A4-48AE-9552-573D600363C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9ed1cb8-d195-4614-817e-cdda10b5819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235"/>
  <sheetViews>
    <sheetView showGridLines="0" tabSelected="1" zoomScaleNormal="100" workbookViewId="0">
      <pane xSplit="4" ySplit="5" topLeftCell="E25" activePane="bottomRight" state="frozen"/>
      <selection pane="topRight" activeCell="E1" sqref="E1"/>
      <selection pane="bottomLeft" activeCell="A6" sqref="A6"/>
      <selection pane="bottomRight" activeCell="G71" sqref="G71"/>
    </sheetView>
  </sheetViews>
  <sheetFormatPr defaultColWidth="8.5703125" defaultRowHeight="13.5" x14ac:dyDescent="0.25"/>
  <cols>
    <col min="1" max="1" width="3" customWidth="1"/>
    <col min="2" max="2" width="2" customWidth="1"/>
    <col min="3" max="3" width="58" customWidth="1"/>
    <col min="4" max="4" width="10" customWidth="1"/>
    <col min="5" max="9" width="15" customWidth="1"/>
    <col min="10" max="10" width="16" customWidth="1"/>
    <col min="11" max="11" width="2" customWidth="1"/>
    <col min="12" max="13" width="12" customWidth="1"/>
    <col min="14" max="15" width="10" customWidth="1"/>
    <col min="16" max="16" width="8" customWidth="1"/>
    <col min="17" max="19" width="13" hidden="1" customWidth="1"/>
  </cols>
  <sheetData>
    <row r="2" spans="1:19" ht="15.75" x14ac:dyDescent="0.25">
      <c r="A2" s="1"/>
      <c r="B2" s="1" t="str">
        <f>C3&amp;" – Bid, deposits and devex to COD"</f>
        <v>Bora, Iváncsa, Dunaújváros – Bid, deposits and devex to COD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9" ht="19.5" customHeight="1" x14ac:dyDescent="0.35">
      <c r="C3" s="2" t="s">
        <v>0</v>
      </c>
    </row>
    <row r="4" spans="1:19" x14ac:dyDescent="0.25">
      <c r="C4" t="s">
        <v>1</v>
      </c>
      <c r="Q4">
        <v>1000</v>
      </c>
      <c r="R4">
        <v>1000000</v>
      </c>
      <c r="S4">
        <v>365</v>
      </c>
    </row>
    <row r="7" spans="1:19" x14ac:dyDescent="0.25">
      <c r="A7" s="3" t="s">
        <v>2</v>
      </c>
      <c r="B7" s="3"/>
      <c r="C7" s="3" t="s">
        <v>3</v>
      </c>
      <c r="D7" s="3"/>
      <c r="E7" s="4" t="s">
        <v>4</v>
      </c>
      <c r="F7" s="4" t="s">
        <v>5</v>
      </c>
      <c r="G7" s="4"/>
      <c r="H7" s="4" t="s">
        <v>6</v>
      </c>
      <c r="I7" s="4" t="s">
        <v>7</v>
      </c>
      <c r="J7" s="3"/>
      <c r="K7" s="3"/>
      <c r="L7" s="3"/>
      <c r="M7" s="3"/>
      <c r="N7" s="3"/>
      <c r="O7" s="3"/>
    </row>
    <row r="8" spans="1:19" x14ac:dyDescent="0.25">
      <c r="C8" s="5" t="s">
        <v>8</v>
      </c>
      <c r="D8" s="6" t="s">
        <v>9</v>
      </c>
      <c r="E8" s="7">
        <v>100</v>
      </c>
      <c r="F8" s="7">
        <v>100</v>
      </c>
      <c r="G8" s="7"/>
      <c r="H8" s="7">
        <v>50</v>
      </c>
      <c r="I8" s="7">
        <v>50</v>
      </c>
    </row>
    <row r="9" spans="1:19" x14ac:dyDescent="0.25">
      <c r="C9" s="5" t="s">
        <v>10</v>
      </c>
      <c r="D9" s="6" t="s">
        <v>11</v>
      </c>
      <c r="E9" s="8">
        <v>0.4</v>
      </c>
      <c r="F9" s="8">
        <v>0.1</v>
      </c>
      <c r="G9" s="8"/>
      <c r="H9" s="8">
        <v>0.4</v>
      </c>
      <c r="I9" s="8">
        <v>0.4</v>
      </c>
    </row>
    <row r="10" spans="1:19" x14ac:dyDescent="0.25">
      <c r="C10" s="5" t="s">
        <v>12</v>
      </c>
      <c r="D10" s="6" t="s">
        <v>11</v>
      </c>
      <c r="E10" s="8">
        <v>0.51</v>
      </c>
      <c r="F10" s="8">
        <v>0</v>
      </c>
      <c r="G10" s="8"/>
      <c r="H10" s="8">
        <v>0.41</v>
      </c>
      <c r="I10" s="8">
        <v>0.41</v>
      </c>
    </row>
    <row r="11" spans="1:19" x14ac:dyDescent="0.25">
      <c r="C11" s="5" t="s">
        <v>13</v>
      </c>
      <c r="D11" s="6" t="s">
        <v>14</v>
      </c>
      <c r="E11" s="7">
        <v>4</v>
      </c>
      <c r="F11" s="7">
        <v>4</v>
      </c>
      <c r="G11" s="7"/>
      <c r="H11" s="7">
        <v>4</v>
      </c>
      <c r="I11" s="7">
        <v>4</v>
      </c>
    </row>
    <row r="12" spans="1:19" x14ac:dyDescent="0.25">
      <c r="C12" s="5" t="s">
        <v>15</v>
      </c>
      <c r="D12" s="6" t="s">
        <v>16</v>
      </c>
      <c r="E12" s="7">
        <v>50</v>
      </c>
      <c r="F12" s="7">
        <v>50</v>
      </c>
      <c r="G12" s="7"/>
      <c r="H12" s="7">
        <v>50</v>
      </c>
      <c r="I12" s="7">
        <v>50</v>
      </c>
    </row>
    <row r="13" spans="1:19" x14ac:dyDescent="0.25">
      <c r="C13" s="5" t="s">
        <v>17</v>
      </c>
      <c r="D13" s="6" t="s">
        <v>18</v>
      </c>
      <c r="E13" s="7">
        <v>3</v>
      </c>
      <c r="F13" s="7">
        <v>3</v>
      </c>
      <c r="G13" s="7"/>
      <c r="H13" s="7">
        <v>3</v>
      </c>
      <c r="I13" s="7">
        <v>3</v>
      </c>
    </row>
    <row r="14" spans="1:19" x14ac:dyDescent="0.25">
      <c r="C14" s="5" t="s">
        <v>19</v>
      </c>
      <c r="D14" s="6" t="s">
        <v>20</v>
      </c>
      <c r="E14" s="9">
        <v>1</v>
      </c>
      <c r="F14" s="9">
        <v>1</v>
      </c>
      <c r="G14" s="9"/>
      <c r="H14" s="9">
        <v>0</v>
      </c>
      <c r="I14" s="9">
        <v>0</v>
      </c>
    </row>
    <row r="15" spans="1:19" ht="14.25" thickBot="1" x14ac:dyDescent="0.3">
      <c r="C15" s="55" t="s">
        <v>21</v>
      </c>
      <c r="D15" s="56" t="s">
        <v>2</v>
      </c>
      <c r="E15" s="57">
        <v>1</v>
      </c>
      <c r="F15" s="57">
        <v>1</v>
      </c>
      <c r="G15" s="57"/>
      <c r="H15" s="57">
        <v>1</v>
      </c>
      <c r="I15" s="57">
        <v>1</v>
      </c>
    </row>
    <row r="16" spans="1:19" hidden="1" x14ac:dyDescent="0.25">
      <c r="C16" s="5" t="s">
        <v>22</v>
      </c>
      <c r="D16" s="6" t="s">
        <v>20</v>
      </c>
      <c r="E16" s="54">
        <v>0</v>
      </c>
      <c r="F16" s="54">
        <v>0</v>
      </c>
      <c r="G16" s="54"/>
      <c r="H16" s="54">
        <v>0</v>
      </c>
      <c r="I16" s="54">
        <v>0</v>
      </c>
    </row>
    <row r="17" spans="3:9" hidden="1" x14ac:dyDescent="0.25">
      <c r="C17" s="5" t="s">
        <v>23</v>
      </c>
      <c r="D17" s="6" t="s">
        <v>20</v>
      </c>
      <c r="E17" s="9">
        <v>1</v>
      </c>
      <c r="F17" s="9">
        <v>1</v>
      </c>
      <c r="G17" s="9"/>
      <c r="H17" s="9">
        <v>0</v>
      </c>
      <c r="I17" s="9">
        <v>0</v>
      </c>
    </row>
    <row r="18" spans="3:9" hidden="1" x14ac:dyDescent="0.25">
      <c r="C18" s="5" t="s">
        <v>24</v>
      </c>
      <c r="D18" s="6" t="s">
        <v>20</v>
      </c>
      <c r="E18" s="9">
        <v>1</v>
      </c>
      <c r="F18" s="9">
        <v>1</v>
      </c>
      <c r="G18" s="9"/>
      <c r="H18" s="9">
        <v>1</v>
      </c>
      <c r="I18" s="9">
        <v>1</v>
      </c>
    </row>
    <row r="19" spans="3:9" hidden="1" x14ac:dyDescent="0.25">
      <c r="C19" s="5" t="s">
        <v>25</v>
      </c>
      <c r="D19" s="6" t="s">
        <v>20</v>
      </c>
      <c r="E19" s="9">
        <v>1</v>
      </c>
      <c r="F19" s="9">
        <v>1</v>
      </c>
      <c r="G19" s="9"/>
      <c r="H19" s="9">
        <v>0</v>
      </c>
      <c r="I19" s="9">
        <v>0</v>
      </c>
    </row>
    <row r="20" spans="3:9" hidden="1" x14ac:dyDescent="0.25">
      <c r="C20" s="5" t="s">
        <v>26</v>
      </c>
      <c r="D20" s="6" t="s">
        <v>27</v>
      </c>
      <c r="E20" s="10">
        <f>E8*(1+E9)</f>
        <v>140</v>
      </c>
      <c r="F20" s="10">
        <f>F8*(1+F9)</f>
        <v>110.00000000000001</v>
      </c>
      <c r="G20" s="10"/>
      <c r="H20" s="10">
        <f>H8*(1+H9)</f>
        <v>70</v>
      </c>
      <c r="I20" s="10">
        <f>I8*(1+I9)</f>
        <v>70</v>
      </c>
    </row>
    <row r="21" spans="3:9" hidden="1" x14ac:dyDescent="0.25">
      <c r="C21" s="5" t="s">
        <v>28</v>
      </c>
      <c r="D21" s="6" t="s">
        <v>27</v>
      </c>
      <c r="E21" s="11">
        <f>E8*E10</f>
        <v>51</v>
      </c>
      <c r="F21" s="11">
        <f>F8*F10</f>
        <v>0</v>
      </c>
      <c r="G21" s="11"/>
      <c r="H21" s="11">
        <f>H8*H10</f>
        <v>20.5</v>
      </c>
      <c r="I21" s="11">
        <f>I8*I10</f>
        <v>20.5</v>
      </c>
    </row>
    <row r="22" spans="3:9" hidden="1" x14ac:dyDescent="0.25">
      <c r="C22" s="5" t="s">
        <v>29</v>
      </c>
      <c r="D22" s="6" t="s">
        <v>30</v>
      </c>
      <c r="E22" s="10">
        <f>E21*E11</f>
        <v>204</v>
      </c>
      <c r="F22" s="10">
        <f>F21*F11</f>
        <v>0</v>
      </c>
      <c r="G22" s="10"/>
      <c r="H22" s="10">
        <f>H21*H11</f>
        <v>82</v>
      </c>
      <c r="I22" s="10">
        <f>I21*I11</f>
        <v>82</v>
      </c>
    </row>
    <row r="23" spans="3:9" hidden="1" x14ac:dyDescent="0.25"/>
    <row r="24" spans="3:9" x14ac:dyDescent="0.25">
      <c r="C24" s="5" t="s">
        <v>31</v>
      </c>
      <c r="D24" s="6" t="s">
        <v>32</v>
      </c>
      <c r="E24" s="53" cm="1">
        <f t="array" ref="E24">INDEX($H$160:$H$169,1+SUMPRODUCT(($E$161:$E$169&lt;E12)+($E$161:$E$169=E12)*$F$161:$F$169))*$E$159</f>
        <v>20</v>
      </c>
      <c r="F24" s="53" cm="1">
        <f t="array" ref="F24">INDEX($H$160:$H$169,1+SUMPRODUCT(($E$161:$E$169&lt;F12)+($E$161:$E$169=F12)*$F$161:$F$169))*$E$159</f>
        <v>20</v>
      </c>
      <c r="G24" s="53"/>
      <c r="H24" s="53" cm="1">
        <f t="array" ref="H24">INDEX($H$160:$H$169,1+SUMPRODUCT(($E$161:$E$169&lt;H12)+($E$161:$E$169=H12)*$F$161:$F$169))*$E$159</f>
        <v>20</v>
      </c>
      <c r="I24" s="53" cm="1">
        <f t="array" ref="I24">INDEX($H$160:$H$169,1+SUMPRODUCT(($E$161:$E$169&lt;I12)+($E$161:$E$169=I12)*$F$161:$F$169))*$E$159</f>
        <v>20</v>
      </c>
    </row>
    <row r="25" spans="3:9" x14ac:dyDescent="0.25">
      <c r="C25" s="5" t="s">
        <v>33</v>
      </c>
      <c r="D25" s="6" t="s">
        <v>32</v>
      </c>
      <c r="E25" s="53" cm="1">
        <f t="array" ref="E25">INDEX($H$172:$H$183,1+SUMPRODUCT(($E$173:$E$183&lt;E13)+($E$173:$E$183=E13)*$F$173:$F$183))*$E$171</f>
        <v>15</v>
      </c>
      <c r="F25" s="53" cm="1">
        <f t="array" ref="F25">INDEX($H$172:$H$183,1+SUMPRODUCT(($E$173:$E$183&lt;F13)+($E$173:$E$183=F13)*$F$173:$F$183))*$E$171</f>
        <v>15</v>
      </c>
      <c r="G25" s="53"/>
      <c r="H25" s="53" cm="1">
        <f t="array" ref="H25">INDEX($H$172:$H$183,1+SUMPRODUCT(($E$173:$E$183&lt;H13)+($E$173:$E$183=H13)*$F$173:$F$183))*$E$171</f>
        <v>15</v>
      </c>
      <c r="I25" s="53" cm="1">
        <f t="array" ref="I25">INDEX($H$172:$H$183,1+SUMPRODUCT(($E$173:$E$183&lt;I13)+($E$173:$E$183=I13)*$F$173:$F$183))*$E$171</f>
        <v>15</v>
      </c>
    </row>
    <row r="26" spans="3:9" x14ac:dyDescent="0.25">
      <c r="C26" s="5" t="s">
        <v>34</v>
      </c>
      <c r="D26" s="6" t="s">
        <v>32</v>
      </c>
      <c r="E26" s="52" cm="1">
        <f t="array" ref="E26">INDEX($H$186:$H$196,1+SUMPRODUCT(($E$187:$E$196&lt;E9)+($E$187:$E$196=E9)*$F$187:$F$196))*$E$185</f>
        <v>9</v>
      </c>
      <c r="F26" s="52" cm="1">
        <f t="array" ref="F26">INDEX($H$186:$H$196,1+SUMPRODUCT(($E$187:$E$196&lt;F9)+($E$187:$E$196=F9)*$F$187:$F$196))*$E$185</f>
        <v>3</v>
      </c>
      <c r="G26" s="52"/>
      <c r="H26" s="52" cm="1">
        <f t="array" ref="H26">INDEX($H$186:$H$196,1+SUMPRODUCT(($E$187:$E$196&lt;H9)+($E$187:$E$196=H9)*$F$187:$F$196))*$E$185</f>
        <v>9</v>
      </c>
      <c r="I26" s="52" cm="1">
        <f t="array" ref="I26">INDEX($H$186:$H$196,1+SUMPRODUCT(($E$187:$E$196&lt;I9)+($E$187:$E$196=I9)*$F$187:$F$196))*$E$185</f>
        <v>9</v>
      </c>
    </row>
    <row r="27" spans="3:9" x14ac:dyDescent="0.25">
      <c r="C27" s="5" t="s">
        <v>35</v>
      </c>
      <c r="D27" s="6" t="s">
        <v>32</v>
      </c>
      <c r="E27" s="53" cm="1">
        <f t="array" ref="E27">INDEX($H$199:$H$209,1+SUMPRODUCT(($E$200:$E$209&lt;E10)+($E$200:$E$209=E10)*$F$200:$F$209))*$E$198</f>
        <v>15</v>
      </c>
      <c r="F27" s="53" cm="1">
        <f t="array" ref="F27">INDEX($H$199:$H$209,1+SUMPRODUCT(($E$200:$E$209&lt;F10)+($E$200:$E$209=F10)*$F$200:$F$209))*$E$198</f>
        <v>0</v>
      </c>
      <c r="G27" s="53"/>
      <c r="H27" s="53" cm="1">
        <f t="array" ref="H27">INDEX($H$199:$H$209,1+SUMPRODUCT(($E$200:$E$209&lt;H10)+($E$200:$E$209=H10)*$F$200:$F$209))*$E$198</f>
        <v>13.5</v>
      </c>
      <c r="I27" s="53" cm="1">
        <f t="array" ref="I27">INDEX($H$199:$H$209,1+SUMPRODUCT(($E$200:$E$209&lt;I10)+($E$200:$E$209=I10)*$F$200:$F$209))*$E$198</f>
        <v>13.5</v>
      </c>
    </row>
    <row r="28" spans="3:9" x14ac:dyDescent="0.25">
      <c r="C28" s="5" t="s">
        <v>36</v>
      </c>
      <c r="D28" s="6" t="s">
        <v>32</v>
      </c>
      <c r="E28" s="53">
        <f>E14*$H$225*$E$225</f>
        <v>5</v>
      </c>
      <c r="F28" s="53">
        <f>F14*$H$225*$E$225</f>
        <v>5</v>
      </c>
      <c r="G28" s="53"/>
      <c r="H28" s="53">
        <f>H14*$H$225*$E$225</f>
        <v>0</v>
      </c>
      <c r="I28" s="53">
        <f>I14*$H$225*$E$225</f>
        <v>0</v>
      </c>
    </row>
    <row r="29" spans="3:9" x14ac:dyDescent="0.25">
      <c r="C29" s="5" t="s">
        <v>37</v>
      </c>
      <c r="D29" s="6" t="s">
        <v>32</v>
      </c>
      <c r="E29" s="53" cm="1">
        <f t="array" ref="E29">INDEX($H$212:$H$222,1+SUMPRODUCT(($E$213:$E$222&lt;E15)+($E$213:$E$222=E15)*$F$213:$F$222))*$E$211</f>
        <v>0</v>
      </c>
      <c r="F29" s="53" cm="1">
        <f t="array" ref="F29">INDEX($H$212:$H$222,1+SUMPRODUCT(($E$213:$E$222&lt;F15)+($E$213:$E$222=F15)*$F$213:$F$222))*$E$211</f>
        <v>0</v>
      </c>
      <c r="G29" s="53"/>
      <c r="H29" s="53" cm="1">
        <f t="array" ref="H29">INDEX($H$212:$H$222,1+SUMPRODUCT(($E$213:$E$222&lt;H15)+($E$213:$E$222=H15)*$F$213:$F$222))*$E$211</f>
        <v>0</v>
      </c>
      <c r="I29" s="53" cm="1">
        <f t="array" ref="I29">INDEX($H$212:$H$222,1+SUMPRODUCT(($E$213:$E$222&lt;I15)+($E$213:$E$222=I15)*$F$213:$F$222))*$E$211</f>
        <v>0</v>
      </c>
    </row>
    <row r="30" spans="3:9" x14ac:dyDescent="0.25">
      <c r="C30" s="5" t="s">
        <v>38</v>
      </c>
      <c r="D30" s="6" t="s">
        <v>32</v>
      </c>
      <c r="E30" s="53">
        <f>E16*$H$226*$E$226</f>
        <v>0</v>
      </c>
      <c r="F30" s="53">
        <f>F16*$H$226*$E$226</f>
        <v>0</v>
      </c>
      <c r="G30" s="53"/>
      <c r="H30" s="53">
        <f>H16*$H$226*$E$226</f>
        <v>0</v>
      </c>
      <c r="I30" s="53">
        <f>I16*$H$226*$E$226</f>
        <v>0</v>
      </c>
    </row>
    <row r="31" spans="3:9" hidden="1" x14ac:dyDescent="0.25">
      <c r="C31" s="5" t="s">
        <v>39</v>
      </c>
      <c r="D31" s="6" t="s">
        <v>32</v>
      </c>
      <c r="E31" s="53">
        <f>E17*$H$227*$E$227</f>
        <v>5</v>
      </c>
      <c r="F31" s="53">
        <f>F17*$H$227*$E$227</f>
        <v>5</v>
      </c>
      <c r="G31" s="53"/>
      <c r="H31" s="53">
        <f>H17*$H$227*$E$227</f>
        <v>0</v>
      </c>
      <c r="I31" s="53">
        <f>I17*$H$227*$E$227</f>
        <v>0</v>
      </c>
    </row>
    <row r="32" spans="3:9" hidden="1" x14ac:dyDescent="0.25">
      <c r="C32" s="5" t="s">
        <v>40</v>
      </c>
      <c r="D32" s="6" t="s">
        <v>32</v>
      </c>
      <c r="E32" s="53">
        <f>E18*$H$230*$E$229</f>
        <v>12</v>
      </c>
      <c r="F32" s="53">
        <f>F18*$H$230*$E$229</f>
        <v>12</v>
      </c>
      <c r="G32" s="53"/>
      <c r="H32" s="53">
        <f>H18*$H$230*$E$229</f>
        <v>12</v>
      </c>
      <c r="I32" s="53">
        <f>I18*$H$230*$E$229</f>
        <v>12</v>
      </c>
    </row>
    <row r="33" spans="1:15" hidden="1" x14ac:dyDescent="0.25">
      <c r="C33" s="5" t="s">
        <v>41</v>
      </c>
      <c r="D33" s="6" t="s">
        <v>32</v>
      </c>
      <c r="E33" s="53">
        <f>E19*$H$231*$E$229</f>
        <v>3</v>
      </c>
      <c r="F33" s="53">
        <f>F19*$H$231*$E$229</f>
        <v>3</v>
      </c>
      <c r="G33" s="53"/>
      <c r="H33" s="53">
        <f>H19*$H$231*$E$229</f>
        <v>0</v>
      </c>
      <c r="I33" s="53">
        <f>I19*$H$231*$E$229</f>
        <v>0</v>
      </c>
    </row>
    <row r="34" spans="1:15" x14ac:dyDescent="0.25">
      <c r="C34" s="14" t="s">
        <v>42</v>
      </c>
      <c r="D34" s="6" t="s">
        <v>32</v>
      </c>
      <c r="E34" s="15">
        <f>SUM(E24:E33)</f>
        <v>84</v>
      </c>
      <c r="F34" s="15">
        <f>SUM(F24:F33)</f>
        <v>63</v>
      </c>
      <c r="G34" s="15"/>
      <c r="H34" s="15">
        <f>SUM(H24:H33)</f>
        <v>69.5</v>
      </c>
      <c r="I34" s="15">
        <f>SUM(I24:I33)</f>
        <v>69.5</v>
      </c>
    </row>
    <row r="36" spans="1:15" hidden="1" x14ac:dyDescent="0.25">
      <c r="A36" s="3" t="s">
        <v>2</v>
      </c>
      <c r="B36" s="3"/>
      <c r="C36" s="3" t="s">
        <v>43</v>
      </c>
      <c r="D36" s="3"/>
      <c r="E36" s="4" t="s">
        <v>44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idden="1" x14ac:dyDescent="0.25">
      <c r="C37" s="5" t="s">
        <v>45</v>
      </c>
      <c r="D37" s="6" t="s">
        <v>46</v>
      </c>
      <c r="E37" s="16">
        <v>46234</v>
      </c>
    </row>
    <row r="38" spans="1:15" hidden="1" x14ac:dyDescent="0.25">
      <c r="C38" s="5" t="s">
        <v>47</v>
      </c>
      <c r="D38" s="6" t="s">
        <v>46</v>
      </c>
      <c r="E38" s="16">
        <v>46325</v>
      </c>
    </row>
    <row r="39" spans="1:15" hidden="1" x14ac:dyDescent="0.25">
      <c r="C39" s="5" t="s">
        <v>48</v>
      </c>
      <c r="D39" s="6" t="s">
        <v>46</v>
      </c>
      <c r="E39" s="16">
        <v>46384</v>
      </c>
    </row>
    <row r="40" spans="1:15" hidden="1" x14ac:dyDescent="0.25">
      <c r="C40" s="5" t="s">
        <v>49</v>
      </c>
      <c r="D40" s="6" t="s">
        <v>46</v>
      </c>
      <c r="E40" s="16">
        <v>46386</v>
      </c>
    </row>
    <row r="41" spans="1:15" hidden="1" x14ac:dyDescent="0.25">
      <c r="C41" s="5" t="s">
        <v>50</v>
      </c>
      <c r="D41" s="6" t="s">
        <v>46</v>
      </c>
      <c r="E41" s="16">
        <v>47118</v>
      </c>
    </row>
    <row r="42" spans="1:15" hidden="1" x14ac:dyDescent="0.25">
      <c r="C42" s="5" t="s">
        <v>51</v>
      </c>
      <c r="D42" s="6" t="s">
        <v>46</v>
      </c>
      <c r="E42" s="16">
        <v>47126</v>
      </c>
    </row>
    <row r="43" spans="1:15" hidden="1" x14ac:dyDescent="0.25">
      <c r="C43" s="5" t="s">
        <v>52</v>
      </c>
      <c r="D43" s="6" t="s">
        <v>46</v>
      </c>
      <c r="E43" s="16">
        <v>47391</v>
      </c>
    </row>
    <row r="44" spans="1:15" hidden="1" x14ac:dyDescent="0.25">
      <c r="C44" s="5" t="s">
        <v>53</v>
      </c>
      <c r="D44" s="6" t="s">
        <v>46</v>
      </c>
      <c r="E44" s="16">
        <v>48121</v>
      </c>
    </row>
    <row r="45" spans="1:15" hidden="1" x14ac:dyDescent="0.25">
      <c r="C45" s="5" t="s">
        <v>54</v>
      </c>
      <c r="D45" s="6" t="s">
        <v>46</v>
      </c>
      <c r="E45" s="16">
        <v>48669</v>
      </c>
    </row>
    <row r="46" spans="1:15" hidden="1" x14ac:dyDescent="0.25"/>
    <row r="47" spans="1:15" hidden="1" x14ac:dyDescent="0.25">
      <c r="A47" s="3" t="s">
        <v>2</v>
      </c>
      <c r="B47" s="3"/>
      <c r="C47" s="3" t="s">
        <v>55</v>
      </c>
      <c r="D47" s="3"/>
      <c r="E47" s="4" t="s">
        <v>4</v>
      </c>
      <c r="F47" s="4" t="s">
        <v>5</v>
      </c>
      <c r="G47" s="4"/>
      <c r="H47" s="4" t="s">
        <v>6</v>
      </c>
      <c r="I47" s="4" t="s">
        <v>7</v>
      </c>
      <c r="J47" s="3"/>
      <c r="K47" s="3"/>
      <c r="L47" s="3"/>
      <c r="M47" s="3"/>
      <c r="N47" s="3"/>
      <c r="O47" s="3"/>
    </row>
    <row r="48" spans="1:15" hidden="1" x14ac:dyDescent="0.25">
      <c r="C48" s="5" t="s">
        <v>56</v>
      </c>
      <c r="D48" s="6" t="s">
        <v>57</v>
      </c>
      <c r="E48" s="7">
        <v>365</v>
      </c>
      <c r="F48" s="7">
        <v>365</v>
      </c>
      <c r="G48" s="7"/>
      <c r="H48" s="7">
        <v>365</v>
      </c>
      <c r="I48" s="7">
        <v>365</v>
      </c>
    </row>
    <row r="49" spans="1:15" hidden="1" x14ac:dyDescent="0.25">
      <c r="C49" s="5" t="s">
        <v>58</v>
      </c>
      <c r="D49" s="6" t="s">
        <v>59</v>
      </c>
      <c r="E49" s="7">
        <v>406000000</v>
      </c>
      <c r="F49" s="7">
        <v>406000000</v>
      </c>
      <c r="G49" s="7"/>
      <c r="H49" s="7">
        <v>406000000</v>
      </c>
      <c r="I49" s="7">
        <v>406000000</v>
      </c>
    </row>
    <row r="50" spans="1:15" hidden="1" x14ac:dyDescent="0.25">
      <c r="C50" s="5" t="s">
        <v>60</v>
      </c>
      <c r="D50" s="6" t="s">
        <v>61</v>
      </c>
      <c r="E50" s="7">
        <v>200000000</v>
      </c>
      <c r="F50" s="7">
        <v>200000000</v>
      </c>
      <c r="G50" s="7"/>
      <c r="H50" s="7">
        <v>200000000</v>
      </c>
      <c r="I50" s="7">
        <v>200000000</v>
      </c>
    </row>
    <row r="51" spans="1:15" hidden="1" x14ac:dyDescent="0.25">
      <c r="C51" s="5" t="s">
        <v>62</v>
      </c>
      <c r="D51" s="6" t="s">
        <v>63</v>
      </c>
      <c r="E51" s="7">
        <v>3000000</v>
      </c>
      <c r="F51" s="7">
        <v>3000000</v>
      </c>
      <c r="G51" s="7"/>
      <c r="H51" s="7">
        <v>3000000</v>
      </c>
      <c r="I51" s="7">
        <v>3000000</v>
      </c>
    </row>
    <row r="52" spans="1:15" hidden="1" x14ac:dyDescent="0.25">
      <c r="C52" s="5" t="s">
        <v>64</v>
      </c>
      <c r="D52" s="6" t="s">
        <v>11</v>
      </c>
      <c r="E52" s="8">
        <v>5.0000000000000001E-3</v>
      </c>
      <c r="F52" s="8">
        <v>5.0000000000000001E-3</v>
      </c>
      <c r="G52" s="8"/>
      <c r="H52" s="8">
        <v>5.0000000000000001E-3</v>
      </c>
      <c r="I52" s="8">
        <v>5.0000000000000001E-3</v>
      </c>
    </row>
    <row r="53" spans="1:15" hidden="1" x14ac:dyDescent="0.25">
      <c r="C53" s="5" t="s">
        <v>65</v>
      </c>
      <c r="D53" s="6" t="s">
        <v>11</v>
      </c>
      <c r="E53" s="8">
        <v>2.5000000000000001E-2</v>
      </c>
      <c r="F53" s="8">
        <v>2.5000000000000001E-2</v>
      </c>
      <c r="G53" s="8"/>
      <c r="H53" s="8">
        <v>2.5000000000000001E-2</v>
      </c>
      <c r="I53" s="8">
        <v>2.5000000000000001E-2</v>
      </c>
    </row>
    <row r="54" spans="1:15" hidden="1" x14ac:dyDescent="0.25">
      <c r="C54" s="5" t="s">
        <v>66</v>
      </c>
      <c r="D54" s="6" t="s">
        <v>67</v>
      </c>
      <c r="E54" s="7">
        <v>4500000</v>
      </c>
      <c r="F54" s="7">
        <v>4500000</v>
      </c>
      <c r="G54" s="7"/>
      <c r="H54" s="7">
        <v>4500000</v>
      </c>
      <c r="I54" s="7">
        <v>4500000</v>
      </c>
    </row>
    <row r="55" spans="1:15" hidden="1" x14ac:dyDescent="0.25">
      <c r="C55" s="5" t="s">
        <v>68</v>
      </c>
      <c r="D55" s="6" t="s">
        <v>67</v>
      </c>
      <c r="E55" s="7">
        <v>73071306</v>
      </c>
      <c r="F55" s="7">
        <v>73071306</v>
      </c>
      <c r="G55" s="7"/>
      <c r="H55" s="7">
        <v>19826680</v>
      </c>
      <c r="I55" s="7">
        <v>19826680</v>
      </c>
    </row>
    <row r="56" spans="1:15" hidden="1" x14ac:dyDescent="0.25">
      <c r="C56" s="5" t="s">
        <v>69</v>
      </c>
      <c r="D56" s="6" t="s">
        <v>63</v>
      </c>
      <c r="E56" s="7">
        <v>508345804</v>
      </c>
      <c r="F56" s="7">
        <v>508345804</v>
      </c>
      <c r="G56" s="7"/>
      <c r="H56" s="7">
        <v>460000000</v>
      </c>
      <c r="I56" s="7">
        <v>460000000</v>
      </c>
    </row>
    <row r="57" spans="1:15" hidden="1" x14ac:dyDescent="0.25">
      <c r="C57" s="5" t="s">
        <v>70</v>
      </c>
      <c r="D57" s="6" t="s">
        <v>11</v>
      </c>
      <c r="E57" s="8">
        <v>0.06</v>
      </c>
      <c r="F57" s="8">
        <v>0.06</v>
      </c>
      <c r="G57" s="8"/>
      <c r="H57" s="8">
        <v>0.06</v>
      </c>
      <c r="I57" s="8">
        <v>0.06</v>
      </c>
    </row>
    <row r="58" spans="1:15" hidden="1" x14ac:dyDescent="0.25">
      <c r="C58" s="5" t="s">
        <v>71</v>
      </c>
      <c r="D58" s="6" t="s">
        <v>72</v>
      </c>
      <c r="E58" s="7">
        <v>400</v>
      </c>
      <c r="F58" s="7">
        <v>400</v>
      </c>
      <c r="G58" s="7"/>
      <c r="H58" s="7">
        <v>150</v>
      </c>
      <c r="I58" s="7">
        <v>150</v>
      </c>
    </row>
    <row r="59" spans="1:15" hidden="1" x14ac:dyDescent="0.25">
      <c r="C59" s="5" t="s">
        <v>73</v>
      </c>
      <c r="D59" s="6" t="s">
        <v>72</v>
      </c>
      <c r="H59" s="7">
        <v>500</v>
      </c>
      <c r="I59" s="7">
        <v>500</v>
      </c>
    </row>
    <row r="60" spans="1:15" hidden="1" x14ac:dyDescent="0.25">
      <c r="C60" s="5" t="s">
        <v>74</v>
      </c>
      <c r="D60" s="6" t="s">
        <v>11</v>
      </c>
      <c r="E60" s="8">
        <v>0.1</v>
      </c>
      <c r="F60" s="8">
        <v>0.1</v>
      </c>
      <c r="G60" s="8"/>
    </row>
    <row r="61" spans="1:15" hidden="1" x14ac:dyDescent="0.25"/>
    <row r="62" spans="1:15" x14ac:dyDescent="0.25">
      <c r="A62" s="3" t="s">
        <v>2</v>
      </c>
      <c r="B62" s="3"/>
      <c r="C62" s="3" t="s">
        <v>75</v>
      </c>
      <c r="D62" s="3"/>
      <c r="E62" s="4" t="s">
        <v>4</v>
      </c>
      <c r="F62" s="4" t="s">
        <v>5</v>
      </c>
      <c r="G62" s="58" t="s">
        <v>162</v>
      </c>
      <c r="H62" s="62" t="s">
        <v>6</v>
      </c>
      <c r="I62" s="62" t="s">
        <v>7</v>
      </c>
      <c r="J62" s="62" t="s">
        <v>76</v>
      </c>
      <c r="K62" s="3"/>
      <c r="L62" s="4" t="s">
        <v>44</v>
      </c>
      <c r="M62" s="3"/>
      <c r="N62" s="3"/>
      <c r="O62" s="3"/>
    </row>
    <row r="63" spans="1:15" x14ac:dyDescent="0.25">
      <c r="C63" s="5" t="s">
        <v>77</v>
      </c>
      <c r="D63" s="6" t="s">
        <v>63</v>
      </c>
      <c r="E63" s="10">
        <f>$E$51</f>
        <v>3000000</v>
      </c>
      <c r="F63" s="10">
        <f>$F$51</f>
        <v>3000000</v>
      </c>
      <c r="G63" s="10">
        <f t="shared" ref="G63:G72" si="0">+E63+F63</f>
        <v>6000000</v>
      </c>
      <c r="H63" s="10">
        <f>$H$51</f>
        <v>3000000</v>
      </c>
      <c r="I63" s="10">
        <f>$I$51</f>
        <v>3000000</v>
      </c>
      <c r="J63" s="10">
        <f t="shared" ref="J63:J72" si="1">SUM(E63:I63)-G63</f>
        <v>12000000</v>
      </c>
      <c r="L63" s="17">
        <f>$E$38</f>
        <v>46325</v>
      </c>
    </row>
    <row r="64" spans="1:15" x14ac:dyDescent="0.25">
      <c r="C64" s="22" t="s">
        <v>78</v>
      </c>
      <c r="D64" s="23" t="s">
        <v>63</v>
      </c>
      <c r="E64" s="24">
        <f>$E$52*($E$20*$E$49+$E$22*$E$50)</f>
        <v>488200000</v>
      </c>
      <c r="F64" s="24">
        <f>$F$52*($F$20*$F$49+$F$22*$F$50)</f>
        <v>223300000.00000003</v>
      </c>
      <c r="G64" s="24">
        <f t="shared" si="0"/>
        <v>711500000</v>
      </c>
      <c r="H64" s="24">
        <f>$H$52*($H$20*$H$49+$H$22*$H$50)</f>
        <v>224100000</v>
      </c>
      <c r="I64" s="24">
        <f>$I$52*($I$20*$I$49+$I$22*$I$50)</f>
        <v>224100000</v>
      </c>
      <c r="J64" s="24">
        <f t="shared" si="1"/>
        <v>1159700000</v>
      </c>
      <c r="K64" s="25"/>
      <c r="L64" s="26">
        <f>$E$38</f>
        <v>46325</v>
      </c>
    </row>
    <row r="65" spans="1:15" x14ac:dyDescent="0.25">
      <c r="C65" s="27" t="s">
        <v>79</v>
      </c>
      <c r="D65" s="28" t="s">
        <v>63</v>
      </c>
      <c r="E65" s="29">
        <f>$E$53*$E$15*($E$20*$E$49+$E$22*$E$50)</f>
        <v>2441000000</v>
      </c>
      <c r="F65" s="29">
        <f>$F$53*$F$15*($F$20*$F$49+$F$22*$F$50)</f>
        <v>1116500000.0000002</v>
      </c>
      <c r="G65" s="29">
        <f t="shared" si="0"/>
        <v>3557500000</v>
      </c>
      <c r="H65" s="29">
        <f>$H$53*$H$15*($H$20*$H$49+$H$22*$H$50)</f>
        <v>1120500000</v>
      </c>
      <c r="I65" s="29">
        <f>$I$53*$I$15*($I$20*$I$49+$I$22*$I$50)</f>
        <v>1120500000</v>
      </c>
      <c r="J65" s="29">
        <f t="shared" si="1"/>
        <v>5798500000</v>
      </c>
      <c r="K65" s="30"/>
      <c r="L65" s="31">
        <f>$E$39</f>
        <v>46384</v>
      </c>
    </row>
    <row r="66" spans="1:15" x14ac:dyDescent="0.25">
      <c r="C66" s="5" t="s">
        <v>80</v>
      </c>
      <c r="D66" s="6" t="s">
        <v>63</v>
      </c>
      <c r="E66" s="10">
        <f>$E$54*$E$8</f>
        <v>450000000</v>
      </c>
      <c r="F66" s="10">
        <f>$F$54*$F$8</f>
        <v>450000000</v>
      </c>
      <c r="G66" s="10">
        <f t="shared" si="0"/>
        <v>900000000</v>
      </c>
      <c r="H66" s="10">
        <f>$H$54*$H$8</f>
        <v>225000000</v>
      </c>
      <c r="I66" s="10">
        <f>$I$54*$I$8</f>
        <v>225000000</v>
      </c>
      <c r="J66" s="10">
        <f t="shared" si="1"/>
        <v>1350000000</v>
      </c>
      <c r="L66" s="17">
        <f>$E$40</f>
        <v>46386</v>
      </c>
    </row>
    <row r="67" spans="1:15" x14ac:dyDescent="0.25">
      <c r="C67" s="5" t="s">
        <v>81</v>
      </c>
      <c r="D67" s="6" t="s">
        <v>63</v>
      </c>
      <c r="E67" s="10">
        <f>$E$56</f>
        <v>508345804</v>
      </c>
      <c r="F67" s="10">
        <f>$F$56</f>
        <v>508345804</v>
      </c>
      <c r="G67" s="10">
        <f t="shared" si="0"/>
        <v>1016691608</v>
      </c>
      <c r="H67" s="10">
        <f>$H$56</f>
        <v>460000000</v>
      </c>
      <c r="I67" s="10">
        <f>$I$56</f>
        <v>460000000</v>
      </c>
      <c r="J67" s="10">
        <f t="shared" si="1"/>
        <v>1936691608</v>
      </c>
      <c r="L67" s="17">
        <f>$E$42</f>
        <v>47126</v>
      </c>
    </row>
    <row r="68" spans="1:15" x14ac:dyDescent="0.25">
      <c r="C68" s="5" t="s">
        <v>82</v>
      </c>
      <c r="D68" s="6" t="s">
        <v>63</v>
      </c>
      <c r="E68" s="10">
        <f>$E$55*$E$8</f>
        <v>7307130600</v>
      </c>
      <c r="F68" s="10">
        <f>$F$55*$F$8</f>
        <v>7307130600</v>
      </c>
      <c r="G68" s="10">
        <f t="shared" si="0"/>
        <v>14614261200</v>
      </c>
      <c r="H68" s="10">
        <f>$H$55*$H$8</f>
        <v>991334000</v>
      </c>
      <c r="I68" s="10">
        <f>$I$55*$I$8</f>
        <v>991334000</v>
      </c>
      <c r="J68" s="10">
        <f t="shared" si="1"/>
        <v>16596929200</v>
      </c>
      <c r="L68" s="17">
        <f>$E$42</f>
        <v>47126</v>
      </c>
    </row>
    <row r="69" spans="1:15" x14ac:dyDescent="0.25">
      <c r="C69" s="5" t="s">
        <v>83</v>
      </c>
      <c r="D69" s="6" t="s">
        <v>63</v>
      </c>
      <c r="E69" s="10">
        <f>-E66</f>
        <v>-450000000</v>
      </c>
      <c r="F69" s="10">
        <f>-F66</f>
        <v>-450000000</v>
      </c>
      <c r="G69" s="10">
        <f t="shared" si="0"/>
        <v>-900000000</v>
      </c>
      <c r="H69" s="10">
        <f>-H66</f>
        <v>-225000000</v>
      </c>
      <c r="I69" s="10">
        <f>-I66</f>
        <v>-225000000</v>
      </c>
      <c r="J69" s="10">
        <f t="shared" si="1"/>
        <v>-1350000000</v>
      </c>
    </row>
    <row r="70" spans="1:15" x14ac:dyDescent="0.25">
      <c r="C70" s="5" t="s">
        <v>84</v>
      </c>
      <c r="D70" s="6" t="s">
        <v>63</v>
      </c>
      <c r="E70" s="10">
        <f>E68+E69</f>
        <v>6857130600</v>
      </c>
      <c r="F70" s="10">
        <f>F68+F69</f>
        <v>6857130600</v>
      </c>
      <c r="G70" s="59">
        <f t="shared" si="0"/>
        <v>13714261200</v>
      </c>
      <c r="H70" s="10">
        <f>H68+H69</f>
        <v>766334000</v>
      </c>
      <c r="I70" s="10">
        <f>I68+I69</f>
        <v>766334000</v>
      </c>
      <c r="J70" s="10">
        <f t="shared" si="1"/>
        <v>15246929200</v>
      </c>
      <c r="L70" s="17">
        <f>$E$42</f>
        <v>47126</v>
      </c>
    </row>
    <row r="71" spans="1:15" x14ac:dyDescent="0.25">
      <c r="C71" s="14" t="s">
        <v>85</v>
      </c>
      <c r="D71" s="6" t="s">
        <v>63</v>
      </c>
      <c r="E71" s="18">
        <f>MAX(E64,E65)</f>
        <v>2441000000</v>
      </c>
      <c r="F71" s="18">
        <f>MAX(F64,F65)</f>
        <v>1116500000.0000002</v>
      </c>
      <c r="G71" s="61">
        <f t="shared" si="0"/>
        <v>3557500000</v>
      </c>
      <c r="H71" s="18">
        <f>MAX(H64,H65)</f>
        <v>1120500000</v>
      </c>
      <c r="I71" s="18">
        <f>MAX(I64,I65)</f>
        <v>1120500000</v>
      </c>
      <c r="J71" s="18">
        <f t="shared" si="1"/>
        <v>5798500000</v>
      </c>
    </row>
    <row r="72" spans="1:15" x14ac:dyDescent="0.25">
      <c r="C72" s="14" t="s">
        <v>86</v>
      </c>
      <c r="D72" s="6" t="s">
        <v>63</v>
      </c>
      <c r="E72" s="18">
        <f>E63+E66+E67+E70</f>
        <v>7818476404</v>
      </c>
      <c r="F72" s="18">
        <f>F63+F66+F67+F70</f>
        <v>7818476404</v>
      </c>
      <c r="G72" s="60">
        <f t="shared" si="0"/>
        <v>15636952808</v>
      </c>
      <c r="H72" s="18">
        <f>H63+H66+H67+H70</f>
        <v>1454334000</v>
      </c>
      <c r="I72" s="18">
        <f>I63+I66+I67+I70</f>
        <v>1454334000</v>
      </c>
      <c r="J72" s="18">
        <f t="shared" si="1"/>
        <v>18545620808</v>
      </c>
    </row>
    <row r="74" spans="1:15" x14ac:dyDescent="0.25">
      <c r="A74" s="3" t="s">
        <v>2</v>
      </c>
      <c r="B74" s="3"/>
      <c r="C74" s="3" t="s">
        <v>87</v>
      </c>
      <c r="D74" s="3"/>
      <c r="E74" s="4" t="s">
        <v>4</v>
      </c>
      <c r="F74" s="4" t="s">
        <v>5</v>
      </c>
      <c r="G74" s="4"/>
      <c r="H74" s="4" t="s">
        <v>6</v>
      </c>
      <c r="I74" s="4" t="s">
        <v>7</v>
      </c>
      <c r="J74" s="4" t="s">
        <v>76</v>
      </c>
      <c r="K74" s="3"/>
      <c r="L74" s="4" t="s">
        <v>44</v>
      </c>
      <c r="M74" s="3"/>
      <c r="N74" s="3"/>
      <c r="O74" s="3"/>
    </row>
    <row r="75" spans="1:15" x14ac:dyDescent="0.25">
      <c r="C75" s="5" t="s">
        <v>71</v>
      </c>
      <c r="D75" s="6" t="s">
        <v>72</v>
      </c>
      <c r="E75" s="10">
        <f>E$58</f>
        <v>400</v>
      </c>
      <c r="F75" s="10">
        <f>F$58</f>
        <v>400</v>
      </c>
      <c r="G75" s="10"/>
      <c r="H75" s="10">
        <f>H$58</f>
        <v>150</v>
      </c>
      <c r="I75" s="10">
        <f>I$58</f>
        <v>150</v>
      </c>
      <c r="J75" s="10">
        <f t="shared" ref="J75:J83" si="2">SUM(E75:I75)</f>
        <v>1100</v>
      </c>
      <c r="L75" s="17">
        <f>$E$37</f>
        <v>46234</v>
      </c>
    </row>
    <row r="76" spans="1:15" x14ac:dyDescent="0.25">
      <c r="C76" s="5" t="s">
        <v>77</v>
      </c>
      <c r="D76" s="6" t="s">
        <v>72</v>
      </c>
      <c r="E76" s="11">
        <f t="shared" ref="E76:F80" si="3">E63/Thousand/E$48</f>
        <v>8.2191780821917817</v>
      </c>
      <c r="F76" s="11">
        <f t="shared" si="3"/>
        <v>8.2191780821917817</v>
      </c>
      <c r="G76" s="11"/>
      <c r="H76" s="11">
        <f t="shared" ref="H76:I80" si="4">H63/Thousand/H$48</f>
        <v>8.2191780821917817</v>
      </c>
      <c r="I76" s="11">
        <f t="shared" si="4"/>
        <v>8.2191780821917817</v>
      </c>
      <c r="J76" s="11">
        <f t="shared" si="2"/>
        <v>32.876712328767127</v>
      </c>
      <c r="L76" s="17">
        <f>$E$38</f>
        <v>46325</v>
      </c>
    </row>
    <row r="77" spans="1:15" x14ac:dyDescent="0.25">
      <c r="C77" s="5" t="s">
        <v>78</v>
      </c>
      <c r="D77" s="6" t="s">
        <v>72</v>
      </c>
      <c r="E77" s="10">
        <f t="shared" si="3"/>
        <v>1337.5342465753424</v>
      </c>
      <c r="F77" s="10">
        <f t="shared" si="3"/>
        <v>611.78082191780834</v>
      </c>
      <c r="G77" s="10"/>
      <c r="H77" s="10">
        <f t="shared" si="4"/>
        <v>613.97260273972597</v>
      </c>
      <c r="I77" s="10">
        <f t="shared" si="4"/>
        <v>613.97260273972597</v>
      </c>
      <c r="J77" s="10">
        <f t="shared" si="2"/>
        <v>3177.2602739726026</v>
      </c>
      <c r="L77" s="17">
        <f>$E$38</f>
        <v>46325</v>
      </c>
    </row>
    <row r="78" spans="1:15" x14ac:dyDescent="0.25">
      <c r="C78" s="5" t="s">
        <v>79</v>
      </c>
      <c r="D78" s="6" t="s">
        <v>72</v>
      </c>
      <c r="E78" s="10">
        <f t="shared" si="3"/>
        <v>6687.6712328767126</v>
      </c>
      <c r="F78" s="10">
        <f t="shared" si="3"/>
        <v>3058.9041095890416</v>
      </c>
      <c r="G78" s="10"/>
      <c r="H78" s="10">
        <f t="shared" si="4"/>
        <v>3069.8630136986303</v>
      </c>
      <c r="I78" s="10">
        <f t="shared" si="4"/>
        <v>3069.8630136986303</v>
      </c>
      <c r="J78" s="10">
        <f t="shared" si="2"/>
        <v>15886.301369863015</v>
      </c>
      <c r="L78" s="17">
        <f>$E$39</f>
        <v>46384</v>
      </c>
    </row>
    <row r="79" spans="1:15" x14ac:dyDescent="0.25">
      <c r="C79" s="5" t="s">
        <v>88</v>
      </c>
      <c r="D79" s="6" t="s">
        <v>72</v>
      </c>
      <c r="E79" s="10">
        <f t="shared" si="3"/>
        <v>1232.8767123287671</v>
      </c>
      <c r="F79" s="10">
        <f t="shared" si="3"/>
        <v>1232.8767123287671</v>
      </c>
      <c r="G79" s="10"/>
      <c r="H79" s="10">
        <f t="shared" si="4"/>
        <v>616.43835616438355</v>
      </c>
      <c r="I79" s="10">
        <f t="shared" si="4"/>
        <v>616.43835616438355</v>
      </c>
      <c r="J79" s="10">
        <f t="shared" si="2"/>
        <v>3698.6301369863013</v>
      </c>
      <c r="L79" s="17">
        <f>$E$40</f>
        <v>46386</v>
      </c>
    </row>
    <row r="80" spans="1:15" x14ac:dyDescent="0.25">
      <c r="C80" s="5" t="s">
        <v>81</v>
      </c>
      <c r="D80" s="6" t="s">
        <v>72</v>
      </c>
      <c r="E80" s="10">
        <f t="shared" si="3"/>
        <v>1392.7282301369862</v>
      </c>
      <c r="F80" s="10">
        <f t="shared" si="3"/>
        <v>1392.7282301369862</v>
      </c>
      <c r="G80" s="10"/>
      <c r="H80" s="10">
        <f t="shared" si="4"/>
        <v>1260.2739726027398</v>
      </c>
      <c r="I80" s="10">
        <f t="shared" si="4"/>
        <v>1260.2739726027398</v>
      </c>
      <c r="J80" s="10">
        <f t="shared" si="2"/>
        <v>5306.0044054794525</v>
      </c>
      <c r="L80" s="17">
        <f>$E$42</f>
        <v>47126</v>
      </c>
    </row>
    <row r="81" spans="1:15" x14ac:dyDescent="0.25">
      <c r="C81" s="5" t="s">
        <v>89</v>
      </c>
      <c r="D81" s="6" t="s">
        <v>72</v>
      </c>
      <c r="E81" s="10">
        <f>E70/Thousand/E$48</f>
        <v>18786.659178082191</v>
      </c>
      <c r="F81" s="10">
        <f>F70/Thousand/F$48</f>
        <v>18786.659178082191</v>
      </c>
      <c r="G81" s="10"/>
      <c r="H81" s="10">
        <f>H70/Thousand/H$48</f>
        <v>2099.5452054794519</v>
      </c>
      <c r="I81" s="10">
        <f>I70/Thousand/I$48</f>
        <v>2099.5452054794519</v>
      </c>
      <c r="J81" s="10">
        <f t="shared" si="2"/>
        <v>41772.408767123285</v>
      </c>
      <c r="L81" s="17">
        <f>$E$42</f>
        <v>47126</v>
      </c>
    </row>
    <row r="82" spans="1:15" x14ac:dyDescent="0.25">
      <c r="C82" s="5" t="s">
        <v>90</v>
      </c>
      <c r="D82" s="6" t="s">
        <v>72</v>
      </c>
      <c r="E82" s="10">
        <f>$E$57*(($E$39-$E$38)*E77+MAX(0,MIN($E$44,$E$45)-$E$39+1)*E78)/Days_In_Year</f>
        <v>1923.6307599924939</v>
      </c>
      <c r="F82" s="10">
        <f>$F$57*(($E$39-$E$38)*F77+MAX(0,MIN($E$44,$E$45)-$E$39+1)*F78)/Days_In_Year</f>
        <v>879.85814974666937</v>
      </c>
      <c r="G82" s="10"/>
      <c r="H82" s="10">
        <f>$H$57*(($E$39-$E$38)*H77+MAX(0,MIN($E$44,$E$45)-$E$39+1)*H78)/Days_In_Year</f>
        <v>883.01035091011465</v>
      </c>
      <c r="I82" s="10">
        <f>$I$57*(($E$39-$E$38)*I77+MAX(0,MIN($E$44,$E$45)-$E$39+1)*I78)/Days_In_Year</f>
        <v>883.01035091011465</v>
      </c>
      <c r="J82" s="10">
        <f t="shared" si="2"/>
        <v>4569.5096115593924</v>
      </c>
    </row>
    <row r="83" spans="1:15" x14ac:dyDescent="0.25">
      <c r="C83" s="14" t="s">
        <v>91</v>
      </c>
      <c r="D83" s="6" t="s">
        <v>72</v>
      </c>
      <c r="E83" s="18">
        <f>E76+E79+E80+E81</f>
        <v>21420.483298630137</v>
      </c>
      <c r="F83" s="18">
        <f>F76+F79+F80+F81</f>
        <v>21420.483298630137</v>
      </c>
      <c r="G83" s="18"/>
      <c r="H83" s="18">
        <f>H76+H79+H80+H81</f>
        <v>3984.476712328767</v>
      </c>
      <c r="I83" s="18">
        <f>I76+I79+I80+I81</f>
        <v>3984.476712328767</v>
      </c>
      <c r="J83" s="18">
        <f t="shared" si="2"/>
        <v>50809.920021917809</v>
      </c>
    </row>
    <row r="84" spans="1:15" x14ac:dyDescent="0.25">
      <c r="C84" s="64" t="s">
        <v>76</v>
      </c>
      <c r="D84" s="6" t="s">
        <v>72</v>
      </c>
      <c r="E84" s="63">
        <f>SUM(E75:E82)-E77-E79</f>
        <v>29198.90857917058</v>
      </c>
      <c r="F84" s="63">
        <f>SUM(F75:F82)-F77-F79</f>
        <v>24526.36884563708</v>
      </c>
    </row>
    <row r="85" spans="1:15" x14ac:dyDescent="0.25">
      <c r="A85" s="3" t="s">
        <v>2</v>
      </c>
      <c r="B85" s="3"/>
      <c r="C85" s="3" t="s">
        <v>92</v>
      </c>
      <c r="D85" s="3"/>
      <c r="E85" s="4" t="s">
        <v>4</v>
      </c>
      <c r="F85" s="4" t="s">
        <v>5</v>
      </c>
      <c r="G85" s="4"/>
      <c r="H85" s="4" t="s">
        <v>6</v>
      </c>
      <c r="I85" s="4" t="s">
        <v>7</v>
      </c>
      <c r="J85" s="4" t="s">
        <v>76</v>
      </c>
      <c r="K85" s="3"/>
      <c r="L85" s="4" t="s">
        <v>44</v>
      </c>
      <c r="M85" s="3"/>
      <c r="N85" s="4" t="s">
        <v>93</v>
      </c>
      <c r="O85" s="4" t="s">
        <v>72</v>
      </c>
    </row>
    <row r="86" spans="1:15" x14ac:dyDescent="0.25">
      <c r="C86" s="5" t="s">
        <v>94</v>
      </c>
      <c r="D86" s="6" t="s">
        <v>72</v>
      </c>
      <c r="E86" s="11">
        <f t="shared" ref="E86:F117" si="5">$N86*Thousand/E$48+$O86</f>
        <v>55.65</v>
      </c>
      <c r="F86" s="11">
        <f t="shared" si="5"/>
        <v>55.65</v>
      </c>
      <c r="G86" s="11"/>
      <c r="H86" s="11">
        <f t="shared" ref="H86:I105" si="6">$E86/(SUM($E$86:$E$117)+$E$118)*H$59</f>
        <v>8.9193426623067023</v>
      </c>
      <c r="I86" s="11">
        <f t="shared" si="6"/>
        <v>8.9193426623067023</v>
      </c>
      <c r="J86" s="11">
        <f t="shared" ref="J86:J119" si="7">SUM(E86:I86)</f>
        <v>129.13868532461339</v>
      </c>
      <c r="L86" s="16">
        <v>46431</v>
      </c>
      <c r="N86" s="12">
        <v>0</v>
      </c>
      <c r="O86" s="12">
        <v>55.65</v>
      </c>
    </row>
    <row r="87" spans="1:15" x14ac:dyDescent="0.25">
      <c r="C87" s="5" t="s">
        <v>95</v>
      </c>
      <c r="D87" s="6" t="s">
        <v>72</v>
      </c>
      <c r="E87" s="11">
        <f t="shared" si="5"/>
        <v>124.93150684931507</v>
      </c>
      <c r="F87" s="11">
        <f t="shared" si="5"/>
        <v>124.93150684931507</v>
      </c>
      <c r="G87" s="11"/>
      <c r="H87" s="11">
        <f t="shared" si="6"/>
        <v>20.023484616484421</v>
      </c>
      <c r="I87" s="11">
        <f t="shared" si="6"/>
        <v>20.023484616484421</v>
      </c>
      <c r="J87" s="11">
        <f t="shared" si="7"/>
        <v>289.90998293159902</v>
      </c>
      <c r="L87" s="16">
        <v>46431</v>
      </c>
      <c r="N87" s="12">
        <v>45.6</v>
      </c>
      <c r="O87" s="12">
        <v>0</v>
      </c>
    </row>
    <row r="88" spans="1:15" x14ac:dyDescent="0.25">
      <c r="C88" s="5" t="s">
        <v>96</v>
      </c>
      <c r="D88" s="6" t="s">
        <v>72</v>
      </c>
      <c r="E88" s="11">
        <f t="shared" si="5"/>
        <v>162.03522504892356</v>
      </c>
      <c r="F88" s="11">
        <f t="shared" si="5"/>
        <v>162.03522504892356</v>
      </c>
      <c r="G88" s="11"/>
      <c r="H88" s="11">
        <f t="shared" si="6"/>
        <v>25.970308995064361</v>
      </c>
      <c r="I88" s="11">
        <f t="shared" si="6"/>
        <v>25.970308995064361</v>
      </c>
      <c r="J88" s="11">
        <f t="shared" si="7"/>
        <v>376.0110680879759</v>
      </c>
      <c r="L88" s="16">
        <v>46976</v>
      </c>
      <c r="N88" s="12">
        <v>59.142857142857103</v>
      </c>
      <c r="O88" s="12">
        <v>0</v>
      </c>
    </row>
    <row r="89" spans="1:15" x14ac:dyDescent="0.25">
      <c r="C89" s="5" t="s">
        <v>97</v>
      </c>
      <c r="D89" s="6" t="s">
        <v>72</v>
      </c>
      <c r="E89" s="11">
        <f t="shared" si="5"/>
        <v>2.0562849315068492</v>
      </c>
      <c r="F89" s="11">
        <f t="shared" si="5"/>
        <v>2.0562849315068492</v>
      </c>
      <c r="G89" s="11"/>
      <c r="H89" s="11">
        <f t="shared" si="6"/>
        <v>0.32957250521918163</v>
      </c>
      <c r="I89" s="11">
        <f t="shared" si="6"/>
        <v>0.32957250521918163</v>
      </c>
      <c r="J89" s="11">
        <f t="shared" si="7"/>
        <v>4.771714873452062</v>
      </c>
      <c r="L89" s="16">
        <v>46976</v>
      </c>
      <c r="N89" s="12">
        <v>0.75054399999999999</v>
      </c>
      <c r="O89" s="12">
        <v>0</v>
      </c>
    </row>
    <row r="90" spans="1:15" x14ac:dyDescent="0.25">
      <c r="C90" s="5" t="s">
        <v>98</v>
      </c>
      <c r="D90" s="6" t="s">
        <v>72</v>
      </c>
      <c r="E90" s="11">
        <f t="shared" si="5"/>
        <v>178.52054794520546</v>
      </c>
      <c r="F90" s="11">
        <f t="shared" si="5"/>
        <v>178.52054794520546</v>
      </c>
      <c r="G90" s="11"/>
      <c r="H90" s="11">
        <f t="shared" si="6"/>
        <v>28.61250564934484</v>
      </c>
      <c r="I90" s="11">
        <f t="shared" si="6"/>
        <v>28.61250564934484</v>
      </c>
      <c r="J90" s="11">
        <f t="shared" si="7"/>
        <v>414.26610718910058</v>
      </c>
      <c r="L90" s="16">
        <v>46296</v>
      </c>
      <c r="N90" s="12">
        <v>34.5</v>
      </c>
      <c r="O90" s="12">
        <v>84</v>
      </c>
    </row>
    <row r="91" spans="1:15" x14ac:dyDescent="0.25">
      <c r="C91" s="5" t="s">
        <v>99</v>
      </c>
      <c r="D91" s="6" t="s">
        <v>72</v>
      </c>
      <c r="E91" s="11">
        <f t="shared" si="5"/>
        <v>398</v>
      </c>
      <c r="F91" s="11">
        <f t="shared" si="5"/>
        <v>398</v>
      </c>
      <c r="G91" s="11"/>
      <c r="H91" s="11">
        <f t="shared" si="6"/>
        <v>63.789728294664286</v>
      </c>
      <c r="I91" s="11">
        <f t="shared" si="6"/>
        <v>63.789728294664286</v>
      </c>
      <c r="J91" s="11">
        <f t="shared" si="7"/>
        <v>923.57945658932863</v>
      </c>
      <c r="L91" s="16">
        <v>46447</v>
      </c>
      <c r="N91" s="12">
        <v>0</v>
      </c>
      <c r="O91" s="12">
        <v>398</v>
      </c>
    </row>
    <row r="92" spans="1:15" x14ac:dyDescent="0.25">
      <c r="C92" s="5" t="s">
        <v>100</v>
      </c>
      <c r="D92" s="6" t="s">
        <v>72</v>
      </c>
      <c r="E92" s="11">
        <f t="shared" si="5"/>
        <v>9.8630136986301373</v>
      </c>
      <c r="F92" s="11">
        <f t="shared" si="5"/>
        <v>9.8630136986301373</v>
      </c>
      <c r="G92" s="11"/>
      <c r="H92" s="11">
        <f t="shared" si="6"/>
        <v>1.5808014170908753</v>
      </c>
      <c r="I92" s="11">
        <f t="shared" si="6"/>
        <v>1.5808014170908753</v>
      </c>
      <c r="J92" s="11">
        <f t="shared" si="7"/>
        <v>22.887630231442024</v>
      </c>
      <c r="L92" s="16">
        <v>46388</v>
      </c>
      <c r="N92" s="12">
        <v>3.6</v>
      </c>
      <c r="O92" s="12">
        <v>0</v>
      </c>
    </row>
    <row r="93" spans="1:15" x14ac:dyDescent="0.25">
      <c r="C93" s="5" t="s">
        <v>101</v>
      </c>
      <c r="D93" s="6" t="s">
        <v>72</v>
      </c>
      <c r="E93" s="11">
        <f t="shared" si="5"/>
        <v>4.5</v>
      </c>
      <c r="F93" s="11">
        <f t="shared" si="5"/>
        <v>4.5</v>
      </c>
      <c r="G93" s="11"/>
      <c r="H93" s="11">
        <f t="shared" si="6"/>
        <v>0.72124064654771181</v>
      </c>
      <c r="I93" s="11">
        <f t="shared" si="6"/>
        <v>0.72124064654771181</v>
      </c>
      <c r="J93" s="11">
        <f t="shared" si="7"/>
        <v>10.442481293095423</v>
      </c>
      <c r="L93" s="16">
        <v>46932</v>
      </c>
      <c r="N93" s="12">
        <v>0</v>
      </c>
      <c r="O93" s="12">
        <v>4.5</v>
      </c>
    </row>
    <row r="94" spans="1:15" x14ac:dyDescent="0.25">
      <c r="C94" s="5" t="s">
        <v>102</v>
      </c>
      <c r="D94" s="6" t="s">
        <v>72</v>
      </c>
      <c r="E94" s="11">
        <f t="shared" si="5"/>
        <v>2.6301369863013697</v>
      </c>
      <c r="F94" s="11">
        <f t="shared" si="5"/>
        <v>2.6301369863013697</v>
      </c>
      <c r="G94" s="11"/>
      <c r="H94" s="11">
        <f t="shared" si="6"/>
        <v>0.4215470445575667</v>
      </c>
      <c r="I94" s="11">
        <f t="shared" si="6"/>
        <v>0.4215470445575667</v>
      </c>
      <c r="J94" s="11">
        <f t="shared" si="7"/>
        <v>6.1033680617178732</v>
      </c>
      <c r="L94" s="16">
        <v>46746</v>
      </c>
      <c r="N94" s="12">
        <v>0.96</v>
      </c>
      <c r="O94" s="12">
        <v>0</v>
      </c>
    </row>
    <row r="95" spans="1:15" x14ac:dyDescent="0.25">
      <c r="C95" s="5" t="s">
        <v>103</v>
      </c>
      <c r="D95" s="6" t="s">
        <v>72</v>
      </c>
      <c r="E95" s="11">
        <f t="shared" si="5"/>
        <v>21.917808219178081</v>
      </c>
      <c r="F95" s="11">
        <f t="shared" si="5"/>
        <v>21.917808219178081</v>
      </c>
      <c r="G95" s="11"/>
      <c r="H95" s="11">
        <f t="shared" si="6"/>
        <v>3.5128920379797224</v>
      </c>
      <c r="I95" s="11">
        <f t="shared" si="6"/>
        <v>3.5128920379797224</v>
      </c>
      <c r="J95" s="11">
        <f t="shared" si="7"/>
        <v>50.861400514315612</v>
      </c>
      <c r="L95" s="16">
        <v>46596</v>
      </c>
      <c r="N95" s="12">
        <v>8</v>
      </c>
      <c r="O95" s="12">
        <v>0</v>
      </c>
    </row>
    <row r="96" spans="1:15" x14ac:dyDescent="0.25">
      <c r="C96" s="5" t="s">
        <v>104</v>
      </c>
      <c r="D96" s="6" t="s">
        <v>72</v>
      </c>
      <c r="E96" s="11">
        <f t="shared" si="5"/>
        <v>136.98630136986301</v>
      </c>
      <c r="F96" s="11">
        <f t="shared" si="5"/>
        <v>136.98630136986301</v>
      </c>
      <c r="G96" s="11"/>
      <c r="H96" s="11">
        <f t="shared" si="6"/>
        <v>21.955575237373267</v>
      </c>
      <c r="I96" s="11">
        <f t="shared" si="6"/>
        <v>21.955575237373267</v>
      </c>
      <c r="J96" s="11">
        <f t="shared" si="7"/>
        <v>317.88375321447256</v>
      </c>
      <c r="L96" s="16">
        <v>46806</v>
      </c>
      <c r="N96" s="12">
        <v>50</v>
      </c>
      <c r="O96" s="12">
        <v>0</v>
      </c>
    </row>
    <row r="97" spans="3:15" x14ac:dyDescent="0.25">
      <c r="C97" s="5" t="s">
        <v>105</v>
      </c>
      <c r="D97" s="6" t="s">
        <v>72</v>
      </c>
      <c r="E97" s="11">
        <f t="shared" si="5"/>
        <v>95.890410958904113</v>
      </c>
      <c r="F97" s="11">
        <f t="shared" si="5"/>
        <v>95.890410958904113</v>
      </c>
      <c r="G97" s="11"/>
      <c r="H97" s="11">
        <f t="shared" si="6"/>
        <v>15.368902666161288</v>
      </c>
      <c r="I97" s="11">
        <f t="shared" si="6"/>
        <v>15.368902666161288</v>
      </c>
      <c r="J97" s="11">
        <f t="shared" si="7"/>
        <v>222.51862725013081</v>
      </c>
      <c r="L97" s="16">
        <v>46806</v>
      </c>
      <c r="N97" s="12">
        <v>35</v>
      </c>
      <c r="O97" s="12">
        <v>0</v>
      </c>
    </row>
    <row r="98" spans="3:15" x14ac:dyDescent="0.25">
      <c r="C98" s="5" t="s">
        <v>106</v>
      </c>
      <c r="D98" s="6" t="s">
        <v>72</v>
      </c>
      <c r="E98" s="11">
        <f t="shared" si="5"/>
        <v>40.635616438356166</v>
      </c>
      <c r="F98" s="11">
        <f t="shared" si="5"/>
        <v>40.635616438356166</v>
      </c>
      <c r="G98" s="11"/>
      <c r="H98" s="11">
        <f t="shared" si="6"/>
        <v>6.5129018384144066</v>
      </c>
      <c r="I98" s="11">
        <f t="shared" si="6"/>
        <v>6.5129018384144066</v>
      </c>
      <c r="J98" s="11">
        <f t="shared" si="7"/>
        <v>94.297036553541147</v>
      </c>
      <c r="L98" s="16">
        <v>46751</v>
      </c>
      <c r="N98" s="12">
        <v>14.832000000000001</v>
      </c>
      <c r="O98" s="12">
        <v>0</v>
      </c>
    </row>
    <row r="99" spans="3:15" x14ac:dyDescent="0.25">
      <c r="C99" s="5" t="s">
        <v>97</v>
      </c>
      <c r="D99" s="6" t="s">
        <v>72</v>
      </c>
      <c r="E99" s="11">
        <f t="shared" si="5"/>
        <v>0.1095890410958904</v>
      </c>
      <c r="F99" s="11">
        <f t="shared" si="5"/>
        <v>0.1095890410958904</v>
      </c>
      <c r="G99" s="11"/>
      <c r="H99" s="11">
        <f t="shared" si="6"/>
        <v>1.7564460189898611E-2</v>
      </c>
      <c r="I99" s="11">
        <f t="shared" si="6"/>
        <v>1.7564460189898611E-2</v>
      </c>
      <c r="J99" s="11">
        <f t="shared" si="7"/>
        <v>0.25430700257157801</v>
      </c>
      <c r="L99" s="16">
        <v>46871</v>
      </c>
      <c r="N99" s="12">
        <v>0.04</v>
      </c>
      <c r="O99" s="12">
        <v>0</v>
      </c>
    </row>
    <row r="100" spans="3:15" x14ac:dyDescent="0.25">
      <c r="C100" s="5" t="s">
        <v>107</v>
      </c>
      <c r="D100" s="6" t="s">
        <v>72</v>
      </c>
      <c r="E100" s="11">
        <f t="shared" si="5"/>
        <v>89.342465753424662</v>
      </c>
      <c r="F100" s="11">
        <f t="shared" si="5"/>
        <v>89.342465753424662</v>
      </c>
      <c r="G100" s="11"/>
      <c r="H100" s="11">
        <f t="shared" si="6"/>
        <v>14.319426169814847</v>
      </c>
      <c r="I100" s="11">
        <f t="shared" si="6"/>
        <v>14.319426169814847</v>
      </c>
      <c r="J100" s="11">
        <f t="shared" si="7"/>
        <v>207.32378384647902</v>
      </c>
      <c r="L100" s="16">
        <v>46841</v>
      </c>
      <c r="N100" s="12">
        <v>32.61</v>
      </c>
      <c r="O100" s="12">
        <v>0</v>
      </c>
    </row>
    <row r="101" spans="3:15" x14ac:dyDescent="0.25">
      <c r="C101" s="5" t="s">
        <v>108</v>
      </c>
      <c r="D101" s="6" t="s">
        <v>72</v>
      </c>
      <c r="E101" s="11">
        <f t="shared" si="5"/>
        <v>21.917808219178081</v>
      </c>
      <c r="F101" s="11">
        <f t="shared" si="5"/>
        <v>21.917808219178081</v>
      </c>
      <c r="G101" s="11"/>
      <c r="H101" s="11">
        <f t="shared" si="6"/>
        <v>3.5128920379797224</v>
      </c>
      <c r="I101" s="11">
        <f t="shared" si="6"/>
        <v>3.5128920379797224</v>
      </c>
      <c r="J101" s="11">
        <f t="shared" si="7"/>
        <v>50.861400514315612</v>
      </c>
      <c r="L101" s="16">
        <v>46596</v>
      </c>
      <c r="N101" s="12">
        <v>8</v>
      </c>
      <c r="O101" s="12">
        <v>0</v>
      </c>
    </row>
    <row r="102" spans="3:15" x14ac:dyDescent="0.25">
      <c r="C102" s="5" t="s">
        <v>109</v>
      </c>
      <c r="D102" s="6" t="s">
        <v>72</v>
      </c>
      <c r="E102" s="11">
        <f t="shared" si="5"/>
        <v>21.917808219178081</v>
      </c>
      <c r="F102" s="11">
        <f t="shared" si="5"/>
        <v>21.917808219178081</v>
      </c>
      <c r="G102" s="11"/>
      <c r="H102" s="11">
        <f t="shared" si="6"/>
        <v>3.5128920379797224</v>
      </c>
      <c r="I102" s="11">
        <f t="shared" si="6"/>
        <v>3.5128920379797224</v>
      </c>
      <c r="J102" s="11">
        <f t="shared" si="7"/>
        <v>50.861400514315612</v>
      </c>
      <c r="L102" s="16">
        <v>46566</v>
      </c>
      <c r="N102" s="12">
        <v>8</v>
      </c>
      <c r="O102" s="12">
        <v>0</v>
      </c>
    </row>
    <row r="103" spans="3:15" x14ac:dyDescent="0.25">
      <c r="C103" s="5" t="s">
        <v>110</v>
      </c>
      <c r="D103" s="6" t="s">
        <v>72</v>
      </c>
      <c r="E103" s="11">
        <f t="shared" si="5"/>
        <v>21.917808219178081</v>
      </c>
      <c r="F103" s="11">
        <f t="shared" si="5"/>
        <v>21.917808219178081</v>
      </c>
      <c r="G103" s="11"/>
      <c r="H103" s="11">
        <f t="shared" si="6"/>
        <v>3.5128920379797224</v>
      </c>
      <c r="I103" s="11">
        <f t="shared" si="6"/>
        <v>3.5128920379797224</v>
      </c>
      <c r="J103" s="11">
        <f t="shared" si="7"/>
        <v>50.861400514315612</v>
      </c>
      <c r="L103" s="16">
        <v>46566</v>
      </c>
      <c r="N103" s="12">
        <v>8</v>
      </c>
      <c r="O103" s="12">
        <v>0</v>
      </c>
    </row>
    <row r="104" spans="3:15" x14ac:dyDescent="0.25">
      <c r="C104" s="5" t="s">
        <v>111</v>
      </c>
      <c r="D104" s="6" t="s">
        <v>72</v>
      </c>
      <c r="E104" s="11">
        <f t="shared" si="5"/>
        <v>12.575342465753424</v>
      </c>
      <c r="F104" s="11">
        <f t="shared" si="5"/>
        <v>12.575342465753424</v>
      </c>
      <c r="G104" s="11"/>
      <c r="H104" s="11">
        <f t="shared" si="6"/>
        <v>2.0155218067908662</v>
      </c>
      <c r="I104" s="11">
        <f t="shared" si="6"/>
        <v>2.0155218067908662</v>
      </c>
      <c r="J104" s="11">
        <f t="shared" si="7"/>
        <v>29.181728545088578</v>
      </c>
      <c r="L104" s="16">
        <v>46780</v>
      </c>
      <c r="N104" s="12">
        <v>4.59</v>
      </c>
      <c r="O104" s="12">
        <v>0</v>
      </c>
    </row>
    <row r="105" spans="3:15" x14ac:dyDescent="0.25">
      <c r="C105" s="5" t="s">
        <v>100</v>
      </c>
      <c r="D105" s="6" t="s">
        <v>72</v>
      </c>
      <c r="E105" s="11">
        <f t="shared" si="5"/>
        <v>378.08219178082192</v>
      </c>
      <c r="F105" s="11">
        <f t="shared" si="5"/>
        <v>378.08219178082192</v>
      </c>
      <c r="G105" s="11"/>
      <c r="H105" s="11">
        <f t="shared" si="6"/>
        <v>60.597387655150214</v>
      </c>
      <c r="I105" s="11">
        <f t="shared" si="6"/>
        <v>60.597387655150214</v>
      </c>
      <c r="J105" s="11">
        <f t="shared" si="7"/>
        <v>877.35915887194426</v>
      </c>
      <c r="L105" s="16">
        <v>46780</v>
      </c>
      <c r="N105" s="12">
        <v>138</v>
      </c>
      <c r="O105" s="12">
        <v>0</v>
      </c>
    </row>
    <row r="106" spans="3:15" x14ac:dyDescent="0.25">
      <c r="C106" s="5" t="s">
        <v>112</v>
      </c>
      <c r="D106" s="6" t="s">
        <v>72</v>
      </c>
      <c r="E106" s="11">
        <f t="shared" si="5"/>
        <v>123.28767123287672</v>
      </c>
      <c r="F106" s="11">
        <f t="shared" si="5"/>
        <v>123.28767123287672</v>
      </c>
      <c r="G106" s="11"/>
      <c r="H106" s="11">
        <f t="shared" ref="H106:I118" si="8">$E106/(SUM($E$86:$E$117)+$E$118)*H$59</f>
        <v>19.760017713635939</v>
      </c>
      <c r="I106" s="11">
        <f t="shared" si="8"/>
        <v>19.760017713635939</v>
      </c>
      <c r="J106" s="11">
        <f t="shared" si="7"/>
        <v>286.09537789302533</v>
      </c>
      <c r="L106" s="16">
        <v>46780</v>
      </c>
      <c r="N106" s="12">
        <v>45</v>
      </c>
      <c r="O106" s="12">
        <v>0</v>
      </c>
    </row>
    <row r="107" spans="3:15" x14ac:dyDescent="0.25">
      <c r="C107" s="5" t="s">
        <v>100</v>
      </c>
      <c r="D107" s="6" t="s">
        <v>72</v>
      </c>
      <c r="E107" s="11">
        <f t="shared" si="5"/>
        <v>205.19639362594356</v>
      </c>
      <c r="F107" s="11">
        <f t="shared" si="5"/>
        <v>205.19639362594356</v>
      </c>
      <c r="G107" s="11"/>
      <c r="H107" s="11">
        <f t="shared" si="8"/>
        <v>32.887995468452068</v>
      </c>
      <c r="I107" s="11">
        <f t="shared" si="8"/>
        <v>32.887995468452068</v>
      </c>
      <c r="J107" s="11">
        <f t="shared" si="7"/>
        <v>476.16877818879124</v>
      </c>
      <c r="L107" s="16">
        <v>46780</v>
      </c>
      <c r="N107" s="12">
        <v>74.896683673469397</v>
      </c>
      <c r="O107" s="12">
        <v>0</v>
      </c>
    </row>
    <row r="108" spans="3:15" x14ac:dyDescent="0.25">
      <c r="C108" s="5" t="s">
        <v>113</v>
      </c>
      <c r="D108" s="6" t="s">
        <v>72</v>
      </c>
      <c r="E108" s="11">
        <f t="shared" si="5"/>
        <v>41.095890410958901</v>
      </c>
      <c r="F108" s="11">
        <f t="shared" si="5"/>
        <v>41.095890410958901</v>
      </c>
      <c r="G108" s="11"/>
      <c r="H108" s="11">
        <f t="shared" si="8"/>
        <v>6.58667257121198</v>
      </c>
      <c r="I108" s="11">
        <f t="shared" si="8"/>
        <v>6.58667257121198</v>
      </c>
      <c r="J108" s="11">
        <f t="shared" si="7"/>
        <v>95.365125964341757</v>
      </c>
      <c r="L108" s="16">
        <v>46720</v>
      </c>
      <c r="N108" s="12">
        <v>15</v>
      </c>
      <c r="O108" s="12">
        <v>0</v>
      </c>
    </row>
    <row r="109" spans="3:15" x14ac:dyDescent="0.25">
      <c r="C109" s="5" t="s">
        <v>114</v>
      </c>
      <c r="D109" s="6" t="s">
        <v>72</v>
      </c>
      <c r="E109" s="11">
        <f t="shared" si="5"/>
        <v>16.438356164383563</v>
      </c>
      <c r="F109" s="11">
        <f t="shared" si="5"/>
        <v>16.438356164383563</v>
      </c>
      <c r="G109" s="11"/>
      <c r="H109" s="11">
        <f t="shared" si="8"/>
        <v>2.6346690284847925</v>
      </c>
      <c r="I109" s="11">
        <f t="shared" si="8"/>
        <v>2.6346690284847925</v>
      </c>
      <c r="J109" s="11">
        <f t="shared" si="7"/>
        <v>38.146050385736714</v>
      </c>
      <c r="L109" s="16">
        <v>46780</v>
      </c>
      <c r="N109" s="12">
        <v>6</v>
      </c>
      <c r="O109" s="12">
        <v>0</v>
      </c>
    </row>
    <row r="110" spans="3:15" x14ac:dyDescent="0.25">
      <c r="C110" s="5" t="s">
        <v>100</v>
      </c>
      <c r="D110" s="6" t="s">
        <v>72</v>
      </c>
      <c r="E110" s="11">
        <f t="shared" si="5"/>
        <v>123.7769080234833</v>
      </c>
      <c r="F110" s="11">
        <f t="shared" si="5"/>
        <v>123.7769080234833</v>
      </c>
      <c r="G110" s="11"/>
      <c r="H110" s="11">
        <f t="shared" si="8"/>
        <v>19.838430482340833</v>
      </c>
      <c r="I110" s="11">
        <f t="shared" si="8"/>
        <v>19.838430482340833</v>
      </c>
      <c r="J110" s="11">
        <f t="shared" si="7"/>
        <v>287.23067701164825</v>
      </c>
      <c r="L110" s="16">
        <v>46780</v>
      </c>
      <c r="N110" s="12">
        <v>45.178571428571402</v>
      </c>
      <c r="O110" s="12">
        <v>0</v>
      </c>
    </row>
    <row r="111" spans="3:15" x14ac:dyDescent="0.25">
      <c r="C111" s="5" t="s">
        <v>115</v>
      </c>
      <c r="D111" s="6" t="s">
        <v>72</v>
      </c>
      <c r="E111" s="11">
        <f t="shared" si="5"/>
        <v>12.575342465753424</v>
      </c>
      <c r="F111" s="11">
        <f t="shared" si="5"/>
        <v>12.575342465753424</v>
      </c>
      <c r="G111" s="11"/>
      <c r="H111" s="11">
        <f t="shared" si="8"/>
        <v>2.0155218067908662</v>
      </c>
      <c r="I111" s="11">
        <f t="shared" si="8"/>
        <v>2.0155218067908662</v>
      </c>
      <c r="J111" s="11">
        <f t="shared" si="7"/>
        <v>29.181728545088578</v>
      </c>
      <c r="L111" s="16">
        <v>46780</v>
      </c>
      <c r="N111" s="12">
        <v>4.59</v>
      </c>
      <c r="O111" s="12">
        <v>0</v>
      </c>
    </row>
    <row r="112" spans="3:15" x14ac:dyDescent="0.25">
      <c r="C112" s="5" t="s">
        <v>100</v>
      </c>
      <c r="D112" s="6" t="s">
        <v>72</v>
      </c>
      <c r="E112" s="11">
        <f t="shared" si="5"/>
        <v>95.890410958904113</v>
      </c>
      <c r="F112" s="11">
        <f t="shared" si="5"/>
        <v>95.890410958904113</v>
      </c>
      <c r="G112" s="11"/>
      <c r="H112" s="11">
        <f t="shared" si="8"/>
        <v>15.368902666161288</v>
      </c>
      <c r="I112" s="11">
        <f t="shared" si="8"/>
        <v>15.368902666161288</v>
      </c>
      <c r="J112" s="11">
        <f t="shared" si="7"/>
        <v>222.51862725013081</v>
      </c>
      <c r="L112" s="16">
        <v>46780</v>
      </c>
      <c r="N112" s="12">
        <v>35</v>
      </c>
      <c r="O112" s="12">
        <v>0</v>
      </c>
    </row>
    <row r="113" spans="1:15" x14ac:dyDescent="0.25">
      <c r="C113" s="5" t="s">
        <v>116</v>
      </c>
      <c r="D113" s="6" t="s">
        <v>72</v>
      </c>
      <c r="E113" s="11">
        <f t="shared" si="5"/>
        <v>54.794520547945204</v>
      </c>
      <c r="F113" s="11">
        <f t="shared" si="5"/>
        <v>54.794520547945204</v>
      </c>
      <c r="G113" s="11"/>
      <c r="H113" s="11">
        <f t="shared" si="8"/>
        <v>8.7822300949493073</v>
      </c>
      <c r="I113" s="11">
        <f t="shared" si="8"/>
        <v>8.7822300949493073</v>
      </c>
      <c r="J113" s="11">
        <f t="shared" si="7"/>
        <v>127.15350128578903</v>
      </c>
      <c r="L113" s="16">
        <v>47126</v>
      </c>
      <c r="N113" s="12">
        <v>20</v>
      </c>
      <c r="O113" s="12">
        <v>0</v>
      </c>
    </row>
    <row r="114" spans="1:15" x14ac:dyDescent="0.25">
      <c r="C114" s="5" t="s">
        <v>103</v>
      </c>
      <c r="D114" s="6" t="s">
        <v>72</v>
      </c>
      <c r="E114" s="11">
        <f t="shared" si="5"/>
        <v>32.876712328767127</v>
      </c>
      <c r="F114" s="11">
        <f t="shared" si="5"/>
        <v>32.876712328767127</v>
      </c>
      <c r="G114" s="11"/>
      <c r="H114" s="11">
        <f t="shared" si="8"/>
        <v>5.2693380569695849</v>
      </c>
      <c r="I114" s="11">
        <f t="shared" si="8"/>
        <v>5.2693380569695849</v>
      </c>
      <c r="J114" s="11">
        <f t="shared" si="7"/>
        <v>76.292100771473429</v>
      </c>
      <c r="L114" s="16">
        <v>47066</v>
      </c>
      <c r="N114" s="12">
        <v>12</v>
      </c>
      <c r="O114" s="12">
        <v>0</v>
      </c>
    </row>
    <row r="115" spans="1:15" x14ac:dyDescent="0.25">
      <c r="C115" s="5" t="s">
        <v>117</v>
      </c>
      <c r="D115" s="6" t="s">
        <v>72</v>
      </c>
      <c r="E115" s="11">
        <f t="shared" si="5"/>
        <v>20</v>
      </c>
      <c r="F115" s="11">
        <f t="shared" si="5"/>
        <v>20</v>
      </c>
      <c r="G115" s="11"/>
      <c r="H115" s="11">
        <f t="shared" si="8"/>
        <v>3.2055139846564971</v>
      </c>
      <c r="I115" s="11">
        <f t="shared" si="8"/>
        <v>3.2055139846564971</v>
      </c>
      <c r="J115" s="11">
        <f t="shared" si="7"/>
        <v>46.411027969312997</v>
      </c>
      <c r="L115" s="16">
        <v>46752</v>
      </c>
      <c r="N115" s="12">
        <v>0</v>
      </c>
      <c r="O115" s="12">
        <v>20</v>
      </c>
    </row>
    <row r="116" spans="1:15" x14ac:dyDescent="0.25">
      <c r="C116" s="5" t="s">
        <v>118</v>
      </c>
      <c r="D116" s="6" t="s">
        <v>72</v>
      </c>
      <c r="E116" s="11">
        <f t="shared" si="5"/>
        <v>80</v>
      </c>
      <c r="F116" s="11">
        <f t="shared" si="5"/>
        <v>80</v>
      </c>
      <c r="G116" s="11"/>
      <c r="H116" s="11">
        <f t="shared" si="8"/>
        <v>12.822055938625988</v>
      </c>
      <c r="I116" s="11">
        <f t="shared" si="8"/>
        <v>12.822055938625988</v>
      </c>
      <c r="J116" s="11">
        <f t="shared" si="7"/>
        <v>185.64411187725199</v>
      </c>
      <c r="L116" s="16">
        <v>46752</v>
      </c>
      <c r="N116" s="12">
        <v>0</v>
      </c>
      <c r="O116" s="12">
        <v>80</v>
      </c>
    </row>
    <row r="117" spans="1:15" x14ac:dyDescent="0.25">
      <c r="C117" s="5" t="s">
        <v>119</v>
      </c>
      <c r="D117" s="6" t="s">
        <v>72</v>
      </c>
      <c r="E117" s="11">
        <f t="shared" si="5"/>
        <v>249.86301369863014</v>
      </c>
      <c r="F117" s="11">
        <f t="shared" si="5"/>
        <v>249.86301369863014</v>
      </c>
      <c r="G117" s="11"/>
      <c r="H117" s="11">
        <f t="shared" si="8"/>
        <v>40.046969232968841</v>
      </c>
      <c r="I117" s="11">
        <f t="shared" si="8"/>
        <v>40.046969232968841</v>
      </c>
      <c r="J117" s="11">
        <f t="shared" si="7"/>
        <v>579.81996586319804</v>
      </c>
      <c r="L117" s="16">
        <v>47201</v>
      </c>
      <c r="N117" s="12">
        <v>91.2</v>
      </c>
      <c r="O117" s="12">
        <v>0</v>
      </c>
    </row>
    <row r="118" spans="1:15" x14ac:dyDescent="0.25">
      <c r="C118" s="5" t="s">
        <v>120</v>
      </c>
      <c r="D118" s="6" t="s">
        <v>72</v>
      </c>
      <c r="E118" s="11">
        <f>$E$60*(SUM(E86:E117)+E76)</f>
        <v>284.34942636846517</v>
      </c>
      <c r="F118" s="11">
        <f>$F$60*(SUM(F86:F117)+F76)</f>
        <v>284.34942636846517</v>
      </c>
      <c r="G118" s="11"/>
      <c r="H118" s="11">
        <f t="shared" si="8"/>
        <v>45.574303137658404</v>
      </c>
      <c r="I118" s="11">
        <f t="shared" si="8"/>
        <v>45.574303137658404</v>
      </c>
      <c r="J118" s="11">
        <f t="shared" si="7"/>
        <v>659.8474590122471</v>
      </c>
      <c r="L118" s="17">
        <f>$E$41</f>
        <v>47118</v>
      </c>
    </row>
    <row r="119" spans="1:15" x14ac:dyDescent="0.25">
      <c r="C119" s="14" t="s">
        <v>121</v>
      </c>
      <c r="D119" s="6" t="s">
        <v>72</v>
      </c>
      <c r="E119" s="18">
        <f>SUM(E86:E117)+E118</f>
        <v>3119.6245119709251</v>
      </c>
      <c r="F119" s="18">
        <f>SUM(F86:F117)+F118</f>
        <v>3119.6245119709251</v>
      </c>
      <c r="G119" s="18"/>
      <c r="H119" s="18">
        <f>SUM(H86:H117)+H118</f>
        <v>499.99999999999977</v>
      </c>
      <c r="I119" s="18">
        <f>SUM(I86:I117)+I118</f>
        <v>499.99999999999977</v>
      </c>
      <c r="J119" s="18">
        <f t="shared" si="7"/>
        <v>7239.2490239418503</v>
      </c>
    </row>
    <row r="121" spans="1:15" x14ac:dyDescent="0.25">
      <c r="A121" s="3" t="s">
        <v>2</v>
      </c>
      <c r="B121" s="3"/>
      <c r="C121" s="3" t="s">
        <v>122</v>
      </c>
      <c r="D121" s="3"/>
      <c r="E121" s="4" t="s">
        <v>4</v>
      </c>
      <c r="F121" s="4" t="s">
        <v>5</v>
      </c>
      <c r="G121" s="4"/>
      <c r="H121" s="4" t="s">
        <v>6</v>
      </c>
      <c r="I121" s="4" t="s">
        <v>7</v>
      </c>
      <c r="J121" s="4" t="s">
        <v>76</v>
      </c>
      <c r="K121" s="3"/>
      <c r="L121" s="3"/>
      <c r="M121" s="3"/>
      <c r="N121" s="3"/>
      <c r="O121" s="3"/>
    </row>
    <row r="122" spans="1:15" x14ac:dyDescent="0.25">
      <c r="C122" s="5" t="s">
        <v>42</v>
      </c>
      <c r="D122" s="6" t="s">
        <v>32</v>
      </c>
      <c r="E122" s="13">
        <f>E34</f>
        <v>84</v>
      </c>
      <c r="F122" s="13">
        <f>F34</f>
        <v>63</v>
      </c>
      <c r="G122" s="13"/>
      <c r="H122" s="13">
        <f>H34</f>
        <v>69.5</v>
      </c>
      <c r="I122" s="13">
        <f>I34</f>
        <v>69.5</v>
      </c>
    </row>
    <row r="123" spans="1:15" x14ac:dyDescent="0.25">
      <c r="C123" s="5" t="s">
        <v>71</v>
      </c>
      <c r="D123" s="6" t="s">
        <v>72</v>
      </c>
      <c r="E123" s="10">
        <f>E75</f>
        <v>400</v>
      </c>
      <c r="F123" s="10">
        <f>F75</f>
        <v>400</v>
      </c>
      <c r="G123" s="10"/>
      <c r="H123" s="10">
        <f>H75</f>
        <v>150</v>
      </c>
      <c r="I123" s="10">
        <f>I75</f>
        <v>150</v>
      </c>
      <c r="J123" s="10">
        <f t="shared" ref="J123:J130" si="9">SUM(E123:I123)</f>
        <v>1100</v>
      </c>
    </row>
    <row r="124" spans="1:15" x14ac:dyDescent="0.25">
      <c r="C124" s="5" t="s">
        <v>91</v>
      </c>
      <c r="D124" s="6" t="s">
        <v>72</v>
      </c>
      <c r="E124" s="10">
        <f>E83</f>
        <v>21420.483298630137</v>
      </c>
      <c r="F124" s="10">
        <f>F83</f>
        <v>21420.483298630137</v>
      </c>
      <c r="G124" s="10"/>
      <c r="H124" s="10">
        <f>H83</f>
        <v>3984.476712328767</v>
      </c>
      <c r="I124" s="10">
        <f>I83</f>
        <v>3984.476712328767</v>
      </c>
      <c r="J124" s="10">
        <f t="shared" si="9"/>
        <v>50809.920021917809</v>
      </c>
    </row>
    <row r="125" spans="1:15" x14ac:dyDescent="0.25">
      <c r="C125" s="5" t="s">
        <v>121</v>
      </c>
      <c r="D125" s="6" t="s">
        <v>72</v>
      </c>
      <c r="E125" s="10">
        <f>E119</f>
        <v>3119.6245119709251</v>
      </c>
      <c r="F125" s="10">
        <f>F119</f>
        <v>3119.6245119709251</v>
      </c>
      <c r="G125" s="10"/>
      <c r="H125" s="10">
        <f>H119</f>
        <v>499.99999999999977</v>
      </c>
      <c r="I125" s="10">
        <f>I119</f>
        <v>499.99999999999977</v>
      </c>
      <c r="J125" s="10">
        <f t="shared" si="9"/>
        <v>7239.2490239418503</v>
      </c>
    </row>
    <row r="126" spans="1:15" x14ac:dyDescent="0.25">
      <c r="C126" s="14" t="s">
        <v>123</v>
      </c>
      <c r="D126" s="6" t="s">
        <v>72</v>
      </c>
      <c r="E126" s="18">
        <f>E123+E124+E125</f>
        <v>24940.107810601061</v>
      </c>
      <c r="F126" s="18">
        <f>F123+F124+F125</f>
        <v>24940.107810601061</v>
      </c>
      <c r="G126" s="18"/>
      <c r="H126" s="18">
        <f>H123+H124+H125</f>
        <v>4634.4767123287675</v>
      </c>
      <c r="I126" s="18">
        <f>I123+I124+I125</f>
        <v>4634.4767123287675</v>
      </c>
      <c r="J126" s="18">
        <f t="shared" si="9"/>
        <v>59149.169045859657</v>
      </c>
    </row>
    <row r="127" spans="1:15" x14ac:dyDescent="0.25">
      <c r="C127" s="5" t="s">
        <v>90</v>
      </c>
      <c r="D127" s="6" t="s">
        <v>72</v>
      </c>
      <c r="E127" s="10">
        <f>E82</f>
        <v>1923.6307599924939</v>
      </c>
      <c r="F127" s="10">
        <f>F82</f>
        <v>879.85814974666937</v>
      </c>
      <c r="G127" s="10"/>
      <c r="H127" s="10">
        <f>H82</f>
        <v>883.01035091011465</v>
      </c>
      <c r="I127" s="10">
        <f>I82</f>
        <v>883.01035091011465</v>
      </c>
      <c r="J127" s="10">
        <f t="shared" si="9"/>
        <v>4569.5096115593924</v>
      </c>
    </row>
    <row r="128" spans="1:15" x14ac:dyDescent="0.25">
      <c r="C128" s="5" t="s">
        <v>124</v>
      </c>
      <c r="D128" s="6" t="s">
        <v>72</v>
      </c>
      <c r="E128" s="10">
        <f>E78</f>
        <v>6687.6712328767126</v>
      </c>
      <c r="F128" s="10">
        <f>F78</f>
        <v>3058.9041095890416</v>
      </c>
      <c r="G128" s="10"/>
      <c r="H128" s="10">
        <f>H78</f>
        <v>3069.8630136986303</v>
      </c>
      <c r="I128" s="10">
        <f>I78</f>
        <v>3069.8630136986303</v>
      </c>
      <c r="J128" s="10">
        <f t="shared" si="9"/>
        <v>15886.301369863015</v>
      </c>
    </row>
    <row r="129" spans="1:15" x14ac:dyDescent="0.25">
      <c r="C129" s="5" t="s">
        <v>124</v>
      </c>
      <c r="D129" s="6" t="s">
        <v>63</v>
      </c>
      <c r="E129" s="10">
        <f>E71</f>
        <v>2441000000</v>
      </c>
      <c r="F129" s="10">
        <f>F71</f>
        <v>1116500000.0000002</v>
      </c>
      <c r="G129" s="10"/>
      <c r="H129" s="10">
        <f>H71</f>
        <v>1120500000</v>
      </c>
      <c r="I129" s="10">
        <f>I71</f>
        <v>1120500000</v>
      </c>
      <c r="J129" s="10">
        <f t="shared" si="9"/>
        <v>5798500000</v>
      </c>
    </row>
    <row r="130" spans="1:15" x14ac:dyDescent="0.25">
      <c r="C130" s="5" t="s">
        <v>125</v>
      </c>
      <c r="D130" s="6" t="s">
        <v>63</v>
      </c>
      <c r="E130" s="10">
        <f>E72</f>
        <v>7818476404</v>
      </c>
      <c r="F130" s="10">
        <f>F72</f>
        <v>7818476404</v>
      </c>
      <c r="G130" s="10"/>
      <c r="H130" s="10">
        <f>H72</f>
        <v>1454334000</v>
      </c>
      <c r="I130" s="10">
        <f>I72</f>
        <v>1454334000</v>
      </c>
      <c r="J130" s="10">
        <f t="shared" si="9"/>
        <v>18545620808</v>
      </c>
    </row>
    <row r="131" spans="1:15" x14ac:dyDescent="0.25">
      <c r="C131" s="5" t="s">
        <v>53</v>
      </c>
      <c r="D131" s="6" t="s">
        <v>46</v>
      </c>
      <c r="E131" s="17">
        <f>$E$44</f>
        <v>48121</v>
      </c>
      <c r="F131" s="17">
        <f>$E$44</f>
        <v>48121</v>
      </c>
      <c r="G131" s="17"/>
      <c r="H131" s="17">
        <f>$E$44</f>
        <v>48121</v>
      </c>
      <c r="I131" s="17">
        <f>$E$44</f>
        <v>48121</v>
      </c>
    </row>
    <row r="133" spans="1:15" x14ac:dyDescent="0.25">
      <c r="A133" s="3" t="s">
        <v>2</v>
      </c>
      <c r="B133" s="3"/>
      <c r="C133" s="3" t="s">
        <v>126</v>
      </c>
      <c r="D133" s="3"/>
      <c r="E133" s="4" t="s">
        <v>4</v>
      </c>
      <c r="F133" s="4" t="s">
        <v>5</v>
      </c>
      <c r="G133" s="4"/>
      <c r="H133" s="4" t="s">
        <v>6</v>
      </c>
      <c r="I133" s="4" t="s">
        <v>7</v>
      </c>
      <c r="J133" s="4" t="s">
        <v>76</v>
      </c>
      <c r="K133" s="3"/>
      <c r="L133" s="4" t="s">
        <v>127</v>
      </c>
      <c r="M133" s="4" t="s">
        <v>128</v>
      </c>
      <c r="N133" s="3"/>
      <c r="O133" s="3"/>
    </row>
    <row r="134" spans="1:15" x14ac:dyDescent="0.25">
      <c r="C134" s="19">
        <v>46295</v>
      </c>
      <c r="D134" s="6" t="s">
        <v>72</v>
      </c>
      <c r="E134" s="10">
        <f t="shared" ref="E134:F154" si="10">($L$75&gt;=EOMONTH($C134,-3)+1)*($L$75&lt;=$C134)*($L$75&lt;=$E$44)*N(E$75)+($L$76&gt;=EOMONTH($C134,-3)+1)*($L$76&lt;=$C134)*($L$76&lt;=$E$44)*N(E$76)+($L$79&gt;=EOMONTH($C134,-3)+1)*($L$79&lt;=$C134)*($L$79&lt;=$E$44)*N(E$79)+($L$80&gt;=EOMONTH($C134,-3)+1)*($L$80&lt;=$C134)*($L$80&lt;=$E$44)*N(E$80)+($L$81&gt;=EOMONTH($C134,-3)+1)*($L$81&lt;=$C134)*($L$81&lt;=$E$44)*N(E$81)+($L$86&gt;=EOMONTH($C134,-3)+1)*($L$86&lt;=$C134)*($L$86&lt;=$E$44)*N(E$86)+($L$87&gt;=EOMONTH($C134,-3)+1)*($L$87&lt;=$C134)*($L$87&lt;=$E$44)*N(E$87)+($L$88&gt;=EOMONTH($C134,-3)+1)*($L$88&lt;=$C134)*($L$88&lt;=$E$44)*N(E$88)+($L$89&gt;=EOMONTH($C134,-3)+1)*($L$89&lt;=$C134)*($L$89&lt;=$E$44)*N(E$89)+($L$90&gt;=EOMONTH($C134,-3)+1)*($L$90&lt;=$C134)*($L$90&lt;=$E$44)*N(E$90)+($L$91&gt;=EOMONTH($C134,-3)+1)*($L$91&lt;=$C134)*($L$91&lt;=$E$44)*N(E$91)+($L$92&gt;=EOMONTH($C134,-3)+1)*($L$92&lt;=$C134)*($L$92&lt;=$E$44)*N(E$92)+($L$93&gt;=EOMONTH($C134,-3)+1)*($L$93&lt;=$C134)*($L$93&lt;=$E$44)*N(E$93)+($L$94&gt;=EOMONTH($C134,-3)+1)*($L$94&lt;=$C134)*($L$94&lt;=$E$44)*N(E$94)+($L$95&gt;=EOMONTH($C134,-3)+1)*($L$95&lt;=$C134)*($L$95&lt;=$E$44)*N(E$95)+($L$96&gt;=EOMONTH($C134,-3)+1)*($L$96&lt;=$C134)*($L$96&lt;=$E$44)*N(E$96)+($L$97&gt;=EOMONTH($C134,-3)+1)*($L$97&lt;=$C134)*($L$97&lt;=$E$44)*N(E$97)+($L$98&gt;=EOMONTH($C134,-3)+1)*($L$98&lt;=$C134)*($L$98&lt;=$E$44)*N(E$98)+($L$99&gt;=EOMONTH($C134,-3)+1)*($L$99&lt;=$C134)*($L$99&lt;=$E$44)*N(E$99)+($L$100&gt;=EOMONTH($C134,-3)+1)*($L$100&lt;=$C134)*($L$100&lt;=$E$44)*N(E$100)+($L$101&gt;=EOMONTH($C134,-3)+1)*($L$101&lt;=$C134)*($L$101&lt;=$E$44)*N(E$101)+($L$102&gt;=EOMONTH($C134,-3)+1)*($L$102&lt;=$C134)*($L$102&lt;=$E$44)*N(E$102)+($L$103&gt;=EOMONTH($C134,-3)+1)*($L$103&lt;=$C134)*($L$103&lt;=$E$44)*N(E$103)+($L$104&gt;=EOMONTH($C134,-3)+1)*($L$104&lt;=$C134)*($L$104&lt;=$E$44)*N(E$104)+($L$105&gt;=EOMONTH($C134,-3)+1)*($L$105&lt;=$C134)*($L$105&lt;=$E$44)*N(E$105)+($L$106&gt;=EOMONTH($C134,-3)+1)*($L$106&lt;=$C134)*($L$106&lt;=$E$44)*N(E$106)+($L$107&gt;=EOMONTH($C134,-3)+1)*($L$107&lt;=$C134)*($L$107&lt;=$E$44)*N(E$107)+($L$108&gt;=EOMONTH($C134,-3)+1)*($L$108&lt;=$C134)*($L$108&lt;=$E$44)*N(E$108)+($L$109&gt;=EOMONTH($C134,-3)+1)*($L$109&lt;=$C134)*($L$109&lt;=$E$44)*N(E$109)+($L$110&gt;=EOMONTH($C134,-3)+1)*($L$110&lt;=$C134)*($L$110&lt;=$E$44)*N(E$110)+($L$111&gt;=EOMONTH($C134,-3)+1)*($L$111&lt;=$C134)*($L$111&lt;=$E$44)*N(E$111)+($L$112&gt;=EOMONTH($C134,-3)+1)*($L$112&lt;=$C134)*($L$112&lt;=$E$44)*N(E$112)+($L$113&gt;=EOMONTH($C134,-3)+1)*($L$113&lt;=$C134)*($L$113&lt;=$E$44)*N(E$113)+($L$114&gt;=EOMONTH($C134,-3)+1)*($L$114&lt;=$C134)*($L$114&lt;=$E$44)*N(E$114)+($L$115&gt;=EOMONTH($C134,-3)+1)*($L$115&lt;=$C134)*($L$115&lt;=$E$44)*N(E$115)+($L$116&gt;=EOMONTH($C134,-3)+1)*($L$116&lt;=$C134)*($L$116&lt;=$E$44)*N(E$116)+($L$117&gt;=EOMONTH($C134,-3)+1)*($L$117&lt;=$C134)*($L$117&lt;=$E$44)*N(E$117)+($L$118&gt;=EOMONTH($C134,-3)+1)*($L$118&lt;=$C134)*($L$118&lt;=$E$44)*N(E$118)</f>
        <v>400</v>
      </c>
      <c r="F134" s="10">
        <f t="shared" si="10"/>
        <v>400</v>
      </c>
      <c r="G134" s="10"/>
      <c r="H134" s="10">
        <f t="shared" ref="H134:I154" si="11">($L$75&gt;=EOMONTH($C134,-3)+1)*($L$75&lt;=$C134)*($L$75&lt;=$E$44)*N(H$75)+($L$76&gt;=EOMONTH($C134,-3)+1)*($L$76&lt;=$C134)*($L$76&lt;=$E$44)*N(H$76)+($L$79&gt;=EOMONTH($C134,-3)+1)*($L$79&lt;=$C134)*($L$79&lt;=$E$44)*N(H$79)+($L$80&gt;=EOMONTH($C134,-3)+1)*($L$80&lt;=$C134)*($L$80&lt;=$E$44)*N(H$80)+($L$81&gt;=EOMONTH($C134,-3)+1)*($L$81&lt;=$C134)*($L$81&lt;=$E$44)*N(H$81)+($L$86&gt;=EOMONTH($C134,-3)+1)*($L$86&lt;=$C134)*($L$86&lt;=$E$44)*N(H$86)+($L$87&gt;=EOMONTH($C134,-3)+1)*($L$87&lt;=$C134)*($L$87&lt;=$E$44)*N(H$87)+($L$88&gt;=EOMONTH($C134,-3)+1)*($L$88&lt;=$C134)*($L$88&lt;=$E$44)*N(H$88)+($L$89&gt;=EOMONTH($C134,-3)+1)*($L$89&lt;=$C134)*($L$89&lt;=$E$44)*N(H$89)+($L$90&gt;=EOMONTH($C134,-3)+1)*($L$90&lt;=$C134)*($L$90&lt;=$E$44)*N(H$90)+($L$91&gt;=EOMONTH($C134,-3)+1)*($L$91&lt;=$C134)*($L$91&lt;=$E$44)*N(H$91)+($L$92&gt;=EOMONTH($C134,-3)+1)*($L$92&lt;=$C134)*($L$92&lt;=$E$44)*N(H$92)+($L$93&gt;=EOMONTH($C134,-3)+1)*($L$93&lt;=$C134)*($L$93&lt;=$E$44)*N(H$93)+($L$94&gt;=EOMONTH($C134,-3)+1)*($L$94&lt;=$C134)*($L$94&lt;=$E$44)*N(H$94)+($L$95&gt;=EOMONTH($C134,-3)+1)*($L$95&lt;=$C134)*($L$95&lt;=$E$44)*N(H$95)+($L$96&gt;=EOMONTH($C134,-3)+1)*($L$96&lt;=$C134)*($L$96&lt;=$E$44)*N(H$96)+($L$97&gt;=EOMONTH($C134,-3)+1)*($L$97&lt;=$C134)*($L$97&lt;=$E$44)*N(H$97)+($L$98&gt;=EOMONTH($C134,-3)+1)*($L$98&lt;=$C134)*($L$98&lt;=$E$44)*N(H$98)+($L$99&gt;=EOMONTH($C134,-3)+1)*($L$99&lt;=$C134)*($L$99&lt;=$E$44)*N(H$99)+($L$100&gt;=EOMONTH($C134,-3)+1)*($L$100&lt;=$C134)*($L$100&lt;=$E$44)*N(H$100)+($L$101&gt;=EOMONTH($C134,-3)+1)*($L$101&lt;=$C134)*($L$101&lt;=$E$44)*N(H$101)+($L$102&gt;=EOMONTH($C134,-3)+1)*($L$102&lt;=$C134)*($L$102&lt;=$E$44)*N(H$102)+($L$103&gt;=EOMONTH($C134,-3)+1)*($L$103&lt;=$C134)*($L$103&lt;=$E$44)*N(H$103)+($L$104&gt;=EOMONTH($C134,-3)+1)*($L$104&lt;=$C134)*($L$104&lt;=$E$44)*N(H$104)+($L$105&gt;=EOMONTH($C134,-3)+1)*($L$105&lt;=$C134)*($L$105&lt;=$E$44)*N(H$105)+($L$106&gt;=EOMONTH($C134,-3)+1)*($L$106&lt;=$C134)*($L$106&lt;=$E$44)*N(H$106)+($L$107&gt;=EOMONTH($C134,-3)+1)*($L$107&lt;=$C134)*($L$107&lt;=$E$44)*N(H$107)+($L$108&gt;=EOMONTH($C134,-3)+1)*($L$108&lt;=$C134)*($L$108&lt;=$E$44)*N(H$108)+($L$109&gt;=EOMONTH($C134,-3)+1)*($L$109&lt;=$C134)*($L$109&lt;=$E$44)*N(H$109)+($L$110&gt;=EOMONTH($C134,-3)+1)*($L$110&lt;=$C134)*($L$110&lt;=$E$44)*N(H$110)+($L$111&gt;=EOMONTH($C134,-3)+1)*($L$111&lt;=$C134)*($L$111&lt;=$E$44)*N(H$111)+($L$112&gt;=EOMONTH($C134,-3)+1)*($L$112&lt;=$C134)*($L$112&lt;=$E$44)*N(H$112)+($L$113&gt;=EOMONTH($C134,-3)+1)*($L$113&lt;=$C134)*($L$113&lt;=$E$44)*N(H$113)+($L$114&gt;=EOMONTH($C134,-3)+1)*($L$114&lt;=$C134)*($L$114&lt;=$E$44)*N(H$114)+($L$115&gt;=EOMONTH($C134,-3)+1)*($L$115&lt;=$C134)*($L$115&lt;=$E$44)*N(H$115)+($L$116&gt;=EOMONTH($C134,-3)+1)*($L$116&lt;=$C134)*($L$116&lt;=$E$44)*N(H$116)+($L$117&gt;=EOMONTH($C134,-3)+1)*($L$117&lt;=$C134)*($L$117&lt;=$E$44)*N(H$117)+($L$118&gt;=EOMONTH($C134,-3)+1)*($L$118&lt;=$C134)*($L$118&lt;=$E$44)*N(H$118)</f>
        <v>150</v>
      </c>
      <c r="I134" s="10">
        <f t="shared" si="11"/>
        <v>150</v>
      </c>
      <c r="J134" s="10">
        <f t="shared" ref="J134:J155" si="12">SUM(E134:I134)</f>
        <v>1100</v>
      </c>
      <c r="L134" s="10">
        <f>J134</f>
        <v>1100</v>
      </c>
      <c r="M134" s="10">
        <f t="shared" ref="M134:M154" si="13">(($C134&lt;=$E$44)*($E$38&lt;=$C134)*($E$39&gt;$C134)*E$77+($C134&lt;=$E$44)*($E$39&lt;=$C134)*($E$45&gt;$C134)*E$78)+(($C134&lt;=$E$44)*($E$38&lt;=$C134)*($E$39&gt;$C134)*F$77+($C134&lt;=$E$44)*($E$39&lt;=$C134)*($E$45&gt;$C134)*F$78)+(($C134&lt;=$E$44)*($E$38&lt;=$C134)*($E$39&gt;$C134)*H$77+($C134&lt;=$E$44)*($E$39&lt;=$C134)*($E$45&gt;$C134)*H$78)+(($C134&lt;=$E$44)*($E$38&lt;=$C134)*($E$39&gt;$C134)*I$77+($C134&lt;=$E$44)*($E$39&lt;=$C134)*($E$45&gt;$C134)*I$78)</f>
        <v>0</v>
      </c>
    </row>
    <row r="135" spans="1:15" x14ac:dyDescent="0.25">
      <c r="C135" s="20">
        <f t="shared" ref="C135:C154" si="14">EOMONTH(C134,3)</f>
        <v>46387</v>
      </c>
      <c r="D135" s="6" t="s">
        <v>72</v>
      </c>
      <c r="E135" s="10">
        <f t="shared" si="10"/>
        <v>1419.6164383561643</v>
      </c>
      <c r="F135" s="10">
        <f t="shared" si="10"/>
        <v>1419.6164383561643</v>
      </c>
      <c r="G135" s="10"/>
      <c r="H135" s="10">
        <f t="shared" si="11"/>
        <v>653.27003989592015</v>
      </c>
      <c r="I135" s="10">
        <f t="shared" si="11"/>
        <v>653.27003989592015</v>
      </c>
      <c r="J135" s="10">
        <f t="shared" si="12"/>
        <v>4145.7729565041691</v>
      </c>
      <c r="L135" s="10">
        <f t="shared" ref="L135:L154" si="15">J135+L134</f>
        <v>5245.7729565041691</v>
      </c>
      <c r="M135" s="10">
        <f t="shared" si="13"/>
        <v>15886.301369863015</v>
      </c>
    </row>
    <row r="136" spans="1:15" x14ac:dyDescent="0.25">
      <c r="C136" s="20">
        <f t="shared" si="14"/>
        <v>46477</v>
      </c>
      <c r="D136" s="6" t="s">
        <v>72</v>
      </c>
      <c r="E136" s="10">
        <f t="shared" si="10"/>
        <v>588.4445205479451</v>
      </c>
      <c r="F136" s="10">
        <f t="shared" si="10"/>
        <v>588.4445205479451</v>
      </c>
      <c r="G136" s="10"/>
      <c r="H136" s="10">
        <f t="shared" si="11"/>
        <v>94.313356990546296</v>
      </c>
      <c r="I136" s="10">
        <f t="shared" si="11"/>
        <v>94.313356990546296</v>
      </c>
      <c r="J136" s="10">
        <f t="shared" si="12"/>
        <v>1365.5157550769827</v>
      </c>
      <c r="L136" s="10">
        <f t="shared" si="15"/>
        <v>6611.2887115811518</v>
      </c>
      <c r="M136" s="10">
        <f t="shared" si="13"/>
        <v>15886.301369863015</v>
      </c>
    </row>
    <row r="137" spans="1:15" x14ac:dyDescent="0.25">
      <c r="C137" s="20">
        <f t="shared" si="14"/>
        <v>46568</v>
      </c>
      <c r="D137" s="6" t="s">
        <v>72</v>
      </c>
      <c r="E137" s="10">
        <f t="shared" si="10"/>
        <v>43.835616438356162</v>
      </c>
      <c r="F137" s="10">
        <f t="shared" si="10"/>
        <v>43.835616438356162</v>
      </c>
      <c r="G137" s="10"/>
      <c r="H137" s="10">
        <f t="shared" si="11"/>
        <v>7.0257840759594448</v>
      </c>
      <c r="I137" s="10">
        <f t="shared" si="11"/>
        <v>7.0257840759594448</v>
      </c>
      <c r="J137" s="10">
        <f t="shared" si="12"/>
        <v>101.72280102863122</v>
      </c>
      <c r="L137" s="10">
        <f t="shared" si="15"/>
        <v>6713.0115126097826</v>
      </c>
      <c r="M137" s="10">
        <f t="shared" si="13"/>
        <v>15886.301369863015</v>
      </c>
    </row>
    <row r="138" spans="1:15" x14ac:dyDescent="0.25">
      <c r="C138" s="20">
        <f t="shared" si="14"/>
        <v>46660</v>
      </c>
      <c r="D138" s="6" t="s">
        <v>72</v>
      </c>
      <c r="E138" s="10">
        <f t="shared" si="10"/>
        <v>43.835616438356162</v>
      </c>
      <c r="F138" s="10">
        <f t="shared" si="10"/>
        <v>43.835616438356162</v>
      </c>
      <c r="G138" s="10"/>
      <c r="H138" s="10">
        <f t="shared" si="11"/>
        <v>7.0257840759594448</v>
      </c>
      <c r="I138" s="10">
        <f t="shared" si="11"/>
        <v>7.0257840759594448</v>
      </c>
      <c r="J138" s="10">
        <f t="shared" si="12"/>
        <v>101.72280102863122</v>
      </c>
      <c r="L138" s="10">
        <f t="shared" si="15"/>
        <v>6814.7343136384134</v>
      </c>
      <c r="M138" s="10">
        <f t="shared" si="13"/>
        <v>15886.301369863015</v>
      </c>
    </row>
    <row r="139" spans="1:15" x14ac:dyDescent="0.25">
      <c r="C139" s="20">
        <f t="shared" si="14"/>
        <v>46752</v>
      </c>
      <c r="D139" s="6" t="s">
        <v>72</v>
      </c>
      <c r="E139" s="10">
        <f t="shared" si="10"/>
        <v>184.36164383561643</v>
      </c>
      <c r="F139" s="10">
        <f t="shared" si="10"/>
        <v>184.36164383561643</v>
      </c>
      <c r="G139" s="10"/>
      <c r="H139" s="10">
        <f t="shared" si="11"/>
        <v>29.54869137746644</v>
      </c>
      <c r="I139" s="10">
        <f t="shared" si="11"/>
        <v>29.54869137746644</v>
      </c>
      <c r="J139" s="10">
        <f t="shared" si="12"/>
        <v>427.82067042616575</v>
      </c>
      <c r="L139" s="10">
        <f t="shared" si="15"/>
        <v>7242.554984064579</v>
      </c>
      <c r="M139" s="10">
        <f t="shared" si="13"/>
        <v>15886.301369863015</v>
      </c>
    </row>
    <row r="140" spans="1:15" x14ac:dyDescent="0.25">
      <c r="C140" s="20">
        <f t="shared" si="14"/>
        <v>46843</v>
      </c>
      <c r="D140" s="6" t="s">
        <v>72</v>
      </c>
      <c r="E140" s="10">
        <f t="shared" si="10"/>
        <v>1290.0417948001118</v>
      </c>
      <c r="F140" s="10">
        <f t="shared" si="10"/>
        <v>1290.0417948001118</v>
      </c>
      <c r="G140" s="10"/>
      <c r="H140" s="10">
        <f t="shared" si="11"/>
        <v>206.76235070115627</v>
      </c>
      <c r="I140" s="10">
        <f t="shared" si="11"/>
        <v>206.76235070115627</v>
      </c>
      <c r="J140" s="10">
        <f t="shared" si="12"/>
        <v>2993.6082910025361</v>
      </c>
      <c r="L140" s="10">
        <f t="shared" si="15"/>
        <v>10236.163275067116</v>
      </c>
      <c r="M140" s="10">
        <f t="shared" si="13"/>
        <v>15886.301369863015</v>
      </c>
    </row>
    <row r="141" spans="1:15" x14ac:dyDescent="0.25">
      <c r="C141" s="20">
        <f t="shared" si="14"/>
        <v>46934</v>
      </c>
      <c r="D141" s="6" t="s">
        <v>72</v>
      </c>
      <c r="E141" s="10">
        <f t="shared" si="10"/>
        <v>4.6095890410958908</v>
      </c>
      <c r="F141" s="10">
        <f t="shared" si="10"/>
        <v>4.6095890410958908</v>
      </c>
      <c r="G141" s="10"/>
      <c r="H141" s="10">
        <f t="shared" si="11"/>
        <v>0.73880510673761046</v>
      </c>
      <c r="I141" s="10">
        <f t="shared" si="11"/>
        <v>0.73880510673761046</v>
      </c>
      <c r="J141" s="10">
        <f t="shared" si="12"/>
        <v>10.696788295667002</v>
      </c>
      <c r="L141" s="10">
        <f t="shared" si="15"/>
        <v>10246.860063362783</v>
      </c>
      <c r="M141" s="10">
        <f t="shared" si="13"/>
        <v>15886.301369863015</v>
      </c>
    </row>
    <row r="142" spans="1:15" x14ac:dyDescent="0.25">
      <c r="C142" s="20">
        <f t="shared" si="14"/>
        <v>47026</v>
      </c>
      <c r="D142" s="6" t="s">
        <v>72</v>
      </c>
      <c r="E142" s="10">
        <f t="shared" si="10"/>
        <v>164.0915099804304</v>
      </c>
      <c r="F142" s="10">
        <f t="shared" si="10"/>
        <v>164.0915099804304</v>
      </c>
      <c r="G142" s="10"/>
      <c r="H142" s="10">
        <f t="shared" si="11"/>
        <v>26.299881500283544</v>
      </c>
      <c r="I142" s="10">
        <f t="shared" si="11"/>
        <v>26.299881500283544</v>
      </c>
      <c r="J142" s="10">
        <f t="shared" si="12"/>
        <v>380.78278296142793</v>
      </c>
      <c r="L142" s="10">
        <f t="shared" si="15"/>
        <v>10627.64284632421</v>
      </c>
      <c r="M142" s="10">
        <f t="shared" si="13"/>
        <v>15886.301369863015</v>
      </c>
    </row>
    <row r="143" spans="1:15" x14ac:dyDescent="0.25">
      <c r="C143" s="20">
        <f t="shared" si="14"/>
        <v>47118</v>
      </c>
      <c r="D143" s="6" t="s">
        <v>72</v>
      </c>
      <c r="E143" s="10">
        <f t="shared" si="10"/>
        <v>317.22613869723227</v>
      </c>
      <c r="F143" s="10">
        <f t="shared" si="10"/>
        <v>317.22613869723227</v>
      </c>
      <c r="G143" s="10"/>
      <c r="H143" s="10">
        <f t="shared" si="11"/>
        <v>50.843641194627992</v>
      </c>
      <c r="I143" s="10">
        <f t="shared" si="11"/>
        <v>50.843641194627992</v>
      </c>
      <c r="J143" s="10">
        <f t="shared" si="12"/>
        <v>736.13955978372041</v>
      </c>
      <c r="L143" s="10">
        <f t="shared" si="15"/>
        <v>11363.78240610793</v>
      </c>
      <c r="M143" s="10">
        <f t="shared" si="13"/>
        <v>15886.301369863015</v>
      </c>
    </row>
    <row r="144" spans="1:15" x14ac:dyDescent="0.25">
      <c r="C144" s="20">
        <f t="shared" si="14"/>
        <v>47208</v>
      </c>
      <c r="D144" s="6" t="s">
        <v>72</v>
      </c>
      <c r="E144" s="10">
        <f t="shared" si="10"/>
        <v>20484.044942465749</v>
      </c>
      <c r="F144" s="10">
        <f t="shared" si="10"/>
        <v>20484.044942465749</v>
      </c>
      <c r="G144" s="10"/>
      <c r="H144" s="10">
        <f t="shared" si="11"/>
        <v>3408.6483774101098</v>
      </c>
      <c r="I144" s="10">
        <f t="shared" si="11"/>
        <v>3408.6483774101098</v>
      </c>
      <c r="J144" s="10">
        <f t="shared" si="12"/>
        <v>47785.386639751712</v>
      </c>
      <c r="L144" s="10">
        <f t="shared" si="15"/>
        <v>59149.169045859642</v>
      </c>
      <c r="M144" s="10">
        <f t="shared" si="13"/>
        <v>15886.301369863015</v>
      </c>
    </row>
    <row r="145" spans="1:13" x14ac:dyDescent="0.25">
      <c r="C145" s="20">
        <f t="shared" si="14"/>
        <v>47299</v>
      </c>
      <c r="D145" s="6" t="s">
        <v>72</v>
      </c>
      <c r="E145" s="10">
        <f t="shared" si="10"/>
        <v>0</v>
      </c>
      <c r="F145" s="10">
        <f t="shared" si="10"/>
        <v>0</v>
      </c>
      <c r="G145" s="10"/>
      <c r="H145" s="10">
        <f t="shared" si="11"/>
        <v>0</v>
      </c>
      <c r="I145" s="10">
        <f t="shared" si="11"/>
        <v>0</v>
      </c>
      <c r="J145" s="10">
        <f t="shared" si="12"/>
        <v>0</v>
      </c>
      <c r="L145" s="10">
        <f t="shared" si="15"/>
        <v>59149.169045859642</v>
      </c>
      <c r="M145" s="10">
        <f t="shared" si="13"/>
        <v>15886.301369863015</v>
      </c>
    </row>
    <row r="146" spans="1:13" x14ac:dyDescent="0.25">
      <c r="C146" s="20">
        <f t="shared" si="14"/>
        <v>47391</v>
      </c>
      <c r="D146" s="6" t="s">
        <v>72</v>
      </c>
      <c r="E146" s="10">
        <f t="shared" si="10"/>
        <v>0</v>
      </c>
      <c r="F146" s="10">
        <f t="shared" si="10"/>
        <v>0</v>
      </c>
      <c r="G146" s="10"/>
      <c r="H146" s="10">
        <f t="shared" si="11"/>
        <v>0</v>
      </c>
      <c r="I146" s="10">
        <f t="shared" si="11"/>
        <v>0</v>
      </c>
      <c r="J146" s="10">
        <f t="shared" si="12"/>
        <v>0</v>
      </c>
      <c r="L146" s="10">
        <f t="shared" si="15"/>
        <v>59149.169045859642</v>
      </c>
      <c r="M146" s="10">
        <f t="shared" si="13"/>
        <v>15886.301369863015</v>
      </c>
    </row>
    <row r="147" spans="1:13" x14ac:dyDescent="0.25">
      <c r="C147" s="20">
        <f t="shared" si="14"/>
        <v>47483</v>
      </c>
      <c r="D147" s="6" t="s">
        <v>72</v>
      </c>
      <c r="E147" s="10">
        <f t="shared" si="10"/>
        <v>0</v>
      </c>
      <c r="F147" s="10">
        <f t="shared" si="10"/>
        <v>0</v>
      </c>
      <c r="G147" s="10"/>
      <c r="H147" s="10">
        <f t="shared" si="11"/>
        <v>0</v>
      </c>
      <c r="I147" s="10">
        <f t="shared" si="11"/>
        <v>0</v>
      </c>
      <c r="J147" s="10">
        <f t="shared" si="12"/>
        <v>0</v>
      </c>
      <c r="L147" s="10">
        <f t="shared" si="15"/>
        <v>59149.169045859642</v>
      </c>
      <c r="M147" s="10">
        <f t="shared" si="13"/>
        <v>15886.301369863015</v>
      </c>
    </row>
    <row r="148" spans="1:13" x14ac:dyDescent="0.25">
      <c r="C148" s="20">
        <f t="shared" si="14"/>
        <v>47573</v>
      </c>
      <c r="D148" s="6" t="s">
        <v>72</v>
      </c>
      <c r="E148" s="10">
        <f t="shared" si="10"/>
        <v>0</v>
      </c>
      <c r="F148" s="10">
        <f t="shared" si="10"/>
        <v>0</v>
      </c>
      <c r="G148" s="10"/>
      <c r="H148" s="10">
        <f t="shared" si="11"/>
        <v>0</v>
      </c>
      <c r="I148" s="10">
        <f t="shared" si="11"/>
        <v>0</v>
      </c>
      <c r="J148" s="10">
        <f t="shared" si="12"/>
        <v>0</v>
      </c>
      <c r="L148" s="10">
        <f t="shared" si="15"/>
        <v>59149.169045859642</v>
      </c>
      <c r="M148" s="10">
        <f t="shared" si="13"/>
        <v>15886.301369863015</v>
      </c>
    </row>
    <row r="149" spans="1:13" x14ac:dyDescent="0.25">
      <c r="C149" s="20">
        <f t="shared" si="14"/>
        <v>47664</v>
      </c>
      <c r="D149" s="6" t="s">
        <v>72</v>
      </c>
      <c r="E149" s="10">
        <f t="shared" si="10"/>
        <v>0</v>
      </c>
      <c r="F149" s="10">
        <f t="shared" si="10"/>
        <v>0</v>
      </c>
      <c r="G149" s="10"/>
      <c r="H149" s="10">
        <f t="shared" si="11"/>
        <v>0</v>
      </c>
      <c r="I149" s="10">
        <f t="shared" si="11"/>
        <v>0</v>
      </c>
      <c r="J149" s="10">
        <f t="shared" si="12"/>
        <v>0</v>
      </c>
      <c r="L149" s="10">
        <f t="shared" si="15"/>
        <v>59149.169045859642</v>
      </c>
      <c r="M149" s="10">
        <f t="shared" si="13"/>
        <v>15886.301369863015</v>
      </c>
    </row>
    <row r="150" spans="1:13" x14ac:dyDescent="0.25">
      <c r="C150" s="20">
        <f t="shared" si="14"/>
        <v>47756</v>
      </c>
      <c r="D150" s="6" t="s">
        <v>72</v>
      </c>
      <c r="E150" s="10">
        <f t="shared" si="10"/>
        <v>0</v>
      </c>
      <c r="F150" s="10">
        <f t="shared" si="10"/>
        <v>0</v>
      </c>
      <c r="G150" s="10"/>
      <c r="H150" s="10">
        <f t="shared" si="11"/>
        <v>0</v>
      </c>
      <c r="I150" s="10">
        <f t="shared" si="11"/>
        <v>0</v>
      </c>
      <c r="J150" s="10">
        <f t="shared" si="12"/>
        <v>0</v>
      </c>
      <c r="L150" s="10">
        <f t="shared" si="15"/>
        <v>59149.169045859642</v>
      </c>
      <c r="M150" s="10">
        <f t="shared" si="13"/>
        <v>15886.301369863015</v>
      </c>
    </row>
    <row r="151" spans="1:13" x14ac:dyDescent="0.25">
      <c r="C151" s="20">
        <f t="shared" si="14"/>
        <v>47848</v>
      </c>
      <c r="D151" s="6" t="s">
        <v>72</v>
      </c>
      <c r="E151" s="10">
        <f t="shared" si="10"/>
        <v>0</v>
      </c>
      <c r="F151" s="10">
        <f t="shared" si="10"/>
        <v>0</v>
      </c>
      <c r="G151" s="10"/>
      <c r="H151" s="10">
        <f t="shared" si="11"/>
        <v>0</v>
      </c>
      <c r="I151" s="10">
        <f t="shared" si="11"/>
        <v>0</v>
      </c>
      <c r="J151" s="10">
        <f t="shared" si="12"/>
        <v>0</v>
      </c>
      <c r="L151" s="10">
        <f t="shared" si="15"/>
        <v>59149.169045859642</v>
      </c>
      <c r="M151" s="10">
        <f t="shared" si="13"/>
        <v>15886.301369863015</v>
      </c>
    </row>
    <row r="152" spans="1:13" x14ac:dyDescent="0.25">
      <c r="C152" s="20">
        <f t="shared" si="14"/>
        <v>47938</v>
      </c>
      <c r="D152" s="6" t="s">
        <v>72</v>
      </c>
      <c r="E152" s="10">
        <f t="shared" si="10"/>
        <v>0</v>
      </c>
      <c r="F152" s="10">
        <f t="shared" si="10"/>
        <v>0</v>
      </c>
      <c r="G152" s="10"/>
      <c r="H152" s="10">
        <f t="shared" si="11"/>
        <v>0</v>
      </c>
      <c r="I152" s="10">
        <f t="shared" si="11"/>
        <v>0</v>
      </c>
      <c r="J152" s="10">
        <f t="shared" si="12"/>
        <v>0</v>
      </c>
      <c r="L152" s="10">
        <f t="shared" si="15"/>
        <v>59149.169045859642</v>
      </c>
      <c r="M152" s="10">
        <f t="shared" si="13"/>
        <v>15886.301369863015</v>
      </c>
    </row>
    <row r="153" spans="1:13" x14ac:dyDescent="0.25">
      <c r="C153" s="20">
        <f t="shared" si="14"/>
        <v>48029</v>
      </c>
      <c r="D153" s="6" t="s">
        <v>72</v>
      </c>
      <c r="E153" s="10">
        <f t="shared" si="10"/>
        <v>0</v>
      </c>
      <c r="F153" s="10">
        <f t="shared" si="10"/>
        <v>0</v>
      </c>
      <c r="G153" s="10"/>
      <c r="H153" s="10">
        <f t="shared" si="11"/>
        <v>0</v>
      </c>
      <c r="I153" s="10">
        <f t="shared" si="11"/>
        <v>0</v>
      </c>
      <c r="J153" s="10">
        <f t="shared" si="12"/>
        <v>0</v>
      </c>
      <c r="L153" s="10">
        <f t="shared" si="15"/>
        <v>59149.169045859642</v>
      </c>
      <c r="M153" s="10">
        <f t="shared" si="13"/>
        <v>15886.301369863015</v>
      </c>
    </row>
    <row r="154" spans="1:13" x14ac:dyDescent="0.25">
      <c r="C154" s="20">
        <f t="shared" si="14"/>
        <v>48121</v>
      </c>
      <c r="D154" s="6" t="s">
        <v>72</v>
      </c>
      <c r="E154" s="10">
        <f t="shared" si="10"/>
        <v>0</v>
      </c>
      <c r="F154" s="10">
        <f t="shared" si="10"/>
        <v>0</v>
      </c>
      <c r="G154" s="10"/>
      <c r="H154" s="10">
        <f t="shared" si="11"/>
        <v>0</v>
      </c>
      <c r="I154" s="10">
        <f t="shared" si="11"/>
        <v>0</v>
      </c>
      <c r="J154" s="10">
        <f t="shared" si="12"/>
        <v>0</v>
      </c>
      <c r="L154" s="10">
        <f t="shared" si="15"/>
        <v>59149.169045859642</v>
      </c>
      <c r="M154" s="10">
        <f t="shared" si="13"/>
        <v>15886.301369863015</v>
      </c>
    </row>
    <row r="155" spans="1:13" x14ac:dyDescent="0.25">
      <c r="C155" s="14" t="s">
        <v>76</v>
      </c>
      <c r="D155" s="6" t="s">
        <v>72</v>
      </c>
      <c r="E155" s="18">
        <f>SUM(E134:E154)</f>
        <v>24940.107810601057</v>
      </c>
      <c r="F155" s="18">
        <f>SUM(F134:F154)</f>
        <v>24940.107810601057</v>
      </c>
      <c r="G155" s="18"/>
      <c r="H155" s="18">
        <f>SUM(H134:H154)</f>
        <v>4634.4767123287666</v>
      </c>
      <c r="I155" s="18">
        <f>SUM(I134:I154)</f>
        <v>4634.4767123287666</v>
      </c>
      <c r="J155" s="18">
        <f t="shared" si="12"/>
        <v>59149.169045859649</v>
      </c>
    </row>
    <row r="156" spans="1:13" x14ac:dyDescent="0.25">
      <c r="C156" s="5" t="s">
        <v>129</v>
      </c>
      <c r="D156" s="6" t="s">
        <v>20</v>
      </c>
      <c r="E156" s="21" t="str">
        <f>IF(ABS(E155-E126)&lt;0.01,"OK","CHECK")</f>
        <v>OK</v>
      </c>
      <c r="F156" s="21" t="str">
        <f>IF(ABS(F155-F126)&lt;0.01,"OK","CHECK")</f>
        <v>OK</v>
      </c>
      <c r="G156" s="21"/>
      <c r="H156" s="21" t="str">
        <f>IF(ABS(H155-H126)&lt;0.01,"OK","CHECK")</f>
        <v>OK</v>
      </c>
      <c r="I156" s="21" t="str">
        <f>IF(ABS(I155-I126)&lt;0.01,"OK","CHECK")</f>
        <v>OK</v>
      </c>
    </row>
    <row r="158" spans="1:13" x14ac:dyDescent="0.25">
      <c r="A158" s="33" t="s">
        <v>2</v>
      </c>
      <c r="B158" s="33"/>
      <c r="C158" s="33" t="s">
        <v>143</v>
      </c>
      <c r="D158" s="33"/>
      <c r="E158" s="34" t="s">
        <v>130</v>
      </c>
      <c r="F158" s="34" t="s">
        <v>144</v>
      </c>
      <c r="G158" s="34"/>
      <c r="H158" s="34" t="s">
        <v>145</v>
      </c>
      <c r="I158" s="34" t="s">
        <v>146</v>
      </c>
    </row>
    <row r="159" spans="1:13" x14ac:dyDescent="0.25">
      <c r="A159" s="32"/>
      <c r="B159" s="32"/>
      <c r="C159" s="35" t="s">
        <v>147</v>
      </c>
      <c r="D159" s="36" t="s">
        <v>148</v>
      </c>
      <c r="E159" s="37">
        <v>0.2</v>
      </c>
      <c r="F159" s="38"/>
      <c r="G159" s="38"/>
      <c r="H159" s="38"/>
      <c r="I159" s="38"/>
    </row>
    <row r="160" spans="1:13" x14ac:dyDescent="0.25">
      <c r="A160" s="32"/>
      <c r="B160" s="32"/>
      <c r="C160" s="32" t="s">
        <v>131</v>
      </c>
      <c r="D160" s="39" t="s">
        <v>32</v>
      </c>
      <c r="E160" s="40"/>
      <c r="F160" s="42"/>
      <c r="G160" s="42"/>
      <c r="H160" s="43">
        <v>0</v>
      </c>
      <c r="I160" s="44">
        <f t="shared" ref="I160:I169" si="16">H160*$E$159</f>
        <v>0</v>
      </c>
    </row>
    <row r="161" spans="1:9" x14ac:dyDescent="0.25">
      <c r="A161" s="32"/>
      <c r="B161" s="32"/>
      <c r="C161" s="32" t="s">
        <v>132</v>
      </c>
      <c r="D161" s="39" t="s">
        <v>32</v>
      </c>
      <c r="E161" s="48">
        <v>10</v>
      </c>
      <c r="F161" s="45">
        <v>0</v>
      </c>
      <c r="G161" s="45"/>
      <c r="H161" s="43">
        <v>10</v>
      </c>
      <c r="I161" s="44">
        <f t="shared" si="16"/>
        <v>2</v>
      </c>
    </row>
    <row r="162" spans="1:9" x14ac:dyDescent="0.25">
      <c r="A162" s="32"/>
      <c r="B162" s="32"/>
      <c r="C162" s="32" t="s">
        <v>133</v>
      </c>
      <c r="D162" s="39" t="s">
        <v>32</v>
      </c>
      <c r="E162" s="48">
        <v>15</v>
      </c>
      <c r="F162" s="45">
        <v>0</v>
      </c>
      <c r="G162" s="45"/>
      <c r="H162" s="43">
        <v>20</v>
      </c>
      <c r="I162" s="44">
        <f t="shared" si="16"/>
        <v>4</v>
      </c>
    </row>
    <row r="163" spans="1:9" x14ac:dyDescent="0.25">
      <c r="A163" s="32"/>
      <c r="B163" s="32"/>
      <c r="C163" s="32" t="s">
        <v>134</v>
      </c>
      <c r="D163" s="39" t="s">
        <v>32</v>
      </c>
      <c r="E163" s="48">
        <v>20</v>
      </c>
      <c r="F163" s="45">
        <v>0</v>
      </c>
      <c r="G163" s="45"/>
      <c r="H163" s="43">
        <v>30</v>
      </c>
      <c r="I163" s="44">
        <f t="shared" si="16"/>
        <v>6</v>
      </c>
    </row>
    <row r="164" spans="1:9" x14ac:dyDescent="0.25">
      <c r="A164" s="32"/>
      <c r="B164" s="32"/>
      <c r="C164" s="32" t="s">
        <v>135</v>
      </c>
      <c r="D164" s="39" t="s">
        <v>32</v>
      </c>
      <c r="E164" s="48">
        <v>25</v>
      </c>
      <c r="F164" s="45">
        <v>0</v>
      </c>
      <c r="G164" s="45"/>
      <c r="H164" s="43">
        <v>40</v>
      </c>
      <c r="I164" s="44">
        <f t="shared" si="16"/>
        <v>8</v>
      </c>
    </row>
    <row r="165" spans="1:9" x14ac:dyDescent="0.25">
      <c r="A165" s="32"/>
      <c r="B165" s="32"/>
      <c r="C165" s="32" t="s">
        <v>136</v>
      </c>
      <c r="D165" s="39" t="s">
        <v>32</v>
      </c>
      <c r="E165" s="48">
        <v>30</v>
      </c>
      <c r="F165" s="45">
        <v>0</v>
      </c>
      <c r="G165" s="45"/>
      <c r="H165" s="43">
        <v>55</v>
      </c>
      <c r="I165" s="44">
        <f t="shared" si="16"/>
        <v>11</v>
      </c>
    </row>
    <row r="166" spans="1:9" x14ac:dyDescent="0.25">
      <c r="A166" s="32"/>
      <c r="B166" s="32"/>
      <c r="C166" s="32" t="s">
        <v>137</v>
      </c>
      <c r="D166" s="39" t="s">
        <v>32</v>
      </c>
      <c r="E166" s="48">
        <v>35</v>
      </c>
      <c r="F166" s="45">
        <v>0</v>
      </c>
      <c r="G166" s="45"/>
      <c r="H166" s="43">
        <v>70</v>
      </c>
      <c r="I166" s="44">
        <f t="shared" si="16"/>
        <v>14</v>
      </c>
    </row>
    <row r="167" spans="1:9" x14ac:dyDescent="0.25">
      <c r="A167" s="32"/>
      <c r="B167" s="32"/>
      <c r="C167" s="32" t="s">
        <v>138</v>
      </c>
      <c r="D167" s="39" t="s">
        <v>32</v>
      </c>
      <c r="E167" s="48">
        <v>40</v>
      </c>
      <c r="F167" s="45">
        <v>0</v>
      </c>
      <c r="G167" s="45"/>
      <c r="H167" s="43">
        <v>80</v>
      </c>
      <c r="I167" s="44">
        <f t="shared" si="16"/>
        <v>16</v>
      </c>
    </row>
    <row r="168" spans="1:9" x14ac:dyDescent="0.25">
      <c r="A168" s="32"/>
      <c r="B168" s="32"/>
      <c r="C168" s="32" t="s">
        <v>139</v>
      </c>
      <c r="D168" s="39" t="s">
        <v>32</v>
      </c>
      <c r="E168" s="48">
        <v>45</v>
      </c>
      <c r="F168" s="45">
        <v>0</v>
      </c>
      <c r="G168" s="45"/>
      <c r="H168" s="43">
        <v>90</v>
      </c>
      <c r="I168" s="44">
        <f t="shared" si="16"/>
        <v>18</v>
      </c>
    </row>
    <row r="169" spans="1:9" x14ac:dyDescent="0.25">
      <c r="A169" s="32"/>
      <c r="B169" s="32"/>
      <c r="C169" s="32" t="s">
        <v>140</v>
      </c>
      <c r="D169" s="39" t="s">
        <v>32</v>
      </c>
      <c r="E169" s="48">
        <v>50</v>
      </c>
      <c r="F169" s="45">
        <v>1</v>
      </c>
      <c r="G169" s="45"/>
      <c r="H169" s="43">
        <v>100</v>
      </c>
      <c r="I169" s="44">
        <f t="shared" si="16"/>
        <v>20</v>
      </c>
    </row>
    <row r="171" spans="1:9" x14ac:dyDescent="0.25">
      <c r="A171" s="32"/>
      <c r="B171" s="32"/>
      <c r="C171" s="35" t="s">
        <v>149</v>
      </c>
      <c r="D171" s="46" t="s">
        <v>148</v>
      </c>
      <c r="E171" s="37">
        <v>0.15</v>
      </c>
      <c r="F171" s="38"/>
      <c r="G171" s="38"/>
      <c r="H171" s="38"/>
      <c r="I171" s="38"/>
    </row>
    <row r="172" spans="1:9" x14ac:dyDescent="0.25">
      <c r="A172" s="32"/>
      <c r="B172" s="32"/>
      <c r="C172" s="32" t="s">
        <v>131</v>
      </c>
      <c r="D172" s="39" t="s">
        <v>32</v>
      </c>
      <c r="E172" s="40"/>
      <c r="F172" s="42"/>
      <c r="G172" s="42"/>
      <c r="H172" s="43">
        <v>0</v>
      </c>
      <c r="I172" s="44">
        <f t="shared" ref="I172:I183" si="17">H172*$E$171</f>
        <v>0</v>
      </c>
    </row>
    <row r="173" spans="1:9" x14ac:dyDescent="0.25">
      <c r="A173" s="32"/>
      <c r="B173" s="32"/>
      <c r="C173" s="32" t="s">
        <v>132</v>
      </c>
      <c r="D173" s="39" t="s">
        <v>32</v>
      </c>
      <c r="E173" s="49">
        <v>2</v>
      </c>
      <c r="F173" s="45">
        <v>0</v>
      </c>
      <c r="G173" s="45"/>
      <c r="H173" s="43">
        <v>5</v>
      </c>
      <c r="I173" s="44">
        <f t="shared" si="17"/>
        <v>0.75</v>
      </c>
    </row>
    <row r="174" spans="1:9" x14ac:dyDescent="0.25">
      <c r="A174" s="32"/>
      <c r="B174" s="32"/>
      <c r="C174" s="32" t="s">
        <v>133</v>
      </c>
      <c r="D174" s="39" t="s">
        <v>32</v>
      </c>
      <c r="E174" s="49">
        <v>2.1</v>
      </c>
      <c r="F174" s="45">
        <v>0</v>
      </c>
      <c r="G174" s="45"/>
      <c r="H174" s="43">
        <v>10</v>
      </c>
      <c r="I174" s="44">
        <f t="shared" si="17"/>
        <v>1.5</v>
      </c>
    </row>
    <row r="175" spans="1:9" x14ac:dyDescent="0.25">
      <c r="A175" s="32"/>
      <c r="B175" s="32"/>
      <c r="C175" s="32" t="s">
        <v>134</v>
      </c>
      <c r="D175" s="39" t="s">
        <v>32</v>
      </c>
      <c r="E175" s="49">
        <v>2.2000000000000002</v>
      </c>
      <c r="F175" s="45">
        <v>0</v>
      </c>
      <c r="G175" s="45"/>
      <c r="H175" s="43">
        <v>20</v>
      </c>
      <c r="I175" s="44">
        <f t="shared" si="17"/>
        <v>3</v>
      </c>
    </row>
    <row r="176" spans="1:9" x14ac:dyDescent="0.25">
      <c r="A176" s="32"/>
      <c r="B176" s="32"/>
      <c r="C176" s="32" t="s">
        <v>135</v>
      </c>
      <c r="D176" s="39" t="s">
        <v>32</v>
      </c>
      <c r="E176" s="49">
        <v>2.2999999999999998</v>
      </c>
      <c r="F176" s="45">
        <v>0</v>
      </c>
      <c r="G176" s="45"/>
      <c r="H176" s="43">
        <v>30</v>
      </c>
      <c r="I176" s="44">
        <f t="shared" si="17"/>
        <v>4.5</v>
      </c>
    </row>
    <row r="177" spans="1:9" x14ac:dyDescent="0.25">
      <c r="A177" s="32"/>
      <c r="B177" s="32"/>
      <c r="C177" s="32" t="s">
        <v>136</v>
      </c>
      <c r="D177" s="39" t="s">
        <v>32</v>
      </c>
      <c r="E177" s="49">
        <v>2.4</v>
      </c>
      <c r="F177" s="45">
        <v>0</v>
      </c>
      <c r="G177" s="45"/>
      <c r="H177" s="43">
        <v>40</v>
      </c>
      <c r="I177" s="44">
        <f t="shared" si="17"/>
        <v>6</v>
      </c>
    </row>
    <row r="178" spans="1:9" x14ac:dyDescent="0.25">
      <c r="A178" s="32"/>
      <c r="B178" s="32"/>
      <c r="C178" s="32" t="s">
        <v>137</v>
      </c>
      <c r="D178" s="39" t="s">
        <v>32</v>
      </c>
      <c r="E178" s="49">
        <v>2.5</v>
      </c>
      <c r="F178" s="45">
        <v>0</v>
      </c>
      <c r="G178" s="45"/>
      <c r="H178" s="43">
        <v>50</v>
      </c>
      <c r="I178" s="44">
        <f t="shared" si="17"/>
        <v>7.5</v>
      </c>
    </row>
    <row r="179" spans="1:9" x14ac:dyDescent="0.25">
      <c r="A179" s="32"/>
      <c r="B179" s="32"/>
      <c r="C179" s="32" t="s">
        <v>138</v>
      </c>
      <c r="D179" s="39" t="s">
        <v>32</v>
      </c>
      <c r="E179" s="49">
        <v>2.6</v>
      </c>
      <c r="F179" s="45">
        <v>0</v>
      </c>
      <c r="G179" s="45"/>
      <c r="H179" s="43">
        <v>60</v>
      </c>
      <c r="I179" s="44">
        <f t="shared" si="17"/>
        <v>9</v>
      </c>
    </row>
    <row r="180" spans="1:9" x14ac:dyDescent="0.25">
      <c r="A180" s="32"/>
      <c r="B180" s="32"/>
      <c r="C180" s="32" t="s">
        <v>139</v>
      </c>
      <c r="D180" s="39" t="s">
        <v>32</v>
      </c>
      <c r="E180" s="49">
        <v>2.7</v>
      </c>
      <c r="F180" s="45">
        <v>0</v>
      </c>
      <c r="G180" s="45"/>
      <c r="H180" s="43">
        <v>70</v>
      </c>
      <c r="I180" s="44">
        <f t="shared" si="17"/>
        <v>10.5</v>
      </c>
    </row>
    <row r="181" spans="1:9" x14ac:dyDescent="0.25">
      <c r="A181" s="32"/>
      <c r="B181" s="32"/>
      <c r="C181" s="32" t="s">
        <v>140</v>
      </c>
      <c r="D181" s="39" t="s">
        <v>32</v>
      </c>
      <c r="E181" s="49">
        <v>2.8</v>
      </c>
      <c r="F181" s="45">
        <v>0</v>
      </c>
      <c r="G181" s="45"/>
      <c r="H181" s="43">
        <v>80</v>
      </c>
      <c r="I181" s="44">
        <f t="shared" si="17"/>
        <v>12</v>
      </c>
    </row>
    <row r="182" spans="1:9" x14ac:dyDescent="0.25">
      <c r="A182" s="32"/>
      <c r="B182" s="32"/>
      <c r="C182" s="32" t="s">
        <v>141</v>
      </c>
      <c r="D182" s="39" t="s">
        <v>32</v>
      </c>
      <c r="E182" s="49">
        <v>2.9</v>
      </c>
      <c r="F182" s="45">
        <v>0</v>
      </c>
      <c r="G182" s="45"/>
      <c r="H182" s="43">
        <v>90</v>
      </c>
      <c r="I182" s="44">
        <f t="shared" si="17"/>
        <v>13.5</v>
      </c>
    </row>
    <row r="183" spans="1:9" x14ac:dyDescent="0.25">
      <c r="A183" s="32"/>
      <c r="B183" s="32"/>
      <c r="C183" s="32" t="s">
        <v>150</v>
      </c>
      <c r="D183" s="39" t="s">
        <v>32</v>
      </c>
      <c r="E183" s="49">
        <v>3</v>
      </c>
      <c r="F183" s="45">
        <v>1</v>
      </c>
      <c r="G183" s="45"/>
      <c r="H183" s="43">
        <v>100</v>
      </c>
      <c r="I183" s="44">
        <f t="shared" si="17"/>
        <v>15</v>
      </c>
    </row>
    <row r="185" spans="1:9" x14ac:dyDescent="0.25">
      <c r="A185" s="32"/>
      <c r="B185" s="32"/>
      <c r="C185" s="35" t="s">
        <v>151</v>
      </c>
      <c r="D185" s="46" t="s">
        <v>148</v>
      </c>
      <c r="E185" s="37">
        <v>0.1</v>
      </c>
      <c r="F185" s="38"/>
      <c r="G185" s="38"/>
      <c r="H185" s="38"/>
      <c r="I185" s="38"/>
    </row>
    <row r="186" spans="1:9" x14ac:dyDescent="0.25">
      <c r="A186" s="32"/>
      <c r="B186" s="32"/>
      <c r="C186" s="32" t="s">
        <v>131</v>
      </c>
      <c r="D186" s="39" t="s">
        <v>32</v>
      </c>
      <c r="E186" s="40"/>
      <c r="F186" s="42"/>
      <c r="G186" s="42"/>
      <c r="H186" s="43">
        <v>0</v>
      </c>
      <c r="I186" s="44">
        <f t="shared" ref="I186:I196" si="18">H186*$E$185</f>
        <v>0</v>
      </c>
    </row>
    <row r="187" spans="1:9" x14ac:dyDescent="0.25">
      <c r="A187" s="32"/>
      <c r="B187" s="32"/>
      <c r="C187" s="32" t="s">
        <v>132</v>
      </c>
      <c r="D187" s="39" t="s">
        <v>32</v>
      </c>
      <c r="E187" s="50">
        <v>0.02</v>
      </c>
      <c r="F187" s="45">
        <v>0</v>
      </c>
      <c r="G187" s="45"/>
      <c r="H187" s="43">
        <v>10</v>
      </c>
      <c r="I187" s="44">
        <f t="shared" si="18"/>
        <v>1</v>
      </c>
    </row>
    <row r="188" spans="1:9" x14ac:dyDescent="0.25">
      <c r="A188" s="32"/>
      <c r="B188" s="32"/>
      <c r="C188" s="32" t="s">
        <v>133</v>
      </c>
      <c r="D188" s="39" t="s">
        <v>32</v>
      </c>
      <c r="E188" s="50">
        <v>0.05</v>
      </c>
      <c r="F188" s="45">
        <v>1</v>
      </c>
      <c r="G188" s="45"/>
      <c r="H188" s="43">
        <v>20</v>
      </c>
      <c r="I188" s="44">
        <f t="shared" si="18"/>
        <v>2</v>
      </c>
    </row>
    <row r="189" spans="1:9" x14ac:dyDescent="0.25">
      <c r="A189" s="32"/>
      <c r="B189" s="32"/>
      <c r="C189" s="32" t="s">
        <v>134</v>
      </c>
      <c r="D189" s="39" t="s">
        <v>32</v>
      </c>
      <c r="E189" s="50">
        <v>0.1</v>
      </c>
      <c r="F189" s="45">
        <v>1</v>
      </c>
      <c r="G189" s="45"/>
      <c r="H189" s="43">
        <v>30</v>
      </c>
      <c r="I189" s="44">
        <f t="shared" si="18"/>
        <v>3</v>
      </c>
    </row>
    <row r="190" spans="1:9" x14ac:dyDescent="0.25">
      <c r="A190" s="32"/>
      <c r="B190" s="32"/>
      <c r="C190" s="32" t="s">
        <v>135</v>
      </c>
      <c r="D190" s="39" t="s">
        <v>32</v>
      </c>
      <c r="E190" s="50">
        <v>0.15</v>
      </c>
      <c r="F190" s="45">
        <v>1</v>
      </c>
      <c r="G190" s="45"/>
      <c r="H190" s="43">
        <v>40</v>
      </c>
      <c r="I190" s="44">
        <f t="shared" si="18"/>
        <v>4</v>
      </c>
    </row>
    <row r="191" spans="1:9" x14ac:dyDescent="0.25">
      <c r="A191" s="32"/>
      <c r="B191" s="32"/>
      <c r="C191" s="32" t="s">
        <v>136</v>
      </c>
      <c r="D191" s="39" t="s">
        <v>32</v>
      </c>
      <c r="E191" s="50">
        <v>0.2</v>
      </c>
      <c r="F191" s="45">
        <v>1</v>
      </c>
      <c r="G191" s="45"/>
      <c r="H191" s="43">
        <v>50</v>
      </c>
      <c r="I191" s="44">
        <f t="shared" si="18"/>
        <v>5</v>
      </c>
    </row>
    <row r="192" spans="1:9" x14ac:dyDescent="0.25">
      <c r="A192" s="32"/>
      <c r="B192" s="32"/>
      <c r="C192" s="32" t="s">
        <v>137</v>
      </c>
      <c r="D192" s="39" t="s">
        <v>32</v>
      </c>
      <c r="E192" s="50">
        <v>0.25</v>
      </c>
      <c r="F192" s="45">
        <v>1</v>
      </c>
      <c r="G192" s="45"/>
      <c r="H192" s="43">
        <v>60</v>
      </c>
      <c r="I192" s="44">
        <f t="shared" si="18"/>
        <v>6</v>
      </c>
    </row>
    <row r="193" spans="1:9" x14ac:dyDescent="0.25">
      <c r="A193" s="32"/>
      <c r="B193" s="32"/>
      <c r="C193" s="32" t="s">
        <v>138</v>
      </c>
      <c r="D193" s="39" t="s">
        <v>32</v>
      </c>
      <c r="E193" s="50">
        <v>0.3</v>
      </c>
      <c r="F193" s="45">
        <v>1</v>
      </c>
      <c r="G193" s="45"/>
      <c r="H193" s="43">
        <v>70</v>
      </c>
      <c r="I193" s="44">
        <f t="shared" si="18"/>
        <v>7</v>
      </c>
    </row>
    <row r="194" spans="1:9" x14ac:dyDescent="0.25">
      <c r="A194" s="32"/>
      <c r="B194" s="32"/>
      <c r="C194" s="32" t="s">
        <v>139</v>
      </c>
      <c r="D194" s="39" t="s">
        <v>32</v>
      </c>
      <c r="E194" s="50">
        <v>0.35</v>
      </c>
      <c r="F194" s="45">
        <v>1</v>
      </c>
      <c r="G194" s="45"/>
      <c r="H194" s="43">
        <v>80</v>
      </c>
      <c r="I194" s="44">
        <f t="shared" si="18"/>
        <v>8</v>
      </c>
    </row>
    <row r="195" spans="1:9" x14ac:dyDescent="0.25">
      <c r="A195" s="32"/>
      <c r="B195" s="32"/>
      <c r="C195" s="32" t="s">
        <v>140</v>
      </c>
      <c r="D195" s="39" t="s">
        <v>32</v>
      </c>
      <c r="E195" s="50">
        <v>0.4</v>
      </c>
      <c r="F195" s="45">
        <v>1</v>
      </c>
      <c r="G195" s="45"/>
      <c r="H195" s="43">
        <v>90</v>
      </c>
      <c r="I195" s="44">
        <f t="shared" si="18"/>
        <v>9</v>
      </c>
    </row>
    <row r="196" spans="1:9" x14ac:dyDescent="0.25">
      <c r="A196" s="32"/>
      <c r="B196" s="32"/>
      <c r="C196" s="32" t="s">
        <v>141</v>
      </c>
      <c r="D196" s="39" t="s">
        <v>32</v>
      </c>
      <c r="E196" s="50">
        <v>0.5</v>
      </c>
      <c r="F196" s="45">
        <v>0</v>
      </c>
      <c r="G196" s="45"/>
      <c r="H196" s="43">
        <v>100</v>
      </c>
      <c r="I196" s="44">
        <f t="shared" si="18"/>
        <v>10</v>
      </c>
    </row>
    <row r="198" spans="1:9" x14ac:dyDescent="0.25">
      <c r="A198" s="32"/>
      <c r="B198" s="32"/>
      <c r="C198" s="35" t="s">
        <v>152</v>
      </c>
      <c r="D198" s="46" t="s">
        <v>148</v>
      </c>
      <c r="E198" s="37">
        <v>0.15</v>
      </c>
      <c r="F198" s="38"/>
      <c r="G198" s="38"/>
      <c r="H198" s="38"/>
      <c r="I198" s="38"/>
    </row>
    <row r="199" spans="1:9" x14ac:dyDescent="0.25">
      <c r="A199" s="32"/>
      <c r="B199" s="32"/>
      <c r="C199" s="32" t="s">
        <v>131</v>
      </c>
      <c r="D199" s="39" t="s">
        <v>32</v>
      </c>
      <c r="E199" s="40"/>
      <c r="F199" s="42"/>
      <c r="G199" s="42"/>
      <c r="H199" s="43">
        <v>0</v>
      </c>
      <c r="I199" s="44">
        <f t="shared" ref="I199:I209" si="19">H199*$E$198</f>
        <v>0</v>
      </c>
    </row>
    <row r="200" spans="1:9" x14ac:dyDescent="0.25">
      <c r="A200" s="32"/>
      <c r="B200" s="32"/>
      <c r="C200" s="32" t="s">
        <v>132</v>
      </c>
      <c r="D200" s="39" t="s">
        <v>32</v>
      </c>
      <c r="E200" s="50">
        <v>0.02</v>
      </c>
      <c r="F200" s="45">
        <v>0</v>
      </c>
      <c r="G200" s="45"/>
      <c r="H200" s="43">
        <v>10</v>
      </c>
      <c r="I200" s="44">
        <f t="shared" si="19"/>
        <v>1.5</v>
      </c>
    </row>
    <row r="201" spans="1:9" x14ac:dyDescent="0.25">
      <c r="A201" s="32"/>
      <c r="B201" s="32"/>
      <c r="C201" s="32" t="s">
        <v>133</v>
      </c>
      <c r="D201" s="39" t="s">
        <v>32</v>
      </c>
      <c r="E201" s="50">
        <v>0.05</v>
      </c>
      <c r="F201" s="45">
        <v>1</v>
      </c>
      <c r="G201" s="45"/>
      <c r="H201" s="43">
        <v>20</v>
      </c>
      <c r="I201" s="44">
        <f t="shared" si="19"/>
        <v>3</v>
      </c>
    </row>
    <row r="202" spans="1:9" x14ac:dyDescent="0.25">
      <c r="A202" s="32"/>
      <c r="B202" s="32"/>
      <c r="C202" s="32" t="s">
        <v>134</v>
      </c>
      <c r="D202" s="39" t="s">
        <v>32</v>
      </c>
      <c r="E202" s="50">
        <v>0.1</v>
      </c>
      <c r="F202" s="45">
        <v>1</v>
      </c>
      <c r="G202" s="45"/>
      <c r="H202" s="43">
        <v>30</v>
      </c>
      <c r="I202" s="44">
        <f t="shared" si="19"/>
        <v>4.5</v>
      </c>
    </row>
    <row r="203" spans="1:9" x14ac:dyDescent="0.25">
      <c r="A203" s="32"/>
      <c r="B203" s="32"/>
      <c r="C203" s="32" t="s">
        <v>135</v>
      </c>
      <c r="D203" s="39" t="s">
        <v>32</v>
      </c>
      <c r="E203" s="50">
        <v>0.15</v>
      </c>
      <c r="F203" s="45">
        <v>1</v>
      </c>
      <c r="G203" s="45"/>
      <c r="H203" s="43">
        <v>40</v>
      </c>
      <c r="I203" s="44">
        <f t="shared" si="19"/>
        <v>6</v>
      </c>
    </row>
    <row r="204" spans="1:9" x14ac:dyDescent="0.25">
      <c r="A204" s="32"/>
      <c r="B204" s="32"/>
      <c r="C204" s="32" t="s">
        <v>136</v>
      </c>
      <c r="D204" s="39" t="s">
        <v>32</v>
      </c>
      <c r="E204" s="50">
        <v>0.2</v>
      </c>
      <c r="F204" s="45">
        <v>1</v>
      </c>
      <c r="G204" s="45"/>
      <c r="H204" s="43">
        <v>50</v>
      </c>
      <c r="I204" s="44">
        <f t="shared" si="19"/>
        <v>7.5</v>
      </c>
    </row>
    <row r="205" spans="1:9" x14ac:dyDescent="0.25">
      <c r="A205" s="32"/>
      <c r="B205" s="32"/>
      <c r="C205" s="32" t="s">
        <v>137</v>
      </c>
      <c r="D205" s="39" t="s">
        <v>32</v>
      </c>
      <c r="E205" s="50">
        <v>0.25</v>
      </c>
      <c r="F205" s="45">
        <v>1</v>
      </c>
      <c r="G205" s="45"/>
      <c r="H205" s="43">
        <v>60</v>
      </c>
      <c r="I205" s="44">
        <f t="shared" si="19"/>
        <v>9</v>
      </c>
    </row>
    <row r="206" spans="1:9" x14ac:dyDescent="0.25">
      <c r="A206" s="32"/>
      <c r="B206" s="32"/>
      <c r="C206" s="32" t="s">
        <v>138</v>
      </c>
      <c r="D206" s="39" t="s">
        <v>32</v>
      </c>
      <c r="E206" s="50">
        <v>0.3</v>
      </c>
      <c r="F206" s="45">
        <v>1</v>
      </c>
      <c r="G206" s="45"/>
      <c r="H206" s="43">
        <v>70</v>
      </c>
      <c r="I206" s="44">
        <f t="shared" si="19"/>
        <v>10.5</v>
      </c>
    </row>
    <row r="207" spans="1:9" x14ac:dyDescent="0.25">
      <c r="A207" s="32"/>
      <c r="B207" s="32"/>
      <c r="C207" s="32" t="s">
        <v>139</v>
      </c>
      <c r="D207" s="39" t="s">
        <v>32</v>
      </c>
      <c r="E207" s="50">
        <v>0.35</v>
      </c>
      <c r="F207" s="45">
        <v>1</v>
      </c>
      <c r="G207" s="45"/>
      <c r="H207" s="43">
        <v>80</v>
      </c>
      <c r="I207" s="44">
        <f t="shared" si="19"/>
        <v>12</v>
      </c>
    </row>
    <row r="208" spans="1:9" x14ac:dyDescent="0.25">
      <c r="A208" s="32"/>
      <c r="B208" s="32"/>
      <c r="C208" s="32" t="s">
        <v>140</v>
      </c>
      <c r="D208" s="39" t="s">
        <v>32</v>
      </c>
      <c r="E208" s="50">
        <v>0.4</v>
      </c>
      <c r="F208" s="45">
        <v>1</v>
      </c>
      <c r="G208" s="45"/>
      <c r="H208" s="43">
        <v>90</v>
      </c>
      <c r="I208" s="44">
        <f t="shared" si="19"/>
        <v>13.5</v>
      </c>
    </row>
    <row r="209" spans="1:9" x14ac:dyDescent="0.25">
      <c r="A209" s="32"/>
      <c r="B209" s="32"/>
      <c r="C209" s="32" t="s">
        <v>141</v>
      </c>
      <c r="D209" s="39" t="s">
        <v>32</v>
      </c>
      <c r="E209" s="50">
        <v>0.5</v>
      </c>
      <c r="F209" s="45">
        <v>0</v>
      </c>
      <c r="G209" s="45"/>
      <c r="H209" s="43">
        <v>100</v>
      </c>
      <c r="I209" s="44">
        <f t="shared" si="19"/>
        <v>15</v>
      </c>
    </row>
    <row r="211" spans="1:9" x14ac:dyDescent="0.25">
      <c r="A211" s="32"/>
      <c r="B211" s="32"/>
      <c r="C211" s="35" t="s">
        <v>153</v>
      </c>
      <c r="D211" s="46" t="s">
        <v>148</v>
      </c>
      <c r="E211" s="37">
        <v>0.05</v>
      </c>
      <c r="F211" s="38"/>
      <c r="G211" s="38"/>
      <c r="H211" s="38"/>
      <c r="I211" s="38"/>
    </row>
    <row r="212" spans="1:9" x14ac:dyDescent="0.25">
      <c r="A212" s="32"/>
      <c r="B212" s="32"/>
      <c r="C212" s="32" t="s">
        <v>131</v>
      </c>
      <c r="D212" s="39" t="s">
        <v>32</v>
      </c>
      <c r="E212" s="40"/>
      <c r="F212" s="42"/>
      <c r="G212" s="42"/>
      <c r="H212" s="43">
        <v>0</v>
      </c>
      <c r="I212" s="44">
        <f t="shared" ref="I212:I222" si="20">H212*$E$211</f>
        <v>0</v>
      </c>
    </row>
    <row r="213" spans="1:9" x14ac:dyDescent="0.25">
      <c r="A213" s="32"/>
      <c r="B213" s="32"/>
      <c r="C213" s="32" t="s">
        <v>132</v>
      </c>
      <c r="D213" s="39" t="s">
        <v>32</v>
      </c>
      <c r="E213" s="51">
        <v>1</v>
      </c>
      <c r="F213" s="45">
        <v>0</v>
      </c>
      <c r="G213" s="45"/>
      <c r="H213" s="43">
        <v>10</v>
      </c>
      <c r="I213" s="44">
        <f t="shared" si="20"/>
        <v>0.5</v>
      </c>
    </row>
    <row r="214" spans="1:9" x14ac:dyDescent="0.25">
      <c r="A214" s="32"/>
      <c r="B214" s="32"/>
      <c r="C214" s="32" t="s">
        <v>133</v>
      </c>
      <c r="D214" s="39" t="s">
        <v>32</v>
      </c>
      <c r="E214" s="51">
        <v>1.2</v>
      </c>
      <c r="F214" s="45">
        <v>1</v>
      </c>
      <c r="G214" s="45"/>
      <c r="H214" s="43">
        <v>20</v>
      </c>
      <c r="I214" s="44">
        <f t="shared" si="20"/>
        <v>1</v>
      </c>
    </row>
    <row r="215" spans="1:9" x14ac:dyDescent="0.25">
      <c r="A215" s="32"/>
      <c r="B215" s="32"/>
      <c r="C215" s="32" t="s">
        <v>134</v>
      </c>
      <c r="D215" s="39" t="s">
        <v>32</v>
      </c>
      <c r="E215" s="51">
        <v>1.3</v>
      </c>
      <c r="F215" s="45">
        <v>1</v>
      </c>
      <c r="G215" s="45"/>
      <c r="H215" s="43">
        <v>30</v>
      </c>
      <c r="I215" s="44">
        <f t="shared" si="20"/>
        <v>1.5</v>
      </c>
    </row>
    <row r="216" spans="1:9" x14ac:dyDescent="0.25">
      <c r="A216" s="32"/>
      <c r="B216" s="32"/>
      <c r="C216" s="32" t="s">
        <v>135</v>
      </c>
      <c r="D216" s="39" t="s">
        <v>32</v>
      </c>
      <c r="E216" s="51">
        <v>1.4</v>
      </c>
      <c r="F216" s="45">
        <v>1</v>
      </c>
      <c r="G216" s="45"/>
      <c r="H216" s="43">
        <v>40</v>
      </c>
      <c r="I216" s="44">
        <f t="shared" si="20"/>
        <v>2</v>
      </c>
    </row>
    <row r="217" spans="1:9" x14ac:dyDescent="0.25">
      <c r="A217" s="32"/>
      <c r="B217" s="32"/>
      <c r="C217" s="32" t="s">
        <v>136</v>
      </c>
      <c r="D217" s="39" t="s">
        <v>32</v>
      </c>
      <c r="E217" s="51">
        <v>1.5</v>
      </c>
      <c r="F217" s="45">
        <v>1</v>
      </c>
      <c r="G217" s="45"/>
      <c r="H217" s="43">
        <v>50</v>
      </c>
      <c r="I217" s="44">
        <f t="shared" si="20"/>
        <v>2.5</v>
      </c>
    </row>
    <row r="218" spans="1:9" x14ac:dyDescent="0.25">
      <c r="A218" s="32"/>
      <c r="B218" s="32"/>
      <c r="C218" s="32" t="s">
        <v>137</v>
      </c>
      <c r="D218" s="39" t="s">
        <v>32</v>
      </c>
      <c r="E218" s="51">
        <v>1.6</v>
      </c>
      <c r="F218" s="45">
        <v>1</v>
      </c>
      <c r="G218" s="45"/>
      <c r="H218" s="43">
        <v>60</v>
      </c>
      <c r="I218" s="44">
        <f t="shared" si="20"/>
        <v>3</v>
      </c>
    </row>
    <row r="219" spans="1:9" x14ac:dyDescent="0.25">
      <c r="A219" s="32"/>
      <c r="B219" s="32"/>
      <c r="C219" s="32" t="s">
        <v>138</v>
      </c>
      <c r="D219" s="39" t="s">
        <v>32</v>
      </c>
      <c r="E219" s="51">
        <v>1.7</v>
      </c>
      <c r="F219" s="45">
        <v>1</v>
      </c>
      <c r="G219" s="45"/>
      <c r="H219" s="43">
        <v>70</v>
      </c>
      <c r="I219" s="44">
        <f t="shared" si="20"/>
        <v>3.5</v>
      </c>
    </row>
    <row r="220" spans="1:9" x14ac:dyDescent="0.25">
      <c r="A220" s="32"/>
      <c r="B220" s="32"/>
      <c r="C220" s="32" t="s">
        <v>139</v>
      </c>
      <c r="D220" s="39" t="s">
        <v>32</v>
      </c>
      <c r="E220" s="51">
        <v>1.8</v>
      </c>
      <c r="F220" s="45">
        <v>1</v>
      </c>
      <c r="G220" s="45"/>
      <c r="H220" s="43">
        <v>80</v>
      </c>
      <c r="I220" s="44">
        <f t="shared" si="20"/>
        <v>4</v>
      </c>
    </row>
    <row r="221" spans="1:9" x14ac:dyDescent="0.25">
      <c r="A221" s="32"/>
      <c r="B221" s="32"/>
      <c r="C221" s="32" t="s">
        <v>140</v>
      </c>
      <c r="D221" s="39" t="s">
        <v>32</v>
      </c>
      <c r="E221" s="51">
        <v>1.9</v>
      </c>
      <c r="F221" s="45">
        <v>1</v>
      </c>
      <c r="G221" s="45"/>
      <c r="H221" s="43">
        <v>90</v>
      </c>
      <c r="I221" s="44">
        <f t="shared" si="20"/>
        <v>4.5</v>
      </c>
    </row>
    <row r="222" spans="1:9" x14ac:dyDescent="0.25">
      <c r="A222" s="32"/>
      <c r="B222" s="32"/>
      <c r="C222" s="32" t="s">
        <v>141</v>
      </c>
      <c r="D222" s="39" t="s">
        <v>32</v>
      </c>
      <c r="E222" s="51">
        <v>2</v>
      </c>
      <c r="F222" s="45">
        <v>0</v>
      </c>
      <c r="G222" s="45"/>
      <c r="H222" s="43">
        <v>100</v>
      </c>
      <c r="I222" s="44">
        <f t="shared" si="20"/>
        <v>5</v>
      </c>
    </row>
    <row r="224" spans="1:9" x14ac:dyDescent="0.25">
      <c r="A224" s="32"/>
      <c r="B224" s="32"/>
      <c r="C224" s="35" t="s">
        <v>154</v>
      </c>
      <c r="D224" s="46" t="s">
        <v>148</v>
      </c>
      <c r="E224" s="38"/>
      <c r="F224" s="38"/>
      <c r="G224" s="38"/>
      <c r="H224" s="38"/>
      <c r="I224" s="38"/>
    </row>
    <row r="225" spans="1:9" x14ac:dyDescent="0.25">
      <c r="A225" s="32"/>
      <c r="B225" s="32"/>
      <c r="C225" s="32" t="s">
        <v>155</v>
      </c>
      <c r="D225" s="39" t="s">
        <v>32</v>
      </c>
      <c r="E225" s="41">
        <v>0.05</v>
      </c>
      <c r="F225" s="42"/>
      <c r="G225" s="42"/>
      <c r="H225" s="43">
        <v>100</v>
      </c>
      <c r="I225" s="44">
        <f>H225*E225</f>
        <v>5</v>
      </c>
    </row>
    <row r="226" spans="1:9" x14ac:dyDescent="0.25">
      <c r="A226" s="32"/>
      <c r="B226" s="32"/>
      <c r="C226" s="32" t="s">
        <v>156</v>
      </c>
      <c r="D226" s="39" t="s">
        <v>32</v>
      </c>
      <c r="E226" s="41">
        <v>0.1</v>
      </c>
      <c r="F226" s="42"/>
      <c r="G226" s="42"/>
      <c r="H226" s="43">
        <v>100</v>
      </c>
      <c r="I226" s="44">
        <f>H226*E226</f>
        <v>10</v>
      </c>
    </row>
    <row r="227" spans="1:9" x14ac:dyDescent="0.25">
      <c r="A227" s="32"/>
      <c r="B227" s="32"/>
      <c r="C227" s="32" t="s">
        <v>157</v>
      </c>
      <c r="D227" s="39" t="s">
        <v>32</v>
      </c>
      <c r="E227" s="41">
        <v>0.05</v>
      </c>
      <c r="F227" s="42"/>
      <c r="G227" s="42"/>
      <c r="H227" s="43">
        <v>100</v>
      </c>
      <c r="I227" s="44">
        <f>H227*E227</f>
        <v>5</v>
      </c>
    </row>
    <row r="229" spans="1:9" x14ac:dyDescent="0.25">
      <c r="A229" s="32"/>
      <c r="B229" s="32"/>
      <c r="C229" s="35" t="s">
        <v>158</v>
      </c>
      <c r="D229" s="46" t="s">
        <v>148</v>
      </c>
      <c r="E229" s="37">
        <v>0.15</v>
      </c>
      <c r="F229" s="38"/>
      <c r="G229" s="38"/>
      <c r="H229" s="38"/>
      <c r="I229" s="38"/>
    </row>
    <row r="230" spans="1:9" x14ac:dyDescent="0.25">
      <c r="A230" s="32"/>
      <c r="B230" s="32"/>
      <c r="C230" s="32" t="s">
        <v>159</v>
      </c>
      <c r="D230" s="39" t="s">
        <v>32</v>
      </c>
      <c r="E230" s="40"/>
      <c r="F230" s="42"/>
      <c r="G230" s="42"/>
      <c r="H230" s="43">
        <v>80</v>
      </c>
      <c r="I230" s="44">
        <f>H230*$E$229</f>
        <v>12</v>
      </c>
    </row>
    <row r="231" spans="1:9" x14ac:dyDescent="0.25">
      <c r="A231" s="32"/>
      <c r="B231" s="32"/>
      <c r="C231" s="32" t="s">
        <v>160</v>
      </c>
      <c r="D231" s="39" t="s">
        <v>32</v>
      </c>
      <c r="E231" s="40"/>
      <c r="F231" s="42"/>
      <c r="G231" s="42"/>
      <c r="H231" s="43">
        <v>20</v>
      </c>
      <c r="I231" s="44">
        <f>H231*$E$229</f>
        <v>3</v>
      </c>
    </row>
    <row r="233" spans="1:9" x14ac:dyDescent="0.25">
      <c r="A233" s="32"/>
      <c r="B233" s="32"/>
      <c r="C233" s="35" t="s">
        <v>161</v>
      </c>
      <c r="D233" s="46" t="s">
        <v>32</v>
      </c>
      <c r="E233" s="38"/>
      <c r="F233" s="38"/>
      <c r="G233" s="38"/>
      <c r="H233" s="38"/>
      <c r="I233" s="47">
        <f>(E159+E171+E185+E198+E211+E225+E226+E227+E229)*100</f>
        <v>100</v>
      </c>
    </row>
    <row r="235" spans="1:9" x14ac:dyDescent="0.25">
      <c r="A235" s="32"/>
      <c r="B235" s="32"/>
      <c r="C235" s="32" t="s">
        <v>142</v>
      </c>
      <c r="D235" s="32"/>
      <c r="E235" s="32"/>
      <c r="F235" s="32"/>
      <c r="G235" s="32"/>
      <c r="H235" s="32"/>
      <c r="I235" s="32"/>
    </row>
  </sheetData>
  <conditionalFormatting sqref="E156:I156">
    <cfRule type="cellIs" dxfId="1" priority="2" operator="equal">
      <formula>"OK"</formula>
    </cfRule>
    <cfRule type="cellIs" dxfId="0" priority="3" operator="equal">
      <formula>"CHECK"</formula>
    </cfRule>
  </conditionalFormatting>
  <pageMargins left="0.75" right="0.75" top="1" bottom="1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Bid_Deposits_Devex</vt:lpstr>
      <vt:lpstr>Days_In_Year</vt:lpstr>
      <vt:lpstr>Million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Zádeczki Zalán</cp:lastModifiedBy>
  <cp:revision>0</cp:revision>
  <dcterms:created xsi:type="dcterms:W3CDTF">2026-10-19T14:03:36Z</dcterms:created>
  <dcterms:modified xsi:type="dcterms:W3CDTF">2026-10-26T09:52:32Z</dcterms:modified>
  <dc:language>en-US</dc:language>
</cp:coreProperties>
</file>