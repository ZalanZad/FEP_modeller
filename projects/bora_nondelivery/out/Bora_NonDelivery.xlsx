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Checks" sheetId="5" state="visible" r:id="rId5"/>
  </sheets>
  <definedNames>
    <definedName name="Scenario_Name">Inputs!$F$4</definedName>
    <definedName name="Scenario_Selected">Inputs!$F$5</definedName>
    <definedName name="Scenario_Names">Inputs!$H$7:$H$7</definedName>
    <definedName name="Thousand">Inputs!$F$11</definedName>
    <definedName name="Million">Inputs!$F$12</definedName>
    <definedName name="Days_In_Year">Inputs!$F$13</definedName>
    <definedName name="Months_In_Year">Inputs!$F$14</definedName>
    <definedName name="Months_Per_Period">Inputs!$F$15</definedName>
    <definedName name="Tolerance">Inputs!$F$16</definedName>
    <definedName name="In_Model_Start">Inputs!$F$19</definedName>
    <definedName name="In_COD">Inputs!$F$20</definedName>
    <definedName name="In_Life">Inputs!$F$21</definedName>
    <definedName name="In_Bids">Inputs!$F$24</definedName>
    <definedName name="In_MVA">Inputs!$F$25</definedName>
    <definedName name="In_Overbuild">Inputs!$F$26</definedName>
    <definedName name="In_BESS">Inputs!$F$27</definedName>
    <definedName name="In_BESS_Hours">Inputs!$F$28</definedName>
    <definedName name="In_Wind_ND">Inputs!$F$29</definedName>
    <definedName name="In_Turbine">Inputs!$F$32</definedName>
    <definedName name="In_Installation">Inputs!$F$33</definedName>
    <definedName name="In_Foundations">Inputs!$F$34</definedName>
    <definedName name="In_BoP">Inputs!$F$35</definedName>
    <definedName name="In_Owner">Inputs!$F$36</definedName>
    <definedName name="In_Land">Inputs!$F$37</definedName>
    <definedName name="In_Contingency">Inputs!$F$38</definedName>
    <definedName name="In_BESS_Capex">Inputs!$F$39</definedName>
    <definedName name="In_White_Label">Inputs!$F$40</definedName>
    <definedName name="In_Municipal">Inputs!$F$43</definedName>
    <definedName name="In_Community">Inputs!$F$44</definedName>
    <definedName name="In_P50_Hours">Inputs!$F$45</definedName>
    <definedName name="In_Curtailment">Inputs!$F$46</definedName>
    <definedName name="In_Degradation">Inputs!$F$47</definedName>
    <definedName name="In_Rate">Inputs!$F$48</definedName>
    <definedName name="In_CIT">Inputs!$F$49</definedName>
    <definedName name="In_CIT_On">Inputs!$F$50</definedName>
    <definedName name="In_Bench_Wind">Inputs!$F$53</definedName>
    <definedName name="In_Bench_BESS">Inputs!$F$54</definedName>
    <definedName name="In_PB_Rate">Inputs!$F$55</definedName>
    <definedName name="In_FX">Inputs!$F$56</definedName>
    <definedName name="In_Tolerance_Cap">Inputs!$F$57</definedName>
    <definedName name="In_Bora_PB">Inputs!$F$58</definedName>
    <definedName name="Out_Overbuild">Summary!$E$14</definedName>
    <definedName name="Out_BESS">Summary!$E$15</definedName>
    <definedName name="Out_Municipal">Summary!$E$16</definedName>
    <definedName name="Out_Community_PV">Summary!$E$17</definedName>
    <definedName name="Out_White_Label">Summary!$E$18</definedName>
    <definedName name="Out_Savings_Total">Summary!$E$19</definedName>
    <definedName name="Out_PB_Called">Summary!$E$20</definedName>
    <definedName name="Out_PB_Per_Bid">Summary!$F$20</definedName>
    <definedName name="Out_Net_Saving">Summary!$E$21</definedName>
    <definedName name="Out_Savings_Ex_Community">Summary!$E$23</definedName>
    <definedName name="Out_Multiple">Summary!$E$24</definedName>
    <definedName name="Out_PB_ProRata">Summary!$E$25</definedName>
    <definedName name="Out_MVA_Lost">Summary!$E$31</definedName>
    <definedName name="Master_Check">Checks!$F$16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-mmm-yy"/>
    <numFmt numFmtId="166" formatCode="#,##0;(#,##0);&quot;–&quot;"/>
    <numFmt numFmtId="167" formatCode="0.0%;(0.0%);&quot;–&quot;"/>
    <numFmt numFmtId="168" formatCode="#,##0.0;(#,##0.0);&quot;–&quot;"/>
    <numFmt numFmtId="169" formatCode="#,##0.00;(#,##0.00);&quot;–&quot;"/>
    <numFmt numFmtId="170" formatCode="0.00&quot;x&quot;"/>
    <numFmt numFmtId="171" formatCode="0.000;(0.000);&quot;–&quot;"/>
    <numFmt numFmtId="172" formatCode="0;-0;&quot;–&quot;"/>
  </numFmts>
  <fonts count="13">
    <font>
      <name val="Aptos Narrow"/>
      <color rgb="00000000"/>
      <sz val="10"/>
    </font>
    <font>
      <name val="Aptos Narrow"/>
      <color rgb="000000FF"/>
      <sz val="10"/>
    </font>
    <font>
      <name val="Aptos Narrow"/>
      <color rgb="0000B050"/>
      <sz val="10"/>
    </font>
    <font>
      <name val="Aptos Narrow"/>
      <color rgb="00000000"/>
      <sz val="10"/>
    </font>
    <font>
      <name val="Aptos Narrow"/>
      <color rgb="007030A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b val="1"/>
      <color rgb="00000000"/>
      <sz val="10"/>
    </font>
    <font>
      <name val="Aptos Narrow"/>
      <i val="1"/>
      <color rgb="00808080"/>
      <sz val="10"/>
    </font>
    <font>
      <name val="Aptos Narrow"/>
      <b val="1"/>
      <color rgb="00FFFFFF"/>
      <sz val="12"/>
    </font>
    <font>
      <name val="Aptos Narrow"/>
      <b val="1"/>
      <color rgb="00808080"/>
      <sz val="10"/>
    </font>
    <font>
      <name val="Aptos Narrow"/>
      <b val="1"/>
      <color rgb="000000FF"/>
      <sz val="16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00563C"/>
      </patternFill>
    </fill>
    <fill>
      <patternFill patternType="solid">
        <fgColor rgb="00E6F4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top style="thin">
        <color rgb="00000000"/>
      </top>
    </border>
    <border>
      <bottom style="medium">
        <color rgb="003C3C3B"/>
      </bottom>
    </border>
  </borders>
  <cellStyleXfs count="14">
    <xf numFmtId="0" fontId="3" fillId="0" borderId="0"/>
    <xf numFmtId="0" fontId="1" fillId="2" borderId="1" applyAlignment="1">
      <alignment horizontal="right"/>
    </xf>
    <xf numFmtId="0" fontId="2" fillId="0" borderId="2" applyAlignment="1">
      <alignment horizontal="right"/>
    </xf>
    <xf numFmtId="0" fontId="3" fillId="0" borderId="2" applyAlignment="1">
      <alignment horizontal="right"/>
    </xf>
    <xf numFmtId="0" fontId="4" fillId="3" borderId="1" applyAlignment="1">
      <alignment horizontal="right"/>
    </xf>
    <xf numFmtId="0" fontId="3" fillId="4" borderId="2" applyAlignment="1">
      <alignment horizontal="right"/>
    </xf>
    <xf numFmtId="0" fontId="5" fillId="5" borderId="2"/>
    <xf numFmtId="0" fontId="6" fillId="6" borderId="2"/>
    <xf numFmtId="0" fontId="7" fillId="0" borderId="3" applyAlignment="1">
      <alignment horizontal="right"/>
    </xf>
    <xf numFmtId="0" fontId="8" fillId="0" borderId="2"/>
    <xf numFmtId="0" fontId="3" fillId="0" borderId="2"/>
    <xf numFmtId="0" fontId="9" fillId="5" borderId="2"/>
    <xf numFmtId="0" fontId="6" fillId="0" borderId="4" applyAlignment="1">
      <alignment horizontal="right"/>
    </xf>
    <xf numFmtId="0" fontId="10" fillId="0" borderId="2"/>
  </cellStyleXfs>
  <cellXfs count="45">
    <xf numFmtId="0" fontId="0" fillId="0" borderId="0" pivotButton="0" quotePrefix="0" xfId="0"/>
    <xf numFmtId="0" fontId="9" fillId="5" borderId="2" pivotButton="0" quotePrefix="0" xfId="11"/>
    <xf numFmtId="0" fontId="11" fillId="2" borderId="1" applyAlignment="1" pivotButton="0" quotePrefix="0" xfId="1">
      <alignment horizontal="right"/>
    </xf>
    <xf numFmtId="0" fontId="1" fillId="2" borderId="1" applyAlignment="1" pivotButton="0" quotePrefix="0" xfId="1">
      <alignment horizontal="right"/>
    </xf>
    <xf numFmtId="165" fontId="1" fillId="2" borderId="1" applyAlignment="1" pivotButton="0" quotePrefix="0" xfId="1">
      <alignment horizontal="right"/>
    </xf>
    <xf numFmtId="0" fontId="5" fillId="5" borderId="2" pivotButton="0" quotePrefix="0" xfId="6"/>
    <xf numFmtId="0" fontId="1" fillId="2" borderId="1" applyAlignment="1" pivotButton="0" quotePrefix="0" xfId="1">
      <alignment horizontal="left"/>
    </xf>
    <xf numFmtId="0" fontId="2" fillId="0" borderId="2" applyAlignment="1" pivotButton="0" quotePrefix="0" xfId="2">
      <alignment horizontal="left"/>
    </xf>
    <xf numFmtId="0" fontId="3" fillId="0" borderId="2" applyAlignment="1" pivotButton="0" quotePrefix="0" xfId="3">
      <alignment horizontal="left"/>
    </xf>
    <xf numFmtId="0" fontId="4" fillId="3" borderId="1" applyAlignment="1" pivotButton="0" quotePrefix="0" xfId="4">
      <alignment horizontal="left"/>
    </xf>
    <xf numFmtId="0" fontId="3" fillId="4" borderId="2" applyAlignment="1" pivotButton="0" quotePrefix="0" xfId="5">
      <alignment horizontal="left"/>
    </xf>
    <xf numFmtId="0" fontId="10" fillId="0" borderId="2" pivotButton="0" quotePrefix="0" xfId="13"/>
    <xf numFmtId="0" fontId="6" fillId="0" borderId="4" applyAlignment="1" pivotButton="0" quotePrefix="0" xfId="12">
      <alignment horizontal="left"/>
    </xf>
    <xf numFmtId="0" fontId="6" fillId="0" borderId="4" applyAlignment="1" pivotButton="0" quotePrefix="0" xfId="12">
      <alignment horizontal="right"/>
    </xf>
    <xf numFmtId="0" fontId="6" fillId="6" borderId="2" pivotButton="0" quotePrefix="0" xfId="7"/>
    <xf numFmtId="0" fontId="8" fillId="0" borderId="2" pivotButton="0" quotePrefix="0" xfId="9"/>
    <xf numFmtId="168" fontId="3" fillId="0" borderId="2" applyAlignment="1" pivotButton="0" quotePrefix="0" xfId="3">
      <alignment horizontal="right"/>
    </xf>
    <xf numFmtId="166" fontId="3" fillId="0" borderId="2" applyAlignment="1" pivotButton="0" quotePrefix="0" xfId="3">
      <alignment horizontal="right"/>
    </xf>
    <xf numFmtId="0" fontId="12" fillId="0" borderId="0" pivotButton="0" quotePrefix="0" xfId="0"/>
    <xf numFmtId="168" fontId="7" fillId="0" borderId="3" applyAlignment="1" pivotButton="0" quotePrefix="0" xfId="8">
      <alignment horizontal="right"/>
    </xf>
    <xf numFmtId="166" fontId="7" fillId="0" borderId="3" applyAlignment="1" pivotButton="0" quotePrefix="0" xfId="8">
      <alignment horizontal="right"/>
    </xf>
    <xf numFmtId="170" fontId="2" fillId="0" borderId="2" applyAlignment="1" pivotButton="0" quotePrefix="0" xfId="2">
      <alignment horizontal="right"/>
    </xf>
    <xf numFmtId="49" fontId="2" fillId="0" borderId="2" applyAlignment="1" pivotButton="0" quotePrefix="0" xfId="2">
      <alignment horizontal="right"/>
    </xf>
    <xf numFmtId="168" fontId="2" fillId="0" borderId="2" applyAlignment="1" pivotButton="0" quotePrefix="0" xfId="2">
      <alignment horizontal="right"/>
    </xf>
    <xf numFmtId="0" fontId="7" fillId="0" borderId="3" applyAlignment="1" pivotButton="0" quotePrefix="0" xfId="8">
      <alignment horizontal="right"/>
    </xf>
    <xf numFmtId="0" fontId="2" fillId="0" borderId="2" applyAlignment="1" pivotButton="0" quotePrefix="0" xfId="2">
      <alignment horizontal="right"/>
    </xf>
    <xf numFmtId="1" fontId="3" fillId="0" borderId="2" applyAlignment="1" pivotButton="0" quotePrefix="0" xfId="3">
      <alignment horizontal="right"/>
    </xf>
    <xf numFmtId="165" fontId="3" fillId="0" borderId="2" applyAlignment="1" pivotButton="0" quotePrefix="0" xfId="3">
      <alignment horizontal="right"/>
    </xf>
    <xf numFmtId="1" fontId="1" fillId="2" borderId="1" applyAlignment="1" pivotButton="0" quotePrefix="0" xfId="1">
      <alignment horizontal="right"/>
    </xf>
    <xf numFmtId="166" fontId="1" fillId="2" borderId="1" applyAlignment="1" pivotButton="0" quotePrefix="0" xfId="1">
      <alignment horizontal="right"/>
    </xf>
    <xf numFmtId="167" fontId="3" fillId="0" borderId="2" applyAlignment="1" pivotButton="0" quotePrefix="0" xfId="3">
      <alignment horizontal="right"/>
    </xf>
    <xf numFmtId="167" fontId="1" fillId="2" borderId="1" applyAlignment="1" pivotButton="0" quotePrefix="0" xfId="1">
      <alignment horizontal="right"/>
    </xf>
    <xf numFmtId="168" fontId="1" fillId="2" borderId="1" applyAlignment="1" pivotButton="0" quotePrefix="0" xfId="1">
      <alignment horizontal="right"/>
    </xf>
    <xf numFmtId="169" fontId="3" fillId="0" borderId="2" applyAlignment="1" pivotButton="0" quotePrefix="0" xfId="3">
      <alignment horizontal="right"/>
    </xf>
    <xf numFmtId="169" fontId="1" fillId="2" borderId="1" applyAlignment="1" pivotButton="0" quotePrefix="0" xfId="1">
      <alignment horizontal="right"/>
    </xf>
    <xf numFmtId="10" fontId="3" fillId="0" borderId="2" applyAlignment="1" pivotButton="0" quotePrefix="0" xfId="3">
      <alignment horizontal="right"/>
    </xf>
    <xf numFmtId="10" fontId="1" fillId="2" borderId="1" applyAlignment="1" pivotButton="0" quotePrefix="0" xfId="1">
      <alignment horizontal="right"/>
    </xf>
    <xf numFmtId="165" fontId="12" fillId="0" borderId="2" applyAlignment="1" pivotButton="0" quotePrefix="0" xfId="3">
      <alignment horizontal="right"/>
    </xf>
    <xf numFmtId="171" fontId="3" fillId="0" borderId="2" applyAlignment="1" pivotButton="0" quotePrefix="0" xfId="3">
      <alignment horizontal="right"/>
    </xf>
    <xf numFmtId="170" fontId="3" fillId="0" borderId="2" applyAlignment="1" pivotButton="0" quotePrefix="0" xfId="3">
      <alignment horizontal="right"/>
    </xf>
    <xf numFmtId="49" fontId="3" fillId="0" borderId="2" applyAlignment="1" pivotButton="0" quotePrefix="0" xfId="3">
      <alignment horizontal="right"/>
    </xf>
    <xf numFmtId="165" fontId="2" fillId="0" borderId="2" applyAlignment="1" pivotButton="0" quotePrefix="0" xfId="2">
      <alignment horizontal="right"/>
    </xf>
    <xf numFmtId="0" fontId="3" fillId="0" borderId="2" applyAlignment="1" pivotButton="0" quotePrefix="0" xfId="3">
      <alignment horizontal="right"/>
    </xf>
    <xf numFmtId="172" fontId="3" fillId="0" borderId="2" applyAlignment="1" pivotButton="0" quotePrefix="0" xfId="3">
      <alignment horizontal="right"/>
    </xf>
    <xf numFmtId="172" fontId="7" fillId="0" borderId="3" applyAlignment="1" pivotButton="0" quotePrefix="0" xfId="8">
      <alignment horizontal="right"/>
    </xf>
  </cellXfs>
  <cellStyles count="14">
    <cellStyle name="Normal" xfId="0" builtinId="0" hidden="0"/>
    <cellStyle name="fep_input" xfId="1" hidden="0"/>
    <cellStyle name="fep_link" xfId="2" hidden="0"/>
    <cellStyle name="fep_calc" xfId="3" hidden="0"/>
    <cellStyle name="fep_macro" xfId="4" hidden="0"/>
    <cellStyle name="fep_seed" xfId="5" hidden="0"/>
    <cellStyle name="fep_section" xfId="6" hidden="0"/>
    <cellStyle name="fep_subheader" xfId="7" hidden="0"/>
    <cellStyle name="fep_total" xfId="8" hidden="0"/>
    <cellStyle name="fep_unit" xfId="9" hidden="0"/>
    <cellStyle name="fep_label" xfId="10" hidden="0"/>
    <cellStyle name="fep_banner" xfId="11" hidden="0"/>
    <cellStyle name="fep_header" xfId="12" hidden="0"/>
    <cellStyle name="fep_end" xfId="13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3" customWidth="1" min="4" max="4"/>
    <col width="16" customWidth="1" min="5" max="5"/>
    <col width="30" customWidth="1" min="6" max="6"/>
    <col width="3" customWidth="1" min="7" max="7"/>
    <col width="3" customWidth="1" min="8" max="8"/>
    <col hidden="1" outlineLevel="1" width="13" customWidth="1" min="9" max="16384"/>
  </cols>
  <sheetData>
    <row r="2">
      <c r="A2" s="1" t="n"/>
      <c r="B2" s="1">
        <f>C3&amp;" – Cover"</f>
        <v/>
      </c>
      <c r="C2" s="1" t="n"/>
      <c r="D2" s="1" t="n"/>
      <c r="E2" s="1" t="n"/>
      <c r="F2" s="1" t="n"/>
      <c r="G2" s="1" t="n"/>
      <c r="H2" s="1" t="n"/>
    </row>
    <row r="3">
      <c r="B3" t="inlineStr">
        <is>
          <t>Project</t>
        </is>
      </c>
      <c r="C3" s="2" t="inlineStr">
        <is>
          <t>Bora non-delivery case</t>
        </is>
      </c>
    </row>
    <row r="4">
      <c r="B4" t="inlineStr">
        <is>
          <t>Purpose</t>
        </is>
      </c>
      <c r="C4" s="3" t="inlineStr">
        <is>
          <t>Savings at COD vs the performance security called</t>
        </is>
      </c>
    </row>
    <row r="5">
      <c r="B5" t="inlineStr">
        <is>
          <t>Version</t>
        </is>
      </c>
      <c r="C5" s="3" t="inlineStr">
        <is>
          <t>v1</t>
        </is>
      </c>
    </row>
    <row r="6">
      <c r="B6" t="inlineStr">
        <is>
          <t>Date</t>
        </is>
      </c>
      <c r="C6" s="4" t="n">
        <v>46310</v>
      </c>
    </row>
    <row r="7">
      <c r="B7" t="inlineStr">
        <is>
          <t>Author</t>
        </is>
      </c>
      <c r="C7" s="3" t="inlineStr">
        <is>
          <t>FEP</t>
        </is>
      </c>
    </row>
    <row r="9">
      <c r="A9" s="5" t="inlineStr">
        <is>
          <t>x</t>
        </is>
      </c>
      <c r="B9" s="5" t="n"/>
      <c r="C9" s="5" t="inlineStr">
        <is>
          <t>Colour legend</t>
        </is>
      </c>
      <c r="D9" s="5" t="n"/>
      <c r="E9" s="5" t="n"/>
      <c r="F9" s="5" t="n"/>
      <c r="G9" s="5" t="n"/>
      <c r="H9" s="5" t="n"/>
    </row>
    <row r="10">
      <c r="C10" s="6" t="inlineStr">
        <is>
          <t>Hard-coded input</t>
        </is>
      </c>
      <c r="E10" t="inlineStr">
        <is>
          <t>Inputs and Curves only, with unit and source</t>
        </is>
      </c>
    </row>
    <row r="11">
      <c r="C11" s="7" t="inlineStr">
        <is>
          <t>Link from another sheet</t>
        </is>
      </c>
      <c r="E11" t="inlineStr"/>
    </row>
    <row r="12">
      <c r="C12" s="8" t="inlineStr">
        <is>
          <t>Calculation</t>
        </is>
      </c>
      <c r="E12" t="inlineStr"/>
    </row>
    <row r="13">
      <c r="C13" s="9" t="inlineStr">
        <is>
          <t>Macro-written value</t>
        </is>
      </c>
      <c r="E13" t="inlineStr">
        <is>
          <t>Written by vba/*.bas only (PASTE rows, solved inputs, stored scenario results)</t>
        </is>
      </c>
    </row>
    <row r="14">
      <c r="C14" s="10" t="inlineStr">
        <is>
          <t>Opening seed</t>
        </is>
      </c>
      <c r="E14" t="inlineStr">
        <is>
          <t>Corkscrew opening balance</t>
        </is>
      </c>
    </row>
    <row r="16">
      <c r="A16" s="5" t="inlineStr">
        <is>
          <t>x</t>
        </is>
      </c>
      <c r="B16" s="5" t="n"/>
      <c r="C16" s="5" t="inlineStr">
        <is>
          <t>Model status</t>
        </is>
      </c>
      <c r="D16" s="5" t="n"/>
      <c r="E16" s="5" t="n"/>
      <c r="F16" s="5" t="n"/>
      <c r="G16" s="5" t="n"/>
      <c r="H16" s="5" t="n"/>
    </row>
    <row r="17">
      <c r="B17" t="inlineStr">
        <is>
          <t>Master check</t>
        </is>
      </c>
      <c r="C17" s="8">
        <f>IF(Master_Check=0,"OK","CHECK")</f>
        <v/>
      </c>
    </row>
    <row r="18"/>
    <row r="20">
      <c r="C20" s="11" t="inlineStr">
        <is>
          <t>***END***</t>
        </is>
      </c>
    </row>
  </sheetData>
  <conditionalFormatting sqref="C17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4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12" customWidth="1" min="7" max="7"/>
    <col hidden="1" outlineLevel="1" width="13" customWidth="1" min="8" max="16384"/>
  </cols>
  <sheetData>
    <row r="2">
      <c r="A2" s="1" t="n"/>
      <c r="B2" s="1">
        <f>Cover!$C$3&amp;" – Summary"</f>
        <v/>
      </c>
      <c r="C2" s="1" t="n"/>
      <c r="D2" s="1" t="n"/>
      <c r="E2" s="1" t="n"/>
      <c r="F2" s="1" t="n"/>
      <c r="G2" s="1" t="n"/>
    </row>
    <row r="4">
      <c r="A4" s="5" t="inlineStr">
        <is>
          <t>x</t>
        </is>
      </c>
      <c r="B4" s="5" t="n"/>
      <c r="C4" s="5" t="inlineStr">
        <is>
          <t>Savings at COD if no commitment is delivered</t>
        </is>
      </c>
      <c r="D4" s="5" t="n"/>
      <c r="E4" s="5" t="n"/>
      <c r="F4" s="5" t="n"/>
      <c r="G4" s="5" t="n"/>
    </row>
    <row r="5">
      <c r="C5" s="12" t="inlineStr">
        <is>
          <t>Item</t>
        </is>
      </c>
      <c r="D5" s="12" t="inlineStr">
        <is>
          <t>Unit</t>
        </is>
      </c>
      <c r="E5" s="13" t="inlineStr">
        <is>
          <t>Both bids</t>
        </is>
      </c>
      <c r="F5" s="13" t="inlineStr">
        <is>
          <t>Per bid</t>
        </is>
      </c>
      <c r="G5" s="13" t="inlineStr">
        <is>
          <t>EUR k/MW</t>
        </is>
      </c>
    </row>
    <row r="6">
      <c r="A6" s="14" t="n"/>
      <c r="B6" s="14" t="n"/>
      <c r="C6" s="14" t="inlineStr">
        <is>
          <t>Overbuild capex not spent (EUR k/MW: per committed MW)</t>
        </is>
      </c>
      <c r="D6" s="14" t="n"/>
      <c r="E6" s="14" t="n"/>
      <c r="F6" s="14" t="n"/>
      <c r="G6" s="14" t="n"/>
    </row>
    <row r="7">
      <c r="C7" t="inlineStr">
        <is>
          <t>Turbine supply, EU</t>
        </is>
      </c>
      <c r="D7" s="15" t="inlineStr">
        <is>
          <t>EUR m</t>
        </is>
      </c>
      <c r="E7" s="16">
        <f>Calc!$F$26/Thousand</f>
        <v/>
      </c>
      <c r="F7" s="16">
        <f>Calc!$E$26/Thousand</f>
        <v/>
      </c>
      <c r="G7" s="17">
        <f>Calc!$E$26/Calc!$E$12</f>
        <v/>
      </c>
    </row>
    <row r="8">
      <c r="C8" t="inlineStr">
        <is>
          <t>Installation and erection</t>
        </is>
      </c>
      <c r="D8" s="15" t="inlineStr">
        <is>
          <t>EUR m</t>
        </is>
      </c>
      <c r="E8" s="16">
        <f>Calc!$F$27/Thousand</f>
        <v/>
      </c>
      <c r="F8" s="16">
        <f>Calc!$E$27/Thousand</f>
        <v/>
      </c>
      <c r="G8" s="17">
        <f>Calc!$E$27/Calc!$E$12</f>
        <v/>
      </c>
    </row>
    <row r="9">
      <c r="C9" t="inlineStr">
        <is>
          <t>Foundations</t>
        </is>
      </c>
      <c r="D9" s="15" t="inlineStr">
        <is>
          <t>EUR m</t>
        </is>
      </c>
      <c r="E9" s="16">
        <f>Calc!$F$28/Thousand</f>
        <v/>
      </c>
      <c r="F9" s="16">
        <f>Calc!$E$28/Thousand</f>
        <v/>
      </c>
      <c r="G9" s="17">
        <f>Calc!$E$28/Calc!$E$12</f>
        <v/>
      </c>
    </row>
    <row r="10">
      <c r="C10" t="inlineStr">
        <is>
          <t>Balance of plant</t>
        </is>
      </c>
      <c r="D10" s="15" t="inlineStr">
        <is>
          <t>EUR m</t>
        </is>
      </c>
      <c r="E10" s="16">
        <f>Calc!$F$29/Thousand</f>
        <v/>
      </c>
      <c r="F10" s="16">
        <f>Calc!$E$29/Thousand</f>
        <v/>
      </c>
      <c r="G10" s="17">
        <f>Calc!$E$29/Calc!$E$12</f>
        <v/>
      </c>
    </row>
    <row r="11">
      <c r="C11" t="inlineStr">
        <is>
          <t>Owner's costs</t>
        </is>
      </c>
      <c r="D11" s="15" t="inlineStr">
        <is>
          <t>EUR m</t>
        </is>
      </c>
      <c r="E11" s="16">
        <f>Calc!$F$30/Thousand</f>
        <v/>
      </c>
      <c r="F11" s="16">
        <f>Calc!$E$30/Thousand</f>
        <v/>
      </c>
      <c r="G11" s="17">
        <f>Calc!$E$30/Calc!$E$12</f>
        <v/>
      </c>
    </row>
    <row r="12">
      <c r="C12" t="inlineStr">
        <is>
          <t>Land and easements</t>
        </is>
      </c>
      <c r="D12" s="15" t="inlineStr">
        <is>
          <t>EUR m</t>
        </is>
      </c>
      <c r="E12" s="16">
        <f>Calc!$F$31/Thousand</f>
        <v/>
      </c>
      <c r="F12" s="16">
        <f>Calc!$E$31/Thousand</f>
        <v/>
      </c>
      <c r="G12" s="17">
        <f>Calc!$E$31/Calc!$E$12</f>
        <v/>
      </c>
    </row>
    <row r="13">
      <c r="C13" t="inlineStr">
        <is>
          <t>Contingency</t>
        </is>
      </c>
      <c r="D13" s="15" t="inlineStr">
        <is>
          <t>EUR m</t>
        </is>
      </c>
      <c r="E13" s="16">
        <f>Calc!$F$32/Thousand</f>
        <v/>
      </c>
      <c r="F13" s="16">
        <f>Calc!$E$32/Thousand</f>
        <v/>
      </c>
      <c r="G13" s="17">
        <f>Calc!$E$32/Calc!$E$12</f>
        <v/>
      </c>
    </row>
    <row r="14">
      <c r="C14" s="18" t="inlineStr">
        <is>
          <t>Overbuild capex</t>
        </is>
      </c>
      <c r="D14" s="15" t="inlineStr">
        <is>
          <t>EUR m</t>
        </is>
      </c>
      <c r="E14" s="19">
        <f>Calc!$F$33/Thousand</f>
        <v/>
      </c>
      <c r="F14" s="19">
        <f>Calc!$E$33/Thousand</f>
        <v/>
      </c>
      <c r="G14" s="20">
        <f>Calc!$E$33/Calc!$E$12</f>
        <v/>
      </c>
    </row>
    <row r="15">
      <c r="C15" t="inlineStr">
        <is>
          <t>BESS capex</t>
        </is>
      </c>
      <c r="D15" s="15" t="inlineStr">
        <is>
          <t>EUR m</t>
        </is>
      </c>
      <c r="E15" s="16">
        <f>Calc!$F$34/Thousand</f>
        <v/>
      </c>
      <c r="F15" s="16">
        <f>Calc!$E$34/Thousand</f>
        <v/>
      </c>
      <c r="G15" s="17">
        <f>Calc!$E$34/Calc!$E$12</f>
        <v/>
      </c>
    </row>
    <row r="16">
      <c r="C16" t="inlineStr">
        <is>
          <t>Municipal one-off</t>
        </is>
      </c>
      <c r="D16" s="15" t="inlineStr">
        <is>
          <t>EUR m</t>
        </is>
      </c>
      <c r="E16" s="16">
        <f>Calc!$F$35/Thousand</f>
        <v/>
      </c>
      <c r="F16" s="16">
        <f>Calc!$E$35/Thousand</f>
        <v/>
      </c>
      <c r="G16" s="17">
        <f>Calc!$E$35/Calc!$E$12</f>
        <v/>
      </c>
    </row>
    <row r="17">
      <c r="C17" t="inlineStr">
        <is>
          <t>Community contribution (PV at 8 % to COD)</t>
        </is>
      </c>
      <c r="D17" s="15" t="inlineStr">
        <is>
          <t>EUR m</t>
        </is>
      </c>
      <c r="E17" s="16">
        <f>Calc!$F$36/Thousand</f>
        <v/>
      </c>
      <c r="F17" s="16">
        <f>Calc!$E$36/Thousand</f>
        <v/>
      </c>
      <c r="G17" s="17">
        <f>Calc!$E$36/Calc!$E$12</f>
        <v/>
      </c>
    </row>
    <row r="18">
      <c r="C18" t="inlineStr">
        <is>
          <t>EU to CN turbines and transformers (white labelling)</t>
        </is>
      </c>
      <c r="D18" s="15" t="inlineStr">
        <is>
          <t>EUR m</t>
        </is>
      </c>
      <c r="E18" s="16">
        <f>Calc!$F$37/Thousand</f>
        <v/>
      </c>
      <c r="F18" s="16">
        <f>Calc!$E$37/Thousand</f>
        <v/>
      </c>
      <c r="G18" s="17">
        <f>Calc!$E$37/Calc!$E$12</f>
        <v/>
      </c>
    </row>
    <row r="19">
      <c r="C19" s="18" t="inlineStr">
        <is>
          <t>Total savings at COD</t>
        </is>
      </c>
      <c r="D19" s="15" t="inlineStr">
        <is>
          <t>EUR m</t>
        </is>
      </c>
      <c r="E19" s="19">
        <f>Calc!$F$38/Thousand</f>
        <v/>
      </c>
      <c r="F19" s="19">
        <f>Calc!$E$38/Thousand</f>
        <v/>
      </c>
      <c r="G19" s="20">
        <f>Calc!$E$38/Calc!$E$12</f>
        <v/>
      </c>
    </row>
    <row r="20">
      <c r="C20" t="inlineStr">
        <is>
          <t>PB called (full call)</t>
        </is>
      </c>
      <c r="D20" s="15" t="inlineStr">
        <is>
          <t>EUR m</t>
        </is>
      </c>
      <c r="E20" s="16">
        <f>Calc!$F$42/Thousand</f>
        <v/>
      </c>
      <c r="F20" s="16">
        <f>Calc!$E$42/Thousand</f>
        <v/>
      </c>
      <c r="G20" s="17">
        <f>Calc!$E$42/Calc!$E$12</f>
        <v/>
      </c>
    </row>
    <row r="21">
      <c r="C21" s="18" t="inlineStr">
        <is>
          <t>Net saving (savings less PB called)</t>
        </is>
      </c>
      <c r="D21" s="15" t="inlineStr">
        <is>
          <t>EUR m</t>
        </is>
      </c>
      <c r="E21" s="19">
        <f>Calc!$F$43/Thousand</f>
        <v/>
      </c>
      <c r="F21" s="19">
        <f>Calc!$E$43/Thousand</f>
        <v/>
      </c>
      <c r="G21" s="20">
        <f>Calc!$E$43/Calc!$E$12</f>
        <v/>
      </c>
    </row>
    <row r="23">
      <c r="C23" t="inlineStr">
        <is>
          <t>Savings excluding the community PV</t>
        </is>
      </c>
      <c r="D23" s="15" t="inlineStr">
        <is>
          <t>EUR m</t>
        </is>
      </c>
      <c r="E23" s="16">
        <f>Calc!$F$39/Thousand</f>
        <v/>
      </c>
      <c r="F23" s="16">
        <f>Calc!$E$39/Thousand</f>
        <v/>
      </c>
      <c r="G23" s="17">
        <f>Calc!$E$39/Calc!$E$12</f>
        <v/>
      </c>
    </row>
    <row r="24">
      <c r="C24" t="inlineStr">
        <is>
          <t>Savings ÷ PB called</t>
        </is>
      </c>
      <c r="D24" s="15" t="inlineStr">
        <is>
          <t>x</t>
        </is>
      </c>
      <c r="E24" s="21">
        <f>Calc!$E$44</f>
        <v/>
      </c>
    </row>
    <row r="25">
      <c r="C25" t="inlineStr">
        <is>
          <t>Memo: PB lost under the pro-rata reading (XII.12)</t>
        </is>
      </c>
      <c r="D25" s="15" t="inlineStr">
        <is>
          <t>EUR m</t>
        </is>
      </c>
      <c r="E25" s="16">
        <f>Calc!$F$46/Thousand</f>
        <v/>
      </c>
      <c r="F25" s="16">
        <f>Calc!$E$46/Thousand</f>
        <v/>
      </c>
      <c r="G25" s="17">
        <f>Calc!$E$46/Calc!$E$12</f>
        <v/>
      </c>
    </row>
    <row r="27">
      <c r="A27" s="5" t="inlineStr">
        <is>
          <t>x</t>
        </is>
      </c>
      <c r="B27" s="5" t="n"/>
      <c r="C27" s="5" t="inlineStr">
        <is>
          <t>Memo</t>
        </is>
      </c>
      <c r="D27" s="5" t="n"/>
      <c r="E27" s="5" t="n"/>
      <c r="F27" s="5" t="n"/>
      <c r="G27" s="5" t="n"/>
    </row>
    <row r="28">
      <c r="C28" t="inlineStr">
        <is>
          <t>Points lost after the award: none, the award stands</t>
        </is>
      </c>
    </row>
    <row r="29">
      <c r="C29" t="inlineStr">
        <is>
          <t>3-year group exclusion, as the PB is called</t>
        </is>
      </c>
      <c r="D29" s="15" t="inlineStr">
        <is>
          <t>text</t>
        </is>
      </c>
      <c r="E29" s="22">
        <f>Calc!$E$48</f>
        <v/>
      </c>
    </row>
    <row r="30">
      <c r="C30" t="inlineStr">
        <is>
          <t>Connection right under a full call: kept (GYIK Q72)</t>
        </is>
      </c>
    </row>
    <row r="31">
      <c r="C31" t="inlineStr">
        <is>
          <t>Connection capacity lost, pro-rata reading (GYIK 28/30)</t>
        </is>
      </c>
      <c r="D31" s="15" t="inlineStr">
        <is>
          <t>MVA</t>
        </is>
      </c>
      <c r="E31" s="23">
        <f>Calc!$F$47</f>
        <v/>
      </c>
      <c r="F31" s="23">
        <f>Calc!$E$47</f>
        <v/>
      </c>
    </row>
    <row r="33">
      <c r="A33" s="5" t="inlineStr">
        <is>
          <t>x</t>
        </is>
      </c>
      <c r="B33" s="5" t="n"/>
      <c r="C33" s="5" t="inlineStr">
        <is>
          <t>Sanction</t>
        </is>
      </c>
      <c r="D33" s="5" t="n"/>
      <c r="E33" s="5" t="n"/>
      <c r="F33" s="5" t="n"/>
      <c r="G33" s="5" t="n"/>
    </row>
    <row r="34">
      <c r="C34" t="inlineStr">
        <is>
          <t>Points commitments not proven by COD: full PB call, no discretion (Kiírás XIII.17; GYIK Q72).</t>
        </is>
      </c>
    </row>
    <row r="35">
      <c r="C35" t="inlineStr">
        <is>
          <t>Capacity shortfall above 10 %: PB and connection right lost pro rata (XII.12; GYIK 28/30/44).</t>
        </is>
      </c>
    </row>
    <row r="36">
      <c r="C36" t="inlineStr">
        <is>
          <t>A called PB excludes the whole group from capacity tenders for 3 years (VII.2 n; GYIK Q71).</t>
        </is>
      </c>
    </row>
    <row r="37">
      <c r="C37" t="inlineStr">
        <is>
          <t>The exclusion hits the group at the time of the call: the buyer's group after a sale.</t>
        </is>
      </c>
    </row>
    <row r="39">
      <c r="A39" s="5" t="inlineStr">
        <is>
          <t>x</t>
        </is>
      </c>
      <c r="B39" s="5" t="n"/>
      <c r="C39" s="5" t="inlineStr">
        <is>
          <t>Checks</t>
        </is>
      </c>
      <c r="D39" s="5" t="n"/>
      <c r="E39" s="5" t="n"/>
      <c r="F39" s="5" t="n"/>
      <c r="G39" s="5" t="n"/>
    </row>
    <row r="40">
      <c r="C40" s="18" t="inlineStr">
        <is>
          <t>Master check</t>
        </is>
      </c>
      <c r="E40" s="24">
        <f>IF(Master_Check=0,"OK","CHECK")</f>
        <v/>
      </c>
    </row>
    <row r="41">
      <c r="C41" t="inlineStr">
        <is>
          <t>Overbuild capex: elements = total</t>
        </is>
      </c>
      <c r="E41" s="25">
        <f>Checks!$E$12</f>
        <v/>
      </c>
    </row>
    <row r="42">
      <c r="C42" t="inlineStr">
        <is>
          <t>PB per bid = Bora model PB (EUR 6,993.6 k)</t>
        </is>
      </c>
      <c r="E42" s="25">
        <f>Checks!$E$13</f>
        <v/>
      </c>
    </row>
    <row r="43">
      <c r="C43" t="inlineStr">
        <is>
          <t>Community PV: XNPV = SUMPRODUCT</t>
        </is>
      </c>
      <c r="E43" s="25">
        <f>Checks!$E$14</f>
        <v/>
      </c>
    </row>
    <row r="45">
      <c r="C45" s="11" t="inlineStr">
        <is>
          <t>***END***</t>
        </is>
      </c>
    </row>
  </sheetData>
  <conditionalFormatting sqref="E40:E43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60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0" customWidth="1" min="3" max="3"/>
    <col width="36" customWidth="1" min="4" max="4"/>
    <col width="2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hidden="1" outlineLevel="1" width="13" customWidth="1" min="17" max="16384"/>
  </cols>
  <sheetData>
    <row r="2">
      <c r="A2" s="1" t="n"/>
      <c r="B2" s="1">
        <f>Cover!$C$3&amp;" – Inputs and scenarios"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t="inlineStr">
        <is>
          <t>Scenario selected</t>
        </is>
      </c>
      <c r="F4" s="3" t="inlineStr">
        <is>
          <t>Base</t>
        </is>
      </c>
    </row>
    <row r="5">
      <c r="B5" t="inlineStr">
        <is>
          <t>Scenario number</t>
        </is>
      </c>
      <c r="F5" s="26">
        <f>MATCH(Scenario_Name,Scenario_Names,0)</f>
        <v/>
      </c>
    </row>
    <row r="7">
      <c r="B7" s="12" t="inlineStr">
        <is>
          <t>Input</t>
        </is>
      </c>
      <c r="C7" s="12" t="inlineStr">
        <is>
          <t>Unit</t>
        </is>
      </c>
      <c r="D7" s="12" t="inlineStr">
        <is>
          <t>Source / note</t>
        </is>
      </c>
      <c r="F7" s="13" t="inlineStr">
        <is>
          <t>Live</t>
        </is>
      </c>
      <c r="H7" s="3" t="inlineStr">
        <is>
          <t>Base</t>
        </is>
      </c>
      <c r="I7" s="13" t="n"/>
      <c r="J7" s="13" t="n"/>
      <c r="K7" s="13" t="n"/>
      <c r="L7" s="13" t="n"/>
      <c r="M7" s="13" t="n"/>
      <c r="N7" s="13" t="n"/>
      <c r="O7" s="13" t="n"/>
    </row>
    <row r="10">
      <c r="A10" s="5" t="inlineStr">
        <is>
          <t>x</t>
        </is>
      </c>
      <c r="B10" s="5" t="n"/>
      <c r="C10" s="5" t="inlineStr">
        <is>
          <t>Constants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B11" t="inlineStr">
        <is>
          <t>Thousand</t>
        </is>
      </c>
      <c r="C11" s="15" t="inlineStr">
        <is>
          <t>#</t>
        </is>
      </c>
      <c r="D11" t="inlineStr">
        <is>
          <t>Scale</t>
        </is>
      </c>
      <c r="F11" s="3" t="n">
        <v>1000</v>
      </c>
    </row>
    <row r="12">
      <c r="B12" t="inlineStr">
        <is>
          <t>Million</t>
        </is>
      </c>
      <c r="C12" s="15" t="inlineStr">
        <is>
          <t>#</t>
        </is>
      </c>
      <c r="D12" t="inlineStr">
        <is>
          <t>Scale</t>
        </is>
      </c>
      <c r="F12" s="3" t="n">
        <v>1000000</v>
      </c>
    </row>
    <row r="13">
      <c r="B13" t="inlineStr">
        <is>
          <t>Days In Year</t>
        </is>
      </c>
      <c r="C13" s="15" t="inlineStr">
        <is>
          <t>days</t>
        </is>
      </c>
      <c r="D13" t="inlineStr">
        <is>
          <t>Day count for year fractions and XIRR</t>
        </is>
      </c>
      <c r="F13" s="3" t="n">
        <v>365</v>
      </c>
    </row>
    <row r="14">
      <c r="B14" t="inlineStr">
        <is>
          <t>Months In Year</t>
        </is>
      </c>
      <c r="C14" s="15" t="inlineStr">
        <is>
          <t>months</t>
        </is>
      </c>
      <c r="D14" t="inlineStr"/>
      <c r="F14" s="3" t="n">
        <v>12</v>
      </c>
    </row>
    <row r="15">
      <c r="B15" t="inlineStr">
        <is>
          <t>Months Per Period</t>
        </is>
      </c>
      <c r="C15" s="15" t="inlineStr">
        <is>
          <t>months</t>
        </is>
      </c>
      <c r="D15" t="inlineStr">
        <is>
          <t>Timeline periodicity (annual)</t>
        </is>
      </c>
      <c r="F15" s="3" t="n">
        <v>12</v>
      </c>
    </row>
    <row r="16">
      <c r="B16" t="inlineStr">
        <is>
          <t>Tolerance</t>
        </is>
      </c>
      <c r="C16" s="15" t="inlineStr">
        <is>
          <t>#</t>
        </is>
      </c>
      <c r="D16" t="inlineStr">
        <is>
          <t>Check and solver tolerance</t>
        </is>
      </c>
      <c r="F16" s="3" t="n">
        <v>1e-06</v>
      </c>
    </row>
    <row r="18">
      <c r="A18" s="5" t="inlineStr">
        <is>
          <t>x</t>
        </is>
      </c>
      <c r="B18" s="5" t="n"/>
      <c r="C18" s="5" t="inlineStr">
        <is>
          <t>Timing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t="inlineStr">
        <is>
          <t>Model start date</t>
        </is>
      </c>
      <c r="C19" s="15" t="inlineStr">
        <is>
          <t>date</t>
        </is>
      </c>
      <c r="D19" t="inlineStr">
        <is>
          <t>Timeline start</t>
        </is>
      </c>
      <c r="F19" s="27">
        <f>IF(INDEX($H19:$O19,1,Scenario_Selected)="",$H19,INDEX($H19:$O19,1,Scenario_Selected))</f>
        <v/>
      </c>
      <c r="H19" s="4" t="n">
        <v>47849</v>
      </c>
    </row>
    <row r="20">
      <c r="B20" t="inlineStr">
        <is>
          <t>Commercial operation date (COD)</t>
        </is>
      </c>
      <c r="C20" s="15" t="inlineStr">
        <is>
          <t>date</t>
        </is>
      </c>
      <c r="D20" t="inlineStr">
        <is>
          <t>Bora model Inputs (Bora!N16)</t>
        </is>
      </c>
      <c r="F20" s="27">
        <f>IF(INDEX($H20:$O20,1,Scenario_Selected)="",$H20,INDEX($H20:$O20,1,Scenario_Selected))</f>
        <v/>
      </c>
      <c r="H20" s="4" t="n">
        <v>48121</v>
      </c>
    </row>
    <row r="21">
      <c r="B21" t="inlineStr">
        <is>
          <t>Community contribution term from COD</t>
        </is>
      </c>
      <c r="C21" s="15" t="inlineStr">
        <is>
          <t>years</t>
        </is>
      </c>
      <c r="D21" t="inlineStr">
        <is>
          <t>Bora model Inputs (E157)</t>
        </is>
      </c>
      <c r="F21" s="26">
        <f>IF(INDEX($H21:$O21,1,Scenario_Selected)="",$H21,INDEX($H21:$O21,1,Scenario_Selected))</f>
        <v/>
      </c>
      <c r="H21" s="28" t="n">
        <v>30</v>
      </c>
    </row>
    <row r="23">
      <c r="A23" s="5" t="inlineStr">
        <is>
          <t>x</t>
        </is>
      </c>
      <c r="B23" s="5" t="n"/>
      <c r="C23" s="5" t="inlineStr">
        <is>
          <t>Bids and commitments (per bid)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B24" t="inlineStr">
        <is>
          <t>Bids (BORA 1 and BORA 2)</t>
        </is>
      </c>
      <c r="C24" s="15" t="inlineStr">
        <is>
          <t>#</t>
        </is>
      </c>
      <c r="D24" t="inlineStr">
        <is>
          <t>SPEC §1</t>
        </is>
      </c>
      <c r="F24" s="26">
        <f>IF(INDEX($H24:$O24,1,Scenario_Selected)="",$H24,INDEX($H24:$O24,1,Scenario_Selected))</f>
        <v/>
      </c>
      <c r="H24" s="28" t="n">
        <v>2</v>
      </c>
    </row>
    <row r="25">
      <c r="B25" t="inlineStr">
        <is>
          <t>Net connection capacity</t>
        </is>
      </c>
      <c r="C25" s="15" t="inlineStr">
        <is>
          <t>MVA</t>
        </is>
      </c>
      <c r="D25" t="inlineStr">
        <is>
          <t>Bora model Inputs</t>
        </is>
      </c>
      <c r="F25" s="17">
        <f>IF(INDEX($H25:$O25,1,Scenario_Selected)="",$H25,INDEX($H25:$O25,1,Scenario_Selected))</f>
        <v/>
      </c>
      <c r="H25" s="29" t="n">
        <v>100</v>
      </c>
    </row>
    <row r="26">
      <c r="B26" t="inlineStr">
        <is>
          <t>Overbuild committed (ÖSZ-3)</t>
        </is>
      </c>
      <c r="C26" s="15" t="inlineStr">
        <is>
          <t>%</t>
        </is>
      </c>
      <c r="D26" t="inlineStr">
        <is>
          <t>Bora model Dashboard</t>
        </is>
      </c>
      <c r="F26" s="30">
        <f>IF(INDEX($H26:$O26,1,Scenario_Selected)="",$H26,INDEX($H26:$O26,1,Scenario_Selected))</f>
        <v/>
      </c>
      <c r="H26" s="31" t="n">
        <v>0.51</v>
      </c>
    </row>
    <row r="27">
      <c r="B27" t="inlineStr">
        <is>
          <t>BESS power committed, share of MVA (ÖSZ-4)</t>
        </is>
      </c>
      <c r="C27" s="15" t="inlineStr">
        <is>
          <t>%</t>
        </is>
      </c>
      <c r="D27" t="inlineStr">
        <is>
          <t>Bora model Dashboard</t>
        </is>
      </c>
      <c r="F27" s="30">
        <f>IF(INDEX($H27:$O27,1,Scenario_Selected)="",$H27,INDEX($H27:$O27,1,Scenario_Selected))</f>
        <v/>
      </c>
      <c r="H27" s="31" t="n">
        <v>0.51</v>
      </c>
    </row>
    <row r="28">
      <c r="B28" t="inlineStr">
        <is>
          <t>BESS duration</t>
        </is>
      </c>
      <c r="C28" s="15" t="inlineStr">
        <is>
          <t>h</t>
        </is>
      </c>
      <c r="D28" t="inlineStr">
        <is>
          <t>Bora model Dashboard</t>
        </is>
      </c>
      <c r="F28" s="16">
        <f>IF(INDEX($H28:$O28,1,Scenario_Selected)="",$H28,INDEX($H28:$O28,1,Scenario_Selected))</f>
        <v/>
      </c>
      <c r="H28" s="32" t="n">
        <v>4</v>
      </c>
    </row>
    <row r="29">
      <c r="B29" t="inlineStr">
        <is>
          <t>Wind built if not delivered</t>
        </is>
      </c>
      <c r="C29" s="15" t="inlineStr">
        <is>
          <t>MW</t>
        </is>
      </c>
      <c r="D29" t="inlineStr">
        <is>
          <t>SPEC §3 (= MVA)</t>
        </is>
      </c>
      <c r="F29" s="16">
        <f>IF(INDEX($H29:$O29,1,Scenario_Selected)="",$H29,INDEX($H29:$O29,1,Scenario_Selected))</f>
        <v/>
      </c>
      <c r="H29" s="32" t="n">
        <v>100</v>
      </c>
    </row>
    <row r="31">
      <c r="A31" s="5" t="inlineStr">
        <is>
          <t>x</t>
        </is>
      </c>
      <c r="B31" s="5" t="n"/>
      <c r="C31" s="5" t="inlineStr">
        <is>
          <t>Capex saved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B32" t="inlineStr">
        <is>
          <t>Turbine supply, EU</t>
        </is>
      </c>
      <c r="C32" s="15" t="inlineStr">
        <is>
          <t>EUR k/MW</t>
        </is>
      </c>
      <c r="D32" t="inlineStr">
        <is>
          <t>Bora model Inputs (user 12-Oct-26)</t>
        </is>
      </c>
      <c r="F32" s="17">
        <f>IF(INDEX($H32:$O32,1,Scenario_Selected)="",$H32,INDEX($H32:$O32,1,Scenario_Selected))</f>
        <v/>
      </c>
      <c r="H32" s="29" t="n">
        <v>600</v>
      </c>
    </row>
    <row r="33">
      <c r="B33" t="inlineStr">
        <is>
          <t>Turbine installation and erection</t>
        </is>
      </c>
      <c r="C33" s="15" t="inlineStr">
        <is>
          <t>EUR k/MW</t>
        </is>
      </c>
      <c r="D33" t="inlineStr">
        <is>
          <t>Bora model Inputs (old E163)</t>
        </is>
      </c>
      <c r="F33" s="17">
        <f>IF(INDEX($H33:$O33,1,Scenario_Selected)="",$H33,INDEX($H33:$O33,1,Scenario_Selected))</f>
        <v/>
      </c>
      <c r="H33" s="29" t="n">
        <v>80</v>
      </c>
    </row>
    <row r="34">
      <c r="B34" t="inlineStr">
        <is>
          <t>Foundations</t>
        </is>
      </c>
      <c r="C34" s="15" t="inlineStr">
        <is>
          <t>EUR k/MW</t>
        </is>
      </c>
      <c r="D34" t="inlineStr">
        <is>
          <t>Bora model Inputs (old E164)</t>
        </is>
      </c>
      <c r="F34" s="17">
        <f>IF(INDEX($H34:$O34,1,Scenario_Selected)="",$H34,INDEX($H34:$O34,1,Scenario_Selected))</f>
        <v/>
      </c>
      <c r="H34" s="29" t="n">
        <v>90</v>
      </c>
    </row>
    <row r="35">
      <c r="B35" t="inlineStr">
        <is>
          <t>Balance of plant</t>
        </is>
      </c>
      <c r="C35" s="15" t="inlineStr">
        <is>
          <t>EUR k/MW</t>
        </is>
      </c>
      <c r="D35" t="inlineStr">
        <is>
          <t>Bora model Inputs (old E165:E166)</t>
        </is>
      </c>
      <c r="F35" s="17">
        <f>IF(INDEX($H35:$O35,1,Scenario_Selected)="",$H35,INDEX($H35:$O35,1,Scenario_Selected))</f>
        <v/>
      </c>
      <c r="H35" s="29" t="n">
        <v>130</v>
      </c>
    </row>
    <row r="36">
      <c r="B36" t="inlineStr">
        <is>
          <t>Owner's costs</t>
        </is>
      </c>
      <c r="C36" s="15" t="inlineStr">
        <is>
          <t>EUR k/MW</t>
        </is>
      </c>
      <c r="D36" t="inlineStr">
        <is>
          <t>Bora model Inputs (old E169)</t>
        </is>
      </c>
      <c r="F36" s="17">
        <f>IF(INDEX($H36:$O36,1,Scenario_Selected)="",$H36,INDEX($H36:$O36,1,Scenario_Selected))</f>
        <v/>
      </c>
      <c r="H36" s="29" t="n">
        <v>40</v>
      </c>
    </row>
    <row r="37">
      <c r="B37" t="inlineStr">
        <is>
          <t>Land and easements</t>
        </is>
      </c>
      <c r="C37" s="15" t="inlineStr">
        <is>
          <t>EUR k/MW</t>
        </is>
      </c>
      <c r="D37" t="inlineStr">
        <is>
          <t>Bora model Inputs (old E170)</t>
        </is>
      </c>
      <c r="F37" s="17">
        <f>IF(INDEX($H37:$O37,1,Scenario_Selected)="",$H37,INDEX($H37:$O37,1,Scenario_Selected))</f>
        <v/>
      </c>
      <c r="H37" s="29" t="n">
        <v>15</v>
      </c>
    </row>
    <row r="38">
      <c r="B38" t="inlineStr">
        <is>
          <t>Contingency on overbuild capex</t>
        </is>
      </c>
      <c r="C38" s="15" t="inlineStr">
        <is>
          <t>%</t>
        </is>
      </c>
      <c r="D38" t="inlineStr">
        <is>
          <t>Bora model Inputs (old E171)</t>
        </is>
      </c>
      <c r="F38" s="30">
        <f>IF(INDEX($H38:$O38,1,Scenario_Selected)="",$H38,INDEX($H38:$O38,1,Scenario_Selected))</f>
        <v/>
      </c>
      <c r="H38" s="31" t="n">
        <v>0.05</v>
      </c>
    </row>
    <row r="39">
      <c r="B39" t="inlineStr">
        <is>
          <t>BESS capex</t>
        </is>
      </c>
      <c r="C39" s="15" t="inlineStr">
        <is>
          <t>EUR k/MW</t>
        </is>
      </c>
      <c r="D39" t="inlineStr">
        <is>
          <t>Bora model Inputs (user 12-Oct-26)</t>
        </is>
      </c>
      <c r="F39" s="17">
        <f>IF(INDEX($H39:$O39,1,Scenario_Selected)="",$H39,INDEX($H39:$O39,1,Scenario_Selected))</f>
        <v/>
      </c>
      <c r="H39" s="29" t="n">
        <v>240</v>
      </c>
    </row>
    <row r="40">
      <c r="B40" t="inlineStr">
        <is>
          <t>EU to CN turbines and transformers, saving</t>
        </is>
      </c>
      <c r="C40" s="15" t="inlineStr">
        <is>
          <t>EUR k/MW</t>
        </is>
      </c>
      <c r="D40" t="inlineStr">
        <is>
          <t>User 15-Oct-26</t>
        </is>
      </c>
      <c r="F40" s="17">
        <f>IF(INDEX($H40:$O40,1,Scenario_Selected)="",$H40,INDEX($H40:$O40,1,Scenario_Selected))</f>
        <v/>
      </c>
      <c r="H40" s="29" t="n">
        <v>100</v>
      </c>
    </row>
    <row r="42">
      <c r="A42" s="5" t="inlineStr">
        <is>
          <t>x</t>
        </is>
      </c>
      <c r="B42" s="5" t="n"/>
      <c r="C42" s="5" t="inlineStr">
        <is>
          <t>Municipal and community commitments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B43" t="inlineStr">
        <is>
          <t>Municipal one-off at COD (ÖSZ-1)</t>
        </is>
      </c>
      <c r="C43" s="15" t="inlineStr">
        <is>
          <t>EUR k/MW</t>
        </is>
      </c>
      <c r="D43" t="inlineStr">
        <is>
          <t>Bora model Dashboard</t>
        </is>
      </c>
      <c r="F43" s="17">
        <f>IF(INDEX($H43:$O43,1,Scenario_Selected)="",$H43,INDEX($H43:$O43,1,Scenario_Selected))</f>
        <v/>
      </c>
      <c r="H43" s="29" t="n">
        <v>50</v>
      </c>
    </row>
    <row r="44">
      <c r="B44" t="inlineStr">
        <is>
          <t>Community contribution (ÖSZ-2)</t>
        </is>
      </c>
      <c r="C44" s="15" t="inlineStr">
        <is>
          <t>EUR/MWh</t>
        </is>
      </c>
      <c r="D44" t="inlineStr">
        <is>
          <t>Bora model Dashboard</t>
        </is>
      </c>
      <c r="F44" s="33">
        <f>IF(INDEX($H44:$O44,1,Scenario_Selected)="",$H44,INDEX($H44:$O44,1,Scenario_Selected))</f>
        <v/>
      </c>
      <c r="H44" s="34" t="n">
        <v>3</v>
      </c>
    </row>
    <row r="45">
      <c r="B45" t="inlineStr">
        <is>
          <t>Net P50 hours</t>
        </is>
      </c>
      <c r="C45" s="15" t="inlineStr">
        <is>
          <t>h/yr</t>
        </is>
      </c>
      <c r="D45" t="inlineStr">
        <is>
          <t>Bora model Inputs (old E179)</t>
        </is>
      </c>
      <c r="F45" s="17">
        <f>IF(INDEX($H45:$O45,1,Scenario_Selected)="",$H45,INDEX($H45:$O45,1,Scenario_Selected))</f>
        <v/>
      </c>
      <c r="H45" s="29" t="n">
        <v>2460</v>
      </c>
    </row>
    <row r="46">
      <c r="B46" t="inlineStr">
        <is>
          <t>Curtailment</t>
        </is>
      </c>
      <c r="C46" s="15" t="inlineStr">
        <is>
          <t>%</t>
        </is>
      </c>
      <c r="D46" t="inlineStr">
        <is>
          <t>Bora model Inputs (old E181)</t>
        </is>
      </c>
      <c r="F46" s="30">
        <f>IF(INDEX($H46:$O46,1,Scenario_Selected)="",$H46,INDEX($H46:$O46,1,Scenario_Selected))</f>
        <v/>
      </c>
      <c r="H46" s="31" t="n">
        <v>0.02</v>
      </c>
    </row>
    <row r="47">
      <c r="B47" t="inlineStr">
        <is>
          <t>Degradation per year</t>
        </is>
      </c>
      <c r="C47" s="15" t="inlineStr">
        <is>
          <t>%</t>
        </is>
      </c>
      <c r="D47" t="inlineStr">
        <is>
          <t>Bora model Inputs (old E182)</t>
        </is>
      </c>
      <c r="F47" s="35">
        <f>IF(INDEX($H47:$O47,1,Scenario_Selected)="",$H47,INDEX($H47:$O47,1,Scenario_Selected))</f>
        <v/>
      </c>
      <c r="H47" s="36" t="n">
        <v>0.003</v>
      </c>
    </row>
    <row r="48">
      <c r="B48" t="inlineStr">
        <is>
          <t>Discount rate (PV to COD)</t>
        </is>
      </c>
      <c r="C48" s="15" t="inlineStr">
        <is>
          <t>%</t>
        </is>
      </c>
      <c r="D48" t="inlineStr">
        <is>
          <t>Bora model Inputs (old E253)</t>
        </is>
      </c>
      <c r="F48" s="30">
        <f>IF(INDEX($H48:$O48,1,Scenario_Selected)="",$H48,INDEX($H48:$O48,1,Scenario_Selected))</f>
        <v/>
      </c>
      <c r="H48" s="31" t="n">
        <v>0.08</v>
      </c>
    </row>
    <row r="49">
      <c r="B49" t="inlineStr">
        <is>
          <t>Corporate income tax</t>
        </is>
      </c>
      <c r="C49" s="15" t="inlineStr">
        <is>
          <t>%</t>
        </is>
      </c>
      <c r="D49" t="inlineStr">
        <is>
          <t>Bora model Inputs (old E12)</t>
        </is>
      </c>
      <c r="F49" s="30">
        <f>IF(INDEX($H49:$O49,1,Scenario_Selected)="",$H49,INDEX($H49:$O49,1,Scenario_Selected))</f>
        <v/>
      </c>
      <c r="H49" s="31" t="n">
        <v>0.09</v>
      </c>
    </row>
    <row r="50">
      <c r="B50" t="inlineStr">
        <is>
          <t>Community PV after CIT (1 = yes)</t>
        </is>
      </c>
      <c r="C50" s="15" t="inlineStr">
        <is>
          <t>flag</t>
        </is>
      </c>
      <c r="D50" t="inlineStr">
        <is>
          <t>SPEC §3 (default off)</t>
        </is>
      </c>
      <c r="F50" s="26">
        <f>IF(INDEX($H50:$O50,1,Scenario_Selected)="",$H50,INDEX($H50:$O50,1,Scenario_Selected))</f>
        <v/>
      </c>
      <c r="H50" s="28" t="n">
        <v>0</v>
      </c>
    </row>
    <row r="52">
      <c r="A52" s="5" t="inlineStr">
        <is>
          <t>x</t>
        </is>
      </c>
      <c r="B52" s="5" t="n"/>
      <c r="C52" s="5" t="inlineStr">
        <is>
          <t>Performance security (PB)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t="inlineStr">
        <is>
          <t>Security base: benchmark investment, wind</t>
        </is>
      </c>
      <c r="C53" s="15" t="inlineStr">
        <is>
          <t>mHUF/MW</t>
        </is>
      </c>
      <c r="D53" t="inlineStr">
        <is>
          <t>Kiírás Annex 2</t>
        </is>
      </c>
      <c r="F53" s="17">
        <f>IF(INDEX($H53:$O53,1,Scenario_Selected)="",$H53,INDEX($H53:$O53,1,Scenario_Selected))</f>
        <v/>
      </c>
      <c r="H53" s="29" t="n">
        <v>406</v>
      </c>
    </row>
    <row r="54">
      <c r="B54" t="inlineStr">
        <is>
          <t>Security base: benchmark investment, BESS</t>
        </is>
      </c>
      <c r="C54" s="15" t="inlineStr">
        <is>
          <t>mHUF/MWh</t>
        </is>
      </c>
      <c r="D54" t="inlineStr">
        <is>
          <t>Kiírás Annex 2</t>
        </is>
      </c>
      <c r="F54" s="17">
        <f>IF(INDEX($H54:$O54,1,Scenario_Selected)="",$H54,INDEX($H54:$O54,1,Scenario_Selected))</f>
        <v/>
      </c>
      <c r="H54" s="29" t="n">
        <v>200</v>
      </c>
    </row>
    <row r="55">
      <c r="B55" t="inlineStr">
        <is>
          <t>Performance security, share of base</t>
        </is>
      </c>
      <c r="C55" s="15" t="inlineStr">
        <is>
          <t>%</t>
        </is>
      </c>
      <c r="D55" t="inlineStr">
        <is>
          <t>Kiírás XII.2</t>
        </is>
      </c>
      <c r="F55" s="35">
        <f>IF(INDEX($H55:$O55,1,Scenario_Selected)="",$H55,INDEX($H55:$O55,1,Scenario_Selected))</f>
        <v/>
      </c>
      <c r="H55" s="36" t="n">
        <v>0.025</v>
      </c>
    </row>
    <row r="56">
      <c r="B56" t="inlineStr">
        <is>
          <t>FX rate</t>
        </is>
      </c>
      <c r="C56" s="15" t="inlineStr">
        <is>
          <t>HUF/EUR</t>
        </is>
      </c>
      <c r="D56" t="inlineStr">
        <is>
          <t>Bora model Inputs (old E11)</t>
        </is>
      </c>
      <c r="F56" s="17">
        <f>IF(INDEX($H56:$O56,1,Scenario_Selected)="",$H56,INDEX($H56:$O56,1,Scenario_Selected))</f>
        <v/>
      </c>
      <c r="H56" s="29" t="n">
        <v>365</v>
      </c>
    </row>
    <row r="57">
      <c r="B57" t="inlineStr">
        <is>
          <t>Capacity shortfall tolerated without sanction</t>
        </is>
      </c>
      <c r="C57" s="15" t="inlineStr">
        <is>
          <t>%</t>
        </is>
      </c>
      <c r="D57" t="inlineStr">
        <is>
          <t>Kiírás XIII.15; GYIK 28, 44</t>
        </is>
      </c>
      <c r="F57" s="30">
        <f>IF(INDEX($H57:$O57,1,Scenario_Selected)="",$H57,INDEX($H57:$O57,1,Scenario_Selected))</f>
        <v/>
      </c>
      <c r="H57" s="31" t="n">
        <v>0.1</v>
      </c>
    </row>
    <row r="58">
      <c r="B58" t="inlineStr">
        <is>
          <t>PB per bid in the Bora model</t>
        </is>
      </c>
      <c r="C58" s="15" t="inlineStr">
        <is>
          <t>EUR k</t>
        </is>
      </c>
      <c r="D58" t="inlineStr">
        <is>
          <t>Bora model Dashboard (Out_Sanction_Full_1)</t>
        </is>
      </c>
      <c r="F58" s="16">
        <f>IF(INDEX($H58:$O58,1,Scenario_Selected)="",$H58,INDEX($H58:$O58,1,Scenario_Selected))</f>
        <v/>
      </c>
      <c r="H58" s="32" t="n">
        <v>6993.56164383562</v>
      </c>
    </row>
    <row r="60">
      <c r="C60" s="11" t="inlineStr">
        <is>
          <t>***END***</t>
        </is>
      </c>
    </row>
  </sheetData>
  <dataValidations count="1">
    <dataValidation sqref="F4" showDropDown="0" showInputMessage="0" showErrorMessage="0" allowBlank="0" type="list">
      <formula1>Scenario_Names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N50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Calculations"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3">
      <c r="C3" t="inlineStr">
        <is>
          <t>Period start</t>
        </is>
      </c>
      <c r="D3" s="15" t="inlineStr">
        <is>
          <t>date</t>
        </is>
      </c>
      <c r="J3" s="27">
        <f>I$4+1</f>
        <v/>
      </c>
      <c r="K3" s="27">
        <f>J$4+1</f>
        <v/>
      </c>
      <c r="L3" s="27">
        <f>K$4+1</f>
        <v/>
      </c>
      <c r="M3" s="27">
        <f>L$4+1</f>
        <v/>
      </c>
      <c r="N3" s="27">
        <f>M$4+1</f>
        <v/>
      </c>
      <c r="O3" s="27">
        <f>N$4+1</f>
        <v/>
      </c>
      <c r="P3" s="27">
        <f>O$4+1</f>
        <v/>
      </c>
      <c r="Q3" s="27">
        <f>P$4+1</f>
        <v/>
      </c>
      <c r="R3" s="27">
        <f>Q$4+1</f>
        <v/>
      </c>
      <c r="S3" s="27">
        <f>R$4+1</f>
        <v/>
      </c>
      <c r="T3" s="27">
        <f>S$4+1</f>
        <v/>
      </c>
      <c r="U3" s="27">
        <f>T$4+1</f>
        <v/>
      </c>
      <c r="V3" s="27">
        <f>U$4+1</f>
        <v/>
      </c>
      <c r="W3" s="27">
        <f>V$4+1</f>
        <v/>
      </c>
      <c r="X3" s="27">
        <f>W$4+1</f>
        <v/>
      </c>
      <c r="Y3" s="27">
        <f>X$4+1</f>
        <v/>
      </c>
      <c r="Z3" s="27">
        <f>Y$4+1</f>
        <v/>
      </c>
      <c r="AA3" s="27">
        <f>Z$4+1</f>
        <v/>
      </c>
      <c r="AB3" s="27">
        <f>AA$4+1</f>
        <v/>
      </c>
      <c r="AC3" s="27">
        <f>AB$4+1</f>
        <v/>
      </c>
      <c r="AD3" s="27">
        <f>AC$4+1</f>
        <v/>
      </c>
      <c r="AE3" s="27">
        <f>AD$4+1</f>
        <v/>
      </c>
      <c r="AF3" s="27">
        <f>AE$4+1</f>
        <v/>
      </c>
      <c r="AG3" s="27">
        <f>AF$4+1</f>
        <v/>
      </c>
      <c r="AH3" s="27">
        <f>AG$4+1</f>
        <v/>
      </c>
      <c r="AI3" s="27">
        <f>AH$4+1</f>
        <v/>
      </c>
      <c r="AJ3" s="27">
        <f>AI$4+1</f>
        <v/>
      </c>
      <c r="AK3" s="27">
        <f>AJ$4+1</f>
        <v/>
      </c>
      <c r="AL3" s="27">
        <f>AK$4+1</f>
        <v/>
      </c>
      <c r="AM3" s="27">
        <f>AL$4+1</f>
        <v/>
      </c>
      <c r="AN3" s="27">
        <f>AM$4+1</f>
        <v/>
      </c>
    </row>
    <row r="4">
      <c r="C4" t="inlineStr">
        <is>
          <t>Period end</t>
        </is>
      </c>
      <c r="D4" s="15" t="inlineStr">
        <is>
          <t>date</t>
        </is>
      </c>
      <c r="I4" s="27">
        <f>In_Model_Start-1</f>
        <v/>
      </c>
      <c r="J4" s="37">
        <f>EOMONTH(J$3,Months_Per_Period-1)</f>
        <v/>
      </c>
      <c r="K4" s="37">
        <f>EOMONTH(K$3,Months_Per_Period-1)</f>
        <v/>
      </c>
      <c r="L4" s="37">
        <f>EOMONTH(L$3,Months_Per_Period-1)</f>
        <v/>
      </c>
      <c r="M4" s="37">
        <f>EOMONTH(M$3,Months_Per_Period-1)</f>
        <v/>
      </c>
      <c r="N4" s="37">
        <f>EOMONTH(N$3,Months_Per_Period-1)</f>
        <v/>
      </c>
      <c r="O4" s="37">
        <f>EOMONTH(O$3,Months_Per_Period-1)</f>
        <v/>
      </c>
      <c r="P4" s="37">
        <f>EOMONTH(P$3,Months_Per_Period-1)</f>
        <v/>
      </c>
      <c r="Q4" s="37">
        <f>EOMONTH(Q$3,Months_Per_Period-1)</f>
        <v/>
      </c>
      <c r="R4" s="37">
        <f>EOMONTH(R$3,Months_Per_Period-1)</f>
        <v/>
      </c>
      <c r="S4" s="37">
        <f>EOMONTH(S$3,Months_Per_Period-1)</f>
        <v/>
      </c>
      <c r="T4" s="37">
        <f>EOMONTH(T$3,Months_Per_Period-1)</f>
        <v/>
      </c>
      <c r="U4" s="37">
        <f>EOMONTH(U$3,Months_Per_Period-1)</f>
        <v/>
      </c>
      <c r="V4" s="37">
        <f>EOMONTH(V$3,Months_Per_Period-1)</f>
        <v/>
      </c>
      <c r="W4" s="37">
        <f>EOMONTH(W$3,Months_Per_Period-1)</f>
        <v/>
      </c>
      <c r="X4" s="37">
        <f>EOMONTH(X$3,Months_Per_Period-1)</f>
        <v/>
      </c>
      <c r="Y4" s="37">
        <f>EOMONTH(Y$3,Months_Per_Period-1)</f>
        <v/>
      </c>
      <c r="Z4" s="37">
        <f>EOMONTH(Z$3,Months_Per_Period-1)</f>
        <v/>
      </c>
      <c r="AA4" s="37">
        <f>EOMONTH(AA$3,Months_Per_Period-1)</f>
        <v/>
      </c>
      <c r="AB4" s="37">
        <f>EOMONTH(AB$3,Months_Per_Period-1)</f>
        <v/>
      </c>
      <c r="AC4" s="37">
        <f>EOMONTH(AC$3,Months_Per_Period-1)</f>
        <v/>
      </c>
      <c r="AD4" s="37">
        <f>EOMONTH(AD$3,Months_Per_Period-1)</f>
        <v/>
      </c>
      <c r="AE4" s="37">
        <f>EOMONTH(AE$3,Months_Per_Period-1)</f>
        <v/>
      </c>
      <c r="AF4" s="37">
        <f>EOMONTH(AF$3,Months_Per_Period-1)</f>
        <v/>
      </c>
      <c r="AG4" s="37">
        <f>EOMONTH(AG$3,Months_Per_Period-1)</f>
        <v/>
      </c>
      <c r="AH4" s="37">
        <f>EOMONTH(AH$3,Months_Per_Period-1)</f>
        <v/>
      </c>
      <c r="AI4" s="37">
        <f>EOMONTH(AI$3,Months_Per_Period-1)</f>
        <v/>
      </c>
      <c r="AJ4" s="37">
        <f>EOMONTH(AJ$3,Months_Per_Period-1)</f>
        <v/>
      </c>
      <c r="AK4" s="37">
        <f>EOMONTH(AK$3,Months_Per_Period-1)</f>
        <v/>
      </c>
      <c r="AL4" s="37">
        <f>EOMONTH(AL$3,Months_Per_Period-1)</f>
        <v/>
      </c>
      <c r="AM4" s="37">
        <f>EOMONTH(AM$3,Months_Per_Period-1)</f>
        <v/>
      </c>
      <c r="AN4" s="37">
        <f>EOMONTH(AN$3,Months_Per_Period-1)</f>
        <v/>
      </c>
    </row>
    <row r="5">
      <c r="C5" t="inlineStr">
        <is>
          <t>Days in period</t>
        </is>
      </c>
      <c r="D5" s="15" t="inlineStr">
        <is>
          <t>days</t>
        </is>
      </c>
      <c r="J5" s="26">
        <f>J$4-J$3+1</f>
        <v/>
      </c>
      <c r="K5" s="26">
        <f>K$4-K$3+1</f>
        <v/>
      </c>
      <c r="L5" s="26">
        <f>L$4-L$3+1</f>
        <v/>
      </c>
      <c r="M5" s="26">
        <f>M$4-M$3+1</f>
        <v/>
      </c>
      <c r="N5" s="26">
        <f>N$4-N$3+1</f>
        <v/>
      </c>
      <c r="O5" s="26">
        <f>O$4-O$3+1</f>
        <v/>
      </c>
      <c r="P5" s="26">
        <f>P$4-P$3+1</f>
        <v/>
      </c>
      <c r="Q5" s="26">
        <f>Q$4-Q$3+1</f>
        <v/>
      </c>
      <c r="R5" s="26">
        <f>R$4-R$3+1</f>
        <v/>
      </c>
      <c r="S5" s="26">
        <f>S$4-S$3+1</f>
        <v/>
      </c>
      <c r="T5" s="26">
        <f>T$4-T$3+1</f>
        <v/>
      </c>
      <c r="U5" s="26">
        <f>U$4-U$3+1</f>
        <v/>
      </c>
      <c r="V5" s="26">
        <f>V$4-V$3+1</f>
        <v/>
      </c>
      <c r="W5" s="26">
        <f>W$4-W$3+1</f>
        <v/>
      </c>
      <c r="X5" s="26">
        <f>X$4-X$3+1</f>
        <v/>
      </c>
      <c r="Y5" s="26">
        <f>Y$4-Y$3+1</f>
        <v/>
      </c>
      <c r="Z5" s="26">
        <f>Z$4-Z$3+1</f>
        <v/>
      </c>
      <c r="AA5" s="26">
        <f>AA$4-AA$3+1</f>
        <v/>
      </c>
      <c r="AB5" s="26">
        <f>AB$4-AB$3+1</f>
        <v/>
      </c>
      <c r="AC5" s="26">
        <f>AC$4-AC$3+1</f>
        <v/>
      </c>
      <c r="AD5" s="26">
        <f>AD$4-AD$3+1</f>
        <v/>
      </c>
      <c r="AE5" s="26">
        <f>AE$4-AE$3+1</f>
        <v/>
      </c>
      <c r="AF5" s="26">
        <f>AF$4-AF$3+1</f>
        <v/>
      </c>
      <c r="AG5" s="26">
        <f>AG$4-AG$3+1</f>
        <v/>
      </c>
      <c r="AH5" s="26">
        <f>AH$4-AH$3+1</f>
        <v/>
      </c>
      <c r="AI5" s="26">
        <f>AI$4-AI$3+1</f>
        <v/>
      </c>
      <c r="AJ5" s="26">
        <f>AJ$4-AJ$3+1</f>
        <v/>
      </c>
      <c r="AK5" s="26">
        <f>AK$4-AK$3+1</f>
        <v/>
      </c>
      <c r="AL5" s="26">
        <f>AL$4-AL$3+1</f>
        <v/>
      </c>
      <c r="AM5" s="26">
        <f>AM$4-AM$3+1</f>
        <v/>
      </c>
      <c r="AN5" s="26">
        <f>AN$4-AN$3+1</f>
        <v/>
      </c>
    </row>
    <row r="6">
      <c r="C6" t="inlineStr">
        <is>
          <t>Year fraction</t>
        </is>
      </c>
      <c r="D6" s="15" t="inlineStr">
        <is>
          <t>factor</t>
        </is>
      </c>
      <c r="J6" s="38">
        <f>J$5/Days_In_Year</f>
        <v/>
      </c>
      <c r="K6" s="38">
        <f>K$5/Days_In_Year</f>
        <v/>
      </c>
      <c r="L6" s="38">
        <f>L$5/Days_In_Year</f>
        <v/>
      </c>
      <c r="M6" s="38">
        <f>M$5/Days_In_Year</f>
        <v/>
      </c>
      <c r="N6" s="38">
        <f>N$5/Days_In_Year</f>
        <v/>
      </c>
      <c r="O6" s="38">
        <f>O$5/Days_In_Year</f>
        <v/>
      </c>
      <c r="P6" s="38">
        <f>P$5/Days_In_Year</f>
        <v/>
      </c>
      <c r="Q6" s="38">
        <f>Q$5/Days_In_Year</f>
        <v/>
      </c>
      <c r="R6" s="38">
        <f>R$5/Days_In_Year</f>
        <v/>
      </c>
      <c r="S6" s="38">
        <f>S$5/Days_In_Year</f>
        <v/>
      </c>
      <c r="T6" s="38">
        <f>T$5/Days_In_Year</f>
        <v/>
      </c>
      <c r="U6" s="38">
        <f>U$5/Days_In_Year</f>
        <v/>
      </c>
      <c r="V6" s="38">
        <f>V$5/Days_In_Year</f>
        <v/>
      </c>
      <c r="W6" s="38">
        <f>W$5/Days_In_Year</f>
        <v/>
      </c>
      <c r="X6" s="38">
        <f>X$5/Days_In_Year</f>
        <v/>
      </c>
      <c r="Y6" s="38">
        <f>Y$5/Days_In_Year</f>
        <v/>
      </c>
      <c r="Z6" s="38">
        <f>Z$5/Days_In_Year</f>
        <v/>
      </c>
      <c r="AA6" s="38">
        <f>AA$5/Days_In_Year</f>
        <v/>
      </c>
      <c r="AB6" s="38">
        <f>AB$5/Days_In_Year</f>
        <v/>
      </c>
      <c r="AC6" s="38">
        <f>AC$5/Days_In_Year</f>
        <v/>
      </c>
      <c r="AD6" s="38">
        <f>AD$5/Days_In_Year</f>
        <v/>
      </c>
      <c r="AE6" s="38">
        <f>AE$5/Days_In_Year</f>
        <v/>
      </c>
      <c r="AF6" s="38">
        <f>AF$5/Days_In_Year</f>
        <v/>
      </c>
      <c r="AG6" s="38">
        <f>AG$5/Days_In_Year</f>
        <v/>
      </c>
      <c r="AH6" s="38">
        <f>AH$5/Days_In_Year</f>
        <v/>
      </c>
      <c r="AI6" s="38">
        <f>AI$5/Days_In_Year</f>
        <v/>
      </c>
      <c r="AJ6" s="38">
        <f>AJ$5/Days_In_Year</f>
        <v/>
      </c>
      <c r="AK6" s="38">
        <f>AK$5/Days_In_Year</f>
        <v/>
      </c>
      <c r="AL6" s="38">
        <f>AL$5/Days_In_Year</f>
        <v/>
      </c>
      <c r="AM6" s="38">
        <f>AM$5/Days_In_Year</f>
        <v/>
      </c>
      <c r="AN6" s="38">
        <f>AN$5/Days_In_Year</f>
        <v/>
      </c>
    </row>
    <row r="7">
      <c r="C7" t="inlineStr">
        <is>
          <t>Year</t>
        </is>
      </c>
      <c r="D7" s="15" t="inlineStr">
        <is>
          <t>year</t>
        </is>
      </c>
      <c r="J7" s="26">
        <f>YEAR(J$4)</f>
        <v/>
      </c>
      <c r="K7" s="26">
        <f>YEAR(K$4)</f>
        <v/>
      </c>
      <c r="L7" s="26">
        <f>YEAR(L$4)</f>
        <v/>
      </c>
      <c r="M7" s="26">
        <f>YEAR(M$4)</f>
        <v/>
      </c>
      <c r="N7" s="26">
        <f>YEAR(N$4)</f>
        <v/>
      </c>
      <c r="O7" s="26">
        <f>YEAR(O$4)</f>
        <v/>
      </c>
      <c r="P7" s="26">
        <f>YEAR(P$4)</f>
        <v/>
      </c>
      <c r="Q7" s="26">
        <f>YEAR(Q$4)</f>
        <v/>
      </c>
      <c r="R7" s="26">
        <f>YEAR(R$4)</f>
        <v/>
      </c>
      <c r="S7" s="26">
        <f>YEAR(S$4)</f>
        <v/>
      </c>
      <c r="T7" s="26">
        <f>YEAR(T$4)</f>
        <v/>
      </c>
      <c r="U7" s="26">
        <f>YEAR(U$4)</f>
        <v/>
      </c>
      <c r="V7" s="26">
        <f>YEAR(V$4)</f>
        <v/>
      </c>
      <c r="W7" s="26">
        <f>YEAR(W$4)</f>
        <v/>
      </c>
      <c r="X7" s="26">
        <f>YEAR(X$4)</f>
        <v/>
      </c>
      <c r="Y7" s="26">
        <f>YEAR(Y$4)</f>
        <v/>
      </c>
      <c r="Z7" s="26">
        <f>YEAR(Z$4)</f>
        <v/>
      </c>
      <c r="AA7" s="26">
        <f>YEAR(AA$4)</f>
        <v/>
      </c>
      <c r="AB7" s="26">
        <f>YEAR(AB$4)</f>
        <v/>
      </c>
      <c r="AC7" s="26">
        <f>YEAR(AC$4)</f>
        <v/>
      </c>
      <c r="AD7" s="26">
        <f>YEAR(AD$4)</f>
        <v/>
      </c>
      <c r="AE7" s="26">
        <f>YEAR(AE$4)</f>
        <v/>
      </c>
      <c r="AF7" s="26">
        <f>YEAR(AF$4)</f>
        <v/>
      </c>
      <c r="AG7" s="26">
        <f>YEAR(AG$4)</f>
        <v/>
      </c>
      <c r="AH7" s="26">
        <f>YEAR(AH$4)</f>
        <v/>
      </c>
      <c r="AI7" s="26">
        <f>YEAR(AI$4)</f>
        <v/>
      </c>
      <c r="AJ7" s="26">
        <f>YEAR(AJ$4)</f>
        <v/>
      </c>
      <c r="AK7" s="26">
        <f>YEAR(AK$4)</f>
        <v/>
      </c>
      <c r="AL7" s="26">
        <f>YEAR(AL$4)</f>
        <v/>
      </c>
      <c r="AM7" s="26">
        <f>YEAR(AM$4)</f>
        <v/>
      </c>
      <c r="AN7" s="26">
        <f>YEAR(AN$4)</f>
        <v/>
      </c>
    </row>
    <row r="8">
      <c r="C8" t="inlineStr">
        <is>
          <t>Period counter</t>
        </is>
      </c>
      <c r="D8" s="15" t="inlineStr">
        <is>
          <t>#</t>
        </is>
      </c>
      <c r="J8" s="26">
        <f>I$8+1</f>
        <v/>
      </c>
      <c r="K8" s="26">
        <f>J$8+1</f>
        <v/>
      </c>
      <c r="L8" s="26">
        <f>K$8+1</f>
        <v/>
      </c>
      <c r="M8" s="26">
        <f>L$8+1</f>
        <v/>
      </c>
      <c r="N8" s="26">
        <f>M$8+1</f>
        <v/>
      </c>
      <c r="O8" s="26">
        <f>N$8+1</f>
        <v/>
      </c>
      <c r="P8" s="26">
        <f>O$8+1</f>
        <v/>
      </c>
      <c r="Q8" s="26">
        <f>P$8+1</f>
        <v/>
      </c>
      <c r="R8" s="26">
        <f>Q$8+1</f>
        <v/>
      </c>
      <c r="S8" s="26">
        <f>R$8+1</f>
        <v/>
      </c>
      <c r="T8" s="26">
        <f>S$8+1</f>
        <v/>
      </c>
      <c r="U8" s="26">
        <f>T$8+1</f>
        <v/>
      </c>
      <c r="V8" s="26">
        <f>U$8+1</f>
        <v/>
      </c>
      <c r="W8" s="26">
        <f>V$8+1</f>
        <v/>
      </c>
      <c r="X8" s="26">
        <f>W$8+1</f>
        <v/>
      </c>
      <c r="Y8" s="26">
        <f>X$8+1</f>
        <v/>
      </c>
      <c r="Z8" s="26">
        <f>Y$8+1</f>
        <v/>
      </c>
      <c r="AA8" s="26">
        <f>Z$8+1</f>
        <v/>
      </c>
      <c r="AB8" s="26">
        <f>AA$8+1</f>
        <v/>
      </c>
      <c r="AC8" s="26">
        <f>AB$8+1</f>
        <v/>
      </c>
      <c r="AD8" s="26">
        <f>AC$8+1</f>
        <v/>
      </c>
      <c r="AE8" s="26">
        <f>AD$8+1</f>
        <v/>
      </c>
      <c r="AF8" s="26">
        <f>AE$8+1</f>
        <v/>
      </c>
      <c r="AG8" s="26">
        <f>AF$8+1</f>
        <v/>
      </c>
      <c r="AH8" s="26">
        <f>AG$8+1</f>
        <v/>
      </c>
      <c r="AI8" s="26">
        <f>AH$8+1</f>
        <v/>
      </c>
      <c r="AJ8" s="26">
        <f>AI$8+1</f>
        <v/>
      </c>
      <c r="AK8" s="26">
        <f>AJ$8+1</f>
        <v/>
      </c>
      <c r="AL8" s="26">
        <f>AK$8+1</f>
        <v/>
      </c>
      <c r="AM8" s="26">
        <f>AL$8+1</f>
        <v/>
      </c>
      <c r="AN8" s="26">
        <f>AM$8+1</f>
        <v/>
      </c>
    </row>
    <row r="11">
      <c r="A11" s="5" t="inlineStr">
        <is>
          <t>x</t>
        </is>
      </c>
      <c r="B11" s="5" t="n"/>
      <c r="C11" s="5" t="inlineStr">
        <is>
          <t>Capacity per bid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Committed wind (built if delivered)</t>
        </is>
      </c>
      <c r="D12" s="15" t="inlineStr">
        <is>
          <t>MW</t>
        </is>
      </c>
      <c r="E12" s="16">
        <f>In_MVA*(1+In_Overbuild)</f>
        <v/>
      </c>
    </row>
    <row r="13">
      <c r="C13" t="inlineStr">
        <is>
          <t>Wind not built</t>
        </is>
      </c>
      <c r="D13" s="15" t="inlineStr">
        <is>
          <t>MW</t>
        </is>
      </c>
      <c r="E13" s="16">
        <f>$E12-In_Wind_ND</f>
        <v/>
      </c>
    </row>
    <row r="14">
      <c r="C14" t="inlineStr">
        <is>
          <t>BESS committed (E: MW, F: MWh)</t>
        </is>
      </c>
      <c r="D14" s="15" t="inlineStr">
        <is>
          <t>MW</t>
        </is>
      </c>
      <c r="E14" s="16">
        <f>In_BESS*In_MVA</f>
        <v/>
      </c>
      <c r="F14" s="16">
        <f>$E14*In_BESS_Hours</f>
        <v/>
      </c>
    </row>
    <row r="15">
      <c r="C15" t="inlineStr">
        <is>
          <t>Security base (E: wind, F: BESS)</t>
        </is>
      </c>
      <c r="D15" s="15" t="inlineStr">
        <is>
          <t>mHUF</t>
        </is>
      </c>
      <c r="E15" s="17">
        <f>$E12*In_Bench_Wind</f>
        <v/>
      </c>
      <c r="F15" s="17">
        <f>$F14*In_Bench_BESS</f>
        <v/>
      </c>
    </row>
    <row r="17">
      <c r="A17" s="5" t="inlineStr">
        <is>
          <t>x</t>
        </is>
      </c>
      <c r="B17" s="5" t="n"/>
      <c r="C17" s="5" t="inlineStr">
        <is>
          <t>Community contribution not paid (committed wind, per bid)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</row>
    <row r="18">
      <c r="C18" t="inlineStr">
        <is>
          <t>Operating period (COD to end of term)</t>
        </is>
      </c>
      <c r="D18" s="15" t="inlineStr">
        <is>
          <t>flag</t>
        </is>
      </c>
      <c r="E18" s="27">
        <f>In_COD+1</f>
        <v/>
      </c>
      <c r="F18" s="27">
        <f>EDATE(In_COD,In_Life*Months_In_Year)</f>
        <v/>
      </c>
      <c r="J18" s="38">
        <f>MAX(0,(MIN($F18,J$4)-MAX($E18,J$3)+1)/J$5)</f>
        <v/>
      </c>
      <c r="K18" s="38">
        <f>MAX(0,(MIN($F18,K$4)-MAX($E18,K$3)+1)/K$5)</f>
        <v/>
      </c>
      <c r="L18" s="38">
        <f>MAX(0,(MIN($F18,L$4)-MAX($E18,L$3)+1)/L$5)</f>
        <v/>
      </c>
      <c r="M18" s="38">
        <f>MAX(0,(MIN($F18,M$4)-MAX($E18,M$3)+1)/M$5)</f>
        <v/>
      </c>
      <c r="N18" s="38">
        <f>MAX(0,(MIN($F18,N$4)-MAX($E18,N$3)+1)/N$5)</f>
        <v/>
      </c>
      <c r="O18" s="38">
        <f>MAX(0,(MIN($F18,O$4)-MAX($E18,O$3)+1)/O$5)</f>
        <v/>
      </c>
      <c r="P18" s="38">
        <f>MAX(0,(MIN($F18,P$4)-MAX($E18,P$3)+1)/P$5)</f>
        <v/>
      </c>
      <c r="Q18" s="38">
        <f>MAX(0,(MIN($F18,Q$4)-MAX($E18,Q$3)+1)/Q$5)</f>
        <v/>
      </c>
      <c r="R18" s="38">
        <f>MAX(0,(MIN($F18,R$4)-MAX($E18,R$3)+1)/R$5)</f>
        <v/>
      </c>
      <c r="S18" s="38">
        <f>MAX(0,(MIN($F18,S$4)-MAX($E18,S$3)+1)/S$5)</f>
        <v/>
      </c>
      <c r="T18" s="38">
        <f>MAX(0,(MIN($F18,T$4)-MAX($E18,T$3)+1)/T$5)</f>
        <v/>
      </c>
      <c r="U18" s="38">
        <f>MAX(0,(MIN($F18,U$4)-MAX($E18,U$3)+1)/U$5)</f>
        <v/>
      </c>
      <c r="V18" s="38">
        <f>MAX(0,(MIN($F18,V$4)-MAX($E18,V$3)+1)/V$5)</f>
        <v/>
      </c>
      <c r="W18" s="38">
        <f>MAX(0,(MIN($F18,W$4)-MAX($E18,W$3)+1)/W$5)</f>
        <v/>
      </c>
      <c r="X18" s="38">
        <f>MAX(0,(MIN($F18,X$4)-MAX($E18,X$3)+1)/X$5)</f>
        <v/>
      </c>
      <c r="Y18" s="38">
        <f>MAX(0,(MIN($F18,Y$4)-MAX($E18,Y$3)+1)/Y$5)</f>
        <v/>
      </c>
      <c r="Z18" s="38">
        <f>MAX(0,(MIN($F18,Z$4)-MAX($E18,Z$3)+1)/Z$5)</f>
        <v/>
      </c>
      <c r="AA18" s="38">
        <f>MAX(0,(MIN($F18,AA$4)-MAX($E18,AA$3)+1)/AA$5)</f>
        <v/>
      </c>
      <c r="AB18" s="38">
        <f>MAX(0,(MIN($F18,AB$4)-MAX($E18,AB$3)+1)/AB$5)</f>
        <v/>
      </c>
      <c r="AC18" s="38">
        <f>MAX(0,(MIN($F18,AC$4)-MAX($E18,AC$3)+1)/AC$5)</f>
        <v/>
      </c>
      <c r="AD18" s="38">
        <f>MAX(0,(MIN($F18,AD$4)-MAX($E18,AD$3)+1)/AD$5)</f>
        <v/>
      </c>
      <c r="AE18" s="38">
        <f>MAX(0,(MIN($F18,AE$4)-MAX($E18,AE$3)+1)/AE$5)</f>
        <v/>
      </c>
      <c r="AF18" s="38">
        <f>MAX(0,(MIN($F18,AF$4)-MAX($E18,AF$3)+1)/AF$5)</f>
        <v/>
      </c>
      <c r="AG18" s="38">
        <f>MAX(0,(MIN($F18,AG$4)-MAX($E18,AG$3)+1)/AG$5)</f>
        <v/>
      </c>
      <c r="AH18" s="38">
        <f>MAX(0,(MIN($F18,AH$4)-MAX($E18,AH$3)+1)/AH$5)</f>
        <v/>
      </c>
      <c r="AI18" s="38">
        <f>MAX(0,(MIN($F18,AI$4)-MAX($E18,AI$3)+1)/AI$5)</f>
        <v/>
      </c>
      <c r="AJ18" s="38">
        <f>MAX(0,(MIN($F18,AJ$4)-MAX($E18,AJ$3)+1)/AJ$5)</f>
        <v/>
      </c>
      <c r="AK18" s="38">
        <f>MAX(0,(MIN($F18,AK$4)-MAX($E18,AK$3)+1)/AK$5)</f>
        <v/>
      </c>
      <c r="AL18" s="38">
        <f>MAX(0,(MIN($F18,AL$4)-MAX($E18,AL$3)+1)/AL$5)</f>
        <v/>
      </c>
      <c r="AM18" s="38">
        <f>MAX(0,(MIN($F18,AM$4)-MAX($E18,AM$3)+1)/AM$5)</f>
        <v/>
      </c>
      <c r="AN18" s="38">
        <f>MAX(0,(MIN($F18,AN$4)-MAX($E18,AN$3)+1)/AN$5)</f>
        <v/>
      </c>
    </row>
    <row r="19">
      <c r="C19" t="inlineStr">
        <is>
          <t>Degradation factor</t>
        </is>
      </c>
      <c r="D19" s="15" t="inlineStr">
        <is>
          <t>factor</t>
        </is>
      </c>
      <c r="J19" s="38">
        <f>(1-In_Degradation)^(J$7-YEAR(In_COD))</f>
        <v/>
      </c>
      <c r="K19" s="38">
        <f>(1-In_Degradation)^(K$7-YEAR(In_COD))</f>
        <v/>
      </c>
      <c r="L19" s="38">
        <f>(1-In_Degradation)^(L$7-YEAR(In_COD))</f>
        <v/>
      </c>
      <c r="M19" s="38">
        <f>(1-In_Degradation)^(M$7-YEAR(In_COD))</f>
        <v/>
      </c>
      <c r="N19" s="38">
        <f>(1-In_Degradation)^(N$7-YEAR(In_COD))</f>
        <v/>
      </c>
      <c r="O19" s="38">
        <f>(1-In_Degradation)^(O$7-YEAR(In_COD))</f>
        <v/>
      </c>
      <c r="P19" s="38">
        <f>(1-In_Degradation)^(P$7-YEAR(In_COD))</f>
        <v/>
      </c>
      <c r="Q19" s="38">
        <f>(1-In_Degradation)^(Q$7-YEAR(In_COD))</f>
        <v/>
      </c>
      <c r="R19" s="38">
        <f>(1-In_Degradation)^(R$7-YEAR(In_COD))</f>
        <v/>
      </c>
      <c r="S19" s="38">
        <f>(1-In_Degradation)^(S$7-YEAR(In_COD))</f>
        <v/>
      </c>
      <c r="T19" s="38">
        <f>(1-In_Degradation)^(T$7-YEAR(In_COD))</f>
        <v/>
      </c>
      <c r="U19" s="38">
        <f>(1-In_Degradation)^(U$7-YEAR(In_COD))</f>
        <v/>
      </c>
      <c r="V19" s="38">
        <f>(1-In_Degradation)^(V$7-YEAR(In_COD))</f>
        <v/>
      </c>
      <c r="W19" s="38">
        <f>(1-In_Degradation)^(W$7-YEAR(In_COD))</f>
        <v/>
      </c>
      <c r="X19" s="38">
        <f>(1-In_Degradation)^(X$7-YEAR(In_COD))</f>
        <v/>
      </c>
      <c r="Y19" s="38">
        <f>(1-In_Degradation)^(Y$7-YEAR(In_COD))</f>
        <v/>
      </c>
      <c r="Z19" s="38">
        <f>(1-In_Degradation)^(Z$7-YEAR(In_COD))</f>
        <v/>
      </c>
      <c r="AA19" s="38">
        <f>(1-In_Degradation)^(AA$7-YEAR(In_COD))</f>
        <v/>
      </c>
      <c r="AB19" s="38">
        <f>(1-In_Degradation)^(AB$7-YEAR(In_COD))</f>
        <v/>
      </c>
      <c r="AC19" s="38">
        <f>(1-In_Degradation)^(AC$7-YEAR(In_COD))</f>
        <v/>
      </c>
      <c r="AD19" s="38">
        <f>(1-In_Degradation)^(AD$7-YEAR(In_COD))</f>
        <v/>
      </c>
      <c r="AE19" s="38">
        <f>(1-In_Degradation)^(AE$7-YEAR(In_COD))</f>
        <v/>
      </c>
      <c r="AF19" s="38">
        <f>(1-In_Degradation)^(AF$7-YEAR(In_COD))</f>
        <v/>
      </c>
      <c r="AG19" s="38">
        <f>(1-In_Degradation)^(AG$7-YEAR(In_COD))</f>
        <v/>
      </c>
      <c r="AH19" s="38">
        <f>(1-In_Degradation)^(AH$7-YEAR(In_COD))</f>
        <v/>
      </c>
      <c r="AI19" s="38">
        <f>(1-In_Degradation)^(AI$7-YEAR(In_COD))</f>
        <v/>
      </c>
      <c r="AJ19" s="38">
        <f>(1-In_Degradation)^(AJ$7-YEAR(In_COD))</f>
        <v/>
      </c>
      <c r="AK19" s="38">
        <f>(1-In_Degradation)^(AK$7-YEAR(In_COD))</f>
        <v/>
      </c>
      <c r="AL19" s="38">
        <f>(1-In_Degradation)^(AL$7-YEAR(In_COD))</f>
        <v/>
      </c>
      <c r="AM19" s="38">
        <f>(1-In_Degradation)^(AM$7-YEAR(In_COD))</f>
        <v/>
      </c>
      <c r="AN19" s="38">
        <f>(1-In_Degradation)^(AN$7-YEAR(In_COD))</f>
        <v/>
      </c>
    </row>
    <row r="20">
      <c r="C20" t="inlineStr">
        <is>
          <t>Net generation</t>
        </is>
      </c>
      <c r="D20" s="15" t="inlineStr">
        <is>
          <t>MWh</t>
        </is>
      </c>
      <c r="I20" s="17">
        <f>SUM(J20:AN20)</f>
        <v/>
      </c>
      <c r="J20" s="17">
        <f>$E12*In_P50_Hours*(1-In_Curtailment)*J19*J18*J$6</f>
        <v/>
      </c>
      <c r="K20" s="17">
        <f>$E12*In_P50_Hours*(1-In_Curtailment)*K19*K18*K$6</f>
        <v/>
      </c>
      <c r="L20" s="17">
        <f>$E12*In_P50_Hours*(1-In_Curtailment)*L19*L18*L$6</f>
        <v/>
      </c>
      <c r="M20" s="17">
        <f>$E12*In_P50_Hours*(1-In_Curtailment)*M19*M18*M$6</f>
        <v/>
      </c>
      <c r="N20" s="17">
        <f>$E12*In_P50_Hours*(1-In_Curtailment)*N19*N18*N$6</f>
        <v/>
      </c>
      <c r="O20" s="17">
        <f>$E12*In_P50_Hours*(1-In_Curtailment)*O19*O18*O$6</f>
        <v/>
      </c>
      <c r="P20" s="17">
        <f>$E12*In_P50_Hours*(1-In_Curtailment)*P19*P18*P$6</f>
        <v/>
      </c>
      <c r="Q20" s="17">
        <f>$E12*In_P50_Hours*(1-In_Curtailment)*Q19*Q18*Q$6</f>
        <v/>
      </c>
      <c r="R20" s="17">
        <f>$E12*In_P50_Hours*(1-In_Curtailment)*R19*R18*R$6</f>
        <v/>
      </c>
      <c r="S20" s="17">
        <f>$E12*In_P50_Hours*(1-In_Curtailment)*S19*S18*S$6</f>
        <v/>
      </c>
      <c r="T20" s="17">
        <f>$E12*In_P50_Hours*(1-In_Curtailment)*T19*T18*T$6</f>
        <v/>
      </c>
      <c r="U20" s="17">
        <f>$E12*In_P50_Hours*(1-In_Curtailment)*U19*U18*U$6</f>
        <v/>
      </c>
      <c r="V20" s="17">
        <f>$E12*In_P50_Hours*(1-In_Curtailment)*V19*V18*V$6</f>
        <v/>
      </c>
      <c r="W20" s="17">
        <f>$E12*In_P50_Hours*(1-In_Curtailment)*W19*W18*W$6</f>
        <v/>
      </c>
      <c r="X20" s="17">
        <f>$E12*In_P50_Hours*(1-In_Curtailment)*X19*X18*X$6</f>
        <v/>
      </c>
      <c r="Y20" s="17">
        <f>$E12*In_P50_Hours*(1-In_Curtailment)*Y19*Y18*Y$6</f>
        <v/>
      </c>
      <c r="Z20" s="17">
        <f>$E12*In_P50_Hours*(1-In_Curtailment)*Z19*Z18*Z$6</f>
        <v/>
      </c>
      <c r="AA20" s="17">
        <f>$E12*In_P50_Hours*(1-In_Curtailment)*AA19*AA18*AA$6</f>
        <v/>
      </c>
      <c r="AB20" s="17">
        <f>$E12*In_P50_Hours*(1-In_Curtailment)*AB19*AB18*AB$6</f>
        <v/>
      </c>
      <c r="AC20" s="17">
        <f>$E12*In_P50_Hours*(1-In_Curtailment)*AC19*AC18*AC$6</f>
        <v/>
      </c>
      <c r="AD20" s="17">
        <f>$E12*In_P50_Hours*(1-In_Curtailment)*AD19*AD18*AD$6</f>
        <v/>
      </c>
      <c r="AE20" s="17">
        <f>$E12*In_P50_Hours*(1-In_Curtailment)*AE19*AE18*AE$6</f>
        <v/>
      </c>
      <c r="AF20" s="17">
        <f>$E12*In_P50_Hours*(1-In_Curtailment)*AF19*AF18*AF$6</f>
        <v/>
      </c>
      <c r="AG20" s="17">
        <f>$E12*In_P50_Hours*(1-In_Curtailment)*AG19*AG18*AG$6</f>
        <v/>
      </c>
      <c r="AH20" s="17">
        <f>$E12*In_P50_Hours*(1-In_Curtailment)*AH19*AH18*AH$6</f>
        <v/>
      </c>
      <c r="AI20" s="17">
        <f>$E12*In_P50_Hours*(1-In_Curtailment)*AI19*AI18*AI$6</f>
        <v/>
      </c>
      <c r="AJ20" s="17">
        <f>$E12*In_P50_Hours*(1-In_Curtailment)*AJ19*AJ18*AJ$6</f>
        <v/>
      </c>
      <c r="AK20" s="17">
        <f>$E12*In_P50_Hours*(1-In_Curtailment)*AK19*AK18*AK$6</f>
        <v/>
      </c>
      <c r="AL20" s="17">
        <f>$E12*In_P50_Hours*(1-In_Curtailment)*AL19*AL18*AL$6</f>
        <v/>
      </c>
      <c r="AM20" s="17">
        <f>$E12*In_P50_Hours*(1-In_Curtailment)*AM19*AM18*AM$6</f>
        <v/>
      </c>
      <c r="AN20" s="17">
        <f>$E12*In_P50_Hours*(1-In_Curtailment)*AN19*AN18*AN$6</f>
        <v/>
      </c>
    </row>
    <row r="21">
      <c r="C21" t="inlineStr">
        <is>
          <t>Discount factor to COD</t>
        </is>
      </c>
      <c r="D21" s="15" t="inlineStr">
        <is>
          <t>factor</t>
        </is>
      </c>
      <c r="J21" s="38">
        <f>1/(1+In_Rate)^((J$4-In_COD)/Days_In_Year)</f>
        <v/>
      </c>
      <c r="K21" s="38">
        <f>1/(1+In_Rate)^((K$4-In_COD)/Days_In_Year)</f>
        <v/>
      </c>
      <c r="L21" s="38">
        <f>1/(1+In_Rate)^((L$4-In_COD)/Days_In_Year)</f>
        <v/>
      </c>
      <c r="M21" s="38">
        <f>1/(1+In_Rate)^((M$4-In_COD)/Days_In_Year)</f>
        <v/>
      </c>
      <c r="N21" s="38">
        <f>1/(1+In_Rate)^((N$4-In_COD)/Days_In_Year)</f>
        <v/>
      </c>
      <c r="O21" s="38">
        <f>1/(1+In_Rate)^((O$4-In_COD)/Days_In_Year)</f>
        <v/>
      </c>
      <c r="P21" s="38">
        <f>1/(1+In_Rate)^((P$4-In_COD)/Days_In_Year)</f>
        <v/>
      </c>
      <c r="Q21" s="38">
        <f>1/(1+In_Rate)^((Q$4-In_COD)/Days_In_Year)</f>
        <v/>
      </c>
      <c r="R21" s="38">
        <f>1/(1+In_Rate)^((R$4-In_COD)/Days_In_Year)</f>
        <v/>
      </c>
      <c r="S21" s="38">
        <f>1/(1+In_Rate)^((S$4-In_COD)/Days_In_Year)</f>
        <v/>
      </c>
      <c r="T21" s="38">
        <f>1/(1+In_Rate)^((T$4-In_COD)/Days_In_Year)</f>
        <v/>
      </c>
      <c r="U21" s="38">
        <f>1/(1+In_Rate)^((U$4-In_COD)/Days_In_Year)</f>
        <v/>
      </c>
      <c r="V21" s="38">
        <f>1/(1+In_Rate)^((V$4-In_COD)/Days_In_Year)</f>
        <v/>
      </c>
      <c r="W21" s="38">
        <f>1/(1+In_Rate)^((W$4-In_COD)/Days_In_Year)</f>
        <v/>
      </c>
      <c r="X21" s="38">
        <f>1/(1+In_Rate)^((X$4-In_COD)/Days_In_Year)</f>
        <v/>
      </c>
      <c r="Y21" s="38">
        <f>1/(1+In_Rate)^((Y$4-In_COD)/Days_In_Year)</f>
        <v/>
      </c>
      <c r="Z21" s="38">
        <f>1/(1+In_Rate)^((Z$4-In_COD)/Days_In_Year)</f>
        <v/>
      </c>
      <c r="AA21" s="38">
        <f>1/(1+In_Rate)^((AA$4-In_COD)/Days_In_Year)</f>
        <v/>
      </c>
      <c r="AB21" s="38">
        <f>1/(1+In_Rate)^((AB$4-In_COD)/Days_In_Year)</f>
        <v/>
      </c>
      <c r="AC21" s="38">
        <f>1/(1+In_Rate)^((AC$4-In_COD)/Days_In_Year)</f>
        <v/>
      </c>
      <c r="AD21" s="38">
        <f>1/(1+In_Rate)^((AD$4-In_COD)/Days_In_Year)</f>
        <v/>
      </c>
      <c r="AE21" s="38">
        <f>1/(1+In_Rate)^((AE$4-In_COD)/Days_In_Year)</f>
        <v/>
      </c>
      <c r="AF21" s="38">
        <f>1/(1+In_Rate)^((AF$4-In_COD)/Days_In_Year)</f>
        <v/>
      </c>
      <c r="AG21" s="38">
        <f>1/(1+In_Rate)^((AG$4-In_COD)/Days_In_Year)</f>
        <v/>
      </c>
      <c r="AH21" s="38">
        <f>1/(1+In_Rate)^((AH$4-In_COD)/Days_In_Year)</f>
        <v/>
      </c>
      <c r="AI21" s="38">
        <f>1/(1+In_Rate)^((AI$4-In_COD)/Days_In_Year)</f>
        <v/>
      </c>
      <c r="AJ21" s="38">
        <f>1/(1+In_Rate)^((AJ$4-In_COD)/Days_In_Year)</f>
        <v/>
      </c>
      <c r="AK21" s="38">
        <f>1/(1+In_Rate)^((AK$4-In_COD)/Days_In_Year)</f>
        <v/>
      </c>
      <c r="AL21" s="38">
        <f>1/(1+In_Rate)^((AL$4-In_COD)/Days_In_Year)</f>
        <v/>
      </c>
      <c r="AM21" s="38">
        <f>1/(1+In_Rate)^((AM$4-In_COD)/Days_In_Year)</f>
        <v/>
      </c>
      <c r="AN21" s="38">
        <f>1/(1+In_Rate)^((AN$4-In_COD)/Days_In_Year)</f>
        <v/>
      </c>
    </row>
    <row r="22">
      <c r="C22" t="inlineStr">
        <is>
          <t>Community contribution not paid (E: PV by XNPV)</t>
        </is>
      </c>
      <c r="D22" s="15" t="inlineStr">
        <is>
          <t>EUR k</t>
        </is>
      </c>
      <c r="E22" s="17">
        <f>XNPV(In_Rate,$J22:$AN22,$J$4:$AN$4)*INDEX($J21:$AN21,1)</f>
        <v/>
      </c>
      <c r="I22" s="17">
        <f>SUM(J22:AN22)</f>
        <v/>
      </c>
      <c r="J22" s="17">
        <f>In_Community*J20*(1-In_CIT*In_CIT_On)/Thousand</f>
        <v/>
      </c>
      <c r="K22" s="17">
        <f>In_Community*K20*(1-In_CIT*In_CIT_On)/Thousand</f>
        <v/>
      </c>
      <c r="L22" s="17">
        <f>In_Community*L20*(1-In_CIT*In_CIT_On)/Thousand</f>
        <v/>
      </c>
      <c r="M22" s="17">
        <f>In_Community*M20*(1-In_CIT*In_CIT_On)/Thousand</f>
        <v/>
      </c>
      <c r="N22" s="17">
        <f>In_Community*N20*(1-In_CIT*In_CIT_On)/Thousand</f>
        <v/>
      </c>
      <c r="O22" s="17">
        <f>In_Community*O20*(1-In_CIT*In_CIT_On)/Thousand</f>
        <v/>
      </c>
      <c r="P22" s="17">
        <f>In_Community*P20*(1-In_CIT*In_CIT_On)/Thousand</f>
        <v/>
      </c>
      <c r="Q22" s="17">
        <f>In_Community*Q20*(1-In_CIT*In_CIT_On)/Thousand</f>
        <v/>
      </c>
      <c r="R22" s="17">
        <f>In_Community*R20*(1-In_CIT*In_CIT_On)/Thousand</f>
        <v/>
      </c>
      <c r="S22" s="17">
        <f>In_Community*S20*(1-In_CIT*In_CIT_On)/Thousand</f>
        <v/>
      </c>
      <c r="T22" s="17">
        <f>In_Community*T20*(1-In_CIT*In_CIT_On)/Thousand</f>
        <v/>
      </c>
      <c r="U22" s="17">
        <f>In_Community*U20*(1-In_CIT*In_CIT_On)/Thousand</f>
        <v/>
      </c>
      <c r="V22" s="17">
        <f>In_Community*V20*(1-In_CIT*In_CIT_On)/Thousand</f>
        <v/>
      </c>
      <c r="W22" s="17">
        <f>In_Community*W20*(1-In_CIT*In_CIT_On)/Thousand</f>
        <v/>
      </c>
      <c r="X22" s="17">
        <f>In_Community*X20*(1-In_CIT*In_CIT_On)/Thousand</f>
        <v/>
      </c>
      <c r="Y22" s="17">
        <f>In_Community*Y20*(1-In_CIT*In_CIT_On)/Thousand</f>
        <v/>
      </c>
      <c r="Z22" s="17">
        <f>In_Community*Z20*(1-In_CIT*In_CIT_On)/Thousand</f>
        <v/>
      </c>
      <c r="AA22" s="17">
        <f>In_Community*AA20*(1-In_CIT*In_CIT_On)/Thousand</f>
        <v/>
      </c>
      <c r="AB22" s="17">
        <f>In_Community*AB20*(1-In_CIT*In_CIT_On)/Thousand</f>
        <v/>
      </c>
      <c r="AC22" s="17">
        <f>In_Community*AC20*(1-In_CIT*In_CIT_On)/Thousand</f>
        <v/>
      </c>
      <c r="AD22" s="17">
        <f>In_Community*AD20*(1-In_CIT*In_CIT_On)/Thousand</f>
        <v/>
      </c>
      <c r="AE22" s="17">
        <f>In_Community*AE20*(1-In_CIT*In_CIT_On)/Thousand</f>
        <v/>
      </c>
      <c r="AF22" s="17">
        <f>In_Community*AF20*(1-In_CIT*In_CIT_On)/Thousand</f>
        <v/>
      </c>
      <c r="AG22" s="17">
        <f>In_Community*AG20*(1-In_CIT*In_CIT_On)/Thousand</f>
        <v/>
      </c>
      <c r="AH22" s="17">
        <f>In_Community*AH20*(1-In_CIT*In_CIT_On)/Thousand</f>
        <v/>
      </c>
      <c r="AI22" s="17">
        <f>In_Community*AI20*(1-In_CIT*In_CIT_On)/Thousand</f>
        <v/>
      </c>
      <c r="AJ22" s="17">
        <f>In_Community*AJ20*(1-In_CIT*In_CIT_On)/Thousand</f>
        <v/>
      </c>
      <c r="AK22" s="17">
        <f>In_Community*AK20*(1-In_CIT*In_CIT_On)/Thousand</f>
        <v/>
      </c>
      <c r="AL22" s="17">
        <f>In_Community*AL20*(1-In_CIT*In_CIT_On)/Thousand</f>
        <v/>
      </c>
      <c r="AM22" s="17">
        <f>In_Community*AM20*(1-In_CIT*In_CIT_On)/Thousand</f>
        <v/>
      </c>
      <c r="AN22" s="17">
        <f>In_Community*AN20*(1-In_CIT*In_CIT_On)/Thousand</f>
        <v/>
      </c>
    </row>
    <row r="24">
      <c r="A24" s="5" t="inlineStr">
        <is>
          <t>x</t>
        </is>
      </c>
      <c r="B24" s="5" t="n"/>
      <c r="C24" s="5" t="inlineStr">
        <is>
          <t>Savings at COD (E: per bid, F: both bids)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</row>
    <row r="25">
      <c r="A25" s="14" t="n"/>
      <c r="B25" s="14" t="n"/>
      <c r="C25" s="14" t="inlineStr">
        <is>
          <t>Overbuild capex not spent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</row>
    <row r="26">
      <c r="C26" t="inlineStr">
        <is>
          <t>Turbine supply, EU</t>
        </is>
      </c>
      <c r="D26" s="15" t="inlineStr">
        <is>
          <t>EUR k</t>
        </is>
      </c>
      <c r="E26" s="17">
        <f>In_Turbine*$E13</f>
        <v/>
      </c>
      <c r="F26" s="17">
        <f>$E26*In_Bids</f>
        <v/>
      </c>
    </row>
    <row r="27">
      <c r="C27" t="inlineStr">
        <is>
          <t>Installation and erection</t>
        </is>
      </c>
      <c r="D27" s="15" t="inlineStr">
        <is>
          <t>EUR k</t>
        </is>
      </c>
      <c r="E27" s="17">
        <f>In_Installation*$E13</f>
        <v/>
      </c>
      <c r="F27" s="17">
        <f>$E27*In_Bids</f>
        <v/>
      </c>
    </row>
    <row r="28">
      <c r="C28" t="inlineStr">
        <is>
          <t>Foundations</t>
        </is>
      </c>
      <c r="D28" s="15" t="inlineStr">
        <is>
          <t>EUR k</t>
        </is>
      </c>
      <c r="E28" s="17">
        <f>In_Foundations*$E13</f>
        <v/>
      </c>
      <c r="F28" s="17">
        <f>$E28*In_Bids</f>
        <v/>
      </c>
    </row>
    <row r="29">
      <c r="C29" t="inlineStr">
        <is>
          <t>Balance of plant</t>
        </is>
      </c>
      <c r="D29" s="15" t="inlineStr">
        <is>
          <t>EUR k</t>
        </is>
      </c>
      <c r="E29" s="17">
        <f>In_BoP*$E13</f>
        <v/>
      </c>
      <c r="F29" s="17">
        <f>$E29*In_Bids</f>
        <v/>
      </c>
    </row>
    <row r="30">
      <c r="C30" t="inlineStr">
        <is>
          <t>Owner's costs</t>
        </is>
      </c>
      <c r="D30" s="15" t="inlineStr">
        <is>
          <t>EUR k</t>
        </is>
      </c>
      <c r="E30" s="17">
        <f>In_Owner*$E13</f>
        <v/>
      </c>
      <c r="F30" s="17">
        <f>$E30*In_Bids</f>
        <v/>
      </c>
    </row>
    <row r="31">
      <c r="C31" t="inlineStr">
        <is>
          <t>Land and easements</t>
        </is>
      </c>
      <c r="D31" s="15" t="inlineStr">
        <is>
          <t>EUR k</t>
        </is>
      </c>
      <c r="E31" s="17">
        <f>In_Land*$E13</f>
        <v/>
      </c>
      <c r="F31" s="17">
        <f>$E31*In_Bids</f>
        <v/>
      </c>
    </row>
    <row r="32">
      <c r="C32" t="inlineStr">
        <is>
          <t>Contingency</t>
        </is>
      </c>
      <c r="D32" s="15" t="inlineStr">
        <is>
          <t>EUR k</t>
        </is>
      </c>
      <c r="E32" s="17">
        <f>In_Contingency*SUM($E26:$E31)</f>
        <v/>
      </c>
      <c r="F32" s="17">
        <f>$E32*In_Bids</f>
        <v/>
      </c>
    </row>
    <row r="33">
      <c r="C33" s="18" t="inlineStr">
        <is>
          <t>Overbuild capex</t>
        </is>
      </c>
      <c r="D33" s="15" t="inlineStr">
        <is>
          <t>EUR k</t>
        </is>
      </c>
      <c r="E33" s="20">
        <f>(In_Turbine+In_Installation+In_Foundations+In_BoP+In_Owner+In_Land)*$E13*(1+In_Contingency)</f>
        <v/>
      </c>
      <c r="F33" s="20">
        <f>$E33*In_Bids</f>
        <v/>
      </c>
    </row>
    <row r="34">
      <c r="C34" t="inlineStr">
        <is>
          <t>BESS capex</t>
        </is>
      </c>
      <c r="D34" s="15" t="inlineStr">
        <is>
          <t>EUR k</t>
        </is>
      </c>
      <c r="E34" s="17">
        <f>In_BESS_Capex*$E14</f>
        <v/>
      </c>
      <c r="F34" s="17">
        <f>$E34*In_Bids</f>
        <v/>
      </c>
    </row>
    <row r="35">
      <c r="C35" t="inlineStr">
        <is>
          <t>Municipal one-off</t>
        </is>
      </c>
      <c r="D35" s="15" t="inlineStr">
        <is>
          <t>EUR k</t>
        </is>
      </c>
      <c r="E35" s="17">
        <f>In_Municipal*In_MVA</f>
        <v/>
      </c>
      <c r="F35" s="17">
        <f>$E35*In_Bids</f>
        <v/>
      </c>
    </row>
    <row r="36">
      <c r="C36" t="inlineStr">
        <is>
          <t>Community contribution (PV to COD)</t>
        </is>
      </c>
      <c r="D36" s="15" t="inlineStr">
        <is>
          <t>EUR k</t>
        </is>
      </c>
      <c r="E36" s="17">
        <f>SUMPRODUCT($J22:$AN22,$J21:$AN21)</f>
        <v/>
      </c>
      <c r="F36" s="17">
        <f>$E36*In_Bids</f>
        <v/>
      </c>
    </row>
    <row r="37">
      <c r="C37" t="inlineStr">
        <is>
          <t>EU to CN turbines and transformers (white labelling)</t>
        </is>
      </c>
      <c r="D37" s="15" t="inlineStr">
        <is>
          <t>EUR k</t>
        </is>
      </c>
      <c r="E37" s="17">
        <f>In_White_Label*In_Wind_ND</f>
        <v/>
      </c>
      <c r="F37" s="17">
        <f>$E37*In_Bids</f>
        <v/>
      </c>
    </row>
    <row r="38">
      <c r="C38" s="18" t="inlineStr">
        <is>
          <t>Total savings at COD</t>
        </is>
      </c>
      <c r="D38" s="15" t="inlineStr">
        <is>
          <t>EUR k</t>
        </is>
      </c>
      <c r="E38" s="20">
        <f>SUM($E33:$E37)</f>
        <v/>
      </c>
      <c r="F38" s="20">
        <f>$E38*In_Bids</f>
        <v/>
      </c>
    </row>
    <row r="39">
      <c r="C39" t="inlineStr">
        <is>
          <t>Savings excluding the community PV</t>
        </is>
      </c>
      <c r="D39" s="15" t="inlineStr">
        <is>
          <t>EUR k</t>
        </is>
      </c>
      <c r="E39" s="17">
        <f>$E38-$E36</f>
        <v/>
      </c>
      <c r="F39" s="17">
        <f>$E39*In_Bids</f>
        <v/>
      </c>
    </row>
    <row r="41">
      <c r="A41" s="5" t="inlineStr">
        <is>
          <t>x</t>
        </is>
      </c>
      <c r="B41" s="5" t="n"/>
      <c r="C41" s="5" t="inlineStr">
        <is>
          <t>Performance security (E: per bid, F: both bids)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</row>
    <row r="42">
      <c r="C42" t="inlineStr">
        <is>
          <t>PB called (full call)</t>
        </is>
      </c>
      <c r="D42" s="15" t="inlineStr">
        <is>
          <t>EUR k</t>
        </is>
      </c>
      <c r="E42" s="17">
        <f>-In_PB_Rate*($E15+$F15)*Thousand/In_FX</f>
        <v/>
      </c>
      <c r="F42" s="17">
        <f>$E42*In_Bids</f>
        <v/>
      </c>
    </row>
    <row r="43">
      <c r="C43" s="18" t="inlineStr">
        <is>
          <t>Net saving (savings less PB called)</t>
        </is>
      </c>
      <c r="D43" s="15" t="inlineStr">
        <is>
          <t>EUR k</t>
        </is>
      </c>
      <c r="E43" s="20">
        <f>$E38+$E42</f>
        <v/>
      </c>
      <c r="F43" s="20">
        <f>$E43*In_Bids</f>
        <v/>
      </c>
    </row>
    <row r="44">
      <c r="C44" t="inlineStr">
        <is>
          <t>Savings ÷ PB called</t>
        </is>
      </c>
      <c r="D44" s="15" t="inlineStr">
        <is>
          <t>x</t>
        </is>
      </c>
      <c r="E44" s="39">
        <f>$E38/-$E42</f>
        <v/>
      </c>
    </row>
    <row r="45">
      <c r="C45" t="inlineStr">
        <is>
          <t>Wind shortfall share</t>
        </is>
      </c>
      <c r="D45" s="15" t="inlineStr">
        <is>
          <t>%</t>
        </is>
      </c>
      <c r="E45" s="30">
        <f>$E13/$E12</f>
        <v/>
      </c>
    </row>
    <row r="46">
      <c r="C46" t="inlineStr">
        <is>
          <t>PB lost, pro-rata reading (BESS in full, wind pro rata)</t>
        </is>
      </c>
      <c r="D46" s="15" t="inlineStr">
        <is>
          <t>EUR k</t>
        </is>
      </c>
      <c r="E46" s="17">
        <f>-In_PB_Rate*($E45*($E45&gt;In_Tolerance_Cap)*$E15+$F15)*Thousand/In_FX</f>
        <v/>
      </c>
      <c r="F46" s="17">
        <f>$E46*In_Bids</f>
        <v/>
      </c>
    </row>
    <row r="47">
      <c r="C47" t="inlineStr">
        <is>
          <t>Connection capacity lost, pro-rata reading</t>
        </is>
      </c>
      <c r="D47" s="15" t="inlineStr">
        <is>
          <t>MVA</t>
        </is>
      </c>
      <c r="E47" s="16">
        <f>($E45&gt;In_Tolerance_Cap)*$E45*In_MVA</f>
        <v/>
      </c>
      <c r="F47" s="16">
        <f>$E47*In_Bids</f>
        <v/>
      </c>
    </row>
    <row r="48">
      <c r="C48" t="inlineStr">
        <is>
          <t>3-year group exclusion</t>
        </is>
      </c>
      <c r="D48" s="15" t="inlineStr">
        <is>
          <t>text</t>
        </is>
      </c>
      <c r="E48" s="40">
        <f>IF($E42&lt;0,"Yes","No")</f>
        <v/>
      </c>
    </row>
    <row r="50">
      <c r="C50" s="11" t="inlineStr">
        <is>
          <t>***END***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N18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8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Checks"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4">
      <c r="C4" t="inlineStr">
        <is>
          <t>Period end</t>
        </is>
      </c>
      <c r="J4" s="41">
        <f>Calc!J$4</f>
        <v/>
      </c>
      <c r="K4" s="41">
        <f>Calc!K$4</f>
        <v/>
      </c>
      <c r="L4" s="41">
        <f>Calc!L$4</f>
        <v/>
      </c>
      <c r="M4" s="41">
        <f>Calc!M$4</f>
        <v/>
      </c>
      <c r="N4" s="41">
        <f>Calc!N$4</f>
        <v/>
      </c>
      <c r="O4" s="41">
        <f>Calc!O$4</f>
        <v/>
      </c>
      <c r="P4" s="41">
        <f>Calc!P$4</f>
        <v/>
      </c>
      <c r="Q4" s="41">
        <f>Calc!Q$4</f>
        <v/>
      </c>
      <c r="R4" s="41">
        <f>Calc!R$4</f>
        <v/>
      </c>
      <c r="S4" s="41">
        <f>Calc!S$4</f>
        <v/>
      </c>
      <c r="T4" s="41">
        <f>Calc!T$4</f>
        <v/>
      </c>
      <c r="U4" s="41">
        <f>Calc!U$4</f>
        <v/>
      </c>
      <c r="V4" s="41">
        <f>Calc!V$4</f>
        <v/>
      </c>
      <c r="W4" s="41">
        <f>Calc!W$4</f>
        <v/>
      </c>
      <c r="X4" s="41">
        <f>Calc!X$4</f>
        <v/>
      </c>
      <c r="Y4" s="41">
        <f>Calc!Y$4</f>
        <v/>
      </c>
      <c r="Z4" s="41">
        <f>Calc!Z$4</f>
        <v/>
      </c>
      <c r="AA4" s="41">
        <f>Calc!AA$4</f>
        <v/>
      </c>
      <c r="AB4" s="41">
        <f>Calc!AB$4</f>
        <v/>
      </c>
      <c r="AC4" s="41">
        <f>Calc!AC$4</f>
        <v/>
      </c>
      <c r="AD4" s="41">
        <f>Calc!AD$4</f>
        <v/>
      </c>
      <c r="AE4" s="41">
        <f>Calc!AE$4</f>
        <v/>
      </c>
      <c r="AF4" s="41">
        <f>Calc!AF$4</f>
        <v/>
      </c>
      <c r="AG4" s="41">
        <f>Calc!AG$4</f>
        <v/>
      </c>
      <c r="AH4" s="41">
        <f>Calc!AH$4</f>
        <v/>
      </c>
      <c r="AI4" s="41">
        <f>Calc!AI$4</f>
        <v/>
      </c>
      <c r="AJ4" s="41">
        <f>Calc!AJ$4</f>
        <v/>
      </c>
      <c r="AK4" s="41">
        <f>Calc!AK$4</f>
        <v/>
      </c>
      <c r="AL4" s="41">
        <f>Calc!AL$4</f>
        <v/>
      </c>
      <c r="AM4" s="41">
        <f>Calc!AM$4</f>
        <v/>
      </c>
      <c r="AN4" s="41">
        <f>Calc!AN$4</f>
        <v/>
      </c>
    </row>
    <row r="9">
      <c r="E9" s="13" t="inlineStr">
        <is>
          <t>Status</t>
        </is>
      </c>
      <c r="F9" s="13" t="inlineStr">
        <is>
          <t>Fails</t>
        </is>
      </c>
    </row>
    <row r="11">
      <c r="A11" s="5" t="inlineStr">
        <is>
          <t>x</t>
        </is>
      </c>
      <c r="B11" s="5" t="n"/>
      <c r="C11" s="5" t="inlineStr">
        <is>
          <t>Checks (0 = OK)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Overbuild capex: elements = total</t>
        </is>
      </c>
      <c r="D12" s="15" t="inlineStr">
        <is>
          <t>flag</t>
        </is>
      </c>
      <c r="E12" s="42">
        <f>IF(F12=0,"OK","CHECK")</f>
        <v/>
      </c>
      <c r="F12" s="43">
        <f>--(ABS(SUM(Calc!$E$26:$E$32)-Calc!$E33)&gt;Tolerance)</f>
        <v/>
      </c>
    </row>
    <row r="13">
      <c r="C13" t="inlineStr">
        <is>
          <t>PB per bid = Bora model PB (EUR 6,993.6 k)</t>
        </is>
      </c>
      <c r="D13" s="15" t="inlineStr">
        <is>
          <t>flag</t>
        </is>
      </c>
      <c r="E13" s="42">
        <f>IF(F13=0,"OK","CHECK")</f>
        <v/>
      </c>
      <c r="F13" s="43">
        <f>--(ABS(-Calc!$E42-In_Bora_PB)&gt;Tolerance)</f>
        <v/>
      </c>
    </row>
    <row r="14">
      <c r="C14" t="inlineStr">
        <is>
          <t>Community PV: XNPV = SUMPRODUCT</t>
        </is>
      </c>
      <c r="D14" s="15" t="inlineStr">
        <is>
          <t>flag</t>
        </is>
      </c>
      <c r="E14" s="42">
        <f>IF(F14=0,"OK","CHECK")</f>
        <v/>
      </c>
      <c r="F14" s="43">
        <f>--(ABS(Calc!$E22-Calc!$E36)&gt;Tolerance)</f>
        <v/>
      </c>
    </row>
    <row r="16">
      <c r="C16" s="18" t="inlineStr">
        <is>
          <t>Master check</t>
        </is>
      </c>
      <c r="E16" s="24">
        <f>IF(F16=0,"OK","CHECK")</f>
        <v/>
      </c>
      <c r="F16" s="44">
        <f>SUMPRODUCT(ABS(F12:F14))</f>
        <v/>
      </c>
    </row>
    <row r="18">
      <c r="C18" s="11" t="inlineStr">
        <is>
          <t>***END***</t>
        </is>
      </c>
    </row>
  </sheetData>
  <conditionalFormatting sqref="E12:E16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2026-10-15T06:52:03Z</dcterms:created>
  <dcterms:modified xmlns:dcterms="http://purl.org/dc/terms/" xmlns:xsi="http://www.w3.org/2001/XMLSchema-instance" xsi:type="dcterms:W3CDTF">2026-10-15T06:52:03Z</dcterms:modified>
</cp:coreProperties>
</file>