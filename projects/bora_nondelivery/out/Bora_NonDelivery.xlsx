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Curves" sheetId="4" state="visible" r:id="rId4"/>
    <sheet xmlns:r="http://schemas.openxmlformats.org/officeDocument/2006/relationships" name="Calc" sheetId="5" state="visible" r:id="rId5"/>
    <sheet xmlns:r="http://schemas.openxmlformats.org/officeDocument/2006/relationships" name="Checks" sheetId="6" state="visible" r:id="rId6"/>
  </sheets>
  <definedNames>
    <definedName name="Scenario_Name">Inputs!$F$4</definedName>
    <definedName name="Scenario_Selected">Inputs!$F$5</definedName>
    <definedName name="Scenario_Names">Inputs!$H$7:$H$7</definedName>
    <definedName name="Thousand">Inputs!$F$11</definedName>
    <definedName name="Million">Inputs!$F$12</definedName>
    <definedName name="Days_In_Year">Inputs!$F$13</definedName>
    <definedName name="Months_In_Year">Inputs!$F$14</definedName>
    <definedName name="Months_Per_Period">Inputs!$F$15</definedName>
    <definedName name="Tolerance">Inputs!$F$16</definedName>
    <definedName name="In_Model_Start">Inputs!$F$19</definedName>
    <definedName name="In_COD">Inputs!$F$20</definedName>
    <definedName name="In_Life">Inputs!$F$21</definedName>
    <definedName name="In_Bids">Inputs!$F$24</definedName>
    <definedName name="In_MVA">Inputs!$F$25</definedName>
    <definedName name="In_Overbuild">Inputs!$F$26</definedName>
    <definedName name="In_BESS">Inputs!$F$27</definedName>
    <definedName name="In_BESS_Hours">Inputs!$F$28</definedName>
    <definedName name="In_Wind_ND">Inputs!$F$29</definedName>
    <definedName name="In_Turbine">Inputs!$F$32</definedName>
    <definedName name="In_Installation">Inputs!$F$33</definedName>
    <definedName name="In_Foundations">Inputs!$F$34</definedName>
    <definedName name="In_BoP">Inputs!$F$35</definedName>
    <definedName name="In_Owner">Inputs!$F$36</definedName>
    <definedName name="In_Land">Inputs!$F$37</definedName>
    <definedName name="In_Contingency">Inputs!$F$38</definedName>
    <definedName name="In_BESS_Capex">Inputs!$F$39</definedName>
    <definedName name="In_White_Label">Inputs!$F$40</definedName>
    <definedName name="In_Municipal">Inputs!$F$43</definedName>
    <definedName name="In_Community">Inputs!$F$44</definedName>
    <definedName name="In_P50_Hours">Inputs!$F$45</definedName>
    <definedName name="In_Curtailment">Inputs!$F$46</definedName>
    <definedName name="In_Degradation">Inputs!$F$47</definedName>
    <definedName name="In_Rate">Inputs!$F$48</definedName>
    <definedName name="In_CIT">Inputs!$F$49</definedName>
    <definedName name="In_CIT_On">Inputs!$F$50</definedName>
    <definedName name="In_Bench_Wind">Inputs!$F$53</definedName>
    <definedName name="In_Bench_BESS">Inputs!$F$54</definedName>
    <definedName name="In_PB_Rate">Inputs!$F$55</definedName>
    <definedName name="In_FX">Inputs!$F$56</definedName>
    <definedName name="In_Tolerance_Cap">Inputs!$F$57</definedName>
    <definedName name="In_Bora_PB">Inputs!$F$58</definedName>
    <definedName name="In_Sanction_Lag">Inputs!$F$59</definedName>
    <definedName name="In_COD_Price">Inputs!$F$62</definedName>
    <definedName name="In_BC_Tax_Base">Inputs!$F$63</definedName>
    <definedName name="In_ZB_Tax_Base">Inputs!$F$64</definedName>
    <definedName name="In_Dep_Years">Inputs!$F$65</definedName>
    <definedName name="BC_Date">Curves!$E$7:$E$126</definedName>
    <definedName name="BC_Revenue">Curves!$F$7:$F$126</definedName>
    <definedName name="BC_Opex">Curves!$I$7:$I$126</definedName>
    <definedName name="BC_EBITDA">Curves!$J$7:$J$126</definedName>
    <definedName name="ZB_Date">Curves!$E$130:$E$249</definedName>
    <definedName name="ZB_Revenue">Curves!$F$130:$F$249</definedName>
    <definedName name="ZB_Opex">Curves!$I$130:$I$249</definedName>
    <definedName name="ZB_EBITDA">Curves!$J$130:$J$249</definedName>
    <definedName name="Out_Overbuild">Summary!$E$14</definedName>
    <definedName name="Out_BESS">Summary!$E$15</definedName>
    <definedName name="Out_Municipal">Summary!$E$16</definedName>
    <definedName name="Out_Community_PV">Summary!$E$17</definedName>
    <definedName name="Out_White_Label">Summary!$E$18</definedName>
    <definedName name="Out_Savings_Total">Summary!$E$19</definedName>
    <definedName name="Out_PB_Called">Summary!$E$20</definedName>
    <definedName name="Out_PB_Per_Bid">Summary!$F$20</definedName>
    <definedName name="Out_Net_Saving">Summary!$E$21</definedName>
    <definedName name="Out_Savings_Ex_Community">Summary!$E$23</definedName>
    <definedName name="Out_Multiple">Summary!$E$24</definedName>
    <definedName name="Out_PB_ProRata">Summary!$E$25</definedName>
    <definedName name="Out_Buyer_IRR_A">Summary!$E$29</definedName>
    <definedName name="Out_Buyer_IRR_B">Summary!$F$29</definedName>
    <definedName name="Out_Buyer_IRR_Zero">Summary!$G$29</definedName>
    <definedName name="Out_Buyer_NPV_A">Summary!$E$30</definedName>
    <definedName name="Out_Buyer_NPV_B">Summary!$F$30</definedName>
    <definedName name="Out_Buyer_NPV_Zero">Summary!$G$30</definedName>
    <definedName name="Out_Buyer_IRR_Delta">Summary!$E$31</definedName>
    <definedName name="Out_Buyer_IRR_Seller_PB">Summary!$F$32</definedName>
    <definedName name="Out_MVA_Lost">Summary!$E$38</definedName>
    <definedName name="Master_Check">Checks!$F$20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"/>
    <numFmt numFmtId="165" formatCode="dd-mmm-yy"/>
    <numFmt numFmtId="166" formatCode="#,##0;(#,##0);&quot;–&quot;"/>
    <numFmt numFmtId="167" formatCode="0.0%;(0.0%);&quot;–&quot;"/>
    <numFmt numFmtId="168" formatCode="#,##0.0;(#,##0.0);&quot;–&quot;"/>
    <numFmt numFmtId="169" formatCode="#,##0.00;(#,##0.00);&quot;–&quot;"/>
    <numFmt numFmtId="170" formatCode="0.00&quot;x&quot;"/>
    <numFmt numFmtId="171" formatCode="0.000;(0.000);&quot;–&quot;"/>
    <numFmt numFmtId="172" formatCode="0;-0;&quot;–&quot;"/>
  </numFmts>
  <fonts count="13">
    <font>
      <name val="Aptos Narrow"/>
      <color rgb="00000000"/>
      <sz val="10"/>
    </font>
    <font>
      <name val="Aptos Narrow"/>
      <color rgb="000000FF"/>
      <sz val="10"/>
    </font>
    <font>
      <name val="Aptos Narrow"/>
      <color rgb="0000B050"/>
      <sz val="10"/>
    </font>
    <font>
      <name val="Aptos Narrow"/>
      <color rgb="00000000"/>
      <sz val="10"/>
    </font>
    <font>
      <name val="Aptos Narrow"/>
      <color rgb="007030A0"/>
      <sz val="10"/>
    </font>
    <font>
      <name val="Aptos Narrow"/>
      <b val="1"/>
      <color rgb="00FFFFFF"/>
      <sz val="10"/>
    </font>
    <font>
      <name val="Aptos Narrow"/>
      <b val="1"/>
      <color rgb="003C3C3B"/>
      <sz val="10"/>
    </font>
    <font>
      <name val="Aptos Narrow"/>
      <b val="1"/>
      <color rgb="00000000"/>
      <sz val="10"/>
    </font>
    <font>
      <name val="Aptos Narrow"/>
      <i val="1"/>
      <color rgb="00808080"/>
      <sz val="10"/>
    </font>
    <font>
      <name val="Aptos Narrow"/>
      <b val="1"/>
      <color rgb="00FFFFFF"/>
      <sz val="12"/>
    </font>
    <font>
      <name val="Aptos Narrow"/>
      <b val="1"/>
      <color rgb="00808080"/>
      <sz val="10"/>
    </font>
    <font>
      <name val="Aptos Narrow"/>
      <b val="1"/>
      <color rgb="000000FF"/>
      <sz val="16"/>
    </font>
    <font>
      <name val="Aptos Narrow"/>
      <b val="1"/>
      <sz val="10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2F2F2"/>
      </patternFill>
    </fill>
    <fill>
      <patternFill patternType="solid">
        <fgColor rgb="0000563C"/>
      </patternFill>
    </fill>
    <fill>
      <patternFill patternType="solid">
        <fgColor rgb="00E6F4EC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top style="thin">
        <color rgb="00000000"/>
      </top>
    </border>
    <border>
      <bottom style="medium">
        <color rgb="003C3C3B"/>
      </bottom>
    </border>
  </borders>
  <cellStyleXfs count="14">
    <xf numFmtId="0" fontId="3" fillId="0" borderId="0"/>
    <xf numFmtId="0" fontId="1" fillId="2" borderId="1" applyAlignment="1">
      <alignment horizontal="right"/>
    </xf>
    <xf numFmtId="0" fontId="2" fillId="0" borderId="2" applyAlignment="1">
      <alignment horizontal="right"/>
    </xf>
    <xf numFmtId="0" fontId="3" fillId="0" borderId="2" applyAlignment="1">
      <alignment horizontal="right"/>
    </xf>
    <xf numFmtId="0" fontId="4" fillId="3" borderId="1" applyAlignment="1">
      <alignment horizontal="right"/>
    </xf>
    <xf numFmtId="0" fontId="3" fillId="4" borderId="2" applyAlignment="1">
      <alignment horizontal="right"/>
    </xf>
    <xf numFmtId="0" fontId="5" fillId="5" borderId="2"/>
    <xf numFmtId="0" fontId="6" fillId="6" borderId="2"/>
    <xf numFmtId="0" fontId="7" fillId="0" borderId="3" applyAlignment="1">
      <alignment horizontal="right"/>
    </xf>
    <xf numFmtId="0" fontId="8" fillId="0" borderId="2"/>
    <xf numFmtId="0" fontId="3" fillId="0" borderId="2"/>
    <xf numFmtId="0" fontId="9" fillId="5" borderId="2"/>
    <xf numFmtId="0" fontId="6" fillId="0" borderId="4" applyAlignment="1">
      <alignment horizontal="right"/>
    </xf>
    <xf numFmtId="0" fontId="10" fillId="0" borderId="2"/>
  </cellStyleXfs>
  <cellXfs count="47">
    <xf numFmtId="0" fontId="0" fillId="0" borderId="0" pivotButton="0" quotePrefix="0" xfId="0"/>
    <xf numFmtId="0" fontId="9" fillId="5" borderId="2" pivotButton="0" quotePrefix="0" xfId="11"/>
    <xf numFmtId="0" fontId="11" fillId="2" borderId="1" applyAlignment="1" pivotButton="0" quotePrefix="0" xfId="1">
      <alignment horizontal="right"/>
    </xf>
    <xf numFmtId="0" fontId="1" fillId="2" borderId="1" applyAlignment="1" pivotButton="0" quotePrefix="0" xfId="1">
      <alignment horizontal="right"/>
    </xf>
    <xf numFmtId="165" fontId="1" fillId="2" borderId="1" applyAlignment="1" pivotButton="0" quotePrefix="0" xfId="1">
      <alignment horizontal="right"/>
    </xf>
    <xf numFmtId="0" fontId="5" fillId="5" borderId="2" pivotButton="0" quotePrefix="0" xfId="6"/>
    <xf numFmtId="0" fontId="1" fillId="2" borderId="1" applyAlignment="1" pivotButton="0" quotePrefix="0" xfId="1">
      <alignment horizontal="left"/>
    </xf>
    <xf numFmtId="0" fontId="2" fillId="0" borderId="2" applyAlignment="1" pivotButton="0" quotePrefix="0" xfId="2">
      <alignment horizontal="left"/>
    </xf>
    <xf numFmtId="0" fontId="3" fillId="0" borderId="2" applyAlignment="1" pivotButton="0" quotePrefix="0" xfId="3">
      <alignment horizontal="left"/>
    </xf>
    <xf numFmtId="0" fontId="4" fillId="3" borderId="1" applyAlignment="1" pivotButton="0" quotePrefix="0" xfId="4">
      <alignment horizontal="left"/>
    </xf>
    <xf numFmtId="0" fontId="3" fillId="4" borderId="2" applyAlignment="1" pivotButton="0" quotePrefix="0" xfId="5">
      <alignment horizontal="left"/>
    </xf>
    <xf numFmtId="0" fontId="10" fillId="0" borderId="2" pivotButton="0" quotePrefix="0" xfId="13"/>
    <xf numFmtId="0" fontId="6" fillId="0" borderId="4" applyAlignment="1" pivotButton="0" quotePrefix="0" xfId="12">
      <alignment horizontal="left"/>
    </xf>
    <xf numFmtId="0" fontId="6" fillId="0" borderId="4" applyAlignment="1" pivotButton="0" quotePrefix="0" xfId="12">
      <alignment horizontal="right"/>
    </xf>
    <xf numFmtId="0" fontId="6" fillId="6" borderId="2" pivotButton="0" quotePrefix="0" xfId="7"/>
    <xf numFmtId="0" fontId="8" fillId="0" borderId="2" pivotButton="0" quotePrefix="0" xfId="9"/>
    <xf numFmtId="168" fontId="3" fillId="0" borderId="2" applyAlignment="1" pivotButton="0" quotePrefix="0" xfId="3">
      <alignment horizontal="right"/>
    </xf>
    <xf numFmtId="166" fontId="3" fillId="0" borderId="2" applyAlignment="1" pivotButton="0" quotePrefix="0" xfId="3">
      <alignment horizontal="right"/>
    </xf>
    <xf numFmtId="0" fontId="12" fillId="0" borderId="0" pivotButton="0" quotePrefix="0" xfId="0"/>
    <xf numFmtId="168" fontId="7" fillId="0" borderId="3" applyAlignment="1" pivotButton="0" quotePrefix="0" xfId="8">
      <alignment horizontal="right"/>
    </xf>
    <xf numFmtId="166" fontId="7" fillId="0" borderId="3" applyAlignment="1" pivotButton="0" quotePrefix="0" xfId="8">
      <alignment horizontal="right"/>
    </xf>
    <xf numFmtId="170" fontId="2" fillId="0" borderId="2" applyAlignment="1" pivotButton="0" quotePrefix="0" xfId="2">
      <alignment horizontal="right"/>
    </xf>
    <xf numFmtId="10" fontId="2" fillId="0" borderId="2" applyAlignment="1" pivotButton="0" quotePrefix="0" xfId="2">
      <alignment horizontal="right"/>
    </xf>
    <xf numFmtId="49" fontId="2" fillId="0" borderId="2" applyAlignment="1" pivotButton="0" quotePrefix="0" xfId="2">
      <alignment horizontal="right"/>
    </xf>
    <xf numFmtId="168" fontId="2" fillId="0" borderId="2" applyAlignment="1" pivotButton="0" quotePrefix="0" xfId="2">
      <alignment horizontal="right"/>
    </xf>
    <xf numFmtId="0" fontId="7" fillId="0" borderId="3" applyAlignment="1" pivotButton="0" quotePrefix="0" xfId="8">
      <alignment horizontal="right"/>
    </xf>
    <xf numFmtId="0" fontId="2" fillId="0" borderId="2" applyAlignment="1" pivotButton="0" quotePrefix="0" xfId="2">
      <alignment horizontal="right"/>
    </xf>
    <xf numFmtId="1" fontId="3" fillId="0" borderId="2" applyAlignment="1" pivotButton="0" quotePrefix="0" xfId="3">
      <alignment horizontal="right"/>
    </xf>
    <xf numFmtId="165" fontId="3" fillId="0" borderId="2" applyAlignment="1" pivotButton="0" quotePrefix="0" xfId="3">
      <alignment horizontal="right"/>
    </xf>
    <xf numFmtId="1" fontId="1" fillId="2" borderId="1" applyAlignment="1" pivotButton="0" quotePrefix="0" xfId="1">
      <alignment horizontal="right"/>
    </xf>
    <xf numFmtId="166" fontId="1" fillId="2" borderId="1" applyAlignment="1" pivotButton="0" quotePrefix="0" xfId="1">
      <alignment horizontal="right"/>
    </xf>
    <xf numFmtId="167" fontId="3" fillId="0" borderId="2" applyAlignment="1" pivotButton="0" quotePrefix="0" xfId="3">
      <alignment horizontal="right"/>
    </xf>
    <xf numFmtId="167" fontId="1" fillId="2" borderId="1" applyAlignment="1" pivotButton="0" quotePrefix="0" xfId="1">
      <alignment horizontal="right"/>
    </xf>
    <xf numFmtId="168" fontId="1" fillId="2" borderId="1" applyAlignment="1" pivotButton="0" quotePrefix="0" xfId="1">
      <alignment horizontal="right"/>
    </xf>
    <xf numFmtId="169" fontId="3" fillId="0" borderId="2" applyAlignment="1" pivotButton="0" quotePrefix="0" xfId="3">
      <alignment horizontal="right"/>
    </xf>
    <xf numFmtId="169" fontId="1" fillId="2" borderId="1" applyAlignment="1" pivotButton="0" quotePrefix="0" xfId="1">
      <alignment horizontal="right"/>
    </xf>
    <xf numFmtId="10" fontId="3" fillId="0" borderId="2" applyAlignment="1" pivotButton="0" quotePrefix="0" xfId="3">
      <alignment horizontal="right"/>
    </xf>
    <xf numFmtId="10" fontId="1" fillId="2" borderId="1" applyAlignment="1" pivotButton="0" quotePrefix="0" xfId="1">
      <alignment horizontal="right"/>
    </xf>
    <xf numFmtId="165" fontId="12" fillId="0" borderId="2" applyAlignment="1" pivotButton="0" quotePrefix="0" xfId="3">
      <alignment horizontal="right"/>
    </xf>
    <xf numFmtId="171" fontId="3" fillId="0" borderId="2" applyAlignment="1" pivotButton="0" quotePrefix="0" xfId="3">
      <alignment horizontal="right"/>
    </xf>
    <xf numFmtId="170" fontId="3" fillId="0" borderId="2" applyAlignment="1" pivotButton="0" quotePrefix="0" xfId="3">
      <alignment horizontal="right"/>
    </xf>
    <xf numFmtId="49" fontId="3" fillId="0" borderId="2" applyAlignment="1" pivotButton="0" quotePrefix="0" xfId="3">
      <alignment horizontal="right"/>
    </xf>
    <xf numFmtId="165" fontId="2" fillId="0" borderId="2" applyAlignment="1" pivotButton="0" quotePrefix="0" xfId="2">
      <alignment horizontal="right"/>
    </xf>
    <xf numFmtId="172" fontId="3" fillId="0" borderId="2" applyAlignment="1" pivotButton="0" quotePrefix="0" xfId="3">
      <alignment horizontal="right"/>
    </xf>
    <xf numFmtId="166" fontId="2" fillId="0" borderId="2" applyAlignment="1" pivotButton="0" quotePrefix="0" xfId="2">
      <alignment horizontal="right"/>
    </xf>
    <xf numFmtId="0" fontId="3" fillId="0" borderId="2" applyAlignment="1" pivotButton="0" quotePrefix="0" xfId="3">
      <alignment horizontal="right"/>
    </xf>
    <xf numFmtId="172" fontId="7" fillId="0" borderId="3" applyAlignment="1" pivotButton="0" quotePrefix="0" xfId="8">
      <alignment horizontal="right"/>
    </xf>
  </cellXfs>
  <cellStyles count="14">
    <cellStyle name="Normal" xfId="0" builtinId="0" hidden="0"/>
    <cellStyle name="fep_input" xfId="1" hidden="0"/>
    <cellStyle name="fep_link" xfId="2" hidden="0"/>
    <cellStyle name="fep_calc" xfId="3" hidden="0"/>
    <cellStyle name="fep_macro" xfId="4" hidden="0"/>
    <cellStyle name="fep_seed" xfId="5" hidden="0"/>
    <cellStyle name="fep_section" xfId="6" hidden="0"/>
    <cellStyle name="fep_subheader" xfId="7" hidden="0"/>
    <cellStyle name="fep_total" xfId="8" hidden="0"/>
    <cellStyle name="fep_unit" xfId="9" hidden="0"/>
    <cellStyle name="fep_label" xfId="10" hidden="0"/>
    <cellStyle name="fep_banner" xfId="11" hidden="0"/>
    <cellStyle name="fep_header" xfId="12" hidden="0"/>
    <cellStyle name="fep_end" xfId="13" hidden="0"/>
  </cellStyles>
  <dxfs count="2">
    <dxf>
      <font>
        <b val="1"/>
        <color rgb="0000B050"/>
      </font>
    </dxf>
    <dxf>
      <font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4" customWidth="1" min="3" max="3"/>
    <col width="3" customWidth="1" min="4" max="4"/>
    <col width="16" customWidth="1" min="5" max="5"/>
    <col width="30" customWidth="1" min="6" max="6"/>
    <col width="3" customWidth="1" min="7" max="7"/>
    <col width="3" customWidth="1" min="8" max="8"/>
    <col hidden="1" outlineLevel="1" width="13" customWidth="1" min="9" max="16384"/>
  </cols>
  <sheetData>
    <row r="2">
      <c r="A2" s="1" t="n"/>
      <c r="B2" s="1">
        <f>C3&amp;" – Cover"</f>
        <v/>
      </c>
      <c r="C2" s="1" t="n"/>
      <c r="D2" s="1" t="n"/>
      <c r="E2" s="1" t="n"/>
      <c r="F2" s="1" t="n"/>
      <c r="G2" s="1" t="n"/>
      <c r="H2" s="1" t="n"/>
    </row>
    <row r="3">
      <c r="B3" t="inlineStr">
        <is>
          <t>Project</t>
        </is>
      </c>
      <c r="C3" s="2" t="inlineStr">
        <is>
          <t>Bora non-delivery case</t>
        </is>
      </c>
    </row>
    <row r="4">
      <c r="B4" t="inlineStr">
        <is>
          <t>Purpose</t>
        </is>
      </c>
      <c r="C4" s="3" t="inlineStr">
        <is>
          <t>Savings at COD vs the performance security called</t>
        </is>
      </c>
    </row>
    <row r="5">
      <c r="B5" t="inlineStr">
        <is>
          <t>Version</t>
        </is>
      </c>
      <c r="C5" s="3" t="inlineStr">
        <is>
          <t>v1</t>
        </is>
      </c>
    </row>
    <row r="6">
      <c r="B6" t="inlineStr">
        <is>
          <t>Date</t>
        </is>
      </c>
      <c r="C6" s="4" t="n">
        <v>46310</v>
      </c>
    </row>
    <row r="7">
      <c r="B7" t="inlineStr">
        <is>
          <t>Author</t>
        </is>
      </c>
      <c r="C7" s="3" t="inlineStr">
        <is>
          <t>FEP</t>
        </is>
      </c>
    </row>
    <row r="9">
      <c r="A9" s="5" t="inlineStr">
        <is>
          <t>x</t>
        </is>
      </c>
      <c r="B9" s="5" t="n"/>
      <c r="C9" s="5" t="inlineStr">
        <is>
          <t>Colour legend</t>
        </is>
      </c>
      <c r="D9" s="5" t="n"/>
      <c r="E9" s="5" t="n"/>
      <c r="F9" s="5" t="n"/>
      <c r="G9" s="5" t="n"/>
      <c r="H9" s="5" t="n"/>
    </row>
    <row r="10">
      <c r="C10" s="6" t="inlineStr">
        <is>
          <t>Hard-coded input</t>
        </is>
      </c>
      <c r="E10" t="inlineStr">
        <is>
          <t>Inputs and Curves only, with unit and source</t>
        </is>
      </c>
    </row>
    <row r="11">
      <c r="C11" s="7" t="inlineStr">
        <is>
          <t>Link from another sheet</t>
        </is>
      </c>
      <c r="E11" t="inlineStr"/>
    </row>
    <row r="12">
      <c r="C12" s="8" t="inlineStr">
        <is>
          <t>Calculation</t>
        </is>
      </c>
      <c r="E12" t="inlineStr"/>
    </row>
    <row r="13">
      <c r="C13" s="9" t="inlineStr">
        <is>
          <t>Macro-written value</t>
        </is>
      </c>
      <c r="E13" t="inlineStr">
        <is>
          <t>Written by vba/*.bas only (PASTE rows, solved inputs, stored scenario results)</t>
        </is>
      </c>
    </row>
    <row r="14">
      <c r="C14" s="10" t="inlineStr">
        <is>
          <t>Opening seed</t>
        </is>
      </c>
      <c r="E14" t="inlineStr">
        <is>
          <t>Corkscrew opening balance</t>
        </is>
      </c>
    </row>
    <row r="16">
      <c r="A16" s="5" t="inlineStr">
        <is>
          <t>x</t>
        </is>
      </c>
      <c r="B16" s="5" t="n"/>
      <c r="C16" s="5" t="inlineStr">
        <is>
          <t>Model status</t>
        </is>
      </c>
      <c r="D16" s="5" t="n"/>
      <c r="E16" s="5" t="n"/>
      <c r="F16" s="5" t="n"/>
      <c r="G16" s="5" t="n"/>
      <c r="H16" s="5" t="n"/>
    </row>
    <row r="17">
      <c r="B17" t="inlineStr">
        <is>
          <t>Master check</t>
        </is>
      </c>
      <c r="C17" s="8">
        <f>IF(Master_Check=0,"OK","CHECK")</f>
        <v/>
      </c>
    </row>
    <row r="18"/>
    <row r="20">
      <c r="C20" s="11" t="inlineStr">
        <is>
          <t>***END***</t>
        </is>
      </c>
    </row>
  </sheetData>
  <conditionalFormatting sqref="C17">
    <cfRule type="cellIs" priority="1" operator="equal" dxfId="0">
      <formula>"OK"</formula>
    </cfRule>
    <cfRule type="cellIs" priority="2" operator="equal" dxfId="1">
      <formula>"CHECK"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56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" customWidth="1" min="2" max="2"/>
    <col width="40" customWidth="1" min="3" max="3"/>
    <col width="10" customWidth="1" min="4" max="4"/>
    <col width="14" customWidth="1" min="5" max="5"/>
    <col width="14" customWidth="1" min="6" max="6"/>
    <col width="14" customWidth="1" min="7" max="7"/>
    <col hidden="1" outlineLevel="1" width="13" customWidth="1" min="8" max="16384"/>
  </cols>
  <sheetData>
    <row r="2">
      <c r="A2" s="1" t="n"/>
      <c r="B2" s="1">
        <f>Cover!$C$3&amp;" – Summary"</f>
        <v/>
      </c>
      <c r="C2" s="1" t="n"/>
      <c r="D2" s="1" t="n"/>
      <c r="E2" s="1" t="n"/>
      <c r="F2" s="1" t="n"/>
      <c r="G2" s="1" t="n"/>
    </row>
    <row r="4">
      <c r="A4" s="5" t="inlineStr">
        <is>
          <t>x</t>
        </is>
      </c>
      <c r="B4" s="5" t="n"/>
      <c r="C4" s="5" t="inlineStr">
        <is>
          <t>Savings at COD if no commitment is delivered</t>
        </is>
      </c>
      <c r="D4" s="5" t="n"/>
      <c r="E4" s="5" t="n"/>
      <c r="F4" s="5" t="n"/>
      <c r="G4" s="5" t="n"/>
    </row>
    <row r="5">
      <c r="C5" s="12" t="inlineStr">
        <is>
          <t>Item</t>
        </is>
      </c>
      <c r="D5" s="12" t="inlineStr">
        <is>
          <t>Unit</t>
        </is>
      </c>
      <c r="E5" s="13" t="inlineStr">
        <is>
          <t>Both bids</t>
        </is>
      </c>
      <c r="F5" s="13" t="inlineStr">
        <is>
          <t>Per bid</t>
        </is>
      </c>
      <c r="G5" s="13" t="inlineStr">
        <is>
          <t>EUR k/MW</t>
        </is>
      </c>
    </row>
    <row r="6">
      <c r="A6" s="14" t="n"/>
      <c r="B6" s="14" t="n"/>
      <c r="C6" s="14" t="inlineStr">
        <is>
          <t>Overbuild capex not spent (EUR k/MW: per committed MW)</t>
        </is>
      </c>
      <c r="D6" s="14" t="n"/>
      <c r="E6" s="14" t="n"/>
      <c r="F6" s="14" t="n"/>
      <c r="G6" s="14" t="n"/>
    </row>
    <row r="7">
      <c r="C7" t="inlineStr">
        <is>
          <t>Turbine supply, EU</t>
        </is>
      </c>
      <c r="D7" s="15" t="inlineStr">
        <is>
          <t>EUR m</t>
        </is>
      </c>
      <c r="E7" s="16">
        <f>Calc!$F$26/Thousand</f>
        <v/>
      </c>
      <c r="F7" s="16">
        <f>Calc!$E$26/Thousand</f>
        <v/>
      </c>
      <c r="G7" s="17">
        <f>Calc!$E$26/Calc!$E$12</f>
        <v/>
      </c>
    </row>
    <row r="8">
      <c r="C8" t="inlineStr">
        <is>
          <t>Installation and erection</t>
        </is>
      </c>
      <c r="D8" s="15" t="inlineStr">
        <is>
          <t>EUR m</t>
        </is>
      </c>
      <c r="E8" s="16">
        <f>Calc!$F$27/Thousand</f>
        <v/>
      </c>
      <c r="F8" s="16">
        <f>Calc!$E$27/Thousand</f>
        <v/>
      </c>
      <c r="G8" s="17">
        <f>Calc!$E$27/Calc!$E$12</f>
        <v/>
      </c>
    </row>
    <row r="9">
      <c r="C9" t="inlineStr">
        <is>
          <t>Foundations</t>
        </is>
      </c>
      <c r="D9" s="15" t="inlineStr">
        <is>
          <t>EUR m</t>
        </is>
      </c>
      <c r="E9" s="16">
        <f>Calc!$F$28/Thousand</f>
        <v/>
      </c>
      <c r="F9" s="16">
        <f>Calc!$E$28/Thousand</f>
        <v/>
      </c>
      <c r="G9" s="17">
        <f>Calc!$E$28/Calc!$E$12</f>
        <v/>
      </c>
    </row>
    <row r="10">
      <c r="C10" t="inlineStr">
        <is>
          <t>Balance of plant</t>
        </is>
      </c>
      <c r="D10" s="15" t="inlineStr">
        <is>
          <t>EUR m</t>
        </is>
      </c>
      <c r="E10" s="16">
        <f>Calc!$F$29/Thousand</f>
        <v/>
      </c>
      <c r="F10" s="16">
        <f>Calc!$E$29/Thousand</f>
        <v/>
      </c>
      <c r="G10" s="17">
        <f>Calc!$E$29/Calc!$E$12</f>
        <v/>
      </c>
    </row>
    <row r="11">
      <c r="C11" t="inlineStr">
        <is>
          <t>Owner's costs</t>
        </is>
      </c>
      <c r="D11" s="15" t="inlineStr">
        <is>
          <t>EUR m</t>
        </is>
      </c>
      <c r="E11" s="16">
        <f>Calc!$F$30/Thousand</f>
        <v/>
      </c>
      <c r="F11" s="16">
        <f>Calc!$E$30/Thousand</f>
        <v/>
      </c>
      <c r="G11" s="17">
        <f>Calc!$E$30/Calc!$E$12</f>
        <v/>
      </c>
    </row>
    <row r="12">
      <c r="C12" t="inlineStr">
        <is>
          <t>Land and easements</t>
        </is>
      </c>
      <c r="D12" s="15" t="inlineStr">
        <is>
          <t>EUR m</t>
        </is>
      </c>
      <c r="E12" s="16">
        <f>Calc!$F$31/Thousand</f>
        <v/>
      </c>
      <c r="F12" s="16">
        <f>Calc!$E$31/Thousand</f>
        <v/>
      </c>
      <c r="G12" s="17">
        <f>Calc!$E$31/Calc!$E$12</f>
        <v/>
      </c>
    </row>
    <row r="13">
      <c r="C13" t="inlineStr">
        <is>
          <t>Contingency</t>
        </is>
      </c>
      <c r="D13" s="15" t="inlineStr">
        <is>
          <t>EUR m</t>
        </is>
      </c>
      <c r="E13" s="16">
        <f>Calc!$F$32/Thousand</f>
        <v/>
      </c>
      <c r="F13" s="16">
        <f>Calc!$E$32/Thousand</f>
        <v/>
      </c>
      <c r="G13" s="17">
        <f>Calc!$E$32/Calc!$E$12</f>
        <v/>
      </c>
    </row>
    <row r="14">
      <c r="C14" s="18" t="inlineStr">
        <is>
          <t>Overbuild capex</t>
        </is>
      </c>
      <c r="D14" s="15" t="inlineStr">
        <is>
          <t>EUR m</t>
        </is>
      </c>
      <c r="E14" s="19">
        <f>Calc!$F$33/Thousand</f>
        <v/>
      </c>
      <c r="F14" s="19">
        <f>Calc!$E$33/Thousand</f>
        <v/>
      </c>
      <c r="G14" s="20">
        <f>Calc!$E$33/Calc!$E$12</f>
        <v/>
      </c>
    </row>
    <row r="15">
      <c r="C15" t="inlineStr">
        <is>
          <t>BESS capex</t>
        </is>
      </c>
      <c r="D15" s="15" t="inlineStr">
        <is>
          <t>EUR m</t>
        </is>
      </c>
      <c r="E15" s="16">
        <f>Calc!$F$34/Thousand</f>
        <v/>
      </c>
      <c r="F15" s="16">
        <f>Calc!$E$34/Thousand</f>
        <v/>
      </c>
      <c r="G15" s="17">
        <f>Calc!$E$34/Calc!$E$12</f>
        <v/>
      </c>
    </row>
    <row r="16">
      <c r="C16" t="inlineStr">
        <is>
          <t>Municipal one-off</t>
        </is>
      </c>
      <c r="D16" s="15" t="inlineStr">
        <is>
          <t>EUR m</t>
        </is>
      </c>
      <c r="E16" s="16">
        <f>Calc!$F$35/Thousand</f>
        <v/>
      </c>
      <c r="F16" s="16">
        <f>Calc!$E$35/Thousand</f>
        <v/>
      </c>
      <c r="G16" s="17">
        <f>Calc!$E$35/Calc!$E$12</f>
        <v/>
      </c>
    </row>
    <row r="17">
      <c r="C17" t="inlineStr">
        <is>
          <t>Community contribution (PV at 8 % to COD)</t>
        </is>
      </c>
      <c r="D17" s="15" t="inlineStr">
        <is>
          <t>EUR m</t>
        </is>
      </c>
      <c r="E17" s="16">
        <f>Calc!$F$36/Thousand</f>
        <v/>
      </c>
      <c r="F17" s="16">
        <f>Calc!$E$36/Thousand</f>
        <v/>
      </c>
      <c r="G17" s="17">
        <f>Calc!$E$36/Calc!$E$12</f>
        <v/>
      </c>
    </row>
    <row r="18">
      <c r="C18" t="inlineStr">
        <is>
          <t>EU to CN turbines and transformers (white labelling)</t>
        </is>
      </c>
      <c r="D18" s="15" t="inlineStr">
        <is>
          <t>EUR m</t>
        </is>
      </c>
      <c r="E18" s="16">
        <f>Calc!$F$37/Thousand</f>
        <v/>
      </c>
      <c r="F18" s="16">
        <f>Calc!$E$37/Thousand</f>
        <v/>
      </c>
      <c r="G18" s="17">
        <f>Calc!$E$37/Calc!$E$12</f>
        <v/>
      </c>
    </row>
    <row r="19">
      <c r="C19" s="18" t="inlineStr">
        <is>
          <t>Total savings at COD</t>
        </is>
      </c>
      <c r="D19" s="15" t="inlineStr">
        <is>
          <t>EUR m</t>
        </is>
      </c>
      <c r="E19" s="19">
        <f>Calc!$F$38/Thousand</f>
        <v/>
      </c>
      <c r="F19" s="19">
        <f>Calc!$E$38/Thousand</f>
        <v/>
      </c>
      <c r="G19" s="20">
        <f>Calc!$E$38/Calc!$E$12</f>
        <v/>
      </c>
    </row>
    <row r="20">
      <c r="C20" t="inlineStr">
        <is>
          <t>PB called (full call)</t>
        </is>
      </c>
      <c r="D20" s="15" t="inlineStr">
        <is>
          <t>EUR m</t>
        </is>
      </c>
      <c r="E20" s="16">
        <f>Calc!$F$42/Thousand</f>
        <v/>
      </c>
      <c r="F20" s="16">
        <f>Calc!$E$42/Thousand</f>
        <v/>
      </c>
      <c r="G20" s="17">
        <f>Calc!$E$42/Calc!$E$12</f>
        <v/>
      </c>
    </row>
    <row r="21">
      <c r="C21" s="18" t="inlineStr">
        <is>
          <t>Net saving (savings less PB called)</t>
        </is>
      </c>
      <c r="D21" s="15" t="inlineStr">
        <is>
          <t>EUR m</t>
        </is>
      </c>
      <c r="E21" s="19">
        <f>Calc!$F$43/Thousand</f>
        <v/>
      </c>
      <c r="F21" s="19">
        <f>Calc!$E$43/Thousand</f>
        <v/>
      </c>
      <c r="G21" s="20">
        <f>Calc!$E$43/Calc!$E$12</f>
        <v/>
      </c>
    </row>
    <row r="23">
      <c r="C23" t="inlineStr">
        <is>
          <t>Savings excluding the community PV</t>
        </is>
      </c>
      <c r="D23" s="15" t="inlineStr">
        <is>
          <t>EUR m</t>
        </is>
      </c>
      <c r="E23" s="16">
        <f>Calc!$F$39/Thousand</f>
        <v/>
      </c>
      <c r="F23" s="16">
        <f>Calc!$E$39/Thousand</f>
        <v/>
      </c>
      <c r="G23" s="17">
        <f>Calc!$E$39/Calc!$E$12</f>
        <v/>
      </c>
    </row>
    <row r="24">
      <c r="C24" t="inlineStr">
        <is>
          <t>Savings ÷ PB called</t>
        </is>
      </c>
      <c r="D24" s="15" t="inlineStr">
        <is>
          <t>x</t>
        </is>
      </c>
      <c r="E24" s="21">
        <f>Calc!$E$44</f>
        <v/>
      </c>
    </row>
    <row r="25">
      <c r="C25" t="inlineStr">
        <is>
          <t>Memo: PB lost under the pro-rata reading (XII.12)</t>
        </is>
      </c>
      <c r="D25" s="15" t="inlineStr">
        <is>
          <t>EUR m</t>
        </is>
      </c>
      <c r="E25" s="16">
        <f>Calc!$F$46/Thousand</f>
        <v/>
      </c>
      <c r="F25" s="16">
        <f>Calc!$E$46/Thousand</f>
        <v/>
      </c>
      <c r="G25" s="17">
        <f>Calc!$E$46/Calc!$E$12</f>
        <v/>
      </c>
    </row>
    <row r="27">
      <c r="A27" s="5" t="inlineStr">
        <is>
          <t>x</t>
        </is>
      </c>
      <c r="B27" s="5" t="n"/>
      <c r="C27" s="5" t="inlineStr">
        <is>
          <t>COD buyer's project IRR (unlevered, post-tax; IRR per bid = both bids)</t>
        </is>
      </c>
      <c r="D27" s="5" t="n"/>
      <c r="E27" s="5" t="n"/>
      <c r="F27" s="5" t="n"/>
      <c r="G27" s="5" t="n"/>
    </row>
    <row r="28">
      <c r="C28" s="12" t="inlineStr">
        <is>
          <t>Item</t>
        </is>
      </c>
      <c r="D28" s="12" t="inlineStr">
        <is>
          <t>Unit</t>
        </is>
      </c>
      <c r="E28" s="13" t="inlineStr">
        <is>
          <t>A: original</t>
        </is>
      </c>
      <c r="F28" s="13" t="inlineStr">
        <is>
          <t>B: no delivery</t>
        </is>
      </c>
      <c r="G28" s="13" t="inlineStr">
        <is>
          <t>Zero bid</t>
        </is>
      </c>
    </row>
    <row r="29">
      <c r="C29" t="inlineStr">
        <is>
          <t>Buyer project IRR</t>
        </is>
      </c>
      <c r="D29" s="15" t="inlineStr">
        <is>
          <t>%</t>
        </is>
      </c>
      <c r="E29" s="22">
        <f>Calc!$E$58</f>
        <v/>
      </c>
      <c r="F29" s="22">
        <f>Calc!$E$60</f>
        <v/>
      </c>
      <c r="G29" s="22">
        <f>Calc!$E$61</f>
        <v/>
      </c>
    </row>
    <row r="30">
      <c r="C30" t="inlineStr">
        <is>
          <t>Buyer NPV at 8 % to COD, both bids</t>
        </is>
      </c>
      <c r="D30" s="15" t="inlineStr">
        <is>
          <t>EUR m</t>
        </is>
      </c>
      <c r="E30" s="16">
        <f>Calc!$F$58*In_Bids/Thousand</f>
        <v/>
      </c>
      <c r="F30" s="16">
        <f>Calc!$F$60*In_Bids/Thousand</f>
        <v/>
      </c>
      <c r="G30" s="16">
        <f>Calc!$F$61*In_Bids/Thousand</f>
        <v/>
      </c>
    </row>
    <row r="31">
      <c r="C31" t="inlineStr">
        <is>
          <t>Change in buyer IRR, B less A</t>
        </is>
      </c>
      <c r="D31" s="15" t="inlineStr">
        <is>
          <t>pp</t>
        </is>
      </c>
      <c r="E31" s="22">
        <f>Calc!$E$62</f>
        <v/>
      </c>
    </row>
    <row r="32">
      <c r="C32" t="inlineStr">
        <is>
          <t>Memo: B if the seller bears the PB call</t>
        </is>
      </c>
      <c r="D32" s="15" t="inlineStr">
        <is>
          <t>%</t>
        </is>
      </c>
      <c r="F32" s="22">
        <f>Calc!$E$59</f>
        <v/>
      </c>
    </row>
    <row r="34">
      <c r="A34" s="5" t="inlineStr">
        <is>
          <t>x</t>
        </is>
      </c>
      <c r="B34" s="5" t="n"/>
      <c r="C34" s="5" t="inlineStr">
        <is>
          <t>Memo</t>
        </is>
      </c>
      <c r="D34" s="5" t="n"/>
      <c r="E34" s="5" t="n"/>
      <c r="F34" s="5" t="n"/>
      <c r="G34" s="5" t="n"/>
    </row>
    <row r="35">
      <c r="C35" t="inlineStr">
        <is>
          <t>Points lost after the award: none, the award stands</t>
        </is>
      </c>
    </row>
    <row r="36">
      <c r="C36" t="inlineStr">
        <is>
          <t>3-year group exclusion, as the PB is called</t>
        </is>
      </c>
      <c r="D36" s="15" t="inlineStr">
        <is>
          <t>text</t>
        </is>
      </c>
      <c r="E36" s="23">
        <f>Calc!$E$48</f>
        <v/>
      </c>
    </row>
    <row r="37">
      <c r="C37" t="inlineStr">
        <is>
          <t>Connection right under a full call: kept (GYIK Q72)</t>
        </is>
      </c>
    </row>
    <row r="38">
      <c r="C38" t="inlineStr">
        <is>
          <t>Connection capacity lost, pro-rata reading (GYIK 28/30)</t>
        </is>
      </c>
      <c r="D38" s="15" t="inlineStr">
        <is>
          <t>MVA</t>
        </is>
      </c>
      <c r="E38" s="24">
        <f>Calc!$F$47</f>
        <v/>
      </c>
      <c r="F38" s="24">
        <f>Calc!$E$47</f>
        <v/>
      </c>
    </row>
    <row r="40">
      <c r="A40" s="5" t="inlineStr">
        <is>
          <t>x</t>
        </is>
      </c>
      <c r="B40" s="5" t="n"/>
      <c r="C40" s="5" t="inlineStr">
        <is>
          <t>Sanction</t>
        </is>
      </c>
      <c r="D40" s="5" t="n"/>
      <c r="E40" s="5" t="n"/>
      <c r="F40" s="5" t="n"/>
      <c r="G40" s="5" t="n"/>
    </row>
    <row r="41">
      <c r="C41" t="inlineStr">
        <is>
          <t>Points commitments not proven by COD: full PB call, no discretion (Kiírás XIII.17; GYIK Q72).</t>
        </is>
      </c>
    </row>
    <row r="42">
      <c r="C42" t="inlineStr">
        <is>
          <t>Capacity shortfall above 10 %: PB and connection right lost pro rata (XII.12; GYIK 28/30/44).</t>
        </is>
      </c>
    </row>
    <row r="43">
      <c r="C43" t="inlineStr">
        <is>
          <t>A called PB excludes the whole group from capacity tenders for 3 years (VII.2 n; GYIK Q71).</t>
        </is>
      </c>
    </row>
    <row r="44">
      <c r="C44" t="inlineStr">
        <is>
          <t>The exclusion hits the group at the time of the call: the buyer's group after a sale.</t>
        </is>
      </c>
    </row>
    <row r="46">
      <c r="A46" s="5" t="inlineStr">
        <is>
          <t>x</t>
        </is>
      </c>
      <c r="B46" s="5" t="n"/>
      <c r="C46" s="5" t="inlineStr">
        <is>
          <t>Checks</t>
        </is>
      </c>
      <c r="D46" s="5" t="n"/>
      <c r="E46" s="5" t="n"/>
      <c r="F46" s="5" t="n"/>
      <c r="G46" s="5" t="n"/>
    </row>
    <row r="47">
      <c r="C47" s="18" t="inlineStr">
        <is>
          <t>Master check</t>
        </is>
      </c>
      <c r="E47" s="25">
        <f>IF(Master_Check=0,"OK","CHECK")</f>
        <v/>
      </c>
    </row>
    <row r="48">
      <c r="C48" t="inlineStr">
        <is>
          <t>Overbuild capex: elements = total</t>
        </is>
      </c>
      <c r="E48" s="26">
        <f>Checks!$E$12</f>
        <v/>
      </c>
    </row>
    <row r="49">
      <c r="C49" t="inlineStr">
        <is>
          <t>PB per bid = Bora model PB (EUR 6,993.6 k)</t>
        </is>
      </c>
      <c r="E49" s="26">
        <f>Checks!$E$13</f>
        <v/>
      </c>
    </row>
    <row r="50">
      <c r="C50" t="inlineStr">
        <is>
          <t>Community PV: XNPV = SUMPRODUCT</t>
        </is>
      </c>
      <c r="E50" s="26">
        <f>Checks!$E$14</f>
        <v/>
      </c>
    </row>
    <row r="51">
      <c r="C51" t="inlineStr">
        <is>
          <t>Base-case data: revenue + opex = EBITDA</t>
        </is>
      </c>
      <c r="E51" s="26">
        <f>Checks!$E$15</f>
        <v/>
      </c>
    </row>
    <row r="52">
      <c r="C52" t="inlineStr">
        <is>
          <t>Base-case EBITDA all on the timeline</t>
        </is>
      </c>
      <c r="E52" s="26">
        <f>Checks!$E$16</f>
        <v/>
      </c>
    </row>
    <row r="53">
      <c r="C53" t="inlineStr">
        <is>
          <t>Zero-bid data: revenue + opex = EBITDA</t>
        </is>
      </c>
      <c r="E53" s="26">
        <f>Checks!$E$17</f>
        <v/>
      </c>
    </row>
    <row r="54">
      <c r="C54" t="inlineStr">
        <is>
          <t>Zero-bid EBITDA all on the timeline</t>
        </is>
      </c>
      <c r="E54" s="26">
        <f>Checks!$E$18</f>
        <v/>
      </c>
    </row>
    <row r="56">
      <c r="C56" s="11" t="inlineStr">
        <is>
          <t>***END***</t>
        </is>
      </c>
    </row>
  </sheetData>
  <conditionalFormatting sqref="E47:E54">
    <cfRule type="cellIs" priority="1" operator="equal" dxfId="0">
      <formula>"OK"</formula>
    </cfRule>
    <cfRule type="cellIs" priority="2" operator="equal" dxfId="1">
      <formula>"CHECK"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P67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0" customWidth="1" min="2" max="2"/>
    <col width="10" customWidth="1" min="3" max="3"/>
    <col width="36" customWidth="1" min="4" max="4"/>
    <col width="2" customWidth="1" min="5" max="5"/>
    <col width="12" customWidth="1" min="6" max="6"/>
    <col width="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2" customWidth="1" min="16" max="16"/>
    <col hidden="1" outlineLevel="1" width="13" customWidth="1" min="17" max="16384"/>
  </cols>
  <sheetData>
    <row r="2">
      <c r="A2" s="1" t="n"/>
      <c r="B2" s="1">
        <f>Cover!$C$3&amp;" – Inputs and scenarios"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4">
      <c r="B4" t="inlineStr">
        <is>
          <t>Scenario selected</t>
        </is>
      </c>
      <c r="F4" s="3" t="inlineStr">
        <is>
          <t>Base</t>
        </is>
      </c>
    </row>
    <row r="5">
      <c r="B5" t="inlineStr">
        <is>
          <t>Scenario number</t>
        </is>
      </c>
      <c r="F5" s="27">
        <f>MATCH(Scenario_Name,Scenario_Names,0)</f>
        <v/>
      </c>
    </row>
    <row r="7">
      <c r="B7" s="12" t="inlineStr">
        <is>
          <t>Input</t>
        </is>
      </c>
      <c r="C7" s="12" t="inlineStr">
        <is>
          <t>Unit</t>
        </is>
      </c>
      <c r="D7" s="12" t="inlineStr">
        <is>
          <t>Source / note</t>
        </is>
      </c>
      <c r="F7" s="13" t="inlineStr">
        <is>
          <t>Live</t>
        </is>
      </c>
      <c r="H7" s="3" t="inlineStr">
        <is>
          <t>Base</t>
        </is>
      </c>
      <c r="I7" s="13" t="n"/>
      <c r="J7" s="13" t="n"/>
      <c r="K7" s="13" t="n"/>
      <c r="L7" s="13" t="n"/>
      <c r="M7" s="13" t="n"/>
      <c r="N7" s="13" t="n"/>
      <c r="O7" s="13" t="n"/>
    </row>
    <row r="10">
      <c r="A10" s="5" t="inlineStr">
        <is>
          <t>x</t>
        </is>
      </c>
      <c r="B10" s="5" t="n"/>
      <c r="C10" s="5" t="inlineStr">
        <is>
          <t>Constants</t>
        </is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</row>
    <row r="11">
      <c r="B11" t="inlineStr">
        <is>
          <t>Thousand</t>
        </is>
      </c>
      <c r="C11" s="15" t="inlineStr">
        <is>
          <t>#</t>
        </is>
      </c>
      <c r="D11" t="inlineStr">
        <is>
          <t>Scale</t>
        </is>
      </c>
      <c r="F11" s="3" t="n">
        <v>1000</v>
      </c>
    </row>
    <row r="12">
      <c r="B12" t="inlineStr">
        <is>
          <t>Million</t>
        </is>
      </c>
      <c r="C12" s="15" t="inlineStr">
        <is>
          <t>#</t>
        </is>
      </c>
      <c r="D12" t="inlineStr">
        <is>
          <t>Scale</t>
        </is>
      </c>
      <c r="F12" s="3" t="n">
        <v>1000000</v>
      </c>
    </row>
    <row r="13">
      <c r="B13" t="inlineStr">
        <is>
          <t>Days In Year</t>
        </is>
      </c>
      <c r="C13" s="15" t="inlineStr">
        <is>
          <t>days</t>
        </is>
      </c>
      <c r="D13" t="inlineStr">
        <is>
          <t>Day count for year fractions and XIRR</t>
        </is>
      </c>
      <c r="F13" s="3" t="n">
        <v>365</v>
      </c>
    </row>
    <row r="14">
      <c r="B14" t="inlineStr">
        <is>
          <t>Months In Year</t>
        </is>
      </c>
      <c r="C14" s="15" t="inlineStr">
        <is>
          <t>months</t>
        </is>
      </c>
      <c r="D14" t="inlineStr"/>
      <c r="F14" s="3" t="n">
        <v>12</v>
      </c>
    </row>
    <row r="15">
      <c r="B15" t="inlineStr">
        <is>
          <t>Months Per Period</t>
        </is>
      </c>
      <c r="C15" s="15" t="inlineStr">
        <is>
          <t>months</t>
        </is>
      </c>
      <c r="D15" t="inlineStr">
        <is>
          <t>Timeline periodicity (annual)</t>
        </is>
      </c>
      <c r="F15" s="3" t="n">
        <v>12</v>
      </c>
    </row>
    <row r="16">
      <c r="B16" t="inlineStr">
        <is>
          <t>Tolerance</t>
        </is>
      </c>
      <c r="C16" s="15" t="inlineStr">
        <is>
          <t>#</t>
        </is>
      </c>
      <c r="D16" t="inlineStr">
        <is>
          <t>Check and solver tolerance</t>
        </is>
      </c>
      <c r="F16" s="3" t="n">
        <v>1e-06</v>
      </c>
    </row>
    <row r="18">
      <c r="A18" s="5" t="inlineStr">
        <is>
          <t>x</t>
        </is>
      </c>
      <c r="B18" s="5" t="n"/>
      <c r="C18" s="5" t="inlineStr">
        <is>
          <t>Timing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</row>
    <row r="19">
      <c r="B19" t="inlineStr">
        <is>
          <t>Model start date</t>
        </is>
      </c>
      <c r="C19" s="15" t="inlineStr">
        <is>
          <t>date</t>
        </is>
      </c>
      <c r="D19" t="inlineStr">
        <is>
          <t>Timeline start</t>
        </is>
      </c>
      <c r="F19" s="28">
        <f>IF(INDEX($H19:$O19,1,Scenario_Selected)="",$H19,INDEX($H19:$O19,1,Scenario_Selected))</f>
        <v/>
      </c>
      <c r="H19" s="4" t="n">
        <v>47849</v>
      </c>
    </row>
    <row r="20">
      <c r="B20" t="inlineStr">
        <is>
          <t>Commercial operation date (COD)</t>
        </is>
      </c>
      <c r="C20" s="15" t="inlineStr">
        <is>
          <t>date</t>
        </is>
      </c>
      <c r="D20" t="inlineStr">
        <is>
          <t>Bora model Inputs (Bora!N16)</t>
        </is>
      </c>
      <c r="F20" s="28">
        <f>IF(INDEX($H20:$O20,1,Scenario_Selected)="",$H20,INDEX($H20:$O20,1,Scenario_Selected))</f>
        <v/>
      </c>
      <c r="H20" s="4" t="n">
        <v>48121</v>
      </c>
    </row>
    <row r="21">
      <c r="B21" t="inlineStr">
        <is>
          <t>Community contribution term from COD</t>
        </is>
      </c>
      <c r="C21" s="15" t="inlineStr">
        <is>
          <t>years</t>
        </is>
      </c>
      <c r="D21" t="inlineStr">
        <is>
          <t>Bora model Inputs (E157)</t>
        </is>
      </c>
      <c r="F21" s="27">
        <f>IF(INDEX($H21:$O21,1,Scenario_Selected)="",$H21,INDEX($H21:$O21,1,Scenario_Selected))</f>
        <v/>
      </c>
      <c r="H21" s="29" t="n">
        <v>30</v>
      </c>
    </row>
    <row r="23">
      <c r="A23" s="5" t="inlineStr">
        <is>
          <t>x</t>
        </is>
      </c>
      <c r="B23" s="5" t="n"/>
      <c r="C23" s="5" t="inlineStr">
        <is>
          <t>Bids and commitments (per bid)</t>
        </is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</row>
    <row r="24">
      <c r="B24" t="inlineStr">
        <is>
          <t>Bids (BORA 1 and BORA 2)</t>
        </is>
      </c>
      <c r="C24" s="15" t="inlineStr">
        <is>
          <t>#</t>
        </is>
      </c>
      <c r="D24" t="inlineStr">
        <is>
          <t>SPEC §1</t>
        </is>
      </c>
      <c r="F24" s="27">
        <f>IF(INDEX($H24:$O24,1,Scenario_Selected)="",$H24,INDEX($H24:$O24,1,Scenario_Selected))</f>
        <v/>
      </c>
      <c r="H24" s="29" t="n">
        <v>2</v>
      </c>
    </row>
    <row r="25">
      <c r="B25" t="inlineStr">
        <is>
          <t>Net connection capacity</t>
        </is>
      </c>
      <c r="C25" s="15" t="inlineStr">
        <is>
          <t>MVA</t>
        </is>
      </c>
      <c r="D25" t="inlineStr">
        <is>
          <t>Bora model Inputs</t>
        </is>
      </c>
      <c r="F25" s="17">
        <f>IF(INDEX($H25:$O25,1,Scenario_Selected)="",$H25,INDEX($H25:$O25,1,Scenario_Selected))</f>
        <v/>
      </c>
      <c r="H25" s="30" t="n">
        <v>100</v>
      </c>
    </row>
    <row r="26">
      <c r="B26" t="inlineStr">
        <is>
          <t>Overbuild committed (ÖSZ-3)</t>
        </is>
      </c>
      <c r="C26" s="15" t="inlineStr">
        <is>
          <t>%</t>
        </is>
      </c>
      <c r="D26" t="inlineStr">
        <is>
          <t>Bora model Dashboard</t>
        </is>
      </c>
      <c r="F26" s="31">
        <f>IF(INDEX($H26:$O26,1,Scenario_Selected)="",$H26,INDEX($H26:$O26,1,Scenario_Selected))</f>
        <v/>
      </c>
      <c r="H26" s="32" t="n">
        <v>0.51</v>
      </c>
    </row>
    <row r="27">
      <c r="B27" t="inlineStr">
        <is>
          <t>BESS power committed, share of MVA (ÖSZ-4)</t>
        </is>
      </c>
      <c r="C27" s="15" t="inlineStr">
        <is>
          <t>%</t>
        </is>
      </c>
      <c r="D27" t="inlineStr">
        <is>
          <t>Bora model Dashboard</t>
        </is>
      </c>
      <c r="F27" s="31">
        <f>IF(INDEX($H27:$O27,1,Scenario_Selected)="",$H27,INDEX($H27:$O27,1,Scenario_Selected))</f>
        <v/>
      </c>
      <c r="H27" s="32" t="n">
        <v>0.51</v>
      </c>
    </row>
    <row r="28">
      <c r="B28" t="inlineStr">
        <is>
          <t>BESS duration</t>
        </is>
      </c>
      <c r="C28" s="15" t="inlineStr">
        <is>
          <t>h</t>
        </is>
      </c>
      <c r="D28" t="inlineStr">
        <is>
          <t>Bora model Dashboard</t>
        </is>
      </c>
      <c r="F28" s="16">
        <f>IF(INDEX($H28:$O28,1,Scenario_Selected)="",$H28,INDEX($H28:$O28,1,Scenario_Selected))</f>
        <v/>
      </c>
      <c r="H28" s="33" t="n">
        <v>4</v>
      </c>
    </row>
    <row r="29">
      <c r="B29" t="inlineStr">
        <is>
          <t>Wind built if not delivered</t>
        </is>
      </c>
      <c r="C29" s="15" t="inlineStr">
        <is>
          <t>MW</t>
        </is>
      </c>
      <c r="D29" t="inlineStr">
        <is>
          <t>SPEC §3 (= MVA)</t>
        </is>
      </c>
      <c r="F29" s="16">
        <f>IF(INDEX($H29:$O29,1,Scenario_Selected)="",$H29,INDEX($H29:$O29,1,Scenario_Selected))</f>
        <v/>
      </c>
      <c r="H29" s="33" t="n">
        <v>100</v>
      </c>
    </row>
    <row r="31">
      <c r="A31" s="5" t="inlineStr">
        <is>
          <t>x</t>
        </is>
      </c>
      <c r="B31" s="5" t="n"/>
      <c r="C31" s="5" t="inlineStr">
        <is>
          <t>Capex saved</t>
        </is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</row>
    <row r="32">
      <c r="B32" t="inlineStr">
        <is>
          <t>Turbine supply, EU</t>
        </is>
      </c>
      <c r="C32" s="15" t="inlineStr">
        <is>
          <t>EUR k/MW</t>
        </is>
      </c>
      <c r="D32" t="inlineStr">
        <is>
          <t>Bora model Inputs (user 12-Oct-26)</t>
        </is>
      </c>
      <c r="F32" s="17">
        <f>IF(INDEX($H32:$O32,1,Scenario_Selected)="",$H32,INDEX($H32:$O32,1,Scenario_Selected))</f>
        <v/>
      </c>
      <c r="H32" s="30" t="n">
        <v>600</v>
      </c>
    </row>
    <row r="33">
      <c r="B33" t="inlineStr">
        <is>
          <t>Turbine installation and erection</t>
        </is>
      </c>
      <c r="C33" s="15" t="inlineStr">
        <is>
          <t>EUR k/MW</t>
        </is>
      </c>
      <c r="D33" t="inlineStr">
        <is>
          <t>Bora model Inputs (old E163)</t>
        </is>
      </c>
      <c r="F33" s="17">
        <f>IF(INDEX($H33:$O33,1,Scenario_Selected)="",$H33,INDEX($H33:$O33,1,Scenario_Selected))</f>
        <v/>
      </c>
      <c r="H33" s="30" t="n">
        <v>80</v>
      </c>
    </row>
    <row r="34">
      <c r="B34" t="inlineStr">
        <is>
          <t>Foundations</t>
        </is>
      </c>
      <c r="C34" s="15" t="inlineStr">
        <is>
          <t>EUR k/MW</t>
        </is>
      </c>
      <c r="D34" t="inlineStr">
        <is>
          <t>Bora model Inputs (old E164)</t>
        </is>
      </c>
      <c r="F34" s="17">
        <f>IF(INDEX($H34:$O34,1,Scenario_Selected)="",$H34,INDEX($H34:$O34,1,Scenario_Selected))</f>
        <v/>
      </c>
      <c r="H34" s="30" t="n">
        <v>90</v>
      </c>
    </row>
    <row r="35">
      <c r="B35" t="inlineStr">
        <is>
          <t>Balance of plant</t>
        </is>
      </c>
      <c r="C35" s="15" t="inlineStr">
        <is>
          <t>EUR k/MW</t>
        </is>
      </c>
      <c r="D35" t="inlineStr">
        <is>
          <t>Bora model Inputs (old E165:E166)</t>
        </is>
      </c>
      <c r="F35" s="17">
        <f>IF(INDEX($H35:$O35,1,Scenario_Selected)="",$H35,INDEX($H35:$O35,1,Scenario_Selected))</f>
        <v/>
      </c>
      <c r="H35" s="30" t="n">
        <v>130</v>
      </c>
    </row>
    <row r="36">
      <c r="B36" t="inlineStr">
        <is>
          <t>Owner's costs</t>
        </is>
      </c>
      <c r="C36" s="15" t="inlineStr">
        <is>
          <t>EUR k/MW</t>
        </is>
      </c>
      <c r="D36" t="inlineStr">
        <is>
          <t>Bora model Inputs (old E169)</t>
        </is>
      </c>
      <c r="F36" s="17">
        <f>IF(INDEX($H36:$O36,1,Scenario_Selected)="",$H36,INDEX($H36:$O36,1,Scenario_Selected))</f>
        <v/>
      </c>
      <c r="H36" s="30" t="n">
        <v>40</v>
      </c>
    </row>
    <row r="37">
      <c r="B37" t="inlineStr">
        <is>
          <t>Land and easements</t>
        </is>
      </c>
      <c r="C37" s="15" t="inlineStr">
        <is>
          <t>EUR k/MW</t>
        </is>
      </c>
      <c r="D37" t="inlineStr">
        <is>
          <t>Bora model Inputs (old E170)</t>
        </is>
      </c>
      <c r="F37" s="17">
        <f>IF(INDEX($H37:$O37,1,Scenario_Selected)="",$H37,INDEX($H37:$O37,1,Scenario_Selected))</f>
        <v/>
      </c>
      <c r="H37" s="30" t="n">
        <v>15</v>
      </c>
    </row>
    <row r="38">
      <c r="B38" t="inlineStr">
        <is>
          <t>Contingency on overbuild capex</t>
        </is>
      </c>
      <c r="C38" s="15" t="inlineStr">
        <is>
          <t>%</t>
        </is>
      </c>
      <c r="D38" t="inlineStr">
        <is>
          <t>Bora model Inputs (old E171)</t>
        </is>
      </c>
      <c r="F38" s="31">
        <f>IF(INDEX($H38:$O38,1,Scenario_Selected)="",$H38,INDEX($H38:$O38,1,Scenario_Selected))</f>
        <v/>
      </c>
      <c r="H38" s="32" t="n">
        <v>0.05</v>
      </c>
    </row>
    <row r="39">
      <c r="B39" t="inlineStr">
        <is>
          <t>BESS capex</t>
        </is>
      </c>
      <c r="C39" s="15" t="inlineStr">
        <is>
          <t>EUR k/MW</t>
        </is>
      </c>
      <c r="D39" t="inlineStr">
        <is>
          <t>Bora model Inputs (user 12-Oct-26)</t>
        </is>
      </c>
      <c r="F39" s="17">
        <f>IF(INDEX($H39:$O39,1,Scenario_Selected)="",$H39,INDEX($H39:$O39,1,Scenario_Selected))</f>
        <v/>
      </c>
      <c r="H39" s="30" t="n">
        <v>240</v>
      </c>
    </row>
    <row r="40">
      <c r="B40" t="inlineStr">
        <is>
          <t>EU to CN turbines and transformers, saving</t>
        </is>
      </c>
      <c r="C40" s="15" t="inlineStr">
        <is>
          <t>EUR k/MW</t>
        </is>
      </c>
      <c r="D40" t="inlineStr">
        <is>
          <t>User 15-Oct-26</t>
        </is>
      </c>
      <c r="F40" s="17">
        <f>IF(INDEX($H40:$O40,1,Scenario_Selected)="",$H40,INDEX($H40:$O40,1,Scenario_Selected))</f>
        <v/>
      </c>
      <c r="H40" s="30" t="n">
        <v>100</v>
      </c>
    </row>
    <row r="42">
      <c r="A42" s="5" t="inlineStr">
        <is>
          <t>x</t>
        </is>
      </c>
      <c r="B42" s="5" t="n"/>
      <c r="C42" s="5" t="inlineStr">
        <is>
          <t>Municipal and community commitments</t>
        </is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</row>
    <row r="43">
      <c r="B43" t="inlineStr">
        <is>
          <t>Municipal one-off at COD (ÖSZ-1)</t>
        </is>
      </c>
      <c r="C43" s="15" t="inlineStr">
        <is>
          <t>EUR k/MW</t>
        </is>
      </c>
      <c r="D43" t="inlineStr">
        <is>
          <t>Bora model Dashboard</t>
        </is>
      </c>
      <c r="F43" s="17">
        <f>IF(INDEX($H43:$O43,1,Scenario_Selected)="",$H43,INDEX($H43:$O43,1,Scenario_Selected))</f>
        <v/>
      </c>
      <c r="H43" s="30" t="n">
        <v>50</v>
      </c>
    </row>
    <row r="44">
      <c r="B44" t="inlineStr">
        <is>
          <t>Community contribution (ÖSZ-2)</t>
        </is>
      </c>
      <c r="C44" s="15" t="inlineStr">
        <is>
          <t>EUR/MWh</t>
        </is>
      </c>
      <c r="D44" t="inlineStr">
        <is>
          <t>Bora model Dashboard</t>
        </is>
      </c>
      <c r="F44" s="34">
        <f>IF(INDEX($H44:$O44,1,Scenario_Selected)="",$H44,INDEX($H44:$O44,1,Scenario_Selected))</f>
        <v/>
      </c>
      <c r="H44" s="35" t="n">
        <v>3</v>
      </c>
    </row>
    <row r="45">
      <c r="B45" t="inlineStr">
        <is>
          <t>Net P50 hours</t>
        </is>
      </c>
      <c r="C45" s="15" t="inlineStr">
        <is>
          <t>h/yr</t>
        </is>
      </c>
      <c r="D45" t="inlineStr">
        <is>
          <t>Bora model Inputs (old E179)</t>
        </is>
      </c>
      <c r="F45" s="17">
        <f>IF(INDEX($H45:$O45,1,Scenario_Selected)="",$H45,INDEX($H45:$O45,1,Scenario_Selected))</f>
        <v/>
      </c>
      <c r="H45" s="30" t="n">
        <v>2460</v>
      </c>
    </row>
    <row r="46">
      <c r="B46" t="inlineStr">
        <is>
          <t>Curtailment</t>
        </is>
      </c>
      <c r="C46" s="15" t="inlineStr">
        <is>
          <t>%</t>
        </is>
      </c>
      <c r="D46" t="inlineStr">
        <is>
          <t>Bora model Inputs (old E181)</t>
        </is>
      </c>
      <c r="F46" s="31">
        <f>IF(INDEX($H46:$O46,1,Scenario_Selected)="",$H46,INDEX($H46:$O46,1,Scenario_Selected))</f>
        <v/>
      </c>
      <c r="H46" s="32" t="n">
        <v>0.02</v>
      </c>
    </row>
    <row r="47">
      <c r="B47" t="inlineStr">
        <is>
          <t>Degradation per year</t>
        </is>
      </c>
      <c r="C47" s="15" t="inlineStr">
        <is>
          <t>%</t>
        </is>
      </c>
      <c r="D47" t="inlineStr">
        <is>
          <t>Bora model Inputs (old E182)</t>
        </is>
      </c>
      <c r="F47" s="36">
        <f>IF(INDEX($H47:$O47,1,Scenario_Selected)="",$H47,INDEX($H47:$O47,1,Scenario_Selected))</f>
        <v/>
      </c>
      <c r="H47" s="37" t="n">
        <v>0.003</v>
      </c>
    </row>
    <row r="48">
      <c r="B48" t="inlineStr">
        <is>
          <t>Discount rate (PV to COD)</t>
        </is>
      </c>
      <c r="C48" s="15" t="inlineStr">
        <is>
          <t>%</t>
        </is>
      </c>
      <c r="D48" t="inlineStr">
        <is>
          <t>Bora model Inputs (old E253)</t>
        </is>
      </c>
      <c r="F48" s="31">
        <f>IF(INDEX($H48:$O48,1,Scenario_Selected)="",$H48,INDEX($H48:$O48,1,Scenario_Selected))</f>
        <v/>
      </c>
      <c r="H48" s="32" t="n">
        <v>0.08</v>
      </c>
    </row>
    <row r="49">
      <c r="B49" t="inlineStr">
        <is>
          <t>Corporate income tax</t>
        </is>
      </c>
      <c r="C49" s="15" t="inlineStr">
        <is>
          <t>%</t>
        </is>
      </c>
      <c r="D49" t="inlineStr">
        <is>
          <t>Bora model Inputs (old E12)</t>
        </is>
      </c>
      <c r="F49" s="31">
        <f>IF(INDEX($H49:$O49,1,Scenario_Selected)="",$H49,INDEX($H49:$O49,1,Scenario_Selected))</f>
        <v/>
      </c>
      <c r="H49" s="32" t="n">
        <v>0.09</v>
      </c>
    </row>
    <row r="50">
      <c r="B50" t="inlineStr">
        <is>
          <t>Community PV after CIT (1 = yes)</t>
        </is>
      </c>
      <c r="C50" s="15" t="inlineStr">
        <is>
          <t>flag</t>
        </is>
      </c>
      <c r="D50" t="inlineStr">
        <is>
          <t>SPEC §3 (default off)</t>
        </is>
      </c>
      <c r="F50" s="27">
        <f>IF(INDEX($H50:$O50,1,Scenario_Selected)="",$H50,INDEX($H50:$O50,1,Scenario_Selected))</f>
        <v/>
      </c>
      <c r="H50" s="29" t="n">
        <v>0</v>
      </c>
    </row>
    <row r="52">
      <c r="A52" s="5" t="inlineStr">
        <is>
          <t>x</t>
        </is>
      </c>
      <c r="B52" s="5" t="n"/>
      <c r="C52" s="5" t="inlineStr">
        <is>
          <t>Performance security (PB)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</row>
    <row r="53">
      <c r="B53" t="inlineStr">
        <is>
          <t>Security base: benchmark investment, wind</t>
        </is>
      </c>
      <c r="C53" s="15" t="inlineStr">
        <is>
          <t>mHUF/MW</t>
        </is>
      </c>
      <c r="D53" t="inlineStr">
        <is>
          <t>Kiírás Annex 2</t>
        </is>
      </c>
      <c r="F53" s="17">
        <f>IF(INDEX($H53:$O53,1,Scenario_Selected)="",$H53,INDEX($H53:$O53,1,Scenario_Selected))</f>
        <v/>
      </c>
      <c r="H53" s="30" t="n">
        <v>406</v>
      </c>
    </row>
    <row r="54">
      <c r="B54" t="inlineStr">
        <is>
          <t>Security base: benchmark investment, BESS</t>
        </is>
      </c>
      <c r="C54" s="15" t="inlineStr">
        <is>
          <t>mHUF/MWh</t>
        </is>
      </c>
      <c r="D54" t="inlineStr">
        <is>
          <t>Kiírás Annex 2</t>
        </is>
      </c>
      <c r="F54" s="17">
        <f>IF(INDEX($H54:$O54,1,Scenario_Selected)="",$H54,INDEX($H54:$O54,1,Scenario_Selected))</f>
        <v/>
      </c>
      <c r="H54" s="30" t="n">
        <v>200</v>
      </c>
    </row>
    <row r="55">
      <c r="B55" t="inlineStr">
        <is>
          <t>Performance security, share of base</t>
        </is>
      </c>
      <c r="C55" s="15" t="inlineStr">
        <is>
          <t>%</t>
        </is>
      </c>
      <c r="D55" t="inlineStr">
        <is>
          <t>Kiírás XII.2</t>
        </is>
      </c>
      <c r="F55" s="36">
        <f>IF(INDEX($H55:$O55,1,Scenario_Selected)="",$H55,INDEX($H55:$O55,1,Scenario_Selected))</f>
        <v/>
      </c>
      <c r="H55" s="37" t="n">
        <v>0.025</v>
      </c>
    </row>
    <row r="56">
      <c r="B56" t="inlineStr">
        <is>
          <t>FX rate</t>
        </is>
      </c>
      <c r="C56" s="15" t="inlineStr">
        <is>
          <t>HUF/EUR</t>
        </is>
      </c>
      <c r="D56" t="inlineStr">
        <is>
          <t>Bora model Inputs (old E11)</t>
        </is>
      </c>
      <c r="F56" s="17">
        <f>IF(INDEX($H56:$O56,1,Scenario_Selected)="",$H56,INDEX($H56:$O56,1,Scenario_Selected))</f>
        <v/>
      </c>
      <c r="H56" s="30" t="n">
        <v>365</v>
      </c>
    </row>
    <row r="57">
      <c r="B57" t="inlineStr">
        <is>
          <t>Capacity shortfall tolerated without sanction</t>
        </is>
      </c>
      <c r="C57" s="15" t="inlineStr">
        <is>
          <t>%</t>
        </is>
      </c>
      <c r="D57" t="inlineStr">
        <is>
          <t>Kiírás XIII.15; GYIK 28, 44</t>
        </is>
      </c>
      <c r="F57" s="31">
        <f>IF(INDEX($H57:$O57,1,Scenario_Selected)="",$H57,INDEX($H57:$O57,1,Scenario_Selected))</f>
        <v/>
      </c>
      <c r="H57" s="32" t="n">
        <v>0.1</v>
      </c>
    </row>
    <row r="58">
      <c r="B58" t="inlineStr">
        <is>
          <t>PB per bid in the Bora model</t>
        </is>
      </c>
      <c r="C58" s="15" t="inlineStr">
        <is>
          <t>EUR k</t>
        </is>
      </c>
      <c r="D58" t="inlineStr">
        <is>
          <t>Bora model Dashboard (Out_Sanction_Full_1)</t>
        </is>
      </c>
      <c r="F58" s="16">
        <f>IF(INDEX($H58:$O58,1,Scenario_Selected)="",$H58,INDEX($H58:$O58,1,Scenario_Selected))</f>
        <v/>
      </c>
      <c r="H58" s="33" t="n">
        <v>6993.56164383562</v>
      </c>
    </row>
    <row r="59">
      <c r="B59" t="inlineStr">
        <is>
          <t>PB called after COD</t>
        </is>
      </c>
      <c r="C59" s="15" t="inlineStr">
        <is>
          <t>months</t>
        </is>
      </c>
      <c r="D59" t="inlineStr">
        <is>
          <t>Kiírás XIII.17; Bora model Inputs</t>
        </is>
      </c>
      <c r="F59" s="27">
        <f>IF(INDEX($H59:$O59,1,Scenario_Selected)="",$H59,INDEX($H59:$O59,1,Scenario_Selected))</f>
        <v/>
      </c>
      <c r="H59" s="29" t="n">
        <v>6</v>
      </c>
    </row>
    <row r="61">
      <c r="A61" s="5" t="inlineStr">
        <is>
          <t>x</t>
        </is>
      </c>
      <c r="B61" s="5" t="n"/>
      <c r="C61" s="5" t="inlineStr">
        <is>
          <t>COD buyer (per bid)</t>
        </is>
      </c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</row>
    <row r="62">
      <c r="B62" t="inlineStr">
        <is>
          <t>Purchase price at COD per built MW</t>
        </is>
      </c>
      <c r="C62" s="15" t="inlineStr">
        <is>
          <t>EUR k/MW</t>
        </is>
      </c>
      <c r="D62" t="inlineStr">
        <is>
          <t>Bora model Inputs (In_COD_Price)</t>
        </is>
      </c>
      <c r="F62" s="17">
        <f>IF(INDEX($H62:$O62,1,Scenario_Selected)="",$H62,INDEX($H62:$O62,1,Scenario_Selected))</f>
        <v/>
      </c>
      <c r="H62" s="30" t="n">
        <v>2450</v>
      </c>
    </row>
    <row r="63">
      <c r="B63" t="inlineStr">
        <is>
          <t>Tax depreciation base, original plan (A)</t>
        </is>
      </c>
      <c r="C63" s="15" t="inlineStr">
        <is>
          <t>EUR k</t>
        </is>
      </c>
      <c r="D63" t="inlineStr">
        <is>
          <t>Bora model, base case, Calc_1 E122</t>
        </is>
      </c>
      <c r="F63" s="17">
        <f>IF(INDEX($H63:$O63,1,Scenario_Selected)="",$H63,INDEX($H63:$O63,1,Scenario_Selected))</f>
        <v/>
      </c>
      <c r="H63" s="30" t="n">
        <v>155571.1355981859</v>
      </c>
    </row>
    <row r="64">
      <c r="B64" t="inlineStr">
        <is>
          <t>Tax depreciation base, zero bid</t>
        </is>
      </c>
      <c r="C64" s="15" t="inlineStr">
        <is>
          <t>EUR k</t>
        </is>
      </c>
      <c r="D64" t="inlineStr">
        <is>
          <t>Bora model, zero bid, Calc_1 E122</t>
        </is>
      </c>
      <c r="F64" s="17">
        <f>IF(INDEX($H64:$O64,1,Scenario_Selected)="",$H64,INDEX($H64:$O64,1,Scenario_Selected))</f>
        <v/>
      </c>
      <c r="H64" s="30" t="n">
        <v>137867.270343623</v>
      </c>
    </row>
    <row r="65">
      <c r="B65" t="inlineStr">
        <is>
          <t>Tax depreciation period</t>
        </is>
      </c>
      <c r="C65" s="15" t="inlineStr">
        <is>
          <t>years</t>
        </is>
      </c>
      <c r="D65" t="inlineStr">
        <is>
          <t>Bora model Inputs (old E213)</t>
        </is>
      </c>
      <c r="F65" s="27">
        <f>IF(INDEX($H65:$O65,1,Scenario_Selected)="",$H65,INDEX($H65:$O65,1,Scenario_Selected))</f>
        <v/>
      </c>
      <c r="H65" s="29" t="n">
        <v>20</v>
      </c>
    </row>
    <row r="67">
      <c r="C67" s="11" t="inlineStr">
        <is>
          <t>***END***</t>
        </is>
      </c>
    </row>
  </sheetData>
  <dataValidations count="1">
    <dataValidation sqref="F4" showDropDown="0" showInputMessage="0" showErrorMessage="0" allowBlank="0" type="list">
      <formula1>Scenario_Names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N251"/>
  <sheetViews>
    <sheetView showGridLines="0" workbookViewId="0">
      <pane xSplit="9" ySplit="3" topLeftCell="J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" customWidth="1" min="2" max="2"/>
    <col width="40" customWidth="1" min="3" max="3"/>
    <col width="10" customWidth="1" min="4" max="4"/>
    <col width="12" customWidth="1" min="5" max="5"/>
    <col width="12" customWidth="1" min="6" max="6"/>
    <col width="2" customWidth="1" min="7" max="7"/>
    <col width="2" customWidth="1" min="8" max="8"/>
    <col width="1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hidden="1" outlineLevel="1" width="13" customWidth="1" min="41" max="16384"/>
  </cols>
  <sheetData>
    <row r="2">
      <c r="A2" s="1" t="n"/>
      <c r="B2" s="1">
        <f>Cover!$C$3&amp;" – Time-series inputs"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</row>
    <row r="5">
      <c r="A5" s="5" t="inlineStr">
        <is>
          <t>x</t>
        </is>
      </c>
      <c r="B5" s="5" t="n"/>
      <c r="C5" s="5" t="inlineStr">
        <is>
          <t>Original plan (A, base case): operating cash flows after COD, per bid</t>
        </is>
      </c>
      <c r="D5" s="5" t="n"/>
      <c r="E5" s="5" t="inlineStr">
        <is>
          <t>Bora model, base case, Calc_1 rows 112-119</t>
        </is>
      </c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</row>
    <row r="6">
      <c r="D6" s="15" t="inlineStr">
        <is>
          <t>EUR k</t>
        </is>
      </c>
      <c r="E6" s="13" t="inlineStr">
        <is>
          <t>Period end</t>
        </is>
      </c>
      <c r="F6" s="13" t="inlineStr">
        <is>
          <t>Revenue</t>
        </is>
      </c>
      <c r="I6" s="13" t="inlineStr">
        <is>
          <t>Opex</t>
        </is>
      </c>
      <c r="J6" s="13" t="inlineStr">
        <is>
          <t>EBITDA</t>
        </is>
      </c>
    </row>
    <row r="7">
      <c r="E7" s="4" t="n">
        <v>48213</v>
      </c>
      <c r="F7" s="33" t="n">
        <v>5468.883287671232</v>
      </c>
      <c r="I7" s="33" t="n">
        <v>-1317.776760328767</v>
      </c>
      <c r="J7" s="33" t="n">
        <v>4151.106527342465</v>
      </c>
    </row>
    <row r="8">
      <c r="E8" s="4" t="n">
        <v>48304</v>
      </c>
      <c r="F8" s="33" t="n">
        <v>5463.533293150685</v>
      </c>
      <c r="I8" s="33" t="n">
        <v>-1329.823531300274</v>
      </c>
      <c r="J8" s="33" t="n">
        <v>4133.709761850411</v>
      </c>
    </row>
    <row r="9">
      <c r="E9" s="4" t="n">
        <v>48395</v>
      </c>
      <c r="F9" s="33" t="n">
        <v>5463.533293150685</v>
      </c>
      <c r="I9" s="33" t="n">
        <v>-1329.823531300274</v>
      </c>
      <c r="J9" s="33" t="n">
        <v>4133.709761850411</v>
      </c>
    </row>
    <row r="10">
      <c r="E10" s="4" t="n">
        <v>48487</v>
      </c>
      <c r="F10" s="33" t="n">
        <v>5523.572120547946</v>
      </c>
      <c r="I10" s="33" t="n">
        <v>-1344.436976699178</v>
      </c>
      <c r="J10" s="33" t="n">
        <v>4179.135143848767</v>
      </c>
    </row>
    <row r="11">
      <c r="E11" s="4" t="n">
        <v>48579</v>
      </c>
      <c r="F11" s="33" t="n">
        <v>5507.001404186302</v>
      </c>
      <c r="I11" s="33" t="n">
        <v>-1342.560293851272</v>
      </c>
      <c r="J11" s="33" t="n">
        <v>4164.44111033503</v>
      </c>
    </row>
    <row r="12">
      <c r="E12" s="4" t="n">
        <v>48669</v>
      </c>
      <c r="F12" s="33" t="n">
        <v>5441.156822179725</v>
      </c>
      <c r="I12" s="33" t="n">
        <v>-1340.062566821096</v>
      </c>
      <c r="J12" s="33" t="n">
        <v>4101.094255358629</v>
      </c>
    </row>
    <row r="13">
      <c r="E13" s="4" t="n">
        <v>48760</v>
      </c>
      <c r="F13" s="33" t="n">
        <v>5501.614120203945</v>
      </c>
      <c r="I13" s="33" t="n">
        <v>-1354.952150896886</v>
      </c>
      <c r="J13" s="33" t="n">
        <v>4146.66196930706</v>
      </c>
    </row>
    <row r="14">
      <c r="E14" s="4" t="n">
        <v>48852</v>
      </c>
      <c r="F14" s="33" t="n">
        <v>5562.071418228165</v>
      </c>
      <c r="I14" s="33" t="n">
        <v>-1369.841734972676</v>
      </c>
      <c r="J14" s="33" t="n">
        <v>4192.22968325549</v>
      </c>
    </row>
    <row r="15">
      <c r="E15" s="4" t="n">
        <v>48944</v>
      </c>
      <c r="F15" s="33" t="n">
        <v>5545.385203973479</v>
      </c>
      <c r="I15" s="33" t="n">
        <v>-1367.942753552004</v>
      </c>
      <c r="J15" s="33" t="n">
        <v>4177.442450421475</v>
      </c>
    </row>
    <row r="16">
      <c r="E16" s="4" t="n">
        <v>49034</v>
      </c>
      <c r="F16" s="33" t="n">
        <v>5479.08168523032</v>
      </c>
      <c r="I16" s="33" t="n">
        <v>-1365.515479245069</v>
      </c>
      <c r="J16" s="33" t="n">
        <v>4113.566205985251</v>
      </c>
    </row>
    <row r="17">
      <c r="E17" s="4" t="n">
        <v>49125</v>
      </c>
      <c r="F17" s="33" t="n">
        <v>5539.960370621768</v>
      </c>
      <c r="I17" s="33" t="n">
        <v>-1380.687873458903</v>
      </c>
      <c r="J17" s="33" t="n">
        <v>4159.272497162865</v>
      </c>
    </row>
    <row r="18">
      <c r="E18" s="4" t="n">
        <v>49217</v>
      </c>
      <c r="F18" s="33" t="n">
        <v>5600.839056013217</v>
      </c>
      <c r="I18" s="33" t="n">
        <v>-1395.860267672737</v>
      </c>
      <c r="J18" s="33" t="n">
        <v>4204.978788340479</v>
      </c>
    </row>
    <row r="19">
      <c r="E19" s="4" t="n">
        <v>49309</v>
      </c>
      <c r="F19" s="33" t="n">
        <v>5584.036538845176</v>
      </c>
      <c r="I19" s="33" t="n">
        <v>-1393.938494248571</v>
      </c>
      <c r="J19" s="33" t="n">
        <v>4190.098044596605</v>
      </c>
    </row>
    <row r="20">
      <c r="E20" s="4" t="n">
        <v>49399</v>
      </c>
      <c r="F20" s="33" t="n">
        <v>5517.270884576374</v>
      </c>
      <c r="I20" s="33" t="n">
        <v>-1391.583216546932</v>
      </c>
      <c r="J20" s="33" t="n">
        <v>4125.687668029442</v>
      </c>
    </row>
    <row r="21">
      <c r="E21" s="4" t="n">
        <v>49490</v>
      </c>
      <c r="F21" s="33" t="n">
        <v>5578.573894405</v>
      </c>
      <c r="I21" s="33" t="n">
        <v>-1407.045252286342</v>
      </c>
      <c r="J21" s="33" t="n">
        <v>4171.528642118657</v>
      </c>
    </row>
    <row r="22">
      <c r="E22" s="4" t="n">
        <v>49582</v>
      </c>
      <c r="F22" s="33" t="n">
        <v>5639.876904233628</v>
      </c>
      <c r="I22" s="33" t="n">
        <v>-1422.507288025753</v>
      </c>
      <c r="J22" s="33" t="n">
        <v>4217.369616207875</v>
      </c>
    </row>
    <row r="23">
      <c r="E23" s="4" t="n">
        <v>49674</v>
      </c>
      <c r="F23" s="33" t="n">
        <v>5622.957273520927</v>
      </c>
      <c r="I23" s="33" t="n">
        <v>-1420.562218724999</v>
      </c>
      <c r="J23" s="33" t="n">
        <v>4202.395054795928</v>
      </c>
    </row>
    <row r="24">
      <c r="E24" s="4" t="n">
        <v>49765</v>
      </c>
      <c r="F24" s="33" t="n">
        <v>5617.456554449004</v>
      </c>
      <c r="I24" s="33" t="n">
        <v>-1434.039193463599</v>
      </c>
      <c r="J24" s="33" t="n">
        <v>4183.417360985405</v>
      </c>
    </row>
    <row r="25">
      <c r="E25" s="4" t="n">
        <v>49856</v>
      </c>
      <c r="F25" s="33" t="n">
        <v>5617.456554449004</v>
      </c>
      <c r="I25" s="33" t="n">
        <v>-1434.039193463599</v>
      </c>
      <c r="J25" s="33" t="n">
        <v>4183.417360985405</v>
      </c>
    </row>
    <row r="26">
      <c r="E26" s="4" t="n">
        <v>49948</v>
      </c>
      <c r="F26" s="33" t="n">
        <v>5679.186846256137</v>
      </c>
      <c r="I26" s="33" t="n">
        <v>-1449.797865919243</v>
      </c>
      <c r="J26" s="33" t="n">
        <v>4229.388980336894</v>
      </c>
    </row>
    <row r="27">
      <c r="E27" s="4" t="n">
        <v>50040</v>
      </c>
      <c r="F27" s="33" t="n">
        <v>5662.149285717368</v>
      </c>
      <c r="I27" s="33" t="n">
        <v>-1447.828986198893</v>
      </c>
      <c r="J27" s="33" t="n">
        <v>4214.320299518476</v>
      </c>
    </row>
    <row r="28">
      <c r="E28" s="4" t="n">
        <v>50130</v>
      </c>
      <c r="F28" s="33" t="n">
        <v>5594.449674692485</v>
      </c>
      <c r="I28" s="33" t="n">
        <v>-1445.622492307184</v>
      </c>
      <c r="J28" s="33" t="n">
        <v>4148.827182385301</v>
      </c>
    </row>
    <row r="29">
      <c r="E29" s="4" t="n">
        <v>50221</v>
      </c>
      <c r="F29" s="33" t="n">
        <v>5656.610226633515</v>
      </c>
      <c r="I29" s="33" t="n">
        <v>-1461.684964443931</v>
      </c>
      <c r="J29" s="33" t="n">
        <v>4194.925262189584</v>
      </c>
    </row>
    <row r="30">
      <c r="E30" s="4" t="n">
        <v>50313</v>
      </c>
      <c r="F30" s="33" t="n">
        <v>5718.770778574542</v>
      </c>
      <c r="I30" s="33" t="n">
        <v>-1477.747436580677</v>
      </c>
      <c r="J30" s="33" t="n">
        <v>4241.023341993865</v>
      </c>
    </row>
    <row r="31">
      <c r="E31" s="4" t="n">
        <v>50405</v>
      </c>
      <c r="F31" s="33" t="n">
        <v>5701.614466238818</v>
      </c>
      <c r="I31" s="33" t="n">
        <v>-1475.754220995277</v>
      </c>
      <c r="J31" s="33" t="n">
        <v>4225.86024524354</v>
      </c>
    </row>
    <row r="32">
      <c r="E32" s="4" t="n">
        <v>50495</v>
      </c>
      <c r="F32" s="33" t="n">
        <v>5633.442988925093</v>
      </c>
      <c r="I32" s="33" t="n">
        <v>-1473.624596218823</v>
      </c>
      <c r="J32" s="33" t="n">
        <v>4159.81839270627</v>
      </c>
    </row>
    <row r="33">
      <c r="E33" s="4" t="n">
        <v>50586</v>
      </c>
      <c r="F33" s="33" t="n">
        <v>5696.036799913149</v>
      </c>
      <c r="I33" s="33" t="n">
        <v>-1489.998202843477</v>
      </c>
      <c r="J33" s="33" t="n">
        <v>4206.038597069673</v>
      </c>
    </row>
    <row r="34">
      <c r="E34" s="4" t="n">
        <v>50678</v>
      </c>
      <c r="F34" s="33" t="n">
        <v>5758.630610901206</v>
      </c>
      <c r="I34" s="33" t="n">
        <v>-1506.371809468131</v>
      </c>
      <c r="J34" s="33" t="n">
        <v>4252.258801433075</v>
      </c>
    </row>
    <row r="35">
      <c r="E35" s="4" t="n">
        <v>50770</v>
      </c>
      <c r="F35" s="33" t="n">
        <v>5741.354719068502</v>
      </c>
      <c r="I35" s="33" t="n">
        <v>-1504.353721432177</v>
      </c>
      <c r="J35" s="33" t="n">
        <v>4237.000997636325</v>
      </c>
    </row>
    <row r="36">
      <c r="E36" s="4" t="n">
        <v>50860</v>
      </c>
      <c r="F36" s="33" t="n">
        <v>5672.708086557899</v>
      </c>
      <c r="I36" s="33" t="n">
        <v>-1502.302673521931</v>
      </c>
      <c r="J36" s="33" t="n">
        <v>4170.405413035968</v>
      </c>
    </row>
    <row r="37">
      <c r="E37" s="4" t="n">
        <v>50951</v>
      </c>
      <c r="F37" s="33" t="n">
        <v>5735.738176408543</v>
      </c>
      <c r="I37" s="33" t="n">
        <v>-1518.994925449952</v>
      </c>
      <c r="J37" s="33" t="n">
        <v>4216.743250958591</v>
      </c>
    </row>
    <row r="38">
      <c r="E38" s="4" t="n">
        <v>51043</v>
      </c>
      <c r="F38" s="33" t="n">
        <v>5798.768266259187</v>
      </c>
      <c r="I38" s="33" t="n">
        <v>-1535.687177377974</v>
      </c>
      <c r="J38" s="33" t="n">
        <v>4263.081088881213</v>
      </c>
    </row>
    <row r="39">
      <c r="E39" s="4" t="n">
        <v>51135</v>
      </c>
      <c r="F39" s="33" t="n">
        <v>5781.37196146041</v>
      </c>
      <c r="I39" s="33" t="n">
        <v>-1533.643668923102</v>
      </c>
      <c r="J39" s="33" t="n">
        <v>4247.728292537307</v>
      </c>
    </row>
    <row r="40">
      <c r="E40" s="4" t="n">
        <v>51226</v>
      </c>
      <c r="F40" s="33" t="n">
        <v>5775.716271498111</v>
      </c>
      <c r="I40" s="33" t="n">
        <v>-1548.69153745126</v>
      </c>
      <c r="J40" s="33" t="n">
        <v>4227.024734046851</v>
      </c>
    </row>
    <row r="41">
      <c r="E41" s="4" t="n">
        <v>51317</v>
      </c>
      <c r="F41" s="33" t="n">
        <v>5775.716271498111</v>
      </c>
      <c r="I41" s="33" t="n">
        <v>-1548.69153745126</v>
      </c>
      <c r="J41" s="33" t="n">
        <v>4227.024734046851</v>
      </c>
    </row>
    <row r="42">
      <c r="E42" s="4" t="n">
        <v>51409</v>
      </c>
      <c r="F42" s="33" t="n">
        <v>5839.185681075013</v>
      </c>
      <c r="I42" s="33" t="n">
        <v>-1565.7101257749</v>
      </c>
      <c r="J42" s="33" t="n">
        <v>4273.475555300113</v>
      </c>
    </row>
    <row r="43">
      <c r="E43" s="4" t="n">
        <v>51501</v>
      </c>
      <c r="F43" s="33" t="n">
        <v>5821.668124031788</v>
      </c>
      <c r="I43" s="33" t="n">
        <v>-1563.640637301769</v>
      </c>
      <c r="J43" s="33" t="n">
        <v>4258.027486730019</v>
      </c>
    </row>
    <row r="44">
      <c r="E44" s="4" t="n">
        <v>51591</v>
      </c>
      <c r="F44" s="33" t="n">
        <v>5752.061222548798</v>
      </c>
      <c r="I44" s="33" t="n">
        <v>-1561.752041429079</v>
      </c>
      <c r="J44" s="33" t="n">
        <v>4190.30918111972</v>
      </c>
    </row>
    <row r="45">
      <c r="E45" s="4" t="n">
        <v>51682</v>
      </c>
      <c r="F45" s="33" t="n">
        <v>5815.973013910453</v>
      </c>
      <c r="I45" s="33" t="n">
        <v>-1579.104841889402</v>
      </c>
      <c r="J45" s="33" t="n">
        <v>4236.868172021051</v>
      </c>
    </row>
    <row r="46">
      <c r="E46" s="4" t="n">
        <v>51774</v>
      </c>
      <c r="F46" s="33" t="n">
        <v>5879.884805272106</v>
      </c>
      <c r="I46" s="33" t="n">
        <v>-1596.457642349725</v>
      </c>
      <c r="J46" s="33" t="n">
        <v>4283.427162922381</v>
      </c>
    </row>
    <row r="47">
      <c r="E47" s="4" t="n">
        <v>51866</v>
      </c>
      <c r="F47" s="33" t="n">
        <v>5862.24515085629</v>
      </c>
      <c r="I47" s="33" t="n">
        <v>-1594.361602374474</v>
      </c>
      <c r="J47" s="33" t="n">
        <v>4267.883548481816</v>
      </c>
    </row>
    <row r="48">
      <c r="E48" s="4" t="n">
        <v>51956</v>
      </c>
      <c r="F48" s="33" t="n">
        <v>5792.153089269964</v>
      </c>
      <c r="I48" s="33" t="n">
        <v>-1592.556971879887</v>
      </c>
      <c r="J48" s="33" t="n">
        <v>4199.596117390077</v>
      </c>
    </row>
    <row r="49">
      <c r="E49" s="4" t="n">
        <v>52047</v>
      </c>
      <c r="F49" s="33" t="n">
        <v>5856.510345817409</v>
      </c>
      <c r="I49" s="33" t="n">
        <v>-1610.252049345219</v>
      </c>
      <c r="J49" s="33" t="n">
        <v>4246.258296472191</v>
      </c>
    </row>
    <row r="50">
      <c r="E50" s="4" t="n">
        <v>52139</v>
      </c>
      <c r="F50" s="33" t="n">
        <v>5920.867602364852</v>
      </c>
      <c r="I50" s="33" t="n">
        <v>-1627.947126810551</v>
      </c>
      <c r="J50" s="33" t="n">
        <v>4292.920475554301</v>
      </c>
    </row>
    <row r="51">
      <c r="E51" s="4" t="n">
        <v>52231</v>
      </c>
      <c r="F51" s="33" t="n">
        <v>5903.104999557758</v>
      </c>
      <c r="I51" s="33" t="n">
        <v>-1625.823951705713</v>
      </c>
      <c r="J51" s="33" t="n">
        <v>4277.281047852044</v>
      </c>
    </row>
    <row r="52">
      <c r="E52" s="4" t="n">
        <v>52321</v>
      </c>
      <c r="F52" s="33" t="n">
        <v>5832.524396302177</v>
      </c>
      <c r="I52" s="33" t="n">
        <v>-1624.10517480619</v>
      </c>
      <c r="J52" s="33" t="n">
        <v>4208.419221495987</v>
      </c>
    </row>
    <row r="53">
      <c r="E53" s="4" t="n">
        <v>52412</v>
      </c>
      <c r="F53" s="33" t="n">
        <v>5897.330222927757</v>
      </c>
      <c r="I53" s="33" t="n">
        <v>-1642.150787859592</v>
      </c>
      <c r="J53" s="33" t="n">
        <v>4255.179435068165</v>
      </c>
    </row>
    <row r="54">
      <c r="E54" s="4" t="n">
        <v>52504</v>
      </c>
      <c r="F54" s="33" t="n">
        <v>5962.136049553335</v>
      </c>
      <c r="I54" s="33" t="n">
        <v>-1660.196400912994</v>
      </c>
      <c r="J54" s="33" t="n">
        <v>4301.939648640341</v>
      </c>
    </row>
    <row r="55">
      <c r="E55" s="4" t="n">
        <v>52596</v>
      </c>
      <c r="F55" s="33" t="n">
        <v>5944.249641404676</v>
      </c>
      <c r="I55" s="33" t="n">
        <v>-1658.045494642739</v>
      </c>
      <c r="J55" s="33" t="n">
        <v>4286.204146761938</v>
      </c>
    </row>
    <row r="56">
      <c r="E56" s="4" t="n">
        <v>52687</v>
      </c>
      <c r="F56" s="33" t="n">
        <v>5938.434614581563</v>
      </c>
      <c r="I56" s="33" t="n">
        <v>-1674.8191130969</v>
      </c>
      <c r="J56" s="33" t="n">
        <v>4263.615501484664</v>
      </c>
    </row>
    <row r="57">
      <c r="E57" s="4" t="n">
        <v>52778</v>
      </c>
      <c r="F57" s="33" t="n">
        <v>5938.434614581563</v>
      </c>
      <c r="I57" s="33" t="n">
        <v>-1674.8191130969</v>
      </c>
      <c r="J57" s="33" t="n">
        <v>4263.615501484664</v>
      </c>
    </row>
    <row r="58">
      <c r="E58" s="4" t="n">
        <v>52870</v>
      </c>
      <c r="F58" s="33" t="n">
        <v>6003.692137818723</v>
      </c>
      <c r="I58" s="33" t="n">
        <v>-1693.223718735327</v>
      </c>
      <c r="J58" s="33" t="n">
        <v>4310.468419083395</v>
      </c>
    </row>
    <row r="59">
      <c r="E59" s="4" t="n">
        <v>52962</v>
      </c>
      <c r="F59" s="33" t="n">
        <v>5985.681061405267</v>
      </c>
      <c r="I59" s="33" t="n">
        <v>-1691.044472584917</v>
      </c>
      <c r="J59" s="33" t="n">
        <v>4294.636588820349</v>
      </c>
    </row>
    <row r="60">
      <c r="E60" s="4" t="n">
        <v>53052</v>
      </c>
      <c r="F60" s="33" t="n">
        <v>5914.113135671073</v>
      </c>
      <c r="I60" s="33" t="n">
        <v>-1689.503260308791</v>
      </c>
      <c r="J60" s="33" t="n">
        <v>4224.609875362281</v>
      </c>
    </row>
    <row r="61">
      <c r="E61" s="4" t="n">
        <v>53143</v>
      </c>
      <c r="F61" s="33" t="n">
        <v>5979.825503845196</v>
      </c>
      <c r="I61" s="33" t="n">
        <v>-1708.275518756667</v>
      </c>
      <c r="J61" s="33" t="n">
        <v>4271.549985088529</v>
      </c>
    </row>
    <row r="62">
      <c r="E62" s="4" t="n">
        <v>53235</v>
      </c>
      <c r="F62" s="33" t="n">
        <v>6045.537872019319</v>
      </c>
      <c r="I62" s="33" t="n">
        <v>-1727.047777204543</v>
      </c>
      <c r="J62" s="33" t="n">
        <v>4318.490094814776</v>
      </c>
    </row>
    <row r="63">
      <c r="E63" s="4" t="n">
        <v>53327</v>
      </c>
      <c r="F63" s="33" t="n">
        <v>6027.401258403263</v>
      </c>
      <c r="I63" s="33" t="n">
        <v>-1724.839569503869</v>
      </c>
      <c r="J63" s="33" t="n">
        <v>4302.561688899394</v>
      </c>
    </row>
    <row r="64">
      <c r="E64" s="4" t="n">
        <v>53417</v>
      </c>
      <c r="F64" s="33" t="n">
        <v>5955.3345042267</v>
      </c>
      <c r="I64" s="33" t="n">
        <v>-1723.390167599478</v>
      </c>
      <c r="J64" s="33" t="n">
        <v>4231.944336627223</v>
      </c>
    </row>
    <row r="65">
      <c r="E65" s="4" t="n">
        <v>53508</v>
      </c>
      <c r="F65" s="33" t="n">
        <v>6021.504887606997</v>
      </c>
      <c r="I65" s="33" t="n">
        <v>-1742.538947239472</v>
      </c>
      <c r="J65" s="33" t="n">
        <v>4278.965940367525</v>
      </c>
    </row>
    <row r="66">
      <c r="E66" s="4" t="n">
        <v>53600</v>
      </c>
      <c r="F66" s="33" t="n">
        <v>6087.675270987294</v>
      </c>
      <c r="I66" s="33" t="n">
        <v>-1761.687726879466</v>
      </c>
      <c r="J66" s="33" t="n">
        <v>4325.987544107827</v>
      </c>
    </row>
    <row r="67">
      <c r="E67" s="4" t="n">
        <v>53692</v>
      </c>
      <c r="F67" s="33" t="n">
        <v>6069.412245174332</v>
      </c>
      <c r="I67" s="33" t="n">
        <v>-1759.449922720542</v>
      </c>
      <c r="J67" s="33" t="n">
        <v>4309.962322453791</v>
      </c>
    </row>
    <row r="68">
      <c r="E68" s="4" t="n">
        <v>53782</v>
      </c>
      <c r="F68" s="33" t="n">
        <v>5996.84318572116</v>
      </c>
      <c r="I68" s="33" t="n">
        <v>-1758.09441814946</v>
      </c>
      <c r="J68" s="33" t="n">
        <v>4238.7487675717</v>
      </c>
    </row>
    <row r="69">
      <c r="E69" s="4" t="n">
        <v>53873</v>
      </c>
      <c r="F69" s="33" t="n">
        <v>6063.474776673618</v>
      </c>
      <c r="I69" s="33" t="n">
        <v>-1777.628800573344</v>
      </c>
      <c r="J69" s="33" t="n">
        <v>4285.845976100275</v>
      </c>
    </row>
    <row r="70">
      <c r="E70" s="4" t="n">
        <v>53965</v>
      </c>
      <c r="F70" s="33" t="n">
        <v>6130.106367626076</v>
      </c>
      <c r="I70" s="33" t="n">
        <v>-1797.163182997226</v>
      </c>
      <c r="J70" s="33" t="n">
        <v>4332.943184628851</v>
      </c>
    </row>
    <row r="71">
      <c r="E71" s="4" t="n">
        <v>54057</v>
      </c>
      <c r="F71" s="33" t="n">
        <v>6111.716048523198</v>
      </c>
      <c r="I71" s="33" t="n">
        <v>-1794.895133945491</v>
      </c>
      <c r="J71" s="33" t="n">
        <v>4316.820914577706</v>
      </c>
    </row>
    <row r="72">
      <c r="E72" s="4" t="n">
        <v>54148</v>
      </c>
      <c r="F72" s="33" t="n">
        <v>6105.737195867033</v>
      </c>
      <c r="I72" s="33" t="n">
        <v>-1813.564951607022</v>
      </c>
      <c r="J72" s="33" t="n">
        <v>4292.17224426001</v>
      </c>
    </row>
    <row r="73">
      <c r="E73" s="4" t="n">
        <v>54239</v>
      </c>
      <c r="F73" s="33" t="n">
        <v>6105.737195867033</v>
      </c>
      <c r="I73" s="33" t="n">
        <v>-1813.564951607022</v>
      </c>
      <c r="J73" s="33" t="n">
        <v>4292.17224426001</v>
      </c>
    </row>
    <row r="74">
      <c r="E74" s="4" t="n">
        <v>54331</v>
      </c>
      <c r="F74" s="33" t="n">
        <v>6172.83320900843</v>
      </c>
      <c r="I74" s="33" t="n">
        <v>-1833.494236789517</v>
      </c>
      <c r="J74" s="33" t="n">
        <v>4339.338972218912</v>
      </c>
    </row>
    <row r="75">
      <c r="E75" s="4" t="n">
        <v>54423</v>
      </c>
      <c r="F75" s="33" t="n">
        <v>6154.314709381403</v>
      </c>
      <c r="I75" s="33" t="n">
        <v>-1831.195280588837</v>
      </c>
      <c r="J75" s="33" t="n">
        <v>4323.119428792566</v>
      </c>
    </row>
    <row r="76">
      <c r="E76" s="4" t="n">
        <v>54513</v>
      </c>
      <c r="F76" s="33" t="n">
        <v>6080.730511769234</v>
      </c>
      <c r="I76" s="33" t="n">
        <v>-1830.034043877979</v>
      </c>
      <c r="J76" s="33" t="n">
        <v>4250.696467891255</v>
      </c>
    </row>
    <row r="77">
      <c r="E77" s="4" t="n">
        <v>54604</v>
      </c>
      <c r="F77" s="33" t="n">
        <v>6148.294184122226</v>
      </c>
      <c r="I77" s="33" t="n">
        <v>-1850.367755476623</v>
      </c>
      <c r="J77" s="33" t="n">
        <v>4297.926428645604</v>
      </c>
    </row>
    <row r="78">
      <c r="E78" s="4" t="n">
        <v>54696</v>
      </c>
      <c r="F78" s="33" t="n">
        <v>6215.857856475218</v>
      </c>
      <c r="I78" s="33" t="n">
        <v>-1870.701467075267</v>
      </c>
      <c r="J78" s="33" t="n">
        <v>4345.156389399951</v>
      </c>
    </row>
    <row r="79">
      <c r="E79" s="4" t="n">
        <v>54788</v>
      </c>
      <c r="F79" s="33" t="n">
        <v>6197.210282905793</v>
      </c>
      <c r="I79" s="33" t="n">
        <v>-1868.370927346472</v>
      </c>
      <c r="J79" s="33" t="n">
        <v>4328.839355559322</v>
      </c>
    </row>
    <row r="80">
      <c r="E80" s="4" t="n">
        <v>54878</v>
      </c>
      <c r="F80" s="33" t="n">
        <v>6123.113203436265</v>
      </c>
      <c r="I80" s="33" t="n">
        <v>-1867.310170568294</v>
      </c>
      <c r="J80" s="33" t="n">
        <v>4255.803032867972</v>
      </c>
    </row>
    <row r="81">
      <c r="E81" s="4" t="n">
        <v>54969</v>
      </c>
      <c r="F81" s="33" t="n">
        <v>6191.147794585559</v>
      </c>
      <c r="I81" s="33" t="n">
        <v>-1888.058061352387</v>
      </c>
      <c r="J81" s="33" t="n">
        <v>4303.089733233172</v>
      </c>
    </row>
    <row r="82">
      <c r="E82" s="4" t="n">
        <v>55061</v>
      </c>
      <c r="F82" s="33" t="n">
        <v>6259.182385734851</v>
      </c>
      <c r="I82" s="33" t="n">
        <v>-1908.805952136479</v>
      </c>
      <c r="J82" s="33" t="n">
        <v>4350.376433598372</v>
      </c>
    </row>
    <row r="83">
      <c r="E83" s="4" t="n">
        <v>55153</v>
      </c>
      <c r="F83" s="33" t="n">
        <v>6240.404838577646</v>
      </c>
      <c r="I83" s="33" t="n">
        <v>-1906.44313806931</v>
      </c>
      <c r="J83" s="33" t="n">
        <v>4333.961700508336</v>
      </c>
    </row>
    <row r="84">
      <c r="E84" s="4" t="n">
        <v>55243</v>
      </c>
      <c r="F84" s="33" t="n">
        <v>6165.791302464217</v>
      </c>
      <c r="I84" s="33" t="n">
        <v>-1905.485167060606</v>
      </c>
      <c r="J84" s="33" t="n">
        <v>4260.306135403611</v>
      </c>
    </row>
    <row r="85">
      <c r="E85" s="4" t="n">
        <v>55334</v>
      </c>
      <c r="F85" s="33" t="n">
        <v>6234.30009471382</v>
      </c>
      <c r="I85" s="33" t="n">
        <v>-1926.657224472391</v>
      </c>
      <c r="J85" s="33" t="n">
        <v>4307.642870241429</v>
      </c>
    </row>
    <row r="86">
      <c r="E86" s="4" t="n">
        <v>55426</v>
      </c>
      <c r="F86" s="33" t="n">
        <v>6302.808886963423</v>
      </c>
      <c r="I86" s="33" t="n">
        <v>-1947.829281884176</v>
      </c>
      <c r="J86" s="33" t="n">
        <v>4354.979605079247</v>
      </c>
    </row>
    <row r="87">
      <c r="E87" s="4" t="n">
        <v>55518</v>
      </c>
      <c r="F87" s="33" t="n">
        <v>6283.900460302532</v>
      </c>
      <c r="I87" s="33" t="n">
        <v>-1945.433487922495</v>
      </c>
      <c r="J87" s="33" t="n">
        <v>4338.466972380036</v>
      </c>
    </row>
    <row r="88">
      <c r="E88" s="4" t="n">
        <v>55609</v>
      </c>
      <c r="F88" s="33" t="n">
        <v>6277.753166373976</v>
      </c>
      <c r="I88" s="33" t="n">
        <v>-1966.187118470237</v>
      </c>
      <c r="J88" s="33" t="n">
        <v>4311.566047903739</v>
      </c>
    </row>
    <row r="89">
      <c r="E89" s="4" t="n">
        <v>55700</v>
      </c>
      <c r="F89" s="33" t="n">
        <v>6277.753166373976</v>
      </c>
      <c r="I89" s="33" t="n">
        <v>-1966.187118470237</v>
      </c>
      <c r="J89" s="33" t="n">
        <v>4311.566047903739</v>
      </c>
    </row>
    <row r="90">
      <c r="E90" s="4" t="n">
        <v>55792</v>
      </c>
      <c r="F90" s="33" t="n">
        <v>6346.739464905558</v>
      </c>
      <c r="I90" s="33" t="n">
        <v>-1987.793570321558</v>
      </c>
      <c r="J90" s="33" t="n">
        <v>4358.945894584</v>
      </c>
    </row>
    <row r="91">
      <c r="E91" s="4" t="n">
        <v>55884</v>
      </c>
      <c r="F91" s="33" t="n">
        <v>6327.699246510841</v>
      </c>
      <c r="I91" s="33" t="n">
        <v>-1985.364075841665</v>
      </c>
      <c r="J91" s="33" t="n">
        <v>4342.335170669176</v>
      </c>
    </row>
    <row r="92">
      <c r="E92" s="4" t="n">
        <v>55974</v>
      </c>
      <c r="F92" s="33" t="n">
        <v>6252.041972911254</v>
      </c>
      <c r="I92" s="33" t="n">
        <v>-1984.618827696177</v>
      </c>
      <c r="J92" s="33" t="n">
        <v>4267.423145215078</v>
      </c>
    </row>
    <row r="93">
      <c r="E93" s="4" t="n">
        <v>56065</v>
      </c>
      <c r="F93" s="33" t="n">
        <v>6321.509105943602</v>
      </c>
      <c r="I93" s="33" t="n">
        <v>-2006.670148003912</v>
      </c>
      <c r="J93" s="33" t="n">
        <v>4314.83895793969</v>
      </c>
    </row>
    <row r="94">
      <c r="E94" s="4" t="n">
        <v>56157</v>
      </c>
      <c r="F94" s="33" t="n">
        <v>6390.976238975949</v>
      </c>
      <c r="I94" s="33" t="n">
        <v>-2028.721468311647</v>
      </c>
      <c r="J94" s="33" t="n">
        <v>4362.254770664302</v>
      </c>
    </row>
    <row r="95">
      <c r="E95" s="4" t="n">
        <v>56249</v>
      </c>
      <c r="F95" s="33" t="n">
        <v>6371.803310259021</v>
      </c>
      <c r="I95" s="33" t="n">
        <v>-2026.257537293561</v>
      </c>
      <c r="J95" s="33" t="n">
        <v>4345.54577296546</v>
      </c>
    </row>
    <row r="96">
      <c r="E96" s="4" t="n">
        <v>56339</v>
      </c>
      <c r="F96" s="33" t="n">
        <v>6295.618705462444</v>
      </c>
      <c r="I96" s="33" t="n">
        <v>-2025.622346729555</v>
      </c>
      <c r="J96" s="33" t="n">
        <v>4269.996358732889</v>
      </c>
    </row>
    <row r="97">
      <c r="E97" s="4" t="n">
        <v>56430</v>
      </c>
      <c r="F97" s="33" t="n">
        <v>6365.570024412027</v>
      </c>
      <c r="I97" s="33" t="n">
        <v>-2048.129261693217</v>
      </c>
      <c r="J97" s="33" t="n">
        <v>4317.440762718809</v>
      </c>
    </row>
    <row r="98">
      <c r="E98" s="4" t="n">
        <v>56522</v>
      </c>
      <c r="F98" s="33" t="n">
        <v>6435.521343361612</v>
      </c>
      <c r="I98" s="33" t="n">
        <v>-2070.636176656879</v>
      </c>
      <c r="J98" s="33" t="n">
        <v>4364.885166704733</v>
      </c>
    </row>
    <row r="99">
      <c r="E99" s="4" t="n">
        <v>56614</v>
      </c>
      <c r="F99" s="33" t="n">
        <v>6416.214779331527</v>
      </c>
      <c r="I99" s="33" t="n">
        <v>-2068.137057348428</v>
      </c>
      <c r="J99" s="33" t="n">
        <v>4348.0777219831</v>
      </c>
    </row>
    <row r="100">
      <c r="E100" s="4" t="n">
        <v>56704</v>
      </c>
      <c r="F100" s="33" t="n">
        <v>6339.49916783952</v>
      </c>
      <c r="I100" s="33" t="n">
        <v>-2067.614471248316</v>
      </c>
      <c r="J100" s="33" t="n">
        <v>4271.884696591203</v>
      </c>
    </row>
    <row r="101">
      <c r="E101" s="4" t="n">
        <v>56795</v>
      </c>
      <c r="F101" s="33" t="n">
        <v>6409.938047482181</v>
      </c>
      <c r="I101" s="33" t="n">
        <v>-2090.587965373298</v>
      </c>
      <c r="J101" s="33" t="n">
        <v>4319.350082108883</v>
      </c>
    </row>
    <row r="102">
      <c r="E102" s="4" t="n">
        <v>56887</v>
      </c>
      <c r="F102" s="33" t="n">
        <v>6480.376927124842</v>
      </c>
      <c r="I102" s="33" t="n">
        <v>-2113.561459498279</v>
      </c>
      <c r="J102" s="33" t="n">
        <v>4366.815467626563</v>
      </c>
    </row>
    <row r="103">
      <c r="E103" s="4" t="n">
        <v>56979</v>
      </c>
      <c r="F103" s="33" t="n">
        <v>6460.935796343467</v>
      </c>
      <c r="I103" s="33" t="n">
        <v>-2111.026384071842</v>
      </c>
      <c r="J103" s="33" t="n">
        <v>4349.909412271625</v>
      </c>
    </row>
    <row r="104">
      <c r="E104" s="4" t="n">
        <v>57070</v>
      </c>
      <c r="F104" s="33" t="n">
        <v>6454.615315673131</v>
      </c>
      <c r="I104" s="33" t="n">
        <v>-2134.070335672037</v>
      </c>
      <c r="J104" s="33" t="n">
        <v>4320.544980001094</v>
      </c>
    </row>
    <row r="105">
      <c r="E105" s="4" t="n">
        <v>57161</v>
      </c>
      <c r="F105" s="33" t="n">
        <v>6454.615315673131</v>
      </c>
      <c r="I105" s="33" t="n">
        <v>-2134.070335672037</v>
      </c>
      <c r="J105" s="33" t="n">
        <v>4320.544980001094</v>
      </c>
    </row>
    <row r="106">
      <c r="E106" s="4" t="n">
        <v>57253</v>
      </c>
      <c r="F106" s="33" t="n">
        <v>6525.545154306901</v>
      </c>
      <c r="I106" s="33" t="n">
        <v>-2157.52165804206</v>
      </c>
      <c r="J106" s="33" t="n">
        <v>4368.023496264842</v>
      </c>
    </row>
    <row r="107">
      <c r="E107" s="4" t="n">
        <v>57345</v>
      </c>
      <c r="F107" s="33" t="n">
        <v>6505.968518843982</v>
      </c>
      <c r="I107" s="33" t="n">
        <v>-2154.949842243792</v>
      </c>
      <c r="J107" s="33" t="n">
        <v>4351.018676600189</v>
      </c>
    </row>
    <row r="108">
      <c r="E108" s="4" t="n">
        <v>57435</v>
      </c>
      <c r="F108" s="33" t="n">
        <v>6428.179764814325</v>
      </c>
      <c r="I108" s="33" t="n">
        <v>-2154.660363216822</v>
      </c>
      <c r="J108" s="33" t="n">
        <v>4273.519401597502</v>
      </c>
    </row>
    <row r="109">
      <c r="E109" s="4" t="n">
        <v>57526</v>
      </c>
      <c r="F109" s="33" t="n">
        <v>6499.603984423374</v>
      </c>
      <c r="I109" s="33" t="n">
        <v>-2178.601033919231</v>
      </c>
      <c r="J109" s="33" t="n">
        <v>4321.002950504142</v>
      </c>
    </row>
    <row r="110">
      <c r="E110" s="4" t="n">
        <v>57618</v>
      </c>
      <c r="F110" s="33" t="n">
        <v>6571.028204032422</v>
      </c>
      <c r="I110" s="33" t="n">
        <v>-2202.54170462164</v>
      </c>
      <c r="J110" s="33" t="n">
        <v>4368.486499410781</v>
      </c>
    </row>
    <row r="111">
      <c r="E111" s="4" t="n">
        <v>57710</v>
      </c>
      <c r="F111" s="33" t="n">
        <v>6551.315119420325</v>
      </c>
      <c r="I111" s="33" t="n">
        <v>-2199.932347413031</v>
      </c>
      <c r="J111" s="33" t="n">
        <v>4351.382772007294</v>
      </c>
    </row>
    <row r="112">
      <c r="E112" s="4" t="n">
        <v>57800</v>
      </c>
      <c r="F112" s="33" t="n">
        <v>6472.984177775083</v>
      </c>
      <c r="I112" s="33" t="n">
        <v>-2199.763503688043</v>
      </c>
      <c r="J112" s="33" t="n">
        <v>4273.22067408704</v>
      </c>
    </row>
    <row r="113">
      <c r="E113" s="4" t="n">
        <v>57891</v>
      </c>
      <c r="F113" s="33" t="n">
        <v>6544.906224194805</v>
      </c>
      <c r="I113" s="33" t="n">
        <v>-2224.205320395688</v>
      </c>
      <c r="J113" s="33" t="n">
        <v>4320.700903799117</v>
      </c>
    </row>
    <row r="114">
      <c r="E114" s="4" t="n">
        <v>57983</v>
      </c>
      <c r="F114" s="33" t="n">
        <v>6616.828270614528</v>
      </c>
      <c r="I114" s="33" t="n">
        <v>-2248.647137103334</v>
      </c>
      <c r="J114" s="33" t="n">
        <v>4368.181133511195</v>
      </c>
    </row>
    <row r="115">
      <c r="E115" s="4" t="n">
        <v>58075</v>
      </c>
      <c r="F115" s="33" t="n">
        <v>6596.977785802685</v>
      </c>
      <c r="I115" s="33" t="n">
        <v>-2245.99942029491</v>
      </c>
      <c r="J115" s="33" t="n">
        <v>4350.978365507774</v>
      </c>
    </row>
    <row r="116">
      <c r="E116" s="4" t="n">
        <v>58165</v>
      </c>
      <c r="F116" s="33" t="n">
        <v>6518.100877494173</v>
      </c>
      <c r="I116" s="33" t="n">
        <v>-2245.954024217042</v>
      </c>
      <c r="J116" s="33" t="n">
        <v>4272.146853277131</v>
      </c>
    </row>
    <row r="117">
      <c r="E117" s="4" t="n">
        <v>58256</v>
      </c>
      <c r="F117" s="33" t="n">
        <v>6590.524220577441</v>
      </c>
      <c r="I117" s="33" t="n">
        <v>-2270.909068930565</v>
      </c>
      <c r="J117" s="33" t="n">
        <v>4319.615151646876</v>
      </c>
    </row>
    <row r="118">
      <c r="E118" s="4" t="n">
        <v>58348</v>
      </c>
      <c r="F118" s="33" t="n">
        <v>6662.947563660711</v>
      </c>
      <c r="I118" s="33" t="n">
        <v>-2295.864113644088</v>
      </c>
      <c r="J118" s="33" t="n">
        <v>4367.083450016623</v>
      </c>
    </row>
    <row r="119">
      <c r="E119" s="4" t="n">
        <v>58440</v>
      </c>
      <c r="F119" s="33" t="n">
        <v>6642.958720969728</v>
      </c>
      <c r="I119" s="33" t="n">
        <v>-2293.177201521115</v>
      </c>
      <c r="J119" s="33" t="n">
        <v>4349.781519448614</v>
      </c>
    </row>
    <row r="120">
      <c r="E120" s="4" t="n">
        <v>58531</v>
      </c>
      <c r="F120" s="33" t="n">
        <v>6636.460174394866</v>
      </c>
      <c r="I120" s="33" t="n">
        <v>-2318.738781855479</v>
      </c>
      <c r="J120" s="33" t="n">
        <v>4317.721392539387</v>
      </c>
    </row>
    <row r="121">
      <c r="E121" s="4" t="n">
        <v>58622</v>
      </c>
      <c r="F121" s="33" t="n">
        <v>6636.460174394866</v>
      </c>
      <c r="I121" s="33" t="n">
        <v>-2318.738781855479</v>
      </c>
      <c r="J121" s="33" t="n">
        <v>4317.721392539387</v>
      </c>
    </row>
    <row r="122">
      <c r="E122" s="4" t="n">
        <v>58714</v>
      </c>
      <c r="F122" s="33" t="n">
        <v>6709.388308179426</v>
      </c>
      <c r="I122" s="33" t="n">
        <v>-2344.219427809935</v>
      </c>
      <c r="J122" s="33" t="n">
        <v>4365.168880369491</v>
      </c>
    </row>
    <row r="123">
      <c r="E123" s="4" t="n">
        <v>58806</v>
      </c>
      <c r="F123" s="33" t="n">
        <v>6689.260143254887</v>
      </c>
      <c r="I123" s="33" t="n">
        <v>-2341.492466749913</v>
      </c>
      <c r="J123" s="33" t="n">
        <v>4347.767676504975</v>
      </c>
    </row>
    <row r="124">
      <c r="E124" s="4" t="n">
        <v>58896</v>
      </c>
      <c r="F124" s="33" t="n">
        <v>6609.279858933362</v>
      </c>
      <c r="I124" s="33" t="n">
        <v>-2341.702686584315</v>
      </c>
      <c r="J124" s="33" t="n">
        <v>4267.577172349047</v>
      </c>
    </row>
    <row r="125">
      <c r="E125" s="4" t="n">
        <v>58987</v>
      </c>
      <c r="F125" s="33" t="n">
        <v>6682.716301810398</v>
      </c>
      <c r="I125" s="33" t="n">
        <v>-2367.72160532414</v>
      </c>
      <c r="J125" s="33" t="n">
        <v>4314.994696486258</v>
      </c>
    </row>
    <row r="126">
      <c r="E126" s="4" t="n">
        <v>59079</v>
      </c>
      <c r="F126" s="33" t="n">
        <v>6756.152744687436</v>
      </c>
      <c r="I126" s="33" t="n">
        <v>-2393.740524063966</v>
      </c>
      <c r="J126" s="33" t="n">
        <v>4362.412220623471</v>
      </c>
    </row>
    <row r="128">
      <c r="A128" s="5" t="inlineStr">
        <is>
          <t>x</t>
        </is>
      </c>
      <c r="B128" s="5" t="n"/>
      <c r="C128" s="5" t="inlineStr">
        <is>
          <t>Zero bid: operating cash flows after COD, per bid</t>
        </is>
      </c>
      <c r="D128" s="5" t="n"/>
      <c r="E128" s="5" t="inlineStr">
        <is>
          <t>Bora model, zero bid, Calc_1 rows 112-119</t>
        </is>
      </c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  <c r="AN128" s="5" t="n"/>
    </row>
    <row r="129">
      <c r="D129" s="15" t="inlineStr">
        <is>
          <t>EUR k</t>
        </is>
      </c>
      <c r="E129" s="13" t="inlineStr">
        <is>
          <t>Period end</t>
        </is>
      </c>
      <c r="F129" s="13" t="inlineStr">
        <is>
          <t>Revenue</t>
        </is>
      </c>
      <c r="I129" s="13" t="inlineStr">
        <is>
          <t>Opex</t>
        </is>
      </c>
      <c r="J129" s="13" t="inlineStr">
        <is>
          <t>EBITDA</t>
        </is>
      </c>
    </row>
    <row r="130">
      <c r="E130" s="4" t="n">
        <v>48213</v>
      </c>
      <c r="F130" s="33" t="n">
        <v>5468.883287671232</v>
      </c>
      <c r="I130" s="33" t="n">
        <v>-1135.480650739726</v>
      </c>
      <c r="J130" s="33" t="n">
        <v>4333.402636931506</v>
      </c>
    </row>
    <row r="131">
      <c r="E131" s="4" t="n">
        <v>48304</v>
      </c>
      <c r="F131" s="33" t="n">
        <v>5463.533293150685</v>
      </c>
      <c r="I131" s="33" t="n">
        <v>-1149.508901163288</v>
      </c>
      <c r="J131" s="33" t="n">
        <v>4314.024391987398</v>
      </c>
    </row>
    <row r="132">
      <c r="E132" s="4" t="n">
        <v>48395</v>
      </c>
      <c r="F132" s="33" t="n">
        <v>5463.533293150685</v>
      </c>
      <c r="I132" s="33" t="n">
        <v>-1149.508901163288</v>
      </c>
      <c r="J132" s="33" t="n">
        <v>4314.024391987398</v>
      </c>
    </row>
    <row r="133">
      <c r="E133" s="4" t="n">
        <v>48487</v>
      </c>
      <c r="F133" s="33" t="n">
        <v>5523.572120547946</v>
      </c>
      <c r="I133" s="33" t="n">
        <v>-1162.140867110137</v>
      </c>
      <c r="J133" s="33" t="n">
        <v>4361.431253437809</v>
      </c>
    </row>
    <row r="134">
      <c r="E134" s="4" t="n">
        <v>48579</v>
      </c>
      <c r="F134" s="33" t="n">
        <v>5507.001404186302</v>
      </c>
      <c r="I134" s="33" t="n">
        <v>-1160.811072590998</v>
      </c>
      <c r="J134" s="33" t="n">
        <v>4346.190331595303</v>
      </c>
    </row>
    <row r="135">
      <c r="E135" s="4" t="n">
        <v>48669</v>
      </c>
      <c r="F135" s="33" t="n">
        <v>5441.156822179725</v>
      </c>
      <c r="I135" s="33" t="n">
        <v>-1162.264415588219</v>
      </c>
      <c r="J135" s="33" t="n">
        <v>4278.892406591506</v>
      </c>
    </row>
    <row r="136">
      <c r="E136" s="4" t="n">
        <v>48760</v>
      </c>
      <c r="F136" s="33" t="n">
        <v>5501.614120203945</v>
      </c>
      <c r="I136" s="33" t="n">
        <v>-1175.17846465031</v>
      </c>
      <c r="J136" s="33" t="n">
        <v>4326.435655553635</v>
      </c>
    </row>
    <row r="137">
      <c r="E137" s="4" t="n">
        <v>48852</v>
      </c>
      <c r="F137" s="33" t="n">
        <v>5562.071418228165</v>
      </c>
      <c r="I137" s="33" t="n">
        <v>-1188.092513712402</v>
      </c>
      <c r="J137" s="33" t="n">
        <v>4373.978904515764</v>
      </c>
    </row>
    <row r="138">
      <c r="E138" s="4" t="n">
        <v>48944</v>
      </c>
      <c r="F138" s="33" t="n">
        <v>5545.385203973479</v>
      </c>
      <c r="I138" s="33" t="n">
        <v>-1186.738779955511</v>
      </c>
      <c r="J138" s="33" t="n">
        <v>4358.646424017968</v>
      </c>
    </row>
    <row r="139">
      <c r="E139" s="4" t="n">
        <v>49034</v>
      </c>
      <c r="F139" s="33" t="n">
        <v>5479.08168523032</v>
      </c>
      <c r="I139" s="33" t="n">
        <v>-1188.250722465891</v>
      </c>
      <c r="J139" s="33" t="n">
        <v>4290.830962764428</v>
      </c>
    </row>
    <row r="140">
      <c r="E140" s="4" t="n">
        <v>49125</v>
      </c>
      <c r="F140" s="33" t="n">
        <v>5539.960370621768</v>
      </c>
      <c r="I140" s="33" t="n">
        <v>-1201.453508271067</v>
      </c>
      <c r="J140" s="33" t="n">
        <v>4338.5068623507</v>
      </c>
    </row>
    <row r="141">
      <c r="E141" s="4" t="n">
        <v>49217</v>
      </c>
      <c r="F141" s="33" t="n">
        <v>5600.839056013217</v>
      </c>
      <c r="I141" s="33" t="n">
        <v>-1214.656294076244</v>
      </c>
      <c r="J141" s="33" t="n">
        <v>4386.182761936973</v>
      </c>
    </row>
    <row r="142">
      <c r="E142" s="4" t="n">
        <v>49309</v>
      </c>
      <c r="F142" s="33" t="n">
        <v>5584.036538845176</v>
      </c>
      <c r="I142" s="33" t="n">
        <v>-1213.278132572868</v>
      </c>
      <c r="J142" s="33" t="n">
        <v>4370.758406272308</v>
      </c>
    </row>
    <row r="143">
      <c r="E143" s="4" t="n">
        <v>49399</v>
      </c>
      <c r="F143" s="33" t="n">
        <v>5517.270884576374</v>
      </c>
      <c r="I143" s="33" t="n">
        <v>-1214.850254038091</v>
      </c>
      <c r="J143" s="33" t="n">
        <v>4302.420630538283</v>
      </c>
    </row>
    <row r="144">
      <c r="E144" s="4" t="n">
        <v>49490</v>
      </c>
      <c r="F144" s="33" t="n">
        <v>5578.573894405</v>
      </c>
      <c r="I144" s="33" t="n">
        <v>-1228.34859019407</v>
      </c>
      <c r="J144" s="33" t="n">
        <v>4350.22530421093</v>
      </c>
    </row>
    <row r="145">
      <c r="E145" s="4" t="n">
        <v>49582</v>
      </c>
      <c r="F145" s="33" t="n">
        <v>5639.876904233628</v>
      </c>
      <c r="I145" s="33" t="n">
        <v>-1241.846926350049</v>
      </c>
      <c r="J145" s="33" t="n">
        <v>4398.02997788358</v>
      </c>
    </row>
    <row r="146">
      <c r="E146" s="4" t="n">
        <v>49674</v>
      </c>
      <c r="F146" s="33" t="n">
        <v>5622.957273520927</v>
      </c>
      <c r="I146" s="33" t="n">
        <v>-1240.443838134323</v>
      </c>
      <c r="J146" s="33" t="n">
        <v>4382.513435386604</v>
      </c>
    </row>
    <row r="147">
      <c r="E147" s="4" t="n">
        <v>49765</v>
      </c>
      <c r="F147" s="33" t="n">
        <v>5617.456554449004</v>
      </c>
      <c r="I147" s="33" t="n">
        <v>-1255.878621357604</v>
      </c>
      <c r="J147" s="33" t="n">
        <v>4361.577933091401</v>
      </c>
    </row>
    <row r="148">
      <c r="E148" s="4" t="n">
        <v>49856</v>
      </c>
      <c r="F148" s="33" t="n">
        <v>5617.456554449004</v>
      </c>
      <c r="I148" s="33" t="n">
        <v>-1255.878621357604</v>
      </c>
      <c r="J148" s="33" t="n">
        <v>4361.577933091401</v>
      </c>
    </row>
    <row r="149">
      <c r="E149" s="4" t="n">
        <v>49948</v>
      </c>
      <c r="F149" s="33" t="n">
        <v>5679.186846256137</v>
      </c>
      <c r="I149" s="33" t="n">
        <v>-1269.679485328567</v>
      </c>
      <c r="J149" s="33" t="n">
        <v>4409.507360927571</v>
      </c>
    </row>
    <row r="150">
      <c r="E150" s="4" t="n">
        <v>50040</v>
      </c>
      <c r="F150" s="33" t="n">
        <v>5662.149285717368</v>
      </c>
      <c r="I150" s="33" t="n">
        <v>-1268.250960749988</v>
      </c>
      <c r="J150" s="33" t="n">
        <v>4393.89832496738</v>
      </c>
    </row>
    <row r="151">
      <c r="E151" s="4" t="n">
        <v>50130</v>
      </c>
      <c r="F151" s="33" t="n">
        <v>5594.449674692485</v>
      </c>
      <c r="I151" s="33" t="n">
        <v>-1269.948336976734</v>
      </c>
      <c r="J151" s="33" t="n">
        <v>4324.501337715751</v>
      </c>
    </row>
    <row r="152">
      <c r="E152" s="4" t="n">
        <v>50221</v>
      </c>
      <c r="F152" s="33" t="n">
        <v>5656.610226633515</v>
      </c>
      <c r="I152" s="33" t="n">
        <v>-1284.058874054253</v>
      </c>
      <c r="J152" s="33" t="n">
        <v>4372.551352579261</v>
      </c>
    </row>
    <row r="153">
      <c r="E153" s="4" t="n">
        <v>50313</v>
      </c>
      <c r="F153" s="33" t="n">
        <v>5718.770778574542</v>
      </c>
      <c r="I153" s="33" t="n">
        <v>-1298.169411131772</v>
      </c>
      <c r="J153" s="33" t="n">
        <v>4420.60136744277</v>
      </c>
    </row>
    <row r="154">
      <c r="E154" s="4" t="n">
        <v>50405</v>
      </c>
      <c r="F154" s="33" t="n">
        <v>5701.614466238818</v>
      </c>
      <c r="I154" s="33" t="n">
        <v>-1296.714929622719</v>
      </c>
      <c r="J154" s="33" t="n">
        <v>4404.899536616099</v>
      </c>
    </row>
    <row r="155">
      <c r="E155" s="4" t="n">
        <v>50495</v>
      </c>
      <c r="F155" s="33" t="n">
        <v>5633.442988925093</v>
      </c>
      <c r="I155" s="33" t="n">
        <v>-1298.477463354365</v>
      </c>
      <c r="J155" s="33" t="n">
        <v>4334.965525570728</v>
      </c>
    </row>
    <row r="156">
      <c r="E156" s="4" t="n">
        <v>50586</v>
      </c>
      <c r="F156" s="33" t="n">
        <v>5696.036799913149</v>
      </c>
      <c r="I156" s="33" t="n">
        <v>-1312.904990724969</v>
      </c>
      <c r="J156" s="33" t="n">
        <v>4383.131809188181</v>
      </c>
    </row>
    <row r="157">
      <c r="E157" s="4" t="n">
        <v>50678</v>
      </c>
      <c r="F157" s="33" t="n">
        <v>5758.630610901206</v>
      </c>
      <c r="I157" s="33" t="n">
        <v>-1327.332518095573</v>
      </c>
      <c r="J157" s="33" t="n">
        <v>4431.298092805633</v>
      </c>
    </row>
    <row r="158">
      <c r="E158" s="4" t="n">
        <v>50770</v>
      </c>
      <c r="F158" s="33" t="n">
        <v>5741.354719068502</v>
      </c>
      <c r="I158" s="33" t="n">
        <v>-1325.851547933737</v>
      </c>
      <c r="J158" s="33" t="n">
        <v>4415.503171134766</v>
      </c>
    </row>
    <row r="159">
      <c r="E159" s="4" t="n">
        <v>50860</v>
      </c>
      <c r="F159" s="33" t="n">
        <v>5672.708086557899</v>
      </c>
      <c r="I159" s="33" t="n">
        <v>-1327.680982056066</v>
      </c>
      <c r="J159" s="33" t="n">
        <v>4345.027104501833</v>
      </c>
    </row>
    <row r="160">
      <c r="E160" s="4" t="n">
        <v>50951</v>
      </c>
      <c r="F160" s="33" t="n">
        <v>5735.738176408543</v>
      </c>
      <c r="I160" s="33" t="n">
        <v>-1342.4329929678</v>
      </c>
      <c r="J160" s="33" t="n">
        <v>4393.305183440743</v>
      </c>
    </row>
    <row r="161">
      <c r="E161" s="4" t="n">
        <v>51043</v>
      </c>
      <c r="F161" s="33" t="n">
        <v>5798.768266259187</v>
      </c>
      <c r="I161" s="33" t="n">
        <v>-1357.185003879534</v>
      </c>
      <c r="J161" s="33" t="n">
        <v>4441.583262379652</v>
      </c>
    </row>
    <row r="162">
      <c r="E162" s="4" t="n">
        <v>51135</v>
      </c>
      <c r="F162" s="33" t="n">
        <v>5781.37196146041</v>
      </c>
      <c r="I162" s="33" t="n">
        <v>-1355.677001945158</v>
      </c>
      <c r="J162" s="33" t="n">
        <v>4425.694959515252</v>
      </c>
    </row>
    <row r="163">
      <c r="E163" s="4" t="n">
        <v>51226</v>
      </c>
      <c r="F163" s="33" t="n">
        <v>5775.716271498111</v>
      </c>
      <c r="I163" s="33" t="n">
        <v>-1372.659290766554</v>
      </c>
      <c r="J163" s="33" t="n">
        <v>4403.056980731558</v>
      </c>
    </row>
    <row r="164">
      <c r="E164" s="4" t="n">
        <v>51317</v>
      </c>
      <c r="F164" s="33" t="n">
        <v>5775.716271498111</v>
      </c>
      <c r="I164" s="33" t="n">
        <v>-1372.659290766554</v>
      </c>
      <c r="J164" s="33" t="n">
        <v>4403.056980731558</v>
      </c>
    </row>
    <row r="165">
      <c r="E165" s="4" t="n">
        <v>51409</v>
      </c>
      <c r="F165" s="33" t="n">
        <v>5839.185681075013</v>
      </c>
      <c r="I165" s="33" t="n">
        <v>-1387.743458796955</v>
      </c>
      <c r="J165" s="33" t="n">
        <v>4451.442222278058</v>
      </c>
    </row>
    <row r="166">
      <c r="E166" s="4" t="n">
        <v>51501</v>
      </c>
      <c r="F166" s="33" t="n">
        <v>5821.668124031788</v>
      </c>
      <c r="I166" s="33" t="n">
        <v>-1386.207870324758</v>
      </c>
      <c r="J166" s="33" t="n">
        <v>4435.46025370703</v>
      </c>
    </row>
    <row r="167">
      <c r="E167" s="4" t="n">
        <v>51591</v>
      </c>
      <c r="F167" s="33" t="n">
        <v>5752.061222548798</v>
      </c>
      <c r="I167" s="33" t="n">
        <v>-1388.176508516785</v>
      </c>
      <c r="J167" s="33" t="n">
        <v>4363.884714032013</v>
      </c>
    </row>
    <row r="168">
      <c r="E168" s="4" t="n">
        <v>51682</v>
      </c>
      <c r="F168" s="33" t="n">
        <v>5815.973013910453</v>
      </c>
      <c r="I168" s="33" t="n">
        <v>-1403.60069194475</v>
      </c>
      <c r="J168" s="33" t="n">
        <v>4412.372321965703</v>
      </c>
    </row>
    <row r="169">
      <c r="E169" s="4" t="n">
        <v>51774</v>
      </c>
      <c r="F169" s="33" t="n">
        <v>5879.884805272106</v>
      </c>
      <c r="I169" s="33" t="n">
        <v>-1419.024875372714</v>
      </c>
      <c r="J169" s="33" t="n">
        <v>4460.859929899392</v>
      </c>
    </row>
    <row r="170">
      <c r="E170" s="4" t="n">
        <v>51866</v>
      </c>
      <c r="F170" s="33" t="n">
        <v>5862.24515085629</v>
      </c>
      <c r="I170" s="33" t="n">
        <v>-1417.461133698394</v>
      </c>
      <c r="J170" s="33" t="n">
        <v>4444.784017157896</v>
      </c>
    </row>
    <row r="171">
      <c r="E171" s="4" t="n">
        <v>51956</v>
      </c>
      <c r="F171" s="33" t="n">
        <v>5792.153089269964</v>
      </c>
      <c r="I171" s="33" t="n">
        <v>-1419.50216556633</v>
      </c>
      <c r="J171" s="33" t="n">
        <v>4372.650923703633</v>
      </c>
    </row>
    <row r="172">
      <c r="E172" s="4" t="n">
        <v>52047</v>
      </c>
      <c r="F172" s="33" t="n">
        <v>5856.510345817409</v>
      </c>
      <c r="I172" s="33" t="n">
        <v>-1435.274411850401</v>
      </c>
      <c r="J172" s="33" t="n">
        <v>4421.235933967007</v>
      </c>
    </row>
    <row r="173">
      <c r="E173" s="4" t="n">
        <v>52139</v>
      </c>
      <c r="F173" s="33" t="n">
        <v>5920.867602364852</v>
      </c>
      <c r="I173" s="33" t="n">
        <v>-1451.046658134471</v>
      </c>
      <c r="J173" s="33" t="n">
        <v>4469.820944230381</v>
      </c>
    </row>
    <row r="174">
      <c r="E174" s="4" t="n">
        <v>52231</v>
      </c>
      <c r="F174" s="33" t="n">
        <v>5903.104999557758</v>
      </c>
      <c r="I174" s="33" t="n">
        <v>-1449.454184435662</v>
      </c>
      <c r="J174" s="33" t="n">
        <v>4453.650815122096</v>
      </c>
    </row>
    <row r="175">
      <c r="E175" s="4" t="n">
        <v>52321</v>
      </c>
      <c r="F175" s="33" t="n">
        <v>5832.524396302177</v>
      </c>
      <c r="I175" s="33" t="n">
        <v>-1451.569532911574</v>
      </c>
      <c r="J175" s="33" t="n">
        <v>4380.954863390603</v>
      </c>
    </row>
    <row r="176">
      <c r="E176" s="4" t="n">
        <v>52412</v>
      </c>
      <c r="F176" s="33" t="n">
        <v>5897.330222927757</v>
      </c>
      <c r="I176" s="33" t="n">
        <v>-1467.698083277258</v>
      </c>
      <c r="J176" s="33" t="n">
        <v>4429.632139650499</v>
      </c>
    </row>
    <row r="177">
      <c r="E177" s="4" t="n">
        <v>52504</v>
      </c>
      <c r="F177" s="33" t="n">
        <v>5962.136049553335</v>
      </c>
      <c r="I177" s="33" t="n">
        <v>-1483.826633642943</v>
      </c>
      <c r="J177" s="33" t="n">
        <v>4478.309415910393</v>
      </c>
    </row>
    <row r="178">
      <c r="E178" s="4" t="n">
        <v>52596</v>
      </c>
      <c r="F178" s="33" t="n">
        <v>5944.249641404676</v>
      </c>
      <c r="I178" s="33" t="n">
        <v>-1482.204836674497</v>
      </c>
      <c r="J178" s="33" t="n">
        <v>4462.04480473018</v>
      </c>
    </row>
    <row r="179">
      <c r="E179" s="4" t="n">
        <v>52687</v>
      </c>
      <c r="F179" s="33" t="n">
        <v>5938.434614581563</v>
      </c>
      <c r="I179" s="33" t="n">
        <v>-1500.889766628313</v>
      </c>
      <c r="J179" s="33" t="n">
        <v>4437.544847953251</v>
      </c>
    </row>
    <row r="180">
      <c r="E180" s="4" t="n">
        <v>52778</v>
      </c>
      <c r="F180" s="33" t="n">
        <v>5938.434614581563</v>
      </c>
      <c r="I180" s="33" t="n">
        <v>-1500.889766628313</v>
      </c>
      <c r="J180" s="33" t="n">
        <v>4437.544847953251</v>
      </c>
    </row>
    <row r="181">
      <c r="E181" s="4" t="n">
        <v>52870</v>
      </c>
      <c r="F181" s="33" t="n">
        <v>6003.692137818723</v>
      </c>
      <c r="I181" s="33" t="n">
        <v>-1517.383060767086</v>
      </c>
      <c r="J181" s="33" t="n">
        <v>4486.309077051637</v>
      </c>
    </row>
    <row r="182">
      <c r="E182" s="4" t="n">
        <v>52962</v>
      </c>
      <c r="F182" s="33" t="n">
        <v>5985.681061405267</v>
      </c>
      <c r="I182" s="33" t="n">
        <v>-1515.73133659058</v>
      </c>
      <c r="J182" s="33" t="n">
        <v>4469.949724814686</v>
      </c>
    </row>
    <row r="183">
      <c r="E183" s="4" t="n">
        <v>53052</v>
      </c>
      <c r="F183" s="33" t="n">
        <v>5914.113135671073</v>
      </c>
      <c r="I183" s="33" t="n">
        <v>-1518.001279444766</v>
      </c>
      <c r="J183" s="33" t="n">
        <v>4396.111856226306</v>
      </c>
    </row>
    <row r="184">
      <c r="E184" s="4" t="n">
        <v>53143</v>
      </c>
      <c r="F184" s="33" t="n">
        <v>5979.825503845196</v>
      </c>
      <c r="I184" s="33" t="n">
        <v>-1534.867960327486</v>
      </c>
      <c r="J184" s="33" t="n">
        <v>4444.95754351771</v>
      </c>
    </row>
    <row r="185">
      <c r="E185" s="4" t="n">
        <v>53235</v>
      </c>
      <c r="F185" s="33" t="n">
        <v>6045.537872019319</v>
      </c>
      <c r="I185" s="33" t="n">
        <v>-1551.734641210206</v>
      </c>
      <c r="J185" s="33" t="n">
        <v>4493.803230809113</v>
      </c>
    </row>
    <row r="186">
      <c r="E186" s="4" t="n">
        <v>53327</v>
      </c>
      <c r="F186" s="33" t="n">
        <v>6027.401258403263</v>
      </c>
      <c r="I186" s="33" t="n">
        <v>-1550.052372917516</v>
      </c>
      <c r="J186" s="33" t="n">
        <v>4477.348885485748</v>
      </c>
    </row>
    <row r="187">
      <c r="E187" s="4" t="n">
        <v>53417</v>
      </c>
      <c r="F187" s="33" t="n">
        <v>5955.3345042267</v>
      </c>
      <c r="I187" s="33" t="n">
        <v>-1552.402692678045</v>
      </c>
      <c r="J187" s="33" t="n">
        <v>4402.931811548656</v>
      </c>
    </row>
    <row r="188">
      <c r="E188" s="4" t="n">
        <v>53508</v>
      </c>
      <c r="F188" s="33" t="n">
        <v>6021.504887606997</v>
      </c>
      <c r="I188" s="33" t="n">
        <v>-1569.651611485579</v>
      </c>
      <c r="J188" s="33" t="n">
        <v>4451.853276121419</v>
      </c>
    </row>
    <row r="189">
      <c r="E189" s="4" t="n">
        <v>53600</v>
      </c>
      <c r="F189" s="33" t="n">
        <v>6087.675270987294</v>
      </c>
      <c r="I189" s="33" t="n">
        <v>-1586.900530293112</v>
      </c>
      <c r="J189" s="33" t="n">
        <v>4500.774740694182</v>
      </c>
    </row>
    <row r="190">
      <c r="E190" s="4" t="n">
        <v>53692</v>
      </c>
      <c r="F190" s="33" t="n">
        <v>6069.412245174332</v>
      </c>
      <c r="I190" s="33" t="n">
        <v>-1585.187087723947</v>
      </c>
      <c r="J190" s="33" t="n">
        <v>4484.225157450385</v>
      </c>
    </row>
    <row r="191">
      <c r="E191" s="4" t="n">
        <v>53782</v>
      </c>
      <c r="F191" s="33" t="n">
        <v>5996.84318572116</v>
      </c>
      <c r="I191" s="33" t="n">
        <v>-1587.619905652791</v>
      </c>
      <c r="J191" s="33" t="n">
        <v>4409.223280068369</v>
      </c>
    </row>
    <row r="192">
      <c r="E192" s="4" t="n">
        <v>53873</v>
      </c>
      <c r="F192" s="33" t="n">
        <v>6063.474776673618</v>
      </c>
      <c r="I192" s="33" t="n">
        <v>-1605.260126826712</v>
      </c>
      <c r="J192" s="33" t="n">
        <v>4458.214649846906</v>
      </c>
    </row>
    <row r="193">
      <c r="E193" s="4" t="n">
        <v>53965</v>
      </c>
      <c r="F193" s="33" t="n">
        <v>6130.106367626076</v>
      </c>
      <c r="I193" s="33" t="n">
        <v>-1622.900348000632</v>
      </c>
      <c r="J193" s="33" t="n">
        <v>4507.206019625444</v>
      </c>
    </row>
    <row r="194">
      <c r="E194" s="4" t="n">
        <v>54057</v>
      </c>
      <c r="F194" s="33" t="n">
        <v>6111.716048523198</v>
      </c>
      <c r="I194" s="33" t="n">
        <v>-1621.155087453886</v>
      </c>
      <c r="J194" s="33" t="n">
        <v>4490.560961069311</v>
      </c>
    </row>
    <row r="195">
      <c r="E195" s="4" t="n">
        <v>54148</v>
      </c>
      <c r="F195" s="33" t="n">
        <v>6105.737195867033</v>
      </c>
      <c r="I195" s="33" t="n">
        <v>-1641.71338388163</v>
      </c>
      <c r="J195" s="33" t="n">
        <v>4464.023811985402</v>
      </c>
    </row>
    <row r="196">
      <c r="E196" s="4" t="n">
        <v>54239</v>
      </c>
      <c r="F196" s="33" t="n">
        <v>6105.737195867033</v>
      </c>
      <c r="I196" s="33" t="n">
        <v>-1641.71338388163</v>
      </c>
      <c r="J196" s="33" t="n">
        <v>4464.023811985402</v>
      </c>
    </row>
    <row r="197">
      <c r="E197" s="4" t="n">
        <v>54331</v>
      </c>
      <c r="F197" s="33" t="n">
        <v>6172.83320900843</v>
      </c>
      <c r="I197" s="33" t="n">
        <v>-1659.754190297912</v>
      </c>
      <c r="J197" s="33" t="n">
        <v>4513.079018710518</v>
      </c>
    </row>
    <row r="198">
      <c r="E198" s="4" t="n">
        <v>54423</v>
      </c>
      <c r="F198" s="33" t="n">
        <v>6154.314709381403</v>
      </c>
      <c r="I198" s="33" t="n">
        <v>-1657.976454236707</v>
      </c>
      <c r="J198" s="33" t="n">
        <v>4496.338255144697</v>
      </c>
    </row>
    <row r="199">
      <c r="E199" s="4" t="n">
        <v>54513</v>
      </c>
      <c r="F199" s="33" t="n">
        <v>6080.730511769234</v>
      </c>
      <c r="I199" s="33" t="n">
        <v>-1660.580844185677</v>
      </c>
      <c r="J199" s="33" t="n">
        <v>4420.149667583557</v>
      </c>
    </row>
    <row r="200">
      <c r="E200" s="4" t="n">
        <v>54604</v>
      </c>
      <c r="F200" s="33" t="n">
        <v>6148.294184122226</v>
      </c>
      <c r="I200" s="33" t="n">
        <v>-1679.031742454407</v>
      </c>
      <c r="J200" s="33" t="n">
        <v>4469.262441667819</v>
      </c>
    </row>
    <row r="201">
      <c r="E201" s="4" t="n">
        <v>54696</v>
      </c>
      <c r="F201" s="33" t="n">
        <v>6215.857856475218</v>
      </c>
      <c r="I201" s="33" t="n">
        <v>-1697.482640723137</v>
      </c>
      <c r="J201" s="33" t="n">
        <v>4518.37521575208</v>
      </c>
    </row>
    <row r="202">
      <c r="E202" s="4" t="n">
        <v>54788</v>
      </c>
      <c r="F202" s="33" t="n">
        <v>6197.210282905793</v>
      </c>
      <c r="I202" s="33" t="n">
        <v>-1695.671757473398</v>
      </c>
      <c r="J202" s="33" t="n">
        <v>4501.538525432395</v>
      </c>
    </row>
    <row r="203">
      <c r="E203" s="4" t="n">
        <v>54878</v>
      </c>
      <c r="F203" s="33" t="n">
        <v>6123.113203436265</v>
      </c>
      <c r="I203" s="33" t="n">
        <v>-1698.36533047507</v>
      </c>
      <c r="J203" s="33" t="n">
        <v>4424.747872961195</v>
      </c>
    </row>
    <row r="204">
      <c r="E204" s="4" t="n">
        <v>54969</v>
      </c>
      <c r="F204" s="33" t="n">
        <v>6191.147794585559</v>
      </c>
      <c r="I204" s="33" t="n">
        <v>-1717.236056369238</v>
      </c>
      <c r="J204" s="33" t="n">
        <v>4473.911738216321</v>
      </c>
    </row>
    <row r="205">
      <c r="E205" s="4" t="n">
        <v>55061</v>
      </c>
      <c r="F205" s="33" t="n">
        <v>6259.182385734851</v>
      </c>
      <c r="I205" s="33" t="n">
        <v>-1736.106782263405</v>
      </c>
      <c r="J205" s="33" t="n">
        <v>4523.075603471446</v>
      </c>
    </row>
    <row r="206">
      <c r="E206" s="4" t="n">
        <v>55153</v>
      </c>
      <c r="F206" s="33" t="n">
        <v>6240.404838577646</v>
      </c>
      <c r="I206" s="33" t="n">
        <v>-1734.262065705856</v>
      </c>
      <c r="J206" s="33" t="n">
        <v>4506.14277287179</v>
      </c>
    </row>
    <row r="207">
      <c r="E207" s="4" t="n">
        <v>55243</v>
      </c>
      <c r="F207" s="33" t="n">
        <v>6165.791302464217</v>
      </c>
      <c r="I207" s="33" t="n">
        <v>-1737.047161487662</v>
      </c>
      <c r="J207" s="33" t="n">
        <v>4428.744140976554</v>
      </c>
    </row>
    <row r="208">
      <c r="E208" s="4" t="n">
        <v>55334</v>
      </c>
      <c r="F208" s="33" t="n">
        <v>6234.30009471382</v>
      </c>
      <c r="I208" s="33" t="n">
        <v>-1756.347685504192</v>
      </c>
      <c r="J208" s="33" t="n">
        <v>4477.952409209628</v>
      </c>
    </row>
    <row r="209">
      <c r="E209" s="4" t="n">
        <v>55426</v>
      </c>
      <c r="F209" s="33" t="n">
        <v>6302.808886963423</v>
      </c>
      <c r="I209" s="33" t="n">
        <v>-1775.648209520721</v>
      </c>
      <c r="J209" s="33" t="n">
        <v>4527.160677442702</v>
      </c>
    </row>
    <row r="210">
      <c r="E210" s="4" t="n">
        <v>55518</v>
      </c>
      <c r="F210" s="33" t="n">
        <v>6283.900460302532</v>
      </c>
      <c r="I210" s="33" t="n">
        <v>-1773.768958776131</v>
      </c>
      <c r="J210" s="33" t="n">
        <v>4510.131501526402</v>
      </c>
    </row>
    <row r="211">
      <c r="E211" s="4" t="n">
        <v>55609</v>
      </c>
      <c r="F211" s="33" t="n">
        <v>6277.753166373976</v>
      </c>
      <c r="I211" s="33" t="n">
        <v>-1796.388508118942</v>
      </c>
      <c r="J211" s="33" t="n">
        <v>4481.364658255034</v>
      </c>
    </row>
    <row r="212">
      <c r="E212" s="4" t="n">
        <v>55700</v>
      </c>
      <c r="F212" s="33" t="n">
        <v>6277.753166373976</v>
      </c>
      <c r="I212" s="33" t="n">
        <v>-1796.388508118942</v>
      </c>
      <c r="J212" s="33" t="n">
        <v>4481.364658255034</v>
      </c>
    </row>
    <row r="213">
      <c r="E213" s="4" t="n">
        <v>55792</v>
      </c>
      <c r="F213" s="33" t="n">
        <v>6346.739464905558</v>
      </c>
      <c r="I213" s="33" t="n">
        <v>-1816.129041175194</v>
      </c>
      <c r="J213" s="33" t="n">
        <v>4530.610423730363</v>
      </c>
    </row>
    <row r="214">
      <c r="E214" s="4" t="n">
        <v>55884</v>
      </c>
      <c r="F214" s="33" t="n">
        <v>6327.699246510841</v>
      </c>
      <c r="I214" s="33" t="n">
        <v>-1814.21454028274</v>
      </c>
      <c r="J214" s="33" t="n">
        <v>4513.484706228101</v>
      </c>
    </row>
    <row r="215">
      <c r="E215" s="4" t="n">
        <v>55974</v>
      </c>
      <c r="F215" s="33" t="n">
        <v>6252.041972911254</v>
      </c>
      <c r="I215" s="33" t="n">
        <v>-1817.189934214619</v>
      </c>
      <c r="J215" s="33" t="n">
        <v>4434.852038696635</v>
      </c>
    </row>
    <row r="216">
      <c r="E216" s="4" t="n">
        <v>56065</v>
      </c>
      <c r="F216" s="33" t="n">
        <v>6321.509105943602</v>
      </c>
      <c r="I216" s="33" t="n">
        <v>-1837.380933483671</v>
      </c>
      <c r="J216" s="33" t="n">
        <v>4484.12817245993</v>
      </c>
    </row>
    <row r="217">
      <c r="E217" s="4" t="n">
        <v>56157</v>
      </c>
      <c r="F217" s="33" t="n">
        <v>6390.976238975949</v>
      </c>
      <c r="I217" s="33" t="n">
        <v>-1857.571932752722</v>
      </c>
      <c r="J217" s="33" t="n">
        <v>4533.404306223227</v>
      </c>
    </row>
    <row r="218">
      <c r="E218" s="4" t="n">
        <v>56249</v>
      </c>
      <c r="F218" s="33" t="n">
        <v>6371.803310259021</v>
      </c>
      <c r="I218" s="33" t="n">
        <v>-1855.621450341312</v>
      </c>
      <c r="J218" s="33" t="n">
        <v>4516.181859917709</v>
      </c>
    </row>
    <row r="219">
      <c r="E219" s="4" t="n">
        <v>56339</v>
      </c>
      <c r="F219" s="33" t="n">
        <v>6295.618705462444</v>
      </c>
      <c r="I219" s="33" t="n">
        <v>-1858.695739928442</v>
      </c>
      <c r="J219" s="33" t="n">
        <v>4436.922965534001</v>
      </c>
    </row>
    <row r="220">
      <c r="E220" s="4" t="n">
        <v>56430</v>
      </c>
      <c r="F220" s="33" t="n">
        <v>6365.570024412027</v>
      </c>
      <c r="I220" s="33" t="n">
        <v>-1879.347914816537</v>
      </c>
      <c r="J220" s="33" t="n">
        <v>4486.22210959549</v>
      </c>
    </row>
    <row r="221">
      <c r="E221" s="4" t="n">
        <v>56522</v>
      </c>
      <c r="F221" s="33" t="n">
        <v>6435.521343361612</v>
      </c>
      <c r="I221" s="33" t="n">
        <v>-1900.000089704631</v>
      </c>
      <c r="J221" s="33" t="n">
        <v>4535.521253656981</v>
      </c>
    </row>
    <row r="222">
      <c r="E222" s="4" t="n">
        <v>56614</v>
      </c>
      <c r="F222" s="33" t="n">
        <v>6416.214779331527</v>
      </c>
      <c r="I222" s="33" t="n">
        <v>-1898.012878657036</v>
      </c>
      <c r="J222" s="33" t="n">
        <v>4518.201900674491</v>
      </c>
    </row>
    <row r="223">
      <c r="E223" s="4" t="n">
        <v>56704</v>
      </c>
      <c r="F223" s="33" t="n">
        <v>6339.49916783952</v>
      </c>
      <c r="I223" s="33" t="n">
        <v>-1901.188644267607</v>
      </c>
      <c r="J223" s="33" t="n">
        <v>4438.310523571912</v>
      </c>
    </row>
    <row r="224">
      <c r="E224" s="4" t="n">
        <v>56795</v>
      </c>
      <c r="F224" s="33" t="n">
        <v>6409.938047482181</v>
      </c>
      <c r="I224" s="33" t="n">
        <v>-1922.312962537248</v>
      </c>
      <c r="J224" s="33" t="n">
        <v>4487.625084944933</v>
      </c>
    </row>
    <row r="225">
      <c r="E225" s="4" t="n">
        <v>56887</v>
      </c>
      <c r="F225" s="33" t="n">
        <v>6480.376927124842</v>
      </c>
      <c r="I225" s="33" t="n">
        <v>-1943.437280806888</v>
      </c>
      <c r="J225" s="33" t="n">
        <v>4536.939646317955</v>
      </c>
    </row>
    <row r="226">
      <c r="E226" s="4" t="n">
        <v>56979</v>
      </c>
      <c r="F226" s="33" t="n">
        <v>6460.935796343467</v>
      </c>
      <c r="I226" s="33" t="n">
        <v>-1941.412577916524</v>
      </c>
      <c r="J226" s="33" t="n">
        <v>4519.523218426942</v>
      </c>
    </row>
    <row r="227">
      <c r="E227" s="4" t="n">
        <v>57070</v>
      </c>
      <c r="F227" s="33" t="n">
        <v>6454.615315673131</v>
      </c>
      <c r="I227" s="33" t="n">
        <v>-1966.300157844495</v>
      </c>
      <c r="J227" s="33" t="n">
        <v>4488.315157828636</v>
      </c>
    </row>
    <row r="228">
      <c r="E228" s="4" t="n">
        <v>57161</v>
      </c>
      <c r="F228" s="33" t="n">
        <v>6454.615315673131</v>
      </c>
      <c r="I228" s="33" t="n">
        <v>-1966.300157844495</v>
      </c>
      <c r="J228" s="33" t="n">
        <v>4488.315157828636</v>
      </c>
    </row>
    <row r="229">
      <c r="E229" s="4" t="n">
        <v>57253</v>
      </c>
      <c r="F229" s="33" t="n">
        <v>6525.545154306901</v>
      </c>
      <c r="I229" s="33" t="n">
        <v>-1987.907851886742</v>
      </c>
      <c r="J229" s="33" t="n">
        <v>4537.637302420159</v>
      </c>
    </row>
    <row r="230">
      <c r="E230" s="4" t="n">
        <v>57345</v>
      </c>
      <c r="F230" s="33" t="n">
        <v>6505.968518843982</v>
      </c>
      <c r="I230" s="33" t="n">
        <v>-1985.844877506941</v>
      </c>
      <c r="J230" s="33" t="n">
        <v>4520.123641337041</v>
      </c>
    </row>
    <row r="231">
      <c r="E231" s="4" t="n">
        <v>57435</v>
      </c>
      <c r="F231" s="33" t="n">
        <v>6428.179764814325</v>
      </c>
      <c r="I231" s="33" t="n">
        <v>-1989.231593365554</v>
      </c>
      <c r="J231" s="33" t="n">
        <v>4438.94817144877</v>
      </c>
    </row>
    <row r="232">
      <c r="E232" s="4" t="n">
        <v>57526</v>
      </c>
      <c r="F232" s="33" t="n">
        <v>6499.603984423374</v>
      </c>
      <c r="I232" s="33" t="n">
        <v>-2011.334166625172</v>
      </c>
      <c r="J232" s="33" t="n">
        <v>4488.269817798202</v>
      </c>
    </row>
    <row r="233">
      <c r="E233" s="4" t="n">
        <v>57618</v>
      </c>
      <c r="F233" s="33" t="n">
        <v>6571.028204032422</v>
      </c>
      <c r="I233" s="33" t="n">
        <v>-2033.436739884789</v>
      </c>
      <c r="J233" s="33" t="n">
        <v>4537.591464147633</v>
      </c>
    </row>
    <row r="234">
      <c r="E234" s="4" t="n">
        <v>57710</v>
      </c>
      <c r="F234" s="33" t="n">
        <v>6551.315119420325</v>
      </c>
      <c r="I234" s="33" t="n">
        <v>-2031.33469757039</v>
      </c>
      <c r="J234" s="33" t="n">
        <v>4519.980421849935</v>
      </c>
    </row>
    <row r="235">
      <c r="E235" s="4" t="n">
        <v>57800</v>
      </c>
      <c r="F235" s="33" t="n">
        <v>6472.984177775083</v>
      </c>
      <c r="I235" s="33" t="n">
        <v>-2034.831020146329</v>
      </c>
      <c r="J235" s="33" t="n">
        <v>4438.153157628753</v>
      </c>
    </row>
    <row r="236">
      <c r="E236" s="4" t="n">
        <v>57891</v>
      </c>
      <c r="F236" s="33" t="n">
        <v>6544.906224194805</v>
      </c>
      <c r="I236" s="33" t="n">
        <v>-2057.440253703511</v>
      </c>
      <c r="J236" s="33" t="n">
        <v>4487.465970491294</v>
      </c>
    </row>
    <row r="237">
      <c r="E237" s="4" t="n">
        <v>57983</v>
      </c>
      <c r="F237" s="33" t="n">
        <v>6616.828270614528</v>
      </c>
      <c r="I237" s="33" t="n">
        <v>-2080.049487260693</v>
      </c>
      <c r="J237" s="33" t="n">
        <v>4536.778783353835</v>
      </c>
    </row>
    <row r="238">
      <c r="E238" s="4" t="n">
        <v>58075</v>
      </c>
      <c r="F238" s="33" t="n">
        <v>6596.977785802685</v>
      </c>
      <c r="I238" s="33" t="n">
        <v>-2077.907563401797</v>
      </c>
      <c r="J238" s="33" t="n">
        <v>4519.070222400887</v>
      </c>
    </row>
    <row r="239">
      <c r="E239" s="4" t="n">
        <v>58165</v>
      </c>
      <c r="F239" s="33" t="n">
        <v>6518.100877494173</v>
      </c>
      <c r="I239" s="33" t="n">
        <v>-2081.516338125954</v>
      </c>
      <c r="J239" s="33" t="n">
        <v>4436.58453936822</v>
      </c>
    </row>
    <row r="240">
      <c r="E240" s="4" t="n">
        <v>58256</v>
      </c>
      <c r="F240" s="33" t="n">
        <v>6590.524220577441</v>
      </c>
      <c r="I240" s="33" t="n">
        <v>-2104.644297438464</v>
      </c>
      <c r="J240" s="33" t="n">
        <v>4485.879923138977</v>
      </c>
    </row>
    <row r="241">
      <c r="E241" s="4" t="n">
        <v>58348</v>
      </c>
      <c r="F241" s="33" t="n">
        <v>6662.947563660711</v>
      </c>
      <c r="I241" s="33" t="n">
        <v>-2127.772256750975</v>
      </c>
      <c r="J241" s="33" t="n">
        <v>4535.175306909736</v>
      </c>
    </row>
    <row r="242">
      <c r="E242" s="4" t="n">
        <v>58440</v>
      </c>
      <c r="F242" s="33" t="n">
        <v>6642.958720969728</v>
      </c>
      <c r="I242" s="33" t="n">
        <v>-2125.589620198681</v>
      </c>
      <c r="J242" s="33" t="n">
        <v>4517.369100771048</v>
      </c>
    </row>
    <row r="243">
      <c r="E243" s="4" t="n">
        <v>58531</v>
      </c>
      <c r="F243" s="33" t="n">
        <v>6636.460174394866</v>
      </c>
      <c r="I243" s="33" t="n">
        <v>-2152.972804677855</v>
      </c>
      <c r="J243" s="33" t="n">
        <v>4483.487369717011</v>
      </c>
    </row>
    <row r="244">
      <c r="E244" s="4" t="n">
        <v>58622</v>
      </c>
      <c r="F244" s="33" t="n">
        <v>6636.460174394866</v>
      </c>
      <c r="I244" s="33" t="n">
        <v>-2152.972804677855</v>
      </c>
      <c r="J244" s="33" t="n">
        <v>4483.487369717011</v>
      </c>
    </row>
    <row r="245">
      <c r="E245" s="4" t="n">
        <v>58714</v>
      </c>
      <c r="F245" s="33" t="n">
        <v>6709.388308179426</v>
      </c>
      <c r="I245" s="33" t="n">
        <v>-2176.631846487501</v>
      </c>
      <c r="J245" s="33" t="n">
        <v>4532.756461691924</v>
      </c>
    </row>
    <row r="246">
      <c r="E246" s="4" t="n">
        <v>58806</v>
      </c>
      <c r="F246" s="33" t="n">
        <v>6689.260143254887</v>
      </c>
      <c r="I246" s="33" t="n">
        <v>-2174.407648171446</v>
      </c>
      <c r="J246" s="33" t="n">
        <v>4514.852495083441</v>
      </c>
    </row>
    <row r="247">
      <c r="E247" s="4" t="n">
        <v>58896</v>
      </c>
      <c r="F247" s="33" t="n">
        <v>6609.279858933362</v>
      </c>
      <c r="I247" s="33" t="n">
        <v>-2178.250146670597</v>
      </c>
      <c r="J247" s="33" t="n">
        <v>4431.029712262763</v>
      </c>
    </row>
    <row r="248">
      <c r="E248" s="4" t="n">
        <v>58987</v>
      </c>
      <c r="F248" s="33" t="n">
        <v>6682.716301810398</v>
      </c>
      <c r="I248" s="33" t="n">
        <v>-2202.452926078048</v>
      </c>
      <c r="J248" s="33" t="n">
        <v>4480.26337573235</v>
      </c>
    </row>
    <row r="249">
      <c r="E249" s="4" t="n">
        <v>59079</v>
      </c>
      <c r="F249" s="33" t="n">
        <v>6756.152744687436</v>
      </c>
      <c r="I249" s="33" t="n">
        <v>-2226.6557054855</v>
      </c>
      <c r="J249" s="33" t="n">
        <v>4529.497039201937</v>
      </c>
    </row>
    <row r="251">
      <c r="C251" s="11" t="inlineStr">
        <is>
          <t>***END***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N64"/>
  <sheetViews>
    <sheetView showGridLines="0" workbookViewId="0">
      <pane xSplit="9" ySplit="9" topLeftCell="J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" customWidth="1" min="2" max="2"/>
    <col width="40" customWidth="1" min="3" max="3"/>
    <col width="10" customWidth="1" min="4" max="4"/>
    <col width="12" customWidth="1" min="5" max="5"/>
    <col width="12" customWidth="1" min="6" max="6"/>
    <col width="2" customWidth="1" min="7" max="7"/>
    <col width="2" customWidth="1" min="8" max="8"/>
    <col width="1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hidden="1" outlineLevel="1" width="13" customWidth="1" min="41" max="16384"/>
  </cols>
  <sheetData>
    <row r="2">
      <c r="A2" s="1" t="n"/>
      <c r="B2" s="1">
        <f>Cover!$C$3&amp;" – Calculations"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</row>
    <row r="3">
      <c r="C3" t="inlineStr">
        <is>
          <t>Period start</t>
        </is>
      </c>
      <c r="D3" s="15" t="inlineStr">
        <is>
          <t>date</t>
        </is>
      </c>
      <c r="J3" s="28">
        <f>I$4+1</f>
        <v/>
      </c>
      <c r="K3" s="28">
        <f>J$4+1</f>
        <v/>
      </c>
      <c r="L3" s="28">
        <f>K$4+1</f>
        <v/>
      </c>
      <c r="M3" s="28">
        <f>L$4+1</f>
        <v/>
      </c>
      <c r="N3" s="28">
        <f>M$4+1</f>
        <v/>
      </c>
      <c r="O3" s="28">
        <f>N$4+1</f>
        <v/>
      </c>
      <c r="P3" s="28">
        <f>O$4+1</f>
        <v/>
      </c>
      <c r="Q3" s="28">
        <f>P$4+1</f>
        <v/>
      </c>
      <c r="R3" s="28">
        <f>Q$4+1</f>
        <v/>
      </c>
      <c r="S3" s="28">
        <f>R$4+1</f>
        <v/>
      </c>
      <c r="T3" s="28">
        <f>S$4+1</f>
        <v/>
      </c>
      <c r="U3" s="28">
        <f>T$4+1</f>
        <v/>
      </c>
      <c r="V3" s="28">
        <f>U$4+1</f>
        <v/>
      </c>
      <c r="W3" s="28">
        <f>V$4+1</f>
        <v/>
      </c>
      <c r="X3" s="28">
        <f>W$4+1</f>
        <v/>
      </c>
      <c r="Y3" s="28">
        <f>X$4+1</f>
        <v/>
      </c>
      <c r="Z3" s="28">
        <f>Y$4+1</f>
        <v/>
      </c>
      <c r="AA3" s="28">
        <f>Z$4+1</f>
        <v/>
      </c>
      <c r="AB3" s="28">
        <f>AA$4+1</f>
        <v/>
      </c>
      <c r="AC3" s="28">
        <f>AB$4+1</f>
        <v/>
      </c>
      <c r="AD3" s="28">
        <f>AC$4+1</f>
        <v/>
      </c>
      <c r="AE3" s="28">
        <f>AD$4+1</f>
        <v/>
      </c>
      <c r="AF3" s="28">
        <f>AE$4+1</f>
        <v/>
      </c>
      <c r="AG3" s="28">
        <f>AF$4+1</f>
        <v/>
      </c>
      <c r="AH3" s="28">
        <f>AG$4+1</f>
        <v/>
      </c>
      <c r="AI3" s="28">
        <f>AH$4+1</f>
        <v/>
      </c>
      <c r="AJ3" s="28">
        <f>AI$4+1</f>
        <v/>
      </c>
      <c r="AK3" s="28">
        <f>AJ$4+1</f>
        <v/>
      </c>
      <c r="AL3" s="28">
        <f>AK$4+1</f>
        <v/>
      </c>
      <c r="AM3" s="28">
        <f>AL$4+1</f>
        <v/>
      </c>
      <c r="AN3" s="28">
        <f>AM$4+1</f>
        <v/>
      </c>
    </row>
    <row r="4">
      <c r="C4" t="inlineStr">
        <is>
          <t>Period end</t>
        </is>
      </c>
      <c r="D4" s="15" t="inlineStr">
        <is>
          <t>date</t>
        </is>
      </c>
      <c r="I4" s="28">
        <f>In_Model_Start-1</f>
        <v/>
      </c>
      <c r="J4" s="38">
        <f>EOMONTH(J$3,Months_Per_Period-1)</f>
        <v/>
      </c>
      <c r="K4" s="38">
        <f>EOMONTH(K$3,Months_Per_Period-1)</f>
        <v/>
      </c>
      <c r="L4" s="38">
        <f>EOMONTH(L$3,Months_Per_Period-1)</f>
        <v/>
      </c>
      <c r="M4" s="38">
        <f>EOMONTH(M$3,Months_Per_Period-1)</f>
        <v/>
      </c>
      <c r="N4" s="38">
        <f>EOMONTH(N$3,Months_Per_Period-1)</f>
        <v/>
      </c>
      <c r="O4" s="38">
        <f>EOMONTH(O$3,Months_Per_Period-1)</f>
        <v/>
      </c>
      <c r="P4" s="38">
        <f>EOMONTH(P$3,Months_Per_Period-1)</f>
        <v/>
      </c>
      <c r="Q4" s="38">
        <f>EOMONTH(Q$3,Months_Per_Period-1)</f>
        <v/>
      </c>
      <c r="R4" s="38">
        <f>EOMONTH(R$3,Months_Per_Period-1)</f>
        <v/>
      </c>
      <c r="S4" s="38">
        <f>EOMONTH(S$3,Months_Per_Period-1)</f>
        <v/>
      </c>
      <c r="T4" s="38">
        <f>EOMONTH(T$3,Months_Per_Period-1)</f>
        <v/>
      </c>
      <c r="U4" s="38">
        <f>EOMONTH(U$3,Months_Per_Period-1)</f>
        <v/>
      </c>
      <c r="V4" s="38">
        <f>EOMONTH(V$3,Months_Per_Period-1)</f>
        <v/>
      </c>
      <c r="W4" s="38">
        <f>EOMONTH(W$3,Months_Per_Period-1)</f>
        <v/>
      </c>
      <c r="X4" s="38">
        <f>EOMONTH(X$3,Months_Per_Period-1)</f>
        <v/>
      </c>
      <c r="Y4" s="38">
        <f>EOMONTH(Y$3,Months_Per_Period-1)</f>
        <v/>
      </c>
      <c r="Z4" s="38">
        <f>EOMONTH(Z$3,Months_Per_Period-1)</f>
        <v/>
      </c>
      <c r="AA4" s="38">
        <f>EOMONTH(AA$3,Months_Per_Period-1)</f>
        <v/>
      </c>
      <c r="AB4" s="38">
        <f>EOMONTH(AB$3,Months_Per_Period-1)</f>
        <v/>
      </c>
      <c r="AC4" s="38">
        <f>EOMONTH(AC$3,Months_Per_Period-1)</f>
        <v/>
      </c>
      <c r="AD4" s="38">
        <f>EOMONTH(AD$3,Months_Per_Period-1)</f>
        <v/>
      </c>
      <c r="AE4" s="38">
        <f>EOMONTH(AE$3,Months_Per_Period-1)</f>
        <v/>
      </c>
      <c r="AF4" s="38">
        <f>EOMONTH(AF$3,Months_Per_Period-1)</f>
        <v/>
      </c>
      <c r="AG4" s="38">
        <f>EOMONTH(AG$3,Months_Per_Period-1)</f>
        <v/>
      </c>
      <c r="AH4" s="38">
        <f>EOMONTH(AH$3,Months_Per_Period-1)</f>
        <v/>
      </c>
      <c r="AI4" s="38">
        <f>EOMONTH(AI$3,Months_Per_Period-1)</f>
        <v/>
      </c>
      <c r="AJ4" s="38">
        <f>EOMONTH(AJ$3,Months_Per_Period-1)</f>
        <v/>
      </c>
      <c r="AK4" s="38">
        <f>EOMONTH(AK$3,Months_Per_Period-1)</f>
        <v/>
      </c>
      <c r="AL4" s="38">
        <f>EOMONTH(AL$3,Months_Per_Period-1)</f>
        <v/>
      </c>
      <c r="AM4" s="38">
        <f>EOMONTH(AM$3,Months_Per_Period-1)</f>
        <v/>
      </c>
      <c r="AN4" s="38">
        <f>EOMONTH(AN$3,Months_Per_Period-1)</f>
        <v/>
      </c>
    </row>
    <row r="5">
      <c r="C5" t="inlineStr">
        <is>
          <t>Days in period</t>
        </is>
      </c>
      <c r="D5" s="15" t="inlineStr">
        <is>
          <t>days</t>
        </is>
      </c>
      <c r="J5" s="27">
        <f>J$4-J$3+1</f>
        <v/>
      </c>
      <c r="K5" s="27">
        <f>K$4-K$3+1</f>
        <v/>
      </c>
      <c r="L5" s="27">
        <f>L$4-L$3+1</f>
        <v/>
      </c>
      <c r="M5" s="27">
        <f>M$4-M$3+1</f>
        <v/>
      </c>
      <c r="N5" s="27">
        <f>N$4-N$3+1</f>
        <v/>
      </c>
      <c r="O5" s="27">
        <f>O$4-O$3+1</f>
        <v/>
      </c>
      <c r="P5" s="27">
        <f>P$4-P$3+1</f>
        <v/>
      </c>
      <c r="Q5" s="27">
        <f>Q$4-Q$3+1</f>
        <v/>
      </c>
      <c r="R5" s="27">
        <f>R$4-R$3+1</f>
        <v/>
      </c>
      <c r="S5" s="27">
        <f>S$4-S$3+1</f>
        <v/>
      </c>
      <c r="T5" s="27">
        <f>T$4-T$3+1</f>
        <v/>
      </c>
      <c r="U5" s="27">
        <f>U$4-U$3+1</f>
        <v/>
      </c>
      <c r="V5" s="27">
        <f>V$4-V$3+1</f>
        <v/>
      </c>
      <c r="W5" s="27">
        <f>W$4-W$3+1</f>
        <v/>
      </c>
      <c r="X5" s="27">
        <f>X$4-X$3+1</f>
        <v/>
      </c>
      <c r="Y5" s="27">
        <f>Y$4-Y$3+1</f>
        <v/>
      </c>
      <c r="Z5" s="27">
        <f>Z$4-Z$3+1</f>
        <v/>
      </c>
      <c r="AA5" s="27">
        <f>AA$4-AA$3+1</f>
        <v/>
      </c>
      <c r="AB5" s="27">
        <f>AB$4-AB$3+1</f>
        <v/>
      </c>
      <c r="AC5" s="27">
        <f>AC$4-AC$3+1</f>
        <v/>
      </c>
      <c r="AD5" s="27">
        <f>AD$4-AD$3+1</f>
        <v/>
      </c>
      <c r="AE5" s="27">
        <f>AE$4-AE$3+1</f>
        <v/>
      </c>
      <c r="AF5" s="27">
        <f>AF$4-AF$3+1</f>
        <v/>
      </c>
      <c r="AG5" s="27">
        <f>AG$4-AG$3+1</f>
        <v/>
      </c>
      <c r="AH5" s="27">
        <f>AH$4-AH$3+1</f>
        <v/>
      </c>
      <c r="AI5" s="27">
        <f>AI$4-AI$3+1</f>
        <v/>
      </c>
      <c r="AJ5" s="27">
        <f>AJ$4-AJ$3+1</f>
        <v/>
      </c>
      <c r="AK5" s="27">
        <f>AK$4-AK$3+1</f>
        <v/>
      </c>
      <c r="AL5" s="27">
        <f>AL$4-AL$3+1</f>
        <v/>
      </c>
      <c r="AM5" s="27">
        <f>AM$4-AM$3+1</f>
        <v/>
      </c>
      <c r="AN5" s="27">
        <f>AN$4-AN$3+1</f>
        <v/>
      </c>
    </row>
    <row r="6">
      <c r="C6" t="inlineStr">
        <is>
          <t>Year fraction</t>
        </is>
      </c>
      <c r="D6" s="15" t="inlineStr">
        <is>
          <t>factor</t>
        </is>
      </c>
      <c r="J6" s="39">
        <f>J$5/Days_In_Year</f>
        <v/>
      </c>
      <c r="K6" s="39">
        <f>K$5/Days_In_Year</f>
        <v/>
      </c>
      <c r="L6" s="39">
        <f>L$5/Days_In_Year</f>
        <v/>
      </c>
      <c r="M6" s="39">
        <f>M$5/Days_In_Year</f>
        <v/>
      </c>
      <c r="N6" s="39">
        <f>N$5/Days_In_Year</f>
        <v/>
      </c>
      <c r="O6" s="39">
        <f>O$5/Days_In_Year</f>
        <v/>
      </c>
      <c r="P6" s="39">
        <f>P$5/Days_In_Year</f>
        <v/>
      </c>
      <c r="Q6" s="39">
        <f>Q$5/Days_In_Year</f>
        <v/>
      </c>
      <c r="R6" s="39">
        <f>R$5/Days_In_Year</f>
        <v/>
      </c>
      <c r="S6" s="39">
        <f>S$5/Days_In_Year</f>
        <v/>
      </c>
      <c r="T6" s="39">
        <f>T$5/Days_In_Year</f>
        <v/>
      </c>
      <c r="U6" s="39">
        <f>U$5/Days_In_Year</f>
        <v/>
      </c>
      <c r="V6" s="39">
        <f>V$5/Days_In_Year</f>
        <v/>
      </c>
      <c r="W6" s="39">
        <f>W$5/Days_In_Year</f>
        <v/>
      </c>
      <c r="X6" s="39">
        <f>X$5/Days_In_Year</f>
        <v/>
      </c>
      <c r="Y6" s="39">
        <f>Y$5/Days_In_Year</f>
        <v/>
      </c>
      <c r="Z6" s="39">
        <f>Z$5/Days_In_Year</f>
        <v/>
      </c>
      <c r="AA6" s="39">
        <f>AA$5/Days_In_Year</f>
        <v/>
      </c>
      <c r="AB6" s="39">
        <f>AB$5/Days_In_Year</f>
        <v/>
      </c>
      <c r="AC6" s="39">
        <f>AC$5/Days_In_Year</f>
        <v/>
      </c>
      <c r="AD6" s="39">
        <f>AD$5/Days_In_Year</f>
        <v/>
      </c>
      <c r="AE6" s="39">
        <f>AE$5/Days_In_Year</f>
        <v/>
      </c>
      <c r="AF6" s="39">
        <f>AF$5/Days_In_Year</f>
        <v/>
      </c>
      <c r="AG6" s="39">
        <f>AG$5/Days_In_Year</f>
        <v/>
      </c>
      <c r="AH6" s="39">
        <f>AH$5/Days_In_Year</f>
        <v/>
      </c>
      <c r="AI6" s="39">
        <f>AI$5/Days_In_Year</f>
        <v/>
      </c>
      <c r="AJ6" s="39">
        <f>AJ$5/Days_In_Year</f>
        <v/>
      </c>
      <c r="AK6" s="39">
        <f>AK$5/Days_In_Year</f>
        <v/>
      </c>
      <c r="AL6" s="39">
        <f>AL$5/Days_In_Year</f>
        <v/>
      </c>
      <c r="AM6" s="39">
        <f>AM$5/Days_In_Year</f>
        <v/>
      </c>
      <c r="AN6" s="39">
        <f>AN$5/Days_In_Year</f>
        <v/>
      </c>
    </row>
    <row r="7">
      <c r="C7" t="inlineStr">
        <is>
          <t>Year</t>
        </is>
      </c>
      <c r="D7" s="15" t="inlineStr">
        <is>
          <t>year</t>
        </is>
      </c>
      <c r="J7" s="27">
        <f>YEAR(J$4)</f>
        <v/>
      </c>
      <c r="K7" s="27">
        <f>YEAR(K$4)</f>
        <v/>
      </c>
      <c r="L7" s="27">
        <f>YEAR(L$4)</f>
        <v/>
      </c>
      <c r="M7" s="27">
        <f>YEAR(M$4)</f>
        <v/>
      </c>
      <c r="N7" s="27">
        <f>YEAR(N$4)</f>
        <v/>
      </c>
      <c r="O7" s="27">
        <f>YEAR(O$4)</f>
        <v/>
      </c>
      <c r="P7" s="27">
        <f>YEAR(P$4)</f>
        <v/>
      </c>
      <c r="Q7" s="27">
        <f>YEAR(Q$4)</f>
        <v/>
      </c>
      <c r="R7" s="27">
        <f>YEAR(R$4)</f>
        <v/>
      </c>
      <c r="S7" s="27">
        <f>YEAR(S$4)</f>
        <v/>
      </c>
      <c r="T7" s="27">
        <f>YEAR(T$4)</f>
        <v/>
      </c>
      <c r="U7" s="27">
        <f>YEAR(U$4)</f>
        <v/>
      </c>
      <c r="V7" s="27">
        <f>YEAR(V$4)</f>
        <v/>
      </c>
      <c r="W7" s="27">
        <f>YEAR(W$4)</f>
        <v/>
      </c>
      <c r="X7" s="27">
        <f>YEAR(X$4)</f>
        <v/>
      </c>
      <c r="Y7" s="27">
        <f>YEAR(Y$4)</f>
        <v/>
      </c>
      <c r="Z7" s="27">
        <f>YEAR(Z$4)</f>
        <v/>
      </c>
      <c r="AA7" s="27">
        <f>YEAR(AA$4)</f>
        <v/>
      </c>
      <c r="AB7" s="27">
        <f>YEAR(AB$4)</f>
        <v/>
      </c>
      <c r="AC7" s="27">
        <f>YEAR(AC$4)</f>
        <v/>
      </c>
      <c r="AD7" s="27">
        <f>YEAR(AD$4)</f>
        <v/>
      </c>
      <c r="AE7" s="27">
        <f>YEAR(AE$4)</f>
        <v/>
      </c>
      <c r="AF7" s="27">
        <f>YEAR(AF$4)</f>
        <v/>
      </c>
      <c r="AG7" s="27">
        <f>YEAR(AG$4)</f>
        <v/>
      </c>
      <c r="AH7" s="27">
        <f>YEAR(AH$4)</f>
        <v/>
      </c>
      <c r="AI7" s="27">
        <f>YEAR(AI$4)</f>
        <v/>
      </c>
      <c r="AJ7" s="27">
        <f>YEAR(AJ$4)</f>
        <v/>
      </c>
      <c r="AK7" s="27">
        <f>YEAR(AK$4)</f>
        <v/>
      </c>
      <c r="AL7" s="27">
        <f>YEAR(AL$4)</f>
        <v/>
      </c>
      <c r="AM7" s="27">
        <f>YEAR(AM$4)</f>
        <v/>
      </c>
      <c r="AN7" s="27">
        <f>YEAR(AN$4)</f>
        <v/>
      </c>
    </row>
    <row r="8">
      <c r="C8" t="inlineStr">
        <is>
          <t>Period counter</t>
        </is>
      </c>
      <c r="D8" s="15" t="inlineStr">
        <is>
          <t>#</t>
        </is>
      </c>
      <c r="J8" s="27">
        <f>I$8+1</f>
        <v/>
      </c>
      <c r="K8" s="27">
        <f>J$8+1</f>
        <v/>
      </c>
      <c r="L8" s="27">
        <f>K$8+1</f>
        <v/>
      </c>
      <c r="M8" s="27">
        <f>L$8+1</f>
        <v/>
      </c>
      <c r="N8" s="27">
        <f>M$8+1</f>
        <v/>
      </c>
      <c r="O8" s="27">
        <f>N$8+1</f>
        <v/>
      </c>
      <c r="P8" s="27">
        <f>O$8+1</f>
        <v/>
      </c>
      <c r="Q8" s="27">
        <f>P$8+1</f>
        <v/>
      </c>
      <c r="R8" s="27">
        <f>Q$8+1</f>
        <v/>
      </c>
      <c r="S8" s="27">
        <f>R$8+1</f>
        <v/>
      </c>
      <c r="T8" s="27">
        <f>S$8+1</f>
        <v/>
      </c>
      <c r="U8" s="27">
        <f>T$8+1</f>
        <v/>
      </c>
      <c r="V8" s="27">
        <f>U$8+1</f>
        <v/>
      </c>
      <c r="W8" s="27">
        <f>V$8+1</f>
        <v/>
      </c>
      <c r="X8" s="27">
        <f>W$8+1</f>
        <v/>
      </c>
      <c r="Y8" s="27">
        <f>X$8+1</f>
        <v/>
      </c>
      <c r="Z8" s="27">
        <f>Y$8+1</f>
        <v/>
      </c>
      <c r="AA8" s="27">
        <f>Z$8+1</f>
        <v/>
      </c>
      <c r="AB8" s="27">
        <f>AA$8+1</f>
        <v/>
      </c>
      <c r="AC8" s="27">
        <f>AB$8+1</f>
        <v/>
      </c>
      <c r="AD8" s="27">
        <f>AC$8+1</f>
        <v/>
      </c>
      <c r="AE8" s="27">
        <f>AD$8+1</f>
        <v/>
      </c>
      <c r="AF8" s="27">
        <f>AE$8+1</f>
        <v/>
      </c>
      <c r="AG8" s="27">
        <f>AF$8+1</f>
        <v/>
      </c>
      <c r="AH8" s="27">
        <f>AG$8+1</f>
        <v/>
      </c>
      <c r="AI8" s="27">
        <f>AH$8+1</f>
        <v/>
      </c>
      <c r="AJ8" s="27">
        <f>AI$8+1</f>
        <v/>
      </c>
      <c r="AK8" s="27">
        <f>AJ$8+1</f>
        <v/>
      </c>
      <c r="AL8" s="27">
        <f>AK$8+1</f>
        <v/>
      </c>
      <c r="AM8" s="27">
        <f>AL$8+1</f>
        <v/>
      </c>
      <c r="AN8" s="27">
        <f>AM$8+1</f>
        <v/>
      </c>
    </row>
    <row r="11">
      <c r="A11" s="5" t="inlineStr">
        <is>
          <t>x</t>
        </is>
      </c>
      <c r="B11" s="5" t="n"/>
      <c r="C11" s="5" t="inlineStr">
        <is>
          <t>Capacity per bid</t>
        </is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</row>
    <row r="12">
      <c r="C12" t="inlineStr">
        <is>
          <t>Committed wind (built if delivered)</t>
        </is>
      </c>
      <c r="D12" s="15" t="inlineStr">
        <is>
          <t>MW</t>
        </is>
      </c>
      <c r="E12" s="16">
        <f>In_MVA*(1+In_Overbuild)</f>
        <v/>
      </c>
    </row>
    <row r="13">
      <c r="C13" t="inlineStr">
        <is>
          <t>Wind not built</t>
        </is>
      </c>
      <c r="D13" s="15" t="inlineStr">
        <is>
          <t>MW</t>
        </is>
      </c>
      <c r="E13" s="16">
        <f>$E12-In_Wind_ND</f>
        <v/>
      </c>
    </row>
    <row r="14">
      <c r="C14" t="inlineStr">
        <is>
          <t>BESS committed (E: MW, F: MWh)</t>
        </is>
      </c>
      <c r="D14" s="15" t="inlineStr">
        <is>
          <t>MW</t>
        </is>
      </c>
      <c r="E14" s="16">
        <f>In_BESS*In_MVA</f>
        <v/>
      </c>
      <c r="F14" s="16">
        <f>$E14*In_BESS_Hours</f>
        <v/>
      </c>
    </row>
    <row r="15">
      <c r="C15" t="inlineStr">
        <is>
          <t>Security base (E: wind, F: BESS)</t>
        </is>
      </c>
      <c r="D15" s="15" t="inlineStr">
        <is>
          <t>mHUF</t>
        </is>
      </c>
      <c r="E15" s="17">
        <f>$E12*In_Bench_Wind</f>
        <v/>
      </c>
      <c r="F15" s="17">
        <f>$F14*In_Bench_BESS</f>
        <v/>
      </c>
    </row>
    <row r="17">
      <c r="A17" s="5" t="inlineStr">
        <is>
          <t>x</t>
        </is>
      </c>
      <c r="B17" s="5" t="n"/>
      <c r="C17" s="5" t="inlineStr">
        <is>
          <t>Community contribution not paid (committed wind, per bid)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</row>
    <row r="18">
      <c r="C18" t="inlineStr">
        <is>
          <t>Operating period (COD to end of term)</t>
        </is>
      </c>
      <c r="D18" s="15" t="inlineStr">
        <is>
          <t>flag</t>
        </is>
      </c>
      <c r="E18" s="28">
        <f>In_COD+1</f>
        <v/>
      </c>
      <c r="F18" s="28">
        <f>EDATE(In_COD,In_Life*Months_In_Year)</f>
        <v/>
      </c>
      <c r="J18" s="39">
        <f>MAX(0,(MIN($F18,J$4)-MAX($E18,J$3)+1)/J$5)</f>
        <v/>
      </c>
      <c r="K18" s="39">
        <f>MAX(0,(MIN($F18,K$4)-MAX($E18,K$3)+1)/K$5)</f>
        <v/>
      </c>
      <c r="L18" s="39">
        <f>MAX(0,(MIN($F18,L$4)-MAX($E18,L$3)+1)/L$5)</f>
        <v/>
      </c>
      <c r="M18" s="39">
        <f>MAX(0,(MIN($F18,M$4)-MAX($E18,M$3)+1)/M$5)</f>
        <v/>
      </c>
      <c r="N18" s="39">
        <f>MAX(0,(MIN($F18,N$4)-MAX($E18,N$3)+1)/N$5)</f>
        <v/>
      </c>
      <c r="O18" s="39">
        <f>MAX(0,(MIN($F18,O$4)-MAX($E18,O$3)+1)/O$5)</f>
        <v/>
      </c>
      <c r="P18" s="39">
        <f>MAX(0,(MIN($F18,P$4)-MAX($E18,P$3)+1)/P$5)</f>
        <v/>
      </c>
      <c r="Q18" s="39">
        <f>MAX(0,(MIN($F18,Q$4)-MAX($E18,Q$3)+1)/Q$5)</f>
        <v/>
      </c>
      <c r="R18" s="39">
        <f>MAX(0,(MIN($F18,R$4)-MAX($E18,R$3)+1)/R$5)</f>
        <v/>
      </c>
      <c r="S18" s="39">
        <f>MAX(0,(MIN($F18,S$4)-MAX($E18,S$3)+1)/S$5)</f>
        <v/>
      </c>
      <c r="T18" s="39">
        <f>MAX(0,(MIN($F18,T$4)-MAX($E18,T$3)+1)/T$5)</f>
        <v/>
      </c>
      <c r="U18" s="39">
        <f>MAX(0,(MIN($F18,U$4)-MAX($E18,U$3)+1)/U$5)</f>
        <v/>
      </c>
      <c r="V18" s="39">
        <f>MAX(0,(MIN($F18,V$4)-MAX($E18,V$3)+1)/V$5)</f>
        <v/>
      </c>
      <c r="W18" s="39">
        <f>MAX(0,(MIN($F18,W$4)-MAX($E18,W$3)+1)/W$5)</f>
        <v/>
      </c>
      <c r="X18" s="39">
        <f>MAX(0,(MIN($F18,X$4)-MAX($E18,X$3)+1)/X$5)</f>
        <v/>
      </c>
      <c r="Y18" s="39">
        <f>MAX(0,(MIN($F18,Y$4)-MAX($E18,Y$3)+1)/Y$5)</f>
        <v/>
      </c>
      <c r="Z18" s="39">
        <f>MAX(0,(MIN($F18,Z$4)-MAX($E18,Z$3)+1)/Z$5)</f>
        <v/>
      </c>
      <c r="AA18" s="39">
        <f>MAX(0,(MIN($F18,AA$4)-MAX($E18,AA$3)+1)/AA$5)</f>
        <v/>
      </c>
      <c r="AB18" s="39">
        <f>MAX(0,(MIN($F18,AB$4)-MAX($E18,AB$3)+1)/AB$5)</f>
        <v/>
      </c>
      <c r="AC18" s="39">
        <f>MAX(0,(MIN($F18,AC$4)-MAX($E18,AC$3)+1)/AC$5)</f>
        <v/>
      </c>
      <c r="AD18" s="39">
        <f>MAX(0,(MIN($F18,AD$4)-MAX($E18,AD$3)+1)/AD$5)</f>
        <v/>
      </c>
      <c r="AE18" s="39">
        <f>MAX(0,(MIN($F18,AE$4)-MAX($E18,AE$3)+1)/AE$5)</f>
        <v/>
      </c>
      <c r="AF18" s="39">
        <f>MAX(0,(MIN($F18,AF$4)-MAX($E18,AF$3)+1)/AF$5)</f>
        <v/>
      </c>
      <c r="AG18" s="39">
        <f>MAX(0,(MIN($F18,AG$4)-MAX($E18,AG$3)+1)/AG$5)</f>
        <v/>
      </c>
      <c r="AH18" s="39">
        <f>MAX(0,(MIN($F18,AH$4)-MAX($E18,AH$3)+1)/AH$5)</f>
        <v/>
      </c>
      <c r="AI18" s="39">
        <f>MAX(0,(MIN($F18,AI$4)-MAX($E18,AI$3)+1)/AI$5)</f>
        <v/>
      </c>
      <c r="AJ18" s="39">
        <f>MAX(0,(MIN($F18,AJ$4)-MAX($E18,AJ$3)+1)/AJ$5)</f>
        <v/>
      </c>
      <c r="AK18" s="39">
        <f>MAX(0,(MIN($F18,AK$4)-MAX($E18,AK$3)+1)/AK$5)</f>
        <v/>
      </c>
      <c r="AL18" s="39">
        <f>MAX(0,(MIN($F18,AL$4)-MAX($E18,AL$3)+1)/AL$5)</f>
        <v/>
      </c>
      <c r="AM18" s="39">
        <f>MAX(0,(MIN($F18,AM$4)-MAX($E18,AM$3)+1)/AM$5)</f>
        <v/>
      </c>
      <c r="AN18" s="39">
        <f>MAX(0,(MIN($F18,AN$4)-MAX($E18,AN$3)+1)/AN$5)</f>
        <v/>
      </c>
    </row>
    <row r="19">
      <c r="C19" t="inlineStr">
        <is>
          <t>Degradation factor</t>
        </is>
      </c>
      <c r="D19" s="15" t="inlineStr">
        <is>
          <t>factor</t>
        </is>
      </c>
      <c r="J19" s="39">
        <f>(1-In_Degradation)^(J$7-YEAR(In_COD))</f>
        <v/>
      </c>
      <c r="K19" s="39">
        <f>(1-In_Degradation)^(K$7-YEAR(In_COD))</f>
        <v/>
      </c>
      <c r="L19" s="39">
        <f>(1-In_Degradation)^(L$7-YEAR(In_COD))</f>
        <v/>
      </c>
      <c r="M19" s="39">
        <f>(1-In_Degradation)^(M$7-YEAR(In_COD))</f>
        <v/>
      </c>
      <c r="N19" s="39">
        <f>(1-In_Degradation)^(N$7-YEAR(In_COD))</f>
        <v/>
      </c>
      <c r="O19" s="39">
        <f>(1-In_Degradation)^(O$7-YEAR(In_COD))</f>
        <v/>
      </c>
      <c r="P19" s="39">
        <f>(1-In_Degradation)^(P$7-YEAR(In_COD))</f>
        <v/>
      </c>
      <c r="Q19" s="39">
        <f>(1-In_Degradation)^(Q$7-YEAR(In_COD))</f>
        <v/>
      </c>
      <c r="R19" s="39">
        <f>(1-In_Degradation)^(R$7-YEAR(In_COD))</f>
        <v/>
      </c>
      <c r="S19" s="39">
        <f>(1-In_Degradation)^(S$7-YEAR(In_COD))</f>
        <v/>
      </c>
      <c r="T19" s="39">
        <f>(1-In_Degradation)^(T$7-YEAR(In_COD))</f>
        <v/>
      </c>
      <c r="U19" s="39">
        <f>(1-In_Degradation)^(U$7-YEAR(In_COD))</f>
        <v/>
      </c>
      <c r="V19" s="39">
        <f>(1-In_Degradation)^(V$7-YEAR(In_COD))</f>
        <v/>
      </c>
      <c r="W19" s="39">
        <f>(1-In_Degradation)^(W$7-YEAR(In_COD))</f>
        <v/>
      </c>
      <c r="X19" s="39">
        <f>(1-In_Degradation)^(X$7-YEAR(In_COD))</f>
        <v/>
      </c>
      <c r="Y19" s="39">
        <f>(1-In_Degradation)^(Y$7-YEAR(In_COD))</f>
        <v/>
      </c>
      <c r="Z19" s="39">
        <f>(1-In_Degradation)^(Z$7-YEAR(In_COD))</f>
        <v/>
      </c>
      <c r="AA19" s="39">
        <f>(1-In_Degradation)^(AA$7-YEAR(In_COD))</f>
        <v/>
      </c>
      <c r="AB19" s="39">
        <f>(1-In_Degradation)^(AB$7-YEAR(In_COD))</f>
        <v/>
      </c>
      <c r="AC19" s="39">
        <f>(1-In_Degradation)^(AC$7-YEAR(In_COD))</f>
        <v/>
      </c>
      <c r="AD19" s="39">
        <f>(1-In_Degradation)^(AD$7-YEAR(In_COD))</f>
        <v/>
      </c>
      <c r="AE19" s="39">
        <f>(1-In_Degradation)^(AE$7-YEAR(In_COD))</f>
        <v/>
      </c>
      <c r="AF19" s="39">
        <f>(1-In_Degradation)^(AF$7-YEAR(In_COD))</f>
        <v/>
      </c>
      <c r="AG19" s="39">
        <f>(1-In_Degradation)^(AG$7-YEAR(In_COD))</f>
        <v/>
      </c>
      <c r="AH19" s="39">
        <f>(1-In_Degradation)^(AH$7-YEAR(In_COD))</f>
        <v/>
      </c>
      <c r="AI19" s="39">
        <f>(1-In_Degradation)^(AI$7-YEAR(In_COD))</f>
        <v/>
      </c>
      <c r="AJ19" s="39">
        <f>(1-In_Degradation)^(AJ$7-YEAR(In_COD))</f>
        <v/>
      </c>
      <c r="AK19" s="39">
        <f>(1-In_Degradation)^(AK$7-YEAR(In_COD))</f>
        <v/>
      </c>
      <c r="AL19" s="39">
        <f>(1-In_Degradation)^(AL$7-YEAR(In_COD))</f>
        <v/>
      </c>
      <c r="AM19" s="39">
        <f>(1-In_Degradation)^(AM$7-YEAR(In_COD))</f>
        <v/>
      </c>
      <c r="AN19" s="39">
        <f>(1-In_Degradation)^(AN$7-YEAR(In_COD))</f>
        <v/>
      </c>
    </row>
    <row r="20">
      <c r="C20" t="inlineStr">
        <is>
          <t>Net generation</t>
        </is>
      </c>
      <c r="D20" s="15" t="inlineStr">
        <is>
          <t>MWh</t>
        </is>
      </c>
      <c r="I20" s="17">
        <f>SUM(J20:AN20)</f>
        <v/>
      </c>
      <c r="J20" s="17">
        <f>$E12*In_P50_Hours*(1-In_Curtailment)*J19*J18*J$6</f>
        <v/>
      </c>
      <c r="K20" s="17">
        <f>$E12*In_P50_Hours*(1-In_Curtailment)*K19*K18*K$6</f>
        <v/>
      </c>
      <c r="L20" s="17">
        <f>$E12*In_P50_Hours*(1-In_Curtailment)*L19*L18*L$6</f>
        <v/>
      </c>
      <c r="M20" s="17">
        <f>$E12*In_P50_Hours*(1-In_Curtailment)*M19*M18*M$6</f>
        <v/>
      </c>
      <c r="N20" s="17">
        <f>$E12*In_P50_Hours*(1-In_Curtailment)*N19*N18*N$6</f>
        <v/>
      </c>
      <c r="O20" s="17">
        <f>$E12*In_P50_Hours*(1-In_Curtailment)*O19*O18*O$6</f>
        <v/>
      </c>
      <c r="P20" s="17">
        <f>$E12*In_P50_Hours*(1-In_Curtailment)*P19*P18*P$6</f>
        <v/>
      </c>
      <c r="Q20" s="17">
        <f>$E12*In_P50_Hours*(1-In_Curtailment)*Q19*Q18*Q$6</f>
        <v/>
      </c>
      <c r="R20" s="17">
        <f>$E12*In_P50_Hours*(1-In_Curtailment)*R19*R18*R$6</f>
        <v/>
      </c>
      <c r="S20" s="17">
        <f>$E12*In_P50_Hours*(1-In_Curtailment)*S19*S18*S$6</f>
        <v/>
      </c>
      <c r="T20" s="17">
        <f>$E12*In_P50_Hours*(1-In_Curtailment)*T19*T18*T$6</f>
        <v/>
      </c>
      <c r="U20" s="17">
        <f>$E12*In_P50_Hours*(1-In_Curtailment)*U19*U18*U$6</f>
        <v/>
      </c>
      <c r="V20" s="17">
        <f>$E12*In_P50_Hours*(1-In_Curtailment)*V19*V18*V$6</f>
        <v/>
      </c>
      <c r="W20" s="17">
        <f>$E12*In_P50_Hours*(1-In_Curtailment)*W19*W18*W$6</f>
        <v/>
      </c>
      <c r="X20" s="17">
        <f>$E12*In_P50_Hours*(1-In_Curtailment)*X19*X18*X$6</f>
        <v/>
      </c>
      <c r="Y20" s="17">
        <f>$E12*In_P50_Hours*(1-In_Curtailment)*Y19*Y18*Y$6</f>
        <v/>
      </c>
      <c r="Z20" s="17">
        <f>$E12*In_P50_Hours*(1-In_Curtailment)*Z19*Z18*Z$6</f>
        <v/>
      </c>
      <c r="AA20" s="17">
        <f>$E12*In_P50_Hours*(1-In_Curtailment)*AA19*AA18*AA$6</f>
        <v/>
      </c>
      <c r="AB20" s="17">
        <f>$E12*In_P50_Hours*(1-In_Curtailment)*AB19*AB18*AB$6</f>
        <v/>
      </c>
      <c r="AC20" s="17">
        <f>$E12*In_P50_Hours*(1-In_Curtailment)*AC19*AC18*AC$6</f>
        <v/>
      </c>
      <c r="AD20" s="17">
        <f>$E12*In_P50_Hours*(1-In_Curtailment)*AD19*AD18*AD$6</f>
        <v/>
      </c>
      <c r="AE20" s="17">
        <f>$E12*In_P50_Hours*(1-In_Curtailment)*AE19*AE18*AE$6</f>
        <v/>
      </c>
      <c r="AF20" s="17">
        <f>$E12*In_P50_Hours*(1-In_Curtailment)*AF19*AF18*AF$6</f>
        <v/>
      </c>
      <c r="AG20" s="17">
        <f>$E12*In_P50_Hours*(1-In_Curtailment)*AG19*AG18*AG$6</f>
        <v/>
      </c>
      <c r="AH20" s="17">
        <f>$E12*In_P50_Hours*(1-In_Curtailment)*AH19*AH18*AH$6</f>
        <v/>
      </c>
      <c r="AI20" s="17">
        <f>$E12*In_P50_Hours*(1-In_Curtailment)*AI19*AI18*AI$6</f>
        <v/>
      </c>
      <c r="AJ20" s="17">
        <f>$E12*In_P50_Hours*(1-In_Curtailment)*AJ19*AJ18*AJ$6</f>
        <v/>
      </c>
      <c r="AK20" s="17">
        <f>$E12*In_P50_Hours*(1-In_Curtailment)*AK19*AK18*AK$6</f>
        <v/>
      </c>
      <c r="AL20" s="17">
        <f>$E12*In_P50_Hours*(1-In_Curtailment)*AL19*AL18*AL$6</f>
        <v/>
      </c>
      <c r="AM20" s="17">
        <f>$E12*In_P50_Hours*(1-In_Curtailment)*AM19*AM18*AM$6</f>
        <v/>
      </c>
      <c r="AN20" s="17">
        <f>$E12*In_P50_Hours*(1-In_Curtailment)*AN19*AN18*AN$6</f>
        <v/>
      </c>
    </row>
    <row r="21">
      <c r="C21" t="inlineStr">
        <is>
          <t>Discount factor to COD</t>
        </is>
      </c>
      <c r="D21" s="15" t="inlineStr">
        <is>
          <t>factor</t>
        </is>
      </c>
      <c r="J21" s="39">
        <f>1/(1+In_Rate)^((J$4-In_COD)/Days_In_Year)</f>
        <v/>
      </c>
      <c r="K21" s="39">
        <f>1/(1+In_Rate)^((K$4-In_COD)/Days_In_Year)</f>
        <v/>
      </c>
      <c r="L21" s="39">
        <f>1/(1+In_Rate)^((L$4-In_COD)/Days_In_Year)</f>
        <v/>
      </c>
      <c r="M21" s="39">
        <f>1/(1+In_Rate)^((M$4-In_COD)/Days_In_Year)</f>
        <v/>
      </c>
      <c r="N21" s="39">
        <f>1/(1+In_Rate)^((N$4-In_COD)/Days_In_Year)</f>
        <v/>
      </c>
      <c r="O21" s="39">
        <f>1/(1+In_Rate)^((O$4-In_COD)/Days_In_Year)</f>
        <v/>
      </c>
      <c r="P21" s="39">
        <f>1/(1+In_Rate)^((P$4-In_COD)/Days_In_Year)</f>
        <v/>
      </c>
      <c r="Q21" s="39">
        <f>1/(1+In_Rate)^((Q$4-In_COD)/Days_In_Year)</f>
        <v/>
      </c>
      <c r="R21" s="39">
        <f>1/(1+In_Rate)^((R$4-In_COD)/Days_In_Year)</f>
        <v/>
      </c>
      <c r="S21" s="39">
        <f>1/(1+In_Rate)^((S$4-In_COD)/Days_In_Year)</f>
        <v/>
      </c>
      <c r="T21" s="39">
        <f>1/(1+In_Rate)^((T$4-In_COD)/Days_In_Year)</f>
        <v/>
      </c>
      <c r="U21" s="39">
        <f>1/(1+In_Rate)^((U$4-In_COD)/Days_In_Year)</f>
        <v/>
      </c>
      <c r="V21" s="39">
        <f>1/(1+In_Rate)^((V$4-In_COD)/Days_In_Year)</f>
        <v/>
      </c>
      <c r="W21" s="39">
        <f>1/(1+In_Rate)^((W$4-In_COD)/Days_In_Year)</f>
        <v/>
      </c>
      <c r="X21" s="39">
        <f>1/(1+In_Rate)^((X$4-In_COD)/Days_In_Year)</f>
        <v/>
      </c>
      <c r="Y21" s="39">
        <f>1/(1+In_Rate)^((Y$4-In_COD)/Days_In_Year)</f>
        <v/>
      </c>
      <c r="Z21" s="39">
        <f>1/(1+In_Rate)^((Z$4-In_COD)/Days_In_Year)</f>
        <v/>
      </c>
      <c r="AA21" s="39">
        <f>1/(1+In_Rate)^((AA$4-In_COD)/Days_In_Year)</f>
        <v/>
      </c>
      <c r="AB21" s="39">
        <f>1/(1+In_Rate)^((AB$4-In_COD)/Days_In_Year)</f>
        <v/>
      </c>
      <c r="AC21" s="39">
        <f>1/(1+In_Rate)^((AC$4-In_COD)/Days_In_Year)</f>
        <v/>
      </c>
      <c r="AD21" s="39">
        <f>1/(1+In_Rate)^((AD$4-In_COD)/Days_In_Year)</f>
        <v/>
      </c>
      <c r="AE21" s="39">
        <f>1/(1+In_Rate)^((AE$4-In_COD)/Days_In_Year)</f>
        <v/>
      </c>
      <c r="AF21" s="39">
        <f>1/(1+In_Rate)^((AF$4-In_COD)/Days_In_Year)</f>
        <v/>
      </c>
      <c r="AG21" s="39">
        <f>1/(1+In_Rate)^((AG$4-In_COD)/Days_In_Year)</f>
        <v/>
      </c>
      <c r="AH21" s="39">
        <f>1/(1+In_Rate)^((AH$4-In_COD)/Days_In_Year)</f>
        <v/>
      </c>
      <c r="AI21" s="39">
        <f>1/(1+In_Rate)^((AI$4-In_COD)/Days_In_Year)</f>
        <v/>
      </c>
      <c r="AJ21" s="39">
        <f>1/(1+In_Rate)^((AJ$4-In_COD)/Days_In_Year)</f>
        <v/>
      </c>
      <c r="AK21" s="39">
        <f>1/(1+In_Rate)^((AK$4-In_COD)/Days_In_Year)</f>
        <v/>
      </c>
      <c r="AL21" s="39">
        <f>1/(1+In_Rate)^((AL$4-In_COD)/Days_In_Year)</f>
        <v/>
      </c>
      <c r="AM21" s="39">
        <f>1/(1+In_Rate)^((AM$4-In_COD)/Days_In_Year)</f>
        <v/>
      </c>
      <c r="AN21" s="39">
        <f>1/(1+In_Rate)^((AN$4-In_COD)/Days_In_Year)</f>
        <v/>
      </c>
    </row>
    <row r="22">
      <c r="C22" t="inlineStr">
        <is>
          <t>Community contribution not paid (E: PV by XNPV)</t>
        </is>
      </c>
      <c r="D22" s="15" t="inlineStr">
        <is>
          <t>EUR k</t>
        </is>
      </c>
      <c r="E22" s="17">
        <f>XNPV(In_Rate,$J22:$AN22,$J$4:$AN$4)*INDEX($J21:$AN21,1)</f>
        <v/>
      </c>
      <c r="I22" s="17">
        <f>SUM(J22:AN22)</f>
        <v/>
      </c>
      <c r="J22" s="17">
        <f>In_Community*J20*(1-In_CIT*In_CIT_On)/Thousand</f>
        <v/>
      </c>
      <c r="K22" s="17">
        <f>In_Community*K20*(1-In_CIT*In_CIT_On)/Thousand</f>
        <v/>
      </c>
      <c r="L22" s="17">
        <f>In_Community*L20*(1-In_CIT*In_CIT_On)/Thousand</f>
        <v/>
      </c>
      <c r="M22" s="17">
        <f>In_Community*M20*(1-In_CIT*In_CIT_On)/Thousand</f>
        <v/>
      </c>
      <c r="N22" s="17">
        <f>In_Community*N20*(1-In_CIT*In_CIT_On)/Thousand</f>
        <v/>
      </c>
      <c r="O22" s="17">
        <f>In_Community*O20*(1-In_CIT*In_CIT_On)/Thousand</f>
        <v/>
      </c>
      <c r="P22" s="17">
        <f>In_Community*P20*(1-In_CIT*In_CIT_On)/Thousand</f>
        <v/>
      </c>
      <c r="Q22" s="17">
        <f>In_Community*Q20*(1-In_CIT*In_CIT_On)/Thousand</f>
        <v/>
      </c>
      <c r="R22" s="17">
        <f>In_Community*R20*(1-In_CIT*In_CIT_On)/Thousand</f>
        <v/>
      </c>
      <c r="S22" s="17">
        <f>In_Community*S20*(1-In_CIT*In_CIT_On)/Thousand</f>
        <v/>
      </c>
      <c r="T22" s="17">
        <f>In_Community*T20*(1-In_CIT*In_CIT_On)/Thousand</f>
        <v/>
      </c>
      <c r="U22" s="17">
        <f>In_Community*U20*(1-In_CIT*In_CIT_On)/Thousand</f>
        <v/>
      </c>
      <c r="V22" s="17">
        <f>In_Community*V20*(1-In_CIT*In_CIT_On)/Thousand</f>
        <v/>
      </c>
      <c r="W22" s="17">
        <f>In_Community*W20*(1-In_CIT*In_CIT_On)/Thousand</f>
        <v/>
      </c>
      <c r="X22" s="17">
        <f>In_Community*X20*(1-In_CIT*In_CIT_On)/Thousand</f>
        <v/>
      </c>
      <c r="Y22" s="17">
        <f>In_Community*Y20*(1-In_CIT*In_CIT_On)/Thousand</f>
        <v/>
      </c>
      <c r="Z22" s="17">
        <f>In_Community*Z20*(1-In_CIT*In_CIT_On)/Thousand</f>
        <v/>
      </c>
      <c r="AA22" s="17">
        <f>In_Community*AA20*(1-In_CIT*In_CIT_On)/Thousand</f>
        <v/>
      </c>
      <c r="AB22" s="17">
        <f>In_Community*AB20*(1-In_CIT*In_CIT_On)/Thousand</f>
        <v/>
      </c>
      <c r="AC22" s="17">
        <f>In_Community*AC20*(1-In_CIT*In_CIT_On)/Thousand</f>
        <v/>
      </c>
      <c r="AD22" s="17">
        <f>In_Community*AD20*(1-In_CIT*In_CIT_On)/Thousand</f>
        <v/>
      </c>
      <c r="AE22" s="17">
        <f>In_Community*AE20*(1-In_CIT*In_CIT_On)/Thousand</f>
        <v/>
      </c>
      <c r="AF22" s="17">
        <f>In_Community*AF20*(1-In_CIT*In_CIT_On)/Thousand</f>
        <v/>
      </c>
      <c r="AG22" s="17">
        <f>In_Community*AG20*(1-In_CIT*In_CIT_On)/Thousand</f>
        <v/>
      </c>
      <c r="AH22" s="17">
        <f>In_Community*AH20*(1-In_CIT*In_CIT_On)/Thousand</f>
        <v/>
      </c>
      <c r="AI22" s="17">
        <f>In_Community*AI20*(1-In_CIT*In_CIT_On)/Thousand</f>
        <v/>
      </c>
      <c r="AJ22" s="17">
        <f>In_Community*AJ20*(1-In_CIT*In_CIT_On)/Thousand</f>
        <v/>
      </c>
      <c r="AK22" s="17">
        <f>In_Community*AK20*(1-In_CIT*In_CIT_On)/Thousand</f>
        <v/>
      </c>
      <c r="AL22" s="17">
        <f>In_Community*AL20*(1-In_CIT*In_CIT_On)/Thousand</f>
        <v/>
      </c>
      <c r="AM22" s="17">
        <f>In_Community*AM20*(1-In_CIT*In_CIT_On)/Thousand</f>
        <v/>
      </c>
      <c r="AN22" s="17">
        <f>In_Community*AN20*(1-In_CIT*In_CIT_On)/Thousand</f>
        <v/>
      </c>
    </row>
    <row r="24">
      <c r="A24" s="5" t="inlineStr">
        <is>
          <t>x</t>
        </is>
      </c>
      <c r="B24" s="5" t="n"/>
      <c r="C24" s="5" t="inlineStr">
        <is>
          <t>Savings at COD (E: per bid, F: both bids)</t>
        </is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</row>
    <row r="25">
      <c r="A25" s="14" t="n"/>
      <c r="B25" s="14" t="n"/>
      <c r="C25" s="14" t="inlineStr">
        <is>
          <t>Overbuild capex not spent</t>
        </is>
      </c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</row>
    <row r="26">
      <c r="C26" t="inlineStr">
        <is>
          <t>Turbine supply, EU</t>
        </is>
      </c>
      <c r="D26" s="15" t="inlineStr">
        <is>
          <t>EUR k</t>
        </is>
      </c>
      <c r="E26" s="17">
        <f>In_Turbine*$E13</f>
        <v/>
      </c>
      <c r="F26" s="17">
        <f>$E26*In_Bids</f>
        <v/>
      </c>
    </row>
    <row r="27">
      <c r="C27" t="inlineStr">
        <is>
          <t>Installation and erection</t>
        </is>
      </c>
      <c r="D27" s="15" t="inlineStr">
        <is>
          <t>EUR k</t>
        </is>
      </c>
      <c r="E27" s="17">
        <f>In_Installation*$E13</f>
        <v/>
      </c>
      <c r="F27" s="17">
        <f>$E27*In_Bids</f>
        <v/>
      </c>
    </row>
    <row r="28">
      <c r="C28" t="inlineStr">
        <is>
          <t>Foundations</t>
        </is>
      </c>
      <c r="D28" s="15" t="inlineStr">
        <is>
          <t>EUR k</t>
        </is>
      </c>
      <c r="E28" s="17">
        <f>In_Foundations*$E13</f>
        <v/>
      </c>
      <c r="F28" s="17">
        <f>$E28*In_Bids</f>
        <v/>
      </c>
    </row>
    <row r="29">
      <c r="C29" t="inlineStr">
        <is>
          <t>Balance of plant</t>
        </is>
      </c>
      <c r="D29" s="15" t="inlineStr">
        <is>
          <t>EUR k</t>
        </is>
      </c>
      <c r="E29" s="17">
        <f>In_BoP*$E13</f>
        <v/>
      </c>
      <c r="F29" s="17">
        <f>$E29*In_Bids</f>
        <v/>
      </c>
    </row>
    <row r="30">
      <c r="C30" t="inlineStr">
        <is>
          <t>Owner's costs</t>
        </is>
      </c>
      <c r="D30" s="15" t="inlineStr">
        <is>
          <t>EUR k</t>
        </is>
      </c>
      <c r="E30" s="17">
        <f>In_Owner*$E13</f>
        <v/>
      </c>
      <c r="F30" s="17">
        <f>$E30*In_Bids</f>
        <v/>
      </c>
    </row>
    <row r="31">
      <c r="C31" t="inlineStr">
        <is>
          <t>Land and easements</t>
        </is>
      </c>
      <c r="D31" s="15" t="inlineStr">
        <is>
          <t>EUR k</t>
        </is>
      </c>
      <c r="E31" s="17">
        <f>In_Land*$E13</f>
        <v/>
      </c>
      <c r="F31" s="17">
        <f>$E31*In_Bids</f>
        <v/>
      </c>
    </row>
    <row r="32">
      <c r="C32" t="inlineStr">
        <is>
          <t>Contingency</t>
        </is>
      </c>
      <c r="D32" s="15" t="inlineStr">
        <is>
          <t>EUR k</t>
        </is>
      </c>
      <c r="E32" s="17">
        <f>In_Contingency*SUM($E26:$E31)</f>
        <v/>
      </c>
      <c r="F32" s="17">
        <f>$E32*In_Bids</f>
        <v/>
      </c>
    </row>
    <row r="33">
      <c r="C33" s="18" t="inlineStr">
        <is>
          <t>Overbuild capex</t>
        </is>
      </c>
      <c r="D33" s="15" t="inlineStr">
        <is>
          <t>EUR k</t>
        </is>
      </c>
      <c r="E33" s="20">
        <f>(In_Turbine+In_Installation+In_Foundations+In_BoP+In_Owner+In_Land)*$E13*(1+In_Contingency)</f>
        <v/>
      </c>
      <c r="F33" s="20">
        <f>$E33*In_Bids</f>
        <v/>
      </c>
    </row>
    <row r="34">
      <c r="C34" t="inlineStr">
        <is>
          <t>BESS capex</t>
        </is>
      </c>
      <c r="D34" s="15" t="inlineStr">
        <is>
          <t>EUR k</t>
        </is>
      </c>
      <c r="E34" s="17">
        <f>In_BESS_Capex*$E14</f>
        <v/>
      </c>
      <c r="F34" s="17">
        <f>$E34*In_Bids</f>
        <v/>
      </c>
    </row>
    <row r="35">
      <c r="C35" t="inlineStr">
        <is>
          <t>Municipal one-off</t>
        </is>
      </c>
      <c r="D35" s="15" t="inlineStr">
        <is>
          <t>EUR k</t>
        </is>
      </c>
      <c r="E35" s="17">
        <f>In_Municipal*In_MVA</f>
        <v/>
      </c>
      <c r="F35" s="17">
        <f>$E35*In_Bids</f>
        <v/>
      </c>
    </row>
    <row r="36">
      <c r="C36" t="inlineStr">
        <is>
          <t>Community contribution (PV to COD)</t>
        </is>
      </c>
      <c r="D36" s="15" t="inlineStr">
        <is>
          <t>EUR k</t>
        </is>
      </c>
      <c r="E36" s="17">
        <f>SUMPRODUCT($J22:$AN22,$J21:$AN21)</f>
        <v/>
      </c>
      <c r="F36" s="17">
        <f>$E36*In_Bids</f>
        <v/>
      </c>
    </row>
    <row r="37">
      <c r="C37" t="inlineStr">
        <is>
          <t>EU to CN turbines and transformers (white labelling)</t>
        </is>
      </c>
      <c r="D37" s="15" t="inlineStr">
        <is>
          <t>EUR k</t>
        </is>
      </c>
      <c r="E37" s="17">
        <f>In_White_Label*In_Wind_ND</f>
        <v/>
      </c>
      <c r="F37" s="17">
        <f>$E37*In_Bids</f>
        <v/>
      </c>
    </row>
    <row r="38">
      <c r="C38" s="18" t="inlineStr">
        <is>
          <t>Total savings at COD</t>
        </is>
      </c>
      <c r="D38" s="15" t="inlineStr">
        <is>
          <t>EUR k</t>
        </is>
      </c>
      <c r="E38" s="20">
        <f>SUM($E33:$E37)</f>
        <v/>
      </c>
      <c r="F38" s="20">
        <f>$E38*In_Bids</f>
        <v/>
      </c>
    </row>
    <row r="39">
      <c r="C39" t="inlineStr">
        <is>
          <t>Savings excluding the community PV</t>
        </is>
      </c>
      <c r="D39" s="15" t="inlineStr">
        <is>
          <t>EUR k</t>
        </is>
      </c>
      <c r="E39" s="17">
        <f>$E38-$E36</f>
        <v/>
      </c>
      <c r="F39" s="17">
        <f>$E39*In_Bids</f>
        <v/>
      </c>
    </row>
    <row r="41">
      <c r="A41" s="5" t="inlineStr">
        <is>
          <t>x</t>
        </is>
      </c>
      <c r="B41" s="5" t="n"/>
      <c r="C41" s="5" t="inlineStr">
        <is>
          <t>Performance security (E: per bid, F: both bids)</t>
        </is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</row>
    <row r="42">
      <c r="C42" t="inlineStr">
        <is>
          <t>PB called (full call)</t>
        </is>
      </c>
      <c r="D42" s="15" t="inlineStr">
        <is>
          <t>EUR k</t>
        </is>
      </c>
      <c r="E42" s="17">
        <f>-In_PB_Rate*($E15+$F15)*Thousand/In_FX</f>
        <v/>
      </c>
      <c r="F42" s="17">
        <f>$E42*In_Bids</f>
        <v/>
      </c>
    </row>
    <row r="43">
      <c r="C43" s="18" t="inlineStr">
        <is>
          <t>Net saving (savings less PB called)</t>
        </is>
      </c>
      <c r="D43" s="15" t="inlineStr">
        <is>
          <t>EUR k</t>
        </is>
      </c>
      <c r="E43" s="20">
        <f>$E38+$E42</f>
        <v/>
      </c>
      <c r="F43" s="20">
        <f>$E43*In_Bids</f>
        <v/>
      </c>
    </row>
    <row r="44">
      <c r="C44" t="inlineStr">
        <is>
          <t>Savings ÷ PB called</t>
        </is>
      </c>
      <c r="D44" s="15" t="inlineStr">
        <is>
          <t>x</t>
        </is>
      </c>
      <c r="E44" s="40">
        <f>$E38/-$E42</f>
        <v/>
      </c>
    </row>
    <row r="45">
      <c r="C45" t="inlineStr">
        <is>
          <t>Wind shortfall share</t>
        </is>
      </c>
      <c r="D45" s="15" t="inlineStr">
        <is>
          <t>%</t>
        </is>
      </c>
      <c r="E45" s="31">
        <f>$E13/$E12</f>
        <v/>
      </c>
    </row>
    <row r="46">
      <c r="C46" t="inlineStr">
        <is>
          <t>PB lost, pro-rata reading (BESS in full, wind pro rata)</t>
        </is>
      </c>
      <c r="D46" s="15" t="inlineStr">
        <is>
          <t>EUR k</t>
        </is>
      </c>
      <c r="E46" s="17">
        <f>-In_PB_Rate*($E45*($E45&gt;In_Tolerance_Cap)*$E15+$F15)*Thousand/In_FX</f>
        <v/>
      </c>
      <c r="F46" s="17">
        <f>$E46*In_Bids</f>
        <v/>
      </c>
    </row>
    <row r="47">
      <c r="C47" t="inlineStr">
        <is>
          <t>Connection capacity lost, pro-rata reading</t>
        </is>
      </c>
      <c r="D47" s="15" t="inlineStr">
        <is>
          <t>MVA</t>
        </is>
      </c>
      <c r="E47" s="16">
        <f>($E45&gt;In_Tolerance_Cap)*$E45*In_MVA</f>
        <v/>
      </c>
      <c r="F47" s="16">
        <f>$E47*In_Bids</f>
        <v/>
      </c>
    </row>
    <row r="48">
      <c r="C48" t="inlineStr">
        <is>
          <t>3-year group exclusion</t>
        </is>
      </c>
      <c r="D48" s="15" t="inlineStr">
        <is>
          <t>text</t>
        </is>
      </c>
      <c r="E48" s="41">
        <f>IF($E42&lt;0,"Yes","No")</f>
        <v/>
      </c>
    </row>
    <row r="50">
      <c r="A50" s="5" t="inlineStr">
        <is>
          <t>x</t>
        </is>
      </c>
      <c r="B50" s="5" t="n"/>
      <c r="C50" s="5" t="inlineStr">
        <is>
          <t>COD buyer's project IRR, per bid (E: IRR, F: NPV at COD)</t>
        </is>
      </c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</row>
    <row r="51">
      <c r="C51" t="inlineStr">
        <is>
          <t>COD: purchase</t>
        </is>
      </c>
      <c r="D51" s="15" t="inlineStr">
        <is>
          <t>flag</t>
        </is>
      </c>
      <c r="E51" s="42">
        <f>In_COD</f>
        <v/>
      </c>
      <c r="I51" s="43">
        <f>SUM(J51:AN51)</f>
        <v/>
      </c>
      <c r="J51" s="43">
        <f>N(AND(J$3&lt;=$E51,J$4&gt;=$E51))</f>
        <v/>
      </c>
      <c r="K51" s="43">
        <f>N(AND(K$3&lt;=$E51,K$4&gt;=$E51))</f>
        <v/>
      </c>
      <c r="L51" s="43">
        <f>N(AND(L$3&lt;=$E51,L$4&gt;=$E51))</f>
        <v/>
      </c>
      <c r="M51" s="43">
        <f>N(AND(M$3&lt;=$E51,M$4&gt;=$E51))</f>
        <v/>
      </c>
      <c r="N51" s="43">
        <f>N(AND(N$3&lt;=$E51,N$4&gt;=$E51))</f>
        <v/>
      </c>
      <c r="O51" s="43">
        <f>N(AND(O$3&lt;=$E51,O$4&gt;=$E51))</f>
        <v/>
      </c>
      <c r="P51" s="43">
        <f>N(AND(P$3&lt;=$E51,P$4&gt;=$E51))</f>
        <v/>
      </c>
      <c r="Q51" s="43">
        <f>N(AND(Q$3&lt;=$E51,Q$4&gt;=$E51))</f>
        <v/>
      </c>
      <c r="R51" s="43">
        <f>N(AND(R$3&lt;=$E51,R$4&gt;=$E51))</f>
        <v/>
      </c>
      <c r="S51" s="43">
        <f>N(AND(S$3&lt;=$E51,S$4&gt;=$E51))</f>
        <v/>
      </c>
      <c r="T51" s="43">
        <f>N(AND(T$3&lt;=$E51,T$4&gt;=$E51))</f>
        <v/>
      </c>
      <c r="U51" s="43">
        <f>N(AND(U$3&lt;=$E51,U$4&gt;=$E51))</f>
        <v/>
      </c>
      <c r="V51" s="43">
        <f>N(AND(V$3&lt;=$E51,V$4&gt;=$E51))</f>
        <v/>
      </c>
      <c r="W51" s="43">
        <f>N(AND(W$3&lt;=$E51,W$4&gt;=$E51))</f>
        <v/>
      </c>
      <c r="X51" s="43">
        <f>N(AND(X$3&lt;=$E51,X$4&gt;=$E51))</f>
        <v/>
      </c>
      <c r="Y51" s="43">
        <f>N(AND(Y$3&lt;=$E51,Y$4&gt;=$E51))</f>
        <v/>
      </c>
      <c r="Z51" s="43">
        <f>N(AND(Z$3&lt;=$E51,Z$4&gt;=$E51))</f>
        <v/>
      </c>
      <c r="AA51" s="43">
        <f>N(AND(AA$3&lt;=$E51,AA$4&gt;=$E51))</f>
        <v/>
      </c>
      <c r="AB51" s="43">
        <f>N(AND(AB$3&lt;=$E51,AB$4&gt;=$E51))</f>
        <v/>
      </c>
      <c r="AC51" s="43">
        <f>N(AND(AC$3&lt;=$E51,AC$4&gt;=$E51))</f>
        <v/>
      </c>
      <c r="AD51" s="43">
        <f>N(AND(AD$3&lt;=$E51,AD$4&gt;=$E51))</f>
        <v/>
      </c>
      <c r="AE51" s="43">
        <f>N(AND(AE$3&lt;=$E51,AE$4&gt;=$E51))</f>
        <v/>
      </c>
      <c r="AF51" s="43">
        <f>N(AND(AF$3&lt;=$E51,AF$4&gt;=$E51))</f>
        <v/>
      </c>
      <c r="AG51" s="43">
        <f>N(AND(AG$3&lt;=$E51,AG$4&gt;=$E51))</f>
        <v/>
      </c>
      <c r="AH51" s="43">
        <f>N(AND(AH$3&lt;=$E51,AH$4&gt;=$E51))</f>
        <v/>
      </c>
      <c r="AI51" s="43">
        <f>N(AND(AI$3&lt;=$E51,AI$4&gt;=$E51))</f>
        <v/>
      </c>
      <c r="AJ51" s="43">
        <f>N(AND(AJ$3&lt;=$E51,AJ$4&gt;=$E51))</f>
        <v/>
      </c>
      <c r="AK51" s="43">
        <f>N(AND(AK$3&lt;=$E51,AK$4&gt;=$E51))</f>
        <v/>
      </c>
      <c r="AL51" s="43">
        <f>N(AND(AL$3&lt;=$E51,AL$4&gt;=$E51))</f>
        <v/>
      </c>
      <c r="AM51" s="43">
        <f>N(AND(AM$3&lt;=$E51,AM$4&gt;=$E51))</f>
        <v/>
      </c>
      <c r="AN51" s="43">
        <f>N(AND(AN$3&lt;=$E51,AN$4&gt;=$E51))</f>
        <v/>
      </c>
    </row>
    <row r="52">
      <c r="C52" t="inlineStr">
        <is>
          <t>PB called (COD + lag)</t>
        </is>
      </c>
      <c r="D52" s="15" t="inlineStr">
        <is>
          <t>flag</t>
        </is>
      </c>
      <c r="E52" s="28">
        <f>EDATE(In_COD,In_Sanction_Lag)</f>
        <v/>
      </c>
      <c r="I52" s="43">
        <f>SUM(J52:AN52)</f>
        <v/>
      </c>
      <c r="J52" s="43">
        <f>N(AND(J$3&lt;=$E52,J$4&gt;=$E52))</f>
        <v/>
      </c>
      <c r="K52" s="43">
        <f>N(AND(K$3&lt;=$E52,K$4&gt;=$E52))</f>
        <v/>
      </c>
      <c r="L52" s="43">
        <f>N(AND(L$3&lt;=$E52,L$4&gt;=$E52))</f>
        <v/>
      </c>
      <c r="M52" s="43">
        <f>N(AND(M$3&lt;=$E52,M$4&gt;=$E52))</f>
        <v/>
      </c>
      <c r="N52" s="43">
        <f>N(AND(N$3&lt;=$E52,N$4&gt;=$E52))</f>
        <v/>
      </c>
      <c r="O52" s="43">
        <f>N(AND(O$3&lt;=$E52,O$4&gt;=$E52))</f>
        <v/>
      </c>
      <c r="P52" s="43">
        <f>N(AND(P$3&lt;=$E52,P$4&gt;=$E52))</f>
        <v/>
      </c>
      <c r="Q52" s="43">
        <f>N(AND(Q$3&lt;=$E52,Q$4&gt;=$E52))</f>
        <v/>
      </c>
      <c r="R52" s="43">
        <f>N(AND(R$3&lt;=$E52,R$4&gt;=$E52))</f>
        <v/>
      </c>
      <c r="S52" s="43">
        <f>N(AND(S$3&lt;=$E52,S$4&gt;=$E52))</f>
        <v/>
      </c>
      <c r="T52" s="43">
        <f>N(AND(T$3&lt;=$E52,T$4&gt;=$E52))</f>
        <v/>
      </c>
      <c r="U52" s="43">
        <f>N(AND(U$3&lt;=$E52,U$4&gt;=$E52))</f>
        <v/>
      </c>
      <c r="V52" s="43">
        <f>N(AND(V$3&lt;=$E52,V$4&gt;=$E52))</f>
        <v/>
      </c>
      <c r="W52" s="43">
        <f>N(AND(W$3&lt;=$E52,W$4&gt;=$E52))</f>
        <v/>
      </c>
      <c r="X52" s="43">
        <f>N(AND(X$3&lt;=$E52,X$4&gt;=$E52))</f>
        <v/>
      </c>
      <c r="Y52" s="43">
        <f>N(AND(Y$3&lt;=$E52,Y$4&gt;=$E52))</f>
        <v/>
      </c>
      <c r="Z52" s="43">
        <f>N(AND(Z$3&lt;=$E52,Z$4&gt;=$E52))</f>
        <v/>
      </c>
      <c r="AA52" s="43">
        <f>N(AND(AA$3&lt;=$E52,AA$4&gt;=$E52))</f>
        <v/>
      </c>
      <c r="AB52" s="43">
        <f>N(AND(AB$3&lt;=$E52,AB$4&gt;=$E52))</f>
        <v/>
      </c>
      <c r="AC52" s="43">
        <f>N(AND(AC$3&lt;=$E52,AC$4&gt;=$E52))</f>
        <v/>
      </c>
      <c r="AD52" s="43">
        <f>N(AND(AD$3&lt;=$E52,AD$4&gt;=$E52))</f>
        <v/>
      </c>
      <c r="AE52" s="43">
        <f>N(AND(AE$3&lt;=$E52,AE$4&gt;=$E52))</f>
        <v/>
      </c>
      <c r="AF52" s="43">
        <f>N(AND(AF$3&lt;=$E52,AF$4&gt;=$E52))</f>
        <v/>
      </c>
      <c r="AG52" s="43">
        <f>N(AND(AG$3&lt;=$E52,AG$4&gt;=$E52))</f>
        <v/>
      </c>
      <c r="AH52" s="43">
        <f>N(AND(AH$3&lt;=$E52,AH$4&gt;=$E52))</f>
        <v/>
      </c>
      <c r="AI52" s="43">
        <f>N(AND(AI$3&lt;=$E52,AI$4&gt;=$E52))</f>
        <v/>
      </c>
      <c r="AJ52" s="43">
        <f>N(AND(AJ$3&lt;=$E52,AJ$4&gt;=$E52))</f>
        <v/>
      </c>
      <c r="AK52" s="43">
        <f>N(AND(AK$3&lt;=$E52,AK$4&gt;=$E52))</f>
        <v/>
      </c>
      <c r="AL52" s="43">
        <f>N(AND(AL$3&lt;=$E52,AL$4&gt;=$E52))</f>
        <v/>
      </c>
      <c r="AM52" s="43">
        <f>N(AND(AM$3&lt;=$E52,AM$4&gt;=$E52))</f>
        <v/>
      </c>
      <c r="AN52" s="43">
        <f>N(AND(AN$3&lt;=$E52,AN$4&gt;=$E52))</f>
        <v/>
      </c>
    </row>
    <row r="53">
      <c r="C53" t="inlineStr">
        <is>
          <t>Cash-flow date (COD in the COD year)</t>
        </is>
      </c>
      <c r="D53" s="15" t="inlineStr">
        <is>
          <t>date</t>
        </is>
      </c>
      <c r="J53" s="28">
        <f>IF(J51,In_COD,J$4)</f>
        <v/>
      </c>
      <c r="K53" s="28">
        <f>IF(K51,In_COD,K$4)</f>
        <v/>
      </c>
      <c r="L53" s="28">
        <f>IF(L51,In_COD,L$4)</f>
        <v/>
      </c>
      <c r="M53" s="28">
        <f>IF(M51,In_COD,M$4)</f>
        <v/>
      </c>
      <c r="N53" s="28">
        <f>IF(N51,In_COD,N$4)</f>
        <v/>
      </c>
      <c r="O53" s="28">
        <f>IF(O51,In_COD,O$4)</f>
        <v/>
      </c>
      <c r="P53" s="28">
        <f>IF(P51,In_COD,P$4)</f>
        <v/>
      </c>
      <c r="Q53" s="28">
        <f>IF(Q51,In_COD,Q$4)</f>
        <v/>
      </c>
      <c r="R53" s="28">
        <f>IF(R51,In_COD,R$4)</f>
        <v/>
      </c>
      <c r="S53" s="28">
        <f>IF(S51,In_COD,S$4)</f>
        <v/>
      </c>
      <c r="T53" s="28">
        <f>IF(T51,In_COD,T$4)</f>
        <v/>
      </c>
      <c r="U53" s="28">
        <f>IF(U51,In_COD,U$4)</f>
        <v/>
      </c>
      <c r="V53" s="28">
        <f>IF(V51,In_COD,V$4)</f>
        <v/>
      </c>
      <c r="W53" s="28">
        <f>IF(W51,In_COD,W$4)</f>
        <v/>
      </c>
      <c r="X53" s="28">
        <f>IF(X51,In_COD,X$4)</f>
        <v/>
      </c>
      <c r="Y53" s="28">
        <f>IF(Y51,In_COD,Y$4)</f>
        <v/>
      </c>
      <c r="Z53" s="28">
        <f>IF(Z51,In_COD,Z$4)</f>
        <v/>
      </c>
      <c r="AA53" s="28">
        <f>IF(AA51,In_COD,AA$4)</f>
        <v/>
      </c>
      <c r="AB53" s="28">
        <f>IF(AB51,In_COD,AB$4)</f>
        <v/>
      </c>
      <c r="AC53" s="28">
        <f>IF(AC51,In_COD,AC$4)</f>
        <v/>
      </c>
      <c r="AD53" s="28">
        <f>IF(AD51,In_COD,AD$4)</f>
        <v/>
      </c>
      <c r="AE53" s="28">
        <f>IF(AE51,In_COD,AE$4)</f>
        <v/>
      </c>
      <c r="AF53" s="28">
        <f>IF(AF51,In_COD,AF$4)</f>
        <v/>
      </c>
      <c r="AG53" s="28">
        <f>IF(AG51,In_COD,AG$4)</f>
        <v/>
      </c>
      <c r="AH53" s="28">
        <f>IF(AH51,In_COD,AH$4)</f>
        <v/>
      </c>
      <c r="AI53" s="28">
        <f>IF(AI51,In_COD,AI$4)</f>
        <v/>
      </c>
      <c r="AJ53" s="28">
        <f>IF(AJ51,In_COD,AJ$4)</f>
        <v/>
      </c>
      <c r="AK53" s="28">
        <f>IF(AK51,In_COD,AK$4)</f>
        <v/>
      </c>
      <c r="AL53" s="28">
        <f>IF(AL51,In_COD,AL$4)</f>
        <v/>
      </c>
      <c r="AM53" s="28">
        <f>IF(AM51,In_COD,AM$4)</f>
        <v/>
      </c>
      <c r="AN53" s="28">
        <f>IF(AN51,In_COD,AN$4)</f>
        <v/>
      </c>
    </row>
    <row r="54">
      <c r="C54" t="inlineStr">
        <is>
          <t>EBITDA, original plan (A)</t>
        </is>
      </c>
      <c r="D54" s="15" t="inlineStr">
        <is>
          <t>EUR k</t>
        </is>
      </c>
      <c r="I54" s="17">
        <f>SUM(J54:AN54)</f>
        <v/>
      </c>
      <c r="J54" s="17">
        <f>SUMIFS(BC_EBITDA,BC_Date,"&gt;="&amp;J$3,BC_Date,"&lt;="&amp;J$4)</f>
        <v/>
      </c>
      <c r="K54" s="17">
        <f>SUMIFS(BC_EBITDA,BC_Date,"&gt;="&amp;K$3,BC_Date,"&lt;="&amp;K$4)</f>
        <v/>
      </c>
      <c r="L54" s="17">
        <f>SUMIFS(BC_EBITDA,BC_Date,"&gt;="&amp;L$3,BC_Date,"&lt;="&amp;L$4)</f>
        <v/>
      </c>
      <c r="M54" s="17">
        <f>SUMIFS(BC_EBITDA,BC_Date,"&gt;="&amp;M$3,BC_Date,"&lt;="&amp;M$4)</f>
        <v/>
      </c>
      <c r="N54" s="17">
        <f>SUMIFS(BC_EBITDA,BC_Date,"&gt;="&amp;N$3,BC_Date,"&lt;="&amp;N$4)</f>
        <v/>
      </c>
      <c r="O54" s="17">
        <f>SUMIFS(BC_EBITDA,BC_Date,"&gt;="&amp;O$3,BC_Date,"&lt;="&amp;O$4)</f>
        <v/>
      </c>
      <c r="P54" s="17">
        <f>SUMIFS(BC_EBITDA,BC_Date,"&gt;="&amp;P$3,BC_Date,"&lt;="&amp;P$4)</f>
        <v/>
      </c>
      <c r="Q54" s="17">
        <f>SUMIFS(BC_EBITDA,BC_Date,"&gt;="&amp;Q$3,BC_Date,"&lt;="&amp;Q$4)</f>
        <v/>
      </c>
      <c r="R54" s="17">
        <f>SUMIFS(BC_EBITDA,BC_Date,"&gt;="&amp;R$3,BC_Date,"&lt;="&amp;R$4)</f>
        <v/>
      </c>
      <c r="S54" s="17">
        <f>SUMIFS(BC_EBITDA,BC_Date,"&gt;="&amp;S$3,BC_Date,"&lt;="&amp;S$4)</f>
        <v/>
      </c>
      <c r="T54" s="17">
        <f>SUMIFS(BC_EBITDA,BC_Date,"&gt;="&amp;T$3,BC_Date,"&lt;="&amp;T$4)</f>
        <v/>
      </c>
      <c r="U54" s="17">
        <f>SUMIFS(BC_EBITDA,BC_Date,"&gt;="&amp;U$3,BC_Date,"&lt;="&amp;U$4)</f>
        <v/>
      </c>
      <c r="V54" s="17">
        <f>SUMIFS(BC_EBITDA,BC_Date,"&gt;="&amp;V$3,BC_Date,"&lt;="&amp;V$4)</f>
        <v/>
      </c>
      <c r="W54" s="17">
        <f>SUMIFS(BC_EBITDA,BC_Date,"&gt;="&amp;W$3,BC_Date,"&lt;="&amp;W$4)</f>
        <v/>
      </c>
      <c r="X54" s="17">
        <f>SUMIFS(BC_EBITDA,BC_Date,"&gt;="&amp;X$3,BC_Date,"&lt;="&amp;X$4)</f>
        <v/>
      </c>
      <c r="Y54" s="17">
        <f>SUMIFS(BC_EBITDA,BC_Date,"&gt;="&amp;Y$3,BC_Date,"&lt;="&amp;Y$4)</f>
        <v/>
      </c>
      <c r="Z54" s="17">
        <f>SUMIFS(BC_EBITDA,BC_Date,"&gt;="&amp;Z$3,BC_Date,"&lt;="&amp;Z$4)</f>
        <v/>
      </c>
      <c r="AA54" s="17">
        <f>SUMIFS(BC_EBITDA,BC_Date,"&gt;="&amp;AA$3,BC_Date,"&lt;="&amp;AA$4)</f>
        <v/>
      </c>
      <c r="AB54" s="17">
        <f>SUMIFS(BC_EBITDA,BC_Date,"&gt;="&amp;AB$3,BC_Date,"&lt;="&amp;AB$4)</f>
        <v/>
      </c>
      <c r="AC54" s="17">
        <f>SUMIFS(BC_EBITDA,BC_Date,"&gt;="&amp;AC$3,BC_Date,"&lt;="&amp;AC$4)</f>
        <v/>
      </c>
      <c r="AD54" s="17">
        <f>SUMIFS(BC_EBITDA,BC_Date,"&gt;="&amp;AD$3,BC_Date,"&lt;="&amp;AD$4)</f>
        <v/>
      </c>
      <c r="AE54" s="17">
        <f>SUMIFS(BC_EBITDA,BC_Date,"&gt;="&amp;AE$3,BC_Date,"&lt;="&amp;AE$4)</f>
        <v/>
      </c>
      <c r="AF54" s="17">
        <f>SUMIFS(BC_EBITDA,BC_Date,"&gt;="&amp;AF$3,BC_Date,"&lt;="&amp;AF$4)</f>
        <v/>
      </c>
      <c r="AG54" s="17">
        <f>SUMIFS(BC_EBITDA,BC_Date,"&gt;="&amp;AG$3,BC_Date,"&lt;="&amp;AG$4)</f>
        <v/>
      </c>
      <c r="AH54" s="17">
        <f>SUMIFS(BC_EBITDA,BC_Date,"&gt;="&amp;AH$3,BC_Date,"&lt;="&amp;AH$4)</f>
        <v/>
      </c>
      <c r="AI54" s="17">
        <f>SUMIFS(BC_EBITDA,BC_Date,"&gt;="&amp;AI$3,BC_Date,"&lt;="&amp;AI$4)</f>
        <v/>
      </c>
      <c r="AJ54" s="17">
        <f>SUMIFS(BC_EBITDA,BC_Date,"&gt;="&amp;AJ$3,BC_Date,"&lt;="&amp;AJ$4)</f>
        <v/>
      </c>
      <c r="AK54" s="17">
        <f>SUMIFS(BC_EBITDA,BC_Date,"&gt;="&amp;AK$3,BC_Date,"&lt;="&amp;AK$4)</f>
        <v/>
      </c>
      <c r="AL54" s="17">
        <f>SUMIFS(BC_EBITDA,BC_Date,"&gt;="&amp;AL$3,BC_Date,"&lt;="&amp;AL$4)</f>
        <v/>
      </c>
      <c r="AM54" s="17">
        <f>SUMIFS(BC_EBITDA,BC_Date,"&gt;="&amp;AM$3,BC_Date,"&lt;="&amp;AM$4)</f>
        <v/>
      </c>
      <c r="AN54" s="17">
        <f>SUMIFS(BC_EBITDA,BC_Date,"&gt;="&amp;AN$3,BC_Date,"&lt;="&amp;AN$4)</f>
        <v/>
      </c>
    </row>
    <row r="55">
      <c r="C55" t="inlineStr">
        <is>
          <t>EBITDA, zero bid (B and reference)</t>
        </is>
      </c>
      <c r="D55" s="15" t="inlineStr">
        <is>
          <t>EUR k</t>
        </is>
      </c>
      <c r="I55" s="17">
        <f>SUM(J55:AN55)</f>
        <v/>
      </c>
      <c r="J55" s="17">
        <f>SUMIFS(ZB_EBITDA,ZB_Date,"&gt;="&amp;J$3,ZB_Date,"&lt;="&amp;J$4)</f>
        <v/>
      </c>
      <c r="K55" s="17">
        <f>SUMIFS(ZB_EBITDA,ZB_Date,"&gt;="&amp;K$3,ZB_Date,"&lt;="&amp;K$4)</f>
        <v/>
      </c>
      <c r="L55" s="17">
        <f>SUMIFS(ZB_EBITDA,ZB_Date,"&gt;="&amp;L$3,ZB_Date,"&lt;="&amp;L$4)</f>
        <v/>
      </c>
      <c r="M55" s="17">
        <f>SUMIFS(ZB_EBITDA,ZB_Date,"&gt;="&amp;M$3,ZB_Date,"&lt;="&amp;M$4)</f>
        <v/>
      </c>
      <c r="N55" s="17">
        <f>SUMIFS(ZB_EBITDA,ZB_Date,"&gt;="&amp;N$3,ZB_Date,"&lt;="&amp;N$4)</f>
        <v/>
      </c>
      <c r="O55" s="17">
        <f>SUMIFS(ZB_EBITDA,ZB_Date,"&gt;="&amp;O$3,ZB_Date,"&lt;="&amp;O$4)</f>
        <v/>
      </c>
      <c r="P55" s="17">
        <f>SUMIFS(ZB_EBITDA,ZB_Date,"&gt;="&amp;P$3,ZB_Date,"&lt;="&amp;P$4)</f>
        <v/>
      </c>
      <c r="Q55" s="17">
        <f>SUMIFS(ZB_EBITDA,ZB_Date,"&gt;="&amp;Q$3,ZB_Date,"&lt;="&amp;Q$4)</f>
        <v/>
      </c>
      <c r="R55" s="17">
        <f>SUMIFS(ZB_EBITDA,ZB_Date,"&gt;="&amp;R$3,ZB_Date,"&lt;="&amp;R$4)</f>
        <v/>
      </c>
      <c r="S55" s="17">
        <f>SUMIFS(ZB_EBITDA,ZB_Date,"&gt;="&amp;S$3,ZB_Date,"&lt;="&amp;S$4)</f>
        <v/>
      </c>
      <c r="T55" s="17">
        <f>SUMIFS(ZB_EBITDA,ZB_Date,"&gt;="&amp;T$3,ZB_Date,"&lt;="&amp;T$4)</f>
        <v/>
      </c>
      <c r="U55" s="17">
        <f>SUMIFS(ZB_EBITDA,ZB_Date,"&gt;="&amp;U$3,ZB_Date,"&lt;="&amp;U$4)</f>
        <v/>
      </c>
      <c r="V55" s="17">
        <f>SUMIFS(ZB_EBITDA,ZB_Date,"&gt;="&amp;V$3,ZB_Date,"&lt;="&amp;V$4)</f>
        <v/>
      </c>
      <c r="W55" s="17">
        <f>SUMIFS(ZB_EBITDA,ZB_Date,"&gt;="&amp;W$3,ZB_Date,"&lt;="&amp;W$4)</f>
        <v/>
      </c>
      <c r="X55" s="17">
        <f>SUMIFS(ZB_EBITDA,ZB_Date,"&gt;="&amp;X$3,ZB_Date,"&lt;="&amp;X$4)</f>
        <v/>
      </c>
      <c r="Y55" s="17">
        <f>SUMIFS(ZB_EBITDA,ZB_Date,"&gt;="&amp;Y$3,ZB_Date,"&lt;="&amp;Y$4)</f>
        <v/>
      </c>
      <c r="Z55" s="17">
        <f>SUMIFS(ZB_EBITDA,ZB_Date,"&gt;="&amp;Z$3,ZB_Date,"&lt;="&amp;Z$4)</f>
        <v/>
      </c>
      <c r="AA55" s="17">
        <f>SUMIFS(ZB_EBITDA,ZB_Date,"&gt;="&amp;AA$3,ZB_Date,"&lt;="&amp;AA$4)</f>
        <v/>
      </c>
      <c r="AB55" s="17">
        <f>SUMIFS(ZB_EBITDA,ZB_Date,"&gt;="&amp;AB$3,ZB_Date,"&lt;="&amp;AB$4)</f>
        <v/>
      </c>
      <c r="AC55" s="17">
        <f>SUMIFS(ZB_EBITDA,ZB_Date,"&gt;="&amp;AC$3,ZB_Date,"&lt;="&amp;AC$4)</f>
        <v/>
      </c>
      <c r="AD55" s="17">
        <f>SUMIFS(ZB_EBITDA,ZB_Date,"&gt;="&amp;AD$3,ZB_Date,"&lt;="&amp;AD$4)</f>
        <v/>
      </c>
      <c r="AE55" s="17">
        <f>SUMIFS(ZB_EBITDA,ZB_Date,"&gt;="&amp;AE$3,ZB_Date,"&lt;="&amp;AE$4)</f>
        <v/>
      </c>
      <c r="AF55" s="17">
        <f>SUMIFS(ZB_EBITDA,ZB_Date,"&gt;="&amp;AF$3,ZB_Date,"&lt;="&amp;AF$4)</f>
        <v/>
      </c>
      <c r="AG55" s="17">
        <f>SUMIFS(ZB_EBITDA,ZB_Date,"&gt;="&amp;AG$3,ZB_Date,"&lt;="&amp;AG$4)</f>
        <v/>
      </c>
      <c r="AH55" s="17">
        <f>SUMIFS(ZB_EBITDA,ZB_Date,"&gt;="&amp;AH$3,ZB_Date,"&lt;="&amp;AH$4)</f>
        <v/>
      </c>
      <c r="AI55" s="17">
        <f>SUMIFS(ZB_EBITDA,ZB_Date,"&gt;="&amp;AI$3,ZB_Date,"&lt;="&amp;AI$4)</f>
        <v/>
      </c>
      <c r="AJ55" s="17">
        <f>SUMIFS(ZB_EBITDA,ZB_Date,"&gt;="&amp;AJ$3,ZB_Date,"&lt;="&amp;AJ$4)</f>
        <v/>
      </c>
      <c r="AK55" s="17">
        <f>SUMIFS(ZB_EBITDA,ZB_Date,"&gt;="&amp;AK$3,ZB_Date,"&lt;="&amp;AK$4)</f>
        <v/>
      </c>
      <c r="AL55" s="17">
        <f>SUMIFS(ZB_EBITDA,ZB_Date,"&gt;="&amp;AL$3,ZB_Date,"&lt;="&amp;AL$4)</f>
        <v/>
      </c>
      <c r="AM55" s="17">
        <f>SUMIFS(ZB_EBITDA,ZB_Date,"&gt;="&amp;AM$3,ZB_Date,"&lt;="&amp;AM$4)</f>
        <v/>
      </c>
      <c r="AN55" s="17">
        <f>SUMIFS(ZB_EBITDA,ZB_Date,"&gt;="&amp;AN$3,ZB_Date,"&lt;="&amp;AN$4)</f>
        <v/>
      </c>
    </row>
    <row r="56">
      <c r="C56" t="inlineStr">
        <is>
          <t>Tax depreciation share</t>
        </is>
      </c>
      <c r="D56" s="15" t="inlineStr">
        <is>
          <t>factor</t>
        </is>
      </c>
      <c r="E56" s="28">
        <f>In_COD+1</f>
        <v/>
      </c>
      <c r="F56" s="28">
        <f>EDATE(In_COD,In_Dep_Years*Months_In_Year)</f>
        <v/>
      </c>
      <c r="I56" s="39">
        <f>SUM(J56:AN56)</f>
        <v/>
      </c>
      <c r="J56" s="39">
        <f>MAX(0,MIN($F56,J$4)-MAX($E56,J$3)+1)/($F56-$E56+1)</f>
        <v/>
      </c>
      <c r="K56" s="39">
        <f>MAX(0,MIN($F56,K$4)-MAX($E56,K$3)+1)/($F56-$E56+1)</f>
        <v/>
      </c>
      <c r="L56" s="39">
        <f>MAX(0,MIN($F56,L$4)-MAX($E56,L$3)+1)/($F56-$E56+1)</f>
        <v/>
      </c>
      <c r="M56" s="39">
        <f>MAX(0,MIN($F56,M$4)-MAX($E56,M$3)+1)/($F56-$E56+1)</f>
        <v/>
      </c>
      <c r="N56" s="39">
        <f>MAX(0,MIN($F56,N$4)-MAX($E56,N$3)+1)/($F56-$E56+1)</f>
        <v/>
      </c>
      <c r="O56" s="39">
        <f>MAX(0,MIN($F56,O$4)-MAX($E56,O$3)+1)/($F56-$E56+1)</f>
        <v/>
      </c>
      <c r="P56" s="39">
        <f>MAX(0,MIN($F56,P$4)-MAX($E56,P$3)+1)/($F56-$E56+1)</f>
        <v/>
      </c>
      <c r="Q56" s="39">
        <f>MAX(0,MIN($F56,Q$4)-MAX($E56,Q$3)+1)/($F56-$E56+1)</f>
        <v/>
      </c>
      <c r="R56" s="39">
        <f>MAX(0,MIN($F56,R$4)-MAX($E56,R$3)+1)/($F56-$E56+1)</f>
        <v/>
      </c>
      <c r="S56" s="39">
        <f>MAX(0,MIN($F56,S$4)-MAX($E56,S$3)+1)/($F56-$E56+1)</f>
        <v/>
      </c>
      <c r="T56" s="39">
        <f>MAX(0,MIN($F56,T$4)-MAX($E56,T$3)+1)/($F56-$E56+1)</f>
        <v/>
      </c>
      <c r="U56" s="39">
        <f>MAX(0,MIN($F56,U$4)-MAX($E56,U$3)+1)/($F56-$E56+1)</f>
        <v/>
      </c>
      <c r="V56" s="39">
        <f>MAX(0,MIN($F56,V$4)-MAX($E56,V$3)+1)/($F56-$E56+1)</f>
        <v/>
      </c>
      <c r="W56" s="39">
        <f>MAX(0,MIN($F56,W$4)-MAX($E56,W$3)+1)/($F56-$E56+1)</f>
        <v/>
      </c>
      <c r="X56" s="39">
        <f>MAX(0,MIN($F56,X$4)-MAX($E56,X$3)+1)/($F56-$E56+1)</f>
        <v/>
      </c>
      <c r="Y56" s="39">
        <f>MAX(0,MIN($F56,Y$4)-MAX($E56,Y$3)+1)/($F56-$E56+1)</f>
        <v/>
      </c>
      <c r="Z56" s="39">
        <f>MAX(0,MIN($F56,Z$4)-MAX($E56,Z$3)+1)/($F56-$E56+1)</f>
        <v/>
      </c>
      <c r="AA56" s="39">
        <f>MAX(0,MIN($F56,AA$4)-MAX($E56,AA$3)+1)/($F56-$E56+1)</f>
        <v/>
      </c>
      <c r="AB56" s="39">
        <f>MAX(0,MIN($F56,AB$4)-MAX($E56,AB$3)+1)/($F56-$E56+1)</f>
        <v/>
      </c>
      <c r="AC56" s="39">
        <f>MAX(0,MIN($F56,AC$4)-MAX($E56,AC$3)+1)/($F56-$E56+1)</f>
        <v/>
      </c>
      <c r="AD56" s="39">
        <f>MAX(0,MIN($F56,AD$4)-MAX($E56,AD$3)+1)/($F56-$E56+1)</f>
        <v/>
      </c>
      <c r="AE56" s="39">
        <f>MAX(0,MIN($F56,AE$4)-MAX($E56,AE$3)+1)/($F56-$E56+1)</f>
        <v/>
      </c>
      <c r="AF56" s="39">
        <f>MAX(0,MIN($F56,AF$4)-MAX($E56,AF$3)+1)/($F56-$E56+1)</f>
        <v/>
      </c>
      <c r="AG56" s="39">
        <f>MAX(0,MIN($F56,AG$4)-MAX($E56,AG$3)+1)/($F56-$E56+1)</f>
        <v/>
      </c>
      <c r="AH56" s="39">
        <f>MAX(0,MIN($F56,AH$4)-MAX($E56,AH$3)+1)/($F56-$E56+1)</f>
        <v/>
      </c>
      <c r="AI56" s="39">
        <f>MAX(0,MIN($F56,AI$4)-MAX($E56,AI$3)+1)/($F56-$E56+1)</f>
        <v/>
      </c>
      <c r="AJ56" s="39">
        <f>MAX(0,MIN($F56,AJ$4)-MAX($E56,AJ$3)+1)/($F56-$E56+1)</f>
        <v/>
      </c>
      <c r="AK56" s="39">
        <f>MAX(0,MIN($F56,AK$4)-MAX($E56,AK$3)+1)/($F56-$E56+1)</f>
        <v/>
      </c>
      <c r="AL56" s="39">
        <f>MAX(0,MIN($F56,AL$4)-MAX($E56,AL$3)+1)/($F56-$E56+1)</f>
        <v/>
      </c>
      <c r="AM56" s="39">
        <f>MAX(0,MIN($F56,AM$4)-MAX($E56,AM$3)+1)/($F56-$E56+1)</f>
        <v/>
      </c>
      <c r="AN56" s="39">
        <f>MAX(0,MIN($F56,AN$4)-MAX($E56,AN$3)+1)/($F56-$E56+1)</f>
        <v/>
      </c>
    </row>
    <row r="57">
      <c r="C57" t="inlineStr">
        <is>
          <t>Tax depreciation base, zero bid (F: non-delivery)</t>
        </is>
      </c>
      <c r="D57" s="15" t="inlineStr">
        <is>
          <t>EUR k</t>
        </is>
      </c>
      <c r="E57" s="44">
        <f>In_ZB_Tax_Base</f>
        <v/>
      </c>
      <c r="F57" s="17">
        <f>$E57-$E37</f>
        <v/>
      </c>
    </row>
    <row r="58">
      <c r="C58" s="18" t="inlineStr">
        <is>
          <t>Buyer cash flow: A, original plan, buyer bears the PB</t>
        </is>
      </c>
      <c r="D58" s="15" t="inlineStr">
        <is>
          <t>EUR k</t>
        </is>
      </c>
      <c r="E58" s="20">
        <f>XIRR($J58:$AN58,$J53:$AN53)</f>
        <v/>
      </c>
      <c r="F58" s="20">
        <f>XNPV(In_Rate,$J58:$AN58,$J53:$AN53)</f>
        <v/>
      </c>
      <c r="I58" s="20">
        <f>SUM(J58:AN58)</f>
        <v/>
      </c>
      <c r="J58" s="20">
        <f>J54-In_CIT*MAX(0,J54-In_BC_Tax_Base*J56)-In_COD_Price*In_Wind_ND*J51+$E42*J52</f>
        <v/>
      </c>
      <c r="K58" s="20">
        <f>K54-In_CIT*MAX(0,K54-In_BC_Tax_Base*K56)-In_COD_Price*In_Wind_ND*K51+$E42*K52</f>
        <v/>
      </c>
      <c r="L58" s="20">
        <f>L54-In_CIT*MAX(0,L54-In_BC_Tax_Base*L56)-In_COD_Price*In_Wind_ND*L51+$E42*L52</f>
        <v/>
      </c>
      <c r="M58" s="20">
        <f>M54-In_CIT*MAX(0,M54-In_BC_Tax_Base*M56)-In_COD_Price*In_Wind_ND*M51+$E42*M52</f>
        <v/>
      </c>
      <c r="N58" s="20">
        <f>N54-In_CIT*MAX(0,N54-In_BC_Tax_Base*N56)-In_COD_Price*In_Wind_ND*N51+$E42*N52</f>
        <v/>
      </c>
      <c r="O58" s="20">
        <f>O54-In_CIT*MAX(0,O54-In_BC_Tax_Base*O56)-In_COD_Price*In_Wind_ND*O51+$E42*O52</f>
        <v/>
      </c>
      <c r="P58" s="20">
        <f>P54-In_CIT*MAX(0,P54-In_BC_Tax_Base*P56)-In_COD_Price*In_Wind_ND*P51+$E42*P52</f>
        <v/>
      </c>
      <c r="Q58" s="20">
        <f>Q54-In_CIT*MAX(0,Q54-In_BC_Tax_Base*Q56)-In_COD_Price*In_Wind_ND*Q51+$E42*Q52</f>
        <v/>
      </c>
      <c r="R58" s="20">
        <f>R54-In_CIT*MAX(0,R54-In_BC_Tax_Base*R56)-In_COD_Price*In_Wind_ND*R51+$E42*R52</f>
        <v/>
      </c>
      <c r="S58" s="20">
        <f>S54-In_CIT*MAX(0,S54-In_BC_Tax_Base*S56)-In_COD_Price*In_Wind_ND*S51+$E42*S52</f>
        <v/>
      </c>
      <c r="T58" s="20">
        <f>T54-In_CIT*MAX(0,T54-In_BC_Tax_Base*T56)-In_COD_Price*In_Wind_ND*T51+$E42*T52</f>
        <v/>
      </c>
      <c r="U58" s="20">
        <f>U54-In_CIT*MAX(0,U54-In_BC_Tax_Base*U56)-In_COD_Price*In_Wind_ND*U51+$E42*U52</f>
        <v/>
      </c>
      <c r="V58" s="20">
        <f>V54-In_CIT*MAX(0,V54-In_BC_Tax_Base*V56)-In_COD_Price*In_Wind_ND*V51+$E42*V52</f>
        <v/>
      </c>
      <c r="W58" s="20">
        <f>W54-In_CIT*MAX(0,W54-In_BC_Tax_Base*W56)-In_COD_Price*In_Wind_ND*W51+$E42*W52</f>
        <v/>
      </c>
      <c r="X58" s="20">
        <f>X54-In_CIT*MAX(0,X54-In_BC_Tax_Base*X56)-In_COD_Price*In_Wind_ND*X51+$E42*X52</f>
        <v/>
      </c>
      <c r="Y58" s="20">
        <f>Y54-In_CIT*MAX(0,Y54-In_BC_Tax_Base*Y56)-In_COD_Price*In_Wind_ND*Y51+$E42*Y52</f>
        <v/>
      </c>
      <c r="Z58" s="20">
        <f>Z54-In_CIT*MAX(0,Z54-In_BC_Tax_Base*Z56)-In_COD_Price*In_Wind_ND*Z51+$E42*Z52</f>
        <v/>
      </c>
      <c r="AA58" s="20">
        <f>AA54-In_CIT*MAX(0,AA54-In_BC_Tax_Base*AA56)-In_COD_Price*In_Wind_ND*AA51+$E42*AA52</f>
        <v/>
      </c>
      <c r="AB58" s="20">
        <f>AB54-In_CIT*MAX(0,AB54-In_BC_Tax_Base*AB56)-In_COD_Price*In_Wind_ND*AB51+$E42*AB52</f>
        <v/>
      </c>
      <c r="AC58" s="20">
        <f>AC54-In_CIT*MAX(0,AC54-In_BC_Tax_Base*AC56)-In_COD_Price*In_Wind_ND*AC51+$E42*AC52</f>
        <v/>
      </c>
      <c r="AD58" s="20">
        <f>AD54-In_CIT*MAX(0,AD54-In_BC_Tax_Base*AD56)-In_COD_Price*In_Wind_ND*AD51+$E42*AD52</f>
        <v/>
      </c>
      <c r="AE58" s="20">
        <f>AE54-In_CIT*MAX(0,AE54-In_BC_Tax_Base*AE56)-In_COD_Price*In_Wind_ND*AE51+$E42*AE52</f>
        <v/>
      </c>
      <c r="AF58" s="20">
        <f>AF54-In_CIT*MAX(0,AF54-In_BC_Tax_Base*AF56)-In_COD_Price*In_Wind_ND*AF51+$E42*AF52</f>
        <v/>
      </c>
      <c r="AG58" s="20">
        <f>AG54-In_CIT*MAX(0,AG54-In_BC_Tax_Base*AG56)-In_COD_Price*In_Wind_ND*AG51+$E42*AG52</f>
        <v/>
      </c>
      <c r="AH58" s="20">
        <f>AH54-In_CIT*MAX(0,AH54-In_BC_Tax_Base*AH56)-In_COD_Price*In_Wind_ND*AH51+$E42*AH52</f>
        <v/>
      </c>
      <c r="AI58" s="20">
        <f>AI54-In_CIT*MAX(0,AI54-In_BC_Tax_Base*AI56)-In_COD_Price*In_Wind_ND*AI51+$E42*AI52</f>
        <v/>
      </c>
      <c r="AJ58" s="20">
        <f>AJ54-In_CIT*MAX(0,AJ54-In_BC_Tax_Base*AJ56)-In_COD_Price*In_Wind_ND*AJ51+$E42*AJ52</f>
        <v/>
      </c>
      <c r="AK58" s="20">
        <f>AK54-In_CIT*MAX(0,AK54-In_BC_Tax_Base*AK56)-In_COD_Price*In_Wind_ND*AK51+$E42*AK52</f>
        <v/>
      </c>
      <c r="AL58" s="20">
        <f>AL54-In_CIT*MAX(0,AL54-In_BC_Tax_Base*AL56)-In_COD_Price*In_Wind_ND*AL51+$E42*AL52</f>
        <v/>
      </c>
      <c r="AM58" s="20">
        <f>AM54-In_CIT*MAX(0,AM54-In_BC_Tax_Base*AM56)-In_COD_Price*In_Wind_ND*AM51+$E42*AM52</f>
        <v/>
      </c>
      <c r="AN58" s="20">
        <f>AN54-In_CIT*MAX(0,AN54-In_BC_Tax_Base*AN56)-In_COD_Price*In_Wind_ND*AN51+$E42*AN52</f>
        <v/>
      </c>
    </row>
    <row r="59">
      <c r="C59" t="inlineStr">
        <is>
          <t>Buyer cash flow: non-delivery, seller bears the PB</t>
        </is>
      </c>
      <c r="D59" s="15" t="inlineStr">
        <is>
          <t>EUR k</t>
        </is>
      </c>
      <c r="E59" s="17">
        <f>XIRR($J59:$AN59,$J53:$AN53)</f>
        <v/>
      </c>
      <c r="F59" s="17">
        <f>XNPV(In_Rate,$J59:$AN59,$J53:$AN53)</f>
        <v/>
      </c>
      <c r="I59" s="17">
        <f>SUM(J59:AN59)</f>
        <v/>
      </c>
      <c r="J59" s="17">
        <f>J55-In_CIT*MAX(0,J55-$F57*J56)-In_COD_Price*In_Wind_ND*J51</f>
        <v/>
      </c>
      <c r="K59" s="17">
        <f>K55-In_CIT*MAX(0,K55-$F57*K56)-In_COD_Price*In_Wind_ND*K51</f>
        <v/>
      </c>
      <c r="L59" s="17">
        <f>L55-In_CIT*MAX(0,L55-$F57*L56)-In_COD_Price*In_Wind_ND*L51</f>
        <v/>
      </c>
      <c r="M59" s="17">
        <f>M55-In_CIT*MAX(0,M55-$F57*M56)-In_COD_Price*In_Wind_ND*M51</f>
        <v/>
      </c>
      <c r="N59" s="17">
        <f>N55-In_CIT*MAX(0,N55-$F57*N56)-In_COD_Price*In_Wind_ND*N51</f>
        <v/>
      </c>
      <c r="O59" s="17">
        <f>O55-In_CIT*MAX(0,O55-$F57*O56)-In_COD_Price*In_Wind_ND*O51</f>
        <v/>
      </c>
      <c r="P59" s="17">
        <f>P55-In_CIT*MAX(0,P55-$F57*P56)-In_COD_Price*In_Wind_ND*P51</f>
        <v/>
      </c>
      <c r="Q59" s="17">
        <f>Q55-In_CIT*MAX(0,Q55-$F57*Q56)-In_COD_Price*In_Wind_ND*Q51</f>
        <v/>
      </c>
      <c r="R59" s="17">
        <f>R55-In_CIT*MAX(0,R55-$F57*R56)-In_COD_Price*In_Wind_ND*R51</f>
        <v/>
      </c>
      <c r="S59" s="17">
        <f>S55-In_CIT*MAX(0,S55-$F57*S56)-In_COD_Price*In_Wind_ND*S51</f>
        <v/>
      </c>
      <c r="T59" s="17">
        <f>T55-In_CIT*MAX(0,T55-$F57*T56)-In_COD_Price*In_Wind_ND*T51</f>
        <v/>
      </c>
      <c r="U59" s="17">
        <f>U55-In_CIT*MAX(0,U55-$F57*U56)-In_COD_Price*In_Wind_ND*U51</f>
        <v/>
      </c>
      <c r="V59" s="17">
        <f>V55-In_CIT*MAX(0,V55-$F57*V56)-In_COD_Price*In_Wind_ND*V51</f>
        <v/>
      </c>
      <c r="W59" s="17">
        <f>W55-In_CIT*MAX(0,W55-$F57*W56)-In_COD_Price*In_Wind_ND*W51</f>
        <v/>
      </c>
      <c r="X59" s="17">
        <f>X55-In_CIT*MAX(0,X55-$F57*X56)-In_COD_Price*In_Wind_ND*X51</f>
        <v/>
      </c>
      <c r="Y59" s="17">
        <f>Y55-In_CIT*MAX(0,Y55-$F57*Y56)-In_COD_Price*In_Wind_ND*Y51</f>
        <v/>
      </c>
      <c r="Z59" s="17">
        <f>Z55-In_CIT*MAX(0,Z55-$F57*Z56)-In_COD_Price*In_Wind_ND*Z51</f>
        <v/>
      </c>
      <c r="AA59" s="17">
        <f>AA55-In_CIT*MAX(0,AA55-$F57*AA56)-In_COD_Price*In_Wind_ND*AA51</f>
        <v/>
      </c>
      <c r="AB59" s="17">
        <f>AB55-In_CIT*MAX(0,AB55-$F57*AB56)-In_COD_Price*In_Wind_ND*AB51</f>
        <v/>
      </c>
      <c r="AC59" s="17">
        <f>AC55-In_CIT*MAX(0,AC55-$F57*AC56)-In_COD_Price*In_Wind_ND*AC51</f>
        <v/>
      </c>
      <c r="AD59" s="17">
        <f>AD55-In_CIT*MAX(0,AD55-$F57*AD56)-In_COD_Price*In_Wind_ND*AD51</f>
        <v/>
      </c>
      <c r="AE59" s="17">
        <f>AE55-In_CIT*MAX(0,AE55-$F57*AE56)-In_COD_Price*In_Wind_ND*AE51</f>
        <v/>
      </c>
      <c r="AF59" s="17">
        <f>AF55-In_CIT*MAX(0,AF55-$F57*AF56)-In_COD_Price*In_Wind_ND*AF51</f>
        <v/>
      </c>
      <c r="AG59" s="17">
        <f>AG55-In_CIT*MAX(0,AG55-$F57*AG56)-In_COD_Price*In_Wind_ND*AG51</f>
        <v/>
      </c>
      <c r="AH59" s="17">
        <f>AH55-In_CIT*MAX(0,AH55-$F57*AH56)-In_COD_Price*In_Wind_ND*AH51</f>
        <v/>
      </c>
      <c r="AI59" s="17">
        <f>AI55-In_CIT*MAX(0,AI55-$F57*AI56)-In_COD_Price*In_Wind_ND*AI51</f>
        <v/>
      </c>
      <c r="AJ59" s="17">
        <f>AJ55-In_CIT*MAX(0,AJ55-$F57*AJ56)-In_COD_Price*In_Wind_ND*AJ51</f>
        <v/>
      </c>
      <c r="AK59" s="17">
        <f>AK55-In_CIT*MAX(0,AK55-$F57*AK56)-In_COD_Price*In_Wind_ND*AK51</f>
        <v/>
      </c>
      <c r="AL59" s="17">
        <f>AL55-In_CIT*MAX(0,AL55-$F57*AL56)-In_COD_Price*In_Wind_ND*AL51</f>
        <v/>
      </c>
      <c r="AM59" s="17">
        <f>AM55-In_CIT*MAX(0,AM55-$F57*AM56)-In_COD_Price*In_Wind_ND*AM51</f>
        <v/>
      </c>
      <c r="AN59" s="17">
        <f>AN55-In_CIT*MAX(0,AN55-$F57*AN56)-In_COD_Price*In_Wind_ND*AN51</f>
        <v/>
      </c>
    </row>
    <row r="60">
      <c r="C60" s="18" t="inlineStr">
        <is>
          <t>Buyer cash flow: B, non-delivery, buyer bears the PB</t>
        </is>
      </c>
      <c r="D60" s="15" t="inlineStr">
        <is>
          <t>EUR k</t>
        </is>
      </c>
      <c r="E60" s="20">
        <f>XIRR($J60:$AN60,$J53:$AN53)</f>
        <v/>
      </c>
      <c r="F60" s="20">
        <f>XNPV(In_Rate,$J60:$AN60,$J53:$AN53)</f>
        <v/>
      </c>
      <c r="I60" s="20">
        <f>SUM(J60:AN60)</f>
        <v/>
      </c>
      <c r="J60" s="20">
        <f>J59+$E42*J52</f>
        <v/>
      </c>
      <c r="K60" s="20">
        <f>K59+$E42*K52</f>
        <v/>
      </c>
      <c r="L60" s="20">
        <f>L59+$E42*L52</f>
        <v/>
      </c>
      <c r="M60" s="20">
        <f>M59+$E42*M52</f>
        <v/>
      </c>
      <c r="N60" s="20">
        <f>N59+$E42*N52</f>
        <v/>
      </c>
      <c r="O60" s="20">
        <f>O59+$E42*O52</f>
        <v/>
      </c>
      <c r="P60" s="20">
        <f>P59+$E42*P52</f>
        <v/>
      </c>
      <c r="Q60" s="20">
        <f>Q59+$E42*Q52</f>
        <v/>
      </c>
      <c r="R60" s="20">
        <f>R59+$E42*R52</f>
        <v/>
      </c>
      <c r="S60" s="20">
        <f>S59+$E42*S52</f>
        <v/>
      </c>
      <c r="T60" s="20">
        <f>T59+$E42*T52</f>
        <v/>
      </c>
      <c r="U60" s="20">
        <f>U59+$E42*U52</f>
        <v/>
      </c>
      <c r="V60" s="20">
        <f>V59+$E42*V52</f>
        <v/>
      </c>
      <c r="W60" s="20">
        <f>W59+$E42*W52</f>
        <v/>
      </c>
      <c r="X60" s="20">
        <f>X59+$E42*X52</f>
        <v/>
      </c>
      <c r="Y60" s="20">
        <f>Y59+$E42*Y52</f>
        <v/>
      </c>
      <c r="Z60" s="20">
        <f>Z59+$E42*Z52</f>
        <v/>
      </c>
      <c r="AA60" s="20">
        <f>AA59+$E42*AA52</f>
        <v/>
      </c>
      <c r="AB60" s="20">
        <f>AB59+$E42*AB52</f>
        <v/>
      </c>
      <c r="AC60" s="20">
        <f>AC59+$E42*AC52</f>
        <v/>
      </c>
      <c r="AD60" s="20">
        <f>AD59+$E42*AD52</f>
        <v/>
      </c>
      <c r="AE60" s="20">
        <f>AE59+$E42*AE52</f>
        <v/>
      </c>
      <c r="AF60" s="20">
        <f>AF59+$E42*AF52</f>
        <v/>
      </c>
      <c r="AG60" s="20">
        <f>AG59+$E42*AG52</f>
        <v/>
      </c>
      <c r="AH60" s="20">
        <f>AH59+$E42*AH52</f>
        <v/>
      </c>
      <c r="AI60" s="20">
        <f>AI59+$E42*AI52</f>
        <v/>
      </c>
      <c r="AJ60" s="20">
        <f>AJ59+$E42*AJ52</f>
        <v/>
      </c>
      <c r="AK60" s="20">
        <f>AK59+$E42*AK52</f>
        <v/>
      </c>
      <c r="AL60" s="20">
        <f>AL59+$E42*AL52</f>
        <v/>
      </c>
      <c r="AM60" s="20">
        <f>AM59+$E42*AM52</f>
        <v/>
      </c>
      <c r="AN60" s="20">
        <f>AN59+$E42*AN52</f>
        <v/>
      </c>
    </row>
    <row r="61">
      <c r="C61" t="inlineStr">
        <is>
          <t>Buyer cash flow: zero bid, no call (reference)</t>
        </is>
      </c>
      <c r="D61" s="15" t="inlineStr">
        <is>
          <t>EUR k</t>
        </is>
      </c>
      <c r="E61" s="17">
        <f>XIRR($J61:$AN61,$J53:$AN53)</f>
        <v/>
      </c>
      <c r="F61" s="17">
        <f>XNPV(In_Rate,$J61:$AN61,$J53:$AN53)</f>
        <v/>
      </c>
      <c r="I61" s="17">
        <f>SUM(J61:AN61)</f>
        <v/>
      </c>
      <c r="J61" s="17">
        <f>J55-In_CIT*MAX(0,J55-$E57*J56)-In_COD_Price*In_Wind_ND*J51</f>
        <v/>
      </c>
      <c r="K61" s="17">
        <f>K55-In_CIT*MAX(0,K55-$E57*K56)-In_COD_Price*In_Wind_ND*K51</f>
        <v/>
      </c>
      <c r="L61" s="17">
        <f>L55-In_CIT*MAX(0,L55-$E57*L56)-In_COD_Price*In_Wind_ND*L51</f>
        <v/>
      </c>
      <c r="M61" s="17">
        <f>M55-In_CIT*MAX(0,M55-$E57*M56)-In_COD_Price*In_Wind_ND*M51</f>
        <v/>
      </c>
      <c r="N61" s="17">
        <f>N55-In_CIT*MAX(0,N55-$E57*N56)-In_COD_Price*In_Wind_ND*N51</f>
        <v/>
      </c>
      <c r="O61" s="17">
        <f>O55-In_CIT*MAX(0,O55-$E57*O56)-In_COD_Price*In_Wind_ND*O51</f>
        <v/>
      </c>
      <c r="P61" s="17">
        <f>P55-In_CIT*MAX(0,P55-$E57*P56)-In_COD_Price*In_Wind_ND*P51</f>
        <v/>
      </c>
      <c r="Q61" s="17">
        <f>Q55-In_CIT*MAX(0,Q55-$E57*Q56)-In_COD_Price*In_Wind_ND*Q51</f>
        <v/>
      </c>
      <c r="R61" s="17">
        <f>R55-In_CIT*MAX(0,R55-$E57*R56)-In_COD_Price*In_Wind_ND*R51</f>
        <v/>
      </c>
      <c r="S61" s="17">
        <f>S55-In_CIT*MAX(0,S55-$E57*S56)-In_COD_Price*In_Wind_ND*S51</f>
        <v/>
      </c>
      <c r="T61" s="17">
        <f>T55-In_CIT*MAX(0,T55-$E57*T56)-In_COD_Price*In_Wind_ND*T51</f>
        <v/>
      </c>
      <c r="U61" s="17">
        <f>U55-In_CIT*MAX(0,U55-$E57*U56)-In_COD_Price*In_Wind_ND*U51</f>
        <v/>
      </c>
      <c r="V61" s="17">
        <f>V55-In_CIT*MAX(0,V55-$E57*V56)-In_COD_Price*In_Wind_ND*V51</f>
        <v/>
      </c>
      <c r="W61" s="17">
        <f>W55-In_CIT*MAX(0,W55-$E57*W56)-In_COD_Price*In_Wind_ND*W51</f>
        <v/>
      </c>
      <c r="X61" s="17">
        <f>X55-In_CIT*MAX(0,X55-$E57*X56)-In_COD_Price*In_Wind_ND*X51</f>
        <v/>
      </c>
      <c r="Y61" s="17">
        <f>Y55-In_CIT*MAX(0,Y55-$E57*Y56)-In_COD_Price*In_Wind_ND*Y51</f>
        <v/>
      </c>
      <c r="Z61" s="17">
        <f>Z55-In_CIT*MAX(0,Z55-$E57*Z56)-In_COD_Price*In_Wind_ND*Z51</f>
        <v/>
      </c>
      <c r="AA61" s="17">
        <f>AA55-In_CIT*MAX(0,AA55-$E57*AA56)-In_COD_Price*In_Wind_ND*AA51</f>
        <v/>
      </c>
      <c r="AB61" s="17">
        <f>AB55-In_CIT*MAX(0,AB55-$E57*AB56)-In_COD_Price*In_Wind_ND*AB51</f>
        <v/>
      </c>
      <c r="AC61" s="17">
        <f>AC55-In_CIT*MAX(0,AC55-$E57*AC56)-In_COD_Price*In_Wind_ND*AC51</f>
        <v/>
      </c>
      <c r="AD61" s="17">
        <f>AD55-In_CIT*MAX(0,AD55-$E57*AD56)-In_COD_Price*In_Wind_ND*AD51</f>
        <v/>
      </c>
      <c r="AE61" s="17">
        <f>AE55-In_CIT*MAX(0,AE55-$E57*AE56)-In_COD_Price*In_Wind_ND*AE51</f>
        <v/>
      </c>
      <c r="AF61" s="17">
        <f>AF55-In_CIT*MAX(0,AF55-$E57*AF56)-In_COD_Price*In_Wind_ND*AF51</f>
        <v/>
      </c>
      <c r="AG61" s="17">
        <f>AG55-In_CIT*MAX(0,AG55-$E57*AG56)-In_COD_Price*In_Wind_ND*AG51</f>
        <v/>
      </c>
      <c r="AH61" s="17">
        <f>AH55-In_CIT*MAX(0,AH55-$E57*AH56)-In_COD_Price*In_Wind_ND*AH51</f>
        <v/>
      </c>
      <c r="AI61" s="17">
        <f>AI55-In_CIT*MAX(0,AI55-$E57*AI56)-In_COD_Price*In_Wind_ND*AI51</f>
        <v/>
      </c>
      <c r="AJ61" s="17">
        <f>AJ55-In_CIT*MAX(0,AJ55-$E57*AJ56)-In_COD_Price*In_Wind_ND*AJ51</f>
        <v/>
      </c>
      <c r="AK61" s="17">
        <f>AK55-In_CIT*MAX(0,AK55-$E57*AK56)-In_COD_Price*In_Wind_ND*AK51</f>
        <v/>
      </c>
      <c r="AL61" s="17">
        <f>AL55-In_CIT*MAX(0,AL55-$E57*AL56)-In_COD_Price*In_Wind_ND*AL51</f>
        <v/>
      </c>
      <c r="AM61" s="17">
        <f>AM55-In_CIT*MAX(0,AM55-$E57*AM56)-In_COD_Price*In_Wind_ND*AM51</f>
        <v/>
      </c>
      <c r="AN61" s="17">
        <f>AN55-In_CIT*MAX(0,AN55-$E57*AN56)-In_COD_Price*In_Wind_ND*AN51</f>
        <v/>
      </c>
    </row>
    <row r="62">
      <c r="C62" t="inlineStr">
        <is>
          <t>IRR change, B less A</t>
        </is>
      </c>
      <c r="D62" s="15" t="inlineStr">
        <is>
          <t>%</t>
        </is>
      </c>
      <c r="E62" s="36">
        <f>$E60-$E58</f>
        <v/>
      </c>
    </row>
    <row r="64">
      <c r="C64" s="11" t="inlineStr">
        <is>
          <t>***END***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N22"/>
  <sheetViews>
    <sheetView showGridLines="0" workbookViewId="0">
      <pane xSplit="9" ySplit="9" topLeftCell="J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" customWidth="1" min="2" max="2"/>
    <col width="48" customWidth="1" min="3" max="3"/>
    <col width="10" customWidth="1" min="4" max="4"/>
    <col width="12" customWidth="1" min="5" max="5"/>
    <col width="12" customWidth="1" min="6" max="6"/>
    <col width="2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hidden="1" outlineLevel="1" width="13" customWidth="1" min="41" max="16384"/>
  </cols>
  <sheetData>
    <row r="2">
      <c r="A2" s="1" t="n"/>
      <c r="B2" s="1">
        <f>Cover!$C$3&amp;" – Checks"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</row>
    <row r="4">
      <c r="C4" t="inlineStr">
        <is>
          <t>Period end</t>
        </is>
      </c>
      <c r="J4" s="42">
        <f>Calc!J$4</f>
        <v/>
      </c>
      <c r="K4" s="42">
        <f>Calc!K$4</f>
        <v/>
      </c>
      <c r="L4" s="42">
        <f>Calc!L$4</f>
        <v/>
      </c>
      <c r="M4" s="42">
        <f>Calc!M$4</f>
        <v/>
      </c>
      <c r="N4" s="42">
        <f>Calc!N$4</f>
        <v/>
      </c>
      <c r="O4" s="42">
        <f>Calc!O$4</f>
        <v/>
      </c>
      <c r="P4" s="42">
        <f>Calc!P$4</f>
        <v/>
      </c>
      <c r="Q4" s="42">
        <f>Calc!Q$4</f>
        <v/>
      </c>
      <c r="R4" s="42">
        <f>Calc!R$4</f>
        <v/>
      </c>
      <c r="S4" s="42">
        <f>Calc!S$4</f>
        <v/>
      </c>
      <c r="T4" s="42">
        <f>Calc!T$4</f>
        <v/>
      </c>
      <c r="U4" s="42">
        <f>Calc!U$4</f>
        <v/>
      </c>
      <c r="V4" s="42">
        <f>Calc!V$4</f>
        <v/>
      </c>
      <c r="W4" s="42">
        <f>Calc!W$4</f>
        <v/>
      </c>
      <c r="X4" s="42">
        <f>Calc!X$4</f>
        <v/>
      </c>
      <c r="Y4" s="42">
        <f>Calc!Y$4</f>
        <v/>
      </c>
      <c r="Z4" s="42">
        <f>Calc!Z$4</f>
        <v/>
      </c>
      <c r="AA4" s="42">
        <f>Calc!AA$4</f>
        <v/>
      </c>
      <c r="AB4" s="42">
        <f>Calc!AB$4</f>
        <v/>
      </c>
      <c r="AC4" s="42">
        <f>Calc!AC$4</f>
        <v/>
      </c>
      <c r="AD4" s="42">
        <f>Calc!AD$4</f>
        <v/>
      </c>
      <c r="AE4" s="42">
        <f>Calc!AE$4</f>
        <v/>
      </c>
      <c r="AF4" s="42">
        <f>Calc!AF$4</f>
        <v/>
      </c>
      <c r="AG4" s="42">
        <f>Calc!AG$4</f>
        <v/>
      </c>
      <c r="AH4" s="42">
        <f>Calc!AH$4</f>
        <v/>
      </c>
      <c r="AI4" s="42">
        <f>Calc!AI$4</f>
        <v/>
      </c>
      <c r="AJ4" s="42">
        <f>Calc!AJ$4</f>
        <v/>
      </c>
      <c r="AK4" s="42">
        <f>Calc!AK$4</f>
        <v/>
      </c>
      <c r="AL4" s="42">
        <f>Calc!AL$4</f>
        <v/>
      </c>
      <c r="AM4" s="42">
        <f>Calc!AM$4</f>
        <v/>
      </c>
      <c r="AN4" s="42">
        <f>Calc!AN$4</f>
        <v/>
      </c>
    </row>
    <row r="9">
      <c r="E9" s="13" t="inlineStr">
        <is>
          <t>Status</t>
        </is>
      </c>
      <c r="F9" s="13" t="inlineStr">
        <is>
          <t>Fails</t>
        </is>
      </c>
    </row>
    <row r="11">
      <c r="A11" s="5" t="inlineStr">
        <is>
          <t>x</t>
        </is>
      </c>
      <c r="B11" s="5" t="n"/>
      <c r="C11" s="5" t="inlineStr">
        <is>
          <t>Checks (0 = OK)</t>
        </is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</row>
    <row r="12">
      <c r="C12" t="inlineStr">
        <is>
          <t>Overbuild capex: elements = total</t>
        </is>
      </c>
      <c r="D12" s="15" t="inlineStr">
        <is>
          <t>flag</t>
        </is>
      </c>
      <c r="E12" s="45">
        <f>IF(F12=0,"OK","CHECK")</f>
        <v/>
      </c>
      <c r="F12" s="43">
        <f>--(ABS(SUM(Calc!$E$26:$E$32)-Calc!$E33)&gt;Tolerance)</f>
        <v/>
      </c>
    </row>
    <row r="13">
      <c r="C13" t="inlineStr">
        <is>
          <t>PB per bid = Bora model PB (EUR 6,993.6 k)</t>
        </is>
      </c>
      <c r="D13" s="15" t="inlineStr">
        <is>
          <t>flag</t>
        </is>
      </c>
      <c r="E13" s="45">
        <f>IF(F13=0,"OK","CHECK")</f>
        <v/>
      </c>
      <c r="F13" s="43">
        <f>--(ABS(-Calc!$E42-In_Bora_PB)&gt;Tolerance)</f>
        <v/>
      </c>
    </row>
    <row r="14">
      <c r="C14" t="inlineStr">
        <is>
          <t>Community PV: XNPV = SUMPRODUCT</t>
        </is>
      </c>
      <c r="D14" s="15" t="inlineStr">
        <is>
          <t>flag</t>
        </is>
      </c>
      <c r="E14" s="45">
        <f>IF(F14=0,"OK","CHECK")</f>
        <v/>
      </c>
      <c r="F14" s="43">
        <f>--(ABS(Calc!$E22-Calc!$E36)&gt;Tolerance)</f>
        <v/>
      </c>
    </row>
    <row r="15">
      <c r="C15" t="inlineStr">
        <is>
          <t>Base-case data: revenue + opex = EBITDA</t>
        </is>
      </c>
      <c r="D15" s="15" t="inlineStr">
        <is>
          <t>flag</t>
        </is>
      </c>
      <c r="E15" s="45">
        <f>IF(F15=0,"OK","CHECK")</f>
        <v/>
      </c>
      <c r="F15" s="43">
        <f>--(ABS(SUM(BC_Revenue)+SUM(BC_Opex)-SUM(BC_EBITDA))&gt;Tolerance)</f>
        <v/>
      </c>
    </row>
    <row r="16">
      <c r="C16" t="inlineStr">
        <is>
          <t>Base-case EBITDA all on the timeline</t>
        </is>
      </c>
      <c r="D16" s="15" t="inlineStr">
        <is>
          <t>flag</t>
        </is>
      </c>
      <c r="E16" s="45">
        <f>IF(F16=0,"OK","CHECK")</f>
        <v/>
      </c>
      <c r="F16" s="43">
        <f>--(ABS(SUM(BC_EBITDA)-Calc!$I54)&gt;Tolerance)</f>
        <v/>
      </c>
    </row>
    <row r="17">
      <c r="C17" t="inlineStr">
        <is>
          <t>Zero-bid data: revenue + opex = EBITDA</t>
        </is>
      </c>
      <c r="D17" s="15" t="inlineStr">
        <is>
          <t>flag</t>
        </is>
      </c>
      <c r="E17" s="45">
        <f>IF(F17=0,"OK","CHECK")</f>
        <v/>
      </c>
      <c r="F17" s="43">
        <f>--(ABS(SUM(ZB_Revenue)+SUM(ZB_Opex)-SUM(ZB_EBITDA))&gt;Tolerance)</f>
        <v/>
      </c>
    </row>
    <row r="18">
      <c r="C18" t="inlineStr">
        <is>
          <t>Zero-bid EBITDA all on the timeline</t>
        </is>
      </c>
      <c r="D18" s="15" t="inlineStr">
        <is>
          <t>flag</t>
        </is>
      </c>
      <c r="E18" s="45">
        <f>IF(F18=0,"OK","CHECK")</f>
        <v/>
      </c>
      <c r="F18" s="43">
        <f>--(ABS(SUM(ZB_EBITDA)-Calc!$I55)&gt;Tolerance)</f>
        <v/>
      </c>
    </row>
    <row r="20">
      <c r="C20" s="18" t="inlineStr">
        <is>
          <t>Master check</t>
        </is>
      </c>
      <c r="E20" s="25">
        <f>IF(F20=0,"OK","CHECK")</f>
        <v/>
      </c>
      <c r="F20" s="46">
        <f>SUMPRODUCT(ABS(F12:F18))</f>
        <v/>
      </c>
    </row>
    <row r="22">
      <c r="C22" s="11" t="inlineStr">
        <is>
          <t>***END***</t>
        </is>
      </c>
    </row>
  </sheetData>
  <conditionalFormatting sqref="E12:E20">
    <cfRule type="cellIs" priority="1" operator="equal" dxfId="0">
      <formula>"OK"</formula>
    </cfRule>
    <cfRule type="cellIs" priority="2" operator="equal" dxfId="1">
      <formula>"CHECK"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2026-10-15T07:18:09Z</dcterms:created>
  <dcterms:modified xmlns:dcterms="http://purl.org/dc/terms/" xmlns:xsi="http://www.w3.org/2001/XMLSchema-instance" xsi:type="dcterms:W3CDTF">2026-10-15T07:18:09Z</dcterms:modified>
</cp:coreProperties>
</file>