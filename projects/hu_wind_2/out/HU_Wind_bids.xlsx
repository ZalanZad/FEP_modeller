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ebextensions/taskpanes.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</sheets>
  <definedNames>
    <definedName function="false" hidden="false" name="Balancing" vbProcedure="false">Inputs!$E$73</definedName>
    <definedName function="false" hidden="false" name="Bench_BESS" vbProcedure="false">Inputs!$E$8</definedName>
    <definedName function="false" hidden="false" name="Bench_Wind" vbProcedure="false">Inputs!$E$7</definedName>
    <definedName function="false" hidden="false" name="BESS_Capex" vbProcedure="false">Inputs!$E$60</definedName>
    <definedName function="false" hidden="false" name="Bid_Sec_Rate" vbProcedure="false">Inputs!$E$9</definedName>
    <definedName function="false" hidden="false" name="Capex_Civil" vbProcedure="false">Inputs!$E$53</definedName>
    <definedName function="false" hidden="false" name="Capex_Cont" vbProcedure="false">Inputs!$E$59</definedName>
    <definedName function="false" hidden="false" name="Capex_Elec" vbProcedure="false">Inputs!$E$54</definedName>
    <definedName function="false" hidden="false" name="Capex_Fdn" vbProcedure="false">Inputs!$E$52</definedName>
    <definedName function="false" hidden="false" name="Capex_Install" vbProcedure="false">Inputs!$E$51</definedName>
    <definedName function="false" hidden="false" name="Capex_Land" vbProcedure="false">Inputs!$E$56</definedName>
    <definedName function="false" hidden="false" name="Capex_Owner" vbProcedure="false">Inputs!$E$55</definedName>
    <definedName function="false" hidden="false" name="Case_CN" vbProcedure="false">Dashboard!$H$25</definedName>
    <definedName function="false" hidden="false" name="Case_EU" vbProcedure="false">Dashboard!$H$24</definedName>
    <definedName function="false" hidden="false" name="Case_OM" vbProcedure="false">Dashboard!$H$28</definedName>
    <definedName function="false" hidden="false" name="Case_P50" vbProcedure="false">Dashboard!$H$27</definedName>
    <definedName function="false" hidden="false" name="Case_PPA" vbProcedure="false">Dashboard!$H$26</definedName>
    <definedName function="false" hidden="false" name="CIT_Rate" vbProcedure="false">Inputs!$E$45</definedName>
    <definedName function="false" hidden="false" name="Clipping" vbProcedure="false">Inputs!$E$63</definedName>
    <definedName function="false" hidden="false" name="Curtailment" vbProcedure="false">Inputs!$E$62</definedName>
    <definedName function="false" hidden="false" name="Dash_BESS_Share" vbProcedure="false">Dashboard!$E$8:$G$8</definedName>
    <definedName function="false" hidden="false" name="Dash_Brownfield" vbProcedure="false">Dashboard!$E$15:$G$15</definedName>
    <definedName function="false" hidden="false" name="Dash_Case" vbProcedure="false">Dashboard!$H$23</definedName>
    <definedName function="false" hidden="false" name="Dash_Case_CN" vbProcedure="false">Dashboard!$E$25:$G$25</definedName>
    <definedName function="false" hidden="false" name="Dash_Case_EU" vbProcedure="false">Dashboard!$E$24:$G$24</definedName>
    <definedName function="false" hidden="false" name="Dash_Case_OM" vbProcedure="false">Dashboard!$E$28:$G$28</definedName>
    <definedName function="false" hidden="false" name="Dash_Case_P50" vbProcedure="false">Dashboard!$E$27:$G$27</definedName>
    <definedName function="false" hidden="false" name="Dash_Case_PPA" vbProcedure="false">Dashboard!$E$26:$G$26</definedName>
    <definedName function="false" hidden="false" name="Dash_Community" vbProcedure="false">Dashboard!$E$12:$G$12</definedName>
    <definedName function="false" hidden="false" name="Dash_DSA" vbProcedure="false">Dashboard!$E$20:$G$20</definedName>
    <definedName function="false" hidden="false" name="Dash_FEP_Share" vbProcedure="false">Dashboard!$E$19:$G$19</definedName>
    <definedName function="false" hidden="false" name="Dash_Hours" vbProcedure="false">Dashboard!$E$9:$G$9</definedName>
    <definedName function="false" hidden="false" name="Dash_Municipal" vbProcedure="false">Dashboard!$E$11:$G$11</definedName>
    <definedName function="false" hidden="false" name="Dash_MVA" vbProcedure="false">Dashboard!$E$6:$G$6</definedName>
    <definedName function="false" hidden="false" name="Dash_Overbuild" vbProcedure="false">Dashboard!$E$7:$G$7</definedName>
    <definedName function="false" hidden="false" name="Dash_Partial" vbProcedure="false">Dashboard!$E$13:$G$13</definedName>
    <definedName function="false" hidden="false" name="Dash_PB_Mult" vbProcedure="false">Dashboard!$E$14:$G$14</definedName>
    <definedName function="false" hidden="false" name="Dash_Premium" vbProcedure="false">Dashboard!$E$18:$G$18</definedName>
    <definedName function="false" hidden="false" name="Dash_Shared" vbProcedure="false">Dashboard!$E$16:$G$16</definedName>
    <definedName function="false" hidden="false" name="Dash_Shortfall" vbProcedure="false">Dashboard!$E$10:$G$10</definedName>
    <definedName function="false" hidden="false" name="Dash_Turbine" vbProcedure="false">Dashboard!$E$17:$G$17</definedName>
    <definedName function="false" hidden="false" name="Days_In_Year" vbProcedure="false">Inputs!$E$84</definedName>
    <definedName function="false" hidden="false" name="Debt_Rate" vbProcedure="false">Inputs!$E$48</definedName>
    <definedName function="false" hidden="false" name="Debt_Tenor" vbProcedure="false">Inputs!$E$49</definedName>
    <definedName function="false" hidden="false" name="Degradation" vbProcedure="false">Inputs!$E$64</definedName>
    <definedName function="false" hidden="false" name="Dep_Years" vbProcedure="false">Inputs!$E$46</definedName>
    <definedName function="false" hidden="false" name="Devex_Floor" vbProcedure="false">Inputs!$E$39</definedName>
    <definedName function="false" hidden="false" name="Discount_Rate" vbProcedure="false">Inputs!$E$81</definedName>
    <definedName function="false" hidden="false" name="DSA_Cap" vbProcedure="false">Inputs!$E$44</definedName>
    <definedName function="false" hidden="false" name="DSA_Rate" vbProcedure="false">Inputs!$E$43</definedName>
    <definedName function="false" hidden="false" name="First_Year" vbProcedure="false">Inputs!$E$82</definedName>
    <definedName function="false" hidden="false" name="Freeze_Date" vbProcedure="false">Inputs!$E$40</definedName>
    <definedName function="false" hidden="false" name="FX" vbProcedure="false">Inputs!$E$6</definedName>
    <definedName function="false" hidden="false" name="Gearing" vbProcedure="false">Inputs!$E$47</definedName>
    <definedName function="false" hidden="false" name="Grid_Charges" vbProcedure="false">Inputs!$E$74</definedName>
    <definedName function="false" hidden="false" name="HIPA_Rate" vbProcedure="false">Inputs!$E$76</definedName>
    <definedName function="false" hidden="false" name="Life" vbProcedure="false">Inputs!$E$80</definedName>
    <definedName function="false" hidden="false" name="Lump_Basis" vbProcedure="false">Inputs!$E$58</definedName>
    <definedName function="false" hidden="false" name="Master_Check" vbProcedure="false">Dashboard!$H$386</definedName>
    <definedName function="false" hidden="false" name="MEKH_Fee" vbProcedure="false">Inputs!$E$75</definedName>
    <definedName function="false" hidden="false" name="Months_In_Year" vbProcedure="false">Inputs!$E$85</definedName>
    <definedName function="false" hidden="false" name="Opex_Admin" vbProcedure="false">Inputs!$E$72</definedName>
    <definedName function="false" hidden="false" name="Opex_BoP" vbProcedure="false">Inputs!$E$67</definedName>
    <definedName function="false" hidden="false" name="Opex_Cont" vbProcedure="false">Inputs!$E$77</definedName>
    <definedName function="false" hidden="false" name="Opex_Esc" vbProcedure="false">Inputs!$E$78</definedName>
    <definedName function="false" hidden="false" name="Opex_Ins" vbProcedure="false">Inputs!$E$69</definedName>
    <definedName function="false" hidden="false" name="Opex_Lease" vbProcedure="false">Inputs!$E$68</definedName>
    <definedName function="false" hidden="false" name="Opex_Mgmt" vbProcedure="false">Inputs!$E$70</definedName>
    <definedName function="false" hidden="false" name="Opex_Per_MW" vbProcedure="false">Inputs!$E$67:$E$71</definedName>
    <definedName function="false" hidden="false" name="Opex_PropTax" vbProcedure="false">Inputs!$E$71</definedName>
    <definedName function="false" hidden="false" name="Osz1_Incl" vbProcedure="false">Inputs!$E$90:$M$90</definedName>
    <definedName function="false" hidden="false" name="Osz1_LB" vbProcedure="false">Inputs!$E$89:$M$89</definedName>
    <definedName function="false" hidden="false" name="Osz1_Pts" vbProcedure="false">Inputs!$E$91:$N$91</definedName>
    <definedName function="false" hidden="false" name="Osz1_W" vbProcedure="false">Inputs!$E$106</definedName>
    <definedName function="false" hidden="false" name="Osz2_Incl" vbProcedure="false">Inputs!$E$93:$O$93</definedName>
    <definedName function="false" hidden="false" name="Osz2_LB" vbProcedure="false">Inputs!$E$92:$O$92</definedName>
    <definedName function="false" hidden="false" name="Osz2_Pts" vbProcedure="false">Inputs!$E$94:$P$94</definedName>
    <definedName function="false" hidden="false" name="Osz2_W" vbProcedure="false">Inputs!$E$107</definedName>
    <definedName function="false" hidden="false" name="Osz3_Incl" vbProcedure="false">Inputs!$E$96:$N$96</definedName>
    <definedName function="false" hidden="false" name="Osz3_LB" vbProcedure="false">Inputs!$E$95:$N$95</definedName>
    <definedName function="false" hidden="false" name="Osz3_Pts" vbProcedure="false">Inputs!$E$97:$O$97</definedName>
    <definedName function="false" hidden="false" name="Osz3_W" vbProcedure="false">Inputs!$E$108</definedName>
    <definedName function="false" hidden="false" name="Osz4_W" vbProcedure="false">Inputs!$E$109</definedName>
    <definedName function="false" hidden="false" name="Osz5_Pts" vbProcedure="false">Inputs!$E$101</definedName>
    <definedName function="false" hidden="false" name="Osz5_W" vbProcedure="false">Inputs!$E$110</definedName>
    <definedName function="false" hidden="false" name="Osz6_Incl" vbProcedure="false">Inputs!$E$99:$N$99</definedName>
    <definedName function="false" hidden="false" name="Osz6_LB" vbProcedure="false">Inputs!$E$98:$N$98</definedName>
    <definedName function="false" hidden="false" name="Osz6_Pts" vbProcedure="false">Inputs!$E$100:$O$100</definedName>
    <definedName function="false" hidden="false" name="Osz6_W" vbProcedure="false">Inputs!$E$111</definedName>
    <definedName function="false" hidden="false" name="Osz7_Pts" vbProcedure="false">Inputs!$E$102</definedName>
    <definedName function="false" hidden="false" name="Osz7_W" vbProcedure="false">Inputs!$E$112</definedName>
    <definedName function="false" hidden="false" name="Osz8_Pts" vbProcedure="false">Inputs!$E$103</definedName>
    <definedName function="false" hidden="false" name="Osz8_W" vbProcedure="false">Inputs!$E$113</definedName>
    <definedName function="false" hidden="false" name="Osz9a_Pts" vbProcedure="false">Inputs!$E$104</definedName>
    <definedName function="false" hidden="false" name="Osz9b_Pts" vbProcedure="false">Inputs!$E$105</definedName>
    <definedName function="false" hidden="false" name="Osz9_W" vbProcedure="false">Inputs!$E$114</definedName>
    <definedName function="false" hidden="false" name="Part_Fee" vbProcedure="false">Inputs!$E$11</definedName>
    <definedName function="false" hidden="false" name="PB_Rate" vbProcedure="false">Inputs!$E$10</definedName>
    <definedName function="false" hidden="false" name="PPA_Esc" vbProcedure="false">Inputs!$E$65</definedName>
    <definedName function="false" hidden="false" name="Rate_Cash" vbProcedure="false">Inputs!$E$37</definedName>
    <definedName function="false" hidden="false" name="Rate_Devex" vbProcedure="false">Inputs!$E$38</definedName>
    <definedName function="false" hidden="false" name="Sale_Costs" vbProcedure="false">Inputs!$E$42</definedName>
    <definedName function="false" hidden="false" name="Sale_Date" vbProcedure="false">Inputs!$E$41</definedName>
    <definedName function="false" hidden="false" name="Subs_Lump" vbProcedure="false">Inputs!$E$57</definedName>
    <definedName function="false" hidden="false" name="Thousand" vbProcedure="false">Inputs!$E$83</definedName>
    <definedName function="false" hidden="false" name="Tolerance" vbProcedure="false">Inputs!$E$86</definedName>
    <definedName function="false" hidden="false" name="TSO_Rate" vbProcedure="false">Inputs!$E$12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<sst xmlns="http://schemas.openxmlformats.org/spreadsheetml/2006/main" count="1080" uniqueCount="446">
  <si>
    <t xml:space="preserve">HU wind projects</t>
  </si>
  <si>
    <t xml:space="preserve">Master check (0 = OK; checks at the end of the detail)</t>
  </si>
  <si>
    <t xml:space="preserve">flag</t>
  </si>
  <si>
    <t xml:space="preserve">x</t>
  </si>
  <si>
    <t xml:space="preserve">Key inputs: the bids</t>
  </si>
  <si>
    <t xml:space="preserve">Bora</t>
  </si>
  <si>
    <t xml:space="preserve">Iváncsa</t>
  </si>
  <si>
    <t xml:space="preserve">Dunaújváros</t>
  </si>
  <si>
    <t xml:space="preserve">Total</t>
  </si>
  <si>
    <t xml:space="preserve">Net connection capacity</t>
  </si>
  <si>
    <t xml:space="preserve">MVA</t>
  </si>
  <si>
    <t xml:space="preserve">Overbuild (ÖSZ-3)</t>
  </si>
  <si>
    <t xml:space="preserve">%</t>
  </si>
  <si>
    <t xml:space="preserve">BESS power, share of MVA (ÖSZ-4)</t>
  </si>
  <si>
    <t xml:space="preserve">BESS duration</t>
  </si>
  <si>
    <t xml:space="preserve">h</t>
  </si>
  <si>
    <t xml:space="preserve">Wind built below the bid</t>
  </si>
  <si>
    <t xml:space="preserve">Municipal one-off (ÖSZ-1), at COD</t>
  </si>
  <si>
    <t xml:space="preserve">EUR k/MVA</t>
  </si>
  <si>
    <t xml:space="preserve">Community contribution (ÖSZ-2)</t>
  </si>
  <si>
    <t xml:space="preserve">EUR/MWh</t>
  </si>
  <si>
    <t xml:space="preserve">Partial award accepted (ÖSZ-5)</t>
  </si>
  <si>
    <t xml:space="preserve">Performance security multiple (ÖSZ-6)</t>
  </si>
  <si>
    <t xml:space="preserve">Brownfield site (ÖSZ-7)</t>
  </si>
  <si>
    <t xml:space="preserve">Shared connection (ÖSZ-8)</t>
  </si>
  <si>
    <t xml:space="preserve">Turbine route (EU or CN; EU scores ÖSZ-9)</t>
  </si>
  <si>
    <t xml:space="preserve">text</t>
  </si>
  <si>
    <t xml:space="preserve">CN</t>
  </si>
  <si>
    <t xml:space="preserve">RtB premium</t>
  </si>
  <si>
    <t xml:space="preserve">FEP share of distributable proceeds</t>
  </si>
  <si>
    <t xml:space="preserve">Developer success fee (DSA) on</t>
  </si>
  <si>
    <t xml:space="preserve">Case: turbine price, PPA, yield, O&amp;M</t>
  </si>
  <si>
    <t xml:space="preserve">Base</t>
  </si>
  <si>
    <t xml:space="preserve">Low</t>
  </si>
  <si>
    <t xml:space="preserve">High</t>
  </si>
  <si>
    <t xml:space="preserve">Live</t>
  </si>
  <si>
    <t xml:space="preserve">Case selected (Base, Low or High)</t>
  </si>
  <si>
    <t xml:space="preserve">case</t>
  </si>
  <si>
    <t xml:space="preserve">Turbine supply incl. transport, EU route</t>
  </si>
  <si>
    <t xml:space="preserve">EUR k/MW</t>
  </si>
  <si>
    <t xml:space="preserve">Bora Dashboard H8 / Inputs G162</t>
  </si>
  <si>
    <t xml:space="preserve">Turbine supply incl. transport, CN route</t>
  </si>
  <si>
    <t xml:space="preserve">Bora Inputs H162</t>
  </si>
  <si>
    <t xml:space="preserve">PPA price in the COD year</t>
  </si>
  <si>
    <t xml:space="preserve">Bora Dashboard H9</t>
  </si>
  <si>
    <t xml:space="preserve">Net P50 hours</t>
  </si>
  <si>
    <t xml:space="preserve">h/yr</t>
  </si>
  <si>
    <t xml:space="preserve">Bora Dashboard H10</t>
  </si>
  <si>
    <t xml:space="preserve">O&amp;M full-service contract</t>
  </si>
  <si>
    <t xml:space="preserve">EUR k/MW/yr</t>
  </si>
  <si>
    <t xml:space="preserve">Bora Dashboard H11</t>
  </si>
  <si>
    <t xml:space="preserve">Bid points and capacity</t>
  </si>
  <si>
    <t xml:space="preserve">Points – municipal one-off</t>
  </si>
  <si>
    <t xml:space="preserve">points</t>
  </si>
  <si>
    <t xml:space="preserve">Points – community contribution</t>
  </si>
  <si>
    <t xml:space="preserve">Points – overbuild</t>
  </si>
  <si>
    <t xml:space="preserve">Points – BESS</t>
  </si>
  <si>
    <t xml:space="preserve">Points – partial award</t>
  </si>
  <si>
    <t xml:space="preserve">Points – performance security</t>
  </si>
  <si>
    <t xml:space="preserve">Points – brownfield</t>
  </si>
  <si>
    <t xml:space="preserve">Points – shared connection</t>
  </si>
  <si>
    <t xml:space="preserve">Points – EU turbines</t>
  </si>
  <si>
    <t xml:space="preserve">Points – EU transformers</t>
  </si>
  <si>
    <t xml:space="preserve">Points total</t>
  </si>
  <si>
    <t xml:space="preserve">Wind committed in the bid</t>
  </si>
  <si>
    <t xml:space="preserve">MW</t>
  </si>
  <si>
    <t xml:space="preserve">BESS energy</t>
  </si>
  <si>
    <t xml:space="preserve">MWh</t>
  </si>
  <si>
    <t xml:space="preserve">Wind built (committed less the build shortfall)</t>
  </si>
  <si>
    <t xml:space="preserve">Guarantees, securities and connection fees, DEVEX (HUF)</t>
  </si>
  <si>
    <t xml:space="preserve">Date</t>
  </si>
  <si>
    <t xml:space="preserve">Participation fee</t>
  </si>
  <si>
    <t xml:space="preserve">HUF</t>
  </si>
  <si>
    <t xml:space="preserve">Bid security</t>
  </si>
  <si>
    <t xml:space="preserve">Performance security payable (bid security deducted)</t>
  </si>
  <si>
    <t xml:space="preserve">TSO connection-request security</t>
  </si>
  <si>
    <t xml:space="preserve">Direct connection fee (per point ÷ bids sharing it)</t>
  </si>
  <si>
    <t xml:space="preserve">Indirect connection fee, payable (TSO security deducted)</t>
  </si>
  <si>
    <t xml:space="preserve">DEVEX</t>
  </si>
  <si>
    <t xml:space="preserve">Signing fee and DD</t>
  </si>
  <si>
    <t xml:space="preserve">Total cash to RtB (incl. signing and DD)</t>
  </si>
  <si>
    <t xml:space="preserve">Guarantees, securities and connection fees, DEVEX (EUR k)</t>
  </si>
  <si>
    <t xml:space="preserve">EUR k</t>
  </si>
  <si>
    <t xml:space="preserve">Cash to RtB by nature: sunk, returned, or borne by the buyer (EUR k)</t>
  </si>
  <si>
    <t xml:space="preserve">Who bears it</t>
  </si>
  <si>
    <t xml:space="preserve">Sunk fees and devex (signing and DD, participation fee, devex)</t>
  </si>
  <si>
    <t xml:space="preserve">FEP – sunk; recovered only via the claims at the sale</t>
  </si>
  <si>
    <t xml:space="preserve">Securities, returned (bid, performance, TSO connection request)</t>
  </si>
  <si>
    <t xml:space="preserve">FEP – cash out, returned or reimbursed at the sale</t>
  </si>
  <si>
    <t xml:space="preserve">Grid connection fees (direct + indirect, payable at HCSSZ)</t>
  </si>
  <si>
    <t xml:space="preserve">Buyer at RtB; FEP pays only if no buyer is found</t>
  </si>
  <si>
    <t xml:space="preserve">Total cash to RtB (= total above)</t>
  </si>
  <si>
    <t xml:space="preserve">Case A: FEP pre-funds everything</t>
  </si>
  <si>
    <t xml:space="preserve">Grid connection fees, share of the total</t>
  </si>
  <si>
    <t xml:space="preserve">FEP exposure if the buyer pays the grid connection fees</t>
  </si>
  <si>
    <t xml:space="preserve">Case B: FEP funds sunk fees, devex and securities only</t>
  </si>
  <si>
    <t xml:space="preserve">Capex breakdown to COD</t>
  </si>
  <si>
    <t xml:space="preserve">Turbines (route price, live case)</t>
  </si>
  <si>
    <t xml:space="preserve">Installation and erection</t>
  </si>
  <si>
    <t xml:space="preserve">Foundations</t>
  </si>
  <si>
    <t xml:space="preserve">Balance of plant – civil</t>
  </si>
  <si>
    <t xml:space="preserve">Balance of plant – electrical</t>
  </si>
  <si>
    <t xml:space="preserve">Owner's costs, engineering, PM, construction insurance</t>
  </si>
  <si>
    <t xml:space="preserve">Land purchase and easements</t>
  </si>
  <si>
    <t xml:space="preserve">Substation and 132 kV bay (scaled by MVA)</t>
  </si>
  <si>
    <t xml:space="preserve">Contingency (not on BESS)</t>
  </si>
  <si>
    <t xml:space="preserve">BESS (on BESS energy)</t>
  </si>
  <si>
    <t xml:space="preserve">Construction capex</t>
  </si>
  <si>
    <t xml:space="preserve">Connection fees (TSO security, direct, indirect)</t>
  </si>
  <si>
    <t xml:space="preserve">Municipal one-off</t>
  </si>
  <si>
    <t xml:space="preserve">Development (participation fee, devex, signing and DD)</t>
  </si>
  <si>
    <t xml:space="preserve">All-in cost to COD (securities excluded: returned)</t>
  </si>
  <si>
    <t xml:space="preserve">All-in cost per MW built</t>
  </si>
  <si>
    <t xml:space="preserve">All-in cost per MVA</t>
  </si>
  <si>
    <t xml:space="preserve">Devex breakdown (Bora: devex-file categories; tender fee and securities: above)</t>
  </si>
  <si>
    <t xml:space="preserve">Grid connection plan and agreement</t>
  </si>
  <si>
    <t xml:space="preserve">Land (reservation, purchase, contracting)</t>
  </si>
  <si>
    <t xml:space="preserve">Permits, zoning, cable rights</t>
  </si>
  <si>
    <t xml:space="preserve">Studies (wind, environment, ground)</t>
  </si>
  <si>
    <t xml:space="preserve">Legal, financial and other</t>
  </si>
  <si>
    <t xml:space="preserve">Contingency</t>
  </si>
  <si>
    <t xml:space="preserve">Devex total (= DEVEX line above)</t>
  </si>
  <si>
    <t xml:space="preserve">Returns RTB COD HTM</t>
  </si>
  <si>
    <t xml:space="preserve">RTB exit, Case A: buyer pays the grid connection fees (FEP does not pre-fund)</t>
  </si>
  <si>
    <t xml:space="preserve">Grid connection fees paid by the buyer (not FEP cash)</t>
  </si>
  <si>
    <t xml:space="preserve">Total FEP cash out to RtB (peak exposure)</t>
  </si>
  <si>
    <t xml:space="preserve">Total proceeds to FEP at the sale</t>
  </si>
  <si>
    <t xml:space="preserve">FEP profit, pre-tax</t>
  </si>
  <si>
    <t xml:space="preserve">FEP profit, post-tax</t>
  </si>
  <si>
    <t xml:space="preserve">MOIC, pre-tax</t>
  </si>
  <si>
    <t xml:space="preserve">IRR, pre-tax</t>
  </si>
  <si>
    <t xml:space="preserve">RTB exit, Case B: FEP pre-funds the grid connection fees, buyer reimburses them at the sale</t>
  </si>
  <si>
    <t xml:space="preserve">COD exit</t>
  </si>
  <si>
    <t xml:space="preserve">Total capex and costs to COD</t>
  </si>
  <si>
    <t xml:space="preserve">Sale price at COD</t>
  </si>
  <si>
    <t xml:space="preserve">Hold to maturity (EBITDA; CIT 15 %; 60 % levered case)</t>
  </si>
  <si>
    <t xml:space="preserve">Total revenue over the life</t>
  </si>
  <si>
    <t xml:space="preserve">Total opex over the life</t>
  </si>
  <si>
    <t xml:space="preserve">Total EBITDA over the life</t>
  </si>
  <si>
    <t xml:space="preserve">Project IRR, pre-tax</t>
  </si>
  <si>
    <t xml:space="preserve">NPV at the discount rate, at the first year end</t>
  </si>
  <si>
    <t xml:space="preserve">CIT over the life (15 %, no loss carry-forward)</t>
  </si>
  <si>
    <t xml:space="preserve">Project IRR, post-tax</t>
  </si>
  <si>
    <t xml:space="preserve">Debt at COD (60 %)</t>
  </si>
  <si>
    <t xml:space="preserve">Equity IRR, post-tax (60 % gearing)</t>
  </si>
  <si>
    <t xml:space="preserve">Minimum DSCR</t>
  </si>
  <si>
    <t xml:space="preserve">Annual cash flow per project (EUR k)</t>
  </si>
  <si>
    <t xml:space="preserve">Year</t>
  </si>
  <si>
    <t xml:space="preserve">year</t>
  </si>
  <si>
    <t xml:space="preserve">Spending (capex, fees, securities, devex), net</t>
  </si>
  <si>
    <t xml:space="preserve">Revenue</t>
  </si>
  <si>
    <t xml:space="preserve">Opex</t>
  </si>
  <si>
    <t xml:space="preserve">EBITDA</t>
  </si>
  <si>
    <t xml:space="preserve">Net cash flow</t>
  </si>
  <si>
    <t xml:space="preserve">Cumulative net cash flow</t>
  </si>
  <si>
    <t xml:space="preserve">Detailed calculations: claims, waterfall, dated flows, timelines, checks – expand the group</t>
  </si>
  <si>
    <t xml:space="preserve">RtB exit: FEP claims at the sale (interest to the freeze, act/365, capitalised 31-Dec)</t>
  </si>
  <si>
    <t xml:space="preserve">Interest accrual end (earlier of freeze and sale)</t>
  </si>
  <si>
    <t xml:space="preserve">date</t>
  </si>
  <si>
    <t xml:space="preserve">Accrual factor in the end year, cash rate</t>
  </si>
  <si>
    <t xml:space="preserve">Accrual factor in the end year, devex rate</t>
  </si>
  <si>
    <t xml:space="preserve">Days to the first 31-Dec from bid submission</t>
  </si>
  <si>
    <t xml:space="preserve">days</t>
  </si>
  <si>
    <t xml:space="preserve">Accrual factor from bid submission</t>
  </si>
  <si>
    <t xml:space="preserve">Days to the first 31-Dec from performance security posting</t>
  </si>
  <si>
    <t xml:space="preserve">Accrual factor from performance security posting</t>
  </si>
  <si>
    <t xml:space="preserve">Days to the first 31-Dec from TSO security payment</t>
  </si>
  <si>
    <t xml:space="preserve">Accrual factor from TSO security payment</t>
  </si>
  <si>
    <t xml:space="preserve">Days to the first 31-Dec from connection agreement (HCSSZ)</t>
  </si>
  <si>
    <t xml:space="preserve">Accrual factor from connection agreement (HCSSZ)</t>
  </si>
  <si>
    <t xml:space="preserve">Days to the first 31-Dec from devex payment (average)</t>
  </si>
  <si>
    <t xml:space="preserve">Accrual factor from devex payment (average)</t>
  </si>
  <si>
    <t xml:space="preserve">Claim: participation fee (not reimbursed)</t>
  </si>
  <si>
    <t xml:space="preserve">Claim: bid security (cash)</t>
  </si>
  <si>
    <t xml:space="preserve">Claim: performance security payable (cash)</t>
  </si>
  <si>
    <t xml:space="preserve">Claim: TSO connection-request security</t>
  </si>
  <si>
    <t xml:space="preserve">Claim: direct connection fee</t>
  </si>
  <si>
    <t xml:space="preserve">Claim: indirect connection fee, payable</t>
  </si>
  <si>
    <t xml:space="preserve">Claim: devex, MAX(20 % accrued, 1× principal)</t>
  </si>
  <si>
    <t xml:space="preserve">Total FEP claims</t>
  </si>
  <si>
    <t xml:space="preserve">Developer success fee due (DSA, capped)</t>
  </si>
  <si>
    <t xml:space="preserve">RtB exit: waterfall at the sale</t>
  </si>
  <si>
    <t xml:space="preserve">Buyer reimburses securities and connection fees at cost</t>
  </si>
  <si>
    <t xml:space="preserve">Total proceeds</t>
  </si>
  <si>
    <t xml:space="preserve">Less sale costs</t>
  </si>
  <si>
    <t xml:space="preserve">Less securities and fees repaid to FEP</t>
  </si>
  <si>
    <t xml:space="preserve">Less FEP claims at 12 %</t>
  </si>
  <si>
    <t xml:space="preserve">Less FEP devex return</t>
  </si>
  <si>
    <t xml:space="preserve">Less developer success fee (DSA)</t>
  </si>
  <si>
    <t xml:space="preserve">Distributable proceeds</t>
  </si>
  <si>
    <t xml:space="preserve">FEP share of distributable</t>
  </si>
  <si>
    <t xml:space="preserve">Developer share of distributable</t>
  </si>
  <si>
    <t xml:space="preserve">FEP cash flows, dated (outlays, then receipts at the sale)</t>
  </si>
  <si>
    <t xml:space="preserve">Date: Bora</t>
  </si>
  <si>
    <t xml:space="preserve">Performance security payable</t>
  </si>
  <si>
    <t xml:space="preserve">Direct connection fee</t>
  </si>
  <si>
    <t xml:space="preserve">Indirect connection fee, payable</t>
  </si>
  <si>
    <t xml:space="preserve">Devex</t>
  </si>
  <si>
    <t xml:space="preserve">FEP receipts at the sale (repaid, claims, share)</t>
  </si>
  <si>
    <t xml:space="preserve">CIT on the gain</t>
  </si>
  <si>
    <t xml:space="preserve">RtB exit, Case B: buyer pays the grid connection fees directly (FEP does not pre-fund them)</t>
  </si>
  <si>
    <t xml:space="preserve">Grid connection fees paid by the buyer at HCSSZ (direct + indirect, payable)</t>
  </si>
  <si>
    <t xml:space="preserve">FEP cash out to RtB, Case B (peak exposure)</t>
  </si>
  <si>
    <t xml:space="preserve">Total FEP claims, Case B (no claims on connection fees)</t>
  </si>
  <si>
    <t xml:space="preserve">Waterfall at the sale, Case B</t>
  </si>
  <si>
    <t xml:space="preserve">Buyer reimburses securities at cost (no connection fees to reimburse)</t>
  </si>
  <si>
    <t xml:space="preserve">Less securities repaid to FEP</t>
  </si>
  <si>
    <t xml:space="preserve">FEP cash flows, dated, Case B (no connection-fee outlays)</t>
  </si>
  <si>
    <t xml:space="preserve">Memo: pre-tax profit vs Case A (connection-fee claims no longer earned, FEP share)</t>
  </si>
  <si>
    <t xml:space="preserve">Annual timeline</t>
  </si>
  <si>
    <t xml:space="preserve">Year end</t>
  </si>
  <si>
    <t xml:space="preserve">Bora: annual cash flow (EUR k)</t>
  </si>
  <si>
    <t xml:space="preserve">Value</t>
  </si>
  <si>
    <t xml:space="preserve">Years from the COD year</t>
  </si>
  <si>
    <t xml:space="preserve">years</t>
  </si>
  <si>
    <t xml:space="preserve">Construction months by year end (value: construction period)</t>
  </si>
  <si>
    <t xml:space="preserve">months</t>
  </si>
  <si>
    <t xml:space="preserve">Construction share of the year (NTP to COD)</t>
  </si>
  <si>
    <t xml:space="preserve">Months operated by year end (value: operating life)</t>
  </si>
  <si>
    <t xml:space="preserve">Operating share of the year (COD to end of life)</t>
  </si>
  <si>
    <t xml:space="preserve">COD year flag</t>
  </si>
  <si>
    <t xml:space="preserve">FEP outlays at their dates (signing, fee, securities, fees, devex)</t>
  </si>
  <si>
    <t xml:space="preserve">Performance security released (bid security included)</t>
  </si>
  <si>
    <t xml:space="preserve">Construction capex (straight-line NTP to COD)</t>
  </si>
  <si>
    <t xml:space="preserve">Municipal one-off at COD</t>
  </si>
  <si>
    <t xml:space="preserve">Investment cash flow</t>
  </si>
  <si>
    <t xml:space="preserve">Degradation factor (from the first full year)</t>
  </si>
  <si>
    <t xml:space="preserve">Net generation</t>
  </si>
  <si>
    <t xml:space="preserve">GWh</t>
  </si>
  <si>
    <t xml:space="preserve">PPA price</t>
  </si>
  <si>
    <t xml:space="preserve">Opex index (COD year = 1)</t>
  </si>
  <si>
    <t xml:space="preserve">O&amp;M, BoP, lease, insurance, management, property tax</t>
  </si>
  <si>
    <t xml:space="preserve">Administration, audit, compliance</t>
  </si>
  <si>
    <t xml:space="preserve">Balancing and grid charges</t>
  </si>
  <si>
    <t xml:space="preserve">MEKH supervisory fee</t>
  </si>
  <si>
    <t xml:space="preserve">Opex contingency</t>
  </si>
  <si>
    <t xml:space="preserve">Community contribution</t>
  </si>
  <si>
    <t xml:space="preserve">HIPA local business tax</t>
  </si>
  <si>
    <t xml:space="preserve">Total opex</t>
  </si>
  <si>
    <t xml:space="preserve">Unlevered pre-tax cash flow</t>
  </si>
  <si>
    <t xml:space="preserve">Tax depreciation (all-in cost ÷ 20 years from the COD year)</t>
  </si>
  <si>
    <t xml:space="preserve">CIT (15 % × MAX(0, EBITDA − depreciation); no loss carry-forward)</t>
  </si>
  <si>
    <t xml:space="preserve">Unlevered post-tax cash flow</t>
  </si>
  <si>
    <t xml:space="preserve">Debt drawn at COD (gearing × all-in cost; no interest during construction)</t>
  </si>
  <si>
    <t xml:space="preserve">Debt service (annuity: interest + principal; value: annual amount)</t>
  </si>
  <si>
    <t xml:space="preserve">Debt balance at year end</t>
  </si>
  <si>
    <t xml:space="preserve">Equity cash flow (post-tax, 60 % gearing)</t>
  </si>
  <si>
    <t xml:space="preserve">DSCR ((EBITDA + CIT) ÷ debt service)</t>
  </si>
  <si>
    <t xml:space="preserve">Discount factor to COD (buyer's rate)</t>
  </si>
  <si>
    <t xml:space="preserve">EBITDA valued at COD (total = COD price)</t>
  </si>
  <si>
    <t xml:space="preserve">COD exit: FEP cash flow (to COD, price and securities at COD)</t>
  </si>
  <si>
    <t xml:space="preserve">Iváncsa: annual cash flow (EUR k)</t>
  </si>
  <si>
    <t xml:space="preserve">Dunaújváros: annual cash flow (EUR k)</t>
  </si>
  <si>
    <t xml:space="preserve">COD exit: tax on the gain (price and profit: totals of the cash-flow blocks above)</t>
  </si>
  <si>
    <t xml:space="preserve">Checks (0 = OK)</t>
  </si>
  <si>
    <t xml:space="preserve">RtB waterfall closes (proceeds = all amounts paid out)</t>
  </si>
  <si>
    <t xml:space="preserve">Claim lines paid before the accrual end year</t>
  </si>
  <si>
    <t xml:space="preserve">Turbine route is EU or CN</t>
  </si>
  <si>
    <t xml:space="preserve">Devex breakdown = DEVEX line</t>
  </si>
  <si>
    <t xml:space="preserve">Construction capex spread in full (timeline = capex)</t>
  </si>
  <si>
    <t xml:space="preserve">Investment cash flows = all-in cost to COD</t>
  </si>
  <si>
    <t xml:space="preserve">Operating life inside the timeline</t>
  </si>
  <si>
    <t xml:space="preserve">Debt fully repaid at the end of the tenor (balance 0)</t>
  </si>
  <si>
    <t xml:space="preserve">Case B waterfall closes (proceeds = all amounts paid out)</t>
  </si>
  <si>
    <t xml:space="preserve">Master check</t>
  </si>
  <si>
    <t xml:space="preserve">***END***</t>
  </si>
  <si>
    <t xml:space="preserve">HU wind bids – other inputs (blue) with sources</t>
  </si>
  <si>
    <t xml:space="preserve">Inputs</t>
  </si>
  <si>
    <t xml:space="preserve">Source</t>
  </si>
  <si>
    <t xml:space="preserve">Tender and grid (all projects; value in column E)</t>
  </si>
  <si>
    <t xml:space="preserve">FX rate</t>
  </si>
  <si>
    <t xml:space="preserve">HUF/EUR</t>
  </si>
  <si>
    <t xml:space="preserve">Bora Inputs E11; Bid_Cash E45</t>
  </si>
  <si>
    <t xml:space="preserve">Security base: benchmark investment, wind</t>
  </si>
  <si>
    <t xml:space="preserve">HUF/MW</t>
  </si>
  <si>
    <t xml:space="preserve">Bora Inputs E75; Bid_Cash E46</t>
  </si>
  <si>
    <t xml:space="preserve">Security base: benchmark investment, BESS</t>
  </si>
  <si>
    <t xml:space="preserve">HUF/MWh</t>
  </si>
  <si>
    <t xml:space="preserve">Bora Inputs E89; Bid_Cash E47</t>
  </si>
  <si>
    <t xml:space="preserve">Bid security, share of base</t>
  </si>
  <si>
    <t xml:space="preserve">Bora Inputs E76; Bid_Cash E49</t>
  </si>
  <si>
    <t xml:space="preserve">Performance security, minimum share of base</t>
  </si>
  <si>
    <t xml:space="preserve">Bora Inputs E77; Bid_Cash E50</t>
  </si>
  <si>
    <t xml:space="preserve">Participation fee per bid</t>
  </si>
  <si>
    <t xml:space="preserve">Bora Inputs E81; Bid_Cash E48</t>
  </si>
  <si>
    <t xml:space="preserve">HUF/MVA</t>
  </si>
  <si>
    <t xml:space="preserve">Bora Inputs E83; Bid_Cash E51</t>
  </si>
  <si>
    <t xml:space="preserve">Per project: fees, devex, dates</t>
  </si>
  <si>
    <t xml:space="preserve">Indirect connection fee</t>
  </si>
  <si>
    <t xml:space="preserve">Bora Inputs G290; Bid_Cash E52</t>
  </si>
  <si>
    <t xml:space="preserve">Direct connection fee per connection point</t>
  </si>
  <si>
    <t xml:space="preserve">Bora Inputs G291; Bid_Cash E53</t>
  </si>
  <si>
    <t xml:space="preserve">Bids sharing the connection point</t>
  </si>
  <si>
    <t xml:space="preserve">count</t>
  </si>
  <si>
    <t xml:space="preserve">Bora: 2 bids per point (SPEC §22.2)</t>
  </si>
  <si>
    <t xml:space="preserve">Bora E24+E25: 400 × 50/200; Bid_Cash E55</t>
  </si>
  <si>
    <t xml:space="preserve">Devex: grid connection plan and agreement</t>
  </si>
  <si>
    <t xml:space="preserve">Bora share × F25/G25 (Iváncsa, Dunaújváros); Bora: Devex_FEP × 50/100 MVA</t>
  </si>
  <si>
    <t xml:space="preserve">Devex: land (reservation, purchase, contracting)</t>
  </si>
  <si>
    <t xml:space="preserve">Devex: permits, zoning, cable rights</t>
  </si>
  <si>
    <t xml:space="preserve">Devex: studies (wind, environment, ground)</t>
  </si>
  <si>
    <t xml:space="preserve">Devex: legal, financial and other</t>
  </si>
  <si>
    <t xml:space="preserve">Devex: contingency</t>
  </si>
  <si>
    <t xml:space="preserve">Devex total, Iváncsa and Dunaújváros (allocated pro rata to Bora's categories)</t>
  </si>
  <si>
    <t xml:space="preserve">User, 27-Oct-26: EUR 1m per project, split as Bora</t>
  </si>
  <si>
    <t xml:space="preserve">EU transformers ≥ 80 % (ÖSZ-9)</t>
  </si>
  <si>
    <t xml:space="preserve">Bid_Cash E16; SPEC §23.1</t>
  </si>
  <si>
    <t xml:space="preserve">Signing fee and DD paid</t>
  </si>
  <si>
    <t xml:space="preserve">Bora Inputs E27; Bid_Cash E34</t>
  </si>
  <si>
    <t xml:space="preserve">Bid submission: fee paid, bid security posted</t>
  </si>
  <si>
    <t xml:space="preserve">Bora Inputs E95; Bid_Cash E35</t>
  </si>
  <si>
    <t xml:space="preserve">Performance security posted</t>
  </si>
  <si>
    <t xml:space="preserve">Bora Deposits K10 (E96 + 17 d); Bid_Cash E36</t>
  </si>
  <si>
    <t xml:space="preserve">TSO security paid</t>
  </si>
  <si>
    <t xml:space="preserve">Bora Inputs E97; Bid_Cash E37</t>
  </si>
  <si>
    <t xml:space="preserve">Connection agreement (HCSSZ): fees paid</t>
  </si>
  <si>
    <t xml:space="preserve">Bora Inputs E99; Bid_Cash E39</t>
  </si>
  <si>
    <t xml:space="preserve">Devex average payment date</t>
  </si>
  <si>
    <t xml:space="preserve">Bora Devex_FEP, amount-weighted; Bid_Cash 'continuous'</t>
  </si>
  <si>
    <t xml:space="preserve">Notice to proceed</t>
  </si>
  <si>
    <t xml:space="preserve">Bora Inputs E154; Bid_Cash E40</t>
  </si>
  <si>
    <t xml:space="preserve">COD</t>
  </si>
  <si>
    <t xml:space="preserve">Bora Inputs E155; Bid_Cash E41</t>
  </si>
  <si>
    <t xml:space="preserve">Performance security released</t>
  </si>
  <si>
    <t xml:space="preserve">Bid_Cash E42 (Kiírás XII.13, estimate)</t>
  </si>
  <si>
    <t xml:space="preserve">DSA accrual start</t>
  </si>
  <si>
    <t xml:space="preserve">Bora Inputs E70; others: signing (DSA off)</t>
  </si>
  <si>
    <t xml:space="preserve">RtB exit terms (all projects; value in column E)</t>
  </si>
  <si>
    <t xml:space="preserve">Claim rate, cash lines (incl. cash-posted securities)</t>
  </si>
  <si>
    <t xml:space="preserve">Devex file V18; SPEC §21.1</t>
  </si>
  <si>
    <t xml:space="preserve">Claim rate, devex</t>
  </si>
  <si>
    <t xml:space="preserve">Devex file V19</t>
  </si>
  <si>
    <t xml:space="preserve">Devex minimum return multiple</t>
  </si>
  <si>
    <t xml:space="preserve">Devex file V20</t>
  </si>
  <si>
    <t xml:space="preserve">Interest freeze date</t>
  </si>
  <si>
    <t xml:space="preserve">Devex file V24</t>
  </si>
  <si>
    <t xml:space="preserve">Sale date (RtB exit)</t>
  </si>
  <si>
    <t xml:space="preserve">Bora Inputs E58; SPEC §21.1</t>
  </si>
  <si>
    <t xml:space="preserve">Sale costs per project</t>
  </si>
  <si>
    <t xml:space="preserve">SPEC §21.1</t>
  </si>
  <si>
    <t xml:space="preserve">Developer success fee (on committed MW, 30/360)</t>
  </si>
  <si>
    <t xml:space="preserve">Bora Inputs E36</t>
  </si>
  <si>
    <t xml:space="preserve">Developer success fee cap</t>
  </si>
  <si>
    <t xml:space="preserve">Bora Inputs E37</t>
  </si>
  <si>
    <t xml:space="preserve">Corporate income tax on exit gains and on operating profit</t>
  </si>
  <si>
    <t xml:space="preserve">SPEC §24.1 (15 %)</t>
  </si>
  <si>
    <t xml:space="preserve">Tax depreciation period (straight line from the COD year)</t>
  </si>
  <si>
    <t xml:space="preserve">Bora model Inputs G215</t>
  </si>
  <si>
    <t xml:space="preserve">Gearing (debt ÷ all-in cost to COD)</t>
  </si>
  <si>
    <t xml:space="preserve">Bora model Inputs G219</t>
  </si>
  <si>
    <t xml:space="preserve">Debt interest rate</t>
  </si>
  <si>
    <t xml:space="preserve">Bora model Inputs G220</t>
  </si>
  <si>
    <t xml:space="preserve">Debt tenor (annuity from the first full year)</t>
  </si>
  <si>
    <t xml:space="preserve">Bora model Inputs G222</t>
  </si>
  <si>
    <t xml:space="preserve">Capex (per MW of wind built unless stated; turbines: case table on the Dashboard)</t>
  </si>
  <si>
    <t xml:space="preserve">Turbine installation and erection</t>
  </si>
  <si>
    <t xml:space="preserve">Bora Inputs G163</t>
  </si>
  <si>
    <t xml:space="preserve">Bora Inputs G164</t>
  </si>
  <si>
    <t xml:space="preserve">Bora Inputs G165</t>
  </si>
  <si>
    <t xml:space="preserve">Bora Inputs G166</t>
  </si>
  <si>
    <t xml:space="preserve">Bora Inputs G169</t>
  </si>
  <si>
    <t xml:space="preserve">Bora Inputs G170</t>
  </si>
  <si>
    <t xml:space="preserve">On-site substation and 132 kV bay (lump sum)</t>
  </si>
  <si>
    <t xml:space="preserve">Bora Inputs G167</t>
  </si>
  <si>
    <t xml:space="preserve">Source basis of the lump sums</t>
  </si>
  <si>
    <t xml:space="preserve">Bora Inputs E305</t>
  </si>
  <si>
    <t xml:space="preserve">Capex contingency (not on BESS)</t>
  </si>
  <si>
    <t xml:space="preserve">Bora Inputs G173</t>
  </si>
  <si>
    <t xml:space="preserve">BESS capex</t>
  </si>
  <si>
    <t xml:space="preserve">EUR k/MWh</t>
  </si>
  <si>
    <t xml:space="preserve">CLAUDE.md standing assumption, 15-Oct-26</t>
  </si>
  <si>
    <t xml:space="preserve">Generation (hours and PPA price: case table on the Dashboard)</t>
  </si>
  <si>
    <t xml:space="preserve">Curtailment</t>
  </si>
  <si>
    <t xml:space="preserve">Bora Inputs G183</t>
  </si>
  <si>
    <t xml:space="preserve">Clipping</t>
  </si>
  <si>
    <t xml:space="preserve">Bora Dash_Clip_Override (user, 26-Oct-26)</t>
  </si>
  <si>
    <t xml:space="preserve">Degradation</t>
  </si>
  <si>
    <t xml:space="preserve">% p.a.</t>
  </si>
  <si>
    <t xml:space="preserve">Bora Inputs G184</t>
  </si>
  <si>
    <t xml:space="preserve">PPA escalation</t>
  </si>
  <si>
    <t xml:space="preserve">Bora Inputs G194</t>
  </si>
  <si>
    <t xml:space="preserve">Opex (COD-year prices; O&amp;M contract: case table on the Dashboard)</t>
  </si>
  <si>
    <t xml:space="preserve">Balance of plant maintenance</t>
  </si>
  <si>
    <t xml:space="preserve">Bora Inputs G204</t>
  </si>
  <si>
    <t xml:space="preserve">Land lease</t>
  </si>
  <si>
    <t xml:space="preserve">Bora Inputs G205</t>
  </si>
  <si>
    <t xml:space="preserve">Operational insurance</t>
  </si>
  <si>
    <t xml:space="preserve">Bora Inputs G206</t>
  </si>
  <si>
    <t xml:space="preserve">Asset and commercial management</t>
  </si>
  <si>
    <t xml:space="preserve">Bora Inputs G207</t>
  </si>
  <si>
    <t xml:space="preserve">Property tax</t>
  </si>
  <si>
    <t xml:space="preserve">Bora Inputs G208</t>
  </si>
  <si>
    <t xml:space="preserve">Administration, audit, compliance (at the source basis)</t>
  </si>
  <si>
    <t xml:space="preserve">EUR k/yr</t>
  </si>
  <si>
    <t xml:space="preserve">Bora Inputs G209</t>
  </si>
  <si>
    <t xml:space="preserve">Balancing cost</t>
  </si>
  <si>
    <t xml:space="preserve">Bora Inputs G196</t>
  </si>
  <si>
    <t xml:space="preserve">Grid use-of-system charges</t>
  </si>
  <si>
    <t xml:space="preserve">Bora Inputs G197</t>
  </si>
  <si>
    <t xml:space="preserve">% of rev.</t>
  </si>
  <si>
    <t xml:space="preserve">Bora Inputs G198</t>
  </si>
  <si>
    <t xml:space="preserve">Bora Inputs G212</t>
  </si>
  <si>
    <t xml:space="preserve">Opex contingency (not on community, HIPA)</t>
  </si>
  <si>
    <t xml:space="preserve">Bora Inputs G210</t>
  </si>
  <si>
    <t xml:space="preserve">Opex escalation</t>
  </si>
  <si>
    <t xml:space="preserve">Bora Inputs G211</t>
  </si>
  <si>
    <t xml:space="preserve">Valuation, timeline and constants</t>
  </si>
  <si>
    <t xml:space="preserve">Operating life from COD</t>
  </si>
  <si>
    <t xml:space="preserve">Bora Inputs G157</t>
  </si>
  <si>
    <t xml:space="preserve">Discount rate (buyer's pre-tax return at COD)</t>
  </si>
  <si>
    <t xml:space="preserve">Bora Inputs G226</t>
  </si>
  <si>
    <t xml:space="preserve">First year of the annual timeline</t>
  </si>
  <si>
    <t xml:space="preserve">Year of the first signing</t>
  </si>
  <si>
    <t xml:space="preserve">Thousand</t>
  </si>
  <si>
    <t xml:space="preserve">Constant</t>
  </si>
  <si>
    <t xml:space="preserve">Days in a year (act/365)</t>
  </si>
  <si>
    <t xml:space="preserve">Months in a year</t>
  </si>
  <si>
    <t xml:space="preserve">Check tolerance</t>
  </si>
  <si>
    <t xml:space="preserve">Band tables for the points (ÖSZ, Kiírás Annex 4) – expand the group</t>
  </si>
  <si>
    <t xml:space="preserve">Values →</t>
  </si>
  <si>
    <t xml:space="preserve">Osz1_LB</t>
  </si>
  <si>
    <t xml:space="preserve">Osz1_Incl</t>
  </si>
  <si>
    <t xml:space="preserve">Osz1_Pts</t>
  </si>
  <si>
    <t xml:space="preserve">Osz2_LB</t>
  </si>
  <si>
    <t xml:space="preserve">Osz2_Incl</t>
  </si>
  <si>
    <t xml:space="preserve">Osz2_Pts</t>
  </si>
  <si>
    <t xml:space="preserve">Osz3_LB</t>
  </si>
  <si>
    <t xml:space="preserve">Osz3_Incl</t>
  </si>
  <si>
    <t xml:space="preserve">Osz3_Pts</t>
  </si>
  <si>
    <t xml:space="preserve">Osz6_LB</t>
  </si>
  <si>
    <t xml:space="preserve">Osz6_Incl</t>
  </si>
  <si>
    <t xml:space="preserve">Osz6_Pts</t>
  </si>
  <si>
    <t xml:space="preserve">Osz5_Pts</t>
  </si>
  <si>
    <t xml:space="preserve">Osz7_Pts</t>
  </si>
  <si>
    <t xml:space="preserve">Osz8_Pts</t>
  </si>
  <si>
    <t xml:space="preserve">Osz9a_Pts</t>
  </si>
  <si>
    <t xml:space="preserve">Osz9b_Pts</t>
  </si>
  <si>
    <t xml:space="preserve">Osz1_W</t>
  </si>
  <si>
    <t xml:space="preserve">Osz2_W</t>
  </si>
  <si>
    <t xml:space="preserve">Osz3_W</t>
  </si>
  <si>
    <t xml:space="preserve">Osz4_W</t>
  </si>
  <si>
    <t xml:space="preserve">Osz5_W</t>
  </si>
  <si>
    <t xml:space="preserve">Osz6_W</t>
  </si>
  <si>
    <t xml:space="preserve">Osz7_W</t>
  </si>
  <si>
    <t xml:space="preserve">Osz8_W</t>
  </si>
  <si>
    <t xml:space="preserve">Osz9_W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</si>
</sst>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&quot;CHECK &quot;0;&quot;CHECK -&quot;0;&quot;OK&quot;"/>
    <numFmt numFmtId="166" formatCode="#,##0;\(#,##0\);\–"/>
    <numFmt numFmtId="167" formatCode="0.0%;\(0.0%\);\–"/>
    <numFmt numFmtId="168" formatCode="#,##0.0;\(#,##0.0\);\–"/>
    <numFmt numFmtId="169" formatCode="0"/>
    <numFmt numFmtId="170" formatCode="0.00\x"/>
    <numFmt numFmtId="171" formatCode="dd\-mmm\-yy"/>
    <numFmt numFmtId="172" formatCode="0.0%"/>
    <numFmt numFmtId="173" formatCode="0.0000"/>
    <numFmt numFmtId="174" formatCode="#,##0.00;\(#,##0.00\);\–"/>
    <numFmt numFmtId="175" formatCode="0;\-0;\–"/>
    <numFmt numFmtId="176" formatCode="0.000;\(0.000\);\–"/>
    <numFmt numFmtId="177" formatCode="#,##0.00"/>
    <numFmt numFmtId="178" formatCode="0.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sz val="10"/>
      <color rgb="FF000000"/>
      <name val="Aptos Narrow"/>
      <family val="0"/>
      <charset val="1"/>
    </font>
    <font>
      <sz val="10"/>
      <color rgb="FF0000FF"/>
      <name val="Aptos Narrow"/>
      <family val="0"/>
      <charset val="1"/>
    </font>
    <font>
      <b val="true"/>
      <sz val="10"/>
      <color rgb="FF000000"/>
      <name val="Aptos Narrow"/>
      <family val="2"/>
      <charset val="1"/>
    </font>
    <font>
      <b val="true"/>
      <i val="true"/>
      <sz val="10"/>
      <color rgb="FF808080"/>
      <name val="Aptos Narrow"/>
      <family val="2"/>
      <charset val="1"/>
    </font>
    <font>
      <i val="true"/>
      <sz val="10"/>
      <color rgb="FF808080"/>
      <name val="Aptos Narrow"/>
      <family val="2"/>
      <charset val="1"/>
    </font>
    <font>
      <b val="true"/>
      <sz val="11"/>
      <color theme="1"/>
      <name val="Calibri"/>
      <family val="2"/>
      <charset val="238"/>
    </font>
    <font>
      <b val="true"/>
      <sz val="10"/>
      <color rgb="FFFFFFFF"/>
      <name val="Aptos Narrow"/>
      <family val="2"/>
      <charset val="1"/>
    </font>
    <font>
      <b val="true"/>
      <sz val="10"/>
      <color rgb="FFFFFFFF"/>
      <name val="Aptos Narrow"/>
      <family val="2"/>
      <charset val="238"/>
    </font>
    <font>
      <b val="true"/>
      <sz val="10"/>
      <color rgb="FF3C3C3B"/>
      <name val="Aptos Narrow"/>
      <family val="2"/>
      <charset val="1"/>
    </font>
    <font>
      <b val="true"/>
      <sz val="10"/>
      <color rgb="FF3C3C3B"/>
      <name val="Aptos Narrow"/>
      <family val="0"/>
      <charset val="1"/>
    </font>
    <font>
      <i val="true"/>
      <sz val="10"/>
      <color rgb="FF000000"/>
      <name val="Aptos Narrow"/>
      <family val="2"/>
      <charset val="1"/>
    </font>
    <font>
      <b val="true"/>
      <sz val="10"/>
      <color rgb="FF808080"/>
      <name val="Aptos Narrow"/>
      <family val="0"/>
      <charset val="1"/>
    </font>
    <font>
      <sz val="10"/>
      <color rgb="FF000000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DEADA"/>
      </patternFill>
    </fill>
    <fill>
      <patternFill patternType="solid">
        <fgColor theme="0"/>
        <bgColor rgb="FFE6F4EC"/>
      </patternFill>
    </fill>
    <fill>
      <patternFill patternType="solid">
        <fgColor rgb="FFFFFF00"/>
        <bgColor rgb="FFFFFF00"/>
      </patternFill>
    </fill>
    <fill>
      <patternFill patternType="solid">
        <fgColor theme="9" tint="0.7999"/>
        <bgColor rgb="FFFFF2CC"/>
      </patternFill>
    </fill>
    <fill>
      <patternFill patternType="solid">
        <fgColor rgb="FFE6F4EC"/>
        <bgColor rgb="FFFDEA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00B050"/>
      </font>
    </dxf>
    <dxf>
      <font>
        <b val="1"/>
        <color rgb="FFFF000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AD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S388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4" ySplit="3" topLeftCell="E95" activePane="bottomRight" state="frozen"/>
      <selection pane="topLeft" activeCell="A1" activeCellId="0" sqref="A1"/>
      <selection pane="topRight" activeCell="E1" activeCellId="0" sqref="E1"/>
      <selection pane="bottomLeft" activeCell="A95" activeCellId="0" sqref="A95"/>
      <selection pane="bottomRight" activeCell="E61" activeCellId="0" sqref="E61"/>
    </sheetView>
  </sheetViews>
  <sheetFormatPr defaultColWidth="8.6796875" defaultRowHeight="14.25" zeroHeight="false" outlineLevelRow="1" outlineLevelCol="0"/>
  <cols>
    <col collapsed="false" customWidth="true" hidden="false" outlineLevel="0" max="2" min="1" style="0" width="2"/>
    <col collapsed="false" customWidth="true" hidden="false" outlineLevel="0" max="3" min="3" style="0" width="56"/>
    <col collapsed="false" customWidth="true" hidden="false" outlineLevel="0" max="4" min="4" style="0" width="10"/>
    <col collapsed="false" customWidth="true" hidden="false" outlineLevel="0" max="7" min="5" style="0" width="13"/>
    <col collapsed="false" customWidth="true" hidden="false" outlineLevel="0" max="8" min="8" style="0" width="15"/>
    <col collapsed="false" customWidth="true" hidden="false" outlineLevel="0" max="9" min="9" style="0" width="2"/>
    <col collapsed="false" customWidth="true" hidden="false" outlineLevel="0" max="45" min="10" style="0" width="10"/>
  </cols>
  <sheetData>
    <row r="2" customFormat="false" ht="14.25" hidden="false" customHeight="false" outlineLevel="0" collapsed="false">
      <c r="C2" s="1" t="s">
        <v>0</v>
      </c>
    </row>
    <row r="3" customFormat="false" ht="14.25" hidden="true" customHeight="false" outlineLevel="0" collapsed="false">
      <c r="C3" s="1" t="s">
        <v>1</v>
      </c>
      <c r="D3" s="2" t="s">
        <v>2</v>
      </c>
      <c r="H3" s="3" t="n">
        <f aca="false">Master_Check</f>
        <v>0</v>
      </c>
    </row>
    <row r="5" customFormat="false" ht="14.25" hidden="false" customHeight="false" outlineLevel="0" collapsed="false">
      <c r="B5" s="4" t="s">
        <v>3</v>
      </c>
      <c r="C5" s="4" t="s">
        <v>4</v>
      </c>
      <c r="D5" s="4"/>
      <c r="E5" s="5" t="s">
        <v>5</v>
      </c>
      <c r="F5" s="5" t="s">
        <v>6</v>
      </c>
      <c r="G5" s="5" t="s">
        <v>7</v>
      </c>
      <c r="H5" s="5" t="s">
        <v>8</v>
      </c>
    </row>
    <row r="6" customFormat="false" ht="14.25" hidden="false" customHeight="false" outlineLevel="0" collapsed="false">
      <c r="C6" s="6" t="s">
        <v>9</v>
      </c>
      <c r="D6" s="2" t="s">
        <v>10</v>
      </c>
      <c r="E6" s="7" t="n">
        <v>50</v>
      </c>
      <c r="F6" s="7" t="n">
        <v>50</v>
      </c>
      <c r="G6" s="7" t="n">
        <v>50</v>
      </c>
      <c r="H6" s="8" t="n">
        <f aca="false">SUM(E6:G6)</f>
        <v>150</v>
      </c>
    </row>
    <row r="7" customFormat="false" ht="14.25" hidden="false" customHeight="false" outlineLevel="0" collapsed="false">
      <c r="C7" s="6" t="s">
        <v>11</v>
      </c>
      <c r="D7" s="2" t="s">
        <v>12</v>
      </c>
      <c r="E7" s="9" t="n">
        <v>0</v>
      </c>
      <c r="F7" s="9" t="n">
        <v>0</v>
      </c>
      <c r="G7" s="9" t="n">
        <v>0</v>
      </c>
    </row>
    <row r="8" customFormat="false" ht="14.25" hidden="false" customHeight="false" outlineLevel="0" collapsed="false">
      <c r="C8" s="6" t="s">
        <v>13</v>
      </c>
      <c r="D8" s="2" t="s">
        <v>12</v>
      </c>
      <c r="E8" s="9" t="n">
        <v>0</v>
      </c>
      <c r="F8" s="9" t="n">
        <v>0</v>
      </c>
      <c r="G8" s="9" t="n">
        <v>0</v>
      </c>
    </row>
    <row r="9" customFormat="false" ht="14.25" hidden="false" customHeight="false" outlineLevel="0" collapsed="false">
      <c r="C9" s="6" t="s">
        <v>14</v>
      </c>
      <c r="D9" s="2" t="s">
        <v>15</v>
      </c>
      <c r="E9" s="7" t="n">
        <v>4</v>
      </c>
      <c r="F9" s="7" t="n">
        <v>4</v>
      </c>
      <c r="G9" s="7" t="n">
        <v>4</v>
      </c>
    </row>
    <row r="10" customFormat="false" ht="14.25" hidden="false" customHeight="false" outlineLevel="0" collapsed="false">
      <c r="C10" s="6" t="s">
        <v>16</v>
      </c>
      <c r="D10" s="2" t="s">
        <v>12</v>
      </c>
      <c r="E10" s="9" t="n">
        <v>0</v>
      </c>
      <c r="F10" s="9" t="n">
        <v>0</v>
      </c>
      <c r="G10" s="9" t="n">
        <v>0</v>
      </c>
    </row>
    <row r="11" customFormat="false" ht="14.25" hidden="false" customHeight="false" outlineLevel="0" collapsed="false">
      <c r="C11" s="6" t="s">
        <v>17</v>
      </c>
      <c r="D11" s="2" t="s">
        <v>18</v>
      </c>
      <c r="E11" s="7" t="n">
        <v>20</v>
      </c>
      <c r="F11" s="7" t="n">
        <v>50</v>
      </c>
      <c r="G11" s="7" t="n">
        <v>50</v>
      </c>
    </row>
    <row r="12" customFormat="false" ht="14.25" hidden="false" customHeight="false" outlineLevel="0" collapsed="false">
      <c r="C12" s="6" t="s">
        <v>19</v>
      </c>
      <c r="D12" s="2" t="s">
        <v>20</v>
      </c>
      <c r="E12" s="10" t="n">
        <v>0</v>
      </c>
      <c r="F12" s="10" t="n">
        <v>3</v>
      </c>
      <c r="G12" s="10" t="n">
        <v>3</v>
      </c>
    </row>
    <row r="13" customFormat="false" ht="14.25" hidden="false" customHeight="false" outlineLevel="0" collapsed="false">
      <c r="C13" s="6" t="s">
        <v>21</v>
      </c>
      <c r="D13" s="2" t="s">
        <v>2</v>
      </c>
      <c r="E13" s="11" t="n">
        <v>1</v>
      </c>
      <c r="F13" s="11" t="n">
        <v>1</v>
      </c>
      <c r="G13" s="11" t="n">
        <v>1</v>
      </c>
    </row>
    <row r="14" customFormat="false" ht="14.25" hidden="false" customHeight="false" outlineLevel="0" collapsed="false">
      <c r="C14" s="6" t="s">
        <v>22</v>
      </c>
      <c r="D14" s="2" t="s">
        <v>3</v>
      </c>
      <c r="E14" s="12" t="n">
        <v>1</v>
      </c>
      <c r="F14" s="12" t="n">
        <v>1</v>
      </c>
      <c r="G14" s="12" t="n">
        <v>1</v>
      </c>
    </row>
    <row r="15" customFormat="false" ht="14.25" hidden="false" customHeight="false" outlineLevel="0" collapsed="false">
      <c r="C15" s="6" t="s">
        <v>23</v>
      </c>
      <c r="D15" s="2" t="s">
        <v>2</v>
      </c>
      <c r="E15" s="11" t="n">
        <v>0</v>
      </c>
      <c r="F15" s="11" t="n">
        <v>0</v>
      </c>
      <c r="G15" s="11" t="n">
        <v>0</v>
      </c>
    </row>
    <row r="16" customFormat="false" ht="14.25" hidden="false" customHeight="false" outlineLevel="0" collapsed="false">
      <c r="C16" s="6" t="s">
        <v>24</v>
      </c>
      <c r="D16" s="2" t="s">
        <v>2</v>
      </c>
      <c r="E16" s="11" t="n">
        <v>1</v>
      </c>
      <c r="F16" s="11" t="n">
        <v>1</v>
      </c>
      <c r="G16" s="11" t="n">
        <v>1</v>
      </c>
    </row>
    <row r="17" customFormat="false" ht="14.25" hidden="false" customHeight="false" outlineLevel="0" collapsed="false">
      <c r="C17" s="6" t="s">
        <v>25</v>
      </c>
      <c r="D17" s="2" t="s">
        <v>26</v>
      </c>
      <c r="E17" s="13" t="s">
        <v>27</v>
      </c>
      <c r="F17" s="13" t="s">
        <v>27</v>
      </c>
      <c r="G17" s="13" t="s">
        <v>27</v>
      </c>
    </row>
    <row r="18" customFormat="false" ht="14.25" hidden="false" customHeight="false" outlineLevel="0" collapsed="false">
      <c r="C18" s="6" t="s">
        <v>28</v>
      </c>
      <c r="D18" s="2" t="s">
        <v>18</v>
      </c>
      <c r="E18" s="7" t="n">
        <v>150</v>
      </c>
      <c r="F18" s="7" t="n">
        <v>150</v>
      </c>
      <c r="G18" s="7" t="n">
        <v>150</v>
      </c>
    </row>
    <row r="19" customFormat="false" ht="14.25" hidden="false" customHeight="false" outlineLevel="0" collapsed="false">
      <c r="C19" s="6" t="s">
        <v>29</v>
      </c>
      <c r="D19" s="2" t="s">
        <v>12</v>
      </c>
      <c r="E19" s="9" t="n">
        <v>0.7</v>
      </c>
      <c r="F19" s="9" t="n">
        <v>1</v>
      </c>
      <c r="G19" s="9" t="n">
        <v>1</v>
      </c>
    </row>
    <row r="20" customFormat="false" ht="14.25" hidden="false" customHeight="false" outlineLevel="0" collapsed="false">
      <c r="C20" s="6" t="s">
        <v>30</v>
      </c>
      <c r="D20" s="2" t="s">
        <v>2</v>
      </c>
      <c r="E20" s="11" t="n">
        <v>1</v>
      </c>
      <c r="F20" s="11" t="n">
        <v>0</v>
      </c>
      <c r="G20" s="11" t="n">
        <v>0</v>
      </c>
    </row>
    <row r="22" customFormat="false" ht="14.25" hidden="true" customHeight="false" outlineLevel="0" collapsed="false">
      <c r="B22" s="4" t="s">
        <v>3</v>
      </c>
      <c r="C22" s="4" t="s">
        <v>31</v>
      </c>
      <c r="D22" s="4"/>
      <c r="E22" s="5" t="s">
        <v>32</v>
      </c>
      <c r="F22" s="5" t="s">
        <v>33</v>
      </c>
      <c r="G22" s="5" t="s">
        <v>34</v>
      </c>
      <c r="H22" s="5" t="s">
        <v>35</v>
      </c>
    </row>
    <row r="23" customFormat="false" ht="14.25" hidden="true" customHeight="false" outlineLevel="0" collapsed="false">
      <c r="C23" s="1" t="s">
        <v>36</v>
      </c>
      <c r="D23" s="2" t="s">
        <v>37</v>
      </c>
      <c r="H23" s="13" t="s">
        <v>32</v>
      </c>
    </row>
    <row r="24" customFormat="false" ht="14.25" hidden="true" customHeight="false" outlineLevel="0" collapsed="false">
      <c r="C24" s="6" t="s">
        <v>38</v>
      </c>
      <c r="D24" s="2" t="s">
        <v>39</v>
      </c>
      <c r="E24" s="7" t="n">
        <v>850</v>
      </c>
      <c r="F24" s="7" t="n">
        <v>950</v>
      </c>
      <c r="G24" s="7" t="n">
        <v>800</v>
      </c>
      <c r="H24" s="14" t="n">
        <f aca="false">INDEX(E24:G24,MATCH(Dash_Case,$E$22:$G$22,0))</f>
        <v>850</v>
      </c>
      <c r="J24" s="2" t="s">
        <v>40</v>
      </c>
    </row>
    <row r="25" customFormat="false" ht="14.25" hidden="true" customHeight="false" outlineLevel="0" collapsed="false">
      <c r="C25" s="6" t="s">
        <v>41</v>
      </c>
      <c r="D25" s="2" t="s">
        <v>39</v>
      </c>
      <c r="E25" s="7" t="n">
        <v>500</v>
      </c>
      <c r="F25" s="7" t="n">
        <v>600</v>
      </c>
      <c r="G25" s="7" t="n">
        <v>480</v>
      </c>
      <c r="H25" s="14" t="n">
        <f aca="false">INDEX(E25:G25,MATCH(Dash_Case,$E$22:$G$22,0))</f>
        <v>500</v>
      </c>
      <c r="J25" s="2" t="s">
        <v>42</v>
      </c>
    </row>
    <row r="26" customFormat="false" ht="14.25" hidden="true" customHeight="false" outlineLevel="0" collapsed="false">
      <c r="C26" s="6" t="s">
        <v>43</v>
      </c>
      <c r="D26" s="2" t="s">
        <v>20</v>
      </c>
      <c r="E26" s="10" t="n">
        <v>90</v>
      </c>
      <c r="F26" s="10" t="n">
        <v>90</v>
      </c>
      <c r="G26" s="10" t="n">
        <v>100</v>
      </c>
      <c r="H26" s="15" t="n">
        <f aca="false">INDEX(E26:G26,MATCH(Dash_Case,$E$22:$G$22,0))</f>
        <v>90</v>
      </c>
      <c r="J26" s="2" t="s">
        <v>44</v>
      </c>
    </row>
    <row r="27" customFormat="false" ht="14.25" hidden="true" customHeight="false" outlineLevel="0" collapsed="false">
      <c r="C27" s="6" t="s">
        <v>45</v>
      </c>
      <c r="D27" s="2" t="s">
        <v>46</v>
      </c>
      <c r="E27" s="7" t="n">
        <v>2500</v>
      </c>
      <c r="F27" s="7" t="n">
        <v>2460</v>
      </c>
      <c r="G27" s="7" t="n">
        <v>2600</v>
      </c>
      <c r="H27" s="14" t="n">
        <f aca="false">INDEX(E27:G27,MATCH(Dash_Case,$E$22:$G$22,0))</f>
        <v>2500</v>
      </c>
      <c r="J27" s="2" t="s">
        <v>47</v>
      </c>
    </row>
    <row r="28" customFormat="false" ht="14.25" hidden="true" customHeight="false" outlineLevel="0" collapsed="false">
      <c r="C28" s="6" t="s">
        <v>48</v>
      </c>
      <c r="D28" s="2" t="s">
        <v>49</v>
      </c>
      <c r="E28" s="10" t="n">
        <v>12</v>
      </c>
      <c r="F28" s="10" t="n">
        <v>12</v>
      </c>
      <c r="G28" s="10" t="n">
        <v>10</v>
      </c>
      <c r="H28" s="15" t="n">
        <f aca="false">INDEX(E28:G28,MATCH(Dash_Case,$E$22:$G$22,0))</f>
        <v>12</v>
      </c>
      <c r="J28" s="2" t="s">
        <v>50</v>
      </c>
    </row>
    <row r="29" customFormat="false" ht="14.25" hidden="true" customHeight="false" outlineLevel="0" collapsed="false"/>
    <row r="30" customFormat="false" ht="14.25" hidden="true" customHeight="false" outlineLevel="0" collapsed="false">
      <c r="B30" s="4" t="s">
        <v>3</v>
      </c>
      <c r="C30" s="4" t="s">
        <v>51</v>
      </c>
      <c r="D30" s="4"/>
      <c r="E30" s="5" t="s">
        <v>5</v>
      </c>
      <c r="F30" s="5" t="s">
        <v>6</v>
      </c>
      <c r="G30" s="5" t="s">
        <v>7</v>
      </c>
      <c r="H30" s="5" t="s">
        <v>8</v>
      </c>
    </row>
    <row r="31" customFormat="false" ht="14.25" hidden="true" customHeight="false" outlineLevel="0" collapsed="false">
      <c r="C31" s="6" t="s">
        <v>52</v>
      </c>
      <c r="D31" s="2" t="s">
        <v>53</v>
      </c>
      <c r="E31" s="16" t="n">
        <f aca="false">INDEX(Osz1_Pts,1+SUMPRODUCT((Osz1_LB&lt;E11)+(Osz1_LB=E11)*Osz1_Incl))*Osz1_W</f>
        <v>4</v>
      </c>
      <c r="F31" s="16" t="n">
        <f aca="false">INDEX(Osz1_Pts,1+SUMPRODUCT((Osz1_LB&lt;F11)+(Osz1_LB=F11)*Osz1_Incl))*Osz1_W</f>
        <v>20</v>
      </c>
      <c r="G31" s="16" t="n">
        <f aca="false">INDEX(Osz1_Pts,1+SUMPRODUCT((Osz1_LB&lt;G11)+(Osz1_LB=G11)*Osz1_Incl))*Osz1_W</f>
        <v>20</v>
      </c>
    </row>
    <row r="32" customFormat="false" ht="14.25" hidden="true" customHeight="false" outlineLevel="0" collapsed="false">
      <c r="C32" s="6" t="s">
        <v>54</v>
      </c>
      <c r="D32" s="2" t="s">
        <v>53</v>
      </c>
      <c r="E32" s="16" t="n">
        <f aca="false">INDEX(Osz2_Pts,1+SUMPRODUCT((Osz2_LB&lt;E12)+(Osz2_LB=E12)*Osz2_Incl))*Osz2_W</f>
        <v>0</v>
      </c>
      <c r="F32" s="16" t="n">
        <f aca="false">INDEX(Osz2_Pts,1+SUMPRODUCT((Osz2_LB&lt;F12)+(Osz2_LB=F12)*Osz2_Incl))*Osz2_W</f>
        <v>15</v>
      </c>
      <c r="G32" s="16" t="n">
        <f aca="false">INDEX(Osz2_Pts,1+SUMPRODUCT((Osz2_LB&lt;G12)+(Osz2_LB=G12)*Osz2_Incl))*Osz2_W</f>
        <v>15</v>
      </c>
    </row>
    <row r="33" customFormat="false" ht="14.25" hidden="true" customHeight="false" outlineLevel="0" collapsed="false">
      <c r="C33" s="6" t="s">
        <v>55</v>
      </c>
      <c r="D33" s="2" t="s">
        <v>53</v>
      </c>
      <c r="E33" s="16" t="n">
        <f aca="false">INDEX(Osz3_Pts,1+SUMPRODUCT((Osz3_LB&lt;E7)+(Osz3_LB=E7)*Osz3_Incl))*Osz3_W</f>
        <v>0</v>
      </c>
      <c r="F33" s="16" t="n">
        <f aca="false">INDEX(Osz3_Pts,1+SUMPRODUCT((Osz3_LB&lt;F7)+(Osz3_LB=F7)*Osz3_Incl))*Osz3_W</f>
        <v>0</v>
      </c>
      <c r="G33" s="16" t="n">
        <f aca="false">INDEX(Osz3_Pts,1+SUMPRODUCT((Osz3_LB&lt;G7)+(Osz3_LB=G7)*Osz3_Incl))*Osz3_W</f>
        <v>0</v>
      </c>
    </row>
    <row r="34" customFormat="false" ht="14.25" hidden="true" customHeight="false" outlineLevel="0" collapsed="false">
      <c r="C34" s="6" t="s">
        <v>56</v>
      </c>
      <c r="D34" s="2" t="s">
        <v>53</v>
      </c>
      <c r="E34" s="16" t="n">
        <f aca="false">INDEX(Osz3_Pts,1+SUMPRODUCT((Osz3_LB&lt;E8)+(Osz3_LB=E8)*Osz3_Incl))*Osz4_W</f>
        <v>0</v>
      </c>
      <c r="F34" s="16" t="n">
        <f aca="false">INDEX(Osz3_Pts,1+SUMPRODUCT((Osz3_LB&lt;F8)+(Osz3_LB=F8)*Osz3_Incl))*Osz4_W</f>
        <v>0</v>
      </c>
      <c r="G34" s="16" t="n">
        <f aca="false">INDEX(Osz3_Pts,1+SUMPRODUCT((Osz3_LB&lt;G8)+(Osz3_LB=G8)*Osz3_Incl))*Osz4_W</f>
        <v>0</v>
      </c>
    </row>
    <row r="35" customFormat="false" ht="14.25" hidden="true" customHeight="false" outlineLevel="0" collapsed="false">
      <c r="C35" s="6" t="s">
        <v>57</v>
      </c>
      <c r="D35" s="2" t="s">
        <v>53</v>
      </c>
      <c r="E35" s="16" t="n">
        <f aca="false">E13*Osz5_Pts*Osz5_W</f>
        <v>5</v>
      </c>
      <c r="F35" s="16" t="n">
        <f aca="false">F13*Osz5_Pts*Osz5_W</f>
        <v>5</v>
      </c>
      <c r="G35" s="16" t="n">
        <f aca="false">G13*Osz5_Pts*Osz5_W</f>
        <v>5</v>
      </c>
    </row>
    <row r="36" customFormat="false" ht="14.25" hidden="true" customHeight="false" outlineLevel="0" collapsed="false">
      <c r="C36" s="6" t="s">
        <v>58</v>
      </c>
      <c r="D36" s="2" t="s">
        <v>53</v>
      </c>
      <c r="E36" s="16" t="n">
        <f aca="false">INDEX(Osz6_Pts,1+SUMPRODUCT((Osz6_LB&lt;E14)+(Osz6_LB=E14)*Osz6_Incl))*Osz6_W</f>
        <v>0</v>
      </c>
      <c r="F36" s="16" t="n">
        <f aca="false">INDEX(Osz6_Pts,1+SUMPRODUCT((Osz6_LB&lt;F14)+(Osz6_LB=F14)*Osz6_Incl))*Osz6_W</f>
        <v>0</v>
      </c>
      <c r="G36" s="16" t="n">
        <f aca="false">INDEX(Osz6_Pts,1+SUMPRODUCT((Osz6_LB&lt;G14)+(Osz6_LB=G14)*Osz6_Incl))*Osz6_W</f>
        <v>0</v>
      </c>
    </row>
    <row r="37" customFormat="false" ht="14.25" hidden="true" customHeight="false" outlineLevel="0" collapsed="false">
      <c r="C37" s="6" t="s">
        <v>59</v>
      </c>
      <c r="D37" s="2" t="s">
        <v>53</v>
      </c>
      <c r="E37" s="16" t="n">
        <f aca="false">E15*Osz7_Pts*Osz7_W</f>
        <v>0</v>
      </c>
      <c r="F37" s="16" t="n">
        <f aca="false">F15*Osz7_Pts*Osz7_W</f>
        <v>0</v>
      </c>
      <c r="G37" s="16" t="n">
        <f aca="false">G15*Osz7_Pts*Osz7_W</f>
        <v>0</v>
      </c>
    </row>
    <row r="38" customFormat="false" ht="14.25" hidden="true" customHeight="false" outlineLevel="0" collapsed="false">
      <c r="C38" s="6" t="s">
        <v>60</v>
      </c>
      <c r="D38" s="2" t="s">
        <v>53</v>
      </c>
      <c r="E38" s="16" t="n">
        <f aca="false">E16*Osz8_Pts*Osz8_W</f>
        <v>5</v>
      </c>
      <c r="F38" s="16" t="n">
        <f aca="false">F16*Osz8_Pts*Osz8_W</f>
        <v>5</v>
      </c>
      <c r="G38" s="16" t="n">
        <f aca="false">G16*Osz8_Pts*Osz8_W</f>
        <v>5</v>
      </c>
    </row>
    <row r="39" customFormat="false" ht="14.25" hidden="true" customHeight="false" outlineLevel="0" collapsed="false">
      <c r="C39" s="6" t="s">
        <v>61</v>
      </c>
      <c r="D39" s="2" t="s">
        <v>53</v>
      </c>
      <c r="E39" s="16" t="n">
        <f aca="false">N(E17="EU")*Osz9a_Pts*Osz9_W</f>
        <v>0</v>
      </c>
      <c r="F39" s="16" t="n">
        <f aca="false">N(F17="EU")*Osz9a_Pts*Osz9_W</f>
        <v>0</v>
      </c>
      <c r="G39" s="16" t="n">
        <f aca="false">N(G17="EU")*Osz9a_Pts*Osz9_W</f>
        <v>0</v>
      </c>
    </row>
    <row r="40" customFormat="false" ht="14.25" hidden="true" customHeight="false" outlineLevel="0" collapsed="false">
      <c r="C40" s="6" t="s">
        <v>62</v>
      </c>
      <c r="D40" s="2" t="s">
        <v>53</v>
      </c>
      <c r="E40" s="16" t="n">
        <f aca="false">Inputs!E$25*Osz9b_Pts*Osz9_W</f>
        <v>0</v>
      </c>
      <c r="F40" s="16" t="n">
        <f aca="false">Inputs!F$25*Osz9b_Pts*Osz9_W</f>
        <v>0</v>
      </c>
      <c r="G40" s="16" t="n">
        <f aca="false">Inputs!G$25*Osz9b_Pts*Osz9_W</f>
        <v>0</v>
      </c>
    </row>
    <row r="41" customFormat="false" ht="14.25" hidden="false" customHeight="false" outlineLevel="0" collapsed="false">
      <c r="C41" s="1" t="s">
        <v>63</v>
      </c>
      <c r="D41" s="2" t="s">
        <v>53</v>
      </c>
      <c r="E41" s="17" t="n">
        <f aca="false">SUM(E31:E40)</f>
        <v>14</v>
      </c>
      <c r="F41" s="17" t="n">
        <f aca="false">SUM(F31:F40)</f>
        <v>45</v>
      </c>
      <c r="G41" s="17" t="n">
        <f aca="false">SUM(G31:G40)</f>
        <v>45</v>
      </c>
    </row>
    <row r="42" customFormat="false" ht="14.25" hidden="false" customHeight="false" outlineLevel="0" collapsed="false">
      <c r="C42" s="6" t="s">
        <v>64</v>
      </c>
      <c r="D42" s="2" t="s">
        <v>65</v>
      </c>
      <c r="E42" s="16" t="n">
        <f aca="false">E6*(1+E7)</f>
        <v>50</v>
      </c>
      <c r="F42" s="16" t="n">
        <f aca="false">F6*(1+F7)</f>
        <v>50</v>
      </c>
      <c r="G42" s="16" t="n">
        <f aca="false">G6*(1+G7)</f>
        <v>50</v>
      </c>
      <c r="H42" s="16" t="n">
        <f aca="false">SUM(E42:G42)</f>
        <v>150</v>
      </c>
    </row>
    <row r="43" customFormat="false" ht="14.25" hidden="false" customHeight="false" outlineLevel="0" collapsed="false">
      <c r="C43" s="6" t="s">
        <v>66</v>
      </c>
      <c r="D43" s="2" t="s">
        <v>67</v>
      </c>
      <c r="E43" s="16" t="n">
        <f aca="false">E6*E8*E9</f>
        <v>0</v>
      </c>
      <c r="F43" s="16" t="n">
        <f aca="false">F6*F8*F9</f>
        <v>0</v>
      </c>
      <c r="G43" s="16" t="n">
        <f aca="false">G6*G8*G9</f>
        <v>0</v>
      </c>
      <c r="H43" s="16" t="n">
        <f aca="false">SUM(E43:G43)</f>
        <v>0</v>
      </c>
    </row>
    <row r="44" customFormat="false" ht="14.25" hidden="false" customHeight="false" outlineLevel="0" collapsed="false">
      <c r="C44" s="6" t="s">
        <v>68</v>
      </c>
      <c r="D44" s="2" t="s">
        <v>65</v>
      </c>
      <c r="E44" s="16" t="n">
        <f aca="false">E42*(1-E10)</f>
        <v>50</v>
      </c>
      <c r="F44" s="16" t="n">
        <f aca="false">F42*(1-F10)</f>
        <v>50</v>
      </c>
      <c r="G44" s="16" t="n">
        <f aca="false">G42*(1-G10)</f>
        <v>50</v>
      </c>
      <c r="H44" s="16" t="n">
        <f aca="false">SUM(E44:G44)</f>
        <v>150</v>
      </c>
    </row>
    <row r="45" customFormat="false" ht="14.25" hidden="false" customHeight="false" outlineLevel="0" collapsed="false">
      <c r="K45" s="18"/>
      <c r="L45" s="18"/>
      <c r="M45" s="18"/>
    </row>
    <row r="46" customFormat="false" ht="14.25" hidden="false" customHeight="false" outlineLevel="0" collapsed="false">
      <c r="B46" s="4" t="s">
        <v>3</v>
      </c>
      <c r="C46" s="4" t="s">
        <v>69</v>
      </c>
      <c r="D46" s="4"/>
      <c r="E46" s="5" t="s">
        <v>5</v>
      </c>
      <c r="F46" s="5" t="s">
        <v>6</v>
      </c>
      <c r="G46" s="5" t="s">
        <v>7</v>
      </c>
      <c r="H46" s="5" t="s">
        <v>8</v>
      </c>
      <c r="J46" s="5" t="s">
        <v>70</v>
      </c>
      <c r="K46" s="19"/>
      <c r="L46" s="19"/>
      <c r="M46" s="18"/>
    </row>
    <row r="47" customFormat="false" ht="14.25" hidden="false" customHeight="false" outlineLevel="0" collapsed="false">
      <c r="C47" s="20" t="s">
        <v>71</v>
      </c>
      <c r="D47" s="21" t="s">
        <v>72</v>
      </c>
      <c r="E47" s="22" t="n">
        <f aca="false">Part_Fee</f>
        <v>3000000</v>
      </c>
      <c r="F47" s="22" t="n">
        <f aca="false">Part_Fee</f>
        <v>3000000</v>
      </c>
      <c r="G47" s="22" t="n">
        <f aca="false">Part_Fee</f>
        <v>3000000</v>
      </c>
      <c r="H47" s="22" t="n">
        <f aca="false">SUM(E47:G47)</f>
        <v>9000000</v>
      </c>
      <c r="J47" s="23" t="n">
        <f aca="false">Inputs!E$27</f>
        <v>46325</v>
      </c>
      <c r="K47" s="24"/>
      <c r="L47" s="24"/>
      <c r="M47" s="18"/>
    </row>
    <row r="48" customFormat="false" ht="14.25" hidden="false" customHeight="false" outlineLevel="0" collapsed="false">
      <c r="C48" s="20" t="s">
        <v>73</v>
      </c>
      <c r="D48" s="21" t="s">
        <v>72</v>
      </c>
      <c r="E48" s="22" t="n">
        <f aca="false">Bid_Sec_Rate*(E42*Bench_Wind+E43*Bench_BESS)</f>
        <v>101500000</v>
      </c>
      <c r="F48" s="22" t="n">
        <f aca="false">Bid_Sec_Rate*(F42*Bench_Wind+F43*Bench_BESS)</f>
        <v>101500000</v>
      </c>
      <c r="G48" s="22" t="n">
        <f aca="false">Bid_Sec_Rate*(G42*Bench_Wind+G43*Bench_BESS)</f>
        <v>101500000</v>
      </c>
      <c r="H48" s="22" t="n">
        <f aca="false">SUM(E48:G48)</f>
        <v>304500000</v>
      </c>
      <c r="J48" s="23" t="n">
        <f aca="false">Inputs!E$27</f>
        <v>46325</v>
      </c>
      <c r="K48" s="24"/>
      <c r="L48" s="24"/>
      <c r="M48" s="18"/>
    </row>
    <row r="49" customFormat="false" ht="14.25" hidden="false" customHeight="false" outlineLevel="0" collapsed="false">
      <c r="C49" s="20" t="s">
        <v>74</v>
      </c>
      <c r="D49" s="21" t="s">
        <v>72</v>
      </c>
      <c r="E49" s="22" t="n">
        <f aca="false">PB_Rate*E14*(E42*Bench_Wind+E43*Bench_BESS)-E48</f>
        <v>406000000</v>
      </c>
      <c r="F49" s="22" t="n">
        <f aca="false">PB_Rate*F14*(F42*Bench_Wind+F43*Bench_BESS)-F48</f>
        <v>406000000</v>
      </c>
      <c r="G49" s="22" t="n">
        <f aca="false">PB_Rate*G14*(G42*Bench_Wind+G43*Bench_BESS)-G48</f>
        <v>406000000</v>
      </c>
      <c r="H49" s="22" t="n">
        <f aca="false">SUM(E49:G49)</f>
        <v>1218000000</v>
      </c>
      <c r="J49" s="23" t="n">
        <f aca="false">Inputs!E$28</f>
        <v>46402</v>
      </c>
      <c r="K49" s="24"/>
      <c r="L49" s="24"/>
      <c r="M49" s="18"/>
    </row>
    <row r="50" customFormat="false" ht="14.25" hidden="false" customHeight="false" outlineLevel="0" collapsed="false">
      <c r="C50" s="25" t="s">
        <v>75</v>
      </c>
      <c r="D50" s="26" t="s">
        <v>72</v>
      </c>
      <c r="E50" s="27" t="n">
        <f aca="false">TSO_Rate*E6</f>
        <v>225000000</v>
      </c>
      <c r="F50" s="27" t="n">
        <f aca="false">TSO_Rate*F6</f>
        <v>225000000</v>
      </c>
      <c r="G50" s="27" t="n">
        <f aca="false">TSO_Rate*G6</f>
        <v>225000000</v>
      </c>
      <c r="H50" s="27" t="n">
        <f aca="false">SUM(E50:G50)</f>
        <v>675000000</v>
      </c>
      <c r="J50" s="23" t="n">
        <f aca="false">Inputs!E$29</f>
        <v>46402</v>
      </c>
      <c r="K50" s="24"/>
      <c r="L50" s="24"/>
      <c r="M50" s="18"/>
    </row>
    <row r="51" customFormat="false" ht="14.25" hidden="false" customHeight="false" outlineLevel="0" collapsed="false">
      <c r="C51" s="28" t="s">
        <v>76</v>
      </c>
      <c r="D51" s="29" t="s">
        <v>72</v>
      </c>
      <c r="E51" s="30" t="n">
        <f aca="false">Inputs!E$15/Inputs!E$16</f>
        <v>254172902</v>
      </c>
      <c r="F51" s="30" t="n">
        <f aca="false">Inputs!F$15/Inputs!F$16</f>
        <v>460000000</v>
      </c>
      <c r="G51" s="30" t="n">
        <f aca="false">Inputs!G$15/Inputs!G$16</f>
        <v>460000000</v>
      </c>
      <c r="H51" s="30" t="n">
        <f aca="false">SUM(E51:G51)</f>
        <v>1174172902</v>
      </c>
      <c r="J51" s="23" t="n">
        <f aca="false">Inputs!E$30</f>
        <v>47027</v>
      </c>
      <c r="K51" s="24"/>
      <c r="L51" s="24"/>
      <c r="M51" s="18"/>
    </row>
    <row r="52" customFormat="false" ht="14.25" hidden="false" customHeight="false" outlineLevel="0" collapsed="false">
      <c r="C52" s="28" t="s">
        <v>77</v>
      </c>
      <c r="D52" s="29" t="s">
        <v>72</v>
      </c>
      <c r="E52" s="30" t="n">
        <f aca="false">Inputs!E$14*E6-E50</f>
        <v>3428565300</v>
      </c>
      <c r="F52" s="30" t="n">
        <f aca="false">Inputs!F$14*F6-F50</f>
        <v>766334000</v>
      </c>
      <c r="G52" s="30" t="n">
        <f aca="false">Inputs!G$14*G6-G50</f>
        <v>766334000</v>
      </c>
      <c r="H52" s="30" t="n">
        <f aca="false">SUM(E52:G52)</f>
        <v>4961233300</v>
      </c>
      <c r="J52" s="23" t="n">
        <f aca="false">Inputs!E$30</f>
        <v>47027</v>
      </c>
      <c r="K52" s="24"/>
      <c r="L52" s="24"/>
      <c r="M52" s="18"/>
    </row>
    <row r="53" customFormat="false" ht="14.25" hidden="false" customHeight="false" outlineLevel="0" collapsed="false">
      <c r="C53" s="6" t="s">
        <v>78</v>
      </c>
      <c r="D53" s="2" t="s">
        <v>72</v>
      </c>
      <c r="E53" s="8" t="n">
        <f aca="false">SUM(Inputs!E$18:E$23)*FX*Thousand</f>
        <v>286331550</v>
      </c>
      <c r="F53" s="8" t="n">
        <f aca="false">SUM(Inputs!F$18:F$23)*FX*Thousand</f>
        <v>365000000</v>
      </c>
      <c r="G53" s="8" t="n">
        <f aca="false">SUM(Inputs!G$18:G$23)*FX*Thousand</f>
        <v>365000000</v>
      </c>
      <c r="H53" s="8" t="n">
        <f aca="false">SUM(E53:G53)</f>
        <v>1016331550</v>
      </c>
      <c r="J53" s="23" t="n">
        <f aca="false">Inputs!E$31</f>
        <v>46752</v>
      </c>
      <c r="K53" s="24"/>
      <c r="L53" s="24"/>
      <c r="M53" s="18"/>
    </row>
    <row r="54" customFormat="false" ht="14.25" hidden="false" customHeight="false" outlineLevel="0" collapsed="false">
      <c r="C54" s="6" t="s">
        <v>79</v>
      </c>
      <c r="D54" s="2" t="s">
        <v>72</v>
      </c>
      <c r="E54" s="8" t="n">
        <f aca="false">Inputs!E$17*FX*Thousand</f>
        <v>36500000</v>
      </c>
      <c r="F54" s="8" t="n">
        <f aca="false">Inputs!F$17*FX*Thousand</f>
        <v>54750000</v>
      </c>
      <c r="G54" s="8" t="n">
        <f aca="false">Inputs!G$17*FX*Thousand</f>
        <v>54750000</v>
      </c>
      <c r="H54" s="8" t="n">
        <f aca="false">SUM(E54:G54)</f>
        <v>146000000</v>
      </c>
      <c r="J54" s="23" t="n">
        <f aca="false">Inputs!E$26</f>
        <v>46234</v>
      </c>
      <c r="K54" s="24"/>
      <c r="L54" s="24"/>
      <c r="M54" s="18"/>
    </row>
    <row r="55" customFormat="false" ht="14.25" hidden="false" customHeight="false" outlineLevel="0" collapsed="false">
      <c r="C55" s="1" t="s">
        <v>80</v>
      </c>
      <c r="D55" s="2" t="s">
        <v>72</v>
      </c>
      <c r="E55" s="31" t="n">
        <f aca="false">SUM(E47:E54)</f>
        <v>4741069752</v>
      </c>
      <c r="F55" s="31" t="n">
        <f aca="false">SUM(F47:F54)</f>
        <v>2381584000</v>
      </c>
      <c r="G55" s="31" t="n">
        <f aca="false">SUM(G47:G54)</f>
        <v>2381584000</v>
      </c>
      <c r="H55" s="31" t="n">
        <f aca="false">SUM(E55:G55)</f>
        <v>9504237752</v>
      </c>
      <c r="K55" s="18"/>
      <c r="L55" s="18"/>
      <c r="M55" s="18"/>
    </row>
    <row r="56" customFormat="false" ht="14.25" hidden="false" customHeight="false" outlineLevel="0" collapsed="false">
      <c r="K56" s="18"/>
      <c r="L56" s="18"/>
      <c r="M56" s="18"/>
    </row>
    <row r="57" customFormat="false" ht="14.25" hidden="false" customHeight="false" outlineLevel="0" collapsed="false">
      <c r="B57" s="4" t="s">
        <v>3</v>
      </c>
      <c r="C57" s="4" t="s">
        <v>81</v>
      </c>
      <c r="D57" s="4"/>
      <c r="E57" s="5" t="s">
        <v>5</v>
      </c>
      <c r="F57" s="5" t="s">
        <v>6</v>
      </c>
      <c r="G57" s="5" t="s">
        <v>7</v>
      </c>
      <c r="H57" s="5" t="s">
        <v>8</v>
      </c>
      <c r="J57" s="5" t="s">
        <v>70</v>
      </c>
      <c r="K57" s="19"/>
      <c r="L57" s="19"/>
      <c r="M57" s="18"/>
    </row>
    <row r="58" customFormat="false" ht="14.25" hidden="false" customHeight="false" outlineLevel="0" collapsed="false">
      <c r="C58" s="20" t="s">
        <v>71</v>
      </c>
      <c r="D58" s="21" t="s">
        <v>82</v>
      </c>
      <c r="E58" s="32" t="n">
        <f aca="false">E47/FX/Thousand</f>
        <v>8.21917808219178</v>
      </c>
      <c r="F58" s="32" t="n">
        <f aca="false">F47/FX/Thousand</f>
        <v>8.21917808219178</v>
      </c>
      <c r="G58" s="32" t="n">
        <f aca="false">G47/FX/Thousand</f>
        <v>8.21917808219178</v>
      </c>
      <c r="H58" s="32" t="n">
        <f aca="false">SUM(E58:G58)</f>
        <v>24.6575342465753</v>
      </c>
      <c r="J58" s="23" t="n">
        <f aca="false">Inputs!E$27</f>
        <v>46325</v>
      </c>
      <c r="K58" s="24"/>
      <c r="L58" s="24"/>
      <c r="M58" s="18"/>
    </row>
    <row r="59" customFormat="false" ht="14.25" hidden="false" customHeight="false" outlineLevel="0" collapsed="false">
      <c r="C59" s="20" t="s">
        <v>73</v>
      </c>
      <c r="D59" s="21" t="s">
        <v>82</v>
      </c>
      <c r="E59" s="22" t="n">
        <f aca="false">E48/FX/Thousand</f>
        <v>278.082191780822</v>
      </c>
      <c r="F59" s="22" t="n">
        <f aca="false">F48/FX/Thousand</f>
        <v>278.082191780822</v>
      </c>
      <c r="G59" s="22" t="n">
        <f aca="false">G48/FX/Thousand</f>
        <v>278.082191780822</v>
      </c>
      <c r="H59" s="22" t="n">
        <f aca="false">SUM(E59:G59)</f>
        <v>834.246575342466</v>
      </c>
      <c r="J59" s="23" t="n">
        <f aca="false">Inputs!E$27</f>
        <v>46325</v>
      </c>
      <c r="K59" s="24"/>
      <c r="L59" s="24"/>
      <c r="M59" s="18"/>
    </row>
    <row r="60" customFormat="false" ht="14.25" hidden="false" customHeight="false" outlineLevel="0" collapsed="false">
      <c r="C60" s="20" t="s">
        <v>74</v>
      </c>
      <c r="D60" s="21" t="s">
        <v>82</v>
      </c>
      <c r="E60" s="22" t="n">
        <f aca="false">E49/FX/Thousand</f>
        <v>1112.32876712329</v>
      </c>
      <c r="F60" s="22" t="n">
        <f aca="false">F49/FX/Thousand</f>
        <v>1112.32876712329</v>
      </c>
      <c r="G60" s="22" t="n">
        <f aca="false">G49/FX/Thousand</f>
        <v>1112.32876712329</v>
      </c>
      <c r="H60" s="22" t="n">
        <f aca="false">SUM(E60:G60)</f>
        <v>3336.98630136986</v>
      </c>
      <c r="J60" s="23" t="n">
        <f aca="false">Inputs!E$28</f>
        <v>46402</v>
      </c>
      <c r="K60" s="24"/>
      <c r="L60" s="24"/>
      <c r="M60" s="18"/>
    </row>
    <row r="61" customFormat="false" ht="14.25" hidden="false" customHeight="false" outlineLevel="0" collapsed="false">
      <c r="C61" s="25" t="s">
        <v>75</v>
      </c>
      <c r="D61" s="26" t="s">
        <v>82</v>
      </c>
      <c r="E61" s="27" t="n">
        <f aca="false">E50/FX/Thousand</f>
        <v>616.438356164384</v>
      </c>
      <c r="F61" s="27" t="n">
        <f aca="false">F50/FX/Thousand</f>
        <v>616.438356164384</v>
      </c>
      <c r="G61" s="27" t="n">
        <f aca="false">G50/FX/Thousand</f>
        <v>616.438356164384</v>
      </c>
      <c r="H61" s="27" t="n">
        <f aca="false">SUM(E61:G61)</f>
        <v>1849.31506849315</v>
      </c>
      <c r="J61" s="23" t="n">
        <f aca="false">Inputs!E$29</f>
        <v>46402</v>
      </c>
      <c r="K61" s="23"/>
      <c r="L61" s="23"/>
    </row>
    <row r="62" customFormat="false" ht="14.25" hidden="false" customHeight="false" outlineLevel="0" collapsed="false">
      <c r="C62" s="28" t="s">
        <v>76</v>
      </c>
      <c r="D62" s="29" t="s">
        <v>82</v>
      </c>
      <c r="E62" s="30" t="n">
        <f aca="false">E51/FX/Thousand</f>
        <v>696.364115068493</v>
      </c>
      <c r="F62" s="30" t="n">
        <f aca="false">F51/FX/Thousand</f>
        <v>1260.27397260274</v>
      </c>
      <c r="G62" s="30" t="n">
        <f aca="false">G51/FX/Thousand</f>
        <v>1260.27397260274</v>
      </c>
      <c r="H62" s="30" t="n">
        <f aca="false">SUM(E62:G62)</f>
        <v>3216.91206027397</v>
      </c>
      <c r="J62" s="23" t="n">
        <f aca="false">Inputs!E$30</f>
        <v>47027</v>
      </c>
      <c r="K62" s="23"/>
      <c r="L62" s="23"/>
    </row>
    <row r="63" customFormat="false" ht="14.25" hidden="false" customHeight="false" outlineLevel="0" collapsed="false">
      <c r="C63" s="28" t="s">
        <v>77</v>
      </c>
      <c r="D63" s="29" t="s">
        <v>82</v>
      </c>
      <c r="E63" s="30" t="n">
        <f aca="false">E52/FX/Thousand</f>
        <v>9393.3295890411</v>
      </c>
      <c r="F63" s="30" t="n">
        <f aca="false">F52/FX/Thousand</f>
        <v>2099.54520547945</v>
      </c>
      <c r="G63" s="30" t="n">
        <f aca="false">G52/FX/Thousand</f>
        <v>2099.54520547945</v>
      </c>
      <c r="H63" s="30" t="n">
        <f aca="false">SUM(E63:G63)</f>
        <v>13592.42</v>
      </c>
      <c r="J63" s="23" t="n">
        <f aca="false">Inputs!E$30</f>
        <v>47027</v>
      </c>
      <c r="K63" s="23"/>
      <c r="L63" s="23"/>
    </row>
    <row r="64" customFormat="false" ht="14.25" hidden="false" customHeight="false" outlineLevel="0" collapsed="false">
      <c r="C64" s="6" t="s">
        <v>78</v>
      </c>
      <c r="D64" s="2" t="s">
        <v>82</v>
      </c>
      <c r="E64" s="8" t="n">
        <f aca="false">E53/FX/Thousand</f>
        <v>784.47</v>
      </c>
      <c r="F64" s="8" t="n">
        <f aca="false">F53/FX/Thousand</f>
        <v>1000</v>
      </c>
      <c r="G64" s="8" t="n">
        <f aca="false">G53/FX/Thousand</f>
        <v>1000</v>
      </c>
      <c r="H64" s="8" t="n">
        <f aca="false">SUM(E64:G64)</f>
        <v>2784.47</v>
      </c>
      <c r="J64" s="23" t="n">
        <f aca="false">Inputs!E$31</f>
        <v>46752</v>
      </c>
      <c r="K64" s="23"/>
      <c r="L64" s="23"/>
    </row>
    <row r="65" customFormat="false" ht="14.25" hidden="false" customHeight="false" outlineLevel="0" collapsed="false">
      <c r="C65" s="6" t="s">
        <v>79</v>
      </c>
      <c r="D65" s="2" t="s">
        <v>82</v>
      </c>
      <c r="E65" s="8" t="n">
        <f aca="false">Inputs!E$17</f>
        <v>100</v>
      </c>
      <c r="F65" s="8" t="n">
        <f aca="false">Inputs!F$17</f>
        <v>150</v>
      </c>
      <c r="G65" s="8" t="n">
        <f aca="false">Inputs!G$17</f>
        <v>150</v>
      </c>
      <c r="H65" s="8" t="n">
        <f aca="false">SUM(E65:G65)</f>
        <v>400</v>
      </c>
      <c r="J65" s="23" t="n">
        <f aca="false">Inputs!E$26</f>
        <v>46234</v>
      </c>
      <c r="K65" s="23"/>
      <c r="L65" s="23"/>
    </row>
    <row r="66" customFormat="false" ht="14.25" hidden="false" customHeight="false" outlineLevel="0" collapsed="false">
      <c r="C66" s="1" t="s">
        <v>80</v>
      </c>
      <c r="D66" s="2" t="s">
        <v>82</v>
      </c>
      <c r="E66" s="31" t="n">
        <f aca="false">SUM(E58:E65)</f>
        <v>12989.2321972603</v>
      </c>
      <c r="F66" s="31" t="n">
        <f aca="false">SUM(F58:F65)</f>
        <v>6524.88767123288</v>
      </c>
      <c r="G66" s="31" t="n">
        <f aca="false">SUM(G58:G65)</f>
        <v>6524.88767123288</v>
      </c>
      <c r="H66" s="31" t="n">
        <f aca="false">SUM(E66:G66)</f>
        <v>26039.007539726</v>
      </c>
    </row>
    <row r="68" customFormat="false" ht="14.25" hidden="false" customHeight="false" outlineLevel="0" collapsed="false">
      <c r="B68" s="4" t="s">
        <v>3</v>
      </c>
      <c r="C68" s="4" t="s">
        <v>83</v>
      </c>
      <c r="D68" s="4"/>
      <c r="E68" s="5" t="s">
        <v>5</v>
      </c>
      <c r="F68" s="5" t="s">
        <v>6</v>
      </c>
      <c r="G68" s="5" t="s">
        <v>7</v>
      </c>
      <c r="H68" s="5" t="s">
        <v>8</v>
      </c>
      <c r="J68" s="5" t="s">
        <v>84</v>
      </c>
    </row>
    <row r="69" customFormat="false" ht="14.25" hidden="false" customHeight="false" outlineLevel="0" collapsed="false">
      <c r="C69" s="6" t="s">
        <v>85</v>
      </c>
      <c r="D69" s="2" t="s">
        <v>82</v>
      </c>
      <c r="E69" s="8" t="n">
        <f aca="false">E58+E64+E65</f>
        <v>892.689178082192</v>
      </c>
      <c r="F69" s="8" t="n">
        <f aca="false">F58+F64+F65</f>
        <v>1158.21917808219</v>
      </c>
      <c r="G69" s="8" t="n">
        <f aca="false">G58+G64+G65</f>
        <v>1158.21917808219</v>
      </c>
      <c r="H69" s="8" t="n">
        <f aca="false">SUM(E69:G69)</f>
        <v>3209.12753424658</v>
      </c>
      <c r="J69" s="33" t="s">
        <v>86</v>
      </c>
    </row>
    <row r="70" customFormat="false" ht="14.25" hidden="false" customHeight="false" outlineLevel="0" collapsed="false">
      <c r="C70" s="6" t="s">
        <v>87</v>
      </c>
      <c r="D70" s="2" t="s">
        <v>82</v>
      </c>
      <c r="E70" s="8" t="n">
        <f aca="false">SUM(E59:E61)</f>
        <v>2006.84931506849</v>
      </c>
      <c r="F70" s="8" t="n">
        <f aca="false">SUM(F59:F61)</f>
        <v>2006.84931506849</v>
      </c>
      <c r="G70" s="8" t="n">
        <f aca="false">SUM(G59:G61)</f>
        <v>2006.84931506849</v>
      </c>
      <c r="H70" s="8" t="n">
        <f aca="false">SUM(E70:G70)</f>
        <v>6020.54794520548</v>
      </c>
      <c r="J70" s="33" t="s">
        <v>88</v>
      </c>
    </row>
    <row r="71" customFormat="false" ht="14.25" hidden="false" customHeight="false" outlineLevel="0" collapsed="false">
      <c r="C71" s="6" t="s">
        <v>89</v>
      </c>
      <c r="D71" s="2" t="s">
        <v>82</v>
      </c>
      <c r="E71" s="34" t="n">
        <f aca="false">E62+E63</f>
        <v>10089.6937041096</v>
      </c>
      <c r="F71" s="34" t="n">
        <f aca="false">F62+F63</f>
        <v>3359.81917808219</v>
      </c>
      <c r="G71" s="34" t="n">
        <f aca="false">G62+G63</f>
        <v>3359.81917808219</v>
      </c>
      <c r="H71" s="34" t="n">
        <f aca="false">SUM(E71:G71)</f>
        <v>16809.332060274</v>
      </c>
      <c r="J71" s="33" t="s">
        <v>90</v>
      </c>
    </row>
    <row r="72" customFormat="false" ht="14.25" hidden="false" customHeight="false" outlineLevel="0" collapsed="false">
      <c r="C72" s="1" t="s">
        <v>91</v>
      </c>
      <c r="D72" s="2" t="s">
        <v>82</v>
      </c>
      <c r="E72" s="14" t="n">
        <f aca="false">SUM(E69:E71)</f>
        <v>12989.2321972603</v>
      </c>
      <c r="F72" s="14" t="n">
        <f aca="false">SUM(F69:F71)</f>
        <v>6524.88767123288</v>
      </c>
      <c r="G72" s="14" t="n">
        <f aca="false">SUM(G69:G71)</f>
        <v>6524.88767123288</v>
      </c>
      <c r="H72" s="14" t="n">
        <f aca="false">SUM(E72:G72)</f>
        <v>26039.007539726</v>
      </c>
      <c r="J72" s="33" t="s">
        <v>92</v>
      </c>
    </row>
    <row r="73" customFormat="false" ht="14.25" hidden="false" customHeight="false" outlineLevel="0" collapsed="false">
      <c r="C73" s="0" t="s">
        <v>93</v>
      </c>
      <c r="D73" s="0" t="s">
        <v>12</v>
      </c>
      <c r="E73" s="35" t="n">
        <f aca="false">E71/E72</f>
        <v>0.776773680759802</v>
      </c>
      <c r="F73" s="35" t="n">
        <f aca="false">F71/F72</f>
        <v>0.514923681045892</v>
      </c>
      <c r="G73" s="35" t="n">
        <f aca="false">G71/G72</f>
        <v>0.514923681045892</v>
      </c>
      <c r="H73" s="35" t="n">
        <f aca="false">H71/H72</f>
        <v>0.645544267946044</v>
      </c>
      <c r="J73" s="33"/>
    </row>
    <row r="74" customFormat="false" ht="14.25" hidden="false" customHeight="false" outlineLevel="0" collapsed="false">
      <c r="C74" s="1" t="s">
        <v>94</v>
      </c>
      <c r="D74" s="2" t="s">
        <v>82</v>
      </c>
      <c r="E74" s="31" t="n">
        <f aca="false">E72-E71</f>
        <v>2899.53849315069</v>
      </c>
      <c r="F74" s="31" t="n">
        <f aca="false">F72-F71</f>
        <v>3165.06849315069</v>
      </c>
      <c r="G74" s="31" t="n">
        <f aca="false">G72-G71</f>
        <v>3165.06849315069</v>
      </c>
      <c r="H74" s="31" t="n">
        <f aca="false">SUM(E74:G74)</f>
        <v>9229.67547945206</v>
      </c>
      <c r="J74" s="33" t="s">
        <v>95</v>
      </c>
    </row>
    <row r="76" customFormat="false" ht="14.25" hidden="false" customHeight="false" outlineLevel="0" collapsed="false">
      <c r="B76" s="4" t="s">
        <v>3</v>
      </c>
      <c r="C76" s="4" t="s">
        <v>96</v>
      </c>
      <c r="D76" s="4"/>
      <c r="E76" s="5" t="s">
        <v>5</v>
      </c>
      <c r="F76" s="5" t="s">
        <v>6</v>
      </c>
      <c r="G76" s="5" t="s">
        <v>7</v>
      </c>
      <c r="H76" s="5" t="s">
        <v>8</v>
      </c>
    </row>
    <row r="77" customFormat="false" ht="14.25" hidden="false" customHeight="false" outlineLevel="0" collapsed="false">
      <c r="C77" s="6" t="s">
        <v>97</v>
      </c>
      <c r="D77" s="2" t="s">
        <v>82</v>
      </c>
      <c r="E77" s="8" t="n">
        <f aca="false">IF(E17="EU",Case_EU,Case_CN)*E44</f>
        <v>25000</v>
      </c>
      <c r="F77" s="8" t="n">
        <f aca="false">IF(F17="EU",Case_EU,Case_CN)*F44</f>
        <v>25000</v>
      </c>
      <c r="G77" s="8" t="n">
        <f aca="false">IF(G17="EU",Case_EU,Case_CN)*G44</f>
        <v>25000</v>
      </c>
      <c r="H77" s="8" t="n">
        <f aca="false">SUM(E77:G77)</f>
        <v>75000</v>
      </c>
    </row>
    <row r="78" customFormat="false" ht="14.25" hidden="false" customHeight="false" outlineLevel="0" collapsed="false">
      <c r="C78" s="6" t="s">
        <v>98</v>
      </c>
      <c r="D78" s="2" t="s">
        <v>82</v>
      </c>
      <c r="E78" s="8" t="n">
        <f aca="false">Capex_Install*E44</f>
        <v>4000</v>
      </c>
      <c r="F78" s="8" t="n">
        <f aca="false">Capex_Install*F44</f>
        <v>4000</v>
      </c>
      <c r="G78" s="8" t="n">
        <f aca="false">Capex_Install*G44</f>
        <v>4000</v>
      </c>
      <c r="H78" s="8" t="n">
        <f aca="false">SUM(E78:G78)</f>
        <v>12000</v>
      </c>
    </row>
    <row r="79" customFormat="false" ht="14.25" hidden="false" customHeight="false" outlineLevel="0" collapsed="false">
      <c r="C79" s="6" t="s">
        <v>99</v>
      </c>
      <c r="D79" s="2" t="s">
        <v>82</v>
      </c>
      <c r="E79" s="8" t="n">
        <f aca="false">Capex_Fdn*E44</f>
        <v>4500</v>
      </c>
      <c r="F79" s="8" t="n">
        <f aca="false">Capex_Fdn*F44</f>
        <v>4500</v>
      </c>
      <c r="G79" s="8" t="n">
        <f aca="false">Capex_Fdn*G44</f>
        <v>4500</v>
      </c>
      <c r="H79" s="8" t="n">
        <f aca="false">SUM(E79:G79)</f>
        <v>13500</v>
      </c>
    </row>
    <row r="80" customFormat="false" ht="14.25" hidden="false" customHeight="false" outlineLevel="0" collapsed="false">
      <c r="C80" s="6" t="s">
        <v>100</v>
      </c>
      <c r="D80" s="2" t="s">
        <v>82</v>
      </c>
      <c r="E80" s="8" t="n">
        <f aca="false">Capex_Civil*E44</f>
        <v>3500</v>
      </c>
      <c r="F80" s="8" t="n">
        <f aca="false">Capex_Civil*F44</f>
        <v>3500</v>
      </c>
      <c r="G80" s="8" t="n">
        <f aca="false">Capex_Civil*G44</f>
        <v>3500</v>
      </c>
      <c r="H80" s="8" t="n">
        <f aca="false">SUM(E80:G80)</f>
        <v>10500</v>
      </c>
    </row>
    <row r="81" customFormat="false" ht="14.25" hidden="false" customHeight="false" outlineLevel="0" collapsed="false">
      <c r="C81" s="6" t="s">
        <v>101</v>
      </c>
      <c r="D81" s="2" t="s">
        <v>82</v>
      </c>
      <c r="E81" s="8" t="n">
        <f aca="false">Capex_Elec*E44</f>
        <v>3000</v>
      </c>
      <c r="F81" s="8" t="n">
        <f aca="false">Capex_Elec*F44</f>
        <v>3000</v>
      </c>
      <c r="G81" s="8" t="n">
        <f aca="false">Capex_Elec*G44</f>
        <v>3000</v>
      </c>
      <c r="H81" s="8" t="n">
        <f aca="false">SUM(E81:G81)</f>
        <v>9000</v>
      </c>
    </row>
    <row r="82" customFormat="false" ht="14.25" hidden="false" customHeight="false" outlineLevel="0" collapsed="false">
      <c r="C82" s="6" t="s">
        <v>102</v>
      </c>
      <c r="D82" s="2" t="s">
        <v>82</v>
      </c>
      <c r="E82" s="8" t="n">
        <f aca="false">Capex_Owner*E44</f>
        <v>2000</v>
      </c>
      <c r="F82" s="8" t="n">
        <f aca="false">Capex_Owner*F44</f>
        <v>2000</v>
      </c>
      <c r="G82" s="8" t="n">
        <f aca="false">Capex_Owner*G44</f>
        <v>2000</v>
      </c>
      <c r="H82" s="8" t="n">
        <f aca="false">SUM(E82:G82)</f>
        <v>6000</v>
      </c>
    </row>
    <row r="83" customFormat="false" ht="14.25" hidden="false" customHeight="false" outlineLevel="0" collapsed="false">
      <c r="C83" s="6" t="s">
        <v>103</v>
      </c>
      <c r="D83" s="2" t="s">
        <v>82</v>
      </c>
      <c r="E83" s="8" t="n">
        <f aca="false">Capex_Land*E44</f>
        <v>750</v>
      </c>
      <c r="F83" s="8" t="n">
        <f aca="false">Capex_Land*F44</f>
        <v>750</v>
      </c>
      <c r="G83" s="8" t="n">
        <f aca="false">Capex_Land*G44</f>
        <v>750</v>
      </c>
      <c r="H83" s="8" t="n">
        <f aca="false">SUM(E83:G83)</f>
        <v>2250</v>
      </c>
    </row>
    <row r="84" customFormat="false" ht="14.25" hidden="false" customHeight="false" outlineLevel="0" collapsed="false">
      <c r="C84" s="6" t="s">
        <v>104</v>
      </c>
      <c r="D84" s="2" t="s">
        <v>82</v>
      </c>
      <c r="E84" s="8" t="n">
        <f aca="false">Subs_Lump*E6/Lump_Basis</f>
        <v>3000</v>
      </c>
      <c r="F84" s="8" t="n">
        <f aca="false">Subs_Lump*F6/Lump_Basis</f>
        <v>3000</v>
      </c>
      <c r="G84" s="8" t="n">
        <f aca="false">Subs_Lump*G6/Lump_Basis</f>
        <v>3000</v>
      </c>
      <c r="H84" s="8" t="n">
        <f aca="false">SUM(E84:G84)</f>
        <v>9000</v>
      </c>
    </row>
    <row r="85" customFormat="false" ht="14.25" hidden="false" customHeight="false" outlineLevel="0" collapsed="false">
      <c r="C85" s="6" t="s">
        <v>105</v>
      </c>
      <c r="D85" s="2" t="s">
        <v>82</v>
      </c>
      <c r="E85" s="8" t="n">
        <f aca="false">SUM(E77:E84)*Capex_Cont</f>
        <v>2287.5</v>
      </c>
      <c r="F85" s="8" t="n">
        <f aca="false">SUM(F77:F84)*Capex_Cont</f>
        <v>2287.5</v>
      </c>
      <c r="G85" s="8" t="n">
        <f aca="false">SUM(G77:G84)*Capex_Cont</f>
        <v>2287.5</v>
      </c>
      <c r="H85" s="8" t="n">
        <f aca="false">SUM(E85:G85)</f>
        <v>6862.5</v>
      </c>
    </row>
    <row r="86" customFormat="false" ht="14.25" hidden="false" customHeight="false" outlineLevel="0" collapsed="false">
      <c r="C86" s="6" t="s">
        <v>106</v>
      </c>
      <c r="D86" s="2" t="s">
        <v>82</v>
      </c>
      <c r="E86" s="8" t="n">
        <f aca="false">BESS_Capex*E43</f>
        <v>0</v>
      </c>
      <c r="F86" s="8" t="n">
        <f aca="false">BESS_Capex*F43</f>
        <v>0</v>
      </c>
      <c r="G86" s="8" t="n">
        <f aca="false">BESS_Capex*G43</f>
        <v>0</v>
      </c>
      <c r="H86" s="8" t="n">
        <f aca="false">SUM(E86:G86)</f>
        <v>0</v>
      </c>
    </row>
    <row r="87" customFormat="false" ht="14.25" hidden="false" customHeight="false" outlineLevel="0" collapsed="false">
      <c r="C87" s="1" t="s">
        <v>107</v>
      </c>
      <c r="D87" s="2" t="s">
        <v>82</v>
      </c>
      <c r="E87" s="31" t="n">
        <f aca="false">SUM(E77:E86)</f>
        <v>48037.5</v>
      </c>
      <c r="F87" s="31" t="n">
        <f aca="false">SUM(F77:F86)</f>
        <v>48037.5</v>
      </c>
      <c r="G87" s="31" t="n">
        <f aca="false">SUM(G77:G86)</f>
        <v>48037.5</v>
      </c>
      <c r="H87" s="31" t="n">
        <f aca="false">SUM(E87:G87)</f>
        <v>144112.5</v>
      </c>
    </row>
    <row r="88" customFormat="false" ht="14.25" hidden="false" customHeight="false" outlineLevel="0" collapsed="false">
      <c r="C88" s="28" t="s">
        <v>108</v>
      </c>
      <c r="D88" s="29" t="s">
        <v>82</v>
      </c>
      <c r="E88" s="30" t="n">
        <f aca="false">E61+E62+E63</f>
        <v>10706.132060274</v>
      </c>
      <c r="F88" s="30" t="n">
        <f aca="false">F61+F62+F63</f>
        <v>3976.25753424658</v>
      </c>
      <c r="G88" s="30" t="n">
        <f aca="false">G61+G62+G63</f>
        <v>3976.25753424658</v>
      </c>
      <c r="H88" s="30" t="n">
        <f aca="false">SUM(E88:G88)</f>
        <v>18658.6471287671</v>
      </c>
    </row>
    <row r="89" customFormat="false" ht="14.25" hidden="false" customHeight="false" outlineLevel="0" collapsed="false">
      <c r="C89" s="6" t="s">
        <v>109</v>
      </c>
      <c r="D89" s="2" t="s">
        <v>82</v>
      </c>
      <c r="E89" s="8" t="n">
        <f aca="false">E11*E6</f>
        <v>1000</v>
      </c>
      <c r="F89" s="8" t="n">
        <f aca="false">F11*F6</f>
        <v>2500</v>
      </c>
      <c r="G89" s="8" t="n">
        <f aca="false">G11*G6</f>
        <v>2500</v>
      </c>
      <c r="H89" s="8" t="n">
        <f aca="false">SUM(E89:G89)</f>
        <v>6000</v>
      </c>
    </row>
    <row r="90" customFormat="false" ht="14.25" hidden="false" customHeight="false" outlineLevel="0" collapsed="false">
      <c r="C90" s="6" t="s">
        <v>110</v>
      </c>
      <c r="D90" s="2" t="s">
        <v>82</v>
      </c>
      <c r="E90" s="8" t="n">
        <f aca="false">E58+E64+E65</f>
        <v>892.689178082192</v>
      </c>
      <c r="F90" s="8" t="n">
        <f aca="false">F58+F64+F65</f>
        <v>1158.21917808219</v>
      </c>
      <c r="G90" s="8" t="n">
        <f aca="false">G58+G64+G65</f>
        <v>1158.21917808219</v>
      </c>
      <c r="H90" s="8" t="n">
        <f aca="false">SUM(E90:G90)</f>
        <v>3209.12753424658</v>
      </c>
    </row>
    <row r="91" customFormat="false" ht="14.25" hidden="false" customHeight="false" outlineLevel="0" collapsed="false">
      <c r="C91" s="1" t="s">
        <v>111</v>
      </c>
      <c r="D91" s="2" t="s">
        <v>82</v>
      </c>
      <c r="E91" s="31" t="n">
        <f aca="false">E87+SUM(E88:E90)</f>
        <v>60636.3212383562</v>
      </c>
      <c r="F91" s="31" t="n">
        <f aca="false">F87+SUM(F88:F90)</f>
        <v>55671.9767123288</v>
      </c>
      <c r="G91" s="31" t="n">
        <f aca="false">G87+SUM(G88:G90)</f>
        <v>55671.9767123288</v>
      </c>
      <c r="H91" s="31" t="n">
        <f aca="false">SUM(E91:G91)</f>
        <v>171980.274663014</v>
      </c>
    </row>
    <row r="92" customFormat="false" ht="14.25" hidden="false" customHeight="false" outlineLevel="0" collapsed="false">
      <c r="C92" s="6" t="s">
        <v>112</v>
      </c>
      <c r="D92" s="2" t="s">
        <v>39</v>
      </c>
      <c r="E92" s="16" t="n">
        <f aca="false">E91/E44</f>
        <v>1212.72642476712</v>
      </c>
      <c r="F92" s="16" t="n">
        <f aca="false">F91/F44</f>
        <v>1113.43953424658</v>
      </c>
      <c r="G92" s="16" t="n">
        <f aca="false">G91/G44</f>
        <v>1113.43953424658</v>
      </c>
      <c r="H92" s="16" t="n">
        <f aca="false">H91/H44</f>
        <v>1146.53516442009</v>
      </c>
    </row>
    <row r="93" customFormat="false" ht="14.25" hidden="false" customHeight="false" outlineLevel="0" collapsed="false">
      <c r="C93" s="6" t="s">
        <v>113</v>
      </c>
      <c r="D93" s="2" t="s">
        <v>18</v>
      </c>
      <c r="E93" s="16" t="n">
        <f aca="false">E91/E6</f>
        <v>1212.72642476712</v>
      </c>
      <c r="F93" s="16" t="n">
        <f aca="false">F91/F6</f>
        <v>1113.43953424658</v>
      </c>
      <c r="G93" s="16" t="n">
        <f aca="false">G91/G6</f>
        <v>1113.43953424658</v>
      </c>
      <c r="H93" s="16" t="n">
        <f aca="false">H91/H6</f>
        <v>1146.53516442009</v>
      </c>
    </row>
    <row r="95" customFormat="false" ht="14.25" hidden="false" customHeight="false" outlineLevel="0" collapsed="false">
      <c r="B95" s="4" t="s">
        <v>3</v>
      </c>
      <c r="C95" s="4" t="s">
        <v>114</v>
      </c>
      <c r="D95" s="4"/>
      <c r="E95" s="5" t="s">
        <v>5</v>
      </c>
      <c r="F95" s="5" t="s">
        <v>6</v>
      </c>
      <c r="G95" s="5" t="s">
        <v>7</v>
      </c>
      <c r="H95" s="5" t="s">
        <v>8</v>
      </c>
    </row>
    <row r="96" customFormat="false" ht="14.25" hidden="false" customHeight="false" outlineLevel="0" collapsed="false">
      <c r="C96" s="6" t="s">
        <v>115</v>
      </c>
      <c r="D96" s="2" t="s">
        <v>82</v>
      </c>
      <c r="E96" s="16" t="n">
        <f aca="false">Inputs!E$18</f>
        <v>40.47</v>
      </c>
      <c r="F96" s="16" t="n">
        <f aca="false">Inputs!F$18</f>
        <v>51.5889708975487</v>
      </c>
      <c r="G96" s="16" t="n">
        <f aca="false">Inputs!G$18</f>
        <v>51.5889708975487</v>
      </c>
      <c r="H96" s="16" t="n">
        <f aca="false">SUM(E96:G96)</f>
        <v>143.647941795097</v>
      </c>
    </row>
    <row r="97" customFormat="false" ht="14.25" hidden="false" customHeight="false" outlineLevel="0" collapsed="false">
      <c r="C97" s="6" t="s">
        <v>116</v>
      </c>
      <c r="D97" s="2" t="s">
        <v>82</v>
      </c>
      <c r="E97" s="16" t="n">
        <f aca="false">Inputs!E$19</f>
        <v>150.66</v>
      </c>
      <c r="F97" s="16" t="n">
        <f aca="false">Inputs!F$19</f>
        <v>192.053233393246</v>
      </c>
      <c r="G97" s="16" t="n">
        <f aca="false">Inputs!G$19</f>
        <v>192.053233393246</v>
      </c>
      <c r="H97" s="16" t="n">
        <f aca="false">SUM(E97:G97)</f>
        <v>534.766466786493</v>
      </c>
    </row>
    <row r="98" customFormat="false" ht="14.25" hidden="false" customHeight="false" outlineLevel="0" collapsed="false">
      <c r="C98" s="6" t="s">
        <v>117</v>
      </c>
      <c r="D98" s="2" t="s">
        <v>82</v>
      </c>
      <c r="E98" s="16" t="n">
        <f aca="false">Inputs!E$20</f>
        <v>333.93</v>
      </c>
      <c r="F98" s="16" t="n">
        <f aca="false">Inputs!F$20</f>
        <v>425.675934070137</v>
      </c>
      <c r="G98" s="16" t="n">
        <f aca="false">Inputs!G$20</f>
        <v>425.675934070137</v>
      </c>
      <c r="H98" s="16" t="n">
        <f aca="false">SUM(E98:G98)</f>
        <v>1185.28186814027</v>
      </c>
    </row>
    <row r="99" customFormat="false" ht="14.25" hidden="false" customHeight="false" outlineLevel="0" collapsed="false">
      <c r="C99" s="6" t="s">
        <v>118</v>
      </c>
      <c r="D99" s="2" t="s">
        <v>82</v>
      </c>
      <c r="E99" s="16" t="n">
        <f aca="false">Inputs!E$21</f>
        <v>151.36</v>
      </c>
      <c r="F99" s="16" t="n">
        <f aca="false">Inputs!F$21</f>
        <v>192.945555598047</v>
      </c>
      <c r="G99" s="16" t="n">
        <f aca="false">Inputs!G$21</f>
        <v>192.945555598047</v>
      </c>
      <c r="H99" s="16" t="n">
        <f aca="false">SUM(E99:G99)</f>
        <v>537.251111196094</v>
      </c>
    </row>
    <row r="100" customFormat="false" ht="14.25" hidden="false" customHeight="false" outlineLevel="0" collapsed="false">
      <c r="C100" s="6" t="s">
        <v>119</v>
      </c>
      <c r="D100" s="2" t="s">
        <v>82</v>
      </c>
      <c r="E100" s="16" t="n">
        <f aca="false">Inputs!E$22</f>
        <v>37.5</v>
      </c>
      <c r="F100" s="16" t="n">
        <f aca="false">Inputs!F$22</f>
        <v>47.80297525718</v>
      </c>
      <c r="G100" s="16" t="n">
        <f aca="false">Inputs!G$22</f>
        <v>47.80297525718</v>
      </c>
      <c r="H100" s="16" t="n">
        <f aca="false">SUM(E100:G100)</f>
        <v>133.10595051436</v>
      </c>
    </row>
    <row r="101" customFormat="false" ht="14.25" hidden="false" customHeight="false" outlineLevel="0" collapsed="false">
      <c r="C101" s="6" t="s">
        <v>120</v>
      </c>
      <c r="D101" s="2" t="s">
        <v>82</v>
      </c>
      <c r="E101" s="16" t="n">
        <f aca="false">Inputs!E$23</f>
        <v>70.55</v>
      </c>
      <c r="F101" s="16" t="n">
        <f aca="false">Inputs!F$23</f>
        <v>89.9333307838413</v>
      </c>
      <c r="G101" s="16" t="n">
        <f aca="false">Inputs!G$23</f>
        <v>89.9333307838413</v>
      </c>
      <c r="H101" s="16" t="n">
        <f aca="false">SUM(E101:G101)</f>
        <v>250.416661567683</v>
      </c>
    </row>
    <row r="102" customFormat="false" ht="14.25" hidden="false" customHeight="false" outlineLevel="0" collapsed="false">
      <c r="C102" s="1" t="s">
        <v>121</v>
      </c>
      <c r="D102" s="2" t="s">
        <v>82</v>
      </c>
      <c r="E102" s="17" t="n">
        <f aca="false">SUM(E96:E101)</f>
        <v>784.47</v>
      </c>
      <c r="F102" s="17" t="n">
        <f aca="false">SUM(F96:F101)</f>
        <v>1000</v>
      </c>
      <c r="G102" s="17" t="n">
        <f aca="false">SUM(G96:G101)</f>
        <v>1000</v>
      </c>
      <c r="H102" s="17" t="n">
        <f aca="false">SUM(E102:G102)</f>
        <v>2784.47</v>
      </c>
    </row>
    <row r="104" s="36" customFormat="true" ht="14.25" hidden="false" customHeight="false" outlineLevel="0" collapsed="false">
      <c r="B104" s="37" t="s">
        <v>3</v>
      </c>
      <c r="C104" s="38" t="s">
        <v>122</v>
      </c>
      <c r="D104" s="37"/>
      <c r="E104" s="39" t="s">
        <v>5</v>
      </c>
      <c r="F104" s="39" t="s">
        <v>6</v>
      </c>
      <c r="G104" s="39" t="s">
        <v>7</v>
      </c>
      <c r="H104" s="39" t="s">
        <v>8</v>
      </c>
    </row>
    <row r="105" customFormat="false" ht="14.25" hidden="false" customHeight="false" outlineLevel="0" collapsed="false">
      <c r="C105" s="40" t="s">
        <v>123</v>
      </c>
      <c r="D105" s="41"/>
      <c r="E105" s="42"/>
      <c r="F105" s="42"/>
      <c r="G105" s="42"/>
      <c r="H105" s="42"/>
    </row>
    <row r="106" customFormat="false" ht="14.25" hidden="false" customHeight="false" outlineLevel="0" collapsed="false">
      <c r="C106" s="6" t="s">
        <v>124</v>
      </c>
      <c r="D106" s="2" t="s">
        <v>82</v>
      </c>
      <c r="E106" s="8" t="n">
        <f aca="false">E221</f>
        <v>10089.6937041096</v>
      </c>
      <c r="F106" s="8" t="n">
        <f aca="false">F221</f>
        <v>3359.81917808219</v>
      </c>
      <c r="G106" s="8" t="n">
        <f aca="false">G221</f>
        <v>3359.81917808219</v>
      </c>
      <c r="H106" s="8" t="n">
        <f aca="false">SUM(E106:G106)</f>
        <v>16809.332060274</v>
      </c>
    </row>
    <row r="107" customFormat="false" ht="14.25" hidden="false" customHeight="false" outlineLevel="0" collapsed="false">
      <c r="C107" s="43" t="s">
        <v>125</v>
      </c>
      <c r="D107" s="44" t="s">
        <v>82</v>
      </c>
      <c r="E107" s="45" t="n">
        <f aca="false">E222</f>
        <v>2899.53849315069</v>
      </c>
      <c r="F107" s="45" t="n">
        <f aca="false">F222</f>
        <v>3165.06849315069</v>
      </c>
      <c r="G107" s="45" t="n">
        <f aca="false">G222</f>
        <v>3165.06849315069</v>
      </c>
      <c r="H107" s="45" t="n">
        <f aca="false">SUM(E107:G107)</f>
        <v>9229.67547945206</v>
      </c>
    </row>
    <row r="108" customFormat="false" ht="14.25" hidden="false" customHeight="false" outlineLevel="0" collapsed="false">
      <c r="C108" s="6" t="s">
        <v>126</v>
      </c>
      <c r="D108" s="2" t="s">
        <v>82</v>
      </c>
      <c r="E108" s="8" t="n">
        <f aca="false">E243</f>
        <v>7260.42837146928</v>
      </c>
      <c r="F108" s="8" t="n">
        <f aca="false">F243</f>
        <v>9256.84931506849</v>
      </c>
      <c r="G108" s="8" t="n">
        <f aca="false">G243</f>
        <v>9256.84931506849</v>
      </c>
      <c r="H108" s="8" t="n">
        <f aca="false">SUM(E108:G108)</f>
        <v>25774.1270016063</v>
      </c>
    </row>
    <row r="109" customFormat="false" ht="14.25" hidden="false" customHeight="false" outlineLevel="0" collapsed="false">
      <c r="C109" s="6" t="s">
        <v>127</v>
      </c>
      <c r="D109" s="2" t="s">
        <v>82</v>
      </c>
      <c r="E109" s="8" t="n">
        <f aca="false">E244</f>
        <v>4360.8898783186</v>
      </c>
      <c r="F109" s="8" t="n">
        <f aca="false">F244</f>
        <v>6091.78082191781</v>
      </c>
      <c r="G109" s="8" t="n">
        <f aca="false">G244</f>
        <v>6091.78082191781</v>
      </c>
      <c r="H109" s="8" t="n">
        <f aca="false">SUM(E109:G109)</f>
        <v>16544.4515221542</v>
      </c>
    </row>
    <row r="110" customFormat="false" ht="14.25" hidden="false" customHeight="false" outlineLevel="0" collapsed="false">
      <c r="C110" s="43" t="s">
        <v>128</v>
      </c>
      <c r="D110" s="44" t="s">
        <v>82</v>
      </c>
      <c r="E110" s="45" t="n">
        <f aca="false">E246</f>
        <v>3706.75639657081</v>
      </c>
      <c r="F110" s="45" t="n">
        <f aca="false">F246</f>
        <v>5178.01369863014</v>
      </c>
      <c r="G110" s="45" t="n">
        <f aca="false">G246</f>
        <v>5178.01369863014</v>
      </c>
      <c r="H110" s="45" t="n">
        <f aca="false">SUM(E110:G110)</f>
        <v>14062.7837938311</v>
      </c>
    </row>
    <row r="111" customFormat="false" ht="14.25" hidden="false" customHeight="false" outlineLevel="0" collapsed="false">
      <c r="C111" s="6" t="s">
        <v>129</v>
      </c>
      <c r="D111" s="2" t="s">
        <v>3</v>
      </c>
      <c r="E111" s="46" t="n">
        <f aca="false">E247</f>
        <v>2.50399447657616</v>
      </c>
      <c r="F111" s="46" t="n">
        <f aca="false">F247</f>
        <v>2.92469162518935</v>
      </c>
      <c r="G111" s="46" t="n">
        <f aca="false">G247</f>
        <v>2.92469162518935</v>
      </c>
      <c r="H111" s="46" t="n">
        <f aca="false">H247</f>
        <v>2.79252797771568</v>
      </c>
    </row>
    <row r="112" customFormat="false" ht="14.25" hidden="false" customHeight="false" outlineLevel="0" collapsed="false">
      <c r="C112" s="6" t="s">
        <v>130</v>
      </c>
      <c r="D112" s="2" t="s">
        <v>12</v>
      </c>
      <c r="E112" s="47" t="n">
        <f aca="false">E248</f>
        <v>0.438728766148145</v>
      </c>
      <c r="F112" s="47" t="n">
        <f aca="false">F248</f>
        <v>0.537231397066519</v>
      </c>
      <c r="G112" s="47" t="n">
        <f aca="false">G248</f>
        <v>0.537231397066519</v>
      </c>
    </row>
    <row r="113" customFormat="false" ht="14.25" hidden="false" customHeight="false" outlineLevel="0" collapsed="false">
      <c r="C113" s="40" t="s">
        <v>131</v>
      </c>
      <c r="D113" s="41"/>
      <c r="E113" s="42"/>
      <c r="F113" s="42"/>
      <c r="G113" s="42"/>
      <c r="H113" s="42"/>
    </row>
    <row r="114" customFormat="false" ht="14.25" hidden="false" customHeight="false" outlineLevel="0" collapsed="false">
      <c r="C114" s="43" t="s">
        <v>125</v>
      </c>
      <c r="D114" s="44" t="s">
        <v>82</v>
      </c>
      <c r="E114" s="45" t="n">
        <f aca="false">E66</f>
        <v>12989.2321972603</v>
      </c>
      <c r="F114" s="45" t="n">
        <f aca="false">F66</f>
        <v>6524.88767123288</v>
      </c>
      <c r="G114" s="45" t="n">
        <f aca="false">G66</f>
        <v>6524.88767123288</v>
      </c>
      <c r="H114" s="45" t="n">
        <f aca="false">SUM(E114:G114)</f>
        <v>26039.007539726</v>
      </c>
    </row>
    <row r="115" customFormat="false" ht="14.25" hidden="false" customHeight="false" outlineLevel="0" collapsed="false">
      <c r="C115" s="6" t="s">
        <v>126</v>
      </c>
      <c r="D115" s="2" t="s">
        <v>82</v>
      </c>
      <c r="E115" s="8" t="n">
        <f aca="false">E215</f>
        <v>17627.2455112175</v>
      </c>
      <c r="F115" s="8" t="n">
        <f aca="false">F215</f>
        <v>12616.6684931507</v>
      </c>
      <c r="G115" s="8" t="n">
        <f aca="false">G215</f>
        <v>12616.6684931507</v>
      </c>
      <c r="H115" s="8" t="n">
        <f aca="false">SUM(E115:G115)</f>
        <v>42860.5824975189</v>
      </c>
    </row>
    <row r="116" customFormat="false" ht="14.25" hidden="false" customHeight="false" outlineLevel="0" collapsed="false">
      <c r="C116" s="6" t="s">
        <v>127</v>
      </c>
      <c r="D116" s="2" t="s">
        <v>82</v>
      </c>
      <c r="E116" s="8" t="n">
        <f aca="false">E216</f>
        <v>4638.01331395724</v>
      </c>
      <c r="F116" s="8" t="n">
        <f aca="false">F216</f>
        <v>6091.78082191781</v>
      </c>
      <c r="G116" s="8" t="n">
        <f aca="false">G216</f>
        <v>6091.78082191781</v>
      </c>
      <c r="H116" s="8" t="n">
        <f aca="false">SUM(E116:G116)</f>
        <v>16821.5749577929</v>
      </c>
    </row>
    <row r="117" customFormat="false" ht="14.25" hidden="false" customHeight="false" outlineLevel="0" collapsed="false">
      <c r="C117" s="43" t="s">
        <v>128</v>
      </c>
      <c r="D117" s="44" t="s">
        <v>82</v>
      </c>
      <c r="E117" s="45" t="n">
        <f aca="false">E218</f>
        <v>3942.31131686366</v>
      </c>
      <c r="F117" s="45" t="n">
        <f aca="false">F218</f>
        <v>5178.01369863014</v>
      </c>
      <c r="G117" s="45" t="n">
        <f aca="false">G218</f>
        <v>5178.01369863014</v>
      </c>
      <c r="H117" s="14" t="n">
        <f aca="false">SUM(E117:G117)</f>
        <v>14298.3387141239</v>
      </c>
    </row>
    <row r="118" customFormat="false" ht="14.25" hidden="false" customHeight="false" outlineLevel="0" collapsed="false">
      <c r="C118" s="6" t="s">
        <v>129</v>
      </c>
      <c r="D118" s="2" t="s">
        <v>3</v>
      </c>
      <c r="E118" s="46" t="n">
        <f aca="false">SUMIF(E207:E215,"&gt;0")/-SUMIF(E207:E215,"&lt;0")</f>
        <v>1.35706601002448</v>
      </c>
      <c r="F118" s="46" t="n">
        <f aca="false">SUMIF(F207:F215,"&gt;0")/-SUMIF(F207:F215,"&lt;0")</f>
        <v>1.93362232866865</v>
      </c>
      <c r="G118" s="46" t="n">
        <f aca="false">SUMIF(G207:G215,"&gt;0")/-SUMIF(G207:G215,"&lt;0")</f>
        <v>1.93362232866865</v>
      </c>
      <c r="H118" s="46" t="n">
        <f aca="false">SUMIF(H207:H215,"&gt;0")/-SUMIF(H207:H215,"&lt;0")</f>
        <v>1.64601444322059</v>
      </c>
    </row>
    <row r="119" customFormat="false" ht="14.25" hidden="false" customHeight="false" outlineLevel="0" collapsed="false">
      <c r="C119" s="6" t="s">
        <v>130</v>
      </c>
      <c r="D119" s="2" t="s">
        <v>12</v>
      </c>
      <c r="E119" s="47" t="n">
        <f aca="false">XIRR(E207:E215,J207:J215)</f>
        <v>0.247371518455374</v>
      </c>
      <c r="F119" s="47" t="n">
        <f aca="false">XIRR(F207:F215,K207:K215)</f>
        <v>0.436465501330483</v>
      </c>
      <c r="G119" s="47" t="n">
        <f aca="false">XIRR(G207:G215,L207:L215)</f>
        <v>0.436465501330483</v>
      </c>
    </row>
    <row r="120" customFormat="false" ht="14.25" hidden="false" customHeight="false" outlineLevel="0" collapsed="false">
      <c r="C120" s="40" t="s">
        <v>132</v>
      </c>
      <c r="D120" s="41"/>
      <c r="E120" s="42"/>
      <c r="F120" s="42"/>
      <c r="G120" s="42"/>
      <c r="H120" s="42"/>
    </row>
    <row r="121" customFormat="false" ht="14.25" hidden="false" customHeight="false" outlineLevel="0" collapsed="false">
      <c r="C121" s="6" t="s">
        <v>133</v>
      </c>
      <c r="D121" s="2" t="s">
        <v>82</v>
      </c>
      <c r="E121" s="8" t="n">
        <f aca="false">E91</f>
        <v>60636.3212383562</v>
      </c>
      <c r="F121" s="8" t="n">
        <f aca="false">F91</f>
        <v>55671.9767123288</v>
      </c>
      <c r="G121" s="8" t="n">
        <f aca="false">G91</f>
        <v>55671.9767123288</v>
      </c>
      <c r="H121" s="8" t="n">
        <f aca="false">SUM(E121:G121)</f>
        <v>171980.274663014</v>
      </c>
    </row>
    <row r="122" customFormat="false" ht="14.25" hidden="false" customHeight="false" outlineLevel="0" collapsed="false">
      <c r="C122" s="6" t="s">
        <v>134</v>
      </c>
      <c r="D122" s="2" t="s">
        <v>82</v>
      </c>
      <c r="E122" s="8" t="n">
        <f aca="false">$H$291</f>
        <v>96859.9875751141</v>
      </c>
      <c r="F122" s="8" t="n">
        <f aca="false">$H$330</f>
        <v>92990.4735617666</v>
      </c>
      <c r="G122" s="8" t="n">
        <f aca="false">$H$369</f>
        <v>92990.4735617666</v>
      </c>
      <c r="H122" s="8" t="n">
        <f aca="false">SUM(E122:G122)</f>
        <v>282840.934698647</v>
      </c>
    </row>
    <row r="123" customFormat="false" ht="14.25" hidden="false" customHeight="false" outlineLevel="0" collapsed="false">
      <c r="C123" s="6" t="s">
        <v>127</v>
      </c>
      <c r="D123" s="2" t="s">
        <v>82</v>
      </c>
      <c r="E123" s="8" t="n">
        <f aca="false">$H$292</f>
        <v>36223.6663367579</v>
      </c>
      <c r="F123" s="8" t="n">
        <f aca="false">$H$331</f>
        <v>37318.4968494378</v>
      </c>
      <c r="G123" s="8" t="n">
        <f aca="false">$H$370</f>
        <v>37318.4968494378</v>
      </c>
      <c r="H123" s="8" t="n">
        <f aca="false">SUM(E123:G123)</f>
        <v>110860.660035634</v>
      </c>
    </row>
    <row r="124" customFormat="false" ht="14.25" hidden="false" customHeight="false" outlineLevel="0" collapsed="false">
      <c r="C124" s="1" t="s">
        <v>128</v>
      </c>
      <c r="D124" s="2" t="s">
        <v>82</v>
      </c>
      <c r="E124" s="14" t="n">
        <f aca="false">E374</f>
        <v>30790.1163862442</v>
      </c>
      <c r="F124" s="14" t="n">
        <f aca="false">F374</f>
        <v>31720.7223220221</v>
      </c>
      <c r="G124" s="14" t="n">
        <f aca="false">G374</f>
        <v>31720.7223220221</v>
      </c>
      <c r="H124" s="14" t="n">
        <f aca="false">SUM(E124:G124)</f>
        <v>94231.5610302885</v>
      </c>
    </row>
    <row r="125" customFormat="false" ht="14.25" hidden="false" customHeight="false" outlineLevel="0" collapsed="false">
      <c r="C125" s="6" t="s">
        <v>129</v>
      </c>
      <c r="D125" s="2" t="s">
        <v>3</v>
      </c>
      <c r="E125" s="46" t="n">
        <f aca="false">SUMIF($J$292:$AS$292,"&gt;0")/-SUMIF($J$292:$AS$292,"&lt;0")</f>
        <v>1.73899672295639</v>
      </c>
      <c r="F125" s="46" t="n">
        <f aca="false">SUMIF($J$331:$AS$331,"&gt;0")/-SUMIF($J$331:$AS$331,"&lt;0")</f>
        <v>1.87698836126511</v>
      </c>
      <c r="G125" s="46" t="n">
        <f aca="false">SUMIF($J$370:$AS$370,"&gt;0")/-SUMIF($J$370:$AS$370,"&lt;0")</f>
        <v>1.87698836126511</v>
      </c>
    </row>
    <row r="126" customFormat="false" ht="14.25" hidden="false" customHeight="false" outlineLevel="0" collapsed="false">
      <c r="C126" s="6" t="s">
        <v>130</v>
      </c>
      <c r="D126" s="2" t="s">
        <v>12</v>
      </c>
      <c r="E126" s="47" t="n">
        <f aca="false">XIRR($J$292:$AS$292,$J$253:$AS$253)</f>
        <v>0.32159856655104</v>
      </c>
      <c r="F126" s="47" t="n">
        <f aca="false">XIRR($J$331:$AS$331,$J$253:$AS$253)</f>
        <v>0.40556307642054</v>
      </c>
      <c r="G126" s="47" t="n">
        <f aca="false">XIRR($J$370:$AS$370,$J$253:$AS$253)</f>
        <v>0.40556307642054</v>
      </c>
    </row>
    <row r="127" customFormat="false" ht="14.25" hidden="false" customHeight="false" outlineLevel="0" collapsed="false">
      <c r="C127" s="40" t="s">
        <v>135</v>
      </c>
      <c r="D127" s="41"/>
      <c r="E127" s="42"/>
      <c r="F127" s="42"/>
      <c r="G127" s="42"/>
      <c r="H127" s="42"/>
    </row>
    <row r="128" customFormat="false" ht="14.25" hidden="false" customHeight="false" outlineLevel="0" collapsed="false">
      <c r="C128" s="6" t="s">
        <v>133</v>
      </c>
      <c r="D128" s="2" t="s">
        <v>82</v>
      </c>
      <c r="E128" s="8" t="n">
        <f aca="false">E91</f>
        <v>60636.3212383562</v>
      </c>
      <c r="F128" s="8" t="n">
        <f aca="false">F91</f>
        <v>55671.9767123288</v>
      </c>
      <c r="G128" s="8" t="n">
        <f aca="false">G91</f>
        <v>55671.9767123288</v>
      </c>
      <c r="H128" s="8" t="n">
        <f aca="false">SUM(E128:G128)</f>
        <v>171980.274663014</v>
      </c>
    </row>
    <row r="129" customFormat="false" ht="14.25" hidden="false" customHeight="false" outlineLevel="0" collapsed="false">
      <c r="C129" s="6" t="s">
        <v>136</v>
      </c>
      <c r="D129" s="2" t="s">
        <v>82</v>
      </c>
      <c r="E129" s="8" t="n">
        <f aca="false">$H$270</f>
        <v>354071.972801154</v>
      </c>
      <c r="F129" s="8" t="n">
        <f aca="false">$H$309</f>
        <v>354071.972801154</v>
      </c>
      <c r="G129" s="8" t="n">
        <f aca="false">$H$348</f>
        <v>354071.972801154</v>
      </c>
      <c r="H129" s="8" t="n">
        <f aca="false">SUM(E129:G129)</f>
        <v>1062215.91840346</v>
      </c>
    </row>
    <row r="130" customFormat="false" ht="14.25" hidden="false" customHeight="false" outlineLevel="0" collapsed="false">
      <c r="C130" s="6" t="s">
        <v>137</v>
      </c>
      <c r="D130" s="2" t="s">
        <v>82</v>
      </c>
      <c r="E130" s="8" t="n">
        <f aca="false">$H$279</f>
        <v>-93722.6771745354</v>
      </c>
      <c r="F130" s="8" t="n">
        <f aca="false">$H$318</f>
        <v>-103873.626762785</v>
      </c>
      <c r="G130" s="8" t="n">
        <f aca="false">$H$357</f>
        <v>-103873.626762785</v>
      </c>
      <c r="H130" s="8" t="n">
        <f aca="false">SUM(E130:G130)</f>
        <v>-301469.930700105</v>
      </c>
    </row>
    <row r="131" customFormat="false" ht="14.25" hidden="false" customHeight="false" outlineLevel="0" collapsed="false">
      <c r="C131" s="6" t="s">
        <v>138</v>
      </c>
      <c r="D131" s="2" t="s">
        <v>82</v>
      </c>
      <c r="E131" s="8" t="n">
        <f aca="false">$H$280</f>
        <v>260349.295626619</v>
      </c>
      <c r="F131" s="8" t="n">
        <f aca="false">$H$319</f>
        <v>250198.34603837</v>
      </c>
      <c r="G131" s="8" t="n">
        <f aca="false">$H$358</f>
        <v>250198.34603837</v>
      </c>
      <c r="H131" s="8" t="n">
        <f aca="false">SUM(E131:G131)</f>
        <v>760745.987703358</v>
      </c>
    </row>
    <row r="132" customFormat="false" ht="14.25" hidden="false" customHeight="false" outlineLevel="0" collapsed="false">
      <c r="C132" s="1" t="s">
        <v>139</v>
      </c>
      <c r="D132" s="2" t="s">
        <v>12</v>
      </c>
      <c r="E132" s="48" t="n">
        <f aca="false">XIRR($J$281:$AS$281,$J$253:$AS$253)</f>
        <v>0.120792919762974</v>
      </c>
      <c r="F132" s="48" t="n">
        <f aca="false">XIRR($J$320:$AS$320,$J$253:$AS$253)</f>
        <v>0.129222175280797</v>
      </c>
      <c r="G132" s="48" t="n">
        <f aca="false">XIRR($J$359:$AS$359,$J$253:$AS$253)</f>
        <v>0.129222175280797</v>
      </c>
    </row>
    <row r="133" customFormat="false" ht="14.25" hidden="false" customHeight="false" outlineLevel="0" collapsed="false">
      <c r="C133" s="6" t="s">
        <v>140</v>
      </c>
      <c r="D133" s="2" t="s">
        <v>82</v>
      </c>
      <c r="E133" s="8" t="n">
        <f aca="false">XNPV(Discount_Rate,$J$281:$AS$281,$J$253:$AS$253)</f>
        <v>21929.4501954482</v>
      </c>
      <c r="F133" s="8" t="n">
        <f aca="false">XNPV(Discount_Rate,$J$320:$AS$320,$J$253:$AS$253)</f>
        <v>23690.6627826696</v>
      </c>
      <c r="G133" s="8" t="n">
        <f aca="false">XNPV(Discount_Rate,$J$359:$AS$359,$J$253:$AS$253)</f>
        <v>23690.6627826696</v>
      </c>
      <c r="H133" s="8" t="n">
        <f aca="false">SUM(E133:G133)</f>
        <v>69310.7757607873</v>
      </c>
    </row>
    <row r="134" customFormat="false" ht="14.25" hidden="false" customHeight="false" outlineLevel="0" collapsed="false">
      <c r="C134" s="6" t="s">
        <v>141</v>
      </c>
      <c r="D134" s="2" t="s">
        <v>82</v>
      </c>
      <c r="E134" s="8" t="n">
        <f aca="false">$H$283</f>
        <v>-29956.9461582394</v>
      </c>
      <c r="F134" s="8" t="n">
        <f aca="false">$H$322</f>
        <v>-29178.9553989061</v>
      </c>
      <c r="G134" s="8" t="n">
        <f aca="false">$H$361</f>
        <v>-29178.9553989061</v>
      </c>
      <c r="H134" s="8" t="n">
        <f aca="false">SUM(E134:G134)</f>
        <v>-88314.8569560516</v>
      </c>
    </row>
    <row r="135" customFormat="false" ht="14.25" hidden="false" customHeight="false" outlineLevel="0" collapsed="false">
      <c r="C135" s="1" t="s">
        <v>142</v>
      </c>
      <c r="D135" s="2" t="s">
        <v>12</v>
      </c>
      <c r="E135" s="48" t="n">
        <f aca="false">XIRR($J$284:$AS$284,$J$253:$AS$253)</f>
        <v>0.108855413916679</v>
      </c>
      <c r="F135" s="48" t="n">
        <f aca="false">XIRR($J$323:$AS$323,$J$253:$AS$253)</f>
        <v>0.11629796566256</v>
      </c>
      <c r="G135" s="48" t="n">
        <f aca="false">XIRR($J$362:$AS$362,$J$253:$AS$253)</f>
        <v>0.11629796566256</v>
      </c>
    </row>
    <row r="136" customFormat="false" ht="14.25" hidden="false" customHeight="false" outlineLevel="0" collapsed="false">
      <c r="C136" s="6" t="s">
        <v>143</v>
      </c>
      <c r="D136" s="2" t="s">
        <v>82</v>
      </c>
      <c r="E136" s="8" t="n">
        <f aca="false">$H$285</f>
        <v>36381.7927430137</v>
      </c>
      <c r="F136" s="8" t="n">
        <f aca="false">$H$324</f>
        <v>33403.1860273973</v>
      </c>
      <c r="G136" s="8" t="n">
        <f aca="false">$H$363</f>
        <v>33403.1860273973</v>
      </c>
      <c r="H136" s="8" t="n">
        <f aca="false">SUM(E136:G136)</f>
        <v>103188.164797808</v>
      </c>
    </row>
    <row r="137" customFormat="false" ht="14.25" hidden="false" customHeight="false" outlineLevel="0" collapsed="false">
      <c r="C137" s="1" t="s">
        <v>144</v>
      </c>
      <c r="D137" s="2" t="s">
        <v>12</v>
      </c>
      <c r="E137" s="48" t="n">
        <f aca="false">XIRR($J$288:$AS$288,$J$253:$AS$253)</f>
        <v>0.134371395511389</v>
      </c>
      <c r="F137" s="48" t="n">
        <f aca="false">XIRR($J$327:$AS$327,$J$253:$AS$253)</f>
        <v>0.147030118644734</v>
      </c>
      <c r="G137" s="48" t="n">
        <f aca="false">XIRR($J$366:$AS$366,$J$253:$AS$253)</f>
        <v>0.147030118644734</v>
      </c>
    </row>
    <row r="138" customFormat="false" ht="14.25" hidden="false" customHeight="false" outlineLevel="0" collapsed="false">
      <c r="C138" s="6" t="s">
        <v>145</v>
      </c>
      <c r="D138" s="2" t="s">
        <v>3</v>
      </c>
      <c r="E138" s="46" t="n">
        <f aca="false">MIN($J$289:$AS$289)</f>
        <v>2.17800530883066</v>
      </c>
      <c r="F138" s="46" t="n">
        <f aca="false">MIN($J$328:$AS$328)</f>
        <v>2.26746707141108</v>
      </c>
      <c r="G138" s="46" t="n">
        <f aca="false">MIN($J$367:$AS$367)</f>
        <v>2.26746707141108</v>
      </c>
    </row>
    <row r="140" customFormat="false" ht="14.25" hidden="false" customHeight="false" outlineLevel="0" collapsed="false">
      <c r="B140" s="4" t="s">
        <v>3</v>
      </c>
      <c r="C140" s="4" t="s">
        <v>146</v>
      </c>
      <c r="D140" s="4"/>
      <c r="E140" s="5"/>
      <c r="F140" s="5"/>
      <c r="G140" s="5"/>
      <c r="H140" s="5" t="s">
        <v>8</v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</row>
    <row r="141" customFormat="false" ht="14.25" hidden="false" customHeight="false" outlineLevel="0" collapsed="false">
      <c r="C141" s="6" t="s">
        <v>147</v>
      </c>
      <c r="D141" s="2" t="s">
        <v>148</v>
      </c>
      <c r="J141" s="49" t="n">
        <f aca="false">J252</f>
        <v>2026</v>
      </c>
      <c r="K141" s="49" t="n">
        <f aca="false">K252</f>
        <v>2027</v>
      </c>
      <c r="L141" s="49" t="n">
        <f aca="false">L252</f>
        <v>2028</v>
      </c>
      <c r="M141" s="49" t="n">
        <f aca="false">M252</f>
        <v>2029</v>
      </c>
      <c r="N141" s="49" t="n">
        <f aca="false">N252</f>
        <v>2030</v>
      </c>
      <c r="O141" s="49" t="n">
        <f aca="false">O252</f>
        <v>2031</v>
      </c>
      <c r="P141" s="49" t="n">
        <f aca="false">P252</f>
        <v>2032</v>
      </c>
      <c r="Q141" s="49" t="n">
        <f aca="false">Q252</f>
        <v>2033</v>
      </c>
      <c r="R141" s="49" t="n">
        <f aca="false">R252</f>
        <v>2034</v>
      </c>
      <c r="S141" s="49" t="n">
        <f aca="false">S252</f>
        <v>2035</v>
      </c>
      <c r="T141" s="49" t="n">
        <f aca="false">T252</f>
        <v>2036</v>
      </c>
      <c r="U141" s="49" t="n">
        <f aca="false">U252</f>
        <v>2037</v>
      </c>
      <c r="V141" s="49" t="n">
        <f aca="false">V252</f>
        <v>2038</v>
      </c>
      <c r="W141" s="49" t="n">
        <f aca="false">W252</f>
        <v>2039</v>
      </c>
      <c r="X141" s="49" t="n">
        <f aca="false">X252</f>
        <v>2040</v>
      </c>
      <c r="Y141" s="49" t="n">
        <f aca="false">Y252</f>
        <v>2041</v>
      </c>
      <c r="Z141" s="49" t="n">
        <f aca="false">Z252</f>
        <v>2042</v>
      </c>
      <c r="AA141" s="49" t="n">
        <f aca="false">AA252</f>
        <v>2043</v>
      </c>
      <c r="AB141" s="49" t="n">
        <f aca="false">AB252</f>
        <v>2044</v>
      </c>
      <c r="AC141" s="49" t="n">
        <f aca="false">AC252</f>
        <v>2045</v>
      </c>
      <c r="AD141" s="49" t="n">
        <f aca="false">AD252</f>
        <v>2046</v>
      </c>
      <c r="AE141" s="49" t="n">
        <f aca="false">AE252</f>
        <v>2047</v>
      </c>
      <c r="AF141" s="49" t="n">
        <f aca="false">AF252</f>
        <v>2048</v>
      </c>
      <c r="AG141" s="49" t="n">
        <f aca="false">AG252</f>
        <v>2049</v>
      </c>
      <c r="AH141" s="49" t="n">
        <f aca="false">AH252</f>
        <v>2050</v>
      </c>
      <c r="AI141" s="49" t="n">
        <f aca="false">AI252</f>
        <v>2051</v>
      </c>
      <c r="AJ141" s="49" t="n">
        <f aca="false">AJ252</f>
        <v>2052</v>
      </c>
      <c r="AK141" s="49" t="n">
        <f aca="false">AK252</f>
        <v>2053</v>
      </c>
      <c r="AL141" s="49" t="n">
        <f aca="false">AL252</f>
        <v>2054</v>
      </c>
      <c r="AM141" s="49" t="n">
        <f aca="false">AM252</f>
        <v>2055</v>
      </c>
      <c r="AN141" s="49" t="n">
        <f aca="false">AN252</f>
        <v>2056</v>
      </c>
      <c r="AO141" s="49" t="n">
        <f aca="false">AO252</f>
        <v>2057</v>
      </c>
      <c r="AP141" s="49" t="n">
        <f aca="false">AP252</f>
        <v>2058</v>
      </c>
      <c r="AQ141" s="49" t="n">
        <f aca="false">AQ252</f>
        <v>2059</v>
      </c>
      <c r="AR141" s="49" t="n">
        <f aca="false">AR252</f>
        <v>2060</v>
      </c>
      <c r="AS141" s="49" t="n">
        <f aca="false">AS252</f>
        <v>2061</v>
      </c>
    </row>
    <row r="143" customFormat="false" ht="14.25" hidden="false" customHeight="false" outlineLevel="0" collapsed="false">
      <c r="C143" s="41" t="s">
        <v>5</v>
      </c>
      <c r="D143" s="41"/>
      <c r="E143" s="42"/>
      <c r="F143" s="42"/>
      <c r="G143" s="42"/>
      <c r="H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</row>
    <row r="144" customFormat="false" ht="14.25" hidden="false" customHeight="false" outlineLevel="0" collapsed="false">
      <c r="C144" s="6" t="s">
        <v>149</v>
      </c>
      <c r="D144" s="2" t="s">
        <v>82</v>
      </c>
      <c r="H144" s="8" t="n">
        <f aca="false">SUM(J144:AS144)</f>
        <v>-60636.3212383562</v>
      </c>
      <c r="J144" s="8" t="n">
        <f aca="false">J266</f>
        <v>-386.301369863014</v>
      </c>
      <c r="K144" s="8" t="n">
        <f aca="false">K266</f>
        <v>-2513.23712328767</v>
      </c>
      <c r="L144" s="8" t="n">
        <f aca="false">L266</f>
        <v>-10089.6937041096</v>
      </c>
      <c r="M144" s="8" t="n">
        <f aca="false">M266</f>
        <v>-12009.375</v>
      </c>
      <c r="N144" s="8" t="n">
        <f aca="false">N266</f>
        <v>-24018.75</v>
      </c>
      <c r="O144" s="8" t="n">
        <f aca="false">O266</f>
        <v>-13009.375</v>
      </c>
      <c r="P144" s="8" t="n">
        <f aca="false">P266</f>
        <v>0</v>
      </c>
      <c r="Q144" s="8" t="n">
        <f aca="false">Q266</f>
        <v>1390.41095890411</v>
      </c>
      <c r="R144" s="8" t="n">
        <f aca="false">R266</f>
        <v>0</v>
      </c>
      <c r="S144" s="8" t="n">
        <f aca="false">S266</f>
        <v>0</v>
      </c>
      <c r="T144" s="8" t="n">
        <f aca="false">T266</f>
        <v>0</v>
      </c>
      <c r="U144" s="8" t="n">
        <f aca="false">U266</f>
        <v>0</v>
      </c>
      <c r="V144" s="8" t="n">
        <f aca="false">V266</f>
        <v>0</v>
      </c>
      <c r="W144" s="8" t="n">
        <f aca="false">W266</f>
        <v>0</v>
      </c>
      <c r="X144" s="8" t="n">
        <f aca="false">X266</f>
        <v>0</v>
      </c>
      <c r="Y144" s="8" t="n">
        <f aca="false">Y266</f>
        <v>0</v>
      </c>
      <c r="Z144" s="8" t="n">
        <f aca="false">Z266</f>
        <v>0</v>
      </c>
      <c r="AA144" s="8" t="n">
        <f aca="false">AA266</f>
        <v>0</v>
      </c>
      <c r="AB144" s="8" t="n">
        <f aca="false">AB266</f>
        <v>0</v>
      </c>
      <c r="AC144" s="8" t="n">
        <f aca="false">AC266</f>
        <v>0</v>
      </c>
      <c r="AD144" s="8" t="n">
        <f aca="false">AD266</f>
        <v>0</v>
      </c>
      <c r="AE144" s="8" t="n">
        <f aca="false">AE266</f>
        <v>0</v>
      </c>
      <c r="AF144" s="8" t="n">
        <f aca="false">AF266</f>
        <v>0</v>
      </c>
      <c r="AG144" s="8" t="n">
        <f aca="false">AG266</f>
        <v>0</v>
      </c>
      <c r="AH144" s="8" t="n">
        <f aca="false">AH266</f>
        <v>0</v>
      </c>
      <c r="AI144" s="8" t="n">
        <f aca="false">AI266</f>
        <v>0</v>
      </c>
      <c r="AJ144" s="8" t="n">
        <f aca="false">AJ266</f>
        <v>0</v>
      </c>
      <c r="AK144" s="8" t="n">
        <f aca="false">AK266</f>
        <v>0</v>
      </c>
      <c r="AL144" s="8" t="n">
        <f aca="false">AL266</f>
        <v>0</v>
      </c>
      <c r="AM144" s="8" t="n">
        <f aca="false">AM266</f>
        <v>0</v>
      </c>
      <c r="AN144" s="8" t="n">
        <f aca="false">AN266</f>
        <v>0</v>
      </c>
      <c r="AO144" s="8" t="n">
        <f aca="false">AO266</f>
        <v>0</v>
      </c>
      <c r="AP144" s="8" t="n">
        <f aca="false">AP266</f>
        <v>0</v>
      </c>
      <c r="AQ144" s="8" t="n">
        <f aca="false">AQ266</f>
        <v>0</v>
      </c>
      <c r="AR144" s="8" t="n">
        <f aca="false">AR266</f>
        <v>0</v>
      </c>
      <c r="AS144" s="8" t="n">
        <f aca="false">AS266</f>
        <v>0</v>
      </c>
    </row>
    <row r="145" customFormat="false" ht="14.25" hidden="false" customHeight="false" outlineLevel="0" collapsed="false">
      <c r="C145" s="6" t="s">
        <v>150</v>
      </c>
      <c r="D145" s="2" t="s">
        <v>82</v>
      </c>
      <c r="H145" s="8" t="n">
        <f aca="false">SUM(J145:AS145)</f>
        <v>354071.972801154</v>
      </c>
      <c r="J145" s="8" t="n">
        <f aca="false">J270</f>
        <v>0</v>
      </c>
      <c r="K145" s="8" t="n">
        <f aca="false">K270</f>
        <v>0</v>
      </c>
      <c r="L145" s="8" t="n">
        <f aca="false">L270</f>
        <v>0</v>
      </c>
      <c r="M145" s="8" t="n">
        <f aca="false">M270</f>
        <v>0</v>
      </c>
      <c r="N145" s="8" t="n">
        <f aca="false">N270</f>
        <v>0</v>
      </c>
      <c r="O145" s="8" t="n">
        <f aca="false">O270</f>
        <v>5292</v>
      </c>
      <c r="P145" s="8" t="n">
        <f aca="false">P270</f>
        <v>10689.84</v>
      </c>
      <c r="Q145" s="8" t="n">
        <f aca="false">Q270</f>
        <v>10764.3481848</v>
      </c>
      <c r="R145" s="8" t="n">
        <f aca="false">R270</f>
        <v>10839.3756916481</v>
      </c>
      <c r="S145" s="8" t="n">
        <f aca="false">S270</f>
        <v>10914.9261402188</v>
      </c>
      <c r="T145" s="8" t="n">
        <f aca="false">T270</f>
        <v>10991.0031754162</v>
      </c>
      <c r="U145" s="8" t="n">
        <f aca="false">U270</f>
        <v>11067.6104675488</v>
      </c>
      <c r="V145" s="8" t="n">
        <f aca="false">V270</f>
        <v>11144.7517125076</v>
      </c>
      <c r="W145" s="8" t="n">
        <f aca="false">W270</f>
        <v>11222.4306319438</v>
      </c>
      <c r="X145" s="8" t="n">
        <f aca="false">X270</f>
        <v>11300.6509734485</v>
      </c>
      <c r="Y145" s="8" t="n">
        <f aca="false">Y270</f>
        <v>11379.4165107334</v>
      </c>
      <c r="Z145" s="8" t="n">
        <f aca="false">Z270</f>
        <v>11458.7310438132</v>
      </c>
      <c r="AA145" s="8" t="n">
        <f aca="false">AA270</f>
        <v>11538.5983991886</v>
      </c>
      <c r="AB145" s="8" t="n">
        <f aca="false">AB270</f>
        <v>11619.0224300309</v>
      </c>
      <c r="AC145" s="8" t="n">
        <f aca="false">AC270</f>
        <v>11700.0070163682</v>
      </c>
      <c r="AD145" s="8" t="n">
        <f aca="false">AD270</f>
        <v>11781.5560652723</v>
      </c>
      <c r="AE145" s="8" t="n">
        <f aca="false">AE270</f>
        <v>11863.6735110473</v>
      </c>
      <c r="AF145" s="8" t="n">
        <f aca="false">AF270</f>
        <v>11946.3633154193</v>
      </c>
      <c r="AG145" s="8" t="n">
        <f aca="false">AG270</f>
        <v>12029.6294677278</v>
      </c>
      <c r="AH145" s="8" t="n">
        <f aca="false">AH270</f>
        <v>12113.4759851178</v>
      </c>
      <c r="AI145" s="8" t="n">
        <f aca="false">AI270</f>
        <v>12197.9069127341</v>
      </c>
      <c r="AJ145" s="8" t="n">
        <f aca="false">AJ270</f>
        <v>12282.9263239158</v>
      </c>
      <c r="AK145" s="8" t="n">
        <f aca="false">AK270</f>
        <v>12368.5383203935</v>
      </c>
      <c r="AL145" s="8" t="n">
        <f aca="false">AL270</f>
        <v>12454.7470324867</v>
      </c>
      <c r="AM145" s="8" t="n">
        <f aca="false">AM270</f>
        <v>12541.5566193031</v>
      </c>
      <c r="AN145" s="8" t="n">
        <f aca="false">AN270</f>
        <v>12628.9712689397</v>
      </c>
      <c r="AO145" s="8" t="n">
        <f aca="false">AO270</f>
        <v>12716.9951986842</v>
      </c>
      <c r="AP145" s="8" t="n">
        <f aca="false">AP270</f>
        <v>12805.632655219</v>
      </c>
      <c r="AQ145" s="8" t="n">
        <f aca="false">AQ270</f>
        <v>12894.8879148259</v>
      </c>
      <c r="AR145" s="8" t="n">
        <f aca="false">AR270</f>
        <v>12984.7652835922</v>
      </c>
      <c r="AS145" s="8" t="n">
        <f aca="false">AS270</f>
        <v>6537.63454880942</v>
      </c>
    </row>
    <row r="146" customFormat="false" ht="14.25" hidden="false" customHeight="false" outlineLevel="0" collapsed="false">
      <c r="C146" s="6" t="s">
        <v>151</v>
      </c>
      <c r="D146" s="2" t="s">
        <v>82</v>
      </c>
      <c r="H146" s="8" t="n">
        <f aca="false">SUM(J146:AS146)</f>
        <v>-93722.6771745354</v>
      </c>
      <c r="J146" s="8" t="n">
        <f aca="false">J279</f>
        <v>0</v>
      </c>
      <c r="K146" s="8" t="n">
        <f aca="false">K279</f>
        <v>0</v>
      </c>
      <c r="L146" s="8" t="n">
        <f aca="false">L279</f>
        <v>0</v>
      </c>
      <c r="M146" s="8" t="n">
        <f aca="false">M279</f>
        <v>0</v>
      </c>
      <c r="N146" s="8" t="n">
        <f aca="false">N279</f>
        <v>0</v>
      </c>
      <c r="O146" s="8" t="n">
        <f aca="false">O279</f>
        <v>-1096.0341</v>
      </c>
      <c r="P146" s="8" t="n">
        <f aca="false">P279</f>
        <v>-2243.528007</v>
      </c>
      <c r="Q146" s="8" t="n">
        <f aca="false">Q279</f>
        <v>-2293.61310854004</v>
      </c>
      <c r="R146" s="8" t="n">
        <f aca="false">R279</f>
        <v>-2344.87939407526</v>
      </c>
      <c r="S146" s="8" t="n">
        <f aca="false">S279</f>
        <v>-2397.35526066889</v>
      </c>
      <c r="T146" s="8" t="n">
        <f aca="false">T279</f>
        <v>-2451.06979342747</v>
      </c>
      <c r="U146" s="8" t="n">
        <f aca="false">U279</f>
        <v>-2506.05278224273</v>
      </c>
      <c r="V146" s="8" t="n">
        <f aca="false">V279</f>
        <v>-2562.33473894201</v>
      </c>
      <c r="W146" s="8" t="n">
        <f aca="false">W279</f>
        <v>-2619.94691485736</v>
      </c>
      <c r="X146" s="8" t="n">
        <f aca="false">X279</f>
        <v>-2678.92131882348</v>
      </c>
      <c r="Y146" s="8" t="n">
        <f aca="false">Y279</f>
        <v>-2739.29073561501</v>
      </c>
      <c r="Z146" s="8" t="n">
        <f aca="false">Z279</f>
        <v>-2801.08874483394</v>
      </c>
      <c r="AA146" s="8" t="n">
        <f aca="false">AA279</f>
        <v>-2864.34974025816</v>
      </c>
      <c r="AB146" s="8" t="n">
        <f aca="false">AB279</f>
        <v>-2929.10894966239</v>
      </c>
      <c r="AC146" s="8" t="n">
        <f aca="false">AC279</f>
        <v>-2995.40245512313</v>
      </c>
      <c r="AD146" s="8" t="n">
        <f aca="false">AD279</f>
        <v>-3063.26721381944</v>
      </c>
      <c r="AE146" s="8" t="n">
        <f aca="false">AE279</f>
        <v>-3132.7410793416</v>
      </c>
      <c r="AF146" s="8" t="n">
        <f aca="false">AF279</f>
        <v>-3203.86282352027</v>
      </c>
      <c r="AG146" s="8" t="n">
        <f aca="false">AG279</f>
        <v>-3276.67215878875</v>
      </c>
      <c r="AH146" s="8" t="n">
        <f aca="false">AH279</f>
        <v>-3351.20976109145</v>
      </c>
      <c r="AI146" s="8" t="n">
        <f aca="false">AI279</f>
        <v>-3427.51729335186</v>
      </c>
      <c r="AJ146" s="8" t="n">
        <f aca="false">AJ279</f>
        <v>-3505.63742951389</v>
      </c>
      <c r="AK146" s="8" t="n">
        <f aca="false">AK279</f>
        <v>-3585.61387917048</v>
      </c>
      <c r="AL146" s="8" t="n">
        <f aca="false">AL279</f>
        <v>-3667.49141279384</v>
      </c>
      <c r="AM146" s="8" t="n">
        <f aca="false">AM279</f>
        <v>-3751.31588758224</v>
      </c>
      <c r="AN146" s="8" t="n">
        <f aca="false">AN279</f>
        <v>-3837.13427393821</v>
      </c>
      <c r="AO146" s="8" t="n">
        <f aca="false">AO279</f>
        <v>-3924.99468259377</v>
      </c>
      <c r="AP146" s="8" t="n">
        <f aca="false">AP279</f>
        <v>-4014.94639239857</v>
      </c>
      <c r="AQ146" s="8" t="n">
        <f aca="false">AQ279</f>
        <v>-4107.039878787</v>
      </c>
      <c r="AR146" s="8" t="n">
        <f aca="false">AR279</f>
        <v>-4201.32684294109</v>
      </c>
      <c r="AS146" s="8" t="n">
        <f aca="false">AS279</f>
        <v>-2148.93012083305</v>
      </c>
    </row>
    <row r="147" customFormat="false" ht="14.25" hidden="false" customHeight="false" outlineLevel="0" collapsed="false">
      <c r="C147" s="6" t="s">
        <v>152</v>
      </c>
      <c r="D147" s="2" t="s">
        <v>82</v>
      </c>
      <c r="H147" s="8" t="n">
        <f aca="false">SUM(J147:AS147)</f>
        <v>260349.295626619</v>
      </c>
      <c r="J147" s="8" t="n">
        <f aca="false">J280</f>
        <v>0</v>
      </c>
      <c r="K147" s="8" t="n">
        <f aca="false">K280</f>
        <v>0</v>
      </c>
      <c r="L147" s="8" t="n">
        <f aca="false">L280</f>
        <v>0</v>
      </c>
      <c r="M147" s="8" t="n">
        <f aca="false">M280</f>
        <v>0</v>
      </c>
      <c r="N147" s="8" t="n">
        <f aca="false">N280</f>
        <v>0</v>
      </c>
      <c r="O147" s="8" t="n">
        <f aca="false">O280</f>
        <v>4195.9659</v>
      </c>
      <c r="P147" s="8" t="n">
        <f aca="false">P280</f>
        <v>8446.311993</v>
      </c>
      <c r="Q147" s="8" t="n">
        <f aca="false">Q280</f>
        <v>8470.73507625996</v>
      </c>
      <c r="R147" s="8" t="n">
        <f aca="false">R280</f>
        <v>8494.4962975728</v>
      </c>
      <c r="S147" s="8" t="n">
        <f aca="false">S280</f>
        <v>8517.57087954995</v>
      </c>
      <c r="T147" s="8" t="n">
        <f aca="false">T280</f>
        <v>8539.9333819887</v>
      </c>
      <c r="U147" s="8" t="n">
        <f aca="false">U280</f>
        <v>8561.55768530609</v>
      </c>
      <c r="V147" s="8" t="n">
        <f aca="false">V280</f>
        <v>8582.41697356563</v>
      </c>
      <c r="W147" s="8" t="n">
        <f aca="false">W280</f>
        <v>8602.48371708645</v>
      </c>
      <c r="X147" s="8" t="n">
        <f aca="false">X280</f>
        <v>8621.72965462498</v>
      </c>
      <c r="Y147" s="8" t="n">
        <f aca="false">Y280</f>
        <v>8640.12577511838</v>
      </c>
      <c r="Z147" s="8" t="n">
        <f aca="false">Z280</f>
        <v>8657.64229897927</v>
      </c>
      <c r="AA147" s="8" t="n">
        <f aca="false">AA280</f>
        <v>8674.24865893043</v>
      </c>
      <c r="AB147" s="8" t="n">
        <f aca="false">AB280</f>
        <v>8689.91348036855</v>
      </c>
      <c r="AC147" s="8" t="n">
        <f aca="false">AC280</f>
        <v>8704.60456124511</v>
      </c>
      <c r="AD147" s="8" t="n">
        <f aca="false">AD280</f>
        <v>8718.28885145289</v>
      </c>
      <c r="AE147" s="8" t="n">
        <f aca="false">AE280</f>
        <v>8730.93243170569</v>
      </c>
      <c r="AF147" s="8" t="n">
        <f aca="false">AF280</f>
        <v>8742.50049189901</v>
      </c>
      <c r="AG147" s="8" t="n">
        <f aca="false">AG280</f>
        <v>8752.957308939</v>
      </c>
      <c r="AH147" s="8" t="n">
        <f aca="false">AH280</f>
        <v>8762.26622402637</v>
      </c>
      <c r="AI147" s="8" t="n">
        <f aca="false">AI280</f>
        <v>8770.38961938223</v>
      </c>
      <c r="AJ147" s="8" t="n">
        <f aca="false">AJ280</f>
        <v>8777.28889440195</v>
      </c>
      <c r="AK147" s="8" t="n">
        <f aca="false">AK280</f>
        <v>8782.92444122306</v>
      </c>
      <c r="AL147" s="8" t="n">
        <f aca="false">AL280</f>
        <v>8787.25561969284</v>
      </c>
      <c r="AM147" s="8" t="n">
        <f aca="false">AM280</f>
        <v>8790.24073172087</v>
      </c>
      <c r="AN147" s="8" t="n">
        <f aca="false">AN280</f>
        <v>8791.83699500145</v>
      </c>
      <c r="AO147" s="8" t="n">
        <f aca="false">AO280</f>
        <v>8792.0005160904</v>
      </c>
      <c r="AP147" s="8" t="n">
        <f aca="false">AP280</f>
        <v>8790.68626282043</v>
      </c>
      <c r="AQ147" s="8" t="n">
        <f aca="false">AQ280</f>
        <v>8787.84803603887</v>
      </c>
      <c r="AR147" s="8" t="n">
        <f aca="false">AR280</f>
        <v>8783.43844065112</v>
      </c>
      <c r="AS147" s="8" t="n">
        <f aca="false">AS280</f>
        <v>4388.70442797637</v>
      </c>
    </row>
    <row r="148" customFormat="false" ht="14.25" hidden="false" customHeight="false" outlineLevel="0" collapsed="false">
      <c r="C148" s="1" t="s">
        <v>153</v>
      </c>
      <c r="D148" s="2" t="s">
        <v>82</v>
      </c>
      <c r="H148" s="14" t="n">
        <f aca="false">SUM(J148:AS148)</f>
        <v>199712.974388263</v>
      </c>
      <c r="J148" s="14" t="n">
        <f aca="false">J281</f>
        <v>-386.301369863014</v>
      </c>
      <c r="K148" s="14" t="n">
        <f aca="false">K281</f>
        <v>-2513.23712328767</v>
      </c>
      <c r="L148" s="14" t="n">
        <f aca="false">L281</f>
        <v>-10089.6937041096</v>
      </c>
      <c r="M148" s="14" t="n">
        <f aca="false">M281</f>
        <v>-12009.375</v>
      </c>
      <c r="N148" s="14" t="n">
        <f aca="false">N281</f>
        <v>-24018.75</v>
      </c>
      <c r="O148" s="14" t="n">
        <f aca="false">O281</f>
        <v>-8813.4091</v>
      </c>
      <c r="P148" s="14" t="n">
        <f aca="false">P281</f>
        <v>8446.311993</v>
      </c>
      <c r="Q148" s="14" t="n">
        <f aca="false">Q281</f>
        <v>9861.14603516407</v>
      </c>
      <c r="R148" s="14" t="n">
        <f aca="false">R281</f>
        <v>8494.4962975728</v>
      </c>
      <c r="S148" s="14" t="n">
        <f aca="false">S281</f>
        <v>8517.57087954995</v>
      </c>
      <c r="T148" s="14" t="n">
        <f aca="false">T281</f>
        <v>8539.9333819887</v>
      </c>
      <c r="U148" s="14" t="n">
        <f aca="false">U281</f>
        <v>8561.55768530609</v>
      </c>
      <c r="V148" s="14" t="n">
        <f aca="false">V281</f>
        <v>8582.41697356563</v>
      </c>
      <c r="W148" s="14" t="n">
        <f aca="false">W281</f>
        <v>8602.48371708645</v>
      </c>
      <c r="X148" s="14" t="n">
        <f aca="false">X281</f>
        <v>8621.72965462498</v>
      </c>
      <c r="Y148" s="14" t="n">
        <f aca="false">Y281</f>
        <v>8640.12577511838</v>
      </c>
      <c r="Z148" s="14" t="n">
        <f aca="false">Z281</f>
        <v>8657.64229897927</v>
      </c>
      <c r="AA148" s="14" t="n">
        <f aca="false">AA281</f>
        <v>8674.24865893043</v>
      </c>
      <c r="AB148" s="14" t="n">
        <f aca="false">AB281</f>
        <v>8689.91348036855</v>
      </c>
      <c r="AC148" s="14" t="n">
        <f aca="false">AC281</f>
        <v>8704.60456124511</v>
      </c>
      <c r="AD148" s="14" t="n">
        <f aca="false">AD281</f>
        <v>8718.28885145289</v>
      </c>
      <c r="AE148" s="14" t="n">
        <f aca="false">AE281</f>
        <v>8730.93243170569</v>
      </c>
      <c r="AF148" s="14" t="n">
        <f aca="false">AF281</f>
        <v>8742.50049189901</v>
      </c>
      <c r="AG148" s="14" t="n">
        <f aca="false">AG281</f>
        <v>8752.957308939</v>
      </c>
      <c r="AH148" s="14" t="n">
        <f aca="false">AH281</f>
        <v>8762.26622402637</v>
      </c>
      <c r="AI148" s="14" t="n">
        <f aca="false">AI281</f>
        <v>8770.38961938223</v>
      </c>
      <c r="AJ148" s="14" t="n">
        <f aca="false">AJ281</f>
        <v>8777.28889440195</v>
      </c>
      <c r="AK148" s="14" t="n">
        <f aca="false">AK281</f>
        <v>8782.92444122306</v>
      </c>
      <c r="AL148" s="14" t="n">
        <f aca="false">AL281</f>
        <v>8787.25561969284</v>
      </c>
      <c r="AM148" s="14" t="n">
        <f aca="false">AM281</f>
        <v>8790.24073172087</v>
      </c>
      <c r="AN148" s="14" t="n">
        <f aca="false">AN281</f>
        <v>8791.83699500145</v>
      </c>
      <c r="AO148" s="14" t="n">
        <f aca="false">AO281</f>
        <v>8792.0005160904</v>
      </c>
      <c r="AP148" s="14" t="n">
        <f aca="false">AP281</f>
        <v>8790.68626282043</v>
      </c>
      <c r="AQ148" s="14" t="n">
        <f aca="false">AQ281</f>
        <v>8787.84803603887</v>
      </c>
      <c r="AR148" s="14" t="n">
        <f aca="false">AR281</f>
        <v>8783.43844065112</v>
      </c>
      <c r="AS148" s="14" t="n">
        <f aca="false">AS281</f>
        <v>4388.70442797637</v>
      </c>
    </row>
    <row r="149" customFormat="false" ht="14.25" hidden="false" customHeight="false" outlineLevel="0" collapsed="false">
      <c r="C149" s="6" t="s">
        <v>154</v>
      </c>
      <c r="D149" s="2" t="s">
        <v>82</v>
      </c>
      <c r="J149" s="8" t="n">
        <f aca="false">SUM($J148:J148)</f>
        <v>-386.301369863014</v>
      </c>
      <c r="K149" s="8" t="n">
        <f aca="false">SUM($J148:K148)</f>
        <v>-2899.53849315069</v>
      </c>
      <c r="L149" s="8" t="n">
        <f aca="false">SUM($J148:L148)</f>
        <v>-12989.2321972603</v>
      </c>
      <c r="M149" s="8" t="n">
        <f aca="false">SUM($J148:M148)</f>
        <v>-24998.6071972603</v>
      </c>
      <c r="N149" s="8" t="n">
        <f aca="false">SUM($J148:N148)</f>
        <v>-49017.3571972603</v>
      </c>
      <c r="O149" s="8" t="n">
        <f aca="false">SUM($J148:O148)</f>
        <v>-57830.7662972603</v>
      </c>
      <c r="P149" s="8" t="n">
        <f aca="false">SUM($J148:P148)</f>
        <v>-49384.4543042603</v>
      </c>
      <c r="Q149" s="8" t="n">
        <f aca="false">SUM($J148:Q148)</f>
        <v>-39523.3082690962</v>
      </c>
      <c r="R149" s="8" t="n">
        <f aca="false">SUM($J148:R148)</f>
        <v>-31028.8119715234</v>
      </c>
      <c r="S149" s="8" t="n">
        <f aca="false">SUM($J148:S148)</f>
        <v>-22511.2410919735</v>
      </c>
      <c r="T149" s="8" t="n">
        <f aca="false">SUM($J148:T148)</f>
        <v>-13971.3077099848</v>
      </c>
      <c r="U149" s="8" t="n">
        <f aca="false">SUM($J148:U148)</f>
        <v>-5409.75002467866</v>
      </c>
      <c r="V149" s="8" t="n">
        <f aca="false">SUM($J148:V148)</f>
        <v>3172.66694888696</v>
      </c>
      <c r="W149" s="8" t="n">
        <f aca="false">SUM($J148:W148)</f>
        <v>11775.1506659734</v>
      </c>
      <c r="X149" s="8" t="n">
        <f aca="false">SUM($J148:X148)</f>
        <v>20396.8803205984</v>
      </c>
      <c r="Y149" s="8" t="n">
        <f aca="false">SUM($J148:Y148)</f>
        <v>29037.0060957168</v>
      </c>
      <c r="Z149" s="8" t="n">
        <f aca="false">SUM($J148:Z148)</f>
        <v>37694.648394696</v>
      </c>
      <c r="AA149" s="8" t="n">
        <f aca="false">SUM($J148:AA148)</f>
        <v>46368.8970536265</v>
      </c>
      <c r="AB149" s="8" t="n">
        <f aca="false">SUM($J148:AB148)</f>
        <v>55058.810533995</v>
      </c>
      <c r="AC149" s="8" t="n">
        <f aca="false">SUM($J148:AC148)</f>
        <v>63763.4150952401</v>
      </c>
      <c r="AD149" s="8" t="n">
        <f aca="false">SUM($J148:AD148)</f>
        <v>72481.703946693</v>
      </c>
      <c r="AE149" s="8" t="n">
        <f aca="false">SUM($J148:AE148)</f>
        <v>81212.6363783987</v>
      </c>
      <c r="AF149" s="8" t="n">
        <f aca="false">SUM($J148:AF148)</f>
        <v>89955.1368702977</v>
      </c>
      <c r="AG149" s="8" t="n">
        <f aca="false">SUM($J148:AG148)</f>
        <v>98708.0941792367</v>
      </c>
      <c r="AH149" s="8" t="n">
        <f aca="false">SUM($J148:AH148)</f>
        <v>107470.360403263</v>
      </c>
      <c r="AI149" s="8" t="n">
        <f aca="false">SUM($J148:AI148)</f>
        <v>116240.750022645</v>
      </c>
      <c r="AJ149" s="8" t="n">
        <f aca="false">SUM($J148:AJ148)</f>
        <v>125018.038917047</v>
      </c>
      <c r="AK149" s="8" t="n">
        <f aca="false">SUM($J148:AK148)</f>
        <v>133800.96335827</v>
      </c>
      <c r="AL149" s="8" t="n">
        <f aca="false">SUM($J148:AL148)</f>
        <v>142588.218977963</v>
      </c>
      <c r="AM149" s="8" t="n">
        <f aca="false">SUM($J148:AM148)</f>
        <v>151378.459709684</v>
      </c>
      <c r="AN149" s="8" t="n">
        <f aca="false">SUM($J148:AN148)</f>
        <v>160170.296704686</v>
      </c>
      <c r="AO149" s="8" t="n">
        <f aca="false">SUM($J148:AO148)</f>
        <v>168962.297220776</v>
      </c>
      <c r="AP149" s="8" t="n">
        <f aca="false">SUM($J148:AP148)</f>
        <v>177752.983483596</v>
      </c>
      <c r="AQ149" s="8" t="n">
        <f aca="false">SUM($J148:AQ148)</f>
        <v>186540.831519635</v>
      </c>
      <c r="AR149" s="8" t="n">
        <f aca="false">SUM($J148:AR148)</f>
        <v>195324.269960286</v>
      </c>
      <c r="AS149" s="8" t="n">
        <f aca="false">SUM($J148:AS148)</f>
        <v>199712.974388263</v>
      </c>
    </row>
    <row r="151" customFormat="false" ht="14.25" hidden="false" customHeight="false" outlineLevel="0" collapsed="false">
      <c r="C151" s="41" t="s">
        <v>6</v>
      </c>
      <c r="D151" s="41"/>
      <c r="E151" s="42"/>
      <c r="F151" s="42"/>
      <c r="G151" s="42"/>
      <c r="H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  <c r="AQ151" s="42"/>
      <c r="AR151" s="42"/>
      <c r="AS151" s="42"/>
    </row>
    <row r="152" customFormat="false" ht="14.25" hidden="false" customHeight="false" outlineLevel="0" collapsed="false">
      <c r="C152" s="6" t="s">
        <v>149</v>
      </c>
      <c r="D152" s="2" t="s">
        <v>82</v>
      </c>
      <c r="H152" s="8" t="n">
        <f aca="false">SUM(J152:AS152)</f>
        <v>-55671.9767123288</v>
      </c>
      <c r="J152" s="8" t="n">
        <f aca="false">J305</f>
        <v>-436.301369863014</v>
      </c>
      <c r="K152" s="8" t="n">
        <f aca="false">K305</f>
        <v>-2728.76712328767</v>
      </c>
      <c r="L152" s="8" t="n">
        <f aca="false">L305</f>
        <v>-3359.81917808219</v>
      </c>
      <c r="M152" s="8" t="n">
        <f aca="false">M305</f>
        <v>-12009.375</v>
      </c>
      <c r="N152" s="8" t="n">
        <f aca="false">N305</f>
        <v>-24018.75</v>
      </c>
      <c r="O152" s="8" t="n">
        <f aca="false">O305</f>
        <v>-14509.375</v>
      </c>
      <c r="P152" s="8" t="n">
        <f aca="false">P305</f>
        <v>0</v>
      </c>
      <c r="Q152" s="8" t="n">
        <f aca="false">Q305</f>
        <v>1390.41095890411</v>
      </c>
      <c r="R152" s="8" t="n">
        <f aca="false">R305</f>
        <v>0</v>
      </c>
      <c r="S152" s="8" t="n">
        <f aca="false">S305</f>
        <v>0</v>
      </c>
      <c r="T152" s="8" t="n">
        <f aca="false">T305</f>
        <v>0</v>
      </c>
      <c r="U152" s="8" t="n">
        <f aca="false">U305</f>
        <v>0</v>
      </c>
      <c r="V152" s="8" t="n">
        <f aca="false">V305</f>
        <v>0</v>
      </c>
      <c r="W152" s="8" t="n">
        <f aca="false">W305</f>
        <v>0</v>
      </c>
      <c r="X152" s="8" t="n">
        <f aca="false">X305</f>
        <v>0</v>
      </c>
      <c r="Y152" s="8" t="n">
        <f aca="false">Y305</f>
        <v>0</v>
      </c>
      <c r="Z152" s="8" t="n">
        <f aca="false">Z305</f>
        <v>0</v>
      </c>
      <c r="AA152" s="8" t="n">
        <f aca="false">AA305</f>
        <v>0</v>
      </c>
      <c r="AB152" s="8" t="n">
        <f aca="false">AB305</f>
        <v>0</v>
      </c>
      <c r="AC152" s="8" t="n">
        <f aca="false">AC305</f>
        <v>0</v>
      </c>
      <c r="AD152" s="8" t="n">
        <f aca="false">AD305</f>
        <v>0</v>
      </c>
      <c r="AE152" s="8" t="n">
        <f aca="false">AE305</f>
        <v>0</v>
      </c>
      <c r="AF152" s="8" t="n">
        <f aca="false">AF305</f>
        <v>0</v>
      </c>
      <c r="AG152" s="8" t="n">
        <f aca="false">AG305</f>
        <v>0</v>
      </c>
      <c r="AH152" s="8" t="n">
        <f aca="false">AH305</f>
        <v>0</v>
      </c>
      <c r="AI152" s="8" t="n">
        <f aca="false">AI305</f>
        <v>0</v>
      </c>
      <c r="AJ152" s="8" t="n">
        <f aca="false">AJ305</f>
        <v>0</v>
      </c>
      <c r="AK152" s="8" t="n">
        <f aca="false">AK305</f>
        <v>0</v>
      </c>
      <c r="AL152" s="8" t="n">
        <f aca="false">AL305</f>
        <v>0</v>
      </c>
      <c r="AM152" s="8" t="n">
        <f aca="false">AM305</f>
        <v>0</v>
      </c>
      <c r="AN152" s="8" t="n">
        <f aca="false">AN305</f>
        <v>0</v>
      </c>
      <c r="AO152" s="8" t="n">
        <f aca="false">AO305</f>
        <v>0</v>
      </c>
      <c r="AP152" s="8" t="n">
        <f aca="false">AP305</f>
        <v>0</v>
      </c>
      <c r="AQ152" s="8" t="n">
        <f aca="false">AQ305</f>
        <v>0</v>
      </c>
      <c r="AR152" s="8" t="n">
        <f aca="false">AR305</f>
        <v>0</v>
      </c>
      <c r="AS152" s="8" t="n">
        <f aca="false">AS305</f>
        <v>0</v>
      </c>
    </row>
    <row r="153" customFormat="false" ht="14.25" hidden="false" customHeight="false" outlineLevel="0" collapsed="false">
      <c r="C153" s="6" t="s">
        <v>150</v>
      </c>
      <c r="D153" s="2" t="s">
        <v>82</v>
      </c>
      <c r="H153" s="8" t="n">
        <f aca="false">SUM(J153:AS153)</f>
        <v>354071.972801154</v>
      </c>
      <c r="J153" s="8" t="n">
        <f aca="false">J309</f>
        <v>0</v>
      </c>
      <c r="K153" s="8" t="n">
        <f aca="false">K309</f>
        <v>0</v>
      </c>
      <c r="L153" s="8" t="n">
        <f aca="false">L309</f>
        <v>0</v>
      </c>
      <c r="M153" s="8" t="n">
        <f aca="false">M309</f>
        <v>0</v>
      </c>
      <c r="N153" s="8" t="n">
        <f aca="false">N309</f>
        <v>0</v>
      </c>
      <c r="O153" s="8" t="n">
        <f aca="false">O309</f>
        <v>5292</v>
      </c>
      <c r="P153" s="8" t="n">
        <f aca="false">P309</f>
        <v>10689.84</v>
      </c>
      <c r="Q153" s="8" t="n">
        <f aca="false">Q309</f>
        <v>10764.3481848</v>
      </c>
      <c r="R153" s="8" t="n">
        <f aca="false">R309</f>
        <v>10839.3756916481</v>
      </c>
      <c r="S153" s="8" t="n">
        <f aca="false">S309</f>
        <v>10914.9261402188</v>
      </c>
      <c r="T153" s="8" t="n">
        <f aca="false">T309</f>
        <v>10991.0031754162</v>
      </c>
      <c r="U153" s="8" t="n">
        <f aca="false">U309</f>
        <v>11067.6104675488</v>
      </c>
      <c r="V153" s="8" t="n">
        <f aca="false">V309</f>
        <v>11144.7517125076</v>
      </c>
      <c r="W153" s="8" t="n">
        <f aca="false">W309</f>
        <v>11222.4306319438</v>
      </c>
      <c r="X153" s="8" t="n">
        <f aca="false">X309</f>
        <v>11300.6509734485</v>
      </c>
      <c r="Y153" s="8" t="n">
        <f aca="false">Y309</f>
        <v>11379.4165107334</v>
      </c>
      <c r="Z153" s="8" t="n">
        <f aca="false">Z309</f>
        <v>11458.7310438132</v>
      </c>
      <c r="AA153" s="8" t="n">
        <f aca="false">AA309</f>
        <v>11538.5983991886</v>
      </c>
      <c r="AB153" s="8" t="n">
        <f aca="false">AB309</f>
        <v>11619.0224300309</v>
      </c>
      <c r="AC153" s="8" t="n">
        <f aca="false">AC309</f>
        <v>11700.0070163682</v>
      </c>
      <c r="AD153" s="8" t="n">
        <f aca="false">AD309</f>
        <v>11781.5560652723</v>
      </c>
      <c r="AE153" s="8" t="n">
        <f aca="false">AE309</f>
        <v>11863.6735110473</v>
      </c>
      <c r="AF153" s="8" t="n">
        <f aca="false">AF309</f>
        <v>11946.3633154193</v>
      </c>
      <c r="AG153" s="8" t="n">
        <f aca="false">AG309</f>
        <v>12029.6294677278</v>
      </c>
      <c r="AH153" s="8" t="n">
        <f aca="false">AH309</f>
        <v>12113.4759851178</v>
      </c>
      <c r="AI153" s="8" t="n">
        <f aca="false">AI309</f>
        <v>12197.9069127341</v>
      </c>
      <c r="AJ153" s="8" t="n">
        <f aca="false">AJ309</f>
        <v>12282.9263239158</v>
      </c>
      <c r="AK153" s="8" t="n">
        <f aca="false">AK309</f>
        <v>12368.5383203935</v>
      </c>
      <c r="AL153" s="8" t="n">
        <f aca="false">AL309</f>
        <v>12454.7470324867</v>
      </c>
      <c r="AM153" s="8" t="n">
        <f aca="false">AM309</f>
        <v>12541.5566193031</v>
      </c>
      <c r="AN153" s="8" t="n">
        <f aca="false">AN309</f>
        <v>12628.9712689397</v>
      </c>
      <c r="AO153" s="8" t="n">
        <f aca="false">AO309</f>
        <v>12716.9951986842</v>
      </c>
      <c r="AP153" s="8" t="n">
        <f aca="false">AP309</f>
        <v>12805.632655219</v>
      </c>
      <c r="AQ153" s="8" t="n">
        <f aca="false">AQ309</f>
        <v>12894.8879148259</v>
      </c>
      <c r="AR153" s="8" t="n">
        <f aca="false">AR309</f>
        <v>12984.7652835922</v>
      </c>
      <c r="AS153" s="8" t="n">
        <f aca="false">AS309</f>
        <v>6537.63454880942</v>
      </c>
    </row>
    <row r="154" customFormat="false" ht="14.25" hidden="false" customHeight="false" outlineLevel="0" collapsed="false">
      <c r="C154" s="6" t="s">
        <v>151</v>
      </c>
      <c r="D154" s="2" t="s">
        <v>82</v>
      </c>
      <c r="H154" s="8" t="n">
        <f aca="false">SUM(J154:AS154)</f>
        <v>-103873.626762785</v>
      </c>
      <c r="J154" s="8" t="n">
        <f aca="false">J318</f>
        <v>0</v>
      </c>
      <c r="K154" s="8" t="n">
        <f aca="false">K318</f>
        <v>0</v>
      </c>
      <c r="L154" s="8" t="n">
        <f aca="false">L318</f>
        <v>0</v>
      </c>
      <c r="M154" s="8" t="n">
        <f aca="false">M318</f>
        <v>0</v>
      </c>
      <c r="N154" s="8" t="n">
        <f aca="false">N318</f>
        <v>0</v>
      </c>
      <c r="O154" s="8" t="n">
        <f aca="false">O318</f>
        <v>-1272.4341</v>
      </c>
      <c r="P154" s="8" t="n">
        <f aca="false">P318</f>
        <v>-2596.328007</v>
      </c>
      <c r="Q154" s="8" t="n">
        <f aca="false">Q318</f>
        <v>-2645.35470854004</v>
      </c>
      <c r="R154" s="8" t="n">
        <f aca="false">R318</f>
        <v>-2695.56576927526</v>
      </c>
      <c r="S154" s="8" t="n">
        <f aca="false">S318</f>
        <v>-2746.98957674329</v>
      </c>
      <c r="T154" s="8" t="n">
        <f aca="false">T318</f>
        <v>-2799.65520655365</v>
      </c>
      <c r="U154" s="8" t="n">
        <f aca="false">U318</f>
        <v>-2853.59243912953</v>
      </c>
      <c r="V154" s="8" t="n">
        <f aca="false">V318</f>
        <v>-2908.83177685815</v>
      </c>
      <c r="W154" s="8" t="n">
        <f aca="false">W318</f>
        <v>-2965.40446165975</v>
      </c>
      <c r="X154" s="8" t="n">
        <f aca="false">X318</f>
        <v>-3023.34249298546</v>
      </c>
      <c r="Y154" s="8" t="n">
        <f aca="false">Y318</f>
        <v>-3082.67864625451</v>
      </c>
      <c r="Z154" s="8" t="n">
        <f aca="false">Z318</f>
        <v>-3143.44649174152</v>
      </c>
      <c r="AA154" s="8" t="n">
        <f aca="false">AA318</f>
        <v>-3205.68041392501</v>
      </c>
      <c r="AB154" s="8" t="n">
        <f aca="false">AB318</f>
        <v>-3269.41563130824</v>
      </c>
      <c r="AC154" s="8" t="n">
        <f aca="false">AC318</f>
        <v>-3334.68821672405</v>
      </c>
      <c r="AD154" s="8" t="n">
        <f aca="false">AD318</f>
        <v>-3401.53511813555</v>
      </c>
      <c r="AE154" s="8" t="n">
        <f aca="false">AE318</f>
        <v>-3469.99417994476</v>
      </c>
      <c r="AF154" s="8" t="n">
        <f aca="false">AF318</f>
        <v>-3540.10416482162</v>
      </c>
      <c r="AG154" s="8" t="n">
        <f aca="false">AG318</f>
        <v>-3611.90477606621</v>
      </c>
      <c r="AH154" s="8" t="n">
        <f aca="false">AH318</f>
        <v>-3685.43668051707</v>
      </c>
      <c r="AI154" s="8" t="n">
        <f aca="false">AI318</f>
        <v>-3760.7415320192</v>
      </c>
      <c r="AJ154" s="8" t="n">
        <f aca="false">AJ318</f>
        <v>-3837.86199546523</v>
      </c>
      <c r="AK154" s="8" t="n">
        <f aca="false">AK318</f>
        <v>-3916.84177142397</v>
      </c>
      <c r="AL154" s="8" t="n">
        <f aca="false">AL318</f>
        <v>-3997.72562137057</v>
      </c>
      <c r="AM154" s="8" t="n">
        <f aca="false">AM318</f>
        <v>-4080.55939353324</v>
      </c>
      <c r="AN154" s="8" t="n">
        <f aca="false">AN318</f>
        <v>-4165.39004937135</v>
      </c>
      <c r="AO154" s="8" t="n">
        <f aca="false">AO318</f>
        <v>-4252.26569070061</v>
      </c>
      <c r="AP154" s="8" t="n">
        <f aca="false">AP318</f>
        <v>-4341.23558748109</v>
      </c>
      <c r="AQ154" s="8" t="n">
        <f aca="false">AQ318</f>
        <v>-4432.35020628428</v>
      </c>
      <c r="AR154" s="8" t="n">
        <f aca="false">AR318</f>
        <v>-4525.66123945587</v>
      </c>
      <c r="AS154" s="8" t="n">
        <f aca="false">AS318</f>
        <v>-2310.61081749567</v>
      </c>
    </row>
    <row r="155" customFormat="false" ht="14.25" hidden="false" customHeight="false" outlineLevel="0" collapsed="false">
      <c r="C155" s="6" t="s">
        <v>152</v>
      </c>
      <c r="D155" s="2" t="s">
        <v>82</v>
      </c>
      <c r="H155" s="8" t="n">
        <f aca="false">SUM(J155:AS155)</f>
        <v>250198.34603837</v>
      </c>
      <c r="J155" s="8" t="n">
        <f aca="false">J319</f>
        <v>0</v>
      </c>
      <c r="K155" s="8" t="n">
        <f aca="false">K319</f>
        <v>0</v>
      </c>
      <c r="L155" s="8" t="n">
        <f aca="false">L319</f>
        <v>0</v>
      </c>
      <c r="M155" s="8" t="n">
        <f aca="false">M319</f>
        <v>0</v>
      </c>
      <c r="N155" s="8" t="n">
        <f aca="false">N319</f>
        <v>0</v>
      </c>
      <c r="O155" s="8" t="n">
        <f aca="false">O319</f>
        <v>4019.5659</v>
      </c>
      <c r="P155" s="8" t="n">
        <f aca="false">P319</f>
        <v>8093.511993</v>
      </c>
      <c r="Q155" s="8" t="n">
        <f aca="false">Q319</f>
        <v>8118.99347625996</v>
      </c>
      <c r="R155" s="8" t="n">
        <f aca="false">R319</f>
        <v>8143.8099223728</v>
      </c>
      <c r="S155" s="8" t="n">
        <f aca="false">S319</f>
        <v>8167.93656347555</v>
      </c>
      <c r="T155" s="8" t="n">
        <f aca="false">T319</f>
        <v>8191.34796886252</v>
      </c>
      <c r="U155" s="8" t="n">
        <f aca="false">U319</f>
        <v>8214.01802841929</v>
      </c>
      <c r="V155" s="8" t="n">
        <f aca="false">V319</f>
        <v>8235.91993564949</v>
      </c>
      <c r="W155" s="8" t="n">
        <f aca="false">W319</f>
        <v>8257.02617028406</v>
      </c>
      <c r="X155" s="8" t="n">
        <f aca="false">X319</f>
        <v>8277.308480463</v>
      </c>
      <c r="Y155" s="8" t="n">
        <f aca="false">Y319</f>
        <v>8296.73786447889</v>
      </c>
      <c r="Z155" s="8" t="n">
        <f aca="false">Z319</f>
        <v>8315.28455207169</v>
      </c>
      <c r="AA155" s="8" t="n">
        <f aca="false">AA319</f>
        <v>8332.91798526358</v>
      </c>
      <c r="AB155" s="8" t="n">
        <f aca="false">AB319</f>
        <v>8349.60679872269</v>
      </c>
      <c r="AC155" s="8" t="n">
        <f aca="false">AC319</f>
        <v>8365.3187996442</v>
      </c>
      <c r="AD155" s="8" t="n">
        <f aca="false">AD319</f>
        <v>8380.02094713678</v>
      </c>
      <c r="AE155" s="8" t="n">
        <f aca="false">AE319</f>
        <v>8393.67933110252</v>
      </c>
      <c r="AF155" s="8" t="n">
        <f aca="false">AF319</f>
        <v>8406.25915059766</v>
      </c>
      <c r="AG155" s="8" t="n">
        <f aca="false">AG319</f>
        <v>8417.72469166155</v>
      </c>
      <c r="AH155" s="8" t="n">
        <f aca="false">AH319</f>
        <v>8428.03930460075</v>
      </c>
      <c r="AI155" s="8" t="n">
        <f aca="false">AI319</f>
        <v>8437.16538071489</v>
      </c>
      <c r="AJ155" s="8" t="n">
        <f aca="false">AJ319</f>
        <v>8445.06432845061</v>
      </c>
      <c r="AK155" s="8" t="n">
        <f aca="false">AK319</f>
        <v>8451.69654896957</v>
      </c>
      <c r="AL155" s="8" t="n">
        <f aca="false">AL319</f>
        <v>8457.02141111611</v>
      </c>
      <c r="AM155" s="8" t="n">
        <f aca="false">AM319</f>
        <v>8460.99722576987</v>
      </c>
      <c r="AN155" s="8" t="n">
        <f aca="false">AN319</f>
        <v>8463.58121956831</v>
      </c>
      <c r="AO155" s="8" t="n">
        <f aca="false">AO319</f>
        <v>8464.72950798355</v>
      </c>
      <c r="AP155" s="8" t="n">
        <f aca="false">AP319</f>
        <v>8464.3970677379</v>
      </c>
      <c r="AQ155" s="8" t="n">
        <f aca="false">AQ319</f>
        <v>8462.53770854159</v>
      </c>
      <c r="AR155" s="8" t="n">
        <f aca="false">AR319</f>
        <v>8459.10404413634</v>
      </c>
      <c r="AS155" s="8" t="n">
        <f aca="false">AS319</f>
        <v>4227.02373131375</v>
      </c>
    </row>
    <row r="156" customFormat="false" ht="14.25" hidden="false" customHeight="false" outlineLevel="0" collapsed="false">
      <c r="C156" s="1" t="s">
        <v>153</v>
      </c>
      <c r="D156" s="2" t="s">
        <v>82</v>
      </c>
      <c r="H156" s="14" t="n">
        <f aca="false">SUM(J156:AS156)</f>
        <v>194526.369326041</v>
      </c>
      <c r="J156" s="14" t="n">
        <f aca="false">J320</f>
        <v>-436.301369863014</v>
      </c>
      <c r="K156" s="14" t="n">
        <f aca="false">K320</f>
        <v>-2728.76712328767</v>
      </c>
      <c r="L156" s="14" t="n">
        <f aca="false">L320</f>
        <v>-3359.81917808219</v>
      </c>
      <c r="M156" s="14" t="n">
        <f aca="false">M320</f>
        <v>-12009.375</v>
      </c>
      <c r="N156" s="14" t="n">
        <f aca="false">N320</f>
        <v>-24018.75</v>
      </c>
      <c r="O156" s="14" t="n">
        <f aca="false">O320</f>
        <v>-10489.8091</v>
      </c>
      <c r="P156" s="14" t="n">
        <f aca="false">P320</f>
        <v>8093.511993</v>
      </c>
      <c r="Q156" s="14" t="n">
        <f aca="false">Q320</f>
        <v>9509.40443516407</v>
      </c>
      <c r="R156" s="14" t="n">
        <f aca="false">R320</f>
        <v>8143.8099223728</v>
      </c>
      <c r="S156" s="14" t="n">
        <f aca="false">S320</f>
        <v>8167.93656347555</v>
      </c>
      <c r="T156" s="14" t="n">
        <f aca="false">T320</f>
        <v>8191.34796886252</v>
      </c>
      <c r="U156" s="14" t="n">
        <f aca="false">U320</f>
        <v>8214.01802841929</v>
      </c>
      <c r="V156" s="14" t="n">
        <f aca="false">V320</f>
        <v>8235.91993564949</v>
      </c>
      <c r="W156" s="14" t="n">
        <f aca="false">W320</f>
        <v>8257.02617028406</v>
      </c>
      <c r="X156" s="14" t="n">
        <f aca="false">X320</f>
        <v>8277.308480463</v>
      </c>
      <c r="Y156" s="14" t="n">
        <f aca="false">Y320</f>
        <v>8296.73786447889</v>
      </c>
      <c r="Z156" s="14" t="n">
        <f aca="false">Z320</f>
        <v>8315.28455207169</v>
      </c>
      <c r="AA156" s="14" t="n">
        <f aca="false">AA320</f>
        <v>8332.91798526358</v>
      </c>
      <c r="AB156" s="14" t="n">
        <f aca="false">AB320</f>
        <v>8349.60679872269</v>
      </c>
      <c r="AC156" s="14" t="n">
        <f aca="false">AC320</f>
        <v>8365.3187996442</v>
      </c>
      <c r="AD156" s="14" t="n">
        <f aca="false">AD320</f>
        <v>8380.02094713678</v>
      </c>
      <c r="AE156" s="14" t="n">
        <f aca="false">AE320</f>
        <v>8393.67933110252</v>
      </c>
      <c r="AF156" s="14" t="n">
        <f aca="false">AF320</f>
        <v>8406.25915059766</v>
      </c>
      <c r="AG156" s="14" t="n">
        <f aca="false">AG320</f>
        <v>8417.72469166155</v>
      </c>
      <c r="AH156" s="14" t="n">
        <f aca="false">AH320</f>
        <v>8428.03930460075</v>
      </c>
      <c r="AI156" s="14" t="n">
        <f aca="false">AI320</f>
        <v>8437.16538071489</v>
      </c>
      <c r="AJ156" s="14" t="n">
        <f aca="false">AJ320</f>
        <v>8445.06432845061</v>
      </c>
      <c r="AK156" s="14" t="n">
        <f aca="false">AK320</f>
        <v>8451.69654896957</v>
      </c>
      <c r="AL156" s="14" t="n">
        <f aca="false">AL320</f>
        <v>8457.02141111611</v>
      </c>
      <c r="AM156" s="14" t="n">
        <f aca="false">AM320</f>
        <v>8460.99722576987</v>
      </c>
      <c r="AN156" s="14" t="n">
        <f aca="false">AN320</f>
        <v>8463.58121956831</v>
      </c>
      <c r="AO156" s="14" t="n">
        <f aca="false">AO320</f>
        <v>8464.72950798355</v>
      </c>
      <c r="AP156" s="14" t="n">
        <f aca="false">AP320</f>
        <v>8464.3970677379</v>
      </c>
      <c r="AQ156" s="14" t="n">
        <f aca="false">AQ320</f>
        <v>8462.53770854159</v>
      </c>
      <c r="AR156" s="14" t="n">
        <f aca="false">AR320</f>
        <v>8459.10404413634</v>
      </c>
      <c r="AS156" s="14" t="n">
        <f aca="false">AS320</f>
        <v>4227.02373131375</v>
      </c>
    </row>
    <row r="157" customFormat="false" ht="14.25" hidden="false" customHeight="false" outlineLevel="0" collapsed="false">
      <c r="C157" s="6" t="s">
        <v>154</v>
      </c>
      <c r="D157" s="2" t="s">
        <v>82</v>
      </c>
      <c r="J157" s="8" t="n">
        <f aca="false">SUM($J156:J156)</f>
        <v>-436.301369863014</v>
      </c>
      <c r="K157" s="8" t="n">
        <f aca="false">SUM($J156:K156)</f>
        <v>-3165.06849315069</v>
      </c>
      <c r="L157" s="8" t="n">
        <f aca="false">SUM($J156:L156)</f>
        <v>-6524.88767123288</v>
      </c>
      <c r="M157" s="8" t="n">
        <f aca="false">SUM($J156:M156)</f>
        <v>-18534.2626712329</v>
      </c>
      <c r="N157" s="8" t="n">
        <f aca="false">SUM($J156:N156)</f>
        <v>-42553.0126712329</v>
      </c>
      <c r="O157" s="8" t="n">
        <f aca="false">SUM($J156:O156)</f>
        <v>-53042.8217712329</v>
      </c>
      <c r="P157" s="8" t="n">
        <f aca="false">SUM($J156:P156)</f>
        <v>-44949.3097782329</v>
      </c>
      <c r="Q157" s="8" t="n">
        <f aca="false">SUM($J156:Q156)</f>
        <v>-35439.9053430688</v>
      </c>
      <c r="R157" s="8" t="n">
        <f aca="false">SUM($J156:R156)</f>
        <v>-27296.095420696</v>
      </c>
      <c r="S157" s="8" t="n">
        <f aca="false">SUM($J156:S156)</f>
        <v>-19128.1588572205</v>
      </c>
      <c r="T157" s="8" t="n">
        <f aca="false">SUM($J156:T156)</f>
        <v>-10936.8108883579</v>
      </c>
      <c r="U157" s="8" t="n">
        <f aca="false">SUM($J156:U156)</f>
        <v>-2722.79285993864</v>
      </c>
      <c r="V157" s="8" t="n">
        <f aca="false">SUM($J156:V156)</f>
        <v>5513.12707571085</v>
      </c>
      <c r="W157" s="8" t="n">
        <f aca="false">SUM($J156:W156)</f>
        <v>13770.1532459949</v>
      </c>
      <c r="X157" s="8" t="n">
        <f aca="false">SUM($J156:X156)</f>
        <v>22047.4617264579</v>
      </c>
      <c r="Y157" s="8" t="n">
        <f aca="false">SUM($J156:Y156)</f>
        <v>30344.1995909368</v>
      </c>
      <c r="Z157" s="8" t="n">
        <f aca="false">SUM($J156:Z156)</f>
        <v>38659.4841430085</v>
      </c>
      <c r="AA157" s="8" t="n">
        <f aca="false">SUM($J156:AA156)</f>
        <v>46992.4021282721</v>
      </c>
      <c r="AB157" s="8" t="n">
        <f aca="false">SUM($J156:AB156)</f>
        <v>55342.0089269948</v>
      </c>
      <c r="AC157" s="8" t="n">
        <f aca="false">SUM($J156:AC156)</f>
        <v>63707.327726639</v>
      </c>
      <c r="AD157" s="8" t="n">
        <f aca="false">SUM($J156:AD156)</f>
        <v>72087.3486737757</v>
      </c>
      <c r="AE157" s="8" t="n">
        <f aca="false">SUM($J156:AE156)</f>
        <v>80481.0280048782</v>
      </c>
      <c r="AF157" s="8" t="n">
        <f aca="false">SUM($J156:AF156)</f>
        <v>88887.2871554759</v>
      </c>
      <c r="AG157" s="8" t="n">
        <f aca="false">SUM($J156:AG156)</f>
        <v>97305.0118471375</v>
      </c>
      <c r="AH157" s="8" t="n">
        <f aca="false">SUM($J156:AH156)</f>
        <v>105733.051151738</v>
      </c>
      <c r="AI157" s="8" t="n">
        <f aca="false">SUM($J156:AI156)</f>
        <v>114170.216532453</v>
      </c>
      <c r="AJ157" s="8" t="n">
        <f aca="false">SUM($J156:AJ156)</f>
        <v>122615.280860904</v>
      </c>
      <c r="AK157" s="8" t="n">
        <f aca="false">SUM($J156:AK156)</f>
        <v>131066.977409873</v>
      </c>
      <c r="AL157" s="8" t="n">
        <f aca="false">SUM($J156:AL156)</f>
        <v>139523.998820989</v>
      </c>
      <c r="AM157" s="8" t="n">
        <f aca="false">SUM($J156:AM156)</f>
        <v>147984.996046759</v>
      </c>
      <c r="AN157" s="8" t="n">
        <f aca="false">SUM($J156:AN156)</f>
        <v>156448.577266328</v>
      </c>
      <c r="AO157" s="8" t="n">
        <f aca="false">SUM($J156:AO156)</f>
        <v>164913.306774311</v>
      </c>
      <c r="AP157" s="8" t="n">
        <f aca="false">SUM($J156:AP156)</f>
        <v>173377.703842049</v>
      </c>
      <c r="AQ157" s="8" t="n">
        <f aca="false">SUM($J156:AQ156)</f>
        <v>181840.241550591</v>
      </c>
      <c r="AR157" s="8" t="n">
        <f aca="false">SUM($J156:AR156)</f>
        <v>190299.345594727</v>
      </c>
      <c r="AS157" s="8" t="n">
        <f aca="false">SUM($J156:AS156)</f>
        <v>194526.369326041</v>
      </c>
    </row>
    <row r="159" customFormat="false" ht="14.25" hidden="false" customHeight="false" outlineLevel="0" collapsed="false">
      <c r="C159" s="41" t="s">
        <v>7</v>
      </c>
      <c r="D159" s="41"/>
      <c r="E159" s="42"/>
      <c r="F159" s="42"/>
      <c r="G159" s="42"/>
      <c r="H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  <c r="AQ159" s="42"/>
      <c r="AR159" s="42"/>
      <c r="AS159" s="42"/>
    </row>
    <row r="160" customFormat="false" ht="14.25" hidden="false" customHeight="false" outlineLevel="0" collapsed="false">
      <c r="C160" s="6" t="s">
        <v>149</v>
      </c>
      <c r="D160" s="2" t="s">
        <v>82</v>
      </c>
      <c r="H160" s="8" t="n">
        <f aca="false">SUM(J160:AS160)</f>
        <v>-55671.9767123288</v>
      </c>
      <c r="J160" s="8" t="n">
        <f aca="false">J344</f>
        <v>-436.301369863014</v>
      </c>
      <c r="K160" s="8" t="n">
        <f aca="false">K344</f>
        <v>-2728.76712328767</v>
      </c>
      <c r="L160" s="8" t="n">
        <f aca="false">L344</f>
        <v>-3359.81917808219</v>
      </c>
      <c r="M160" s="8" t="n">
        <f aca="false">M344</f>
        <v>-12009.375</v>
      </c>
      <c r="N160" s="8" t="n">
        <f aca="false">N344</f>
        <v>-24018.75</v>
      </c>
      <c r="O160" s="8" t="n">
        <f aca="false">O344</f>
        <v>-14509.375</v>
      </c>
      <c r="P160" s="8" t="n">
        <f aca="false">P344</f>
        <v>0</v>
      </c>
      <c r="Q160" s="8" t="n">
        <f aca="false">Q344</f>
        <v>1390.41095890411</v>
      </c>
      <c r="R160" s="8" t="n">
        <f aca="false">R344</f>
        <v>0</v>
      </c>
      <c r="S160" s="8" t="n">
        <f aca="false">S344</f>
        <v>0</v>
      </c>
      <c r="T160" s="8" t="n">
        <f aca="false">T344</f>
        <v>0</v>
      </c>
      <c r="U160" s="8" t="n">
        <f aca="false">U344</f>
        <v>0</v>
      </c>
      <c r="V160" s="8" t="n">
        <f aca="false">V344</f>
        <v>0</v>
      </c>
      <c r="W160" s="8" t="n">
        <f aca="false">W344</f>
        <v>0</v>
      </c>
      <c r="X160" s="8" t="n">
        <f aca="false">X344</f>
        <v>0</v>
      </c>
      <c r="Y160" s="8" t="n">
        <f aca="false">Y344</f>
        <v>0</v>
      </c>
      <c r="Z160" s="8" t="n">
        <f aca="false">Z344</f>
        <v>0</v>
      </c>
      <c r="AA160" s="8" t="n">
        <f aca="false">AA344</f>
        <v>0</v>
      </c>
      <c r="AB160" s="8" t="n">
        <f aca="false">AB344</f>
        <v>0</v>
      </c>
      <c r="AC160" s="8" t="n">
        <f aca="false">AC344</f>
        <v>0</v>
      </c>
      <c r="AD160" s="8" t="n">
        <f aca="false">AD344</f>
        <v>0</v>
      </c>
      <c r="AE160" s="8" t="n">
        <f aca="false">AE344</f>
        <v>0</v>
      </c>
      <c r="AF160" s="8" t="n">
        <f aca="false">AF344</f>
        <v>0</v>
      </c>
      <c r="AG160" s="8" t="n">
        <f aca="false">AG344</f>
        <v>0</v>
      </c>
      <c r="AH160" s="8" t="n">
        <f aca="false">AH344</f>
        <v>0</v>
      </c>
      <c r="AI160" s="8" t="n">
        <f aca="false">AI344</f>
        <v>0</v>
      </c>
      <c r="AJ160" s="8" t="n">
        <f aca="false">AJ344</f>
        <v>0</v>
      </c>
      <c r="AK160" s="8" t="n">
        <f aca="false">AK344</f>
        <v>0</v>
      </c>
      <c r="AL160" s="8" t="n">
        <f aca="false">AL344</f>
        <v>0</v>
      </c>
      <c r="AM160" s="8" t="n">
        <f aca="false">AM344</f>
        <v>0</v>
      </c>
      <c r="AN160" s="8" t="n">
        <f aca="false">AN344</f>
        <v>0</v>
      </c>
      <c r="AO160" s="8" t="n">
        <f aca="false">AO344</f>
        <v>0</v>
      </c>
      <c r="AP160" s="8" t="n">
        <f aca="false">AP344</f>
        <v>0</v>
      </c>
      <c r="AQ160" s="8" t="n">
        <f aca="false">AQ344</f>
        <v>0</v>
      </c>
      <c r="AR160" s="8" t="n">
        <f aca="false">AR344</f>
        <v>0</v>
      </c>
      <c r="AS160" s="8" t="n">
        <f aca="false">AS344</f>
        <v>0</v>
      </c>
    </row>
    <row r="161" customFormat="false" ht="14.25" hidden="false" customHeight="false" outlineLevel="0" collapsed="false">
      <c r="C161" s="6" t="s">
        <v>150</v>
      </c>
      <c r="D161" s="2" t="s">
        <v>82</v>
      </c>
      <c r="H161" s="8" t="n">
        <f aca="false">SUM(J161:AS161)</f>
        <v>354071.972801154</v>
      </c>
      <c r="J161" s="8" t="n">
        <f aca="false">J348</f>
        <v>0</v>
      </c>
      <c r="K161" s="8" t="n">
        <f aca="false">K348</f>
        <v>0</v>
      </c>
      <c r="L161" s="8" t="n">
        <f aca="false">L348</f>
        <v>0</v>
      </c>
      <c r="M161" s="8" t="n">
        <f aca="false">M348</f>
        <v>0</v>
      </c>
      <c r="N161" s="8" t="n">
        <f aca="false">N348</f>
        <v>0</v>
      </c>
      <c r="O161" s="8" t="n">
        <f aca="false">O348</f>
        <v>5292</v>
      </c>
      <c r="P161" s="8" t="n">
        <f aca="false">P348</f>
        <v>10689.84</v>
      </c>
      <c r="Q161" s="8" t="n">
        <f aca="false">Q348</f>
        <v>10764.3481848</v>
      </c>
      <c r="R161" s="8" t="n">
        <f aca="false">R348</f>
        <v>10839.3756916481</v>
      </c>
      <c r="S161" s="8" t="n">
        <f aca="false">S348</f>
        <v>10914.9261402188</v>
      </c>
      <c r="T161" s="8" t="n">
        <f aca="false">T348</f>
        <v>10991.0031754162</v>
      </c>
      <c r="U161" s="8" t="n">
        <f aca="false">U348</f>
        <v>11067.6104675488</v>
      </c>
      <c r="V161" s="8" t="n">
        <f aca="false">V348</f>
        <v>11144.7517125076</v>
      </c>
      <c r="W161" s="8" t="n">
        <f aca="false">W348</f>
        <v>11222.4306319438</v>
      </c>
      <c r="X161" s="8" t="n">
        <f aca="false">X348</f>
        <v>11300.6509734485</v>
      </c>
      <c r="Y161" s="8" t="n">
        <f aca="false">Y348</f>
        <v>11379.4165107334</v>
      </c>
      <c r="Z161" s="8" t="n">
        <f aca="false">Z348</f>
        <v>11458.7310438132</v>
      </c>
      <c r="AA161" s="8" t="n">
        <f aca="false">AA348</f>
        <v>11538.5983991886</v>
      </c>
      <c r="AB161" s="8" t="n">
        <f aca="false">AB348</f>
        <v>11619.0224300309</v>
      </c>
      <c r="AC161" s="8" t="n">
        <f aca="false">AC348</f>
        <v>11700.0070163682</v>
      </c>
      <c r="AD161" s="8" t="n">
        <f aca="false">AD348</f>
        <v>11781.5560652723</v>
      </c>
      <c r="AE161" s="8" t="n">
        <f aca="false">AE348</f>
        <v>11863.6735110473</v>
      </c>
      <c r="AF161" s="8" t="n">
        <f aca="false">AF348</f>
        <v>11946.3633154193</v>
      </c>
      <c r="AG161" s="8" t="n">
        <f aca="false">AG348</f>
        <v>12029.6294677278</v>
      </c>
      <c r="AH161" s="8" t="n">
        <f aca="false">AH348</f>
        <v>12113.4759851178</v>
      </c>
      <c r="AI161" s="8" t="n">
        <f aca="false">AI348</f>
        <v>12197.9069127341</v>
      </c>
      <c r="AJ161" s="8" t="n">
        <f aca="false">AJ348</f>
        <v>12282.9263239158</v>
      </c>
      <c r="AK161" s="8" t="n">
        <f aca="false">AK348</f>
        <v>12368.5383203935</v>
      </c>
      <c r="AL161" s="8" t="n">
        <f aca="false">AL348</f>
        <v>12454.7470324867</v>
      </c>
      <c r="AM161" s="8" t="n">
        <f aca="false">AM348</f>
        <v>12541.5566193031</v>
      </c>
      <c r="AN161" s="8" t="n">
        <f aca="false">AN348</f>
        <v>12628.9712689397</v>
      </c>
      <c r="AO161" s="8" t="n">
        <f aca="false">AO348</f>
        <v>12716.9951986842</v>
      </c>
      <c r="AP161" s="8" t="n">
        <f aca="false">AP348</f>
        <v>12805.632655219</v>
      </c>
      <c r="AQ161" s="8" t="n">
        <f aca="false">AQ348</f>
        <v>12894.8879148259</v>
      </c>
      <c r="AR161" s="8" t="n">
        <f aca="false">AR348</f>
        <v>12984.7652835922</v>
      </c>
      <c r="AS161" s="8" t="n">
        <f aca="false">AS348</f>
        <v>6537.63454880942</v>
      </c>
    </row>
    <row r="162" customFormat="false" ht="14.25" hidden="false" customHeight="false" outlineLevel="0" collapsed="false">
      <c r="C162" s="6" t="s">
        <v>151</v>
      </c>
      <c r="D162" s="2" t="s">
        <v>82</v>
      </c>
      <c r="H162" s="8" t="n">
        <f aca="false">SUM(J162:AS162)</f>
        <v>-103873.626762785</v>
      </c>
      <c r="J162" s="8" t="n">
        <f aca="false">J357</f>
        <v>0</v>
      </c>
      <c r="K162" s="8" t="n">
        <f aca="false">K357</f>
        <v>0</v>
      </c>
      <c r="L162" s="8" t="n">
        <f aca="false">L357</f>
        <v>0</v>
      </c>
      <c r="M162" s="8" t="n">
        <f aca="false">M357</f>
        <v>0</v>
      </c>
      <c r="N162" s="8" t="n">
        <f aca="false">N357</f>
        <v>0</v>
      </c>
      <c r="O162" s="8" t="n">
        <f aca="false">O357</f>
        <v>-1272.4341</v>
      </c>
      <c r="P162" s="8" t="n">
        <f aca="false">P357</f>
        <v>-2596.328007</v>
      </c>
      <c r="Q162" s="8" t="n">
        <f aca="false">Q357</f>
        <v>-2645.35470854004</v>
      </c>
      <c r="R162" s="8" t="n">
        <f aca="false">R357</f>
        <v>-2695.56576927526</v>
      </c>
      <c r="S162" s="8" t="n">
        <f aca="false">S357</f>
        <v>-2746.98957674329</v>
      </c>
      <c r="T162" s="8" t="n">
        <f aca="false">T357</f>
        <v>-2799.65520655365</v>
      </c>
      <c r="U162" s="8" t="n">
        <f aca="false">U357</f>
        <v>-2853.59243912953</v>
      </c>
      <c r="V162" s="8" t="n">
        <f aca="false">V357</f>
        <v>-2908.83177685815</v>
      </c>
      <c r="W162" s="8" t="n">
        <f aca="false">W357</f>
        <v>-2965.40446165975</v>
      </c>
      <c r="X162" s="8" t="n">
        <f aca="false">X357</f>
        <v>-3023.34249298546</v>
      </c>
      <c r="Y162" s="8" t="n">
        <f aca="false">Y357</f>
        <v>-3082.67864625451</v>
      </c>
      <c r="Z162" s="8" t="n">
        <f aca="false">Z357</f>
        <v>-3143.44649174152</v>
      </c>
      <c r="AA162" s="8" t="n">
        <f aca="false">AA357</f>
        <v>-3205.68041392501</v>
      </c>
      <c r="AB162" s="8" t="n">
        <f aca="false">AB357</f>
        <v>-3269.41563130824</v>
      </c>
      <c r="AC162" s="8" t="n">
        <f aca="false">AC357</f>
        <v>-3334.68821672405</v>
      </c>
      <c r="AD162" s="8" t="n">
        <f aca="false">AD357</f>
        <v>-3401.53511813555</v>
      </c>
      <c r="AE162" s="8" t="n">
        <f aca="false">AE357</f>
        <v>-3469.99417994476</v>
      </c>
      <c r="AF162" s="8" t="n">
        <f aca="false">AF357</f>
        <v>-3540.10416482162</v>
      </c>
      <c r="AG162" s="8" t="n">
        <f aca="false">AG357</f>
        <v>-3611.90477606621</v>
      </c>
      <c r="AH162" s="8" t="n">
        <f aca="false">AH357</f>
        <v>-3685.43668051707</v>
      </c>
      <c r="AI162" s="8" t="n">
        <f aca="false">AI357</f>
        <v>-3760.7415320192</v>
      </c>
      <c r="AJ162" s="8" t="n">
        <f aca="false">AJ357</f>
        <v>-3837.86199546523</v>
      </c>
      <c r="AK162" s="8" t="n">
        <f aca="false">AK357</f>
        <v>-3916.84177142397</v>
      </c>
      <c r="AL162" s="8" t="n">
        <f aca="false">AL357</f>
        <v>-3997.72562137057</v>
      </c>
      <c r="AM162" s="8" t="n">
        <f aca="false">AM357</f>
        <v>-4080.55939353324</v>
      </c>
      <c r="AN162" s="8" t="n">
        <f aca="false">AN357</f>
        <v>-4165.39004937135</v>
      </c>
      <c r="AO162" s="8" t="n">
        <f aca="false">AO357</f>
        <v>-4252.26569070061</v>
      </c>
      <c r="AP162" s="8" t="n">
        <f aca="false">AP357</f>
        <v>-4341.23558748109</v>
      </c>
      <c r="AQ162" s="8" t="n">
        <f aca="false">AQ357</f>
        <v>-4432.35020628428</v>
      </c>
      <c r="AR162" s="8" t="n">
        <f aca="false">AR357</f>
        <v>-4525.66123945587</v>
      </c>
      <c r="AS162" s="8" t="n">
        <f aca="false">AS357</f>
        <v>-2310.61081749567</v>
      </c>
    </row>
    <row r="163" customFormat="false" ht="14.25" hidden="false" customHeight="false" outlineLevel="0" collapsed="false">
      <c r="C163" s="6" t="s">
        <v>152</v>
      </c>
      <c r="D163" s="2" t="s">
        <v>82</v>
      </c>
      <c r="H163" s="8" t="n">
        <f aca="false">SUM(J163:AS163)</f>
        <v>250198.34603837</v>
      </c>
      <c r="J163" s="8" t="n">
        <f aca="false">J358</f>
        <v>0</v>
      </c>
      <c r="K163" s="8" t="n">
        <f aca="false">K358</f>
        <v>0</v>
      </c>
      <c r="L163" s="8" t="n">
        <f aca="false">L358</f>
        <v>0</v>
      </c>
      <c r="M163" s="8" t="n">
        <f aca="false">M358</f>
        <v>0</v>
      </c>
      <c r="N163" s="8" t="n">
        <f aca="false">N358</f>
        <v>0</v>
      </c>
      <c r="O163" s="8" t="n">
        <f aca="false">O358</f>
        <v>4019.5659</v>
      </c>
      <c r="P163" s="8" t="n">
        <f aca="false">P358</f>
        <v>8093.511993</v>
      </c>
      <c r="Q163" s="8" t="n">
        <f aca="false">Q358</f>
        <v>8118.99347625996</v>
      </c>
      <c r="R163" s="8" t="n">
        <f aca="false">R358</f>
        <v>8143.8099223728</v>
      </c>
      <c r="S163" s="8" t="n">
        <f aca="false">S358</f>
        <v>8167.93656347555</v>
      </c>
      <c r="T163" s="8" t="n">
        <f aca="false">T358</f>
        <v>8191.34796886252</v>
      </c>
      <c r="U163" s="8" t="n">
        <f aca="false">U358</f>
        <v>8214.01802841929</v>
      </c>
      <c r="V163" s="8" t="n">
        <f aca="false">V358</f>
        <v>8235.91993564949</v>
      </c>
      <c r="W163" s="8" t="n">
        <f aca="false">W358</f>
        <v>8257.02617028406</v>
      </c>
      <c r="X163" s="8" t="n">
        <f aca="false">X358</f>
        <v>8277.308480463</v>
      </c>
      <c r="Y163" s="8" t="n">
        <f aca="false">Y358</f>
        <v>8296.73786447889</v>
      </c>
      <c r="Z163" s="8" t="n">
        <f aca="false">Z358</f>
        <v>8315.28455207169</v>
      </c>
      <c r="AA163" s="8" t="n">
        <f aca="false">AA358</f>
        <v>8332.91798526358</v>
      </c>
      <c r="AB163" s="8" t="n">
        <f aca="false">AB358</f>
        <v>8349.60679872269</v>
      </c>
      <c r="AC163" s="8" t="n">
        <f aca="false">AC358</f>
        <v>8365.3187996442</v>
      </c>
      <c r="AD163" s="8" t="n">
        <f aca="false">AD358</f>
        <v>8380.02094713678</v>
      </c>
      <c r="AE163" s="8" t="n">
        <f aca="false">AE358</f>
        <v>8393.67933110252</v>
      </c>
      <c r="AF163" s="8" t="n">
        <f aca="false">AF358</f>
        <v>8406.25915059766</v>
      </c>
      <c r="AG163" s="8" t="n">
        <f aca="false">AG358</f>
        <v>8417.72469166155</v>
      </c>
      <c r="AH163" s="8" t="n">
        <f aca="false">AH358</f>
        <v>8428.03930460075</v>
      </c>
      <c r="AI163" s="8" t="n">
        <f aca="false">AI358</f>
        <v>8437.16538071489</v>
      </c>
      <c r="AJ163" s="8" t="n">
        <f aca="false">AJ358</f>
        <v>8445.06432845061</v>
      </c>
      <c r="AK163" s="8" t="n">
        <f aca="false">AK358</f>
        <v>8451.69654896957</v>
      </c>
      <c r="AL163" s="8" t="n">
        <f aca="false">AL358</f>
        <v>8457.02141111611</v>
      </c>
      <c r="AM163" s="8" t="n">
        <f aca="false">AM358</f>
        <v>8460.99722576987</v>
      </c>
      <c r="AN163" s="8" t="n">
        <f aca="false">AN358</f>
        <v>8463.58121956831</v>
      </c>
      <c r="AO163" s="8" t="n">
        <f aca="false">AO358</f>
        <v>8464.72950798355</v>
      </c>
      <c r="AP163" s="8" t="n">
        <f aca="false">AP358</f>
        <v>8464.3970677379</v>
      </c>
      <c r="AQ163" s="8" t="n">
        <f aca="false">AQ358</f>
        <v>8462.53770854159</v>
      </c>
      <c r="AR163" s="8" t="n">
        <f aca="false">AR358</f>
        <v>8459.10404413634</v>
      </c>
      <c r="AS163" s="8" t="n">
        <f aca="false">AS358</f>
        <v>4227.02373131375</v>
      </c>
    </row>
    <row r="164" customFormat="false" ht="14.25" hidden="false" customHeight="false" outlineLevel="0" collapsed="false">
      <c r="C164" s="1" t="s">
        <v>153</v>
      </c>
      <c r="D164" s="2" t="s">
        <v>82</v>
      </c>
      <c r="H164" s="14" t="n">
        <f aca="false">SUM(J164:AS164)</f>
        <v>194526.369326041</v>
      </c>
      <c r="J164" s="14" t="n">
        <f aca="false">J359</f>
        <v>-436.301369863014</v>
      </c>
      <c r="K164" s="14" t="n">
        <f aca="false">K359</f>
        <v>-2728.76712328767</v>
      </c>
      <c r="L164" s="14" t="n">
        <f aca="false">L359</f>
        <v>-3359.81917808219</v>
      </c>
      <c r="M164" s="14" t="n">
        <f aca="false">M359</f>
        <v>-12009.375</v>
      </c>
      <c r="N164" s="14" t="n">
        <f aca="false">N359</f>
        <v>-24018.75</v>
      </c>
      <c r="O164" s="14" t="n">
        <f aca="false">O359</f>
        <v>-10489.8091</v>
      </c>
      <c r="P164" s="14" t="n">
        <f aca="false">P359</f>
        <v>8093.511993</v>
      </c>
      <c r="Q164" s="14" t="n">
        <f aca="false">Q359</f>
        <v>9509.40443516407</v>
      </c>
      <c r="R164" s="14" t="n">
        <f aca="false">R359</f>
        <v>8143.8099223728</v>
      </c>
      <c r="S164" s="14" t="n">
        <f aca="false">S359</f>
        <v>8167.93656347555</v>
      </c>
      <c r="T164" s="14" t="n">
        <f aca="false">T359</f>
        <v>8191.34796886252</v>
      </c>
      <c r="U164" s="14" t="n">
        <f aca="false">U359</f>
        <v>8214.01802841929</v>
      </c>
      <c r="V164" s="14" t="n">
        <f aca="false">V359</f>
        <v>8235.91993564949</v>
      </c>
      <c r="W164" s="14" t="n">
        <f aca="false">W359</f>
        <v>8257.02617028406</v>
      </c>
      <c r="X164" s="14" t="n">
        <f aca="false">X359</f>
        <v>8277.308480463</v>
      </c>
      <c r="Y164" s="14" t="n">
        <f aca="false">Y359</f>
        <v>8296.73786447889</v>
      </c>
      <c r="Z164" s="14" t="n">
        <f aca="false">Z359</f>
        <v>8315.28455207169</v>
      </c>
      <c r="AA164" s="14" t="n">
        <f aca="false">AA359</f>
        <v>8332.91798526358</v>
      </c>
      <c r="AB164" s="14" t="n">
        <f aca="false">AB359</f>
        <v>8349.60679872269</v>
      </c>
      <c r="AC164" s="14" t="n">
        <f aca="false">AC359</f>
        <v>8365.3187996442</v>
      </c>
      <c r="AD164" s="14" t="n">
        <f aca="false">AD359</f>
        <v>8380.02094713678</v>
      </c>
      <c r="AE164" s="14" t="n">
        <f aca="false">AE359</f>
        <v>8393.67933110252</v>
      </c>
      <c r="AF164" s="14" t="n">
        <f aca="false">AF359</f>
        <v>8406.25915059766</v>
      </c>
      <c r="AG164" s="14" t="n">
        <f aca="false">AG359</f>
        <v>8417.72469166155</v>
      </c>
      <c r="AH164" s="14" t="n">
        <f aca="false">AH359</f>
        <v>8428.03930460075</v>
      </c>
      <c r="AI164" s="14" t="n">
        <f aca="false">AI359</f>
        <v>8437.16538071489</v>
      </c>
      <c r="AJ164" s="14" t="n">
        <f aca="false">AJ359</f>
        <v>8445.06432845061</v>
      </c>
      <c r="AK164" s="14" t="n">
        <f aca="false">AK359</f>
        <v>8451.69654896957</v>
      </c>
      <c r="AL164" s="14" t="n">
        <f aca="false">AL359</f>
        <v>8457.02141111611</v>
      </c>
      <c r="AM164" s="14" t="n">
        <f aca="false">AM359</f>
        <v>8460.99722576987</v>
      </c>
      <c r="AN164" s="14" t="n">
        <f aca="false">AN359</f>
        <v>8463.58121956831</v>
      </c>
      <c r="AO164" s="14" t="n">
        <f aca="false">AO359</f>
        <v>8464.72950798355</v>
      </c>
      <c r="AP164" s="14" t="n">
        <f aca="false">AP359</f>
        <v>8464.3970677379</v>
      </c>
      <c r="AQ164" s="14" t="n">
        <f aca="false">AQ359</f>
        <v>8462.53770854159</v>
      </c>
      <c r="AR164" s="14" t="n">
        <f aca="false">AR359</f>
        <v>8459.10404413634</v>
      </c>
      <c r="AS164" s="14" t="n">
        <f aca="false">AS359</f>
        <v>4227.02373131375</v>
      </c>
    </row>
    <row r="165" customFormat="false" ht="14.25" hidden="false" customHeight="false" outlineLevel="0" collapsed="false">
      <c r="C165" s="6" t="s">
        <v>154</v>
      </c>
      <c r="D165" s="2" t="s">
        <v>82</v>
      </c>
      <c r="J165" s="8" t="n">
        <f aca="false">SUM($J164:J164)</f>
        <v>-436.301369863014</v>
      </c>
      <c r="K165" s="8" t="n">
        <f aca="false">SUM($J164:K164)</f>
        <v>-3165.06849315069</v>
      </c>
      <c r="L165" s="8" t="n">
        <f aca="false">SUM($J164:L164)</f>
        <v>-6524.88767123288</v>
      </c>
      <c r="M165" s="8" t="n">
        <f aca="false">SUM($J164:M164)</f>
        <v>-18534.2626712329</v>
      </c>
      <c r="N165" s="8" t="n">
        <f aca="false">SUM($J164:N164)</f>
        <v>-42553.0126712329</v>
      </c>
      <c r="O165" s="8" t="n">
        <f aca="false">SUM($J164:O164)</f>
        <v>-53042.8217712329</v>
      </c>
      <c r="P165" s="8" t="n">
        <f aca="false">SUM($J164:P164)</f>
        <v>-44949.3097782329</v>
      </c>
      <c r="Q165" s="8" t="n">
        <f aca="false">SUM($J164:Q164)</f>
        <v>-35439.9053430688</v>
      </c>
      <c r="R165" s="8" t="n">
        <f aca="false">SUM($J164:R164)</f>
        <v>-27296.095420696</v>
      </c>
      <c r="S165" s="8" t="n">
        <f aca="false">SUM($J164:S164)</f>
        <v>-19128.1588572205</v>
      </c>
      <c r="T165" s="8" t="n">
        <f aca="false">SUM($J164:T164)</f>
        <v>-10936.8108883579</v>
      </c>
      <c r="U165" s="8" t="n">
        <f aca="false">SUM($J164:U164)</f>
        <v>-2722.79285993864</v>
      </c>
      <c r="V165" s="8" t="n">
        <f aca="false">SUM($J164:V164)</f>
        <v>5513.12707571085</v>
      </c>
      <c r="W165" s="8" t="n">
        <f aca="false">SUM($J164:W164)</f>
        <v>13770.1532459949</v>
      </c>
      <c r="X165" s="8" t="n">
        <f aca="false">SUM($J164:X164)</f>
        <v>22047.4617264579</v>
      </c>
      <c r="Y165" s="8" t="n">
        <f aca="false">SUM($J164:Y164)</f>
        <v>30344.1995909368</v>
      </c>
      <c r="Z165" s="8" t="n">
        <f aca="false">SUM($J164:Z164)</f>
        <v>38659.4841430085</v>
      </c>
      <c r="AA165" s="8" t="n">
        <f aca="false">SUM($J164:AA164)</f>
        <v>46992.4021282721</v>
      </c>
      <c r="AB165" s="8" t="n">
        <f aca="false">SUM($J164:AB164)</f>
        <v>55342.0089269948</v>
      </c>
      <c r="AC165" s="8" t="n">
        <f aca="false">SUM($J164:AC164)</f>
        <v>63707.327726639</v>
      </c>
      <c r="AD165" s="8" t="n">
        <f aca="false">SUM($J164:AD164)</f>
        <v>72087.3486737757</v>
      </c>
      <c r="AE165" s="8" t="n">
        <f aca="false">SUM($J164:AE164)</f>
        <v>80481.0280048782</v>
      </c>
      <c r="AF165" s="8" t="n">
        <f aca="false">SUM($J164:AF164)</f>
        <v>88887.2871554759</v>
      </c>
      <c r="AG165" s="8" t="n">
        <f aca="false">SUM($J164:AG164)</f>
        <v>97305.0118471375</v>
      </c>
      <c r="AH165" s="8" t="n">
        <f aca="false">SUM($J164:AH164)</f>
        <v>105733.051151738</v>
      </c>
      <c r="AI165" s="8" t="n">
        <f aca="false">SUM($J164:AI164)</f>
        <v>114170.216532453</v>
      </c>
      <c r="AJ165" s="8" t="n">
        <f aca="false">SUM($J164:AJ164)</f>
        <v>122615.280860904</v>
      </c>
      <c r="AK165" s="8" t="n">
        <f aca="false">SUM($J164:AK164)</f>
        <v>131066.977409873</v>
      </c>
      <c r="AL165" s="8" t="n">
        <f aca="false">SUM($J164:AL164)</f>
        <v>139523.998820989</v>
      </c>
      <c r="AM165" s="8" t="n">
        <f aca="false">SUM($J164:AM164)</f>
        <v>147984.996046759</v>
      </c>
      <c r="AN165" s="8" t="n">
        <f aca="false">SUM($J164:AN164)</f>
        <v>156448.577266328</v>
      </c>
      <c r="AO165" s="8" t="n">
        <f aca="false">SUM($J164:AO164)</f>
        <v>164913.306774311</v>
      </c>
      <c r="AP165" s="8" t="n">
        <f aca="false">SUM($J164:AP164)</f>
        <v>173377.703842049</v>
      </c>
      <c r="AQ165" s="8" t="n">
        <f aca="false">SUM($J164:AQ164)</f>
        <v>181840.241550591</v>
      </c>
      <c r="AR165" s="8" t="n">
        <f aca="false">SUM($J164:AR164)</f>
        <v>190299.345594727</v>
      </c>
      <c r="AS165" s="8" t="n">
        <f aca="false">SUM($J164:AS164)</f>
        <v>194526.369326041</v>
      </c>
    </row>
    <row r="167" customFormat="false" ht="14.25" hidden="false" customHeight="false" outlineLevel="0" collapsed="false">
      <c r="B167" s="4" t="s">
        <v>3</v>
      </c>
      <c r="C167" s="4" t="s">
        <v>155</v>
      </c>
      <c r="D167" s="4"/>
      <c r="E167" s="5" t="s">
        <v>5</v>
      </c>
      <c r="F167" s="5" t="s">
        <v>6</v>
      </c>
      <c r="G167" s="5" t="s">
        <v>7</v>
      </c>
      <c r="H167" s="5" t="s">
        <v>8</v>
      </c>
    </row>
    <row r="168" customFormat="false" ht="14.25" hidden="true" customHeight="false" outlineLevel="1" collapsed="false"/>
    <row r="169" customFormat="false" ht="14.25" hidden="true" customHeight="false" outlineLevel="1" collapsed="false">
      <c r="B169" s="4" t="s">
        <v>3</v>
      </c>
      <c r="C169" s="4" t="s">
        <v>156</v>
      </c>
      <c r="D169" s="4"/>
      <c r="E169" s="5" t="s">
        <v>5</v>
      </c>
      <c r="F169" s="5" t="s">
        <v>6</v>
      </c>
      <c r="G169" s="5" t="s">
        <v>7</v>
      </c>
      <c r="H169" s="5" t="s">
        <v>8</v>
      </c>
    </row>
    <row r="170" customFormat="false" ht="14.25" hidden="true" customHeight="false" outlineLevel="1" collapsed="false">
      <c r="C170" s="6" t="s">
        <v>157</v>
      </c>
      <c r="D170" s="2" t="s">
        <v>158</v>
      </c>
      <c r="E170" s="23" t="n">
        <f aca="false">MIN(Freeze_Date,Sale_Date)</f>
        <v>47299</v>
      </c>
      <c r="F170" s="23" t="n">
        <f aca="false">MIN(Freeze_Date,Sale_Date)</f>
        <v>47299</v>
      </c>
      <c r="G170" s="23" t="n">
        <f aca="false">MIN(Freeze_Date,Sale_Date)</f>
        <v>47299</v>
      </c>
    </row>
    <row r="171" customFormat="false" ht="14.25" hidden="true" customHeight="false" outlineLevel="1" collapsed="false">
      <c r="C171" s="6" t="s">
        <v>159</v>
      </c>
      <c r="D171" s="2" t="s">
        <v>3</v>
      </c>
      <c r="E171" s="50" t="n">
        <f aca="false">1+Rate_Cash*(E170-DATE(YEAR(E170),1,1)+1)/Days_In_Year</f>
        <v>1.05950684931507</v>
      </c>
      <c r="F171" s="50" t="n">
        <f aca="false">1+Rate_Cash*(F170-DATE(YEAR(F170),1,1)+1)/Days_In_Year</f>
        <v>1.05950684931507</v>
      </c>
      <c r="G171" s="50" t="n">
        <f aca="false">1+Rate_Cash*(G170-DATE(YEAR(G170),1,1)+1)/Days_In_Year</f>
        <v>1.05950684931507</v>
      </c>
    </row>
    <row r="172" customFormat="false" ht="14.25" hidden="true" customHeight="false" outlineLevel="1" collapsed="false">
      <c r="C172" s="6" t="s">
        <v>160</v>
      </c>
      <c r="D172" s="2" t="s">
        <v>3</v>
      </c>
      <c r="E172" s="50" t="n">
        <f aca="false">1+Rate_Devex*(E170-DATE(YEAR(E170),1,1)+1)/Days_In_Year</f>
        <v>1.09917808219178</v>
      </c>
      <c r="F172" s="50" t="n">
        <f aca="false">1+Rate_Devex*(F170-DATE(YEAR(F170),1,1)+1)/Days_In_Year</f>
        <v>1.09917808219178</v>
      </c>
      <c r="G172" s="50" t="n">
        <f aca="false">1+Rate_Devex*(G170-DATE(YEAR(G170),1,1)+1)/Days_In_Year</f>
        <v>1.09917808219178</v>
      </c>
    </row>
    <row r="173" customFormat="false" ht="14.25" hidden="true" customHeight="false" outlineLevel="1" collapsed="false">
      <c r="C173" s="6" t="s">
        <v>161</v>
      </c>
      <c r="D173" s="2" t="s">
        <v>162</v>
      </c>
      <c r="E173" s="51" t="n">
        <f aca="false">DATE(YEAR(Inputs!E$27)+1,1,1)-Inputs!E$27</f>
        <v>63</v>
      </c>
      <c r="F173" s="51" t="n">
        <f aca="false">DATE(YEAR(Inputs!F$27)+1,1,1)-Inputs!F$27</f>
        <v>63</v>
      </c>
      <c r="G173" s="51" t="n">
        <f aca="false">DATE(YEAR(Inputs!G$27)+1,1,1)-Inputs!G$27</f>
        <v>63</v>
      </c>
    </row>
    <row r="174" customFormat="false" ht="14.25" hidden="true" customHeight="false" outlineLevel="1" collapsed="false">
      <c r="C174" s="6" t="s">
        <v>163</v>
      </c>
      <c r="D174" s="2" t="s">
        <v>3</v>
      </c>
      <c r="E174" s="50" t="n">
        <f aca="false">(1+Rate_Cash*E173/Days_In_Year)*(1+Rate_Cash)^(YEAR(E170)-YEAR(Inputs!E$27)-1)*E171</f>
        <v>1.35657301688182</v>
      </c>
      <c r="F174" s="50" t="n">
        <f aca="false">(1+Rate_Cash*F173/Days_In_Year)*(1+Rate_Cash)^(YEAR(F170)-YEAR(Inputs!F$27)-1)*F171</f>
        <v>1.35657301688182</v>
      </c>
      <c r="G174" s="50" t="n">
        <f aca="false">(1+Rate_Cash*G173/Days_In_Year)*(1+Rate_Cash)^(YEAR(G170)-YEAR(Inputs!G$27)-1)*G171</f>
        <v>1.35657301688182</v>
      </c>
    </row>
    <row r="175" customFormat="false" ht="14.25" hidden="true" customHeight="false" outlineLevel="1" collapsed="false">
      <c r="C175" s="6" t="s">
        <v>164</v>
      </c>
      <c r="D175" s="2" t="s">
        <v>162</v>
      </c>
      <c r="E175" s="51" t="n">
        <f aca="false">DATE(YEAR(Inputs!E$28)+1,1,1)-Inputs!E$28</f>
        <v>351</v>
      </c>
      <c r="F175" s="51" t="n">
        <f aca="false">DATE(YEAR(Inputs!F$28)+1,1,1)-Inputs!F$28</f>
        <v>351</v>
      </c>
      <c r="G175" s="51" t="n">
        <f aca="false">DATE(YEAR(Inputs!G$28)+1,1,1)-Inputs!G$28</f>
        <v>351</v>
      </c>
    </row>
    <row r="176" customFormat="false" ht="14.25" hidden="true" customHeight="false" outlineLevel="1" collapsed="false">
      <c r="C176" s="6" t="s">
        <v>165</v>
      </c>
      <c r="D176" s="2" t="s">
        <v>3</v>
      </c>
      <c r="E176" s="50" t="n">
        <f aca="false">(1+Rate_Cash*E175/Days_In_Year)*(1+Rate_Cash)^(YEAR(E170)-YEAR(Inputs!E$28)-1)*E171</f>
        <v>1.32358356140364</v>
      </c>
      <c r="F176" s="50" t="n">
        <f aca="false">(1+Rate_Cash*F175/Days_In_Year)*(1+Rate_Cash)^(YEAR(F170)-YEAR(Inputs!F$28)-1)*F171</f>
        <v>1.32358356140364</v>
      </c>
      <c r="G176" s="50" t="n">
        <f aca="false">(1+Rate_Cash*G175/Days_In_Year)*(1+Rate_Cash)^(YEAR(G170)-YEAR(Inputs!G$28)-1)*G171</f>
        <v>1.32358356140364</v>
      </c>
    </row>
    <row r="177" customFormat="false" ht="14.25" hidden="true" customHeight="false" outlineLevel="1" collapsed="false">
      <c r="C177" s="6" t="s">
        <v>166</v>
      </c>
      <c r="D177" s="2" t="s">
        <v>162</v>
      </c>
      <c r="E177" s="51" t="n">
        <f aca="false">DATE(YEAR(Inputs!E$29)+1,1,1)-Inputs!E$29</f>
        <v>351</v>
      </c>
      <c r="F177" s="51" t="n">
        <f aca="false">DATE(YEAR(Inputs!F$29)+1,1,1)-Inputs!F$29</f>
        <v>351</v>
      </c>
      <c r="G177" s="51" t="n">
        <f aca="false">DATE(YEAR(Inputs!G$29)+1,1,1)-Inputs!G$29</f>
        <v>351</v>
      </c>
    </row>
    <row r="178" customFormat="false" ht="14.25" hidden="true" customHeight="false" outlineLevel="1" collapsed="false">
      <c r="C178" s="6" t="s">
        <v>167</v>
      </c>
      <c r="D178" s="2" t="s">
        <v>3</v>
      </c>
      <c r="E178" s="50" t="n">
        <f aca="false">(1+Rate_Cash*E177/Days_In_Year)*(1+Rate_Cash)^(YEAR(E170)-YEAR(Inputs!E$29)-1)*E171</f>
        <v>1.32358356140364</v>
      </c>
      <c r="F178" s="50" t="n">
        <f aca="false">(1+Rate_Cash*F177/Days_In_Year)*(1+Rate_Cash)^(YEAR(F170)-YEAR(Inputs!F$29)-1)*F171</f>
        <v>1.32358356140364</v>
      </c>
      <c r="G178" s="50" t="n">
        <f aca="false">(1+Rate_Cash*G177/Days_In_Year)*(1+Rate_Cash)^(YEAR(G170)-YEAR(Inputs!G$29)-1)*G171</f>
        <v>1.32358356140364</v>
      </c>
    </row>
    <row r="179" customFormat="false" ht="14.25" hidden="true" customHeight="false" outlineLevel="1" collapsed="false">
      <c r="C179" s="6" t="s">
        <v>168</v>
      </c>
      <c r="D179" s="2" t="s">
        <v>162</v>
      </c>
      <c r="E179" s="51" t="n">
        <f aca="false">DATE(YEAR(Inputs!E$30)+1,1,1)-Inputs!E$30</f>
        <v>92</v>
      </c>
      <c r="F179" s="51" t="n">
        <f aca="false">DATE(YEAR(Inputs!F$30)+1,1,1)-Inputs!F$30</f>
        <v>92</v>
      </c>
      <c r="G179" s="51" t="n">
        <f aca="false">DATE(YEAR(Inputs!G$30)+1,1,1)-Inputs!G$30</f>
        <v>92</v>
      </c>
    </row>
    <row r="180" customFormat="false" ht="14.25" hidden="true" customHeight="false" outlineLevel="1" collapsed="false">
      <c r="C180" s="6" t="s">
        <v>169</v>
      </c>
      <c r="D180" s="2" t="s">
        <v>3</v>
      </c>
      <c r="E180" s="50" t="n">
        <f aca="false">(1+Rate_Cash*E179/Days_In_Year)*(1+Rate_Cash)^(YEAR(E170)-YEAR(Inputs!E$30)-1)*E171</f>
        <v>1.09155330305874</v>
      </c>
      <c r="F180" s="50" t="n">
        <f aca="false">(1+Rate_Cash*F179/Days_In_Year)*(1+Rate_Cash)^(YEAR(F170)-YEAR(Inputs!F$30)-1)*F171</f>
        <v>1.09155330305874</v>
      </c>
      <c r="G180" s="50" t="n">
        <f aca="false">(1+Rate_Cash*G179/Days_In_Year)*(1+Rate_Cash)^(YEAR(G170)-YEAR(Inputs!G$30)-1)*G171</f>
        <v>1.09155330305874</v>
      </c>
    </row>
    <row r="181" customFormat="false" ht="14.25" hidden="true" customHeight="false" outlineLevel="1" collapsed="false">
      <c r="C181" s="6" t="s">
        <v>170</v>
      </c>
      <c r="D181" s="2" t="s">
        <v>162</v>
      </c>
      <c r="E181" s="51" t="n">
        <f aca="false">DATE(YEAR(Inputs!E$31)+1,1,1)-Inputs!E$31</f>
        <v>1</v>
      </c>
      <c r="F181" s="51" t="n">
        <f aca="false">DATE(YEAR(Inputs!F$31)+1,1,1)-Inputs!F$31</f>
        <v>1</v>
      </c>
      <c r="G181" s="51" t="n">
        <f aca="false">DATE(YEAR(Inputs!G$31)+1,1,1)-Inputs!G$31</f>
        <v>1</v>
      </c>
    </row>
    <row r="182" customFormat="false" ht="14.25" hidden="true" customHeight="false" outlineLevel="1" collapsed="false">
      <c r="C182" s="6" t="s">
        <v>171</v>
      </c>
      <c r="D182" s="2" t="s">
        <v>3</v>
      </c>
      <c r="E182" s="50" t="n">
        <f aca="false">(1+Rate_Devex*E181/Days_In_Year)*(1+Rate_Devex)^(YEAR(E170)-YEAR(Inputs!E$31)-1)*E172</f>
        <v>1.31973644586226</v>
      </c>
      <c r="F182" s="50" t="n">
        <f aca="false">(1+Rate_Devex*F181/Days_In_Year)*(1+Rate_Devex)^(YEAR(F170)-YEAR(Inputs!F$31)-1)*F172</f>
        <v>1.31973644586226</v>
      </c>
      <c r="G182" s="50" t="n">
        <f aca="false">(1+Rate_Devex*G181/Days_In_Year)*(1+Rate_Devex)^(YEAR(G170)-YEAR(Inputs!G$31)-1)*G172</f>
        <v>1.31973644586226</v>
      </c>
    </row>
    <row r="183" customFormat="false" ht="14.25" hidden="true" customHeight="false" outlineLevel="1" collapsed="false">
      <c r="C183" s="6" t="s">
        <v>172</v>
      </c>
      <c r="D183" s="2" t="s">
        <v>82</v>
      </c>
      <c r="E183" s="16" t="n">
        <f aca="false">E58*(E174-1)</f>
        <v>2.93073712505603</v>
      </c>
      <c r="F183" s="16" t="n">
        <f aca="false">F58*(F174-1)</f>
        <v>2.93073712505603</v>
      </c>
      <c r="G183" s="16" t="n">
        <f aca="false">G58*(G174-1)</f>
        <v>2.93073712505603</v>
      </c>
      <c r="H183" s="16" t="n">
        <f aca="false">SUM(E183:G183)</f>
        <v>8.79221137516809</v>
      </c>
    </row>
    <row r="184" customFormat="false" ht="14.25" hidden="true" customHeight="false" outlineLevel="1" collapsed="false">
      <c r="C184" s="6" t="s">
        <v>173</v>
      </c>
      <c r="D184" s="2" t="s">
        <v>82</v>
      </c>
      <c r="E184" s="8" t="n">
        <f aca="false">E59*(E174-1)</f>
        <v>99.1566060643957</v>
      </c>
      <c r="F184" s="8" t="n">
        <f aca="false">F59*(F174-1)</f>
        <v>99.1566060643957</v>
      </c>
      <c r="G184" s="8" t="n">
        <f aca="false">G59*(G174-1)</f>
        <v>99.1566060643957</v>
      </c>
      <c r="H184" s="8" t="n">
        <f aca="false">SUM(E184:G184)</f>
        <v>297.469818193187</v>
      </c>
    </row>
    <row r="185" customFormat="false" ht="14.25" hidden="true" customHeight="false" outlineLevel="1" collapsed="false">
      <c r="C185" s="6" t="s">
        <v>174</v>
      </c>
      <c r="D185" s="2" t="s">
        <v>82</v>
      </c>
      <c r="E185" s="8" t="n">
        <f aca="false">E60*(E176-1)</f>
        <v>359.931303917474</v>
      </c>
      <c r="F185" s="8" t="n">
        <f aca="false">F60*(F176-1)</f>
        <v>359.931303917474</v>
      </c>
      <c r="G185" s="8" t="n">
        <f aca="false">G60*(G176-1)</f>
        <v>359.931303917474</v>
      </c>
      <c r="H185" s="8" t="n">
        <f aca="false">SUM(E185:G185)</f>
        <v>1079.79391175242</v>
      </c>
    </row>
    <row r="186" customFormat="false" ht="14.25" hidden="true" customHeight="false" outlineLevel="1" collapsed="false">
      <c r="C186" s="6" t="s">
        <v>175</v>
      </c>
      <c r="D186" s="2" t="s">
        <v>82</v>
      </c>
      <c r="E186" s="8" t="n">
        <f aca="false">E61*(E178-1)</f>
        <v>199.469318673477</v>
      </c>
      <c r="F186" s="8" t="n">
        <f aca="false">F61*(F178-1)</f>
        <v>199.469318673477</v>
      </c>
      <c r="G186" s="8" t="n">
        <f aca="false">G61*(G178-1)</f>
        <v>199.469318673477</v>
      </c>
      <c r="H186" s="8" t="n">
        <f aca="false">SUM(E186:G186)</f>
        <v>598.407956020431</v>
      </c>
    </row>
    <row r="187" customFormat="false" ht="14.25" hidden="true" customHeight="false" outlineLevel="1" collapsed="false">
      <c r="C187" s="6" t="s">
        <v>176</v>
      </c>
      <c r="D187" s="2" t="s">
        <v>82</v>
      </c>
      <c r="E187" s="8" t="n">
        <f aca="false">E62*(E180-1)</f>
        <v>63.7544348660937</v>
      </c>
      <c r="F187" s="8" t="n">
        <f aca="false">F62*(F180-1)</f>
        <v>115.382244950735</v>
      </c>
      <c r="G187" s="8" t="n">
        <f aca="false">G62*(G180-1)</f>
        <v>115.382244950735</v>
      </c>
      <c r="H187" s="8" t="n">
        <f aca="false">SUM(E187:G187)</f>
        <v>294.518924767563</v>
      </c>
    </row>
    <row r="188" customFormat="false" ht="14.25" hidden="true" customHeight="false" outlineLevel="1" collapsed="false">
      <c r="C188" s="6" t="s">
        <v>177</v>
      </c>
      <c r="D188" s="2" t="s">
        <v>82</v>
      </c>
      <c r="E188" s="8" t="n">
        <f aca="false">E63*(E180-1)</f>
        <v>859.990350596064</v>
      </c>
      <c r="F188" s="8" t="n">
        <f aca="false">F63*(F180-1)</f>
        <v>192.220298482775</v>
      </c>
      <c r="G188" s="8" t="n">
        <f aca="false">G63*(G180-1)</f>
        <v>192.220298482775</v>
      </c>
      <c r="H188" s="8" t="n">
        <f aca="false">SUM(E188:G188)</f>
        <v>1244.43094756161</v>
      </c>
    </row>
    <row r="189" customFormat="false" ht="14.25" hidden="true" customHeight="false" outlineLevel="1" collapsed="false">
      <c r="C189" s="6" t="s">
        <v>178</v>
      </c>
      <c r="D189" s="2" t="s">
        <v>82</v>
      </c>
      <c r="E189" s="8" t="n">
        <f aca="false">E64*MAX(E182-1,Devex_Floor-1)</f>
        <v>784.47</v>
      </c>
      <c r="F189" s="8" t="n">
        <f aca="false">F64*MAX(F182-1,Devex_Floor-1)</f>
        <v>1000</v>
      </c>
      <c r="G189" s="8" t="n">
        <f aca="false">G64*MAX(G182-1,Devex_Floor-1)</f>
        <v>1000</v>
      </c>
      <c r="H189" s="8" t="n">
        <f aca="false">SUM(E189:G189)</f>
        <v>2784.47</v>
      </c>
    </row>
    <row r="190" customFormat="false" ht="14.25" hidden="true" customHeight="false" outlineLevel="1" collapsed="false">
      <c r="C190" s="1" t="s">
        <v>179</v>
      </c>
      <c r="D190" s="2" t="s">
        <v>82</v>
      </c>
      <c r="E190" s="31" t="n">
        <f aca="false">SUM(E183:E189)</f>
        <v>2369.70275124256</v>
      </c>
      <c r="F190" s="31" t="n">
        <f aca="false">SUM(F183:F189)</f>
        <v>1969.09050921391</v>
      </c>
      <c r="G190" s="31" t="n">
        <f aca="false">SUM(G183:G189)</f>
        <v>1969.09050921391</v>
      </c>
      <c r="H190" s="31" t="n">
        <f aca="false">SUM(E190:G190)</f>
        <v>6307.88376967039</v>
      </c>
    </row>
    <row r="191" customFormat="false" ht="14.25" hidden="true" customHeight="false" outlineLevel="1" collapsed="false">
      <c r="C191" s="6" t="s">
        <v>180</v>
      </c>
      <c r="D191" s="2" t="s">
        <v>82</v>
      </c>
      <c r="E191" s="8" t="n">
        <f aca="false">E20*MIN(DSA_Rate*YEARFRAC(Inputs!E$35,Sale_Date),DSA_Cap)*E42</f>
        <v>364.583333333333</v>
      </c>
      <c r="F191" s="8" t="n">
        <f aca="false">F20*MIN(DSA_Rate*YEARFRAC(Inputs!F$35,Sale_Date),DSA_Cap)*F42</f>
        <v>0</v>
      </c>
      <c r="G191" s="8" t="n">
        <f aca="false">G20*MIN(DSA_Rate*YEARFRAC(Inputs!G$35,Sale_Date),DSA_Cap)*G42</f>
        <v>0</v>
      </c>
      <c r="H191" s="8" t="n">
        <f aca="false">SUM(E191:G191)</f>
        <v>364.583333333333</v>
      </c>
    </row>
    <row r="192" customFormat="false" ht="14.25" hidden="true" customHeight="false" outlineLevel="1" collapsed="false"/>
    <row r="193" customFormat="false" ht="14.25" hidden="true" customHeight="false" outlineLevel="1" collapsed="false">
      <c r="B193" s="4" t="s">
        <v>3</v>
      </c>
      <c r="C193" s="4" t="s">
        <v>181</v>
      </c>
      <c r="D193" s="4"/>
      <c r="E193" s="5" t="s">
        <v>5</v>
      </c>
      <c r="F193" s="5" t="s">
        <v>6</v>
      </c>
      <c r="G193" s="5" t="s">
        <v>7</v>
      </c>
      <c r="H193" s="5" t="s">
        <v>8</v>
      </c>
    </row>
    <row r="194" customFormat="false" ht="14.25" hidden="true" customHeight="false" outlineLevel="1" collapsed="false">
      <c r="C194" s="6" t="s">
        <v>28</v>
      </c>
      <c r="D194" s="2" t="s">
        <v>82</v>
      </c>
      <c r="E194" s="8" t="n">
        <f aca="false">E18*E6</f>
        <v>7500</v>
      </c>
      <c r="F194" s="8" t="n">
        <f aca="false">F18*F6</f>
        <v>7500</v>
      </c>
      <c r="G194" s="8" t="n">
        <f aca="false">G18*G6</f>
        <v>7500</v>
      </c>
      <c r="H194" s="8" t="n">
        <f aca="false">SUM(E194:G194)</f>
        <v>22500</v>
      </c>
    </row>
    <row r="195" customFormat="false" ht="14.25" hidden="true" customHeight="false" outlineLevel="1" collapsed="false">
      <c r="C195" s="6" t="s">
        <v>182</v>
      </c>
      <c r="D195" s="2" t="s">
        <v>82</v>
      </c>
      <c r="E195" s="8" t="n">
        <f aca="false">SUM(E59:E63)</f>
        <v>12096.5430191781</v>
      </c>
      <c r="F195" s="8" t="n">
        <f aca="false">SUM(F59:F63)</f>
        <v>5366.66849315068</v>
      </c>
      <c r="G195" s="8" t="n">
        <f aca="false">SUM(G59:G63)</f>
        <v>5366.66849315068</v>
      </c>
      <c r="H195" s="8" t="n">
        <f aca="false">SUM(E195:G195)</f>
        <v>22829.8800054795</v>
      </c>
    </row>
    <row r="196" customFormat="false" ht="14.25" hidden="true" customHeight="false" outlineLevel="1" collapsed="false">
      <c r="C196" s="1" t="s">
        <v>183</v>
      </c>
      <c r="D196" s="2" t="s">
        <v>82</v>
      </c>
      <c r="E196" s="14" t="n">
        <f aca="false">E194+E195</f>
        <v>19596.5430191781</v>
      </c>
      <c r="F196" s="14" t="n">
        <f aca="false">F194+F195</f>
        <v>12866.6684931507</v>
      </c>
      <c r="G196" s="14" t="n">
        <f aca="false">G194+G195</f>
        <v>12866.6684931507</v>
      </c>
      <c r="H196" s="14" t="n">
        <f aca="false">SUM(E196:G196)</f>
        <v>45329.8800054795</v>
      </c>
    </row>
    <row r="197" customFormat="false" ht="14.25" hidden="true" customHeight="false" outlineLevel="1" collapsed="false">
      <c r="C197" s="6" t="s">
        <v>184</v>
      </c>
      <c r="D197" s="2" t="s">
        <v>82</v>
      </c>
      <c r="E197" s="8" t="n">
        <f aca="false">-MIN(E196,Sale_Costs)</f>
        <v>-250</v>
      </c>
      <c r="F197" s="8" t="n">
        <f aca="false">-MIN(F196,Sale_Costs)</f>
        <v>-250</v>
      </c>
      <c r="G197" s="8" t="n">
        <f aca="false">-MIN(G196,Sale_Costs)</f>
        <v>-250</v>
      </c>
      <c r="H197" s="8" t="n">
        <f aca="false">SUM(E197:G197)</f>
        <v>-750</v>
      </c>
    </row>
    <row r="198" customFormat="false" ht="14.25" hidden="true" customHeight="false" outlineLevel="1" collapsed="false">
      <c r="C198" s="6" t="s">
        <v>185</v>
      </c>
      <c r="D198" s="2" t="s">
        <v>82</v>
      </c>
      <c r="E198" s="8" t="n">
        <f aca="false">-MIN(SUM(E196:E197),E195)</f>
        <v>-12096.5430191781</v>
      </c>
      <c r="F198" s="8" t="n">
        <f aca="false">-MIN(SUM(F196:F197),F195)</f>
        <v>-5366.66849315068</v>
      </c>
      <c r="G198" s="8" t="n">
        <f aca="false">-MIN(SUM(G196:G197),G195)</f>
        <v>-5366.66849315068</v>
      </c>
      <c r="H198" s="8" t="n">
        <f aca="false">SUM(E198:G198)</f>
        <v>-22829.8800054795</v>
      </c>
    </row>
    <row r="199" customFormat="false" ht="14.25" hidden="true" customHeight="false" outlineLevel="1" collapsed="false">
      <c r="C199" s="6" t="s">
        <v>186</v>
      </c>
      <c r="D199" s="2" t="s">
        <v>82</v>
      </c>
      <c r="E199" s="8" t="n">
        <f aca="false">-MIN(SUM(E196:E198),SUM(E183:E188))</f>
        <v>-1585.23275124256</v>
      </c>
      <c r="F199" s="8" t="n">
        <f aca="false">-MIN(SUM(F196:F198),SUM(F183:F188))</f>
        <v>-969.090509213913</v>
      </c>
      <c r="G199" s="8" t="n">
        <f aca="false">-MIN(SUM(G196:G198),SUM(G183:G188))</f>
        <v>-969.090509213913</v>
      </c>
      <c r="H199" s="8" t="n">
        <f aca="false">SUM(E199:G199)</f>
        <v>-3523.41376967039</v>
      </c>
    </row>
    <row r="200" customFormat="false" ht="14.25" hidden="true" customHeight="false" outlineLevel="1" collapsed="false">
      <c r="C200" s="6" t="s">
        <v>187</v>
      </c>
      <c r="D200" s="2" t="s">
        <v>82</v>
      </c>
      <c r="E200" s="8" t="n">
        <f aca="false">-MIN(SUM(E196:E199),E189)</f>
        <v>-784.47</v>
      </c>
      <c r="F200" s="8" t="n">
        <f aca="false">-MIN(SUM(F196:F199),F189)</f>
        <v>-1000</v>
      </c>
      <c r="G200" s="8" t="n">
        <f aca="false">-MIN(SUM(G196:G199),G189)</f>
        <v>-1000</v>
      </c>
      <c r="H200" s="8" t="n">
        <f aca="false">SUM(E200:G200)</f>
        <v>-2784.47</v>
      </c>
    </row>
    <row r="201" customFormat="false" ht="14.25" hidden="true" customHeight="false" outlineLevel="1" collapsed="false">
      <c r="C201" s="6" t="s">
        <v>188</v>
      </c>
      <c r="D201" s="2" t="s">
        <v>82</v>
      </c>
      <c r="E201" s="8" t="n">
        <f aca="false">-MIN(SUM(E196:E200),E191)</f>
        <v>-364.583333333333</v>
      </c>
      <c r="F201" s="8" t="n">
        <f aca="false">-MIN(SUM(F196:F200),F191)</f>
        <v>-0</v>
      </c>
      <c r="G201" s="8" t="n">
        <f aca="false">-MIN(SUM(G196:G200),G191)</f>
        <v>-0</v>
      </c>
      <c r="H201" s="8" t="n">
        <f aca="false">SUM(E201:G201)</f>
        <v>-364.583333333333</v>
      </c>
    </row>
    <row r="202" customFormat="false" ht="14.25" hidden="true" customHeight="false" outlineLevel="1" collapsed="false">
      <c r="C202" s="1" t="s">
        <v>189</v>
      </c>
      <c r="D202" s="2" t="s">
        <v>82</v>
      </c>
      <c r="E202" s="31" t="n">
        <f aca="false">SUM(E196:E201)</f>
        <v>4515.71391542411</v>
      </c>
      <c r="F202" s="31" t="n">
        <f aca="false">SUM(F196:F201)</f>
        <v>5280.90949078609</v>
      </c>
      <c r="G202" s="31" t="n">
        <f aca="false">SUM(G196:G201)</f>
        <v>5280.90949078609</v>
      </c>
      <c r="H202" s="31" t="n">
        <f aca="false">SUM(E202:G202)</f>
        <v>15077.5328969963</v>
      </c>
    </row>
    <row r="203" customFormat="false" ht="14.25" hidden="true" customHeight="false" outlineLevel="1" collapsed="false">
      <c r="C203" s="6" t="s">
        <v>190</v>
      </c>
      <c r="D203" s="2" t="s">
        <v>82</v>
      </c>
      <c r="E203" s="8" t="n">
        <f aca="false">E202*E19</f>
        <v>3160.99974079688</v>
      </c>
      <c r="F203" s="8" t="n">
        <f aca="false">F202*F19</f>
        <v>5280.90949078609</v>
      </c>
      <c r="G203" s="8" t="n">
        <f aca="false">G202*G19</f>
        <v>5280.90949078609</v>
      </c>
      <c r="H203" s="8" t="n">
        <f aca="false">SUM(E203:G203)</f>
        <v>13722.8187223691</v>
      </c>
    </row>
    <row r="204" customFormat="false" ht="14.25" hidden="true" customHeight="false" outlineLevel="1" collapsed="false">
      <c r="C204" s="6" t="s">
        <v>191</v>
      </c>
      <c r="D204" s="2" t="s">
        <v>82</v>
      </c>
      <c r="E204" s="8" t="n">
        <f aca="false">E202-E203</f>
        <v>1354.71417462723</v>
      </c>
      <c r="F204" s="8" t="n">
        <f aca="false">F202-F203</f>
        <v>0</v>
      </c>
      <c r="G204" s="8" t="n">
        <f aca="false">G202-G203</f>
        <v>0</v>
      </c>
      <c r="H204" s="8" t="n">
        <f aca="false">SUM(E204:G204)</f>
        <v>1354.71417462723</v>
      </c>
    </row>
    <row r="205" customFormat="false" ht="14.25" hidden="true" customHeight="false" outlineLevel="1" collapsed="false"/>
    <row r="206" customFormat="false" ht="14.25" hidden="true" customHeight="false" outlineLevel="1" collapsed="false">
      <c r="C206" s="41" t="s">
        <v>192</v>
      </c>
      <c r="D206" s="41"/>
      <c r="E206" s="42" t="s">
        <v>5</v>
      </c>
      <c r="F206" s="42" t="s">
        <v>6</v>
      </c>
      <c r="G206" s="42" t="s">
        <v>7</v>
      </c>
      <c r="H206" s="42" t="s">
        <v>8</v>
      </c>
      <c r="J206" s="42" t="s">
        <v>193</v>
      </c>
      <c r="K206" s="42" t="s">
        <v>6</v>
      </c>
      <c r="L206" s="42" t="s">
        <v>7</v>
      </c>
    </row>
    <row r="207" customFormat="false" ht="14.25" hidden="true" customHeight="false" outlineLevel="1" collapsed="false">
      <c r="C207" s="6" t="s">
        <v>79</v>
      </c>
      <c r="D207" s="2" t="s">
        <v>82</v>
      </c>
      <c r="E207" s="8" t="n">
        <f aca="false">-E65</f>
        <v>-100</v>
      </c>
      <c r="F207" s="8" t="n">
        <f aca="false">-F65</f>
        <v>-150</v>
      </c>
      <c r="G207" s="8" t="n">
        <f aca="false">-G65</f>
        <v>-150</v>
      </c>
      <c r="H207" s="8" t="n">
        <f aca="false">SUM(E207:G207)</f>
        <v>-400</v>
      </c>
      <c r="J207" s="23" t="n">
        <f aca="false">Inputs!E$26</f>
        <v>46234</v>
      </c>
      <c r="K207" s="23" t="n">
        <f aca="false">Inputs!F$26</f>
        <v>46234</v>
      </c>
      <c r="L207" s="23" t="n">
        <f aca="false">Inputs!G$26</f>
        <v>46234</v>
      </c>
    </row>
    <row r="208" customFormat="false" ht="14.25" hidden="true" customHeight="false" outlineLevel="1" collapsed="false">
      <c r="C208" s="6" t="s">
        <v>71</v>
      </c>
      <c r="D208" s="2" t="s">
        <v>82</v>
      </c>
      <c r="E208" s="16" t="n">
        <f aca="false">-E58</f>
        <v>-8.21917808219178</v>
      </c>
      <c r="F208" s="16" t="n">
        <f aca="false">-F58</f>
        <v>-8.21917808219178</v>
      </c>
      <c r="G208" s="16" t="n">
        <f aca="false">-G58</f>
        <v>-8.21917808219178</v>
      </c>
      <c r="H208" s="16" t="n">
        <f aca="false">SUM(E208:G208)</f>
        <v>-24.6575342465753</v>
      </c>
      <c r="J208" s="23" t="n">
        <f aca="false">Inputs!E$27</f>
        <v>46325</v>
      </c>
      <c r="K208" s="23" t="n">
        <f aca="false">Inputs!F$27</f>
        <v>46325</v>
      </c>
      <c r="L208" s="23" t="n">
        <f aca="false">Inputs!G$27</f>
        <v>46325</v>
      </c>
    </row>
    <row r="209" customFormat="false" ht="14.25" hidden="true" customHeight="false" outlineLevel="1" collapsed="false">
      <c r="C209" s="6" t="s">
        <v>73</v>
      </c>
      <c r="D209" s="2" t="s">
        <v>82</v>
      </c>
      <c r="E209" s="8" t="n">
        <f aca="false">-E59</f>
        <v>-278.082191780822</v>
      </c>
      <c r="F209" s="8" t="n">
        <f aca="false">-F59</f>
        <v>-278.082191780822</v>
      </c>
      <c r="G209" s="8" t="n">
        <f aca="false">-G59</f>
        <v>-278.082191780822</v>
      </c>
      <c r="H209" s="8" t="n">
        <f aca="false">SUM(E209:G209)</f>
        <v>-834.246575342466</v>
      </c>
      <c r="J209" s="23" t="n">
        <f aca="false">Inputs!E$27</f>
        <v>46325</v>
      </c>
      <c r="K209" s="23" t="n">
        <f aca="false">Inputs!F$27</f>
        <v>46325</v>
      </c>
      <c r="L209" s="23" t="n">
        <f aca="false">Inputs!G$27</f>
        <v>46325</v>
      </c>
    </row>
    <row r="210" customFormat="false" ht="14.25" hidden="true" customHeight="false" outlineLevel="1" collapsed="false">
      <c r="C210" s="6" t="s">
        <v>194</v>
      </c>
      <c r="D210" s="2" t="s">
        <v>82</v>
      </c>
      <c r="E210" s="8" t="n">
        <f aca="false">-E60</f>
        <v>-1112.32876712329</v>
      </c>
      <c r="F210" s="8" t="n">
        <f aca="false">-F60</f>
        <v>-1112.32876712329</v>
      </c>
      <c r="G210" s="8" t="n">
        <f aca="false">-G60</f>
        <v>-1112.32876712329</v>
      </c>
      <c r="H210" s="8" t="n">
        <f aca="false">SUM(E210:G210)</f>
        <v>-3336.98630136986</v>
      </c>
      <c r="J210" s="23" t="n">
        <f aca="false">Inputs!E$28</f>
        <v>46402</v>
      </c>
      <c r="K210" s="23" t="n">
        <f aca="false">Inputs!F$28</f>
        <v>46402</v>
      </c>
      <c r="L210" s="23" t="n">
        <f aca="false">Inputs!G$28</f>
        <v>46402</v>
      </c>
    </row>
    <row r="211" customFormat="false" ht="14.25" hidden="true" customHeight="false" outlineLevel="1" collapsed="false">
      <c r="C211" s="6" t="s">
        <v>75</v>
      </c>
      <c r="D211" s="2" t="s">
        <v>82</v>
      </c>
      <c r="E211" s="8" t="n">
        <f aca="false">-E61</f>
        <v>-616.438356164384</v>
      </c>
      <c r="F211" s="8" t="n">
        <f aca="false">-F61</f>
        <v>-616.438356164384</v>
      </c>
      <c r="G211" s="8" t="n">
        <f aca="false">-G61</f>
        <v>-616.438356164384</v>
      </c>
      <c r="H211" s="8" t="n">
        <f aca="false">SUM(E211:G211)</f>
        <v>-1849.31506849315</v>
      </c>
      <c r="J211" s="23" t="n">
        <f aca="false">Inputs!E$29</f>
        <v>46402</v>
      </c>
      <c r="K211" s="23" t="n">
        <f aca="false">Inputs!F$29</f>
        <v>46402</v>
      </c>
      <c r="L211" s="23" t="n">
        <f aca="false">Inputs!G$29</f>
        <v>46402</v>
      </c>
    </row>
    <row r="212" customFormat="false" ht="14.25" hidden="true" customHeight="false" outlineLevel="1" collapsed="false">
      <c r="C212" s="6" t="s">
        <v>195</v>
      </c>
      <c r="D212" s="2" t="s">
        <v>82</v>
      </c>
      <c r="E212" s="8" t="n">
        <f aca="false">-E62</f>
        <v>-696.364115068493</v>
      </c>
      <c r="F212" s="8" t="n">
        <f aca="false">-F62</f>
        <v>-1260.27397260274</v>
      </c>
      <c r="G212" s="8" t="n">
        <f aca="false">-G62</f>
        <v>-1260.27397260274</v>
      </c>
      <c r="H212" s="8" t="n">
        <f aca="false">SUM(E212:G212)</f>
        <v>-3216.91206027397</v>
      </c>
      <c r="J212" s="23" t="n">
        <f aca="false">Inputs!E$30</f>
        <v>47027</v>
      </c>
      <c r="K212" s="23" t="n">
        <f aca="false">Inputs!F$30</f>
        <v>47027</v>
      </c>
      <c r="L212" s="23" t="n">
        <f aca="false">Inputs!G$30</f>
        <v>47027</v>
      </c>
    </row>
    <row r="213" customFormat="false" ht="14.25" hidden="true" customHeight="false" outlineLevel="1" collapsed="false">
      <c r="C213" s="6" t="s">
        <v>196</v>
      </c>
      <c r="D213" s="2" t="s">
        <v>82</v>
      </c>
      <c r="E213" s="8" t="n">
        <f aca="false">-E63</f>
        <v>-9393.3295890411</v>
      </c>
      <c r="F213" s="8" t="n">
        <f aca="false">-F63</f>
        <v>-2099.54520547945</v>
      </c>
      <c r="G213" s="8" t="n">
        <f aca="false">-G63</f>
        <v>-2099.54520547945</v>
      </c>
      <c r="H213" s="8" t="n">
        <f aca="false">SUM(E213:G213)</f>
        <v>-13592.42</v>
      </c>
      <c r="J213" s="23" t="n">
        <f aca="false">Inputs!E$30</f>
        <v>47027</v>
      </c>
      <c r="K213" s="23" t="n">
        <f aca="false">Inputs!F$30</f>
        <v>47027</v>
      </c>
      <c r="L213" s="23" t="n">
        <f aca="false">Inputs!G$30</f>
        <v>47027</v>
      </c>
    </row>
    <row r="214" customFormat="false" ht="14.25" hidden="true" customHeight="false" outlineLevel="1" collapsed="false">
      <c r="C214" s="6" t="s">
        <v>197</v>
      </c>
      <c r="D214" s="2" t="s">
        <v>82</v>
      </c>
      <c r="E214" s="8" t="n">
        <f aca="false">-E64</f>
        <v>-784.47</v>
      </c>
      <c r="F214" s="8" t="n">
        <f aca="false">-F64</f>
        <v>-1000</v>
      </c>
      <c r="G214" s="8" t="n">
        <f aca="false">-G64</f>
        <v>-1000</v>
      </c>
      <c r="H214" s="8" t="n">
        <f aca="false">SUM(E214:G214)</f>
        <v>-2784.47</v>
      </c>
      <c r="J214" s="23" t="n">
        <f aca="false">Inputs!E$31</f>
        <v>46752</v>
      </c>
      <c r="K214" s="23" t="n">
        <f aca="false">Inputs!F$31</f>
        <v>46752</v>
      </c>
      <c r="L214" s="23" t="n">
        <f aca="false">Inputs!G$31</f>
        <v>46752</v>
      </c>
    </row>
    <row r="215" customFormat="false" ht="14.25" hidden="true" customHeight="false" outlineLevel="1" collapsed="false">
      <c r="C215" s="1" t="s">
        <v>198</v>
      </c>
      <c r="D215" s="2" t="s">
        <v>82</v>
      </c>
      <c r="E215" s="14" t="n">
        <f aca="false">E203-SUM(E198:E200)</f>
        <v>17627.2455112175</v>
      </c>
      <c r="F215" s="14" t="n">
        <f aca="false">F203-SUM(F198:F200)</f>
        <v>12616.6684931507</v>
      </c>
      <c r="G215" s="14" t="n">
        <f aca="false">G203-SUM(G198:G200)</f>
        <v>12616.6684931507</v>
      </c>
      <c r="H215" s="14" t="n">
        <f aca="false">SUM(E215:G215)</f>
        <v>42860.5824975189</v>
      </c>
      <c r="J215" s="23" t="n">
        <f aca="false">Sale_Date</f>
        <v>47391</v>
      </c>
      <c r="K215" s="23" t="n">
        <f aca="false">Sale_Date</f>
        <v>47391</v>
      </c>
      <c r="L215" s="23" t="n">
        <f aca="false">Sale_Date</f>
        <v>47391</v>
      </c>
    </row>
    <row r="216" customFormat="false" ht="14.25" hidden="true" customHeight="false" outlineLevel="1" collapsed="false">
      <c r="C216" s="1" t="s">
        <v>127</v>
      </c>
      <c r="D216" s="2" t="s">
        <v>82</v>
      </c>
      <c r="E216" s="31" t="n">
        <f aca="false">SUM(E207:E215)</f>
        <v>4638.01331395724</v>
      </c>
      <c r="F216" s="31" t="n">
        <f aca="false">SUM(F207:F215)</f>
        <v>6091.78082191781</v>
      </c>
      <c r="G216" s="31" t="n">
        <f aca="false">SUM(G207:G215)</f>
        <v>6091.78082191781</v>
      </c>
      <c r="H216" s="31" t="n">
        <f aca="false">SUM(E216:G216)</f>
        <v>16821.5749577929</v>
      </c>
    </row>
    <row r="217" customFormat="false" ht="14.25" hidden="true" customHeight="false" outlineLevel="1" collapsed="false">
      <c r="C217" s="6" t="s">
        <v>199</v>
      </c>
      <c r="D217" s="2" t="s">
        <v>82</v>
      </c>
      <c r="E217" s="8" t="n">
        <f aca="false">-MAX(0,E216)*CIT_Rate</f>
        <v>-695.701997093586</v>
      </c>
      <c r="F217" s="8" t="n">
        <f aca="false">-MAX(0,F216)*CIT_Rate</f>
        <v>-913.767123287671</v>
      </c>
      <c r="G217" s="8" t="n">
        <f aca="false">-MAX(0,G216)*CIT_Rate</f>
        <v>-913.767123287671</v>
      </c>
      <c r="H217" s="8" t="n">
        <f aca="false">SUM(E217:G217)</f>
        <v>-2523.23624366893</v>
      </c>
    </row>
    <row r="218" customFormat="false" ht="14.25" hidden="true" customHeight="false" outlineLevel="1" collapsed="false">
      <c r="C218" s="1" t="s">
        <v>128</v>
      </c>
      <c r="D218" s="2" t="s">
        <v>82</v>
      </c>
      <c r="E218" s="14" t="n">
        <f aca="false">E216+E217</f>
        <v>3942.31131686366</v>
      </c>
      <c r="F218" s="14" t="n">
        <f aca="false">F216+F217</f>
        <v>5178.01369863014</v>
      </c>
      <c r="G218" s="14" t="n">
        <f aca="false">G216+G217</f>
        <v>5178.01369863014</v>
      </c>
      <c r="H218" s="14" t="n">
        <f aca="false">SUM(E218:G218)</f>
        <v>14298.3387141239</v>
      </c>
    </row>
    <row r="219" customFormat="false" ht="14.25" hidden="true" customHeight="false" outlineLevel="1" collapsed="false"/>
    <row r="220" customFormat="false" ht="14.25" hidden="false" customHeight="false" outlineLevel="1" collapsed="false">
      <c r="B220" s="4" t="s">
        <v>3</v>
      </c>
      <c r="C220" s="4" t="s">
        <v>200</v>
      </c>
      <c r="D220" s="4"/>
      <c r="E220" s="5" t="s">
        <v>5</v>
      </c>
      <c r="F220" s="5" t="s">
        <v>6</v>
      </c>
      <c r="G220" s="5" t="s">
        <v>7</v>
      </c>
      <c r="H220" s="5" t="s">
        <v>8</v>
      </c>
    </row>
    <row r="221" customFormat="false" ht="14.25" hidden="false" customHeight="false" outlineLevel="1" collapsed="false">
      <c r="C221" s="6" t="s">
        <v>201</v>
      </c>
      <c r="D221" s="2" t="s">
        <v>82</v>
      </c>
      <c r="E221" s="8" t="n">
        <f aca="false">E62+E63</f>
        <v>10089.6937041096</v>
      </c>
      <c r="F221" s="8" t="n">
        <f aca="false">F62+F63</f>
        <v>3359.81917808219</v>
      </c>
      <c r="G221" s="8" t="n">
        <f aca="false">G62+G63</f>
        <v>3359.81917808219</v>
      </c>
      <c r="H221" s="8" t="n">
        <f aca="false">SUM(E221:G221)</f>
        <v>16809.332060274</v>
      </c>
    </row>
    <row r="222" customFormat="false" ht="14.25" hidden="false" customHeight="false" outlineLevel="1" collapsed="false">
      <c r="C222" s="6" t="s">
        <v>202</v>
      </c>
      <c r="D222" s="2" t="s">
        <v>82</v>
      </c>
      <c r="E222" s="8" t="n">
        <f aca="false">E66-E221</f>
        <v>2899.53849315069</v>
      </c>
      <c r="F222" s="8" t="n">
        <f aca="false">F66-F221</f>
        <v>3165.06849315069</v>
      </c>
      <c r="G222" s="8" t="n">
        <f aca="false">G66-G221</f>
        <v>3165.06849315069</v>
      </c>
      <c r="H222" s="8" t="n">
        <f aca="false">SUM(E222:G222)</f>
        <v>9229.67547945206</v>
      </c>
    </row>
    <row r="223" customFormat="false" ht="14.25" hidden="false" customHeight="false" outlineLevel="1" collapsed="false">
      <c r="C223" s="6" t="s">
        <v>203</v>
      </c>
      <c r="D223" s="2" t="s">
        <v>82</v>
      </c>
      <c r="E223" s="8" t="n">
        <f aca="false">E190-E187-E188</f>
        <v>1445.9579657804</v>
      </c>
      <c r="F223" s="8" t="n">
        <f aca="false">F190-F187-F188</f>
        <v>1661.4879657804</v>
      </c>
      <c r="G223" s="8" t="n">
        <f aca="false">G190-G187-G188</f>
        <v>1661.4879657804</v>
      </c>
      <c r="H223" s="8" t="n">
        <f aca="false">SUM(E223:G223)</f>
        <v>4768.93389734121</v>
      </c>
    </row>
    <row r="224" customFormat="false" ht="14.25" hidden="false" customHeight="false" outlineLevel="1" collapsed="false">
      <c r="C224" s="40" t="s">
        <v>204</v>
      </c>
      <c r="D224" s="41"/>
      <c r="E224" s="42"/>
      <c r="F224" s="42"/>
      <c r="G224" s="42"/>
      <c r="H224" s="42"/>
    </row>
    <row r="225" customFormat="false" ht="14.25" hidden="false" customHeight="false" outlineLevel="1" collapsed="false">
      <c r="C225" s="6" t="s">
        <v>28</v>
      </c>
      <c r="D225" s="2" t="s">
        <v>82</v>
      </c>
      <c r="E225" s="8" t="n">
        <f aca="false">E194</f>
        <v>7500</v>
      </c>
      <c r="F225" s="8" t="n">
        <f aca="false">F194</f>
        <v>7500</v>
      </c>
      <c r="G225" s="8" t="n">
        <f aca="false">G194</f>
        <v>7500</v>
      </c>
      <c r="H225" s="8" t="n">
        <f aca="false">SUM(E225:G225)</f>
        <v>22500</v>
      </c>
    </row>
    <row r="226" customFormat="false" ht="14.25" hidden="false" customHeight="false" outlineLevel="1" collapsed="false">
      <c r="C226" s="6" t="s">
        <v>205</v>
      </c>
      <c r="D226" s="2" t="s">
        <v>82</v>
      </c>
      <c r="E226" s="8" t="n">
        <f aca="false">SUM(E59:E61)</f>
        <v>2006.84931506849</v>
      </c>
      <c r="F226" s="8" t="n">
        <f aca="false">SUM(F59:F61)</f>
        <v>2006.84931506849</v>
      </c>
      <c r="G226" s="8" t="n">
        <f aca="false">SUM(G59:G61)</f>
        <v>2006.84931506849</v>
      </c>
      <c r="H226" s="8" t="n">
        <f aca="false">SUM(E226:G226)</f>
        <v>6020.54794520548</v>
      </c>
    </row>
    <row r="227" customFormat="false" ht="14.25" hidden="false" customHeight="false" outlineLevel="1" collapsed="false">
      <c r="C227" s="6" t="s">
        <v>183</v>
      </c>
      <c r="D227" s="2" t="s">
        <v>82</v>
      </c>
      <c r="E227" s="8" t="n">
        <f aca="false">E225+E226</f>
        <v>9506.84931506849</v>
      </c>
      <c r="F227" s="8" t="n">
        <f aca="false">F225+F226</f>
        <v>9506.84931506849</v>
      </c>
      <c r="G227" s="8" t="n">
        <f aca="false">G225+G226</f>
        <v>9506.84931506849</v>
      </c>
      <c r="H227" s="8" t="n">
        <f aca="false">SUM(E227:G227)</f>
        <v>28520.5479452055</v>
      </c>
    </row>
    <row r="228" customFormat="false" ht="14.25" hidden="false" customHeight="false" outlineLevel="1" collapsed="false">
      <c r="C228" s="6" t="s">
        <v>184</v>
      </c>
      <c r="D228" s="2" t="s">
        <v>82</v>
      </c>
      <c r="E228" s="8" t="n">
        <f aca="false">-MIN(E227,Sale_Costs)</f>
        <v>-250</v>
      </c>
      <c r="F228" s="8" t="n">
        <f aca="false">-MIN(F227,Sale_Costs)</f>
        <v>-250</v>
      </c>
      <c r="G228" s="8" t="n">
        <f aca="false">-MIN(G227,Sale_Costs)</f>
        <v>-250</v>
      </c>
      <c r="H228" s="8" t="n">
        <f aca="false">SUM(E228:G228)</f>
        <v>-750</v>
      </c>
    </row>
    <row r="229" customFormat="false" ht="14.25" hidden="false" customHeight="false" outlineLevel="1" collapsed="false">
      <c r="C229" s="6" t="s">
        <v>206</v>
      </c>
      <c r="D229" s="2" t="s">
        <v>82</v>
      </c>
      <c r="E229" s="8" t="n">
        <f aca="false">-MIN(SUM(E227:E228),E226)</f>
        <v>-2006.84931506849</v>
      </c>
      <c r="F229" s="8" t="n">
        <f aca="false">-MIN(SUM(F227:F228),F226)</f>
        <v>-2006.84931506849</v>
      </c>
      <c r="G229" s="8" t="n">
        <f aca="false">-MIN(SUM(G227:G228),G226)</f>
        <v>-2006.84931506849</v>
      </c>
      <c r="H229" s="8" t="n">
        <f aca="false">SUM(E229:G229)</f>
        <v>-6020.54794520548</v>
      </c>
    </row>
    <row r="230" customFormat="false" ht="14.25" hidden="false" customHeight="false" outlineLevel="1" collapsed="false">
      <c r="C230" s="6" t="s">
        <v>186</v>
      </c>
      <c r="D230" s="2" t="s">
        <v>82</v>
      </c>
      <c r="E230" s="8" t="n">
        <f aca="false">-MIN(SUM(E227:E229),SUM(E183:E186))</f>
        <v>-661.487965780403</v>
      </c>
      <c r="F230" s="8" t="n">
        <f aca="false">-MIN(SUM(F227:F229),SUM(F183:F186))</f>
        <v>-661.487965780403</v>
      </c>
      <c r="G230" s="8" t="n">
        <f aca="false">-MIN(SUM(G227:G229),SUM(G183:G186))</f>
        <v>-661.487965780403</v>
      </c>
      <c r="H230" s="8" t="n">
        <f aca="false">SUM(E230:G230)</f>
        <v>-1984.46389734121</v>
      </c>
    </row>
    <row r="231" customFormat="false" ht="14.25" hidden="false" customHeight="false" outlineLevel="1" collapsed="false">
      <c r="C231" s="6" t="s">
        <v>187</v>
      </c>
      <c r="D231" s="2" t="s">
        <v>82</v>
      </c>
      <c r="E231" s="8" t="n">
        <f aca="false">-MIN(SUM(E227:E230),E189)</f>
        <v>-784.47</v>
      </c>
      <c r="F231" s="8" t="n">
        <f aca="false">-MIN(SUM(F227:F230),F189)</f>
        <v>-1000</v>
      </c>
      <c r="G231" s="8" t="n">
        <f aca="false">-MIN(SUM(G227:G230),G189)</f>
        <v>-1000</v>
      </c>
      <c r="H231" s="8" t="n">
        <f aca="false">SUM(E231:G231)</f>
        <v>-2784.47</v>
      </c>
    </row>
    <row r="232" customFormat="false" ht="14.25" hidden="false" customHeight="false" outlineLevel="1" collapsed="false">
      <c r="C232" s="6" t="s">
        <v>188</v>
      </c>
      <c r="D232" s="2" t="s">
        <v>82</v>
      </c>
      <c r="E232" s="8" t="n">
        <f aca="false">-MIN(SUM(E227:E231),E191)</f>
        <v>-364.583333333333</v>
      </c>
      <c r="F232" s="8" t="n">
        <f aca="false">-MIN(SUM(F227:F231),F191)</f>
        <v>-0</v>
      </c>
      <c r="G232" s="8" t="n">
        <f aca="false">-MIN(SUM(G227:G231),G191)</f>
        <v>-0</v>
      </c>
      <c r="H232" s="8" t="n">
        <f aca="false">SUM(E232:G232)</f>
        <v>-364.583333333333</v>
      </c>
    </row>
    <row r="233" customFormat="false" ht="14.25" hidden="false" customHeight="false" outlineLevel="1" collapsed="false">
      <c r="C233" s="6" t="s">
        <v>189</v>
      </c>
      <c r="D233" s="2" t="s">
        <v>82</v>
      </c>
      <c r="E233" s="8" t="n">
        <f aca="false">SUM(E227:E232)</f>
        <v>5439.45870088626</v>
      </c>
      <c r="F233" s="8" t="n">
        <f aca="false">SUM(F227:F232)</f>
        <v>5588.5120342196</v>
      </c>
      <c r="G233" s="8" t="n">
        <f aca="false">SUM(G227:G232)</f>
        <v>5588.5120342196</v>
      </c>
      <c r="H233" s="8" t="n">
        <f aca="false">SUM(E233:G233)</f>
        <v>16616.4827693255</v>
      </c>
    </row>
    <row r="234" customFormat="false" ht="14.25" hidden="false" customHeight="false" outlineLevel="1" collapsed="false">
      <c r="C234" s="6" t="s">
        <v>190</v>
      </c>
      <c r="D234" s="2" t="s">
        <v>82</v>
      </c>
      <c r="E234" s="8" t="n">
        <f aca="false">E233*E19</f>
        <v>3807.62109062038</v>
      </c>
      <c r="F234" s="8" t="n">
        <f aca="false">F233*F19</f>
        <v>5588.5120342196</v>
      </c>
      <c r="G234" s="8" t="n">
        <f aca="false">G233*G19</f>
        <v>5588.5120342196</v>
      </c>
      <c r="H234" s="8" t="n">
        <f aca="false">SUM(E234:G234)</f>
        <v>14984.6451590596</v>
      </c>
    </row>
    <row r="235" customFormat="false" ht="14.25" hidden="false" customHeight="false" outlineLevel="1" collapsed="false">
      <c r="C235" s="6" t="s">
        <v>191</v>
      </c>
      <c r="D235" s="2" t="s">
        <v>82</v>
      </c>
      <c r="E235" s="8" t="n">
        <f aca="false">E233-E234</f>
        <v>1631.83761026588</v>
      </c>
      <c r="F235" s="8" t="n">
        <f aca="false">F233-F234</f>
        <v>0</v>
      </c>
      <c r="G235" s="8" t="n">
        <f aca="false">G233-G234</f>
        <v>0</v>
      </c>
      <c r="H235" s="8" t="n">
        <f aca="false">SUM(E235:G235)</f>
        <v>1631.83761026588</v>
      </c>
    </row>
    <row r="236" customFormat="false" ht="14.25" hidden="false" customHeight="false" outlineLevel="1" collapsed="false">
      <c r="C236" s="41" t="s">
        <v>207</v>
      </c>
      <c r="D236" s="41"/>
      <c r="E236" s="42" t="s">
        <v>5</v>
      </c>
      <c r="F236" s="42" t="s">
        <v>6</v>
      </c>
      <c r="G236" s="42" t="s">
        <v>7</v>
      </c>
      <c r="H236" s="42" t="s">
        <v>8</v>
      </c>
      <c r="J236" s="42" t="s">
        <v>193</v>
      </c>
      <c r="K236" s="42" t="s">
        <v>6</v>
      </c>
      <c r="L236" s="42" t="s">
        <v>7</v>
      </c>
    </row>
    <row r="237" customFormat="false" ht="14.25" hidden="false" customHeight="false" outlineLevel="1" collapsed="false">
      <c r="C237" s="6" t="s">
        <v>79</v>
      </c>
      <c r="D237" s="2" t="s">
        <v>82</v>
      </c>
      <c r="E237" s="8" t="n">
        <f aca="false">-E65</f>
        <v>-100</v>
      </c>
      <c r="F237" s="8" t="n">
        <f aca="false">-F65</f>
        <v>-150</v>
      </c>
      <c r="G237" s="8" t="n">
        <f aca="false">-G65</f>
        <v>-150</v>
      </c>
      <c r="H237" s="8" t="n">
        <f aca="false">SUM(E237:G237)</f>
        <v>-400</v>
      </c>
      <c r="J237" s="23" t="n">
        <f aca="false">Inputs!E$26</f>
        <v>46234</v>
      </c>
      <c r="K237" s="23" t="n">
        <f aca="false">Inputs!F$26</f>
        <v>46234</v>
      </c>
      <c r="L237" s="23" t="n">
        <f aca="false">Inputs!G$26</f>
        <v>46234</v>
      </c>
    </row>
    <row r="238" customFormat="false" ht="14.25" hidden="false" customHeight="false" outlineLevel="1" collapsed="false">
      <c r="C238" s="6" t="s">
        <v>71</v>
      </c>
      <c r="D238" s="2" t="s">
        <v>82</v>
      </c>
      <c r="E238" s="8" t="n">
        <f aca="false">-E58</f>
        <v>-8.21917808219178</v>
      </c>
      <c r="F238" s="8" t="n">
        <f aca="false">-F58</f>
        <v>-8.21917808219178</v>
      </c>
      <c r="G238" s="8" t="n">
        <f aca="false">-G58</f>
        <v>-8.21917808219178</v>
      </c>
      <c r="H238" s="8" t="n">
        <f aca="false">SUM(E238:G238)</f>
        <v>-24.6575342465753</v>
      </c>
      <c r="J238" s="23" t="n">
        <f aca="false">Inputs!E$27</f>
        <v>46325</v>
      </c>
      <c r="K238" s="23" t="n">
        <f aca="false">Inputs!F$27</f>
        <v>46325</v>
      </c>
      <c r="L238" s="23" t="n">
        <f aca="false">Inputs!G$27</f>
        <v>46325</v>
      </c>
    </row>
    <row r="239" customFormat="false" ht="14.25" hidden="false" customHeight="false" outlineLevel="1" collapsed="false">
      <c r="C239" s="6" t="s">
        <v>73</v>
      </c>
      <c r="D239" s="2" t="s">
        <v>82</v>
      </c>
      <c r="E239" s="8" t="n">
        <f aca="false">-E59</f>
        <v>-278.082191780822</v>
      </c>
      <c r="F239" s="8" t="n">
        <f aca="false">-F59</f>
        <v>-278.082191780822</v>
      </c>
      <c r="G239" s="8" t="n">
        <f aca="false">-G59</f>
        <v>-278.082191780822</v>
      </c>
      <c r="H239" s="8" t="n">
        <f aca="false">SUM(E239:G239)</f>
        <v>-834.246575342466</v>
      </c>
      <c r="J239" s="23" t="n">
        <f aca="false">Inputs!E$27</f>
        <v>46325</v>
      </c>
      <c r="K239" s="23" t="n">
        <f aca="false">Inputs!F$27</f>
        <v>46325</v>
      </c>
      <c r="L239" s="23" t="n">
        <f aca="false">Inputs!G$27</f>
        <v>46325</v>
      </c>
    </row>
    <row r="240" customFormat="false" ht="14.25" hidden="false" customHeight="false" outlineLevel="1" collapsed="false">
      <c r="C240" s="6" t="s">
        <v>194</v>
      </c>
      <c r="D240" s="2" t="s">
        <v>82</v>
      </c>
      <c r="E240" s="8" t="n">
        <f aca="false">-E60</f>
        <v>-1112.32876712329</v>
      </c>
      <c r="F240" s="8" t="n">
        <f aca="false">-F60</f>
        <v>-1112.32876712329</v>
      </c>
      <c r="G240" s="8" t="n">
        <f aca="false">-G60</f>
        <v>-1112.32876712329</v>
      </c>
      <c r="H240" s="8" t="n">
        <f aca="false">SUM(E240:G240)</f>
        <v>-3336.98630136986</v>
      </c>
      <c r="J240" s="23" t="n">
        <f aca="false">Inputs!E$28</f>
        <v>46402</v>
      </c>
      <c r="K240" s="23" t="n">
        <f aca="false">Inputs!F$28</f>
        <v>46402</v>
      </c>
      <c r="L240" s="23" t="n">
        <f aca="false">Inputs!G$28</f>
        <v>46402</v>
      </c>
    </row>
    <row r="241" customFormat="false" ht="14.25" hidden="false" customHeight="false" outlineLevel="1" collapsed="false">
      <c r="C241" s="6" t="s">
        <v>75</v>
      </c>
      <c r="D241" s="2" t="s">
        <v>82</v>
      </c>
      <c r="E241" s="8" t="n">
        <f aca="false">-E61</f>
        <v>-616.438356164384</v>
      </c>
      <c r="F241" s="8" t="n">
        <f aca="false">-F61</f>
        <v>-616.438356164384</v>
      </c>
      <c r="G241" s="8" t="n">
        <f aca="false">-G61</f>
        <v>-616.438356164384</v>
      </c>
      <c r="H241" s="8" t="n">
        <f aca="false">SUM(E241:G241)</f>
        <v>-1849.31506849315</v>
      </c>
      <c r="J241" s="23" t="n">
        <f aca="false">Inputs!E$29</f>
        <v>46402</v>
      </c>
      <c r="K241" s="23" t="n">
        <f aca="false">Inputs!F$29</f>
        <v>46402</v>
      </c>
      <c r="L241" s="23" t="n">
        <f aca="false">Inputs!G$29</f>
        <v>46402</v>
      </c>
    </row>
    <row r="242" customFormat="false" ht="14.25" hidden="false" customHeight="false" outlineLevel="1" collapsed="false">
      <c r="C242" s="6" t="s">
        <v>197</v>
      </c>
      <c r="D242" s="2" t="s">
        <v>82</v>
      </c>
      <c r="E242" s="8" t="n">
        <f aca="false">-E64</f>
        <v>-784.47</v>
      </c>
      <c r="F242" s="8" t="n">
        <f aca="false">-F64</f>
        <v>-1000</v>
      </c>
      <c r="G242" s="8" t="n">
        <f aca="false">-G64</f>
        <v>-1000</v>
      </c>
      <c r="H242" s="8" t="n">
        <f aca="false">SUM(E242:G242)</f>
        <v>-2784.47</v>
      </c>
      <c r="J242" s="23" t="n">
        <f aca="false">Inputs!E$31</f>
        <v>46752</v>
      </c>
      <c r="K242" s="23" t="n">
        <f aca="false">Inputs!F$31</f>
        <v>46752</v>
      </c>
      <c r="L242" s="23" t="n">
        <f aca="false">Inputs!G$31</f>
        <v>46752</v>
      </c>
    </row>
    <row r="243" customFormat="false" ht="14.25" hidden="false" customHeight="false" outlineLevel="1" collapsed="false">
      <c r="C243" s="6" t="s">
        <v>198</v>
      </c>
      <c r="D243" s="2" t="s">
        <v>82</v>
      </c>
      <c r="E243" s="8" t="n">
        <f aca="false">E234-SUM(E229:E231)</f>
        <v>7260.42837146928</v>
      </c>
      <c r="F243" s="8" t="n">
        <f aca="false">F234-SUM(F229:F231)</f>
        <v>9256.84931506849</v>
      </c>
      <c r="G243" s="8" t="n">
        <f aca="false">G234-SUM(G229:G231)</f>
        <v>9256.84931506849</v>
      </c>
      <c r="H243" s="8" t="n">
        <f aca="false">SUM(E243:G243)</f>
        <v>25774.1270016063</v>
      </c>
      <c r="J243" s="23" t="n">
        <f aca="false">Sale_Date</f>
        <v>47391</v>
      </c>
      <c r="K243" s="23" t="n">
        <f aca="false">Sale_Date</f>
        <v>47391</v>
      </c>
      <c r="L243" s="23" t="n">
        <f aca="false">Sale_Date</f>
        <v>47391</v>
      </c>
    </row>
    <row r="244" customFormat="false" ht="14.25" hidden="false" customHeight="false" outlineLevel="1" collapsed="false">
      <c r="C244" s="43" t="s">
        <v>127</v>
      </c>
      <c r="D244" s="44" t="s">
        <v>82</v>
      </c>
      <c r="E244" s="52" t="n">
        <f aca="false">SUM(E237:E243)</f>
        <v>4360.8898783186</v>
      </c>
      <c r="F244" s="52" t="n">
        <f aca="false">SUM(F237:F243)</f>
        <v>6091.78082191781</v>
      </c>
      <c r="G244" s="52" t="n">
        <f aca="false">SUM(G237:G243)</f>
        <v>6091.78082191781</v>
      </c>
      <c r="H244" s="52" t="n">
        <f aca="false">SUM(E244:G244)</f>
        <v>16544.4515221542</v>
      </c>
    </row>
    <row r="245" customFormat="false" ht="14.25" hidden="false" customHeight="false" outlineLevel="1" collapsed="false">
      <c r="C245" s="1" t="s">
        <v>199</v>
      </c>
      <c r="D245" s="2" t="s">
        <v>82</v>
      </c>
      <c r="E245" s="31" t="n">
        <f aca="false">-MAX(0,E244)*CIT_Rate</f>
        <v>-654.133481747789</v>
      </c>
      <c r="F245" s="31" t="n">
        <f aca="false">-MAX(0,F244)*CIT_Rate</f>
        <v>-913.767123287671</v>
      </c>
      <c r="G245" s="31" t="n">
        <f aca="false">-MAX(0,G244)*CIT_Rate</f>
        <v>-913.767123287671</v>
      </c>
      <c r="H245" s="31" t="n">
        <f aca="false">SUM(E245:G245)</f>
        <v>-2481.66772832313</v>
      </c>
    </row>
    <row r="246" customFormat="false" ht="14.25" hidden="false" customHeight="false" outlineLevel="1" collapsed="false">
      <c r="C246" s="43" t="s">
        <v>128</v>
      </c>
      <c r="D246" s="44" t="s">
        <v>82</v>
      </c>
      <c r="E246" s="52" t="n">
        <f aca="false">E244+E245</f>
        <v>3706.75639657081</v>
      </c>
      <c r="F246" s="52" t="n">
        <f aca="false">F244+F245</f>
        <v>5178.01369863014</v>
      </c>
      <c r="G246" s="52" t="n">
        <f aca="false">G244+G245</f>
        <v>5178.01369863014</v>
      </c>
      <c r="H246" s="52" t="n">
        <f aca="false">SUM(E246:G246)</f>
        <v>14062.7837938311</v>
      </c>
    </row>
    <row r="247" customFormat="false" ht="14.25" hidden="false" customHeight="false" outlineLevel="1" collapsed="false">
      <c r="C247" s="6" t="s">
        <v>129</v>
      </c>
      <c r="D247" s="2" t="s">
        <v>3</v>
      </c>
      <c r="E247" s="46" t="n">
        <f aca="false">SUMIF(E237:E243,"&gt;0")/-SUMIF(E237:E243,"&lt;0")</f>
        <v>2.50399447657616</v>
      </c>
      <c r="F247" s="46" t="n">
        <f aca="false">SUMIF(F237:F243,"&gt;0")/-SUMIF(F237:F243,"&lt;0")</f>
        <v>2.92469162518935</v>
      </c>
      <c r="G247" s="46" t="n">
        <f aca="false">SUMIF(G237:G243,"&gt;0")/-SUMIF(G237:G243,"&lt;0")</f>
        <v>2.92469162518935</v>
      </c>
      <c r="H247" s="46" t="n">
        <f aca="false">SUMIF(H237:H243,"&gt;0")/-SUMIF(H237:H243,"&lt;0")</f>
        <v>2.79252797771568</v>
      </c>
    </row>
    <row r="248" customFormat="false" ht="14.25" hidden="false" customHeight="false" outlineLevel="1" collapsed="false">
      <c r="C248" s="6" t="s">
        <v>130</v>
      </c>
      <c r="D248" s="2" t="s">
        <v>12</v>
      </c>
      <c r="E248" s="47" t="n">
        <f aca="false">XIRR(E237:E243,J237:J243)</f>
        <v>0.438728766148145</v>
      </c>
      <c r="F248" s="47" t="n">
        <f aca="false">XIRR(F237:F243,K237:K243)</f>
        <v>0.537231397066519</v>
      </c>
      <c r="G248" s="47" t="n">
        <f aca="false">XIRR(G237:G243,L237:L243)</f>
        <v>0.537231397066519</v>
      </c>
    </row>
    <row r="249" customFormat="false" ht="14.25" hidden="false" customHeight="false" outlineLevel="1" collapsed="false">
      <c r="C249" s="53" t="s">
        <v>208</v>
      </c>
      <c r="D249" s="33" t="s">
        <v>82</v>
      </c>
      <c r="E249" s="8" t="n">
        <f aca="false">E244-E216</f>
        <v>-277.123435638647</v>
      </c>
      <c r="F249" s="8" t="n">
        <f aca="false">F244-F216</f>
        <v>0</v>
      </c>
      <c r="G249" s="8" t="n">
        <f aca="false">G244-G216</f>
        <v>0</v>
      </c>
      <c r="H249" s="8" t="n">
        <f aca="false">SUM(E249:G249)</f>
        <v>-277.123435638647</v>
      </c>
    </row>
    <row r="250" customFormat="false" ht="14.25" hidden="false" customHeight="false" outlineLevel="1" collapsed="false"/>
    <row r="251" customFormat="false" ht="14.25" hidden="true" customHeight="false" outlineLevel="1" collapsed="false">
      <c r="B251" s="4" t="s">
        <v>3</v>
      </c>
      <c r="C251" s="4" t="s">
        <v>209</v>
      </c>
      <c r="D251" s="4"/>
      <c r="E251" s="5"/>
      <c r="F251" s="5"/>
      <c r="G251" s="5"/>
      <c r="H251" s="5" t="s">
        <v>8</v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</row>
    <row r="252" customFormat="false" ht="14.25" hidden="true" customHeight="false" outlineLevel="1" collapsed="false">
      <c r="C252" s="6" t="s">
        <v>147</v>
      </c>
      <c r="D252" s="2" t="s">
        <v>148</v>
      </c>
      <c r="J252" s="51" t="n">
        <f aca="false">First_Year+COLUMN()-COLUMN($J$1)</f>
        <v>2026</v>
      </c>
      <c r="K252" s="51" t="n">
        <f aca="false">First_Year+COLUMN()-COLUMN($J$1)</f>
        <v>2027</v>
      </c>
      <c r="L252" s="51" t="n">
        <f aca="false">First_Year+COLUMN()-COLUMN($J$1)</f>
        <v>2028</v>
      </c>
      <c r="M252" s="51" t="n">
        <f aca="false">First_Year+COLUMN()-COLUMN($J$1)</f>
        <v>2029</v>
      </c>
      <c r="N252" s="51" t="n">
        <f aca="false">First_Year+COLUMN()-COLUMN($J$1)</f>
        <v>2030</v>
      </c>
      <c r="O252" s="51" t="n">
        <f aca="false">First_Year+COLUMN()-COLUMN($J$1)</f>
        <v>2031</v>
      </c>
      <c r="P252" s="51" t="n">
        <f aca="false">First_Year+COLUMN()-COLUMN($J$1)</f>
        <v>2032</v>
      </c>
      <c r="Q252" s="51" t="n">
        <f aca="false">First_Year+COLUMN()-COLUMN($J$1)</f>
        <v>2033</v>
      </c>
      <c r="R252" s="51" t="n">
        <f aca="false">First_Year+COLUMN()-COLUMN($J$1)</f>
        <v>2034</v>
      </c>
      <c r="S252" s="51" t="n">
        <f aca="false">First_Year+COLUMN()-COLUMN($J$1)</f>
        <v>2035</v>
      </c>
      <c r="T252" s="51" t="n">
        <f aca="false">First_Year+COLUMN()-COLUMN($J$1)</f>
        <v>2036</v>
      </c>
      <c r="U252" s="51" t="n">
        <f aca="false">First_Year+COLUMN()-COLUMN($J$1)</f>
        <v>2037</v>
      </c>
      <c r="V252" s="51" t="n">
        <f aca="false">First_Year+COLUMN()-COLUMN($J$1)</f>
        <v>2038</v>
      </c>
      <c r="W252" s="51" t="n">
        <f aca="false">First_Year+COLUMN()-COLUMN($J$1)</f>
        <v>2039</v>
      </c>
      <c r="X252" s="51" t="n">
        <f aca="false">First_Year+COLUMN()-COLUMN($J$1)</f>
        <v>2040</v>
      </c>
      <c r="Y252" s="51" t="n">
        <f aca="false">First_Year+COLUMN()-COLUMN($J$1)</f>
        <v>2041</v>
      </c>
      <c r="Z252" s="51" t="n">
        <f aca="false">First_Year+COLUMN()-COLUMN($J$1)</f>
        <v>2042</v>
      </c>
      <c r="AA252" s="51" t="n">
        <f aca="false">First_Year+COLUMN()-COLUMN($J$1)</f>
        <v>2043</v>
      </c>
      <c r="AB252" s="51" t="n">
        <f aca="false">First_Year+COLUMN()-COLUMN($J$1)</f>
        <v>2044</v>
      </c>
      <c r="AC252" s="51" t="n">
        <f aca="false">First_Year+COLUMN()-COLUMN($J$1)</f>
        <v>2045</v>
      </c>
      <c r="AD252" s="51" t="n">
        <f aca="false">First_Year+COLUMN()-COLUMN($J$1)</f>
        <v>2046</v>
      </c>
      <c r="AE252" s="51" t="n">
        <f aca="false">First_Year+COLUMN()-COLUMN($J$1)</f>
        <v>2047</v>
      </c>
      <c r="AF252" s="51" t="n">
        <f aca="false">First_Year+COLUMN()-COLUMN($J$1)</f>
        <v>2048</v>
      </c>
      <c r="AG252" s="51" t="n">
        <f aca="false">First_Year+COLUMN()-COLUMN($J$1)</f>
        <v>2049</v>
      </c>
      <c r="AH252" s="51" t="n">
        <f aca="false">First_Year+COLUMN()-COLUMN($J$1)</f>
        <v>2050</v>
      </c>
      <c r="AI252" s="51" t="n">
        <f aca="false">First_Year+COLUMN()-COLUMN($J$1)</f>
        <v>2051</v>
      </c>
      <c r="AJ252" s="51" t="n">
        <f aca="false">First_Year+COLUMN()-COLUMN($J$1)</f>
        <v>2052</v>
      </c>
      <c r="AK252" s="51" t="n">
        <f aca="false">First_Year+COLUMN()-COLUMN($J$1)</f>
        <v>2053</v>
      </c>
      <c r="AL252" s="51" t="n">
        <f aca="false">First_Year+COLUMN()-COLUMN($J$1)</f>
        <v>2054</v>
      </c>
      <c r="AM252" s="51" t="n">
        <f aca="false">First_Year+COLUMN()-COLUMN($J$1)</f>
        <v>2055</v>
      </c>
      <c r="AN252" s="51" t="n">
        <f aca="false">First_Year+COLUMN()-COLUMN($J$1)</f>
        <v>2056</v>
      </c>
      <c r="AO252" s="51" t="n">
        <f aca="false">First_Year+COLUMN()-COLUMN($J$1)</f>
        <v>2057</v>
      </c>
      <c r="AP252" s="51" t="n">
        <f aca="false">First_Year+COLUMN()-COLUMN($J$1)</f>
        <v>2058</v>
      </c>
      <c r="AQ252" s="51" t="n">
        <f aca="false">First_Year+COLUMN()-COLUMN($J$1)</f>
        <v>2059</v>
      </c>
      <c r="AR252" s="51" t="n">
        <f aca="false">First_Year+COLUMN()-COLUMN($J$1)</f>
        <v>2060</v>
      </c>
      <c r="AS252" s="51" t="n">
        <f aca="false">First_Year+COLUMN()-COLUMN($J$1)</f>
        <v>2061</v>
      </c>
    </row>
    <row r="253" customFormat="false" ht="14.25" hidden="true" customHeight="false" outlineLevel="1" collapsed="false">
      <c r="C253" s="6" t="s">
        <v>210</v>
      </c>
      <c r="D253" s="2" t="s">
        <v>158</v>
      </c>
      <c r="J253" s="23" t="n">
        <f aca="false">DATE(J252+1,1,1)-1</f>
        <v>46387</v>
      </c>
      <c r="K253" s="23" t="n">
        <f aca="false">DATE(K252+1,1,1)-1</f>
        <v>46752</v>
      </c>
      <c r="L253" s="23" t="n">
        <f aca="false">DATE(L252+1,1,1)-1</f>
        <v>47118</v>
      </c>
      <c r="M253" s="23" t="n">
        <f aca="false">DATE(M252+1,1,1)-1</f>
        <v>47483</v>
      </c>
      <c r="N253" s="23" t="n">
        <f aca="false">DATE(N252+1,1,1)-1</f>
        <v>47848</v>
      </c>
      <c r="O253" s="23" t="n">
        <f aca="false">DATE(O252+1,1,1)-1</f>
        <v>48213</v>
      </c>
      <c r="P253" s="23" t="n">
        <f aca="false">DATE(P252+1,1,1)-1</f>
        <v>48579</v>
      </c>
      <c r="Q253" s="23" t="n">
        <f aca="false">DATE(Q252+1,1,1)-1</f>
        <v>48944</v>
      </c>
      <c r="R253" s="23" t="n">
        <f aca="false">DATE(R252+1,1,1)-1</f>
        <v>49309</v>
      </c>
      <c r="S253" s="23" t="n">
        <f aca="false">DATE(S252+1,1,1)-1</f>
        <v>49674</v>
      </c>
      <c r="T253" s="23" t="n">
        <f aca="false">DATE(T252+1,1,1)-1</f>
        <v>50040</v>
      </c>
      <c r="U253" s="23" t="n">
        <f aca="false">DATE(U252+1,1,1)-1</f>
        <v>50405</v>
      </c>
      <c r="V253" s="23" t="n">
        <f aca="false">DATE(V252+1,1,1)-1</f>
        <v>50770</v>
      </c>
      <c r="W253" s="23" t="n">
        <f aca="false">DATE(W252+1,1,1)-1</f>
        <v>51135</v>
      </c>
      <c r="X253" s="23" t="n">
        <f aca="false">DATE(X252+1,1,1)-1</f>
        <v>51501</v>
      </c>
      <c r="Y253" s="23" t="n">
        <f aca="false">DATE(Y252+1,1,1)-1</f>
        <v>51866</v>
      </c>
      <c r="Z253" s="23" t="n">
        <f aca="false">DATE(Z252+1,1,1)-1</f>
        <v>52231</v>
      </c>
      <c r="AA253" s="23" t="n">
        <f aca="false">DATE(AA252+1,1,1)-1</f>
        <v>52596</v>
      </c>
      <c r="AB253" s="23" t="n">
        <f aca="false">DATE(AB252+1,1,1)-1</f>
        <v>52962</v>
      </c>
      <c r="AC253" s="23" t="n">
        <f aca="false">DATE(AC252+1,1,1)-1</f>
        <v>53327</v>
      </c>
      <c r="AD253" s="23" t="n">
        <f aca="false">DATE(AD252+1,1,1)-1</f>
        <v>53692</v>
      </c>
      <c r="AE253" s="23" t="n">
        <f aca="false">DATE(AE252+1,1,1)-1</f>
        <v>54057</v>
      </c>
      <c r="AF253" s="23" t="n">
        <f aca="false">DATE(AF252+1,1,1)-1</f>
        <v>54423</v>
      </c>
      <c r="AG253" s="23" t="n">
        <f aca="false">DATE(AG252+1,1,1)-1</f>
        <v>54788</v>
      </c>
      <c r="AH253" s="23" t="n">
        <f aca="false">DATE(AH252+1,1,1)-1</f>
        <v>55153</v>
      </c>
      <c r="AI253" s="23" t="n">
        <f aca="false">DATE(AI252+1,1,1)-1</f>
        <v>55518</v>
      </c>
      <c r="AJ253" s="23" t="n">
        <f aca="false">DATE(AJ252+1,1,1)-1</f>
        <v>55884</v>
      </c>
      <c r="AK253" s="23" t="n">
        <f aca="false">DATE(AK252+1,1,1)-1</f>
        <v>56249</v>
      </c>
      <c r="AL253" s="23" t="n">
        <f aca="false">DATE(AL252+1,1,1)-1</f>
        <v>56614</v>
      </c>
      <c r="AM253" s="23" t="n">
        <f aca="false">DATE(AM252+1,1,1)-1</f>
        <v>56979</v>
      </c>
      <c r="AN253" s="23" t="n">
        <f aca="false">DATE(AN252+1,1,1)-1</f>
        <v>57345</v>
      </c>
      <c r="AO253" s="23" t="n">
        <f aca="false">DATE(AO252+1,1,1)-1</f>
        <v>57710</v>
      </c>
      <c r="AP253" s="23" t="n">
        <f aca="false">DATE(AP252+1,1,1)-1</f>
        <v>58075</v>
      </c>
      <c r="AQ253" s="23" t="n">
        <f aca="false">DATE(AQ252+1,1,1)-1</f>
        <v>58440</v>
      </c>
      <c r="AR253" s="23" t="n">
        <f aca="false">DATE(AR252+1,1,1)-1</f>
        <v>58806</v>
      </c>
      <c r="AS253" s="23" t="n">
        <f aca="false">DATE(AS252+1,1,1)-1</f>
        <v>59171</v>
      </c>
    </row>
    <row r="254" customFormat="false" ht="14.25" hidden="true" customHeight="false" outlineLevel="1" collapsed="false"/>
    <row r="255" customFormat="false" ht="14.25" hidden="true" customHeight="false" outlineLevel="1" collapsed="false">
      <c r="B255" s="4" t="s">
        <v>3</v>
      </c>
      <c r="C255" s="4" t="s">
        <v>211</v>
      </c>
      <c r="D255" s="4"/>
      <c r="E255" s="5" t="s">
        <v>212</v>
      </c>
      <c r="F255" s="5"/>
      <c r="G255" s="5"/>
      <c r="H255" s="5" t="s">
        <v>8</v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</row>
    <row r="256" customFormat="false" ht="14.25" hidden="true" customHeight="false" outlineLevel="1" collapsed="false">
      <c r="C256" s="6" t="s">
        <v>213</v>
      </c>
      <c r="D256" s="2" t="s">
        <v>214</v>
      </c>
      <c r="J256" s="51" t="n">
        <f aca="false">J$252-YEAR(Inputs!$E$33)</f>
        <v>-5</v>
      </c>
      <c r="K256" s="51" t="n">
        <f aca="false">K$252-YEAR(Inputs!$E$33)</f>
        <v>-4</v>
      </c>
      <c r="L256" s="51" t="n">
        <f aca="false">L$252-YEAR(Inputs!$E$33)</f>
        <v>-3</v>
      </c>
      <c r="M256" s="51" t="n">
        <f aca="false">M$252-YEAR(Inputs!$E$33)</f>
        <v>-2</v>
      </c>
      <c r="N256" s="51" t="n">
        <f aca="false">N$252-YEAR(Inputs!$E$33)</f>
        <v>-1</v>
      </c>
      <c r="O256" s="51" t="n">
        <f aca="false">O$252-YEAR(Inputs!$E$33)</f>
        <v>0</v>
      </c>
      <c r="P256" s="51" t="n">
        <f aca="false">P$252-YEAR(Inputs!$E$33)</f>
        <v>1</v>
      </c>
      <c r="Q256" s="51" t="n">
        <f aca="false">Q$252-YEAR(Inputs!$E$33)</f>
        <v>2</v>
      </c>
      <c r="R256" s="51" t="n">
        <f aca="false">R$252-YEAR(Inputs!$E$33)</f>
        <v>3</v>
      </c>
      <c r="S256" s="51" t="n">
        <f aca="false">S$252-YEAR(Inputs!$E$33)</f>
        <v>4</v>
      </c>
      <c r="T256" s="51" t="n">
        <f aca="false">T$252-YEAR(Inputs!$E$33)</f>
        <v>5</v>
      </c>
      <c r="U256" s="51" t="n">
        <f aca="false">U$252-YEAR(Inputs!$E$33)</f>
        <v>6</v>
      </c>
      <c r="V256" s="51" t="n">
        <f aca="false">V$252-YEAR(Inputs!$E$33)</f>
        <v>7</v>
      </c>
      <c r="W256" s="51" t="n">
        <f aca="false">W$252-YEAR(Inputs!$E$33)</f>
        <v>8</v>
      </c>
      <c r="X256" s="51" t="n">
        <f aca="false">X$252-YEAR(Inputs!$E$33)</f>
        <v>9</v>
      </c>
      <c r="Y256" s="51" t="n">
        <f aca="false">Y$252-YEAR(Inputs!$E$33)</f>
        <v>10</v>
      </c>
      <c r="Z256" s="51" t="n">
        <f aca="false">Z$252-YEAR(Inputs!$E$33)</f>
        <v>11</v>
      </c>
      <c r="AA256" s="51" t="n">
        <f aca="false">AA$252-YEAR(Inputs!$E$33)</f>
        <v>12</v>
      </c>
      <c r="AB256" s="51" t="n">
        <f aca="false">AB$252-YEAR(Inputs!$E$33)</f>
        <v>13</v>
      </c>
      <c r="AC256" s="51" t="n">
        <f aca="false">AC$252-YEAR(Inputs!$E$33)</f>
        <v>14</v>
      </c>
      <c r="AD256" s="51" t="n">
        <f aca="false">AD$252-YEAR(Inputs!$E$33)</f>
        <v>15</v>
      </c>
      <c r="AE256" s="51" t="n">
        <f aca="false">AE$252-YEAR(Inputs!$E$33)</f>
        <v>16</v>
      </c>
      <c r="AF256" s="51" t="n">
        <f aca="false">AF$252-YEAR(Inputs!$E$33)</f>
        <v>17</v>
      </c>
      <c r="AG256" s="51" t="n">
        <f aca="false">AG$252-YEAR(Inputs!$E$33)</f>
        <v>18</v>
      </c>
      <c r="AH256" s="51" t="n">
        <f aca="false">AH$252-YEAR(Inputs!$E$33)</f>
        <v>19</v>
      </c>
      <c r="AI256" s="51" t="n">
        <f aca="false">AI$252-YEAR(Inputs!$E$33)</f>
        <v>20</v>
      </c>
      <c r="AJ256" s="51" t="n">
        <f aca="false">AJ$252-YEAR(Inputs!$E$33)</f>
        <v>21</v>
      </c>
      <c r="AK256" s="51" t="n">
        <f aca="false">AK$252-YEAR(Inputs!$E$33)</f>
        <v>22</v>
      </c>
      <c r="AL256" s="51" t="n">
        <f aca="false">AL$252-YEAR(Inputs!$E$33)</f>
        <v>23</v>
      </c>
      <c r="AM256" s="51" t="n">
        <f aca="false">AM$252-YEAR(Inputs!$E$33)</f>
        <v>24</v>
      </c>
      <c r="AN256" s="51" t="n">
        <f aca="false">AN$252-YEAR(Inputs!$E$33)</f>
        <v>25</v>
      </c>
      <c r="AO256" s="51" t="n">
        <f aca="false">AO$252-YEAR(Inputs!$E$33)</f>
        <v>26</v>
      </c>
      <c r="AP256" s="51" t="n">
        <f aca="false">AP$252-YEAR(Inputs!$E$33)</f>
        <v>27</v>
      </c>
      <c r="AQ256" s="51" t="n">
        <f aca="false">AQ$252-YEAR(Inputs!$E$33)</f>
        <v>28</v>
      </c>
      <c r="AR256" s="51" t="n">
        <f aca="false">AR$252-YEAR(Inputs!$E$33)</f>
        <v>29</v>
      </c>
      <c r="AS256" s="51" t="n">
        <f aca="false">AS$252-YEAR(Inputs!$E$33)</f>
        <v>30</v>
      </c>
    </row>
    <row r="257" customFormat="false" ht="14.25" hidden="true" customHeight="false" outlineLevel="1" collapsed="false">
      <c r="C257" s="6" t="s">
        <v>215</v>
      </c>
      <c r="D257" s="2" t="s">
        <v>216</v>
      </c>
      <c r="E257" s="51" t="n">
        <f aca="false">DATEDIF(Inputs!$E$32,Inputs!$E$33,"m")</f>
        <v>24</v>
      </c>
      <c r="J257" s="51" t="n">
        <f aca="false">(J$252+1-YEAR(Inputs!$E$32))*Months_In_Year-MONTH(Inputs!$E$32)</f>
        <v>-30</v>
      </c>
      <c r="K257" s="51" t="n">
        <f aca="false">(K$252+1-YEAR(Inputs!$E$32))*Months_In_Year-MONTH(Inputs!$E$32)</f>
        <v>-18</v>
      </c>
      <c r="L257" s="51" t="n">
        <f aca="false">(L$252+1-YEAR(Inputs!$E$32))*Months_In_Year-MONTH(Inputs!$E$32)</f>
        <v>-6</v>
      </c>
      <c r="M257" s="51" t="n">
        <f aca="false">(M$252+1-YEAR(Inputs!$E$32))*Months_In_Year-MONTH(Inputs!$E$32)</f>
        <v>6</v>
      </c>
      <c r="N257" s="51" t="n">
        <f aca="false">(N$252+1-YEAR(Inputs!$E$32))*Months_In_Year-MONTH(Inputs!$E$32)</f>
        <v>18</v>
      </c>
      <c r="O257" s="51" t="n">
        <f aca="false">(O$252+1-YEAR(Inputs!$E$32))*Months_In_Year-MONTH(Inputs!$E$32)</f>
        <v>30</v>
      </c>
      <c r="P257" s="51" t="n">
        <f aca="false">(P$252+1-YEAR(Inputs!$E$32))*Months_In_Year-MONTH(Inputs!$E$32)</f>
        <v>42</v>
      </c>
      <c r="Q257" s="51" t="n">
        <f aca="false">(Q$252+1-YEAR(Inputs!$E$32))*Months_In_Year-MONTH(Inputs!$E$32)</f>
        <v>54</v>
      </c>
      <c r="R257" s="51" t="n">
        <f aca="false">(R$252+1-YEAR(Inputs!$E$32))*Months_In_Year-MONTH(Inputs!$E$32)</f>
        <v>66</v>
      </c>
      <c r="S257" s="51" t="n">
        <f aca="false">(S$252+1-YEAR(Inputs!$E$32))*Months_In_Year-MONTH(Inputs!$E$32)</f>
        <v>78</v>
      </c>
      <c r="T257" s="51" t="n">
        <f aca="false">(T$252+1-YEAR(Inputs!$E$32))*Months_In_Year-MONTH(Inputs!$E$32)</f>
        <v>90</v>
      </c>
      <c r="U257" s="51" t="n">
        <f aca="false">(U$252+1-YEAR(Inputs!$E$32))*Months_In_Year-MONTH(Inputs!$E$32)</f>
        <v>102</v>
      </c>
      <c r="V257" s="51" t="n">
        <f aca="false">(V$252+1-YEAR(Inputs!$E$32))*Months_In_Year-MONTH(Inputs!$E$32)</f>
        <v>114</v>
      </c>
      <c r="W257" s="51" t="n">
        <f aca="false">(W$252+1-YEAR(Inputs!$E$32))*Months_In_Year-MONTH(Inputs!$E$32)</f>
        <v>126</v>
      </c>
      <c r="X257" s="51" t="n">
        <f aca="false">(X$252+1-YEAR(Inputs!$E$32))*Months_In_Year-MONTH(Inputs!$E$32)</f>
        <v>138</v>
      </c>
      <c r="Y257" s="51" t="n">
        <f aca="false">(Y$252+1-YEAR(Inputs!$E$32))*Months_In_Year-MONTH(Inputs!$E$32)</f>
        <v>150</v>
      </c>
      <c r="Z257" s="51" t="n">
        <f aca="false">(Z$252+1-YEAR(Inputs!$E$32))*Months_In_Year-MONTH(Inputs!$E$32)</f>
        <v>162</v>
      </c>
      <c r="AA257" s="51" t="n">
        <f aca="false">(AA$252+1-YEAR(Inputs!$E$32))*Months_In_Year-MONTH(Inputs!$E$32)</f>
        <v>174</v>
      </c>
      <c r="AB257" s="51" t="n">
        <f aca="false">(AB$252+1-YEAR(Inputs!$E$32))*Months_In_Year-MONTH(Inputs!$E$32)</f>
        <v>186</v>
      </c>
      <c r="AC257" s="51" t="n">
        <f aca="false">(AC$252+1-YEAR(Inputs!$E$32))*Months_In_Year-MONTH(Inputs!$E$32)</f>
        <v>198</v>
      </c>
      <c r="AD257" s="51" t="n">
        <f aca="false">(AD$252+1-YEAR(Inputs!$E$32))*Months_In_Year-MONTH(Inputs!$E$32)</f>
        <v>210</v>
      </c>
      <c r="AE257" s="51" t="n">
        <f aca="false">(AE$252+1-YEAR(Inputs!$E$32))*Months_In_Year-MONTH(Inputs!$E$32)</f>
        <v>222</v>
      </c>
      <c r="AF257" s="51" t="n">
        <f aca="false">(AF$252+1-YEAR(Inputs!$E$32))*Months_In_Year-MONTH(Inputs!$E$32)</f>
        <v>234</v>
      </c>
      <c r="AG257" s="51" t="n">
        <f aca="false">(AG$252+1-YEAR(Inputs!$E$32))*Months_In_Year-MONTH(Inputs!$E$32)</f>
        <v>246</v>
      </c>
      <c r="AH257" s="51" t="n">
        <f aca="false">(AH$252+1-YEAR(Inputs!$E$32))*Months_In_Year-MONTH(Inputs!$E$32)</f>
        <v>258</v>
      </c>
      <c r="AI257" s="51" t="n">
        <f aca="false">(AI$252+1-YEAR(Inputs!$E$32))*Months_In_Year-MONTH(Inputs!$E$32)</f>
        <v>270</v>
      </c>
      <c r="AJ257" s="51" t="n">
        <f aca="false">(AJ$252+1-YEAR(Inputs!$E$32))*Months_In_Year-MONTH(Inputs!$E$32)</f>
        <v>282</v>
      </c>
      <c r="AK257" s="51" t="n">
        <f aca="false">(AK$252+1-YEAR(Inputs!$E$32))*Months_In_Year-MONTH(Inputs!$E$32)</f>
        <v>294</v>
      </c>
      <c r="AL257" s="51" t="n">
        <f aca="false">(AL$252+1-YEAR(Inputs!$E$32))*Months_In_Year-MONTH(Inputs!$E$32)</f>
        <v>306</v>
      </c>
      <c r="AM257" s="51" t="n">
        <f aca="false">(AM$252+1-YEAR(Inputs!$E$32))*Months_In_Year-MONTH(Inputs!$E$32)</f>
        <v>318</v>
      </c>
      <c r="AN257" s="51" t="n">
        <f aca="false">(AN$252+1-YEAR(Inputs!$E$32))*Months_In_Year-MONTH(Inputs!$E$32)</f>
        <v>330</v>
      </c>
      <c r="AO257" s="51" t="n">
        <f aca="false">(AO$252+1-YEAR(Inputs!$E$32))*Months_In_Year-MONTH(Inputs!$E$32)</f>
        <v>342</v>
      </c>
      <c r="AP257" s="51" t="n">
        <f aca="false">(AP$252+1-YEAR(Inputs!$E$32))*Months_In_Year-MONTH(Inputs!$E$32)</f>
        <v>354</v>
      </c>
      <c r="AQ257" s="51" t="n">
        <f aca="false">(AQ$252+1-YEAR(Inputs!$E$32))*Months_In_Year-MONTH(Inputs!$E$32)</f>
        <v>366</v>
      </c>
      <c r="AR257" s="51" t="n">
        <f aca="false">(AR$252+1-YEAR(Inputs!$E$32))*Months_In_Year-MONTH(Inputs!$E$32)</f>
        <v>378</v>
      </c>
      <c r="AS257" s="51" t="n">
        <f aca="false">(AS$252+1-YEAR(Inputs!$E$32))*Months_In_Year-MONTH(Inputs!$E$32)</f>
        <v>390</v>
      </c>
    </row>
    <row r="258" customFormat="false" ht="14.25" hidden="true" customHeight="false" outlineLevel="1" collapsed="false">
      <c r="C258" s="6" t="s">
        <v>217</v>
      </c>
      <c r="D258" s="2" t="s">
        <v>12</v>
      </c>
      <c r="H258" s="54" t="n">
        <f aca="false">SUM(J258:AS258)</f>
        <v>1</v>
      </c>
      <c r="J258" s="47" t="n">
        <f aca="false">MAX(0,MIN(J257,$E257)-MAX(J257-Months_In_Year,0))/$E257</f>
        <v>0</v>
      </c>
      <c r="K258" s="47" t="n">
        <f aca="false">MAX(0,MIN(K257,$E257)-MAX(K257-Months_In_Year,0))/$E257</f>
        <v>0</v>
      </c>
      <c r="L258" s="47" t="n">
        <f aca="false">MAX(0,MIN(L257,$E257)-MAX(L257-Months_In_Year,0))/$E257</f>
        <v>0</v>
      </c>
      <c r="M258" s="47" t="n">
        <f aca="false">MAX(0,MIN(M257,$E257)-MAX(M257-Months_In_Year,0))/$E257</f>
        <v>0.25</v>
      </c>
      <c r="N258" s="47" t="n">
        <f aca="false">MAX(0,MIN(N257,$E257)-MAX(N257-Months_In_Year,0))/$E257</f>
        <v>0.5</v>
      </c>
      <c r="O258" s="47" t="n">
        <f aca="false">MAX(0,MIN(O257,$E257)-MAX(O257-Months_In_Year,0))/$E257</f>
        <v>0.25</v>
      </c>
      <c r="P258" s="47" t="n">
        <f aca="false">MAX(0,MIN(P257,$E257)-MAX(P257-Months_In_Year,0))/$E257</f>
        <v>0</v>
      </c>
      <c r="Q258" s="47" t="n">
        <f aca="false">MAX(0,MIN(Q257,$E257)-MAX(Q257-Months_In_Year,0))/$E257</f>
        <v>0</v>
      </c>
      <c r="R258" s="47" t="n">
        <f aca="false">MAX(0,MIN(R257,$E257)-MAX(R257-Months_In_Year,0))/$E257</f>
        <v>0</v>
      </c>
      <c r="S258" s="47" t="n">
        <f aca="false">MAX(0,MIN(S257,$E257)-MAX(S257-Months_In_Year,0))/$E257</f>
        <v>0</v>
      </c>
      <c r="T258" s="47" t="n">
        <f aca="false">MAX(0,MIN(T257,$E257)-MAX(T257-Months_In_Year,0))/$E257</f>
        <v>0</v>
      </c>
      <c r="U258" s="47" t="n">
        <f aca="false">MAX(0,MIN(U257,$E257)-MAX(U257-Months_In_Year,0))/$E257</f>
        <v>0</v>
      </c>
      <c r="V258" s="47" t="n">
        <f aca="false">MAX(0,MIN(V257,$E257)-MAX(V257-Months_In_Year,0))/$E257</f>
        <v>0</v>
      </c>
      <c r="W258" s="47" t="n">
        <f aca="false">MAX(0,MIN(W257,$E257)-MAX(W257-Months_In_Year,0))/$E257</f>
        <v>0</v>
      </c>
      <c r="X258" s="47" t="n">
        <f aca="false">MAX(0,MIN(X257,$E257)-MAX(X257-Months_In_Year,0))/$E257</f>
        <v>0</v>
      </c>
      <c r="Y258" s="47" t="n">
        <f aca="false">MAX(0,MIN(Y257,$E257)-MAX(Y257-Months_In_Year,0))/$E257</f>
        <v>0</v>
      </c>
      <c r="Z258" s="47" t="n">
        <f aca="false">MAX(0,MIN(Z257,$E257)-MAX(Z257-Months_In_Year,0))/$E257</f>
        <v>0</v>
      </c>
      <c r="AA258" s="47" t="n">
        <f aca="false">MAX(0,MIN(AA257,$E257)-MAX(AA257-Months_In_Year,0))/$E257</f>
        <v>0</v>
      </c>
      <c r="AB258" s="47" t="n">
        <f aca="false">MAX(0,MIN(AB257,$E257)-MAX(AB257-Months_In_Year,0))/$E257</f>
        <v>0</v>
      </c>
      <c r="AC258" s="47" t="n">
        <f aca="false">MAX(0,MIN(AC257,$E257)-MAX(AC257-Months_In_Year,0))/$E257</f>
        <v>0</v>
      </c>
      <c r="AD258" s="47" t="n">
        <f aca="false">MAX(0,MIN(AD257,$E257)-MAX(AD257-Months_In_Year,0))/$E257</f>
        <v>0</v>
      </c>
      <c r="AE258" s="47" t="n">
        <f aca="false">MAX(0,MIN(AE257,$E257)-MAX(AE257-Months_In_Year,0))/$E257</f>
        <v>0</v>
      </c>
      <c r="AF258" s="47" t="n">
        <f aca="false">MAX(0,MIN(AF257,$E257)-MAX(AF257-Months_In_Year,0))/$E257</f>
        <v>0</v>
      </c>
      <c r="AG258" s="47" t="n">
        <f aca="false">MAX(0,MIN(AG257,$E257)-MAX(AG257-Months_In_Year,0))/$E257</f>
        <v>0</v>
      </c>
      <c r="AH258" s="47" t="n">
        <f aca="false">MAX(0,MIN(AH257,$E257)-MAX(AH257-Months_In_Year,0))/$E257</f>
        <v>0</v>
      </c>
      <c r="AI258" s="47" t="n">
        <f aca="false">MAX(0,MIN(AI257,$E257)-MAX(AI257-Months_In_Year,0))/$E257</f>
        <v>0</v>
      </c>
      <c r="AJ258" s="47" t="n">
        <f aca="false">MAX(0,MIN(AJ257,$E257)-MAX(AJ257-Months_In_Year,0))/$E257</f>
        <v>0</v>
      </c>
      <c r="AK258" s="47" t="n">
        <f aca="false">MAX(0,MIN(AK257,$E257)-MAX(AK257-Months_In_Year,0))/$E257</f>
        <v>0</v>
      </c>
      <c r="AL258" s="47" t="n">
        <f aca="false">MAX(0,MIN(AL257,$E257)-MAX(AL257-Months_In_Year,0))/$E257</f>
        <v>0</v>
      </c>
      <c r="AM258" s="47" t="n">
        <f aca="false">MAX(0,MIN(AM257,$E257)-MAX(AM257-Months_In_Year,0))/$E257</f>
        <v>0</v>
      </c>
      <c r="AN258" s="47" t="n">
        <f aca="false">MAX(0,MIN(AN257,$E257)-MAX(AN257-Months_In_Year,0))/$E257</f>
        <v>0</v>
      </c>
      <c r="AO258" s="47" t="n">
        <f aca="false">MAX(0,MIN(AO257,$E257)-MAX(AO257-Months_In_Year,0))/$E257</f>
        <v>0</v>
      </c>
      <c r="AP258" s="47" t="n">
        <f aca="false">MAX(0,MIN(AP257,$E257)-MAX(AP257-Months_In_Year,0))/$E257</f>
        <v>0</v>
      </c>
      <c r="AQ258" s="47" t="n">
        <f aca="false">MAX(0,MIN(AQ257,$E257)-MAX(AQ257-Months_In_Year,0))/$E257</f>
        <v>0</v>
      </c>
      <c r="AR258" s="47" t="n">
        <f aca="false">MAX(0,MIN(AR257,$E257)-MAX(AR257-Months_In_Year,0))/$E257</f>
        <v>0</v>
      </c>
      <c r="AS258" s="47" t="n">
        <f aca="false">MAX(0,MIN(AS257,$E257)-MAX(AS257-Months_In_Year,0))/$E257</f>
        <v>0</v>
      </c>
    </row>
    <row r="259" customFormat="false" ht="14.25" hidden="true" customHeight="false" outlineLevel="1" collapsed="false">
      <c r="C259" s="6" t="s">
        <v>218</v>
      </c>
      <c r="D259" s="2" t="s">
        <v>216</v>
      </c>
      <c r="E259" s="51" t="n">
        <f aca="false">Life*Months_In_Year</f>
        <v>360</v>
      </c>
      <c r="J259" s="51" t="n">
        <f aca="false">(J$252+1-YEAR(Inputs!$E$33))*Months_In_Year-MONTH(Inputs!$E$33)</f>
        <v>-54</v>
      </c>
      <c r="K259" s="51" t="n">
        <f aca="false">(K$252+1-YEAR(Inputs!$E$33))*Months_In_Year-MONTH(Inputs!$E$33)</f>
        <v>-42</v>
      </c>
      <c r="L259" s="51" t="n">
        <f aca="false">(L$252+1-YEAR(Inputs!$E$33))*Months_In_Year-MONTH(Inputs!$E$33)</f>
        <v>-30</v>
      </c>
      <c r="M259" s="51" t="n">
        <f aca="false">(M$252+1-YEAR(Inputs!$E$33))*Months_In_Year-MONTH(Inputs!$E$33)</f>
        <v>-18</v>
      </c>
      <c r="N259" s="51" t="n">
        <f aca="false">(N$252+1-YEAR(Inputs!$E$33))*Months_In_Year-MONTH(Inputs!$E$33)</f>
        <v>-6</v>
      </c>
      <c r="O259" s="51" t="n">
        <f aca="false">(O$252+1-YEAR(Inputs!$E$33))*Months_In_Year-MONTH(Inputs!$E$33)</f>
        <v>6</v>
      </c>
      <c r="P259" s="51" t="n">
        <f aca="false">(P$252+1-YEAR(Inputs!$E$33))*Months_In_Year-MONTH(Inputs!$E$33)</f>
        <v>18</v>
      </c>
      <c r="Q259" s="51" t="n">
        <f aca="false">(Q$252+1-YEAR(Inputs!$E$33))*Months_In_Year-MONTH(Inputs!$E$33)</f>
        <v>30</v>
      </c>
      <c r="R259" s="51" t="n">
        <f aca="false">(R$252+1-YEAR(Inputs!$E$33))*Months_In_Year-MONTH(Inputs!$E$33)</f>
        <v>42</v>
      </c>
      <c r="S259" s="51" t="n">
        <f aca="false">(S$252+1-YEAR(Inputs!$E$33))*Months_In_Year-MONTH(Inputs!$E$33)</f>
        <v>54</v>
      </c>
      <c r="T259" s="51" t="n">
        <f aca="false">(T$252+1-YEAR(Inputs!$E$33))*Months_In_Year-MONTH(Inputs!$E$33)</f>
        <v>66</v>
      </c>
      <c r="U259" s="51" t="n">
        <f aca="false">(U$252+1-YEAR(Inputs!$E$33))*Months_In_Year-MONTH(Inputs!$E$33)</f>
        <v>78</v>
      </c>
      <c r="V259" s="51" t="n">
        <f aca="false">(V$252+1-YEAR(Inputs!$E$33))*Months_In_Year-MONTH(Inputs!$E$33)</f>
        <v>90</v>
      </c>
      <c r="W259" s="51" t="n">
        <f aca="false">(W$252+1-YEAR(Inputs!$E$33))*Months_In_Year-MONTH(Inputs!$E$33)</f>
        <v>102</v>
      </c>
      <c r="X259" s="51" t="n">
        <f aca="false">(X$252+1-YEAR(Inputs!$E$33))*Months_In_Year-MONTH(Inputs!$E$33)</f>
        <v>114</v>
      </c>
      <c r="Y259" s="51" t="n">
        <f aca="false">(Y$252+1-YEAR(Inputs!$E$33))*Months_In_Year-MONTH(Inputs!$E$33)</f>
        <v>126</v>
      </c>
      <c r="Z259" s="51" t="n">
        <f aca="false">(Z$252+1-YEAR(Inputs!$E$33))*Months_In_Year-MONTH(Inputs!$E$33)</f>
        <v>138</v>
      </c>
      <c r="AA259" s="51" t="n">
        <f aca="false">(AA$252+1-YEAR(Inputs!$E$33))*Months_In_Year-MONTH(Inputs!$E$33)</f>
        <v>150</v>
      </c>
      <c r="AB259" s="51" t="n">
        <f aca="false">(AB$252+1-YEAR(Inputs!$E$33))*Months_In_Year-MONTH(Inputs!$E$33)</f>
        <v>162</v>
      </c>
      <c r="AC259" s="51" t="n">
        <f aca="false">(AC$252+1-YEAR(Inputs!$E$33))*Months_In_Year-MONTH(Inputs!$E$33)</f>
        <v>174</v>
      </c>
      <c r="AD259" s="51" t="n">
        <f aca="false">(AD$252+1-YEAR(Inputs!$E$33))*Months_In_Year-MONTH(Inputs!$E$33)</f>
        <v>186</v>
      </c>
      <c r="AE259" s="51" t="n">
        <f aca="false">(AE$252+1-YEAR(Inputs!$E$33))*Months_In_Year-MONTH(Inputs!$E$33)</f>
        <v>198</v>
      </c>
      <c r="AF259" s="51" t="n">
        <f aca="false">(AF$252+1-YEAR(Inputs!$E$33))*Months_In_Year-MONTH(Inputs!$E$33)</f>
        <v>210</v>
      </c>
      <c r="AG259" s="51" t="n">
        <f aca="false">(AG$252+1-YEAR(Inputs!$E$33))*Months_In_Year-MONTH(Inputs!$E$33)</f>
        <v>222</v>
      </c>
      <c r="AH259" s="51" t="n">
        <f aca="false">(AH$252+1-YEAR(Inputs!$E$33))*Months_In_Year-MONTH(Inputs!$E$33)</f>
        <v>234</v>
      </c>
      <c r="AI259" s="51" t="n">
        <f aca="false">(AI$252+1-YEAR(Inputs!$E$33))*Months_In_Year-MONTH(Inputs!$E$33)</f>
        <v>246</v>
      </c>
      <c r="AJ259" s="51" t="n">
        <f aca="false">(AJ$252+1-YEAR(Inputs!$E$33))*Months_In_Year-MONTH(Inputs!$E$33)</f>
        <v>258</v>
      </c>
      <c r="AK259" s="51" t="n">
        <f aca="false">(AK$252+1-YEAR(Inputs!$E$33))*Months_In_Year-MONTH(Inputs!$E$33)</f>
        <v>270</v>
      </c>
      <c r="AL259" s="51" t="n">
        <f aca="false">(AL$252+1-YEAR(Inputs!$E$33))*Months_In_Year-MONTH(Inputs!$E$33)</f>
        <v>282</v>
      </c>
      <c r="AM259" s="51" t="n">
        <f aca="false">(AM$252+1-YEAR(Inputs!$E$33))*Months_In_Year-MONTH(Inputs!$E$33)</f>
        <v>294</v>
      </c>
      <c r="AN259" s="51" t="n">
        <f aca="false">(AN$252+1-YEAR(Inputs!$E$33))*Months_In_Year-MONTH(Inputs!$E$33)</f>
        <v>306</v>
      </c>
      <c r="AO259" s="51" t="n">
        <f aca="false">(AO$252+1-YEAR(Inputs!$E$33))*Months_In_Year-MONTH(Inputs!$E$33)</f>
        <v>318</v>
      </c>
      <c r="AP259" s="51" t="n">
        <f aca="false">(AP$252+1-YEAR(Inputs!$E$33))*Months_In_Year-MONTH(Inputs!$E$33)</f>
        <v>330</v>
      </c>
      <c r="AQ259" s="51" t="n">
        <f aca="false">(AQ$252+1-YEAR(Inputs!$E$33))*Months_In_Year-MONTH(Inputs!$E$33)</f>
        <v>342</v>
      </c>
      <c r="AR259" s="51" t="n">
        <f aca="false">(AR$252+1-YEAR(Inputs!$E$33))*Months_In_Year-MONTH(Inputs!$E$33)</f>
        <v>354</v>
      </c>
      <c r="AS259" s="51" t="n">
        <f aca="false">(AS$252+1-YEAR(Inputs!$E$33))*Months_In_Year-MONTH(Inputs!$E$33)</f>
        <v>366</v>
      </c>
    </row>
    <row r="260" customFormat="false" ht="14.25" hidden="true" customHeight="false" outlineLevel="1" collapsed="false">
      <c r="C260" s="6" t="s">
        <v>219</v>
      </c>
      <c r="D260" s="2" t="s">
        <v>12</v>
      </c>
      <c r="H260" s="54" t="n">
        <f aca="false">SUM(J260:AS260)</f>
        <v>30</v>
      </c>
      <c r="J260" s="47" t="n">
        <f aca="false">MAX(0,MIN(J259,$E259)-MAX(J259-Months_In_Year,0))/Months_In_Year</f>
        <v>0</v>
      </c>
      <c r="K260" s="47" t="n">
        <f aca="false">MAX(0,MIN(K259,$E259)-MAX(K259-Months_In_Year,0))/Months_In_Year</f>
        <v>0</v>
      </c>
      <c r="L260" s="47" t="n">
        <f aca="false">MAX(0,MIN(L259,$E259)-MAX(L259-Months_In_Year,0))/Months_In_Year</f>
        <v>0</v>
      </c>
      <c r="M260" s="47" t="n">
        <f aca="false">MAX(0,MIN(M259,$E259)-MAX(M259-Months_In_Year,0))/Months_In_Year</f>
        <v>0</v>
      </c>
      <c r="N260" s="47" t="n">
        <f aca="false">MAX(0,MIN(N259,$E259)-MAX(N259-Months_In_Year,0))/Months_In_Year</f>
        <v>0</v>
      </c>
      <c r="O260" s="47" t="n">
        <f aca="false">MAX(0,MIN(O259,$E259)-MAX(O259-Months_In_Year,0))/Months_In_Year</f>
        <v>0.5</v>
      </c>
      <c r="P260" s="47" t="n">
        <f aca="false">MAX(0,MIN(P259,$E259)-MAX(P259-Months_In_Year,0))/Months_In_Year</f>
        <v>1</v>
      </c>
      <c r="Q260" s="47" t="n">
        <f aca="false">MAX(0,MIN(Q259,$E259)-MAX(Q259-Months_In_Year,0))/Months_In_Year</f>
        <v>1</v>
      </c>
      <c r="R260" s="47" t="n">
        <f aca="false">MAX(0,MIN(R259,$E259)-MAX(R259-Months_In_Year,0))/Months_In_Year</f>
        <v>1</v>
      </c>
      <c r="S260" s="47" t="n">
        <f aca="false">MAX(0,MIN(S259,$E259)-MAX(S259-Months_In_Year,0))/Months_In_Year</f>
        <v>1</v>
      </c>
      <c r="T260" s="47" t="n">
        <f aca="false">MAX(0,MIN(T259,$E259)-MAX(T259-Months_In_Year,0))/Months_In_Year</f>
        <v>1</v>
      </c>
      <c r="U260" s="47" t="n">
        <f aca="false">MAX(0,MIN(U259,$E259)-MAX(U259-Months_In_Year,0))/Months_In_Year</f>
        <v>1</v>
      </c>
      <c r="V260" s="47" t="n">
        <f aca="false">MAX(0,MIN(V259,$E259)-MAX(V259-Months_In_Year,0))/Months_In_Year</f>
        <v>1</v>
      </c>
      <c r="W260" s="47" t="n">
        <f aca="false">MAX(0,MIN(W259,$E259)-MAX(W259-Months_In_Year,0))/Months_In_Year</f>
        <v>1</v>
      </c>
      <c r="X260" s="47" t="n">
        <f aca="false">MAX(0,MIN(X259,$E259)-MAX(X259-Months_In_Year,0))/Months_In_Year</f>
        <v>1</v>
      </c>
      <c r="Y260" s="47" t="n">
        <f aca="false">MAX(0,MIN(Y259,$E259)-MAX(Y259-Months_In_Year,0))/Months_In_Year</f>
        <v>1</v>
      </c>
      <c r="Z260" s="47" t="n">
        <f aca="false">MAX(0,MIN(Z259,$E259)-MAX(Z259-Months_In_Year,0))/Months_In_Year</f>
        <v>1</v>
      </c>
      <c r="AA260" s="47" t="n">
        <f aca="false">MAX(0,MIN(AA259,$E259)-MAX(AA259-Months_In_Year,0))/Months_In_Year</f>
        <v>1</v>
      </c>
      <c r="AB260" s="47" t="n">
        <f aca="false">MAX(0,MIN(AB259,$E259)-MAX(AB259-Months_In_Year,0))/Months_In_Year</f>
        <v>1</v>
      </c>
      <c r="AC260" s="47" t="n">
        <f aca="false">MAX(0,MIN(AC259,$E259)-MAX(AC259-Months_In_Year,0))/Months_In_Year</f>
        <v>1</v>
      </c>
      <c r="AD260" s="47" t="n">
        <f aca="false">MAX(0,MIN(AD259,$E259)-MAX(AD259-Months_In_Year,0))/Months_In_Year</f>
        <v>1</v>
      </c>
      <c r="AE260" s="47" t="n">
        <f aca="false">MAX(0,MIN(AE259,$E259)-MAX(AE259-Months_In_Year,0))/Months_In_Year</f>
        <v>1</v>
      </c>
      <c r="AF260" s="47" t="n">
        <f aca="false">MAX(0,MIN(AF259,$E259)-MAX(AF259-Months_In_Year,0))/Months_In_Year</f>
        <v>1</v>
      </c>
      <c r="AG260" s="47" t="n">
        <f aca="false">MAX(0,MIN(AG259,$E259)-MAX(AG259-Months_In_Year,0))/Months_In_Year</f>
        <v>1</v>
      </c>
      <c r="AH260" s="47" t="n">
        <f aca="false">MAX(0,MIN(AH259,$E259)-MAX(AH259-Months_In_Year,0))/Months_In_Year</f>
        <v>1</v>
      </c>
      <c r="AI260" s="47" t="n">
        <f aca="false">MAX(0,MIN(AI259,$E259)-MAX(AI259-Months_In_Year,0))/Months_In_Year</f>
        <v>1</v>
      </c>
      <c r="AJ260" s="47" t="n">
        <f aca="false">MAX(0,MIN(AJ259,$E259)-MAX(AJ259-Months_In_Year,0))/Months_In_Year</f>
        <v>1</v>
      </c>
      <c r="AK260" s="47" t="n">
        <f aca="false">MAX(0,MIN(AK259,$E259)-MAX(AK259-Months_In_Year,0))/Months_In_Year</f>
        <v>1</v>
      </c>
      <c r="AL260" s="47" t="n">
        <f aca="false">MAX(0,MIN(AL259,$E259)-MAX(AL259-Months_In_Year,0))/Months_In_Year</f>
        <v>1</v>
      </c>
      <c r="AM260" s="47" t="n">
        <f aca="false">MAX(0,MIN(AM259,$E259)-MAX(AM259-Months_In_Year,0))/Months_In_Year</f>
        <v>1</v>
      </c>
      <c r="AN260" s="47" t="n">
        <f aca="false">MAX(0,MIN(AN259,$E259)-MAX(AN259-Months_In_Year,0))/Months_In_Year</f>
        <v>1</v>
      </c>
      <c r="AO260" s="47" t="n">
        <f aca="false">MAX(0,MIN(AO259,$E259)-MAX(AO259-Months_In_Year,0))/Months_In_Year</f>
        <v>1</v>
      </c>
      <c r="AP260" s="47" t="n">
        <f aca="false">MAX(0,MIN(AP259,$E259)-MAX(AP259-Months_In_Year,0))/Months_In_Year</f>
        <v>1</v>
      </c>
      <c r="AQ260" s="47" t="n">
        <f aca="false">MAX(0,MIN(AQ259,$E259)-MAX(AQ259-Months_In_Year,0))/Months_In_Year</f>
        <v>1</v>
      </c>
      <c r="AR260" s="47" t="n">
        <f aca="false">MAX(0,MIN(AR259,$E259)-MAX(AR259-Months_In_Year,0))/Months_In_Year</f>
        <v>1</v>
      </c>
      <c r="AS260" s="47" t="n">
        <f aca="false">MAX(0,MIN(AS259,$E259)-MAX(AS259-Months_In_Year,0))/Months_In_Year</f>
        <v>0.5</v>
      </c>
    </row>
    <row r="261" customFormat="false" ht="14.25" hidden="true" customHeight="false" outlineLevel="1" collapsed="false">
      <c r="C261" s="6" t="s">
        <v>220</v>
      </c>
      <c r="D261" s="2" t="s">
        <v>2</v>
      </c>
      <c r="J261" s="55" t="n">
        <f aca="false">N(J256=0)</f>
        <v>0</v>
      </c>
      <c r="K261" s="55" t="n">
        <f aca="false">N(K256=0)</f>
        <v>0</v>
      </c>
      <c r="L261" s="55" t="n">
        <f aca="false">N(L256=0)</f>
        <v>0</v>
      </c>
      <c r="M261" s="55" t="n">
        <f aca="false">N(M256=0)</f>
        <v>0</v>
      </c>
      <c r="N261" s="55" t="n">
        <f aca="false">N(N256=0)</f>
        <v>0</v>
      </c>
      <c r="O261" s="55" t="n">
        <f aca="false">N(O256=0)</f>
        <v>1</v>
      </c>
      <c r="P261" s="55" t="n">
        <f aca="false">N(P256=0)</f>
        <v>0</v>
      </c>
      <c r="Q261" s="55" t="n">
        <f aca="false">N(Q256=0)</f>
        <v>0</v>
      </c>
      <c r="R261" s="55" t="n">
        <f aca="false">N(R256=0)</f>
        <v>0</v>
      </c>
      <c r="S261" s="55" t="n">
        <f aca="false">N(S256=0)</f>
        <v>0</v>
      </c>
      <c r="T261" s="55" t="n">
        <f aca="false">N(T256=0)</f>
        <v>0</v>
      </c>
      <c r="U261" s="55" t="n">
        <f aca="false">N(U256=0)</f>
        <v>0</v>
      </c>
      <c r="V261" s="55" t="n">
        <f aca="false">N(V256=0)</f>
        <v>0</v>
      </c>
      <c r="W261" s="55" t="n">
        <f aca="false">N(W256=0)</f>
        <v>0</v>
      </c>
      <c r="X261" s="55" t="n">
        <f aca="false">N(X256=0)</f>
        <v>0</v>
      </c>
      <c r="Y261" s="55" t="n">
        <f aca="false">N(Y256=0)</f>
        <v>0</v>
      </c>
      <c r="Z261" s="55" t="n">
        <f aca="false">N(Z256=0)</f>
        <v>0</v>
      </c>
      <c r="AA261" s="55" t="n">
        <f aca="false">N(AA256=0)</f>
        <v>0</v>
      </c>
      <c r="AB261" s="55" t="n">
        <f aca="false">N(AB256=0)</f>
        <v>0</v>
      </c>
      <c r="AC261" s="55" t="n">
        <f aca="false">N(AC256=0)</f>
        <v>0</v>
      </c>
      <c r="AD261" s="55" t="n">
        <f aca="false">N(AD256=0)</f>
        <v>0</v>
      </c>
      <c r="AE261" s="55" t="n">
        <f aca="false">N(AE256=0)</f>
        <v>0</v>
      </c>
      <c r="AF261" s="55" t="n">
        <f aca="false">N(AF256=0)</f>
        <v>0</v>
      </c>
      <c r="AG261" s="55" t="n">
        <f aca="false">N(AG256=0)</f>
        <v>0</v>
      </c>
      <c r="AH261" s="55" t="n">
        <f aca="false">N(AH256=0)</f>
        <v>0</v>
      </c>
      <c r="AI261" s="55" t="n">
        <f aca="false">N(AI256=0)</f>
        <v>0</v>
      </c>
      <c r="AJ261" s="55" t="n">
        <f aca="false">N(AJ256=0)</f>
        <v>0</v>
      </c>
      <c r="AK261" s="55" t="n">
        <f aca="false">N(AK256=0)</f>
        <v>0</v>
      </c>
      <c r="AL261" s="55" t="n">
        <f aca="false">N(AL256=0)</f>
        <v>0</v>
      </c>
      <c r="AM261" s="55" t="n">
        <f aca="false">N(AM256=0)</f>
        <v>0</v>
      </c>
      <c r="AN261" s="55" t="n">
        <f aca="false">N(AN256=0)</f>
        <v>0</v>
      </c>
      <c r="AO261" s="55" t="n">
        <f aca="false">N(AO256=0)</f>
        <v>0</v>
      </c>
      <c r="AP261" s="55" t="n">
        <f aca="false">N(AP256=0)</f>
        <v>0</v>
      </c>
      <c r="AQ261" s="55" t="n">
        <f aca="false">N(AQ256=0)</f>
        <v>0</v>
      </c>
      <c r="AR261" s="55" t="n">
        <f aca="false">N(AR256=0)</f>
        <v>0</v>
      </c>
      <c r="AS261" s="55" t="n">
        <f aca="false">N(AS256=0)</f>
        <v>0</v>
      </c>
    </row>
    <row r="262" customFormat="false" ht="14.25" hidden="true" customHeight="false" outlineLevel="1" collapsed="false">
      <c r="C262" s="6" t="s">
        <v>221</v>
      </c>
      <c r="D262" s="2" t="s">
        <v>82</v>
      </c>
      <c r="H262" s="8" t="n">
        <f aca="false">SUM(J262:AS262)</f>
        <v>-12989.2321972603</v>
      </c>
      <c r="J262" s="8" t="n">
        <f aca="false">SUMPRODUCT((YEAR($J$207:$J$214)=J$252)*$E$207:$E$214)</f>
        <v>-386.301369863014</v>
      </c>
      <c r="K262" s="8" t="n">
        <f aca="false">SUMPRODUCT((YEAR($J$207:$J$214)=K$252)*$E$207:$E$214)</f>
        <v>-2513.23712328767</v>
      </c>
      <c r="L262" s="8" t="n">
        <f aca="false">SUMPRODUCT((YEAR($J$207:$J$214)=L$252)*$E$207:$E$214)</f>
        <v>-10089.6937041096</v>
      </c>
      <c r="M262" s="8" t="n">
        <f aca="false">SUMPRODUCT((YEAR($J$207:$J$214)=M$252)*$E$207:$E$214)</f>
        <v>0</v>
      </c>
      <c r="N262" s="8" t="n">
        <f aca="false">SUMPRODUCT((YEAR($J$207:$J$214)=N$252)*$E$207:$E$214)</f>
        <v>0</v>
      </c>
      <c r="O262" s="8" t="n">
        <f aca="false">SUMPRODUCT((YEAR($J$207:$J$214)=O$252)*$E$207:$E$214)</f>
        <v>0</v>
      </c>
      <c r="P262" s="8" t="n">
        <f aca="false">SUMPRODUCT((YEAR($J$207:$J$214)=P$252)*$E$207:$E$214)</f>
        <v>0</v>
      </c>
      <c r="Q262" s="8" t="n">
        <f aca="false">SUMPRODUCT((YEAR($J$207:$J$214)=Q$252)*$E$207:$E$214)</f>
        <v>0</v>
      </c>
      <c r="R262" s="8" t="n">
        <f aca="false">SUMPRODUCT((YEAR($J$207:$J$214)=R$252)*$E$207:$E$214)</f>
        <v>0</v>
      </c>
      <c r="S262" s="8" t="n">
        <f aca="false">SUMPRODUCT((YEAR($J$207:$J$214)=S$252)*$E$207:$E$214)</f>
        <v>0</v>
      </c>
      <c r="T262" s="8" t="n">
        <f aca="false">SUMPRODUCT((YEAR($J$207:$J$214)=T$252)*$E$207:$E$214)</f>
        <v>0</v>
      </c>
      <c r="U262" s="8" t="n">
        <f aca="false">SUMPRODUCT((YEAR($J$207:$J$214)=U$252)*$E$207:$E$214)</f>
        <v>0</v>
      </c>
      <c r="V262" s="8" t="n">
        <f aca="false">SUMPRODUCT((YEAR($J$207:$J$214)=V$252)*$E$207:$E$214)</f>
        <v>0</v>
      </c>
      <c r="W262" s="8" t="n">
        <f aca="false">SUMPRODUCT((YEAR($J$207:$J$214)=W$252)*$E$207:$E$214)</f>
        <v>0</v>
      </c>
      <c r="X262" s="8" t="n">
        <f aca="false">SUMPRODUCT((YEAR($J$207:$J$214)=X$252)*$E$207:$E$214)</f>
        <v>0</v>
      </c>
      <c r="Y262" s="8" t="n">
        <f aca="false">SUMPRODUCT((YEAR($J$207:$J$214)=Y$252)*$E$207:$E$214)</f>
        <v>0</v>
      </c>
      <c r="Z262" s="8" t="n">
        <f aca="false">SUMPRODUCT((YEAR($J$207:$J$214)=Z$252)*$E$207:$E$214)</f>
        <v>0</v>
      </c>
      <c r="AA262" s="8" t="n">
        <f aca="false">SUMPRODUCT((YEAR($J$207:$J$214)=AA$252)*$E$207:$E$214)</f>
        <v>0</v>
      </c>
      <c r="AB262" s="8" t="n">
        <f aca="false">SUMPRODUCT((YEAR($J$207:$J$214)=AB$252)*$E$207:$E$214)</f>
        <v>0</v>
      </c>
      <c r="AC262" s="8" t="n">
        <f aca="false">SUMPRODUCT((YEAR($J$207:$J$214)=AC$252)*$E$207:$E$214)</f>
        <v>0</v>
      </c>
      <c r="AD262" s="8" t="n">
        <f aca="false">SUMPRODUCT((YEAR($J$207:$J$214)=AD$252)*$E$207:$E$214)</f>
        <v>0</v>
      </c>
      <c r="AE262" s="8" t="n">
        <f aca="false">SUMPRODUCT((YEAR($J$207:$J$214)=AE$252)*$E$207:$E$214)</f>
        <v>0</v>
      </c>
      <c r="AF262" s="8" t="n">
        <f aca="false">SUMPRODUCT((YEAR($J$207:$J$214)=AF$252)*$E$207:$E$214)</f>
        <v>0</v>
      </c>
      <c r="AG262" s="8" t="n">
        <f aca="false">SUMPRODUCT((YEAR($J$207:$J$214)=AG$252)*$E$207:$E$214)</f>
        <v>0</v>
      </c>
      <c r="AH262" s="8" t="n">
        <f aca="false">SUMPRODUCT((YEAR($J$207:$J$214)=AH$252)*$E$207:$E$214)</f>
        <v>0</v>
      </c>
      <c r="AI262" s="8" t="n">
        <f aca="false">SUMPRODUCT((YEAR($J$207:$J$214)=AI$252)*$E$207:$E$214)</f>
        <v>0</v>
      </c>
      <c r="AJ262" s="8" t="n">
        <f aca="false">SUMPRODUCT((YEAR($J$207:$J$214)=AJ$252)*$E$207:$E$214)</f>
        <v>0</v>
      </c>
      <c r="AK262" s="8" t="n">
        <f aca="false">SUMPRODUCT((YEAR($J$207:$J$214)=AK$252)*$E$207:$E$214)</f>
        <v>0</v>
      </c>
      <c r="AL262" s="8" t="n">
        <f aca="false">SUMPRODUCT((YEAR($J$207:$J$214)=AL$252)*$E$207:$E$214)</f>
        <v>0</v>
      </c>
      <c r="AM262" s="8" t="n">
        <f aca="false">SUMPRODUCT((YEAR($J$207:$J$214)=AM$252)*$E$207:$E$214)</f>
        <v>0</v>
      </c>
      <c r="AN262" s="8" t="n">
        <f aca="false">SUMPRODUCT((YEAR($J$207:$J$214)=AN$252)*$E$207:$E$214)</f>
        <v>0</v>
      </c>
      <c r="AO262" s="8" t="n">
        <f aca="false">SUMPRODUCT((YEAR($J$207:$J$214)=AO$252)*$E$207:$E$214)</f>
        <v>0</v>
      </c>
      <c r="AP262" s="8" t="n">
        <f aca="false">SUMPRODUCT((YEAR($J$207:$J$214)=AP$252)*$E$207:$E$214)</f>
        <v>0</v>
      </c>
      <c r="AQ262" s="8" t="n">
        <f aca="false">SUMPRODUCT((YEAR($J$207:$J$214)=AQ$252)*$E$207:$E$214)</f>
        <v>0</v>
      </c>
      <c r="AR262" s="8" t="n">
        <f aca="false">SUMPRODUCT((YEAR($J$207:$J$214)=AR$252)*$E$207:$E$214)</f>
        <v>0</v>
      </c>
      <c r="AS262" s="8" t="n">
        <f aca="false">SUMPRODUCT((YEAR($J$207:$J$214)=AS$252)*$E$207:$E$214)</f>
        <v>0</v>
      </c>
    </row>
    <row r="263" customFormat="false" ht="14.25" hidden="true" customHeight="false" outlineLevel="1" collapsed="false">
      <c r="C263" s="6" t="s">
        <v>222</v>
      </c>
      <c r="D263" s="2" t="s">
        <v>82</v>
      </c>
      <c r="H263" s="8" t="n">
        <f aca="false">SUM(J263:AS263)</f>
        <v>1390.41095890411</v>
      </c>
      <c r="J263" s="8" t="n">
        <f aca="false">($E$59+$E$60)*(J$252=YEAR(Inputs!$E$34))</f>
        <v>0</v>
      </c>
      <c r="K263" s="8" t="n">
        <f aca="false">($E$59+$E$60)*(K$252=YEAR(Inputs!$E$34))</f>
        <v>0</v>
      </c>
      <c r="L263" s="8" t="n">
        <f aca="false">($E$59+$E$60)*(L$252=YEAR(Inputs!$E$34))</f>
        <v>0</v>
      </c>
      <c r="M263" s="8" t="n">
        <f aca="false">($E$59+$E$60)*(M$252=YEAR(Inputs!$E$34))</f>
        <v>0</v>
      </c>
      <c r="N263" s="8" t="n">
        <f aca="false">($E$59+$E$60)*(N$252=YEAR(Inputs!$E$34))</f>
        <v>0</v>
      </c>
      <c r="O263" s="8" t="n">
        <f aca="false">($E$59+$E$60)*(O$252=YEAR(Inputs!$E$34))</f>
        <v>0</v>
      </c>
      <c r="P263" s="8" t="n">
        <f aca="false">($E$59+$E$60)*(P$252=YEAR(Inputs!$E$34))</f>
        <v>0</v>
      </c>
      <c r="Q263" s="8" t="n">
        <f aca="false">($E$59+$E$60)*(Q$252=YEAR(Inputs!$E$34))</f>
        <v>1390.41095890411</v>
      </c>
      <c r="R263" s="8" t="n">
        <f aca="false">($E$59+$E$60)*(R$252=YEAR(Inputs!$E$34))</f>
        <v>0</v>
      </c>
      <c r="S263" s="8" t="n">
        <f aca="false">($E$59+$E$60)*(S$252=YEAR(Inputs!$E$34))</f>
        <v>0</v>
      </c>
      <c r="T263" s="8" t="n">
        <f aca="false">($E$59+$E$60)*(T$252=YEAR(Inputs!$E$34))</f>
        <v>0</v>
      </c>
      <c r="U263" s="8" t="n">
        <f aca="false">($E$59+$E$60)*(U$252=YEAR(Inputs!$E$34))</f>
        <v>0</v>
      </c>
      <c r="V263" s="8" t="n">
        <f aca="false">($E$59+$E$60)*(V$252=YEAR(Inputs!$E$34))</f>
        <v>0</v>
      </c>
      <c r="W263" s="8" t="n">
        <f aca="false">($E$59+$E$60)*(W$252=YEAR(Inputs!$E$34))</f>
        <v>0</v>
      </c>
      <c r="X263" s="8" t="n">
        <f aca="false">($E$59+$E$60)*(X$252=YEAR(Inputs!$E$34))</f>
        <v>0</v>
      </c>
      <c r="Y263" s="8" t="n">
        <f aca="false">($E$59+$E$60)*(Y$252=YEAR(Inputs!$E$34))</f>
        <v>0</v>
      </c>
      <c r="Z263" s="8" t="n">
        <f aca="false">($E$59+$E$60)*(Z$252=YEAR(Inputs!$E$34))</f>
        <v>0</v>
      </c>
      <c r="AA263" s="8" t="n">
        <f aca="false">($E$59+$E$60)*(AA$252=YEAR(Inputs!$E$34))</f>
        <v>0</v>
      </c>
      <c r="AB263" s="8" t="n">
        <f aca="false">($E$59+$E$60)*(AB$252=YEAR(Inputs!$E$34))</f>
        <v>0</v>
      </c>
      <c r="AC263" s="8" t="n">
        <f aca="false">($E$59+$E$60)*(AC$252=YEAR(Inputs!$E$34))</f>
        <v>0</v>
      </c>
      <c r="AD263" s="8" t="n">
        <f aca="false">($E$59+$E$60)*(AD$252=YEAR(Inputs!$E$34))</f>
        <v>0</v>
      </c>
      <c r="AE263" s="8" t="n">
        <f aca="false">($E$59+$E$60)*(AE$252=YEAR(Inputs!$E$34))</f>
        <v>0</v>
      </c>
      <c r="AF263" s="8" t="n">
        <f aca="false">($E$59+$E$60)*(AF$252=YEAR(Inputs!$E$34))</f>
        <v>0</v>
      </c>
      <c r="AG263" s="8" t="n">
        <f aca="false">($E$59+$E$60)*(AG$252=YEAR(Inputs!$E$34))</f>
        <v>0</v>
      </c>
      <c r="AH263" s="8" t="n">
        <f aca="false">($E$59+$E$60)*(AH$252=YEAR(Inputs!$E$34))</f>
        <v>0</v>
      </c>
      <c r="AI263" s="8" t="n">
        <f aca="false">($E$59+$E$60)*(AI$252=YEAR(Inputs!$E$34))</f>
        <v>0</v>
      </c>
      <c r="AJ263" s="8" t="n">
        <f aca="false">($E$59+$E$60)*(AJ$252=YEAR(Inputs!$E$34))</f>
        <v>0</v>
      </c>
      <c r="AK263" s="8" t="n">
        <f aca="false">($E$59+$E$60)*(AK$252=YEAR(Inputs!$E$34))</f>
        <v>0</v>
      </c>
      <c r="AL263" s="8" t="n">
        <f aca="false">($E$59+$E$60)*(AL$252=YEAR(Inputs!$E$34))</f>
        <v>0</v>
      </c>
      <c r="AM263" s="8" t="n">
        <f aca="false">($E$59+$E$60)*(AM$252=YEAR(Inputs!$E$34))</f>
        <v>0</v>
      </c>
      <c r="AN263" s="8" t="n">
        <f aca="false">($E$59+$E$60)*(AN$252=YEAR(Inputs!$E$34))</f>
        <v>0</v>
      </c>
      <c r="AO263" s="8" t="n">
        <f aca="false">($E$59+$E$60)*(AO$252=YEAR(Inputs!$E$34))</f>
        <v>0</v>
      </c>
      <c r="AP263" s="8" t="n">
        <f aca="false">($E$59+$E$60)*(AP$252=YEAR(Inputs!$E$34))</f>
        <v>0</v>
      </c>
      <c r="AQ263" s="8" t="n">
        <f aca="false">($E$59+$E$60)*(AQ$252=YEAR(Inputs!$E$34))</f>
        <v>0</v>
      </c>
      <c r="AR263" s="8" t="n">
        <f aca="false">($E$59+$E$60)*(AR$252=YEAR(Inputs!$E$34))</f>
        <v>0</v>
      </c>
      <c r="AS263" s="8" t="n">
        <f aca="false">($E$59+$E$60)*(AS$252=YEAR(Inputs!$E$34))</f>
        <v>0</v>
      </c>
    </row>
    <row r="264" customFormat="false" ht="14.25" hidden="true" customHeight="false" outlineLevel="1" collapsed="false">
      <c r="C264" s="6" t="s">
        <v>223</v>
      </c>
      <c r="D264" s="2" t="s">
        <v>82</v>
      </c>
      <c r="H264" s="8" t="n">
        <f aca="false">SUM(J264:AS264)</f>
        <v>-48037.5</v>
      </c>
      <c r="J264" s="8" t="n">
        <f aca="false">-$E$87*J258</f>
        <v>-0</v>
      </c>
      <c r="K264" s="8" t="n">
        <f aca="false">-$E$87*K258</f>
        <v>-0</v>
      </c>
      <c r="L264" s="8" t="n">
        <f aca="false">-$E$87*L258</f>
        <v>-0</v>
      </c>
      <c r="M264" s="8" t="n">
        <f aca="false">-$E$87*M258</f>
        <v>-12009.375</v>
      </c>
      <c r="N264" s="8" t="n">
        <f aca="false">-$E$87*N258</f>
        <v>-24018.75</v>
      </c>
      <c r="O264" s="8" t="n">
        <f aca="false">-$E$87*O258</f>
        <v>-12009.375</v>
      </c>
      <c r="P264" s="8" t="n">
        <f aca="false">-$E$87*P258</f>
        <v>-0</v>
      </c>
      <c r="Q264" s="8" t="n">
        <f aca="false">-$E$87*Q258</f>
        <v>-0</v>
      </c>
      <c r="R264" s="8" t="n">
        <f aca="false">-$E$87*R258</f>
        <v>-0</v>
      </c>
      <c r="S264" s="8" t="n">
        <f aca="false">-$E$87*S258</f>
        <v>-0</v>
      </c>
      <c r="T264" s="8" t="n">
        <f aca="false">-$E$87*T258</f>
        <v>-0</v>
      </c>
      <c r="U264" s="8" t="n">
        <f aca="false">-$E$87*U258</f>
        <v>-0</v>
      </c>
      <c r="V264" s="8" t="n">
        <f aca="false">-$E$87*V258</f>
        <v>-0</v>
      </c>
      <c r="W264" s="8" t="n">
        <f aca="false">-$E$87*W258</f>
        <v>-0</v>
      </c>
      <c r="X264" s="8" t="n">
        <f aca="false">-$E$87*X258</f>
        <v>-0</v>
      </c>
      <c r="Y264" s="8" t="n">
        <f aca="false">-$E$87*Y258</f>
        <v>-0</v>
      </c>
      <c r="Z264" s="8" t="n">
        <f aca="false">-$E$87*Z258</f>
        <v>-0</v>
      </c>
      <c r="AA264" s="8" t="n">
        <f aca="false">-$E$87*AA258</f>
        <v>-0</v>
      </c>
      <c r="AB264" s="8" t="n">
        <f aca="false">-$E$87*AB258</f>
        <v>-0</v>
      </c>
      <c r="AC264" s="8" t="n">
        <f aca="false">-$E$87*AC258</f>
        <v>-0</v>
      </c>
      <c r="AD264" s="8" t="n">
        <f aca="false">-$E$87*AD258</f>
        <v>-0</v>
      </c>
      <c r="AE264" s="8" t="n">
        <f aca="false">-$E$87*AE258</f>
        <v>-0</v>
      </c>
      <c r="AF264" s="8" t="n">
        <f aca="false">-$E$87*AF258</f>
        <v>-0</v>
      </c>
      <c r="AG264" s="8" t="n">
        <f aca="false">-$E$87*AG258</f>
        <v>-0</v>
      </c>
      <c r="AH264" s="8" t="n">
        <f aca="false">-$E$87*AH258</f>
        <v>-0</v>
      </c>
      <c r="AI264" s="8" t="n">
        <f aca="false">-$E$87*AI258</f>
        <v>-0</v>
      </c>
      <c r="AJ264" s="8" t="n">
        <f aca="false">-$E$87*AJ258</f>
        <v>-0</v>
      </c>
      <c r="AK264" s="8" t="n">
        <f aca="false">-$E$87*AK258</f>
        <v>-0</v>
      </c>
      <c r="AL264" s="8" t="n">
        <f aca="false">-$E$87*AL258</f>
        <v>-0</v>
      </c>
      <c r="AM264" s="8" t="n">
        <f aca="false">-$E$87*AM258</f>
        <v>-0</v>
      </c>
      <c r="AN264" s="8" t="n">
        <f aca="false">-$E$87*AN258</f>
        <v>-0</v>
      </c>
      <c r="AO264" s="8" t="n">
        <f aca="false">-$E$87*AO258</f>
        <v>-0</v>
      </c>
      <c r="AP264" s="8" t="n">
        <f aca="false">-$E$87*AP258</f>
        <v>-0</v>
      </c>
      <c r="AQ264" s="8" t="n">
        <f aca="false">-$E$87*AQ258</f>
        <v>-0</v>
      </c>
      <c r="AR264" s="8" t="n">
        <f aca="false">-$E$87*AR258</f>
        <v>-0</v>
      </c>
      <c r="AS264" s="8" t="n">
        <f aca="false">-$E$87*AS258</f>
        <v>-0</v>
      </c>
    </row>
    <row r="265" customFormat="false" ht="14.25" hidden="true" customHeight="false" outlineLevel="1" collapsed="false">
      <c r="C265" s="6" t="s">
        <v>224</v>
      </c>
      <c r="D265" s="2" t="s">
        <v>82</v>
      </c>
      <c r="H265" s="8" t="n">
        <f aca="false">SUM(J265:AS265)</f>
        <v>-1000</v>
      </c>
      <c r="J265" s="8" t="n">
        <f aca="false">-$E$89*J261</f>
        <v>-0</v>
      </c>
      <c r="K265" s="8" t="n">
        <f aca="false">-$E$89*K261</f>
        <v>-0</v>
      </c>
      <c r="L265" s="8" t="n">
        <f aca="false">-$E$89*L261</f>
        <v>-0</v>
      </c>
      <c r="M265" s="8" t="n">
        <f aca="false">-$E$89*M261</f>
        <v>-0</v>
      </c>
      <c r="N265" s="8" t="n">
        <f aca="false">-$E$89*N261</f>
        <v>-0</v>
      </c>
      <c r="O265" s="8" t="n">
        <f aca="false">-$E$89*O261</f>
        <v>-1000</v>
      </c>
      <c r="P265" s="8" t="n">
        <f aca="false">-$E$89*P261</f>
        <v>-0</v>
      </c>
      <c r="Q265" s="8" t="n">
        <f aca="false">-$E$89*Q261</f>
        <v>-0</v>
      </c>
      <c r="R265" s="8" t="n">
        <f aca="false">-$E$89*R261</f>
        <v>-0</v>
      </c>
      <c r="S265" s="8" t="n">
        <f aca="false">-$E$89*S261</f>
        <v>-0</v>
      </c>
      <c r="T265" s="8" t="n">
        <f aca="false">-$E$89*T261</f>
        <v>-0</v>
      </c>
      <c r="U265" s="8" t="n">
        <f aca="false">-$E$89*U261</f>
        <v>-0</v>
      </c>
      <c r="V265" s="8" t="n">
        <f aca="false">-$E$89*V261</f>
        <v>-0</v>
      </c>
      <c r="W265" s="8" t="n">
        <f aca="false">-$E$89*W261</f>
        <v>-0</v>
      </c>
      <c r="X265" s="8" t="n">
        <f aca="false">-$E$89*X261</f>
        <v>-0</v>
      </c>
      <c r="Y265" s="8" t="n">
        <f aca="false">-$E$89*Y261</f>
        <v>-0</v>
      </c>
      <c r="Z265" s="8" t="n">
        <f aca="false">-$E$89*Z261</f>
        <v>-0</v>
      </c>
      <c r="AA265" s="8" t="n">
        <f aca="false">-$E$89*AA261</f>
        <v>-0</v>
      </c>
      <c r="AB265" s="8" t="n">
        <f aca="false">-$E$89*AB261</f>
        <v>-0</v>
      </c>
      <c r="AC265" s="8" t="n">
        <f aca="false">-$E$89*AC261</f>
        <v>-0</v>
      </c>
      <c r="AD265" s="8" t="n">
        <f aca="false">-$E$89*AD261</f>
        <v>-0</v>
      </c>
      <c r="AE265" s="8" t="n">
        <f aca="false">-$E$89*AE261</f>
        <v>-0</v>
      </c>
      <c r="AF265" s="8" t="n">
        <f aca="false">-$E$89*AF261</f>
        <v>-0</v>
      </c>
      <c r="AG265" s="8" t="n">
        <f aca="false">-$E$89*AG261</f>
        <v>-0</v>
      </c>
      <c r="AH265" s="8" t="n">
        <f aca="false">-$E$89*AH261</f>
        <v>-0</v>
      </c>
      <c r="AI265" s="8" t="n">
        <f aca="false">-$E$89*AI261</f>
        <v>-0</v>
      </c>
      <c r="AJ265" s="8" t="n">
        <f aca="false">-$E$89*AJ261</f>
        <v>-0</v>
      </c>
      <c r="AK265" s="8" t="n">
        <f aca="false">-$E$89*AK261</f>
        <v>-0</v>
      </c>
      <c r="AL265" s="8" t="n">
        <f aca="false">-$E$89*AL261</f>
        <v>-0</v>
      </c>
      <c r="AM265" s="8" t="n">
        <f aca="false">-$E$89*AM261</f>
        <v>-0</v>
      </c>
      <c r="AN265" s="8" t="n">
        <f aca="false">-$E$89*AN261</f>
        <v>-0</v>
      </c>
      <c r="AO265" s="8" t="n">
        <f aca="false">-$E$89*AO261</f>
        <v>-0</v>
      </c>
      <c r="AP265" s="8" t="n">
        <f aca="false">-$E$89*AP261</f>
        <v>-0</v>
      </c>
      <c r="AQ265" s="8" t="n">
        <f aca="false">-$E$89*AQ261</f>
        <v>-0</v>
      </c>
      <c r="AR265" s="8" t="n">
        <f aca="false">-$E$89*AR261</f>
        <v>-0</v>
      </c>
      <c r="AS265" s="8" t="n">
        <f aca="false">-$E$89*AS261</f>
        <v>-0</v>
      </c>
    </row>
    <row r="266" customFormat="false" ht="14.25" hidden="true" customHeight="false" outlineLevel="1" collapsed="false">
      <c r="C266" s="1" t="s">
        <v>225</v>
      </c>
      <c r="D266" s="2" t="s">
        <v>82</v>
      </c>
      <c r="H266" s="14" t="n">
        <f aca="false">SUM(J266:AS266)</f>
        <v>-60636.3212383562</v>
      </c>
      <c r="J266" s="14" t="n">
        <f aca="false">SUM(J262:J265)</f>
        <v>-386.301369863014</v>
      </c>
      <c r="K266" s="14" t="n">
        <f aca="false">SUM(K262:K265)</f>
        <v>-2513.23712328767</v>
      </c>
      <c r="L266" s="14" t="n">
        <f aca="false">SUM(L262:L265)</f>
        <v>-10089.6937041096</v>
      </c>
      <c r="M266" s="14" t="n">
        <f aca="false">SUM(M262:M265)</f>
        <v>-12009.375</v>
      </c>
      <c r="N266" s="14" t="n">
        <f aca="false">SUM(N262:N265)</f>
        <v>-24018.75</v>
      </c>
      <c r="O266" s="14" t="n">
        <f aca="false">SUM(O262:O265)</f>
        <v>-13009.375</v>
      </c>
      <c r="P266" s="14" t="n">
        <f aca="false">SUM(P262:P265)</f>
        <v>0</v>
      </c>
      <c r="Q266" s="14" t="n">
        <f aca="false">SUM(Q262:Q265)</f>
        <v>1390.41095890411</v>
      </c>
      <c r="R266" s="14" t="n">
        <f aca="false">SUM(R262:R265)</f>
        <v>0</v>
      </c>
      <c r="S266" s="14" t="n">
        <f aca="false">SUM(S262:S265)</f>
        <v>0</v>
      </c>
      <c r="T266" s="14" t="n">
        <f aca="false">SUM(T262:T265)</f>
        <v>0</v>
      </c>
      <c r="U266" s="14" t="n">
        <f aca="false">SUM(U262:U265)</f>
        <v>0</v>
      </c>
      <c r="V266" s="14" t="n">
        <f aca="false">SUM(V262:V265)</f>
        <v>0</v>
      </c>
      <c r="W266" s="14" t="n">
        <f aca="false">SUM(W262:W265)</f>
        <v>0</v>
      </c>
      <c r="X266" s="14" t="n">
        <f aca="false">SUM(X262:X265)</f>
        <v>0</v>
      </c>
      <c r="Y266" s="14" t="n">
        <f aca="false">SUM(Y262:Y265)</f>
        <v>0</v>
      </c>
      <c r="Z266" s="14" t="n">
        <f aca="false">SUM(Z262:Z265)</f>
        <v>0</v>
      </c>
      <c r="AA266" s="14" t="n">
        <f aca="false">SUM(AA262:AA265)</f>
        <v>0</v>
      </c>
      <c r="AB266" s="14" t="n">
        <f aca="false">SUM(AB262:AB265)</f>
        <v>0</v>
      </c>
      <c r="AC266" s="14" t="n">
        <f aca="false">SUM(AC262:AC265)</f>
        <v>0</v>
      </c>
      <c r="AD266" s="14" t="n">
        <f aca="false">SUM(AD262:AD265)</f>
        <v>0</v>
      </c>
      <c r="AE266" s="14" t="n">
        <f aca="false">SUM(AE262:AE265)</f>
        <v>0</v>
      </c>
      <c r="AF266" s="14" t="n">
        <f aca="false">SUM(AF262:AF265)</f>
        <v>0</v>
      </c>
      <c r="AG266" s="14" t="n">
        <f aca="false">SUM(AG262:AG265)</f>
        <v>0</v>
      </c>
      <c r="AH266" s="14" t="n">
        <f aca="false">SUM(AH262:AH265)</f>
        <v>0</v>
      </c>
      <c r="AI266" s="14" t="n">
        <f aca="false">SUM(AI262:AI265)</f>
        <v>0</v>
      </c>
      <c r="AJ266" s="14" t="n">
        <f aca="false">SUM(AJ262:AJ265)</f>
        <v>0</v>
      </c>
      <c r="AK266" s="14" t="n">
        <f aca="false">SUM(AK262:AK265)</f>
        <v>0</v>
      </c>
      <c r="AL266" s="14" t="n">
        <f aca="false">SUM(AL262:AL265)</f>
        <v>0</v>
      </c>
      <c r="AM266" s="14" t="n">
        <f aca="false">SUM(AM262:AM265)</f>
        <v>0</v>
      </c>
      <c r="AN266" s="14" t="n">
        <f aca="false">SUM(AN262:AN265)</f>
        <v>0</v>
      </c>
      <c r="AO266" s="14" t="n">
        <f aca="false">SUM(AO262:AO265)</f>
        <v>0</v>
      </c>
      <c r="AP266" s="14" t="n">
        <f aca="false">SUM(AP262:AP265)</f>
        <v>0</v>
      </c>
      <c r="AQ266" s="14" t="n">
        <f aca="false">SUM(AQ262:AQ265)</f>
        <v>0</v>
      </c>
      <c r="AR266" s="14" t="n">
        <f aca="false">SUM(AR262:AR265)</f>
        <v>0</v>
      </c>
      <c r="AS266" s="14" t="n">
        <f aca="false">SUM(AS262:AS265)</f>
        <v>0</v>
      </c>
    </row>
    <row r="267" customFormat="false" ht="14.25" hidden="true" customHeight="false" outlineLevel="1" collapsed="false">
      <c r="C267" s="6" t="s">
        <v>226</v>
      </c>
      <c r="D267" s="2" t="s">
        <v>3</v>
      </c>
      <c r="J267" s="56" t="n">
        <f aca="false">(1-Degradation)^MAX(J256-1,0)</f>
        <v>1</v>
      </c>
      <c r="K267" s="56" t="n">
        <f aca="false">(1-Degradation)^MAX(K256-1,0)</f>
        <v>1</v>
      </c>
      <c r="L267" s="56" t="n">
        <f aca="false">(1-Degradation)^MAX(L256-1,0)</f>
        <v>1</v>
      </c>
      <c r="M267" s="56" t="n">
        <f aca="false">(1-Degradation)^MAX(M256-1,0)</f>
        <v>1</v>
      </c>
      <c r="N267" s="56" t="n">
        <f aca="false">(1-Degradation)^MAX(N256-1,0)</f>
        <v>1</v>
      </c>
      <c r="O267" s="56" t="n">
        <f aca="false">(1-Degradation)^MAX(O256-1,0)</f>
        <v>1</v>
      </c>
      <c r="P267" s="56" t="n">
        <f aca="false">(1-Degradation)^MAX(P256-1,0)</f>
        <v>1</v>
      </c>
      <c r="Q267" s="56" t="n">
        <f aca="false">(1-Degradation)^MAX(Q256-1,0)</f>
        <v>0.997</v>
      </c>
      <c r="R267" s="56" t="n">
        <f aca="false">(1-Degradation)^MAX(R256-1,0)</f>
        <v>0.994009</v>
      </c>
      <c r="S267" s="56" t="n">
        <f aca="false">(1-Degradation)^MAX(S256-1,0)</f>
        <v>0.991026973</v>
      </c>
      <c r="T267" s="56" t="n">
        <f aca="false">(1-Degradation)^MAX(T256-1,0)</f>
        <v>0.988053892081</v>
      </c>
      <c r="U267" s="56" t="n">
        <f aca="false">(1-Degradation)^MAX(U256-1,0)</f>
        <v>0.985089730404757</v>
      </c>
      <c r="V267" s="56" t="n">
        <f aca="false">(1-Degradation)^MAX(V256-1,0)</f>
        <v>0.982134461213543</v>
      </c>
      <c r="W267" s="56" t="n">
        <f aca="false">(1-Degradation)^MAX(W256-1,0)</f>
        <v>0.979188057829902</v>
      </c>
      <c r="X267" s="56" t="n">
        <f aca="false">(1-Degradation)^MAX(X256-1,0)</f>
        <v>0.976250493656412</v>
      </c>
      <c r="Y267" s="56" t="n">
        <f aca="false">(1-Degradation)^MAX(Y256-1,0)</f>
        <v>0.973321742175443</v>
      </c>
      <c r="Z267" s="56" t="n">
        <f aca="false">(1-Degradation)^MAX(Z256-1,0)</f>
        <v>0.970401776948917</v>
      </c>
      <c r="AA267" s="56" t="n">
        <f aca="false">(1-Degradation)^MAX(AA256-1,0)</f>
        <v>0.96749057161807</v>
      </c>
      <c r="AB267" s="56" t="n">
        <f aca="false">(1-Degradation)^MAX(AB256-1,0)</f>
        <v>0.964588099903216</v>
      </c>
      <c r="AC267" s="56" t="n">
        <f aca="false">(1-Degradation)^MAX(AC256-1,0)</f>
        <v>0.961694335603506</v>
      </c>
      <c r="AD267" s="56" t="n">
        <f aca="false">(1-Degradation)^MAX(AD256-1,0)</f>
        <v>0.958809252596696</v>
      </c>
      <c r="AE267" s="56" t="n">
        <f aca="false">(1-Degradation)^MAX(AE256-1,0)</f>
        <v>0.955932824838906</v>
      </c>
      <c r="AF267" s="56" t="n">
        <f aca="false">(1-Degradation)^MAX(AF256-1,0)</f>
        <v>0.953065026364389</v>
      </c>
      <c r="AG267" s="56" t="n">
        <f aca="false">(1-Degradation)^MAX(AG256-1,0)</f>
        <v>0.950205831285296</v>
      </c>
      <c r="AH267" s="56" t="n">
        <f aca="false">(1-Degradation)^MAX(AH256-1,0)</f>
        <v>0.94735521379144</v>
      </c>
      <c r="AI267" s="56" t="n">
        <f aca="false">(1-Degradation)^MAX(AI256-1,0)</f>
        <v>0.944513148150066</v>
      </c>
      <c r="AJ267" s="56" t="n">
        <f aca="false">(1-Degradation)^MAX(AJ256-1,0)</f>
        <v>0.941679608705615</v>
      </c>
      <c r="AK267" s="56" t="n">
        <f aca="false">(1-Degradation)^MAX(AK256-1,0)</f>
        <v>0.938854569879498</v>
      </c>
      <c r="AL267" s="56" t="n">
        <f aca="false">(1-Degradation)^MAX(AL256-1,0)</f>
        <v>0.93603800616986</v>
      </c>
      <c r="AM267" s="56" t="n">
        <f aca="false">(1-Degradation)^MAX(AM256-1,0)</f>
        <v>0.93322989215135</v>
      </c>
      <c r="AN267" s="56" t="n">
        <f aca="false">(1-Degradation)^MAX(AN256-1,0)</f>
        <v>0.930430202474896</v>
      </c>
      <c r="AO267" s="56" t="n">
        <f aca="false">(1-Degradation)^MAX(AO256-1,0)</f>
        <v>0.927638911867472</v>
      </c>
      <c r="AP267" s="56" t="n">
        <f aca="false">(1-Degradation)^MAX(AP256-1,0)</f>
        <v>0.924855995131869</v>
      </c>
      <c r="AQ267" s="56" t="n">
        <f aca="false">(1-Degradation)^MAX(AQ256-1,0)</f>
        <v>0.922081427146474</v>
      </c>
      <c r="AR267" s="56" t="n">
        <f aca="false">(1-Degradation)^MAX(AR256-1,0)</f>
        <v>0.919315182865034</v>
      </c>
      <c r="AS267" s="56" t="n">
        <f aca="false">(1-Degradation)^MAX(AS256-1,0)</f>
        <v>0.916557237316439</v>
      </c>
    </row>
    <row r="268" customFormat="false" ht="14.25" hidden="true" customHeight="false" outlineLevel="1" collapsed="false">
      <c r="C268" s="6" t="s">
        <v>227</v>
      </c>
      <c r="D268" s="2" t="s">
        <v>228</v>
      </c>
      <c r="H268" s="16" t="n">
        <f aca="false">SUM(J268:AS268)</f>
        <v>3383.64986274979</v>
      </c>
      <c r="J268" s="16" t="n">
        <f aca="false">$E$44*Case_P50*(1-Curtailment)*(1-Clipping)*J260*J267/Thousand</f>
        <v>0</v>
      </c>
      <c r="K268" s="16" t="n">
        <f aca="false">$E$44*Case_P50*(1-Curtailment)*(1-Clipping)*K260*K267/Thousand</f>
        <v>0</v>
      </c>
      <c r="L268" s="16" t="n">
        <f aca="false">$E$44*Case_P50*(1-Curtailment)*(1-Clipping)*L260*L267/Thousand</f>
        <v>0</v>
      </c>
      <c r="M268" s="16" t="n">
        <f aca="false">$E$44*Case_P50*(1-Curtailment)*(1-Clipping)*M260*M267/Thousand</f>
        <v>0</v>
      </c>
      <c r="N268" s="16" t="n">
        <f aca="false">$E$44*Case_P50*(1-Curtailment)*(1-Clipping)*N260*N267/Thousand</f>
        <v>0</v>
      </c>
      <c r="O268" s="16" t="n">
        <f aca="false">$E$44*Case_P50*(1-Curtailment)*(1-Clipping)*O260*O267/Thousand</f>
        <v>58.8</v>
      </c>
      <c r="P268" s="16" t="n">
        <f aca="false">$E$44*Case_P50*(1-Curtailment)*(1-Clipping)*P260*P267/Thousand</f>
        <v>117.6</v>
      </c>
      <c r="Q268" s="16" t="n">
        <f aca="false">$E$44*Case_P50*(1-Curtailment)*(1-Clipping)*Q260*Q267/Thousand</f>
        <v>117.2472</v>
      </c>
      <c r="R268" s="16" t="n">
        <f aca="false">$E$44*Case_P50*(1-Curtailment)*(1-Clipping)*R260*R267/Thousand</f>
        <v>116.8954584</v>
      </c>
      <c r="S268" s="16" t="n">
        <f aca="false">$E$44*Case_P50*(1-Curtailment)*(1-Clipping)*S260*S267/Thousand</f>
        <v>116.5447720248</v>
      </c>
      <c r="T268" s="16" t="n">
        <f aca="false">$E$44*Case_P50*(1-Curtailment)*(1-Clipping)*T260*T267/Thousand</f>
        <v>116.195137708726</v>
      </c>
      <c r="U268" s="16" t="n">
        <f aca="false">$E$44*Case_P50*(1-Curtailment)*(1-Clipping)*U260*U267/Thousand</f>
        <v>115.846552295599</v>
      </c>
      <c r="V268" s="16" t="n">
        <f aca="false">$E$44*Case_P50*(1-Curtailment)*(1-Clipping)*V260*V267/Thousand</f>
        <v>115.499012638713</v>
      </c>
      <c r="W268" s="16" t="n">
        <f aca="false">$E$44*Case_P50*(1-Curtailment)*(1-Clipping)*W260*W267/Thousand</f>
        <v>115.152515600796</v>
      </c>
      <c r="X268" s="16" t="n">
        <f aca="false">$E$44*Case_P50*(1-Curtailment)*(1-Clipping)*X260*X267/Thousand</f>
        <v>114.807058053994</v>
      </c>
      <c r="Y268" s="16" t="n">
        <f aca="false">$E$44*Case_P50*(1-Curtailment)*(1-Clipping)*Y260*Y267/Thousand</f>
        <v>114.462636879832</v>
      </c>
      <c r="Z268" s="16" t="n">
        <f aca="false">$E$44*Case_P50*(1-Curtailment)*(1-Clipping)*Z260*Z267/Thousand</f>
        <v>114.119248969193</v>
      </c>
      <c r="AA268" s="16" t="n">
        <f aca="false">$E$44*Case_P50*(1-Curtailment)*(1-Clipping)*AA260*AA267/Thousand</f>
        <v>113.776891222285</v>
      </c>
      <c r="AB268" s="16" t="n">
        <f aca="false">$E$44*Case_P50*(1-Curtailment)*(1-Clipping)*AB260*AB267/Thousand</f>
        <v>113.435560548618</v>
      </c>
      <c r="AC268" s="16" t="n">
        <f aca="false">$E$44*Case_P50*(1-Curtailment)*(1-Clipping)*AC260*AC267/Thousand</f>
        <v>113.095253866972</v>
      </c>
      <c r="AD268" s="16" t="n">
        <f aca="false">$E$44*Case_P50*(1-Curtailment)*(1-Clipping)*AD260*AD267/Thousand</f>
        <v>112.755968105371</v>
      </c>
      <c r="AE268" s="16" t="n">
        <f aca="false">$E$44*Case_P50*(1-Curtailment)*(1-Clipping)*AE260*AE267/Thousand</f>
        <v>112.417700201055</v>
      </c>
      <c r="AF268" s="16" t="n">
        <f aca="false">$E$44*Case_P50*(1-Curtailment)*(1-Clipping)*AF260*AF267/Thousand</f>
        <v>112.080447100452</v>
      </c>
      <c r="AG268" s="16" t="n">
        <f aca="false">$E$44*Case_P50*(1-Curtailment)*(1-Clipping)*AG260*AG267/Thousand</f>
        <v>111.744205759151</v>
      </c>
      <c r="AH268" s="16" t="n">
        <f aca="false">$E$44*Case_P50*(1-Curtailment)*(1-Clipping)*AH260*AH267/Thousand</f>
        <v>111.408973141873</v>
      </c>
      <c r="AI268" s="16" t="n">
        <f aca="false">$E$44*Case_P50*(1-Curtailment)*(1-Clipping)*AI260*AI267/Thousand</f>
        <v>111.074746222448</v>
      </c>
      <c r="AJ268" s="16" t="n">
        <f aca="false">$E$44*Case_P50*(1-Curtailment)*(1-Clipping)*AJ260*AJ267/Thousand</f>
        <v>110.74152198378</v>
      </c>
      <c r="AK268" s="16" t="n">
        <f aca="false">$E$44*Case_P50*(1-Curtailment)*(1-Clipping)*AK260*AK267/Thousand</f>
        <v>110.409297417829</v>
      </c>
      <c r="AL268" s="16" t="n">
        <f aca="false">$E$44*Case_P50*(1-Curtailment)*(1-Clipping)*AL260*AL267/Thousand</f>
        <v>110.078069525576</v>
      </c>
      <c r="AM268" s="16" t="n">
        <f aca="false">$E$44*Case_P50*(1-Curtailment)*(1-Clipping)*AM260*AM267/Thousand</f>
        <v>109.747835316999</v>
      </c>
      <c r="AN268" s="16" t="n">
        <f aca="false">$E$44*Case_P50*(1-Curtailment)*(1-Clipping)*AN260*AN267/Thousand</f>
        <v>109.418591811048</v>
      </c>
      <c r="AO268" s="16" t="n">
        <f aca="false">$E$44*Case_P50*(1-Curtailment)*(1-Clipping)*AO260*AO267/Thousand</f>
        <v>109.090336035615</v>
      </c>
      <c r="AP268" s="16" t="n">
        <f aca="false">$E$44*Case_P50*(1-Curtailment)*(1-Clipping)*AP260*AP267/Thousand</f>
        <v>108.763065027508</v>
      </c>
      <c r="AQ268" s="16" t="n">
        <f aca="false">$E$44*Case_P50*(1-Curtailment)*(1-Clipping)*AQ260*AQ267/Thousand</f>
        <v>108.436775832425</v>
      </c>
      <c r="AR268" s="16" t="n">
        <f aca="false">$E$44*Case_P50*(1-Curtailment)*(1-Clipping)*AR260*AR267/Thousand</f>
        <v>108.111465504928</v>
      </c>
      <c r="AS268" s="16" t="n">
        <f aca="false">$E$44*Case_P50*(1-Curtailment)*(1-Clipping)*AS260*AS267/Thousand</f>
        <v>53.8935655542066</v>
      </c>
    </row>
    <row r="269" customFormat="false" ht="14.25" hidden="true" customHeight="false" outlineLevel="1" collapsed="false">
      <c r="C269" s="6" t="s">
        <v>229</v>
      </c>
      <c r="D269" s="2" t="s">
        <v>20</v>
      </c>
      <c r="J269" s="16" t="n">
        <f aca="false">Case_PPA*(1+PPA_Esc)^J256*(J260&gt;0)</f>
        <v>0</v>
      </c>
      <c r="K269" s="16" t="n">
        <f aca="false">Case_PPA*(1+PPA_Esc)^K256*(K260&gt;0)</f>
        <v>0</v>
      </c>
      <c r="L269" s="16" t="n">
        <f aca="false">Case_PPA*(1+PPA_Esc)^L256*(L260&gt;0)</f>
        <v>0</v>
      </c>
      <c r="M269" s="16" t="n">
        <f aca="false">Case_PPA*(1+PPA_Esc)^M256*(M260&gt;0)</f>
        <v>0</v>
      </c>
      <c r="N269" s="16" t="n">
        <f aca="false">Case_PPA*(1+PPA_Esc)^N256*(N260&gt;0)</f>
        <v>0</v>
      </c>
      <c r="O269" s="16" t="n">
        <f aca="false">Case_PPA*(1+PPA_Esc)^O256*(O260&gt;0)</f>
        <v>90</v>
      </c>
      <c r="P269" s="16" t="n">
        <f aca="false">Case_PPA*(1+PPA_Esc)^P256*(P260&gt;0)</f>
        <v>90.9</v>
      </c>
      <c r="Q269" s="16" t="n">
        <f aca="false">Case_PPA*(1+PPA_Esc)^Q256*(Q260&gt;0)</f>
        <v>91.809</v>
      </c>
      <c r="R269" s="16" t="n">
        <f aca="false">Case_PPA*(1+PPA_Esc)^R256*(R260&gt;0)</f>
        <v>92.72709</v>
      </c>
      <c r="S269" s="16" t="n">
        <f aca="false">Case_PPA*(1+PPA_Esc)^S256*(S260&gt;0)</f>
        <v>93.6543609</v>
      </c>
      <c r="T269" s="16" t="n">
        <f aca="false">Case_PPA*(1+PPA_Esc)^T256*(T260&gt;0)</f>
        <v>94.590904509</v>
      </c>
      <c r="U269" s="16" t="n">
        <f aca="false">Case_PPA*(1+PPA_Esc)^U256*(U260&gt;0)</f>
        <v>95.53681355409</v>
      </c>
      <c r="V269" s="16" t="n">
        <f aca="false">Case_PPA*(1+PPA_Esc)^V256*(V260&gt;0)</f>
        <v>96.4921816896309</v>
      </c>
      <c r="W269" s="16" t="n">
        <f aca="false">Case_PPA*(1+PPA_Esc)^W256*(W260&gt;0)</f>
        <v>97.4571035065272</v>
      </c>
      <c r="X269" s="16" t="n">
        <f aca="false">Case_PPA*(1+PPA_Esc)^X256*(X260&gt;0)</f>
        <v>98.4316745415925</v>
      </c>
      <c r="Y269" s="16" t="n">
        <f aca="false">Case_PPA*(1+PPA_Esc)^Y256*(Y260&gt;0)</f>
        <v>99.4159912870084</v>
      </c>
      <c r="Z269" s="16" t="n">
        <f aca="false">Case_PPA*(1+PPA_Esc)^Z256*(Z260&gt;0)</f>
        <v>100.410151199878</v>
      </c>
      <c r="AA269" s="16" t="n">
        <f aca="false">Case_PPA*(1+PPA_Esc)^AA256*(AA260&gt;0)</f>
        <v>101.414252711877</v>
      </c>
      <c r="AB269" s="16" t="n">
        <f aca="false">Case_PPA*(1+PPA_Esc)^AB256*(AB260&gt;0)</f>
        <v>102.428395238996</v>
      </c>
      <c r="AC269" s="16" t="n">
        <f aca="false">Case_PPA*(1+PPA_Esc)^AC256*(AC260&gt;0)</f>
        <v>103.452679191386</v>
      </c>
      <c r="AD269" s="16" t="n">
        <f aca="false">Case_PPA*(1+PPA_Esc)^AD256*(AD260&gt;0)</f>
        <v>104.4872059833</v>
      </c>
      <c r="AE269" s="16" t="n">
        <f aca="false">Case_PPA*(1+PPA_Esc)^AE256*(AE260&gt;0)</f>
        <v>105.532078043133</v>
      </c>
      <c r="AF269" s="16" t="n">
        <f aca="false">Case_PPA*(1+PPA_Esc)^AF256*(AF260&gt;0)</f>
        <v>106.587398823564</v>
      </c>
      <c r="AG269" s="16" t="n">
        <f aca="false">Case_PPA*(1+PPA_Esc)^AG256*(AG260&gt;0)</f>
        <v>107.6532728118</v>
      </c>
      <c r="AH269" s="16" t="n">
        <f aca="false">Case_PPA*(1+PPA_Esc)^AH256*(AH260&gt;0)</f>
        <v>108.729805539918</v>
      </c>
      <c r="AI269" s="16" t="n">
        <f aca="false">Case_PPA*(1+PPA_Esc)^AI256*(AI260&gt;0)</f>
        <v>109.817103595317</v>
      </c>
      <c r="AJ269" s="16" t="n">
        <f aca="false">Case_PPA*(1+PPA_Esc)^AJ256*(AJ260&gt;0)</f>
        <v>110.91527463127</v>
      </c>
      <c r="AK269" s="16" t="n">
        <f aca="false">Case_PPA*(1+PPA_Esc)^AK256*(AK260&gt;0)</f>
        <v>112.024427377583</v>
      </c>
      <c r="AL269" s="16" t="n">
        <f aca="false">Case_PPA*(1+PPA_Esc)^AL256*(AL260&gt;0)</f>
        <v>113.144671651359</v>
      </c>
      <c r="AM269" s="16" t="n">
        <f aca="false">Case_PPA*(1+PPA_Esc)^AM256*(AM260&gt;0)</f>
        <v>114.276118367872</v>
      </c>
      <c r="AN269" s="16" t="n">
        <f aca="false">Case_PPA*(1+PPA_Esc)^AN256*(AN260&gt;0)</f>
        <v>115.418879551551</v>
      </c>
      <c r="AO269" s="16" t="n">
        <f aca="false">Case_PPA*(1+PPA_Esc)^AO256*(AO260&gt;0)</f>
        <v>116.573068347067</v>
      </c>
      <c r="AP269" s="16" t="n">
        <f aca="false">Case_PPA*(1+PPA_Esc)^AP256*(AP260&gt;0)</f>
        <v>117.738799030537</v>
      </c>
      <c r="AQ269" s="16" t="n">
        <f aca="false">Case_PPA*(1+PPA_Esc)^AQ256*(AQ260&gt;0)</f>
        <v>118.916187020843</v>
      </c>
      <c r="AR269" s="16" t="n">
        <f aca="false">Case_PPA*(1+PPA_Esc)^AR256*(AR260&gt;0)</f>
        <v>120.105348891051</v>
      </c>
      <c r="AS269" s="16" t="n">
        <f aca="false">Case_PPA*(1+PPA_Esc)^AS256*(AS260&gt;0)</f>
        <v>121.306402379962</v>
      </c>
    </row>
    <row r="270" customFormat="false" ht="14.25" hidden="true" customHeight="false" outlineLevel="1" collapsed="false">
      <c r="C270" s="1" t="s">
        <v>150</v>
      </c>
      <c r="D270" s="2" t="s">
        <v>82</v>
      </c>
      <c r="H270" s="31" t="n">
        <f aca="false">SUM(J270:AS270)</f>
        <v>354071.972801154</v>
      </c>
      <c r="J270" s="31" t="n">
        <f aca="false">J268*J269</f>
        <v>0</v>
      </c>
      <c r="K270" s="31" t="n">
        <f aca="false">K268*K269</f>
        <v>0</v>
      </c>
      <c r="L270" s="31" t="n">
        <f aca="false">L268*L269</f>
        <v>0</v>
      </c>
      <c r="M270" s="31" t="n">
        <f aca="false">M268*M269</f>
        <v>0</v>
      </c>
      <c r="N270" s="31" t="n">
        <f aca="false">N268*N269</f>
        <v>0</v>
      </c>
      <c r="O270" s="31" t="n">
        <f aca="false">O268*O269</f>
        <v>5292</v>
      </c>
      <c r="P270" s="31" t="n">
        <f aca="false">P268*P269</f>
        <v>10689.84</v>
      </c>
      <c r="Q270" s="31" t="n">
        <f aca="false">Q268*Q269</f>
        <v>10764.3481848</v>
      </c>
      <c r="R270" s="31" t="n">
        <f aca="false">R268*R269</f>
        <v>10839.3756916481</v>
      </c>
      <c r="S270" s="31" t="n">
        <f aca="false">S268*S269</f>
        <v>10914.9261402188</v>
      </c>
      <c r="T270" s="31" t="n">
        <f aca="false">T268*T269</f>
        <v>10991.0031754162</v>
      </c>
      <c r="U270" s="31" t="n">
        <f aca="false">U268*U269</f>
        <v>11067.6104675488</v>
      </c>
      <c r="V270" s="31" t="n">
        <f aca="false">V268*V269</f>
        <v>11144.7517125076</v>
      </c>
      <c r="W270" s="31" t="n">
        <f aca="false">W268*W269</f>
        <v>11222.4306319438</v>
      </c>
      <c r="X270" s="31" t="n">
        <f aca="false">X268*X269</f>
        <v>11300.6509734485</v>
      </c>
      <c r="Y270" s="31" t="n">
        <f aca="false">Y268*Y269</f>
        <v>11379.4165107334</v>
      </c>
      <c r="Z270" s="31" t="n">
        <f aca="false">Z268*Z269</f>
        <v>11458.7310438132</v>
      </c>
      <c r="AA270" s="31" t="n">
        <f aca="false">AA268*AA269</f>
        <v>11538.5983991886</v>
      </c>
      <c r="AB270" s="31" t="n">
        <f aca="false">AB268*AB269</f>
        <v>11619.0224300309</v>
      </c>
      <c r="AC270" s="31" t="n">
        <f aca="false">AC268*AC269</f>
        <v>11700.0070163682</v>
      </c>
      <c r="AD270" s="31" t="n">
        <f aca="false">AD268*AD269</f>
        <v>11781.5560652723</v>
      </c>
      <c r="AE270" s="31" t="n">
        <f aca="false">AE268*AE269</f>
        <v>11863.6735110473</v>
      </c>
      <c r="AF270" s="31" t="n">
        <f aca="false">AF268*AF269</f>
        <v>11946.3633154193</v>
      </c>
      <c r="AG270" s="31" t="n">
        <f aca="false">AG268*AG269</f>
        <v>12029.6294677278</v>
      </c>
      <c r="AH270" s="31" t="n">
        <f aca="false">AH268*AH269</f>
        <v>12113.4759851178</v>
      </c>
      <c r="AI270" s="31" t="n">
        <f aca="false">AI268*AI269</f>
        <v>12197.9069127341</v>
      </c>
      <c r="AJ270" s="31" t="n">
        <f aca="false">AJ268*AJ269</f>
        <v>12282.9263239158</v>
      </c>
      <c r="AK270" s="31" t="n">
        <f aca="false">AK268*AK269</f>
        <v>12368.5383203935</v>
      </c>
      <c r="AL270" s="31" t="n">
        <f aca="false">AL268*AL269</f>
        <v>12454.7470324867</v>
      </c>
      <c r="AM270" s="31" t="n">
        <f aca="false">AM268*AM269</f>
        <v>12541.5566193031</v>
      </c>
      <c r="AN270" s="31" t="n">
        <f aca="false">AN268*AN269</f>
        <v>12628.9712689397</v>
      </c>
      <c r="AO270" s="31" t="n">
        <f aca="false">AO268*AO269</f>
        <v>12716.9951986842</v>
      </c>
      <c r="AP270" s="31" t="n">
        <f aca="false">AP268*AP269</f>
        <v>12805.632655219</v>
      </c>
      <c r="AQ270" s="31" t="n">
        <f aca="false">AQ268*AQ269</f>
        <v>12894.8879148259</v>
      </c>
      <c r="AR270" s="31" t="n">
        <f aca="false">AR268*AR269</f>
        <v>12984.7652835922</v>
      </c>
      <c r="AS270" s="31" t="n">
        <f aca="false">AS268*AS269</f>
        <v>6537.63454880942</v>
      </c>
    </row>
    <row r="271" customFormat="false" ht="14.25" hidden="true" customHeight="false" outlineLevel="1" collapsed="false">
      <c r="C271" s="6" t="s">
        <v>230</v>
      </c>
      <c r="D271" s="2" t="s">
        <v>3</v>
      </c>
      <c r="J271" s="56" t="n">
        <f aca="false">(1+Opex_Esc)^J256</f>
        <v>0.883854287609517</v>
      </c>
      <c r="K271" s="56" t="n">
        <f aca="false">(1+Opex_Esc)^K256</f>
        <v>0.905950644799755</v>
      </c>
      <c r="L271" s="56" t="n">
        <f aca="false">(1+Opex_Esc)^L256</f>
        <v>0.928599410919749</v>
      </c>
      <c r="M271" s="56" t="n">
        <f aca="false">(1+Opex_Esc)^M256</f>
        <v>0.951814396192743</v>
      </c>
      <c r="N271" s="56" t="n">
        <f aca="false">(1+Opex_Esc)^N256</f>
        <v>0.975609756097561</v>
      </c>
      <c r="O271" s="56" t="n">
        <f aca="false">(1+Opex_Esc)^O256</f>
        <v>1</v>
      </c>
      <c r="P271" s="56" t="n">
        <f aca="false">(1+Opex_Esc)^P256</f>
        <v>1.025</v>
      </c>
      <c r="Q271" s="56" t="n">
        <f aca="false">(1+Opex_Esc)^Q256</f>
        <v>1.050625</v>
      </c>
      <c r="R271" s="56" t="n">
        <f aca="false">(1+Opex_Esc)^R256</f>
        <v>1.076890625</v>
      </c>
      <c r="S271" s="56" t="n">
        <f aca="false">(1+Opex_Esc)^S256</f>
        <v>1.103812890625</v>
      </c>
      <c r="T271" s="56" t="n">
        <f aca="false">(1+Opex_Esc)^T256</f>
        <v>1.13140821289062</v>
      </c>
      <c r="U271" s="56" t="n">
        <f aca="false">(1+Opex_Esc)^U256</f>
        <v>1.15969341821289</v>
      </c>
      <c r="V271" s="56" t="n">
        <f aca="false">(1+Opex_Esc)^V256</f>
        <v>1.18868575366821</v>
      </c>
      <c r="W271" s="56" t="n">
        <f aca="false">(1+Opex_Esc)^W256</f>
        <v>1.21840289750992</v>
      </c>
      <c r="X271" s="56" t="n">
        <f aca="false">(1+Opex_Esc)^X256</f>
        <v>1.24886296994767</v>
      </c>
      <c r="Y271" s="56" t="n">
        <f aca="false">(1+Opex_Esc)^Y256</f>
        <v>1.28008454419636</v>
      </c>
      <c r="Z271" s="56" t="n">
        <f aca="false">(1+Opex_Esc)^Z256</f>
        <v>1.31208665780127</v>
      </c>
      <c r="AA271" s="56" t="n">
        <f aca="false">(1+Opex_Esc)^AA256</f>
        <v>1.3448888242463</v>
      </c>
      <c r="AB271" s="56" t="n">
        <f aca="false">(1+Opex_Esc)^AB256</f>
        <v>1.37851104485245</v>
      </c>
      <c r="AC271" s="56" t="n">
        <f aca="false">(1+Opex_Esc)^AC256</f>
        <v>1.41297382097377</v>
      </c>
      <c r="AD271" s="56" t="n">
        <f aca="false">(1+Opex_Esc)^AD256</f>
        <v>1.44829816649811</v>
      </c>
      <c r="AE271" s="56" t="n">
        <f aca="false">(1+Opex_Esc)^AE256</f>
        <v>1.48450562066056</v>
      </c>
      <c r="AF271" s="56" t="n">
        <f aca="false">(1+Opex_Esc)^AF256</f>
        <v>1.52161826117708</v>
      </c>
      <c r="AG271" s="56" t="n">
        <f aca="false">(1+Opex_Esc)^AG256</f>
        <v>1.5596587177065</v>
      </c>
      <c r="AH271" s="56" t="n">
        <f aca="false">(1+Opex_Esc)^AH256</f>
        <v>1.59865018564917</v>
      </c>
      <c r="AI271" s="56" t="n">
        <f aca="false">(1+Opex_Esc)^AI256</f>
        <v>1.63861644029039</v>
      </c>
      <c r="AJ271" s="56" t="n">
        <f aca="false">(1+Opex_Esc)^AJ256</f>
        <v>1.67958185129765</v>
      </c>
      <c r="AK271" s="56" t="n">
        <f aca="false">(1+Opex_Esc)^AK256</f>
        <v>1.7215713975801</v>
      </c>
      <c r="AL271" s="56" t="n">
        <f aca="false">(1+Opex_Esc)^AL256</f>
        <v>1.7646106825196</v>
      </c>
      <c r="AM271" s="56" t="n">
        <f aca="false">(1+Opex_Esc)^AM256</f>
        <v>1.80872594958259</v>
      </c>
      <c r="AN271" s="56" t="n">
        <f aca="false">(1+Opex_Esc)^AN256</f>
        <v>1.85394409832215</v>
      </c>
      <c r="AO271" s="56" t="n">
        <f aca="false">(1+Opex_Esc)^AO256</f>
        <v>1.90029270078021</v>
      </c>
      <c r="AP271" s="56" t="n">
        <f aca="false">(1+Opex_Esc)^AP256</f>
        <v>1.94780001829971</v>
      </c>
      <c r="AQ271" s="56" t="n">
        <f aca="false">(1+Opex_Esc)^AQ256</f>
        <v>1.9964950187572</v>
      </c>
      <c r="AR271" s="56" t="n">
        <f aca="false">(1+Opex_Esc)^AR256</f>
        <v>2.04640739422613</v>
      </c>
      <c r="AS271" s="56" t="n">
        <f aca="false">(1+Opex_Esc)^AS256</f>
        <v>2.09756757908179</v>
      </c>
    </row>
    <row r="272" customFormat="false" ht="14.25" hidden="true" customHeight="false" outlineLevel="1" collapsed="false">
      <c r="C272" s="6" t="s">
        <v>231</v>
      </c>
      <c r="D272" s="2" t="s">
        <v>82</v>
      </c>
      <c r="H272" s="8" t="n">
        <f aca="false">SUM(J272:AS272)</f>
        <v>-55564.3586910156</v>
      </c>
      <c r="J272" s="8" t="n">
        <f aca="false">-(Case_OM+SUM(Opex_Per_MW))*$E$44*J271*J260</f>
        <v>-0</v>
      </c>
      <c r="K272" s="8" t="n">
        <f aca="false">-(Case_OM+SUM(Opex_Per_MW))*$E$44*K271*K260</f>
        <v>-0</v>
      </c>
      <c r="L272" s="8" t="n">
        <f aca="false">-(Case_OM+SUM(Opex_Per_MW))*$E$44*L271*L260</f>
        <v>-0</v>
      </c>
      <c r="M272" s="8" t="n">
        <f aca="false">-(Case_OM+SUM(Opex_Per_MW))*$E$44*M271*M260</f>
        <v>-0</v>
      </c>
      <c r="N272" s="8" t="n">
        <f aca="false">-(Case_OM+SUM(Opex_Per_MW))*$E$44*N271*N260</f>
        <v>-0</v>
      </c>
      <c r="O272" s="8" t="n">
        <f aca="false">-(Case_OM+SUM(Opex_Per_MW))*$E$44*O271*O260</f>
        <v>-625</v>
      </c>
      <c r="P272" s="8" t="n">
        <f aca="false">-(Case_OM+SUM(Opex_Per_MW))*$E$44*P271*P260</f>
        <v>-1281.25</v>
      </c>
      <c r="Q272" s="8" t="n">
        <f aca="false">-(Case_OM+SUM(Opex_Per_MW))*$E$44*Q271*Q260</f>
        <v>-1313.28125</v>
      </c>
      <c r="R272" s="8" t="n">
        <f aca="false">-(Case_OM+SUM(Opex_Per_MW))*$E$44*R271*R260</f>
        <v>-1346.11328125</v>
      </c>
      <c r="S272" s="8" t="n">
        <f aca="false">-(Case_OM+SUM(Opex_Per_MW))*$E$44*S271*S260</f>
        <v>-1379.76611328125</v>
      </c>
      <c r="T272" s="8" t="n">
        <f aca="false">-(Case_OM+SUM(Opex_Per_MW))*$E$44*T271*T260</f>
        <v>-1414.26026611328</v>
      </c>
      <c r="U272" s="8" t="n">
        <f aca="false">-(Case_OM+SUM(Opex_Per_MW))*$E$44*U271*U260</f>
        <v>-1449.61677276611</v>
      </c>
      <c r="V272" s="8" t="n">
        <f aca="false">-(Case_OM+SUM(Opex_Per_MW))*$E$44*V271*V260</f>
        <v>-1485.85719208527</v>
      </c>
      <c r="W272" s="8" t="n">
        <f aca="false">-(Case_OM+SUM(Opex_Per_MW))*$E$44*W271*W260</f>
        <v>-1523.0036218874</v>
      </c>
      <c r="X272" s="8" t="n">
        <f aca="false">-(Case_OM+SUM(Opex_Per_MW))*$E$44*X271*X260</f>
        <v>-1561.07871243458</v>
      </c>
      <c r="Y272" s="8" t="n">
        <f aca="false">-(Case_OM+SUM(Opex_Per_MW))*$E$44*Y271*Y260</f>
        <v>-1600.10568024545</v>
      </c>
      <c r="Z272" s="8" t="n">
        <f aca="false">-(Case_OM+SUM(Opex_Per_MW))*$E$44*Z271*Z260</f>
        <v>-1640.10832225158</v>
      </c>
      <c r="AA272" s="8" t="n">
        <f aca="false">-(Case_OM+SUM(Opex_Per_MW))*$E$44*AA271*AA260</f>
        <v>-1681.11103030787</v>
      </c>
      <c r="AB272" s="8" t="n">
        <f aca="false">-(Case_OM+SUM(Opex_Per_MW))*$E$44*AB271*AB260</f>
        <v>-1723.13880606557</v>
      </c>
      <c r="AC272" s="8" t="n">
        <f aca="false">-(Case_OM+SUM(Opex_Per_MW))*$E$44*AC271*AC260</f>
        <v>-1766.21727621721</v>
      </c>
      <c r="AD272" s="8" t="n">
        <f aca="false">-(Case_OM+SUM(Opex_Per_MW))*$E$44*AD271*AD260</f>
        <v>-1810.37270812264</v>
      </c>
      <c r="AE272" s="8" t="n">
        <f aca="false">-(Case_OM+SUM(Opex_Per_MW))*$E$44*AE271*AE260</f>
        <v>-1855.6320258257</v>
      </c>
      <c r="AF272" s="8" t="n">
        <f aca="false">-(Case_OM+SUM(Opex_Per_MW))*$E$44*AF271*AF260</f>
        <v>-1902.02282647135</v>
      </c>
      <c r="AG272" s="8" t="n">
        <f aca="false">-(Case_OM+SUM(Opex_Per_MW))*$E$44*AG271*AG260</f>
        <v>-1949.57339713313</v>
      </c>
      <c r="AH272" s="8" t="n">
        <f aca="false">-(Case_OM+SUM(Opex_Per_MW))*$E$44*AH271*AH260</f>
        <v>-1998.31273206146</v>
      </c>
      <c r="AI272" s="8" t="n">
        <f aca="false">-(Case_OM+SUM(Opex_Per_MW))*$E$44*AI271*AI260</f>
        <v>-2048.27055036299</v>
      </c>
      <c r="AJ272" s="8" t="n">
        <f aca="false">-(Case_OM+SUM(Opex_Per_MW))*$E$44*AJ271*AJ260</f>
        <v>-2099.47731412207</v>
      </c>
      <c r="AK272" s="8" t="n">
        <f aca="false">-(Case_OM+SUM(Opex_Per_MW))*$E$44*AK271*AK260</f>
        <v>-2151.96424697512</v>
      </c>
      <c r="AL272" s="8" t="n">
        <f aca="false">-(Case_OM+SUM(Opex_Per_MW))*$E$44*AL271*AL260</f>
        <v>-2205.7633531495</v>
      </c>
      <c r="AM272" s="8" t="n">
        <f aca="false">-(Case_OM+SUM(Opex_Per_MW))*$E$44*AM271*AM260</f>
        <v>-2260.90743697823</v>
      </c>
      <c r="AN272" s="8" t="n">
        <f aca="false">-(Case_OM+SUM(Opex_Per_MW))*$E$44*AN271*AN260</f>
        <v>-2317.43012290269</v>
      </c>
      <c r="AO272" s="8" t="n">
        <f aca="false">-(Case_OM+SUM(Opex_Per_MW))*$E$44*AO271*AO260</f>
        <v>-2375.36587597526</v>
      </c>
      <c r="AP272" s="8" t="n">
        <f aca="false">-(Case_OM+SUM(Opex_Per_MW))*$E$44*AP271*AP260</f>
        <v>-2434.75002287464</v>
      </c>
      <c r="AQ272" s="8" t="n">
        <f aca="false">-(Case_OM+SUM(Opex_Per_MW))*$E$44*AQ271*AQ260</f>
        <v>-2495.6187734465</v>
      </c>
      <c r="AR272" s="8" t="n">
        <f aca="false">-(Case_OM+SUM(Opex_Per_MW))*$E$44*AR271*AR260</f>
        <v>-2558.00924278267</v>
      </c>
      <c r="AS272" s="8" t="n">
        <f aca="false">-(Case_OM+SUM(Opex_Per_MW))*$E$44*AS271*AS260</f>
        <v>-1310.97973692612</v>
      </c>
    </row>
    <row r="273" customFormat="false" ht="14.25" hidden="true" customHeight="false" outlineLevel="1" collapsed="false">
      <c r="C273" s="6" t="s">
        <v>232</v>
      </c>
      <c r="D273" s="2" t="s">
        <v>82</v>
      </c>
      <c r="H273" s="8" t="n">
        <f aca="false">SUM(J273:AS273)</f>
        <v>-1666.93076073047</v>
      </c>
      <c r="J273" s="8" t="n">
        <f aca="false">-Opex_Admin*$E$6/Lump_Basis*J271*J260</f>
        <v>-0</v>
      </c>
      <c r="K273" s="8" t="n">
        <f aca="false">-Opex_Admin*$E$6/Lump_Basis*K271*K260</f>
        <v>-0</v>
      </c>
      <c r="L273" s="8" t="n">
        <f aca="false">-Opex_Admin*$E$6/Lump_Basis*L271*L260</f>
        <v>-0</v>
      </c>
      <c r="M273" s="8" t="n">
        <f aca="false">-Opex_Admin*$E$6/Lump_Basis*M271*M260</f>
        <v>-0</v>
      </c>
      <c r="N273" s="8" t="n">
        <f aca="false">-Opex_Admin*$E$6/Lump_Basis*N271*N260</f>
        <v>-0</v>
      </c>
      <c r="O273" s="8" t="n">
        <f aca="false">-Opex_Admin*$E$6/Lump_Basis*O271*O260</f>
        <v>-18.75</v>
      </c>
      <c r="P273" s="8" t="n">
        <f aca="false">-Opex_Admin*$E$6/Lump_Basis*P271*P260</f>
        <v>-38.4375</v>
      </c>
      <c r="Q273" s="8" t="n">
        <f aca="false">-Opex_Admin*$E$6/Lump_Basis*Q271*Q260</f>
        <v>-39.3984375</v>
      </c>
      <c r="R273" s="8" t="n">
        <f aca="false">-Opex_Admin*$E$6/Lump_Basis*R271*R260</f>
        <v>-40.3833984375</v>
      </c>
      <c r="S273" s="8" t="n">
        <f aca="false">-Opex_Admin*$E$6/Lump_Basis*S271*S260</f>
        <v>-41.3929833984375</v>
      </c>
      <c r="T273" s="8" t="n">
        <f aca="false">-Opex_Admin*$E$6/Lump_Basis*T271*T260</f>
        <v>-42.4278079833984</v>
      </c>
      <c r="U273" s="8" t="n">
        <f aca="false">-Opex_Admin*$E$6/Lump_Basis*U271*U260</f>
        <v>-43.4885031829834</v>
      </c>
      <c r="V273" s="8" t="n">
        <f aca="false">-Opex_Admin*$E$6/Lump_Basis*V271*V260</f>
        <v>-44.575715762558</v>
      </c>
      <c r="W273" s="8" t="n">
        <f aca="false">-Opex_Admin*$E$6/Lump_Basis*W271*W260</f>
        <v>-45.6901086566219</v>
      </c>
      <c r="X273" s="8" t="n">
        <f aca="false">-Opex_Admin*$E$6/Lump_Basis*X271*X260</f>
        <v>-46.8323613730374</v>
      </c>
      <c r="Y273" s="8" t="n">
        <f aca="false">-Opex_Admin*$E$6/Lump_Basis*Y271*Y260</f>
        <v>-48.0031704073634</v>
      </c>
      <c r="Z273" s="8" t="n">
        <f aca="false">-Opex_Admin*$E$6/Lump_Basis*Z271*Z260</f>
        <v>-49.2032496675475</v>
      </c>
      <c r="AA273" s="8" t="n">
        <f aca="false">-Opex_Admin*$E$6/Lump_Basis*AA271*AA260</f>
        <v>-50.4333309092361</v>
      </c>
      <c r="AB273" s="8" t="n">
        <f aca="false">-Opex_Admin*$E$6/Lump_Basis*AB271*AB260</f>
        <v>-51.694164181967</v>
      </c>
      <c r="AC273" s="8" t="n">
        <f aca="false">-Opex_Admin*$E$6/Lump_Basis*AC271*AC260</f>
        <v>-52.9865182865162</v>
      </c>
      <c r="AD273" s="8" t="n">
        <f aca="false">-Opex_Admin*$E$6/Lump_Basis*AD271*AD260</f>
        <v>-54.3111812436791</v>
      </c>
      <c r="AE273" s="8" t="n">
        <f aca="false">-Opex_Admin*$E$6/Lump_Basis*AE271*AE260</f>
        <v>-55.6689607747711</v>
      </c>
      <c r="AF273" s="8" t="n">
        <f aca="false">-Opex_Admin*$E$6/Lump_Basis*AF271*AF260</f>
        <v>-57.0606847941404</v>
      </c>
      <c r="AG273" s="8" t="n">
        <f aca="false">-Opex_Admin*$E$6/Lump_Basis*AG271*AG260</f>
        <v>-58.4872019139939</v>
      </c>
      <c r="AH273" s="8" t="n">
        <f aca="false">-Opex_Admin*$E$6/Lump_Basis*AH271*AH260</f>
        <v>-59.9493819618437</v>
      </c>
      <c r="AI273" s="8" t="n">
        <f aca="false">-Opex_Admin*$E$6/Lump_Basis*AI271*AI260</f>
        <v>-61.4481165108898</v>
      </c>
      <c r="AJ273" s="8" t="n">
        <f aca="false">-Opex_Admin*$E$6/Lump_Basis*AJ271*AJ260</f>
        <v>-62.984319423662</v>
      </c>
      <c r="AK273" s="8" t="n">
        <f aca="false">-Opex_Admin*$E$6/Lump_Basis*AK271*AK260</f>
        <v>-64.5589274092536</v>
      </c>
      <c r="AL273" s="8" t="n">
        <f aca="false">-Opex_Admin*$E$6/Lump_Basis*AL271*AL260</f>
        <v>-66.1729005944849</v>
      </c>
      <c r="AM273" s="8" t="n">
        <f aca="false">-Opex_Admin*$E$6/Lump_Basis*AM271*AM260</f>
        <v>-67.827223109347</v>
      </c>
      <c r="AN273" s="8" t="n">
        <f aca="false">-Opex_Admin*$E$6/Lump_Basis*AN271*AN260</f>
        <v>-69.5229036870807</v>
      </c>
      <c r="AO273" s="8" t="n">
        <f aca="false">-Opex_Admin*$E$6/Lump_Basis*AO271*AO260</f>
        <v>-71.2609762792577</v>
      </c>
      <c r="AP273" s="8" t="n">
        <f aca="false">-Opex_Admin*$E$6/Lump_Basis*AP271*AP260</f>
        <v>-73.0425006862391</v>
      </c>
      <c r="AQ273" s="8" t="n">
        <f aca="false">-Opex_Admin*$E$6/Lump_Basis*AQ271*AQ260</f>
        <v>-74.8685632033951</v>
      </c>
      <c r="AR273" s="8" t="n">
        <f aca="false">-Opex_Admin*$E$6/Lump_Basis*AR271*AR260</f>
        <v>-76.74027728348</v>
      </c>
      <c r="AS273" s="8" t="n">
        <f aca="false">-Opex_Admin*$E$6/Lump_Basis*AS271*AS260</f>
        <v>-39.3293921077835</v>
      </c>
    </row>
    <row r="274" customFormat="false" ht="14.25" hidden="true" customHeight="false" outlineLevel="1" collapsed="false">
      <c r="C274" s="6" t="s">
        <v>233</v>
      </c>
      <c r="D274" s="2" t="s">
        <v>82</v>
      </c>
      <c r="H274" s="8" t="n">
        <f aca="false">SUM(J274:AS274)</f>
        <v>-24930.103069274</v>
      </c>
      <c r="J274" s="8" t="n">
        <f aca="false">-J268*(Balancing+Grid_Charges)*J271</f>
        <v>-0</v>
      </c>
      <c r="K274" s="8" t="n">
        <f aca="false">-K268*(Balancing+Grid_Charges)*K271</f>
        <v>-0</v>
      </c>
      <c r="L274" s="8" t="n">
        <f aca="false">-L268*(Balancing+Grid_Charges)*L271</f>
        <v>-0</v>
      </c>
      <c r="M274" s="8" t="n">
        <f aca="false">-M268*(Balancing+Grid_Charges)*M271</f>
        <v>-0</v>
      </c>
      <c r="N274" s="8" t="n">
        <f aca="false">-N268*(Balancing+Grid_Charges)*N271</f>
        <v>-0</v>
      </c>
      <c r="O274" s="8" t="n">
        <f aca="false">-O268*(Balancing+Grid_Charges)*O271</f>
        <v>-294</v>
      </c>
      <c r="P274" s="8" t="n">
        <f aca="false">-P268*(Balancing+Grid_Charges)*P271</f>
        <v>-602.7</v>
      </c>
      <c r="Q274" s="8" t="n">
        <f aca="false">-Q268*(Balancing+Grid_Charges)*Q271</f>
        <v>-615.9141975</v>
      </c>
      <c r="R274" s="8" t="n">
        <f aca="false">-R268*(Balancing+Grid_Charges)*R271</f>
        <v>-629.418116280187</v>
      </c>
      <c r="S274" s="8" t="n">
        <f aca="false">-S268*(Balancing+Grid_Charges)*S271</f>
        <v>-643.21810847963</v>
      </c>
      <c r="T274" s="8" t="n">
        <f aca="false">-T268*(Balancing+Grid_Charges)*T271</f>
        <v>-657.320665508046</v>
      </c>
      <c r="U274" s="8" t="n">
        <f aca="false">-U268*(Balancing+Grid_Charges)*U271</f>
        <v>-671.73242109931</v>
      </c>
      <c r="V274" s="8" t="n">
        <f aca="false">-V268*(Balancing+Grid_Charges)*V271</f>
        <v>-686.460154431913</v>
      </c>
      <c r="W274" s="8" t="n">
        <f aca="false">-W268*(Balancing+Grid_Charges)*W271</f>
        <v>-701.510793317832</v>
      </c>
      <c r="X274" s="8" t="n">
        <f aca="false">-X268*(Balancing+Grid_Charges)*X271</f>
        <v>-716.891417461325</v>
      </c>
      <c r="Y274" s="8" t="n">
        <f aca="false">-Y268*(Balancing+Grid_Charges)*Y271</f>
        <v>-732.609261789165</v>
      </c>
      <c r="Z274" s="8" t="n">
        <f aca="false">-Z268*(Balancing+Grid_Charges)*Z271</f>
        <v>-748.671719853892</v>
      </c>
      <c r="AA274" s="8" t="n">
        <f aca="false">-AA268*(Balancing+Grid_Charges)*AA271</f>
        <v>-765.086347311689</v>
      </c>
      <c r="AB274" s="8" t="n">
        <f aca="false">-AB268*(Balancing+Grid_Charges)*AB271</f>
        <v>-781.860865476497</v>
      </c>
      <c r="AC274" s="8" t="n">
        <f aca="false">-AC268*(Balancing+Grid_Charges)*AC271</f>
        <v>-799.00316495207</v>
      </c>
      <c r="AD274" s="8" t="n">
        <f aca="false">-AD268*(Balancing+Grid_Charges)*AD271</f>
        <v>-816.521309343644</v>
      </c>
      <c r="AE274" s="8" t="n">
        <f aca="false">-AE268*(Balancing+Grid_Charges)*AE271</f>
        <v>-834.423539051003</v>
      </c>
      <c r="AF274" s="8" t="n">
        <f aca="false">-AF268*(Balancing+Grid_Charges)*AF271</f>
        <v>-852.718275144696</v>
      </c>
      <c r="AG274" s="8" t="n">
        <f aca="false">-AG268*(Balancing+Grid_Charges)*AG271</f>
        <v>-871.414123327244</v>
      </c>
      <c r="AH274" s="8" t="n">
        <f aca="false">-AH268*(Balancing+Grid_Charges)*AH271</f>
        <v>-890.519877981193</v>
      </c>
      <c r="AI274" s="8" t="n">
        <f aca="false">-AI268*(Balancing+Grid_Charges)*AI271</f>
        <v>-910.044526305931</v>
      </c>
      <c r="AJ274" s="8" t="n">
        <f aca="false">-AJ268*(Balancing+Grid_Charges)*AJ271</f>
        <v>-929.997252545188</v>
      </c>
      <c r="AK274" s="8" t="n">
        <f aca="false">-AK268*(Balancing+Grid_Charges)*AK271</f>
        <v>-950.387442307242</v>
      </c>
      <c r="AL274" s="8" t="n">
        <f aca="false">-AL268*(Balancing+Grid_Charges)*AL271</f>
        <v>-971.224686979828</v>
      </c>
      <c r="AM274" s="8" t="n">
        <f aca="false">-AM268*(Balancing+Grid_Charges)*AM271</f>
        <v>-992.51878824186</v>
      </c>
      <c r="AN274" s="8" t="n">
        <f aca="false">-AN268*(Balancing+Grid_Charges)*AN271</f>
        <v>-1014.27976267406</v>
      </c>
      <c r="AO274" s="8" t="n">
        <f aca="false">-AO268*(Balancing+Grid_Charges)*AO271</f>
        <v>-1036.51784647069</v>
      </c>
      <c r="AP274" s="8" t="n">
        <f aca="false">-AP268*(Balancing+Grid_Charges)*AP271</f>
        <v>-1059.24350025456</v>
      </c>
      <c r="AQ274" s="8" t="n">
        <f aca="false">-AQ268*(Balancing+Grid_Charges)*AQ271</f>
        <v>-1082.46741399764</v>
      </c>
      <c r="AR274" s="8" t="n">
        <f aca="false">-AR268*(Balancing+Grid_Charges)*AR271</f>
        <v>-1106.20051204954</v>
      </c>
      <c r="AS274" s="8" t="n">
        <f aca="false">-AS268*(Balancing+Grid_Charges)*AS271</f>
        <v>-565.226979138113</v>
      </c>
    </row>
    <row r="275" customFormat="false" ht="14.25" hidden="true" customHeight="false" outlineLevel="1" collapsed="false">
      <c r="C275" s="6" t="s">
        <v>234</v>
      </c>
      <c r="D275" s="2" t="s">
        <v>82</v>
      </c>
      <c r="H275" s="8" t="n">
        <f aca="false">SUM(J275:AS275)</f>
        <v>-354.071972801154</v>
      </c>
      <c r="J275" s="8" t="n">
        <f aca="false">-J270*MEKH_Fee</f>
        <v>-0</v>
      </c>
      <c r="K275" s="8" t="n">
        <f aca="false">-K270*MEKH_Fee</f>
        <v>-0</v>
      </c>
      <c r="L275" s="8" t="n">
        <f aca="false">-L270*MEKH_Fee</f>
        <v>-0</v>
      </c>
      <c r="M275" s="8" t="n">
        <f aca="false">-M270*MEKH_Fee</f>
        <v>-0</v>
      </c>
      <c r="N275" s="8" t="n">
        <f aca="false">-N270*MEKH_Fee</f>
        <v>-0</v>
      </c>
      <c r="O275" s="8" t="n">
        <f aca="false">-O270*MEKH_Fee</f>
        <v>-5.292</v>
      </c>
      <c r="P275" s="8" t="n">
        <f aca="false">-P270*MEKH_Fee</f>
        <v>-10.68984</v>
      </c>
      <c r="Q275" s="8" t="n">
        <f aca="false">-Q270*MEKH_Fee</f>
        <v>-10.7643481848</v>
      </c>
      <c r="R275" s="8" t="n">
        <f aca="false">-R270*MEKH_Fee</f>
        <v>-10.8393756916481</v>
      </c>
      <c r="S275" s="8" t="n">
        <f aca="false">-S270*MEKH_Fee</f>
        <v>-10.9149261402188</v>
      </c>
      <c r="T275" s="8" t="n">
        <f aca="false">-T270*MEKH_Fee</f>
        <v>-10.9910031754162</v>
      </c>
      <c r="U275" s="8" t="n">
        <f aca="false">-U270*MEKH_Fee</f>
        <v>-11.0676104675488</v>
      </c>
      <c r="V275" s="8" t="n">
        <f aca="false">-V270*MEKH_Fee</f>
        <v>-11.1447517125076</v>
      </c>
      <c r="W275" s="8" t="n">
        <f aca="false">-W270*MEKH_Fee</f>
        <v>-11.2224306319438</v>
      </c>
      <c r="X275" s="8" t="n">
        <f aca="false">-X270*MEKH_Fee</f>
        <v>-11.3006509734485</v>
      </c>
      <c r="Y275" s="8" t="n">
        <f aca="false">-Y270*MEKH_Fee</f>
        <v>-11.3794165107334</v>
      </c>
      <c r="Z275" s="8" t="n">
        <f aca="false">-Z270*MEKH_Fee</f>
        <v>-11.4587310438132</v>
      </c>
      <c r="AA275" s="8" t="n">
        <f aca="false">-AA270*MEKH_Fee</f>
        <v>-11.5385983991886</v>
      </c>
      <c r="AB275" s="8" t="n">
        <f aca="false">-AB270*MEKH_Fee</f>
        <v>-11.6190224300309</v>
      </c>
      <c r="AC275" s="8" t="n">
        <f aca="false">-AC270*MEKH_Fee</f>
        <v>-11.7000070163682</v>
      </c>
      <c r="AD275" s="8" t="n">
        <f aca="false">-AD270*MEKH_Fee</f>
        <v>-11.7815560652723</v>
      </c>
      <c r="AE275" s="8" t="n">
        <f aca="false">-AE270*MEKH_Fee</f>
        <v>-11.8636735110473</v>
      </c>
      <c r="AF275" s="8" t="n">
        <f aca="false">-AF270*MEKH_Fee</f>
        <v>-11.9463633154193</v>
      </c>
      <c r="AG275" s="8" t="n">
        <f aca="false">-AG270*MEKH_Fee</f>
        <v>-12.0296294677278</v>
      </c>
      <c r="AH275" s="8" t="n">
        <f aca="false">-AH270*MEKH_Fee</f>
        <v>-12.1134759851178</v>
      </c>
      <c r="AI275" s="8" t="n">
        <f aca="false">-AI270*MEKH_Fee</f>
        <v>-12.1979069127341</v>
      </c>
      <c r="AJ275" s="8" t="n">
        <f aca="false">-AJ270*MEKH_Fee</f>
        <v>-12.2829263239158</v>
      </c>
      <c r="AK275" s="8" t="n">
        <f aca="false">-AK270*MEKH_Fee</f>
        <v>-12.3685383203935</v>
      </c>
      <c r="AL275" s="8" t="n">
        <f aca="false">-AL270*MEKH_Fee</f>
        <v>-12.4547470324867</v>
      </c>
      <c r="AM275" s="8" t="n">
        <f aca="false">-AM270*MEKH_Fee</f>
        <v>-12.5415566193031</v>
      </c>
      <c r="AN275" s="8" t="n">
        <f aca="false">-AN270*MEKH_Fee</f>
        <v>-12.6289712689397</v>
      </c>
      <c r="AO275" s="8" t="n">
        <f aca="false">-AO270*MEKH_Fee</f>
        <v>-12.7169951986842</v>
      </c>
      <c r="AP275" s="8" t="n">
        <f aca="false">-AP270*MEKH_Fee</f>
        <v>-12.805632655219</v>
      </c>
      <c r="AQ275" s="8" t="n">
        <f aca="false">-AQ270*MEKH_Fee</f>
        <v>-12.8948879148259</v>
      </c>
      <c r="AR275" s="8" t="n">
        <f aca="false">-AR270*MEKH_Fee</f>
        <v>-12.9847652835922</v>
      </c>
      <c r="AS275" s="8" t="n">
        <f aca="false">-AS270*MEKH_Fee</f>
        <v>-6.53763454880942</v>
      </c>
    </row>
    <row r="276" customFormat="false" ht="14.25" hidden="true" customHeight="false" outlineLevel="1" collapsed="false">
      <c r="C276" s="6" t="s">
        <v>235</v>
      </c>
      <c r="D276" s="2" t="s">
        <v>82</v>
      </c>
      <c r="H276" s="8" t="n">
        <f aca="false">SUM(J276:AS276)</f>
        <v>-4125.77322469106</v>
      </c>
      <c r="J276" s="8" t="n">
        <f aca="false">SUM(J272:J275)*Opex_Cont</f>
        <v>0</v>
      </c>
      <c r="K276" s="8" t="n">
        <f aca="false">SUM(K272:K275)*Opex_Cont</f>
        <v>0</v>
      </c>
      <c r="L276" s="8" t="n">
        <f aca="false">SUM(L272:L275)*Opex_Cont</f>
        <v>0</v>
      </c>
      <c r="M276" s="8" t="n">
        <f aca="false">SUM(M272:M275)*Opex_Cont</f>
        <v>0</v>
      </c>
      <c r="N276" s="8" t="n">
        <f aca="false">SUM(N272:N275)*Opex_Cont</f>
        <v>0</v>
      </c>
      <c r="O276" s="8" t="n">
        <f aca="false">SUM(O272:O275)*Opex_Cont</f>
        <v>-47.1521</v>
      </c>
      <c r="P276" s="8" t="n">
        <f aca="false">SUM(P272:P275)*Opex_Cont</f>
        <v>-96.653867</v>
      </c>
      <c r="Q276" s="8" t="n">
        <f aca="false">SUM(Q272:Q275)*Opex_Cont</f>
        <v>-98.96791165924</v>
      </c>
      <c r="R276" s="8" t="n">
        <f aca="false">SUM(R272:R275)*Opex_Cont</f>
        <v>-101.337708582967</v>
      </c>
      <c r="S276" s="8" t="n">
        <f aca="false">SUM(S272:S275)*Opex_Cont</f>
        <v>-103.764606564977</v>
      </c>
      <c r="T276" s="8" t="n">
        <f aca="false">SUM(T272:T275)*Opex_Cont</f>
        <v>-106.249987139007</v>
      </c>
      <c r="U276" s="8" t="n">
        <f aca="false">SUM(U272:U275)*Opex_Cont</f>
        <v>-108.795265375798</v>
      </c>
      <c r="V276" s="8" t="n">
        <f aca="false">SUM(V272:V275)*Opex_Cont</f>
        <v>-111.401890699612</v>
      </c>
      <c r="W276" s="8" t="n">
        <f aca="false">SUM(W272:W275)*Opex_Cont</f>
        <v>-114.07134772469</v>
      </c>
      <c r="X276" s="8" t="n">
        <f aca="false">SUM(X272:X275)*Opex_Cont</f>
        <v>-116.80515711212</v>
      </c>
      <c r="Y276" s="8" t="n">
        <f aca="false">SUM(Y272:Y275)*Opex_Cont</f>
        <v>-119.604876447635</v>
      </c>
      <c r="Z276" s="8" t="n">
        <f aca="false">SUM(Z272:Z275)*Opex_Cont</f>
        <v>-122.472101140842</v>
      </c>
      <c r="AA276" s="8" t="n">
        <f aca="false">SUM(AA272:AA275)*Opex_Cont</f>
        <v>-125.408465346399</v>
      </c>
      <c r="AB276" s="8" t="n">
        <f aca="false">SUM(AB272:AB275)*Opex_Cont</f>
        <v>-128.415642907703</v>
      </c>
      <c r="AC276" s="8" t="n">
        <f aca="false">SUM(AC272:AC275)*Opex_Cont</f>
        <v>-131.495348323608</v>
      </c>
      <c r="AD276" s="8" t="n">
        <f aca="false">SUM(AD272:AD275)*Opex_Cont</f>
        <v>-134.649337738762</v>
      </c>
      <c r="AE276" s="8" t="n">
        <f aca="false">SUM(AE272:AE275)*Opex_Cont</f>
        <v>-137.879409958126</v>
      </c>
      <c r="AF276" s="8" t="n">
        <f aca="false">SUM(AF272:AF275)*Opex_Cont</f>
        <v>-141.18740748628</v>
      </c>
      <c r="AG276" s="8" t="n">
        <f aca="false">SUM(AG272:AG275)*Opex_Cont</f>
        <v>-144.575217592105</v>
      </c>
      <c r="AH276" s="8" t="n">
        <f aca="false">SUM(AH272:AH275)*Opex_Cont</f>
        <v>-148.044773399481</v>
      </c>
      <c r="AI276" s="8" t="n">
        <f aca="false">SUM(AI272:AI275)*Opex_Cont</f>
        <v>-151.598055004627</v>
      </c>
      <c r="AJ276" s="8" t="n">
        <f aca="false">SUM(AJ272:AJ275)*Opex_Cont</f>
        <v>-155.237090620742</v>
      </c>
      <c r="AK276" s="8" t="n">
        <f aca="false">SUM(AK272:AK275)*Opex_Cont</f>
        <v>-158.9639577506</v>
      </c>
      <c r="AL276" s="8" t="n">
        <f aca="false">SUM(AL272:AL275)*Opex_Cont</f>
        <v>-162.780784387815</v>
      </c>
      <c r="AM276" s="8" t="n">
        <f aca="false">SUM(AM272:AM275)*Opex_Cont</f>
        <v>-166.689750247437</v>
      </c>
      <c r="AN276" s="8" t="n">
        <f aca="false">SUM(AN272:AN275)*Opex_Cont</f>
        <v>-170.693088026639</v>
      </c>
      <c r="AO276" s="8" t="n">
        <f aca="false">SUM(AO272:AO275)*Opex_Cont</f>
        <v>-174.793084696195</v>
      </c>
      <c r="AP276" s="8" t="n">
        <f aca="false">SUM(AP272:AP275)*Opex_Cont</f>
        <v>-178.992082823533</v>
      </c>
      <c r="AQ276" s="8" t="n">
        <f aca="false">SUM(AQ272:AQ275)*Opex_Cont</f>
        <v>-183.292481928118</v>
      </c>
      <c r="AR276" s="8" t="n">
        <f aca="false">SUM(AR272:AR275)*Opex_Cont</f>
        <v>-187.696739869964</v>
      </c>
      <c r="AS276" s="8" t="n">
        <f aca="false">SUM(AS272:AS275)*Opex_Cont</f>
        <v>-96.1036871360411</v>
      </c>
    </row>
    <row r="277" customFormat="false" ht="14.25" hidden="true" customHeight="false" outlineLevel="1" collapsed="false">
      <c r="C277" s="6" t="s">
        <v>236</v>
      </c>
      <c r="D277" s="2" t="s">
        <v>82</v>
      </c>
      <c r="H277" s="8" t="n">
        <f aca="false">SUM(J277:AS277)</f>
        <v>0</v>
      </c>
      <c r="J277" s="8" t="n">
        <f aca="false">-J268*$E$12</f>
        <v>-0</v>
      </c>
      <c r="K277" s="8" t="n">
        <f aca="false">-K268*$E$12</f>
        <v>-0</v>
      </c>
      <c r="L277" s="8" t="n">
        <f aca="false">-L268*$E$12</f>
        <v>-0</v>
      </c>
      <c r="M277" s="8" t="n">
        <f aca="false">-M268*$E$12</f>
        <v>-0</v>
      </c>
      <c r="N277" s="8" t="n">
        <f aca="false">-N268*$E$12</f>
        <v>-0</v>
      </c>
      <c r="O277" s="8" t="n">
        <f aca="false">-O268*$E$12</f>
        <v>-0</v>
      </c>
      <c r="P277" s="8" t="n">
        <f aca="false">-P268*$E$12</f>
        <v>-0</v>
      </c>
      <c r="Q277" s="8" t="n">
        <f aca="false">-Q268*$E$12</f>
        <v>-0</v>
      </c>
      <c r="R277" s="8" t="n">
        <f aca="false">-R268*$E$12</f>
        <v>-0</v>
      </c>
      <c r="S277" s="8" t="n">
        <f aca="false">-S268*$E$12</f>
        <v>-0</v>
      </c>
      <c r="T277" s="8" t="n">
        <f aca="false">-T268*$E$12</f>
        <v>-0</v>
      </c>
      <c r="U277" s="8" t="n">
        <f aca="false">-U268*$E$12</f>
        <v>-0</v>
      </c>
      <c r="V277" s="8" t="n">
        <f aca="false">-V268*$E$12</f>
        <v>-0</v>
      </c>
      <c r="W277" s="8" t="n">
        <f aca="false">-W268*$E$12</f>
        <v>-0</v>
      </c>
      <c r="X277" s="8" t="n">
        <f aca="false">-X268*$E$12</f>
        <v>-0</v>
      </c>
      <c r="Y277" s="8" t="n">
        <f aca="false">-Y268*$E$12</f>
        <v>-0</v>
      </c>
      <c r="Z277" s="8" t="n">
        <f aca="false">-Z268*$E$12</f>
        <v>-0</v>
      </c>
      <c r="AA277" s="8" t="n">
        <f aca="false">-AA268*$E$12</f>
        <v>-0</v>
      </c>
      <c r="AB277" s="8" t="n">
        <f aca="false">-AB268*$E$12</f>
        <v>-0</v>
      </c>
      <c r="AC277" s="8" t="n">
        <f aca="false">-AC268*$E$12</f>
        <v>-0</v>
      </c>
      <c r="AD277" s="8" t="n">
        <f aca="false">-AD268*$E$12</f>
        <v>-0</v>
      </c>
      <c r="AE277" s="8" t="n">
        <f aca="false">-AE268*$E$12</f>
        <v>-0</v>
      </c>
      <c r="AF277" s="8" t="n">
        <f aca="false">-AF268*$E$12</f>
        <v>-0</v>
      </c>
      <c r="AG277" s="8" t="n">
        <f aca="false">-AG268*$E$12</f>
        <v>-0</v>
      </c>
      <c r="AH277" s="8" t="n">
        <f aca="false">-AH268*$E$12</f>
        <v>-0</v>
      </c>
      <c r="AI277" s="8" t="n">
        <f aca="false">-AI268*$E$12</f>
        <v>-0</v>
      </c>
      <c r="AJ277" s="8" t="n">
        <f aca="false">-AJ268*$E$12</f>
        <v>-0</v>
      </c>
      <c r="AK277" s="8" t="n">
        <f aca="false">-AK268*$E$12</f>
        <v>-0</v>
      </c>
      <c r="AL277" s="8" t="n">
        <f aca="false">-AL268*$E$12</f>
        <v>-0</v>
      </c>
      <c r="AM277" s="8" t="n">
        <f aca="false">-AM268*$E$12</f>
        <v>-0</v>
      </c>
      <c r="AN277" s="8" t="n">
        <f aca="false">-AN268*$E$12</f>
        <v>-0</v>
      </c>
      <c r="AO277" s="8" t="n">
        <f aca="false">-AO268*$E$12</f>
        <v>-0</v>
      </c>
      <c r="AP277" s="8" t="n">
        <f aca="false">-AP268*$E$12</f>
        <v>-0</v>
      </c>
      <c r="AQ277" s="8" t="n">
        <f aca="false">-AQ268*$E$12</f>
        <v>-0</v>
      </c>
      <c r="AR277" s="8" t="n">
        <f aca="false">-AR268*$E$12</f>
        <v>-0</v>
      </c>
      <c r="AS277" s="8" t="n">
        <f aca="false">-AS268*$E$12</f>
        <v>-0</v>
      </c>
    </row>
    <row r="278" customFormat="false" ht="14.25" hidden="true" customHeight="false" outlineLevel="1" collapsed="false">
      <c r="C278" s="6" t="s">
        <v>237</v>
      </c>
      <c r="D278" s="2" t="s">
        <v>82</v>
      </c>
      <c r="H278" s="8" t="n">
        <f aca="false">SUM(J278:AS278)</f>
        <v>-7081.43945602309</v>
      </c>
      <c r="J278" s="8" t="n">
        <f aca="false">-J270*HIPA_Rate</f>
        <v>-0</v>
      </c>
      <c r="K278" s="8" t="n">
        <f aca="false">-K270*HIPA_Rate</f>
        <v>-0</v>
      </c>
      <c r="L278" s="8" t="n">
        <f aca="false">-L270*HIPA_Rate</f>
        <v>-0</v>
      </c>
      <c r="M278" s="8" t="n">
        <f aca="false">-M270*HIPA_Rate</f>
        <v>-0</v>
      </c>
      <c r="N278" s="8" t="n">
        <f aca="false">-N270*HIPA_Rate</f>
        <v>-0</v>
      </c>
      <c r="O278" s="8" t="n">
        <f aca="false">-O270*HIPA_Rate</f>
        <v>-105.84</v>
      </c>
      <c r="P278" s="8" t="n">
        <f aca="false">-P270*HIPA_Rate</f>
        <v>-213.7968</v>
      </c>
      <c r="Q278" s="8" t="n">
        <f aca="false">-Q270*HIPA_Rate</f>
        <v>-215.286963696</v>
      </c>
      <c r="R278" s="8" t="n">
        <f aca="false">-R270*HIPA_Rate</f>
        <v>-216.787513832961</v>
      </c>
      <c r="S278" s="8" t="n">
        <f aca="false">-S270*HIPA_Rate</f>
        <v>-218.298522804377</v>
      </c>
      <c r="T278" s="8" t="n">
        <f aca="false">-T270*HIPA_Rate</f>
        <v>-219.820063508323</v>
      </c>
      <c r="U278" s="8" t="n">
        <f aca="false">-U270*HIPA_Rate</f>
        <v>-221.352209350976</v>
      </c>
      <c r="V278" s="8" t="n">
        <f aca="false">-V270*HIPA_Rate</f>
        <v>-222.895034250153</v>
      </c>
      <c r="W278" s="8" t="n">
        <f aca="false">-W270*HIPA_Rate</f>
        <v>-224.448612638876</v>
      </c>
      <c r="X278" s="8" t="n">
        <f aca="false">-X270*HIPA_Rate</f>
        <v>-226.013019468969</v>
      </c>
      <c r="Y278" s="8" t="n">
        <f aca="false">-Y270*HIPA_Rate</f>
        <v>-227.588330214668</v>
      </c>
      <c r="Z278" s="8" t="n">
        <f aca="false">-Z270*HIPA_Rate</f>
        <v>-229.174620876264</v>
      </c>
      <c r="AA278" s="8" t="n">
        <f aca="false">-AA270*HIPA_Rate</f>
        <v>-230.771967983772</v>
      </c>
      <c r="AB278" s="8" t="n">
        <f aca="false">-AB270*HIPA_Rate</f>
        <v>-232.380448600619</v>
      </c>
      <c r="AC278" s="8" t="n">
        <f aca="false">-AC270*HIPA_Rate</f>
        <v>-234.000140327365</v>
      </c>
      <c r="AD278" s="8" t="n">
        <f aca="false">-AD270*HIPA_Rate</f>
        <v>-235.631121305447</v>
      </c>
      <c r="AE278" s="8" t="n">
        <f aca="false">-AE270*HIPA_Rate</f>
        <v>-237.273470220946</v>
      </c>
      <c r="AF278" s="8" t="n">
        <f aca="false">-AF270*HIPA_Rate</f>
        <v>-238.927266308386</v>
      </c>
      <c r="AG278" s="8" t="n">
        <f aca="false">-AG270*HIPA_Rate</f>
        <v>-240.592589354555</v>
      </c>
      <c r="AH278" s="8" t="n">
        <f aca="false">-AH270*HIPA_Rate</f>
        <v>-242.269519702356</v>
      </c>
      <c r="AI278" s="8" t="n">
        <f aca="false">-AI270*HIPA_Rate</f>
        <v>-243.958138254682</v>
      </c>
      <c r="AJ278" s="8" t="n">
        <f aca="false">-AJ270*HIPA_Rate</f>
        <v>-245.658526478317</v>
      </c>
      <c r="AK278" s="8" t="n">
        <f aca="false">-AK270*HIPA_Rate</f>
        <v>-247.370766407871</v>
      </c>
      <c r="AL278" s="8" t="n">
        <f aca="false">-AL270*HIPA_Rate</f>
        <v>-249.094940649734</v>
      </c>
      <c r="AM278" s="8" t="n">
        <f aca="false">-AM270*HIPA_Rate</f>
        <v>-250.831132386062</v>
      </c>
      <c r="AN278" s="8" t="n">
        <f aca="false">-AN270*HIPA_Rate</f>
        <v>-252.579425378793</v>
      </c>
      <c r="AO278" s="8" t="n">
        <f aca="false">-AO270*HIPA_Rate</f>
        <v>-254.339903973683</v>
      </c>
      <c r="AP278" s="8" t="n">
        <f aca="false">-AP270*HIPA_Rate</f>
        <v>-256.11265310438</v>
      </c>
      <c r="AQ278" s="8" t="n">
        <f aca="false">-AQ270*HIPA_Rate</f>
        <v>-257.897758296517</v>
      </c>
      <c r="AR278" s="8" t="n">
        <f aca="false">-AR270*HIPA_Rate</f>
        <v>-259.695305671844</v>
      </c>
      <c r="AS278" s="8" t="n">
        <f aca="false">-AS270*HIPA_Rate</f>
        <v>-130.752690976188</v>
      </c>
    </row>
    <row r="279" customFormat="false" ht="14.25" hidden="true" customHeight="false" outlineLevel="1" collapsed="false">
      <c r="C279" s="1" t="s">
        <v>238</v>
      </c>
      <c r="D279" s="2" t="s">
        <v>82</v>
      </c>
      <c r="H279" s="31" t="n">
        <f aca="false">SUM(J279:AS279)</f>
        <v>-93722.6771745354</v>
      </c>
      <c r="J279" s="31" t="n">
        <f aca="false">SUM(J272:J278)</f>
        <v>0</v>
      </c>
      <c r="K279" s="31" t="n">
        <f aca="false">SUM(K272:K278)</f>
        <v>0</v>
      </c>
      <c r="L279" s="31" t="n">
        <f aca="false">SUM(L272:L278)</f>
        <v>0</v>
      </c>
      <c r="M279" s="31" t="n">
        <f aca="false">SUM(M272:M278)</f>
        <v>0</v>
      </c>
      <c r="N279" s="31" t="n">
        <f aca="false">SUM(N272:N278)</f>
        <v>0</v>
      </c>
      <c r="O279" s="31" t="n">
        <f aca="false">SUM(O272:O278)</f>
        <v>-1096.0341</v>
      </c>
      <c r="P279" s="31" t="n">
        <f aca="false">SUM(P272:P278)</f>
        <v>-2243.528007</v>
      </c>
      <c r="Q279" s="31" t="n">
        <f aca="false">SUM(Q272:Q278)</f>
        <v>-2293.61310854004</v>
      </c>
      <c r="R279" s="31" t="n">
        <f aca="false">SUM(R272:R278)</f>
        <v>-2344.87939407526</v>
      </c>
      <c r="S279" s="31" t="n">
        <f aca="false">SUM(S272:S278)</f>
        <v>-2397.35526066889</v>
      </c>
      <c r="T279" s="31" t="n">
        <f aca="false">SUM(T272:T278)</f>
        <v>-2451.06979342747</v>
      </c>
      <c r="U279" s="31" t="n">
        <f aca="false">SUM(U272:U278)</f>
        <v>-2506.05278224273</v>
      </c>
      <c r="V279" s="31" t="n">
        <f aca="false">SUM(V272:V278)</f>
        <v>-2562.33473894201</v>
      </c>
      <c r="W279" s="31" t="n">
        <f aca="false">SUM(W272:W278)</f>
        <v>-2619.94691485736</v>
      </c>
      <c r="X279" s="31" t="n">
        <f aca="false">SUM(X272:X278)</f>
        <v>-2678.92131882348</v>
      </c>
      <c r="Y279" s="31" t="n">
        <f aca="false">SUM(Y272:Y278)</f>
        <v>-2739.29073561501</v>
      </c>
      <c r="Z279" s="31" t="n">
        <f aca="false">SUM(Z272:Z278)</f>
        <v>-2801.08874483394</v>
      </c>
      <c r="AA279" s="31" t="n">
        <f aca="false">SUM(AA272:AA278)</f>
        <v>-2864.34974025816</v>
      </c>
      <c r="AB279" s="31" t="n">
        <f aca="false">SUM(AB272:AB278)</f>
        <v>-2929.10894966239</v>
      </c>
      <c r="AC279" s="31" t="n">
        <f aca="false">SUM(AC272:AC278)</f>
        <v>-2995.40245512313</v>
      </c>
      <c r="AD279" s="31" t="n">
        <f aca="false">SUM(AD272:AD278)</f>
        <v>-3063.26721381944</v>
      </c>
      <c r="AE279" s="31" t="n">
        <f aca="false">SUM(AE272:AE278)</f>
        <v>-3132.7410793416</v>
      </c>
      <c r="AF279" s="31" t="n">
        <f aca="false">SUM(AF272:AF278)</f>
        <v>-3203.86282352027</v>
      </c>
      <c r="AG279" s="31" t="n">
        <f aca="false">SUM(AG272:AG278)</f>
        <v>-3276.67215878875</v>
      </c>
      <c r="AH279" s="31" t="n">
        <f aca="false">SUM(AH272:AH278)</f>
        <v>-3351.20976109145</v>
      </c>
      <c r="AI279" s="31" t="n">
        <f aca="false">SUM(AI272:AI278)</f>
        <v>-3427.51729335186</v>
      </c>
      <c r="AJ279" s="31" t="n">
        <f aca="false">SUM(AJ272:AJ278)</f>
        <v>-3505.63742951389</v>
      </c>
      <c r="AK279" s="31" t="n">
        <f aca="false">SUM(AK272:AK278)</f>
        <v>-3585.61387917048</v>
      </c>
      <c r="AL279" s="31" t="n">
        <f aca="false">SUM(AL272:AL278)</f>
        <v>-3667.49141279384</v>
      </c>
      <c r="AM279" s="31" t="n">
        <f aca="false">SUM(AM272:AM278)</f>
        <v>-3751.31588758224</v>
      </c>
      <c r="AN279" s="31" t="n">
        <f aca="false">SUM(AN272:AN278)</f>
        <v>-3837.13427393821</v>
      </c>
      <c r="AO279" s="31" t="n">
        <f aca="false">SUM(AO272:AO278)</f>
        <v>-3924.99468259377</v>
      </c>
      <c r="AP279" s="31" t="n">
        <f aca="false">SUM(AP272:AP278)</f>
        <v>-4014.94639239857</v>
      </c>
      <c r="AQ279" s="31" t="n">
        <f aca="false">SUM(AQ272:AQ278)</f>
        <v>-4107.039878787</v>
      </c>
      <c r="AR279" s="31" t="n">
        <f aca="false">SUM(AR272:AR278)</f>
        <v>-4201.32684294109</v>
      </c>
      <c r="AS279" s="31" t="n">
        <f aca="false">SUM(AS272:AS278)</f>
        <v>-2148.93012083305</v>
      </c>
    </row>
    <row r="280" customFormat="false" ht="14.25" hidden="true" customHeight="false" outlineLevel="1" collapsed="false">
      <c r="C280" s="1" t="s">
        <v>152</v>
      </c>
      <c r="D280" s="2" t="s">
        <v>82</v>
      </c>
      <c r="H280" s="14" t="n">
        <f aca="false">SUM(J280:AS280)</f>
        <v>260349.295626619</v>
      </c>
      <c r="J280" s="14" t="n">
        <f aca="false">J270+J279</f>
        <v>0</v>
      </c>
      <c r="K280" s="14" t="n">
        <f aca="false">K270+K279</f>
        <v>0</v>
      </c>
      <c r="L280" s="14" t="n">
        <f aca="false">L270+L279</f>
        <v>0</v>
      </c>
      <c r="M280" s="14" t="n">
        <f aca="false">M270+M279</f>
        <v>0</v>
      </c>
      <c r="N280" s="14" t="n">
        <f aca="false">N270+N279</f>
        <v>0</v>
      </c>
      <c r="O280" s="14" t="n">
        <f aca="false">O270+O279</f>
        <v>4195.9659</v>
      </c>
      <c r="P280" s="14" t="n">
        <f aca="false">P270+P279</f>
        <v>8446.311993</v>
      </c>
      <c r="Q280" s="14" t="n">
        <f aca="false">Q270+Q279</f>
        <v>8470.73507625996</v>
      </c>
      <c r="R280" s="14" t="n">
        <f aca="false">R270+R279</f>
        <v>8494.4962975728</v>
      </c>
      <c r="S280" s="14" t="n">
        <f aca="false">S270+S279</f>
        <v>8517.57087954995</v>
      </c>
      <c r="T280" s="14" t="n">
        <f aca="false">T270+T279</f>
        <v>8539.9333819887</v>
      </c>
      <c r="U280" s="14" t="n">
        <f aca="false">U270+U279</f>
        <v>8561.55768530609</v>
      </c>
      <c r="V280" s="14" t="n">
        <f aca="false">V270+V279</f>
        <v>8582.41697356563</v>
      </c>
      <c r="W280" s="14" t="n">
        <f aca="false">W270+W279</f>
        <v>8602.48371708645</v>
      </c>
      <c r="X280" s="14" t="n">
        <f aca="false">X270+X279</f>
        <v>8621.72965462498</v>
      </c>
      <c r="Y280" s="14" t="n">
        <f aca="false">Y270+Y279</f>
        <v>8640.12577511838</v>
      </c>
      <c r="Z280" s="14" t="n">
        <f aca="false">Z270+Z279</f>
        <v>8657.64229897927</v>
      </c>
      <c r="AA280" s="14" t="n">
        <f aca="false">AA270+AA279</f>
        <v>8674.24865893043</v>
      </c>
      <c r="AB280" s="14" t="n">
        <f aca="false">AB270+AB279</f>
        <v>8689.91348036855</v>
      </c>
      <c r="AC280" s="14" t="n">
        <f aca="false">AC270+AC279</f>
        <v>8704.60456124511</v>
      </c>
      <c r="AD280" s="14" t="n">
        <f aca="false">AD270+AD279</f>
        <v>8718.28885145289</v>
      </c>
      <c r="AE280" s="14" t="n">
        <f aca="false">AE270+AE279</f>
        <v>8730.93243170569</v>
      </c>
      <c r="AF280" s="14" t="n">
        <f aca="false">AF270+AF279</f>
        <v>8742.50049189901</v>
      </c>
      <c r="AG280" s="14" t="n">
        <f aca="false">AG270+AG279</f>
        <v>8752.957308939</v>
      </c>
      <c r="AH280" s="14" t="n">
        <f aca="false">AH270+AH279</f>
        <v>8762.26622402637</v>
      </c>
      <c r="AI280" s="14" t="n">
        <f aca="false">AI270+AI279</f>
        <v>8770.38961938223</v>
      </c>
      <c r="AJ280" s="14" t="n">
        <f aca="false">AJ270+AJ279</f>
        <v>8777.28889440195</v>
      </c>
      <c r="AK280" s="14" t="n">
        <f aca="false">AK270+AK279</f>
        <v>8782.92444122306</v>
      </c>
      <c r="AL280" s="14" t="n">
        <f aca="false">AL270+AL279</f>
        <v>8787.25561969284</v>
      </c>
      <c r="AM280" s="14" t="n">
        <f aca="false">AM270+AM279</f>
        <v>8790.24073172087</v>
      </c>
      <c r="AN280" s="14" t="n">
        <f aca="false">AN270+AN279</f>
        <v>8791.83699500145</v>
      </c>
      <c r="AO280" s="14" t="n">
        <f aca="false">AO270+AO279</f>
        <v>8792.0005160904</v>
      </c>
      <c r="AP280" s="14" t="n">
        <f aca="false">AP270+AP279</f>
        <v>8790.68626282043</v>
      </c>
      <c r="AQ280" s="14" t="n">
        <f aca="false">AQ270+AQ279</f>
        <v>8787.84803603887</v>
      </c>
      <c r="AR280" s="14" t="n">
        <f aca="false">AR270+AR279</f>
        <v>8783.43844065112</v>
      </c>
      <c r="AS280" s="14" t="n">
        <f aca="false">AS270+AS279</f>
        <v>4388.70442797637</v>
      </c>
    </row>
    <row r="281" customFormat="false" ht="14.25" hidden="true" customHeight="false" outlineLevel="1" collapsed="false">
      <c r="C281" s="1" t="s">
        <v>239</v>
      </c>
      <c r="D281" s="2" t="s">
        <v>82</v>
      </c>
      <c r="H281" s="31" t="n">
        <f aca="false">SUM(J281:AS281)</f>
        <v>199712.974388263</v>
      </c>
      <c r="J281" s="31" t="n">
        <f aca="false">J266+J280</f>
        <v>-386.301369863014</v>
      </c>
      <c r="K281" s="31" t="n">
        <f aca="false">K266+K280</f>
        <v>-2513.23712328767</v>
      </c>
      <c r="L281" s="31" t="n">
        <f aca="false">L266+L280</f>
        <v>-10089.6937041096</v>
      </c>
      <c r="M281" s="31" t="n">
        <f aca="false">M266+M280</f>
        <v>-12009.375</v>
      </c>
      <c r="N281" s="31" t="n">
        <f aca="false">N266+N280</f>
        <v>-24018.75</v>
      </c>
      <c r="O281" s="31" t="n">
        <f aca="false">O266+O280</f>
        <v>-8813.4091</v>
      </c>
      <c r="P281" s="31" t="n">
        <f aca="false">P266+P280</f>
        <v>8446.311993</v>
      </c>
      <c r="Q281" s="31" t="n">
        <f aca="false">Q266+Q280</f>
        <v>9861.14603516407</v>
      </c>
      <c r="R281" s="31" t="n">
        <f aca="false">R266+R280</f>
        <v>8494.4962975728</v>
      </c>
      <c r="S281" s="31" t="n">
        <f aca="false">S266+S280</f>
        <v>8517.57087954995</v>
      </c>
      <c r="T281" s="31" t="n">
        <f aca="false">T266+T280</f>
        <v>8539.9333819887</v>
      </c>
      <c r="U281" s="31" t="n">
        <f aca="false">U266+U280</f>
        <v>8561.55768530609</v>
      </c>
      <c r="V281" s="31" t="n">
        <f aca="false">V266+V280</f>
        <v>8582.41697356563</v>
      </c>
      <c r="W281" s="31" t="n">
        <f aca="false">W266+W280</f>
        <v>8602.48371708645</v>
      </c>
      <c r="X281" s="31" t="n">
        <f aca="false">X266+X280</f>
        <v>8621.72965462498</v>
      </c>
      <c r="Y281" s="31" t="n">
        <f aca="false">Y266+Y280</f>
        <v>8640.12577511838</v>
      </c>
      <c r="Z281" s="31" t="n">
        <f aca="false">Z266+Z280</f>
        <v>8657.64229897927</v>
      </c>
      <c r="AA281" s="31" t="n">
        <f aca="false">AA266+AA280</f>
        <v>8674.24865893043</v>
      </c>
      <c r="AB281" s="31" t="n">
        <f aca="false">AB266+AB280</f>
        <v>8689.91348036855</v>
      </c>
      <c r="AC281" s="31" t="n">
        <f aca="false">AC266+AC280</f>
        <v>8704.60456124511</v>
      </c>
      <c r="AD281" s="31" t="n">
        <f aca="false">AD266+AD280</f>
        <v>8718.28885145289</v>
      </c>
      <c r="AE281" s="31" t="n">
        <f aca="false">AE266+AE280</f>
        <v>8730.93243170569</v>
      </c>
      <c r="AF281" s="31" t="n">
        <f aca="false">AF266+AF280</f>
        <v>8742.50049189901</v>
      </c>
      <c r="AG281" s="31" t="n">
        <f aca="false">AG266+AG280</f>
        <v>8752.957308939</v>
      </c>
      <c r="AH281" s="31" t="n">
        <f aca="false">AH266+AH280</f>
        <v>8762.26622402637</v>
      </c>
      <c r="AI281" s="31" t="n">
        <f aca="false">AI266+AI280</f>
        <v>8770.38961938223</v>
      </c>
      <c r="AJ281" s="31" t="n">
        <f aca="false">AJ266+AJ280</f>
        <v>8777.28889440195</v>
      </c>
      <c r="AK281" s="31" t="n">
        <f aca="false">AK266+AK280</f>
        <v>8782.92444122306</v>
      </c>
      <c r="AL281" s="31" t="n">
        <f aca="false">AL266+AL280</f>
        <v>8787.25561969284</v>
      </c>
      <c r="AM281" s="31" t="n">
        <f aca="false">AM266+AM280</f>
        <v>8790.24073172087</v>
      </c>
      <c r="AN281" s="31" t="n">
        <f aca="false">AN266+AN280</f>
        <v>8791.83699500145</v>
      </c>
      <c r="AO281" s="31" t="n">
        <f aca="false">AO266+AO280</f>
        <v>8792.0005160904</v>
      </c>
      <c r="AP281" s="31" t="n">
        <f aca="false">AP266+AP280</f>
        <v>8790.68626282043</v>
      </c>
      <c r="AQ281" s="31" t="n">
        <f aca="false">AQ266+AQ280</f>
        <v>8787.84803603887</v>
      </c>
      <c r="AR281" s="31" t="n">
        <f aca="false">AR266+AR280</f>
        <v>8783.43844065112</v>
      </c>
      <c r="AS281" s="31" t="n">
        <f aca="false">AS266+AS280</f>
        <v>4388.70442797637</v>
      </c>
    </row>
    <row r="282" customFormat="false" ht="14.25" hidden="true" customHeight="false" outlineLevel="1" collapsed="false">
      <c r="C282" s="6" t="s">
        <v>240</v>
      </c>
      <c r="D282" s="2" t="s">
        <v>82</v>
      </c>
      <c r="H282" s="8" t="n">
        <f aca="false">SUM(J282:AS282)</f>
        <v>60636.3212383562</v>
      </c>
      <c r="J282" s="8" t="n">
        <f aca="false">$E$91/Dep_Years*(J256&gt;=0)*(J256&lt;Dep_Years)</f>
        <v>0</v>
      </c>
      <c r="K282" s="8" t="n">
        <f aca="false">$E$91/Dep_Years*(K256&gt;=0)*(K256&lt;Dep_Years)</f>
        <v>0</v>
      </c>
      <c r="L282" s="8" t="n">
        <f aca="false">$E$91/Dep_Years*(L256&gt;=0)*(L256&lt;Dep_Years)</f>
        <v>0</v>
      </c>
      <c r="M282" s="8" t="n">
        <f aca="false">$E$91/Dep_Years*(M256&gt;=0)*(M256&lt;Dep_Years)</f>
        <v>0</v>
      </c>
      <c r="N282" s="8" t="n">
        <f aca="false">$E$91/Dep_Years*(N256&gt;=0)*(N256&lt;Dep_Years)</f>
        <v>0</v>
      </c>
      <c r="O282" s="8" t="n">
        <f aca="false">$E$91/Dep_Years*(O256&gt;=0)*(O256&lt;Dep_Years)</f>
        <v>3031.81606191781</v>
      </c>
      <c r="P282" s="8" t="n">
        <f aca="false">$E$91/Dep_Years*(P256&gt;=0)*(P256&lt;Dep_Years)</f>
        <v>3031.81606191781</v>
      </c>
      <c r="Q282" s="8" t="n">
        <f aca="false">$E$91/Dep_Years*(Q256&gt;=0)*(Q256&lt;Dep_Years)</f>
        <v>3031.81606191781</v>
      </c>
      <c r="R282" s="8" t="n">
        <f aca="false">$E$91/Dep_Years*(R256&gt;=0)*(R256&lt;Dep_Years)</f>
        <v>3031.81606191781</v>
      </c>
      <c r="S282" s="8" t="n">
        <f aca="false">$E$91/Dep_Years*(S256&gt;=0)*(S256&lt;Dep_Years)</f>
        <v>3031.81606191781</v>
      </c>
      <c r="T282" s="8" t="n">
        <f aca="false">$E$91/Dep_Years*(T256&gt;=0)*(T256&lt;Dep_Years)</f>
        <v>3031.81606191781</v>
      </c>
      <c r="U282" s="8" t="n">
        <f aca="false">$E$91/Dep_Years*(U256&gt;=0)*(U256&lt;Dep_Years)</f>
        <v>3031.81606191781</v>
      </c>
      <c r="V282" s="8" t="n">
        <f aca="false">$E$91/Dep_Years*(V256&gt;=0)*(V256&lt;Dep_Years)</f>
        <v>3031.81606191781</v>
      </c>
      <c r="W282" s="8" t="n">
        <f aca="false">$E$91/Dep_Years*(W256&gt;=0)*(W256&lt;Dep_Years)</f>
        <v>3031.81606191781</v>
      </c>
      <c r="X282" s="8" t="n">
        <f aca="false">$E$91/Dep_Years*(X256&gt;=0)*(X256&lt;Dep_Years)</f>
        <v>3031.81606191781</v>
      </c>
      <c r="Y282" s="8" t="n">
        <f aca="false">$E$91/Dep_Years*(Y256&gt;=0)*(Y256&lt;Dep_Years)</f>
        <v>3031.81606191781</v>
      </c>
      <c r="Z282" s="8" t="n">
        <f aca="false">$E$91/Dep_Years*(Z256&gt;=0)*(Z256&lt;Dep_Years)</f>
        <v>3031.81606191781</v>
      </c>
      <c r="AA282" s="8" t="n">
        <f aca="false">$E$91/Dep_Years*(AA256&gt;=0)*(AA256&lt;Dep_Years)</f>
        <v>3031.81606191781</v>
      </c>
      <c r="AB282" s="8" t="n">
        <f aca="false">$E$91/Dep_Years*(AB256&gt;=0)*(AB256&lt;Dep_Years)</f>
        <v>3031.81606191781</v>
      </c>
      <c r="AC282" s="8" t="n">
        <f aca="false">$E$91/Dep_Years*(AC256&gt;=0)*(AC256&lt;Dep_Years)</f>
        <v>3031.81606191781</v>
      </c>
      <c r="AD282" s="8" t="n">
        <f aca="false">$E$91/Dep_Years*(AD256&gt;=0)*(AD256&lt;Dep_Years)</f>
        <v>3031.81606191781</v>
      </c>
      <c r="AE282" s="8" t="n">
        <f aca="false">$E$91/Dep_Years*(AE256&gt;=0)*(AE256&lt;Dep_Years)</f>
        <v>3031.81606191781</v>
      </c>
      <c r="AF282" s="8" t="n">
        <f aca="false">$E$91/Dep_Years*(AF256&gt;=0)*(AF256&lt;Dep_Years)</f>
        <v>3031.81606191781</v>
      </c>
      <c r="AG282" s="8" t="n">
        <f aca="false">$E$91/Dep_Years*(AG256&gt;=0)*(AG256&lt;Dep_Years)</f>
        <v>3031.81606191781</v>
      </c>
      <c r="AH282" s="8" t="n">
        <f aca="false">$E$91/Dep_Years*(AH256&gt;=0)*(AH256&lt;Dep_Years)</f>
        <v>3031.81606191781</v>
      </c>
      <c r="AI282" s="8" t="n">
        <f aca="false">$E$91/Dep_Years*(AI256&gt;=0)*(AI256&lt;Dep_Years)</f>
        <v>0</v>
      </c>
      <c r="AJ282" s="8" t="n">
        <f aca="false">$E$91/Dep_Years*(AJ256&gt;=0)*(AJ256&lt;Dep_Years)</f>
        <v>0</v>
      </c>
      <c r="AK282" s="8" t="n">
        <f aca="false">$E$91/Dep_Years*(AK256&gt;=0)*(AK256&lt;Dep_Years)</f>
        <v>0</v>
      </c>
      <c r="AL282" s="8" t="n">
        <f aca="false">$E$91/Dep_Years*(AL256&gt;=0)*(AL256&lt;Dep_Years)</f>
        <v>0</v>
      </c>
      <c r="AM282" s="8" t="n">
        <f aca="false">$E$91/Dep_Years*(AM256&gt;=0)*(AM256&lt;Dep_Years)</f>
        <v>0</v>
      </c>
      <c r="AN282" s="8" t="n">
        <f aca="false">$E$91/Dep_Years*(AN256&gt;=0)*(AN256&lt;Dep_Years)</f>
        <v>0</v>
      </c>
      <c r="AO282" s="8" t="n">
        <f aca="false">$E$91/Dep_Years*(AO256&gt;=0)*(AO256&lt;Dep_Years)</f>
        <v>0</v>
      </c>
      <c r="AP282" s="8" t="n">
        <f aca="false">$E$91/Dep_Years*(AP256&gt;=0)*(AP256&lt;Dep_Years)</f>
        <v>0</v>
      </c>
      <c r="AQ282" s="8" t="n">
        <f aca="false">$E$91/Dep_Years*(AQ256&gt;=0)*(AQ256&lt;Dep_Years)</f>
        <v>0</v>
      </c>
      <c r="AR282" s="8" t="n">
        <f aca="false">$E$91/Dep_Years*(AR256&gt;=0)*(AR256&lt;Dep_Years)</f>
        <v>0</v>
      </c>
      <c r="AS282" s="8" t="n">
        <f aca="false">$E$91/Dep_Years*(AS256&gt;=0)*(AS256&lt;Dep_Years)</f>
        <v>0</v>
      </c>
    </row>
    <row r="283" customFormat="false" ht="14.25" hidden="true" customHeight="false" outlineLevel="1" collapsed="false">
      <c r="C283" s="6" t="s">
        <v>241</v>
      </c>
      <c r="D283" s="2" t="s">
        <v>82</v>
      </c>
      <c r="H283" s="8" t="n">
        <f aca="false">SUM(J283:AS283)</f>
        <v>-29956.9461582394</v>
      </c>
      <c r="J283" s="8" t="n">
        <f aca="false">-CIT_Rate*MAX(0,J280-J282)</f>
        <v>-0</v>
      </c>
      <c r="K283" s="8" t="n">
        <f aca="false">-CIT_Rate*MAX(0,K280-K282)</f>
        <v>-0</v>
      </c>
      <c r="L283" s="8" t="n">
        <f aca="false">-CIT_Rate*MAX(0,L280-L282)</f>
        <v>-0</v>
      </c>
      <c r="M283" s="8" t="n">
        <f aca="false">-CIT_Rate*MAX(0,M280-M282)</f>
        <v>-0</v>
      </c>
      <c r="N283" s="8" t="n">
        <f aca="false">-CIT_Rate*MAX(0,N280-N282)</f>
        <v>-0</v>
      </c>
      <c r="O283" s="8" t="n">
        <f aca="false">-CIT_Rate*MAX(0,O280-O282)</f>
        <v>-174.622475712329</v>
      </c>
      <c r="P283" s="8" t="n">
        <f aca="false">-CIT_Rate*MAX(0,P280-P282)</f>
        <v>-812.174389662329</v>
      </c>
      <c r="Q283" s="8" t="n">
        <f aca="false">-CIT_Rate*MAX(0,Q280-Q282)</f>
        <v>-815.837852151323</v>
      </c>
      <c r="R283" s="8" t="n">
        <f aca="false">-CIT_Rate*MAX(0,R280-R282)</f>
        <v>-819.402035348248</v>
      </c>
      <c r="S283" s="8" t="n">
        <f aca="false">-CIT_Rate*MAX(0,S280-S282)</f>
        <v>-822.863222644822</v>
      </c>
      <c r="T283" s="8" t="n">
        <f aca="false">-CIT_Rate*MAX(0,T280-T282)</f>
        <v>-826.217598010633</v>
      </c>
      <c r="U283" s="8" t="n">
        <f aca="false">-CIT_Rate*MAX(0,U280-U282)</f>
        <v>-829.461243508243</v>
      </c>
      <c r="V283" s="8" t="n">
        <f aca="false">-CIT_Rate*MAX(0,V280-V282)</f>
        <v>-832.590136747173</v>
      </c>
      <c r="W283" s="8" t="n">
        <f aca="false">-CIT_Rate*MAX(0,W280-W282)</f>
        <v>-835.600148275297</v>
      </c>
      <c r="X283" s="8" t="n">
        <f aca="false">-CIT_Rate*MAX(0,X280-X282)</f>
        <v>-838.487038906076</v>
      </c>
      <c r="Y283" s="8" t="n">
        <f aca="false">-CIT_Rate*MAX(0,Y280-Y282)</f>
        <v>-841.246456980086</v>
      </c>
      <c r="Z283" s="8" t="n">
        <f aca="false">-CIT_Rate*MAX(0,Z280-Z282)</f>
        <v>-843.873935559219</v>
      </c>
      <c r="AA283" s="8" t="n">
        <f aca="false">-CIT_Rate*MAX(0,AA280-AA282)</f>
        <v>-846.364889551893</v>
      </c>
      <c r="AB283" s="8" t="n">
        <f aca="false">-CIT_Rate*MAX(0,AB280-AB282)</f>
        <v>-848.71461276761</v>
      </c>
      <c r="AC283" s="8" t="n">
        <f aca="false">-CIT_Rate*MAX(0,AC280-AC282)</f>
        <v>-850.918274899096</v>
      </c>
      <c r="AD283" s="8" t="n">
        <f aca="false">-CIT_Rate*MAX(0,AD280-AD282)</f>
        <v>-852.970918430263</v>
      </c>
      <c r="AE283" s="8" t="n">
        <f aca="false">-CIT_Rate*MAX(0,AE280-AE282)</f>
        <v>-854.867455468182</v>
      </c>
      <c r="AF283" s="8" t="n">
        <f aca="false">-CIT_Rate*MAX(0,AF280-AF282)</f>
        <v>-856.602664497181</v>
      </c>
      <c r="AG283" s="8" t="n">
        <f aca="false">-CIT_Rate*MAX(0,AG280-AG282)</f>
        <v>-858.171187053179</v>
      </c>
      <c r="AH283" s="8" t="n">
        <f aca="false">-CIT_Rate*MAX(0,AH280-AH282)</f>
        <v>-859.567524316284</v>
      </c>
      <c r="AI283" s="8" t="n">
        <f aca="false">-CIT_Rate*MAX(0,AI280-AI282)</f>
        <v>-1315.55844290733</v>
      </c>
      <c r="AJ283" s="8" t="n">
        <f aca="false">-CIT_Rate*MAX(0,AJ280-AJ282)</f>
        <v>-1316.59333416029</v>
      </c>
      <c r="AK283" s="8" t="n">
        <f aca="false">-CIT_Rate*MAX(0,AK280-AK282)</f>
        <v>-1317.43866618346</v>
      </c>
      <c r="AL283" s="8" t="n">
        <f aca="false">-CIT_Rate*MAX(0,AL280-AL282)</f>
        <v>-1318.08834295393</v>
      </c>
      <c r="AM283" s="8" t="n">
        <f aca="false">-CIT_Rate*MAX(0,AM280-AM282)</f>
        <v>-1318.53610975813</v>
      </c>
      <c r="AN283" s="8" t="n">
        <f aca="false">-CIT_Rate*MAX(0,AN280-AN282)</f>
        <v>-1318.77554925022</v>
      </c>
      <c r="AO283" s="8" t="n">
        <f aca="false">-CIT_Rate*MAX(0,AO280-AO282)</f>
        <v>-1318.80007741356</v>
      </c>
      <c r="AP283" s="8" t="n">
        <f aca="false">-CIT_Rate*MAX(0,AP280-AP282)</f>
        <v>-1318.60293942306</v>
      </c>
      <c r="AQ283" s="8" t="n">
        <f aca="false">-CIT_Rate*MAX(0,AQ280-AQ282)</f>
        <v>-1318.17720540583</v>
      </c>
      <c r="AR283" s="8" t="n">
        <f aca="false">-CIT_Rate*MAX(0,AR280-AR282)</f>
        <v>-1317.51576609767</v>
      </c>
      <c r="AS283" s="8" t="n">
        <f aca="false">-CIT_Rate*MAX(0,AS280-AS282)</f>
        <v>-658.305664196456</v>
      </c>
    </row>
    <row r="284" customFormat="false" ht="14.25" hidden="true" customHeight="false" outlineLevel="1" collapsed="false">
      <c r="C284" s="1" t="s">
        <v>242</v>
      </c>
      <c r="D284" s="2" t="s">
        <v>82</v>
      </c>
      <c r="H284" s="31" t="n">
        <f aca="false">SUM(J284:AS284)</f>
        <v>169756.028230023</v>
      </c>
      <c r="J284" s="31" t="n">
        <f aca="false">J281+J283</f>
        <v>-386.301369863014</v>
      </c>
      <c r="K284" s="31" t="n">
        <f aca="false">K281+K283</f>
        <v>-2513.23712328767</v>
      </c>
      <c r="L284" s="31" t="n">
        <f aca="false">L281+L283</f>
        <v>-10089.6937041096</v>
      </c>
      <c r="M284" s="31" t="n">
        <f aca="false">M281+M283</f>
        <v>-12009.375</v>
      </c>
      <c r="N284" s="31" t="n">
        <f aca="false">N281+N283</f>
        <v>-24018.75</v>
      </c>
      <c r="O284" s="31" t="n">
        <f aca="false">O281+O283</f>
        <v>-8988.03157571233</v>
      </c>
      <c r="P284" s="31" t="n">
        <f aca="false">P281+P283</f>
        <v>7634.13760333767</v>
      </c>
      <c r="Q284" s="31" t="n">
        <f aca="false">Q281+Q283</f>
        <v>9045.30818301275</v>
      </c>
      <c r="R284" s="31" t="n">
        <f aca="false">R281+R283</f>
        <v>7675.09426222455</v>
      </c>
      <c r="S284" s="31" t="n">
        <f aca="false">S281+S283</f>
        <v>7694.70765690513</v>
      </c>
      <c r="T284" s="31" t="n">
        <f aca="false">T281+T283</f>
        <v>7713.71578397807</v>
      </c>
      <c r="U284" s="31" t="n">
        <f aca="false">U281+U283</f>
        <v>7732.09644179785</v>
      </c>
      <c r="V284" s="31" t="n">
        <f aca="false">V281+V283</f>
        <v>7749.82683681845</v>
      </c>
      <c r="W284" s="31" t="n">
        <f aca="false">W281+W283</f>
        <v>7766.88356881116</v>
      </c>
      <c r="X284" s="31" t="n">
        <f aca="false">X281+X283</f>
        <v>7783.2426157189</v>
      </c>
      <c r="Y284" s="31" t="n">
        <f aca="false">Y281+Y283</f>
        <v>7798.8793181383</v>
      </c>
      <c r="Z284" s="31" t="n">
        <f aca="false">Z281+Z283</f>
        <v>7813.76836342005</v>
      </c>
      <c r="AA284" s="31" t="n">
        <f aca="false">AA281+AA283</f>
        <v>7827.88376937854</v>
      </c>
      <c r="AB284" s="31" t="n">
        <f aca="false">AB281+AB283</f>
        <v>7841.19886760093</v>
      </c>
      <c r="AC284" s="31" t="n">
        <f aca="false">AC281+AC283</f>
        <v>7853.68628634602</v>
      </c>
      <c r="AD284" s="31" t="n">
        <f aca="false">AD281+AD283</f>
        <v>7865.31793302263</v>
      </c>
      <c r="AE284" s="31" t="n">
        <f aca="false">AE281+AE283</f>
        <v>7876.06497623751</v>
      </c>
      <c r="AF284" s="31" t="n">
        <f aca="false">AF281+AF283</f>
        <v>7885.89782740183</v>
      </c>
      <c r="AG284" s="31" t="n">
        <f aca="false">AG281+AG283</f>
        <v>7894.78612188582</v>
      </c>
      <c r="AH284" s="31" t="n">
        <f aca="false">AH281+AH283</f>
        <v>7902.69869971009</v>
      </c>
      <c r="AI284" s="31" t="n">
        <f aca="false">AI281+AI283</f>
        <v>7454.8311764749</v>
      </c>
      <c r="AJ284" s="31" t="n">
        <f aca="false">AJ281+AJ283</f>
        <v>7460.69556024166</v>
      </c>
      <c r="AK284" s="31" t="n">
        <f aca="false">AK281+AK283</f>
        <v>7465.4857750396</v>
      </c>
      <c r="AL284" s="31" t="n">
        <f aca="false">AL281+AL283</f>
        <v>7469.16727673891</v>
      </c>
      <c r="AM284" s="31" t="n">
        <f aca="false">AM281+AM283</f>
        <v>7471.70462196274</v>
      </c>
      <c r="AN284" s="31" t="n">
        <f aca="false">AN281+AN283</f>
        <v>7473.06144575123</v>
      </c>
      <c r="AO284" s="31" t="n">
        <f aca="false">AO281+AO283</f>
        <v>7473.20043867684</v>
      </c>
      <c r="AP284" s="31" t="n">
        <f aca="false">AP281+AP283</f>
        <v>7472.08332339736</v>
      </c>
      <c r="AQ284" s="31" t="n">
        <f aca="false">AQ281+AQ283</f>
        <v>7469.67083063304</v>
      </c>
      <c r="AR284" s="31" t="n">
        <f aca="false">AR281+AR283</f>
        <v>7465.92267455345</v>
      </c>
      <c r="AS284" s="31" t="n">
        <f aca="false">AS281+AS283</f>
        <v>3730.39876377992</v>
      </c>
    </row>
    <row r="285" customFormat="false" ht="14.25" hidden="true" customHeight="false" outlineLevel="1" collapsed="false">
      <c r="C285" s="6" t="s">
        <v>243</v>
      </c>
      <c r="D285" s="2" t="s">
        <v>82</v>
      </c>
      <c r="H285" s="8" t="n">
        <f aca="false">SUM(J285:AS285)</f>
        <v>36381.7927430137</v>
      </c>
      <c r="J285" s="8" t="n">
        <f aca="false">Gearing*$E$91*J261</f>
        <v>0</v>
      </c>
      <c r="K285" s="8" t="n">
        <f aca="false">Gearing*$E$91*K261</f>
        <v>0</v>
      </c>
      <c r="L285" s="8" t="n">
        <f aca="false">Gearing*$E$91*L261</f>
        <v>0</v>
      </c>
      <c r="M285" s="8" t="n">
        <f aca="false">Gearing*$E$91*M261</f>
        <v>0</v>
      </c>
      <c r="N285" s="8" t="n">
        <f aca="false">Gearing*$E$91*N261</f>
        <v>0</v>
      </c>
      <c r="O285" s="8" t="n">
        <f aca="false">Gearing*$E$91*O261</f>
        <v>36381.7927430137</v>
      </c>
      <c r="P285" s="8" t="n">
        <f aca="false">Gearing*$E$91*P261</f>
        <v>0</v>
      </c>
      <c r="Q285" s="8" t="n">
        <f aca="false">Gearing*$E$91*Q261</f>
        <v>0</v>
      </c>
      <c r="R285" s="8" t="n">
        <f aca="false">Gearing*$E$91*R261</f>
        <v>0</v>
      </c>
      <c r="S285" s="8" t="n">
        <f aca="false">Gearing*$E$91*S261</f>
        <v>0</v>
      </c>
      <c r="T285" s="8" t="n">
        <f aca="false">Gearing*$E$91*T261</f>
        <v>0</v>
      </c>
      <c r="U285" s="8" t="n">
        <f aca="false">Gearing*$E$91*U261</f>
        <v>0</v>
      </c>
      <c r="V285" s="8" t="n">
        <f aca="false">Gearing*$E$91*V261</f>
        <v>0</v>
      </c>
      <c r="W285" s="8" t="n">
        <f aca="false">Gearing*$E$91*W261</f>
        <v>0</v>
      </c>
      <c r="X285" s="8" t="n">
        <f aca="false">Gearing*$E$91*X261</f>
        <v>0</v>
      </c>
      <c r="Y285" s="8" t="n">
        <f aca="false">Gearing*$E$91*Y261</f>
        <v>0</v>
      </c>
      <c r="Z285" s="8" t="n">
        <f aca="false">Gearing*$E$91*Z261</f>
        <v>0</v>
      </c>
      <c r="AA285" s="8" t="n">
        <f aca="false">Gearing*$E$91*AA261</f>
        <v>0</v>
      </c>
      <c r="AB285" s="8" t="n">
        <f aca="false">Gearing*$E$91*AB261</f>
        <v>0</v>
      </c>
      <c r="AC285" s="8" t="n">
        <f aca="false">Gearing*$E$91*AC261</f>
        <v>0</v>
      </c>
      <c r="AD285" s="8" t="n">
        <f aca="false">Gearing*$E$91*AD261</f>
        <v>0</v>
      </c>
      <c r="AE285" s="8" t="n">
        <f aca="false">Gearing*$E$91*AE261</f>
        <v>0</v>
      </c>
      <c r="AF285" s="8" t="n">
        <f aca="false">Gearing*$E$91*AF261</f>
        <v>0</v>
      </c>
      <c r="AG285" s="8" t="n">
        <f aca="false">Gearing*$E$91*AG261</f>
        <v>0</v>
      </c>
      <c r="AH285" s="8" t="n">
        <f aca="false">Gearing*$E$91*AH261</f>
        <v>0</v>
      </c>
      <c r="AI285" s="8" t="n">
        <f aca="false">Gearing*$E$91*AI261</f>
        <v>0</v>
      </c>
      <c r="AJ285" s="8" t="n">
        <f aca="false">Gearing*$E$91*AJ261</f>
        <v>0</v>
      </c>
      <c r="AK285" s="8" t="n">
        <f aca="false">Gearing*$E$91*AK261</f>
        <v>0</v>
      </c>
      <c r="AL285" s="8" t="n">
        <f aca="false">Gearing*$E$91*AL261</f>
        <v>0</v>
      </c>
      <c r="AM285" s="8" t="n">
        <f aca="false">Gearing*$E$91*AM261</f>
        <v>0</v>
      </c>
      <c r="AN285" s="8" t="n">
        <f aca="false">Gearing*$E$91*AN261</f>
        <v>0</v>
      </c>
      <c r="AO285" s="8" t="n">
        <f aca="false">Gearing*$E$91*AO261</f>
        <v>0</v>
      </c>
      <c r="AP285" s="8" t="n">
        <f aca="false">Gearing*$E$91*AP261</f>
        <v>0</v>
      </c>
      <c r="AQ285" s="8" t="n">
        <f aca="false">Gearing*$E$91*AQ261</f>
        <v>0</v>
      </c>
      <c r="AR285" s="8" t="n">
        <f aca="false">Gearing*$E$91*AR261</f>
        <v>0</v>
      </c>
      <c r="AS285" s="8" t="n">
        <f aca="false">Gearing*$E$91*AS261</f>
        <v>0</v>
      </c>
    </row>
    <row r="286" customFormat="false" ht="14.25" hidden="true" customHeight="false" outlineLevel="1" collapsed="false">
      <c r="C286" s="6" t="s">
        <v>244</v>
      </c>
      <c r="D286" s="2" t="s">
        <v>82</v>
      </c>
      <c r="E286" s="57" t="n">
        <f aca="false">Gearing*$E$91*Debt_Rate/(1-(1+Debt_Rate)^-Debt_Tenor)</f>
        <v>3505.10514018734</v>
      </c>
      <c r="H286" s="8" t="n">
        <f aca="false">SUM(J286:AS286)</f>
        <v>-52576.5771028102</v>
      </c>
      <c r="J286" s="8" t="n">
        <f aca="false">-$E286*(J256&gt;=1)*(J256&lt;=Debt_Tenor)</f>
        <v>-0</v>
      </c>
      <c r="K286" s="8" t="n">
        <f aca="false">-$E286*(K256&gt;=1)*(K256&lt;=Debt_Tenor)</f>
        <v>-0</v>
      </c>
      <c r="L286" s="8" t="n">
        <f aca="false">-$E286*(L256&gt;=1)*(L256&lt;=Debt_Tenor)</f>
        <v>-0</v>
      </c>
      <c r="M286" s="8" t="n">
        <f aca="false">-$E286*(M256&gt;=1)*(M256&lt;=Debt_Tenor)</f>
        <v>-0</v>
      </c>
      <c r="N286" s="8" t="n">
        <f aca="false">-$E286*(N256&gt;=1)*(N256&lt;=Debt_Tenor)</f>
        <v>-0</v>
      </c>
      <c r="O286" s="8" t="n">
        <f aca="false">-$E286*(O256&gt;=1)*(O256&lt;=Debt_Tenor)</f>
        <v>-0</v>
      </c>
      <c r="P286" s="8" t="n">
        <f aca="false">-$E286*(P256&gt;=1)*(P256&lt;=Debt_Tenor)</f>
        <v>-3505.10514018734</v>
      </c>
      <c r="Q286" s="8" t="n">
        <f aca="false">-$E286*(Q256&gt;=1)*(Q256&lt;=Debt_Tenor)</f>
        <v>-3505.10514018734</v>
      </c>
      <c r="R286" s="8" t="n">
        <f aca="false">-$E286*(R256&gt;=1)*(R256&lt;=Debt_Tenor)</f>
        <v>-3505.10514018734</v>
      </c>
      <c r="S286" s="8" t="n">
        <f aca="false">-$E286*(S256&gt;=1)*(S256&lt;=Debt_Tenor)</f>
        <v>-3505.10514018734</v>
      </c>
      <c r="T286" s="8" t="n">
        <f aca="false">-$E286*(T256&gt;=1)*(T256&lt;=Debt_Tenor)</f>
        <v>-3505.10514018734</v>
      </c>
      <c r="U286" s="8" t="n">
        <f aca="false">-$E286*(U256&gt;=1)*(U256&lt;=Debt_Tenor)</f>
        <v>-3505.10514018734</v>
      </c>
      <c r="V286" s="8" t="n">
        <f aca="false">-$E286*(V256&gt;=1)*(V256&lt;=Debt_Tenor)</f>
        <v>-3505.10514018734</v>
      </c>
      <c r="W286" s="8" t="n">
        <f aca="false">-$E286*(W256&gt;=1)*(W256&lt;=Debt_Tenor)</f>
        <v>-3505.10514018734</v>
      </c>
      <c r="X286" s="8" t="n">
        <f aca="false">-$E286*(X256&gt;=1)*(X256&lt;=Debt_Tenor)</f>
        <v>-3505.10514018734</v>
      </c>
      <c r="Y286" s="8" t="n">
        <f aca="false">-$E286*(Y256&gt;=1)*(Y256&lt;=Debt_Tenor)</f>
        <v>-3505.10514018734</v>
      </c>
      <c r="Z286" s="8" t="n">
        <f aca="false">-$E286*(Z256&gt;=1)*(Z256&lt;=Debt_Tenor)</f>
        <v>-3505.10514018734</v>
      </c>
      <c r="AA286" s="8" t="n">
        <f aca="false">-$E286*(AA256&gt;=1)*(AA256&lt;=Debt_Tenor)</f>
        <v>-3505.10514018734</v>
      </c>
      <c r="AB286" s="8" t="n">
        <f aca="false">-$E286*(AB256&gt;=1)*(AB256&lt;=Debt_Tenor)</f>
        <v>-3505.10514018734</v>
      </c>
      <c r="AC286" s="8" t="n">
        <f aca="false">-$E286*(AC256&gt;=1)*(AC256&lt;=Debt_Tenor)</f>
        <v>-3505.10514018734</v>
      </c>
      <c r="AD286" s="8" t="n">
        <f aca="false">-$E286*(AD256&gt;=1)*(AD256&lt;=Debt_Tenor)</f>
        <v>-3505.10514018734</v>
      </c>
      <c r="AE286" s="8" t="n">
        <f aca="false">-$E286*(AE256&gt;=1)*(AE256&lt;=Debt_Tenor)</f>
        <v>-0</v>
      </c>
      <c r="AF286" s="8" t="n">
        <f aca="false">-$E286*(AF256&gt;=1)*(AF256&lt;=Debt_Tenor)</f>
        <v>-0</v>
      </c>
      <c r="AG286" s="8" t="n">
        <f aca="false">-$E286*(AG256&gt;=1)*(AG256&lt;=Debt_Tenor)</f>
        <v>-0</v>
      </c>
      <c r="AH286" s="8" t="n">
        <f aca="false">-$E286*(AH256&gt;=1)*(AH256&lt;=Debt_Tenor)</f>
        <v>-0</v>
      </c>
      <c r="AI286" s="8" t="n">
        <f aca="false">-$E286*(AI256&gt;=1)*(AI256&lt;=Debt_Tenor)</f>
        <v>-0</v>
      </c>
      <c r="AJ286" s="8" t="n">
        <f aca="false">-$E286*(AJ256&gt;=1)*(AJ256&lt;=Debt_Tenor)</f>
        <v>-0</v>
      </c>
      <c r="AK286" s="8" t="n">
        <f aca="false">-$E286*(AK256&gt;=1)*(AK256&lt;=Debt_Tenor)</f>
        <v>-0</v>
      </c>
      <c r="AL286" s="8" t="n">
        <f aca="false">-$E286*(AL256&gt;=1)*(AL256&lt;=Debt_Tenor)</f>
        <v>-0</v>
      </c>
      <c r="AM286" s="8" t="n">
        <f aca="false">-$E286*(AM256&gt;=1)*(AM256&lt;=Debt_Tenor)</f>
        <v>-0</v>
      </c>
      <c r="AN286" s="8" t="n">
        <f aca="false">-$E286*(AN256&gt;=1)*(AN256&lt;=Debt_Tenor)</f>
        <v>-0</v>
      </c>
      <c r="AO286" s="8" t="n">
        <f aca="false">-$E286*(AO256&gt;=1)*(AO256&lt;=Debt_Tenor)</f>
        <v>-0</v>
      </c>
      <c r="AP286" s="8" t="n">
        <f aca="false">-$E286*(AP256&gt;=1)*(AP256&lt;=Debt_Tenor)</f>
        <v>-0</v>
      </c>
      <c r="AQ286" s="8" t="n">
        <f aca="false">-$E286*(AQ256&gt;=1)*(AQ256&lt;=Debt_Tenor)</f>
        <v>-0</v>
      </c>
      <c r="AR286" s="8" t="n">
        <f aca="false">-$E286*(AR256&gt;=1)*(AR256&lt;=Debt_Tenor)</f>
        <v>-0</v>
      </c>
      <c r="AS286" s="8" t="n">
        <f aca="false">-$E286*(AS256&gt;=1)*(AS256&lt;=Debt_Tenor)</f>
        <v>-0</v>
      </c>
    </row>
    <row r="287" customFormat="false" ht="14.25" hidden="true" customHeight="false" outlineLevel="1" collapsed="false">
      <c r="C287" s="6" t="s">
        <v>245</v>
      </c>
      <c r="D287" s="2" t="s">
        <v>82</v>
      </c>
      <c r="H287" s="8"/>
      <c r="J287" s="8" t="n">
        <f aca="false">I287*(1+Debt_Rate)+J285+J286</f>
        <v>0</v>
      </c>
      <c r="K287" s="8" t="n">
        <f aca="false">J287*(1+Debt_Rate)+K285+K286</f>
        <v>0</v>
      </c>
      <c r="L287" s="8" t="n">
        <f aca="false">K287*(1+Debt_Rate)+L285+L286</f>
        <v>0</v>
      </c>
      <c r="M287" s="8" t="n">
        <f aca="false">L287*(1+Debt_Rate)+M285+M286</f>
        <v>0</v>
      </c>
      <c r="N287" s="8" t="n">
        <f aca="false">M287*(1+Debt_Rate)+N285+N286</f>
        <v>0</v>
      </c>
      <c r="O287" s="8" t="n">
        <f aca="false">N287*(1+Debt_Rate)+O285+O286</f>
        <v>36381.7927430137</v>
      </c>
      <c r="P287" s="8" t="n">
        <f aca="false">O287*(1+Debt_Rate)+P285+P286</f>
        <v>34695.7772399771</v>
      </c>
      <c r="Q287" s="8" t="n">
        <f aca="false">P287*(1+Debt_Rate)+Q285+Q286</f>
        <v>32925.4609617886</v>
      </c>
      <c r="R287" s="8" t="n">
        <f aca="false">Q287*(1+Debt_Rate)+R285+R286</f>
        <v>31066.6288696906</v>
      </c>
      <c r="S287" s="8" t="n">
        <f aca="false">R287*(1+Debt_Rate)+S285+S286</f>
        <v>29114.8551729878</v>
      </c>
      <c r="T287" s="8" t="n">
        <f aca="false">S287*(1+Debt_Rate)+T285+T286</f>
        <v>27065.4927914499</v>
      </c>
      <c r="U287" s="8" t="n">
        <f aca="false">T287*(1+Debt_Rate)+U285+U286</f>
        <v>24913.662290835</v>
      </c>
      <c r="V287" s="8" t="n">
        <f aca="false">U287*(1+Debt_Rate)+V285+V286</f>
        <v>22654.2402651894</v>
      </c>
      <c r="W287" s="8" t="n">
        <f aca="false">V287*(1+Debt_Rate)+W285+W286</f>
        <v>20281.8471382616</v>
      </c>
      <c r="X287" s="8" t="n">
        <f aca="false">W287*(1+Debt_Rate)+X285+X286</f>
        <v>17790.8343549873</v>
      </c>
      <c r="Y287" s="8" t="n">
        <f aca="false">X287*(1+Debt_Rate)+Y285+Y286</f>
        <v>15175.2709325493</v>
      </c>
      <c r="Z287" s="8" t="n">
        <f aca="false">Y287*(1+Debt_Rate)+Z285+Z286</f>
        <v>12428.9293389895</v>
      </c>
      <c r="AA287" s="8" t="n">
        <f aca="false">Z287*(1+Debt_Rate)+AA285+AA286</f>
        <v>9545.27066575158</v>
      </c>
      <c r="AB287" s="8" t="n">
        <f aca="false">AA287*(1+Debt_Rate)+AB285+AB286</f>
        <v>6517.42905885181</v>
      </c>
      <c r="AC287" s="8" t="n">
        <f aca="false">AB287*(1+Debt_Rate)+AC285+AC286</f>
        <v>3338.19537160706</v>
      </c>
      <c r="AD287" s="8" t="n">
        <f aca="false">AC287*(1+Debt_Rate)+AD285+AD286</f>
        <v>6.9576344685629E-011</v>
      </c>
      <c r="AE287" s="8" t="n">
        <f aca="false">AD287*(1+Debt_Rate)+AE285+AE286</f>
        <v>7.30551619199105E-011</v>
      </c>
      <c r="AF287" s="8" t="n">
        <f aca="false">AE287*(1+Debt_Rate)+AF285+AF286</f>
        <v>7.6707920015906E-011</v>
      </c>
      <c r="AG287" s="8" t="n">
        <f aca="false">AF287*(1+Debt_Rate)+AG285+AG286</f>
        <v>8.05433160167013E-011</v>
      </c>
      <c r="AH287" s="8" t="n">
        <f aca="false">AG287*(1+Debt_Rate)+AH285+AH286</f>
        <v>8.45704818175363E-011</v>
      </c>
      <c r="AI287" s="8" t="n">
        <f aca="false">AH287*(1+Debt_Rate)+AI285+AI286</f>
        <v>8.87990059084132E-011</v>
      </c>
      <c r="AJ287" s="8" t="n">
        <f aca="false">AI287*(1+Debt_Rate)+AJ285+AJ286</f>
        <v>9.32389562038338E-011</v>
      </c>
      <c r="AK287" s="8" t="n">
        <f aca="false">AJ287*(1+Debt_Rate)+AK285+AK286</f>
        <v>9.79009040140255E-011</v>
      </c>
      <c r="AL287" s="8" t="n">
        <f aca="false">AK287*(1+Debt_Rate)+AL285+AL286</f>
        <v>1.02795949214727E-010</v>
      </c>
      <c r="AM287" s="8" t="n">
        <f aca="false">AL287*(1+Debt_Rate)+AM285+AM286</f>
        <v>1.07935746675463E-010</v>
      </c>
      <c r="AN287" s="8" t="n">
        <f aca="false">AM287*(1+Debt_Rate)+AN285+AN286</f>
        <v>1.13332534009236E-010</v>
      </c>
      <c r="AO287" s="8" t="n">
        <f aca="false">AN287*(1+Debt_Rate)+AO285+AO286</f>
        <v>1.18999160709698E-010</v>
      </c>
      <c r="AP287" s="8" t="n">
        <f aca="false">AO287*(1+Debt_Rate)+AP285+AP286</f>
        <v>1.24949118745183E-010</v>
      </c>
      <c r="AQ287" s="8" t="n">
        <f aca="false">AP287*(1+Debt_Rate)+AQ285+AQ286</f>
        <v>1.31196574682442E-010</v>
      </c>
      <c r="AR287" s="8" t="n">
        <f aca="false">AQ287*(1+Debt_Rate)+AR285+AR286</f>
        <v>1.37756403416564E-010</v>
      </c>
      <c r="AS287" s="8" t="n">
        <f aca="false">AR287*(1+Debt_Rate)+AS285+AS286</f>
        <v>1.44644223587393E-010</v>
      </c>
    </row>
    <row r="288" customFormat="false" ht="14.25" hidden="true" customHeight="false" outlineLevel="1" collapsed="false">
      <c r="C288" s="1" t="s">
        <v>246</v>
      </c>
      <c r="D288" s="2" t="s">
        <v>82</v>
      </c>
      <c r="H288" s="31" t="n">
        <f aca="false">SUM(J288:AS288)</f>
        <v>153561.243870227</v>
      </c>
      <c r="J288" s="31" t="n">
        <f aca="false">J284+J285+J286</f>
        <v>-386.301369863014</v>
      </c>
      <c r="K288" s="31" t="n">
        <f aca="false">K284+K285+K286</f>
        <v>-2513.23712328767</v>
      </c>
      <c r="L288" s="31" t="n">
        <f aca="false">L284+L285+L286</f>
        <v>-10089.6937041096</v>
      </c>
      <c r="M288" s="31" t="n">
        <f aca="false">M284+M285+M286</f>
        <v>-12009.375</v>
      </c>
      <c r="N288" s="31" t="n">
        <f aca="false">N284+N285+N286</f>
        <v>-24018.75</v>
      </c>
      <c r="O288" s="31" t="n">
        <f aca="false">O284+O285+O286</f>
        <v>27393.7611673014</v>
      </c>
      <c r="P288" s="31" t="n">
        <f aca="false">P284+P285+P286</f>
        <v>4129.03246315033</v>
      </c>
      <c r="Q288" s="31" t="n">
        <f aca="false">Q284+Q285+Q286</f>
        <v>5540.2030428254</v>
      </c>
      <c r="R288" s="31" t="n">
        <f aca="false">R284+R285+R286</f>
        <v>4169.98912203721</v>
      </c>
      <c r="S288" s="31" t="n">
        <f aca="false">S284+S285+S286</f>
        <v>4189.60251671779</v>
      </c>
      <c r="T288" s="31" t="n">
        <f aca="false">T284+T285+T286</f>
        <v>4208.61064379072</v>
      </c>
      <c r="U288" s="31" t="n">
        <f aca="false">U284+U285+U286</f>
        <v>4226.99130161051</v>
      </c>
      <c r="V288" s="31" t="n">
        <f aca="false">V284+V285+V286</f>
        <v>4244.72169663111</v>
      </c>
      <c r="W288" s="31" t="n">
        <f aca="false">W284+W285+W286</f>
        <v>4261.77842862381</v>
      </c>
      <c r="X288" s="31" t="n">
        <f aca="false">X284+X285+X286</f>
        <v>4278.13747553156</v>
      </c>
      <c r="Y288" s="31" t="n">
        <f aca="false">Y284+Y285+Y286</f>
        <v>4293.77417795095</v>
      </c>
      <c r="Z288" s="31" t="n">
        <f aca="false">Z284+Z285+Z286</f>
        <v>4308.6632232327</v>
      </c>
      <c r="AA288" s="31" t="n">
        <f aca="false">AA284+AA285+AA286</f>
        <v>4322.77862919119</v>
      </c>
      <c r="AB288" s="31" t="n">
        <f aca="false">AB284+AB285+AB286</f>
        <v>4336.09372741359</v>
      </c>
      <c r="AC288" s="31" t="n">
        <f aca="false">AC284+AC285+AC286</f>
        <v>4348.58114615867</v>
      </c>
      <c r="AD288" s="31" t="n">
        <f aca="false">AD284+AD285+AD286</f>
        <v>4360.21279283529</v>
      </c>
      <c r="AE288" s="31" t="n">
        <f aca="false">AE284+AE285+AE286</f>
        <v>7876.06497623751</v>
      </c>
      <c r="AF288" s="31" t="n">
        <f aca="false">AF284+AF285+AF286</f>
        <v>7885.89782740183</v>
      </c>
      <c r="AG288" s="31" t="n">
        <f aca="false">AG284+AG285+AG286</f>
        <v>7894.78612188582</v>
      </c>
      <c r="AH288" s="31" t="n">
        <f aca="false">AH284+AH285+AH286</f>
        <v>7902.69869971009</v>
      </c>
      <c r="AI288" s="31" t="n">
        <f aca="false">AI284+AI285+AI286</f>
        <v>7454.8311764749</v>
      </c>
      <c r="AJ288" s="31" t="n">
        <f aca="false">AJ284+AJ285+AJ286</f>
        <v>7460.69556024166</v>
      </c>
      <c r="AK288" s="31" t="n">
        <f aca="false">AK284+AK285+AK286</f>
        <v>7465.4857750396</v>
      </c>
      <c r="AL288" s="31" t="n">
        <f aca="false">AL284+AL285+AL286</f>
        <v>7469.16727673891</v>
      </c>
      <c r="AM288" s="31" t="n">
        <f aca="false">AM284+AM285+AM286</f>
        <v>7471.70462196274</v>
      </c>
      <c r="AN288" s="31" t="n">
        <f aca="false">AN284+AN285+AN286</f>
        <v>7473.06144575123</v>
      </c>
      <c r="AO288" s="31" t="n">
        <f aca="false">AO284+AO285+AO286</f>
        <v>7473.20043867684</v>
      </c>
      <c r="AP288" s="31" t="n">
        <f aca="false">AP284+AP285+AP286</f>
        <v>7472.08332339736</v>
      </c>
      <c r="AQ288" s="31" t="n">
        <f aca="false">AQ284+AQ285+AQ286</f>
        <v>7469.67083063304</v>
      </c>
      <c r="AR288" s="31" t="n">
        <f aca="false">AR284+AR285+AR286</f>
        <v>7465.92267455345</v>
      </c>
      <c r="AS288" s="31" t="n">
        <f aca="false">AS284+AS285+AS286</f>
        <v>3730.39876377992</v>
      </c>
    </row>
    <row r="289" customFormat="false" ht="14.25" hidden="true" customHeight="false" outlineLevel="1" collapsed="false">
      <c r="C289" s="6" t="s">
        <v>247</v>
      </c>
      <c r="D289" s="2" t="s">
        <v>3</v>
      </c>
      <c r="J289" s="46" t="str">
        <f aca="false">IF(J286&lt;0,(J280+J283)/-J286,"")</f>
        <v/>
      </c>
      <c r="K289" s="46" t="str">
        <f aca="false">IF(K286&lt;0,(K280+K283)/-K286,"")</f>
        <v/>
      </c>
      <c r="L289" s="46" t="str">
        <f aca="false">IF(L286&lt;0,(L280+L283)/-L286,"")</f>
        <v/>
      </c>
      <c r="M289" s="46" t="str">
        <f aca="false">IF(M286&lt;0,(M280+M283)/-M286,"")</f>
        <v/>
      </c>
      <c r="N289" s="46" t="str">
        <f aca="false">IF(N286&lt;0,(N280+N283)/-N286,"")</f>
        <v/>
      </c>
      <c r="O289" s="46" t="str">
        <f aca="false">IF(O286&lt;0,(O280+O283)/-O286,"")</f>
        <v/>
      </c>
      <c r="P289" s="46" t="n">
        <f aca="false">IF(P286&lt;0,(P280+P283)/-P286,"")</f>
        <v>2.17800530883066</v>
      </c>
      <c r="Q289" s="46" t="n">
        <f aca="false">IF(Q286&lt;0,(Q280+Q283)/-Q286,"")</f>
        <v>2.18392799015994</v>
      </c>
      <c r="R289" s="46" t="n">
        <f aca="false">IF(R286&lt;0,(R280+R283)/-R286,"")</f>
        <v>2.18969016770045</v>
      </c>
      <c r="S289" s="46" t="n">
        <f aca="false">IF(S286&lt;0,(S280+S283)/-S286,"")</f>
        <v>2.19528583285061</v>
      </c>
      <c r="T289" s="46" t="n">
        <f aca="false">IF(T286&lt;0,(T280+T283)/-T286,"")</f>
        <v>2.20070881627413</v>
      </c>
      <c r="U289" s="46" t="n">
        <f aca="false">IF(U286&lt;0,(U280+U283)/-U286,"")</f>
        <v>2.2059527838827</v>
      </c>
      <c r="V289" s="46" t="n">
        <f aca="false">IF(V286&lt;0,(V280+V283)/-V286,"")</f>
        <v>2.21101123271989</v>
      </c>
      <c r="W289" s="46" t="n">
        <f aca="false">IF(W286&lt;0,(W280+W283)/-W286,"")</f>
        <v>2.21587748674381</v>
      </c>
      <c r="X289" s="46" t="n">
        <f aca="false">IF(X286&lt;0,(X280+X283)/-X286,"")</f>
        <v>2.22054469250611</v>
      </c>
      <c r="Y289" s="46" t="n">
        <f aca="false">IF(Y286&lt;0,(Y280+Y283)/-Y286,"")</f>
        <v>2.22500581472471</v>
      </c>
      <c r="Z289" s="46" t="n">
        <f aca="false">IF(Z286&lt;0,(Z280+Z283)/-Z286,"")</f>
        <v>2.22925363174767</v>
      </c>
      <c r="AA289" s="46" t="n">
        <f aca="false">IF(AA286&lt;0,(AA280+AA283)/-AA286,"")</f>
        <v>2.23328073090559</v>
      </c>
      <c r="AB289" s="46" t="n">
        <f aca="false">IF(AB286&lt;0,(AB280+AB283)/-AB286,"")</f>
        <v>2.23707950374973</v>
      </c>
      <c r="AC289" s="46" t="n">
        <f aca="false">IF(AC286&lt;0,(AC280+AC283)/-AC286,"")</f>
        <v>2.24064214117305</v>
      </c>
      <c r="AD289" s="46" t="n">
        <f aca="false">IF(AD286&lt;0,(AD280+AD283)/-AD286,"")</f>
        <v>2.24396062841135</v>
      </c>
      <c r="AE289" s="46" t="str">
        <f aca="false">IF(AE286&lt;0,(AE280+AE283)/-AE286,"")</f>
        <v/>
      </c>
      <c r="AF289" s="46" t="str">
        <f aca="false">IF(AF286&lt;0,(AF280+AF283)/-AF286,"")</f>
        <v/>
      </c>
      <c r="AG289" s="46" t="str">
        <f aca="false">IF(AG286&lt;0,(AG280+AG283)/-AG286,"")</f>
        <v/>
      </c>
      <c r="AH289" s="46" t="str">
        <f aca="false">IF(AH286&lt;0,(AH280+AH283)/-AH286,"")</f>
        <v/>
      </c>
      <c r="AI289" s="46" t="str">
        <f aca="false">IF(AI286&lt;0,(AI280+AI283)/-AI286,"")</f>
        <v/>
      </c>
      <c r="AJ289" s="46" t="str">
        <f aca="false">IF(AJ286&lt;0,(AJ280+AJ283)/-AJ286,"")</f>
        <v/>
      </c>
      <c r="AK289" s="46" t="str">
        <f aca="false">IF(AK286&lt;0,(AK280+AK283)/-AK286,"")</f>
        <v/>
      </c>
      <c r="AL289" s="46" t="str">
        <f aca="false">IF(AL286&lt;0,(AL280+AL283)/-AL286,"")</f>
        <v/>
      </c>
      <c r="AM289" s="46" t="str">
        <f aca="false">IF(AM286&lt;0,(AM280+AM283)/-AM286,"")</f>
        <v/>
      </c>
      <c r="AN289" s="46" t="str">
        <f aca="false">IF(AN286&lt;0,(AN280+AN283)/-AN286,"")</f>
        <v/>
      </c>
      <c r="AO289" s="46" t="str">
        <f aca="false">IF(AO286&lt;0,(AO280+AO283)/-AO286,"")</f>
        <v/>
      </c>
      <c r="AP289" s="46" t="str">
        <f aca="false">IF(AP286&lt;0,(AP280+AP283)/-AP286,"")</f>
        <v/>
      </c>
      <c r="AQ289" s="46" t="str">
        <f aca="false">IF(AQ286&lt;0,(AQ280+AQ283)/-AQ286,"")</f>
        <v/>
      </c>
      <c r="AR289" s="46" t="str">
        <f aca="false">IF(AR286&lt;0,(AR280+AR283)/-AR286,"")</f>
        <v/>
      </c>
      <c r="AS289" s="46" t="str">
        <f aca="false">IF(AS286&lt;0,(AS280+AS283)/-AS286,"")</f>
        <v/>
      </c>
    </row>
    <row r="290" customFormat="false" ht="14.25" hidden="true" customHeight="false" outlineLevel="1" collapsed="false">
      <c r="C290" s="6" t="s">
        <v>248</v>
      </c>
      <c r="D290" s="2" t="s">
        <v>3</v>
      </c>
      <c r="J290" s="56" t="n">
        <f aca="false">(1+Discount_Rate)^((Inputs!$E$33-J$253)/Days_In_Year)</f>
        <v>1.41371255107938</v>
      </c>
      <c r="K290" s="56" t="n">
        <f aca="false">(1+Discount_Rate)^((Inputs!$E$33-K$253)/Days_In_Year)</f>
        <v>1.30899310285128</v>
      </c>
      <c r="L290" s="56" t="n">
        <f aca="false">(1+Discount_Rate)^((Inputs!$E$33-L$253)/Days_In_Year)</f>
        <v>1.21177511843915</v>
      </c>
      <c r="M290" s="56" t="n">
        <f aca="false">(1+Discount_Rate)^((Inputs!$E$33-M$253)/Days_In_Year)</f>
        <v>1.12201399855477</v>
      </c>
      <c r="N290" s="56" t="n">
        <f aca="false">(1+Discount_Rate)^((Inputs!$E$33-N$253)/Days_In_Year)</f>
        <v>1.03890185051367</v>
      </c>
      <c r="O290" s="56" t="n">
        <f aca="false">(1+Discount_Rate)^((Inputs!$E$33-O$253)/Days_In_Year)</f>
        <v>0.961946157883031</v>
      </c>
      <c r="P290" s="56" t="n">
        <f aca="false">(1+Discount_Rate)^((Inputs!$E$33-P$253)/Days_In_Year)</f>
        <v>0.890503102622714</v>
      </c>
      <c r="Q290" s="56" t="n">
        <f aca="false">(1+Discount_Rate)^((Inputs!$E$33-Q$253)/Days_In_Year)</f>
        <v>0.824539909835846</v>
      </c>
      <c r="R290" s="56" t="n">
        <f aca="false">(1+Discount_Rate)^((Inputs!$E$33-R$253)/Days_In_Year)</f>
        <v>0.763462879477635</v>
      </c>
      <c r="S290" s="56" t="n">
        <f aca="false">(1+Discount_Rate)^((Inputs!$E$33-S$253)/Days_In_Year)</f>
        <v>0.706910073590403</v>
      </c>
      <c r="T290" s="56" t="n">
        <f aca="false">(1+Discount_Rate)^((Inputs!$E$33-T$253)/Days_In_Year)</f>
        <v>0.654408366464987</v>
      </c>
      <c r="U290" s="56" t="n">
        <f aca="false">(1+Discount_Rate)^((Inputs!$E$33-U$253)/Days_In_Year)</f>
        <v>0.605933672652766</v>
      </c>
      <c r="V290" s="56" t="n">
        <f aca="false">(1+Discount_Rate)^((Inputs!$E$33-V$253)/Days_In_Year)</f>
        <v>0.561049696900709</v>
      </c>
      <c r="W290" s="56" t="n">
        <f aca="false">(1+Discount_Rate)^((Inputs!$E$33-W$253)/Days_In_Year)</f>
        <v>0.519490460093249</v>
      </c>
      <c r="X290" s="56" t="n">
        <f aca="false">(1+Discount_Rate)^((Inputs!$E$33-X$253)/Days_In_Year)</f>
        <v>0.480908274028566</v>
      </c>
      <c r="Y290" s="56" t="n">
        <f aca="false">(1+Discount_Rate)^((Inputs!$E$33-Y$253)/Days_In_Year)</f>
        <v>0.445285438915339</v>
      </c>
      <c r="Z290" s="56" t="n">
        <f aca="false">(1+Discount_Rate)^((Inputs!$E$33-Z$253)/Days_In_Year)</f>
        <v>0.412301332329018</v>
      </c>
      <c r="AA290" s="56" t="n">
        <f aca="false">(1+Discount_Rate)^((Inputs!$E$33-AA$253)/Days_In_Year)</f>
        <v>0.381760492897239</v>
      </c>
      <c r="AB290" s="56" t="n">
        <f aca="false">(1+Discount_Rate)^((Inputs!$E$33-AB$253)/Days_In_Year)</f>
        <v>0.353407413292154</v>
      </c>
      <c r="AC290" s="56" t="n">
        <f aca="false">(1+Discount_Rate)^((Inputs!$E$33-AC$253)/Days_In_Year)</f>
        <v>0.327229086381624</v>
      </c>
      <c r="AD290" s="56" t="n">
        <f aca="false">(1+Discount_Rate)^((Inputs!$E$33-AD$253)/Days_In_Year)</f>
        <v>0.3029898947978</v>
      </c>
      <c r="AE290" s="56" t="n">
        <f aca="false">(1+Discount_Rate)^((Inputs!$E$33-AE$253)/Days_In_Year)</f>
        <v>0.280546198886852</v>
      </c>
      <c r="AF290" s="56" t="n">
        <f aca="false">(1+Discount_Rate)^((Inputs!$E$33-AF$253)/Days_In_Year)</f>
        <v>0.259710232730228</v>
      </c>
      <c r="AG290" s="56" t="n">
        <f aca="false">(1+Discount_Rate)^((Inputs!$E$33-AG$253)/Days_In_Year)</f>
        <v>0.240472437713174</v>
      </c>
      <c r="AH290" s="56" t="n">
        <f aca="false">(1+Discount_Rate)^((Inputs!$E$33-AH$253)/Days_In_Year)</f>
        <v>0.222659664549235</v>
      </c>
      <c r="AI290" s="56" t="n">
        <f aca="false">(1+Discount_Rate)^((Inputs!$E$33-AI$253)/Days_In_Year)</f>
        <v>0.206166356064106</v>
      </c>
      <c r="AJ290" s="56" t="n">
        <f aca="false">(1+Discount_Rate)^((Inputs!$E$33-AJ$253)/Days_In_Year)</f>
        <v>0.190854527799705</v>
      </c>
      <c r="AK290" s="56" t="n">
        <f aca="false">(1+Discount_Rate)^((Inputs!$E$33-AK$253)/Days_In_Year)</f>
        <v>0.176717155370097</v>
      </c>
      <c r="AL290" s="56" t="n">
        <f aca="false">(1+Discount_Rate)^((Inputs!$E$33-AL$253)/Days_In_Year)</f>
        <v>0.163626995713053</v>
      </c>
      <c r="AM290" s="56" t="n">
        <f aca="false">(1+Discount_Rate)^((Inputs!$E$33-AM$253)/Days_In_Year)</f>
        <v>0.151506477512086</v>
      </c>
      <c r="AN290" s="56" t="n">
        <f aca="false">(1+Discount_Rate)^((Inputs!$E$33-AN$253)/Days_In_Year)</f>
        <v>0.140254199454224</v>
      </c>
      <c r="AO290" s="56" t="n">
        <f aca="false">(1+Discount_Rate)^((Inputs!$E$33-AO$253)/Days_In_Year)</f>
        <v>0.129864999494652</v>
      </c>
      <c r="AP290" s="56" t="n">
        <f aca="false">(1+Discount_Rate)^((Inputs!$E$33-AP$253)/Days_In_Year)</f>
        <v>0.120245369902455</v>
      </c>
      <c r="AQ290" s="56" t="n">
        <f aca="false">(1+Discount_Rate)^((Inputs!$E$33-AQ$253)/Days_In_Year)</f>
        <v>0.111338305465236</v>
      </c>
      <c r="AR290" s="56" t="n">
        <f aca="false">(1+Discount_Rate)^((Inputs!$E$33-AR$253)/Days_In_Year)</f>
        <v>0.103069288904634</v>
      </c>
      <c r="AS290" s="56" t="n">
        <f aca="false">(1+Discount_Rate)^((Inputs!$E$33-AS$253)/Days_In_Year)</f>
        <v>0.0954345267635496</v>
      </c>
    </row>
    <row r="291" customFormat="false" ht="14.25" hidden="true" customHeight="false" outlineLevel="1" collapsed="false">
      <c r="C291" s="6" t="s">
        <v>249</v>
      </c>
      <c r="D291" s="2" t="s">
        <v>82</v>
      </c>
      <c r="H291" s="8" t="n">
        <f aca="false">SUM(J291:AS291)</f>
        <v>96859.9875751141</v>
      </c>
      <c r="J291" s="8" t="n">
        <f aca="false">J280*J290</f>
        <v>0</v>
      </c>
      <c r="K291" s="8" t="n">
        <f aca="false">K280*K290</f>
        <v>0</v>
      </c>
      <c r="L291" s="8" t="n">
        <f aca="false">L280*L290</f>
        <v>0</v>
      </c>
      <c r="M291" s="8" t="n">
        <f aca="false">M280*M290</f>
        <v>0</v>
      </c>
      <c r="N291" s="8" t="n">
        <f aca="false">N280*N290</f>
        <v>0</v>
      </c>
      <c r="O291" s="8" t="n">
        <f aca="false">O280*O290</f>
        <v>4036.29327611321</v>
      </c>
      <c r="P291" s="8" t="n">
        <f aca="false">P280*P290</f>
        <v>7521.46703548594</v>
      </c>
      <c r="Q291" s="8" t="n">
        <f aca="false">Q280*Q290</f>
        <v>6984.45913602273</v>
      </c>
      <c r="R291" s="8" t="n">
        <f aca="false">R280*R290</f>
        <v>6485.23260305704</v>
      </c>
      <c r="S291" s="8" t="n">
        <f aca="false">S280*S290</f>
        <v>6021.15665727413</v>
      </c>
      <c r="T291" s="8" t="n">
        <f aca="false">T280*T290</f>
        <v>5588.60385422703</v>
      </c>
      <c r="U291" s="8" t="n">
        <f aca="false">U280*U290</f>
        <v>5187.73609188603</v>
      </c>
      <c r="V291" s="8" t="n">
        <f aca="false">V280*V290</f>
        <v>4815.16244169449</v>
      </c>
      <c r="W291" s="8" t="n">
        <f aca="false">W280*W290</f>
        <v>4468.90822413392</v>
      </c>
      <c r="X291" s="8" t="n">
        <f aca="false">X280*X290</f>
        <v>4146.26112734661</v>
      </c>
      <c r="Y291" s="8" t="n">
        <f aca="false">Y280*Y290</f>
        <v>3847.32219805733</v>
      </c>
      <c r="Z291" s="8" t="n">
        <f aca="false">Z280*Z290</f>
        <v>3569.55745469721</v>
      </c>
      <c r="AA291" s="8" t="n">
        <f aca="false">AA280*AA290</f>
        <v>3311.48544354649</v>
      </c>
      <c r="AB291" s="8" t="n">
        <f aca="false">AB280*AB290</f>
        <v>3071.07984482966</v>
      </c>
      <c r="AC291" s="8" t="n">
        <f aca="false">AC280*AC290</f>
        <v>2848.39979788955</v>
      </c>
      <c r="AD291" s="8" t="n">
        <f aca="false">AD280*AD290</f>
        <v>2641.55342191854</v>
      </c>
      <c r="AE291" s="8" t="n">
        <f aca="false">AE280*AE290</f>
        <v>2449.42990645297</v>
      </c>
      <c r="AF291" s="8" t="n">
        <f aca="false">AF280*AF290</f>
        <v>2270.51683739522</v>
      </c>
      <c r="AG291" s="8" t="n">
        <f aca="false">AG280*AG290</f>
        <v>2104.8449812799</v>
      </c>
      <c r="AH291" s="8" t="n">
        <f aca="false">AH280*AH290</f>
        <v>1951.0032581328</v>
      </c>
      <c r="AI291" s="8" t="n">
        <f aca="false">AI280*AI290</f>
        <v>1808.1592690905</v>
      </c>
      <c r="AJ291" s="8" t="n">
        <f aca="false">AJ280*AJ290</f>
        <v>1675.18532730268</v>
      </c>
      <c r="AK291" s="8" t="n">
        <f aca="false">AK280*AK290</f>
        <v>1552.09342308344</v>
      </c>
      <c r="AL291" s="8" t="n">
        <f aca="false">AL280*AL290</f>
        <v>1437.83223761298</v>
      </c>
      <c r="AM291" s="8" t="n">
        <f aca="false">AM280*AM290</f>
        <v>1331.77840974629</v>
      </c>
      <c r="AN291" s="8" t="n">
        <f aca="false">AN280*AN290</f>
        <v>1233.09205946596</v>
      </c>
      <c r="AO291" s="8" t="n">
        <f aca="false">AO280*AO290</f>
        <v>1141.77314257906</v>
      </c>
      <c r="AP291" s="8" t="n">
        <f aca="false">AP280*AP290</f>
        <v>1057.03932136927</v>
      </c>
      <c r="AQ291" s="8" t="n">
        <f aca="false">AQ280*AQ290</f>
        <v>978.424109018572</v>
      </c>
      <c r="AR291" s="8" t="n">
        <f aca="false">AR280*AR290</f>
        <v>905.302754215534</v>
      </c>
      <c r="AS291" s="8" t="n">
        <f aca="false">AS280*AS290</f>
        <v>418.833930189019</v>
      </c>
    </row>
    <row r="292" customFormat="false" ht="14.25" hidden="true" customHeight="false" outlineLevel="1" collapsed="false">
      <c r="C292" s="1" t="s">
        <v>250</v>
      </c>
      <c r="D292" s="2" t="s">
        <v>82</v>
      </c>
      <c r="H292" s="31" t="n">
        <f aca="false">SUM(J292:AS292)</f>
        <v>36223.6663367579</v>
      </c>
      <c r="J292" s="31" t="n">
        <f aca="false">J266*(J256&lt;=0)+J261*($H291+$E$59+$E$60)</f>
        <v>-386.301369863014</v>
      </c>
      <c r="K292" s="31" t="n">
        <f aca="false">K266*(K256&lt;=0)+K261*($H291+$E$59+$E$60)</f>
        <v>-2513.23712328767</v>
      </c>
      <c r="L292" s="31" t="n">
        <f aca="false">L266*(L256&lt;=0)+L261*($H291+$E$59+$E$60)</f>
        <v>-10089.6937041096</v>
      </c>
      <c r="M292" s="31" t="n">
        <f aca="false">M266*(M256&lt;=0)+M261*($H291+$E$59+$E$60)</f>
        <v>-12009.375</v>
      </c>
      <c r="N292" s="31" t="n">
        <f aca="false">N266*(N256&lt;=0)+N261*($H291+$E$59+$E$60)</f>
        <v>-24018.75</v>
      </c>
      <c r="O292" s="31" t="n">
        <f aca="false">O266*(O256&lt;=0)+O261*($H291+$E$59+$E$60)</f>
        <v>85241.0235340182</v>
      </c>
      <c r="P292" s="31" t="n">
        <f aca="false">P266*(P256&lt;=0)+P261*($H291+$E$59+$E$60)</f>
        <v>0</v>
      </c>
      <c r="Q292" s="31" t="n">
        <f aca="false">Q266*(Q256&lt;=0)+Q261*($H291+$E$59+$E$60)</f>
        <v>0</v>
      </c>
      <c r="R292" s="31" t="n">
        <f aca="false">R266*(R256&lt;=0)+R261*($H291+$E$59+$E$60)</f>
        <v>0</v>
      </c>
      <c r="S292" s="31" t="n">
        <f aca="false">S266*(S256&lt;=0)+S261*($H291+$E$59+$E$60)</f>
        <v>0</v>
      </c>
      <c r="T292" s="31" t="n">
        <f aca="false">T266*(T256&lt;=0)+T261*($H291+$E$59+$E$60)</f>
        <v>0</v>
      </c>
      <c r="U292" s="31" t="n">
        <f aca="false">U266*(U256&lt;=0)+U261*($H291+$E$59+$E$60)</f>
        <v>0</v>
      </c>
      <c r="V292" s="31" t="n">
        <f aca="false">V266*(V256&lt;=0)+V261*($H291+$E$59+$E$60)</f>
        <v>0</v>
      </c>
      <c r="W292" s="31" t="n">
        <f aca="false">W266*(W256&lt;=0)+W261*($H291+$E$59+$E$60)</f>
        <v>0</v>
      </c>
      <c r="X292" s="31" t="n">
        <f aca="false">X266*(X256&lt;=0)+X261*($H291+$E$59+$E$60)</f>
        <v>0</v>
      </c>
      <c r="Y292" s="31" t="n">
        <f aca="false">Y266*(Y256&lt;=0)+Y261*($H291+$E$59+$E$60)</f>
        <v>0</v>
      </c>
      <c r="Z292" s="31" t="n">
        <f aca="false">Z266*(Z256&lt;=0)+Z261*($H291+$E$59+$E$60)</f>
        <v>0</v>
      </c>
      <c r="AA292" s="31" t="n">
        <f aca="false">AA266*(AA256&lt;=0)+AA261*($H291+$E$59+$E$60)</f>
        <v>0</v>
      </c>
      <c r="AB292" s="31" t="n">
        <f aca="false">AB266*(AB256&lt;=0)+AB261*($H291+$E$59+$E$60)</f>
        <v>0</v>
      </c>
      <c r="AC292" s="31" t="n">
        <f aca="false">AC266*(AC256&lt;=0)+AC261*($H291+$E$59+$E$60)</f>
        <v>0</v>
      </c>
      <c r="AD292" s="31" t="n">
        <f aca="false">AD266*(AD256&lt;=0)+AD261*($H291+$E$59+$E$60)</f>
        <v>0</v>
      </c>
      <c r="AE292" s="31" t="n">
        <f aca="false">AE266*(AE256&lt;=0)+AE261*($H291+$E$59+$E$60)</f>
        <v>0</v>
      </c>
      <c r="AF292" s="31" t="n">
        <f aca="false">AF266*(AF256&lt;=0)+AF261*($H291+$E$59+$E$60)</f>
        <v>0</v>
      </c>
      <c r="AG292" s="31" t="n">
        <f aca="false">AG266*(AG256&lt;=0)+AG261*($H291+$E$59+$E$60)</f>
        <v>0</v>
      </c>
      <c r="AH292" s="31" t="n">
        <f aca="false">AH266*(AH256&lt;=0)+AH261*($H291+$E$59+$E$60)</f>
        <v>0</v>
      </c>
      <c r="AI292" s="31" t="n">
        <f aca="false">AI266*(AI256&lt;=0)+AI261*($H291+$E$59+$E$60)</f>
        <v>0</v>
      </c>
      <c r="AJ292" s="31" t="n">
        <f aca="false">AJ266*(AJ256&lt;=0)+AJ261*($H291+$E$59+$E$60)</f>
        <v>0</v>
      </c>
      <c r="AK292" s="31" t="n">
        <f aca="false">AK266*(AK256&lt;=0)+AK261*($H291+$E$59+$E$60)</f>
        <v>0</v>
      </c>
      <c r="AL292" s="31" t="n">
        <f aca="false">AL266*(AL256&lt;=0)+AL261*($H291+$E$59+$E$60)</f>
        <v>0</v>
      </c>
      <c r="AM292" s="31" t="n">
        <f aca="false">AM266*(AM256&lt;=0)+AM261*($H291+$E$59+$E$60)</f>
        <v>0</v>
      </c>
      <c r="AN292" s="31" t="n">
        <f aca="false">AN266*(AN256&lt;=0)+AN261*($H291+$E$59+$E$60)</f>
        <v>0</v>
      </c>
      <c r="AO292" s="31" t="n">
        <f aca="false">AO266*(AO256&lt;=0)+AO261*($H291+$E$59+$E$60)</f>
        <v>0</v>
      </c>
      <c r="AP292" s="31" t="n">
        <f aca="false">AP266*(AP256&lt;=0)+AP261*($H291+$E$59+$E$60)</f>
        <v>0</v>
      </c>
      <c r="AQ292" s="31" t="n">
        <f aca="false">AQ266*(AQ256&lt;=0)+AQ261*($H291+$E$59+$E$60)</f>
        <v>0</v>
      </c>
      <c r="AR292" s="31" t="n">
        <f aca="false">AR266*(AR256&lt;=0)+AR261*($H291+$E$59+$E$60)</f>
        <v>0</v>
      </c>
      <c r="AS292" s="31" t="n">
        <f aca="false">AS266*(AS256&lt;=0)+AS261*($H291+$E$59+$E$60)</f>
        <v>0</v>
      </c>
    </row>
    <row r="293" customFormat="false" ht="14.25" hidden="true" customHeight="false" outlineLevel="1" collapsed="false"/>
    <row r="294" customFormat="false" ht="14.25" hidden="true" customHeight="false" outlineLevel="1" collapsed="false">
      <c r="B294" s="4" t="s">
        <v>3</v>
      </c>
      <c r="C294" s="4" t="s">
        <v>251</v>
      </c>
      <c r="D294" s="4"/>
      <c r="E294" s="5"/>
      <c r="F294" s="5" t="s">
        <v>212</v>
      </c>
      <c r="G294" s="5"/>
      <c r="H294" s="5" t="s">
        <v>8</v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</row>
    <row r="295" customFormat="false" ht="14.25" hidden="true" customHeight="false" outlineLevel="1" collapsed="false">
      <c r="C295" s="6" t="s">
        <v>213</v>
      </c>
      <c r="D295" s="2" t="s">
        <v>214</v>
      </c>
      <c r="J295" s="51" t="n">
        <f aca="false">J$252-YEAR(Inputs!$F$33)</f>
        <v>-5</v>
      </c>
      <c r="K295" s="51" t="n">
        <f aca="false">K$252-YEAR(Inputs!$F$33)</f>
        <v>-4</v>
      </c>
      <c r="L295" s="51" t="n">
        <f aca="false">L$252-YEAR(Inputs!$F$33)</f>
        <v>-3</v>
      </c>
      <c r="M295" s="51" t="n">
        <f aca="false">M$252-YEAR(Inputs!$F$33)</f>
        <v>-2</v>
      </c>
      <c r="N295" s="51" t="n">
        <f aca="false">N$252-YEAR(Inputs!$F$33)</f>
        <v>-1</v>
      </c>
      <c r="O295" s="51" t="n">
        <f aca="false">O$252-YEAR(Inputs!$F$33)</f>
        <v>0</v>
      </c>
      <c r="P295" s="51" t="n">
        <f aca="false">P$252-YEAR(Inputs!$F$33)</f>
        <v>1</v>
      </c>
      <c r="Q295" s="51" t="n">
        <f aca="false">Q$252-YEAR(Inputs!$F$33)</f>
        <v>2</v>
      </c>
      <c r="R295" s="51" t="n">
        <f aca="false">R$252-YEAR(Inputs!$F$33)</f>
        <v>3</v>
      </c>
      <c r="S295" s="51" t="n">
        <f aca="false">S$252-YEAR(Inputs!$F$33)</f>
        <v>4</v>
      </c>
      <c r="T295" s="51" t="n">
        <f aca="false">T$252-YEAR(Inputs!$F$33)</f>
        <v>5</v>
      </c>
      <c r="U295" s="51" t="n">
        <f aca="false">U$252-YEAR(Inputs!$F$33)</f>
        <v>6</v>
      </c>
      <c r="V295" s="51" t="n">
        <f aca="false">V$252-YEAR(Inputs!$F$33)</f>
        <v>7</v>
      </c>
      <c r="W295" s="51" t="n">
        <f aca="false">W$252-YEAR(Inputs!$F$33)</f>
        <v>8</v>
      </c>
      <c r="X295" s="51" t="n">
        <f aca="false">X$252-YEAR(Inputs!$F$33)</f>
        <v>9</v>
      </c>
      <c r="Y295" s="51" t="n">
        <f aca="false">Y$252-YEAR(Inputs!$F$33)</f>
        <v>10</v>
      </c>
      <c r="Z295" s="51" t="n">
        <f aca="false">Z$252-YEAR(Inputs!$F$33)</f>
        <v>11</v>
      </c>
      <c r="AA295" s="51" t="n">
        <f aca="false">AA$252-YEAR(Inputs!$F$33)</f>
        <v>12</v>
      </c>
      <c r="AB295" s="51" t="n">
        <f aca="false">AB$252-YEAR(Inputs!$F$33)</f>
        <v>13</v>
      </c>
      <c r="AC295" s="51" t="n">
        <f aca="false">AC$252-YEAR(Inputs!$F$33)</f>
        <v>14</v>
      </c>
      <c r="AD295" s="51" t="n">
        <f aca="false">AD$252-YEAR(Inputs!$F$33)</f>
        <v>15</v>
      </c>
      <c r="AE295" s="51" t="n">
        <f aca="false">AE$252-YEAR(Inputs!$F$33)</f>
        <v>16</v>
      </c>
      <c r="AF295" s="51" t="n">
        <f aca="false">AF$252-YEAR(Inputs!$F$33)</f>
        <v>17</v>
      </c>
      <c r="AG295" s="51" t="n">
        <f aca="false">AG$252-YEAR(Inputs!$F$33)</f>
        <v>18</v>
      </c>
      <c r="AH295" s="51" t="n">
        <f aca="false">AH$252-YEAR(Inputs!$F$33)</f>
        <v>19</v>
      </c>
      <c r="AI295" s="51" t="n">
        <f aca="false">AI$252-YEAR(Inputs!$F$33)</f>
        <v>20</v>
      </c>
      <c r="AJ295" s="51" t="n">
        <f aca="false">AJ$252-YEAR(Inputs!$F$33)</f>
        <v>21</v>
      </c>
      <c r="AK295" s="51" t="n">
        <f aca="false">AK$252-YEAR(Inputs!$F$33)</f>
        <v>22</v>
      </c>
      <c r="AL295" s="51" t="n">
        <f aca="false">AL$252-YEAR(Inputs!$F$33)</f>
        <v>23</v>
      </c>
      <c r="AM295" s="51" t="n">
        <f aca="false">AM$252-YEAR(Inputs!$F$33)</f>
        <v>24</v>
      </c>
      <c r="AN295" s="51" t="n">
        <f aca="false">AN$252-YEAR(Inputs!$F$33)</f>
        <v>25</v>
      </c>
      <c r="AO295" s="51" t="n">
        <f aca="false">AO$252-YEAR(Inputs!$F$33)</f>
        <v>26</v>
      </c>
      <c r="AP295" s="51" t="n">
        <f aca="false">AP$252-YEAR(Inputs!$F$33)</f>
        <v>27</v>
      </c>
      <c r="AQ295" s="51" t="n">
        <f aca="false">AQ$252-YEAR(Inputs!$F$33)</f>
        <v>28</v>
      </c>
      <c r="AR295" s="51" t="n">
        <f aca="false">AR$252-YEAR(Inputs!$F$33)</f>
        <v>29</v>
      </c>
      <c r="AS295" s="51" t="n">
        <f aca="false">AS$252-YEAR(Inputs!$F$33)</f>
        <v>30</v>
      </c>
    </row>
    <row r="296" customFormat="false" ht="14.25" hidden="true" customHeight="false" outlineLevel="1" collapsed="false">
      <c r="C296" s="6" t="s">
        <v>215</v>
      </c>
      <c r="D296" s="2" t="s">
        <v>216</v>
      </c>
      <c r="F296" s="51" t="n">
        <f aca="false">DATEDIF(Inputs!$F$32,Inputs!$F$33,"m")</f>
        <v>24</v>
      </c>
      <c r="J296" s="51" t="n">
        <f aca="false">(J$252+1-YEAR(Inputs!$F$32))*Months_In_Year-MONTH(Inputs!$F$32)</f>
        <v>-30</v>
      </c>
      <c r="K296" s="51" t="n">
        <f aca="false">(K$252+1-YEAR(Inputs!$F$32))*Months_In_Year-MONTH(Inputs!$F$32)</f>
        <v>-18</v>
      </c>
      <c r="L296" s="51" t="n">
        <f aca="false">(L$252+1-YEAR(Inputs!$F$32))*Months_In_Year-MONTH(Inputs!$F$32)</f>
        <v>-6</v>
      </c>
      <c r="M296" s="51" t="n">
        <f aca="false">(M$252+1-YEAR(Inputs!$F$32))*Months_In_Year-MONTH(Inputs!$F$32)</f>
        <v>6</v>
      </c>
      <c r="N296" s="51" t="n">
        <f aca="false">(N$252+1-YEAR(Inputs!$F$32))*Months_In_Year-MONTH(Inputs!$F$32)</f>
        <v>18</v>
      </c>
      <c r="O296" s="51" t="n">
        <f aca="false">(O$252+1-YEAR(Inputs!$F$32))*Months_In_Year-MONTH(Inputs!$F$32)</f>
        <v>30</v>
      </c>
      <c r="P296" s="51" t="n">
        <f aca="false">(P$252+1-YEAR(Inputs!$F$32))*Months_In_Year-MONTH(Inputs!$F$32)</f>
        <v>42</v>
      </c>
      <c r="Q296" s="51" t="n">
        <f aca="false">(Q$252+1-YEAR(Inputs!$F$32))*Months_In_Year-MONTH(Inputs!$F$32)</f>
        <v>54</v>
      </c>
      <c r="R296" s="51" t="n">
        <f aca="false">(R$252+1-YEAR(Inputs!$F$32))*Months_In_Year-MONTH(Inputs!$F$32)</f>
        <v>66</v>
      </c>
      <c r="S296" s="51" t="n">
        <f aca="false">(S$252+1-YEAR(Inputs!$F$32))*Months_In_Year-MONTH(Inputs!$F$32)</f>
        <v>78</v>
      </c>
      <c r="T296" s="51" t="n">
        <f aca="false">(T$252+1-YEAR(Inputs!$F$32))*Months_In_Year-MONTH(Inputs!$F$32)</f>
        <v>90</v>
      </c>
      <c r="U296" s="51" t="n">
        <f aca="false">(U$252+1-YEAR(Inputs!$F$32))*Months_In_Year-MONTH(Inputs!$F$32)</f>
        <v>102</v>
      </c>
      <c r="V296" s="51" t="n">
        <f aca="false">(V$252+1-YEAR(Inputs!$F$32))*Months_In_Year-MONTH(Inputs!$F$32)</f>
        <v>114</v>
      </c>
      <c r="W296" s="51" t="n">
        <f aca="false">(W$252+1-YEAR(Inputs!$F$32))*Months_In_Year-MONTH(Inputs!$F$32)</f>
        <v>126</v>
      </c>
      <c r="X296" s="51" t="n">
        <f aca="false">(X$252+1-YEAR(Inputs!$F$32))*Months_In_Year-MONTH(Inputs!$F$32)</f>
        <v>138</v>
      </c>
      <c r="Y296" s="51" t="n">
        <f aca="false">(Y$252+1-YEAR(Inputs!$F$32))*Months_In_Year-MONTH(Inputs!$F$32)</f>
        <v>150</v>
      </c>
      <c r="Z296" s="51" t="n">
        <f aca="false">(Z$252+1-YEAR(Inputs!$F$32))*Months_In_Year-MONTH(Inputs!$F$32)</f>
        <v>162</v>
      </c>
      <c r="AA296" s="51" t="n">
        <f aca="false">(AA$252+1-YEAR(Inputs!$F$32))*Months_In_Year-MONTH(Inputs!$F$32)</f>
        <v>174</v>
      </c>
      <c r="AB296" s="51" t="n">
        <f aca="false">(AB$252+1-YEAR(Inputs!$F$32))*Months_In_Year-MONTH(Inputs!$F$32)</f>
        <v>186</v>
      </c>
      <c r="AC296" s="51" t="n">
        <f aca="false">(AC$252+1-YEAR(Inputs!$F$32))*Months_In_Year-MONTH(Inputs!$F$32)</f>
        <v>198</v>
      </c>
      <c r="AD296" s="51" t="n">
        <f aca="false">(AD$252+1-YEAR(Inputs!$F$32))*Months_In_Year-MONTH(Inputs!$F$32)</f>
        <v>210</v>
      </c>
      <c r="AE296" s="51" t="n">
        <f aca="false">(AE$252+1-YEAR(Inputs!$F$32))*Months_In_Year-MONTH(Inputs!$F$32)</f>
        <v>222</v>
      </c>
      <c r="AF296" s="51" t="n">
        <f aca="false">(AF$252+1-YEAR(Inputs!$F$32))*Months_In_Year-MONTH(Inputs!$F$32)</f>
        <v>234</v>
      </c>
      <c r="AG296" s="51" t="n">
        <f aca="false">(AG$252+1-YEAR(Inputs!$F$32))*Months_In_Year-MONTH(Inputs!$F$32)</f>
        <v>246</v>
      </c>
      <c r="AH296" s="51" t="n">
        <f aca="false">(AH$252+1-YEAR(Inputs!$F$32))*Months_In_Year-MONTH(Inputs!$F$32)</f>
        <v>258</v>
      </c>
      <c r="AI296" s="51" t="n">
        <f aca="false">(AI$252+1-YEAR(Inputs!$F$32))*Months_In_Year-MONTH(Inputs!$F$32)</f>
        <v>270</v>
      </c>
      <c r="AJ296" s="51" t="n">
        <f aca="false">(AJ$252+1-YEAR(Inputs!$F$32))*Months_In_Year-MONTH(Inputs!$F$32)</f>
        <v>282</v>
      </c>
      <c r="AK296" s="51" t="n">
        <f aca="false">(AK$252+1-YEAR(Inputs!$F$32))*Months_In_Year-MONTH(Inputs!$F$32)</f>
        <v>294</v>
      </c>
      <c r="AL296" s="51" t="n">
        <f aca="false">(AL$252+1-YEAR(Inputs!$F$32))*Months_In_Year-MONTH(Inputs!$F$32)</f>
        <v>306</v>
      </c>
      <c r="AM296" s="51" t="n">
        <f aca="false">(AM$252+1-YEAR(Inputs!$F$32))*Months_In_Year-MONTH(Inputs!$F$32)</f>
        <v>318</v>
      </c>
      <c r="AN296" s="51" t="n">
        <f aca="false">(AN$252+1-YEAR(Inputs!$F$32))*Months_In_Year-MONTH(Inputs!$F$32)</f>
        <v>330</v>
      </c>
      <c r="AO296" s="51" t="n">
        <f aca="false">(AO$252+1-YEAR(Inputs!$F$32))*Months_In_Year-MONTH(Inputs!$F$32)</f>
        <v>342</v>
      </c>
      <c r="AP296" s="51" t="n">
        <f aca="false">(AP$252+1-YEAR(Inputs!$F$32))*Months_In_Year-MONTH(Inputs!$F$32)</f>
        <v>354</v>
      </c>
      <c r="AQ296" s="51" t="n">
        <f aca="false">(AQ$252+1-YEAR(Inputs!$F$32))*Months_In_Year-MONTH(Inputs!$F$32)</f>
        <v>366</v>
      </c>
      <c r="AR296" s="51" t="n">
        <f aca="false">(AR$252+1-YEAR(Inputs!$F$32))*Months_In_Year-MONTH(Inputs!$F$32)</f>
        <v>378</v>
      </c>
      <c r="AS296" s="51" t="n">
        <f aca="false">(AS$252+1-YEAR(Inputs!$F$32))*Months_In_Year-MONTH(Inputs!$F$32)</f>
        <v>390</v>
      </c>
    </row>
    <row r="297" customFormat="false" ht="14.25" hidden="true" customHeight="false" outlineLevel="1" collapsed="false">
      <c r="C297" s="6" t="s">
        <v>217</v>
      </c>
      <c r="D297" s="2" t="s">
        <v>12</v>
      </c>
      <c r="H297" s="54" t="n">
        <f aca="false">SUM(J297:AS297)</f>
        <v>1</v>
      </c>
      <c r="J297" s="47" t="n">
        <f aca="false">MAX(0,MIN(J296,$F296)-MAX(J296-Months_In_Year,0))/$F296</f>
        <v>0</v>
      </c>
      <c r="K297" s="47" t="n">
        <f aca="false">MAX(0,MIN(K296,$F296)-MAX(K296-Months_In_Year,0))/$F296</f>
        <v>0</v>
      </c>
      <c r="L297" s="47" t="n">
        <f aca="false">MAX(0,MIN(L296,$F296)-MAX(L296-Months_In_Year,0))/$F296</f>
        <v>0</v>
      </c>
      <c r="M297" s="47" t="n">
        <f aca="false">MAX(0,MIN(M296,$F296)-MAX(M296-Months_In_Year,0))/$F296</f>
        <v>0.25</v>
      </c>
      <c r="N297" s="47" t="n">
        <f aca="false">MAX(0,MIN(N296,$F296)-MAX(N296-Months_In_Year,0))/$F296</f>
        <v>0.5</v>
      </c>
      <c r="O297" s="47" t="n">
        <f aca="false">MAX(0,MIN(O296,$F296)-MAX(O296-Months_In_Year,0))/$F296</f>
        <v>0.25</v>
      </c>
      <c r="P297" s="47" t="n">
        <f aca="false">MAX(0,MIN(P296,$F296)-MAX(P296-Months_In_Year,0))/$F296</f>
        <v>0</v>
      </c>
      <c r="Q297" s="47" t="n">
        <f aca="false">MAX(0,MIN(Q296,$F296)-MAX(Q296-Months_In_Year,0))/$F296</f>
        <v>0</v>
      </c>
      <c r="R297" s="47" t="n">
        <f aca="false">MAX(0,MIN(R296,$F296)-MAX(R296-Months_In_Year,0))/$F296</f>
        <v>0</v>
      </c>
      <c r="S297" s="47" t="n">
        <f aca="false">MAX(0,MIN(S296,$F296)-MAX(S296-Months_In_Year,0))/$F296</f>
        <v>0</v>
      </c>
      <c r="T297" s="47" t="n">
        <f aca="false">MAX(0,MIN(T296,$F296)-MAX(T296-Months_In_Year,0))/$F296</f>
        <v>0</v>
      </c>
      <c r="U297" s="47" t="n">
        <f aca="false">MAX(0,MIN(U296,$F296)-MAX(U296-Months_In_Year,0))/$F296</f>
        <v>0</v>
      </c>
      <c r="V297" s="47" t="n">
        <f aca="false">MAX(0,MIN(V296,$F296)-MAX(V296-Months_In_Year,0))/$F296</f>
        <v>0</v>
      </c>
      <c r="W297" s="47" t="n">
        <f aca="false">MAX(0,MIN(W296,$F296)-MAX(W296-Months_In_Year,0))/$F296</f>
        <v>0</v>
      </c>
      <c r="X297" s="47" t="n">
        <f aca="false">MAX(0,MIN(X296,$F296)-MAX(X296-Months_In_Year,0))/$F296</f>
        <v>0</v>
      </c>
      <c r="Y297" s="47" t="n">
        <f aca="false">MAX(0,MIN(Y296,$F296)-MAX(Y296-Months_In_Year,0))/$F296</f>
        <v>0</v>
      </c>
      <c r="Z297" s="47" t="n">
        <f aca="false">MAX(0,MIN(Z296,$F296)-MAX(Z296-Months_In_Year,0))/$F296</f>
        <v>0</v>
      </c>
      <c r="AA297" s="47" t="n">
        <f aca="false">MAX(0,MIN(AA296,$F296)-MAX(AA296-Months_In_Year,0))/$F296</f>
        <v>0</v>
      </c>
      <c r="AB297" s="47" t="n">
        <f aca="false">MAX(0,MIN(AB296,$F296)-MAX(AB296-Months_In_Year,0))/$F296</f>
        <v>0</v>
      </c>
      <c r="AC297" s="47" t="n">
        <f aca="false">MAX(0,MIN(AC296,$F296)-MAX(AC296-Months_In_Year,0))/$F296</f>
        <v>0</v>
      </c>
      <c r="AD297" s="47" t="n">
        <f aca="false">MAX(0,MIN(AD296,$F296)-MAX(AD296-Months_In_Year,0))/$F296</f>
        <v>0</v>
      </c>
      <c r="AE297" s="47" t="n">
        <f aca="false">MAX(0,MIN(AE296,$F296)-MAX(AE296-Months_In_Year,0))/$F296</f>
        <v>0</v>
      </c>
      <c r="AF297" s="47" t="n">
        <f aca="false">MAX(0,MIN(AF296,$F296)-MAX(AF296-Months_In_Year,0))/$F296</f>
        <v>0</v>
      </c>
      <c r="AG297" s="47" t="n">
        <f aca="false">MAX(0,MIN(AG296,$F296)-MAX(AG296-Months_In_Year,0))/$F296</f>
        <v>0</v>
      </c>
      <c r="AH297" s="47" t="n">
        <f aca="false">MAX(0,MIN(AH296,$F296)-MAX(AH296-Months_In_Year,0))/$F296</f>
        <v>0</v>
      </c>
      <c r="AI297" s="47" t="n">
        <f aca="false">MAX(0,MIN(AI296,$F296)-MAX(AI296-Months_In_Year,0))/$F296</f>
        <v>0</v>
      </c>
      <c r="AJ297" s="47" t="n">
        <f aca="false">MAX(0,MIN(AJ296,$F296)-MAX(AJ296-Months_In_Year,0))/$F296</f>
        <v>0</v>
      </c>
      <c r="AK297" s="47" t="n">
        <f aca="false">MAX(0,MIN(AK296,$F296)-MAX(AK296-Months_In_Year,0))/$F296</f>
        <v>0</v>
      </c>
      <c r="AL297" s="47" t="n">
        <f aca="false">MAX(0,MIN(AL296,$F296)-MAX(AL296-Months_In_Year,0))/$F296</f>
        <v>0</v>
      </c>
      <c r="AM297" s="47" t="n">
        <f aca="false">MAX(0,MIN(AM296,$F296)-MAX(AM296-Months_In_Year,0))/$F296</f>
        <v>0</v>
      </c>
      <c r="AN297" s="47" t="n">
        <f aca="false">MAX(0,MIN(AN296,$F296)-MAX(AN296-Months_In_Year,0))/$F296</f>
        <v>0</v>
      </c>
      <c r="AO297" s="47" t="n">
        <f aca="false">MAX(0,MIN(AO296,$F296)-MAX(AO296-Months_In_Year,0))/$F296</f>
        <v>0</v>
      </c>
      <c r="AP297" s="47" t="n">
        <f aca="false">MAX(0,MIN(AP296,$F296)-MAX(AP296-Months_In_Year,0))/$F296</f>
        <v>0</v>
      </c>
      <c r="AQ297" s="47" t="n">
        <f aca="false">MAX(0,MIN(AQ296,$F296)-MAX(AQ296-Months_In_Year,0))/$F296</f>
        <v>0</v>
      </c>
      <c r="AR297" s="47" t="n">
        <f aca="false">MAX(0,MIN(AR296,$F296)-MAX(AR296-Months_In_Year,0))/$F296</f>
        <v>0</v>
      </c>
      <c r="AS297" s="47" t="n">
        <f aca="false">MAX(0,MIN(AS296,$F296)-MAX(AS296-Months_In_Year,0))/$F296</f>
        <v>0</v>
      </c>
    </row>
    <row r="298" customFormat="false" ht="14.25" hidden="true" customHeight="false" outlineLevel="1" collapsed="false">
      <c r="C298" s="6" t="s">
        <v>218</v>
      </c>
      <c r="D298" s="2" t="s">
        <v>216</v>
      </c>
      <c r="F298" s="51" t="n">
        <f aca="false">Life*Months_In_Year</f>
        <v>360</v>
      </c>
      <c r="J298" s="51" t="n">
        <f aca="false">(J$252+1-YEAR(Inputs!$F$33))*Months_In_Year-MONTH(Inputs!$F$33)</f>
        <v>-54</v>
      </c>
      <c r="K298" s="51" t="n">
        <f aca="false">(K$252+1-YEAR(Inputs!$F$33))*Months_In_Year-MONTH(Inputs!$F$33)</f>
        <v>-42</v>
      </c>
      <c r="L298" s="51" t="n">
        <f aca="false">(L$252+1-YEAR(Inputs!$F$33))*Months_In_Year-MONTH(Inputs!$F$33)</f>
        <v>-30</v>
      </c>
      <c r="M298" s="51" t="n">
        <f aca="false">(M$252+1-YEAR(Inputs!$F$33))*Months_In_Year-MONTH(Inputs!$F$33)</f>
        <v>-18</v>
      </c>
      <c r="N298" s="51" t="n">
        <f aca="false">(N$252+1-YEAR(Inputs!$F$33))*Months_In_Year-MONTH(Inputs!$F$33)</f>
        <v>-6</v>
      </c>
      <c r="O298" s="51" t="n">
        <f aca="false">(O$252+1-YEAR(Inputs!$F$33))*Months_In_Year-MONTH(Inputs!$F$33)</f>
        <v>6</v>
      </c>
      <c r="P298" s="51" t="n">
        <f aca="false">(P$252+1-YEAR(Inputs!$F$33))*Months_In_Year-MONTH(Inputs!$F$33)</f>
        <v>18</v>
      </c>
      <c r="Q298" s="51" t="n">
        <f aca="false">(Q$252+1-YEAR(Inputs!$F$33))*Months_In_Year-MONTH(Inputs!$F$33)</f>
        <v>30</v>
      </c>
      <c r="R298" s="51" t="n">
        <f aca="false">(R$252+1-YEAR(Inputs!$F$33))*Months_In_Year-MONTH(Inputs!$F$33)</f>
        <v>42</v>
      </c>
      <c r="S298" s="51" t="n">
        <f aca="false">(S$252+1-YEAR(Inputs!$F$33))*Months_In_Year-MONTH(Inputs!$F$33)</f>
        <v>54</v>
      </c>
      <c r="T298" s="51" t="n">
        <f aca="false">(T$252+1-YEAR(Inputs!$F$33))*Months_In_Year-MONTH(Inputs!$F$33)</f>
        <v>66</v>
      </c>
      <c r="U298" s="51" t="n">
        <f aca="false">(U$252+1-YEAR(Inputs!$F$33))*Months_In_Year-MONTH(Inputs!$F$33)</f>
        <v>78</v>
      </c>
      <c r="V298" s="51" t="n">
        <f aca="false">(V$252+1-YEAR(Inputs!$F$33))*Months_In_Year-MONTH(Inputs!$F$33)</f>
        <v>90</v>
      </c>
      <c r="W298" s="51" t="n">
        <f aca="false">(W$252+1-YEAR(Inputs!$F$33))*Months_In_Year-MONTH(Inputs!$F$33)</f>
        <v>102</v>
      </c>
      <c r="X298" s="51" t="n">
        <f aca="false">(X$252+1-YEAR(Inputs!$F$33))*Months_In_Year-MONTH(Inputs!$F$33)</f>
        <v>114</v>
      </c>
      <c r="Y298" s="51" t="n">
        <f aca="false">(Y$252+1-YEAR(Inputs!$F$33))*Months_In_Year-MONTH(Inputs!$F$33)</f>
        <v>126</v>
      </c>
      <c r="Z298" s="51" t="n">
        <f aca="false">(Z$252+1-YEAR(Inputs!$F$33))*Months_In_Year-MONTH(Inputs!$F$33)</f>
        <v>138</v>
      </c>
      <c r="AA298" s="51" t="n">
        <f aca="false">(AA$252+1-YEAR(Inputs!$F$33))*Months_In_Year-MONTH(Inputs!$F$33)</f>
        <v>150</v>
      </c>
      <c r="AB298" s="51" t="n">
        <f aca="false">(AB$252+1-YEAR(Inputs!$F$33))*Months_In_Year-MONTH(Inputs!$F$33)</f>
        <v>162</v>
      </c>
      <c r="AC298" s="51" t="n">
        <f aca="false">(AC$252+1-YEAR(Inputs!$F$33))*Months_In_Year-MONTH(Inputs!$F$33)</f>
        <v>174</v>
      </c>
      <c r="AD298" s="51" t="n">
        <f aca="false">(AD$252+1-YEAR(Inputs!$F$33))*Months_In_Year-MONTH(Inputs!$F$33)</f>
        <v>186</v>
      </c>
      <c r="AE298" s="51" t="n">
        <f aca="false">(AE$252+1-YEAR(Inputs!$F$33))*Months_In_Year-MONTH(Inputs!$F$33)</f>
        <v>198</v>
      </c>
      <c r="AF298" s="51" t="n">
        <f aca="false">(AF$252+1-YEAR(Inputs!$F$33))*Months_In_Year-MONTH(Inputs!$F$33)</f>
        <v>210</v>
      </c>
      <c r="AG298" s="51" t="n">
        <f aca="false">(AG$252+1-YEAR(Inputs!$F$33))*Months_In_Year-MONTH(Inputs!$F$33)</f>
        <v>222</v>
      </c>
      <c r="AH298" s="51" t="n">
        <f aca="false">(AH$252+1-YEAR(Inputs!$F$33))*Months_In_Year-MONTH(Inputs!$F$33)</f>
        <v>234</v>
      </c>
      <c r="AI298" s="51" t="n">
        <f aca="false">(AI$252+1-YEAR(Inputs!$F$33))*Months_In_Year-MONTH(Inputs!$F$33)</f>
        <v>246</v>
      </c>
      <c r="AJ298" s="51" t="n">
        <f aca="false">(AJ$252+1-YEAR(Inputs!$F$33))*Months_In_Year-MONTH(Inputs!$F$33)</f>
        <v>258</v>
      </c>
      <c r="AK298" s="51" t="n">
        <f aca="false">(AK$252+1-YEAR(Inputs!$F$33))*Months_In_Year-MONTH(Inputs!$F$33)</f>
        <v>270</v>
      </c>
      <c r="AL298" s="51" t="n">
        <f aca="false">(AL$252+1-YEAR(Inputs!$F$33))*Months_In_Year-MONTH(Inputs!$F$33)</f>
        <v>282</v>
      </c>
      <c r="AM298" s="51" t="n">
        <f aca="false">(AM$252+1-YEAR(Inputs!$F$33))*Months_In_Year-MONTH(Inputs!$F$33)</f>
        <v>294</v>
      </c>
      <c r="AN298" s="51" t="n">
        <f aca="false">(AN$252+1-YEAR(Inputs!$F$33))*Months_In_Year-MONTH(Inputs!$F$33)</f>
        <v>306</v>
      </c>
      <c r="AO298" s="51" t="n">
        <f aca="false">(AO$252+1-YEAR(Inputs!$F$33))*Months_In_Year-MONTH(Inputs!$F$33)</f>
        <v>318</v>
      </c>
      <c r="AP298" s="51" t="n">
        <f aca="false">(AP$252+1-YEAR(Inputs!$F$33))*Months_In_Year-MONTH(Inputs!$F$33)</f>
        <v>330</v>
      </c>
      <c r="AQ298" s="51" t="n">
        <f aca="false">(AQ$252+1-YEAR(Inputs!$F$33))*Months_In_Year-MONTH(Inputs!$F$33)</f>
        <v>342</v>
      </c>
      <c r="AR298" s="51" t="n">
        <f aca="false">(AR$252+1-YEAR(Inputs!$F$33))*Months_In_Year-MONTH(Inputs!$F$33)</f>
        <v>354</v>
      </c>
      <c r="AS298" s="51" t="n">
        <f aca="false">(AS$252+1-YEAR(Inputs!$F$33))*Months_In_Year-MONTH(Inputs!$F$33)</f>
        <v>366</v>
      </c>
    </row>
    <row r="299" customFormat="false" ht="14.25" hidden="true" customHeight="false" outlineLevel="1" collapsed="false">
      <c r="C299" s="6" t="s">
        <v>219</v>
      </c>
      <c r="D299" s="2" t="s">
        <v>12</v>
      </c>
      <c r="H299" s="54" t="n">
        <f aca="false">SUM(J299:AS299)</f>
        <v>30</v>
      </c>
      <c r="J299" s="47" t="n">
        <f aca="false">MAX(0,MIN(J298,$F298)-MAX(J298-Months_In_Year,0))/Months_In_Year</f>
        <v>0</v>
      </c>
      <c r="K299" s="47" t="n">
        <f aca="false">MAX(0,MIN(K298,$F298)-MAX(K298-Months_In_Year,0))/Months_In_Year</f>
        <v>0</v>
      </c>
      <c r="L299" s="47" t="n">
        <f aca="false">MAX(0,MIN(L298,$F298)-MAX(L298-Months_In_Year,0))/Months_In_Year</f>
        <v>0</v>
      </c>
      <c r="M299" s="47" t="n">
        <f aca="false">MAX(0,MIN(M298,$F298)-MAX(M298-Months_In_Year,0))/Months_In_Year</f>
        <v>0</v>
      </c>
      <c r="N299" s="47" t="n">
        <f aca="false">MAX(0,MIN(N298,$F298)-MAX(N298-Months_In_Year,0))/Months_In_Year</f>
        <v>0</v>
      </c>
      <c r="O299" s="47" t="n">
        <f aca="false">MAX(0,MIN(O298,$F298)-MAX(O298-Months_In_Year,0))/Months_In_Year</f>
        <v>0.5</v>
      </c>
      <c r="P299" s="47" t="n">
        <f aca="false">MAX(0,MIN(P298,$F298)-MAX(P298-Months_In_Year,0))/Months_In_Year</f>
        <v>1</v>
      </c>
      <c r="Q299" s="47" t="n">
        <f aca="false">MAX(0,MIN(Q298,$F298)-MAX(Q298-Months_In_Year,0))/Months_In_Year</f>
        <v>1</v>
      </c>
      <c r="R299" s="47" t="n">
        <f aca="false">MAX(0,MIN(R298,$F298)-MAX(R298-Months_In_Year,0))/Months_In_Year</f>
        <v>1</v>
      </c>
      <c r="S299" s="47" t="n">
        <f aca="false">MAX(0,MIN(S298,$F298)-MAX(S298-Months_In_Year,0))/Months_In_Year</f>
        <v>1</v>
      </c>
      <c r="T299" s="47" t="n">
        <f aca="false">MAX(0,MIN(T298,$F298)-MAX(T298-Months_In_Year,0))/Months_In_Year</f>
        <v>1</v>
      </c>
      <c r="U299" s="47" t="n">
        <f aca="false">MAX(0,MIN(U298,$F298)-MAX(U298-Months_In_Year,0))/Months_In_Year</f>
        <v>1</v>
      </c>
      <c r="V299" s="47" t="n">
        <f aca="false">MAX(0,MIN(V298,$F298)-MAX(V298-Months_In_Year,0))/Months_In_Year</f>
        <v>1</v>
      </c>
      <c r="W299" s="47" t="n">
        <f aca="false">MAX(0,MIN(W298,$F298)-MAX(W298-Months_In_Year,0))/Months_In_Year</f>
        <v>1</v>
      </c>
      <c r="X299" s="47" t="n">
        <f aca="false">MAX(0,MIN(X298,$F298)-MAX(X298-Months_In_Year,0))/Months_In_Year</f>
        <v>1</v>
      </c>
      <c r="Y299" s="47" t="n">
        <f aca="false">MAX(0,MIN(Y298,$F298)-MAX(Y298-Months_In_Year,0))/Months_In_Year</f>
        <v>1</v>
      </c>
      <c r="Z299" s="47" t="n">
        <f aca="false">MAX(0,MIN(Z298,$F298)-MAX(Z298-Months_In_Year,0))/Months_In_Year</f>
        <v>1</v>
      </c>
      <c r="AA299" s="47" t="n">
        <f aca="false">MAX(0,MIN(AA298,$F298)-MAX(AA298-Months_In_Year,0))/Months_In_Year</f>
        <v>1</v>
      </c>
      <c r="AB299" s="47" t="n">
        <f aca="false">MAX(0,MIN(AB298,$F298)-MAX(AB298-Months_In_Year,0))/Months_In_Year</f>
        <v>1</v>
      </c>
      <c r="AC299" s="47" t="n">
        <f aca="false">MAX(0,MIN(AC298,$F298)-MAX(AC298-Months_In_Year,0))/Months_In_Year</f>
        <v>1</v>
      </c>
      <c r="AD299" s="47" t="n">
        <f aca="false">MAX(0,MIN(AD298,$F298)-MAX(AD298-Months_In_Year,0))/Months_In_Year</f>
        <v>1</v>
      </c>
      <c r="AE299" s="47" t="n">
        <f aca="false">MAX(0,MIN(AE298,$F298)-MAX(AE298-Months_In_Year,0))/Months_In_Year</f>
        <v>1</v>
      </c>
      <c r="AF299" s="47" t="n">
        <f aca="false">MAX(0,MIN(AF298,$F298)-MAX(AF298-Months_In_Year,0))/Months_In_Year</f>
        <v>1</v>
      </c>
      <c r="AG299" s="47" t="n">
        <f aca="false">MAX(0,MIN(AG298,$F298)-MAX(AG298-Months_In_Year,0))/Months_In_Year</f>
        <v>1</v>
      </c>
      <c r="AH299" s="47" t="n">
        <f aca="false">MAX(0,MIN(AH298,$F298)-MAX(AH298-Months_In_Year,0))/Months_In_Year</f>
        <v>1</v>
      </c>
      <c r="AI299" s="47" t="n">
        <f aca="false">MAX(0,MIN(AI298,$F298)-MAX(AI298-Months_In_Year,0))/Months_In_Year</f>
        <v>1</v>
      </c>
      <c r="AJ299" s="47" t="n">
        <f aca="false">MAX(0,MIN(AJ298,$F298)-MAX(AJ298-Months_In_Year,0))/Months_In_Year</f>
        <v>1</v>
      </c>
      <c r="AK299" s="47" t="n">
        <f aca="false">MAX(0,MIN(AK298,$F298)-MAX(AK298-Months_In_Year,0))/Months_In_Year</f>
        <v>1</v>
      </c>
      <c r="AL299" s="47" t="n">
        <f aca="false">MAX(0,MIN(AL298,$F298)-MAX(AL298-Months_In_Year,0))/Months_In_Year</f>
        <v>1</v>
      </c>
      <c r="AM299" s="47" t="n">
        <f aca="false">MAX(0,MIN(AM298,$F298)-MAX(AM298-Months_In_Year,0))/Months_In_Year</f>
        <v>1</v>
      </c>
      <c r="AN299" s="47" t="n">
        <f aca="false">MAX(0,MIN(AN298,$F298)-MAX(AN298-Months_In_Year,0))/Months_In_Year</f>
        <v>1</v>
      </c>
      <c r="AO299" s="47" t="n">
        <f aca="false">MAX(0,MIN(AO298,$F298)-MAX(AO298-Months_In_Year,0))/Months_In_Year</f>
        <v>1</v>
      </c>
      <c r="AP299" s="47" t="n">
        <f aca="false">MAX(0,MIN(AP298,$F298)-MAX(AP298-Months_In_Year,0))/Months_In_Year</f>
        <v>1</v>
      </c>
      <c r="AQ299" s="47" t="n">
        <f aca="false">MAX(0,MIN(AQ298,$F298)-MAX(AQ298-Months_In_Year,0))/Months_In_Year</f>
        <v>1</v>
      </c>
      <c r="AR299" s="47" t="n">
        <f aca="false">MAX(0,MIN(AR298,$F298)-MAX(AR298-Months_In_Year,0))/Months_In_Year</f>
        <v>1</v>
      </c>
      <c r="AS299" s="47" t="n">
        <f aca="false">MAX(0,MIN(AS298,$F298)-MAX(AS298-Months_In_Year,0))/Months_In_Year</f>
        <v>0.5</v>
      </c>
    </row>
    <row r="300" customFormat="false" ht="14.25" hidden="true" customHeight="false" outlineLevel="1" collapsed="false">
      <c r="C300" s="6" t="s">
        <v>220</v>
      </c>
      <c r="D300" s="2" t="s">
        <v>2</v>
      </c>
      <c r="J300" s="55" t="n">
        <f aca="false">N(J295=0)</f>
        <v>0</v>
      </c>
      <c r="K300" s="55" t="n">
        <f aca="false">N(K295=0)</f>
        <v>0</v>
      </c>
      <c r="L300" s="55" t="n">
        <f aca="false">N(L295=0)</f>
        <v>0</v>
      </c>
      <c r="M300" s="55" t="n">
        <f aca="false">N(M295=0)</f>
        <v>0</v>
      </c>
      <c r="N300" s="55" t="n">
        <f aca="false">N(N295=0)</f>
        <v>0</v>
      </c>
      <c r="O300" s="55" t="n">
        <f aca="false">N(O295=0)</f>
        <v>1</v>
      </c>
      <c r="P300" s="55" t="n">
        <f aca="false">N(P295=0)</f>
        <v>0</v>
      </c>
      <c r="Q300" s="55" t="n">
        <f aca="false">N(Q295=0)</f>
        <v>0</v>
      </c>
      <c r="R300" s="55" t="n">
        <f aca="false">N(R295=0)</f>
        <v>0</v>
      </c>
      <c r="S300" s="55" t="n">
        <f aca="false">N(S295=0)</f>
        <v>0</v>
      </c>
      <c r="T300" s="55" t="n">
        <f aca="false">N(T295=0)</f>
        <v>0</v>
      </c>
      <c r="U300" s="55" t="n">
        <f aca="false">N(U295=0)</f>
        <v>0</v>
      </c>
      <c r="V300" s="55" t="n">
        <f aca="false">N(V295=0)</f>
        <v>0</v>
      </c>
      <c r="W300" s="55" t="n">
        <f aca="false">N(W295=0)</f>
        <v>0</v>
      </c>
      <c r="X300" s="55" t="n">
        <f aca="false">N(X295=0)</f>
        <v>0</v>
      </c>
      <c r="Y300" s="55" t="n">
        <f aca="false">N(Y295=0)</f>
        <v>0</v>
      </c>
      <c r="Z300" s="55" t="n">
        <f aca="false">N(Z295=0)</f>
        <v>0</v>
      </c>
      <c r="AA300" s="55" t="n">
        <f aca="false">N(AA295=0)</f>
        <v>0</v>
      </c>
      <c r="AB300" s="55" t="n">
        <f aca="false">N(AB295=0)</f>
        <v>0</v>
      </c>
      <c r="AC300" s="55" t="n">
        <f aca="false">N(AC295=0)</f>
        <v>0</v>
      </c>
      <c r="AD300" s="55" t="n">
        <f aca="false">N(AD295=0)</f>
        <v>0</v>
      </c>
      <c r="AE300" s="55" t="n">
        <f aca="false">N(AE295=0)</f>
        <v>0</v>
      </c>
      <c r="AF300" s="55" t="n">
        <f aca="false">N(AF295=0)</f>
        <v>0</v>
      </c>
      <c r="AG300" s="55" t="n">
        <f aca="false">N(AG295=0)</f>
        <v>0</v>
      </c>
      <c r="AH300" s="55" t="n">
        <f aca="false">N(AH295=0)</f>
        <v>0</v>
      </c>
      <c r="AI300" s="55" t="n">
        <f aca="false">N(AI295=0)</f>
        <v>0</v>
      </c>
      <c r="AJ300" s="55" t="n">
        <f aca="false">N(AJ295=0)</f>
        <v>0</v>
      </c>
      <c r="AK300" s="55" t="n">
        <f aca="false">N(AK295=0)</f>
        <v>0</v>
      </c>
      <c r="AL300" s="55" t="n">
        <f aca="false">N(AL295=0)</f>
        <v>0</v>
      </c>
      <c r="AM300" s="55" t="n">
        <f aca="false">N(AM295=0)</f>
        <v>0</v>
      </c>
      <c r="AN300" s="55" t="n">
        <f aca="false">N(AN295=0)</f>
        <v>0</v>
      </c>
      <c r="AO300" s="55" t="n">
        <f aca="false">N(AO295=0)</f>
        <v>0</v>
      </c>
      <c r="AP300" s="55" t="n">
        <f aca="false">N(AP295=0)</f>
        <v>0</v>
      </c>
      <c r="AQ300" s="55" t="n">
        <f aca="false">N(AQ295=0)</f>
        <v>0</v>
      </c>
      <c r="AR300" s="55" t="n">
        <f aca="false">N(AR295=0)</f>
        <v>0</v>
      </c>
      <c r="AS300" s="55" t="n">
        <f aca="false">N(AS295=0)</f>
        <v>0</v>
      </c>
    </row>
    <row r="301" customFormat="false" ht="14.25" hidden="true" customHeight="false" outlineLevel="1" collapsed="false">
      <c r="C301" s="6" t="s">
        <v>221</v>
      </c>
      <c r="D301" s="2" t="s">
        <v>82</v>
      </c>
      <c r="H301" s="8" t="n">
        <f aca="false">SUM(J301:AS301)</f>
        <v>-6524.88767123288</v>
      </c>
      <c r="J301" s="8" t="n">
        <f aca="false">SUMPRODUCT((YEAR($K$207:$K$214)=J$252)*$F$207:$F$214)</f>
        <v>-436.301369863014</v>
      </c>
      <c r="K301" s="8" t="n">
        <f aca="false">SUMPRODUCT((YEAR($K$207:$K$214)=K$252)*$F$207:$F$214)</f>
        <v>-2728.76712328767</v>
      </c>
      <c r="L301" s="8" t="n">
        <f aca="false">SUMPRODUCT((YEAR($K$207:$K$214)=L$252)*$F$207:$F$214)</f>
        <v>-3359.81917808219</v>
      </c>
      <c r="M301" s="8" t="n">
        <f aca="false">SUMPRODUCT((YEAR($K$207:$K$214)=M$252)*$F$207:$F$214)</f>
        <v>0</v>
      </c>
      <c r="N301" s="8" t="n">
        <f aca="false">SUMPRODUCT((YEAR($K$207:$K$214)=N$252)*$F$207:$F$214)</f>
        <v>0</v>
      </c>
      <c r="O301" s="8" t="n">
        <f aca="false">SUMPRODUCT((YEAR($K$207:$K$214)=O$252)*$F$207:$F$214)</f>
        <v>0</v>
      </c>
      <c r="P301" s="8" t="n">
        <f aca="false">SUMPRODUCT((YEAR($K$207:$K$214)=P$252)*$F$207:$F$214)</f>
        <v>0</v>
      </c>
      <c r="Q301" s="8" t="n">
        <f aca="false">SUMPRODUCT((YEAR($K$207:$K$214)=Q$252)*$F$207:$F$214)</f>
        <v>0</v>
      </c>
      <c r="R301" s="8" t="n">
        <f aca="false">SUMPRODUCT((YEAR($K$207:$K$214)=R$252)*$F$207:$F$214)</f>
        <v>0</v>
      </c>
      <c r="S301" s="8" t="n">
        <f aca="false">SUMPRODUCT((YEAR($K$207:$K$214)=S$252)*$F$207:$F$214)</f>
        <v>0</v>
      </c>
      <c r="T301" s="8" t="n">
        <f aca="false">SUMPRODUCT((YEAR($K$207:$K$214)=T$252)*$F$207:$F$214)</f>
        <v>0</v>
      </c>
      <c r="U301" s="8" t="n">
        <f aca="false">SUMPRODUCT((YEAR($K$207:$K$214)=U$252)*$F$207:$F$214)</f>
        <v>0</v>
      </c>
      <c r="V301" s="8" t="n">
        <f aca="false">SUMPRODUCT((YEAR($K$207:$K$214)=V$252)*$F$207:$F$214)</f>
        <v>0</v>
      </c>
      <c r="W301" s="8" t="n">
        <f aca="false">SUMPRODUCT((YEAR($K$207:$K$214)=W$252)*$F$207:$F$214)</f>
        <v>0</v>
      </c>
      <c r="X301" s="8" t="n">
        <f aca="false">SUMPRODUCT((YEAR($K$207:$K$214)=X$252)*$F$207:$F$214)</f>
        <v>0</v>
      </c>
      <c r="Y301" s="8" t="n">
        <f aca="false">SUMPRODUCT((YEAR($K$207:$K$214)=Y$252)*$F$207:$F$214)</f>
        <v>0</v>
      </c>
      <c r="Z301" s="8" t="n">
        <f aca="false">SUMPRODUCT((YEAR($K$207:$K$214)=Z$252)*$F$207:$F$214)</f>
        <v>0</v>
      </c>
      <c r="AA301" s="8" t="n">
        <f aca="false">SUMPRODUCT((YEAR($K$207:$K$214)=AA$252)*$F$207:$F$214)</f>
        <v>0</v>
      </c>
      <c r="AB301" s="8" t="n">
        <f aca="false">SUMPRODUCT((YEAR($K$207:$K$214)=AB$252)*$F$207:$F$214)</f>
        <v>0</v>
      </c>
      <c r="AC301" s="8" t="n">
        <f aca="false">SUMPRODUCT((YEAR($K$207:$K$214)=AC$252)*$F$207:$F$214)</f>
        <v>0</v>
      </c>
      <c r="AD301" s="8" t="n">
        <f aca="false">SUMPRODUCT((YEAR($K$207:$K$214)=AD$252)*$F$207:$F$214)</f>
        <v>0</v>
      </c>
      <c r="AE301" s="8" t="n">
        <f aca="false">SUMPRODUCT((YEAR($K$207:$K$214)=AE$252)*$F$207:$F$214)</f>
        <v>0</v>
      </c>
      <c r="AF301" s="8" t="n">
        <f aca="false">SUMPRODUCT((YEAR($K$207:$K$214)=AF$252)*$F$207:$F$214)</f>
        <v>0</v>
      </c>
      <c r="AG301" s="8" t="n">
        <f aca="false">SUMPRODUCT((YEAR($K$207:$K$214)=AG$252)*$F$207:$F$214)</f>
        <v>0</v>
      </c>
      <c r="AH301" s="8" t="n">
        <f aca="false">SUMPRODUCT((YEAR($K$207:$K$214)=AH$252)*$F$207:$F$214)</f>
        <v>0</v>
      </c>
      <c r="AI301" s="8" t="n">
        <f aca="false">SUMPRODUCT((YEAR($K$207:$K$214)=AI$252)*$F$207:$F$214)</f>
        <v>0</v>
      </c>
      <c r="AJ301" s="8" t="n">
        <f aca="false">SUMPRODUCT((YEAR($K$207:$K$214)=AJ$252)*$F$207:$F$214)</f>
        <v>0</v>
      </c>
      <c r="AK301" s="8" t="n">
        <f aca="false">SUMPRODUCT((YEAR($K$207:$K$214)=AK$252)*$F$207:$F$214)</f>
        <v>0</v>
      </c>
      <c r="AL301" s="8" t="n">
        <f aca="false">SUMPRODUCT((YEAR($K$207:$K$214)=AL$252)*$F$207:$F$214)</f>
        <v>0</v>
      </c>
      <c r="AM301" s="8" t="n">
        <f aca="false">SUMPRODUCT((YEAR($K$207:$K$214)=AM$252)*$F$207:$F$214)</f>
        <v>0</v>
      </c>
      <c r="AN301" s="8" t="n">
        <f aca="false">SUMPRODUCT((YEAR($K$207:$K$214)=AN$252)*$F$207:$F$214)</f>
        <v>0</v>
      </c>
      <c r="AO301" s="8" t="n">
        <f aca="false">SUMPRODUCT((YEAR($K$207:$K$214)=AO$252)*$F$207:$F$214)</f>
        <v>0</v>
      </c>
      <c r="AP301" s="8" t="n">
        <f aca="false">SUMPRODUCT((YEAR($K$207:$K$214)=AP$252)*$F$207:$F$214)</f>
        <v>0</v>
      </c>
      <c r="AQ301" s="8" t="n">
        <f aca="false">SUMPRODUCT((YEAR($K$207:$K$214)=AQ$252)*$F$207:$F$214)</f>
        <v>0</v>
      </c>
      <c r="AR301" s="8" t="n">
        <f aca="false">SUMPRODUCT((YEAR($K$207:$K$214)=AR$252)*$F$207:$F$214)</f>
        <v>0</v>
      </c>
      <c r="AS301" s="8" t="n">
        <f aca="false">SUMPRODUCT((YEAR($K$207:$K$214)=AS$252)*$F$207:$F$214)</f>
        <v>0</v>
      </c>
    </row>
    <row r="302" customFormat="false" ht="14.25" hidden="true" customHeight="false" outlineLevel="1" collapsed="false">
      <c r="C302" s="6" t="s">
        <v>222</v>
      </c>
      <c r="D302" s="2" t="s">
        <v>82</v>
      </c>
      <c r="H302" s="8" t="n">
        <f aca="false">SUM(J302:AS302)</f>
        <v>1390.41095890411</v>
      </c>
      <c r="J302" s="8" t="n">
        <f aca="false">($F$59+$F$60)*(J$252=YEAR(Inputs!$F$34))</f>
        <v>0</v>
      </c>
      <c r="K302" s="8" t="n">
        <f aca="false">($F$59+$F$60)*(K$252=YEAR(Inputs!$F$34))</f>
        <v>0</v>
      </c>
      <c r="L302" s="8" t="n">
        <f aca="false">($F$59+$F$60)*(L$252=YEAR(Inputs!$F$34))</f>
        <v>0</v>
      </c>
      <c r="M302" s="8" t="n">
        <f aca="false">($F$59+$F$60)*(M$252=YEAR(Inputs!$F$34))</f>
        <v>0</v>
      </c>
      <c r="N302" s="8" t="n">
        <f aca="false">($F$59+$F$60)*(N$252=YEAR(Inputs!$F$34))</f>
        <v>0</v>
      </c>
      <c r="O302" s="8" t="n">
        <f aca="false">($F$59+$F$60)*(O$252=YEAR(Inputs!$F$34))</f>
        <v>0</v>
      </c>
      <c r="P302" s="8" t="n">
        <f aca="false">($F$59+$F$60)*(P$252=YEAR(Inputs!$F$34))</f>
        <v>0</v>
      </c>
      <c r="Q302" s="8" t="n">
        <f aca="false">($F$59+$F$60)*(Q$252=YEAR(Inputs!$F$34))</f>
        <v>1390.41095890411</v>
      </c>
      <c r="R302" s="8" t="n">
        <f aca="false">($F$59+$F$60)*(R$252=YEAR(Inputs!$F$34))</f>
        <v>0</v>
      </c>
      <c r="S302" s="8" t="n">
        <f aca="false">($F$59+$F$60)*(S$252=YEAR(Inputs!$F$34))</f>
        <v>0</v>
      </c>
      <c r="T302" s="8" t="n">
        <f aca="false">($F$59+$F$60)*(T$252=YEAR(Inputs!$F$34))</f>
        <v>0</v>
      </c>
      <c r="U302" s="8" t="n">
        <f aca="false">($F$59+$F$60)*(U$252=YEAR(Inputs!$F$34))</f>
        <v>0</v>
      </c>
      <c r="V302" s="8" t="n">
        <f aca="false">($F$59+$F$60)*(V$252=YEAR(Inputs!$F$34))</f>
        <v>0</v>
      </c>
      <c r="W302" s="8" t="n">
        <f aca="false">($F$59+$F$60)*(W$252=YEAR(Inputs!$F$34))</f>
        <v>0</v>
      </c>
      <c r="X302" s="8" t="n">
        <f aca="false">($F$59+$F$60)*(X$252=YEAR(Inputs!$F$34))</f>
        <v>0</v>
      </c>
      <c r="Y302" s="8" t="n">
        <f aca="false">($F$59+$F$60)*(Y$252=YEAR(Inputs!$F$34))</f>
        <v>0</v>
      </c>
      <c r="Z302" s="8" t="n">
        <f aca="false">($F$59+$F$60)*(Z$252=YEAR(Inputs!$F$34))</f>
        <v>0</v>
      </c>
      <c r="AA302" s="8" t="n">
        <f aca="false">($F$59+$F$60)*(AA$252=YEAR(Inputs!$F$34))</f>
        <v>0</v>
      </c>
      <c r="AB302" s="8" t="n">
        <f aca="false">($F$59+$F$60)*(AB$252=YEAR(Inputs!$F$34))</f>
        <v>0</v>
      </c>
      <c r="AC302" s="8" t="n">
        <f aca="false">($F$59+$F$60)*(AC$252=YEAR(Inputs!$F$34))</f>
        <v>0</v>
      </c>
      <c r="AD302" s="8" t="n">
        <f aca="false">($F$59+$F$60)*(AD$252=YEAR(Inputs!$F$34))</f>
        <v>0</v>
      </c>
      <c r="AE302" s="8" t="n">
        <f aca="false">($F$59+$F$60)*(AE$252=YEAR(Inputs!$F$34))</f>
        <v>0</v>
      </c>
      <c r="AF302" s="8" t="n">
        <f aca="false">($F$59+$F$60)*(AF$252=YEAR(Inputs!$F$34))</f>
        <v>0</v>
      </c>
      <c r="AG302" s="8" t="n">
        <f aca="false">($F$59+$F$60)*(AG$252=YEAR(Inputs!$F$34))</f>
        <v>0</v>
      </c>
      <c r="AH302" s="8" t="n">
        <f aca="false">($F$59+$F$60)*(AH$252=YEAR(Inputs!$F$34))</f>
        <v>0</v>
      </c>
      <c r="AI302" s="8" t="n">
        <f aca="false">($F$59+$F$60)*(AI$252=YEAR(Inputs!$F$34))</f>
        <v>0</v>
      </c>
      <c r="AJ302" s="8" t="n">
        <f aca="false">($F$59+$F$60)*(AJ$252=YEAR(Inputs!$F$34))</f>
        <v>0</v>
      </c>
      <c r="AK302" s="8" t="n">
        <f aca="false">($F$59+$F$60)*(AK$252=YEAR(Inputs!$F$34))</f>
        <v>0</v>
      </c>
      <c r="AL302" s="8" t="n">
        <f aca="false">($F$59+$F$60)*(AL$252=YEAR(Inputs!$F$34))</f>
        <v>0</v>
      </c>
      <c r="AM302" s="8" t="n">
        <f aca="false">($F$59+$F$60)*(AM$252=YEAR(Inputs!$F$34))</f>
        <v>0</v>
      </c>
      <c r="AN302" s="8" t="n">
        <f aca="false">($F$59+$F$60)*(AN$252=YEAR(Inputs!$F$34))</f>
        <v>0</v>
      </c>
      <c r="AO302" s="8" t="n">
        <f aca="false">($F$59+$F$60)*(AO$252=YEAR(Inputs!$F$34))</f>
        <v>0</v>
      </c>
      <c r="AP302" s="8" t="n">
        <f aca="false">($F$59+$F$60)*(AP$252=YEAR(Inputs!$F$34))</f>
        <v>0</v>
      </c>
      <c r="AQ302" s="8" t="n">
        <f aca="false">($F$59+$F$60)*(AQ$252=YEAR(Inputs!$F$34))</f>
        <v>0</v>
      </c>
      <c r="AR302" s="8" t="n">
        <f aca="false">($F$59+$F$60)*(AR$252=YEAR(Inputs!$F$34))</f>
        <v>0</v>
      </c>
      <c r="AS302" s="8" t="n">
        <f aca="false">($F$59+$F$60)*(AS$252=YEAR(Inputs!$F$34))</f>
        <v>0</v>
      </c>
    </row>
    <row r="303" customFormat="false" ht="14.25" hidden="true" customHeight="false" outlineLevel="1" collapsed="false">
      <c r="C303" s="6" t="s">
        <v>223</v>
      </c>
      <c r="D303" s="2" t="s">
        <v>82</v>
      </c>
      <c r="H303" s="8" t="n">
        <f aca="false">SUM(J303:AS303)</f>
        <v>-48037.5</v>
      </c>
      <c r="J303" s="8" t="n">
        <f aca="false">-$F$87*J297</f>
        <v>-0</v>
      </c>
      <c r="K303" s="8" t="n">
        <f aca="false">-$F$87*K297</f>
        <v>-0</v>
      </c>
      <c r="L303" s="8" t="n">
        <f aca="false">-$F$87*L297</f>
        <v>-0</v>
      </c>
      <c r="M303" s="8" t="n">
        <f aca="false">-$F$87*M297</f>
        <v>-12009.375</v>
      </c>
      <c r="N303" s="8" t="n">
        <f aca="false">-$F$87*N297</f>
        <v>-24018.75</v>
      </c>
      <c r="O303" s="8" t="n">
        <f aca="false">-$F$87*O297</f>
        <v>-12009.375</v>
      </c>
      <c r="P303" s="8" t="n">
        <f aca="false">-$F$87*P297</f>
        <v>-0</v>
      </c>
      <c r="Q303" s="8" t="n">
        <f aca="false">-$F$87*Q297</f>
        <v>-0</v>
      </c>
      <c r="R303" s="8" t="n">
        <f aca="false">-$F$87*R297</f>
        <v>-0</v>
      </c>
      <c r="S303" s="8" t="n">
        <f aca="false">-$F$87*S297</f>
        <v>-0</v>
      </c>
      <c r="T303" s="8" t="n">
        <f aca="false">-$F$87*T297</f>
        <v>-0</v>
      </c>
      <c r="U303" s="8" t="n">
        <f aca="false">-$F$87*U297</f>
        <v>-0</v>
      </c>
      <c r="V303" s="8" t="n">
        <f aca="false">-$F$87*V297</f>
        <v>-0</v>
      </c>
      <c r="W303" s="8" t="n">
        <f aca="false">-$F$87*W297</f>
        <v>-0</v>
      </c>
      <c r="X303" s="8" t="n">
        <f aca="false">-$F$87*X297</f>
        <v>-0</v>
      </c>
      <c r="Y303" s="8" t="n">
        <f aca="false">-$F$87*Y297</f>
        <v>-0</v>
      </c>
      <c r="Z303" s="8" t="n">
        <f aca="false">-$F$87*Z297</f>
        <v>-0</v>
      </c>
      <c r="AA303" s="8" t="n">
        <f aca="false">-$F$87*AA297</f>
        <v>-0</v>
      </c>
      <c r="AB303" s="8" t="n">
        <f aca="false">-$F$87*AB297</f>
        <v>-0</v>
      </c>
      <c r="AC303" s="8" t="n">
        <f aca="false">-$F$87*AC297</f>
        <v>-0</v>
      </c>
      <c r="AD303" s="8" t="n">
        <f aca="false">-$F$87*AD297</f>
        <v>-0</v>
      </c>
      <c r="AE303" s="8" t="n">
        <f aca="false">-$F$87*AE297</f>
        <v>-0</v>
      </c>
      <c r="AF303" s="8" t="n">
        <f aca="false">-$F$87*AF297</f>
        <v>-0</v>
      </c>
      <c r="AG303" s="8" t="n">
        <f aca="false">-$F$87*AG297</f>
        <v>-0</v>
      </c>
      <c r="AH303" s="8" t="n">
        <f aca="false">-$F$87*AH297</f>
        <v>-0</v>
      </c>
      <c r="AI303" s="8" t="n">
        <f aca="false">-$F$87*AI297</f>
        <v>-0</v>
      </c>
      <c r="AJ303" s="8" t="n">
        <f aca="false">-$F$87*AJ297</f>
        <v>-0</v>
      </c>
      <c r="AK303" s="8" t="n">
        <f aca="false">-$F$87*AK297</f>
        <v>-0</v>
      </c>
      <c r="AL303" s="8" t="n">
        <f aca="false">-$F$87*AL297</f>
        <v>-0</v>
      </c>
      <c r="AM303" s="8" t="n">
        <f aca="false">-$F$87*AM297</f>
        <v>-0</v>
      </c>
      <c r="AN303" s="8" t="n">
        <f aca="false">-$F$87*AN297</f>
        <v>-0</v>
      </c>
      <c r="AO303" s="8" t="n">
        <f aca="false">-$F$87*AO297</f>
        <v>-0</v>
      </c>
      <c r="AP303" s="8" t="n">
        <f aca="false">-$F$87*AP297</f>
        <v>-0</v>
      </c>
      <c r="AQ303" s="8" t="n">
        <f aca="false">-$F$87*AQ297</f>
        <v>-0</v>
      </c>
      <c r="AR303" s="8" t="n">
        <f aca="false">-$F$87*AR297</f>
        <v>-0</v>
      </c>
      <c r="AS303" s="8" t="n">
        <f aca="false">-$F$87*AS297</f>
        <v>-0</v>
      </c>
    </row>
    <row r="304" customFormat="false" ht="14.25" hidden="true" customHeight="false" outlineLevel="1" collapsed="false">
      <c r="C304" s="6" t="s">
        <v>224</v>
      </c>
      <c r="D304" s="2" t="s">
        <v>82</v>
      </c>
      <c r="H304" s="8" t="n">
        <f aca="false">SUM(J304:AS304)</f>
        <v>-2500</v>
      </c>
      <c r="J304" s="8" t="n">
        <f aca="false">-$F$89*J300</f>
        <v>-0</v>
      </c>
      <c r="K304" s="8" t="n">
        <f aca="false">-$F$89*K300</f>
        <v>-0</v>
      </c>
      <c r="L304" s="8" t="n">
        <f aca="false">-$F$89*L300</f>
        <v>-0</v>
      </c>
      <c r="M304" s="8" t="n">
        <f aca="false">-$F$89*M300</f>
        <v>-0</v>
      </c>
      <c r="N304" s="8" t="n">
        <f aca="false">-$F$89*N300</f>
        <v>-0</v>
      </c>
      <c r="O304" s="8" t="n">
        <f aca="false">-$F$89*O300</f>
        <v>-2500</v>
      </c>
      <c r="P304" s="8" t="n">
        <f aca="false">-$F$89*P300</f>
        <v>-0</v>
      </c>
      <c r="Q304" s="8" t="n">
        <f aca="false">-$F$89*Q300</f>
        <v>-0</v>
      </c>
      <c r="R304" s="8" t="n">
        <f aca="false">-$F$89*R300</f>
        <v>-0</v>
      </c>
      <c r="S304" s="8" t="n">
        <f aca="false">-$F$89*S300</f>
        <v>-0</v>
      </c>
      <c r="T304" s="8" t="n">
        <f aca="false">-$F$89*T300</f>
        <v>-0</v>
      </c>
      <c r="U304" s="8" t="n">
        <f aca="false">-$F$89*U300</f>
        <v>-0</v>
      </c>
      <c r="V304" s="8" t="n">
        <f aca="false">-$F$89*V300</f>
        <v>-0</v>
      </c>
      <c r="W304" s="8" t="n">
        <f aca="false">-$F$89*W300</f>
        <v>-0</v>
      </c>
      <c r="X304" s="8" t="n">
        <f aca="false">-$F$89*X300</f>
        <v>-0</v>
      </c>
      <c r="Y304" s="8" t="n">
        <f aca="false">-$F$89*Y300</f>
        <v>-0</v>
      </c>
      <c r="Z304" s="8" t="n">
        <f aca="false">-$F$89*Z300</f>
        <v>-0</v>
      </c>
      <c r="AA304" s="8" t="n">
        <f aca="false">-$F$89*AA300</f>
        <v>-0</v>
      </c>
      <c r="AB304" s="8" t="n">
        <f aca="false">-$F$89*AB300</f>
        <v>-0</v>
      </c>
      <c r="AC304" s="8" t="n">
        <f aca="false">-$F$89*AC300</f>
        <v>-0</v>
      </c>
      <c r="AD304" s="8" t="n">
        <f aca="false">-$F$89*AD300</f>
        <v>-0</v>
      </c>
      <c r="AE304" s="8" t="n">
        <f aca="false">-$F$89*AE300</f>
        <v>-0</v>
      </c>
      <c r="AF304" s="8" t="n">
        <f aca="false">-$F$89*AF300</f>
        <v>-0</v>
      </c>
      <c r="AG304" s="8" t="n">
        <f aca="false">-$F$89*AG300</f>
        <v>-0</v>
      </c>
      <c r="AH304" s="8" t="n">
        <f aca="false">-$F$89*AH300</f>
        <v>-0</v>
      </c>
      <c r="AI304" s="8" t="n">
        <f aca="false">-$F$89*AI300</f>
        <v>-0</v>
      </c>
      <c r="AJ304" s="8" t="n">
        <f aca="false">-$F$89*AJ300</f>
        <v>-0</v>
      </c>
      <c r="AK304" s="8" t="n">
        <f aca="false">-$F$89*AK300</f>
        <v>-0</v>
      </c>
      <c r="AL304" s="8" t="n">
        <f aca="false">-$F$89*AL300</f>
        <v>-0</v>
      </c>
      <c r="AM304" s="8" t="n">
        <f aca="false">-$F$89*AM300</f>
        <v>-0</v>
      </c>
      <c r="AN304" s="8" t="n">
        <f aca="false">-$F$89*AN300</f>
        <v>-0</v>
      </c>
      <c r="AO304" s="8" t="n">
        <f aca="false">-$F$89*AO300</f>
        <v>-0</v>
      </c>
      <c r="AP304" s="8" t="n">
        <f aca="false">-$F$89*AP300</f>
        <v>-0</v>
      </c>
      <c r="AQ304" s="8" t="n">
        <f aca="false">-$F$89*AQ300</f>
        <v>-0</v>
      </c>
      <c r="AR304" s="8" t="n">
        <f aca="false">-$F$89*AR300</f>
        <v>-0</v>
      </c>
      <c r="AS304" s="8" t="n">
        <f aca="false">-$F$89*AS300</f>
        <v>-0</v>
      </c>
    </row>
    <row r="305" customFormat="false" ht="14.25" hidden="true" customHeight="false" outlineLevel="1" collapsed="false">
      <c r="C305" s="1" t="s">
        <v>225</v>
      </c>
      <c r="D305" s="2" t="s">
        <v>82</v>
      </c>
      <c r="H305" s="14" t="n">
        <f aca="false">SUM(J305:AS305)</f>
        <v>-55671.9767123288</v>
      </c>
      <c r="J305" s="14" t="n">
        <f aca="false">SUM(J301:J304)</f>
        <v>-436.301369863014</v>
      </c>
      <c r="K305" s="14" t="n">
        <f aca="false">SUM(K301:K304)</f>
        <v>-2728.76712328767</v>
      </c>
      <c r="L305" s="14" t="n">
        <f aca="false">SUM(L301:L304)</f>
        <v>-3359.81917808219</v>
      </c>
      <c r="M305" s="14" t="n">
        <f aca="false">SUM(M301:M304)</f>
        <v>-12009.375</v>
      </c>
      <c r="N305" s="14" t="n">
        <f aca="false">SUM(N301:N304)</f>
        <v>-24018.75</v>
      </c>
      <c r="O305" s="14" t="n">
        <f aca="false">SUM(O301:O304)</f>
        <v>-14509.375</v>
      </c>
      <c r="P305" s="14" t="n">
        <f aca="false">SUM(P301:P304)</f>
        <v>0</v>
      </c>
      <c r="Q305" s="14" t="n">
        <f aca="false">SUM(Q301:Q304)</f>
        <v>1390.41095890411</v>
      </c>
      <c r="R305" s="14" t="n">
        <f aca="false">SUM(R301:R304)</f>
        <v>0</v>
      </c>
      <c r="S305" s="14" t="n">
        <f aca="false">SUM(S301:S304)</f>
        <v>0</v>
      </c>
      <c r="T305" s="14" t="n">
        <f aca="false">SUM(T301:T304)</f>
        <v>0</v>
      </c>
      <c r="U305" s="14" t="n">
        <f aca="false">SUM(U301:U304)</f>
        <v>0</v>
      </c>
      <c r="V305" s="14" t="n">
        <f aca="false">SUM(V301:V304)</f>
        <v>0</v>
      </c>
      <c r="W305" s="14" t="n">
        <f aca="false">SUM(W301:W304)</f>
        <v>0</v>
      </c>
      <c r="X305" s="14" t="n">
        <f aca="false">SUM(X301:X304)</f>
        <v>0</v>
      </c>
      <c r="Y305" s="14" t="n">
        <f aca="false">SUM(Y301:Y304)</f>
        <v>0</v>
      </c>
      <c r="Z305" s="14" t="n">
        <f aca="false">SUM(Z301:Z304)</f>
        <v>0</v>
      </c>
      <c r="AA305" s="14" t="n">
        <f aca="false">SUM(AA301:AA304)</f>
        <v>0</v>
      </c>
      <c r="AB305" s="14" t="n">
        <f aca="false">SUM(AB301:AB304)</f>
        <v>0</v>
      </c>
      <c r="AC305" s="14" t="n">
        <f aca="false">SUM(AC301:AC304)</f>
        <v>0</v>
      </c>
      <c r="AD305" s="14" t="n">
        <f aca="false">SUM(AD301:AD304)</f>
        <v>0</v>
      </c>
      <c r="AE305" s="14" t="n">
        <f aca="false">SUM(AE301:AE304)</f>
        <v>0</v>
      </c>
      <c r="AF305" s="14" t="n">
        <f aca="false">SUM(AF301:AF304)</f>
        <v>0</v>
      </c>
      <c r="AG305" s="14" t="n">
        <f aca="false">SUM(AG301:AG304)</f>
        <v>0</v>
      </c>
      <c r="AH305" s="14" t="n">
        <f aca="false">SUM(AH301:AH304)</f>
        <v>0</v>
      </c>
      <c r="AI305" s="14" t="n">
        <f aca="false">SUM(AI301:AI304)</f>
        <v>0</v>
      </c>
      <c r="AJ305" s="14" t="n">
        <f aca="false">SUM(AJ301:AJ304)</f>
        <v>0</v>
      </c>
      <c r="AK305" s="14" t="n">
        <f aca="false">SUM(AK301:AK304)</f>
        <v>0</v>
      </c>
      <c r="AL305" s="14" t="n">
        <f aca="false">SUM(AL301:AL304)</f>
        <v>0</v>
      </c>
      <c r="AM305" s="14" t="n">
        <f aca="false">SUM(AM301:AM304)</f>
        <v>0</v>
      </c>
      <c r="AN305" s="14" t="n">
        <f aca="false">SUM(AN301:AN304)</f>
        <v>0</v>
      </c>
      <c r="AO305" s="14" t="n">
        <f aca="false">SUM(AO301:AO304)</f>
        <v>0</v>
      </c>
      <c r="AP305" s="14" t="n">
        <f aca="false">SUM(AP301:AP304)</f>
        <v>0</v>
      </c>
      <c r="AQ305" s="14" t="n">
        <f aca="false">SUM(AQ301:AQ304)</f>
        <v>0</v>
      </c>
      <c r="AR305" s="14" t="n">
        <f aca="false">SUM(AR301:AR304)</f>
        <v>0</v>
      </c>
      <c r="AS305" s="14" t="n">
        <f aca="false">SUM(AS301:AS304)</f>
        <v>0</v>
      </c>
    </row>
    <row r="306" customFormat="false" ht="14.25" hidden="true" customHeight="false" outlineLevel="1" collapsed="false">
      <c r="C306" s="6" t="s">
        <v>226</v>
      </c>
      <c r="D306" s="2" t="s">
        <v>3</v>
      </c>
      <c r="J306" s="56" t="n">
        <f aca="false">(1-Degradation)^MAX(J295-1,0)</f>
        <v>1</v>
      </c>
      <c r="K306" s="56" t="n">
        <f aca="false">(1-Degradation)^MAX(K295-1,0)</f>
        <v>1</v>
      </c>
      <c r="L306" s="56" t="n">
        <f aca="false">(1-Degradation)^MAX(L295-1,0)</f>
        <v>1</v>
      </c>
      <c r="M306" s="56" t="n">
        <f aca="false">(1-Degradation)^MAX(M295-1,0)</f>
        <v>1</v>
      </c>
      <c r="N306" s="56" t="n">
        <f aca="false">(1-Degradation)^MAX(N295-1,0)</f>
        <v>1</v>
      </c>
      <c r="O306" s="56" t="n">
        <f aca="false">(1-Degradation)^MAX(O295-1,0)</f>
        <v>1</v>
      </c>
      <c r="P306" s="56" t="n">
        <f aca="false">(1-Degradation)^MAX(P295-1,0)</f>
        <v>1</v>
      </c>
      <c r="Q306" s="56" t="n">
        <f aca="false">(1-Degradation)^MAX(Q295-1,0)</f>
        <v>0.997</v>
      </c>
      <c r="R306" s="56" t="n">
        <f aca="false">(1-Degradation)^MAX(R295-1,0)</f>
        <v>0.994009</v>
      </c>
      <c r="S306" s="56" t="n">
        <f aca="false">(1-Degradation)^MAX(S295-1,0)</f>
        <v>0.991026973</v>
      </c>
      <c r="T306" s="56" t="n">
        <f aca="false">(1-Degradation)^MAX(T295-1,0)</f>
        <v>0.988053892081</v>
      </c>
      <c r="U306" s="56" t="n">
        <f aca="false">(1-Degradation)^MAX(U295-1,0)</f>
        <v>0.985089730404757</v>
      </c>
      <c r="V306" s="56" t="n">
        <f aca="false">(1-Degradation)^MAX(V295-1,0)</f>
        <v>0.982134461213543</v>
      </c>
      <c r="W306" s="56" t="n">
        <f aca="false">(1-Degradation)^MAX(W295-1,0)</f>
        <v>0.979188057829902</v>
      </c>
      <c r="X306" s="56" t="n">
        <f aca="false">(1-Degradation)^MAX(X295-1,0)</f>
        <v>0.976250493656412</v>
      </c>
      <c r="Y306" s="56" t="n">
        <f aca="false">(1-Degradation)^MAX(Y295-1,0)</f>
        <v>0.973321742175443</v>
      </c>
      <c r="Z306" s="56" t="n">
        <f aca="false">(1-Degradation)^MAX(Z295-1,0)</f>
        <v>0.970401776948917</v>
      </c>
      <c r="AA306" s="56" t="n">
        <f aca="false">(1-Degradation)^MAX(AA295-1,0)</f>
        <v>0.96749057161807</v>
      </c>
      <c r="AB306" s="56" t="n">
        <f aca="false">(1-Degradation)^MAX(AB295-1,0)</f>
        <v>0.964588099903216</v>
      </c>
      <c r="AC306" s="56" t="n">
        <f aca="false">(1-Degradation)^MAX(AC295-1,0)</f>
        <v>0.961694335603506</v>
      </c>
      <c r="AD306" s="56" t="n">
        <f aca="false">(1-Degradation)^MAX(AD295-1,0)</f>
        <v>0.958809252596696</v>
      </c>
      <c r="AE306" s="56" t="n">
        <f aca="false">(1-Degradation)^MAX(AE295-1,0)</f>
        <v>0.955932824838906</v>
      </c>
      <c r="AF306" s="56" t="n">
        <f aca="false">(1-Degradation)^MAX(AF295-1,0)</f>
        <v>0.953065026364389</v>
      </c>
      <c r="AG306" s="56" t="n">
        <f aca="false">(1-Degradation)^MAX(AG295-1,0)</f>
        <v>0.950205831285296</v>
      </c>
      <c r="AH306" s="56" t="n">
        <f aca="false">(1-Degradation)^MAX(AH295-1,0)</f>
        <v>0.94735521379144</v>
      </c>
      <c r="AI306" s="56" t="n">
        <f aca="false">(1-Degradation)^MAX(AI295-1,0)</f>
        <v>0.944513148150066</v>
      </c>
      <c r="AJ306" s="56" t="n">
        <f aca="false">(1-Degradation)^MAX(AJ295-1,0)</f>
        <v>0.941679608705615</v>
      </c>
      <c r="AK306" s="56" t="n">
        <f aca="false">(1-Degradation)^MAX(AK295-1,0)</f>
        <v>0.938854569879498</v>
      </c>
      <c r="AL306" s="56" t="n">
        <f aca="false">(1-Degradation)^MAX(AL295-1,0)</f>
        <v>0.93603800616986</v>
      </c>
      <c r="AM306" s="56" t="n">
        <f aca="false">(1-Degradation)^MAX(AM295-1,0)</f>
        <v>0.93322989215135</v>
      </c>
      <c r="AN306" s="56" t="n">
        <f aca="false">(1-Degradation)^MAX(AN295-1,0)</f>
        <v>0.930430202474896</v>
      </c>
      <c r="AO306" s="56" t="n">
        <f aca="false">(1-Degradation)^MAX(AO295-1,0)</f>
        <v>0.927638911867472</v>
      </c>
      <c r="AP306" s="56" t="n">
        <f aca="false">(1-Degradation)^MAX(AP295-1,0)</f>
        <v>0.924855995131869</v>
      </c>
      <c r="AQ306" s="56" t="n">
        <f aca="false">(1-Degradation)^MAX(AQ295-1,0)</f>
        <v>0.922081427146474</v>
      </c>
      <c r="AR306" s="56" t="n">
        <f aca="false">(1-Degradation)^MAX(AR295-1,0)</f>
        <v>0.919315182865034</v>
      </c>
      <c r="AS306" s="56" t="n">
        <f aca="false">(1-Degradation)^MAX(AS295-1,0)</f>
        <v>0.916557237316439</v>
      </c>
    </row>
    <row r="307" customFormat="false" ht="14.25" hidden="true" customHeight="false" outlineLevel="1" collapsed="false">
      <c r="C307" s="6" t="s">
        <v>227</v>
      </c>
      <c r="D307" s="2" t="s">
        <v>228</v>
      </c>
      <c r="H307" s="16" t="n">
        <f aca="false">SUM(J307:AS307)</f>
        <v>3383.64986274979</v>
      </c>
      <c r="J307" s="16" t="n">
        <f aca="false">$F$44*Case_P50*(1-Curtailment)*(1-Clipping)*J299*J306/Thousand</f>
        <v>0</v>
      </c>
      <c r="K307" s="16" t="n">
        <f aca="false">$F$44*Case_P50*(1-Curtailment)*(1-Clipping)*K299*K306/Thousand</f>
        <v>0</v>
      </c>
      <c r="L307" s="16" t="n">
        <f aca="false">$F$44*Case_P50*(1-Curtailment)*(1-Clipping)*L299*L306/Thousand</f>
        <v>0</v>
      </c>
      <c r="M307" s="16" t="n">
        <f aca="false">$F$44*Case_P50*(1-Curtailment)*(1-Clipping)*M299*M306/Thousand</f>
        <v>0</v>
      </c>
      <c r="N307" s="16" t="n">
        <f aca="false">$F$44*Case_P50*(1-Curtailment)*(1-Clipping)*N299*N306/Thousand</f>
        <v>0</v>
      </c>
      <c r="O307" s="16" t="n">
        <f aca="false">$F$44*Case_P50*(1-Curtailment)*(1-Clipping)*O299*O306/Thousand</f>
        <v>58.8</v>
      </c>
      <c r="P307" s="16" t="n">
        <f aca="false">$F$44*Case_P50*(1-Curtailment)*(1-Clipping)*P299*P306/Thousand</f>
        <v>117.6</v>
      </c>
      <c r="Q307" s="16" t="n">
        <f aca="false">$F$44*Case_P50*(1-Curtailment)*(1-Clipping)*Q299*Q306/Thousand</f>
        <v>117.2472</v>
      </c>
      <c r="R307" s="16" t="n">
        <f aca="false">$F$44*Case_P50*(1-Curtailment)*(1-Clipping)*R299*R306/Thousand</f>
        <v>116.8954584</v>
      </c>
      <c r="S307" s="16" t="n">
        <f aca="false">$F$44*Case_P50*(1-Curtailment)*(1-Clipping)*S299*S306/Thousand</f>
        <v>116.5447720248</v>
      </c>
      <c r="T307" s="16" t="n">
        <f aca="false">$F$44*Case_P50*(1-Curtailment)*(1-Clipping)*T299*T306/Thousand</f>
        <v>116.195137708726</v>
      </c>
      <c r="U307" s="16" t="n">
        <f aca="false">$F$44*Case_P50*(1-Curtailment)*(1-Clipping)*U299*U306/Thousand</f>
        <v>115.846552295599</v>
      </c>
      <c r="V307" s="16" t="n">
        <f aca="false">$F$44*Case_P50*(1-Curtailment)*(1-Clipping)*V299*V306/Thousand</f>
        <v>115.499012638713</v>
      </c>
      <c r="W307" s="16" t="n">
        <f aca="false">$F$44*Case_P50*(1-Curtailment)*(1-Clipping)*W299*W306/Thousand</f>
        <v>115.152515600796</v>
      </c>
      <c r="X307" s="16" t="n">
        <f aca="false">$F$44*Case_P50*(1-Curtailment)*(1-Clipping)*X299*X306/Thousand</f>
        <v>114.807058053994</v>
      </c>
      <c r="Y307" s="16" t="n">
        <f aca="false">$F$44*Case_P50*(1-Curtailment)*(1-Clipping)*Y299*Y306/Thousand</f>
        <v>114.462636879832</v>
      </c>
      <c r="Z307" s="16" t="n">
        <f aca="false">$F$44*Case_P50*(1-Curtailment)*(1-Clipping)*Z299*Z306/Thousand</f>
        <v>114.119248969193</v>
      </c>
      <c r="AA307" s="16" t="n">
        <f aca="false">$F$44*Case_P50*(1-Curtailment)*(1-Clipping)*AA299*AA306/Thousand</f>
        <v>113.776891222285</v>
      </c>
      <c r="AB307" s="16" t="n">
        <f aca="false">$F$44*Case_P50*(1-Curtailment)*(1-Clipping)*AB299*AB306/Thousand</f>
        <v>113.435560548618</v>
      </c>
      <c r="AC307" s="16" t="n">
        <f aca="false">$F$44*Case_P50*(1-Curtailment)*(1-Clipping)*AC299*AC306/Thousand</f>
        <v>113.095253866972</v>
      </c>
      <c r="AD307" s="16" t="n">
        <f aca="false">$F$44*Case_P50*(1-Curtailment)*(1-Clipping)*AD299*AD306/Thousand</f>
        <v>112.755968105371</v>
      </c>
      <c r="AE307" s="16" t="n">
        <f aca="false">$F$44*Case_P50*(1-Curtailment)*(1-Clipping)*AE299*AE306/Thousand</f>
        <v>112.417700201055</v>
      </c>
      <c r="AF307" s="16" t="n">
        <f aca="false">$F$44*Case_P50*(1-Curtailment)*(1-Clipping)*AF299*AF306/Thousand</f>
        <v>112.080447100452</v>
      </c>
      <c r="AG307" s="16" t="n">
        <f aca="false">$F$44*Case_P50*(1-Curtailment)*(1-Clipping)*AG299*AG306/Thousand</f>
        <v>111.744205759151</v>
      </c>
      <c r="AH307" s="16" t="n">
        <f aca="false">$F$44*Case_P50*(1-Curtailment)*(1-Clipping)*AH299*AH306/Thousand</f>
        <v>111.408973141873</v>
      </c>
      <c r="AI307" s="16" t="n">
        <f aca="false">$F$44*Case_P50*(1-Curtailment)*(1-Clipping)*AI299*AI306/Thousand</f>
        <v>111.074746222448</v>
      </c>
      <c r="AJ307" s="16" t="n">
        <f aca="false">$F$44*Case_P50*(1-Curtailment)*(1-Clipping)*AJ299*AJ306/Thousand</f>
        <v>110.74152198378</v>
      </c>
      <c r="AK307" s="16" t="n">
        <f aca="false">$F$44*Case_P50*(1-Curtailment)*(1-Clipping)*AK299*AK306/Thousand</f>
        <v>110.409297417829</v>
      </c>
      <c r="AL307" s="16" t="n">
        <f aca="false">$F$44*Case_P50*(1-Curtailment)*(1-Clipping)*AL299*AL306/Thousand</f>
        <v>110.078069525576</v>
      </c>
      <c r="AM307" s="16" t="n">
        <f aca="false">$F$44*Case_P50*(1-Curtailment)*(1-Clipping)*AM299*AM306/Thousand</f>
        <v>109.747835316999</v>
      </c>
      <c r="AN307" s="16" t="n">
        <f aca="false">$F$44*Case_P50*(1-Curtailment)*(1-Clipping)*AN299*AN306/Thousand</f>
        <v>109.418591811048</v>
      </c>
      <c r="AO307" s="16" t="n">
        <f aca="false">$F$44*Case_P50*(1-Curtailment)*(1-Clipping)*AO299*AO306/Thousand</f>
        <v>109.090336035615</v>
      </c>
      <c r="AP307" s="16" t="n">
        <f aca="false">$F$44*Case_P50*(1-Curtailment)*(1-Clipping)*AP299*AP306/Thousand</f>
        <v>108.763065027508</v>
      </c>
      <c r="AQ307" s="16" t="n">
        <f aca="false">$F$44*Case_P50*(1-Curtailment)*(1-Clipping)*AQ299*AQ306/Thousand</f>
        <v>108.436775832425</v>
      </c>
      <c r="AR307" s="16" t="n">
        <f aca="false">$F$44*Case_P50*(1-Curtailment)*(1-Clipping)*AR299*AR306/Thousand</f>
        <v>108.111465504928</v>
      </c>
      <c r="AS307" s="16" t="n">
        <f aca="false">$F$44*Case_P50*(1-Curtailment)*(1-Clipping)*AS299*AS306/Thousand</f>
        <v>53.8935655542066</v>
      </c>
    </row>
    <row r="308" customFormat="false" ht="14.25" hidden="true" customHeight="false" outlineLevel="1" collapsed="false">
      <c r="C308" s="6" t="s">
        <v>229</v>
      </c>
      <c r="D308" s="2" t="s">
        <v>20</v>
      </c>
      <c r="J308" s="16" t="n">
        <f aca="false">Case_PPA*(1+PPA_Esc)^J295*(J299&gt;0)</f>
        <v>0</v>
      </c>
      <c r="K308" s="16" t="n">
        <f aca="false">Case_PPA*(1+PPA_Esc)^K295*(K299&gt;0)</f>
        <v>0</v>
      </c>
      <c r="L308" s="16" t="n">
        <f aca="false">Case_PPA*(1+PPA_Esc)^L295*(L299&gt;0)</f>
        <v>0</v>
      </c>
      <c r="M308" s="16" t="n">
        <f aca="false">Case_PPA*(1+PPA_Esc)^M295*(M299&gt;0)</f>
        <v>0</v>
      </c>
      <c r="N308" s="16" t="n">
        <f aca="false">Case_PPA*(1+PPA_Esc)^N295*(N299&gt;0)</f>
        <v>0</v>
      </c>
      <c r="O308" s="16" t="n">
        <f aca="false">Case_PPA*(1+PPA_Esc)^O295*(O299&gt;0)</f>
        <v>90</v>
      </c>
      <c r="P308" s="16" t="n">
        <f aca="false">Case_PPA*(1+PPA_Esc)^P295*(P299&gt;0)</f>
        <v>90.9</v>
      </c>
      <c r="Q308" s="16" t="n">
        <f aca="false">Case_PPA*(1+PPA_Esc)^Q295*(Q299&gt;0)</f>
        <v>91.809</v>
      </c>
      <c r="R308" s="16" t="n">
        <f aca="false">Case_PPA*(1+PPA_Esc)^R295*(R299&gt;0)</f>
        <v>92.72709</v>
      </c>
      <c r="S308" s="16" t="n">
        <f aca="false">Case_PPA*(1+PPA_Esc)^S295*(S299&gt;0)</f>
        <v>93.6543609</v>
      </c>
      <c r="T308" s="16" t="n">
        <f aca="false">Case_PPA*(1+PPA_Esc)^T295*(T299&gt;0)</f>
        <v>94.590904509</v>
      </c>
      <c r="U308" s="16" t="n">
        <f aca="false">Case_PPA*(1+PPA_Esc)^U295*(U299&gt;0)</f>
        <v>95.53681355409</v>
      </c>
      <c r="V308" s="16" t="n">
        <f aca="false">Case_PPA*(1+PPA_Esc)^V295*(V299&gt;0)</f>
        <v>96.4921816896309</v>
      </c>
      <c r="W308" s="16" t="n">
        <f aca="false">Case_PPA*(1+PPA_Esc)^W295*(W299&gt;0)</f>
        <v>97.4571035065272</v>
      </c>
      <c r="X308" s="16" t="n">
        <f aca="false">Case_PPA*(1+PPA_Esc)^X295*(X299&gt;0)</f>
        <v>98.4316745415925</v>
      </c>
      <c r="Y308" s="16" t="n">
        <f aca="false">Case_PPA*(1+PPA_Esc)^Y295*(Y299&gt;0)</f>
        <v>99.4159912870084</v>
      </c>
      <c r="Z308" s="16" t="n">
        <f aca="false">Case_PPA*(1+PPA_Esc)^Z295*(Z299&gt;0)</f>
        <v>100.410151199878</v>
      </c>
      <c r="AA308" s="16" t="n">
        <f aca="false">Case_PPA*(1+PPA_Esc)^AA295*(AA299&gt;0)</f>
        <v>101.414252711877</v>
      </c>
      <c r="AB308" s="16" t="n">
        <f aca="false">Case_PPA*(1+PPA_Esc)^AB295*(AB299&gt;0)</f>
        <v>102.428395238996</v>
      </c>
      <c r="AC308" s="16" t="n">
        <f aca="false">Case_PPA*(1+PPA_Esc)^AC295*(AC299&gt;0)</f>
        <v>103.452679191386</v>
      </c>
      <c r="AD308" s="16" t="n">
        <f aca="false">Case_PPA*(1+PPA_Esc)^AD295*(AD299&gt;0)</f>
        <v>104.4872059833</v>
      </c>
      <c r="AE308" s="16" t="n">
        <f aca="false">Case_PPA*(1+PPA_Esc)^AE295*(AE299&gt;0)</f>
        <v>105.532078043133</v>
      </c>
      <c r="AF308" s="16" t="n">
        <f aca="false">Case_PPA*(1+PPA_Esc)^AF295*(AF299&gt;0)</f>
        <v>106.587398823564</v>
      </c>
      <c r="AG308" s="16" t="n">
        <f aca="false">Case_PPA*(1+PPA_Esc)^AG295*(AG299&gt;0)</f>
        <v>107.6532728118</v>
      </c>
      <c r="AH308" s="16" t="n">
        <f aca="false">Case_PPA*(1+PPA_Esc)^AH295*(AH299&gt;0)</f>
        <v>108.729805539918</v>
      </c>
      <c r="AI308" s="16" t="n">
        <f aca="false">Case_PPA*(1+PPA_Esc)^AI295*(AI299&gt;0)</f>
        <v>109.817103595317</v>
      </c>
      <c r="AJ308" s="16" t="n">
        <f aca="false">Case_PPA*(1+PPA_Esc)^AJ295*(AJ299&gt;0)</f>
        <v>110.91527463127</v>
      </c>
      <c r="AK308" s="16" t="n">
        <f aca="false">Case_PPA*(1+PPA_Esc)^AK295*(AK299&gt;0)</f>
        <v>112.024427377583</v>
      </c>
      <c r="AL308" s="16" t="n">
        <f aca="false">Case_PPA*(1+PPA_Esc)^AL295*(AL299&gt;0)</f>
        <v>113.144671651359</v>
      </c>
      <c r="AM308" s="16" t="n">
        <f aca="false">Case_PPA*(1+PPA_Esc)^AM295*(AM299&gt;0)</f>
        <v>114.276118367872</v>
      </c>
      <c r="AN308" s="16" t="n">
        <f aca="false">Case_PPA*(1+PPA_Esc)^AN295*(AN299&gt;0)</f>
        <v>115.418879551551</v>
      </c>
      <c r="AO308" s="16" t="n">
        <f aca="false">Case_PPA*(1+PPA_Esc)^AO295*(AO299&gt;0)</f>
        <v>116.573068347067</v>
      </c>
      <c r="AP308" s="16" t="n">
        <f aca="false">Case_PPA*(1+PPA_Esc)^AP295*(AP299&gt;0)</f>
        <v>117.738799030537</v>
      </c>
      <c r="AQ308" s="16" t="n">
        <f aca="false">Case_PPA*(1+PPA_Esc)^AQ295*(AQ299&gt;0)</f>
        <v>118.916187020843</v>
      </c>
      <c r="AR308" s="16" t="n">
        <f aca="false">Case_PPA*(1+PPA_Esc)^AR295*(AR299&gt;0)</f>
        <v>120.105348891051</v>
      </c>
      <c r="AS308" s="16" t="n">
        <f aca="false">Case_PPA*(1+PPA_Esc)^AS295*(AS299&gt;0)</f>
        <v>121.306402379962</v>
      </c>
    </row>
    <row r="309" customFormat="false" ht="14.25" hidden="true" customHeight="false" outlineLevel="1" collapsed="false">
      <c r="C309" s="1" t="s">
        <v>150</v>
      </c>
      <c r="D309" s="2" t="s">
        <v>82</v>
      </c>
      <c r="H309" s="31" t="n">
        <f aca="false">SUM(J309:AS309)</f>
        <v>354071.972801154</v>
      </c>
      <c r="J309" s="31" t="n">
        <f aca="false">J307*J308</f>
        <v>0</v>
      </c>
      <c r="K309" s="31" t="n">
        <f aca="false">K307*K308</f>
        <v>0</v>
      </c>
      <c r="L309" s="31" t="n">
        <f aca="false">L307*L308</f>
        <v>0</v>
      </c>
      <c r="M309" s="31" t="n">
        <f aca="false">M307*M308</f>
        <v>0</v>
      </c>
      <c r="N309" s="31" t="n">
        <f aca="false">N307*N308</f>
        <v>0</v>
      </c>
      <c r="O309" s="31" t="n">
        <f aca="false">O307*O308</f>
        <v>5292</v>
      </c>
      <c r="P309" s="31" t="n">
        <f aca="false">P307*P308</f>
        <v>10689.84</v>
      </c>
      <c r="Q309" s="31" t="n">
        <f aca="false">Q307*Q308</f>
        <v>10764.3481848</v>
      </c>
      <c r="R309" s="31" t="n">
        <f aca="false">R307*R308</f>
        <v>10839.3756916481</v>
      </c>
      <c r="S309" s="31" t="n">
        <f aca="false">S307*S308</f>
        <v>10914.9261402188</v>
      </c>
      <c r="T309" s="31" t="n">
        <f aca="false">T307*T308</f>
        <v>10991.0031754162</v>
      </c>
      <c r="U309" s="31" t="n">
        <f aca="false">U307*U308</f>
        <v>11067.6104675488</v>
      </c>
      <c r="V309" s="31" t="n">
        <f aca="false">V307*V308</f>
        <v>11144.7517125076</v>
      </c>
      <c r="W309" s="31" t="n">
        <f aca="false">W307*W308</f>
        <v>11222.4306319438</v>
      </c>
      <c r="X309" s="31" t="n">
        <f aca="false">X307*X308</f>
        <v>11300.6509734485</v>
      </c>
      <c r="Y309" s="31" t="n">
        <f aca="false">Y307*Y308</f>
        <v>11379.4165107334</v>
      </c>
      <c r="Z309" s="31" t="n">
        <f aca="false">Z307*Z308</f>
        <v>11458.7310438132</v>
      </c>
      <c r="AA309" s="31" t="n">
        <f aca="false">AA307*AA308</f>
        <v>11538.5983991886</v>
      </c>
      <c r="AB309" s="31" t="n">
        <f aca="false">AB307*AB308</f>
        <v>11619.0224300309</v>
      </c>
      <c r="AC309" s="31" t="n">
        <f aca="false">AC307*AC308</f>
        <v>11700.0070163682</v>
      </c>
      <c r="AD309" s="31" t="n">
        <f aca="false">AD307*AD308</f>
        <v>11781.5560652723</v>
      </c>
      <c r="AE309" s="31" t="n">
        <f aca="false">AE307*AE308</f>
        <v>11863.6735110473</v>
      </c>
      <c r="AF309" s="31" t="n">
        <f aca="false">AF307*AF308</f>
        <v>11946.3633154193</v>
      </c>
      <c r="AG309" s="31" t="n">
        <f aca="false">AG307*AG308</f>
        <v>12029.6294677278</v>
      </c>
      <c r="AH309" s="31" t="n">
        <f aca="false">AH307*AH308</f>
        <v>12113.4759851178</v>
      </c>
      <c r="AI309" s="31" t="n">
        <f aca="false">AI307*AI308</f>
        <v>12197.9069127341</v>
      </c>
      <c r="AJ309" s="31" t="n">
        <f aca="false">AJ307*AJ308</f>
        <v>12282.9263239158</v>
      </c>
      <c r="AK309" s="31" t="n">
        <f aca="false">AK307*AK308</f>
        <v>12368.5383203935</v>
      </c>
      <c r="AL309" s="31" t="n">
        <f aca="false">AL307*AL308</f>
        <v>12454.7470324867</v>
      </c>
      <c r="AM309" s="31" t="n">
        <f aca="false">AM307*AM308</f>
        <v>12541.5566193031</v>
      </c>
      <c r="AN309" s="31" t="n">
        <f aca="false">AN307*AN308</f>
        <v>12628.9712689397</v>
      </c>
      <c r="AO309" s="31" t="n">
        <f aca="false">AO307*AO308</f>
        <v>12716.9951986842</v>
      </c>
      <c r="AP309" s="31" t="n">
        <f aca="false">AP307*AP308</f>
        <v>12805.632655219</v>
      </c>
      <c r="AQ309" s="31" t="n">
        <f aca="false">AQ307*AQ308</f>
        <v>12894.8879148259</v>
      </c>
      <c r="AR309" s="31" t="n">
        <f aca="false">AR307*AR308</f>
        <v>12984.7652835922</v>
      </c>
      <c r="AS309" s="31" t="n">
        <f aca="false">AS307*AS308</f>
        <v>6537.63454880942</v>
      </c>
    </row>
    <row r="310" customFormat="false" ht="14.25" hidden="true" customHeight="false" outlineLevel="1" collapsed="false">
      <c r="C310" s="6" t="s">
        <v>230</v>
      </c>
      <c r="D310" s="2" t="s">
        <v>3</v>
      </c>
      <c r="J310" s="56" t="n">
        <f aca="false">(1+Opex_Esc)^J295</f>
        <v>0.883854287609517</v>
      </c>
      <c r="K310" s="56" t="n">
        <f aca="false">(1+Opex_Esc)^K295</f>
        <v>0.905950644799755</v>
      </c>
      <c r="L310" s="56" t="n">
        <f aca="false">(1+Opex_Esc)^L295</f>
        <v>0.928599410919749</v>
      </c>
      <c r="M310" s="56" t="n">
        <f aca="false">(1+Opex_Esc)^M295</f>
        <v>0.951814396192743</v>
      </c>
      <c r="N310" s="56" t="n">
        <f aca="false">(1+Opex_Esc)^N295</f>
        <v>0.975609756097561</v>
      </c>
      <c r="O310" s="56" t="n">
        <f aca="false">(1+Opex_Esc)^O295</f>
        <v>1</v>
      </c>
      <c r="P310" s="56" t="n">
        <f aca="false">(1+Opex_Esc)^P295</f>
        <v>1.025</v>
      </c>
      <c r="Q310" s="56" t="n">
        <f aca="false">(1+Opex_Esc)^Q295</f>
        <v>1.050625</v>
      </c>
      <c r="R310" s="56" t="n">
        <f aca="false">(1+Opex_Esc)^R295</f>
        <v>1.076890625</v>
      </c>
      <c r="S310" s="56" t="n">
        <f aca="false">(1+Opex_Esc)^S295</f>
        <v>1.103812890625</v>
      </c>
      <c r="T310" s="56" t="n">
        <f aca="false">(1+Opex_Esc)^T295</f>
        <v>1.13140821289062</v>
      </c>
      <c r="U310" s="56" t="n">
        <f aca="false">(1+Opex_Esc)^U295</f>
        <v>1.15969341821289</v>
      </c>
      <c r="V310" s="56" t="n">
        <f aca="false">(1+Opex_Esc)^V295</f>
        <v>1.18868575366821</v>
      </c>
      <c r="W310" s="56" t="n">
        <f aca="false">(1+Opex_Esc)^W295</f>
        <v>1.21840289750992</v>
      </c>
      <c r="X310" s="56" t="n">
        <f aca="false">(1+Opex_Esc)^X295</f>
        <v>1.24886296994767</v>
      </c>
      <c r="Y310" s="56" t="n">
        <f aca="false">(1+Opex_Esc)^Y295</f>
        <v>1.28008454419636</v>
      </c>
      <c r="Z310" s="56" t="n">
        <f aca="false">(1+Opex_Esc)^Z295</f>
        <v>1.31208665780127</v>
      </c>
      <c r="AA310" s="56" t="n">
        <f aca="false">(1+Opex_Esc)^AA295</f>
        <v>1.3448888242463</v>
      </c>
      <c r="AB310" s="56" t="n">
        <f aca="false">(1+Opex_Esc)^AB295</f>
        <v>1.37851104485245</v>
      </c>
      <c r="AC310" s="56" t="n">
        <f aca="false">(1+Opex_Esc)^AC295</f>
        <v>1.41297382097377</v>
      </c>
      <c r="AD310" s="56" t="n">
        <f aca="false">(1+Opex_Esc)^AD295</f>
        <v>1.44829816649811</v>
      </c>
      <c r="AE310" s="56" t="n">
        <f aca="false">(1+Opex_Esc)^AE295</f>
        <v>1.48450562066056</v>
      </c>
      <c r="AF310" s="56" t="n">
        <f aca="false">(1+Opex_Esc)^AF295</f>
        <v>1.52161826117708</v>
      </c>
      <c r="AG310" s="56" t="n">
        <f aca="false">(1+Opex_Esc)^AG295</f>
        <v>1.5596587177065</v>
      </c>
      <c r="AH310" s="56" t="n">
        <f aca="false">(1+Opex_Esc)^AH295</f>
        <v>1.59865018564917</v>
      </c>
      <c r="AI310" s="56" t="n">
        <f aca="false">(1+Opex_Esc)^AI295</f>
        <v>1.63861644029039</v>
      </c>
      <c r="AJ310" s="56" t="n">
        <f aca="false">(1+Opex_Esc)^AJ295</f>
        <v>1.67958185129765</v>
      </c>
      <c r="AK310" s="56" t="n">
        <f aca="false">(1+Opex_Esc)^AK295</f>
        <v>1.7215713975801</v>
      </c>
      <c r="AL310" s="56" t="n">
        <f aca="false">(1+Opex_Esc)^AL295</f>
        <v>1.7646106825196</v>
      </c>
      <c r="AM310" s="56" t="n">
        <f aca="false">(1+Opex_Esc)^AM295</f>
        <v>1.80872594958259</v>
      </c>
      <c r="AN310" s="56" t="n">
        <f aca="false">(1+Opex_Esc)^AN295</f>
        <v>1.85394409832215</v>
      </c>
      <c r="AO310" s="56" t="n">
        <f aca="false">(1+Opex_Esc)^AO295</f>
        <v>1.90029270078021</v>
      </c>
      <c r="AP310" s="56" t="n">
        <f aca="false">(1+Opex_Esc)^AP295</f>
        <v>1.94780001829971</v>
      </c>
      <c r="AQ310" s="56" t="n">
        <f aca="false">(1+Opex_Esc)^AQ295</f>
        <v>1.9964950187572</v>
      </c>
      <c r="AR310" s="56" t="n">
        <f aca="false">(1+Opex_Esc)^AR295</f>
        <v>2.04640739422613</v>
      </c>
      <c r="AS310" s="56" t="n">
        <f aca="false">(1+Opex_Esc)^AS295</f>
        <v>2.09756757908179</v>
      </c>
    </row>
    <row r="311" customFormat="false" ht="14.25" hidden="true" customHeight="false" outlineLevel="1" collapsed="false">
      <c r="C311" s="6" t="s">
        <v>231</v>
      </c>
      <c r="D311" s="2" t="s">
        <v>82</v>
      </c>
      <c r="H311" s="8" t="n">
        <f aca="false">SUM(J311:AS311)</f>
        <v>-55564.3586910156</v>
      </c>
      <c r="J311" s="8" t="n">
        <f aca="false">-(Case_OM+SUM(Opex_Per_MW))*$F$44*J310*J299</f>
        <v>-0</v>
      </c>
      <c r="K311" s="8" t="n">
        <f aca="false">-(Case_OM+SUM(Opex_Per_MW))*$F$44*K310*K299</f>
        <v>-0</v>
      </c>
      <c r="L311" s="8" t="n">
        <f aca="false">-(Case_OM+SUM(Opex_Per_MW))*$F$44*L310*L299</f>
        <v>-0</v>
      </c>
      <c r="M311" s="8" t="n">
        <f aca="false">-(Case_OM+SUM(Opex_Per_MW))*$F$44*M310*M299</f>
        <v>-0</v>
      </c>
      <c r="N311" s="8" t="n">
        <f aca="false">-(Case_OM+SUM(Opex_Per_MW))*$F$44*N310*N299</f>
        <v>-0</v>
      </c>
      <c r="O311" s="8" t="n">
        <f aca="false">-(Case_OM+SUM(Opex_Per_MW))*$F$44*O310*O299</f>
        <v>-625</v>
      </c>
      <c r="P311" s="8" t="n">
        <f aca="false">-(Case_OM+SUM(Opex_Per_MW))*$F$44*P310*P299</f>
        <v>-1281.25</v>
      </c>
      <c r="Q311" s="8" t="n">
        <f aca="false">-(Case_OM+SUM(Opex_Per_MW))*$F$44*Q310*Q299</f>
        <v>-1313.28125</v>
      </c>
      <c r="R311" s="8" t="n">
        <f aca="false">-(Case_OM+SUM(Opex_Per_MW))*$F$44*R310*R299</f>
        <v>-1346.11328125</v>
      </c>
      <c r="S311" s="8" t="n">
        <f aca="false">-(Case_OM+SUM(Opex_Per_MW))*$F$44*S310*S299</f>
        <v>-1379.76611328125</v>
      </c>
      <c r="T311" s="8" t="n">
        <f aca="false">-(Case_OM+SUM(Opex_Per_MW))*$F$44*T310*T299</f>
        <v>-1414.26026611328</v>
      </c>
      <c r="U311" s="8" t="n">
        <f aca="false">-(Case_OM+SUM(Opex_Per_MW))*$F$44*U310*U299</f>
        <v>-1449.61677276611</v>
      </c>
      <c r="V311" s="8" t="n">
        <f aca="false">-(Case_OM+SUM(Opex_Per_MW))*$F$44*V310*V299</f>
        <v>-1485.85719208527</v>
      </c>
      <c r="W311" s="8" t="n">
        <f aca="false">-(Case_OM+SUM(Opex_Per_MW))*$F$44*W310*W299</f>
        <v>-1523.0036218874</v>
      </c>
      <c r="X311" s="8" t="n">
        <f aca="false">-(Case_OM+SUM(Opex_Per_MW))*$F$44*X310*X299</f>
        <v>-1561.07871243458</v>
      </c>
      <c r="Y311" s="8" t="n">
        <f aca="false">-(Case_OM+SUM(Opex_Per_MW))*$F$44*Y310*Y299</f>
        <v>-1600.10568024545</v>
      </c>
      <c r="Z311" s="8" t="n">
        <f aca="false">-(Case_OM+SUM(Opex_Per_MW))*$F$44*Z310*Z299</f>
        <v>-1640.10832225158</v>
      </c>
      <c r="AA311" s="8" t="n">
        <f aca="false">-(Case_OM+SUM(Opex_Per_MW))*$F$44*AA310*AA299</f>
        <v>-1681.11103030787</v>
      </c>
      <c r="AB311" s="8" t="n">
        <f aca="false">-(Case_OM+SUM(Opex_Per_MW))*$F$44*AB310*AB299</f>
        <v>-1723.13880606557</v>
      </c>
      <c r="AC311" s="8" t="n">
        <f aca="false">-(Case_OM+SUM(Opex_Per_MW))*$F$44*AC310*AC299</f>
        <v>-1766.21727621721</v>
      </c>
      <c r="AD311" s="8" t="n">
        <f aca="false">-(Case_OM+SUM(Opex_Per_MW))*$F$44*AD310*AD299</f>
        <v>-1810.37270812264</v>
      </c>
      <c r="AE311" s="8" t="n">
        <f aca="false">-(Case_OM+SUM(Opex_Per_MW))*$F$44*AE310*AE299</f>
        <v>-1855.6320258257</v>
      </c>
      <c r="AF311" s="8" t="n">
        <f aca="false">-(Case_OM+SUM(Opex_Per_MW))*$F$44*AF310*AF299</f>
        <v>-1902.02282647135</v>
      </c>
      <c r="AG311" s="8" t="n">
        <f aca="false">-(Case_OM+SUM(Opex_Per_MW))*$F$44*AG310*AG299</f>
        <v>-1949.57339713313</v>
      </c>
      <c r="AH311" s="8" t="n">
        <f aca="false">-(Case_OM+SUM(Opex_Per_MW))*$F$44*AH310*AH299</f>
        <v>-1998.31273206146</v>
      </c>
      <c r="AI311" s="8" t="n">
        <f aca="false">-(Case_OM+SUM(Opex_Per_MW))*$F$44*AI310*AI299</f>
        <v>-2048.27055036299</v>
      </c>
      <c r="AJ311" s="8" t="n">
        <f aca="false">-(Case_OM+SUM(Opex_Per_MW))*$F$44*AJ310*AJ299</f>
        <v>-2099.47731412207</v>
      </c>
      <c r="AK311" s="8" t="n">
        <f aca="false">-(Case_OM+SUM(Opex_Per_MW))*$F$44*AK310*AK299</f>
        <v>-2151.96424697512</v>
      </c>
      <c r="AL311" s="8" t="n">
        <f aca="false">-(Case_OM+SUM(Opex_Per_MW))*$F$44*AL310*AL299</f>
        <v>-2205.7633531495</v>
      </c>
      <c r="AM311" s="8" t="n">
        <f aca="false">-(Case_OM+SUM(Opex_Per_MW))*$F$44*AM310*AM299</f>
        <v>-2260.90743697823</v>
      </c>
      <c r="AN311" s="8" t="n">
        <f aca="false">-(Case_OM+SUM(Opex_Per_MW))*$F$44*AN310*AN299</f>
        <v>-2317.43012290269</v>
      </c>
      <c r="AO311" s="8" t="n">
        <f aca="false">-(Case_OM+SUM(Opex_Per_MW))*$F$44*AO310*AO299</f>
        <v>-2375.36587597526</v>
      </c>
      <c r="AP311" s="8" t="n">
        <f aca="false">-(Case_OM+SUM(Opex_Per_MW))*$F$44*AP310*AP299</f>
        <v>-2434.75002287464</v>
      </c>
      <c r="AQ311" s="8" t="n">
        <f aca="false">-(Case_OM+SUM(Opex_Per_MW))*$F$44*AQ310*AQ299</f>
        <v>-2495.6187734465</v>
      </c>
      <c r="AR311" s="8" t="n">
        <f aca="false">-(Case_OM+SUM(Opex_Per_MW))*$F$44*AR310*AR299</f>
        <v>-2558.00924278267</v>
      </c>
      <c r="AS311" s="8" t="n">
        <f aca="false">-(Case_OM+SUM(Opex_Per_MW))*$F$44*AS310*AS299</f>
        <v>-1310.97973692612</v>
      </c>
    </row>
    <row r="312" customFormat="false" ht="14.25" hidden="true" customHeight="false" outlineLevel="1" collapsed="false">
      <c r="C312" s="6" t="s">
        <v>232</v>
      </c>
      <c r="D312" s="2" t="s">
        <v>82</v>
      </c>
      <c r="H312" s="8" t="n">
        <f aca="false">SUM(J312:AS312)</f>
        <v>-1666.93076073047</v>
      </c>
      <c r="J312" s="8" t="n">
        <f aca="false">-Opex_Admin*$F$6/Lump_Basis*J310*J299</f>
        <v>-0</v>
      </c>
      <c r="K312" s="8" t="n">
        <f aca="false">-Opex_Admin*$F$6/Lump_Basis*K310*K299</f>
        <v>-0</v>
      </c>
      <c r="L312" s="8" t="n">
        <f aca="false">-Opex_Admin*$F$6/Lump_Basis*L310*L299</f>
        <v>-0</v>
      </c>
      <c r="M312" s="8" t="n">
        <f aca="false">-Opex_Admin*$F$6/Lump_Basis*M310*M299</f>
        <v>-0</v>
      </c>
      <c r="N312" s="8" t="n">
        <f aca="false">-Opex_Admin*$F$6/Lump_Basis*N310*N299</f>
        <v>-0</v>
      </c>
      <c r="O312" s="8" t="n">
        <f aca="false">-Opex_Admin*$F$6/Lump_Basis*O310*O299</f>
        <v>-18.75</v>
      </c>
      <c r="P312" s="8" t="n">
        <f aca="false">-Opex_Admin*$F$6/Lump_Basis*P310*P299</f>
        <v>-38.4375</v>
      </c>
      <c r="Q312" s="8" t="n">
        <f aca="false">-Opex_Admin*$F$6/Lump_Basis*Q310*Q299</f>
        <v>-39.3984375</v>
      </c>
      <c r="R312" s="8" t="n">
        <f aca="false">-Opex_Admin*$F$6/Lump_Basis*R310*R299</f>
        <v>-40.3833984375</v>
      </c>
      <c r="S312" s="8" t="n">
        <f aca="false">-Opex_Admin*$F$6/Lump_Basis*S310*S299</f>
        <v>-41.3929833984375</v>
      </c>
      <c r="T312" s="8" t="n">
        <f aca="false">-Opex_Admin*$F$6/Lump_Basis*T310*T299</f>
        <v>-42.4278079833984</v>
      </c>
      <c r="U312" s="8" t="n">
        <f aca="false">-Opex_Admin*$F$6/Lump_Basis*U310*U299</f>
        <v>-43.4885031829834</v>
      </c>
      <c r="V312" s="8" t="n">
        <f aca="false">-Opex_Admin*$F$6/Lump_Basis*V310*V299</f>
        <v>-44.575715762558</v>
      </c>
      <c r="W312" s="8" t="n">
        <f aca="false">-Opex_Admin*$F$6/Lump_Basis*W310*W299</f>
        <v>-45.6901086566219</v>
      </c>
      <c r="X312" s="8" t="n">
        <f aca="false">-Opex_Admin*$F$6/Lump_Basis*X310*X299</f>
        <v>-46.8323613730374</v>
      </c>
      <c r="Y312" s="8" t="n">
        <f aca="false">-Opex_Admin*$F$6/Lump_Basis*Y310*Y299</f>
        <v>-48.0031704073634</v>
      </c>
      <c r="Z312" s="8" t="n">
        <f aca="false">-Opex_Admin*$F$6/Lump_Basis*Z310*Z299</f>
        <v>-49.2032496675475</v>
      </c>
      <c r="AA312" s="8" t="n">
        <f aca="false">-Opex_Admin*$F$6/Lump_Basis*AA310*AA299</f>
        <v>-50.4333309092361</v>
      </c>
      <c r="AB312" s="8" t="n">
        <f aca="false">-Opex_Admin*$F$6/Lump_Basis*AB310*AB299</f>
        <v>-51.694164181967</v>
      </c>
      <c r="AC312" s="8" t="n">
        <f aca="false">-Opex_Admin*$F$6/Lump_Basis*AC310*AC299</f>
        <v>-52.9865182865162</v>
      </c>
      <c r="AD312" s="8" t="n">
        <f aca="false">-Opex_Admin*$F$6/Lump_Basis*AD310*AD299</f>
        <v>-54.3111812436791</v>
      </c>
      <c r="AE312" s="8" t="n">
        <f aca="false">-Opex_Admin*$F$6/Lump_Basis*AE310*AE299</f>
        <v>-55.6689607747711</v>
      </c>
      <c r="AF312" s="8" t="n">
        <f aca="false">-Opex_Admin*$F$6/Lump_Basis*AF310*AF299</f>
        <v>-57.0606847941404</v>
      </c>
      <c r="AG312" s="8" t="n">
        <f aca="false">-Opex_Admin*$F$6/Lump_Basis*AG310*AG299</f>
        <v>-58.4872019139939</v>
      </c>
      <c r="AH312" s="8" t="n">
        <f aca="false">-Opex_Admin*$F$6/Lump_Basis*AH310*AH299</f>
        <v>-59.9493819618437</v>
      </c>
      <c r="AI312" s="8" t="n">
        <f aca="false">-Opex_Admin*$F$6/Lump_Basis*AI310*AI299</f>
        <v>-61.4481165108898</v>
      </c>
      <c r="AJ312" s="8" t="n">
        <f aca="false">-Opex_Admin*$F$6/Lump_Basis*AJ310*AJ299</f>
        <v>-62.984319423662</v>
      </c>
      <c r="AK312" s="8" t="n">
        <f aca="false">-Opex_Admin*$F$6/Lump_Basis*AK310*AK299</f>
        <v>-64.5589274092536</v>
      </c>
      <c r="AL312" s="8" t="n">
        <f aca="false">-Opex_Admin*$F$6/Lump_Basis*AL310*AL299</f>
        <v>-66.1729005944849</v>
      </c>
      <c r="AM312" s="8" t="n">
        <f aca="false">-Opex_Admin*$F$6/Lump_Basis*AM310*AM299</f>
        <v>-67.827223109347</v>
      </c>
      <c r="AN312" s="8" t="n">
        <f aca="false">-Opex_Admin*$F$6/Lump_Basis*AN310*AN299</f>
        <v>-69.5229036870807</v>
      </c>
      <c r="AO312" s="8" t="n">
        <f aca="false">-Opex_Admin*$F$6/Lump_Basis*AO310*AO299</f>
        <v>-71.2609762792577</v>
      </c>
      <c r="AP312" s="8" t="n">
        <f aca="false">-Opex_Admin*$F$6/Lump_Basis*AP310*AP299</f>
        <v>-73.0425006862391</v>
      </c>
      <c r="AQ312" s="8" t="n">
        <f aca="false">-Opex_Admin*$F$6/Lump_Basis*AQ310*AQ299</f>
        <v>-74.8685632033951</v>
      </c>
      <c r="AR312" s="8" t="n">
        <f aca="false">-Opex_Admin*$F$6/Lump_Basis*AR310*AR299</f>
        <v>-76.74027728348</v>
      </c>
      <c r="AS312" s="8" t="n">
        <f aca="false">-Opex_Admin*$F$6/Lump_Basis*AS310*AS299</f>
        <v>-39.3293921077835</v>
      </c>
    </row>
    <row r="313" customFormat="false" ht="14.25" hidden="true" customHeight="false" outlineLevel="1" collapsed="false">
      <c r="C313" s="6" t="s">
        <v>233</v>
      </c>
      <c r="D313" s="2" t="s">
        <v>82</v>
      </c>
      <c r="H313" s="8" t="n">
        <f aca="false">SUM(J313:AS313)</f>
        <v>-24930.103069274</v>
      </c>
      <c r="J313" s="8" t="n">
        <f aca="false">-J307*(Balancing+Grid_Charges)*J310</f>
        <v>-0</v>
      </c>
      <c r="K313" s="8" t="n">
        <f aca="false">-K307*(Balancing+Grid_Charges)*K310</f>
        <v>-0</v>
      </c>
      <c r="L313" s="8" t="n">
        <f aca="false">-L307*(Balancing+Grid_Charges)*L310</f>
        <v>-0</v>
      </c>
      <c r="M313" s="8" t="n">
        <f aca="false">-M307*(Balancing+Grid_Charges)*M310</f>
        <v>-0</v>
      </c>
      <c r="N313" s="8" t="n">
        <f aca="false">-N307*(Balancing+Grid_Charges)*N310</f>
        <v>-0</v>
      </c>
      <c r="O313" s="8" t="n">
        <f aca="false">-O307*(Balancing+Grid_Charges)*O310</f>
        <v>-294</v>
      </c>
      <c r="P313" s="8" t="n">
        <f aca="false">-P307*(Balancing+Grid_Charges)*P310</f>
        <v>-602.7</v>
      </c>
      <c r="Q313" s="8" t="n">
        <f aca="false">-Q307*(Balancing+Grid_Charges)*Q310</f>
        <v>-615.9141975</v>
      </c>
      <c r="R313" s="8" t="n">
        <f aca="false">-R307*(Balancing+Grid_Charges)*R310</f>
        <v>-629.418116280187</v>
      </c>
      <c r="S313" s="8" t="n">
        <f aca="false">-S307*(Balancing+Grid_Charges)*S310</f>
        <v>-643.21810847963</v>
      </c>
      <c r="T313" s="8" t="n">
        <f aca="false">-T307*(Balancing+Grid_Charges)*T310</f>
        <v>-657.320665508046</v>
      </c>
      <c r="U313" s="8" t="n">
        <f aca="false">-U307*(Balancing+Grid_Charges)*U310</f>
        <v>-671.73242109931</v>
      </c>
      <c r="V313" s="8" t="n">
        <f aca="false">-V307*(Balancing+Grid_Charges)*V310</f>
        <v>-686.460154431913</v>
      </c>
      <c r="W313" s="8" t="n">
        <f aca="false">-W307*(Balancing+Grid_Charges)*W310</f>
        <v>-701.510793317832</v>
      </c>
      <c r="X313" s="8" t="n">
        <f aca="false">-X307*(Balancing+Grid_Charges)*X310</f>
        <v>-716.891417461325</v>
      </c>
      <c r="Y313" s="8" t="n">
        <f aca="false">-Y307*(Balancing+Grid_Charges)*Y310</f>
        <v>-732.609261789165</v>
      </c>
      <c r="Z313" s="8" t="n">
        <f aca="false">-Z307*(Balancing+Grid_Charges)*Z310</f>
        <v>-748.671719853892</v>
      </c>
      <c r="AA313" s="8" t="n">
        <f aca="false">-AA307*(Balancing+Grid_Charges)*AA310</f>
        <v>-765.086347311689</v>
      </c>
      <c r="AB313" s="8" t="n">
        <f aca="false">-AB307*(Balancing+Grid_Charges)*AB310</f>
        <v>-781.860865476497</v>
      </c>
      <c r="AC313" s="8" t="n">
        <f aca="false">-AC307*(Balancing+Grid_Charges)*AC310</f>
        <v>-799.00316495207</v>
      </c>
      <c r="AD313" s="8" t="n">
        <f aca="false">-AD307*(Balancing+Grid_Charges)*AD310</f>
        <v>-816.521309343644</v>
      </c>
      <c r="AE313" s="8" t="n">
        <f aca="false">-AE307*(Balancing+Grid_Charges)*AE310</f>
        <v>-834.423539051003</v>
      </c>
      <c r="AF313" s="8" t="n">
        <f aca="false">-AF307*(Balancing+Grid_Charges)*AF310</f>
        <v>-852.718275144696</v>
      </c>
      <c r="AG313" s="8" t="n">
        <f aca="false">-AG307*(Balancing+Grid_Charges)*AG310</f>
        <v>-871.414123327244</v>
      </c>
      <c r="AH313" s="8" t="n">
        <f aca="false">-AH307*(Balancing+Grid_Charges)*AH310</f>
        <v>-890.519877981193</v>
      </c>
      <c r="AI313" s="8" t="n">
        <f aca="false">-AI307*(Balancing+Grid_Charges)*AI310</f>
        <v>-910.044526305931</v>
      </c>
      <c r="AJ313" s="8" t="n">
        <f aca="false">-AJ307*(Balancing+Grid_Charges)*AJ310</f>
        <v>-929.997252545188</v>
      </c>
      <c r="AK313" s="8" t="n">
        <f aca="false">-AK307*(Balancing+Grid_Charges)*AK310</f>
        <v>-950.387442307242</v>
      </c>
      <c r="AL313" s="8" t="n">
        <f aca="false">-AL307*(Balancing+Grid_Charges)*AL310</f>
        <v>-971.224686979828</v>
      </c>
      <c r="AM313" s="8" t="n">
        <f aca="false">-AM307*(Balancing+Grid_Charges)*AM310</f>
        <v>-992.51878824186</v>
      </c>
      <c r="AN313" s="8" t="n">
        <f aca="false">-AN307*(Balancing+Grid_Charges)*AN310</f>
        <v>-1014.27976267406</v>
      </c>
      <c r="AO313" s="8" t="n">
        <f aca="false">-AO307*(Balancing+Grid_Charges)*AO310</f>
        <v>-1036.51784647069</v>
      </c>
      <c r="AP313" s="8" t="n">
        <f aca="false">-AP307*(Balancing+Grid_Charges)*AP310</f>
        <v>-1059.24350025456</v>
      </c>
      <c r="AQ313" s="8" t="n">
        <f aca="false">-AQ307*(Balancing+Grid_Charges)*AQ310</f>
        <v>-1082.46741399764</v>
      </c>
      <c r="AR313" s="8" t="n">
        <f aca="false">-AR307*(Balancing+Grid_Charges)*AR310</f>
        <v>-1106.20051204954</v>
      </c>
      <c r="AS313" s="8" t="n">
        <f aca="false">-AS307*(Balancing+Grid_Charges)*AS310</f>
        <v>-565.226979138113</v>
      </c>
    </row>
    <row r="314" customFormat="false" ht="14.25" hidden="true" customHeight="false" outlineLevel="1" collapsed="false">
      <c r="C314" s="6" t="s">
        <v>234</v>
      </c>
      <c r="D314" s="2" t="s">
        <v>82</v>
      </c>
      <c r="H314" s="8" t="n">
        <f aca="false">SUM(J314:AS314)</f>
        <v>-354.071972801154</v>
      </c>
      <c r="J314" s="8" t="n">
        <f aca="false">-J309*MEKH_Fee</f>
        <v>-0</v>
      </c>
      <c r="K314" s="8" t="n">
        <f aca="false">-K309*MEKH_Fee</f>
        <v>-0</v>
      </c>
      <c r="L314" s="8" t="n">
        <f aca="false">-L309*MEKH_Fee</f>
        <v>-0</v>
      </c>
      <c r="M314" s="8" t="n">
        <f aca="false">-M309*MEKH_Fee</f>
        <v>-0</v>
      </c>
      <c r="N314" s="8" t="n">
        <f aca="false">-N309*MEKH_Fee</f>
        <v>-0</v>
      </c>
      <c r="O314" s="8" t="n">
        <f aca="false">-O309*MEKH_Fee</f>
        <v>-5.292</v>
      </c>
      <c r="P314" s="8" t="n">
        <f aca="false">-P309*MEKH_Fee</f>
        <v>-10.68984</v>
      </c>
      <c r="Q314" s="8" t="n">
        <f aca="false">-Q309*MEKH_Fee</f>
        <v>-10.7643481848</v>
      </c>
      <c r="R314" s="8" t="n">
        <f aca="false">-R309*MEKH_Fee</f>
        <v>-10.8393756916481</v>
      </c>
      <c r="S314" s="8" t="n">
        <f aca="false">-S309*MEKH_Fee</f>
        <v>-10.9149261402188</v>
      </c>
      <c r="T314" s="8" t="n">
        <f aca="false">-T309*MEKH_Fee</f>
        <v>-10.9910031754162</v>
      </c>
      <c r="U314" s="8" t="n">
        <f aca="false">-U309*MEKH_Fee</f>
        <v>-11.0676104675488</v>
      </c>
      <c r="V314" s="8" t="n">
        <f aca="false">-V309*MEKH_Fee</f>
        <v>-11.1447517125076</v>
      </c>
      <c r="W314" s="8" t="n">
        <f aca="false">-W309*MEKH_Fee</f>
        <v>-11.2224306319438</v>
      </c>
      <c r="X314" s="8" t="n">
        <f aca="false">-X309*MEKH_Fee</f>
        <v>-11.3006509734485</v>
      </c>
      <c r="Y314" s="8" t="n">
        <f aca="false">-Y309*MEKH_Fee</f>
        <v>-11.3794165107334</v>
      </c>
      <c r="Z314" s="8" t="n">
        <f aca="false">-Z309*MEKH_Fee</f>
        <v>-11.4587310438132</v>
      </c>
      <c r="AA314" s="8" t="n">
        <f aca="false">-AA309*MEKH_Fee</f>
        <v>-11.5385983991886</v>
      </c>
      <c r="AB314" s="8" t="n">
        <f aca="false">-AB309*MEKH_Fee</f>
        <v>-11.6190224300309</v>
      </c>
      <c r="AC314" s="8" t="n">
        <f aca="false">-AC309*MEKH_Fee</f>
        <v>-11.7000070163682</v>
      </c>
      <c r="AD314" s="8" t="n">
        <f aca="false">-AD309*MEKH_Fee</f>
        <v>-11.7815560652723</v>
      </c>
      <c r="AE314" s="8" t="n">
        <f aca="false">-AE309*MEKH_Fee</f>
        <v>-11.8636735110473</v>
      </c>
      <c r="AF314" s="8" t="n">
        <f aca="false">-AF309*MEKH_Fee</f>
        <v>-11.9463633154193</v>
      </c>
      <c r="AG314" s="8" t="n">
        <f aca="false">-AG309*MEKH_Fee</f>
        <v>-12.0296294677278</v>
      </c>
      <c r="AH314" s="8" t="n">
        <f aca="false">-AH309*MEKH_Fee</f>
        <v>-12.1134759851178</v>
      </c>
      <c r="AI314" s="8" t="n">
        <f aca="false">-AI309*MEKH_Fee</f>
        <v>-12.1979069127341</v>
      </c>
      <c r="AJ314" s="8" t="n">
        <f aca="false">-AJ309*MEKH_Fee</f>
        <v>-12.2829263239158</v>
      </c>
      <c r="AK314" s="8" t="n">
        <f aca="false">-AK309*MEKH_Fee</f>
        <v>-12.3685383203935</v>
      </c>
      <c r="AL314" s="8" t="n">
        <f aca="false">-AL309*MEKH_Fee</f>
        <v>-12.4547470324867</v>
      </c>
      <c r="AM314" s="8" t="n">
        <f aca="false">-AM309*MEKH_Fee</f>
        <v>-12.5415566193031</v>
      </c>
      <c r="AN314" s="8" t="n">
        <f aca="false">-AN309*MEKH_Fee</f>
        <v>-12.6289712689397</v>
      </c>
      <c r="AO314" s="8" t="n">
        <f aca="false">-AO309*MEKH_Fee</f>
        <v>-12.7169951986842</v>
      </c>
      <c r="AP314" s="8" t="n">
        <f aca="false">-AP309*MEKH_Fee</f>
        <v>-12.805632655219</v>
      </c>
      <c r="AQ314" s="8" t="n">
        <f aca="false">-AQ309*MEKH_Fee</f>
        <v>-12.8948879148259</v>
      </c>
      <c r="AR314" s="8" t="n">
        <f aca="false">-AR309*MEKH_Fee</f>
        <v>-12.9847652835922</v>
      </c>
      <c r="AS314" s="8" t="n">
        <f aca="false">-AS309*MEKH_Fee</f>
        <v>-6.53763454880942</v>
      </c>
    </row>
    <row r="315" customFormat="false" ht="14.25" hidden="true" customHeight="false" outlineLevel="1" collapsed="false">
      <c r="C315" s="6" t="s">
        <v>235</v>
      </c>
      <c r="D315" s="2" t="s">
        <v>82</v>
      </c>
      <c r="H315" s="8" t="n">
        <f aca="false">SUM(J315:AS315)</f>
        <v>-4125.77322469106</v>
      </c>
      <c r="J315" s="8" t="n">
        <f aca="false">SUM(J311:J314)*Opex_Cont</f>
        <v>0</v>
      </c>
      <c r="K315" s="8" t="n">
        <f aca="false">SUM(K311:K314)*Opex_Cont</f>
        <v>0</v>
      </c>
      <c r="L315" s="8" t="n">
        <f aca="false">SUM(L311:L314)*Opex_Cont</f>
        <v>0</v>
      </c>
      <c r="M315" s="8" t="n">
        <f aca="false">SUM(M311:M314)*Opex_Cont</f>
        <v>0</v>
      </c>
      <c r="N315" s="8" t="n">
        <f aca="false">SUM(N311:N314)*Opex_Cont</f>
        <v>0</v>
      </c>
      <c r="O315" s="8" t="n">
        <f aca="false">SUM(O311:O314)*Opex_Cont</f>
        <v>-47.1521</v>
      </c>
      <c r="P315" s="8" t="n">
        <f aca="false">SUM(P311:P314)*Opex_Cont</f>
        <v>-96.653867</v>
      </c>
      <c r="Q315" s="8" t="n">
        <f aca="false">SUM(Q311:Q314)*Opex_Cont</f>
        <v>-98.96791165924</v>
      </c>
      <c r="R315" s="8" t="n">
        <f aca="false">SUM(R311:R314)*Opex_Cont</f>
        <v>-101.337708582967</v>
      </c>
      <c r="S315" s="8" t="n">
        <f aca="false">SUM(S311:S314)*Opex_Cont</f>
        <v>-103.764606564977</v>
      </c>
      <c r="T315" s="8" t="n">
        <f aca="false">SUM(T311:T314)*Opex_Cont</f>
        <v>-106.249987139007</v>
      </c>
      <c r="U315" s="8" t="n">
        <f aca="false">SUM(U311:U314)*Opex_Cont</f>
        <v>-108.795265375798</v>
      </c>
      <c r="V315" s="8" t="n">
        <f aca="false">SUM(V311:V314)*Opex_Cont</f>
        <v>-111.401890699612</v>
      </c>
      <c r="W315" s="8" t="n">
        <f aca="false">SUM(W311:W314)*Opex_Cont</f>
        <v>-114.07134772469</v>
      </c>
      <c r="X315" s="8" t="n">
        <f aca="false">SUM(X311:X314)*Opex_Cont</f>
        <v>-116.80515711212</v>
      </c>
      <c r="Y315" s="8" t="n">
        <f aca="false">SUM(Y311:Y314)*Opex_Cont</f>
        <v>-119.604876447635</v>
      </c>
      <c r="Z315" s="8" t="n">
        <f aca="false">SUM(Z311:Z314)*Opex_Cont</f>
        <v>-122.472101140842</v>
      </c>
      <c r="AA315" s="8" t="n">
        <f aca="false">SUM(AA311:AA314)*Opex_Cont</f>
        <v>-125.408465346399</v>
      </c>
      <c r="AB315" s="8" t="n">
        <f aca="false">SUM(AB311:AB314)*Opex_Cont</f>
        <v>-128.415642907703</v>
      </c>
      <c r="AC315" s="8" t="n">
        <f aca="false">SUM(AC311:AC314)*Opex_Cont</f>
        <v>-131.495348323608</v>
      </c>
      <c r="AD315" s="8" t="n">
        <f aca="false">SUM(AD311:AD314)*Opex_Cont</f>
        <v>-134.649337738762</v>
      </c>
      <c r="AE315" s="8" t="n">
        <f aca="false">SUM(AE311:AE314)*Opex_Cont</f>
        <v>-137.879409958126</v>
      </c>
      <c r="AF315" s="8" t="n">
        <f aca="false">SUM(AF311:AF314)*Opex_Cont</f>
        <v>-141.18740748628</v>
      </c>
      <c r="AG315" s="8" t="n">
        <f aca="false">SUM(AG311:AG314)*Opex_Cont</f>
        <v>-144.575217592105</v>
      </c>
      <c r="AH315" s="8" t="n">
        <f aca="false">SUM(AH311:AH314)*Opex_Cont</f>
        <v>-148.044773399481</v>
      </c>
      <c r="AI315" s="8" t="n">
        <f aca="false">SUM(AI311:AI314)*Opex_Cont</f>
        <v>-151.598055004627</v>
      </c>
      <c r="AJ315" s="8" t="n">
        <f aca="false">SUM(AJ311:AJ314)*Opex_Cont</f>
        <v>-155.237090620742</v>
      </c>
      <c r="AK315" s="8" t="n">
        <f aca="false">SUM(AK311:AK314)*Opex_Cont</f>
        <v>-158.9639577506</v>
      </c>
      <c r="AL315" s="8" t="n">
        <f aca="false">SUM(AL311:AL314)*Opex_Cont</f>
        <v>-162.780784387815</v>
      </c>
      <c r="AM315" s="8" t="n">
        <f aca="false">SUM(AM311:AM314)*Opex_Cont</f>
        <v>-166.689750247437</v>
      </c>
      <c r="AN315" s="8" t="n">
        <f aca="false">SUM(AN311:AN314)*Opex_Cont</f>
        <v>-170.693088026639</v>
      </c>
      <c r="AO315" s="8" t="n">
        <f aca="false">SUM(AO311:AO314)*Opex_Cont</f>
        <v>-174.793084696195</v>
      </c>
      <c r="AP315" s="8" t="n">
        <f aca="false">SUM(AP311:AP314)*Opex_Cont</f>
        <v>-178.992082823533</v>
      </c>
      <c r="AQ315" s="8" t="n">
        <f aca="false">SUM(AQ311:AQ314)*Opex_Cont</f>
        <v>-183.292481928118</v>
      </c>
      <c r="AR315" s="8" t="n">
        <f aca="false">SUM(AR311:AR314)*Opex_Cont</f>
        <v>-187.696739869964</v>
      </c>
      <c r="AS315" s="8" t="n">
        <f aca="false">SUM(AS311:AS314)*Opex_Cont</f>
        <v>-96.1036871360411</v>
      </c>
    </row>
    <row r="316" customFormat="false" ht="14.25" hidden="true" customHeight="false" outlineLevel="1" collapsed="false">
      <c r="C316" s="6" t="s">
        <v>236</v>
      </c>
      <c r="D316" s="2" t="s">
        <v>82</v>
      </c>
      <c r="H316" s="8" t="n">
        <f aca="false">SUM(J316:AS316)</f>
        <v>-10150.9495882494</v>
      </c>
      <c r="J316" s="8" t="n">
        <f aca="false">-J307*$F$12</f>
        <v>-0</v>
      </c>
      <c r="K316" s="8" t="n">
        <f aca="false">-K307*$F$12</f>
        <v>-0</v>
      </c>
      <c r="L316" s="8" t="n">
        <f aca="false">-L307*$F$12</f>
        <v>-0</v>
      </c>
      <c r="M316" s="8" t="n">
        <f aca="false">-M307*$F$12</f>
        <v>-0</v>
      </c>
      <c r="N316" s="8" t="n">
        <f aca="false">-N307*$F$12</f>
        <v>-0</v>
      </c>
      <c r="O316" s="8" t="n">
        <f aca="false">-O307*$F$12</f>
        <v>-176.4</v>
      </c>
      <c r="P316" s="8" t="n">
        <f aca="false">-P307*$F$12</f>
        <v>-352.8</v>
      </c>
      <c r="Q316" s="8" t="n">
        <f aca="false">-Q307*$F$12</f>
        <v>-351.7416</v>
      </c>
      <c r="R316" s="8" t="n">
        <f aca="false">-R307*$F$12</f>
        <v>-350.6863752</v>
      </c>
      <c r="S316" s="8" t="n">
        <f aca="false">-S307*$F$12</f>
        <v>-349.6343160744</v>
      </c>
      <c r="T316" s="8" t="n">
        <f aca="false">-T307*$F$12</f>
        <v>-348.585413126177</v>
      </c>
      <c r="U316" s="8" t="n">
        <f aca="false">-U307*$F$12</f>
        <v>-347.539656886798</v>
      </c>
      <c r="V316" s="8" t="n">
        <f aca="false">-V307*$F$12</f>
        <v>-346.497037916138</v>
      </c>
      <c r="W316" s="8" t="n">
        <f aca="false">-W307*$F$12</f>
        <v>-345.457546802389</v>
      </c>
      <c r="X316" s="8" t="n">
        <f aca="false">-X307*$F$12</f>
        <v>-344.421174161982</v>
      </c>
      <c r="Y316" s="8" t="n">
        <f aca="false">-Y307*$F$12</f>
        <v>-343.387910639496</v>
      </c>
      <c r="Z316" s="8" t="n">
        <f aca="false">-Z307*$F$12</f>
        <v>-342.357746907578</v>
      </c>
      <c r="AA316" s="8" t="n">
        <f aca="false">-AA307*$F$12</f>
        <v>-341.330673666855</v>
      </c>
      <c r="AB316" s="8" t="n">
        <f aca="false">-AB307*$F$12</f>
        <v>-340.306681645855</v>
      </c>
      <c r="AC316" s="8" t="n">
        <f aca="false">-AC307*$F$12</f>
        <v>-339.285761600917</v>
      </c>
      <c r="AD316" s="8" t="n">
        <f aca="false">-AD307*$F$12</f>
        <v>-338.267904316114</v>
      </c>
      <c r="AE316" s="8" t="n">
        <f aca="false">-AE307*$F$12</f>
        <v>-337.253100603166</v>
      </c>
      <c r="AF316" s="8" t="n">
        <f aca="false">-AF307*$F$12</f>
        <v>-336.241341301356</v>
      </c>
      <c r="AG316" s="8" t="n">
        <f aca="false">-AG307*$F$12</f>
        <v>-335.232617277452</v>
      </c>
      <c r="AH316" s="8" t="n">
        <f aca="false">-AH307*$F$12</f>
        <v>-334.22691942562</v>
      </c>
      <c r="AI316" s="8" t="n">
        <f aca="false">-AI307*$F$12</f>
        <v>-333.224238667343</v>
      </c>
      <c r="AJ316" s="8" t="n">
        <f aca="false">-AJ307*$F$12</f>
        <v>-332.224565951341</v>
      </c>
      <c r="AK316" s="8" t="n">
        <f aca="false">-AK307*$F$12</f>
        <v>-331.227892253487</v>
      </c>
      <c r="AL316" s="8" t="n">
        <f aca="false">-AL307*$F$12</f>
        <v>-330.234208576727</v>
      </c>
      <c r="AM316" s="8" t="n">
        <f aca="false">-AM307*$F$12</f>
        <v>-329.243505950996</v>
      </c>
      <c r="AN316" s="8" t="n">
        <f aca="false">-AN307*$F$12</f>
        <v>-328.255775433143</v>
      </c>
      <c r="AO316" s="8" t="n">
        <f aca="false">-AO307*$F$12</f>
        <v>-327.271008106844</v>
      </c>
      <c r="AP316" s="8" t="n">
        <f aca="false">-AP307*$F$12</f>
        <v>-326.289195082523</v>
      </c>
      <c r="AQ316" s="8" t="n">
        <f aca="false">-AQ307*$F$12</f>
        <v>-325.310327497276</v>
      </c>
      <c r="AR316" s="8" t="n">
        <f aca="false">-AR307*$F$12</f>
        <v>-324.334396514784</v>
      </c>
      <c r="AS316" s="8" t="n">
        <f aca="false">-AS307*$F$12</f>
        <v>-161.68069666262</v>
      </c>
    </row>
    <row r="317" customFormat="false" ht="14.25" hidden="true" customHeight="false" outlineLevel="1" collapsed="false">
      <c r="C317" s="6" t="s">
        <v>237</v>
      </c>
      <c r="D317" s="2" t="s">
        <v>82</v>
      </c>
      <c r="H317" s="8" t="n">
        <f aca="false">SUM(J317:AS317)</f>
        <v>-7081.43945602309</v>
      </c>
      <c r="J317" s="8" t="n">
        <f aca="false">-J309*HIPA_Rate</f>
        <v>-0</v>
      </c>
      <c r="K317" s="8" t="n">
        <f aca="false">-K309*HIPA_Rate</f>
        <v>-0</v>
      </c>
      <c r="L317" s="8" t="n">
        <f aca="false">-L309*HIPA_Rate</f>
        <v>-0</v>
      </c>
      <c r="M317" s="8" t="n">
        <f aca="false">-M309*HIPA_Rate</f>
        <v>-0</v>
      </c>
      <c r="N317" s="8" t="n">
        <f aca="false">-N309*HIPA_Rate</f>
        <v>-0</v>
      </c>
      <c r="O317" s="8" t="n">
        <f aca="false">-O309*HIPA_Rate</f>
        <v>-105.84</v>
      </c>
      <c r="P317" s="8" t="n">
        <f aca="false">-P309*HIPA_Rate</f>
        <v>-213.7968</v>
      </c>
      <c r="Q317" s="8" t="n">
        <f aca="false">-Q309*HIPA_Rate</f>
        <v>-215.286963696</v>
      </c>
      <c r="R317" s="8" t="n">
        <f aca="false">-R309*HIPA_Rate</f>
        <v>-216.787513832961</v>
      </c>
      <c r="S317" s="8" t="n">
        <f aca="false">-S309*HIPA_Rate</f>
        <v>-218.298522804377</v>
      </c>
      <c r="T317" s="8" t="n">
        <f aca="false">-T309*HIPA_Rate</f>
        <v>-219.820063508323</v>
      </c>
      <c r="U317" s="8" t="n">
        <f aca="false">-U309*HIPA_Rate</f>
        <v>-221.352209350976</v>
      </c>
      <c r="V317" s="8" t="n">
        <f aca="false">-V309*HIPA_Rate</f>
        <v>-222.895034250153</v>
      </c>
      <c r="W317" s="8" t="n">
        <f aca="false">-W309*HIPA_Rate</f>
        <v>-224.448612638876</v>
      </c>
      <c r="X317" s="8" t="n">
        <f aca="false">-X309*HIPA_Rate</f>
        <v>-226.013019468969</v>
      </c>
      <c r="Y317" s="8" t="n">
        <f aca="false">-Y309*HIPA_Rate</f>
        <v>-227.588330214668</v>
      </c>
      <c r="Z317" s="8" t="n">
        <f aca="false">-Z309*HIPA_Rate</f>
        <v>-229.174620876264</v>
      </c>
      <c r="AA317" s="8" t="n">
        <f aca="false">-AA309*HIPA_Rate</f>
        <v>-230.771967983772</v>
      </c>
      <c r="AB317" s="8" t="n">
        <f aca="false">-AB309*HIPA_Rate</f>
        <v>-232.380448600619</v>
      </c>
      <c r="AC317" s="8" t="n">
        <f aca="false">-AC309*HIPA_Rate</f>
        <v>-234.000140327365</v>
      </c>
      <c r="AD317" s="8" t="n">
        <f aca="false">-AD309*HIPA_Rate</f>
        <v>-235.631121305447</v>
      </c>
      <c r="AE317" s="8" t="n">
        <f aca="false">-AE309*HIPA_Rate</f>
        <v>-237.273470220946</v>
      </c>
      <c r="AF317" s="8" t="n">
        <f aca="false">-AF309*HIPA_Rate</f>
        <v>-238.927266308386</v>
      </c>
      <c r="AG317" s="8" t="n">
        <f aca="false">-AG309*HIPA_Rate</f>
        <v>-240.592589354555</v>
      </c>
      <c r="AH317" s="8" t="n">
        <f aca="false">-AH309*HIPA_Rate</f>
        <v>-242.269519702356</v>
      </c>
      <c r="AI317" s="8" t="n">
        <f aca="false">-AI309*HIPA_Rate</f>
        <v>-243.958138254682</v>
      </c>
      <c r="AJ317" s="8" t="n">
        <f aca="false">-AJ309*HIPA_Rate</f>
        <v>-245.658526478317</v>
      </c>
      <c r="AK317" s="8" t="n">
        <f aca="false">-AK309*HIPA_Rate</f>
        <v>-247.370766407871</v>
      </c>
      <c r="AL317" s="8" t="n">
        <f aca="false">-AL309*HIPA_Rate</f>
        <v>-249.094940649734</v>
      </c>
      <c r="AM317" s="8" t="n">
        <f aca="false">-AM309*HIPA_Rate</f>
        <v>-250.831132386062</v>
      </c>
      <c r="AN317" s="8" t="n">
        <f aca="false">-AN309*HIPA_Rate</f>
        <v>-252.579425378793</v>
      </c>
      <c r="AO317" s="8" t="n">
        <f aca="false">-AO309*HIPA_Rate</f>
        <v>-254.339903973683</v>
      </c>
      <c r="AP317" s="8" t="n">
        <f aca="false">-AP309*HIPA_Rate</f>
        <v>-256.11265310438</v>
      </c>
      <c r="AQ317" s="8" t="n">
        <f aca="false">-AQ309*HIPA_Rate</f>
        <v>-257.897758296517</v>
      </c>
      <c r="AR317" s="8" t="n">
        <f aca="false">-AR309*HIPA_Rate</f>
        <v>-259.695305671844</v>
      </c>
      <c r="AS317" s="8" t="n">
        <f aca="false">-AS309*HIPA_Rate</f>
        <v>-130.752690976188</v>
      </c>
    </row>
    <row r="318" customFormat="false" ht="14.25" hidden="true" customHeight="false" outlineLevel="1" collapsed="false">
      <c r="C318" s="1" t="s">
        <v>238</v>
      </c>
      <c r="D318" s="2" t="s">
        <v>82</v>
      </c>
      <c r="H318" s="31" t="n">
        <f aca="false">SUM(J318:AS318)</f>
        <v>-103873.626762785</v>
      </c>
      <c r="J318" s="31" t="n">
        <f aca="false">SUM(J311:J317)</f>
        <v>0</v>
      </c>
      <c r="K318" s="31" t="n">
        <f aca="false">SUM(K311:K317)</f>
        <v>0</v>
      </c>
      <c r="L318" s="31" t="n">
        <f aca="false">SUM(L311:L317)</f>
        <v>0</v>
      </c>
      <c r="M318" s="31" t="n">
        <f aca="false">SUM(M311:M317)</f>
        <v>0</v>
      </c>
      <c r="N318" s="31" t="n">
        <f aca="false">SUM(N311:N317)</f>
        <v>0</v>
      </c>
      <c r="O318" s="31" t="n">
        <f aca="false">SUM(O311:O317)</f>
        <v>-1272.4341</v>
      </c>
      <c r="P318" s="31" t="n">
        <f aca="false">SUM(P311:P317)</f>
        <v>-2596.328007</v>
      </c>
      <c r="Q318" s="31" t="n">
        <f aca="false">SUM(Q311:Q317)</f>
        <v>-2645.35470854004</v>
      </c>
      <c r="R318" s="31" t="n">
        <f aca="false">SUM(R311:R317)</f>
        <v>-2695.56576927526</v>
      </c>
      <c r="S318" s="31" t="n">
        <f aca="false">SUM(S311:S317)</f>
        <v>-2746.98957674329</v>
      </c>
      <c r="T318" s="31" t="n">
        <f aca="false">SUM(T311:T317)</f>
        <v>-2799.65520655365</v>
      </c>
      <c r="U318" s="31" t="n">
        <f aca="false">SUM(U311:U317)</f>
        <v>-2853.59243912953</v>
      </c>
      <c r="V318" s="31" t="n">
        <f aca="false">SUM(V311:V317)</f>
        <v>-2908.83177685815</v>
      </c>
      <c r="W318" s="31" t="n">
        <f aca="false">SUM(W311:W317)</f>
        <v>-2965.40446165975</v>
      </c>
      <c r="X318" s="31" t="n">
        <f aca="false">SUM(X311:X317)</f>
        <v>-3023.34249298546</v>
      </c>
      <c r="Y318" s="31" t="n">
        <f aca="false">SUM(Y311:Y317)</f>
        <v>-3082.67864625451</v>
      </c>
      <c r="Z318" s="31" t="n">
        <f aca="false">SUM(Z311:Z317)</f>
        <v>-3143.44649174152</v>
      </c>
      <c r="AA318" s="31" t="n">
        <f aca="false">SUM(AA311:AA317)</f>
        <v>-3205.68041392501</v>
      </c>
      <c r="AB318" s="31" t="n">
        <f aca="false">SUM(AB311:AB317)</f>
        <v>-3269.41563130824</v>
      </c>
      <c r="AC318" s="31" t="n">
        <f aca="false">SUM(AC311:AC317)</f>
        <v>-3334.68821672405</v>
      </c>
      <c r="AD318" s="31" t="n">
        <f aca="false">SUM(AD311:AD317)</f>
        <v>-3401.53511813555</v>
      </c>
      <c r="AE318" s="31" t="n">
        <f aca="false">SUM(AE311:AE317)</f>
        <v>-3469.99417994476</v>
      </c>
      <c r="AF318" s="31" t="n">
        <f aca="false">SUM(AF311:AF317)</f>
        <v>-3540.10416482162</v>
      </c>
      <c r="AG318" s="31" t="n">
        <f aca="false">SUM(AG311:AG317)</f>
        <v>-3611.90477606621</v>
      </c>
      <c r="AH318" s="31" t="n">
        <f aca="false">SUM(AH311:AH317)</f>
        <v>-3685.43668051707</v>
      </c>
      <c r="AI318" s="31" t="n">
        <f aca="false">SUM(AI311:AI317)</f>
        <v>-3760.7415320192</v>
      </c>
      <c r="AJ318" s="31" t="n">
        <f aca="false">SUM(AJ311:AJ317)</f>
        <v>-3837.86199546523</v>
      </c>
      <c r="AK318" s="31" t="n">
        <f aca="false">SUM(AK311:AK317)</f>
        <v>-3916.84177142397</v>
      </c>
      <c r="AL318" s="31" t="n">
        <f aca="false">SUM(AL311:AL317)</f>
        <v>-3997.72562137057</v>
      </c>
      <c r="AM318" s="31" t="n">
        <f aca="false">SUM(AM311:AM317)</f>
        <v>-4080.55939353324</v>
      </c>
      <c r="AN318" s="31" t="n">
        <f aca="false">SUM(AN311:AN317)</f>
        <v>-4165.39004937135</v>
      </c>
      <c r="AO318" s="31" t="n">
        <f aca="false">SUM(AO311:AO317)</f>
        <v>-4252.26569070061</v>
      </c>
      <c r="AP318" s="31" t="n">
        <f aca="false">SUM(AP311:AP317)</f>
        <v>-4341.23558748109</v>
      </c>
      <c r="AQ318" s="31" t="n">
        <f aca="false">SUM(AQ311:AQ317)</f>
        <v>-4432.35020628428</v>
      </c>
      <c r="AR318" s="31" t="n">
        <f aca="false">SUM(AR311:AR317)</f>
        <v>-4525.66123945587</v>
      </c>
      <c r="AS318" s="31" t="n">
        <f aca="false">SUM(AS311:AS317)</f>
        <v>-2310.61081749567</v>
      </c>
    </row>
    <row r="319" customFormat="false" ht="14.25" hidden="true" customHeight="false" outlineLevel="1" collapsed="false">
      <c r="C319" s="1" t="s">
        <v>152</v>
      </c>
      <c r="D319" s="2" t="s">
        <v>82</v>
      </c>
      <c r="H319" s="14" t="n">
        <f aca="false">SUM(J319:AS319)</f>
        <v>250198.34603837</v>
      </c>
      <c r="J319" s="14" t="n">
        <f aca="false">J309+J318</f>
        <v>0</v>
      </c>
      <c r="K319" s="14" t="n">
        <f aca="false">K309+K318</f>
        <v>0</v>
      </c>
      <c r="L319" s="14" t="n">
        <f aca="false">L309+L318</f>
        <v>0</v>
      </c>
      <c r="M319" s="14" t="n">
        <f aca="false">M309+M318</f>
        <v>0</v>
      </c>
      <c r="N319" s="14" t="n">
        <f aca="false">N309+N318</f>
        <v>0</v>
      </c>
      <c r="O319" s="14" t="n">
        <f aca="false">O309+O318</f>
        <v>4019.5659</v>
      </c>
      <c r="P319" s="14" t="n">
        <f aca="false">P309+P318</f>
        <v>8093.511993</v>
      </c>
      <c r="Q319" s="14" t="n">
        <f aca="false">Q309+Q318</f>
        <v>8118.99347625996</v>
      </c>
      <c r="R319" s="14" t="n">
        <f aca="false">R309+R318</f>
        <v>8143.8099223728</v>
      </c>
      <c r="S319" s="14" t="n">
        <f aca="false">S309+S318</f>
        <v>8167.93656347555</v>
      </c>
      <c r="T319" s="14" t="n">
        <f aca="false">T309+T318</f>
        <v>8191.34796886252</v>
      </c>
      <c r="U319" s="14" t="n">
        <f aca="false">U309+U318</f>
        <v>8214.01802841929</v>
      </c>
      <c r="V319" s="14" t="n">
        <f aca="false">V309+V318</f>
        <v>8235.91993564949</v>
      </c>
      <c r="W319" s="14" t="n">
        <f aca="false">W309+W318</f>
        <v>8257.02617028406</v>
      </c>
      <c r="X319" s="14" t="n">
        <f aca="false">X309+X318</f>
        <v>8277.308480463</v>
      </c>
      <c r="Y319" s="14" t="n">
        <f aca="false">Y309+Y318</f>
        <v>8296.73786447889</v>
      </c>
      <c r="Z319" s="14" t="n">
        <f aca="false">Z309+Z318</f>
        <v>8315.28455207169</v>
      </c>
      <c r="AA319" s="14" t="n">
        <f aca="false">AA309+AA318</f>
        <v>8332.91798526358</v>
      </c>
      <c r="AB319" s="14" t="n">
        <f aca="false">AB309+AB318</f>
        <v>8349.60679872269</v>
      </c>
      <c r="AC319" s="14" t="n">
        <f aca="false">AC309+AC318</f>
        <v>8365.3187996442</v>
      </c>
      <c r="AD319" s="14" t="n">
        <f aca="false">AD309+AD318</f>
        <v>8380.02094713678</v>
      </c>
      <c r="AE319" s="14" t="n">
        <f aca="false">AE309+AE318</f>
        <v>8393.67933110252</v>
      </c>
      <c r="AF319" s="14" t="n">
        <f aca="false">AF309+AF318</f>
        <v>8406.25915059766</v>
      </c>
      <c r="AG319" s="14" t="n">
        <f aca="false">AG309+AG318</f>
        <v>8417.72469166155</v>
      </c>
      <c r="AH319" s="14" t="n">
        <f aca="false">AH309+AH318</f>
        <v>8428.03930460075</v>
      </c>
      <c r="AI319" s="14" t="n">
        <f aca="false">AI309+AI318</f>
        <v>8437.16538071489</v>
      </c>
      <c r="AJ319" s="14" t="n">
        <f aca="false">AJ309+AJ318</f>
        <v>8445.06432845061</v>
      </c>
      <c r="AK319" s="14" t="n">
        <f aca="false">AK309+AK318</f>
        <v>8451.69654896957</v>
      </c>
      <c r="AL319" s="14" t="n">
        <f aca="false">AL309+AL318</f>
        <v>8457.02141111611</v>
      </c>
      <c r="AM319" s="14" t="n">
        <f aca="false">AM309+AM318</f>
        <v>8460.99722576987</v>
      </c>
      <c r="AN319" s="14" t="n">
        <f aca="false">AN309+AN318</f>
        <v>8463.58121956831</v>
      </c>
      <c r="AO319" s="14" t="n">
        <f aca="false">AO309+AO318</f>
        <v>8464.72950798355</v>
      </c>
      <c r="AP319" s="14" t="n">
        <f aca="false">AP309+AP318</f>
        <v>8464.3970677379</v>
      </c>
      <c r="AQ319" s="14" t="n">
        <f aca="false">AQ309+AQ318</f>
        <v>8462.53770854159</v>
      </c>
      <c r="AR319" s="14" t="n">
        <f aca="false">AR309+AR318</f>
        <v>8459.10404413634</v>
      </c>
      <c r="AS319" s="14" t="n">
        <f aca="false">AS309+AS318</f>
        <v>4227.02373131375</v>
      </c>
    </row>
    <row r="320" customFormat="false" ht="14.25" hidden="true" customHeight="false" outlineLevel="1" collapsed="false">
      <c r="C320" s="1" t="s">
        <v>239</v>
      </c>
      <c r="D320" s="2" t="s">
        <v>82</v>
      </c>
      <c r="H320" s="31" t="n">
        <f aca="false">SUM(J320:AS320)</f>
        <v>194526.369326041</v>
      </c>
      <c r="J320" s="31" t="n">
        <f aca="false">J305+J319</f>
        <v>-436.301369863014</v>
      </c>
      <c r="K320" s="31" t="n">
        <f aca="false">K305+K319</f>
        <v>-2728.76712328767</v>
      </c>
      <c r="L320" s="31" t="n">
        <f aca="false">L305+L319</f>
        <v>-3359.81917808219</v>
      </c>
      <c r="M320" s="31" t="n">
        <f aca="false">M305+M319</f>
        <v>-12009.375</v>
      </c>
      <c r="N320" s="31" t="n">
        <f aca="false">N305+N319</f>
        <v>-24018.75</v>
      </c>
      <c r="O320" s="31" t="n">
        <f aca="false">O305+O319</f>
        <v>-10489.8091</v>
      </c>
      <c r="P320" s="31" t="n">
        <f aca="false">P305+P319</f>
        <v>8093.511993</v>
      </c>
      <c r="Q320" s="31" t="n">
        <f aca="false">Q305+Q319</f>
        <v>9509.40443516407</v>
      </c>
      <c r="R320" s="31" t="n">
        <f aca="false">R305+R319</f>
        <v>8143.8099223728</v>
      </c>
      <c r="S320" s="31" t="n">
        <f aca="false">S305+S319</f>
        <v>8167.93656347555</v>
      </c>
      <c r="T320" s="31" t="n">
        <f aca="false">T305+T319</f>
        <v>8191.34796886252</v>
      </c>
      <c r="U320" s="31" t="n">
        <f aca="false">U305+U319</f>
        <v>8214.01802841929</v>
      </c>
      <c r="V320" s="31" t="n">
        <f aca="false">V305+V319</f>
        <v>8235.91993564949</v>
      </c>
      <c r="W320" s="31" t="n">
        <f aca="false">W305+W319</f>
        <v>8257.02617028406</v>
      </c>
      <c r="X320" s="31" t="n">
        <f aca="false">X305+X319</f>
        <v>8277.308480463</v>
      </c>
      <c r="Y320" s="31" t="n">
        <f aca="false">Y305+Y319</f>
        <v>8296.73786447889</v>
      </c>
      <c r="Z320" s="31" t="n">
        <f aca="false">Z305+Z319</f>
        <v>8315.28455207169</v>
      </c>
      <c r="AA320" s="31" t="n">
        <f aca="false">AA305+AA319</f>
        <v>8332.91798526358</v>
      </c>
      <c r="AB320" s="31" t="n">
        <f aca="false">AB305+AB319</f>
        <v>8349.60679872269</v>
      </c>
      <c r="AC320" s="31" t="n">
        <f aca="false">AC305+AC319</f>
        <v>8365.3187996442</v>
      </c>
      <c r="AD320" s="31" t="n">
        <f aca="false">AD305+AD319</f>
        <v>8380.02094713678</v>
      </c>
      <c r="AE320" s="31" t="n">
        <f aca="false">AE305+AE319</f>
        <v>8393.67933110252</v>
      </c>
      <c r="AF320" s="31" t="n">
        <f aca="false">AF305+AF319</f>
        <v>8406.25915059766</v>
      </c>
      <c r="AG320" s="31" t="n">
        <f aca="false">AG305+AG319</f>
        <v>8417.72469166155</v>
      </c>
      <c r="AH320" s="31" t="n">
        <f aca="false">AH305+AH319</f>
        <v>8428.03930460075</v>
      </c>
      <c r="AI320" s="31" t="n">
        <f aca="false">AI305+AI319</f>
        <v>8437.16538071489</v>
      </c>
      <c r="AJ320" s="31" t="n">
        <f aca="false">AJ305+AJ319</f>
        <v>8445.06432845061</v>
      </c>
      <c r="AK320" s="31" t="n">
        <f aca="false">AK305+AK319</f>
        <v>8451.69654896957</v>
      </c>
      <c r="AL320" s="31" t="n">
        <f aca="false">AL305+AL319</f>
        <v>8457.02141111611</v>
      </c>
      <c r="AM320" s="31" t="n">
        <f aca="false">AM305+AM319</f>
        <v>8460.99722576987</v>
      </c>
      <c r="AN320" s="31" t="n">
        <f aca="false">AN305+AN319</f>
        <v>8463.58121956831</v>
      </c>
      <c r="AO320" s="31" t="n">
        <f aca="false">AO305+AO319</f>
        <v>8464.72950798355</v>
      </c>
      <c r="AP320" s="31" t="n">
        <f aca="false">AP305+AP319</f>
        <v>8464.3970677379</v>
      </c>
      <c r="AQ320" s="31" t="n">
        <f aca="false">AQ305+AQ319</f>
        <v>8462.53770854159</v>
      </c>
      <c r="AR320" s="31" t="n">
        <f aca="false">AR305+AR319</f>
        <v>8459.10404413634</v>
      </c>
      <c r="AS320" s="31" t="n">
        <f aca="false">AS305+AS319</f>
        <v>4227.02373131375</v>
      </c>
    </row>
    <row r="321" customFormat="false" ht="14.25" hidden="true" customHeight="false" outlineLevel="1" collapsed="false">
      <c r="C321" s="6" t="s">
        <v>240</v>
      </c>
      <c r="D321" s="2" t="s">
        <v>82</v>
      </c>
      <c r="H321" s="8" t="n">
        <f aca="false">SUM(J321:AS321)</f>
        <v>55671.9767123288</v>
      </c>
      <c r="J321" s="8" t="n">
        <f aca="false">$F$91/Dep_Years*(J295&gt;=0)*(J295&lt;Dep_Years)</f>
        <v>0</v>
      </c>
      <c r="K321" s="8" t="n">
        <f aca="false">$F$91/Dep_Years*(K295&gt;=0)*(K295&lt;Dep_Years)</f>
        <v>0</v>
      </c>
      <c r="L321" s="8" t="n">
        <f aca="false">$F$91/Dep_Years*(L295&gt;=0)*(L295&lt;Dep_Years)</f>
        <v>0</v>
      </c>
      <c r="M321" s="8" t="n">
        <f aca="false">$F$91/Dep_Years*(M295&gt;=0)*(M295&lt;Dep_Years)</f>
        <v>0</v>
      </c>
      <c r="N321" s="8" t="n">
        <f aca="false">$F$91/Dep_Years*(N295&gt;=0)*(N295&lt;Dep_Years)</f>
        <v>0</v>
      </c>
      <c r="O321" s="8" t="n">
        <f aca="false">$F$91/Dep_Years*(O295&gt;=0)*(O295&lt;Dep_Years)</f>
        <v>2783.59883561644</v>
      </c>
      <c r="P321" s="8" t="n">
        <f aca="false">$F$91/Dep_Years*(P295&gt;=0)*(P295&lt;Dep_Years)</f>
        <v>2783.59883561644</v>
      </c>
      <c r="Q321" s="8" t="n">
        <f aca="false">$F$91/Dep_Years*(Q295&gt;=0)*(Q295&lt;Dep_Years)</f>
        <v>2783.59883561644</v>
      </c>
      <c r="R321" s="8" t="n">
        <f aca="false">$F$91/Dep_Years*(R295&gt;=0)*(R295&lt;Dep_Years)</f>
        <v>2783.59883561644</v>
      </c>
      <c r="S321" s="8" t="n">
        <f aca="false">$F$91/Dep_Years*(S295&gt;=0)*(S295&lt;Dep_Years)</f>
        <v>2783.59883561644</v>
      </c>
      <c r="T321" s="8" t="n">
        <f aca="false">$F$91/Dep_Years*(T295&gt;=0)*(T295&lt;Dep_Years)</f>
        <v>2783.59883561644</v>
      </c>
      <c r="U321" s="8" t="n">
        <f aca="false">$F$91/Dep_Years*(U295&gt;=0)*(U295&lt;Dep_Years)</f>
        <v>2783.59883561644</v>
      </c>
      <c r="V321" s="8" t="n">
        <f aca="false">$F$91/Dep_Years*(V295&gt;=0)*(V295&lt;Dep_Years)</f>
        <v>2783.59883561644</v>
      </c>
      <c r="W321" s="8" t="n">
        <f aca="false">$F$91/Dep_Years*(W295&gt;=0)*(W295&lt;Dep_Years)</f>
        <v>2783.59883561644</v>
      </c>
      <c r="X321" s="8" t="n">
        <f aca="false">$F$91/Dep_Years*(X295&gt;=0)*(X295&lt;Dep_Years)</f>
        <v>2783.59883561644</v>
      </c>
      <c r="Y321" s="8" t="n">
        <f aca="false">$F$91/Dep_Years*(Y295&gt;=0)*(Y295&lt;Dep_Years)</f>
        <v>2783.59883561644</v>
      </c>
      <c r="Z321" s="8" t="n">
        <f aca="false">$F$91/Dep_Years*(Z295&gt;=0)*(Z295&lt;Dep_Years)</f>
        <v>2783.59883561644</v>
      </c>
      <c r="AA321" s="8" t="n">
        <f aca="false">$F$91/Dep_Years*(AA295&gt;=0)*(AA295&lt;Dep_Years)</f>
        <v>2783.59883561644</v>
      </c>
      <c r="AB321" s="8" t="n">
        <f aca="false">$F$91/Dep_Years*(AB295&gt;=0)*(AB295&lt;Dep_Years)</f>
        <v>2783.59883561644</v>
      </c>
      <c r="AC321" s="8" t="n">
        <f aca="false">$F$91/Dep_Years*(AC295&gt;=0)*(AC295&lt;Dep_Years)</f>
        <v>2783.59883561644</v>
      </c>
      <c r="AD321" s="8" t="n">
        <f aca="false">$F$91/Dep_Years*(AD295&gt;=0)*(AD295&lt;Dep_Years)</f>
        <v>2783.59883561644</v>
      </c>
      <c r="AE321" s="8" t="n">
        <f aca="false">$F$91/Dep_Years*(AE295&gt;=0)*(AE295&lt;Dep_Years)</f>
        <v>2783.59883561644</v>
      </c>
      <c r="AF321" s="8" t="n">
        <f aca="false">$F$91/Dep_Years*(AF295&gt;=0)*(AF295&lt;Dep_Years)</f>
        <v>2783.59883561644</v>
      </c>
      <c r="AG321" s="8" t="n">
        <f aca="false">$F$91/Dep_Years*(AG295&gt;=0)*(AG295&lt;Dep_Years)</f>
        <v>2783.59883561644</v>
      </c>
      <c r="AH321" s="8" t="n">
        <f aca="false">$F$91/Dep_Years*(AH295&gt;=0)*(AH295&lt;Dep_Years)</f>
        <v>2783.59883561644</v>
      </c>
      <c r="AI321" s="8" t="n">
        <f aca="false">$F$91/Dep_Years*(AI295&gt;=0)*(AI295&lt;Dep_Years)</f>
        <v>0</v>
      </c>
      <c r="AJ321" s="8" t="n">
        <f aca="false">$F$91/Dep_Years*(AJ295&gt;=0)*(AJ295&lt;Dep_Years)</f>
        <v>0</v>
      </c>
      <c r="AK321" s="8" t="n">
        <f aca="false">$F$91/Dep_Years*(AK295&gt;=0)*(AK295&lt;Dep_Years)</f>
        <v>0</v>
      </c>
      <c r="AL321" s="8" t="n">
        <f aca="false">$F$91/Dep_Years*(AL295&gt;=0)*(AL295&lt;Dep_Years)</f>
        <v>0</v>
      </c>
      <c r="AM321" s="8" t="n">
        <f aca="false">$F$91/Dep_Years*(AM295&gt;=0)*(AM295&lt;Dep_Years)</f>
        <v>0</v>
      </c>
      <c r="AN321" s="8" t="n">
        <f aca="false">$F$91/Dep_Years*(AN295&gt;=0)*(AN295&lt;Dep_Years)</f>
        <v>0</v>
      </c>
      <c r="AO321" s="8" t="n">
        <f aca="false">$F$91/Dep_Years*(AO295&gt;=0)*(AO295&lt;Dep_Years)</f>
        <v>0</v>
      </c>
      <c r="AP321" s="8" t="n">
        <f aca="false">$F$91/Dep_Years*(AP295&gt;=0)*(AP295&lt;Dep_Years)</f>
        <v>0</v>
      </c>
      <c r="AQ321" s="8" t="n">
        <f aca="false">$F$91/Dep_Years*(AQ295&gt;=0)*(AQ295&lt;Dep_Years)</f>
        <v>0</v>
      </c>
      <c r="AR321" s="8" t="n">
        <f aca="false">$F$91/Dep_Years*(AR295&gt;=0)*(AR295&lt;Dep_Years)</f>
        <v>0</v>
      </c>
      <c r="AS321" s="8" t="n">
        <f aca="false">$F$91/Dep_Years*(AS295&gt;=0)*(AS295&lt;Dep_Years)</f>
        <v>0</v>
      </c>
    </row>
    <row r="322" customFormat="false" ht="14.25" hidden="true" customHeight="false" outlineLevel="1" collapsed="false">
      <c r="C322" s="6" t="s">
        <v>241</v>
      </c>
      <c r="D322" s="2" t="s">
        <v>82</v>
      </c>
      <c r="H322" s="8" t="n">
        <f aca="false">SUM(J322:AS322)</f>
        <v>-29178.9553989061</v>
      </c>
      <c r="J322" s="8" t="n">
        <f aca="false">-CIT_Rate*MAX(0,J319-J321)</f>
        <v>-0</v>
      </c>
      <c r="K322" s="8" t="n">
        <f aca="false">-CIT_Rate*MAX(0,K319-K321)</f>
        <v>-0</v>
      </c>
      <c r="L322" s="8" t="n">
        <f aca="false">-CIT_Rate*MAX(0,L319-L321)</f>
        <v>-0</v>
      </c>
      <c r="M322" s="8" t="n">
        <f aca="false">-CIT_Rate*MAX(0,M319-M321)</f>
        <v>-0</v>
      </c>
      <c r="N322" s="8" t="n">
        <f aca="false">-CIT_Rate*MAX(0,N319-N321)</f>
        <v>-0</v>
      </c>
      <c r="O322" s="8" t="n">
        <f aca="false">-CIT_Rate*MAX(0,O319-O321)</f>
        <v>-185.395059657534</v>
      </c>
      <c r="P322" s="8" t="n">
        <f aca="false">-CIT_Rate*MAX(0,P319-P321)</f>
        <v>-796.486973607534</v>
      </c>
      <c r="Q322" s="8" t="n">
        <f aca="false">-CIT_Rate*MAX(0,Q319-Q321)</f>
        <v>-800.309196096528</v>
      </c>
      <c r="R322" s="8" t="n">
        <f aca="false">-CIT_Rate*MAX(0,R319-R321)</f>
        <v>-804.031663013454</v>
      </c>
      <c r="S322" s="8" t="n">
        <f aca="false">-CIT_Rate*MAX(0,S319-S321)</f>
        <v>-807.650659178867</v>
      </c>
      <c r="T322" s="8" t="n">
        <f aca="false">-CIT_Rate*MAX(0,T319-T321)</f>
        <v>-811.162369986913</v>
      </c>
      <c r="U322" s="8" t="n">
        <f aca="false">-CIT_Rate*MAX(0,U319-U321)</f>
        <v>-814.562878920428</v>
      </c>
      <c r="V322" s="8" t="n">
        <f aca="false">-CIT_Rate*MAX(0,V319-V321)</f>
        <v>-817.848165004958</v>
      </c>
      <c r="W322" s="8" t="n">
        <f aca="false">-CIT_Rate*MAX(0,W319-W321)</f>
        <v>-821.014100200144</v>
      </c>
      <c r="X322" s="8" t="n">
        <f aca="false">-CIT_Rate*MAX(0,X319-X321)</f>
        <v>-824.056446726984</v>
      </c>
      <c r="Y322" s="8" t="n">
        <f aca="false">-CIT_Rate*MAX(0,Y319-Y321)</f>
        <v>-826.970854329367</v>
      </c>
      <c r="Z322" s="8" t="n">
        <f aca="false">-CIT_Rate*MAX(0,Z319-Z321)</f>
        <v>-829.752857468287</v>
      </c>
      <c r="AA322" s="8" t="n">
        <f aca="false">-CIT_Rate*MAX(0,AA319-AA321)</f>
        <v>-832.397872447071</v>
      </c>
      <c r="AB322" s="8" t="n">
        <f aca="false">-CIT_Rate*MAX(0,AB319-AB321)</f>
        <v>-834.901194465938</v>
      </c>
      <c r="AC322" s="8" t="n">
        <f aca="false">-CIT_Rate*MAX(0,AC319-AC321)</f>
        <v>-837.257994604164</v>
      </c>
      <c r="AD322" s="8" t="n">
        <f aca="false">-CIT_Rate*MAX(0,AD319-AD321)</f>
        <v>-839.463316728051</v>
      </c>
      <c r="AE322" s="8" t="n">
        <f aca="false">-CIT_Rate*MAX(0,AE319-AE321)</f>
        <v>-841.512074322912</v>
      </c>
      <c r="AF322" s="8" t="n">
        <f aca="false">-CIT_Rate*MAX(0,AF319-AF321)</f>
        <v>-843.399047247183</v>
      </c>
      <c r="AG322" s="8" t="n">
        <f aca="false">-CIT_Rate*MAX(0,AG319-AG321)</f>
        <v>-845.118878406767</v>
      </c>
      <c r="AH322" s="8" t="n">
        <f aca="false">-CIT_Rate*MAX(0,AH319-AH321)</f>
        <v>-846.666070347647</v>
      </c>
      <c r="AI322" s="8" t="n">
        <f aca="false">-CIT_Rate*MAX(0,AI319-AI321)</f>
        <v>-1265.57480710723</v>
      </c>
      <c r="AJ322" s="8" t="n">
        <f aca="false">-CIT_Rate*MAX(0,AJ319-AJ321)</f>
        <v>-1266.75964926759</v>
      </c>
      <c r="AK322" s="8" t="n">
        <f aca="false">-CIT_Rate*MAX(0,AK319-AK321)</f>
        <v>-1267.75448234544</v>
      </c>
      <c r="AL322" s="8" t="n">
        <f aca="false">-CIT_Rate*MAX(0,AL319-AL321)</f>
        <v>-1268.55321166742</v>
      </c>
      <c r="AM322" s="8" t="n">
        <f aca="false">-CIT_Rate*MAX(0,AM319-AM321)</f>
        <v>-1269.14958386548</v>
      </c>
      <c r="AN322" s="8" t="n">
        <f aca="false">-CIT_Rate*MAX(0,AN319-AN321)</f>
        <v>-1269.53718293525</v>
      </c>
      <c r="AO322" s="8" t="n">
        <f aca="false">-CIT_Rate*MAX(0,AO319-AO321)</f>
        <v>-1269.70942619753</v>
      </c>
      <c r="AP322" s="8" t="n">
        <f aca="false">-CIT_Rate*MAX(0,AP319-AP321)</f>
        <v>-1269.65956016069</v>
      </c>
      <c r="AQ322" s="8" t="n">
        <f aca="false">-CIT_Rate*MAX(0,AQ319-AQ321)</f>
        <v>-1269.38065628124</v>
      </c>
      <c r="AR322" s="8" t="n">
        <f aca="false">-CIT_Rate*MAX(0,AR319-AR321)</f>
        <v>-1268.86560662045</v>
      </c>
      <c r="AS322" s="8" t="n">
        <f aca="false">-CIT_Rate*MAX(0,AS319-AS321)</f>
        <v>-634.053559697063</v>
      </c>
    </row>
    <row r="323" customFormat="false" ht="14.25" hidden="true" customHeight="false" outlineLevel="1" collapsed="false">
      <c r="C323" s="1" t="s">
        <v>242</v>
      </c>
      <c r="D323" s="2" t="s">
        <v>82</v>
      </c>
      <c r="H323" s="31" t="n">
        <f aca="false">SUM(J323:AS323)</f>
        <v>165347.413927135</v>
      </c>
      <c r="J323" s="31" t="n">
        <f aca="false">J320+J322</f>
        <v>-436.301369863014</v>
      </c>
      <c r="K323" s="31" t="n">
        <f aca="false">K320+K322</f>
        <v>-2728.76712328767</v>
      </c>
      <c r="L323" s="31" t="n">
        <f aca="false">L320+L322</f>
        <v>-3359.81917808219</v>
      </c>
      <c r="M323" s="31" t="n">
        <f aca="false">M320+M322</f>
        <v>-12009.375</v>
      </c>
      <c r="N323" s="31" t="n">
        <f aca="false">N320+N322</f>
        <v>-24018.75</v>
      </c>
      <c r="O323" s="31" t="n">
        <f aca="false">O320+O322</f>
        <v>-10675.2041596575</v>
      </c>
      <c r="P323" s="31" t="n">
        <f aca="false">P320+P322</f>
        <v>7297.02501939247</v>
      </c>
      <c r="Q323" s="31" t="n">
        <f aca="false">Q320+Q322</f>
        <v>8709.09523906754</v>
      </c>
      <c r="R323" s="31" t="n">
        <f aca="false">R320+R322</f>
        <v>7339.77825935934</v>
      </c>
      <c r="S323" s="31" t="n">
        <f aca="false">S320+S322</f>
        <v>7360.28590429669</v>
      </c>
      <c r="T323" s="31" t="n">
        <f aca="false">T320+T322</f>
        <v>7380.18559887561</v>
      </c>
      <c r="U323" s="31" t="n">
        <f aca="false">U320+U322</f>
        <v>7399.45514949887</v>
      </c>
      <c r="V323" s="31" t="n">
        <f aca="false">V320+V322</f>
        <v>7418.07177064453</v>
      </c>
      <c r="W323" s="31" t="n">
        <f aca="false">W320+W322</f>
        <v>7436.01207008392</v>
      </c>
      <c r="X323" s="31" t="n">
        <f aca="false">X320+X322</f>
        <v>7453.25203373601</v>
      </c>
      <c r="Y323" s="31" t="n">
        <f aca="false">Y320+Y322</f>
        <v>7469.76701014952</v>
      </c>
      <c r="Z323" s="31" t="n">
        <f aca="false">Z320+Z322</f>
        <v>7485.5316946034</v>
      </c>
      <c r="AA323" s="31" t="n">
        <f aca="false">AA320+AA322</f>
        <v>7500.5201128165</v>
      </c>
      <c r="AB323" s="31" t="n">
        <f aca="false">AB320+AB322</f>
        <v>7514.70560425675</v>
      </c>
      <c r="AC323" s="31" t="n">
        <f aca="false">AC320+AC322</f>
        <v>7528.06080504003</v>
      </c>
      <c r="AD323" s="31" t="n">
        <f aca="false">AD320+AD322</f>
        <v>7540.55763040873</v>
      </c>
      <c r="AE323" s="31" t="n">
        <f aca="false">AE320+AE322</f>
        <v>7552.16725677961</v>
      </c>
      <c r="AF323" s="31" t="n">
        <f aca="false">AF320+AF322</f>
        <v>7562.86010335048</v>
      </c>
      <c r="AG323" s="31" t="n">
        <f aca="false">AG320+AG322</f>
        <v>7572.60581325478</v>
      </c>
      <c r="AH323" s="31" t="n">
        <f aca="false">AH320+AH322</f>
        <v>7581.3732342531</v>
      </c>
      <c r="AI323" s="31" t="n">
        <f aca="false">AI320+AI322</f>
        <v>7171.59057360766</v>
      </c>
      <c r="AJ323" s="31" t="n">
        <f aca="false">AJ320+AJ322</f>
        <v>7178.30467918302</v>
      </c>
      <c r="AK323" s="31" t="n">
        <f aca="false">AK320+AK322</f>
        <v>7183.94206662414</v>
      </c>
      <c r="AL323" s="31" t="n">
        <f aca="false">AL320+AL322</f>
        <v>7188.46819944869</v>
      </c>
      <c r="AM323" s="31" t="n">
        <f aca="false">AM320+AM322</f>
        <v>7191.84764190439</v>
      </c>
      <c r="AN323" s="31" t="n">
        <f aca="false">AN320+AN322</f>
        <v>7194.04403663306</v>
      </c>
      <c r="AO323" s="31" t="n">
        <f aca="false">AO320+AO322</f>
        <v>7195.02008178602</v>
      </c>
      <c r="AP323" s="31" t="n">
        <f aca="false">AP320+AP322</f>
        <v>7194.73750757722</v>
      </c>
      <c r="AQ323" s="31" t="n">
        <f aca="false">AQ320+AQ322</f>
        <v>7193.15705226035</v>
      </c>
      <c r="AR323" s="31" t="n">
        <f aca="false">AR320+AR322</f>
        <v>7190.23843751589</v>
      </c>
      <c r="AS323" s="31" t="n">
        <f aca="false">AS320+AS322</f>
        <v>3592.97017161669</v>
      </c>
    </row>
    <row r="324" customFormat="false" ht="14.25" hidden="true" customHeight="false" outlineLevel="1" collapsed="false">
      <c r="C324" s="6" t="s">
        <v>243</v>
      </c>
      <c r="D324" s="2" t="s">
        <v>82</v>
      </c>
      <c r="H324" s="8" t="n">
        <f aca="false">SUM(J324:AS324)</f>
        <v>33403.1860273973</v>
      </c>
      <c r="J324" s="8" t="n">
        <f aca="false">Gearing*$F$91*J300</f>
        <v>0</v>
      </c>
      <c r="K324" s="8" t="n">
        <f aca="false">Gearing*$F$91*K300</f>
        <v>0</v>
      </c>
      <c r="L324" s="8" t="n">
        <f aca="false">Gearing*$F$91*L300</f>
        <v>0</v>
      </c>
      <c r="M324" s="8" t="n">
        <f aca="false">Gearing*$F$91*M300</f>
        <v>0</v>
      </c>
      <c r="N324" s="8" t="n">
        <f aca="false">Gearing*$F$91*N300</f>
        <v>0</v>
      </c>
      <c r="O324" s="8" t="n">
        <f aca="false">Gearing*$F$91*O300</f>
        <v>33403.1860273973</v>
      </c>
      <c r="P324" s="8" t="n">
        <f aca="false">Gearing*$F$91*P300</f>
        <v>0</v>
      </c>
      <c r="Q324" s="8" t="n">
        <f aca="false">Gearing*$F$91*Q300</f>
        <v>0</v>
      </c>
      <c r="R324" s="8" t="n">
        <f aca="false">Gearing*$F$91*R300</f>
        <v>0</v>
      </c>
      <c r="S324" s="8" t="n">
        <f aca="false">Gearing*$F$91*S300</f>
        <v>0</v>
      </c>
      <c r="T324" s="8" t="n">
        <f aca="false">Gearing*$F$91*T300</f>
        <v>0</v>
      </c>
      <c r="U324" s="8" t="n">
        <f aca="false">Gearing*$F$91*U300</f>
        <v>0</v>
      </c>
      <c r="V324" s="8" t="n">
        <f aca="false">Gearing*$F$91*V300</f>
        <v>0</v>
      </c>
      <c r="W324" s="8" t="n">
        <f aca="false">Gearing*$F$91*W300</f>
        <v>0</v>
      </c>
      <c r="X324" s="8" t="n">
        <f aca="false">Gearing*$F$91*X300</f>
        <v>0</v>
      </c>
      <c r="Y324" s="8" t="n">
        <f aca="false">Gearing*$F$91*Y300</f>
        <v>0</v>
      </c>
      <c r="Z324" s="8" t="n">
        <f aca="false">Gearing*$F$91*Z300</f>
        <v>0</v>
      </c>
      <c r="AA324" s="8" t="n">
        <f aca="false">Gearing*$F$91*AA300</f>
        <v>0</v>
      </c>
      <c r="AB324" s="8" t="n">
        <f aca="false">Gearing*$F$91*AB300</f>
        <v>0</v>
      </c>
      <c r="AC324" s="8" t="n">
        <f aca="false">Gearing*$F$91*AC300</f>
        <v>0</v>
      </c>
      <c r="AD324" s="8" t="n">
        <f aca="false">Gearing*$F$91*AD300</f>
        <v>0</v>
      </c>
      <c r="AE324" s="8" t="n">
        <f aca="false">Gearing*$F$91*AE300</f>
        <v>0</v>
      </c>
      <c r="AF324" s="8" t="n">
        <f aca="false">Gearing*$F$91*AF300</f>
        <v>0</v>
      </c>
      <c r="AG324" s="8" t="n">
        <f aca="false">Gearing*$F$91*AG300</f>
        <v>0</v>
      </c>
      <c r="AH324" s="8" t="n">
        <f aca="false">Gearing*$F$91*AH300</f>
        <v>0</v>
      </c>
      <c r="AI324" s="8" t="n">
        <f aca="false">Gearing*$F$91*AI300</f>
        <v>0</v>
      </c>
      <c r="AJ324" s="8" t="n">
        <f aca="false">Gearing*$F$91*AJ300</f>
        <v>0</v>
      </c>
      <c r="AK324" s="8" t="n">
        <f aca="false">Gearing*$F$91*AK300</f>
        <v>0</v>
      </c>
      <c r="AL324" s="8" t="n">
        <f aca="false">Gearing*$F$91*AL300</f>
        <v>0</v>
      </c>
      <c r="AM324" s="8" t="n">
        <f aca="false">Gearing*$F$91*AM300</f>
        <v>0</v>
      </c>
      <c r="AN324" s="8" t="n">
        <f aca="false">Gearing*$F$91*AN300</f>
        <v>0</v>
      </c>
      <c r="AO324" s="8" t="n">
        <f aca="false">Gearing*$F$91*AO300</f>
        <v>0</v>
      </c>
      <c r="AP324" s="8" t="n">
        <f aca="false">Gearing*$F$91*AP300</f>
        <v>0</v>
      </c>
      <c r="AQ324" s="8" t="n">
        <f aca="false">Gearing*$F$91*AQ300</f>
        <v>0</v>
      </c>
      <c r="AR324" s="8" t="n">
        <f aca="false">Gearing*$F$91*AR300</f>
        <v>0</v>
      </c>
      <c r="AS324" s="8" t="n">
        <f aca="false">Gearing*$F$91*AS300</f>
        <v>0</v>
      </c>
    </row>
    <row r="325" customFormat="false" ht="14.25" hidden="true" customHeight="false" outlineLevel="1" collapsed="false">
      <c r="C325" s="6" t="s">
        <v>244</v>
      </c>
      <c r="D325" s="2" t="s">
        <v>82</v>
      </c>
      <c r="F325" s="57" t="n">
        <f aca="false">Gearing*$F$91*Debt_Rate/(1-(1+Debt_Rate)^-Debt_Tenor)</f>
        <v>3218.1393553166</v>
      </c>
      <c r="H325" s="8" t="n">
        <f aca="false">SUM(J325:AS325)</f>
        <v>-48272.090329749</v>
      </c>
      <c r="J325" s="8" t="n">
        <f aca="false">-$F325*(J295&gt;=1)*(J295&lt;=Debt_Tenor)</f>
        <v>-0</v>
      </c>
      <c r="K325" s="8" t="n">
        <f aca="false">-$F325*(K295&gt;=1)*(K295&lt;=Debt_Tenor)</f>
        <v>-0</v>
      </c>
      <c r="L325" s="8" t="n">
        <f aca="false">-$F325*(L295&gt;=1)*(L295&lt;=Debt_Tenor)</f>
        <v>-0</v>
      </c>
      <c r="M325" s="8" t="n">
        <f aca="false">-$F325*(M295&gt;=1)*(M295&lt;=Debt_Tenor)</f>
        <v>-0</v>
      </c>
      <c r="N325" s="8" t="n">
        <f aca="false">-$F325*(N295&gt;=1)*(N295&lt;=Debt_Tenor)</f>
        <v>-0</v>
      </c>
      <c r="O325" s="8" t="n">
        <f aca="false">-$F325*(O295&gt;=1)*(O295&lt;=Debt_Tenor)</f>
        <v>-0</v>
      </c>
      <c r="P325" s="8" t="n">
        <f aca="false">-$F325*(P295&gt;=1)*(P295&lt;=Debt_Tenor)</f>
        <v>-3218.1393553166</v>
      </c>
      <c r="Q325" s="8" t="n">
        <f aca="false">-$F325*(Q295&gt;=1)*(Q295&lt;=Debt_Tenor)</f>
        <v>-3218.1393553166</v>
      </c>
      <c r="R325" s="8" t="n">
        <f aca="false">-$F325*(R295&gt;=1)*(R295&lt;=Debt_Tenor)</f>
        <v>-3218.1393553166</v>
      </c>
      <c r="S325" s="8" t="n">
        <f aca="false">-$F325*(S295&gt;=1)*(S295&lt;=Debt_Tenor)</f>
        <v>-3218.1393553166</v>
      </c>
      <c r="T325" s="8" t="n">
        <f aca="false">-$F325*(T295&gt;=1)*(T295&lt;=Debt_Tenor)</f>
        <v>-3218.1393553166</v>
      </c>
      <c r="U325" s="8" t="n">
        <f aca="false">-$F325*(U295&gt;=1)*(U295&lt;=Debt_Tenor)</f>
        <v>-3218.1393553166</v>
      </c>
      <c r="V325" s="8" t="n">
        <f aca="false">-$F325*(V295&gt;=1)*(V295&lt;=Debt_Tenor)</f>
        <v>-3218.1393553166</v>
      </c>
      <c r="W325" s="8" t="n">
        <f aca="false">-$F325*(W295&gt;=1)*(W295&lt;=Debt_Tenor)</f>
        <v>-3218.1393553166</v>
      </c>
      <c r="X325" s="8" t="n">
        <f aca="false">-$F325*(X295&gt;=1)*(X295&lt;=Debt_Tenor)</f>
        <v>-3218.1393553166</v>
      </c>
      <c r="Y325" s="8" t="n">
        <f aca="false">-$F325*(Y295&gt;=1)*(Y295&lt;=Debt_Tenor)</f>
        <v>-3218.1393553166</v>
      </c>
      <c r="Z325" s="8" t="n">
        <f aca="false">-$F325*(Z295&gt;=1)*(Z295&lt;=Debt_Tenor)</f>
        <v>-3218.1393553166</v>
      </c>
      <c r="AA325" s="8" t="n">
        <f aca="false">-$F325*(AA295&gt;=1)*(AA295&lt;=Debt_Tenor)</f>
        <v>-3218.1393553166</v>
      </c>
      <c r="AB325" s="8" t="n">
        <f aca="false">-$F325*(AB295&gt;=1)*(AB295&lt;=Debt_Tenor)</f>
        <v>-3218.1393553166</v>
      </c>
      <c r="AC325" s="8" t="n">
        <f aca="false">-$F325*(AC295&gt;=1)*(AC295&lt;=Debt_Tenor)</f>
        <v>-3218.1393553166</v>
      </c>
      <c r="AD325" s="8" t="n">
        <f aca="false">-$F325*(AD295&gt;=1)*(AD295&lt;=Debt_Tenor)</f>
        <v>-3218.1393553166</v>
      </c>
      <c r="AE325" s="8" t="n">
        <f aca="false">-$F325*(AE295&gt;=1)*(AE295&lt;=Debt_Tenor)</f>
        <v>-0</v>
      </c>
      <c r="AF325" s="8" t="n">
        <f aca="false">-$F325*(AF295&gt;=1)*(AF295&lt;=Debt_Tenor)</f>
        <v>-0</v>
      </c>
      <c r="AG325" s="8" t="n">
        <f aca="false">-$F325*(AG295&gt;=1)*(AG295&lt;=Debt_Tenor)</f>
        <v>-0</v>
      </c>
      <c r="AH325" s="8" t="n">
        <f aca="false">-$F325*(AH295&gt;=1)*(AH295&lt;=Debt_Tenor)</f>
        <v>-0</v>
      </c>
      <c r="AI325" s="8" t="n">
        <f aca="false">-$F325*(AI295&gt;=1)*(AI295&lt;=Debt_Tenor)</f>
        <v>-0</v>
      </c>
      <c r="AJ325" s="8" t="n">
        <f aca="false">-$F325*(AJ295&gt;=1)*(AJ295&lt;=Debt_Tenor)</f>
        <v>-0</v>
      </c>
      <c r="AK325" s="8" t="n">
        <f aca="false">-$F325*(AK295&gt;=1)*(AK295&lt;=Debt_Tenor)</f>
        <v>-0</v>
      </c>
      <c r="AL325" s="8" t="n">
        <f aca="false">-$F325*(AL295&gt;=1)*(AL295&lt;=Debt_Tenor)</f>
        <v>-0</v>
      </c>
      <c r="AM325" s="8" t="n">
        <f aca="false">-$F325*(AM295&gt;=1)*(AM295&lt;=Debt_Tenor)</f>
        <v>-0</v>
      </c>
      <c r="AN325" s="8" t="n">
        <f aca="false">-$F325*(AN295&gt;=1)*(AN295&lt;=Debt_Tenor)</f>
        <v>-0</v>
      </c>
      <c r="AO325" s="8" t="n">
        <f aca="false">-$F325*(AO295&gt;=1)*(AO295&lt;=Debt_Tenor)</f>
        <v>-0</v>
      </c>
      <c r="AP325" s="8" t="n">
        <f aca="false">-$F325*(AP295&gt;=1)*(AP295&lt;=Debt_Tenor)</f>
        <v>-0</v>
      </c>
      <c r="AQ325" s="8" t="n">
        <f aca="false">-$F325*(AQ295&gt;=1)*(AQ295&lt;=Debt_Tenor)</f>
        <v>-0</v>
      </c>
      <c r="AR325" s="8" t="n">
        <f aca="false">-$F325*(AR295&gt;=1)*(AR295&lt;=Debt_Tenor)</f>
        <v>-0</v>
      </c>
      <c r="AS325" s="8" t="n">
        <f aca="false">-$F325*(AS295&gt;=1)*(AS295&lt;=Debt_Tenor)</f>
        <v>-0</v>
      </c>
    </row>
    <row r="326" customFormat="false" ht="14.25" hidden="true" customHeight="false" outlineLevel="1" collapsed="false">
      <c r="C326" s="6" t="s">
        <v>245</v>
      </c>
      <c r="D326" s="2" t="s">
        <v>82</v>
      </c>
      <c r="H326" s="8"/>
      <c r="J326" s="8" t="n">
        <f aca="false">I326*(1+Debt_Rate)+J324+J325</f>
        <v>0</v>
      </c>
      <c r="K326" s="8" t="n">
        <f aca="false">J326*(1+Debt_Rate)+K324+K325</f>
        <v>0</v>
      </c>
      <c r="L326" s="8" t="n">
        <f aca="false">K326*(1+Debt_Rate)+L324+L325</f>
        <v>0</v>
      </c>
      <c r="M326" s="8" t="n">
        <f aca="false">L326*(1+Debt_Rate)+M324+M325</f>
        <v>0</v>
      </c>
      <c r="N326" s="8" t="n">
        <f aca="false">M326*(1+Debt_Rate)+N324+N325</f>
        <v>0</v>
      </c>
      <c r="O326" s="8" t="n">
        <f aca="false">N326*(1+Debt_Rate)+O324+O325</f>
        <v>33403.1860273973</v>
      </c>
      <c r="P326" s="8" t="n">
        <f aca="false">O326*(1+Debt_Rate)+P324+P325</f>
        <v>31855.2059734505</v>
      </c>
      <c r="Q326" s="8" t="n">
        <f aca="false">P326*(1+Debt_Rate)+Q324+Q325</f>
        <v>30229.8269168065</v>
      </c>
      <c r="R326" s="8" t="n">
        <f aca="false">Q326*(1+Debt_Rate)+R324+R325</f>
        <v>28523.1789073302</v>
      </c>
      <c r="S326" s="8" t="n">
        <f aca="false">R326*(1+Debt_Rate)+S324+S325</f>
        <v>26731.1984973801</v>
      </c>
      <c r="T326" s="8" t="n">
        <f aca="false">S326*(1+Debt_Rate)+T324+T325</f>
        <v>24849.6190669325</v>
      </c>
      <c r="U326" s="8" t="n">
        <f aca="false">T326*(1+Debt_Rate)+U324+U325</f>
        <v>22873.9606649625</v>
      </c>
      <c r="V326" s="8" t="n">
        <f aca="false">U326*(1+Debt_Rate)+V324+V325</f>
        <v>20799.5193428941</v>
      </c>
      <c r="W326" s="8" t="n">
        <f aca="false">V326*(1+Debt_Rate)+W324+W325</f>
        <v>18621.3559547222</v>
      </c>
      <c r="X326" s="8" t="n">
        <f aca="false">W326*(1+Debt_Rate)+X324+X325</f>
        <v>16334.2843971417</v>
      </c>
      <c r="Y326" s="8" t="n">
        <f aca="false">X326*(1+Debt_Rate)+Y324+Y325</f>
        <v>13932.8592616822</v>
      </c>
      <c r="Z326" s="8" t="n">
        <f aca="false">Y326*(1+Debt_Rate)+Z324+Z325</f>
        <v>11411.3628694497</v>
      </c>
      <c r="AA326" s="8" t="n">
        <f aca="false">Z326*(1+Debt_Rate)+AA324+AA325</f>
        <v>8763.79165760555</v>
      </c>
      <c r="AB326" s="8" t="n">
        <f aca="false">AA326*(1+Debt_Rate)+AB324+AB325</f>
        <v>5983.84188516923</v>
      </c>
      <c r="AC326" s="8" t="n">
        <f aca="false">AB326*(1+Debt_Rate)+AC324+AC325</f>
        <v>3064.89462411109</v>
      </c>
      <c r="AD326" s="8" t="n">
        <f aca="false">AC326*(1+Debt_Rate)+AD324+AD325</f>
        <v>5.00222085975111E-011</v>
      </c>
      <c r="AE326" s="8" t="n">
        <f aca="false">AD326*(1+Debt_Rate)+AE324+AE325</f>
        <v>5.25233190273866E-011</v>
      </c>
      <c r="AF326" s="8" t="n">
        <f aca="false">AE326*(1+Debt_Rate)+AF324+AF325</f>
        <v>5.51494849787559E-011</v>
      </c>
      <c r="AG326" s="8" t="n">
        <f aca="false">AF326*(1+Debt_Rate)+AG324+AG325</f>
        <v>5.79069592276937E-011</v>
      </c>
      <c r="AH326" s="8" t="n">
        <f aca="false">AG326*(1+Debt_Rate)+AH324+AH325</f>
        <v>6.08023071890784E-011</v>
      </c>
      <c r="AI326" s="8" t="n">
        <f aca="false">AH326*(1+Debt_Rate)+AI324+AI325</f>
        <v>6.38424225485324E-011</v>
      </c>
      <c r="AJ326" s="8" t="n">
        <f aca="false">AI326*(1+Debt_Rate)+AJ324+AJ325</f>
        <v>6.7034543675959E-011</v>
      </c>
      <c r="AK326" s="8" t="n">
        <f aca="false">AJ326*(1+Debt_Rate)+AK324+AK325</f>
        <v>7.03862708597569E-011</v>
      </c>
      <c r="AL326" s="8" t="n">
        <f aca="false">AK326*(1+Debt_Rate)+AL324+AL325</f>
        <v>7.39055844027448E-011</v>
      </c>
      <c r="AM326" s="8" t="n">
        <f aca="false">AL326*(1+Debt_Rate)+AM324+AM325</f>
        <v>7.7600863622882E-011</v>
      </c>
      <c r="AN326" s="8" t="n">
        <f aca="false">AM326*(1+Debt_Rate)+AN324+AN325</f>
        <v>8.14809068040261E-011</v>
      </c>
      <c r="AO326" s="8" t="n">
        <f aca="false">AN326*(1+Debt_Rate)+AO324+AO325</f>
        <v>8.55549521442275E-011</v>
      </c>
      <c r="AP326" s="8" t="n">
        <f aca="false">AO326*(1+Debt_Rate)+AP324+AP325</f>
        <v>8.98326997514388E-011</v>
      </c>
      <c r="AQ326" s="8" t="n">
        <f aca="false">AP326*(1+Debt_Rate)+AQ324+AQ325</f>
        <v>9.43243347390108E-011</v>
      </c>
      <c r="AR326" s="8" t="n">
        <f aca="false">AQ326*(1+Debt_Rate)+AR324+AR325</f>
        <v>9.90405514759613E-011</v>
      </c>
      <c r="AS326" s="8" t="n">
        <f aca="false">AR326*(1+Debt_Rate)+AS324+AS325</f>
        <v>1.03992579049759E-010</v>
      </c>
    </row>
    <row r="327" customFormat="false" ht="14.25" hidden="true" customHeight="false" outlineLevel="1" collapsed="false">
      <c r="C327" s="1" t="s">
        <v>246</v>
      </c>
      <c r="D327" s="2" t="s">
        <v>82</v>
      </c>
      <c r="H327" s="31" t="n">
        <f aca="false">SUM(J327:AS327)</f>
        <v>150478.509624783</v>
      </c>
      <c r="J327" s="31" t="n">
        <f aca="false">J323+J324+J325</f>
        <v>-436.301369863014</v>
      </c>
      <c r="K327" s="31" t="n">
        <f aca="false">K323+K324+K325</f>
        <v>-2728.76712328767</v>
      </c>
      <c r="L327" s="31" t="n">
        <f aca="false">L323+L324+L325</f>
        <v>-3359.81917808219</v>
      </c>
      <c r="M327" s="31" t="n">
        <f aca="false">M323+M324+M325</f>
        <v>-12009.375</v>
      </c>
      <c r="N327" s="31" t="n">
        <f aca="false">N323+N324+N325</f>
        <v>-24018.75</v>
      </c>
      <c r="O327" s="31" t="n">
        <f aca="false">O323+O324+O325</f>
        <v>22727.9818677397</v>
      </c>
      <c r="P327" s="31" t="n">
        <f aca="false">P323+P324+P325</f>
        <v>4078.88566407587</v>
      </c>
      <c r="Q327" s="31" t="n">
        <f aca="false">Q323+Q324+Q325</f>
        <v>5490.95588375094</v>
      </c>
      <c r="R327" s="31" t="n">
        <f aca="false">R323+R324+R325</f>
        <v>4121.63890404275</v>
      </c>
      <c r="S327" s="31" t="n">
        <f aca="false">S323+S324+S325</f>
        <v>4142.14654898009</v>
      </c>
      <c r="T327" s="31" t="n">
        <f aca="false">T323+T324+T325</f>
        <v>4162.04624355901</v>
      </c>
      <c r="U327" s="31" t="n">
        <f aca="false">U323+U324+U325</f>
        <v>4181.31579418227</v>
      </c>
      <c r="V327" s="31" t="n">
        <f aca="false">V323+V324+V325</f>
        <v>4199.93241532793</v>
      </c>
      <c r="W327" s="31" t="n">
        <f aca="false">W323+W324+W325</f>
        <v>4217.87271476732</v>
      </c>
      <c r="X327" s="31" t="n">
        <f aca="false">X323+X324+X325</f>
        <v>4235.11267841942</v>
      </c>
      <c r="Y327" s="31" t="n">
        <f aca="false">Y323+Y324+Y325</f>
        <v>4251.62765483292</v>
      </c>
      <c r="Z327" s="31" t="n">
        <f aca="false">Z323+Z324+Z325</f>
        <v>4267.3923392868</v>
      </c>
      <c r="AA327" s="31" t="n">
        <f aca="false">AA323+AA324+AA325</f>
        <v>4282.38075749991</v>
      </c>
      <c r="AB327" s="31" t="n">
        <f aca="false">AB323+AB324+AB325</f>
        <v>4296.56624894016</v>
      </c>
      <c r="AC327" s="31" t="n">
        <f aca="false">AC323+AC324+AC325</f>
        <v>4309.92144972344</v>
      </c>
      <c r="AD327" s="31" t="n">
        <f aca="false">AD323+AD324+AD325</f>
        <v>4322.41827509213</v>
      </c>
      <c r="AE327" s="31" t="n">
        <f aca="false">AE323+AE324+AE325</f>
        <v>7552.16725677961</v>
      </c>
      <c r="AF327" s="31" t="n">
        <f aca="false">AF323+AF324+AF325</f>
        <v>7562.86010335048</v>
      </c>
      <c r="AG327" s="31" t="n">
        <f aca="false">AG323+AG324+AG325</f>
        <v>7572.60581325478</v>
      </c>
      <c r="AH327" s="31" t="n">
        <f aca="false">AH323+AH324+AH325</f>
        <v>7581.3732342531</v>
      </c>
      <c r="AI327" s="31" t="n">
        <f aca="false">AI323+AI324+AI325</f>
        <v>7171.59057360766</v>
      </c>
      <c r="AJ327" s="31" t="n">
        <f aca="false">AJ323+AJ324+AJ325</f>
        <v>7178.30467918302</v>
      </c>
      <c r="AK327" s="31" t="n">
        <f aca="false">AK323+AK324+AK325</f>
        <v>7183.94206662414</v>
      </c>
      <c r="AL327" s="31" t="n">
        <f aca="false">AL323+AL324+AL325</f>
        <v>7188.46819944869</v>
      </c>
      <c r="AM327" s="31" t="n">
        <f aca="false">AM323+AM324+AM325</f>
        <v>7191.84764190439</v>
      </c>
      <c r="AN327" s="31" t="n">
        <f aca="false">AN323+AN324+AN325</f>
        <v>7194.04403663306</v>
      </c>
      <c r="AO327" s="31" t="n">
        <f aca="false">AO323+AO324+AO325</f>
        <v>7195.02008178602</v>
      </c>
      <c r="AP327" s="31" t="n">
        <f aca="false">AP323+AP324+AP325</f>
        <v>7194.73750757722</v>
      </c>
      <c r="AQ327" s="31" t="n">
        <f aca="false">AQ323+AQ324+AQ325</f>
        <v>7193.15705226035</v>
      </c>
      <c r="AR327" s="31" t="n">
        <f aca="false">AR323+AR324+AR325</f>
        <v>7190.23843751589</v>
      </c>
      <c r="AS327" s="31" t="n">
        <f aca="false">AS323+AS324+AS325</f>
        <v>3592.97017161669</v>
      </c>
    </row>
    <row r="328" customFormat="false" ht="14.25" hidden="true" customHeight="false" outlineLevel="1" collapsed="false">
      <c r="C328" s="6" t="s">
        <v>247</v>
      </c>
      <c r="D328" s="2" t="s">
        <v>3</v>
      </c>
      <c r="J328" s="46" t="str">
        <f aca="false">IF(J325&lt;0,(J319+J322)/-J325,"")</f>
        <v/>
      </c>
      <c r="K328" s="46" t="str">
        <f aca="false">IF(K325&lt;0,(K319+K322)/-K325,"")</f>
        <v/>
      </c>
      <c r="L328" s="46" t="str">
        <f aca="false">IF(L325&lt;0,(L319+L322)/-L325,"")</f>
        <v/>
      </c>
      <c r="M328" s="46" t="str">
        <f aca="false">IF(M325&lt;0,(M319+M322)/-M325,"")</f>
        <v/>
      </c>
      <c r="N328" s="46" t="str">
        <f aca="false">IF(N325&lt;0,(N319+N322)/-N325,"")</f>
        <v/>
      </c>
      <c r="O328" s="46" t="str">
        <f aca="false">IF(O325&lt;0,(O319+O322)/-O325,"")</f>
        <v/>
      </c>
      <c r="P328" s="46" t="n">
        <f aca="false">IF(P325&lt;0,(P319+P322)/-P325,"")</f>
        <v>2.26746707141108</v>
      </c>
      <c r="Q328" s="46" t="n">
        <f aca="false">IF(Q325&lt;0,(Q319+Q322)/-Q325,"")</f>
        <v>2.27419743898674</v>
      </c>
      <c r="R328" s="46" t="n">
        <f aca="false">IF(R325&lt;0,(R319+R322)/-R325,"")</f>
        <v>2.28075215177786</v>
      </c>
      <c r="S328" s="46" t="n">
        <f aca="false">IF(S325&lt;0,(S319+S322)/-S325,"")</f>
        <v>2.28712466790382</v>
      </c>
      <c r="T328" s="46" t="n">
        <f aca="false">IF(T325&lt;0,(T319+T322)/-T325,"")</f>
        <v>2.2933082704088</v>
      </c>
      <c r="U328" s="46" t="n">
        <f aca="false">IF(U325&lt;0,(U319+U322)/-U325,"")</f>
        <v>2.29929606288629</v>
      </c>
      <c r="V328" s="46" t="n">
        <f aca="false">IF(V325&lt;0,(V319+V322)/-V325,"")</f>
        <v>2.30508096499592</v>
      </c>
      <c r="W328" s="46" t="n">
        <f aca="false">IF(W325&lt;0,(W319+W322)/-W325,"")</f>
        <v>2.31065570787017</v>
      </c>
      <c r="X328" s="46" t="n">
        <f aca="false">IF(X325&lt;0,(X319+X322)/-X325,"")</f>
        <v>2.31601282940799</v>
      </c>
      <c r="Y328" s="46" t="n">
        <f aca="false">IF(Y325&lt;0,(Y319+Y322)/-Y325,"")</f>
        <v>2.32114466945284</v>
      </c>
      <c r="Z328" s="46" t="n">
        <f aca="false">IF(Z325&lt;0,(Z319+Z322)/-Z325,"")</f>
        <v>2.32604336485204</v>
      </c>
      <c r="AA328" s="46" t="n">
        <f aca="false">IF(AA325&lt;0,(AA319+AA322)/-AA325,"")</f>
        <v>2.33070084439479</v>
      </c>
      <c r="AB328" s="46" t="n">
        <f aca="false">IF(AB325&lt;0,(AB319+AB322)/-AB325,"")</f>
        <v>2.33510882362565</v>
      </c>
      <c r="AC328" s="46" t="n">
        <f aca="false">IF(AC325&lt;0,(AC319+AC322)/-AC325,"")</f>
        <v>2.33925879953058</v>
      </c>
      <c r="AD328" s="46" t="n">
        <f aca="false">IF(AD325&lt;0,(AD319+AD322)/-AD325,"")</f>
        <v>2.34314204509236</v>
      </c>
      <c r="AE328" s="46" t="str">
        <f aca="false">IF(AE325&lt;0,(AE319+AE322)/-AE325,"")</f>
        <v/>
      </c>
      <c r="AF328" s="46" t="str">
        <f aca="false">IF(AF325&lt;0,(AF319+AF322)/-AF325,"")</f>
        <v/>
      </c>
      <c r="AG328" s="46" t="str">
        <f aca="false">IF(AG325&lt;0,(AG319+AG322)/-AG325,"")</f>
        <v/>
      </c>
      <c r="AH328" s="46" t="str">
        <f aca="false">IF(AH325&lt;0,(AH319+AH322)/-AH325,"")</f>
        <v/>
      </c>
      <c r="AI328" s="46" t="str">
        <f aca="false">IF(AI325&lt;0,(AI319+AI322)/-AI325,"")</f>
        <v/>
      </c>
      <c r="AJ328" s="46" t="str">
        <f aca="false">IF(AJ325&lt;0,(AJ319+AJ322)/-AJ325,"")</f>
        <v/>
      </c>
      <c r="AK328" s="46" t="str">
        <f aca="false">IF(AK325&lt;0,(AK319+AK322)/-AK325,"")</f>
        <v/>
      </c>
      <c r="AL328" s="46" t="str">
        <f aca="false">IF(AL325&lt;0,(AL319+AL322)/-AL325,"")</f>
        <v/>
      </c>
      <c r="AM328" s="46" t="str">
        <f aca="false">IF(AM325&lt;0,(AM319+AM322)/-AM325,"")</f>
        <v/>
      </c>
      <c r="AN328" s="46" t="str">
        <f aca="false">IF(AN325&lt;0,(AN319+AN322)/-AN325,"")</f>
        <v/>
      </c>
      <c r="AO328" s="46" t="str">
        <f aca="false">IF(AO325&lt;0,(AO319+AO322)/-AO325,"")</f>
        <v/>
      </c>
      <c r="AP328" s="46" t="str">
        <f aca="false">IF(AP325&lt;0,(AP319+AP322)/-AP325,"")</f>
        <v/>
      </c>
      <c r="AQ328" s="46" t="str">
        <f aca="false">IF(AQ325&lt;0,(AQ319+AQ322)/-AQ325,"")</f>
        <v/>
      </c>
      <c r="AR328" s="46" t="str">
        <f aca="false">IF(AR325&lt;0,(AR319+AR322)/-AR325,"")</f>
        <v/>
      </c>
      <c r="AS328" s="46" t="str">
        <f aca="false">IF(AS325&lt;0,(AS319+AS322)/-AS325,"")</f>
        <v/>
      </c>
    </row>
    <row r="329" customFormat="false" ht="14.25" hidden="true" customHeight="false" outlineLevel="1" collapsed="false">
      <c r="C329" s="6" t="s">
        <v>248</v>
      </c>
      <c r="D329" s="2" t="s">
        <v>3</v>
      </c>
      <c r="J329" s="56" t="n">
        <f aca="false">(1+Discount_Rate)^((Inputs!$F$33-J$253)/Days_In_Year)</f>
        <v>1.41371255107938</v>
      </c>
      <c r="K329" s="56" t="n">
        <f aca="false">(1+Discount_Rate)^((Inputs!$F$33-K$253)/Days_In_Year)</f>
        <v>1.30899310285128</v>
      </c>
      <c r="L329" s="56" t="n">
        <f aca="false">(1+Discount_Rate)^((Inputs!$F$33-L$253)/Days_In_Year)</f>
        <v>1.21177511843915</v>
      </c>
      <c r="M329" s="56" t="n">
        <f aca="false">(1+Discount_Rate)^((Inputs!$F$33-M$253)/Days_In_Year)</f>
        <v>1.12201399855477</v>
      </c>
      <c r="N329" s="56" t="n">
        <f aca="false">(1+Discount_Rate)^((Inputs!$F$33-N$253)/Days_In_Year)</f>
        <v>1.03890185051367</v>
      </c>
      <c r="O329" s="56" t="n">
        <f aca="false">(1+Discount_Rate)^((Inputs!$F$33-O$253)/Days_In_Year)</f>
        <v>0.961946157883031</v>
      </c>
      <c r="P329" s="56" t="n">
        <f aca="false">(1+Discount_Rate)^((Inputs!$F$33-P$253)/Days_In_Year)</f>
        <v>0.890503102622714</v>
      </c>
      <c r="Q329" s="56" t="n">
        <f aca="false">(1+Discount_Rate)^((Inputs!$F$33-Q$253)/Days_In_Year)</f>
        <v>0.824539909835846</v>
      </c>
      <c r="R329" s="56" t="n">
        <f aca="false">(1+Discount_Rate)^((Inputs!$F$33-R$253)/Days_In_Year)</f>
        <v>0.763462879477635</v>
      </c>
      <c r="S329" s="56" t="n">
        <f aca="false">(1+Discount_Rate)^((Inputs!$F$33-S$253)/Days_In_Year)</f>
        <v>0.706910073590403</v>
      </c>
      <c r="T329" s="56" t="n">
        <f aca="false">(1+Discount_Rate)^((Inputs!$F$33-T$253)/Days_In_Year)</f>
        <v>0.654408366464987</v>
      </c>
      <c r="U329" s="56" t="n">
        <f aca="false">(1+Discount_Rate)^((Inputs!$F$33-U$253)/Days_In_Year)</f>
        <v>0.605933672652766</v>
      </c>
      <c r="V329" s="56" t="n">
        <f aca="false">(1+Discount_Rate)^((Inputs!$F$33-V$253)/Days_In_Year)</f>
        <v>0.561049696900709</v>
      </c>
      <c r="W329" s="56" t="n">
        <f aca="false">(1+Discount_Rate)^((Inputs!$F$33-W$253)/Days_In_Year)</f>
        <v>0.519490460093249</v>
      </c>
      <c r="X329" s="56" t="n">
        <f aca="false">(1+Discount_Rate)^((Inputs!$F$33-X$253)/Days_In_Year)</f>
        <v>0.480908274028566</v>
      </c>
      <c r="Y329" s="56" t="n">
        <f aca="false">(1+Discount_Rate)^((Inputs!$F$33-Y$253)/Days_In_Year)</f>
        <v>0.445285438915339</v>
      </c>
      <c r="Z329" s="56" t="n">
        <f aca="false">(1+Discount_Rate)^((Inputs!$F$33-Z$253)/Days_In_Year)</f>
        <v>0.412301332329018</v>
      </c>
      <c r="AA329" s="56" t="n">
        <f aca="false">(1+Discount_Rate)^((Inputs!$F$33-AA$253)/Days_In_Year)</f>
        <v>0.381760492897239</v>
      </c>
      <c r="AB329" s="56" t="n">
        <f aca="false">(1+Discount_Rate)^((Inputs!$F$33-AB$253)/Days_In_Year)</f>
        <v>0.353407413292154</v>
      </c>
      <c r="AC329" s="56" t="n">
        <f aca="false">(1+Discount_Rate)^((Inputs!$F$33-AC$253)/Days_In_Year)</f>
        <v>0.327229086381624</v>
      </c>
      <c r="AD329" s="56" t="n">
        <f aca="false">(1+Discount_Rate)^((Inputs!$F$33-AD$253)/Days_In_Year)</f>
        <v>0.3029898947978</v>
      </c>
      <c r="AE329" s="56" t="n">
        <f aca="false">(1+Discount_Rate)^((Inputs!$F$33-AE$253)/Days_In_Year)</f>
        <v>0.280546198886852</v>
      </c>
      <c r="AF329" s="56" t="n">
        <f aca="false">(1+Discount_Rate)^((Inputs!$F$33-AF$253)/Days_In_Year)</f>
        <v>0.259710232730228</v>
      </c>
      <c r="AG329" s="56" t="n">
        <f aca="false">(1+Discount_Rate)^((Inputs!$F$33-AG$253)/Days_In_Year)</f>
        <v>0.240472437713174</v>
      </c>
      <c r="AH329" s="56" t="n">
        <f aca="false">(1+Discount_Rate)^((Inputs!$F$33-AH$253)/Days_In_Year)</f>
        <v>0.222659664549235</v>
      </c>
      <c r="AI329" s="56" t="n">
        <f aca="false">(1+Discount_Rate)^((Inputs!$F$33-AI$253)/Days_In_Year)</f>
        <v>0.206166356064106</v>
      </c>
      <c r="AJ329" s="56" t="n">
        <f aca="false">(1+Discount_Rate)^((Inputs!$F$33-AJ$253)/Days_In_Year)</f>
        <v>0.190854527799705</v>
      </c>
      <c r="AK329" s="56" t="n">
        <f aca="false">(1+Discount_Rate)^((Inputs!$F$33-AK$253)/Days_In_Year)</f>
        <v>0.176717155370097</v>
      </c>
      <c r="AL329" s="56" t="n">
        <f aca="false">(1+Discount_Rate)^((Inputs!$F$33-AL$253)/Days_In_Year)</f>
        <v>0.163626995713053</v>
      </c>
      <c r="AM329" s="56" t="n">
        <f aca="false">(1+Discount_Rate)^((Inputs!$F$33-AM$253)/Days_In_Year)</f>
        <v>0.151506477512086</v>
      </c>
      <c r="AN329" s="56" t="n">
        <f aca="false">(1+Discount_Rate)^((Inputs!$F$33-AN$253)/Days_In_Year)</f>
        <v>0.140254199454224</v>
      </c>
      <c r="AO329" s="56" t="n">
        <f aca="false">(1+Discount_Rate)^((Inputs!$F$33-AO$253)/Days_In_Year)</f>
        <v>0.129864999494652</v>
      </c>
      <c r="AP329" s="56" t="n">
        <f aca="false">(1+Discount_Rate)^((Inputs!$F$33-AP$253)/Days_In_Year)</f>
        <v>0.120245369902455</v>
      </c>
      <c r="AQ329" s="56" t="n">
        <f aca="false">(1+Discount_Rate)^((Inputs!$F$33-AQ$253)/Days_In_Year)</f>
        <v>0.111338305465236</v>
      </c>
      <c r="AR329" s="56" t="n">
        <f aca="false">(1+Discount_Rate)^((Inputs!$F$33-AR$253)/Days_In_Year)</f>
        <v>0.103069288904634</v>
      </c>
      <c r="AS329" s="56" t="n">
        <f aca="false">(1+Discount_Rate)^((Inputs!$F$33-AS$253)/Days_In_Year)</f>
        <v>0.0954345267635496</v>
      </c>
    </row>
    <row r="330" customFormat="false" ht="14.25" hidden="true" customHeight="false" outlineLevel="1" collapsed="false">
      <c r="C330" s="6" t="s">
        <v>249</v>
      </c>
      <c r="D330" s="2" t="s">
        <v>82</v>
      </c>
      <c r="H330" s="8" t="n">
        <f aca="false">SUM(J330:AS330)</f>
        <v>92990.4735617666</v>
      </c>
      <c r="J330" s="8" t="n">
        <f aca="false">J319*J329</f>
        <v>0</v>
      </c>
      <c r="K330" s="8" t="n">
        <f aca="false">K319*K329</f>
        <v>0</v>
      </c>
      <c r="L330" s="8" t="n">
        <f aca="false">L319*L329</f>
        <v>0</v>
      </c>
      <c r="M330" s="8" t="n">
        <f aca="false">M319*M329</f>
        <v>0</v>
      </c>
      <c r="N330" s="8" t="n">
        <f aca="false">N319*N329</f>
        <v>0</v>
      </c>
      <c r="O330" s="8" t="n">
        <f aca="false">O319*O329</f>
        <v>3866.60597386265</v>
      </c>
      <c r="P330" s="8" t="n">
        <f aca="false">P319*P329</f>
        <v>7207.29754088064</v>
      </c>
      <c r="Q330" s="8" t="n">
        <f aca="false">Q319*Q329</f>
        <v>6694.43414887321</v>
      </c>
      <c r="R330" s="8" t="n">
        <f aca="false">R319*R329</f>
        <v>6217.49657325327</v>
      </c>
      <c r="S330" s="8" t="n">
        <f aca="false">S319*S329</f>
        <v>5773.99663716825</v>
      </c>
      <c r="T330" s="8" t="n">
        <f aca="false">T319*T329</f>
        <v>5360.48664344961</v>
      </c>
      <c r="U330" s="8" t="n">
        <f aca="false">U319*U329</f>
        <v>4977.15011119613</v>
      </c>
      <c r="V330" s="8" t="n">
        <f aca="false">V319*V329</f>
        <v>4620.76038359465</v>
      </c>
      <c r="W330" s="8" t="n">
        <f aca="false">W319*W329</f>
        <v>4289.44632420286</v>
      </c>
      <c r="X330" s="8" t="n">
        <f aca="false">X319*X329</f>
        <v>3980.62613494148</v>
      </c>
      <c r="Y330" s="8" t="n">
        <f aca="false">Y319*Y329</f>
        <v>3694.41656155</v>
      </c>
      <c r="Z330" s="8" t="n">
        <f aca="false">Z319*Z329</f>
        <v>3428.40289951406</v>
      </c>
      <c r="AA330" s="8" t="n">
        <f aca="false">AA319*AA329</f>
        <v>3181.17887732649</v>
      </c>
      <c r="AB330" s="8" t="n">
        <f aca="false">AB319*AB329</f>
        <v>2950.81294074317</v>
      </c>
      <c r="AC330" s="8" t="n">
        <f aca="false">AC319*AC329</f>
        <v>2737.37562809859</v>
      </c>
      <c r="AD330" s="8" t="n">
        <f aca="false">AD319*AD329</f>
        <v>2539.06166517633</v>
      </c>
      <c r="AE330" s="8" t="n">
        <f aca="false">AE319*AE329</f>
        <v>2354.81483101594</v>
      </c>
      <c r="AF330" s="8" t="n">
        <f aca="false">AF319*AF329</f>
        <v>2183.19152039232</v>
      </c>
      <c r="AG330" s="8" t="n">
        <f aca="false">AG319*AG329</f>
        <v>2024.23077660223</v>
      </c>
      <c r="AH330" s="8" t="n">
        <f aca="false">AH319*AH329</f>
        <v>1876.58440437017</v>
      </c>
      <c r="AI330" s="8" t="n">
        <f aca="false">AI319*AI329</f>
        <v>1739.45964205222</v>
      </c>
      <c r="AJ330" s="8" t="n">
        <f aca="false">AJ319*AJ329</f>
        <v>1611.77876464457</v>
      </c>
      <c r="AK330" s="8" t="n">
        <f aca="false">AK319*AK329</f>
        <v>1493.55977218517</v>
      </c>
      <c r="AL330" s="8" t="n">
        <f aca="false">AL319*AL329</f>
        <v>1383.79700618189</v>
      </c>
      <c r="AM330" s="8" t="n">
        <f aca="false">AM319*AM329</f>
        <v>1281.89588591592</v>
      </c>
      <c r="AN330" s="8" t="n">
        <f aca="false">AN319*AN329</f>
        <v>1187.05280846636</v>
      </c>
      <c r="AO330" s="8" t="n">
        <f aca="false">AO319*AO329</f>
        <v>1099.27209327665</v>
      </c>
      <c r="AP330" s="8" t="n">
        <f aca="false">AP319*AP329</f>
        <v>1017.8045564114</v>
      </c>
      <c r="AQ330" s="8" t="n">
        <f aca="false">AQ319*AQ329</f>
        <v>942.204608404684</v>
      </c>
      <c r="AR330" s="8" t="n">
        <f aca="false">AR319*AR329</f>
        <v>871.873838599442</v>
      </c>
      <c r="AS330" s="8" t="n">
        <f aca="false">AS319*AS329</f>
        <v>403.404009416221</v>
      </c>
    </row>
    <row r="331" customFormat="false" ht="14.25" hidden="true" customHeight="false" outlineLevel="1" collapsed="false">
      <c r="C331" s="1" t="s">
        <v>250</v>
      </c>
      <c r="D331" s="2" t="s">
        <v>82</v>
      </c>
      <c r="H331" s="31" t="n">
        <f aca="false">SUM(J331:AS331)</f>
        <v>37318.4968494378</v>
      </c>
      <c r="J331" s="31" t="n">
        <f aca="false">J305*(J295&lt;=0)+J300*($H330+$F$59+$F$60)</f>
        <v>-436.301369863014</v>
      </c>
      <c r="K331" s="31" t="n">
        <f aca="false">K305*(K295&lt;=0)+K300*($H330+$F$59+$F$60)</f>
        <v>-2728.76712328767</v>
      </c>
      <c r="L331" s="31" t="n">
        <f aca="false">L305*(L295&lt;=0)+L300*($H330+$F$59+$F$60)</f>
        <v>-3359.81917808219</v>
      </c>
      <c r="M331" s="31" t="n">
        <f aca="false">M305*(M295&lt;=0)+M300*($H330+$F$59+$F$60)</f>
        <v>-12009.375</v>
      </c>
      <c r="N331" s="31" t="n">
        <f aca="false">N305*(N295&lt;=0)+N300*($H330+$F$59+$F$60)</f>
        <v>-24018.75</v>
      </c>
      <c r="O331" s="31" t="n">
        <f aca="false">O305*(O295&lt;=0)+O300*($H330+$F$59+$F$60)</f>
        <v>79871.5095206707</v>
      </c>
      <c r="P331" s="31" t="n">
        <f aca="false">P305*(P295&lt;=0)+P300*($H330+$F$59+$F$60)</f>
        <v>0</v>
      </c>
      <c r="Q331" s="31" t="n">
        <f aca="false">Q305*(Q295&lt;=0)+Q300*($H330+$F$59+$F$60)</f>
        <v>0</v>
      </c>
      <c r="R331" s="31" t="n">
        <f aca="false">R305*(R295&lt;=0)+R300*($H330+$F$59+$F$60)</f>
        <v>0</v>
      </c>
      <c r="S331" s="31" t="n">
        <f aca="false">S305*(S295&lt;=0)+S300*($H330+$F$59+$F$60)</f>
        <v>0</v>
      </c>
      <c r="T331" s="31" t="n">
        <f aca="false">T305*(T295&lt;=0)+T300*($H330+$F$59+$F$60)</f>
        <v>0</v>
      </c>
      <c r="U331" s="31" t="n">
        <f aca="false">U305*(U295&lt;=0)+U300*($H330+$F$59+$F$60)</f>
        <v>0</v>
      </c>
      <c r="V331" s="31" t="n">
        <f aca="false">V305*(V295&lt;=0)+V300*($H330+$F$59+$F$60)</f>
        <v>0</v>
      </c>
      <c r="W331" s="31" t="n">
        <f aca="false">W305*(W295&lt;=0)+W300*($H330+$F$59+$F$60)</f>
        <v>0</v>
      </c>
      <c r="X331" s="31" t="n">
        <f aca="false">X305*(X295&lt;=0)+X300*($H330+$F$59+$F$60)</f>
        <v>0</v>
      </c>
      <c r="Y331" s="31" t="n">
        <f aca="false">Y305*(Y295&lt;=0)+Y300*($H330+$F$59+$F$60)</f>
        <v>0</v>
      </c>
      <c r="Z331" s="31" t="n">
        <f aca="false">Z305*(Z295&lt;=0)+Z300*($H330+$F$59+$F$60)</f>
        <v>0</v>
      </c>
      <c r="AA331" s="31" t="n">
        <f aca="false">AA305*(AA295&lt;=0)+AA300*($H330+$F$59+$F$60)</f>
        <v>0</v>
      </c>
      <c r="AB331" s="31" t="n">
        <f aca="false">AB305*(AB295&lt;=0)+AB300*($H330+$F$59+$F$60)</f>
        <v>0</v>
      </c>
      <c r="AC331" s="31" t="n">
        <f aca="false">AC305*(AC295&lt;=0)+AC300*($H330+$F$59+$F$60)</f>
        <v>0</v>
      </c>
      <c r="AD331" s="31" t="n">
        <f aca="false">AD305*(AD295&lt;=0)+AD300*($H330+$F$59+$F$60)</f>
        <v>0</v>
      </c>
      <c r="AE331" s="31" t="n">
        <f aca="false">AE305*(AE295&lt;=0)+AE300*($H330+$F$59+$F$60)</f>
        <v>0</v>
      </c>
      <c r="AF331" s="31" t="n">
        <f aca="false">AF305*(AF295&lt;=0)+AF300*($H330+$F$59+$F$60)</f>
        <v>0</v>
      </c>
      <c r="AG331" s="31" t="n">
        <f aca="false">AG305*(AG295&lt;=0)+AG300*($H330+$F$59+$F$60)</f>
        <v>0</v>
      </c>
      <c r="AH331" s="31" t="n">
        <f aca="false">AH305*(AH295&lt;=0)+AH300*($H330+$F$59+$F$60)</f>
        <v>0</v>
      </c>
      <c r="AI331" s="31" t="n">
        <f aca="false">AI305*(AI295&lt;=0)+AI300*($H330+$F$59+$F$60)</f>
        <v>0</v>
      </c>
      <c r="AJ331" s="31" t="n">
        <f aca="false">AJ305*(AJ295&lt;=0)+AJ300*($H330+$F$59+$F$60)</f>
        <v>0</v>
      </c>
      <c r="AK331" s="31" t="n">
        <f aca="false">AK305*(AK295&lt;=0)+AK300*($H330+$F$59+$F$60)</f>
        <v>0</v>
      </c>
      <c r="AL331" s="31" t="n">
        <f aca="false">AL305*(AL295&lt;=0)+AL300*($H330+$F$59+$F$60)</f>
        <v>0</v>
      </c>
      <c r="AM331" s="31" t="n">
        <f aca="false">AM305*(AM295&lt;=0)+AM300*($H330+$F$59+$F$60)</f>
        <v>0</v>
      </c>
      <c r="AN331" s="31" t="n">
        <f aca="false">AN305*(AN295&lt;=0)+AN300*($H330+$F$59+$F$60)</f>
        <v>0</v>
      </c>
      <c r="AO331" s="31" t="n">
        <f aca="false">AO305*(AO295&lt;=0)+AO300*($H330+$F$59+$F$60)</f>
        <v>0</v>
      </c>
      <c r="AP331" s="31" t="n">
        <f aca="false">AP305*(AP295&lt;=0)+AP300*($H330+$F$59+$F$60)</f>
        <v>0</v>
      </c>
      <c r="AQ331" s="31" t="n">
        <f aca="false">AQ305*(AQ295&lt;=0)+AQ300*($H330+$F$59+$F$60)</f>
        <v>0</v>
      </c>
      <c r="AR331" s="31" t="n">
        <f aca="false">AR305*(AR295&lt;=0)+AR300*($H330+$F$59+$F$60)</f>
        <v>0</v>
      </c>
      <c r="AS331" s="31" t="n">
        <f aca="false">AS305*(AS295&lt;=0)+AS300*($H330+$F$59+$F$60)</f>
        <v>0</v>
      </c>
    </row>
    <row r="332" customFormat="false" ht="14.25" hidden="true" customHeight="false" outlineLevel="1" collapsed="false"/>
    <row r="333" customFormat="false" ht="14.25" hidden="true" customHeight="false" outlineLevel="1" collapsed="false">
      <c r="B333" s="4" t="s">
        <v>3</v>
      </c>
      <c r="C333" s="4" t="s">
        <v>252</v>
      </c>
      <c r="D333" s="4"/>
      <c r="E333" s="5"/>
      <c r="F333" s="5"/>
      <c r="G333" s="5" t="s">
        <v>212</v>
      </c>
      <c r="H333" s="5" t="s">
        <v>8</v>
      </c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</row>
    <row r="334" customFormat="false" ht="14.25" hidden="true" customHeight="false" outlineLevel="1" collapsed="false">
      <c r="C334" s="6" t="s">
        <v>213</v>
      </c>
      <c r="D334" s="2" t="s">
        <v>214</v>
      </c>
      <c r="J334" s="51" t="n">
        <f aca="false">J$252-YEAR(Inputs!$G$33)</f>
        <v>-5</v>
      </c>
      <c r="K334" s="51" t="n">
        <f aca="false">K$252-YEAR(Inputs!$G$33)</f>
        <v>-4</v>
      </c>
      <c r="L334" s="51" t="n">
        <f aca="false">L$252-YEAR(Inputs!$G$33)</f>
        <v>-3</v>
      </c>
      <c r="M334" s="51" t="n">
        <f aca="false">M$252-YEAR(Inputs!$G$33)</f>
        <v>-2</v>
      </c>
      <c r="N334" s="51" t="n">
        <f aca="false">N$252-YEAR(Inputs!$G$33)</f>
        <v>-1</v>
      </c>
      <c r="O334" s="51" t="n">
        <f aca="false">O$252-YEAR(Inputs!$G$33)</f>
        <v>0</v>
      </c>
      <c r="P334" s="51" t="n">
        <f aca="false">P$252-YEAR(Inputs!$G$33)</f>
        <v>1</v>
      </c>
      <c r="Q334" s="51" t="n">
        <f aca="false">Q$252-YEAR(Inputs!$G$33)</f>
        <v>2</v>
      </c>
      <c r="R334" s="51" t="n">
        <f aca="false">R$252-YEAR(Inputs!$G$33)</f>
        <v>3</v>
      </c>
      <c r="S334" s="51" t="n">
        <f aca="false">S$252-YEAR(Inputs!$G$33)</f>
        <v>4</v>
      </c>
      <c r="T334" s="51" t="n">
        <f aca="false">T$252-YEAR(Inputs!$G$33)</f>
        <v>5</v>
      </c>
      <c r="U334" s="51" t="n">
        <f aca="false">U$252-YEAR(Inputs!$G$33)</f>
        <v>6</v>
      </c>
      <c r="V334" s="51" t="n">
        <f aca="false">V$252-YEAR(Inputs!$G$33)</f>
        <v>7</v>
      </c>
      <c r="W334" s="51" t="n">
        <f aca="false">W$252-YEAR(Inputs!$G$33)</f>
        <v>8</v>
      </c>
      <c r="X334" s="51" t="n">
        <f aca="false">X$252-YEAR(Inputs!$G$33)</f>
        <v>9</v>
      </c>
      <c r="Y334" s="51" t="n">
        <f aca="false">Y$252-YEAR(Inputs!$G$33)</f>
        <v>10</v>
      </c>
      <c r="Z334" s="51" t="n">
        <f aca="false">Z$252-YEAR(Inputs!$G$33)</f>
        <v>11</v>
      </c>
      <c r="AA334" s="51" t="n">
        <f aca="false">AA$252-YEAR(Inputs!$G$33)</f>
        <v>12</v>
      </c>
      <c r="AB334" s="51" t="n">
        <f aca="false">AB$252-YEAR(Inputs!$G$33)</f>
        <v>13</v>
      </c>
      <c r="AC334" s="51" t="n">
        <f aca="false">AC$252-YEAR(Inputs!$G$33)</f>
        <v>14</v>
      </c>
      <c r="AD334" s="51" t="n">
        <f aca="false">AD$252-YEAR(Inputs!$G$33)</f>
        <v>15</v>
      </c>
      <c r="AE334" s="51" t="n">
        <f aca="false">AE$252-YEAR(Inputs!$G$33)</f>
        <v>16</v>
      </c>
      <c r="AF334" s="51" t="n">
        <f aca="false">AF$252-YEAR(Inputs!$G$33)</f>
        <v>17</v>
      </c>
      <c r="AG334" s="51" t="n">
        <f aca="false">AG$252-YEAR(Inputs!$G$33)</f>
        <v>18</v>
      </c>
      <c r="AH334" s="51" t="n">
        <f aca="false">AH$252-YEAR(Inputs!$G$33)</f>
        <v>19</v>
      </c>
      <c r="AI334" s="51" t="n">
        <f aca="false">AI$252-YEAR(Inputs!$G$33)</f>
        <v>20</v>
      </c>
      <c r="AJ334" s="51" t="n">
        <f aca="false">AJ$252-YEAR(Inputs!$G$33)</f>
        <v>21</v>
      </c>
      <c r="AK334" s="51" t="n">
        <f aca="false">AK$252-YEAR(Inputs!$G$33)</f>
        <v>22</v>
      </c>
      <c r="AL334" s="51" t="n">
        <f aca="false">AL$252-YEAR(Inputs!$G$33)</f>
        <v>23</v>
      </c>
      <c r="AM334" s="51" t="n">
        <f aca="false">AM$252-YEAR(Inputs!$G$33)</f>
        <v>24</v>
      </c>
      <c r="AN334" s="51" t="n">
        <f aca="false">AN$252-YEAR(Inputs!$G$33)</f>
        <v>25</v>
      </c>
      <c r="AO334" s="51" t="n">
        <f aca="false">AO$252-YEAR(Inputs!$G$33)</f>
        <v>26</v>
      </c>
      <c r="AP334" s="51" t="n">
        <f aca="false">AP$252-YEAR(Inputs!$G$33)</f>
        <v>27</v>
      </c>
      <c r="AQ334" s="51" t="n">
        <f aca="false">AQ$252-YEAR(Inputs!$G$33)</f>
        <v>28</v>
      </c>
      <c r="AR334" s="51" t="n">
        <f aca="false">AR$252-YEAR(Inputs!$G$33)</f>
        <v>29</v>
      </c>
      <c r="AS334" s="51" t="n">
        <f aca="false">AS$252-YEAR(Inputs!$G$33)</f>
        <v>30</v>
      </c>
    </row>
    <row r="335" customFormat="false" ht="14.25" hidden="true" customHeight="false" outlineLevel="1" collapsed="false">
      <c r="C335" s="6" t="s">
        <v>215</v>
      </c>
      <c r="D335" s="2" t="s">
        <v>216</v>
      </c>
      <c r="G335" s="51" t="n">
        <f aca="false">DATEDIF(Inputs!$G$32,Inputs!$G$33,"m")</f>
        <v>24</v>
      </c>
      <c r="J335" s="51" t="n">
        <f aca="false">(J$252+1-YEAR(Inputs!$G$32))*Months_In_Year-MONTH(Inputs!$G$32)</f>
        <v>-30</v>
      </c>
      <c r="K335" s="51" t="n">
        <f aca="false">(K$252+1-YEAR(Inputs!$G$32))*Months_In_Year-MONTH(Inputs!$G$32)</f>
        <v>-18</v>
      </c>
      <c r="L335" s="51" t="n">
        <f aca="false">(L$252+1-YEAR(Inputs!$G$32))*Months_In_Year-MONTH(Inputs!$G$32)</f>
        <v>-6</v>
      </c>
      <c r="M335" s="51" t="n">
        <f aca="false">(M$252+1-YEAR(Inputs!$G$32))*Months_In_Year-MONTH(Inputs!$G$32)</f>
        <v>6</v>
      </c>
      <c r="N335" s="51" t="n">
        <f aca="false">(N$252+1-YEAR(Inputs!$G$32))*Months_In_Year-MONTH(Inputs!$G$32)</f>
        <v>18</v>
      </c>
      <c r="O335" s="51" t="n">
        <f aca="false">(O$252+1-YEAR(Inputs!$G$32))*Months_In_Year-MONTH(Inputs!$G$32)</f>
        <v>30</v>
      </c>
      <c r="P335" s="51" t="n">
        <f aca="false">(P$252+1-YEAR(Inputs!$G$32))*Months_In_Year-MONTH(Inputs!$G$32)</f>
        <v>42</v>
      </c>
      <c r="Q335" s="51" t="n">
        <f aca="false">(Q$252+1-YEAR(Inputs!$G$32))*Months_In_Year-MONTH(Inputs!$G$32)</f>
        <v>54</v>
      </c>
      <c r="R335" s="51" t="n">
        <f aca="false">(R$252+1-YEAR(Inputs!$G$32))*Months_In_Year-MONTH(Inputs!$G$32)</f>
        <v>66</v>
      </c>
      <c r="S335" s="51" t="n">
        <f aca="false">(S$252+1-YEAR(Inputs!$G$32))*Months_In_Year-MONTH(Inputs!$G$32)</f>
        <v>78</v>
      </c>
      <c r="T335" s="51" t="n">
        <f aca="false">(T$252+1-YEAR(Inputs!$G$32))*Months_In_Year-MONTH(Inputs!$G$32)</f>
        <v>90</v>
      </c>
      <c r="U335" s="51" t="n">
        <f aca="false">(U$252+1-YEAR(Inputs!$G$32))*Months_In_Year-MONTH(Inputs!$G$32)</f>
        <v>102</v>
      </c>
      <c r="V335" s="51" t="n">
        <f aca="false">(V$252+1-YEAR(Inputs!$G$32))*Months_In_Year-MONTH(Inputs!$G$32)</f>
        <v>114</v>
      </c>
      <c r="W335" s="51" t="n">
        <f aca="false">(W$252+1-YEAR(Inputs!$G$32))*Months_In_Year-MONTH(Inputs!$G$32)</f>
        <v>126</v>
      </c>
      <c r="X335" s="51" t="n">
        <f aca="false">(X$252+1-YEAR(Inputs!$G$32))*Months_In_Year-MONTH(Inputs!$G$32)</f>
        <v>138</v>
      </c>
      <c r="Y335" s="51" t="n">
        <f aca="false">(Y$252+1-YEAR(Inputs!$G$32))*Months_In_Year-MONTH(Inputs!$G$32)</f>
        <v>150</v>
      </c>
      <c r="Z335" s="51" t="n">
        <f aca="false">(Z$252+1-YEAR(Inputs!$G$32))*Months_In_Year-MONTH(Inputs!$G$32)</f>
        <v>162</v>
      </c>
      <c r="AA335" s="51" t="n">
        <f aca="false">(AA$252+1-YEAR(Inputs!$G$32))*Months_In_Year-MONTH(Inputs!$G$32)</f>
        <v>174</v>
      </c>
      <c r="AB335" s="51" t="n">
        <f aca="false">(AB$252+1-YEAR(Inputs!$G$32))*Months_In_Year-MONTH(Inputs!$G$32)</f>
        <v>186</v>
      </c>
      <c r="AC335" s="51" t="n">
        <f aca="false">(AC$252+1-YEAR(Inputs!$G$32))*Months_In_Year-MONTH(Inputs!$G$32)</f>
        <v>198</v>
      </c>
      <c r="AD335" s="51" t="n">
        <f aca="false">(AD$252+1-YEAR(Inputs!$G$32))*Months_In_Year-MONTH(Inputs!$G$32)</f>
        <v>210</v>
      </c>
      <c r="AE335" s="51" t="n">
        <f aca="false">(AE$252+1-YEAR(Inputs!$G$32))*Months_In_Year-MONTH(Inputs!$G$32)</f>
        <v>222</v>
      </c>
      <c r="AF335" s="51" t="n">
        <f aca="false">(AF$252+1-YEAR(Inputs!$G$32))*Months_In_Year-MONTH(Inputs!$G$32)</f>
        <v>234</v>
      </c>
      <c r="AG335" s="51" t="n">
        <f aca="false">(AG$252+1-YEAR(Inputs!$G$32))*Months_In_Year-MONTH(Inputs!$G$32)</f>
        <v>246</v>
      </c>
      <c r="AH335" s="51" t="n">
        <f aca="false">(AH$252+1-YEAR(Inputs!$G$32))*Months_In_Year-MONTH(Inputs!$G$32)</f>
        <v>258</v>
      </c>
      <c r="AI335" s="51" t="n">
        <f aca="false">(AI$252+1-YEAR(Inputs!$G$32))*Months_In_Year-MONTH(Inputs!$G$32)</f>
        <v>270</v>
      </c>
      <c r="AJ335" s="51" t="n">
        <f aca="false">(AJ$252+1-YEAR(Inputs!$G$32))*Months_In_Year-MONTH(Inputs!$G$32)</f>
        <v>282</v>
      </c>
      <c r="AK335" s="51" t="n">
        <f aca="false">(AK$252+1-YEAR(Inputs!$G$32))*Months_In_Year-MONTH(Inputs!$G$32)</f>
        <v>294</v>
      </c>
      <c r="AL335" s="51" t="n">
        <f aca="false">(AL$252+1-YEAR(Inputs!$G$32))*Months_In_Year-MONTH(Inputs!$G$32)</f>
        <v>306</v>
      </c>
      <c r="AM335" s="51" t="n">
        <f aca="false">(AM$252+1-YEAR(Inputs!$G$32))*Months_In_Year-MONTH(Inputs!$G$32)</f>
        <v>318</v>
      </c>
      <c r="AN335" s="51" t="n">
        <f aca="false">(AN$252+1-YEAR(Inputs!$G$32))*Months_In_Year-MONTH(Inputs!$G$32)</f>
        <v>330</v>
      </c>
      <c r="AO335" s="51" t="n">
        <f aca="false">(AO$252+1-YEAR(Inputs!$G$32))*Months_In_Year-MONTH(Inputs!$G$32)</f>
        <v>342</v>
      </c>
      <c r="AP335" s="51" t="n">
        <f aca="false">(AP$252+1-YEAR(Inputs!$G$32))*Months_In_Year-MONTH(Inputs!$G$32)</f>
        <v>354</v>
      </c>
      <c r="AQ335" s="51" t="n">
        <f aca="false">(AQ$252+1-YEAR(Inputs!$G$32))*Months_In_Year-MONTH(Inputs!$G$32)</f>
        <v>366</v>
      </c>
      <c r="AR335" s="51" t="n">
        <f aca="false">(AR$252+1-YEAR(Inputs!$G$32))*Months_In_Year-MONTH(Inputs!$G$32)</f>
        <v>378</v>
      </c>
      <c r="AS335" s="51" t="n">
        <f aca="false">(AS$252+1-YEAR(Inputs!$G$32))*Months_In_Year-MONTH(Inputs!$G$32)</f>
        <v>390</v>
      </c>
    </row>
    <row r="336" customFormat="false" ht="14.25" hidden="true" customHeight="false" outlineLevel="1" collapsed="false">
      <c r="C336" s="6" t="s">
        <v>217</v>
      </c>
      <c r="D336" s="2" t="s">
        <v>12</v>
      </c>
      <c r="H336" s="54" t="n">
        <f aca="false">SUM(J336:AS336)</f>
        <v>1</v>
      </c>
      <c r="J336" s="47" t="n">
        <f aca="false">MAX(0,MIN(J335,$G335)-MAX(J335-Months_In_Year,0))/$G335</f>
        <v>0</v>
      </c>
      <c r="K336" s="47" t="n">
        <f aca="false">MAX(0,MIN(K335,$G335)-MAX(K335-Months_In_Year,0))/$G335</f>
        <v>0</v>
      </c>
      <c r="L336" s="47" t="n">
        <f aca="false">MAX(0,MIN(L335,$G335)-MAX(L335-Months_In_Year,0))/$G335</f>
        <v>0</v>
      </c>
      <c r="M336" s="47" t="n">
        <f aca="false">MAX(0,MIN(M335,$G335)-MAX(M335-Months_In_Year,0))/$G335</f>
        <v>0.25</v>
      </c>
      <c r="N336" s="47" t="n">
        <f aca="false">MAX(0,MIN(N335,$G335)-MAX(N335-Months_In_Year,0))/$G335</f>
        <v>0.5</v>
      </c>
      <c r="O336" s="47" t="n">
        <f aca="false">MAX(0,MIN(O335,$G335)-MAX(O335-Months_In_Year,0))/$G335</f>
        <v>0.25</v>
      </c>
      <c r="P336" s="47" t="n">
        <f aca="false">MAX(0,MIN(P335,$G335)-MAX(P335-Months_In_Year,0))/$G335</f>
        <v>0</v>
      </c>
      <c r="Q336" s="47" t="n">
        <f aca="false">MAX(0,MIN(Q335,$G335)-MAX(Q335-Months_In_Year,0))/$G335</f>
        <v>0</v>
      </c>
      <c r="R336" s="47" t="n">
        <f aca="false">MAX(0,MIN(R335,$G335)-MAX(R335-Months_In_Year,0))/$G335</f>
        <v>0</v>
      </c>
      <c r="S336" s="47" t="n">
        <f aca="false">MAX(0,MIN(S335,$G335)-MAX(S335-Months_In_Year,0))/$G335</f>
        <v>0</v>
      </c>
      <c r="T336" s="47" t="n">
        <f aca="false">MAX(0,MIN(T335,$G335)-MAX(T335-Months_In_Year,0))/$G335</f>
        <v>0</v>
      </c>
      <c r="U336" s="47" t="n">
        <f aca="false">MAX(0,MIN(U335,$G335)-MAX(U335-Months_In_Year,0))/$G335</f>
        <v>0</v>
      </c>
      <c r="V336" s="47" t="n">
        <f aca="false">MAX(0,MIN(V335,$G335)-MAX(V335-Months_In_Year,0))/$G335</f>
        <v>0</v>
      </c>
      <c r="W336" s="47" t="n">
        <f aca="false">MAX(0,MIN(W335,$G335)-MAX(W335-Months_In_Year,0))/$G335</f>
        <v>0</v>
      </c>
      <c r="X336" s="47" t="n">
        <f aca="false">MAX(0,MIN(X335,$G335)-MAX(X335-Months_In_Year,0))/$G335</f>
        <v>0</v>
      </c>
      <c r="Y336" s="47" t="n">
        <f aca="false">MAX(0,MIN(Y335,$G335)-MAX(Y335-Months_In_Year,0))/$G335</f>
        <v>0</v>
      </c>
      <c r="Z336" s="47" t="n">
        <f aca="false">MAX(0,MIN(Z335,$G335)-MAX(Z335-Months_In_Year,0))/$G335</f>
        <v>0</v>
      </c>
      <c r="AA336" s="47" t="n">
        <f aca="false">MAX(0,MIN(AA335,$G335)-MAX(AA335-Months_In_Year,0))/$G335</f>
        <v>0</v>
      </c>
      <c r="AB336" s="47" t="n">
        <f aca="false">MAX(0,MIN(AB335,$G335)-MAX(AB335-Months_In_Year,0))/$G335</f>
        <v>0</v>
      </c>
      <c r="AC336" s="47" t="n">
        <f aca="false">MAX(0,MIN(AC335,$G335)-MAX(AC335-Months_In_Year,0))/$G335</f>
        <v>0</v>
      </c>
      <c r="AD336" s="47" t="n">
        <f aca="false">MAX(0,MIN(AD335,$G335)-MAX(AD335-Months_In_Year,0))/$G335</f>
        <v>0</v>
      </c>
      <c r="AE336" s="47" t="n">
        <f aca="false">MAX(0,MIN(AE335,$G335)-MAX(AE335-Months_In_Year,0))/$G335</f>
        <v>0</v>
      </c>
      <c r="AF336" s="47" t="n">
        <f aca="false">MAX(0,MIN(AF335,$G335)-MAX(AF335-Months_In_Year,0))/$G335</f>
        <v>0</v>
      </c>
      <c r="AG336" s="47" t="n">
        <f aca="false">MAX(0,MIN(AG335,$G335)-MAX(AG335-Months_In_Year,0))/$G335</f>
        <v>0</v>
      </c>
      <c r="AH336" s="47" t="n">
        <f aca="false">MAX(0,MIN(AH335,$G335)-MAX(AH335-Months_In_Year,0))/$G335</f>
        <v>0</v>
      </c>
      <c r="AI336" s="47" t="n">
        <f aca="false">MAX(0,MIN(AI335,$G335)-MAX(AI335-Months_In_Year,0))/$G335</f>
        <v>0</v>
      </c>
      <c r="AJ336" s="47" t="n">
        <f aca="false">MAX(0,MIN(AJ335,$G335)-MAX(AJ335-Months_In_Year,0))/$G335</f>
        <v>0</v>
      </c>
      <c r="AK336" s="47" t="n">
        <f aca="false">MAX(0,MIN(AK335,$G335)-MAX(AK335-Months_In_Year,0))/$G335</f>
        <v>0</v>
      </c>
      <c r="AL336" s="47" t="n">
        <f aca="false">MAX(0,MIN(AL335,$G335)-MAX(AL335-Months_In_Year,0))/$G335</f>
        <v>0</v>
      </c>
      <c r="AM336" s="47" t="n">
        <f aca="false">MAX(0,MIN(AM335,$G335)-MAX(AM335-Months_In_Year,0))/$G335</f>
        <v>0</v>
      </c>
      <c r="AN336" s="47" t="n">
        <f aca="false">MAX(0,MIN(AN335,$G335)-MAX(AN335-Months_In_Year,0))/$G335</f>
        <v>0</v>
      </c>
      <c r="AO336" s="47" t="n">
        <f aca="false">MAX(0,MIN(AO335,$G335)-MAX(AO335-Months_In_Year,0))/$G335</f>
        <v>0</v>
      </c>
      <c r="AP336" s="47" t="n">
        <f aca="false">MAX(0,MIN(AP335,$G335)-MAX(AP335-Months_In_Year,0))/$G335</f>
        <v>0</v>
      </c>
      <c r="AQ336" s="47" t="n">
        <f aca="false">MAX(0,MIN(AQ335,$G335)-MAX(AQ335-Months_In_Year,0))/$G335</f>
        <v>0</v>
      </c>
      <c r="AR336" s="47" t="n">
        <f aca="false">MAX(0,MIN(AR335,$G335)-MAX(AR335-Months_In_Year,0))/$G335</f>
        <v>0</v>
      </c>
      <c r="AS336" s="47" t="n">
        <f aca="false">MAX(0,MIN(AS335,$G335)-MAX(AS335-Months_In_Year,0))/$G335</f>
        <v>0</v>
      </c>
    </row>
    <row r="337" customFormat="false" ht="14.25" hidden="true" customHeight="false" outlineLevel="1" collapsed="false">
      <c r="C337" s="6" t="s">
        <v>218</v>
      </c>
      <c r="D337" s="2" t="s">
        <v>216</v>
      </c>
      <c r="G337" s="51" t="n">
        <f aca="false">Life*Months_In_Year</f>
        <v>360</v>
      </c>
      <c r="J337" s="51" t="n">
        <f aca="false">(J$252+1-YEAR(Inputs!$G$33))*Months_In_Year-MONTH(Inputs!$G$33)</f>
        <v>-54</v>
      </c>
      <c r="K337" s="51" t="n">
        <f aca="false">(K$252+1-YEAR(Inputs!$G$33))*Months_In_Year-MONTH(Inputs!$G$33)</f>
        <v>-42</v>
      </c>
      <c r="L337" s="51" t="n">
        <f aca="false">(L$252+1-YEAR(Inputs!$G$33))*Months_In_Year-MONTH(Inputs!$G$33)</f>
        <v>-30</v>
      </c>
      <c r="M337" s="51" t="n">
        <f aca="false">(M$252+1-YEAR(Inputs!$G$33))*Months_In_Year-MONTH(Inputs!$G$33)</f>
        <v>-18</v>
      </c>
      <c r="N337" s="51" t="n">
        <f aca="false">(N$252+1-YEAR(Inputs!$G$33))*Months_In_Year-MONTH(Inputs!$G$33)</f>
        <v>-6</v>
      </c>
      <c r="O337" s="51" t="n">
        <f aca="false">(O$252+1-YEAR(Inputs!$G$33))*Months_In_Year-MONTH(Inputs!$G$33)</f>
        <v>6</v>
      </c>
      <c r="P337" s="51" t="n">
        <f aca="false">(P$252+1-YEAR(Inputs!$G$33))*Months_In_Year-MONTH(Inputs!$G$33)</f>
        <v>18</v>
      </c>
      <c r="Q337" s="51" t="n">
        <f aca="false">(Q$252+1-YEAR(Inputs!$G$33))*Months_In_Year-MONTH(Inputs!$G$33)</f>
        <v>30</v>
      </c>
      <c r="R337" s="51" t="n">
        <f aca="false">(R$252+1-YEAR(Inputs!$G$33))*Months_In_Year-MONTH(Inputs!$G$33)</f>
        <v>42</v>
      </c>
      <c r="S337" s="51" t="n">
        <f aca="false">(S$252+1-YEAR(Inputs!$G$33))*Months_In_Year-MONTH(Inputs!$G$33)</f>
        <v>54</v>
      </c>
      <c r="T337" s="51" t="n">
        <f aca="false">(T$252+1-YEAR(Inputs!$G$33))*Months_In_Year-MONTH(Inputs!$G$33)</f>
        <v>66</v>
      </c>
      <c r="U337" s="51" t="n">
        <f aca="false">(U$252+1-YEAR(Inputs!$G$33))*Months_In_Year-MONTH(Inputs!$G$33)</f>
        <v>78</v>
      </c>
      <c r="V337" s="51" t="n">
        <f aca="false">(V$252+1-YEAR(Inputs!$G$33))*Months_In_Year-MONTH(Inputs!$G$33)</f>
        <v>90</v>
      </c>
      <c r="W337" s="51" t="n">
        <f aca="false">(W$252+1-YEAR(Inputs!$G$33))*Months_In_Year-MONTH(Inputs!$G$33)</f>
        <v>102</v>
      </c>
      <c r="X337" s="51" t="n">
        <f aca="false">(X$252+1-YEAR(Inputs!$G$33))*Months_In_Year-MONTH(Inputs!$G$33)</f>
        <v>114</v>
      </c>
      <c r="Y337" s="51" t="n">
        <f aca="false">(Y$252+1-YEAR(Inputs!$G$33))*Months_In_Year-MONTH(Inputs!$G$33)</f>
        <v>126</v>
      </c>
      <c r="Z337" s="51" t="n">
        <f aca="false">(Z$252+1-YEAR(Inputs!$G$33))*Months_In_Year-MONTH(Inputs!$G$33)</f>
        <v>138</v>
      </c>
      <c r="AA337" s="51" t="n">
        <f aca="false">(AA$252+1-YEAR(Inputs!$G$33))*Months_In_Year-MONTH(Inputs!$G$33)</f>
        <v>150</v>
      </c>
      <c r="AB337" s="51" t="n">
        <f aca="false">(AB$252+1-YEAR(Inputs!$G$33))*Months_In_Year-MONTH(Inputs!$G$33)</f>
        <v>162</v>
      </c>
      <c r="AC337" s="51" t="n">
        <f aca="false">(AC$252+1-YEAR(Inputs!$G$33))*Months_In_Year-MONTH(Inputs!$G$33)</f>
        <v>174</v>
      </c>
      <c r="AD337" s="51" t="n">
        <f aca="false">(AD$252+1-YEAR(Inputs!$G$33))*Months_In_Year-MONTH(Inputs!$G$33)</f>
        <v>186</v>
      </c>
      <c r="AE337" s="51" t="n">
        <f aca="false">(AE$252+1-YEAR(Inputs!$G$33))*Months_In_Year-MONTH(Inputs!$G$33)</f>
        <v>198</v>
      </c>
      <c r="AF337" s="51" t="n">
        <f aca="false">(AF$252+1-YEAR(Inputs!$G$33))*Months_In_Year-MONTH(Inputs!$G$33)</f>
        <v>210</v>
      </c>
      <c r="AG337" s="51" t="n">
        <f aca="false">(AG$252+1-YEAR(Inputs!$G$33))*Months_In_Year-MONTH(Inputs!$G$33)</f>
        <v>222</v>
      </c>
      <c r="AH337" s="51" t="n">
        <f aca="false">(AH$252+1-YEAR(Inputs!$G$33))*Months_In_Year-MONTH(Inputs!$G$33)</f>
        <v>234</v>
      </c>
      <c r="AI337" s="51" t="n">
        <f aca="false">(AI$252+1-YEAR(Inputs!$G$33))*Months_In_Year-MONTH(Inputs!$G$33)</f>
        <v>246</v>
      </c>
      <c r="AJ337" s="51" t="n">
        <f aca="false">(AJ$252+1-YEAR(Inputs!$G$33))*Months_In_Year-MONTH(Inputs!$G$33)</f>
        <v>258</v>
      </c>
      <c r="AK337" s="51" t="n">
        <f aca="false">(AK$252+1-YEAR(Inputs!$G$33))*Months_In_Year-MONTH(Inputs!$G$33)</f>
        <v>270</v>
      </c>
      <c r="AL337" s="51" t="n">
        <f aca="false">(AL$252+1-YEAR(Inputs!$G$33))*Months_In_Year-MONTH(Inputs!$G$33)</f>
        <v>282</v>
      </c>
      <c r="AM337" s="51" t="n">
        <f aca="false">(AM$252+1-YEAR(Inputs!$G$33))*Months_In_Year-MONTH(Inputs!$G$33)</f>
        <v>294</v>
      </c>
      <c r="AN337" s="51" t="n">
        <f aca="false">(AN$252+1-YEAR(Inputs!$G$33))*Months_In_Year-MONTH(Inputs!$G$33)</f>
        <v>306</v>
      </c>
      <c r="AO337" s="51" t="n">
        <f aca="false">(AO$252+1-YEAR(Inputs!$G$33))*Months_In_Year-MONTH(Inputs!$G$33)</f>
        <v>318</v>
      </c>
      <c r="AP337" s="51" t="n">
        <f aca="false">(AP$252+1-YEAR(Inputs!$G$33))*Months_In_Year-MONTH(Inputs!$G$33)</f>
        <v>330</v>
      </c>
      <c r="AQ337" s="51" t="n">
        <f aca="false">(AQ$252+1-YEAR(Inputs!$G$33))*Months_In_Year-MONTH(Inputs!$G$33)</f>
        <v>342</v>
      </c>
      <c r="AR337" s="51" t="n">
        <f aca="false">(AR$252+1-YEAR(Inputs!$G$33))*Months_In_Year-MONTH(Inputs!$G$33)</f>
        <v>354</v>
      </c>
      <c r="AS337" s="51" t="n">
        <f aca="false">(AS$252+1-YEAR(Inputs!$G$33))*Months_In_Year-MONTH(Inputs!$G$33)</f>
        <v>366</v>
      </c>
    </row>
    <row r="338" customFormat="false" ht="14.25" hidden="true" customHeight="false" outlineLevel="1" collapsed="false">
      <c r="C338" s="6" t="s">
        <v>219</v>
      </c>
      <c r="D338" s="2" t="s">
        <v>12</v>
      </c>
      <c r="H338" s="54" t="n">
        <f aca="false">SUM(J338:AS338)</f>
        <v>30</v>
      </c>
      <c r="J338" s="47" t="n">
        <f aca="false">MAX(0,MIN(J337,$G337)-MAX(J337-Months_In_Year,0))/Months_In_Year</f>
        <v>0</v>
      </c>
      <c r="K338" s="47" t="n">
        <f aca="false">MAX(0,MIN(K337,$G337)-MAX(K337-Months_In_Year,0))/Months_In_Year</f>
        <v>0</v>
      </c>
      <c r="L338" s="47" t="n">
        <f aca="false">MAX(0,MIN(L337,$G337)-MAX(L337-Months_In_Year,0))/Months_In_Year</f>
        <v>0</v>
      </c>
      <c r="M338" s="47" t="n">
        <f aca="false">MAX(0,MIN(M337,$G337)-MAX(M337-Months_In_Year,0))/Months_In_Year</f>
        <v>0</v>
      </c>
      <c r="N338" s="47" t="n">
        <f aca="false">MAX(0,MIN(N337,$G337)-MAX(N337-Months_In_Year,0))/Months_In_Year</f>
        <v>0</v>
      </c>
      <c r="O338" s="47" t="n">
        <f aca="false">MAX(0,MIN(O337,$G337)-MAX(O337-Months_In_Year,0))/Months_In_Year</f>
        <v>0.5</v>
      </c>
      <c r="P338" s="47" t="n">
        <f aca="false">MAX(0,MIN(P337,$G337)-MAX(P337-Months_In_Year,0))/Months_In_Year</f>
        <v>1</v>
      </c>
      <c r="Q338" s="47" t="n">
        <f aca="false">MAX(0,MIN(Q337,$G337)-MAX(Q337-Months_In_Year,0))/Months_In_Year</f>
        <v>1</v>
      </c>
      <c r="R338" s="47" t="n">
        <f aca="false">MAX(0,MIN(R337,$G337)-MAX(R337-Months_In_Year,0))/Months_In_Year</f>
        <v>1</v>
      </c>
      <c r="S338" s="47" t="n">
        <f aca="false">MAX(0,MIN(S337,$G337)-MAX(S337-Months_In_Year,0))/Months_In_Year</f>
        <v>1</v>
      </c>
      <c r="T338" s="47" t="n">
        <f aca="false">MAX(0,MIN(T337,$G337)-MAX(T337-Months_In_Year,0))/Months_In_Year</f>
        <v>1</v>
      </c>
      <c r="U338" s="47" t="n">
        <f aca="false">MAX(0,MIN(U337,$G337)-MAX(U337-Months_In_Year,0))/Months_In_Year</f>
        <v>1</v>
      </c>
      <c r="V338" s="47" t="n">
        <f aca="false">MAX(0,MIN(V337,$G337)-MAX(V337-Months_In_Year,0))/Months_In_Year</f>
        <v>1</v>
      </c>
      <c r="W338" s="47" t="n">
        <f aca="false">MAX(0,MIN(W337,$G337)-MAX(W337-Months_In_Year,0))/Months_In_Year</f>
        <v>1</v>
      </c>
      <c r="X338" s="47" t="n">
        <f aca="false">MAX(0,MIN(X337,$G337)-MAX(X337-Months_In_Year,0))/Months_In_Year</f>
        <v>1</v>
      </c>
      <c r="Y338" s="47" t="n">
        <f aca="false">MAX(0,MIN(Y337,$G337)-MAX(Y337-Months_In_Year,0))/Months_In_Year</f>
        <v>1</v>
      </c>
      <c r="Z338" s="47" t="n">
        <f aca="false">MAX(0,MIN(Z337,$G337)-MAX(Z337-Months_In_Year,0))/Months_In_Year</f>
        <v>1</v>
      </c>
      <c r="AA338" s="47" t="n">
        <f aca="false">MAX(0,MIN(AA337,$G337)-MAX(AA337-Months_In_Year,0))/Months_In_Year</f>
        <v>1</v>
      </c>
      <c r="AB338" s="47" t="n">
        <f aca="false">MAX(0,MIN(AB337,$G337)-MAX(AB337-Months_In_Year,0))/Months_In_Year</f>
        <v>1</v>
      </c>
      <c r="AC338" s="47" t="n">
        <f aca="false">MAX(0,MIN(AC337,$G337)-MAX(AC337-Months_In_Year,0))/Months_In_Year</f>
        <v>1</v>
      </c>
      <c r="AD338" s="47" t="n">
        <f aca="false">MAX(0,MIN(AD337,$G337)-MAX(AD337-Months_In_Year,0))/Months_In_Year</f>
        <v>1</v>
      </c>
      <c r="AE338" s="47" t="n">
        <f aca="false">MAX(0,MIN(AE337,$G337)-MAX(AE337-Months_In_Year,0))/Months_In_Year</f>
        <v>1</v>
      </c>
      <c r="AF338" s="47" t="n">
        <f aca="false">MAX(0,MIN(AF337,$G337)-MAX(AF337-Months_In_Year,0))/Months_In_Year</f>
        <v>1</v>
      </c>
      <c r="AG338" s="47" t="n">
        <f aca="false">MAX(0,MIN(AG337,$G337)-MAX(AG337-Months_In_Year,0))/Months_In_Year</f>
        <v>1</v>
      </c>
      <c r="AH338" s="47" t="n">
        <f aca="false">MAX(0,MIN(AH337,$G337)-MAX(AH337-Months_In_Year,0))/Months_In_Year</f>
        <v>1</v>
      </c>
      <c r="AI338" s="47" t="n">
        <f aca="false">MAX(0,MIN(AI337,$G337)-MAX(AI337-Months_In_Year,0))/Months_In_Year</f>
        <v>1</v>
      </c>
      <c r="AJ338" s="47" t="n">
        <f aca="false">MAX(0,MIN(AJ337,$G337)-MAX(AJ337-Months_In_Year,0))/Months_In_Year</f>
        <v>1</v>
      </c>
      <c r="AK338" s="47" t="n">
        <f aca="false">MAX(0,MIN(AK337,$G337)-MAX(AK337-Months_In_Year,0))/Months_In_Year</f>
        <v>1</v>
      </c>
      <c r="AL338" s="47" t="n">
        <f aca="false">MAX(0,MIN(AL337,$G337)-MAX(AL337-Months_In_Year,0))/Months_In_Year</f>
        <v>1</v>
      </c>
      <c r="AM338" s="47" t="n">
        <f aca="false">MAX(0,MIN(AM337,$G337)-MAX(AM337-Months_In_Year,0))/Months_In_Year</f>
        <v>1</v>
      </c>
      <c r="AN338" s="47" t="n">
        <f aca="false">MAX(0,MIN(AN337,$G337)-MAX(AN337-Months_In_Year,0))/Months_In_Year</f>
        <v>1</v>
      </c>
      <c r="AO338" s="47" t="n">
        <f aca="false">MAX(0,MIN(AO337,$G337)-MAX(AO337-Months_In_Year,0))/Months_In_Year</f>
        <v>1</v>
      </c>
      <c r="AP338" s="47" t="n">
        <f aca="false">MAX(0,MIN(AP337,$G337)-MAX(AP337-Months_In_Year,0))/Months_In_Year</f>
        <v>1</v>
      </c>
      <c r="AQ338" s="47" t="n">
        <f aca="false">MAX(0,MIN(AQ337,$G337)-MAX(AQ337-Months_In_Year,0))/Months_In_Year</f>
        <v>1</v>
      </c>
      <c r="AR338" s="47" t="n">
        <f aca="false">MAX(0,MIN(AR337,$G337)-MAX(AR337-Months_In_Year,0))/Months_In_Year</f>
        <v>1</v>
      </c>
      <c r="AS338" s="47" t="n">
        <f aca="false">MAX(0,MIN(AS337,$G337)-MAX(AS337-Months_In_Year,0))/Months_In_Year</f>
        <v>0.5</v>
      </c>
    </row>
    <row r="339" customFormat="false" ht="14.25" hidden="true" customHeight="false" outlineLevel="1" collapsed="false">
      <c r="C339" s="6" t="s">
        <v>220</v>
      </c>
      <c r="D339" s="2" t="s">
        <v>2</v>
      </c>
      <c r="J339" s="55" t="n">
        <f aca="false">N(J334=0)</f>
        <v>0</v>
      </c>
      <c r="K339" s="55" t="n">
        <f aca="false">N(K334=0)</f>
        <v>0</v>
      </c>
      <c r="L339" s="55" t="n">
        <f aca="false">N(L334=0)</f>
        <v>0</v>
      </c>
      <c r="M339" s="55" t="n">
        <f aca="false">N(M334=0)</f>
        <v>0</v>
      </c>
      <c r="N339" s="55" t="n">
        <f aca="false">N(N334=0)</f>
        <v>0</v>
      </c>
      <c r="O339" s="55" t="n">
        <f aca="false">N(O334=0)</f>
        <v>1</v>
      </c>
      <c r="P339" s="55" t="n">
        <f aca="false">N(P334=0)</f>
        <v>0</v>
      </c>
      <c r="Q339" s="55" t="n">
        <f aca="false">N(Q334=0)</f>
        <v>0</v>
      </c>
      <c r="R339" s="55" t="n">
        <f aca="false">N(R334=0)</f>
        <v>0</v>
      </c>
      <c r="S339" s="55" t="n">
        <f aca="false">N(S334=0)</f>
        <v>0</v>
      </c>
      <c r="T339" s="55" t="n">
        <f aca="false">N(T334=0)</f>
        <v>0</v>
      </c>
      <c r="U339" s="55" t="n">
        <f aca="false">N(U334=0)</f>
        <v>0</v>
      </c>
      <c r="V339" s="55" t="n">
        <f aca="false">N(V334=0)</f>
        <v>0</v>
      </c>
      <c r="W339" s="55" t="n">
        <f aca="false">N(W334=0)</f>
        <v>0</v>
      </c>
      <c r="X339" s="55" t="n">
        <f aca="false">N(X334=0)</f>
        <v>0</v>
      </c>
      <c r="Y339" s="55" t="n">
        <f aca="false">N(Y334=0)</f>
        <v>0</v>
      </c>
      <c r="Z339" s="55" t="n">
        <f aca="false">N(Z334=0)</f>
        <v>0</v>
      </c>
      <c r="AA339" s="55" t="n">
        <f aca="false">N(AA334=0)</f>
        <v>0</v>
      </c>
      <c r="AB339" s="55" t="n">
        <f aca="false">N(AB334=0)</f>
        <v>0</v>
      </c>
      <c r="AC339" s="55" t="n">
        <f aca="false">N(AC334=0)</f>
        <v>0</v>
      </c>
      <c r="AD339" s="55" t="n">
        <f aca="false">N(AD334=0)</f>
        <v>0</v>
      </c>
      <c r="AE339" s="55" t="n">
        <f aca="false">N(AE334=0)</f>
        <v>0</v>
      </c>
      <c r="AF339" s="55" t="n">
        <f aca="false">N(AF334=0)</f>
        <v>0</v>
      </c>
      <c r="AG339" s="55" t="n">
        <f aca="false">N(AG334=0)</f>
        <v>0</v>
      </c>
      <c r="AH339" s="55" t="n">
        <f aca="false">N(AH334=0)</f>
        <v>0</v>
      </c>
      <c r="AI339" s="55" t="n">
        <f aca="false">N(AI334=0)</f>
        <v>0</v>
      </c>
      <c r="AJ339" s="55" t="n">
        <f aca="false">N(AJ334=0)</f>
        <v>0</v>
      </c>
      <c r="AK339" s="55" t="n">
        <f aca="false">N(AK334=0)</f>
        <v>0</v>
      </c>
      <c r="AL339" s="55" t="n">
        <f aca="false">N(AL334=0)</f>
        <v>0</v>
      </c>
      <c r="AM339" s="55" t="n">
        <f aca="false">N(AM334=0)</f>
        <v>0</v>
      </c>
      <c r="AN339" s="55" t="n">
        <f aca="false">N(AN334=0)</f>
        <v>0</v>
      </c>
      <c r="AO339" s="55" t="n">
        <f aca="false">N(AO334=0)</f>
        <v>0</v>
      </c>
      <c r="AP339" s="55" t="n">
        <f aca="false">N(AP334=0)</f>
        <v>0</v>
      </c>
      <c r="AQ339" s="55" t="n">
        <f aca="false">N(AQ334=0)</f>
        <v>0</v>
      </c>
      <c r="AR339" s="55" t="n">
        <f aca="false">N(AR334=0)</f>
        <v>0</v>
      </c>
      <c r="AS339" s="55" t="n">
        <f aca="false">N(AS334=0)</f>
        <v>0</v>
      </c>
    </row>
    <row r="340" customFormat="false" ht="14.25" hidden="true" customHeight="false" outlineLevel="1" collapsed="false">
      <c r="C340" s="6" t="s">
        <v>221</v>
      </c>
      <c r="D340" s="2" t="s">
        <v>82</v>
      </c>
      <c r="H340" s="8" t="n">
        <f aca="false">SUM(J340:AS340)</f>
        <v>-6524.88767123288</v>
      </c>
      <c r="J340" s="8" t="n">
        <f aca="false">SUMPRODUCT((YEAR($L$207:$L$214)=J$252)*$G$207:$G$214)</f>
        <v>-436.301369863014</v>
      </c>
      <c r="K340" s="8" t="n">
        <f aca="false">SUMPRODUCT((YEAR($L$207:$L$214)=K$252)*$G$207:$G$214)</f>
        <v>-2728.76712328767</v>
      </c>
      <c r="L340" s="8" t="n">
        <f aca="false">SUMPRODUCT((YEAR($L$207:$L$214)=L$252)*$G$207:$G$214)</f>
        <v>-3359.81917808219</v>
      </c>
      <c r="M340" s="8" t="n">
        <f aca="false">SUMPRODUCT((YEAR($L$207:$L$214)=M$252)*$G$207:$G$214)</f>
        <v>0</v>
      </c>
      <c r="N340" s="8" t="n">
        <f aca="false">SUMPRODUCT((YEAR($L$207:$L$214)=N$252)*$G$207:$G$214)</f>
        <v>0</v>
      </c>
      <c r="O340" s="8" t="n">
        <f aca="false">SUMPRODUCT((YEAR($L$207:$L$214)=O$252)*$G$207:$G$214)</f>
        <v>0</v>
      </c>
      <c r="P340" s="8" t="n">
        <f aca="false">SUMPRODUCT((YEAR($L$207:$L$214)=P$252)*$G$207:$G$214)</f>
        <v>0</v>
      </c>
      <c r="Q340" s="8" t="n">
        <f aca="false">SUMPRODUCT((YEAR($L$207:$L$214)=Q$252)*$G$207:$G$214)</f>
        <v>0</v>
      </c>
      <c r="R340" s="8" t="n">
        <f aca="false">SUMPRODUCT((YEAR($L$207:$L$214)=R$252)*$G$207:$G$214)</f>
        <v>0</v>
      </c>
      <c r="S340" s="8" t="n">
        <f aca="false">SUMPRODUCT((YEAR($L$207:$L$214)=S$252)*$G$207:$G$214)</f>
        <v>0</v>
      </c>
      <c r="T340" s="8" t="n">
        <f aca="false">SUMPRODUCT((YEAR($L$207:$L$214)=T$252)*$G$207:$G$214)</f>
        <v>0</v>
      </c>
      <c r="U340" s="8" t="n">
        <f aca="false">SUMPRODUCT((YEAR($L$207:$L$214)=U$252)*$G$207:$G$214)</f>
        <v>0</v>
      </c>
      <c r="V340" s="8" t="n">
        <f aca="false">SUMPRODUCT((YEAR($L$207:$L$214)=V$252)*$G$207:$G$214)</f>
        <v>0</v>
      </c>
      <c r="W340" s="8" t="n">
        <f aca="false">SUMPRODUCT((YEAR($L$207:$L$214)=W$252)*$G$207:$G$214)</f>
        <v>0</v>
      </c>
      <c r="X340" s="8" t="n">
        <f aca="false">SUMPRODUCT((YEAR($L$207:$L$214)=X$252)*$G$207:$G$214)</f>
        <v>0</v>
      </c>
      <c r="Y340" s="8" t="n">
        <f aca="false">SUMPRODUCT((YEAR($L$207:$L$214)=Y$252)*$G$207:$G$214)</f>
        <v>0</v>
      </c>
      <c r="Z340" s="8" t="n">
        <f aca="false">SUMPRODUCT((YEAR($L$207:$L$214)=Z$252)*$G$207:$G$214)</f>
        <v>0</v>
      </c>
      <c r="AA340" s="8" t="n">
        <f aca="false">SUMPRODUCT((YEAR($L$207:$L$214)=AA$252)*$G$207:$G$214)</f>
        <v>0</v>
      </c>
      <c r="AB340" s="8" t="n">
        <f aca="false">SUMPRODUCT((YEAR($L$207:$L$214)=AB$252)*$G$207:$G$214)</f>
        <v>0</v>
      </c>
      <c r="AC340" s="8" t="n">
        <f aca="false">SUMPRODUCT((YEAR($L$207:$L$214)=AC$252)*$G$207:$G$214)</f>
        <v>0</v>
      </c>
      <c r="AD340" s="8" t="n">
        <f aca="false">SUMPRODUCT((YEAR($L$207:$L$214)=AD$252)*$G$207:$G$214)</f>
        <v>0</v>
      </c>
      <c r="AE340" s="8" t="n">
        <f aca="false">SUMPRODUCT((YEAR($L$207:$L$214)=AE$252)*$G$207:$G$214)</f>
        <v>0</v>
      </c>
      <c r="AF340" s="8" t="n">
        <f aca="false">SUMPRODUCT((YEAR($L$207:$L$214)=AF$252)*$G$207:$G$214)</f>
        <v>0</v>
      </c>
      <c r="AG340" s="8" t="n">
        <f aca="false">SUMPRODUCT((YEAR($L$207:$L$214)=AG$252)*$G$207:$G$214)</f>
        <v>0</v>
      </c>
      <c r="AH340" s="8" t="n">
        <f aca="false">SUMPRODUCT((YEAR($L$207:$L$214)=AH$252)*$G$207:$G$214)</f>
        <v>0</v>
      </c>
      <c r="AI340" s="8" t="n">
        <f aca="false">SUMPRODUCT((YEAR($L$207:$L$214)=AI$252)*$G$207:$G$214)</f>
        <v>0</v>
      </c>
      <c r="AJ340" s="8" t="n">
        <f aca="false">SUMPRODUCT((YEAR($L$207:$L$214)=AJ$252)*$G$207:$G$214)</f>
        <v>0</v>
      </c>
      <c r="AK340" s="8" t="n">
        <f aca="false">SUMPRODUCT((YEAR($L$207:$L$214)=AK$252)*$G$207:$G$214)</f>
        <v>0</v>
      </c>
      <c r="AL340" s="8" t="n">
        <f aca="false">SUMPRODUCT((YEAR($L$207:$L$214)=AL$252)*$G$207:$G$214)</f>
        <v>0</v>
      </c>
      <c r="AM340" s="8" t="n">
        <f aca="false">SUMPRODUCT((YEAR($L$207:$L$214)=AM$252)*$G$207:$G$214)</f>
        <v>0</v>
      </c>
      <c r="AN340" s="8" t="n">
        <f aca="false">SUMPRODUCT((YEAR($L$207:$L$214)=AN$252)*$G$207:$G$214)</f>
        <v>0</v>
      </c>
      <c r="AO340" s="8" t="n">
        <f aca="false">SUMPRODUCT((YEAR($L$207:$L$214)=AO$252)*$G$207:$G$214)</f>
        <v>0</v>
      </c>
      <c r="AP340" s="8" t="n">
        <f aca="false">SUMPRODUCT((YEAR($L$207:$L$214)=AP$252)*$G$207:$G$214)</f>
        <v>0</v>
      </c>
      <c r="AQ340" s="8" t="n">
        <f aca="false">SUMPRODUCT((YEAR($L$207:$L$214)=AQ$252)*$G$207:$G$214)</f>
        <v>0</v>
      </c>
      <c r="AR340" s="8" t="n">
        <f aca="false">SUMPRODUCT((YEAR($L$207:$L$214)=AR$252)*$G$207:$G$214)</f>
        <v>0</v>
      </c>
      <c r="AS340" s="8" t="n">
        <f aca="false">SUMPRODUCT((YEAR($L$207:$L$214)=AS$252)*$G$207:$G$214)</f>
        <v>0</v>
      </c>
    </row>
    <row r="341" customFormat="false" ht="14.25" hidden="true" customHeight="false" outlineLevel="1" collapsed="false">
      <c r="C341" s="6" t="s">
        <v>222</v>
      </c>
      <c r="D341" s="2" t="s">
        <v>82</v>
      </c>
      <c r="H341" s="8" t="n">
        <f aca="false">SUM(J341:AS341)</f>
        <v>1390.41095890411</v>
      </c>
      <c r="J341" s="8" t="n">
        <f aca="false">($G$59+$G$60)*(J$252=YEAR(Inputs!$G$34))</f>
        <v>0</v>
      </c>
      <c r="K341" s="8" t="n">
        <f aca="false">($G$59+$G$60)*(K$252=YEAR(Inputs!$G$34))</f>
        <v>0</v>
      </c>
      <c r="L341" s="8" t="n">
        <f aca="false">($G$59+$G$60)*(L$252=YEAR(Inputs!$G$34))</f>
        <v>0</v>
      </c>
      <c r="M341" s="8" t="n">
        <f aca="false">($G$59+$G$60)*(M$252=YEAR(Inputs!$G$34))</f>
        <v>0</v>
      </c>
      <c r="N341" s="8" t="n">
        <f aca="false">($G$59+$G$60)*(N$252=YEAR(Inputs!$G$34))</f>
        <v>0</v>
      </c>
      <c r="O341" s="8" t="n">
        <f aca="false">($G$59+$G$60)*(O$252=YEAR(Inputs!$G$34))</f>
        <v>0</v>
      </c>
      <c r="P341" s="8" t="n">
        <f aca="false">($G$59+$G$60)*(P$252=YEAR(Inputs!$G$34))</f>
        <v>0</v>
      </c>
      <c r="Q341" s="8" t="n">
        <f aca="false">($G$59+$G$60)*(Q$252=YEAR(Inputs!$G$34))</f>
        <v>1390.41095890411</v>
      </c>
      <c r="R341" s="8" t="n">
        <f aca="false">($G$59+$G$60)*(R$252=YEAR(Inputs!$G$34))</f>
        <v>0</v>
      </c>
      <c r="S341" s="8" t="n">
        <f aca="false">($G$59+$G$60)*(S$252=YEAR(Inputs!$G$34))</f>
        <v>0</v>
      </c>
      <c r="T341" s="8" t="n">
        <f aca="false">($G$59+$G$60)*(T$252=YEAR(Inputs!$G$34))</f>
        <v>0</v>
      </c>
      <c r="U341" s="8" t="n">
        <f aca="false">($G$59+$G$60)*(U$252=YEAR(Inputs!$G$34))</f>
        <v>0</v>
      </c>
      <c r="V341" s="8" t="n">
        <f aca="false">($G$59+$G$60)*(V$252=YEAR(Inputs!$G$34))</f>
        <v>0</v>
      </c>
      <c r="W341" s="8" t="n">
        <f aca="false">($G$59+$G$60)*(W$252=YEAR(Inputs!$G$34))</f>
        <v>0</v>
      </c>
      <c r="X341" s="8" t="n">
        <f aca="false">($G$59+$G$60)*(X$252=YEAR(Inputs!$G$34))</f>
        <v>0</v>
      </c>
      <c r="Y341" s="8" t="n">
        <f aca="false">($G$59+$G$60)*(Y$252=YEAR(Inputs!$G$34))</f>
        <v>0</v>
      </c>
      <c r="Z341" s="8" t="n">
        <f aca="false">($G$59+$G$60)*(Z$252=YEAR(Inputs!$G$34))</f>
        <v>0</v>
      </c>
      <c r="AA341" s="8" t="n">
        <f aca="false">($G$59+$G$60)*(AA$252=YEAR(Inputs!$G$34))</f>
        <v>0</v>
      </c>
      <c r="AB341" s="8" t="n">
        <f aca="false">($G$59+$G$60)*(AB$252=YEAR(Inputs!$G$34))</f>
        <v>0</v>
      </c>
      <c r="AC341" s="8" t="n">
        <f aca="false">($G$59+$G$60)*(AC$252=YEAR(Inputs!$G$34))</f>
        <v>0</v>
      </c>
      <c r="AD341" s="8" t="n">
        <f aca="false">($G$59+$G$60)*(AD$252=YEAR(Inputs!$G$34))</f>
        <v>0</v>
      </c>
      <c r="AE341" s="8" t="n">
        <f aca="false">($G$59+$G$60)*(AE$252=YEAR(Inputs!$G$34))</f>
        <v>0</v>
      </c>
      <c r="AF341" s="8" t="n">
        <f aca="false">($G$59+$G$60)*(AF$252=YEAR(Inputs!$G$34))</f>
        <v>0</v>
      </c>
      <c r="AG341" s="8" t="n">
        <f aca="false">($G$59+$G$60)*(AG$252=YEAR(Inputs!$G$34))</f>
        <v>0</v>
      </c>
      <c r="AH341" s="8" t="n">
        <f aca="false">($G$59+$G$60)*(AH$252=YEAR(Inputs!$G$34))</f>
        <v>0</v>
      </c>
      <c r="AI341" s="8" t="n">
        <f aca="false">($G$59+$G$60)*(AI$252=YEAR(Inputs!$G$34))</f>
        <v>0</v>
      </c>
      <c r="AJ341" s="8" t="n">
        <f aca="false">($G$59+$G$60)*(AJ$252=YEAR(Inputs!$G$34))</f>
        <v>0</v>
      </c>
      <c r="AK341" s="8" t="n">
        <f aca="false">($G$59+$G$60)*(AK$252=YEAR(Inputs!$G$34))</f>
        <v>0</v>
      </c>
      <c r="AL341" s="8" t="n">
        <f aca="false">($G$59+$G$60)*(AL$252=YEAR(Inputs!$G$34))</f>
        <v>0</v>
      </c>
      <c r="AM341" s="8" t="n">
        <f aca="false">($G$59+$G$60)*(AM$252=YEAR(Inputs!$G$34))</f>
        <v>0</v>
      </c>
      <c r="AN341" s="8" t="n">
        <f aca="false">($G$59+$G$60)*(AN$252=YEAR(Inputs!$G$34))</f>
        <v>0</v>
      </c>
      <c r="AO341" s="8" t="n">
        <f aca="false">($G$59+$G$60)*(AO$252=YEAR(Inputs!$G$34))</f>
        <v>0</v>
      </c>
      <c r="AP341" s="8" t="n">
        <f aca="false">($G$59+$G$60)*(AP$252=YEAR(Inputs!$G$34))</f>
        <v>0</v>
      </c>
      <c r="AQ341" s="8" t="n">
        <f aca="false">($G$59+$G$60)*(AQ$252=YEAR(Inputs!$G$34))</f>
        <v>0</v>
      </c>
      <c r="AR341" s="8" t="n">
        <f aca="false">($G$59+$G$60)*(AR$252=YEAR(Inputs!$G$34))</f>
        <v>0</v>
      </c>
      <c r="AS341" s="8" t="n">
        <f aca="false">($G$59+$G$60)*(AS$252=YEAR(Inputs!$G$34))</f>
        <v>0</v>
      </c>
    </row>
    <row r="342" customFormat="false" ht="14.25" hidden="true" customHeight="false" outlineLevel="1" collapsed="false">
      <c r="C342" s="6" t="s">
        <v>223</v>
      </c>
      <c r="D342" s="2" t="s">
        <v>82</v>
      </c>
      <c r="H342" s="8" t="n">
        <f aca="false">SUM(J342:AS342)</f>
        <v>-48037.5</v>
      </c>
      <c r="J342" s="8" t="n">
        <f aca="false">-$G$87*J336</f>
        <v>-0</v>
      </c>
      <c r="K342" s="8" t="n">
        <f aca="false">-$G$87*K336</f>
        <v>-0</v>
      </c>
      <c r="L342" s="8" t="n">
        <f aca="false">-$G$87*L336</f>
        <v>-0</v>
      </c>
      <c r="M342" s="8" t="n">
        <f aca="false">-$G$87*M336</f>
        <v>-12009.375</v>
      </c>
      <c r="N342" s="8" t="n">
        <f aca="false">-$G$87*N336</f>
        <v>-24018.75</v>
      </c>
      <c r="O342" s="8" t="n">
        <f aca="false">-$G$87*O336</f>
        <v>-12009.375</v>
      </c>
      <c r="P342" s="8" t="n">
        <f aca="false">-$G$87*P336</f>
        <v>-0</v>
      </c>
      <c r="Q342" s="8" t="n">
        <f aca="false">-$G$87*Q336</f>
        <v>-0</v>
      </c>
      <c r="R342" s="8" t="n">
        <f aca="false">-$G$87*R336</f>
        <v>-0</v>
      </c>
      <c r="S342" s="8" t="n">
        <f aca="false">-$G$87*S336</f>
        <v>-0</v>
      </c>
      <c r="T342" s="8" t="n">
        <f aca="false">-$G$87*T336</f>
        <v>-0</v>
      </c>
      <c r="U342" s="8" t="n">
        <f aca="false">-$G$87*U336</f>
        <v>-0</v>
      </c>
      <c r="V342" s="8" t="n">
        <f aca="false">-$G$87*V336</f>
        <v>-0</v>
      </c>
      <c r="W342" s="8" t="n">
        <f aca="false">-$G$87*W336</f>
        <v>-0</v>
      </c>
      <c r="X342" s="8" t="n">
        <f aca="false">-$G$87*X336</f>
        <v>-0</v>
      </c>
      <c r="Y342" s="8" t="n">
        <f aca="false">-$G$87*Y336</f>
        <v>-0</v>
      </c>
      <c r="Z342" s="8" t="n">
        <f aca="false">-$G$87*Z336</f>
        <v>-0</v>
      </c>
      <c r="AA342" s="8" t="n">
        <f aca="false">-$G$87*AA336</f>
        <v>-0</v>
      </c>
      <c r="AB342" s="8" t="n">
        <f aca="false">-$G$87*AB336</f>
        <v>-0</v>
      </c>
      <c r="AC342" s="8" t="n">
        <f aca="false">-$G$87*AC336</f>
        <v>-0</v>
      </c>
      <c r="AD342" s="8" t="n">
        <f aca="false">-$G$87*AD336</f>
        <v>-0</v>
      </c>
      <c r="AE342" s="8" t="n">
        <f aca="false">-$G$87*AE336</f>
        <v>-0</v>
      </c>
      <c r="AF342" s="8" t="n">
        <f aca="false">-$G$87*AF336</f>
        <v>-0</v>
      </c>
      <c r="AG342" s="8" t="n">
        <f aca="false">-$G$87*AG336</f>
        <v>-0</v>
      </c>
      <c r="AH342" s="8" t="n">
        <f aca="false">-$G$87*AH336</f>
        <v>-0</v>
      </c>
      <c r="AI342" s="8" t="n">
        <f aca="false">-$G$87*AI336</f>
        <v>-0</v>
      </c>
      <c r="AJ342" s="8" t="n">
        <f aca="false">-$G$87*AJ336</f>
        <v>-0</v>
      </c>
      <c r="AK342" s="8" t="n">
        <f aca="false">-$G$87*AK336</f>
        <v>-0</v>
      </c>
      <c r="AL342" s="8" t="n">
        <f aca="false">-$G$87*AL336</f>
        <v>-0</v>
      </c>
      <c r="AM342" s="8" t="n">
        <f aca="false">-$G$87*AM336</f>
        <v>-0</v>
      </c>
      <c r="AN342" s="8" t="n">
        <f aca="false">-$G$87*AN336</f>
        <v>-0</v>
      </c>
      <c r="AO342" s="8" t="n">
        <f aca="false">-$G$87*AO336</f>
        <v>-0</v>
      </c>
      <c r="AP342" s="8" t="n">
        <f aca="false">-$G$87*AP336</f>
        <v>-0</v>
      </c>
      <c r="AQ342" s="8" t="n">
        <f aca="false">-$G$87*AQ336</f>
        <v>-0</v>
      </c>
      <c r="AR342" s="8" t="n">
        <f aca="false">-$G$87*AR336</f>
        <v>-0</v>
      </c>
      <c r="AS342" s="8" t="n">
        <f aca="false">-$G$87*AS336</f>
        <v>-0</v>
      </c>
    </row>
    <row r="343" customFormat="false" ht="14.25" hidden="true" customHeight="false" outlineLevel="1" collapsed="false">
      <c r="C343" s="6" t="s">
        <v>224</v>
      </c>
      <c r="D343" s="2" t="s">
        <v>82</v>
      </c>
      <c r="H343" s="8" t="n">
        <f aca="false">SUM(J343:AS343)</f>
        <v>-2500</v>
      </c>
      <c r="J343" s="8" t="n">
        <f aca="false">-$G$89*J339</f>
        <v>-0</v>
      </c>
      <c r="K343" s="8" t="n">
        <f aca="false">-$G$89*K339</f>
        <v>-0</v>
      </c>
      <c r="L343" s="8" t="n">
        <f aca="false">-$G$89*L339</f>
        <v>-0</v>
      </c>
      <c r="M343" s="8" t="n">
        <f aca="false">-$G$89*M339</f>
        <v>-0</v>
      </c>
      <c r="N343" s="8" t="n">
        <f aca="false">-$G$89*N339</f>
        <v>-0</v>
      </c>
      <c r="O343" s="8" t="n">
        <f aca="false">-$G$89*O339</f>
        <v>-2500</v>
      </c>
      <c r="P343" s="8" t="n">
        <f aca="false">-$G$89*P339</f>
        <v>-0</v>
      </c>
      <c r="Q343" s="8" t="n">
        <f aca="false">-$G$89*Q339</f>
        <v>-0</v>
      </c>
      <c r="R343" s="8" t="n">
        <f aca="false">-$G$89*R339</f>
        <v>-0</v>
      </c>
      <c r="S343" s="8" t="n">
        <f aca="false">-$G$89*S339</f>
        <v>-0</v>
      </c>
      <c r="T343" s="8" t="n">
        <f aca="false">-$G$89*T339</f>
        <v>-0</v>
      </c>
      <c r="U343" s="8" t="n">
        <f aca="false">-$G$89*U339</f>
        <v>-0</v>
      </c>
      <c r="V343" s="8" t="n">
        <f aca="false">-$G$89*V339</f>
        <v>-0</v>
      </c>
      <c r="W343" s="8" t="n">
        <f aca="false">-$G$89*W339</f>
        <v>-0</v>
      </c>
      <c r="X343" s="8" t="n">
        <f aca="false">-$G$89*X339</f>
        <v>-0</v>
      </c>
      <c r="Y343" s="8" t="n">
        <f aca="false">-$G$89*Y339</f>
        <v>-0</v>
      </c>
      <c r="Z343" s="8" t="n">
        <f aca="false">-$G$89*Z339</f>
        <v>-0</v>
      </c>
      <c r="AA343" s="8" t="n">
        <f aca="false">-$G$89*AA339</f>
        <v>-0</v>
      </c>
      <c r="AB343" s="8" t="n">
        <f aca="false">-$G$89*AB339</f>
        <v>-0</v>
      </c>
      <c r="AC343" s="8" t="n">
        <f aca="false">-$G$89*AC339</f>
        <v>-0</v>
      </c>
      <c r="AD343" s="8" t="n">
        <f aca="false">-$G$89*AD339</f>
        <v>-0</v>
      </c>
      <c r="AE343" s="8" t="n">
        <f aca="false">-$G$89*AE339</f>
        <v>-0</v>
      </c>
      <c r="AF343" s="8" t="n">
        <f aca="false">-$G$89*AF339</f>
        <v>-0</v>
      </c>
      <c r="AG343" s="8" t="n">
        <f aca="false">-$G$89*AG339</f>
        <v>-0</v>
      </c>
      <c r="AH343" s="8" t="n">
        <f aca="false">-$G$89*AH339</f>
        <v>-0</v>
      </c>
      <c r="AI343" s="8" t="n">
        <f aca="false">-$G$89*AI339</f>
        <v>-0</v>
      </c>
      <c r="AJ343" s="8" t="n">
        <f aca="false">-$G$89*AJ339</f>
        <v>-0</v>
      </c>
      <c r="AK343" s="8" t="n">
        <f aca="false">-$G$89*AK339</f>
        <v>-0</v>
      </c>
      <c r="AL343" s="8" t="n">
        <f aca="false">-$G$89*AL339</f>
        <v>-0</v>
      </c>
      <c r="AM343" s="8" t="n">
        <f aca="false">-$G$89*AM339</f>
        <v>-0</v>
      </c>
      <c r="AN343" s="8" t="n">
        <f aca="false">-$G$89*AN339</f>
        <v>-0</v>
      </c>
      <c r="AO343" s="8" t="n">
        <f aca="false">-$G$89*AO339</f>
        <v>-0</v>
      </c>
      <c r="AP343" s="8" t="n">
        <f aca="false">-$G$89*AP339</f>
        <v>-0</v>
      </c>
      <c r="AQ343" s="8" t="n">
        <f aca="false">-$G$89*AQ339</f>
        <v>-0</v>
      </c>
      <c r="AR343" s="8" t="n">
        <f aca="false">-$G$89*AR339</f>
        <v>-0</v>
      </c>
      <c r="AS343" s="8" t="n">
        <f aca="false">-$G$89*AS339</f>
        <v>-0</v>
      </c>
    </row>
    <row r="344" customFormat="false" ht="14.25" hidden="true" customHeight="false" outlineLevel="1" collapsed="false">
      <c r="C344" s="1" t="s">
        <v>225</v>
      </c>
      <c r="D344" s="2" t="s">
        <v>82</v>
      </c>
      <c r="H344" s="14" t="n">
        <f aca="false">SUM(J344:AS344)</f>
        <v>-55671.9767123288</v>
      </c>
      <c r="J344" s="14" t="n">
        <f aca="false">SUM(J340:J343)</f>
        <v>-436.301369863014</v>
      </c>
      <c r="K344" s="14" t="n">
        <f aca="false">SUM(K340:K343)</f>
        <v>-2728.76712328767</v>
      </c>
      <c r="L344" s="14" t="n">
        <f aca="false">SUM(L340:L343)</f>
        <v>-3359.81917808219</v>
      </c>
      <c r="M344" s="14" t="n">
        <f aca="false">SUM(M340:M343)</f>
        <v>-12009.375</v>
      </c>
      <c r="N344" s="14" t="n">
        <f aca="false">SUM(N340:N343)</f>
        <v>-24018.75</v>
      </c>
      <c r="O344" s="14" t="n">
        <f aca="false">SUM(O340:O343)</f>
        <v>-14509.375</v>
      </c>
      <c r="P344" s="14" t="n">
        <f aca="false">SUM(P340:P343)</f>
        <v>0</v>
      </c>
      <c r="Q344" s="14" t="n">
        <f aca="false">SUM(Q340:Q343)</f>
        <v>1390.41095890411</v>
      </c>
      <c r="R344" s="14" t="n">
        <f aca="false">SUM(R340:R343)</f>
        <v>0</v>
      </c>
      <c r="S344" s="14" t="n">
        <f aca="false">SUM(S340:S343)</f>
        <v>0</v>
      </c>
      <c r="T344" s="14" t="n">
        <f aca="false">SUM(T340:T343)</f>
        <v>0</v>
      </c>
      <c r="U344" s="14" t="n">
        <f aca="false">SUM(U340:U343)</f>
        <v>0</v>
      </c>
      <c r="V344" s="14" t="n">
        <f aca="false">SUM(V340:V343)</f>
        <v>0</v>
      </c>
      <c r="W344" s="14" t="n">
        <f aca="false">SUM(W340:W343)</f>
        <v>0</v>
      </c>
      <c r="X344" s="14" t="n">
        <f aca="false">SUM(X340:X343)</f>
        <v>0</v>
      </c>
      <c r="Y344" s="14" t="n">
        <f aca="false">SUM(Y340:Y343)</f>
        <v>0</v>
      </c>
      <c r="Z344" s="14" t="n">
        <f aca="false">SUM(Z340:Z343)</f>
        <v>0</v>
      </c>
      <c r="AA344" s="14" t="n">
        <f aca="false">SUM(AA340:AA343)</f>
        <v>0</v>
      </c>
      <c r="AB344" s="14" t="n">
        <f aca="false">SUM(AB340:AB343)</f>
        <v>0</v>
      </c>
      <c r="AC344" s="14" t="n">
        <f aca="false">SUM(AC340:AC343)</f>
        <v>0</v>
      </c>
      <c r="AD344" s="14" t="n">
        <f aca="false">SUM(AD340:AD343)</f>
        <v>0</v>
      </c>
      <c r="AE344" s="14" t="n">
        <f aca="false">SUM(AE340:AE343)</f>
        <v>0</v>
      </c>
      <c r="AF344" s="14" t="n">
        <f aca="false">SUM(AF340:AF343)</f>
        <v>0</v>
      </c>
      <c r="AG344" s="14" t="n">
        <f aca="false">SUM(AG340:AG343)</f>
        <v>0</v>
      </c>
      <c r="AH344" s="14" t="n">
        <f aca="false">SUM(AH340:AH343)</f>
        <v>0</v>
      </c>
      <c r="AI344" s="14" t="n">
        <f aca="false">SUM(AI340:AI343)</f>
        <v>0</v>
      </c>
      <c r="AJ344" s="14" t="n">
        <f aca="false">SUM(AJ340:AJ343)</f>
        <v>0</v>
      </c>
      <c r="AK344" s="14" t="n">
        <f aca="false">SUM(AK340:AK343)</f>
        <v>0</v>
      </c>
      <c r="AL344" s="14" t="n">
        <f aca="false">SUM(AL340:AL343)</f>
        <v>0</v>
      </c>
      <c r="AM344" s="14" t="n">
        <f aca="false">SUM(AM340:AM343)</f>
        <v>0</v>
      </c>
      <c r="AN344" s="14" t="n">
        <f aca="false">SUM(AN340:AN343)</f>
        <v>0</v>
      </c>
      <c r="AO344" s="14" t="n">
        <f aca="false">SUM(AO340:AO343)</f>
        <v>0</v>
      </c>
      <c r="AP344" s="14" t="n">
        <f aca="false">SUM(AP340:AP343)</f>
        <v>0</v>
      </c>
      <c r="AQ344" s="14" t="n">
        <f aca="false">SUM(AQ340:AQ343)</f>
        <v>0</v>
      </c>
      <c r="AR344" s="14" t="n">
        <f aca="false">SUM(AR340:AR343)</f>
        <v>0</v>
      </c>
      <c r="AS344" s="14" t="n">
        <f aca="false">SUM(AS340:AS343)</f>
        <v>0</v>
      </c>
    </row>
    <row r="345" customFormat="false" ht="14.25" hidden="true" customHeight="false" outlineLevel="1" collapsed="false">
      <c r="C345" s="6" t="s">
        <v>226</v>
      </c>
      <c r="D345" s="2" t="s">
        <v>3</v>
      </c>
      <c r="J345" s="56" t="n">
        <f aca="false">(1-Degradation)^MAX(J334-1,0)</f>
        <v>1</v>
      </c>
      <c r="K345" s="56" t="n">
        <f aca="false">(1-Degradation)^MAX(K334-1,0)</f>
        <v>1</v>
      </c>
      <c r="L345" s="56" t="n">
        <f aca="false">(1-Degradation)^MAX(L334-1,0)</f>
        <v>1</v>
      </c>
      <c r="M345" s="56" t="n">
        <f aca="false">(1-Degradation)^MAX(M334-1,0)</f>
        <v>1</v>
      </c>
      <c r="N345" s="56" t="n">
        <f aca="false">(1-Degradation)^MAX(N334-1,0)</f>
        <v>1</v>
      </c>
      <c r="O345" s="56" t="n">
        <f aca="false">(1-Degradation)^MAX(O334-1,0)</f>
        <v>1</v>
      </c>
      <c r="P345" s="56" t="n">
        <f aca="false">(1-Degradation)^MAX(P334-1,0)</f>
        <v>1</v>
      </c>
      <c r="Q345" s="56" t="n">
        <f aca="false">(1-Degradation)^MAX(Q334-1,0)</f>
        <v>0.997</v>
      </c>
      <c r="R345" s="56" t="n">
        <f aca="false">(1-Degradation)^MAX(R334-1,0)</f>
        <v>0.994009</v>
      </c>
      <c r="S345" s="56" t="n">
        <f aca="false">(1-Degradation)^MAX(S334-1,0)</f>
        <v>0.991026973</v>
      </c>
      <c r="T345" s="56" t="n">
        <f aca="false">(1-Degradation)^MAX(T334-1,0)</f>
        <v>0.988053892081</v>
      </c>
      <c r="U345" s="56" t="n">
        <f aca="false">(1-Degradation)^MAX(U334-1,0)</f>
        <v>0.985089730404757</v>
      </c>
      <c r="V345" s="56" t="n">
        <f aca="false">(1-Degradation)^MAX(V334-1,0)</f>
        <v>0.982134461213543</v>
      </c>
      <c r="W345" s="56" t="n">
        <f aca="false">(1-Degradation)^MAX(W334-1,0)</f>
        <v>0.979188057829902</v>
      </c>
      <c r="X345" s="56" t="n">
        <f aca="false">(1-Degradation)^MAX(X334-1,0)</f>
        <v>0.976250493656412</v>
      </c>
      <c r="Y345" s="56" t="n">
        <f aca="false">(1-Degradation)^MAX(Y334-1,0)</f>
        <v>0.973321742175443</v>
      </c>
      <c r="Z345" s="56" t="n">
        <f aca="false">(1-Degradation)^MAX(Z334-1,0)</f>
        <v>0.970401776948917</v>
      </c>
      <c r="AA345" s="56" t="n">
        <f aca="false">(1-Degradation)^MAX(AA334-1,0)</f>
        <v>0.96749057161807</v>
      </c>
      <c r="AB345" s="56" t="n">
        <f aca="false">(1-Degradation)^MAX(AB334-1,0)</f>
        <v>0.964588099903216</v>
      </c>
      <c r="AC345" s="56" t="n">
        <f aca="false">(1-Degradation)^MAX(AC334-1,0)</f>
        <v>0.961694335603506</v>
      </c>
      <c r="AD345" s="56" t="n">
        <f aca="false">(1-Degradation)^MAX(AD334-1,0)</f>
        <v>0.958809252596696</v>
      </c>
      <c r="AE345" s="56" t="n">
        <f aca="false">(1-Degradation)^MAX(AE334-1,0)</f>
        <v>0.955932824838906</v>
      </c>
      <c r="AF345" s="56" t="n">
        <f aca="false">(1-Degradation)^MAX(AF334-1,0)</f>
        <v>0.953065026364389</v>
      </c>
      <c r="AG345" s="56" t="n">
        <f aca="false">(1-Degradation)^MAX(AG334-1,0)</f>
        <v>0.950205831285296</v>
      </c>
      <c r="AH345" s="56" t="n">
        <f aca="false">(1-Degradation)^MAX(AH334-1,0)</f>
        <v>0.94735521379144</v>
      </c>
      <c r="AI345" s="56" t="n">
        <f aca="false">(1-Degradation)^MAX(AI334-1,0)</f>
        <v>0.944513148150066</v>
      </c>
      <c r="AJ345" s="56" t="n">
        <f aca="false">(1-Degradation)^MAX(AJ334-1,0)</f>
        <v>0.941679608705615</v>
      </c>
      <c r="AK345" s="56" t="n">
        <f aca="false">(1-Degradation)^MAX(AK334-1,0)</f>
        <v>0.938854569879498</v>
      </c>
      <c r="AL345" s="56" t="n">
        <f aca="false">(1-Degradation)^MAX(AL334-1,0)</f>
        <v>0.93603800616986</v>
      </c>
      <c r="AM345" s="56" t="n">
        <f aca="false">(1-Degradation)^MAX(AM334-1,0)</f>
        <v>0.93322989215135</v>
      </c>
      <c r="AN345" s="56" t="n">
        <f aca="false">(1-Degradation)^MAX(AN334-1,0)</f>
        <v>0.930430202474896</v>
      </c>
      <c r="AO345" s="56" t="n">
        <f aca="false">(1-Degradation)^MAX(AO334-1,0)</f>
        <v>0.927638911867472</v>
      </c>
      <c r="AP345" s="56" t="n">
        <f aca="false">(1-Degradation)^MAX(AP334-1,0)</f>
        <v>0.924855995131869</v>
      </c>
      <c r="AQ345" s="56" t="n">
        <f aca="false">(1-Degradation)^MAX(AQ334-1,0)</f>
        <v>0.922081427146474</v>
      </c>
      <c r="AR345" s="56" t="n">
        <f aca="false">(1-Degradation)^MAX(AR334-1,0)</f>
        <v>0.919315182865034</v>
      </c>
      <c r="AS345" s="56" t="n">
        <f aca="false">(1-Degradation)^MAX(AS334-1,0)</f>
        <v>0.916557237316439</v>
      </c>
    </row>
    <row r="346" customFormat="false" ht="14.25" hidden="true" customHeight="false" outlineLevel="1" collapsed="false">
      <c r="C346" s="6" t="s">
        <v>227</v>
      </c>
      <c r="D346" s="2" t="s">
        <v>228</v>
      </c>
      <c r="H346" s="16" t="n">
        <f aca="false">SUM(J346:AS346)</f>
        <v>3383.64986274979</v>
      </c>
      <c r="J346" s="16" t="n">
        <f aca="false">$G$44*Case_P50*(1-Curtailment)*(1-Clipping)*J338*J345/Thousand</f>
        <v>0</v>
      </c>
      <c r="K346" s="16" t="n">
        <f aca="false">$G$44*Case_P50*(1-Curtailment)*(1-Clipping)*K338*K345/Thousand</f>
        <v>0</v>
      </c>
      <c r="L346" s="16" t="n">
        <f aca="false">$G$44*Case_P50*(1-Curtailment)*(1-Clipping)*L338*L345/Thousand</f>
        <v>0</v>
      </c>
      <c r="M346" s="16" t="n">
        <f aca="false">$G$44*Case_P50*(1-Curtailment)*(1-Clipping)*M338*M345/Thousand</f>
        <v>0</v>
      </c>
      <c r="N346" s="16" t="n">
        <f aca="false">$G$44*Case_P50*(1-Curtailment)*(1-Clipping)*N338*N345/Thousand</f>
        <v>0</v>
      </c>
      <c r="O346" s="16" t="n">
        <f aca="false">$G$44*Case_P50*(1-Curtailment)*(1-Clipping)*O338*O345/Thousand</f>
        <v>58.8</v>
      </c>
      <c r="P346" s="16" t="n">
        <f aca="false">$G$44*Case_P50*(1-Curtailment)*(1-Clipping)*P338*P345/Thousand</f>
        <v>117.6</v>
      </c>
      <c r="Q346" s="16" t="n">
        <f aca="false">$G$44*Case_P50*(1-Curtailment)*(1-Clipping)*Q338*Q345/Thousand</f>
        <v>117.2472</v>
      </c>
      <c r="R346" s="16" t="n">
        <f aca="false">$G$44*Case_P50*(1-Curtailment)*(1-Clipping)*R338*R345/Thousand</f>
        <v>116.8954584</v>
      </c>
      <c r="S346" s="16" t="n">
        <f aca="false">$G$44*Case_P50*(1-Curtailment)*(1-Clipping)*S338*S345/Thousand</f>
        <v>116.5447720248</v>
      </c>
      <c r="T346" s="16" t="n">
        <f aca="false">$G$44*Case_P50*(1-Curtailment)*(1-Clipping)*T338*T345/Thousand</f>
        <v>116.195137708726</v>
      </c>
      <c r="U346" s="16" t="n">
        <f aca="false">$G$44*Case_P50*(1-Curtailment)*(1-Clipping)*U338*U345/Thousand</f>
        <v>115.846552295599</v>
      </c>
      <c r="V346" s="16" t="n">
        <f aca="false">$G$44*Case_P50*(1-Curtailment)*(1-Clipping)*V338*V345/Thousand</f>
        <v>115.499012638713</v>
      </c>
      <c r="W346" s="16" t="n">
        <f aca="false">$G$44*Case_P50*(1-Curtailment)*(1-Clipping)*W338*W345/Thousand</f>
        <v>115.152515600796</v>
      </c>
      <c r="X346" s="16" t="n">
        <f aca="false">$G$44*Case_P50*(1-Curtailment)*(1-Clipping)*X338*X345/Thousand</f>
        <v>114.807058053994</v>
      </c>
      <c r="Y346" s="16" t="n">
        <f aca="false">$G$44*Case_P50*(1-Curtailment)*(1-Clipping)*Y338*Y345/Thousand</f>
        <v>114.462636879832</v>
      </c>
      <c r="Z346" s="16" t="n">
        <f aca="false">$G$44*Case_P50*(1-Curtailment)*(1-Clipping)*Z338*Z345/Thousand</f>
        <v>114.119248969193</v>
      </c>
      <c r="AA346" s="16" t="n">
        <f aca="false">$G$44*Case_P50*(1-Curtailment)*(1-Clipping)*AA338*AA345/Thousand</f>
        <v>113.776891222285</v>
      </c>
      <c r="AB346" s="16" t="n">
        <f aca="false">$G$44*Case_P50*(1-Curtailment)*(1-Clipping)*AB338*AB345/Thousand</f>
        <v>113.435560548618</v>
      </c>
      <c r="AC346" s="16" t="n">
        <f aca="false">$G$44*Case_P50*(1-Curtailment)*(1-Clipping)*AC338*AC345/Thousand</f>
        <v>113.095253866972</v>
      </c>
      <c r="AD346" s="16" t="n">
        <f aca="false">$G$44*Case_P50*(1-Curtailment)*(1-Clipping)*AD338*AD345/Thousand</f>
        <v>112.755968105371</v>
      </c>
      <c r="AE346" s="16" t="n">
        <f aca="false">$G$44*Case_P50*(1-Curtailment)*(1-Clipping)*AE338*AE345/Thousand</f>
        <v>112.417700201055</v>
      </c>
      <c r="AF346" s="16" t="n">
        <f aca="false">$G$44*Case_P50*(1-Curtailment)*(1-Clipping)*AF338*AF345/Thousand</f>
        <v>112.080447100452</v>
      </c>
      <c r="AG346" s="16" t="n">
        <f aca="false">$G$44*Case_P50*(1-Curtailment)*(1-Clipping)*AG338*AG345/Thousand</f>
        <v>111.744205759151</v>
      </c>
      <c r="AH346" s="16" t="n">
        <f aca="false">$G$44*Case_P50*(1-Curtailment)*(1-Clipping)*AH338*AH345/Thousand</f>
        <v>111.408973141873</v>
      </c>
      <c r="AI346" s="16" t="n">
        <f aca="false">$G$44*Case_P50*(1-Curtailment)*(1-Clipping)*AI338*AI345/Thousand</f>
        <v>111.074746222448</v>
      </c>
      <c r="AJ346" s="16" t="n">
        <f aca="false">$G$44*Case_P50*(1-Curtailment)*(1-Clipping)*AJ338*AJ345/Thousand</f>
        <v>110.74152198378</v>
      </c>
      <c r="AK346" s="16" t="n">
        <f aca="false">$G$44*Case_P50*(1-Curtailment)*(1-Clipping)*AK338*AK345/Thousand</f>
        <v>110.409297417829</v>
      </c>
      <c r="AL346" s="16" t="n">
        <f aca="false">$G$44*Case_P50*(1-Curtailment)*(1-Clipping)*AL338*AL345/Thousand</f>
        <v>110.078069525576</v>
      </c>
      <c r="AM346" s="16" t="n">
        <f aca="false">$G$44*Case_P50*(1-Curtailment)*(1-Clipping)*AM338*AM345/Thousand</f>
        <v>109.747835316999</v>
      </c>
      <c r="AN346" s="16" t="n">
        <f aca="false">$G$44*Case_P50*(1-Curtailment)*(1-Clipping)*AN338*AN345/Thousand</f>
        <v>109.418591811048</v>
      </c>
      <c r="AO346" s="16" t="n">
        <f aca="false">$G$44*Case_P50*(1-Curtailment)*(1-Clipping)*AO338*AO345/Thousand</f>
        <v>109.090336035615</v>
      </c>
      <c r="AP346" s="16" t="n">
        <f aca="false">$G$44*Case_P50*(1-Curtailment)*(1-Clipping)*AP338*AP345/Thousand</f>
        <v>108.763065027508</v>
      </c>
      <c r="AQ346" s="16" t="n">
        <f aca="false">$G$44*Case_P50*(1-Curtailment)*(1-Clipping)*AQ338*AQ345/Thousand</f>
        <v>108.436775832425</v>
      </c>
      <c r="AR346" s="16" t="n">
        <f aca="false">$G$44*Case_P50*(1-Curtailment)*(1-Clipping)*AR338*AR345/Thousand</f>
        <v>108.111465504928</v>
      </c>
      <c r="AS346" s="16" t="n">
        <f aca="false">$G$44*Case_P50*(1-Curtailment)*(1-Clipping)*AS338*AS345/Thousand</f>
        <v>53.8935655542066</v>
      </c>
    </row>
    <row r="347" customFormat="false" ht="14.25" hidden="true" customHeight="false" outlineLevel="1" collapsed="false">
      <c r="C347" s="6" t="s">
        <v>229</v>
      </c>
      <c r="D347" s="2" t="s">
        <v>20</v>
      </c>
      <c r="J347" s="16" t="n">
        <f aca="false">Case_PPA*(1+PPA_Esc)^J334*(J338&gt;0)</f>
        <v>0</v>
      </c>
      <c r="K347" s="16" t="n">
        <f aca="false">Case_PPA*(1+PPA_Esc)^K334*(K338&gt;0)</f>
        <v>0</v>
      </c>
      <c r="L347" s="16" t="n">
        <f aca="false">Case_PPA*(1+PPA_Esc)^L334*(L338&gt;0)</f>
        <v>0</v>
      </c>
      <c r="M347" s="16" t="n">
        <f aca="false">Case_PPA*(1+PPA_Esc)^M334*(M338&gt;0)</f>
        <v>0</v>
      </c>
      <c r="N347" s="16" t="n">
        <f aca="false">Case_PPA*(1+PPA_Esc)^N334*(N338&gt;0)</f>
        <v>0</v>
      </c>
      <c r="O347" s="16" t="n">
        <f aca="false">Case_PPA*(1+PPA_Esc)^O334*(O338&gt;0)</f>
        <v>90</v>
      </c>
      <c r="P347" s="16" t="n">
        <f aca="false">Case_PPA*(1+PPA_Esc)^P334*(P338&gt;0)</f>
        <v>90.9</v>
      </c>
      <c r="Q347" s="16" t="n">
        <f aca="false">Case_PPA*(1+PPA_Esc)^Q334*(Q338&gt;0)</f>
        <v>91.809</v>
      </c>
      <c r="R347" s="16" t="n">
        <f aca="false">Case_PPA*(1+PPA_Esc)^R334*(R338&gt;0)</f>
        <v>92.72709</v>
      </c>
      <c r="S347" s="16" t="n">
        <f aca="false">Case_PPA*(1+PPA_Esc)^S334*(S338&gt;0)</f>
        <v>93.6543609</v>
      </c>
      <c r="T347" s="16" t="n">
        <f aca="false">Case_PPA*(1+PPA_Esc)^T334*(T338&gt;0)</f>
        <v>94.590904509</v>
      </c>
      <c r="U347" s="16" t="n">
        <f aca="false">Case_PPA*(1+PPA_Esc)^U334*(U338&gt;0)</f>
        <v>95.53681355409</v>
      </c>
      <c r="V347" s="16" t="n">
        <f aca="false">Case_PPA*(1+PPA_Esc)^V334*(V338&gt;0)</f>
        <v>96.4921816896309</v>
      </c>
      <c r="W347" s="16" t="n">
        <f aca="false">Case_PPA*(1+PPA_Esc)^W334*(W338&gt;0)</f>
        <v>97.4571035065272</v>
      </c>
      <c r="X347" s="16" t="n">
        <f aca="false">Case_PPA*(1+PPA_Esc)^X334*(X338&gt;0)</f>
        <v>98.4316745415925</v>
      </c>
      <c r="Y347" s="16" t="n">
        <f aca="false">Case_PPA*(1+PPA_Esc)^Y334*(Y338&gt;0)</f>
        <v>99.4159912870084</v>
      </c>
      <c r="Z347" s="16" t="n">
        <f aca="false">Case_PPA*(1+PPA_Esc)^Z334*(Z338&gt;0)</f>
        <v>100.410151199878</v>
      </c>
      <c r="AA347" s="16" t="n">
        <f aca="false">Case_PPA*(1+PPA_Esc)^AA334*(AA338&gt;0)</f>
        <v>101.414252711877</v>
      </c>
      <c r="AB347" s="16" t="n">
        <f aca="false">Case_PPA*(1+PPA_Esc)^AB334*(AB338&gt;0)</f>
        <v>102.428395238996</v>
      </c>
      <c r="AC347" s="16" t="n">
        <f aca="false">Case_PPA*(1+PPA_Esc)^AC334*(AC338&gt;0)</f>
        <v>103.452679191386</v>
      </c>
      <c r="AD347" s="16" t="n">
        <f aca="false">Case_PPA*(1+PPA_Esc)^AD334*(AD338&gt;0)</f>
        <v>104.4872059833</v>
      </c>
      <c r="AE347" s="16" t="n">
        <f aca="false">Case_PPA*(1+PPA_Esc)^AE334*(AE338&gt;0)</f>
        <v>105.532078043133</v>
      </c>
      <c r="AF347" s="16" t="n">
        <f aca="false">Case_PPA*(1+PPA_Esc)^AF334*(AF338&gt;0)</f>
        <v>106.587398823564</v>
      </c>
      <c r="AG347" s="16" t="n">
        <f aca="false">Case_PPA*(1+PPA_Esc)^AG334*(AG338&gt;0)</f>
        <v>107.6532728118</v>
      </c>
      <c r="AH347" s="16" t="n">
        <f aca="false">Case_PPA*(1+PPA_Esc)^AH334*(AH338&gt;0)</f>
        <v>108.729805539918</v>
      </c>
      <c r="AI347" s="16" t="n">
        <f aca="false">Case_PPA*(1+PPA_Esc)^AI334*(AI338&gt;0)</f>
        <v>109.817103595317</v>
      </c>
      <c r="AJ347" s="16" t="n">
        <f aca="false">Case_PPA*(1+PPA_Esc)^AJ334*(AJ338&gt;0)</f>
        <v>110.91527463127</v>
      </c>
      <c r="AK347" s="16" t="n">
        <f aca="false">Case_PPA*(1+PPA_Esc)^AK334*(AK338&gt;0)</f>
        <v>112.024427377583</v>
      </c>
      <c r="AL347" s="16" t="n">
        <f aca="false">Case_PPA*(1+PPA_Esc)^AL334*(AL338&gt;0)</f>
        <v>113.144671651359</v>
      </c>
      <c r="AM347" s="16" t="n">
        <f aca="false">Case_PPA*(1+PPA_Esc)^AM334*(AM338&gt;0)</f>
        <v>114.276118367872</v>
      </c>
      <c r="AN347" s="16" t="n">
        <f aca="false">Case_PPA*(1+PPA_Esc)^AN334*(AN338&gt;0)</f>
        <v>115.418879551551</v>
      </c>
      <c r="AO347" s="16" t="n">
        <f aca="false">Case_PPA*(1+PPA_Esc)^AO334*(AO338&gt;0)</f>
        <v>116.573068347067</v>
      </c>
      <c r="AP347" s="16" t="n">
        <f aca="false">Case_PPA*(1+PPA_Esc)^AP334*(AP338&gt;0)</f>
        <v>117.738799030537</v>
      </c>
      <c r="AQ347" s="16" t="n">
        <f aca="false">Case_PPA*(1+PPA_Esc)^AQ334*(AQ338&gt;0)</f>
        <v>118.916187020843</v>
      </c>
      <c r="AR347" s="16" t="n">
        <f aca="false">Case_PPA*(1+PPA_Esc)^AR334*(AR338&gt;0)</f>
        <v>120.105348891051</v>
      </c>
      <c r="AS347" s="16" t="n">
        <f aca="false">Case_PPA*(1+PPA_Esc)^AS334*(AS338&gt;0)</f>
        <v>121.306402379962</v>
      </c>
    </row>
    <row r="348" customFormat="false" ht="14.25" hidden="true" customHeight="false" outlineLevel="1" collapsed="false">
      <c r="C348" s="1" t="s">
        <v>150</v>
      </c>
      <c r="D348" s="2" t="s">
        <v>82</v>
      </c>
      <c r="H348" s="31" t="n">
        <f aca="false">SUM(J348:AS348)</f>
        <v>354071.972801154</v>
      </c>
      <c r="J348" s="31" t="n">
        <f aca="false">J346*J347</f>
        <v>0</v>
      </c>
      <c r="K348" s="31" t="n">
        <f aca="false">K346*K347</f>
        <v>0</v>
      </c>
      <c r="L348" s="31" t="n">
        <f aca="false">L346*L347</f>
        <v>0</v>
      </c>
      <c r="M348" s="31" t="n">
        <f aca="false">M346*M347</f>
        <v>0</v>
      </c>
      <c r="N348" s="31" t="n">
        <f aca="false">N346*N347</f>
        <v>0</v>
      </c>
      <c r="O348" s="31" t="n">
        <f aca="false">O346*O347</f>
        <v>5292</v>
      </c>
      <c r="P348" s="31" t="n">
        <f aca="false">P346*P347</f>
        <v>10689.84</v>
      </c>
      <c r="Q348" s="31" t="n">
        <f aca="false">Q346*Q347</f>
        <v>10764.3481848</v>
      </c>
      <c r="R348" s="31" t="n">
        <f aca="false">R346*R347</f>
        <v>10839.3756916481</v>
      </c>
      <c r="S348" s="31" t="n">
        <f aca="false">S346*S347</f>
        <v>10914.9261402188</v>
      </c>
      <c r="T348" s="31" t="n">
        <f aca="false">T346*T347</f>
        <v>10991.0031754162</v>
      </c>
      <c r="U348" s="31" t="n">
        <f aca="false">U346*U347</f>
        <v>11067.6104675488</v>
      </c>
      <c r="V348" s="31" t="n">
        <f aca="false">V346*V347</f>
        <v>11144.7517125076</v>
      </c>
      <c r="W348" s="31" t="n">
        <f aca="false">W346*W347</f>
        <v>11222.4306319438</v>
      </c>
      <c r="X348" s="31" t="n">
        <f aca="false">X346*X347</f>
        <v>11300.6509734485</v>
      </c>
      <c r="Y348" s="31" t="n">
        <f aca="false">Y346*Y347</f>
        <v>11379.4165107334</v>
      </c>
      <c r="Z348" s="31" t="n">
        <f aca="false">Z346*Z347</f>
        <v>11458.7310438132</v>
      </c>
      <c r="AA348" s="31" t="n">
        <f aca="false">AA346*AA347</f>
        <v>11538.5983991886</v>
      </c>
      <c r="AB348" s="31" t="n">
        <f aca="false">AB346*AB347</f>
        <v>11619.0224300309</v>
      </c>
      <c r="AC348" s="31" t="n">
        <f aca="false">AC346*AC347</f>
        <v>11700.0070163682</v>
      </c>
      <c r="AD348" s="31" t="n">
        <f aca="false">AD346*AD347</f>
        <v>11781.5560652723</v>
      </c>
      <c r="AE348" s="31" t="n">
        <f aca="false">AE346*AE347</f>
        <v>11863.6735110473</v>
      </c>
      <c r="AF348" s="31" t="n">
        <f aca="false">AF346*AF347</f>
        <v>11946.3633154193</v>
      </c>
      <c r="AG348" s="31" t="n">
        <f aca="false">AG346*AG347</f>
        <v>12029.6294677278</v>
      </c>
      <c r="AH348" s="31" t="n">
        <f aca="false">AH346*AH347</f>
        <v>12113.4759851178</v>
      </c>
      <c r="AI348" s="31" t="n">
        <f aca="false">AI346*AI347</f>
        <v>12197.9069127341</v>
      </c>
      <c r="AJ348" s="31" t="n">
        <f aca="false">AJ346*AJ347</f>
        <v>12282.9263239158</v>
      </c>
      <c r="AK348" s="31" t="n">
        <f aca="false">AK346*AK347</f>
        <v>12368.5383203935</v>
      </c>
      <c r="AL348" s="31" t="n">
        <f aca="false">AL346*AL347</f>
        <v>12454.7470324867</v>
      </c>
      <c r="AM348" s="31" t="n">
        <f aca="false">AM346*AM347</f>
        <v>12541.5566193031</v>
      </c>
      <c r="AN348" s="31" t="n">
        <f aca="false">AN346*AN347</f>
        <v>12628.9712689397</v>
      </c>
      <c r="AO348" s="31" t="n">
        <f aca="false">AO346*AO347</f>
        <v>12716.9951986842</v>
      </c>
      <c r="AP348" s="31" t="n">
        <f aca="false">AP346*AP347</f>
        <v>12805.632655219</v>
      </c>
      <c r="AQ348" s="31" t="n">
        <f aca="false">AQ346*AQ347</f>
        <v>12894.8879148259</v>
      </c>
      <c r="AR348" s="31" t="n">
        <f aca="false">AR346*AR347</f>
        <v>12984.7652835922</v>
      </c>
      <c r="AS348" s="31" t="n">
        <f aca="false">AS346*AS347</f>
        <v>6537.63454880942</v>
      </c>
    </row>
    <row r="349" customFormat="false" ht="14.25" hidden="true" customHeight="false" outlineLevel="1" collapsed="false">
      <c r="C349" s="6" t="s">
        <v>230</v>
      </c>
      <c r="D349" s="2" t="s">
        <v>3</v>
      </c>
      <c r="J349" s="56" t="n">
        <f aca="false">(1+Opex_Esc)^J334</f>
        <v>0.883854287609517</v>
      </c>
      <c r="K349" s="56" t="n">
        <f aca="false">(1+Opex_Esc)^K334</f>
        <v>0.905950644799755</v>
      </c>
      <c r="L349" s="56" t="n">
        <f aca="false">(1+Opex_Esc)^L334</f>
        <v>0.928599410919749</v>
      </c>
      <c r="M349" s="56" t="n">
        <f aca="false">(1+Opex_Esc)^M334</f>
        <v>0.951814396192743</v>
      </c>
      <c r="N349" s="56" t="n">
        <f aca="false">(1+Opex_Esc)^N334</f>
        <v>0.975609756097561</v>
      </c>
      <c r="O349" s="56" t="n">
        <f aca="false">(1+Opex_Esc)^O334</f>
        <v>1</v>
      </c>
      <c r="P349" s="56" t="n">
        <f aca="false">(1+Opex_Esc)^P334</f>
        <v>1.025</v>
      </c>
      <c r="Q349" s="56" t="n">
        <f aca="false">(1+Opex_Esc)^Q334</f>
        <v>1.050625</v>
      </c>
      <c r="R349" s="56" t="n">
        <f aca="false">(1+Opex_Esc)^R334</f>
        <v>1.076890625</v>
      </c>
      <c r="S349" s="56" t="n">
        <f aca="false">(1+Opex_Esc)^S334</f>
        <v>1.103812890625</v>
      </c>
      <c r="T349" s="56" t="n">
        <f aca="false">(1+Opex_Esc)^T334</f>
        <v>1.13140821289062</v>
      </c>
      <c r="U349" s="56" t="n">
        <f aca="false">(1+Opex_Esc)^U334</f>
        <v>1.15969341821289</v>
      </c>
      <c r="V349" s="56" t="n">
        <f aca="false">(1+Opex_Esc)^V334</f>
        <v>1.18868575366821</v>
      </c>
      <c r="W349" s="56" t="n">
        <f aca="false">(1+Opex_Esc)^W334</f>
        <v>1.21840289750992</v>
      </c>
      <c r="X349" s="56" t="n">
        <f aca="false">(1+Opex_Esc)^X334</f>
        <v>1.24886296994767</v>
      </c>
      <c r="Y349" s="56" t="n">
        <f aca="false">(1+Opex_Esc)^Y334</f>
        <v>1.28008454419636</v>
      </c>
      <c r="Z349" s="56" t="n">
        <f aca="false">(1+Opex_Esc)^Z334</f>
        <v>1.31208665780127</v>
      </c>
      <c r="AA349" s="56" t="n">
        <f aca="false">(1+Opex_Esc)^AA334</f>
        <v>1.3448888242463</v>
      </c>
      <c r="AB349" s="56" t="n">
        <f aca="false">(1+Opex_Esc)^AB334</f>
        <v>1.37851104485245</v>
      </c>
      <c r="AC349" s="56" t="n">
        <f aca="false">(1+Opex_Esc)^AC334</f>
        <v>1.41297382097377</v>
      </c>
      <c r="AD349" s="56" t="n">
        <f aca="false">(1+Opex_Esc)^AD334</f>
        <v>1.44829816649811</v>
      </c>
      <c r="AE349" s="56" t="n">
        <f aca="false">(1+Opex_Esc)^AE334</f>
        <v>1.48450562066056</v>
      </c>
      <c r="AF349" s="56" t="n">
        <f aca="false">(1+Opex_Esc)^AF334</f>
        <v>1.52161826117708</v>
      </c>
      <c r="AG349" s="56" t="n">
        <f aca="false">(1+Opex_Esc)^AG334</f>
        <v>1.5596587177065</v>
      </c>
      <c r="AH349" s="56" t="n">
        <f aca="false">(1+Opex_Esc)^AH334</f>
        <v>1.59865018564917</v>
      </c>
      <c r="AI349" s="56" t="n">
        <f aca="false">(1+Opex_Esc)^AI334</f>
        <v>1.63861644029039</v>
      </c>
      <c r="AJ349" s="56" t="n">
        <f aca="false">(1+Opex_Esc)^AJ334</f>
        <v>1.67958185129765</v>
      </c>
      <c r="AK349" s="56" t="n">
        <f aca="false">(1+Opex_Esc)^AK334</f>
        <v>1.7215713975801</v>
      </c>
      <c r="AL349" s="56" t="n">
        <f aca="false">(1+Opex_Esc)^AL334</f>
        <v>1.7646106825196</v>
      </c>
      <c r="AM349" s="56" t="n">
        <f aca="false">(1+Opex_Esc)^AM334</f>
        <v>1.80872594958259</v>
      </c>
      <c r="AN349" s="56" t="n">
        <f aca="false">(1+Opex_Esc)^AN334</f>
        <v>1.85394409832215</v>
      </c>
      <c r="AO349" s="56" t="n">
        <f aca="false">(1+Opex_Esc)^AO334</f>
        <v>1.90029270078021</v>
      </c>
      <c r="AP349" s="56" t="n">
        <f aca="false">(1+Opex_Esc)^AP334</f>
        <v>1.94780001829971</v>
      </c>
      <c r="AQ349" s="56" t="n">
        <f aca="false">(1+Opex_Esc)^AQ334</f>
        <v>1.9964950187572</v>
      </c>
      <c r="AR349" s="56" t="n">
        <f aca="false">(1+Opex_Esc)^AR334</f>
        <v>2.04640739422613</v>
      </c>
      <c r="AS349" s="56" t="n">
        <f aca="false">(1+Opex_Esc)^AS334</f>
        <v>2.09756757908179</v>
      </c>
    </row>
    <row r="350" customFormat="false" ht="14.25" hidden="true" customHeight="false" outlineLevel="1" collapsed="false">
      <c r="C350" s="6" t="s">
        <v>231</v>
      </c>
      <c r="D350" s="2" t="s">
        <v>82</v>
      </c>
      <c r="H350" s="8" t="n">
        <f aca="false">SUM(J350:AS350)</f>
        <v>-55564.3586910156</v>
      </c>
      <c r="J350" s="8" t="n">
        <f aca="false">-(Case_OM+SUM(Opex_Per_MW))*$G$44*J349*J338</f>
        <v>-0</v>
      </c>
      <c r="K350" s="8" t="n">
        <f aca="false">-(Case_OM+SUM(Opex_Per_MW))*$G$44*K349*K338</f>
        <v>-0</v>
      </c>
      <c r="L350" s="8" t="n">
        <f aca="false">-(Case_OM+SUM(Opex_Per_MW))*$G$44*L349*L338</f>
        <v>-0</v>
      </c>
      <c r="M350" s="8" t="n">
        <f aca="false">-(Case_OM+SUM(Opex_Per_MW))*$G$44*M349*M338</f>
        <v>-0</v>
      </c>
      <c r="N350" s="8" t="n">
        <f aca="false">-(Case_OM+SUM(Opex_Per_MW))*$G$44*N349*N338</f>
        <v>-0</v>
      </c>
      <c r="O350" s="8" t="n">
        <f aca="false">-(Case_OM+SUM(Opex_Per_MW))*$G$44*O349*O338</f>
        <v>-625</v>
      </c>
      <c r="P350" s="8" t="n">
        <f aca="false">-(Case_OM+SUM(Opex_Per_MW))*$G$44*P349*P338</f>
        <v>-1281.25</v>
      </c>
      <c r="Q350" s="8" t="n">
        <f aca="false">-(Case_OM+SUM(Opex_Per_MW))*$G$44*Q349*Q338</f>
        <v>-1313.28125</v>
      </c>
      <c r="R350" s="8" t="n">
        <f aca="false">-(Case_OM+SUM(Opex_Per_MW))*$G$44*R349*R338</f>
        <v>-1346.11328125</v>
      </c>
      <c r="S350" s="8" t="n">
        <f aca="false">-(Case_OM+SUM(Opex_Per_MW))*$G$44*S349*S338</f>
        <v>-1379.76611328125</v>
      </c>
      <c r="T350" s="8" t="n">
        <f aca="false">-(Case_OM+SUM(Opex_Per_MW))*$G$44*T349*T338</f>
        <v>-1414.26026611328</v>
      </c>
      <c r="U350" s="8" t="n">
        <f aca="false">-(Case_OM+SUM(Opex_Per_MW))*$G$44*U349*U338</f>
        <v>-1449.61677276611</v>
      </c>
      <c r="V350" s="8" t="n">
        <f aca="false">-(Case_OM+SUM(Opex_Per_MW))*$G$44*V349*V338</f>
        <v>-1485.85719208527</v>
      </c>
      <c r="W350" s="8" t="n">
        <f aca="false">-(Case_OM+SUM(Opex_Per_MW))*$G$44*W349*W338</f>
        <v>-1523.0036218874</v>
      </c>
      <c r="X350" s="8" t="n">
        <f aca="false">-(Case_OM+SUM(Opex_Per_MW))*$G$44*X349*X338</f>
        <v>-1561.07871243458</v>
      </c>
      <c r="Y350" s="8" t="n">
        <f aca="false">-(Case_OM+SUM(Opex_Per_MW))*$G$44*Y349*Y338</f>
        <v>-1600.10568024545</v>
      </c>
      <c r="Z350" s="8" t="n">
        <f aca="false">-(Case_OM+SUM(Opex_Per_MW))*$G$44*Z349*Z338</f>
        <v>-1640.10832225158</v>
      </c>
      <c r="AA350" s="8" t="n">
        <f aca="false">-(Case_OM+SUM(Opex_Per_MW))*$G$44*AA349*AA338</f>
        <v>-1681.11103030787</v>
      </c>
      <c r="AB350" s="8" t="n">
        <f aca="false">-(Case_OM+SUM(Opex_Per_MW))*$G$44*AB349*AB338</f>
        <v>-1723.13880606557</v>
      </c>
      <c r="AC350" s="8" t="n">
        <f aca="false">-(Case_OM+SUM(Opex_Per_MW))*$G$44*AC349*AC338</f>
        <v>-1766.21727621721</v>
      </c>
      <c r="AD350" s="8" t="n">
        <f aca="false">-(Case_OM+SUM(Opex_Per_MW))*$G$44*AD349*AD338</f>
        <v>-1810.37270812264</v>
      </c>
      <c r="AE350" s="8" t="n">
        <f aca="false">-(Case_OM+SUM(Opex_Per_MW))*$G$44*AE349*AE338</f>
        <v>-1855.6320258257</v>
      </c>
      <c r="AF350" s="8" t="n">
        <f aca="false">-(Case_OM+SUM(Opex_Per_MW))*$G$44*AF349*AF338</f>
        <v>-1902.02282647135</v>
      </c>
      <c r="AG350" s="8" t="n">
        <f aca="false">-(Case_OM+SUM(Opex_Per_MW))*$G$44*AG349*AG338</f>
        <v>-1949.57339713313</v>
      </c>
      <c r="AH350" s="8" t="n">
        <f aca="false">-(Case_OM+SUM(Opex_Per_MW))*$G$44*AH349*AH338</f>
        <v>-1998.31273206146</v>
      </c>
      <c r="AI350" s="8" t="n">
        <f aca="false">-(Case_OM+SUM(Opex_Per_MW))*$G$44*AI349*AI338</f>
        <v>-2048.27055036299</v>
      </c>
      <c r="AJ350" s="8" t="n">
        <f aca="false">-(Case_OM+SUM(Opex_Per_MW))*$G$44*AJ349*AJ338</f>
        <v>-2099.47731412207</v>
      </c>
      <c r="AK350" s="8" t="n">
        <f aca="false">-(Case_OM+SUM(Opex_Per_MW))*$G$44*AK349*AK338</f>
        <v>-2151.96424697512</v>
      </c>
      <c r="AL350" s="8" t="n">
        <f aca="false">-(Case_OM+SUM(Opex_Per_MW))*$G$44*AL349*AL338</f>
        <v>-2205.7633531495</v>
      </c>
      <c r="AM350" s="8" t="n">
        <f aca="false">-(Case_OM+SUM(Opex_Per_MW))*$G$44*AM349*AM338</f>
        <v>-2260.90743697823</v>
      </c>
      <c r="AN350" s="8" t="n">
        <f aca="false">-(Case_OM+SUM(Opex_Per_MW))*$G$44*AN349*AN338</f>
        <v>-2317.43012290269</v>
      </c>
      <c r="AO350" s="8" t="n">
        <f aca="false">-(Case_OM+SUM(Opex_Per_MW))*$G$44*AO349*AO338</f>
        <v>-2375.36587597526</v>
      </c>
      <c r="AP350" s="8" t="n">
        <f aca="false">-(Case_OM+SUM(Opex_Per_MW))*$G$44*AP349*AP338</f>
        <v>-2434.75002287464</v>
      </c>
      <c r="AQ350" s="8" t="n">
        <f aca="false">-(Case_OM+SUM(Opex_Per_MW))*$G$44*AQ349*AQ338</f>
        <v>-2495.6187734465</v>
      </c>
      <c r="AR350" s="8" t="n">
        <f aca="false">-(Case_OM+SUM(Opex_Per_MW))*$G$44*AR349*AR338</f>
        <v>-2558.00924278267</v>
      </c>
      <c r="AS350" s="8" t="n">
        <f aca="false">-(Case_OM+SUM(Opex_Per_MW))*$G$44*AS349*AS338</f>
        <v>-1310.97973692612</v>
      </c>
    </row>
    <row r="351" customFormat="false" ht="14.25" hidden="true" customHeight="false" outlineLevel="1" collapsed="false">
      <c r="C351" s="6" t="s">
        <v>232</v>
      </c>
      <c r="D351" s="2" t="s">
        <v>82</v>
      </c>
      <c r="H351" s="8" t="n">
        <f aca="false">SUM(J351:AS351)</f>
        <v>-1666.93076073047</v>
      </c>
      <c r="J351" s="8" t="n">
        <f aca="false">-Opex_Admin*$G$6/Lump_Basis*J349*J338</f>
        <v>-0</v>
      </c>
      <c r="K351" s="8" t="n">
        <f aca="false">-Opex_Admin*$G$6/Lump_Basis*K349*K338</f>
        <v>-0</v>
      </c>
      <c r="L351" s="8" t="n">
        <f aca="false">-Opex_Admin*$G$6/Lump_Basis*L349*L338</f>
        <v>-0</v>
      </c>
      <c r="M351" s="8" t="n">
        <f aca="false">-Opex_Admin*$G$6/Lump_Basis*M349*M338</f>
        <v>-0</v>
      </c>
      <c r="N351" s="8" t="n">
        <f aca="false">-Opex_Admin*$G$6/Lump_Basis*N349*N338</f>
        <v>-0</v>
      </c>
      <c r="O351" s="8" t="n">
        <f aca="false">-Opex_Admin*$G$6/Lump_Basis*O349*O338</f>
        <v>-18.75</v>
      </c>
      <c r="P351" s="8" t="n">
        <f aca="false">-Opex_Admin*$G$6/Lump_Basis*P349*P338</f>
        <v>-38.4375</v>
      </c>
      <c r="Q351" s="8" t="n">
        <f aca="false">-Opex_Admin*$G$6/Lump_Basis*Q349*Q338</f>
        <v>-39.3984375</v>
      </c>
      <c r="R351" s="8" t="n">
        <f aca="false">-Opex_Admin*$G$6/Lump_Basis*R349*R338</f>
        <v>-40.3833984375</v>
      </c>
      <c r="S351" s="8" t="n">
        <f aca="false">-Opex_Admin*$G$6/Lump_Basis*S349*S338</f>
        <v>-41.3929833984375</v>
      </c>
      <c r="T351" s="8" t="n">
        <f aca="false">-Opex_Admin*$G$6/Lump_Basis*T349*T338</f>
        <v>-42.4278079833984</v>
      </c>
      <c r="U351" s="8" t="n">
        <f aca="false">-Opex_Admin*$G$6/Lump_Basis*U349*U338</f>
        <v>-43.4885031829834</v>
      </c>
      <c r="V351" s="8" t="n">
        <f aca="false">-Opex_Admin*$G$6/Lump_Basis*V349*V338</f>
        <v>-44.575715762558</v>
      </c>
      <c r="W351" s="8" t="n">
        <f aca="false">-Opex_Admin*$G$6/Lump_Basis*W349*W338</f>
        <v>-45.6901086566219</v>
      </c>
      <c r="X351" s="8" t="n">
        <f aca="false">-Opex_Admin*$G$6/Lump_Basis*X349*X338</f>
        <v>-46.8323613730374</v>
      </c>
      <c r="Y351" s="8" t="n">
        <f aca="false">-Opex_Admin*$G$6/Lump_Basis*Y349*Y338</f>
        <v>-48.0031704073634</v>
      </c>
      <c r="Z351" s="8" t="n">
        <f aca="false">-Opex_Admin*$G$6/Lump_Basis*Z349*Z338</f>
        <v>-49.2032496675475</v>
      </c>
      <c r="AA351" s="8" t="n">
        <f aca="false">-Opex_Admin*$G$6/Lump_Basis*AA349*AA338</f>
        <v>-50.4333309092361</v>
      </c>
      <c r="AB351" s="8" t="n">
        <f aca="false">-Opex_Admin*$G$6/Lump_Basis*AB349*AB338</f>
        <v>-51.694164181967</v>
      </c>
      <c r="AC351" s="8" t="n">
        <f aca="false">-Opex_Admin*$G$6/Lump_Basis*AC349*AC338</f>
        <v>-52.9865182865162</v>
      </c>
      <c r="AD351" s="8" t="n">
        <f aca="false">-Opex_Admin*$G$6/Lump_Basis*AD349*AD338</f>
        <v>-54.3111812436791</v>
      </c>
      <c r="AE351" s="8" t="n">
        <f aca="false">-Opex_Admin*$G$6/Lump_Basis*AE349*AE338</f>
        <v>-55.6689607747711</v>
      </c>
      <c r="AF351" s="8" t="n">
        <f aca="false">-Opex_Admin*$G$6/Lump_Basis*AF349*AF338</f>
        <v>-57.0606847941404</v>
      </c>
      <c r="AG351" s="8" t="n">
        <f aca="false">-Opex_Admin*$G$6/Lump_Basis*AG349*AG338</f>
        <v>-58.4872019139939</v>
      </c>
      <c r="AH351" s="8" t="n">
        <f aca="false">-Opex_Admin*$G$6/Lump_Basis*AH349*AH338</f>
        <v>-59.9493819618437</v>
      </c>
      <c r="AI351" s="8" t="n">
        <f aca="false">-Opex_Admin*$G$6/Lump_Basis*AI349*AI338</f>
        <v>-61.4481165108898</v>
      </c>
      <c r="AJ351" s="8" t="n">
        <f aca="false">-Opex_Admin*$G$6/Lump_Basis*AJ349*AJ338</f>
        <v>-62.984319423662</v>
      </c>
      <c r="AK351" s="8" t="n">
        <f aca="false">-Opex_Admin*$G$6/Lump_Basis*AK349*AK338</f>
        <v>-64.5589274092536</v>
      </c>
      <c r="AL351" s="8" t="n">
        <f aca="false">-Opex_Admin*$G$6/Lump_Basis*AL349*AL338</f>
        <v>-66.1729005944849</v>
      </c>
      <c r="AM351" s="8" t="n">
        <f aca="false">-Opex_Admin*$G$6/Lump_Basis*AM349*AM338</f>
        <v>-67.827223109347</v>
      </c>
      <c r="AN351" s="8" t="n">
        <f aca="false">-Opex_Admin*$G$6/Lump_Basis*AN349*AN338</f>
        <v>-69.5229036870807</v>
      </c>
      <c r="AO351" s="8" t="n">
        <f aca="false">-Opex_Admin*$G$6/Lump_Basis*AO349*AO338</f>
        <v>-71.2609762792577</v>
      </c>
      <c r="AP351" s="8" t="n">
        <f aca="false">-Opex_Admin*$G$6/Lump_Basis*AP349*AP338</f>
        <v>-73.0425006862391</v>
      </c>
      <c r="AQ351" s="8" t="n">
        <f aca="false">-Opex_Admin*$G$6/Lump_Basis*AQ349*AQ338</f>
        <v>-74.8685632033951</v>
      </c>
      <c r="AR351" s="8" t="n">
        <f aca="false">-Opex_Admin*$G$6/Lump_Basis*AR349*AR338</f>
        <v>-76.74027728348</v>
      </c>
      <c r="AS351" s="8" t="n">
        <f aca="false">-Opex_Admin*$G$6/Lump_Basis*AS349*AS338</f>
        <v>-39.3293921077835</v>
      </c>
    </row>
    <row r="352" customFormat="false" ht="14.25" hidden="true" customHeight="false" outlineLevel="1" collapsed="false">
      <c r="C352" s="6" t="s">
        <v>233</v>
      </c>
      <c r="D352" s="2" t="s">
        <v>82</v>
      </c>
      <c r="H352" s="8" t="n">
        <f aca="false">SUM(J352:AS352)</f>
        <v>-24930.103069274</v>
      </c>
      <c r="J352" s="8" t="n">
        <f aca="false">-J346*(Balancing+Grid_Charges)*J349</f>
        <v>-0</v>
      </c>
      <c r="K352" s="8" t="n">
        <f aca="false">-K346*(Balancing+Grid_Charges)*K349</f>
        <v>-0</v>
      </c>
      <c r="L352" s="8" t="n">
        <f aca="false">-L346*(Balancing+Grid_Charges)*L349</f>
        <v>-0</v>
      </c>
      <c r="M352" s="8" t="n">
        <f aca="false">-M346*(Balancing+Grid_Charges)*M349</f>
        <v>-0</v>
      </c>
      <c r="N352" s="8" t="n">
        <f aca="false">-N346*(Balancing+Grid_Charges)*N349</f>
        <v>-0</v>
      </c>
      <c r="O352" s="8" t="n">
        <f aca="false">-O346*(Balancing+Grid_Charges)*O349</f>
        <v>-294</v>
      </c>
      <c r="P352" s="8" t="n">
        <f aca="false">-P346*(Balancing+Grid_Charges)*P349</f>
        <v>-602.7</v>
      </c>
      <c r="Q352" s="8" t="n">
        <f aca="false">-Q346*(Balancing+Grid_Charges)*Q349</f>
        <v>-615.9141975</v>
      </c>
      <c r="R352" s="8" t="n">
        <f aca="false">-R346*(Balancing+Grid_Charges)*R349</f>
        <v>-629.418116280187</v>
      </c>
      <c r="S352" s="8" t="n">
        <f aca="false">-S346*(Balancing+Grid_Charges)*S349</f>
        <v>-643.21810847963</v>
      </c>
      <c r="T352" s="8" t="n">
        <f aca="false">-T346*(Balancing+Grid_Charges)*T349</f>
        <v>-657.320665508046</v>
      </c>
      <c r="U352" s="8" t="n">
        <f aca="false">-U346*(Balancing+Grid_Charges)*U349</f>
        <v>-671.73242109931</v>
      </c>
      <c r="V352" s="8" t="n">
        <f aca="false">-V346*(Balancing+Grid_Charges)*V349</f>
        <v>-686.460154431913</v>
      </c>
      <c r="W352" s="8" t="n">
        <f aca="false">-W346*(Balancing+Grid_Charges)*W349</f>
        <v>-701.510793317832</v>
      </c>
      <c r="X352" s="8" t="n">
        <f aca="false">-X346*(Balancing+Grid_Charges)*X349</f>
        <v>-716.891417461325</v>
      </c>
      <c r="Y352" s="8" t="n">
        <f aca="false">-Y346*(Balancing+Grid_Charges)*Y349</f>
        <v>-732.609261789165</v>
      </c>
      <c r="Z352" s="8" t="n">
        <f aca="false">-Z346*(Balancing+Grid_Charges)*Z349</f>
        <v>-748.671719853892</v>
      </c>
      <c r="AA352" s="8" t="n">
        <f aca="false">-AA346*(Balancing+Grid_Charges)*AA349</f>
        <v>-765.086347311689</v>
      </c>
      <c r="AB352" s="8" t="n">
        <f aca="false">-AB346*(Balancing+Grid_Charges)*AB349</f>
        <v>-781.860865476497</v>
      </c>
      <c r="AC352" s="8" t="n">
        <f aca="false">-AC346*(Balancing+Grid_Charges)*AC349</f>
        <v>-799.00316495207</v>
      </c>
      <c r="AD352" s="8" t="n">
        <f aca="false">-AD346*(Balancing+Grid_Charges)*AD349</f>
        <v>-816.521309343644</v>
      </c>
      <c r="AE352" s="8" t="n">
        <f aca="false">-AE346*(Balancing+Grid_Charges)*AE349</f>
        <v>-834.423539051003</v>
      </c>
      <c r="AF352" s="8" t="n">
        <f aca="false">-AF346*(Balancing+Grid_Charges)*AF349</f>
        <v>-852.718275144696</v>
      </c>
      <c r="AG352" s="8" t="n">
        <f aca="false">-AG346*(Balancing+Grid_Charges)*AG349</f>
        <v>-871.414123327244</v>
      </c>
      <c r="AH352" s="8" t="n">
        <f aca="false">-AH346*(Balancing+Grid_Charges)*AH349</f>
        <v>-890.519877981193</v>
      </c>
      <c r="AI352" s="8" t="n">
        <f aca="false">-AI346*(Balancing+Grid_Charges)*AI349</f>
        <v>-910.044526305931</v>
      </c>
      <c r="AJ352" s="8" t="n">
        <f aca="false">-AJ346*(Balancing+Grid_Charges)*AJ349</f>
        <v>-929.997252545188</v>
      </c>
      <c r="AK352" s="8" t="n">
        <f aca="false">-AK346*(Balancing+Grid_Charges)*AK349</f>
        <v>-950.387442307242</v>
      </c>
      <c r="AL352" s="8" t="n">
        <f aca="false">-AL346*(Balancing+Grid_Charges)*AL349</f>
        <v>-971.224686979828</v>
      </c>
      <c r="AM352" s="8" t="n">
        <f aca="false">-AM346*(Balancing+Grid_Charges)*AM349</f>
        <v>-992.51878824186</v>
      </c>
      <c r="AN352" s="8" t="n">
        <f aca="false">-AN346*(Balancing+Grid_Charges)*AN349</f>
        <v>-1014.27976267406</v>
      </c>
      <c r="AO352" s="8" t="n">
        <f aca="false">-AO346*(Balancing+Grid_Charges)*AO349</f>
        <v>-1036.51784647069</v>
      </c>
      <c r="AP352" s="8" t="n">
        <f aca="false">-AP346*(Balancing+Grid_Charges)*AP349</f>
        <v>-1059.24350025456</v>
      </c>
      <c r="AQ352" s="8" t="n">
        <f aca="false">-AQ346*(Balancing+Grid_Charges)*AQ349</f>
        <v>-1082.46741399764</v>
      </c>
      <c r="AR352" s="8" t="n">
        <f aca="false">-AR346*(Balancing+Grid_Charges)*AR349</f>
        <v>-1106.20051204954</v>
      </c>
      <c r="AS352" s="8" t="n">
        <f aca="false">-AS346*(Balancing+Grid_Charges)*AS349</f>
        <v>-565.226979138113</v>
      </c>
    </row>
    <row r="353" customFormat="false" ht="14.25" hidden="true" customHeight="false" outlineLevel="1" collapsed="false">
      <c r="C353" s="6" t="s">
        <v>234</v>
      </c>
      <c r="D353" s="2" t="s">
        <v>82</v>
      </c>
      <c r="H353" s="8" t="n">
        <f aca="false">SUM(J353:AS353)</f>
        <v>-354.071972801154</v>
      </c>
      <c r="J353" s="8" t="n">
        <f aca="false">-J348*MEKH_Fee</f>
        <v>-0</v>
      </c>
      <c r="K353" s="8" t="n">
        <f aca="false">-K348*MEKH_Fee</f>
        <v>-0</v>
      </c>
      <c r="L353" s="8" t="n">
        <f aca="false">-L348*MEKH_Fee</f>
        <v>-0</v>
      </c>
      <c r="M353" s="8" t="n">
        <f aca="false">-M348*MEKH_Fee</f>
        <v>-0</v>
      </c>
      <c r="N353" s="8" t="n">
        <f aca="false">-N348*MEKH_Fee</f>
        <v>-0</v>
      </c>
      <c r="O353" s="8" t="n">
        <f aca="false">-O348*MEKH_Fee</f>
        <v>-5.292</v>
      </c>
      <c r="P353" s="8" t="n">
        <f aca="false">-P348*MEKH_Fee</f>
        <v>-10.68984</v>
      </c>
      <c r="Q353" s="8" t="n">
        <f aca="false">-Q348*MEKH_Fee</f>
        <v>-10.7643481848</v>
      </c>
      <c r="R353" s="8" t="n">
        <f aca="false">-R348*MEKH_Fee</f>
        <v>-10.8393756916481</v>
      </c>
      <c r="S353" s="8" t="n">
        <f aca="false">-S348*MEKH_Fee</f>
        <v>-10.9149261402188</v>
      </c>
      <c r="T353" s="8" t="n">
        <f aca="false">-T348*MEKH_Fee</f>
        <v>-10.9910031754162</v>
      </c>
      <c r="U353" s="8" t="n">
        <f aca="false">-U348*MEKH_Fee</f>
        <v>-11.0676104675488</v>
      </c>
      <c r="V353" s="8" t="n">
        <f aca="false">-V348*MEKH_Fee</f>
        <v>-11.1447517125076</v>
      </c>
      <c r="W353" s="8" t="n">
        <f aca="false">-W348*MEKH_Fee</f>
        <v>-11.2224306319438</v>
      </c>
      <c r="X353" s="8" t="n">
        <f aca="false">-X348*MEKH_Fee</f>
        <v>-11.3006509734485</v>
      </c>
      <c r="Y353" s="8" t="n">
        <f aca="false">-Y348*MEKH_Fee</f>
        <v>-11.3794165107334</v>
      </c>
      <c r="Z353" s="8" t="n">
        <f aca="false">-Z348*MEKH_Fee</f>
        <v>-11.4587310438132</v>
      </c>
      <c r="AA353" s="8" t="n">
        <f aca="false">-AA348*MEKH_Fee</f>
        <v>-11.5385983991886</v>
      </c>
      <c r="AB353" s="8" t="n">
        <f aca="false">-AB348*MEKH_Fee</f>
        <v>-11.6190224300309</v>
      </c>
      <c r="AC353" s="8" t="n">
        <f aca="false">-AC348*MEKH_Fee</f>
        <v>-11.7000070163682</v>
      </c>
      <c r="AD353" s="8" t="n">
        <f aca="false">-AD348*MEKH_Fee</f>
        <v>-11.7815560652723</v>
      </c>
      <c r="AE353" s="8" t="n">
        <f aca="false">-AE348*MEKH_Fee</f>
        <v>-11.8636735110473</v>
      </c>
      <c r="AF353" s="8" t="n">
        <f aca="false">-AF348*MEKH_Fee</f>
        <v>-11.9463633154193</v>
      </c>
      <c r="AG353" s="8" t="n">
        <f aca="false">-AG348*MEKH_Fee</f>
        <v>-12.0296294677278</v>
      </c>
      <c r="AH353" s="8" t="n">
        <f aca="false">-AH348*MEKH_Fee</f>
        <v>-12.1134759851178</v>
      </c>
      <c r="AI353" s="8" t="n">
        <f aca="false">-AI348*MEKH_Fee</f>
        <v>-12.1979069127341</v>
      </c>
      <c r="AJ353" s="8" t="n">
        <f aca="false">-AJ348*MEKH_Fee</f>
        <v>-12.2829263239158</v>
      </c>
      <c r="AK353" s="8" t="n">
        <f aca="false">-AK348*MEKH_Fee</f>
        <v>-12.3685383203935</v>
      </c>
      <c r="AL353" s="8" t="n">
        <f aca="false">-AL348*MEKH_Fee</f>
        <v>-12.4547470324867</v>
      </c>
      <c r="AM353" s="8" t="n">
        <f aca="false">-AM348*MEKH_Fee</f>
        <v>-12.5415566193031</v>
      </c>
      <c r="AN353" s="8" t="n">
        <f aca="false">-AN348*MEKH_Fee</f>
        <v>-12.6289712689397</v>
      </c>
      <c r="AO353" s="8" t="n">
        <f aca="false">-AO348*MEKH_Fee</f>
        <v>-12.7169951986842</v>
      </c>
      <c r="AP353" s="8" t="n">
        <f aca="false">-AP348*MEKH_Fee</f>
        <v>-12.805632655219</v>
      </c>
      <c r="AQ353" s="8" t="n">
        <f aca="false">-AQ348*MEKH_Fee</f>
        <v>-12.8948879148259</v>
      </c>
      <c r="AR353" s="8" t="n">
        <f aca="false">-AR348*MEKH_Fee</f>
        <v>-12.9847652835922</v>
      </c>
      <c r="AS353" s="8" t="n">
        <f aca="false">-AS348*MEKH_Fee</f>
        <v>-6.53763454880942</v>
      </c>
    </row>
    <row r="354" customFormat="false" ht="14.25" hidden="true" customHeight="false" outlineLevel="1" collapsed="false">
      <c r="C354" s="6" t="s">
        <v>235</v>
      </c>
      <c r="D354" s="2" t="s">
        <v>82</v>
      </c>
      <c r="H354" s="8" t="n">
        <f aca="false">SUM(J354:AS354)</f>
        <v>-4125.77322469106</v>
      </c>
      <c r="J354" s="8" t="n">
        <f aca="false">SUM(J350:J353)*Opex_Cont</f>
        <v>0</v>
      </c>
      <c r="K354" s="8" t="n">
        <f aca="false">SUM(K350:K353)*Opex_Cont</f>
        <v>0</v>
      </c>
      <c r="L354" s="8" t="n">
        <f aca="false">SUM(L350:L353)*Opex_Cont</f>
        <v>0</v>
      </c>
      <c r="M354" s="8" t="n">
        <f aca="false">SUM(M350:M353)*Opex_Cont</f>
        <v>0</v>
      </c>
      <c r="N354" s="8" t="n">
        <f aca="false">SUM(N350:N353)*Opex_Cont</f>
        <v>0</v>
      </c>
      <c r="O354" s="8" t="n">
        <f aca="false">SUM(O350:O353)*Opex_Cont</f>
        <v>-47.1521</v>
      </c>
      <c r="P354" s="8" t="n">
        <f aca="false">SUM(P350:P353)*Opex_Cont</f>
        <v>-96.653867</v>
      </c>
      <c r="Q354" s="8" t="n">
        <f aca="false">SUM(Q350:Q353)*Opex_Cont</f>
        <v>-98.96791165924</v>
      </c>
      <c r="R354" s="8" t="n">
        <f aca="false">SUM(R350:R353)*Opex_Cont</f>
        <v>-101.337708582967</v>
      </c>
      <c r="S354" s="8" t="n">
        <f aca="false">SUM(S350:S353)*Opex_Cont</f>
        <v>-103.764606564977</v>
      </c>
      <c r="T354" s="8" t="n">
        <f aca="false">SUM(T350:T353)*Opex_Cont</f>
        <v>-106.249987139007</v>
      </c>
      <c r="U354" s="8" t="n">
        <f aca="false">SUM(U350:U353)*Opex_Cont</f>
        <v>-108.795265375798</v>
      </c>
      <c r="V354" s="8" t="n">
        <f aca="false">SUM(V350:V353)*Opex_Cont</f>
        <v>-111.401890699612</v>
      </c>
      <c r="W354" s="8" t="n">
        <f aca="false">SUM(W350:W353)*Opex_Cont</f>
        <v>-114.07134772469</v>
      </c>
      <c r="X354" s="8" t="n">
        <f aca="false">SUM(X350:X353)*Opex_Cont</f>
        <v>-116.80515711212</v>
      </c>
      <c r="Y354" s="8" t="n">
        <f aca="false">SUM(Y350:Y353)*Opex_Cont</f>
        <v>-119.604876447635</v>
      </c>
      <c r="Z354" s="8" t="n">
        <f aca="false">SUM(Z350:Z353)*Opex_Cont</f>
        <v>-122.472101140842</v>
      </c>
      <c r="AA354" s="8" t="n">
        <f aca="false">SUM(AA350:AA353)*Opex_Cont</f>
        <v>-125.408465346399</v>
      </c>
      <c r="AB354" s="8" t="n">
        <f aca="false">SUM(AB350:AB353)*Opex_Cont</f>
        <v>-128.415642907703</v>
      </c>
      <c r="AC354" s="8" t="n">
        <f aca="false">SUM(AC350:AC353)*Opex_Cont</f>
        <v>-131.495348323608</v>
      </c>
      <c r="AD354" s="8" t="n">
        <f aca="false">SUM(AD350:AD353)*Opex_Cont</f>
        <v>-134.649337738762</v>
      </c>
      <c r="AE354" s="8" t="n">
        <f aca="false">SUM(AE350:AE353)*Opex_Cont</f>
        <v>-137.879409958126</v>
      </c>
      <c r="AF354" s="8" t="n">
        <f aca="false">SUM(AF350:AF353)*Opex_Cont</f>
        <v>-141.18740748628</v>
      </c>
      <c r="AG354" s="8" t="n">
        <f aca="false">SUM(AG350:AG353)*Opex_Cont</f>
        <v>-144.575217592105</v>
      </c>
      <c r="AH354" s="8" t="n">
        <f aca="false">SUM(AH350:AH353)*Opex_Cont</f>
        <v>-148.044773399481</v>
      </c>
      <c r="AI354" s="8" t="n">
        <f aca="false">SUM(AI350:AI353)*Opex_Cont</f>
        <v>-151.598055004627</v>
      </c>
      <c r="AJ354" s="8" t="n">
        <f aca="false">SUM(AJ350:AJ353)*Opex_Cont</f>
        <v>-155.237090620742</v>
      </c>
      <c r="AK354" s="8" t="n">
        <f aca="false">SUM(AK350:AK353)*Opex_Cont</f>
        <v>-158.9639577506</v>
      </c>
      <c r="AL354" s="8" t="n">
        <f aca="false">SUM(AL350:AL353)*Opex_Cont</f>
        <v>-162.780784387815</v>
      </c>
      <c r="AM354" s="8" t="n">
        <f aca="false">SUM(AM350:AM353)*Opex_Cont</f>
        <v>-166.689750247437</v>
      </c>
      <c r="AN354" s="8" t="n">
        <f aca="false">SUM(AN350:AN353)*Opex_Cont</f>
        <v>-170.693088026639</v>
      </c>
      <c r="AO354" s="8" t="n">
        <f aca="false">SUM(AO350:AO353)*Opex_Cont</f>
        <v>-174.793084696195</v>
      </c>
      <c r="AP354" s="8" t="n">
        <f aca="false">SUM(AP350:AP353)*Opex_Cont</f>
        <v>-178.992082823533</v>
      </c>
      <c r="AQ354" s="8" t="n">
        <f aca="false">SUM(AQ350:AQ353)*Opex_Cont</f>
        <v>-183.292481928118</v>
      </c>
      <c r="AR354" s="8" t="n">
        <f aca="false">SUM(AR350:AR353)*Opex_Cont</f>
        <v>-187.696739869964</v>
      </c>
      <c r="AS354" s="8" t="n">
        <f aca="false">SUM(AS350:AS353)*Opex_Cont</f>
        <v>-96.1036871360411</v>
      </c>
    </row>
    <row r="355" customFormat="false" ht="14.25" hidden="true" customHeight="false" outlineLevel="1" collapsed="false">
      <c r="C355" s="6" t="s">
        <v>236</v>
      </c>
      <c r="D355" s="2" t="s">
        <v>82</v>
      </c>
      <c r="H355" s="8" t="n">
        <f aca="false">SUM(J355:AS355)</f>
        <v>-10150.9495882494</v>
      </c>
      <c r="J355" s="8" t="n">
        <f aca="false">-J346*$G$12</f>
        <v>-0</v>
      </c>
      <c r="K355" s="8" t="n">
        <f aca="false">-K346*$G$12</f>
        <v>-0</v>
      </c>
      <c r="L355" s="8" t="n">
        <f aca="false">-L346*$G$12</f>
        <v>-0</v>
      </c>
      <c r="M355" s="8" t="n">
        <f aca="false">-M346*$G$12</f>
        <v>-0</v>
      </c>
      <c r="N355" s="8" t="n">
        <f aca="false">-N346*$G$12</f>
        <v>-0</v>
      </c>
      <c r="O355" s="8" t="n">
        <f aca="false">-O346*$G$12</f>
        <v>-176.4</v>
      </c>
      <c r="P355" s="8" t="n">
        <f aca="false">-P346*$G$12</f>
        <v>-352.8</v>
      </c>
      <c r="Q355" s="8" t="n">
        <f aca="false">-Q346*$G$12</f>
        <v>-351.7416</v>
      </c>
      <c r="R355" s="8" t="n">
        <f aca="false">-R346*$G$12</f>
        <v>-350.6863752</v>
      </c>
      <c r="S355" s="8" t="n">
        <f aca="false">-S346*$G$12</f>
        <v>-349.6343160744</v>
      </c>
      <c r="T355" s="8" t="n">
        <f aca="false">-T346*$G$12</f>
        <v>-348.585413126177</v>
      </c>
      <c r="U355" s="8" t="n">
        <f aca="false">-U346*$G$12</f>
        <v>-347.539656886798</v>
      </c>
      <c r="V355" s="8" t="n">
        <f aca="false">-V346*$G$12</f>
        <v>-346.497037916138</v>
      </c>
      <c r="W355" s="8" t="n">
        <f aca="false">-W346*$G$12</f>
        <v>-345.457546802389</v>
      </c>
      <c r="X355" s="8" t="n">
        <f aca="false">-X346*$G$12</f>
        <v>-344.421174161982</v>
      </c>
      <c r="Y355" s="8" t="n">
        <f aca="false">-Y346*$G$12</f>
        <v>-343.387910639496</v>
      </c>
      <c r="Z355" s="8" t="n">
        <f aca="false">-Z346*$G$12</f>
        <v>-342.357746907578</v>
      </c>
      <c r="AA355" s="8" t="n">
        <f aca="false">-AA346*$G$12</f>
        <v>-341.330673666855</v>
      </c>
      <c r="AB355" s="8" t="n">
        <f aca="false">-AB346*$G$12</f>
        <v>-340.306681645855</v>
      </c>
      <c r="AC355" s="8" t="n">
        <f aca="false">-AC346*$G$12</f>
        <v>-339.285761600917</v>
      </c>
      <c r="AD355" s="8" t="n">
        <f aca="false">-AD346*$G$12</f>
        <v>-338.267904316114</v>
      </c>
      <c r="AE355" s="8" t="n">
        <f aca="false">-AE346*$G$12</f>
        <v>-337.253100603166</v>
      </c>
      <c r="AF355" s="8" t="n">
        <f aca="false">-AF346*$G$12</f>
        <v>-336.241341301356</v>
      </c>
      <c r="AG355" s="8" t="n">
        <f aca="false">-AG346*$G$12</f>
        <v>-335.232617277452</v>
      </c>
      <c r="AH355" s="8" t="n">
        <f aca="false">-AH346*$G$12</f>
        <v>-334.22691942562</v>
      </c>
      <c r="AI355" s="8" t="n">
        <f aca="false">-AI346*$G$12</f>
        <v>-333.224238667343</v>
      </c>
      <c r="AJ355" s="8" t="n">
        <f aca="false">-AJ346*$G$12</f>
        <v>-332.224565951341</v>
      </c>
      <c r="AK355" s="8" t="n">
        <f aca="false">-AK346*$G$12</f>
        <v>-331.227892253487</v>
      </c>
      <c r="AL355" s="8" t="n">
        <f aca="false">-AL346*$G$12</f>
        <v>-330.234208576727</v>
      </c>
      <c r="AM355" s="8" t="n">
        <f aca="false">-AM346*$G$12</f>
        <v>-329.243505950996</v>
      </c>
      <c r="AN355" s="8" t="n">
        <f aca="false">-AN346*$G$12</f>
        <v>-328.255775433143</v>
      </c>
      <c r="AO355" s="8" t="n">
        <f aca="false">-AO346*$G$12</f>
        <v>-327.271008106844</v>
      </c>
      <c r="AP355" s="8" t="n">
        <f aca="false">-AP346*$G$12</f>
        <v>-326.289195082523</v>
      </c>
      <c r="AQ355" s="8" t="n">
        <f aca="false">-AQ346*$G$12</f>
        <v>-325.310327497276</v>
      </c>
      <c r="AR355" s="8" t="n">
        <f aca="false">-AR346*$G$12</f>
        <v>-324.334396514784</v>
      </c>
      <c r="AS355" s="8" t="n">
        <f aca="false">-AS346*$G$12</f>
        <v>-161.68069666262</v>
      </c>
    </row>
    <row r="356" customFormat="false" ht="14.25" hidden="true" customHeight="false" outlineLevel="1" collapsed="false">
      <c r="C356" s="6" t="s">
        <v>237</v>
      </c>
      <c r="D356" s="2" t="s">
        <v>82</v>
      </c>
      <c r="H356" s="8" t="n">
        <f aca="false">SUM(J356:AS356)</f>
        <v>-7081.43945602309</v>
      </c>
      <c r="J356" s="8" t="n">
        <f aca="false">-J348*HIPA_Rate</f>
        <v>-0</v>
      </c>
      <c r="K356" s="8" t="n">
        <f aca="false">-K348*HIPA_Rate</f>
        <v>-0</v>
      </c>
      <c r="L356" s="8" t="n">
        <f aca="false">-L348*HIPA_Rate</f>
        <v>-0</v>
      </c>
      <c r="M356" s="8" t="n">
        <f aca="false">-M348*HIPA_Rate</f>
        <v>-0</v>
      </c>
      <c r="N356" s="8" t="n">
        <f aca="false">-N348*HIPA_Rate</f>
        <v>-0</v>
      </c>
      <c r="O356" s="8" t="n">
        <f aca="false">-O348*HIPA_Rate</f>
        <v>-105.84</v>
      </c>
      <c r="P356" s="8" t="n">
        <f aca="false">-P348*HIPA_Rate</f>
        <v>-213.7968</v>
      </c>
      <c r="Q356" s="8" t="n">
        <f aca="false">-Q348*HIPA_Rate</f>
        <v>-215.286963696</v>
      </c>
      <c r="R356" s="8" t="n">
        <f aca="false">-R348*HIPA_Rate</f>
        <v>-216.787513832961</v>
      </c>
      <c r="S356" s="8" t="n">
        <f aca="false">-S348*HIPA_Rate</f>
        <v>-218.298522804377</v>
      </c>
      <c r="T356" s="8" t="n">
        <f aca="false">-T348*HIPA_Rate</f>
        <v>-219.820063508323</v>
      </c>
      <c r="U356" s="8" t="n">
        <f aca="false">-U348*HIPA_Rate</f>
        <v>-221.352209350976</v>
      </c>
      <c r="V356" s="8" t="n">
        <f aca="false">-V348*HIPA_Rate</f>
        <v>-222.895034250153</v>
      </c>
      <c r="W356" s="8" t="n">
        <f aca="false">-W348*HIPA_Rate</f>
        <v>-224.448612638876</v>
      </c>
      <c r="X356" s="8" t="n">
        <f aca="false">-X348*HIPA_Rate</f>
        <v>-226.013019468969</v>
      </c>
      <c r="Y356" s="8" t="n">
        <f aca="false">-Y348*HIPA_Rate</f>
        <v>-227.588330214668</v>
      </c>
      <c r="Z356" s="8" t="n">
        <f aca="false">-Z348*HIPA_Rate</f>
        <v>-229.174620876264</v>
      </c>
      <c r="AA356" s="8" t="n">
        <f aca="false">-AA348*HIPA_Rate</f>
        <v>-230.771967983772</v>
      </c>
      <c r="AB356" s="8" t="n">
        <f aca="false">-AB348*HIPA_Rate</f>
        <v>-232.380448600619</v>
      </c>
      <c r="AC356" s="8" t="n">
        <f aca="false">-AC348*HIPA_Rate</f>
        <v>-234.000140327365</v>
      </c>
      <c r="AD356" s="8" t="n">
        <f aca="false">-AD348*HIPA_Rate</f>
        <v>-235.631121305447</v>
      </c>
      <c r="AE356" s="8" t="n">
        <f aca="false">-AE348*HIPA_Rate</f>
        <v>-237.273470220946</v>
      </c>
      <c r="AF356" s="8" t="n">
        <f aca="false">-AF348*HIPA_Rate</f>
        <v>-238.927266308386</v>
      </c>
      <c r="AG356" s="8" t="n">
        <f aca="false">-AG348*HIPA_Rate</f>
        <v>-240.592589354555</v>
      </c>
      <c r="AH356" s="8" t="n">
        <f aca="false">-AH348*HIPA_Rate</f>
        <v>-242.269519702356</v>
      </c>
      <c r="AI356" s="8" t="n">
        <f aca="false">-AI348*HIPA_Rate</f>
        <v>-243.958138254682</v>
      </c>
      <c r="AJ356" s="8" t="n">
        <f aca="false">-AJ348*HIPA_Rate</f>
        <v>-245.658526478317</v>
      </c>
      <c r="AK356" s="8" t="n">
        <f aca="false">-AK348*HIPA_Rate</f>
        <v>-247.370766407871</v>
      </c>
      <c r="AL356" s="8" t="n">
        <f aca="false">-AL348*HIPA_Rate</f>
        <v>-249.094940649734</v>
      </c>
      <c r="AM356" s="8" t="n">
        <f aca="false">-AM348*HIPA_Rate</f>
        <v>-250.831132386062</v>
      </c>
      <c r="AN356" s="8" t="n">
        <f aca="false">-AN348*HIPA_Rate</f>
        <v>-252.579425378793</v>
      </c>
      <c r="AO356" s="8" t="n">
        <f aca="false">-AO348*HIPA_Rate</f>
        <v>-254.339903973683</v>
      </c>
      <c r="AP356" s="8" t="n">
        <f aca="false">-AP348*HIPA_Rate</f>
        <v>-256.11265310438</v>
      </c>
      <c r="AQ356" s="8" t="n">
        <f aca="false">-AQ348*HIPA_Rate</f>
        <v>-257.897758296517</v>
      </c>
      <c r="AR356" s="8" t="n">
        <f aca="false">-AR348*HIPA_Rate</f>
        <v>-259.695305671844</v>
      </c>
      <c r="AS356" s="8" t="n">
        <f aca="false">-AS348*HIPA_Rate</f>
        <v>-130.752690976188</v>
      </c>
    </row>
    <row r="357" customFormat="false" ht="14.25" hidden="true" customHeight="false" outlineLevel="1" collapsed="false">
      <c r="C357" s="1" t="s">
        <v>238</v>
      </c>
      <c r="D357" s="2" t="s">
        <v>82</v>
      </c>
      <c r="H357" s="31" t="n">
        <f aca="false">SUM(J357:AS357)</f>
        <v>-103873.626762785</v>
      </c>
      <c r="J357" s="31" t="n">
        <f aca="false">SUM(J350:J356)</f>
        <v>0</v>
      </c>
      <c r="K357" s="31" t="n">
        <f aca="false">SUM(K350:K356)</f>
        <v>0</v>
      </c>
      <c r="L357" s="31" t="n">
        <f aca="false">SUM(L350:L356)</f>
        <v>0</v>
      </c>
      <c r="M357" s="31" t="n">
        <f aca="false">SUM(M350:M356)</f>
        <v>0</v>
      </c>
      <c r="N357" s="31" t="n">
        <f aca="false">SUM(N350:N356)</f>
        <v>0</v>
      </c>
      <c r="O357" s="31" t="n">
        <f aca="false">SUM(O350:O356)</f>
        <v>-1272.4341</v>
      </c>
      <c r="P357" s="31" t="n">
        <f aca="false">SUM(P350:P356)</f>
        <v>-2596.328007</v>
      </c>
      <c r="Q357" s="31" t="n">
        <f aca="false">SUM(Q350:Q356)</f>
        <v>-2645.35470854004</v>
      </c>
      <c r="R357" s="31" t="n">
        <f aca="false">SUM(R350:R356)</f>
        <v>-2695.56576927526</v>
      </c>
      <c r="S357" s="31" t="n">
        <f aca="false">SUM(S350:S356)</f>
        <v>-2746.98957674329</v>
      </c>
      <c r="T357" s="31" t="n">
        <f aca="false">SUM(T350:T356)</f>
        <v>-2799.65520655365</v>
      </c>
      <c r="U357" s="31" t="n">
        <f aca="false">SUM(U350:U356)</f>
        <v>-2853.59243912953</v>
      </c>
      <c r="V357" s="31" t="n">
        <f aca="false">SUM(V350:V356)</f>
        <v>-2908.83177685815</v>
      </c>
      <c r="W357" s="31" t="n">
        <f aca="false">SUM(W350:W356)</f>
        <v>-2965.40446165975</v>
      </c>
      <c r="X357" s="31" t="n">
        <f aca="false">SUM(X350:X356)</f>
        <v>-3023.34249298546</v>
      </c>
      <c r="Y357" s="31" t="n">
        <f aca="false">SUM(Y350:Y356)</f>
        <v>-3082.67864625451</v>
      </c>
      <c r="Z357" s="31" t="n">
        <f aca="false">SUM(Z350:Z356)</f>
        <v>-3143.44649174152</v>
      </c>
      <c r="AA357" s="31" t="n">
        <f aca="false">SUM(AA350:AA356)</f>
        <v>-3205.68041392501</v>
      </c>
      <c r="AB357" s="31" t="n">
        <f aca="false">SUM(AB350:AB356)</f>
        <v>-3269.41563130824</v>
      </c>
      <c r="AC357" s="31" t="n">
        <f aca="false">SUM(AC350:AC356)</f>
        <v>-3334.68821672405</v>
      </c>
      <c r="AD357" s="31" t="n">
        <f aca="false">SUM(AD350:AD356)</f>
        <v>-3401.53511813555</v>
      </c>
      <c r="AE357" s="31" t="n">
        <f aca="false">SUM(AE350:AE356)</f>
        <v>-3469.99417994476</v>
      </c>
      <c r="AF357" s="31" t="n">
        <f aca="false">SUM(AF350:AF356)</f>
        <v>-3540.10416482162</v>
      </c>
      <c r="AG357" s="31" t="n">
        <f aca="false">SUM(AG350:AG356)</f>
        <v>-3611.90477606621</v>
      </c>
      <c r="AH357" s="31" t="n">
        <f aca="false">SUM(AH350:AH356)</f>
        <v>-3685.43668051707</v>
      </c>
      <c r="AI357" s="31" t="n">
        <f aca="false">SUM(AI350:AI356)</f>
        <v>-3760.7415320192</v>
      </c>
      <c r="AJ357" s="31" t="n">
        <f aca="false">SUM(AJ350:AJ356)</f>
        <v>-3837.86199546523</v>
      </c>
      <c r="AK357" s="31" t="n">
        <f aca="false">SUM(AK350:AK356)</f>
        <v>-3916.84177142397</v>
      </c>
      <c r="AL357" s="31" t="n">
        <f aca="false">SUM(AL350:AL356)</f>
        <v>-3997.72562137057</v>
      </c>
      <c r="AM357" s="31" t="n">
        <f aca="false">SUM(AM350:AM356)</f>
        <v>-4080.55939353324</v>
      </c>
      <c r="AN357" s="31" t="n">
        <f aca="false">SUM(AN350:AN356)</f>
        <v>-4165.39004937135</v>
      </c>
      <c r="AO357" s="31" t="n">
        <f aca="false">SUM(AO350:AO356)</f>
        <v>-4252.26569070061</v>
      </c>
      <c r="AP357" s="31" t="n">
        <f aca="false">SUM(AP350:AP356)</f>
        <v>-4341.23558748109</v>
      </c>
      <c r="AQ357" s="31" t="n">
        <f aca="false">SUM(AQ350:AQ356)</f>
        <v>-4432.35020628428</v>
      </c>
      <c r="AR357" s="31" t="n">
        <f aca="false">SUM(AR350:AR356)</f>
        <v>-4525.66123945587</v>
      </c>
      <c r="AS357" s="31" t="n">
        <f aca="false">SUM(AS350:AS356)</f>
        <v>-2310.61081749567</v>
      </c>
    </row>
    <row r="358" customFormat="false" ht="14.25" hidden="true" customHeight="false" outlineLevel="1" collapsed="false">
      <c r="C358" s="1" t="s">
        <v>152</v>
      </c>
      <c r="D358" s="2" t="s">
        <v>82</v>
      </c>
      <c r="H358" s="14" t="n">
        <f aca="false">SUM(J358:AS358)</f>
        <v>250198.34603837</v>
      </c>
      <c r="J358" s="14" t="n">
        <f aca="false">J348+J357</f>
        <v>0</v>
      </c>
      <c r="K358" s="14" t="n">
        <f aca="false">K348+K357</f>
        <v>0</v>
      </c>
      <c r="L358" s="14" t="n">
        <f aca="false">L348+L357</f>
        <v>0</v>
      </c>
      <c r="M358" s="14" t="n">
        <f aca="false">M348+M357</f>
        <v>0</v>
      </c>
      <c r="N358" s="14" t="n">
        <f aca="false">N348+N357</f>
        <v>0</v>
      </c>
      <c r="O358" s="14" t="n">
        <f aca="false">O348+O357</f>
        <v>4019.5659</v>
      </c>
      <c r="P358" s="14" t="n">
        <f aca="false">P348+P357</f>
        <v>8093.511993</v>
      </c>
      <c r="Q358" s="14" t="n">
        <f aca="false">Q348+Q357</f>
        <v>8118.99347625996</v>
      </c>
      <c r="R358" s="14" t="n">
        <f aca="false">R348+R357</f>
        <v>8143.8099223728</v>
      </c>
      <c r="S358" s="14" t="n">
        <f aca="false">S348+S357</f>
        <v>8167.93656347555</v>
      </c>
      <c r="T358" s="14" t="n">
        <f aca="false">T348+T357</f>
        <v>8191.34796886252</v>
      </c>
      <c r="U358" s="14" t="n">
        <f aca="false">U348+U357</f>
        <v>8214.01802841929</v>
      </c>
      <c r="V358" s="14" t="n">
        <f aca="false">V348+V357</f>
        <v>8235.91993564949</v>
      </c>
      <c r="W358" s="14" t="n">
        <f aca="false">W348+W357</f>
        <v>8257.02617028406</v>
      </c>
      <c r="X358" s="14" t="n">
        <f aca="false">X348+X357</f>
        <v>8277.308480463</v>
      </c>
      <c r="Y358" s="14" t="n">
        <f aca="false">Y348+Y357</f>
        <v>8296.73786447889</v>
      </c>
      <c r="Z358" s="14" t="n">
        <f aca="false">Z348+Z357</f>
        <v>8315.28455207169</v>
      </c>
      <c r="AA358" s="14" t="n">
        <f aca="false">AA348+AA357</f>
        <v>8332.91798526358</v>
      </c>
      <c r="AB358" s="14" t="n">
        <f aca="false">AB348+AB357</f>
        <v>8349.60679872269</v>
      </c>
      <c r="AC358" s="14" t="n">
        <f aca="false">AC348+AC357</f>
        <v>8365.3187996442</v>
      </c>
      <c r="AD358" s="14" t="n">
        <f aca="false">AD348+AD357</f>
        <v>8380.02094713678</v>
      </c>
      <c r="AE358" s="14" t="n">
        <f aca="false">AE348+AE357</f>
        <v>8393.67933110252</v>
      </c>
      <c r="AF358" s="14" t="n">
        <f aca="false">AF348+AF357</f>
        <v>8406.25915059766</v>
      </c>
      <c r="AG358" s="14" t="n">
        <f aca="false">AG348+AG357</f>
        <v>8417.72469166155</v>
      </c>
      <c r="AH358" s="14" t="n">
        <f aca="false">AH348+AH357</f>
        <v>8428.03930460075</v>
      </c>
      <c r="AI358" s="14" t="n">
        <f aca="false">AI348+AI357</f>
        <v>8437.16538071489</v>
      </c>
      <c r="AJ358" s="14" t="n">
        <f aca="false">AJ348+AJ357</f>
        <v>8445.06432845061</v>
      </c>
      <c r="AK358" s="14" t="n">
        <f aca="false">AK348+AK357</f>
        <v>8451.69654896957</v>
      </c>
      <c r="AL358" s="14" t="n">
        <f aca="false">AL348+AL357</f>
        <v>8457.02141111611</v>
      </c>
      <c r="AM358" s="14" t="n">
        <f aca="false">AM348+AM357</f>
        <v>8460.99722576987</v>
      </c>
      <c r="AN358" s="14" t="n">
        <f aca="false">AN348+AN357</f>
        <v>8463.58121956831</v>
      </c>
      <c r="AO358" s="14" t="n">
        <f aca="false">AO348+AO357</f>
        <v>8464.72950798355</v>
      </c>
      <c r="AP358" s="14" t="n">
        <f aca="false">AP348+AP357</f>
        <v>8464.3970677379</v>
      </c>
      <c r="AQ358" s="14" t="n">
        <f aca="false">AQ348+AQ357</f>
        <v>8462.53770854159</v>
      </c>
      <c r="AR358" s="14" t="n">
        <f aca="false">AR348+AR357</f>
        <v>8459.10404413634</v>
      </c>
      <c r="AS358" s="14" t="n">
        <f aca="false">AS348+AS357</f>
        <v>4227.02373131375</v>
      </c>
    </row>
    <row r="359" customFormat="false" ht="14.25" hidden="true" customHeight="false" outlineLevel="1" collapsed="false">
      <c r="C359" s="1" t="s">
        <v>239</v>
      </c>
      <c r="D359" s="2" t="s">
        <v>82</v>
      </c>
      <c r="H359" s="31" t="n">
        <f aca="false">SUM(J359:AS359)</f>
        <v>194526.369326041</v>
      </c>
      <c r="J359" s="31" t="n">
        <f aca="false">J344+J358</f>
        <v>-436.301369863014</v>
      </c>
      <c r="K359" s="31" t="n">
        <f aca="false">K344+K358</f>
        <v>-2728.76712328767</v>
      </c>
      <c r="L359" s="31" t="n">
        <f aca="false">L344+L358</f>
        <v>-3359.81917808219</v>
      </c>
      <c r="M359" s="31" t="n">
        <f aca="false">M344+M358</f>
        <v>-12009.375</v>
      </c>
      <c r="N359" s="31" t="n">
        <f aca="false">N344+N358</f>
        <v>-24018.75</v>
      </c>
      <c r="O359" s="31" t="n">
        <f aca="false">O344+O358</f>
        <v>-10489.8091</v>
      </c>
      <c r="P359" s="31" t="n">
        <f aca="false">P344+P358</f>
        <v>8093.511993</v>
      </c>
      <c r="Q359" s="31" t="n">
        <f aca="false">Q344+Q358</f>
        <v>9509.40443516407</v>
      </c>
      <c r="R359" s="31" t="n">
        <f aca="false">R344+R358</f>
        <v>8143.8099223728</v>
      </c>
      <c r="S359" s="31" t="n">
        <f aca="false">S344+S358</f>
        <v>8167.93656347555</v>
      </c>
      <c r="T359" s="31" t="n">
        <f aca="false">T344+T358</f>
        <v>8191.34796886252</v>
      </c>
      <c r="U359" s="31" t="n">
        <f aca="false">U344+U358</f>
        <v>8214.01802841929</v>
      </c>
      <c r="V359" s="31" t="n">
        <f aca="false">V344+V358</f>
        <v>8235.91993564949</v>
      </c>
      <c r="W359" s="31" t="n">
        <f aca="false">W344+W358</f>
        <v>8257.02617028406</v>
      </c>
      <c r="X359" s="31" t="n">
        <f aca="false">X344+X358</f>
        <v>8277.308480463</v>
      </c>
      <c r="Y359" s="31" t="n">
        <f aca="false">Y344+Y358</f>
        <v>8296.73786447889</v>
      </c>
      <c r="Z359" s="31" t="n">
        <f aca="false">Z344+Z358</f>
        <v>8315.28455207169</v>
      </c>
      <c r="AA359" s="31" t="n">
        <f aca="false">AA344+AA358</f>
        <v>8332.91798526358</v>
      </c>
      <c r="AB359" s="31" t="n">
        <f aca="false">AB344+AB358</f>
        <v>8349.60679872269</v>
      </c>
      <c r="AC359" s="31" t="n">
        <f aca="false">AC344+AC358</f>
        <v>8365.3187996442</v>
      </c>
      <c r="AD359" s="31" t="n">
        <f aca="false">AD344+AD358</f>
        <v>8380.02094713678</v>
      </c>
      <c r="AE359" s="31" t="n">
        <f aca="false">AE344+AE358</f>
        <v>8393.67933110252</v>
      </c>
      <c r="AF359" s="31" t="n">
        <f aca="false">AF344+AF358</f>
        <v>8406.25915059766</v>
      </c>
      <c r="AG359" s="31" t="n">
        <f aca="false">AG344+AG358</f>
        <v>8417.72469166155</v>
      </c>
      <c r="AH359" s="31" t="n">
        <f aca="false">AH344+AH358</f>
        <v>8428.03930460075</v>
      </c>
      <c r="AI359" s="31" t="n">
        <f aca="false">AI344+AI358</f>
        <v>8437.16538071489</v>
      </c>
      <c r="AJ359" s="31" t="n">
        <f aca="false">AJ344+AJ358</f>
        <v>8445.06432845061</v>
      </c>
      <c r="AK359" s="31" t="n">
        <f aca="false">AK344+AK358</f>
        <v>8451.69654896957</v>
      </c>
      <c r="AL359" s="31" t="n">
        <f aca="false">AL344+AL358</f>
        <v>8457.02141111611</v>
      </c>
      <c r="AM359" s="31" t="n">
        <f aca="false">AM344+AM358</f>
        <v>8460.99722576987</v>
      </c>
      <c r="AN359" s="31" t="n">
        <f aca="false">AN344+AN358</f>
        <v>8463.58121956831</v>
      </c>
      <c r="AO359" s="31" t="n">
        <f aca="false">AO344+AO358</f>
        <v>8464.72950798355</v>
      </c>
      <c r="AP359" s="31" t="n">
        <f aca="false">AP344+AP358</f>
        <v>8464.3970677379</v>
      </c>
      <c r="AQ359" s="31" t="n">
        <f aca="false">AQ344+AQ358</f>
        <v>8462.53770854159</v>
      </c>
      <c r="AR359" s="31" t="n">
        <f aca="false">AR344+AR358</f>
        <v>8459.10404413634</v>
      </c>
      <c r="AS359" s="31" t="n">
        <f aca="false">AS344+AS358</f>
        <v>4227.02373131375</v>
      </c>
    </row>
    <row r="360" customFormat="false" ht="14.25" hidden="true" customHeight="false" outlineLevel="1" collapsed="false">
      <c r="C360" s="6" t="s">
        <v>240</v>
      </c>
      <c r="D360" s="2" t="s">
        <v>82</v>
      </c>
      <c r="H360" s="8" t="n">
        <f aca="false">SUM(J360:AS360)</f>
        <v>55671.9767123288</v>
      </c>
      <c r="J360" s="8" t="n">
        <f aca="false">$G$91/Dep_Years*(J334&gt;=0)*(J334&lt;Dep_Years)</f>
        <v>0</v>
      </c>
      <c r="K360" s="8" t="n">
        <f aca="false">$G$91/Dep_Years*(K334&gt;=0)*(K334&lt;Dep_Years)</f>
        <v>0</v>
      </c>
      <c r="L360" s="8" t="n">
        <f aca="false">$G$91/Dep_Years*(L334&gt;=0)*(L334&lt;Dep_Years)</f>
        <v>0</v>
      </c>
      <c r="M360" s="8" t="n">
        <f aca="false">$G$91/Dep_Years*(M334&gt;=0)*(M334&lt;Dep_Years)</f>
        <v>0</v>
      </c>
      <c r="N360" s="8" t="n">
        <f aca="false">$G$91/Dep_Years*(N334&gt;=0)*(N334&lt;Dep_Years)</f>
        <v>0</v>
      </c>
      <c r="O360" s="8" t="n">
        <f aca="false">$G$91/Dep_Years*(O334&gt;=0)*(O334&lt;Dep_Years)</f>
        <v>2783.59883561644</v>
      </c>
      <c r="P360" s="8" t="n">
        <f aca="false">$G$91/Dep_Years*(P334&gt;=0)*(P334&lt;Dep_Years)</f>
        <v>2783.59883561644</v>
      </c>
      <c r="Q360" s="8" t="n">
        <f aca="false">$G$91/Dep_Years*(Q334&gt;=0)*(Q334&lt;Dep_Years)</f>
        <v>2783.59883561644</v>
      </c>
      <c r="R360" s="8" t="n">
        <f aca="false">$G$91/Dep_Years*(R334&gt;=0)*(R334&lt;Dep_Years)</f>
        <v>2783.59883561644</v>
      </c>
      <c r="S360" s="8" t="n">
        <f aca="false">$G$91/Dep_Years*(S334&gt;=0)*(S334&lt;Dep_Years)</f>
        <v>2783.59883561644</v>
      </c>
      <c r="T360" s="8" t="n">
        <f aca="false">$G$91/Dep_Years*(T334&gt;=0)*(T334&lt;Dep_Years)</f>
        <v>2783.59883561644</v>
      </c>
      <c r="U360" s="8" t="n">
        <f aca="false">$G$91/Dep_Years*(U334&gt;=0)*(U334&lt;Dep_Years)</f>
        <v>2783.59883561644</v>
      </c>
      <c r="V360" s="8" t="n">
        <f aca="false">$G$91/Dep_Years*(V334&gt;=0)*(V334&lt;Dep_Years)</f>
        <v>2783.59883561644</v>
      </c>
      <c r="W360" s="8" t="n">
        <f aca="false">$G$91/Dep_Years*(W334&gt;=0)*(W334&lt;Dep_Years)</f>
        <v>2783.59883561644</v>
      </c>
      <c r="X360" s="8" t="n">
        <f aca="false">$G$91/Dep_Years*(X334&gt;=0)*(X334&lt;Dep_Years)</f>
        <v>2783.59883561644</v>
      </c>
      <c r="Y360" s="8" t="n">
        <f aca="false">$G$91/Dep_Years*(Y334&gt;=0)*(Y334&lt;Dep_Years)</f>
        <v>2783.59883561644</v>
      </c>
      <c r="Z360" s="8" t="n">
        <f aca="false">$G$91/Dep_Years*(Z334&gt;=0)*(Z334&lt;Dep_Years)</f>
        <v>2783.59883561644</v>
      </c>
      <c r="AA360" s="8" t="n">
        <f aca="false">$G$91/Dep_Years*(AA334&gt;=0)*(AA334&lt;Dep_Years)</f>
        <v>2783.59883561644</v>
      </c>
      <c r="AB360" s="8" t="n">
        <f aca="false">$G$91/Dep_Years*(AB334&gt;=0)*(AB334&lt;Dep_Years)</f>
        <v>2783.59883561644</v>
      </c>
      <c r="AC360" s="8" t="n">
        <f aca="false">$G$91/Dep_Years*(AC334&gt;=0)*(AC334&lt;Dep_Years)</f>
        <v>2783.59883561644</v>
      </c>
      <c r="AD360" s="8" t="n">
        <f aca="false">$G$91/Dep_Years*(AD334&gt;=0)*(AD334&lt;Dep_Years)</f>
        <v>2783.59883561644</v>
      </c>
      <c r="AE360" s="8" t="n">
        <f aca="false">$G$91/Dep_Years*(AE334&gt;=0)*(AE334&lt;Dep_Years)</f>
        <v>2783.59883561644</v>
      </c>
      <c r="AF360" s="8" t="n">
        <f aca="false">$G$91/Dep_Years*(AF334&gt;=0)*(AF334&lt;Dep_Years)</f>
        <v>2783.59883561644</v>
      </c>
      <c r="AG360" s="8" t="n">
        <f aca="false">$G$91/Dep_Years*(AG334&gt;=0)*(AG334&lt;Dep_Years)</f>
        <v>2783.59883561644</v>
      </c>
      <c r="AH360" s="8" t="n">
        <f aca="false">$G$91/Dep_Years*(AH334&gt;=0)*(AH334&lt;Dep_Years)</f>
        <v>2783.59883561644</v>
      </c>
      <c r="AI360" s="8" t="n">
        <f aca="false">$G$91/Dep_Years*(AI334&gt;=0)*(AI334&lt;Dep_Years)</f>
        <v>0</v>
      </c>
      <c r="AJ360" s="8" t="n">
        <f aca="false">$G$91/Dep_Years*(AJ334&gt;=0)*(AJ334&lt;Dep_Years)</f>
        <v>0</v>
      </c>
      <c r="AK360" s="8" t="n">
        <f aca="false">$G$91/Dep_Years*(AK334&gt;=0)*(AK334&lt;Dep_Years)</f>
        <v>0</v>
      </c>
      <c r="AL360" s="8" t="n">
        <f aca="false">$G$91/Dep_Years*(AL334&gt;=0)*(AL334&lt;Dep_Years)</f>
        <v>0</v>
      </c>
      <c r="AM360" s="8" t="n">
        <f aca="false">$G$91/Dep_Years*(AM334&gt;=0)*(AM334&lt;Dep_Years)</f>
        <v>0</v>
      </c>
      <c r="AN360" s="8" t="n">
        <f aca="false">$G$91/Dep_Years*(AN334&gt;=0)*(AN334&lt;Dep_Years)</f>
        <v>0</v>
      </c>
      <c r="AO360" s="8" t="n">
        <f aca="false">$G$91/Dep_Years*(AO334&gt;=0)*(AO334&lt;Dep_Years)</f>
        <v>0</v>
      </c>
      <c r="AP360" s="8" t="n">
        <f aca="false">$G$91/Dep_Years*(AP334&gt;=0)*(AP334&lt;Dep_Years)</f>
        <v>0</v>
      </c>
      <c r="AQ360" s="8" t="n">
        <f aca="false">$G$91/Dep_Years*(AQ334&gt;=0)*(AQ334&lt;Dep_Years)</f>
        <v>0</v>
      </c>
      <c r="AR360" s="8" t="n">
        <f aca="false">$G$91/Dep_Years*(AR334&gt;=0)*(AR334&lt;Dep_Years)</f>
        <v>0</v>
      </c>
      <c r="AS360" s="8" t="n">
        <f aca="false">$G$91/Dep_Years*(AS334&gt;=0)*(AS334&lt;Dep_Years)</f>
        <v>0</v>
      </c>
    </row>
    <row r="361" customFormat="false" ht="14.25" hidden="true" customHeight="false" outlineLevel="1" collapsed="false">
      <c r="C361" s="6" t="s">
        <v>241</v>
      </c>
      <c r="D361" s="2" t="s">
        <v>82</v>
      </c>
      <c r="H361" s="8" t="n">
        <f aca="false">SUM(J361:AS361)</f>
        <v>-29178.9553989061</v>
      </c>
      <c r="J361" s="8" t="n">
        <f aca="false">-CIT_Rate*MAX(0,J358-J360)</f>
        <v>-0</v>
      </c>
      <c r="K361" s="8" t="n">
        <f aca="false">-CIT_Rate*MAX(0,K358-K360)</f>
        <v>-0</v>
      </c>
      <c r="L361" s="8" t="n">
        <f aca="false">-CIT_Rate*MAX(0,L358-L360)</f>
        <v>-0</v>
      </c>
      <c r="M361" s="8" t="n">
        <f aca="false">-CIT_Rate*MAX(0,M358-M360)</f>
        <v>-0</v>
      </c>
      <c r="N361" s="8" t="n">
        <f aca="false">-CIT_Rate*MAX(0,N358-N360)</f>
        <v>-0</v>
      </c>
      <c r="O361" s="8" t="n">
        <f aca="false">-CIT_Rate*MAX(0,O358-O360)</f>
        <v>-185.395059657534</v>
      </c>
      <c r="P361" s="8" t="n">
        <f aca="false">-CIT_Rate*MAX(0,P358-P360)</f>
        <v>-796.486973607534</v>
      </c>
      <c r="Q361" s="8" t="n">
        <f aca="false">-CIT_Rate*MAX(0,Q358-Q360)</f>
        <v>-800.309196096528</v>
      </c>
      <c r="R361" s="8" t="n">
        <f aca="false">-CIT_Rate*MAX(0,R358-R360)</f>
        <v>-804.031663013454</v>
      </c>
      <c r="S361" s="8" t="n">
        <f aca="false">-CIT_Rate*MAX(0,S358-S360)</f>
        <v>-807.650659178867</v>
      </c>
      <c r="T361" s="8" t="n">
        <f aca="false">-CIT_Rate*MAX(0,T358-T360)</f>
        <v>-811.162369986913</v>
      </c>
      <c r="U361" s="8" t="n">
        <f aca="false">-CIT_Rate*MAX(0,U358-U360)</f>
        <v>-814.562878920428</v>
      </c>
      <c r="V361" s="8" t="n">
        <f aca="false">-CIT_Rate*MAX(0,V358-V360)</f>
        <v>-817.848165004958</v>
      </c>
      <c r="W361" s="8" t="n">
        <f aca="false">-CIT_Rate*MAX(0,W358-W360)</f>
        <v>-821.014100200144</v>
      </c>
      <c r="X361" s="8" t="n">
        <f aca="false">-CIT_Rate*MAX(0,X358-X360)</f>
        <v>-824.056446726984</v>
      </c>
      <c r="Y361" s="8" t="n">
        <f aca="false">-CIT_Rate*MAX(0,Y358-Y360)</f>
        <v>-826.970854329367</v>
      </c>
      <c r="Z361" s="8" t="n">
        <f aca="false">-CIT_Rate*MAX(0,Z358-Z360)</f>
        <v>-829.752857468287</v>
      </c>
      <c r="AA361" s="8" t="n">
        <f aca="false">-CIT_Rate*MAX(0,AA358-AA360)</f>
        <v>-832.397872447071</v>
      </c>
      <c r="AB361" s="8" t="n">
        <f aca="false">-CIT_Rate*MAX(0,AB358-AB360)</f>
        <v>-834.901194465938</v>
      </c>
      <c r="AC361" s="8" t="n">
        <f aca="false">-CIT_Rate*MAX(0,AC358-AC360)</f>
        <v>-837.257994604164</v>
      </c>
      <c r="AD361" s="8" t="n">
        <f aca="false">-CIT_Rate*MAX(0,AD358-AD360)</f>
        <v>-839.463316728051</v>
      </c>
      <c r="AE361" s="8" t="n">
        <f aca="false">-CIT_Rate*MAX(0,AE358-AE360)</f>
        <v>-841.512074322912</v>
      </c>
      <c r="AF361" s="8" t="n">
        <f aca="false">-CIT_Rate*MAX(0,AF358-AF360)</f>
        <v>-843.399047247183</v>
      </c>
      <c r="AG361" s="8" t="n">
        <f aca="false">-CIT_Rate*MAX(0,AG358-AG360)</f>
        <v>-845.118878406767</v>
      </c>
      <c r="AH361" s="8" t="n">
        <f aca="false">-CIT_Rate*MAX(0,AH358-AH360)</f>
        <v>-846.666070347647</v>
      </c>
      <c r="AI361" s="8" t="n">
        <f aca="false">-CIT_Rate*MAX(0,AI358-AI360)</f>
        <v>-1265.57480710723</v>
      </c>
      <c r="AJ361" s="8" t="n">
        <f aca="false">-CIT_Rate*MAX(0,AJ358-AJ360)</f>
        <v>-1266.75964926759</v>
      </c>
      <c r="AK361" s="8" t="n">
        <f aca="false">-CIT_Rate*MAX(0,AK358-AK360)</f>
        <v>-1267.75448234544</v>
      </c>
      <c r="AL361" s="8" t="n">
        <f aca="false">-CIT_Rate*MAX(0,AL358-AL360)</f>
        <v>-1268.55321166742</v>
      </c>
      <c r="AM361" s="8" t="n">
        <f aca="false">-CIT_Rate*MAX(0,AM358-AM360)</f>
        <v>-1269.14958386548</v>
      </c>
      <c r="AN361" s="8" t="n">
        <f aca="false">-CIT_Rate*MAX(0,AN358-AN360)</f>
        <v>-1269.53718293525</v>
      </c>
      <c r="AO361" s="8" t="n">
        <f aca="false">-CIT_Rate*MAX(0,AO358-AO360)</f>
        <v>-1269.70942619753</v>
      </c>
      <c r="AP361" s="8" t="n">
        <f aca="false">-CIT_Rate*MAX(0,AP358-AP360)</f>
        <v>-1269.65956016069</v>
      </c>
      <c r="AQ361" s="8" t="n">
        <f aca="false">-CIT_Rate*MAX(0,AQ358-AQ360)</f>
        <v>-1269.38065628124</v>
      </c>
      <c r="AR361" s="8" t="n">
        <f aca="false">-CIT_Rate*MAX(0,AR358-AR360)</f>
        <v>-1268.86560662045</v>
      </c>
      <c r="AS361" s="8" t="n">
        <f aca="false">-CIT_Rate*MAX(0,AS358-AS360)</f>
        <v>-634.053559697063</v>
      </c>
    </row>
    <row r="362" customFormat="false" ht="14.25" hidden="true" customHeight="false" outlineLevel="1" collapsed="false">
      <c r="C362" s="1" t="s">
        <v>242</v>
      </c>
      <c r="D362" s="2" t="s">
        <v>82</v>
      </c>
      <c r="H362" s="31" t="n">
        <f aca="false">SUM(J362:AS362)</f>
        <v>165347.413927135</v>
      </c>
      <c r="J362" s="31" t="n">
        <f aca="false">J359+J361</f>
        <v>-436.301369863014</v>
      </c>
      <c r="K362" s="31" t="n">
        <f aca="false">K359+K361</f>
        <v>-2728.76712328767</v>
      </c>
      <c r="L362" s="31" t="n">
        <f aca="false">L359+L361</f>
        <v>-3359.81917808219</v>
      </c>
      <c r="M362" s="31" t="n">
        <f aca="false">M359+M361</f>
        <v>-12009.375</v>
      </c>
      <c r="N362" s="31" t="n">
        <f aca="false">N359+N361</f>
        <v>-24018.75</v>
      </c>
      <c r="O362" s="31" t="n">
        <f aca="false">O359+O361</f>
        <v>-10675.2041596575</v>
      </c>
      <c r="P362" s="31" t="n">
        <f aca="false">P359+P361</f>
        <v>7297.02501939247</v>
      </c>
      <c r="Q362" s="31" t="n">
        <f aca="false">Q359+Q361</f>
        <v>8709.09523906754</v>
      </c>
      <c r="R362" s="31" t="n">
        <f aca="false">R359+R361</f>
        <v>7339.77825935934</v>
      </c>
      <c r="S362" s="31" t="n">
        <f aca="false">S359+S361</f>
        <v>7360.28590429669</v>
      </c>
      <c r="T362" s="31" t="n">
        <f aca="false">T359+T361</f>
        <v>7380.18559887561</v>
      </c>
      <c r="U362" s="31" t="n">
        <f aca="false">U359+U361</f>
        <v>7399.45514949887</v>
      </c>
      <c r="V362" s="31" t="n">
        <f aca="false">V359+V361</f>
        <v>7418.07177064453</v>
      </c>
      <c r="W362" s="31" t="n">
        <f aca="false">W359+W361</f>
        <v>7436.01207008392</v>
      </c>
      <c r="X362" s="31" t="n">
        <f aca="false">X359+X361</f>
        <v>7453.25203373601</v>
      </c>
      <c r="Y362" s="31" t="n">
        <f aca="false">Y359+Y361</f>
        <v>7469.76701014952</v>
      </c>
      <c r="Z362" s="31" t="n">
        <f aca="false">Z359+Z361</f>
        <v>7485.5316946034</v>
      </c>
      <c r="AA362" s="31" t="n">
        <f aca="false">AA359+AA361</f>
        <v>7500.5201128165</v>
      </c>
      <c r="AB362" s="31" t="n">
        <f aca="false">AB359+AB361</f>
        <v>7514.70560425675</v>
      </c>
      <c r="AC362" s="31" t="n">
        <f aca="false">AC359+AC361</f>
        <v>7528.06080504003</v>
      </c>
      <c r="AD362" s="31" t="n">
        <f aca="false">AD359+AD361</f>
        <v>7540.55763040873</v>
      </c>
      <c r="AE362" s="31" t="n">
        <f aca="false">AE359+AE361</f>
        <v>7552.16725677961</v>
      </c>
      <c r="AF362" s="31" t="n">
        <f aca="false">AF359+AF361</f>
        <v>7562.86010335048</v>
      </c>
      <c r="AG362" s="31" t="n">
        <f aca="false">AG359+AG361</f>
        <v>7572.60581325478</v>
      </c>
      <c r="AH362" s="31" t="n">
        <f aca="false">AH359+AH361</f>
        <v>7581.3732342531</v>
      </c>
      <c r="AI362" s="31" t="n">
        <f aca="false">AI359+AI361</f>
        <v>7171.59057360766</v>
      </c>
      <c r="AJ362" s="31" t="n">
        <f aca="false">AJ359+AJ361</f>
        <v>7178.30467918302</v>
      </c>
      <c r="AK362" s="31" t="n">
        <f aca="false">AK359+AK361</f>
        <v>7183.94206662414</v>
      </c>
      <c r="AL362" s="31" t="n">
        <f aca="false">AL359+AL361</f>
        <v>7188.46819944869</v>
      </c>
      <c r="AM362" s="31" t="n">
        <f aca="false">AM359+AM361</f>
        <v>7191.84764190439</v>
      </c>
      <c r="AN362" s="31" t="n">
        <f aca="false">AN359+AN361</f>
        <v>7194.04403663306</v>
      </c>
      <c r="AO362" s="31" t="n">
        <f aca="false">AO359+AO361</f>
        <v>7195.02008178602</v>
      </c>
      <c r="AP362" s="31" t="n">
        <f aca="false">AP359+AP361</f>
        <v>7194.73750757722</v>
      </c>
      <c r="AQ362" s="31" t="n">
        <f aca="false">AQ359+AQ361</f>
        <v>7193.15705226035</v>
      </c>
      <c r="AR362" s="31" t="n">
        <f aca="false">AR359+AR361</f>
        <v>7190.23843751589</v>
      </c>
      <c r="AS362" s="31" t="n">
        <f aca="false">AS359+AS361</f>
        <v>3592.97017161669</v>
      </c>
    </row>
    <row r="363" customFormat="false" ht="14.25" hidden="true" customHeight="false" outlineLevel="1" collapsed="false">
      <c r="C363" s="6" t="s">
        <v>243</v>
      </c>
      <c r="D363" s="2" t="s">
        <v>82</v>
      </c>
      <c r="H363" s="8" t="n">
        <f aca="false">SUM(J363:AS363)</f>
        <v>33403.1860273973</v>
      </c>
      <c r="J363" s="8" t="n">
        <f aca="false">Gearing*$G$91*J339</f>
        <v>0</v>
      </c>
      <c r="K363" s="8" t="n">
        <f aca="false">Gearing*$G$91*K339</f>
        <v>0</v>
      </c>
      <c r="L363" s="8" t="n">
        <f aca="false">Gearing*$G$91*L339</f>
        <v>0</v>
      </c>
      <c r="M363" s="8" t="n">
        <f aca="false">Gearing*$G$91*M339</f>
        <v>0</v>
      </c>
      <c r="N363" s="8" t="n">
        <f aca="false">Gearing*$G$91*N339</f>
        <v>0</v>
      </c>
      <c r="O363" s="8" t="n">
        <f aca="false">Gearing*$G$91*O339</f>
        <v>33403.1860273973</v>
      </c>
      <c r="P363" s="8" t="n">
        <f aca="false">Gearing*$G$91*P339</f>
        <v>0</v>
      </c>
      <c r="Q363" s="8" t="n">
        <f aca="false">Gearing*$G$91*Q339</f>
        <v>0</v>
      </c>
      <c r="R363" s="8" t="n">
        <f aca="false">Gearing*$G$91*R339</f>
        <v>0</v>
      </c>
      <c r="S363" s="8" t="n">
        <f aca="false">Gearing*$G$91*S339</f>
        <v>0</v>
      </c>
      <c r="T363" s="8" t="n">
        <f aca="false">Gearing*$G$91*T339</f>
        <v>0</v>
      </c>
      <c r="U363" s="8" t="n">
        <f aca="false">Gearing*$G$91*U339</f>
        <v>0</v>
      </c>
      <c r="V363" s="8" t="n">
        <f aca="false">Gearing*$G$91*V339</f>
        <v>0</v>
      </c>
      <c r="W363" s="8" t="n">
        <f aca="false">Gearing*$G$91*W339</f>
        <v>0</v>
      </c>
      <c r="X363" s="8" t="n">
        <f aca="false">Gearing*$G$91*X339</f>
        <v>0</v>
      </c>
      <c r="Y363" s="8" t="n">
        <f aca="false">Gearing*$G$91*Y339</f>
        <v>0</v>
      </c>
      <c r="Z363" s="8" t="n">
        <f aca="false">Gearing*$G$91*Z339</f>
        <v>0</v>
      </c>
      <c r="AA363" s="8" t="n">
        <f aca="false">Gearing*$G$91*AA339</f>
        <v>0</v>
      </c>
      <c r="AB363" s="8" t="n">
        <f aca="false">Gearing*$G$91*AB339</f>
        <v>0</v>
      </c>
      <c r="AC363" s="8" t="n">
        <f aca="false">Gearing*$G$91*AC339</f>
        <v>0</v>
      </c>
      <c r="AD363" s="8" t="n">
        <f aca="false">Gearing*$G$91*AD339</f>
        <v>0</v>
      </c>
      <c r="AE363" s="8" t="n">
        <f aca="false">Gearing*$G$91*AE339</f>
        <v>0</v>
      </c>
      <c r="AF363" s="8" t="n">
        <f aca="false">Gearing*$G$91*AF339</f>
        <v>0</v>
      </c>
      <c r="AG363" s="8" t="n">
        <f aca="false">Gearing*$G$91*AG339</f>
        <v>0</v>
      </c>
      <c r="AH363" s="8" t="n">
        <f aca="false">Gearing*$G$91*AH339</f>
        <v>0</v>
      </c>
      <c r="AI363" s="8" t="n">
        <f aca="false">Gearing*$G$91*AI339</f>
        <v>0</v>
      </c>
      <c r="AJ363" s="8" t="n">
        <f aca="false">Gearing*$G$91*AJ339</f>
        <v>0</v>
      </c>
      <c r="AK363" s="8" t="n">
        <f aca="false">Gearing*$G$91*AK339</f>
        <v>0</v>
      </c>
      <c r="AL363" s="8" t="n">
        <f aca="false">Gearing*$G$91*AL339</f>
        <v>0</v>
      </c>
      <c r="AM363" s="8" t="n">
        <f aca="false">Gearing*$G$91*AM339</f>
        <v>0</v>
      </c>
      <c r="AN363" s="8" t="n">
        <f aca="false">Gearing*$G$91*AN339</f>
        <v>0</v>
      </c>
      <c r="AO363" s="8" t="n">
        <f aca="false">Gearing*$G$91*AO339</f>
        <v>0</v>
      </c>
      <c r="AP363" s="8" t="n">
        <f aca="false">Gearing*$G$91*AP339</f>
        <v>0</v>
      </c>
      <c r="AQ363" s="8" t="n">
        <f aca="false">Gearing*$G$91*AQ339</f>
        <v>0</v>
      </c>
      <c r="AR363" s="8" t="n">
        <f aca="false">Gearing*$G$91*AR339</f>
        <v>0</v>
      </c>
      <c r="AS363" s="8" t="n">
        <f aca="false">Gearing*$G$91*AS339</f>
        <v>0</v>
      </c>
    </row>
    <row r="364" customFormat="false" ht="14.25" hidden="true" customHeight="false" outlineLevel="1" collapsed="false">
      <c r="C364" s="6" t="s">
        <v>244</v>
      </c>
      <c r="D364" s="2" t="s">
        <v>82</v>
      </c>
      <c r="G364" s="57" t="n">
        <f aca="false">Gearing*$G$91*Debt_Rate/(1-(1+Debt_Rate)^-Debt_Tenor)</f>
        <v>3218.1393553166</v>
      </c>
      <c r="H364" s="8" t="n">
        <f aca="false">SUM(J364:AS364)</f>
        <v>-48272.090329749</v>
      </c>
      <c r="J364" s="8" t="n">
        <f aca="false">-$G364*(J334&gt;=1)*(J334&lt;=Debt_Tenor)</f>
        <v>-0</v>
      </c>
      <c r="K364" s="8" t="n">
        <f aca="false">-$G364*(K334&gt;=1)*(K334&lt;=Debt_Tenor)</f>
        <v>-0</v>
      </c>
      <c r="L364" s="8" t="n">
        <f aca="false">-$G364*(L334&gt;=1)*(L334&lt;=Debt_Tenor)</f>
        <v>-0</v>
      </c>
      <c r="M364" s="8" t="n">
        <f aca="false">-$G364*(M334&gt;=1)*(M334&lt;=Debt_Tenor)</f>
        <v>-0</v>
      </c>
      <c r="N364" s="8" t="n">
        <f aca="false">-$G364*(N334&gt;=1)*(N334&lt;=Debt_Tenor)</f>
        <v>-0</v>
      </c>
      <c r="O364" s="8" t="n">
        <f aca="false">-$G364*(O334&gt;=1)*(O334&lt;=Debt_Tenor)</f>
        <v>-0</v>
      </c>
      <c r="P364" s="8" t="n">
        <f aca="false">-$G364*(P334&gt;=1)*(P334&lt;=Debt_Tenor)</f>
        <v>-3218.1393553166</v>
      </c>
      <c r="Q364" s="8" t="n">
        <f aca="false">-$G364*(Q334&gt;=1)*(Q334&lt;=Debt_Tenor)</f>
        <v>-3218.1393553166</v>
      </c>
      <c r="R364" s="8" t="n">
        <f aca="false">-$G364*(R334&gt;=1)*(R334&lt;=Debt_Tenor)</f>
        <v>-3218.1393553166</v>
      </c>
      <c r="S364" s="8" t="n">
        <f aca="false">-$G364*(S334&gt;=1)*(S334&lt;=Debt_Tenor)</f>
        <v>-3218.1393553166</v>
      </c>
      <c r="T364" s="8" t="n">
        <f aca="false">-$G364*(T334&gt;=1)*(T334&lt;=Debt_Tenor)</f>
        <v>-3218.1393553166</v>
      </c>
      <c r="U364" s="8" t="n">
        <f aca="false">-$G364*(U334&gt;=1)*(U334&lt;=Debt_Tenor)</f>
        <v>-3218.1393553166</v>
      </c>
      <c r="V364" s="8" t="n">
        <f aca="false">-$G364*(V334&gt;=1)*(V334&lt;=Debt_Tenor)</f>
        <v>-3218.1393553166</v>
      </c>
      <c r="W364" s="8" t="n">
        <f aca="false">-$G364*(W334&gt;=1)*(W334&lt;=Debt_Tenor)</f>
        <v>-3218.1393553166</v>
      </c>
      <c r="X364" s="8" t="n">
        <f aca="false">-$G364*(X334&gt;=1)*(X334&lt;=Debt_Tenor)</f>
        <v>-3218.1393553166</v>
      </c>
      <c r="Y364" s="8" t="n">
        <f aca="false">-$G364*(Y334&gt;=1)*(Y334&lt;=Debt_Tenor)</f>
        <v>-3218.1393553166</v>
      </c>
      <c r="Z364" s="8" t="n">
        <f aca="false">-$G364*(Z334&gt;=1)*(Z334&lt;=Debt_Tenor)</f>
        <v>-3218.1393553166</v>
      </c>
      <c r="AA364" s="8" t="n">
        <f aca="false">-$G364*(AA334&gt;=1)*(AA334&lt;=Debt_Tenor)</f>
        <v>-3218.1393553166</v>
      </c>
      <c r="AB364" s="8" t="n">
        <f aca="false">-$G364*(AB334&gt;=1)*(AB334&lt;=Debt_Tenor)</f>
        <v>-3218.1393553166</v>
      </c>
      <c r="AC364" s="8" t="n">
        <f aca="false">-$G364*(AC334&gt;=1)*(AC334&lt;=Debt_Tenor)</f>
        <v>-3218.1393553166</v>
      </c>
      <c r="AD364" s="8" t="n">
        <f aca="false">-$G364*(AD334&gt;=1)*(AD334&lt;=Debt_Tenor)</f>
        <v>-3218.1393553166</v>
      </c>
      <c r="AE364" s="8" t="n">
        <f aca="false">-$G364*(AE334&gt;=1)*(AE334&lt;=Debt_Tenor)</f>
        <v>-0</v>
      </c>
      <c r="AF364" s="8" t="n">
        <f aca="false">-$G364*(AF334&gt;=1)*(AF334&lt;=Debt_Tenor)</f>
        <v>-0</v>
      </c>
      <c r="AG364" s="8" t="n">
        <f aca="false">-$G364*(AG334&gt;=1)*(AG334&lt;=Debt_Tenor)</f>
        <v>-0</v>
      </c>
      <c r="AH364" s="8" t="n">
        <f aca="false">-$G364*(AH334&gt;=1)*(AH334&lt;=Debt_Tenor)</f>
        <v>-0</v>
      </c>
      <c r="AI364" s="8" t="n">
        <f aca="false">-$G364*(AI334&gt;=1)*(AI334&lt;=Debt_Tenor)</f>
        <v>-0</v>
      </c>
      <c r="AJ364" s="8" t="n">
        <f aca="false">-$G364*(AJ334&gt;=1)*(AJ334&lt;=Debt_Tenor)</f>
        <v>-0</v>
      </c>
      <c r="AK364" s="8" t="n">
        <f aca="false">-$G364*(AK334&gt;=1)*(AK334&lt;=Debt_Tenor)</f>
        <v>-0</v>
      </c>
      <c r="AL364" s="8" t="n">
        <f aca="false">-$G364*(AL334&gt;=1)*(AL334&lt;=Debt_Tenor)</f>
        <v>-0</v>
      </c>
      <c r="AM364" s="8" t="n">
        <f aca="false">-$G364*(AM334&gt;=1)*(AM334&lt;=Debt_Tenor)</f>
        <v>-0</v>
      </c>
      <c r="AN364" s="8" t="n">
        <f aca="false">-$G364*(AN334&gt;=1)*(AN334&lt;=Debt_Tenor)</f>
        <v>-0</v>
      </c>
      <c r="AO364" s="8" t="n">
        <f aca="false">-$G364*(AO334&gt;=1)*(AO334&lt;=Debt_Tenor)</f>
        <v>-0</v>
      </c>
      <c r="AP364" s="8" t="n">
        <f aca="false">-$G364*(AP334&gt;=1)*(AP334&lt;=Debt_Tenor)</f>
        <v>-0</v>
      </c>
      <c r="AQ364" s="8" t="n">
        <f aca="false">-$G364*(AQ334&gt;=1)*(AQ334&lt;=Debt_Tenor)</f>
        <v>-0</v>
      </c>
      <c r="AR364" s="8" t="n">
        <f aca="false">-$G364*(AR334&gt;=1)*(AR334&lt;=Debt_Tenor)</f>
        <v>-0</v>
      </c>
      <c r="AS364" s="8" t="n">
        <f aca="false">-$G364*(AS334&gt;=1)*(AS334&lt;=Debt_Tenor)</f>
        <v>-0</v>
      </c>
    </row>
    <row r="365" customFormat="false" ht="14.25" hidden="true" customHeight="false" outlineLevel="1" collapsed="false">
      <c r="C365" s="6" t="s">
        <v>245</v>
      </c>
      <c r="D365" s="2" t="s">
        <v>82</v>
      </c>
      <c r="H365" s="8"/>
      <c r="J365" s="8" t="n">
        <f aca="false">I365*(1+Debt_Rate)+J363+J364</f>
        <v>0</v>
      </c>
      <c r="K365" s="8" t="n">
        <f aca="false">J365*(1+Debt_Rate)+K363+K364</f>
        <v>0</v>
      </c>
      <c r="L365" s="8" t="n">
        <f aca="false">K365*(1+Debt_Rate)+L363+L364</f>
        <v>0</v>
      </c>
      <c r="M365" s="8" t="n">
        <f aca="false">L365*(1+Debt_Rate)+M363+M364</f>
        <v>0</v>
      </c>
      <c r="N365" s="8" t="n">
        <f aca="false">M365*(1+Debt_Rate)+N363+N364</f>
        <v>0</v>
      </c>
      <c r="O365" s="8" t="n">
        <f aca="false">N365*(1+Debt_Rate)+O363+O364</f>
        <v>33403.1860273973</v>
      </c>
      <c r="P365" s="8" t="n">
        <f aca="false">O365*(1+Debt_Rate)+P363+P364</f>
        <v>31855.2059734505</v>
      </c>
      <c r="Q365" s="8" t="n">
        <f aca="false">P365*(1+Debt_Rate)+Q363+Q364</f>
        <v>30229.8269168065</v>
      </c>
      <c r="R365" s="8" t="n">
        <f aca="false">Q365*(1+Debt_Rate)+R363+R364</f>
        <v>28523.1789073302</v>
      </c>
      <c r="S365" s="8" t="n">
        <f aca="false">R365*(1+Debt_Rate)+S363+S364</f>
        <v>26731.1984973801</v>
      </c>
      <c r="T365" s="8" t="n">
        <f aca="false">S365*(1+Debt_Rate)+T363+T364</f>
        <v>24849.6190669325</v>
      </c>
      <c r="U365" s="8" t="n">
        <f aca="false">T365*(1+Debt_Rate)+U363+U364</f>
        <v>22873.9606649625</v>
      </c>
      <c r="V365" s="8" t="n">
        <f aca="false">U365*(1+Debt_Rate)+V363+V364</f>
        <v>20799.5193428941</v>
      </c>
      <c r="W365" s="8" t="n">
        <f aca="false">V365*(1+Debt_Rate)+W363+W364</f>
        <v>18621.3559547222</v>
      </c>
      <c r="X365" s="8" t="n">
        <f aca="false">W365*(1+Debt_Rate)+X363+X364</f>
        <v>16334.2843971417</v>
      </c>
      <c r="Y365" s="8" t="n">
        <f aca="false">X365*(1+Debt_Rate)+Y363+Y364</f>
        <v>13932.8592616822</v>
      </c>
      <c r="Z365" s="8" t="n">
        <f aca="false">Y365*(1+Debt_Rate)+Z363+Z364</f>
        <v>11411.3628694497</v>
      </c>
      <c r="AA365" s="8" t="n">
        <f aca="false">Z365*(1+Debt_Rate)+AA363+AA364</f>
        <v>8763.79165760555</v>
      </c>
      <c r="AB365" s="8" t="n">
        <f aca="false">AA365*(1+Debt_Rate)+AB363+AB364</f>
        <v>5983.84188516923</v>
      </c>
      <c r="AC365" s="8" t="n">
        <f aca="false">AB365*(1+Debt_Rate)+AC363+AC364</f>
        <v>3064.89462411109</v>
      </c>
      <c r="AD365" s="8" t="n">
        <f aca="false">AC365*(1+Debt_Rate)+AD363+AD364</f>
        <v>5.00222085975111E-011</v>
      </c>
      <c r="AE365" s="8" t="n">
        <f aca="false">AD365*(1+Debt_Rate)+AE363+AE364</f>
        <v>5.25233190273866E-011</v>
      </c>
      <c r="AF365" s="8" t="n">
        <f aca="false">AE365*(1+Debt_Rate)+AF363+AF364</f>
        <v>5.51494849787559E-011</v>
      </c>
      <c r="AG365" s="8" t="n">
        <f aca="false">AF365*(1+Debt_Rate)+AG363+AG364</f>
        <v>5.79069592276937E-011</v>
      </c>
      <c r="AH365" s="8" t="n">
        <f aca="false">AG365*(1+Debt_Rate)+AH363+AH364</f>
        <v>6.08023071890784E-011</v>
      </c>
      <c r="AI365" s="8" t="n">
        <f aca="false">AH365*(1+Debt_Rate)+AI363+AI364</f>
        <v>6.38424225485324E-011</v>
      </c>
      <c r="AJ365" s="8" t="n">
        <f aca="false">AI365*(1+Debt_Rate)+AJ363+AJ364</f>
        <v>6.7034543675959E-011</v>
      </c>
      <c r="AK365" s="8" t="n">
        <f aca="false">AJ365*(1+Debt_Rate)+AK363+AK364</f>
        <v>7.03862708597569E-011</v>
      </c>
      <c r="AL365" s="8" t="n">
        <f aca="false">AK365*(1+Debt_Rate)+AL363+AL364</f>
        <v>7.39055844027448E-011</v>
      </c>
      <c r="AM365" s="8" t="n">
        <f aca="false">AL365*(1+Debt_Rate)+AM363+AM364</f>
        <v>7.7600863622882E-011</v>
      </c>
      <c r="AN365" s="8" t="n">
        <f aca="false">AM365*(1+Debt_Rate)+AN363+AN364</f>
        <v>8.14809068040261E-011</v>
      </c>
      <c r="AO365" s="8" t="n">
        <f aca="false">AN365*(1+Debt_Rate)+AO363+AO364</f>
        <v>8.55549521442275E-011</v>
      </c>
      <c r="AP365" s="8" t="n">
        <f aca="false">AO365*(1+Debt_Rate)+AP363+AP364</f>
        <v>8.98326997514388E-011</v>
      </c>
      <c r="AQ365" s="8" t="n">
        <f aca="false">AP365*(1+Debt_Rate)+AQ363+AQ364</f>
        <v>9.43243347390108E-011</v>
      </c>
      <c r="AR365" s="8" t="n">
        <f aca="false">AQ365*(1+Debt_Rate)+AR363+AR364</f>
        <v>9.90405514759613E-011</v>
      </c>
      <c r="AS365" s="8" t="n">
        <f aca="false">AR365*(1+Debt_Rate)+AS363+AS364</f>
        <v>1.03992579049759E-010</v>
      </c>
    </row>
    <row r="366" customFormat="false" ht="14.25" hidden="true" customHeight="false" outlineLevel="1" collapsed="false">
      <c r="C366" s="1" t="s">
        <v>246</v>
      </c>
      <c r="D366" s="2" t="s">
        <v>82</v>
      </c>
      <c r="H366" s="31" t="n">
        <f aca="false">SUM(J366:AS366)</f>
        <v>150478.509624783</v>
      </c>
      <c r="J366" s="31" t="n">
        <f aca="false">J362+J363+J364</f>
        <v>-436.301369863014</v>
      </c>
      <c r="K366" s="31" t="n">
        <f aca="false">K362+K363+K364</f>
        <v>-2728.76712328767</v>
      </c>
      <c r="L366" s="31" t="n">
        <f aca="false">L362+L363+L364</f>
        <v>-3359.81917808219</v>
      </c>
      <c r="M366" s="31" t="n">
        <f aca="false">M362+M363+M364</f>
        <v>-12009.375</v>
      </c>
      <c r="N366" s="31" t="n">
        <f aca="false">N362+N363+N364</f>
        <v>-24018.75</v>
      </c>
      <c r="O366" s="31" t="n">
        <f aca="false">O362+O363+O364</f>
        <v>22727.9818677397</v>
      </c>
      <c r="P366" s="31" t="n">
        <f aca="false">P362+P363+P364</f>
        <v>4078.88566407587</v>
      </c>
      <c r="Q366" s="31" t="n">
        <f aca="false">Q362+Q363+Q364</f>
        <v>5490.95588375094</v>
      </c>
      <c r="R366" s="31" t="n">
        <f aca="false">R362+R363+R364</f>
        <v>4121.63890404275</v>
      </c>
      <c r="S366" s="31" t="n">
        <f aca="false">S362+S363+S364</f>
        <v>4142.14654898009</v>
      </c>
      <c r="T366" s="31" t="n">
        <f aca="false">T362+T363+T364</f>
        <v>4162.04624355901</v>
      </c>
      <c r="U366" s="31" t="n">
        <f aca="false">U362+U363+U364</f>
        <v>4181.31579418227</v>
      </c>
      <c r="V366" s="31" t="n">
        <f aca="false">V362+V363+V364</f>
        <v>4199.93241532793</v>
      </c>
      <c r="W366" s="31" t="n">
        <f aca="false">W362+W363+W364</f>
        <v>4217.87271476732</v>
      </c>
      <c r="X366" s="31" t="n">
        <f aca="false">X362+X363+X364</f>
        <v>4235.11267841942</v>
      </c>
      <c r="Y366" s="31" t="n">
        <f aca="false">Y362+Y363+Y364</f>
        <v>4251.62765483292</v>
      </c>
      <c r="Z366" s="31" t="n">
        <f aca="false">Z362+Z363+Z364</f>
        <v>4267.3923392868</v>
      </c>
      <c r="AA366" s="31" t="n">
        <f aca="false">AA362+AA363+AA364</f>
        <v>4282.38075749991</v>
      </c>
      <c r="AB366" s="31" t="n">
        <f aca="false">AB362+AB363+AB364</f>
        <v>4296.56624894016</v>
      </c>
      <c r="AC366" s="31" t="n">
        <f aca="false">AC362+AC363+AC364</f>
        <v>4309.92144972344</v>
      </c>
      <c r="AD366" s="31" t="n">
        <f aca="false">AD362+AD363+AD364</f>
        <v>4322.41827509213</v>
      </c>
      <c r="AE366" s="31" t="n">
        <f aca="false">AE362+AE363+AE364</f>
        <v>7552.16725677961</v>
      </c>
      <c r="AF366" s="31" t="n">
        <f aca="false">AF362+AF363+AF364</f>
        <v>7562.86010335048</v>
      </c>
      <c r="AG366" s="31" t="n">
        <f aca="false">AG362+AG363+AG364</f>
        <v>7572.60581325478</v>
      </c>
      <c r="AH366" s="31" t="n">
        <f aca="false">AH362+AH363+AH364</f>
        <v>7581.3732342531</v>
      </c>
      <c r="AI366" s="31" t="n">
        <f aca="false">AI362+AI363+AI364</f>
        <v>7171.59057360766</v>
      </c>
      <c r="AJ366" s="31" t="n">
        <f aca="false">AJ362+AJ363+AJ364</f>
        <v>7178.30467918302</v>
      </c>
      <c r="AK366" s="31" t="n">
        <f aca="false">AK362+AK363+AK364</f>
        <v>7183.94206662414</v>
      </c>
      <c r="AL366" s="31" t="n">
        <f aca="false">AL362+AL363+AL364</f>
        <v>7188.46819944869</v>
      </c>
      <c r="AM366" s="31" t="n">
        <f aca="false">AM362+AM363+AM364</f>
        <v>7191.84764190439</v>
      </c>
      <c r="AN366" s="31" t="n">
        <f aca="false">AN362+AN363+AN364</f>
        <v>7194.04403663306</v>
      </c>
      <c r="AO366" s="31" t="n">
        <f aca="false">AO362+AO363+AO364</f>
        <v>7195.02008178602</v>
      </c>
      <c r="AP366" s="31" t="n">
        <f aca="false">AP362+AP363+AP364</f>
        <v>7194.73750757722</v>
      </c>
      <c r="AQ366" s="31" t="n">
        <f aca="false">AQ362+AQ363+AQ364</f>
        <v>7193.15705226035</v>
      </c>
      <c r="AR366" s="31" t="n">
        <f aca="false">AR362+AR363+AR364</f>
        <v>7190.23843751589</v>
      </c>
      <c r="AS366" s="31" t="n">
        <f aca="false">AS362+AS363+AS364</f>
        <v>3592.97017161669</v>
      </c>
    </row>
    <row r="367" customFormat="false" ht="14.25" hidden="true" customHeight="false" outlineLevel="1" collapsed="false">
      <c r="C367" s="6" t="s">
        <v>247</v>
      </c>
      <c r="D367" s="2" t="s">
        <v>3</v>
      </c>
      <c r="J367" s="46" t="str">
        <f aca="false">IF(J364&lt;0,(J358+J361)/-J364,"")</f>
        <v/>
      </c>
      <c r="K367" s="46" t="str">
        <f aca="false">IF(K364&lt;0,(K358+K361)/-K364,"")</f>
        <v/>
      </c>
      <c r="L367" s="46" t="str">
        <f aca="false">IF(L364&lt;0,(L358+L361)/-L364,"")</f>
        <v/>
      </c>
      <c r="M367" s="46" t="str">
        <f aca="false">IF(M364&lt;0,(M358+M361)/-M364,"")</f>
        <v/>
      </c>
      <c r="N367" s="46" t="str">
        <f aca="false">IF(N364&lt;0,(N358+N361)/-N364,"")</f>
        <v/>
      </c>
      <c r="O367" s="46" t="str">
        <f aca="false">IF(O364&lt;0,(O358+O361)/-O364,"")</f>
        <v/>
      </c>
      <c r="P367" s="46" t="n">
        <f aca="false">IF(P364&lt;0,(P358+P361)/-P364,"")</f>
        <v>2.26746707141108</v>
      </c>
      <c r="Q367" s="46" t="n">
        <f aca="false">IF(Q364&lt;0,(Q358+Q361)/-Q364,"")</f>
        <v>2.27419743898674</v>
      </c>
      <c r="R367" s="46" t="n">
        <f aca="false">IF(R364&lt;0,(R358+R361)/-R364,"")</f>
        <v>2.28075215177786</v>
      </c>
      <c r="S367" s="46" t="n">
        <f aca="false">IF(S364&lt;0,(S358+S361)/-S364,"")</f>
        <v>2.28712466790382</v>
      </c>
      <c r="T367" s="46" t="n">
        <f aca="false">IF(T364&lt;0,(T358+T361)/-T364,"")</f>
        <v>2.2933082704088</v>
      </c>
      <c r="U367" s="46" t="n">
        <f aca="false">IF(U364&lt;0,(U358+U361)/-U364,"")</f>
        <v>2.29929606288629</v>
      </c>
      <c r="V367" s="46" t="n">
        <f aca="false">IF(V364&lt;0,(V358+V361)/-V364,"")</f>
        <v>2.30508096499592</v>
      </c>
      <c r="W367" s="46" t="n">
        <f aca="false">IF(W364&lt;0,(W358+W361)/-W364,"")</f>
        <v>2.31065570787017</v>
      </c>
      <c r="X367" s="46" t="n">
        <f aca="false">IF(X364&lt;0,(X358+X361)/-X364,"")</f>
        <v>2.31601282940799</v>
      </c>
      <c r="Y367" s="46" t="n">
        <f aca="false">IF(Y364&lt;0,(Y358+Y361)/-Y364,"")</f>
        <v>2.32114466945284</v>
      </c>
      <c r="Z367" s="46" t="n">
        <f aca="false">IF(Z364&lt;0,(Z358+Z361)/-Z364,"")</f>
        <v>2.32604336485204</v>
      </c>
      <c r="AA367" s="46" t="n">
        <f aca="false">IF(AA364&lt;0,(AA358+AA361)/-AA364,"")</f>
        <v>2.33070084439479</v>
      </c>
      <c r="AB367" s="46" t="n">
        <f aca="false">IF(AB364&lt;0,(AB358+AB361)/-AB364,"")</f>
        <v>2.33510882362565</v>
      </c>
      <c r="AC367" s="46" t="n">
        <f aca="false">IF(AC364&lt;0,(AC358+AC361)/-AC364,"")</f>
        <v>2.33925879953058</v>
      </c>
      <c r="AD367" s="46" t="n">
        <f aca="false">IF(AD364&lt;0,(AD358+AD361)/-AD364,"")</f>
        <v>2.34314204509236</v>
      </c>
      <c r="AE367" s="46" t="str">
        <f aca="false">IF(AE364&lt;0,(AE358+AE361)/-AE364,"")</f>
        <v/>
      </c>
      <c r="AF367" s="46" t="str">
        <f aca="false">IF(AF364&lt;0,(AF358+AF361)/-AF364,"")</f>
        <v/>
      </c>
      <c r="AG367" s="46" t="str">
        <f aca="false">IF(AG364&lt;0,(AG358+AG361)/-AG364,"")</f>
        <v/>
      </c>
      <c r="AH367" s="46" t="str">
        <f aca="false">IF(AH364&lt;0,(AH358+AH361)/-AH364,"")</f>
        <v/>
      </c>
      <c r="AI367" s="46" t="str">
        <f aca="false">IF(AI364&lt;0,(AI358+AI361)/-AI364,"")</f>
        <v/>
      </c>
      <c r="AJ367" s="46" t="str">
        <f aca="false">IF(AJ364&lt;0,(AJ358+AJ361)/-AJ364,"")</f>
        <v/>
      </c>
      <c r="AK367" s="46" t="str">
        <f aca="false">IF(AK364&lt;0,(AK358+AK361)/-AK364,"")</f>
        <v/>
      </c>
      <c r="AL367" s="46" t="str">
        <f aca="false">IF(AL364&lt;0,(AL358+AL361)/-AL364,"")</f>
        <v/>
      </c>
      <c r="AM367" s="46" t="str">
        <f aca="false">IF(AM364&lt;0,(AM358+AM361)/-AM364,"")</f>
        <v/>
      </c>
      <c r="AN367" s="46" t="str">
        <f aca="false">IF(AN364&lt;0,(AN358+AN361)/-AN364,"")</f>
        <v/>
      </c>
      <c r="AO367" s="46" t="str">
        <f aca="false">IF(AO364&lt;0,(AO358+AO361)/-AO364,"")</f>
        <v/>
      </c>
      <c r="AP367" s="46" t="str">
        <f aca="false">IF(AP364&lt;0,(AP358+AP361)/-AP364,"")</f>
        <v/>
      </c>
      <c r="AQ367" s="46" t="str">
        <f aca="false">IF(AQ364&lt;0,(AQ358+AQ361)/-AQ364,"")</f>
        <v/>
      </c>
      <c r="AR367" s="46" t="str">
        <f aca="false">IF(AR364&lt;0,(AR358+AR361)/-AR364,"")</f>
        <v/>
      </c>
      <c r="AS367" s="46" t="str">
        <f aca="false">IF(AS364&lt;0,(AS358+AS361)/-AS364,"")</f>
        <v/>
      </c>
    </row>
    <row r="368" customFormat="false" ht="14.25" hidden="true" customHeight="false" outlineLevel="1" collapsed="false">
      <c r="C368" s="6" t="s">
        <v>248</v>
      </c>
      <c r="D368" s="2" t="s">
        <v>3</v>
      </c>
      <c r="J368" s="56" t="n">
        <f aca="false">(1+Discount_Rate)^((Inputs!$G$33-J$253)/Days_In_Year)</f>
        <v>1.41371255107938</v>
      </c>
      <c r="K368" s="56" t="n">
        <f aca="false">(1+Discount_Rate)^((Inputs!$G$33-K$253)/Days_In_Year)</f>
        <v>1.30899310285128</v>
      </c>
      <c r="L368" s="56" t="n">
        <f aca="false">(1+Discount_Rate)^((Inputs!$G$33-L$253)/Days_In_Year)</f>
        <v>1.21177511843915</v>
      </c>
      <c r="M368" s="56" t="n">
        <f aca="false">(1+Discount_Rate)^((Inputs!$G$33-M$253)/Days_In_Year)</f>
        <v>1.12201399855477</v>
      </c>
      <c r="N368" s="56" t="n">
        <f aca="false">(1+Discount_Rate)^((Inputs!$G$33-N$253)/Days_In_Year)</f>
        <v>1.03890185051367</v>
      </c>
      <c r="O368" s="56" t="n">
        <f aca="false">(1+Discount_Rate)^((Inputs!$G$33-O$253)/Days_In_Year)</f>
        <v>0.961946157883031</v>
      </c>
      <c r="P368" s="56" t="n">
        <f aca="false">(1+Discount_Rate)^((Inputs!$G$33-P$253)/Days_In_Year)</f>
        <v>0.890503102622714</v>
      </c>
      <c r="Q368" s="56" t="n">
        <f aca="false">(1+Discount_Rate)^((Inputs!$G$33-Q$253)/Days_In_Year)</f>
        <v>0.824539909835846</v>
      </c>
      <c r="R368" s="56" t="n">
        <f aca="false">(1+Discount_Rate)^((Inputs!$G$33-R$253)/Days_In_Year)</f>
        <v>0.763462879477635</v>
      </c>
      <c r="S368" s="56" t="n">
        <f aca="false">(1+Discount_Rate)^((Inputs!$G$33-S$253)/Days_In_Year)</f>
        <v>0.706910073590403</v>
      </c>
      <c r="T368" s="56" t="n">
        <f aca="false">(1+Discount_Rate)^((Inputs!$G$33-T$253)/Days_In_Year)</f>
        <v>0.654408366464987</v>
      </c>
      <c r="U368" s="56" t="n">
        <f aca="false">(1+Discount_Rate)^((Inputs!$G$33-U$253)/Days_In_Year)</f>
        <v>0.605933672652766</v>
      </c>
      <c r="V368" s="56" t="n">
        <f aca="false">(1+Discount_Rate)^((Inputs!$G$33-V$253)/Days_In_Year)</f>
        <v>0.561049696900709</v>
      </c>
      <c r="W368" s="56" t="n">
        <f aca="false">(1+Discount_Rate)^((Inputs!$G$33-W$253)/Days_In_Year)</f>
        <v>0.519490460093249</v>
      </c>
      <c r="X368" s="56" t="n">
        <f aca="false">(1+Discount_Rate)^((Inputs!$G$33-X$253)/Days_In_Year)</f>
        <v>0.480908274028566</v>
      </c>
      <c r="Y368" s="56" t="n">
        <f aca="false">(1+Discount_Rate)^((Inputs!$G$33-Y$253)/Days_In_Year)</f>
        <v>0.445285438915339</v>
      </c>
      <c r="Z368" s="56" t="n">
        <f aca="false">(1+Discount_Rate)^((Inputs!$G$33-Z$253)/Days_In_Year)</f>
        <v>0.412301332329018</v>
      </c>
      <c r="AA368" s="56" t="n">
        <f aca="false">(1+Discount_Rate)^((Inputs!$G$33-AA$253)/Days_In_Year)</f>
        <v>0.381760492897239</v>
      </c>
      <c r="AB368" s="56" t="n">
        <f aca="false">(1+Discount_Rate)^((Inputs!$G$33-AB$253)/Days_In_Year)</f>
        <v>0.353407413292154</v>
      </c>
      <c r="AC368" s="56" t="n">
        <f aca="false">(1+Discount_Rate)^((Inputs!$G$33-AC$253)/Days_In_Year)</f>
        <v>0.327229086381624</v>
      </c>
      <c r="AD368" s="56" t="n">
        <f aca="false">(1+Discount_Rate)^((Inputs!$G$33-AD$253)/Days_In_Year)</f>
        <v>0.3029898947978</v>
      </c>
      <c r="AE368" s="56" t="n">
        <f aca="false">(1+Discount_Rate)^((Inputs!$G$33-AE$253)/Days_In_Year)</f>
        <v>0.280546198886852</v>
      </c>
      <c r="AF368" s="56" t="n">
        <f aca="false">(1+Discount_Rate)^((Inputs!$G$33-AF$253)/Days_In_Year)</f>
        <v>0.259710232730228</v>
      </c>
      <c r="AG368" s="56" t="n">
        <f aca="false">(1+Discount_Rate)^((Inputs!$G$33-AG$253)/Days_In_Year)</f>
        <v>0.240472437713174</v>
      </c>
      <c r="AH368" s="56" t="n">
        <f aca="false">(1+Discount_Rate)^((Inputs!$G$33-AH$253)/Days_In_Year)</f>
        <v>0.222659664549235</v>
      </c>
      <c r="AI368" s="56" t="n">
        <f aca="false">(1+Discount_Rate)^((Inputs!$G$33-AI$253)/Days_In_Year)</f>
        <v>0.206166356064106</v>
      </c>
      <c r="AJ368" s="56" t="n">
        <f aca="false">(1+Discount_Rate)^((Inputs!$G$33-AJ$253)/Days_In_Year)</f>
        <v>0.190854527799705</v>
      </c>
      <c r="AK368" s="56" t="n">
        <f aca="false">(1+Discount_Rate)^((Inputs!$G$33-AK$253)/Days_In_Year)</f>
        <v>0.176717155370097</v>
      </c>
      <c r="AL368" s="56" t="n">
        <f aca="false">(1+Discount_Rate)^((Inputs!$G$33-AL$253)/Days_In_Year)</f>
        <v>0.163626995713053</v>
      </c>
      <c r="AM368" s="56" t="n">
        <f aca="false">(1+Discount_Rate)^((Inputs!$G$33-AM$253)/Days_In_Year)</f>
        <v>0.151506477512086</v>
      </c>
      <c r="AN368" s="56" t="n">
        <f aca="false">(1+Discount_Rate)^((Inputs!$G$33-AN$253)/Days_In_Year)</f>
        <v>0.140254199454224</v>
      </c>
      <c r="AO368" s="56" t="n">
        <f aca="false">(1+Discount_Rate)^((Inputs!$G$33-AO$253)/Days_In_Year)</f>
        <v>0.129864999494652</v>
      </c>
      <c r="AP368" s="56" t="n">
        <f aca="false">(1+Discount_Rate)^((Inputs!$G$33-AP$253)/Days_In_Year)</f>
        <v>0.120245369902455</v>
      </c>
      <c r="AQ368" s="56" t="n">
        <f aca="false">(1+Discount_Rate)^((Inputs!$G$33-AQ$253)/Days_In_Year)</f>
        <v>0.111338305465236</v>
      </c>
      <c r="AR368" s="56" t="n">
        <f aca="false">(1+Discount_Rate)^((Inputs!$G$33-AR$253)/Days_In_Year)</f>
        <v>0.103069288904634</v>
      </c>
      <c r="AS368" s="56" t="n">
        <f aca="false">(1+Discount_Rate)^((Inputs!$G$33-AS$253)/Days_In_Year)</f>
        <v>0.0954345267635496</v>
      </c>
    </row>
    <row r="369" customFormat="false" ht="14.25" hidden="true" customHeight="false" outlineLevel="1" collapsed="false">
      <c r="C369" s="6" t="s">
        <v>249</v>
      </c>
      <c r="D369" s="2" t="s">
        <v>82</v>
      </c>
      <c r="H369" s="8" t="n">
        <f aca="false">SUM(J369:AS369)</f>
        <v>92990.4735617666</v>
      </c>
      <c r="J369" s="8" t="n">
        <f aca="false">J358*J368</f>
        <v>0</v>
      </c>
      <c r="K369" s="8" t="n">
        <f aca="false">K358*K368</f>
        <v>0</v>
      </c>
      <c r="L369" s="8" t="n">
        <f aca="false">L358*L368</f>
        <v>0</v>
      </c>
      <c r="M369" s="8" t="n">
        <f aca="false">M358*M368</f>
        <v>0</v>
      </c>
      <c r="N369" s="8" t="n">
        <f aca="false">N358*N368</f>
        <v>0</v>
      </c>
      <c r="O369" s="8" t="n">
        <f aca="false">O358*O368</f>
        <v>3866.60597386265</v>
      </c>
      <c r="P369" s="8" t="n">
        <f aca="false">P358*P368</f>
        <v>7207.29754088064</v>
      </c>
      <c r="Q369" s="8" t="n">
        <f aca="false">Q358*Q368</f>
        <v>6694.43414887321</v>
      </c>
      <c r="R369" s="8" t="n">
        <f aca="false">R358*R368</f>
        <v>6217.49657325327</v>
      </c>
      <c r="S369" s="8" t="n">
        <f aca="false">S358*S368</f>
        <v>5773.99663716825</v>
      </c>
      <c r="T369" s="8" t="n">
        <f aca="false">T358*T368</f>
        <v>5360.48664344961</v>
      </c>
      <c r="U369" s="8" t="n">
        <f aca="false">U358*U368</f>
        <v>4977.15011119613</v>
      </c>
      <c r="V369" s="8" t="n">
        <f aca="false">V358*V368</f>
        <v>4620.76038359465</v>
      </c>
      <c r="W369" s="8" t="n">
        <f aca="false">W358*W368</f>
        <v>4289.44632420286</v>
      </c>
      <c r="X369" s="8" t="n">
        <f aca="false">X358*X368</f>
        <v>3980.62613494148</v>
      </c>
      <c r="Y369" s="8" t="n">
        <f aca="false">Y358*Y368</f>
        <v>3694.41656155</v>
      </c>
      <c r="Z369" s="8" t="n">
        <f aca="false">Z358*Z368</f>
        <v>3428.40289951406</v>
      </c>
      <c r="AA369" s="8" t="n">
        <f aca="false">AA358*AA368</f>
        <v>3181.17887732649</v>
      </c>
      <c r="AB369" s="8" t="n">
        <f aca="false">AB358*AB368</f>
        <v>2950.81294074317</v>
      </c>
      <c r="AC369" s="8" t="n">
        <f aca="false">AC358*AC368</f>
        <v>2737.37562809859</v>
      </c>
      <c r="AD369" s="8" t="n">
        <f aca="false">AD358*AD368</f>
        <v>2539.06166517633</v>
      </c>
      <c r="AE369" s="8" t="n">
        <f aca="false">AE358*AE368</f>
        <v>2354.81483101594</v>
      </c>
      <c r="AF369" s="8" t="n">
        <f aca="false">AF358*AF368</f>
        <v>2183.19152039232</v>
      </c>
      <c r="AG369" s="8" t="n">
        <f aca="false">AG358*AG368</f>
        <v>2024.23077660223</v>
      </c>
      <c r="AH369" s="8" t="n">
        <f aca="false">AH358*AH368</f>
        <v>1876.58440437017</v>
      </c>
      <c r="AI369" s="8" t="n">
        <f aca="false">AI358*AI368</f>
        <v>1739.45964205222</v>
      </c>
      <c r="AJ369" s="8" t="n">
        <f aca="false">AJ358*AJ368</f>
        <v>1611.77876464457</v>
      </c>
      <c r="AK369" s="8" t="n">
        <f aca="false">AK358*AK368</f>
        <v>1493.55977218517</v>
      </c>
      <c r="AL369" s="8" t="n">
        <f aca="false">AL358*AL368</f>
        <v>1383.79700618189</v>
      </c>
      <c r="AM369" s="8" t="n">
        <f aca="false">AM358*AM368</f>
        <v>1281.89588591592</v>
      </c>
      <c r="AN369" s="8" t="n">
        <f aca="false">AN358*AN368</f>
        <v>1187.05280846636</v>
      </c>
      <c r="AO369" s="8" t="n">
        <f aca="false">AO358*AO368</f>
        <v>1099.27209327665</v>
      </c>
      <c r="AP369" s="8" t="n">
        <f aca="false">AP358*AP368</f>
        <v>1017.8045564114</v>
      </c>
      <c r="AQ369" s="8" t="n">
        <f aca="false">AQ358*AQ368</f>
        <v>942.204608404684</v>
      </c>
      <c r="AR369" s="8" t="n">
        <f aca="false">AR358*AR368</f>
        <v>871.873838599442</v>
      </c>
      <c r="AS369" s="8" t="n">
        <f aca="false">AS358*AS368</f>
        <v>403.404009416221</v>
      </c>
    </row>
    <row r="370" customFormat="false" ht="14.25" hidden="true" customHeight="false" outlineLevel="1" collapsed="false">
      <c r="C370" s="1" t="s">
        <v>250</v>
      </c>
      <c r="D370" s="2" t="s">
        <v>82</v>
      </c>
      <c r="H370" s="31" t="n">
        <f aca="false">SUM(J370:AS370)</f>
        <v>37318.4968494378</v>
      </c>
      <c r="J370" s="31" t="n">
        <f aca="false">J344*(J334&lt;=0)+J339*($H369+$G$59+$G$60)</f>
        <v>-436.301369863014</v>
      </c>
      <c r="K370" s="31" t="n">
        <f aca="false">K344*(K334&lt;=0)+K339*($H369+$G$59+$G$60)</f>
        <v>-2728.76712328767</v>
      </c>
      <c r="L370" s="31" t="n">
        <f aca="false">L344*(L334&lt;=0)+L339*($H369+$G$59+$G$60)</f>
        <v>-3359.81917808219</v>
      </c>
      <c r="M370" s="31" t="n">
        <f aca="false">M344*(M334&lt;=0)+M339*($H369+$G$59+$G$60)</f>
        <v>-12009.375</v>
      </c>
      <c r="N370" s="31" t="n">
        <f aca="false">N344*(N334&lt;=0)+N339*($H369+$G$59+$G$60)</f>
        <v>-24018.75</v>
      </c>
      <c r="O370" s="31" t="n">
        <f aca="false">O344*(O334&lt;=0)+O339*($H369+$G$59+$G$60)</f>
        <v>79871.5095206707</v>
      </c>
      <c r="P370" s="31" t="n">
        <f aca="false">P344*(P334&lt;=0)+P339*($H369+$G$59+$G$60)</f>
        <v>0</v>
      </c>
      <c r="Q370" s="31" t="n">
        <f aca="false">Q344*(Q334&lt;=0)+Q339*($H369+$G$59+$G$60)</f>
        <v>0</v>
      </c>
      <c r="R370" s="31" t="n">
        <f aca="false">R344*(R334&lt;=0)+R339*($H369+$G$59+$G$60)</f>
        <v>0</v>
      </c>
      <c r="S370" s="31" t="n">
        <f aca="false">S344*(S334&lt;=0)+S339*($H369+$G$59+$G$60)</f>
        <v>0</v>
      </c>
      <c r="T370" s="31" t="n">
        <f aca="false">T344*(T334&lt;=0)+T339*($H369+$G$59+$G$60)</f>
        <v>0</v>
      </c>
      <c r="U370" s="31" t="n">
        <f aca="false">U344*(U334&lt;=0)+U339*($H369+$G$59+$G$60)</f>
        <v>0</v>
      </c>
      <c r="V370" s="31" t="n">
        <f aca="false">V344*(V334&lt;=0)+V339*($H369+$G$59+$G$60)</f>
        <v>0</v>
      </c>
      <c r="W370" s="31" t="n">
        <f aca="false">W344*(W334&lt;=0)+W339*($H369+$G$59+$G$60)</f>
        <v>0</v>
      </c>
      <c r="X370" s="31" t="n">
        <f aca="false">X344*(X334&lt;=0)+X339*($H369+$G$59+$G$60)</f>
        <v>0</v>
      </c>
      <c r="Y370" s="31" t="n">
        <f aca="false">Y344*(Y334&lt;=0)+Y339*($H369+$G$59+$G$60)</f>
        <v>0</v>
      </c>
      <c r="Z370" s="31" t="n">
        <f aca="false">Z344*(Z334&lt;=0)+Z339*($H369+$G$59+$G$60)</f>
        <v>0</v>
      </c>
      <c r="AA370" s="31" t="n">
        <f aca="false">AA344*(AA334&lt;=0)+AA339*($H369+$G$59+$G$60)</f>
        <v>0</v>
      </c>
      <c r="AB370" s="31" t="n">
        <f aca="false">AB344*(AB334&lt;=0)+AB339*($H369+$G$59+$G$60)</f>
        <v>0</v>
      </c>
      <c r="AC370" s="31" t="n">
        <f aca="false">AC344*(AC334&lt;=0)+AC339*($H369+$G$59+$G$60)</f>
        <v>0</v>
      </c>
      <c r="AD370" s="31" t="n">
        <f aca="false">AD344*(AD334&lt;=0)+AD339*($H369+$G$59+$G$60)</f>
        <v>0</v>
      </c>
      <c r="AE370" s="31" t="n">
        <f aca="false">AE344*(AE334&lt;=0)+AE339*($H369+$G$59+$G$60)</f>
        <v>0</v>
      </c>
      <c r="AF370" s="31" t="n">
        <f aca="false">AF344*(AF334&lt;=0)+AF339*($H369+$G$59+$G$60)</f>
        <v>0</v>
      </c>
      <c r="AG370" s="31" t="n">
        <f aca="false">AG344*(AG334&lt;=0)+AG339*($H369+$G$59+$G$60)</f>
        <v>0</v>
      </c>
      <c r="AH370" s="31" t="n">
        <f aca="false">AH344*(AH334&lt;=0)+AH339*($H369+$G$59+$G$60)</f>
        <v>0</v>
      </c>
      <c r="AI370" s="31" t="n">
        <f aca="false">AI344*(AI334&lt;=0)+AI339*($H369+$G$59+$G$60)</f>
        <v>0</v>
      </c>
      <c r="AJ370" s="31" t="n">
        <f aca="false">AJ344*(AJ334&lt;=0)+AJ339*($H369+$G$59+$G$60)</f>
        <v>0</v>
      </c>
      <c r="AK370" s="31" t="n">
        <f aca="false">AK344*(AK334&lt;=0)+AK339*($H369+$G$59+$G$60)</f>
        <v>0</v>
      </c>
      <c r="AL370" s="31" t="n">
        <f aca="false">AL344*(AL334&lt;=0)+AL339*($H369+$G$59+$G$60)</f>
        <v>0</v>
      </c>
      <c r="AM370" s="31" t="n">
        <f aca="false">AM344*(AM334&lt;=0)+AM339*($H369+$G$59+$G$60)</f>
        <v>0</v>
      </c>
      <c r="AN370" s="31" t="n">
        <f aca="false">AN344*(AN334&lt;=0)+AN339*($H369+$G$59+$G$60)</f>
        <v>0</v>
      </c>
      <c r="AO370" s="31" t="n">
        <f aca="false">AO344*(AO334&lt;=0)+AO339*($H369+$G$59+$G$60)</f>
        <v>0</v>
      </c>
      <c r="AP370" s="31" t="n">
        <f aca="false">AP344*(AP334&lt;=0)+AP339*($H369+$G$59+$G$60)</f>
        <v>0</v>
      </c>
      <c r="AQ370" s="31" t="n">
        <f aca="false">AQ344*(AQ334&lt;=0)+AQ339*($H369+$G$59+$G$60)</f>
        <v>0</v>
      </c>
      <c r="AR370" s="31" t="n">
        <f aca="false">AR344*(AR334&lt;=0)+AR339*($H369+$G$59+$G$60)</f>
        <v>0</v>
      </c>
      <c r="AS370" s="31" t="n">
        <f aca="false">AS344*(AS334&lt;=0)+AS339*($H369+$G$59+$G$60)</f>
        <v>0</v>
      </c>
    </row>
    <row r="371" customFormat="false" ht="14.25" hidden="true" customHeight="false" outlineLevel="1" collapsed="false"/>
    <row r="372" customFormat="false" ht="14.25" hidden="true" customHeight="false" outlineLevel="1" collapsed="false">
      <c r="B372" s="4" t="s">
        <v>3</v>
      </c>
      <c r="C372" s="4" t="s">
        <v>253</v>
      </c>
      <c r="D372" s="4"/>
      <c r="E372" s="5" t="s">
        <v>5</v>
      </c>
      <c r="F372" s="5" t="s">
        <v>6</v>
      </c>
      <c r="G372" s="5" t="s">
        <v>7</v>
      </c>
      <c r="H372" s="5" t="s">
        <v>8</v>
      </c>
    </row>
    <row r="373" customFormat="false" ht="14.25" hidden="true" customHeight="false" outlineLevel="1" collapsed="false">
      <c r="C373" s="6" t="s">
        <v>199</v>
      </c>
      <c r="D373" s="2" t="s">
        <v>82</v>
      </c>
      <c r="E373" s="8" t="n">
        <f aca="false">-MAX(0,$H$292)*CIT_Rate</f>
        <v>-5433.54995051369</v>
      </c>
      <c r="F373" s="8" t="n">
        <f aca="false">-MAX(0,$H$331)*CIT_Rate</f>
        <v>-5597.77452741567</v>
      </c>
      <c r="G373" s="8" t="n">
        <f aca="false">-MAX(0,$H$370)*CIT_Rate</f>
        <v>-5597.77452741567</v>
      </c>
      <c r="H373" s="8" t="n">
        <f aca="false">SUM(E373:G373)</f>
        <v>-16629.099005345</v>
      </c>
    </row>
    <row r="374" customFormat="false" ht="14.25" hidden="true" customHeight="false" outlineLevel="1" collapsed="false">
      <c r="C374" s="1" t="s">
        <v>128</v>
      </c>
      <c r="D374" s="2" t="s">
        <v>82</v>
      </c>
      <c r="E374" s="14" t="n">
        <f aca="false">$H$292+E373</f>
        <v>30790.1163862442</v>
      </c>
      <c r="F374" s="14" t="n">
        <f aca="false">$H$331+F373</f>
        <v>31720.7223220221</v>
      </c>
      <c r="G374" s="14" t="n">
        <f aca="false">$H$370+G373</f>
        <v>31720.7223220221</v>
      </c>
      <c r="H374" s="14" t="n">
        <f aca="false">SUM(E374:G374)</f>
        <v>94231.5610302885</v>
      </c>
    </row>
    <row r="375" customFormat="false" ht="14.25" hidden="true" customHeight="false" outlineLevel="1" collapsed="false"/>
    <row r="376" customFormat="false" ht="14.25" hidden="true" customHeight="false" outlineLevel="1" collapsed="false">
      <c r="B376" s="4" t="s">
        <v>3</v>
      </c>
      <c r="C376" s="4" t="s">
        <v>254</v>
      </c>
      <c r="D376" s="4"/>
      <c r="E376" s="5" t="s">
        <v>5</v>
      </c>
      <c r="F376" s="5" t="s">
        <v>6</v>
      </c>
      <c r="G376" s="5" t="s">
        <v>7</v>
      </c>
      <c r="H376" s="5" t="s">
        <v>8</v>
      </c>
    </row>
    <row r="377" customFormat="false" ht="14.25" hidden="true" customHeight="false" outlineLevel="1" collapsed="false">
      <c r="C377" s="6" t="s">
        <v>255</v>
      </c>
      <c r="D377" s="2" t="s">
        <v>2</v>
      </c>
      <c r="E377" s="55" t="n">
        <f aca="false">N(ABS(E196+E197+E201-E204-E215)&gt;Tolerance)</f>
        <v>0</v>
      </c>
      <c r="F377" s="55" t="n">
        <f aca="false">N(ABS(F196+F197+F201-F204-F215)&gt;Tolerance)</f>
        <v>0</v>
      </c>
      <c r="G377" s="55" t="n">
        <f aca="false">N(ABS(G196+G197+G201-G204-G215)&gt;Tolerance)</f>
        <v>0</v>
      </c>
      <c r="H377" s="55" t="n">
        <f aca="false">SUM(E377:G377)</f>
        <v>0</v>
      </c>
    </row>
    <row r="378" customFormat="false" ht="14.25" hidden="true" customHeight="false" outlineLevel="1" collapsed="false">
      <c r="C378" s="6" t="s">
        <v>256</v>
      </c>
      <c r="D378" s="2" t="s">
        <v>2</v>
      </c>
      <c r="E378" s="55" t="n">
        <f aca="false">SUMPRODUCT(--(YEAR(J208:J214)&gt;=YEAR(E170)))</f>
        <v>0</v>
      </c>
      <c r="F378" s="55" t="n">
        <f aca="false">SUMPRODUCT(--(YEAR(K208:K214)&gt;=YEAR(F170)))</f>
        <v>0</v>
      </c>
      <c r="G378" s="55" t="n">
        <f aca="false">SUMPRODUCT(--(YEAR(L208:L214)&gt;=YEAR(G170)))</f>
        <v>0</v>
      </c>
      <c r="H378" s="55" t="n">
        <f aca="false">SUM(E378:G378)</f>
        <v>0</v>
      </c>
    </row>
    <row r="379" customFormat="false" ht="14.25" hidden="true" customHeight="false" outlineLevel="1" collapsed="false">
      <c r="C379" s="6" t="s">
        <v>257</v>
      </c>
      <c r="D379" s="2" t="s">
        <v>2</v>
      </c>
      <c r="E379" s="55" t="n">
        <f aca="false">N(AND(E17&lt;&gt;"EU",E17&lt;&gt;"CN"))</f>
        <v>0</v>
      </c>
      <c r="F379" s="55" t="n">
        <f aca="false">N(AND(F17&lt;&gt;"EU",F17&lt;&gt;"CN"))</f>
        <v>0</v>
      </c>
      <c r="G379" s="55" t="n">
        <f aca="false">N(AND(G17&lt;&gt;"EU",G17&lt;&gt;"CN"))</f>
        <v>0</v>
      </c>
      <c r="H379" s="55" t="n">
        <f aca="false">SUM(E379:G379)</f>
        <v>0</v>
      </c>
    </row>
    <row r="380" customFormat="false" ht="14.25" hidden="true" customHeight="false" outlineLevel="1" collapsed="false">
      <c r="C380" s="6" t="s">
        <v>258</v>
      </c>
      <c r="D380" s="2" t="s">
        <v>2</v>
      </c>
      <c r="E380" s="55" t="n">
        <f aca="false">N(ABS(E102-E64)&gt;Tolerance)</f>
        <v>0</v>
      </c>
      <c r="F380" s="55" t="n">
        <f aca="false">N(ABS(F102-F64)&gt;Tolerance)</f>
        <v>0</v>
      </c>
      <c r="G380" s="55" t="n">
        <f aca="false">N(ABS(G102-G64)&gt;Tolerance)</f>
        <v>0</v>
      </c>
      <c r="H380" s="55" t="n">
        <f aca="false">SUM(E380:G380)</f>
        <v>0</v>
      </c>
    </row>
    <row r="381" customFormat="false" ht="14.25" hidden="true" customHeight="false" outlineLevel="1" collapsed="false">
      <c r="C381" s="6" t="s">
        <v>259</v>
      </c>
      <c r="D381" s="2" t="s">
        <v>2</v>
      </c>
      <c r="E381" s="55" t="n">
        <f aca="false">N(ABS(E87+$H$264)&gt;Tolerance)</f>
        <v>0</v>
      </c>
      <c r="F381" s="55" t="n">
        <f aca="false">N(ABS(F87+$H$303)&gt;Tolerance)</f>
        <v>0</v>
      </c>
      <c r="G381" s="55" t="n">
        <f aca="false">N(ABS(G87+$H$342)&gt;Tolerance)</f>
        <v>0</v>
      </c>
      <c r="H381" s="55" t="n">
        <f aca="false">SUM(E381:G381)</f>
        <v>0</v>
      </c>
    </row>
    <row r="382" customFormat="false" ht="14.25" hidden="true" customHeight="false" outlineLevel="1" collapsed="false">
      <c r="C382" s="6" t="s">
        <v>260</v>
      </c>
      <c r="D382" s="2" t="s">
        <v>2</v>
      </c>
      <c r="E382" s="55" t="n">
        <f aca="false">N(ABS(E91+$H$266)&gt;Tolerance)</f>
        <v>0</v>
      </c>
      <c r="F382" s="55" t="n">
        <f aca="false">N(ABS(F91+$H$305)&gt;Tolerance)</f>
        <v>0</v>
      </c>
      <c r="G382" s="55" t="n">
        <f aca="false">N(ABS(G91+$H$344)&gt;Tolerance)</f>
        <v>0</v>
      </c>
      <c r="H382" s="55" t="n">
        <f aca="false">SUM(E382:G382)</f>
        <v>0</v>
      </c>
    </row>
    <row r="383" customFormat="false" ht="14.25" hidden="true" customHeight="false" outlineLevel="1" collapsed="false">
      <c r="C383" s="6" t="s">
        <v>261</v>
      </c>
      <c r="D383" s="2" t="s">
        <v>2</v>
      </c>
      <c r="E383" s="55" t="n">
        <f aca="false">N(ABS($H$260-Life)&gt;Tolerance)</f>
        <v>0</v>
      </c>
      <c r="F383" s="55" t="n">
        <f aca="false">N(ABS($H$299-Life)&gt;Tolerance)</f>
        <v>0</v>
      </c>
      <c r="G383" s="55" t="n">
        <f aca="false">N(ABS($H$338-Life)&gt;Tolerance)</f>
        <v>0</v>
      </c>
      <c r="H383" s="55" t="n">
        <f aca="false">SUM(E383:G383)</f>
        <v>0</v>
      </c>
    </row>
    <row r="384" customFormat="false" ht="14.25" hidden="false" customHeight="false" outlineLevel="1" collapsed="false">
      <c r="C384" s="6" t="s">
        <v>262</v>
      </c>
      <c r="D384" s="2" t="s">
        <v>2</v>
      </c>
      <c r="E384" s="55" t="n">
        <f aca="false">N(ABS($AS$287)&gt;Tolerance)</f>
        <v>0</v>
      </c>
      <c r="F384" s="55" t="n">
        <f aca="false">N(ABS($AS$326)&gt;Tolerance)</f>
        <v>0</v>
      </c>
      <c r="G384" s="55" t="n">
        <f aca="false">N(ABS($AS$365)&gt;Tolerance)</f>
        <v>0</v>
      </c>
      <c r="H384" s="55" t="n">
        <f aca="false">SUM(E384:G384)</f>
        <v>0</v>
      </c>
    </row>
    <row r="385" customFormat="false" ht="14.25" hidden="false" customHeight="false" outlineLevel="1" collapsed="false">
      <c r="C385" s="6" t="s">
        <v>263</v>
      </c>
      <c r="D385" s="2" t="s">
        <v>2</v>
      </c>
      <c r="E385" s="55" t="n">
        <f aca="false">N(ABS(E227+E228+E232-E235-E243)&gt;Tolerance)</f>
        <v>0</v>
      </c>
      <c r="F385" s="55" t="n">
        <f aca="false">N(ABS(F227+F228+F232-F235-F243)&gt;Tolerance)</f>
        <v>0</v>
      </c>
      <c r="G385" s="55" t="n">
        <f aca="false">N(ABS(G227+G228+G232-G235-G243)&gt;Tolerance)</f>
        <v>0</v>
      </c>
      <c r="H385" s="55" t="n">
        <f aca="false">SUM(E385:G385)</f>
        <v>0</v>
      </c>
    </row>
    <row r="386" customFormat="false" ht="14.25" hidden="true" customHeight="false" outlineLevel="1" collapsed="false">
      <c r="C386" s="1" t="s">
        <v>264</v>
      </c>
      <c r="D386" s="2" t="s">
        <v>2</v>
      </c>
      <c r="H386" s="58" t="n">
        <f aca="false">SUM(H377:H385)</f>
        <v>0</v>
      </c>
    </row>
    <row r="387" customFormat="false" ht="14.25" hidden="true" customHeight="false" outlineLevel="1" collapsed="false"/>
    <row r="388" customFormat="false" ht="14.25" hidden="true" customHeight="false" outlineLevel="1" collapsed="false">
      <c r="C388" s="59" t="s">
        <v>265</v>
      </c>
    </row>
  </sheetData>
  <conditionalFormatting sqref="H3">
    <cfRule type="cellIs" priority="2" operator="equal" aboveAverage="0" equalAverage="0" bottom="0" percent="0" rank="0" text="" dxfId="0">
      <formula>0</formula>
    </cfRule>
    <cfRule type="cellIs" priority="3" operator="notEqual" aboveAverage="0" equalAverage="0" bottom="0" percent="0" rank="0" text="" dxfId="1">
      <formula>0</formula>
    </cfRule>
  </conditionalFormatting>
  <conditionalFormatting sqref="H386">
    <cfRule type="cellIs" priority="4" operator="notEqual" aboveAverage="0" equalAverage="0" bottom="0" percent="0" rank="0" text="" dxfId="2">
      <formula>0</formula>
    </cfRule>
  </conditionalFormatting>
  <dataValidations count="1">
    <dataValidation allowBlank="false" errorStyle="stop" operator="between" showDropDown="false" showErrorMessage="false" showInputMessage="false" sqref="H23" type="list">
      <formula1>"Base,Low,High"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G37" activeCellId="0" sqref="G37"/>
    </sheetView>
  </sheetViews>
  <sheetFormatPr defaultColWidth="8.6796875" defaultRowHeight="14.25" zeroHeight="false" outlineLevelRow="1" outlineLevelCol="0"/>
  <cols>
    <col collapsed="false" customWidth="true" hidden="false" outlineLevel="0" max="2" min="1" style="0" width="2"/>
    <col collapsed="false" customWidth="true" hidden="false" outlineLevel="0" max="3" min="3" style="0" width="54"/>
    <col collapsed="false" customWidth="true" hidden="false" outlineLevel="0" max="4" min="4" style="0" width="11"/>
    <col collapsed="false" customWidth="true" hidden="false" outlineLevel="0" max="7" min="5" style="0" width="13"/>
    <col collapsed="false" customWidth="true" hidden="false" outlineLevel="0" max="8" min="8" style="0" width="50"/>
  </cols>
  <sheetData>
    <row r="2" customFormat="false" ht="14.25" hidden="false" customHeight="false" outlineLevel="0" collapsed="false">
      <c r="C2" s="1" t="s">
        <v>266</v>
      </c>
    </row>
    <row r="4" customFormat="false" ht="14.25" hidden="false" customHeight="false" outlineLevel="0" collapsed="false">
      <c r="B4" s="4" t="s">
        <v>3</v>
      </c>
      <c r="C4" s="4" t="s">
        <v>267</v>
      </c>
      <c r="D4" s="4"/>
      <c r="E4" s="5" t="s">
        <v>5</v>
      </c>
      <c r="F4" s="5" t="s">
        <v>6</v>
      </c>
      <c r="G4" s="5" t="s">
        <v>7</v>
      </c>
      <c r="H4" s="4" t="s">
        <v>268</v>
      </c>
    </row>
    <row r="5" customFormat="false" ht="14.25" hidden="false" customHeight="false" outlineLevel="0" collapsed="false">
      <c r="C5" s="41" t="s">
        <v>269</v>
      </c>
      <c r="D5" s="41"/>
      <c r="E5" s="42"/>
      <c r="F5" s="42"/>
      <c r="G5" s="42"/>
      <c r="H5" s="42"/>
    </row>
    <row r="6" customFormat="false" ht="14.25" hidden="false" customHeight="false" outlineLevel="0" collapsed="false">
      <c r="C6" s="6" t="s">
        <v>270</v>
      </c>
      <c r="D6" s="2" t="s">
        <v>271</v>
      </c>
      <c r="E6" s="7" t="n">
        <v>365</v>
      </c>
      <c r="H6" s="2" t="s">
        <v>272</v>
      </c>
    </row>
    <row r="7" customFormat="false" ht="14.25" hidden="false" customHeight="false" outlineLevel="0" collapsed="false">
      <c r="C7" s="6" t="s">
        <v>273</v>
      </c>
      <c r="D7" s="2" t="s">
        <v>274</v>
      </c>
      <c r="E7" s="7" t="n">
        <v>406000000</v>
      </c>
      <c r="H7" s="2" t="s">
        <v>275</v>
      </c>
    </row>
    <row r="8" customFormat="false" ht="14.25" hidden="false" customHeight="false" outlineLevel="0" collapsed="false">
      <c r="C8" s="6" t="s">
        <v>276</v>
      </c>
      <c r="D8" s="2" t="s">
        <v>277</v>
      </c>
      <c r="E8" s="7" t="n">
        <v>200000000</v>
      </c>
      <c r="H8" s="2" t="s">
        <v>278</v>
      </c>
    </row>
    <row r="9" customFormat="false" ht="14.25" hidden="false" customHeight="false" outlineLevel="0" collapsed="false">
      <c r="C9" s="6" t="s">
        <v>279</v>
      </c>
      <c r="D9" s="2" t="s">
        <v>12</v>
      </c>
      <c r="E9" s="9" t="n">
        <v>0.005</v>
      </c>
      <c r="H9" s="2" t="s">
        <v>280</v>
      </c>
    </row>
    <row r="10" customFormat="false" ht="14.25" hidden="false" customHeight="false" outlineLevel="0" collapsed="false">
      <c r="C10" s="6" t="s">
        <v>281</v>
      </c>
      <c r="D10" s="2" t="s">
        <v>12</v>
      </c>
      <c r="E10" s="9" t="n">
        <v>0.025</v>
      </c>
      <c r="H10" s="2" t="s">
        <v>282</v>
      </c>
    </row>
    <row r="11" customFormat="false" ht="14.25" hidden="false" customHeight="false" outlineLevel="0" collapsed="false">
      <c r="C11" s="6" t="s">
        <v>283</v>
      </c>
      <c r="D11" s="2" t="s">
        <v>72</v>
      </c>
      <c r="E11" s="7" t="n">
        <v>3000000</v>
      </c>
      <c r="H11" s="2" t="s">
        <v>284</v>
      </c>
    </row>
    <row r="12" customFormat="false" ht="14.25" hidden="false" customHeight="false" outlineLevel="0" collapsed="false">
      <c r="C12" s="6" t="s">
        <v>75</v>
      </c>
      <c r="D12" s="2" t="s">
        <v>285</v>
      </c>
      <c r="E12" s="7" t="n">
        <v>4500000</v>
      </c>
      <c r="H12" s="2" t="s">
        <v>286</v>
      </c>
    </row>
    <row r="13" customFormat="false" ht="14.25" hidden="false" customHeight="false" outlineLevel="0" collapsed="false">
      <c r="C13" s="41" t="s">
        <v>287</v>
      </c>
      <c r="D13" s="41"/>
      <c r="E13" s="42"/>
      <c r="F13" s="42"/>
      <c r="G13" s="42"/>
      <c r="H13" s="42"/>
    </row>
    <row r="14" customFormat="false" ht="14.25" hidden="false" customHeight="false" outlineLevel="0" collapsed="false">
      <c r="C14" s="6" t="s">
        <v>288</v>
      </c>
      <c r="D14" s="2" t="s">
        <v>285</v>
      </c>
      <c r="E14" s="7" t="n">
        <v>73071306</v>
      </c>
      <c r="F14" s="7" t="n">
        <v>19826680</v>
      </c>
      <c r="G14" s="7" t="n">
        <v>19826680</v>
      </c>
      <c r="H14" s="2" t="s">
        <v>289</v>
      </c>
    </row>
    <row r="15" customFormat="false" ht="14.25" hidden="false" customHeight="false" outlineLevel="0" collapsed="false">
      <c r="C15" s="6" t="s">
        <v>290</v>
      </c>
      <c r="D15" s="2" t="s">
        <v>72</v>
      </c>
      <c r="E15" s="7" t="n">
        <v>508345804</v>
      </c>
      <c r="F15" s="7" t="n">
        <v>460000000</v>
      </c>
      <c r="G15" s="7" t="n">
        <v>460000000</v>
      </c>
      <c r="H15" s="2" t="s">
        <v>291</v>
      </c>
    </row>
    <row r="16" customFormat="false" ht="14.25" hidden="false" customHeight="false" outlineLevel="0" collapsed="false">
      <c r="C16" s="6" t="s">
        <v>292</v>
      </c>
      <c r="D16" s="2" t="s">
        <v>293</v>
      </c>
      <c r="E16" s="11" t="n">
        <v>2</v>
      </c>
      <c r="F16" s="11" t="n">
        <v>1</v>
      </c>
      <c r="G16" s="11" t="n">
        <v>1</v>
      </c>
      <c r="H16" s="2" t="s">
        <v>294</v>
      </c>
    </row>
    <row r="17" customFormat="false" ht="14.25" hidden="false" customHeight="false" outlineLevel="0" collapsed="false">
      <c r="C17" s="6" t="s">
        <v>79</v>
      </c>
      <c r="D17" s="2" t="s">
        <v>82</v>
      </c>
      <c r="E17" s="7" t="n">
        <v>100</v>
      </c>
      <c r="F17" s="7" t="n">
        <v>150</v>
      </c>
      <c r="G17" s="7" t="n">
        <v>150</v>
      </c>
      <c r="H17" s="2" t="s">
        <v>295</v>
      </c>
    </row>
    <row r="18" customFormat="false" ht="14.25" hidden="false" customHeight="false" outlineLevel="0" collapsed="false">
      <c r="C18" s="6" t="s">
        <v>296</v>
      </c>
      <c r="D18" s="2" t="s">
        <v>82</v>
      </c>
      <c r="E18" s="10" t="n">
        <v>40.47</v>
      </c>
      <c r="F18" s="60" t="n">
        <f aca="false">$E18/SUM($E$18:$E$23)*F$24</f>
        <v>51.5889708975487</v>
      </c>
      <c r="G18" s="60" t="n">
        <f aca="false">$E18/SUM($E$18:$E$23)*G$24</f>
        <v>51.5889708975487</v>
      </c>
      <c r="H18" s="2" t="s">
        <v>297</v>
      </c>
    </row>
    <row r="19" customFormat="false" ht="14.25" hidden="false" customHeight="false" outlineLevel="0" collapsed="false">
      <c r="C19" s="6" t="s">
        <v>298</v>
      </c>
      <c r="D19" s="2" t="s">
        <v>82</v>
      </c>
      <c r="E19" s="10" t="n">
        <v>150.66</v>
      </c>
      <c r="F19" s="60" t="n">
        <f aca="false">$E19/SUM($E$18:$E$23)*F$24</f>
        <v>192.053233393246</v>
      </c>
      <c r="G19" s="60" t="n">
        <f aca="false">$E19/SUM($E$18:$E$23)*G$24</f>
        <v>192.053233393246</v>
      </c>
      <c r="H19" s="2" t="s">
        <v>297</v>
      </c>
    </row>
    <row r="20" customFormat="false" ht="14.25" hidden="false" customHeight="false" outlineLevel="0" collapsed="false">
      <c r="C20" s="6" t="s">
        <v>299</v>
      </c>
      <c r="D20" s="2" t="s">
        <v>82</v>
      </c>
      <c r="E20" s="10" t="n">
        <v>333.93</v>
      </c>
      <c r="F20" s="60" t="n">
        <f aca="false">$E20/SUM($E$18:$E$23)*F$24</f>
        <v>425.675934070137</v>
      </c>
      <c r="G20" s="60" t="n">
        <f aca="false">$E20/SUM($E$18:$E$23)*G$24</f>
        <v>425.675934070137</v>
      </c>
      <c r="H20" s="2" t="s">
        <v>297</v>
      </c>
    </row>
    <row r="21" customFormat="false" ht="14.25" hidden="false" customHeight="false" outlineLevel="0" collapsed="false">
      <c r="C21" s="6" t="s">
        <v>300</v>
      </c>
      <c r="D21" s="2" t="s">
        <v>82</v>
      </c>
      <c r="E21" s="10" t="n">
        <v>151.36</v>
      </c>
      <c r="F21" s="60" t="n">
        <f aca="false">$E21/SUM($E$18:$E$23)*F$24</f>
        <v>192.945555598047</v>
      </c>
      <c r="G21" s="60" t="n">
        <f aca="false">$E21/SUM($E$18:$E$23)*G$24</f>
        <v>192.945555598047</v>
      </c>
      <c r="H21" s="2" t="s">
        <v>297</v>
      </c>
    </row>
    <row r="22" customFormat="false" ht="14.25" hidden="false" customHeight="false" outlineLevel="0" collapsed="false">
      <c r="C22" s="6" t="s">
        <v>301</v>
      </c>
      <c r="D22" s="2" t="s">
        <v>82</v>
      </c>
      <c r="E22" s="10" t="n">
        <v>37.5</v>
      </c>
      <c r="F22" s="60" t="n">
        <f aca="false">$E22/SUM($E$18:$E$23)*F$24</f>
        <v>47.80297525718</v>
      </c>
      <c r="G22" s="60" t="n">
        <f aca="false">$E22/SUM($E$18:$E$23)*G$24</f>
        <v>47.80297525718</v>
      </c>
      <c r="H22" s="2" t="s">
        <v>297</v>
      </c>
    </row>
    <row r="23" customFormat="false" ht="14.25" hidden="false" customHeight="false" outlineLevel="0" collapsed="false">
      <c r="C23" s="6" t="s">
        <v>302</v>
      </c>
      <c r="D23" s="2" t="s">
        <v>82</v>
      </c>
      <c r="E23" s="10" t="n">
        <v>70.55</v>
      </c>
      <c r="F23" s="61" t="n">
        <f aca="false">$E23/SUM($E$18:$E$23)*F$24</f>
        <v>89.9333307838413</v>
      </c>
      <c r="G23" s="61" t="n">
        <f aca="false">$E23/SUM($E$18:$E$23)*G$24</f>
        <v>89.9333307838413</v>
      </c>
      <c r="H23" s="2" t="s">
        <v>297</v>
      </c>
    </row>
    <row r="24" customFormat="false" ht="14.25" hidden="false" customHeight="false" outlineLevel="0" collapsed="false">
      <c r="C24" s="6" t="s">
        <v>303</v>
      </c>
      <c r="D24" s="2" t="s">
        <v>82</v>
      </c>
      <c r="E24" s="10"/>
      <c r="F24" s="10" t="n">
        <v>1000</v>
      </c>
      <c r="G24" s="10" t="n">
        <v>1000</v>
      </c>
      <c r="H24" s="2" t="s">
        <v>304</v>
      </c>
    </row>
    <row r="25" customFormat="false" ht="14.25" hidden="false" customHeight="false" outlineLevel="0" collapsed="false">
      <c r="C25" s="6" t="s">
        <v>305</v>
      </c>
      <c r="D25" s="2" t="s">
        <v>2</v>
      </c>
      <c r="E25" s="11" t="n">
        <v>0</v>
      </c>
      <c r="F25" s="11" t="n">
        <v>0</v>
      </c>
      <c r="G25" s="11" t="n">
        <v>0</v>
      </c>
      <c r="H25" s="2" t="s">
        <v>306</v>
      </c>
    </row>
    <row r="26" customFormat="false" ht="14.25" hidden="false" customHeight="false" outlineLevel="0" collapsed="false">
      <c r="C26" s="6" t="s">
        <v>307</v>
      </c>
      <c r="D26" s="2" t="s">
        <v>158</v>
      </c>
      <c r="E26" s="62" t="n">
        <v>46234</v>
      </c>
      <c r="F26" s="62" t="n">
        <v>46234</v>
      </c>
      <c r="G26" s="62" t="n">
        <v>46234</v>
      </c>
      <c r="H26" s="2" t="s">
        <v>308</v>
      </c>
    </row>
    <row r="27" customFormat="false" ht="14.25" hidden="false" customHeight="false" outlineLevel="0" collapsed="false">
      <c r="C27" s="6" t="s">
        <v>309</v>
      </c>
      <c r="D27" s="2" t="s">
        <v>158</v>
      </c>
      <c r="E27" s="62" t="n">
        <v>46325</v>
      </c>
      <c r="F27" s="62" t="n">
        <v>46325</v>
      </c>
      <c r="G27" s="62" t="n">
        <v>46325</v>
      </c>
      <c r="H27" s="2" t="s">
        <v>310</v>
      </c>
    </row>
    <row r="28" customFormat="false" ht="14.25" hidden="false" customHeight="false" outlineLevel="0" collapsed="false">
      <c r="C28" s="6" t="s">
        <v>311</v>
      </c>
      <c r="D28" s="2" t="s">
        <v>158</v>
      </c>
      <c r="E28" s="62" t="n">
        <v>46402</v>
      </c>
      <c r="F28" s="62" t="n">
        <v>46402</v>
      </c>
      <c r="G28" s="62" t="n">
        <v>46402</v>
      </c>
      <c r="H28" s="2" t="s">
        <v>312</v>
      </c>
    </row>
    <row r="29" customFormat="false" ht="14.25" hidden="false" customHeight="false" outlineLevel="0" collapsed="false">
      <c r="C29" s="6" t="s">
        <v>313</v>
      </c>
      <c r="D29" s="2" t="s">
        <v>158</v>
      </c>
      <c r="E29" s="62" t="n">
        <v>46402</v>
      </c>
      <c r="F29" s="62" t="n">
        <v>46402</v>
      </c>
      <c r="G29" s="62" t="n">
        <v>46402</v>
      </c>
      <c r="H29" s="2" t="s">
        <v>314</v>
      </c>
    </row>
    <row r="30" customFormat="false" ht="14.25" hidden="false" customHeight="false" outlineLevel="0" collapsed="false">
      <c r="C30" s="6" t="s">
        <v>315</v>
      </c>
      <c r="D30" s="2" t="s">
        <v>158</v>
      </c>
      <c r="E30" s="62" t="n">
        <v>47027</v>
      </c>
      <c r="F30" s="62" t="n">
        <v>47027</v>
      </c>
      <c r="G30" s="62" t="n">
        <v>47027</v>
      </c>
      <c r="H30" s="2" t="s">
        <v>316</v>
      </c>
    </row>
    <row r="31" customFormat="false" ht="14.25" hidden="false" customHeight="false" outlineLevel="0" collapsed="false">
      <c r="C31" s="6" t="s">
        <v>317</v>
      </c>
      <c r="D31" s="2" t="s">
        <v>158</v>
      </c>
      <c r="E31" s="62" t="n">
        <v>46752</v>
      </c>
      <c r="F31" s="62" t="n">
        <v>46752</v>
      </c>
      <c r="G31" s="62" t="n">
        <v>46752</v>
      </c>
      <c r="H31" s="2" t="s">
        <v>318</v>
      </c>
    </row>
    <row r="32" customFormat="false" ht="14.25" hidden="false" customHeight="false" outlineLevel="0" collapsed="false">
      <c r="C32" s="6" t="s">
        <v>319</v>
      </c>
      <c r="D32" s="2" t="s">
        <v>158</v>
      </c>
      <c r="E32" s="62" t="n">
        <v>47299</v>
      </c>
      <c r="F32" s="62" t="n">
        <v>47299</v>
      </c>
      <c r="G32" s="62" t="n">
        <v>47299</v>
      </c>
      <c r="H32" s="2" t="s">
        <v>320</v>
      </c>
    </row>
    <row r="33" customFormat="false" ht="14.25" hidden="false" customHeight="false" outlineLevel="0" collapsed="false">
      <c r="C33" s="6" t="s">
        <v>321</v>
      </c>
      <c r="D33" s="2" t="s">
        <v>158</v>
      </c>
      <c r="E33" s="62" t="n">
        <v>48029</v>
      </c>
      <c r="F33" s="62" t="n">
        <v>48029</v>
      </c>
      <c r="G33" s="62" t="n">
        <v>48029</v>
      </c>
      <c r="H33" s="2" t="s">
        <v>322</v>
      </c>
    </row>
    <row r="34" customFormat="false" ht="14.25" hidden="false" customHeight="false" outlineLevel="0" collapsed="false">
      <c r="C34" s="6" t="s">
        <v>323</v>
      </c>
      <c r="D34" s="2" t="s">
        <v>158</v>
      </c>
      <c r="E34" s="62" t="n">
        <v>48669</v>
      </c>
      <c r="F34" s="62" t="n">
        <v>48669</v>
      </c>
      <c r="G34" s="62" t="n">
        <v>48669</v>
      </c>
      <c r="H34" s="2" t="s">
        <v>324</v>
      </c>
    </row>
    <row r="35" customFormat="false" ht="14.25" hidden="false" customHeight="false" outlineLevel="0" collapsed="false">
      <c r="C35" s="6" t="s">
        <v>325</v>
      </c>
      <c r="D35" s="2" t="s">
        <v>158</v>
      </c>
      <c r="E35" s="62" t="n">
        <v>46325</v>
      </c>
      <c r="F35" s="62" t="n">
        <v>46325</v>
      </c>
      <c r="G35" s="62" t="n">
        <v>46325</v>
      </c>
      <c r="H35" s="2" t="s">
        <v>326</v>
      </c>
    </row>
    <row r="36" customFormat="false" ht="14.25" hidden="false" customHeight="false" outlineLevel="0" collapsed="false">
      <c r="C36" s="41" t="s">
        <v>327</v>
      </c>
      <c r="D36" s="41"/>
      <c r="E36" s="42"/>
      <c r="F36" s="42"/>
      <c r="G36" s="42"/>
      <c r="H36" s="42"/>
    </row>
    <row r="37" customFormat="false" ht="14.25" hidden="false" customHeight="false" outlineLevel="0" collapsed="false">
      <c r="C37" s="6" t="s">
        <v>328</v>
      </c>
      <c r="D37" s="2" t="s">
        <v>12</v>
      </c>
      <c r="E37" s="9" t="n">
        <v>0.12</v>
      </c>
      <c r="H37" s="2" t="s">
        <v>329</v>
      </c>
    </row>
    <row r="38" customFormat="false" ht="14.25" hidden="false" customHeight="false" outlineLevel="0" collapsed="false">
      <c r="C38" s="6" t="s">
        <v>330</v>
      </c>
      <c r="D38" s="2" t="s">
        <v>12</v>
      </c>
      <c r="E38" s="9" t="n">
        <v>0.2</v>
      </c>
      <c r="H38" s="2" t="s">
        <v>331</v>
      </c>
    </row>
    <row r="39" customFormat="false" ht="14.25" hidden="false" customHeight="false" outlineLevel="0" collapsed="false">
      <c r="C39" s="6" t="s">
        <v>332</v>
      </c>
      <c r="D39" s="2" t="s">
        <v>3</v>
      </c>
      <c r="E39" s="12" t="n">
        <v>2</v>
      </c>
      <c r="H39" s="2" t="s">
        <v>333</v>
      </c>
    </row>
    <row r="40" customFormat="false" ht="14.25" hidden="false" customHeight="false" outlineLevel="0" collapsed="false">
      <c r="C40" s="6" t="s">
        <v>334</v>
      </c>
      <c r="D40" s="2" t="s">
        <v>158</v>
      </c>
      <c r="E40" s="62" t="n">
        <v>47299</v>
      </c>
      <c r="H40" s="2" t="s">
        <v>335</v>
      </c>
    </row>
    <row r="41" customFormat="false" ht="14.25" hidden="false" customHeight="false" outlineLevel="0" collapsed="false">
      <c r="C41" s="6" t="s">
        <v>336</v>
      </c>
      <c r="D41" s="2" t="s">
        <v>158</v>
      </c>
      <c r="E41" s="62" t="n">
        <v>47391</v>
      </c>
      <c r="H41" s="2" t="s">
        <v>337</v>
      </c>
    </row>
    <row r="42" customFormat="false" ht="14.25" hidden="false" customHeight="false" outlineLevel="0" collapsed="false">
      <c r="C42" s="6" t="s">
        <v>338</v>
      </c>
      <c r="D42" s="2" t="s">
        <v>82</v>
      </c>
      <c r="E42" s="7" t="n">
        <v>250</v>
      </c>
      <c r="H42" s="2" t="s">
        <v>339</v>
      </c>
    </row>
    <row r="43" customFormat="false" ht="14.25" hidden="false" customHeight="false" outlineLevel="0" collapsed="false">
      <c r="C43" s="6" t="s">
        <v>340</v>
      </c>
      <c r="D43" s="2" t="s">
        <v>49</v>
      </c>
      <c r="E43" s="10" t="n">
        <v>2.5</v>
      </c>
      <c r="H43" s="2" t="s">
        <v>341</v>
      </c>
    </row>
    <row r="44" customFormat="false" ht="14.25" hidden="false" customHeight="false" outlineLevel="0" collapsed="false">
      <c r="C44" s="6" t="s">
        <v>342</v>
      </c>
      <c r="D44" s="2" t="s">
        <v>39</v>
      </c>
      <c r="E44" s="10" t="n">
        <v>10</v>
      </c>
      <c r="H44" s="2" t="s">
        <v>343</v>
      </c>
    </row>
    <row r="45" customFormat="false" ht="14.25" hidden="false" customHeight="false" outlineLevel="0" collapsed="false">
      <c r="C45" s="6" t="s">
        <v>344</v>
      </c>
      <c r="D45" s="2" t="s">
        <v>12</v>
      </c>
      <c r="E45" s="9" t="n">
        <v>0.15</v>
      </c>
      <c r="H45" s="2" t="s">
        <v>345</v>
      </c>
    </row>
    <row r="46" customFormat="false" ht="14.25" hidden="false" customHeight="false" outlineLevel="0" collapsed="false">
      <c r="C46" s="6" t="s">
        <v>346</v>
      </c>
      <c r="D46" s="2" t="s">
        <v>214</v>
      </c>
      <c r="E46" s="11" t="n">
        <v>20</v>
      </c>
      <c r="H46" s="2" t="s">
        <v>347</v>
      </c>
    </row>
    <row r="47" customFormat="false" ht="14.25" hidden="false" customHeight="false" outlineLevel="0" collapsed="false">
      <c r="C47" s="6" t="s">
        <v>348</v>
      </c>
      <c r="D47" s="2" t="s">
        <v>12</v>
      </c>
      <c r="E47" s="9" t="n">
        <v>0.6</v>
      </c>
      <c r="H47" s="2" t="s">
        <v>349</v>
      </c>
    </row>
    <row r="48" customFormat="false" ht="14.25" hidden="false" customHeight="false" outlineLevel="0" collapsed="false">
      <c r="C48" s="6" t="s">
        <v>350</v>
      </c>
      <c r="D48" s="2" t="s">
        <v>12</v>
      </c>
      <c r="E48" s="9" t="n">
        <v>0.05</v>
      </c>
      <c r="H48" s="2" t="s">
        <v>351</v>
      </c>
    </row>
    <row r="49" customFormat="false" ht="14.25" hidden="false" customHeight="false" outlineLevel="0" collapsed="false">
      <c r="C49" s="6" t="s">
        <v>352</v>
      </c>
      <c r="D49" s="2" t="s">
        <v>214</v>
      </c>
      <c r="E49" s="11" t="n">
        <v>15</v>
      </c>
      <c r="H49" s="2" t="s">
        <v>353</v>
      </c>
    </row>
    <row r="50" customFormat="false" ht="14.25" hidden="false" customHeight="false" outlineLevel="0" collapsed="false">
      <c r="C50" s="41" t="s">
        <v>354</v>
      </c>
      <c r="D50" s="41"/>
      <c r="E50" s="42"/>
      <c r="F50" s="42"/>
      <c r="G50" s="42"/>
      <c r="H50" s="42"/>
    </row>
    <row r="51" customFormat="false" ht="14.25" hidden="false" customHeight="false" outlineLevel="0" collapsed="false">
      <c r="C51" s="6" t="s">
        <v>355</v>
      </c>
      <c r="D51" s="2" t="s">
        <v>39</v>
      </c>
      <c r="E51" s="7" t="n">
        <v>80</v>
      </c>
      <c r="H51" s="2" t="s">
        <v>356</v>
      </c>
    </row>
    <row r="52" customFormat="false" ht="14.25" hidden="false" customHeight="false" outlineLevel="0" collapsed="false">
      <c r="C52" s="6" t="s">
        <v>99</v>
      </c>
      <c r="D52" s="2" t="s">
        <v>39</v>
      </c>
      <c r="E52" s="7" t="n">
        <v>90</v>
      </c>
      <c r="H52" s="2" t="s">
        <v>357</v>
      </c>
    </row>
    <row r="53" customFormat="false" ht="14.25" hidden="false" customHeight="false" outlineLevel="0" collapsed="false">
      <c r="C53" s="6" t="s">
        <v>100</v>
      </c>
      <c r="D53" s="2" t="s">
        <v>39</v>
      </c>
      <c r="E53" s="7" t="n">
        <v>70</v>
      </c>
      <c r="H53" s="2" t="s">
        <v>358</v>
      </c>
    </row>
    <row r="54" customFormat="false" ht="14.25" hidden="false" customHeight="false" outlineLevel="0" collapsed="false">
      <c r="C54" s="6" t="s">
        <v>101</v>
      </c>
      <c r="D54" s="2" t="s">
        <v>39</v>
      </c>
      <c r="E54" s="7" t="n">
        <v>60</v>
      </c>
      <c r="H54" s="2" t="s">
        <v>359</v>
      </c>
    </row>
    <row r="55" customFormat="false" ht="14.25" hidden="false" customHeight="false" outlineLevel="0" collapsed="false">
      <c r="C55" s="6" t="s">
        <v>102</v>
      </c>
      <c r="D55" s="2" t="s">
        <v>39</v>
      </c>
      <c r="E55" s="7" t="n">
        <v>40</v>
      </c>
      <c r="H55" s="2" t="s">
        <v>360</v>
      </c>
    </row>
    <row r="56" customFormat="false" ht="14.25" hidden="false" customHeight="false" outlineLevel="0" collapsed="false">
      <c r="C56" s="6" t="s">
        <v>103</v>
      </c>
      <c r="D56" s="2" t="s">
        <v>39</v>
      </c>
      <c r="E56" s="7" t="n">
        <v>15</v>
      </c>
      <c r="H56" s="2" t="s">
        <v>361</v>
      </c>
    </row>
    <row r="57" customFormat="false" ht="14.25" hidden="false" customHeight="false" outlineLevel="0" collapsed="false">
      <c r="C57" s="6" t="s">
        <v>362</v>
      </c>
      <c r="D57" s="2" t="s">
        <v>82</v>
      </c>
      <c r="E57" s="7" t="n">
        <v>12000</v>
      </c>
      <c r="H57" s="2" t="s">
        <v>363</v>
      </c>
    </row>
    <row r="58" customFormat="false" ht="14.25" hidden="false" customHeight="false" outlineLevel="0" collapsed="false">
      <c r="C58" s="6" t="s">
        <v>364</v>
      </c>
      <c r="D58" s="2" t="s">
        <v>10</v>
      </c>
      <c r="E58" s="7" t="n">
        <v>200</v>
      </c>
      <c r="H58" s="2" t="s">
        <v>365</v>
      </c>
    </row>
    <row r="59" customFormat="false" ht="14.25" hidden="false" customHeight="false" outlineLevel="0" collapsed="false">
      <c r="C59" s="6" t="s">
        <v>366</v>
      </c>
      <c r="D59" s="2" t="s">
        <v>12</v>
      </c>
      <c r="E59" s="9" t="n">
        <v>0.05</v>
      </c>
      <c r="H59" s="2" t="s">
        <v>367</v>
      </c>
    </row>
    <row r="60" customFormat="false" ht="14.25" hidden="false" customHeight="false" outlineLevel="0" collapsed="false">
      <c r="C60" s="6" t="s">
        <v>368</v>
      </c>
      <c r="D60" s="2" t="s">
        <v>369</v>
      </c>
      <c r="E60" s="7" t="n">
        <v>100</v>
      </c>
      <c r="H60" s="2" t="s">
        <v>370</v>
      </c>
    </row>
    <row r="61" customFormat="false" ht="14.25" hidden="false" customHeight="false" outlineLevel="0" collapsed="false">
      <c r="C61" s="41" t="s">
        <v>371</v>
      </c>
      <c r="D61" s="41"/>
      <c r="E61" s="42"/>
      <c r="F61" s="42"/>
      <c r="G61" s="42"/>
      <c r="H61" s="42"/>
    </row>
    <row r="62" customFormat="false" ht="14.25" hidden="false" customHeight="false" outlineLevel="0" collapsed="false">
      <c r="C62" s="6" t="s">
        <v>372</v>
      </c>
      <c r="D62" s="2" t="s">
        <v>12</v>
      </c>
      <c r="E62" s="9" t="n">
        <v>0.02</v>
      </c>
      <c r="H62" s="2" t="s">
        <v>373</v>
      </c>
    </row>
    <row r="63" customFormat="false" ht="14.25" hidden="false" customHeight="false" outlineLevel="0" collapsed="false">
      <c r="C63" s="6" t="s">
        <v>374</v>
      </c>
      <c r="D63" s="2" t="s">
        <v>12</v>
      </c>
      <c r="E63" s="9" t="n">
        <v>0.04</v>
      </c>
      <c r="H63" s="2" t="s">
        <v>375</v>
      </c>
    </row>
    <row r="64" customFormat="false" ht="14.25" hidden="false" customHeight="false" outlineLevel="0" collapsed="false">
      <c r="C64" s="6" t="s">
        <v>376</v>
      </c>
      <c r="D64" s="2" t="s">
        <v>377</v>
      </c>
      <c r="E64" s="9" t="n">
        <v>0.003</v>
      </c>
      <c r="H64" s="2" t="s">
        <v>378</v>
      </c>
    </row>
    <row r="65" customFormat="false" ht="14.25" hidden="false" customHeight="false" outlineLevel="0" collapsed="false">
      <c r="C65" s="6" t="s">
        <v>379</v>
      </c>
      <c r="D65" s="2" t="s">
        <v>377</v>
      </c>
      <c r="E65" s="9" t="n">
        <v>0.01</v>
      </c>
      <c r="H65" s="2" t="s">
        <v>380</v>
      </c>
    </row>
    <row r="66" customFormat="false" ht="14.25" hidden="false" customHeight="false" outlineLevel="0" collapsed="false">
      <c r="C66" s="41" t="s">
        <v>381</v>
      </c>
      <c r="D66" s="41"/>
      <c r="E66" s="42"/>
      <c r="F66" s="42"/>
      <c r="G66" s="42"/>
      <c r="H66" s="42"/>
    </row>
    <row r="67" customFormat="false" ht="14.25" hidden="false" customHeight="false" outlineLevel="0" collapsed="false">
      <c r="C67" s="6" t="s">
        <v>382</v>
      </c>
      <c r="D67" s="2" t="s">
        <v>49</v>
      </c>
      <c r="E67" s="10" t="n">
        <v>3</v>
      </c>
      <c r="H67" s="2" t="s">
        <v>383</v>
      </c>
    </row>
    <row r="68" customFormat="false" ht="14.25" hidden="false" customHeight="false" outlineLevel="0" collapsed="false">
      <c r="C68" s="6" t="s">
        <v>384</v>
      </c>
      <c r="D68" s="2" t="s">
        <v>49</v>
      </c>
      <c r="E68" s="10" t="n">
        <v>3</v>
      </c>
      <c r="H68" s="2" t="s">
        <v>385</v>
      </c>
    </row>
    <row r="69" customFormat="false" ht="14.25" hidden="false" customHeight="false" outlineLevel="0" collapsed="false">
      <c r="C69" s="6" t="s">
        <v>386</v>
      </c>
      <c r="D69" s="2" t="s">
        <v>49</v>
      </c>
      <c r="E69" s="10" t="n">
        <v>2.5</v>
      </c>
      <c r="H69" s="2" t="s">
        <v>387</v>
      </c>
    </row>
    <row r="70" customFormat="false" ht="14.25" hidden="false" customHeight="false" outlineLevel="0" collapsed="false">
      <c r="C70" s="6" t="s">
        <v>388</v>
      </c>
      <c r="D70" s="2" t="s">
        <v>49</v>
      </c>
      <c r="E70" s="10" t="n">
        <v>1.5</v>
      </c>
      <c r="H70" s="2" t="s">
        <v>389</v>
      </c>
    </row>
    <row r="71" customFormat="false" ht="14.25" hidden="false" customHeight="false" outlineLevel="0" collapsed="false">
      <c r="C71" s="6" t="s">
        <v>390</v>
      </c>
      <c r="D71" s="2" t="s">
        <v>49</v>
      </c>
      <c r="E71" s="10" t="n">
        <v>3</v>
      </c>
      <c r="H71" s="2" t="s">
        <v>391</v>
      </c>
    </row>
    <row r="72" customFormat="false" ht="14.25" hidden="false" customHeight="false" outlineLevel="0" collapsed="false">
      <c r="C72" s="6" t="s">
        <v>392</v>
      </c>
      <c r="D72" s="2" t="s">
        <v>393</v>
      </c>
      <c r="E72" s="7" t="n">
        <v>150</v>
      </c>
      <c r="H72" s="2" t="s">
        <v>394</v>
      </c>
    </row>
    <row r="73" customFormat="false" ht="14.25" hidden="false" customHeight="false" outlineLevel="0" collapsed="false">
      <c r="C73" s="6" t="s">
        <v>395</v>
      </c>
      <c r="D73" s="2" t="s">
        <v>20</v>
      </c>
      <c r="E73" s="10" t="n">
        <v>4</v>
      </c>
      <c r="H73" s="2" t="s">
        <v>396</v>
      </c>
    </row>
    <row r="74" customFormat="false" ht="14.25" hidden="false" customHeight="false" outlineLevel="0" collapsed="false">
      <c r="C74" s="6" t="s">
        <v>397</v>
      </c>
      <c r="D74" s="2" t="s">
        <v>20</v>
      </c>
      <c r="E74" s="10" t="n">
        <v>1</v>
      </c>
      <c r="H74" s="2" t="s">
        <v>398</v>
      </c>
    </row>
    <row r="75" customFormat="false" ht="14.25" hidden="false" customHeight="false" outlineLevel="0" collapsed="false">
      <c r="C75" s="6" t="s">
        <v>234</v>
      </c>
      <c r="D75" s="2" t="s">
        <v>399</v>
      </c>
      <c r="E75" s="9" t="n">
        <v>0.001</v>
      </c>
      <c r="H75" s="2" t="s">
        <v>400</v>
      </c>
    </row>
    <row r="76" customFormat="false" ht="14.25" hidden="false" customHeight="false" outlineLevel="0" collapsed="false">
      <c r="C76" s="6" t="s">
        <v>237</v>
      </c>
      <c r="D76" s="2" t="s">
        <v>399</v>
      </c>
      <c r="E76" s="9" t="n">
        <v>0.02</v>
      </c>
      <c r="H76" s="2" t="s">
        <v>401</v>
      </c>
    </row>
    <row r="77" customFormat="false" ht="14.25" hidden="false" customHeight="false" outlineLevel="0" collapsed="false">
      <c r="C77" s="6" t="s">
        <v>402</v>
      </c>
      <c r="D77" s="2" t="s">
        <v>12</v>
      </c>
      <c r="E77" s="9" t="n">
        <v>0.05</v>
      </c>
      <c r="H77" s="2" t="s">
        <v>403</v>
      </c>
    </row>
    <row r="78" customFormat="false" ht="14.25" hidden="false" customHeight="false" outlineLevel="0" collapsed="false">
      <c r="C78" s="6" t="s">
        <v>404</v>
      </c>
      <c r="D78" s="2" t="s">
        <v>377</v>
      </c>
      <c r="E78" s="9" t="n">
        <v>0.025</v>
      </c>
      <c r="H78" s="2" t="s">
        <v>405</v>
      </c>
    </row>
    <row r="79" customFormat="false" ht="14.25" hidden="false" customHeight="false" outlineLevel="0" collapsed="false">
      <c r="C79" s="41" t="s">
        <v>406</v>
      </c>
      <c r="D79" s="41"/>
      <c r="E79" s="42"/>
      <c r="F79" s="42"/>
      <c r="G79" s="42"/>
      <c r="H79" s="42"/>
    </row>
    <row r="80" customFormat="false" ht="14.25" hidden="false" customHeight="false" outlineLevel="0" collapsed="false">
      <c r="C80" s="6" t="s">
        <v>407</v>
      </c>
      <c r="D80" s="2" t="s">
        <v>214</v>
      </c>
      <c r="E80" s="11" t="n">
        <v>30</v>
      </c>
      <c r="H80" s="2" t="s">
        <v>408</v>
      </c>
    </row>
    <row r="81" customFormat="false" ht="14.25" hidden="false" customHeight="false" outlineLevel="0" collapsed="false">
      <c r="C81" s="6" t="s">
        <v>409</v>
      </c>
      <c r="D81" s="2" t="s">
        <v>12</v>
      </c>
      <c r="E81" s="9" t="n">
        <v>0.08</v>
      </c>
      <c r="H81" s="2" t="s">
        <v>410</v>
      </c>
    </row>
    <row r="82" customFormat="false" ht="14.25" hidden="false" customHeight="false" outlineLevel="0" collapsed="false">
      <c r="C82" s="6" t="s">
        <v>411</v>
      </c>
      <c r="D82" s="2" t="s">
        <v>148</v>
      </c>
      <c r="E82" s="11" t="n">
        <v>2026</v>
      </c>
      <c r="H82" s="2" t="s">
        <v>412</v>
      </c>
    </row>
    <row r="83" customFormat="false" ht="14.25" hidden="false" customHeight="false" outlineLevel="0" collapsed="false">
      <c r="C83" s="6" t="s">
        <v>413</v>
      </c>
      <c r="D83" s="2" t="s">
        <v>3</v>
      </c>
      <c r="E83" s="7" t="n">
        <v>1000</v>
      </c>
      <c r="H83" s="2" t="s">
        <v>414</v>
      </c>
    </row>
    <row r="84" customFormat="false" ht="14.25" hidden="false" customHeight="false" outlineLevel="0" collapsed="false">
      <c r="C84" s="6" t="s">
        <v>415</v>
      </c>
      <c r="D84" s="2" t="s">
        <v>162</v>
      </c>
      <c r="E84" s="11" t="n">
        <v>365</v>
      </c>
      <c r="H84" s="2" t="s">
        <v>414</v>
      </c>
    </row>
    <row r="85" customFormat="false" ht="14.25" hidden="false" customHeight="false" outlineLevel="0" collapsed="false">
      <c r="C85" s="6" t="s">
        <v>416</v>
      </c>
      <c r="D85" s="2" t="s">
        <v>216</v>
      </c>
      <c r="E85" s="11" t="n">
        <v>12</v>
      </c>
      <c r="H85" s="2" t="s">
        <v>414</v>
      </c>
    </row>
    <row r="86" customFormat="false" ht="14.25" hidden="false" customHeight="false" outlineLevel="0" collapsed="false">
      <c r="C86" s="6" t="s">
        <v>417</v>
      </c>
      <c r="D86" s="2" t="s">
        <v>82</v>
      </c>
      <c r="E86" s="63" t="n">
        <v>0.001</v>
      </c>
      <c r="H86" s="2" t="s">
        <v>414</v>
      </c>
    </row>
    <row r="88" customFormat="false" ht="14.25" hidden="false" customHeight="false" outlineLevel="0" collapsed="false">
      <c r="B88" s="4" t="s">
        <v>3</v>
      </c>
      <c r="C88" s="4" t="s">
        <v>418</v>
      </c>
      <c r="D88" s="4"/>
      <c r="E88" s="5" t="s">
        <v>419</v>
      </c>
      <c r="F88" s="5"/>
      <c r="G88" s="5"/>
      <c r="H88" s="5"/>
    </row>
    <row r="89" customFormat="false" ht="14.25" hidden="true" customHeight="false" outlineLevel="1" collapsed="false">
      <c r="C89" s="6" t="s">
        <v>420</v>
      </c>
      <c r="E89" s="13" t="n">
        <v>10</v>
      </c>
      <c r="F89" s="13" t="n">
        <v>15</v>
      </c>
      <c r="G89" s="13" t="n">
        <v>20</v>
      </c>
      <c r="H89" s="13" t="n">
        <v>25</v>
      </c>
      <c r="I89" s="13" t="n">
        <v>30</v>
      </c>
      <c r="J89" s="13" t="n">
        <v>35</v>
      </c>
      <c r="K89" s="13" t="n">
        <v>40</v>
      </c>
      <c r="L89" s="13" t="n">
        <v>45</v>
      </c>
      <c r="M89" s="13" t="n">
        <v>50</v>
      </c>
    </row>
    <row r="90" customFormat="false" ht="14.25" hidden="true" customHeight="false" outlineLevel="1" collapsed="false">
      <c r="C90" s="6" t="s">
        <v>421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1</v>
      </c>
    </row>
    <row r="91" customFormat="false" ht="14.25" hidden="true" customHeight="false" outlineLevel="1" collapsed="false">
      <c r="C91" s="6" t="s">
        <v>422</v>
      </c>
      <c r="E91" s="13" t="n">
        <v>0</v>
      </c>
      <c r="F91" s="13" t="n">
        <v>10</v>
      </c>
      <c r="G91" s="13" t="n">
        <v>20</v>
      </c>
      <c r="H91" s="13" t="n">
        <v>30</v>
      </c>
      <c r="I91" s="13" t="n">
        <v>40</v>
      </c>
      <c r="J91" s="13" t="n">
        <v>55</v>
      </c>
      <c r="K91" s="13" t="n">
        <v>70</v>
      </c>
      <c r="L91" s="13" t="n">
        <v>80</v>
      </c>
      <c r="M91" s="13" t="n">
        <v>90</v>
      </c>
      <c r="N91" s="13" t="n">
        <v>100</v>
      </c>
    </row>
    <row r="92" customFormat="false" ht="14.25" hidden="true" customHeight="false" outlineLevel="1" collapsed="false">
      <c r="C92" s="6" t="s">
        <v>423</v>
      </c>
      <c r="E92" s="13" t="n">
        <v>2</v>
      </c>
      <c r="F92" s="13" t="n">
        <v>2.1</v>
      </c>
      <c r="G92" s="13" t="n">
        <v>2.2</v>
      </c>
      <c r="H92" s="13" t="n">
        <v>2.3</v>
      </c>
      <c r="I92" s="13" t="n">
        <v>2.4</v>
      </c>
      <c r="J92" s="13" t="n">
        <v>2.5</v>
      </c>
      <c r="K92" s="13" t="n">
        <v>2.6</v>
      </c>
      <c r="L92" s="13" t="n">
        <v>2.7</v>
      </c>
      <c r="M92" s="13" t="n">
        <v>2.8</v>
      </c>
      <c r="N92" s="13" t="n">
        <v>2.9</v>
      </c>
      <c r="O92" s="13" t="n">
        <v>3</v>
      </c>
    </row>
    <row r="93" customFormat="false" ht="14.25" hidden="true" customHeight="false" outlineLevel="1" collapsed="false">
      <c r="C93" s="6" t="s">
        <v>424</v>
      </c>
      <c r="E93" s="13" t="n">
        <v>0</v>
      </c>
      <c r="F93" s="13" t="n">
        <v>0</v>
      </c>
      <c r="G93" s="13" t="n">
        <v>0</v>
      </c>
      <c r="H93" s="13" t="n">
        <v>0</v>
      </c>
      <c r="I93" s="13" t="n">
        <v>0</v>
      </c>
      <c r="J93" s="13" t="n">
        <v>0</v>
      </c>
      <c r="K93" s="13" t="n">
        <v>0</v>
      </c>
      <c r="L93" s="13" t="n">
        <v>0</v>
      </c>
      <c r="M93" s="13" t="n">
        <v>0</v>
      </c>
      <c r="N93" s="13" t="n">
        <v>0</v>
      </c>
      <c r="O93" s="13" t="n">
        <v>1</v>
      </c>
    </row>
    <row r="94" customFormat="false" ht="14.25" hidden="true" customHeight="false" outlineLevel="1" collapsed="false">
      <c r="C94" s="6" t="s">
        <v>425</v>
      </c>
      <c r="E94" s="13" t="n">
        <v>0</v>
      </c>
      <c r="F94" s="13" t="n">
        <v>5</v>
      </c>
      <c r="G94" s="13" t="n">
        <v>10</v>
      </c>
      <c r="H94" s="13" t="n">
        <v>20</v>
      </c>
      <c r="I94" s="13" t="n">
        <v>30</v>
      </c>
      <c r="J94" s="13" t="n">
        <v>40</v>
      </c>
      <c r="K94" s="13" t="n">
        <v>50</v>
      </c>
      <c r="L94" s="13" t="n">
        <v>60</v>
      </c>
      <c r="M94" s="13" t="n">
        <v>70</v>
      </c>
      <c r="N94" s="13" t="n">
        <v>80</v>
      </c>
      <c r="O94" s="13" t="n">
        <v>90</v>
      </c>
      <c r="P94" s="13" t="n">
        <v>100</v>
      </c>
    </row>
    <row r="95" customFormat="false" ht="14.25" hidden="true" customHeight="false" outlineLevel="1" collapsed="false">
      <c r="C95" s="6" t="s">
        <v>426</v>
      </c>
      <c r="E95" s="13" t="n">
        <v>0.02</v>
      </c>
      <c r="F95" s="13" t="n">
        <v>0.05</v>
      </c>
      <c r="G95" s="13" t="n">
        <v>0.1</v>
      </c>
      <c r="H95" s="13" t="n">
        <v>0.15</v>
      </c>
      <c r="I95" s="13" t="n">
        <v>0.2</v>
      </c>
      <c r="J95" s="13" t="n">
        <v>0.25</v>
      </c>
      <c r="K95" s="13" t="n">
        <v>0.3</v>
      </c>
      <c r="L95" s="13" t="n">
        <v>0.35</v>
      </c>
      <c r="M95" s="13" t="n">
        <v>0.4</v>
      </c>
      <c r="N95" s="13" t="n">
        <v>0.5</v>
      </c>
    </row>
    <row r="96" customFormat="false" ht="14.25" hidden="true" customHeight="false" outlineLevel="1" collapsed="false">
      <c r="C96" s="6" t="s">
        <v>427</v>
      </c>
      <c r="E96" s="13" t="n">
        <v>0</v>
      </c>
      <c r="F96" s="13" t="n">
        <v>1</v>
      </c>
      <c r="G96" s="13" t="n">
        <v>1</v>
      </c>
      <c r="H96" s="13" t="n">
        <v>1</v>
      </c>
      <c r="I96" s="13" t="n">
        <v>1</v>
      </c>
      <c r="J96" s="13" t="n">
        <v>1</v>
      </c>
      <c r="K96" s="13" t="n">
        <v>1</v>
      </c>
      <c r="L96" s="13" t="n">
        <v>1</v>
      </c>
      <c r="M96" s="13" t="n">
        <v>1</v>
      </c>
      <c r="N96" s="13" t="n">
        <v>0</v>
      </c>
    </row>
    <row r="97" customFormat="false" ht="14.25" hidden="true" customHeight="false" outlineLevel="1" collapsed="false">
      <c r="C97" s="6" t="s">
        <v>428</v>
      </c>
      <c r="E97" s="13" t="n">
        <v>0</v>
      </c>
      <c r="F97" s="13" t="n">
        <v>10</v>
      </c>
      <c r="G97" s="13" t="n">
        <v>20</v>
      </c>
      <c r="H97" s="13" t="n">
        <v>30</v>
      </c>
      <c r="I97" s="13" t="n">
        <v>40</v>
      </c>
      <c r="J97" s="13" t="n">
        <v>50</v>
      </c>
      <c r="K97" s="13" t="n">
        <v>60</v>
      </c>
      <c r="L97" s="13" t="n">
        <v>70</v>
      </c>
      <c r="M97" s="13" t="n">
        <v>80</v>
      </c>
      <c r="N97" s="13" t="n">
        <v>90</v>
      </c>
      <c r="O97" s="13" t="n">
        <v>100</v>
      </c>
    </row>
    <row r="98" customFormat="false" ht="14.25" hidden="true" customHeight="false" outlineLevel="1" collapsed="false">
      <c r="C98" s="6" t="s">
        <v>429</v>
      </c>
      <c r="E98" s="13" t="n">
        <v>1</v>
      </c>
      <c r="F98" s="13" t="n">
        <v>1.2</v>
      </c>
      <c r="G98" s="13" t="n">
        <v>1.3</v>
      </c>
      <c r="H98" s="13" t="n">
        <v>1.4</v>
      </c>
      <c r="I98" s="13" t="n">
        <v>1.5</v>
      </c>
      <c r="J98" s="13" t="n">
        <v>1.6</v>
      </c>
      <c r="K98" s="13" t="n">
        <v>1.7</v>
      </c>
      <c r="L98" s="13" t="n">
        <v>1.8</v>
      </c>
      <c r="M98" s="13" t="n">
        <v>1.9</v>
      </c>
      <c r="N98" s="13" t="n">
        <v>2</v>
      </c>
    </row>
    <row r="99" customFormat="false" ht="14.25" hidden="true" customHeight="false" outlineLevel="1" collapsed="false">
      <c r="C99" s="6" t="s">
        <v>430</v>
      </c>
      <c r="E99" s="13" t="n">
        <v>0</v>
      </c>
      <c r="F99" s="13" t="n">
        <v>1</v>
      </c>
      <c r="G99" s="13" t="n">
        <v>1</v>
      </c>
      <c r="H99" s="13" t="n">
        <v>1</v>
      </c>
      <c r="I99" s="13" t="n">
        <v>1</v>
      </c>
      <c r="J99" s="13" t="n">
        <v>1</v>
      </c>
      <c r="K99" s="13" t="n">
        <v>1</v>
      </c>
      <c r="L99" s="13" t="n">
        <v>1</v>
      </c>
      <c r="M99" s="13" t="n">
        <v>1</v>
      </c>
      <c r="N99" s="13" t="n">
        <v>1</v>
      </c>
    </row>
    <row r="100" customFormat="false" ht="14.25" hidden="true" customHeight="false" outlineLevel="1" collapsed="false">
      <c r="C100" s="6" t="s">
        <v>431</v>
      </c>
      <c r="E100" s="13" t="n">
        <v>0</v>
      </c>
      <c r="F100" s="13" t="n">
        <v>10</v>
      </c>
      <c r="G100" s="13" t="n">
        <v>20</v>
      </c>
      <c r="H100" s="13" t="n">
        <v>30</v>
      </c>
      <c r="I100" s="13" t="n">
        <v>40</v>
      </c>
      <c r="J100" s="13" t="n">
        <v>50</v>
      </c>
      <c r="K100" s="13" t="n">
        <v>60</v>
      </c>
      <c r="L100" s="13" t="n">
        <v>70</v>
      </c>
      <c r="M100" s="13" t="n">
        <v>80</v>
      </c>
      <c r="N100" s="13" t="n">
        <v>90</v>
      </c>
      <c r="O100" s="13" t="n">
        <v>100</v>
      </c>
    </row>
    <row r="101" customFormat="false" ht="14.25" hidden="true" customHeight="false" outlineLevel="1" collapsed="false">
      <c r="C101" s="6" t="s">
        <v>432</v>
      </c>
      <c r="E101" s="13" t="n">
        <v>100</v>
      </c>
    </row>
    <row r="102" customFormat="false" ht="14.25" hidden="true" customHeight="false" outlineLevel="1" collapsed="false">
      <c r="C102" s="6" t="s">
        <v>433</v>
      </c>
      <c r="E102" s="13" t="n">
        <v>100</v>
      </c>
    </row>
    <row r="103" customFormat="false" ht="14.25" hidden="true" customHeight="false" outlineLevel="1" collapsed="false">
      <c r="C103" s="6" t="s">
        <v>434</v>
      </c>
      <c r="E103" s="13" t="n">
        <v>100</v>
      </c>
    </row>
    <row r="104" customFormat="false" ht="14.25" hidden="true" customHeight="false" outlineLevel="1" collapsed="false">
      <c r="C104" s="6" t="s">
        <v>435</v>
      </c>
      <c r="E104" s="13" t="n">
        <v>80</v>
      </c>
    </row>
    <row r="105" customFormat="false" ht="14.25" hidden="true" customHeight="false" outlineLevel="1" collapsed="false">
      <c r="C105" s="6" t="s">
        <v>436</v>
      </c>
      <c r="E105" s="13" t="n">
        <v>20</v>
      </c>
    </row>
    <row r="106" customFormat="false" ht="14.25" hidden="true" customHeight="false" outlineLevel="1" collapsed="false">
      <c r="C106" s="6" t="s">
        <v>437</v>
      </c>
      <c r="E106" s="13" t="n">
        <v>0.2</v>
      </c>
    </row>
    <row r="107" customFormat="false" ht="14.25" hidden="true" customHeight="false" outlineLevel="1" collapsed="false">
      <c r="C107" s="6" t="s">
        <v>438</v>
      </c>
      <c r="E107" s="13" t="n">
        <v>0.15</v>
      </c>
    </row>
    <row r="108" customFormat="false" ht="14.25" hidden="true" customHeight="false" outlineLevel="1" collapsed="false">
      <c r="C108" s="6" t="s">
        <v>439</v>
      </c>
      <c r="E108" s="13" t="n">
        <v>0.1</v>
      </c>
    </row>
    <row r="109" customFormat="false" ht="14.25" hidden="true" customHeight="false" outlineLevel="1" collapsed="false">
      <c r="C109" s="6" t="s">
        <v>440</v>
      </c>
      <c r="E109" s="13" t="n">
        <v>0.15</v>
      </c>
    </row>
    <row r="110" customFormat="false" ht="14.25" hidden="true" customHeight="false" outlineLevel="1" collapsed="false">
      <c r="C110" s="6" t="s">
        <v>441</v>
      </c>
      <c r="E110" s="13" t="n">
        <v>0.05</v>
      </c>
    </row>
    <row r="111" customFormat="false" ht="14.25" hidden="true" customHeight="false" outlineLevel="1" collapsed="false">
      <c r="C111" s="6" t="s">
        <v>442</v>
      </c>
      <c r="E111" s="13" t="n">
        <v>0.05</v>
      </c>
    </row>
    <row r="112" customFormat="false" ht="14.25" hidden="true" customHeight="false" outlineLevel="1" collapsed="false">
      <c r="C112" s="6" t="s">
        <v>443</v>
      </c>
      <c r="E112" s="13" t="n">
        <v>0.1</v>
      </c>
    </row>
    <row r="113" customFormat="false" ht="14.25" hidden="true" customHeight="false" outlineLevel="1" collapsed="false">
      <c r="C113" s="6" t="s">
        <v>444</v>
      </c>
      <c r="E113" s="13" t="n">
        <v>0.05</v>
      </c>
    </row>
    <row r="114" customFormat="false" ht="14.25" hidden="true" customHeight="false" outlineLevel="1" collapsed="false">
      <c r="C114" s="6" t="s">
        <v>445</v>
      </c>
      <c r="E114" s="13" t="n">
        <v>0.15</v>
      </c>
    </row>
    <row r="116" customFormat="false" ht="14.25" hidden="false" customHeight="false" outlineLevel="0" collapsed="false">
      <c r="C116" s="59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2026-10-27T15:34:29Z</dcterms:created>
  <dc:creator>openpyxl</dc:creator>
  <dc:description/>
  <dc:language>en-US</dc:language>
  <cp:lastModifiedBy/>
  <dcterms:modified xsi:type="dcterms:W3CDTF">2026-10-28T13:51:19Z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