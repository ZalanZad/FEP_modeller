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lc" sheetId="2" state="visible" r:id="rId2"/>
    <sheet xmlns:r="http://schemas.openxmlformats.org/officeDocument/2006/relationships" name="Inputs" sheetId="3" state="visible" r:id="rId3"/>
  </sheets>
  <definedNames>
    <definedName name="FX">Inputs!$E$6</definedName>
    <definedName name="Bench_Wind">Inputs!$E$7</definedName>
    <definedName name="Bench_BESS">Inputs!$E$8</definedName>
    <definedName name="Bid_Sec_Rate">Inputs!$E$9</definedName>
    <definedName name="PB_Rate">Inputs!$E$10</definedName>
    <definedName name="Part_Fee">Inputs!$E$11</definedName>
    <definedName name="TSO_Rate">Inputs!$E$12</definedName>
    <definedName name="Rate_Cash">Inputs!$E$31</definedName>
    <definedName name="Rate_Devex">Inputs!$E$32</definedName>
    <definedName name="Devex_Floor">Inputs!$E$33</definedName>
    <definedName name="Freeze_Date">Inputs!$E$34</definedName>
    <definedName name="Sale_Date">Inputs!$E$35</definedName>
    <definedName name="Sale_Costs">Inputs!$E$36</definedName>
    <definedName name="DSA_Rate">Inputs!$E$37</definedName>
    <definedName name="DSA_Cap">Inputs!$E$38</definedName>
    <definedName name="CIT_Rate">Inputs!$E$39</definedName>
    <definedName name="Turbine_EU">Inputs!$E$41</definedName>
    <definedName name="Turbine_CN">Inputs!$E$42</definedName>
    <definedName name="Capex_Install">Inputs!$E$43</definedName>
    <definedName name="Capex_Fdn">Inputs!$E$44</definedName>
    <definedName name="Capex_Civil">Inputs!$E$45</definedName>
    <definedName name="Capex_Elec">Inputs!$E$46</definedName>
    <definedName name="Capex_Owner">Inputs!$E$47</definedName>
    <definedName name="Capex_Land">Inputs!$E$48</definedName>
    <definedName name="Subs_Lump">Inputs!$E$49</definedName>
    <definedName name="Lump_Basis">Inputs!$E$50</definedName>
    <definedName name="Capex_Cont">Inputs!$E$51</definedName>
    <definedName name="BESS_Capex">Inputs!$E$52</definedName>
    <definedName name="Hours_P50">Inputs!$E$54</definedName>
    <definedName name="Curtailment">Inputs!$E$55</definedName>
    <definedName name="Clipping">Inputs!$E$56</definedName>
    <definedName name="Degradation">Inputs!$E$57</definedName>
    <definedName name="PPA_Price">Inputs!$E$58</definedName>
    <definedName name="PPA_Esc">Inputs!$E$59</definedName>
    <definedName name="Opex_OM">Inputs!$E$61</definedName>
    <definedName name="Opex_BoP">Inputs!$E$62</definedName>
    <definedName name="Opex_Lease">Inputs!$E$63</definedName>
    <definedName name="Opex_Ins">Inputs!$E$64</definedName>
    <definedName name="Opex_Mgmt">Inputs!$E$65</definedName>
    <definedName name="Opex_PropTax">Inputs!$E$66</definedName>
    <definedName name="Opex_Admin">Inputs!$E$67</definedName>
    <definedName name="Balancing">Inputs!$E$68</definedName>
    <definedName name="Grid_Charges">Inputs!$E$69</definedName>
    <definedName name="MEKH_Fee">Inputs!$E$70</definedName>
    <definedName name="HIPA_Rate">Inputs!$E$71</definedName>
    <definedName name="Opex_Cont">Inputs!$E$72</definedName>
    <definedName name="Opex_Esc">Inputs!$E$73</definedName>
    <definedName name="Life">Inputs!$E$75</definedName>
    <definedName name="Discount_Rate">Inputs!$E$76</definedName>
    <definedName name="First_Year">Inputs!$E$77</definedName>
    <definedName name="Thousand">Inputs!$E$78</definedName>
    <definedName name="Days_In_Year">Inputs!$E$79</definedName>
    <definedName name="Months_In_Year">Inputs!$E$80</definedName>
    <definedName name="Tolerance">Inputs!$E$81</definedName>
    <definedName name="Opex_Per_MW">Inputs!$E$61:$E$66</definedName>
    <definedName name="Osz1_LB">Inputs!$E$84:$M$84</definedName>
    <definedName name="Osz1_Incl">Inputs!$E$85:$M$85</definedName>
    <definedName name="Osz1_Pts">Inputs!$E$86:$N$86</definedName>
    <definedName name="Osz2_LB">Inputs!$E$87:$O$87</definedName>
    <definedName name="Osz2_Incl">Inputs!$E$88:$O$88</definedName>
    <definedName name="Osz2_Pts">Inputs!$E$89:$P$89</definedName>
    <definedName name="Osz3_LB">Inputs!$E$90:$N$90</definedName>
    <definedName name="Osz3_Incl">Inputs!$E$91:$N$91</definedName>
    <definedName name="Osz3_Pts">Inputs!$E$92:$O$92</definedName>
    <definedName name="Osz6_LB">Inputs!$E$93:$N$93</definedName>
    <definedName name="Osz6_Incl">Inputs!$E$94:$N$94</definedName>
    <definedName name="Osz6_Pts">Inputs!$E$95:$O$95</definedName>
    <definedName name="Osz5_Pts">Inputs!$E$96</definedName>
    <definedName name="Osz7_Pts">Inputs!$E$97</definedName>
    <definedName name="Osz8_Pts">Inputs!$E$98</definedName>
    <definedName name="Osz9a_Pts">Inputs!$E$99</definedName>
    <definedName name="Osz9b_Pts">Inputs!$E$100</definedName>
    <definedName name="Osz1_W">Inputs!$E$101</definedName>
    <definedName name="Osz2_W">Inputs!$E$102</definedName>
    <definedName name="Osz3_W">Inputs!$E$103</definedName>
    <definedName name="Osz4_W">Inputs!$E$104</definedName>
    <definedName name="Osz5_W">Inputs!$E$105</definedName>
    <definedName name="Osz6_W">Inputs!$E$106</definedName>
    <definedName name="Osz7_W">Inputs!$E$107</definedName>
    <definedName name="Osz8_W">Inputs!$E$108</definedName>
    <definedName name="Osz9_W">Inputs!$E$109</definedName>
    <definedName name="Dash_MVA">Dashboard!$E$6:$G$6</definedName>
    <definedName name="Dash_Overbuild">Dashboard!$E$7:$G$7</definedName>
    <definedName name="Dash_BESS_Share">Dashboard!$E$8:$G$8</definedName>
    <definedName name="Dash_Hours">Dashboard!$E$9:$G$9</definedName>
    <definedName name="Dash_Shortfall">Dashboard!$E$10:$G$10</definedName>
    <definedName name="Dash_Municipal">Dashboard!$E$11:$G$11</definedName>
    <definedName name="Dash_Community">Dashboard!$E$12:$G$12</definedName>
    <definedName name="Dash_Partial">Dashboard!$E$13:$G$13</definedName>
    <definedName name="Dash_PB_Mult">Dashboard!$E$14:$G$14</definedName>
    <definedName name="Dash_Brownfield">Dashboard!$E$15:$G$15</definedName>
    <definedName name="Dash_Shared">Dashboard!$E$16:$G$16</definedName>
    <definedName name="Dash_Turbine">Dashboard!$E$17:$G$17</definedName>
    <definedName name="Dash_Premium">Dashboard!$E$19:$G$19</definedName>
    <definedName name="Dash_FEP_Share">Dashboard!$E$20:$G$20</definedName>
    <definedName name="Dash_DSA">Dashboard!$E$21:$G$21</definedName>
    <definedName name="Master_Check">Calc!$H$209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0.0%;(0.0%);&quot;–&quot;"/>
    <numFmt numFmtId="166" formatCode="#,##0.0;(#,##0.0);&quot;–&quot;"/>
    <numFmt numFmtId="167" formatCode="yyyy-mm-dd h:mm:ss"/>
    <numFmt numFmtId="168" formatCode="dd-mmm-yy"/>
    <numFmt numFmtId="169" formatCode="0.00&quot;x&quot;"/>
    <numFmt numFmtId="170" formatCode="0.000"/>
    <numFmt numFmtId="171" formatCode="0.0000"/>
    <numFmt numFmtId="172" formatCode="#,##0.00;(#,##0.00);&quot;–&quot;"/>
    <numFmt numFmtId="173" formatCode="0;-0;&quot;–&quot;"/>
    <numFmt numFmtId="174" formatCode="0.000;(0.000);&quot;–&quot;"/>
    <numFmt numFmtId="175" formatCode="&quot;CHECK&quot; 0;&quot;CHECK&quot; -0;&quot;OK&quot;"/>
  </numFmts>
  <fonts count="8">
    <font>
      <name val="Calibri"/>
      <family val="2"/>
      <color theme="1"/>
      <sz val="11"/>
      <scheme val="minor"/>
    </font>
    <font>
      <name val="Aptos Narrow"/>
      <b val="1"/>
      <color rgb="0000000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color rgb="00000000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b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00563C"/>
      </patternFill>
    </fill>
    <fill>
      <patternFill patternType="solid">
        <fgColor rgb="00E6F4EC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75" fontId="1" fillId="0" borderId="0" applyAlignment="1" pivotButton="0" quotePrefix="0" xfId="0">
      <alignment horizontal="right"/>
    </xf>
    <xf numFmtId="0" fontId="2" fillId="2" borderId="0" pivotButton="0" quotePrefix="0" xfId="0"/>
    <xf numFmtId="0" fontId="2" fillId="2" borderId="0" applyAlignment="1" pivotButton="0" quotePrefix="0" xfId="0">
      <alignment horizontal="right"/>
    </xf>
    <xf numFmtId="0" fontId="4" fillId="0" borderId="0" pivotButton="0" quotePrefix="0" xfId="0"/>
    <xf numFmtId="164" fontId="6" fillId="4" borderId="1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3" fillId="3" borderId="0" pivotButton="0" quotePrefix="0" xfId="0"/>
    <xf numFmtId="164" fontId="1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" fontId="1" fillId="0" borderId="0" applyAlignment="1" pivotButton="0" quotePrefix="0" xfId="0">
      <alignment horizontal="right"/>
    </xf>
    <xf numFmtId="0" fontId="7" fillId="0" borderId="0" pivotButton="0" quotePrefix="0" xfId="0"/>
    <xf numFmtId="166" fontId="4" fillId="0" borderId="0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164" fontId="1" fillId="0" borderId="2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1" fillId="0" borderId="2" applyAlignment="1" pivotButton="0" quotePrefix="0" xfId="0">
      <alignment horizontal="right"/>
    </xf>
    <xf numFmtId="168" fontId="6" fillId="4" borderId="1" applyAlignment="1" pivotButton="0" quotePrefix="0" xfId="0">
      <alignment horizontal="right"/>
    </xf>
    <xf numFmtId="170" fontId="6" fillId="4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S73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</cols>
  <sheetData>
    <row r="2">
      <c r="C2" s="1" t="inlineStr">
        <is>
          <t>HU wind bids: Bora (low bid), Iváncsa, Dunaújváros – three routes (EUR k)</t>
        </is>
      </c>
    </row>
    <row r="3">
      <c r="C3" s="1" t="inlineStr">
        <is>
          <t>Master check (0 = OK; checks at the end of Calc)</t>
        </is>
      </c>
      <c r="D3" s="2" t="inlineStr">
        <is>
          <t>flag</t>
        </is>
      </c>
      <c r="H3" s="3">
        <f>Master_Check</f>
        <v/>
      </c>
    </row>
    <row r="5">
      <c r="B5" s="4" t="inlineStr">
        <is>
          <t>x</t>
        </is>
      </c>
      <c r="C5" s="4" t="inlineStr">
        <is>
          <t>Key inputs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Net connection capacity</t>
        </is>
      </c>
      <c r="D6" s="2" t="inlineStr">
        <is>
          <t>MVA</t>
        </is>
      </c>
      <c r="E6" s="7" t="n">
        <v>100</v>
      </c>
      <c r="F6" s="7" t="n">
        <v>50</v>
      </c>
      <c r="G6" s="7" t="n">
        <v>50</v>
      </c>
      <c r="H6" s="8">
        <f>SUM(E6:G6)</f>
        <v/>
      </c>
    </row>
    <row r="7">
      <c r="C7" s="6" t="inlineStr">
        <is>
          <t>Overbuild (ÖSZ-3)</t>
        </is>
      </c>
      <c r="D7" s="2" t="inlineStr">
        <is>
          <t>%</t>
        </is>
      </c>
      <c r="E7" s="9" t="n">
        <v>0.2</v>
      </c>
      <c r="F7" s="9" t="n">
        <v>0.41</v>
      </c>
      <c r="G7" s="9" t="n">
        <v>0.41</v>
      </c>
    </row>
    <row r="8">
      <c r="C8" s="6" t="inlineStr">
        <is>
          <t>BESS power, share of MVA (ÖSZ-4)</t>
        </is>
      </c>
      <c r="D8" s="2" t="inlineStr">
        <is>
          <t>%</t>
        </is>
      </c>
      <c r="E8" s="9" t="n">
        <v>0.1</v>
      </c>
      <c r="F8" s="9" t="n">
        <v>0.4</v>
      </c>
      <c r="G8" s="9" t="n">
        <v>0.4</v>
      </c>
    </row>
    <row r="9">
      <c r="C9" s="6" t="inlineStr">
        <is>
          <t>BESS duration</t>
        </is>
      </c>
      <c r="D9" s="2" t="inlineStr">
        <is>
          <t>h</t>
        </is>
      </c>
      <c r="E9" s="7" t="n">
        <v>4</v>
      </c>
      <c r="F9" s="7" t="n">
        <v>4</v>
      </c>
      <c r="G9" s="7" t="n">
        <v>4</v>
      </c>
    </row>
    <row r="10">
      <c r="C10" s="6" t="inlineStr">
        <is>
          <t>Wind built below the bid</t>
        </is>
      </c>
      <c r="D10" s="2" t="inlineStr">
        <is>
          <t>%</t>
        </is>
      </c>
      <c r="E10" s="9" t="n">
        <v>0.1</v>
      </c>
      <c r="F10" s="9" t="n">
        <v>0.1</v>
      </c>
      <c r="G10" s="9" t="n">
        <v>0.1</v>
      </c>
    </row>
    <row r="11">
      <c r="C11" s="6" t="inlineStr">
        <is>
          <t>Municipal one-off (ÖSZ-1), at COD</t>
        </is>
      </c>
      <c r="D11" s="2" t="inlineStr">
        <is>
          <t>EUR k/MVA</t>
        </is>
      </c>
      <c r="E11" s="7" t="n">
        <v>20</v>
      </c>
      <c r="F11" s="7" t="n">
        <v>50</v>
      </c>
      <c r="G11" s="7" t="n">
        <v>50</v>
      </c>
    </row>
    <row r="12">
      <c r="C12" s="6" t="inlineStr">
        <is>
          <t>Community contribution (ÖSZ-2)</t>
        </is>
      </c>
      <c r="D12" s="2" t="inlineStr">
        <is>
          <t>EUR/MWh</t>
        </is>
      </c>
      <c r="E12" s="10" t="n">
        <v>0</v>
      </c>
      <c r="F12" s="10" t="n">
        <v>3</v>
      </c>
      <c r="G12" s="10" t="n">
        <v>3</v>
      </c>
    </row>
    <row r="13">
      <c r="C13" s="6" t="inlineStr">
        <is>
          <t>Partial award accepted (ÖSZ-5)</t>
        </is>
      </c>
      <c r="D13" s="2" t="inlineStr">
        <is>
          <t>flag</t>
        </is>
      </c>
      <c r="E13" s="11" t="n">
        <v>1</v>
      </c>
      <c r="F13" s="11" t="n">
        <v>0</v>
      </c>
      <c r="G13" s="11" t="n">
        <v>0</v>
      </c>
    </row>
    <row r="14">
      <c r="C14" s="6" t="inlineStr">
        <is>
          <t>Performance security multiple (ÖSZ-6)</t>
        </is>
      </c>
      <c r="D14" s="2" t="inlineStr">
        <is>
          <t>x</t>
        </is>
      </c>
      <c r="E14" s="12" t="n">
        <v>1</v>
      </c>
      <c r="F14" s="12" t="n">
        <v>1</v>
      </c>
      <c r="G14" s="12" t="n">
        <v>1</v>
      </c>
    </row>
    <row r="15">
      <c r="C15" s="6" t="inlineStr">
        <is>
          <t>Brownfield site (ÖSZ-7)</t>
        </is>
      </c>
      <c r="D15" s="2" t="inlineStr">
        <is>
          <t>flag</t>
        </is>
      </c>
      <c r="E15" s="11" t="n">
        <v>0</v>
      </c>
      <c r="F15" s="11" t="n">
        <v>0</v>
      </c>
      <c r="G15" s="11" t="n">
        <v>0</v>
      </c>
    </row>
    <row r="16">
      <c r="C16" s="6" t="inlineStr">
        <is>
          <t>Shared connection (ÖSZ-8)</t>
        </is>
      </c>
      <c r="D16" s="2" t="inlineStr">
        <is>
          <t>flag</t>
        </is>
      </c>
      <c r="E16" s="11" t="n">
        <v>1</v>
      </c>
      <c r="F16" s="11" t="n">
        <v>0</v>
      </c>
      <c r="G16" s="11" t="n">
        <v>0</v>
      </c>
    </row>
    <row r="17">
      <c r="C17" s="6" t="inlineStr">
        <is>
          <t>Turbine route (EU or CN; EU scores ÖSZ-9)</t>
        </is>
      </c>
      <c r="D17" s="2" t="inlineStr">
        <is>
          <t>text</t>
        </is>
      </c>
      <c r="E17" s="13" t="inlineStr">
        <is>
          <t>CN</t>
        </is>
      </c>
      <c r="F17" s="13" t="inlineStr">
        <is>
          <t>EU</t>
        </is>
      </c>
      <c r="G17" s="13" t="inlineStr">
        <is>
          <t>EU</t>
        </is>
      </c>
    </row>
    <row r="18">
      <c r="C18" s="6" t="inlineStr">
        <is>
          <t>Turbine supply price for the route</t>
        </is>
      </c>
      <c r="D18" s="2" t="inlineStr">
        <is>
          <t>EUR k/MW</t>
        </is>
      </c>
      <c r="E18" s="8">
        <f>IF(E17="EU",Turbine_EU,Turbine_CN)</f>
        <v/>
      </c>
      <c r="F18" s="8">
        <f>IF(F17="EU",Turbine_EU,Turbine_CN)</f>
        <v/>
      </c>
      <c r="G18" s="8">
        <f>IF(G17="EU",Turbine_EU,Turbine_CN)</f>
        <v/>
      </c>
    </row>
    <row r="19">
      <c r="C19" s="6" t="inlineStr">
        <is>
          <t>RtB premium</t>
        </is>
      </c>
      <c r="D19" s="2" t="inlineStr">
        <is>
          <t>EUR k/MVA</t>
        </is>
      </c>
      <c r="E19" s="7" t="n">
        <v>150</v>
      </c>
      <c r="F19" s="7" t="n">
        <v>150</v>
      </c>
      <c r="G19" s="7" t="n">
        <v>150</v>
      </c>
    </row>
    <row r="20">
      <c r="C20" s="6" t="inlineStr">
        <is>
          <t>FEP share of distributable proceeds</t>
        </is>
      </c>
      <c r="D20" s="2" t="inlineStr">
        <is>
          <t>%</t>
        </is>
      </c>
      <c r="E20" s="9" t="n">
        <v>0.7</v>
      </c>
      <c r="F20" s="9" t="n">
        <v>1</v>
      </c>
      <c r="G20" s="9" t="n">
        <v>1</v>
      </c>
    </row>
    <row r="21">
      <c r="C21" s="6" t="inlineStr">
        <is>
          <t>Developer success fee (DSA) on</t>
        </is>
      </c>
      <c r="D21" s="2" t="inlineStr">
        <is>
          <t>flag</t>
        </is>
      </c>
      <c r="E21" s="11" t="n">
        <v>1</v>
      </c>
      <c r="F21" s="11" t="n">
        <v>0</v>
      </c>
      <c r="G21" s="11" t="n">
        <v>0</v>
      </c>
    </row>
    <row r="23">
      <c r="B23" s="4" t="inlineStr">
        <is>
          <t>x</t>
        </is>
      </c>
      <c r="C23" s="4" t="inlineStr">
        <is>
          <t>Three routes, totals (links to Calc)</t>
        </is>
      </c>
      <c r="D23" s="4" t="n"/>
      <c r="E23" s="5" t="inlineStr">
        <is>
          <t>Bora</t>
        </is>
      </c>
      <c r="F23" s="5" t="inlineStr">
        <is>
          <t>Iváncsa</t>
        </is>
      </c>
      <c r="G23" s="5" t="inlineStr">
        <is>
          <t>Dunaújváros</t>
        </is>
      </c>
      <c r="H23" s="5" t="inlineStr">
        <is>
          <t>Total</t>
        </is>
      </c>
    </row>
    <row r="24">
      <c r="C24" s="14" t="inlineStr">
        <is>
          <t>RtB exit (sale at RtB, 30-Sep-2029)</t>
        </is>
      </c>
      <c r="D24" s="14" t="n"/>
      <c r="E24" s="14" t="n"/>
      <c r="F24" s="14" t="n"/>
      <c r="G24" s="14" t="n"/>
      <c r="H24" s="14" t="n"/>
    </row>
    <row r="25">
      <c r="C25" s="6" t="inlineStr">
        <is>
          <t>Total FEP cash out to RtB (peak exposure)</t>
        </is>
      </c>
      <c r="D25" s="2" t="inlineStr">
        <is>
          <t>EUR k</t>
        </is>
      </c>
      <c r="E25" s="8">
        <f>Calc!E31</f>
        <v/>
      </c>
      <c r="F25" s="8">
        <f>Calc!F31</f>
        <v/>
      </c>
      <c r="G25" s="8">
        <f>Calc!G31</f>
        <v/>
      </c>
      <c r="H25" s="8">
        <f>SUM(E25:G25)</f>
        <v/>
      </c>
    </row>
    <row r="26">
      <c r="C26" s="6" t="inlineStr">
        <is>
          <t>Total proceeds to FEP at the sale</t>
        </is>
      </c>
      <c r="D26" s="2" t="inlineStr">
        <is>
          <t>EUR k</t>
        </is>
      </c>
      <c r="E26" s="8">
        <f>Calc!E79</f>
        <v/>
      </c>
      <c r="F26" s="8">
        <f>Calc!F79</f>
        <v/>
      </c>
      <c r="G26" s="8">
        <f>Calc!G79</f>
        <v/>
      </c>
      <c r="H26" s="8">
        <f>SUM(E26:G26)</f>
        <v/>
      </c>
    </row>
    <row r="27">
      <c r="C27" s="6" t="inlineStr">
        <is>
          <t>FEP profit, pre-tax</t>
        </is>
      </c>
      <c r="D27" s="2" t="inlineStr">
        <is>
          <t>EUR k</t>
        </is>
      </c>
      <c r="E27" s="8">
        <f>Calc!E80</f>
        <v/>
      </c>
      <c r="F27" s="8">
        <f>Calc!F80</f>
        <v/>
      </c>
      <c r="G27" s="8">
        <f>Calc!G80</f>
        <v/>
      </c>
      <c r="H27" s="8">
        <f>SUM(E27:G27)</f>
        <v/>
      </c>
    </row>
    <row r="28">
      <c r="C28" s="1" t="inlineStr">
        <is>
          <t>FEP profit, post-tax</t>
        </is>
      </c>
      <c r="D28" s="2" t="inlineStr">
        <is>
          <t>EUR k</t>
        </is>
      </c>
      <c r="E28" s="15">
        <f>Calc!E82</f>
        <v/>
      </c>
      <c r="F28" s="15">
        <f>Calc!F82</f>
        <v/>
      </c>
      <c r="G28" s="15">
        <f>Calc!G82</f>
        <v/>
      </c>
      <c r="H28" s="15">
        <f>SUM(E28:G28)</f>
        <v/>
      </c>
    </row>
    <row r="29">
      <c r="C29" s="6" t="inlineStr">
        <is>
          <t>MOIC, pre-tax</t>
        </is>
      </c>
      <c r="D29" s="2" t="inlineStr">
        <is>
          <t>x</t>
        </is>
      </c>
      <c r="E29" s="16">
        <f>SUMIF(Calc!E71:E79,"&gt;0")/-SUMIF(Calc!E71:E79,"&lt;0")</f>
        <v/>
      </c>
      <c r="F29" s="16">
        <f>SUMIF(Calc!F71:F79,"&gt;0")/-SUMIF(Calc!F71:F79,"&lt;0")</f>
        <v/>
      </c>
      <c r="G29" s="16">
        <f>SUMIF(Calc!G71:G79,"&gt;0")/-SUMIF(Calc!G71:G79,"&lt;0")</f>
        <v/>
      </c>
      <c r="H29" s="16">
        <f>SUMIF(Calc!H71:H79,"&gt;0")/-SUMIF(Calc!H71:H79,"&lt;0")</f>
        <v/>
      </c>
    </row>
    <row r="30">
      <c r="C30" s="6" t="inlineStr">
        <is>
          <t>IRR, pre-tax</t>
        </is>
      </c>
      <c r="D30" s="2" t="inlineStr">
        <is>
          <t>%</t>
        </is>
      </c>
      <c r="E30" s="17">
        <f>XIRR(Calc!E71:E79,Calc!J71:J79)</f>
        <v/>
      </c>
      <c r="F30" s="17">
        <f>XIRR(Calc!F71:F79,Calc!K71:K79)</f>
        <v/>
      </c>
      <c r="G30" s="17">
        <f>XIRR(Calc!G71:G79,Calc!L71:L79)</f>
        <v/>
      </c>
    </row>
    <row r="31">
      <c r="C31" s="14" t="inlineStr">
        <is>
          <t>COD exit (sale at COD to a buyer earning the discount rate)</t>
        </is>
      </c>
      <c r="D31" s="14" t="n"/>
      <c r="E31" s="14" t="n"/>
      <c r="F31" s="14" t="n"/>
      <c r="G31" s="14" t="n"/>
      <c r="H31" s="14" t="n"/>
    </row>
    <row r="32">
      <c r="C32" s="6" t="inlineStr">
        <is>
          <t>Total capex and costs to COD</t>
        </is>
      </c>
      <c r="D32" s="2" t="inlineStr">
        <is>
          <t>EUR k</t>
        </is>
      </c>
      <c r="E32" s="8">
        <f>Calc!E99</f>
        <v/>
      </c>
      <c r="F32" s="8">
        <f>Calc!F99</f>
        <v/>
      </c>
      <c r="G32" s="8">
        <f>Calc!G99</f>
        <v/>
      </c>
      <c r="H32" s="8">
        <f>SUM(E32:G32)</f>
        <v/>
      </c>
    </row>
    <row r="33">
      <c r="C33" s="6" t="inlineStr">
        <is>
          <t>Sale price at COD</t>
        </is>
      </c>
      <c r="D33" s="2" t="inlineStr">
        <is>
          <t>EUR k</t>
        </is>
      </c>
      <c r="E33" s="8">
        <f>Calc!$H$133</f>
        <v/>
      </c>
      <c r="F33" s="8">
        <f>Calc!$H$164</f>
        <v/>
      </c>
      <c r="G33" s="8">
        <f>Calc!$H$195</f>
        <v/>
      </c>
      <c r="H33" s="8">
        <f>SUM(E33:G33)</f>
        <v/>
      </c>
    </row>
    <row r="34">
      <c r="C34" s="6" t="inlineStr">
        <is>
          <t>FEP profit, pre-tax</t>
        </is>
      </c>
      <c r="D34" s="2" t="inlineStr">
        <is>
          <t>EUR k</t>
        </is>
      </c>
      <c r="E34" s="8">
        <f>Calc!$H$134</f>
        <v/>
      </c>
      <c r="F34" s="8">
        <f>Calc!$H$165</f>
        <v/>
      </c>
      <c r="G34" s="8">
        <f>Calc!$H$196</f>
        <v/>
      </c>
      <c r="H34" s="8">
        <f>SUM(E34:G34)</f>
        <v/>
      </c>
    </row>
    <row r="35">
      <c r="C35" s="1" t="inlineStr">
        <is>
          <t>FEP profit, post-tax</t>
        </is>
      </c>
      <c r="D35" s="2" t="inlineStr">
        <is>
          <t>EUR k</t>
        </is>
      </c>
      <c r="E35" s="15">
        <f>Calc!E200</f>
        <v/>
      </c>
      <c r="F35" s="15">
        <f>Calc!F200</f>
        <v/>
      </c>
      <c r="G35" s="15">
        <f>Calc!G200</f>
        <v/>
      </c>
      <c r="H35" s="15">
        <f>SUM(E35:G35)</f>
        <v/>
      </c>
    </row>
    <row r="36">
      <c r="C36" s="6" t="inlineStr">
        <is>
          <t>MOIC, pre-tax</t>
        </is>
      </c>
      <c r="D36" s="2" t="inlineStr">
        <is>
          <t>x</t>
        </is>
      </c>
      <c r="E36" s="16">
        <f>SUMIF(Calc!$M$134:$AV$134,"&gt;0")/-SUMIF(Calc!$M$134:$AV$134,"&lt;0")</f>
        <v/>
      </c>
      <c r="F36" s="16">
        <f>SUMIF(Calc!$M$165:$AV$165,"&gt;0")/-SUMIF(Calc!$M$165:$AV$165,"&lt;0")</f>
        <v/>
      </c>
      <c r="G36" s="16">
        <f>SUMIF(Calc!$M$196:$AV$196,"&gt;0")/-SUMIF(Calc!$M$196:$AV$196,"&lt;0")</f>
        <v/>
      </c>
    </row>
    <row r="37">
      <c r="C37" s="6" t="inlineStr">
        <is>
          <t>IRR, pre-tax</t>
        </is>
      </c>
      <c r="D37" s="2" t="inlineStr">
        <is>
          <t>%</t>
        </is>
      </c>
      <c r="E37" s="17">
        <f>XIRR(Calc!$M$134:$AV$134,Calc!$M$103:$AV$103)</f>
        <v/>
      </c>
      <c r="F37" s="17">
        <f>XIRR(Calc!$M$165:$AV$165,Calc!$M$103:$AV$103)</f>
        <v/>
      </c>
      <c r="G37" s="17">
        <f>XIRR(Calc!$M$196:$AV$196,Calc!$M$103:$AV$103)</f>
        <v/>
      </c>
    </row>
    <row r="38">
      <c r="C38" s="14" t="inlineStr">
        <is>
          <t>Hold to maturity (EBITDA only, no debt, no tax)</t>
        </is>
      </c>
      <c r="D38" s="14" t="n"/>
      <c r="E38" s="14" t="n"/>
      <c r="F38" s="14" t="n"/>
      <c r="G38" s="14" t="n"/>
      <c r="H38" s="14" t="n"/>
    </row>
    <row r="39">
      <c r="C39" s="6" t="inlineStr">
        <is>
          <t>Total capex and costs to COD</t>
        </is>
      </c>
      <c r="D39" s="2" t="inlineStr">
        <is>
          <t>EUR k</t>
        </is>
      </c>
      <c r="E39" s="8">
        <f>Calc!E99</f>
        <v/>
      </c>
      <c r="F39" s="8">
        <f>Calc!F99</f>
        <v/>
      </c>
      <c r="G39" s="8">
        <f>Calc!G99</f>
        <v/>
      </c>
      <c r="H39" s="8">
        <f>SUM(E39:G39)</f>
        <v/>
      </c>
    </row>
    <row r="40">
      <c r="C40" s="6" t="inlineStr">
        <is>
          <t>Total revenue over the life</t>
        </is>
      </c>
      <c r="D40" s="2" t="inlineStr">
        <is>
          <t>EUR k</t>
        </is>
      </c>
      <c r="E40" s="8">
        <f>Calc!$H$120</f>
        <v/>
      </c>
      <c r="F40" s="8">
        <f>Calc!$H$151</f>
        <v/>
      </c>
      <c r="G40" s="8">
        <f>Calc!$H$182</f>
        <v/>
      </c>
      <c r="H40" s="8">
        <f>SUM(E40:G40)</f>
        <v/>
      </c>
    </row>
    <row r="41">
      <c r="C41" s="6" t="inlineStr">
        <is>
          <t>Total opex over the life</t>
        </is>
      </c>
      <c r="D41" s="2" t="inlineStr">
        <is>
          <t>EUR k</t>
        </is>
      </c>
      <c r="E41" s="8">
        <f>Calc!$H$129</f>
        <v/>
      </c>
      <c r="F41" s="8">
        <f>Calc!$H$160</f>
        <v/>
      </c>
      <c r="G41" s="8">
        <f>Calc!$H$191</f>
        <v/>
      </c>
      <c r="H41" s="8">
        <f>SUM(E41:G41)</f>
        <v/>
      </c>
    </row>
    <row r="42">
      <c r="C42" s="6" t="inlineStr">
        <is>
          <t>Total EBITDA over the life</t>
        </is>
      </c>
      <c r="D42" s="2" t="inlineStr">
        <is>
          <t>EUR k</t>
        </is>
      </c>
      <c r="E42" s="8">
        <f>Calc!$H$130</f>
        <v/>
      </c>
      <c r="F42" s="8">
        <f>Calc!$H$161</f>
        <v/>
      </c>
      <c r="G42" s="8">
        <f>Calc!$H$192</f>
        <v/>
      </c>
      <c r="H42" s="8">
        <f>SUM(E42:G42)</f>
        <v/>
      </c>
    </row>
    <row r="43">
      <c r="C43" s="1" t="inlineStr">
        <is>
          <t>Project IRR, pre-tax</t>
        </is>
      </c>
      <c r="D43" s="2" t="inlineStr">
        <is>
          <t>%</t>
        </is>
      </c>
      <c r="E43" s="18">
        <f>XIRR(Calc!$M$131:$AV$131,Calc!$M$103:$AV$103)</f>
        <v/>
      </c>
      <c r="F43" s="18">
        <f>XIRR(Calc!$M$162:$AV$162,Calc!$M$103:$AV$103)</f>
        <v/>
      </c>
      <c r="G43" s="18">
        <f>XIRR(Calc!$M$193:$AV$193,Calc!$M$103:$AV$103)</f>
        <v/>
      </c>
    </row>
    <row r="44">
      <c r="C44" s="6" t="inlineStr">
        <is>
          <t>NPV at the discount rate, at the first year end</t>
        </is>
      </c>
      <c r="D44" s="2" t="inlineStr">
        <is>
          <t>EUR k</t>
        </is>
      </c>
      <c r="E44" s="8">
        <f>XNPV(Discount_Rate,Calc!$M$131:$AV$131,Calc!$M$103:$AV$103)</f>
        <v/>
      </c>
      <c r="F44" s="8">
        <f>XNPV(Discount_Rate,Calc!$M$162:$AV$162,Calc!$M$103:$AV$103)</f>
        <v/>
      </c>
      <c r="G44" s="8">
        <f>XNPV(Discount_Rate,Calc!$M$193:$AV$193,Calc!$M$103:$AV$103)</f>
        <v/>
      </c>
      <c r="H44" s="8">
        <f>SUM(E44:G44)</f>
        <v/>
      </c>
    </row>
    <row r="46">
      <c r="B46" s="4" t="inlineStr">
        <is>
          <t>x</t>
        </is>
      </c>
      <c r="C46" s="4" t="inlineStr">
        <is>
          <t>Annual cash flow per project (EUR k, links to Calc)</t>
        </is>
      </c>
      <c r="D46" s="4" t="n"/>
      <c r="E46" s="5" t="n"/>
      <c r="F46" s="5" t="n"/>
      <c r="G46" s="5" t="n"/>
      <c r="H46" s="5" t="inlineStr">
        <is>
          <t>Total</t>
        </is>
      </c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</row>
    <row r="47">
      <c r="C47" s="6" t="inlineStr">
        <is>
          <t>Year</t>
        </is>
      </c>
      <c r="D47" s="2" t="inlineStr">
        <is>
          <t>year</t>
        </is>
      </c>
      <c r="J47" s="19">
        <f>Calc!M102</f>
        <v/>
      </c>
      <c r="K47" s="19">
        <f>Calc!N102</f>
        <v/>
      </c>
      <c r="L47" s="19">
        <f>Calc!O102</f>
        <v/>
      </c>
      <c r="M47" s="19">
        <f>Calc!P102</f>
        <v/>
      </c>
      <c r="N47" s="19">
        <f>Calc!Q102</f>
        <v/>
      </c>
      <c r="O47" s="19">
        <f>Calc!R102</f>
        <v/>
      </c>
      <c r="P47" s="19">
        <f>Calc!S102</f>
        <v/>
      </c>
      <c r="Q47" s="19">
        <f>Calc!T102</f>
        <v/>
      </c>
      <c r="R47" s="19">
        <f>Calc!U102</f>
        <v/>
      </c>
      <c r="S47" s="19">
        <f>Calc!V102</f>
        <v/>
      </c>
      <c r="T47" s="19">
        <f>Calc!W102</f>
        <v/>
      </c>
      <c r="U47" s="19">
        <f>Calc!X102</f>
        <v/>
      </c>
      <c r="V47" s="19">
        <f>Calc!Y102</f>
        <v/>
      </c>
      <c r="W47" s="19">
        <f>Calc!Z102</f>
        <v/>
      </c>
      <c r="X47" s="19">
        <f>Calc!AA102</f>
        <v/>
      </c>
      <c r="Y47" s="19">
        <f>Calc!AB102</f>
        <v/>
      </c>
      <c r="Z47" s="19">
        <f>Calc!AC102</f>
        <v/>
      </c>
      <c r="AA47" s="19">
        <f>Calc!AD102</f>
        <v/>
      </c>
      <c r="AB47" s="19">
        <f>Calc!AE102</f>
        <v/>
      </c>
      <c r="AC47" s="19">
        <f>Calc!AF102</f>
        <v/>
      </c>
      <c r="AD47" s="19">
        <f>Calc!AG102</f>
        <v/>
      </c>
      <c r="AE47" s="19">
        <f>Calc!AH102</f>
        <v/>
      </c>
      <c r="AF47" s="19">
        <f>Calc!AI102</f>
        <v/>
      </c>
      <c r="AG47" s="19">
        <f>Calc!AJ102</f>
        <v/>
      </c>
      <c r="AH47" s="19">
        <f>Calc!AK102</f>
        <v/>
      </c>
      <c r="AI47" s="19">
        <f>Calc!AL102</f>
        <v/>
      </c>
      <c r="AJ47" s="19">
        <f>Calc!AM102</f>
        <v/>
      </c>
      <c r="AK47" s="19">
        <f>Calc!AN102</f>
        <v/>
      </c>
      <c r="AL47" s="19">
        <f>Calc!AO102</f>
        <v/>
      </c>
      <c r="AM47" s="19">
        <f>Calc!AP102</f>
        <v/>
      </c>
      <c r="AN47" s="19">
        <f>Calc!AQ102</f>
        <v/>
      </c>
      <c r="AO47" s="19">
        <f>Calc!AR102</f>
        <v/>
      </c>
      <c r="AP47" s="19">
        <f>Calc!AS102</f>
        <v/>
      </c>
      <c r="AQ47" s="19">
        <f>Calc!AT102</f>
        <v/>
      </c>
      <c r="AR47" s="19">
        <f>Calc!AU102</f>
        <v/>
      </c>
      <c r="AS47" s="19">
        <f>Calc!AV102</f>
        <v/>
      </c>
    </row>
    <row r="49">
      <c r="C49" s="14" t="inlineStr">
        <is>
          <t>Bora</t>
        </is>
      </c>
      <c r="D49" s="14" t="n"/>
      <c r="E49" s="14" t="n"/>
      <c r="F49" s="14" t="n"/>
      <c r="G49" s="14" t="n"/>
      <c r="H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4" t="n"/>
      <c r="AS49" s="14" t="n"/>
    </row>
    <row r="50">
      <c r="C50" s="6" t="inlineStr">
        <is>
          <t>Spending (capex, fees, securities, devex), net</t>
        </is>
      </c>
      <c r="D50" s="2" t="inlineStr">
        <is>
          <t>EUR k</t>
        </is>
      </c>
      <c r="H50" s="8">
        <f>SUM(J50:AS50)</f>
        <v/>
      </c>
      <c r="J50" s="8">
        <f>Calc!M116</f>
        <v/>
      </c>
      <c r="K50" s="8">
        <f>Calc!N116</f>
        <v/>
      </c>
      <c r="L50" s="8">
        <f>Calc!O116</f>
        <v/>
      </c>
      <c r="M50" s="8">
        <f>Calc!P116</f>
        <v/>
      </c>
      <c r="N50" s="8">
        <f>Calc!Q116</f>
        <v/>
      </c>
      <c r="O50" s="8">
        <f>Calc!R116</f>
        <v/>
      </c>
      <c r="P50" s="8">
        <f>Calc!S116</f>
        <v/>
      </c>
      <c r="Q50" s="8">
        <f>Calc!T116</f>
        <v/>
      </c>
      <c r="R50" s="8">
        <f>Calc!U116</f>
        <v/>
      </c>
      <c r="S50" s="8">
        <f>Calc!V116</f>
        <v/>
      </c>
      <c r="T50" s="8">
        <f>Calc!W116</f>
        <v/>
      </c>
      <c r="U50" s="8">
        <f>Calc!X116</f>
        <v/>
      </c>
      <c r="V50" s="8">
        <f>Calc!Y116</f>
        <v/>
      </c>
      <c r="W50" s="8">
        <f>Calc!Z116</f>
        <v/>
      </c>
      <c r="X50" s="8">
        <f>Calc!AA116</f>
        <v/>
      </c>
      <c r="Y50" s="8">
        <f>Calc!AB116</f>
        <v/>
      </c>
      <c r="Z50" s="8">
        <f>Calc!AC116</f>
        <v/>
      </c>
      <c r="AA50" s="8">
        <f>Calc!AD116</f>
        <v/>
      </c>
      <c r="AB50" s="8">
        <f>Calc!AE116</f>
        <v/>
      </c>
      <c r="AC50" s="8">
        <f>Calc!AF116</f>
        <v/>
      </c>
      <c r="AD50" s="8">
        <f>Calc!AG116</f>
        <v/>
      </c>
      <c r="AE50" s="8">
        <f>Calc!AH116</f>
        <v/>
      </c>
      <c r="AF50" s="8">
        <f>Calc!AI116</f>
        <v/>
      </c>
      <c r="AG50" s="8">
        <f>Calc!AJ116</f>
        <v/>
      </c>
      <c r="AH50" s="8">
        <f>Calc!AK116</f>
        <v/>
      </c>
      <c r="AI50" s="8">
        <f>Calc!AL116</f>
        <v/>
      </c>
      <c r="AJ50" s="8">
        <f>Calc!AM116</f>
        <v/>
      </c>
      <c r="AK50" s="8">
        <f>Calc!AN116</f>
        <v/>
      </c>
      <c r="AL50" s="8">
        <f>Calc!AO116</f>
        <v/>
      </c>
      <c r="AM50" s="8">
        <f>Calc!AP116</f>
        <v/>
      </c>
      <c r="AN50" s="8">
        <f>Calc!AQ116</f>
        <v/>
      </c>
      <c r="AO50" s="8">
        <f>Calc!AR116</f>
        <v/>
      </c>
      <c r="AP50" s="8">
        <f>Calc!AS116</f>
        <v/>
      </c>
      <c r="AQ50" s="8">
        <f>Calc!AT116</f>
        <v/>
      </c>
      <c r="AR50" s="8">
        <f>Calc!AU116</f>
        <v/>
      </c>
      <c r="AS50" s="8">
        <f>Calc!AV116</f>
        <v/>
      </c>
    </row>
    <row r="51">
      <c r="C51" s="6" t="inlineStr">
        <is>
          <t>Revenue</t>
        </is>
      </c>
      <c r="D51" s="2" t="inlineStr">
        <is>
          <t>EUR k</t>
        </is>
      </c>
      <c r="H51" s="8">
        <f>SUM(J51:AS51)</f>
        <v/>
      </c>
      <c r="J51" s="8">
        <f>Calc!M120</f>
        <v/>
      </c>
      <c r="K51" s="8">
        <f>Calc!N120</f>
        <v/>
      </c>
      <c r="L51" s="8">
        <f>Calc!O120</f>
        <v/>
      </c>
      <c r="M51" s="8">
        <f>Calc!P120</f>
        <v/>
      </c>
      <c r="N51" s="8">
        <f>Calc!Q120</f>
        <v/>
      </c>
      <c r="O51" s="8">
        <f>Calc!R120</f>
        <v/>
      </c>
      <c r="P51" s="8">
        <f>Calc!S120</f>
        <v/>
      </c>
      <c r="Q51" s="8">
        <f>Calc!T120</f>
        <v/>
      </c>
      <c r="R51" s="8">
        <f>Calc!U120</f>
        <v/>
      </c>
      <c r="S51" s="8">
        <f>Calc!V120</f>
        <v/>
      </c>
      <c r="T51" s="8">
        <f>Calc!W120</f>
        <v/>
      </c>
      <c r="U51" s="8">
        <f>Calc!X120</f>
        <v/>
      </c>
      <c r="V51" s="8">
        <f>Calc!Y120</f>
        <v/>
      </c>
      <c r="W51" s="8">
        <f>Calc!Z120</f>
        <v/>
      </c>
      <c r="X51" s="8">
        <f>Calc!AA120</f>
        <v/>
      </c>
      <c r="Y51" s="8">
        <f>Calc!AB120</f>
        <v/>
      </c>
      <c r="Z51" s="8">
        <f>Calc!AC120</f>
        <v/>
      </c>
      <c r="AA51" s="8">
        <f>Calc!AD120</f>
        <v/>
      </c>
      <c r="AB51" s="8">
        <f>Calc!AE120</f>
        <v/>
      </c>
      <c r="AC51" s="8">
        <f>Calc!AF120</f>
        <v/>
      </c>
      <c r="AD51" s="8">
        <f>Calc!AG120</f>
        <v/>
      </c>
      <c r="AE51" s="8">
        <f>Calc!AH120</f>
        <v/>
      </c>
      <c r="AF51" s="8">
        <f>Calc!AI120</f>
        <v/>
      </c>
      <c r="AG51" s="8">
        <f>Calc!AJ120</f>
        <v/>
      </c>
      <c r="AH51" s="8">
        <f>Calc!AK120</f>
        <v/>
      </c>
      <c r="AI51" s="8">
        <f>Calc!AL120</f>
        <v/>
      </c>
      <c r="AJ51" s="8">
        <f>Calc!AM120</f>
        <v/>
      </c>
      <c r="AK51" s="8">
        <f>Calc!AN120</f>
        <v/>
      </c>
      <c r="AL51" s="8">
        <f>Calc!AO120</f>
        <v/>
      </c>
      <c r="AM51" s="8">
        <f>Calc!AP120</f>
        <v/>
      </c>
      <c r="AN51" s="8">
        <f>Calc!AQ120</f>
        <v/>
      </c>
      <c r="AO51" s="8">
        <f>Calc!AR120</f>
        <v/>
      </c>
      <c r="AP51" s="8">
        <f>Calc!AS120</f>
        <v/>
      </c>
      <c r="AQ51" s="8">
        <f>Calc!AT120</f>
        <v/>
      </c>
      <c r="AR51" s="8">
        <f>Calc!AU120</f>
        <v/>
      </c>
      <c r="AS51" s="8">
        <f>Calc!AV120</f>
        <v/>
      </c>
    </row>
    <row r="52">
      <c r="C52" s="6" t="inlineStr">
        <is>
          <t>Opex</t>
        </is>
      </c>
      <c r="D52" s="2" t="inlineStr">
        <is>
          <t>EUR k</t>
        </is>
      </c>
      <c r="H52" s="8">
        <f>SUM(J52:AS52)</f>
        <v/>
      </c>
      <c r="J52" s="8">
        <f>Calc!M129</f>
        <v/>
      </c>
      <c r="K52" s="8">
        <f>Calc!N129</f>
        <v/>
      </c>
      <c r="L52" s="8">
        <f>Calc!O129</f>
        <v/>
      </c>
      <c r="M52" s="8">
        <f>Calc!P129</f>
        <v/>
      </c>
      <c r="N52" s="8">
        <f>Calc!Q129</f>
        <v/>
      </c>
      <c r="O52" s="8">
        <f>Calc!R129</f>
        <v/>
      </c>
      <c r="P52" s="8">
        <f>Calc!S129</f>
        <v/>
      </c>
      <c r="Q52" s="8">
        <f>Calc!T129</f>
        <v/>
      </c>
      <c r="R52" s="8">
        <f>Calc!U129</f>
        <v/>
      </c>
      <c r="S52" s="8">
        <f>Calc!V129</f>
        <v/>
      </c>
      <c r="T52" s="8">
        <f>Calc!W129</f>
        <v/>
      </c>
      <c r="U52" s="8">
        <f>Calc!X129</f>
        <v/>
      </c>
      <c r="V52" s="8">
        <f>Calc!Y129</f>
        <v/>
      </c>
      <c r="W52" s="8">
        <f>Calc!Z129</f>
        <v/>
      </c>
      <c r="X52" s="8">
        <f>Calc!AA129</f>
        <v/>
      </c>
      <c r="Y52" s="8">
        <f>Calc!AB129</f>
        <v/>
      </c>
      <c r="Z52" s="8">
        <f>Calc!AC129</f>
        <v/>
      </c>
      <c r="AA52" s="8">
        <f>Calc!AD129</f>
        <v/>
      </c>
      <c r="AB52" s="8">
        <f>Calc!AE129</f>
        <v/>
      </c>
      <c r="AC52" s="8">
        <f>Calc!AF129</f>
        <v/>
      </c>
      <c r="AD52" s="8">
        <f>Calc!AG129</f>
        <v/>
      </c>
      <c r="AE52" s="8">
        <f>Calc!AH129</f>
        <v/>
      </c>
      <c r="AF52" s="8">
        <f>Calc!AI129</f>
        <v/>
      </c>
      <c r="AG52" s="8">
        <f>Calc!AJ129</f>
        <v/>
      </c>
      <c r="AH52" s="8">
        <f>Calc!AK129</f>
        <v/>
      </c>
      <c r="AI52" s="8">
        <f>Calc!AL129</f>
        <v/>
      </c>
      <c r="AJ52" s="8">
        <f>Calc!AM129</f>
        <v/>
      </c>
      <c r="AK52" s="8">
        <f>Calc!AN129</f>
        <v/>
      </c>
      <c r="AL52" s="8">
        <f>Calc!AO129</f>
        <v/>
      </c>
      <c r="AM52" s="8">
        <f>Calc!AP129</f>
        <v/>
      </c>
      <c r="AN52" s="8">
        <f>Calc!AQ129</f>
        <v/>
      </c>
      <c r="AO52" s="8">
        <f>Calc!AR129</f>
        <v/>
      </c>
      <c r="AP52" s="8">
        <f>Calc!AS129</f>
        <v/>
      </c>
      <c r="AQ52" s="8">
        <f>Calc!AT129</f>
        <v/>
      </c>
      <c r="AR52" s="8">
        <f>Calc!AU129</f>
        <v/>
      </c>
      <c r="AS52" s="8">
        <f>Calc!AV129</f>
        <v/>
      </c>
    </row>
    <row r="53">
      <c r="C53" s="6" t="inlineStr">
        <is>
          <t>EBITDA</t>
        </is>
      </c>
      <c r="D53" s="2" t="inlineStr">
        <is>
          <t>EUR k</t>
        </is>
      </c>
      <c r="H53" s="8">
        <f>SUM(J53:AS53)</f>
        <v/>
      </c>
      <c r="J53" s="8">
        <f>Calc!M130</f>
        <v/>
      </c>
      <c r="K53" s="8">
        <f>Calc!N130</f>
        <v/>
      </c>
      <c r="L53" s="8">
        <f>Calc!O130</f>
        <v/>
      </c>
      <c r="M53" s="8">
        <f>Calc!P130</f>
        <v/>
      </c>
      <c r="N53" s="8">
        <f>Calc!Q130</f>
        <v/>
      </c>
      <c r="O53" s="8">
        <f>Calc!R130</f>
        <v/>
      </c>
      <c r="P53" s="8">
        <f>Calc!S130</f>
        <v/>
      </c>
      <c r="Q53" s="8">
        <f>Calc!T130</f>
        <v/>
      </c>
      <c r="R53" s="8">
        <f>Calc!U130</f>
        <v/>
      </c>
      <c r="S53" s="8">
        <f>Calc!V130</f>
        <v/>
      </c>
      <c r="T53" s="8">
        <f>Calc!W130</f>
        <v/>
      </c>
      <c r="U53" s="8">
        <f>Calc!X130</f>
        <v/>
      </c>
      <c r="V53" s="8">
        <f>Calc!Y130</f>
        <v/>
      </c>
      <c r="W53" s="8">
        <f>Calc!Z130</f>
        <v/>
      </c>
      <c r="X53" s="8">
        <f>Calc!AA130</f>
        <v/>
      </c>
      <c r="Y53" s="8">
        <f>Calc!AB130</f>
        <v/>
      </c>
      <c r="Z53" s="8">
        <f>Calc!AC130</f>
        <v/>
      </c>
      <c r="AA53" s="8">
        <f>Calc!AD130</f>
        <v/>
      </c>
      <c r="AB53" s="8">
        <f>Calc!AE130</f>
        <v/>
      </c>
      <c r="AC53" s="8">
        <f>Calc!AF130</f>
        <v/>
      </c>
      <c r="AD53" s="8">
        <f>Calc!AG130</f>
        <v/>
      </c>
      <c r="AE53" s="8">
        <f>Calc!AH130</f>
        <v/>
      </c>
      <c r="AF53" s="8">
        <f>Calc!AI130</f>
        <v/>
      </c>
      <c r="AG53" s="8">
        <f>Calc!AJ130</f>
        <v/>
      </c>
      <c r="AH53" s="8">
        <f>Calc!AK130</f>
        <v/>
      </c>
      <c r="AI53" s="8">
        <f>Calc!AL130</f>
        <v/>
      </c>
      <c r="AJ53" s="8">
        <f>Calc!AM130</f>
        <v/>
      </c>
      <c r="AK53" s="8">
        <f>Calc!AN130</f>
        <v/>
      </c>
      <c r="AL53" s="8">
        <f>Calc!AO130</f>
        <v/>
      </c>
      <c r="AM53" s="8">
        <f>Calc!AP130</f>
        <v/>
      </c>
      <c r="AN53" s="8">
        <f>Calc!AQ130</f>
        <v/>
      </c>
      <c r="AO53" s="8">
        <f>Calc!AR130</f>
        <v/>
      </c>
      <c r="AP53" s="8">
        <f>Calc!AS130</f>
        <v/>
      </c>
      <c r="AQ53" s="8">
        <f>Calc!AT130</f>
        <v/>
      </c>
      <c r="AR53" s="8">
        <f>Calc!AU130</f>
        <v/>
      </c>
      <c r="AS53" s="8">
        <f>Calc!AV130</f>
        <v/>
      </c>
    </row>
    <row r="54">
      <c r="C54" s="1" t="inlineStr">
        <is>
          <t>Net cash flow</t>
        </is>
      </c>
      <c r="D54" s="2" t="inlineStr">
        <is>
          <t>EUR k</t>
        </is>
      </c>
      <c r="H54" s="15">
        <f>SUM(J54:AS54)</f>
        <v/>
      </c>
      <c r="J54" s="15">
        <f>Calc!M131</f>
        <v/>
      </c>
      <c r="K54" s="15">
        <f>Calc!N131</f>
        <v/>
      </c>
      <c r="L54" s="15">
        <f>Calc!O131</f>
        <v/>
      </c>
      <c r="M54" s="15">
        <f>Calc!P131</f>
        <v/>
      </c>
      <c r="N54" s="15">
        <f>Calc!Q131</f>
        <v/>
      </c>
      <c r="O54" s="15">
        <f>Calc!R131</f>
        <v/>
      </c>
      <c r="P54" s="15">
        <f>Calc!S131</f>
        <v/>
      </c>
      <c r="Q54" s="15">
        <f>Calc!T131</f>
        <v/>
      </c>
      <c r="R54" s="15">
        <f>Calc!U131</f>
        <v/>
      </c>
      <c r="S54" s="15">
        <f>Calc!V131</f>
        <v/>
      </c>
      <c r="T54" s="15">
        <f>Calc!W131</f>
        <v/>
      </c>
      <c r="U54" s="15">
        <f>Calc!X131</f>
        <v/>
      </c>
      <c r="V54" s="15">
        <f>Calc!Y131</f>
        <v/>
      </c>
      <c r="W54" s="15">
        <f>Calc!Z131</f>
        <v/>
      </c>
      <c r="X54" s="15">
        <f>Calc!AA131</f>
        <v/>
      </c>
      <c r="Y54" s="15">
        <f>Calc!AB131</f>
        <v/>
      </c>
      <c r="Z54" s="15">
        <f>Calc!AC131</f>
        <v/>
      </c>
      <c r="AA54" s="15">
        <f>Calc!AD131</f>
        <v/>
      </c>
      <c r="AB54" s="15">
        <f>Calc!AE131</f>
        <v/>
      </c>
      <c r="AC54" s="15">
        <f>Calc!AF131</f>
        <v/>
      </c>
      <c r="AD54" s="15">
        <f>Calc!AG131</f>
        <v/>
      </c>
      <c r="AE54" s="15">
        <f>Calc!AH131</f>
        <v/>
      </c>
      <c r="AF54" s="15">
        <f>Calc!AI131</f>
        <v/>
      </c>
      <c r="AG54" s="15">
        <f>Calc!AJ131</f>
        <v/>
      </c>
      <c r="AH54" s="15">
        <f>Calc!AK131</f>
        <v/>
      </c>
      <c r="AI54" s="15">
        <f>Calc!AL131</f>
        <v/>
      </c>
      <c r="AJ54" s="15">
        <f>Calc!AM131</f>
        <v/>
      </c>
      <c r="AK54" s="15">
        <f>Calc!AN131</f>
        <v/>
      </c>
      <c r="AL54" s="15">
        <f>Calc!AO131</f>
        <v/>
      </c>
      <c r="AM54" s="15">
        <f>Calc!AP131</f>
        <v/>
      </c>
      <c r="AN54" s="15">
        <f>Calc!AQ131</f>
        <v/>
      </c>
      <c r="AO54" s="15">
        <f>Calc!AR131</f>
        <v/>
      </c>
      <c r="AP54" s="15">
        <f>Calc!AS131</f>
        <v/>
      </c>
      <c r="AQ54" s="15">
        <f>Calc!AT131</f>
        <v/>
      </c>
      <c r="AR54" s="15">
        <f>Calc!AU131</f>
        <v/>
      </c>
      <c r="AS54" s="15">
        <f>Calc!AV131</f>
        <v/>
      </c>
    </row>
    <row r="55">
      <c r="C55" s="6" t="inlineStr">
        <is>
          <t>Cumulative net cash flow</t>
        </is>
      </c>
      <c r="D55" s="2" t="inlineStr">
        <is>
          <t>EUR k</t>
        </is>
      </c>
      <c r="J55" s="8">
        <f>SUM($J54:J54)</f>
        <v/>
      </c>
      <c r="K55" s="8">
        <f>SUM($J54:K54)</f>
        <v/>
      </c>
      <c r="L55" s="8">
        <f>SUM($J54:L54)</f>
        <v/>
      </c>
      <c r="M55" s="8">
        <f>SUM($J54:M54)</f>
        <v/>
      </c>
      <c r="N55" s="8">
        <f>SUM($J54:N54)</f>
        <v/>
      </c>
      <c r="O55" s="8">
        <f>SUM($J54:O54)</f>
        <v/>
      </c>
      <c r="P55" s="8">
        <f>SUM($J54:P54)</f>
        <v/>
      </c>
      <c r="Q55" s="8">
        <f>SUM($J54:Q54)</f>
        <v/>
      </c>
      <c r="R55" s="8">
        <f>SUM($J54:R54)</f>
        <v/>
      </c>
      <c r="S55" s="8">
        <f>SUM($J54:S54)</f>
        <v/>
      </c>
      <c r="T55" s="8">
        <f>SUM($J54:T54)</f>
        <v/>
      </c>
      <c r="U55" s="8">
        <f>SUM($J54:U54)</f>
        <v/>
      </c>
      <c r="V55" s="8">
        <f>SUM($J54:V54)</f>
        <v/>
      </c>
      <c r="W55" s="8">
        <f>SUM($J54:W54)</f>
        <v/>
      </c>
      <c r="X55" s="8">
        <f>SUM($J54:X54)</f>
        <v/>
      </c>
      <c r="Y55" s="8">
        <f>SUM($J54:Y54)</f>
        <v/>
      </c>
      <c r="Z55" s="8">
        <f>SUM($J54:Z54)</f>
        <v/>
      </c>
      <c r="AA55" s="8">
        <f>SUM($J54:AA54)</f>
        <v/>
      </c>
      <c r="AB55" s="8">
        <f>SUM($J54:AB54)</f>
        <v/>
      </c>
      <c r="AC55" s="8">
        <f>SUM($J54:AC54)</f>
        <v/>
      </c>
      <c r="AD55" s="8">
        <f>SUM($J54:AD54)</f>
        <v/>
      </c>
      <c r="AE55" s="8">
        <f>SUM($J54:AE54)</f>
        <v/>
      </c>
      <c r="AF55" s="8">
        <f>SUM($J54:AF54)</f>
        <v/>
      </c>
      <c r="AG55" s="8">
        <f>SUM($J54:AG54)</f>
        <v/>
      </c>
      <c r="AH55" s="8">
        <f>SUM($J54:AH54)</f>
        <v/>
      </c>
      <c r="AI55" s="8">
        <f>SUM($J54:AI54)</f>
        <v/>
      </c>
      <c r="AJ55" s="8">
        <f>SUM($J54:AJ54)</f>
        <v/>
      </c>
      <c r="AK55" s="8">
        <f>SUM($J54:AK54)</f>
        <v/>
      </c>
      <c r="AL55" s="8">
        <f>SUM($J54:AL54)</f>
        <v/>
      </c>
      <c r="AM55" s="8">
        <f>SUM($J54:AM54)</f>
        <v/>
      </c>
      <c r="AN55" s="8">
        <f>SUM($J54:AN54)</f>
        <v/>
      </c>
      <c r="AO55" s="8">
        <f>SUM($J54:AO54)</f>
        <v/>
      </c>
      <c r="AP55" s="8">
        <f>SUM($J54:AP54)</f>
        <v/>
      </c>
      <c r="AQ55" s="8">
        <f>SUM($J54:AQ54)</f>
        <v/>
      </c>
      <c r="AR55" s="8">
        <f>SUM($J54:AR54)</f>
        <v/>
      </c>
      <c r="AS55" s="8">
        <f>SUM($J54:AS54)</f>
        <v/>
      </c>
    </row>
    <row r="57">
      <c r="C57" s="14" t="inlineStr">
        <is>
          <t>Iváncsa</t>
        </is>
      </c>
      <c r="D57" s="14" t="n"/>
      <c r="E57" s="14" t="n"/>
      <c r="F57" s="14" t="n"/>
      <c r="G57" s="14" t="n"/>
      <c r="H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14" t="n"/>
      <c r="AH57" s="14" t="n"/>
      <c r="AI57" s="14" t="n"/>
      <c r="AJ57" s="14" t="n"/>
      <c r="AK57" s="14" t="n"/>
      <c r="AL57" s="14" t="n"/>
      <c r="AM57" s="14" t="n"/>
      <c r="AN57" s="14" t="n"/>
      <c r="AO57" s="14" t="n"/>
      <c r="AP57" s="14" t="n"/>
      <c r="AQ57" s="14" t="n"/>
      <c r="AR57" s="14" t="n"/>
      <c r="AS57" s="14" t="n"/>
    </row>
    <row r="58">
      <c r="C58" s="6" t="inlineStr">
        <is>
          <t>Spending (capex, fees, securities, devex), net</t>
        </is>
      </c>
      <c r="D58" s="2" t="inlineStr">
        <is>
          <t>EUR k</t>
        </is>
      </c>
      <c r="H58" s="8">
        <f>SUM(J58:AS58)</f>
        <v/>
      </c>
      <c r="J58" s="8">
        <f>Calc!M147</f>
        <v/>
      </c>
      <c r="K58" s="8">
        <f>Calc!N147</f>
        <v/>
      </c>
      <c r="L58" s="8">
        <f>Calc!O147</f>
        <v/>
      </c>
      <c r="M58" s="8">
        <f>Calc!P147</f>
        <v/>
      </c>
      <c r="N58" s="8">
        <f>Calc!Q147</f>
        <v/>
      </c>
      <c r="O58" s="8">
        <f>Calc!R147</f>
        <v/>
      </c>
      <c r="P58" s="8">
        <f>Calc!S147</f>
        <v/>
      </c>
      <c r="Q58" s="8">
        <f>Calc!T147</f>
        <v/>
      </c>
      <c r="R58" s="8">
        <f>Calc!U147</f>
        <v/>
      </c>
      <c r="S58" s="8">
        <f>Calc!V147</f>
        <v/>
      </c>
      <c r="T58" s="8">
        <f>Calc!W147</f>
        <v/>
      </c>
      <c r="U58" s="8">
        <f>Calc!X147</f>
        <v/>
      </c>
      <c r="V58" s="8">
        <f>Calc!Y147</f>
        <v/>
      </c>
      <c r="W58" s="8">
        <f>Calc!Z147</f>
        <v/>
      </c>
      <c r="X58" s="8">
        <f>Calc!AA147</f>
        <v/>
      </c>
      <c r="Y58" s="8">
        <f>Calc!AB147</f>
        <v/>
      </c>
      <c r="Z58" s="8">
        <f>Calc!AC147</f>
        <v/>
      </c>
      <c r="AA58" s="8">
        <f>Calc!AD147</f>
        <v/>
      </c>
      <c r="AB58" s="8">
        <f>Calc!AE147</f>
        <v/>
      </c>
      <c r="AC58" s="8">
        <f>Calc!AF147</f>
        <v/>
      </c>
      <c r="AD58" s="8">
        <f>Calc!AG147</f>
        <v/>
      </c>
      <c r="AE58" s="8">
        <f>Calc!AH147</f>
        <v/>
      </c>
      <c r="AF58" s="8">
        <f>Calc!AI147</f>
        <v/>
      </c>
      <c r="AG58" s="8">
        <f>Calc!AJ147</f>
        <v/>
      </c>
      <c r="AH58" s="8">
        <f>Calc!AK147</f>
        <v/>
      </c>
      <c r="AI58" s="8">
        <f>Calc!AL147</f>
        <v/>
      </c>
      <c r="AJ58" s="8">
        <f>Calc!AM147</f>
        <v/>
      </c>
      <c r="AK58" s="8">
        <f>Calc!AN147</f>
        <v/>
      </c>
      <c r="AL58" s="8">
        <f>Calc!AO147</f>
        <v/>
      </c>
      <c r="AM58" s="8">
        <f>Calc!AP147</f>
        <v/>
      </c>
      <c r="AN58" s="8">
        <f>Calc!AQ147</f>
        <v/>
      </c>
      <c r="AO58" s="8">
        <f>Calc!AR147</f>
        <v/>
      </c>
      <c r="AP58" s="8">
        <f>Calc!AS147</f>
        <v/>
      </c>
      <c r="AQ58" s="8">
        <f>Calc!AT147</f>
        <v/>
      </c>
      <c r="AR58" s="8">
        <f>Calc!AU147</f>
        <v/>
      </c>
      <c r="AS58" s="8">
        <f>Calc!AV147</f>
        <v/>
      </c>
    </row>
    <row r="59">
      <c r="C59" s="6" t="inlineStr">
        <is>
          <t>Revenue</t>
        </is>
      </c>
      <c r="D59" s="2" t="inlineStr">
        <is>
          <t>EUR k</t>
        </is>
      </c>
      <c r="H59" s="8">
        <f>SUM(J59:AS59)</f>
        <v/>
      </c>
      <c r="J59" s="8">
        <f>Calc!M151</f>
        <v/>
      </c>
      <c r="K59" s="8">
        <f>Calc!N151</f>
        <v/>
      </c>
      <c r="L59" s="8">
        <f>Calc!O151</f>
        <v/>
      </c>
      <c r="M59" s="8">
        <f>Calc!P151</f>
        <v/>
      </c>
      <c r="N59" s="8">
        <f>Calc!Q151</f>
        <v/>
      </c>
      <c r="O59" s="8">
        <f>Calc!R151</f>
        <v/>
      </c>
      <c r="P59" s="8">
        <f>Calc!S151</f>
        <v/>
      </c>
      <c r="Q59" s="8">
        <f>Calc!T151</f>
        <v/>
      </c>
      <c r="R59" s="8">
        <f>Calc!U151</f>
        <v/>
      </c>
      <c r="S59" s="8">
        <f>Calc!V151</f>
        <v/>
      </c>
      <c r="T59" s="8">
        <f>Calc!W151</f>
        <v/>
      </c>
      <c r="U59" s="8">
        <f>Calc!X151</f>
        <v/>
      </c>
      <c r="V59" s="8">
        <f>Calc!Y151</f>
        <v/>
      </c>
      <c r="W59" s="8">
        <f>Calc!Z151</f>
        <v/>
      </c>
      <c r="X59" s="8">
        <f>Calc!AA151</f>
        <v/>
      </c>
      <c r="Y59" s="8">
        <f>Calc!AB151</f>
        <v/>
      </c>
      <c r="Z59" s="8">
        <f>Calc!AC151</f>
        <v/>
      </c>
      <c r="AA59" s="8">
        <f>Calc!AD151</f>
        <v/>
      </c>
      <c r="AB59" s="8">
        <f>Calc!AE151</f>
        <v/>
      </c>
      <c r="AC59" s="8">
        <f>Calc!AF151</f>
        <v/>
      </c>
      <c r="AD59" s="8">
        <f>Calc!AG151</f>
        <v/>
      </c>
      <c r="AE59" s="8">
        <f>Calc!AH151</f>
        <v/>
      </c>
      <c r="AF59" s="8">
        <f>Calc!AI151</f>
        <v/>
      </c>
      <c r="AG59" s="8">
        <f>Calc!AJ151</f>
        <v/>
      </c>
      <c r="AH59" s="8">
        <f>Calc!AK151</f>
        <v/>
      </c>
      <c r="AI59" s="8">
        <f>Calc!AL151</f>
        <v/>
      </c>
      <c r="AJ59" s="8">
        <f>Calc!AM151</f>
        <v/>
      </c>
      <c r="AK59" s="8">
        <f>Calc!AN151</f>
        <v/>
      </c>
      <c r="AL59" s="8">
        <f>Calc!AO151</f>
        <v/>
      </c>
      <c r="AM59" s="8">
        <f>Calc!AP151</f>
        <v/>
      </c>
      <c r="AN59" s="8">
        <f>Calc!AQ151</f>
        <v/>
      </c>
      <c r="AO59" s="8">
        <f>Calc!AR151</f>
        <v/>
      </c>
      <c r="AP59" s="8">
        <f>Calc!AS151</f>
        <v/>
      </c>
      <c r="AQ59" s="8">
        <f>Calc!AT151</f>
        <v/>
      </c>
      <c r="AR59" s="8">
        <f>Calc!AU151</f>
        <v/>
      </c>
      <c r="AS59" s="8">
        <f>Calc!AV151</f>
        <v/>
      </c>
    </row>
    <row r="60">
      <c r="C60" s="6" t="inlineStr">
        <is>
          <t>Opex</t>
        </is>
      </c>
      <c r="D60" s="2" t="inlineStr">
        <is>
          <t>EUR k</t>
        </is>
      </c>
      <c r="H60" s="8">
        <f>SUM(J60:AS60)</f>
        <v/>
      </c>
      <c r="J60" s="8">
        <f>Calc!M160</f>
        <v/>
      </c>
      <c r="K60" s="8">
        <f>Calc!N160</f>
        <v/>
      </c>
      <c r="L60" s="8">
        <f>Calc!O160</f>
        <v/>
      </c>
      <c r="M60" s="8">
        <f>Calc!P160</f>
        <v/>
      </c>
      <c r="N60" s="8">
        <f>Calc!Q160</f>
        <v/>
      </c>
      <c r="O60" s="8">
        <f>Calc!R160</f>
        <v/>
      </c>
      <c r="P60" s="8">
        <f>Calc!S160</f>
        <v/>
      </c>
      <c r="Q60" s="8">
        <f>Calc!T160</f>
        <v/>
      </c>
      <c r="R60" s="8">
        <f>Calc!U160</f>
        <v/>
      </c>
      <c r="S60" s="8">
        <f>Calc!V160</f>
        <v/>
      </c>
      <c r="T60" s="8">
        <f>Calc!W160</f>
        <v/>
      </c>
      <c r="U60" s="8">
        <f>Calc!X160</f>
        <v/>
      </c>
      <c r="V60" s="8">
        <f>Calc!Y160</f>
        <v/>
      </c>
      <c r="W60" s="8">
        <f>Calc!Z160</f>
        <v/>
      </c>
      <c r="X60" s="8">
        <f>Calc!AA160</f>
        <v/>
      </c>
      <c r="Y60" s="8">
        <f>Calc!AB160</f>
        <v/>
      </c>
      <c r="Z60" s="8">
        <f>Calc!AC160</f>
        <v/>
      </c>
      <c r="AA60" s="8">
        <f>Calc!AD160</f>
        <v/>
      </c>
      <c r="AB60" s="8">
        <f>Calc!AE160</f>
        <v/>
      </c>
      <c r="AC60" s="8">
        <f>Calc!AF160</f>
        <v/>
      </c>
      <c r="AD60" s="8">
        <f>Calc!AG160</f>
        <v/>
      </c>
      <c r="AE60" s="8">
        <f>Calc!AH160</f>
        <v/>
      </c>
      <c r="AF60" s="8">
        <f>Calc!AI160</f>
        <v/>
      </c>
      <c r="AG60" s="8">
        <f>Calc!AJ160</f>
        <v/>
      </c>
      <c r="AH60" s="8">
        <f>Calc!AK160</f>
        <v/>
      </c>
      <c r="AI60" s="8">
        <f>Calc!AL160</f>
        <v/>
      </c>
      <c r="AJ60" s="8">
        <f>Calc!AM160</f>
        <v/>
      </c>
      <c r="AK60" s="8">
        <f>Calc!AN160</f>
        <v/>
      </c>
      <c r="AL60" s="8">
        <f>Calc!AO160</f>
        <v/>
      </c>
      <c r="AM60" s="8">
        <f>Calc!AP160</f>
        <v/>
      </c>
      <c r="AN60" s="8">
        <f>Calc!AQ160</f>
        <v/>
      </c>
      <c r="AO60" s="8">
        <f>Calc!AR160</f>
        <v/>
      </c>
      <c r="AP60" s="8">
        <f>Calc!AS160</f>
        <v/>
      </c>
      <c r="AQ60" s="8">
        <f>Calc!AT160</f>
        <v/>
      </c>
      <c r="AR60" s="8">
        <f>Calc!AU160</f>
        <v/>
      </c>
      <c r="AS60" s="8">
        <f>Calc!AV160</f>
        <v/>
      </c>
    </row>
    <row r="61">
      <c r="C61" s="6" t="inlineStr">
        <is>
          <t>EBITDA</t>
        </is>
      </c>
      <c r="D61" s="2" t="inlineStr">
        <is>
          <t>EUR k</t>
        </is>
      </c>
      <c r="H61" s="8">
        <f>SUM(J61:AS61)</f>
        <v/>
      </c>
      <c r="J61" s="8">
        <f>Calc!M161</f>
        <v/>
      </c>
      <c r="K61" s="8">
        <f>Calc!N161</f>
        <v/>
      </c>
      <c r="L61" s="8">
        <f>Calc!O161</f>
        <v/>
      </c>
      <c r="M61" s="8">
        <f>Calc!P161</f>
        <v/>
      </c>
      <c r="N61" s="8">
        <f>Calc!Q161</f>
        <v/>
      </c>
      <c r="O61" s="8">
        <f>Calc!R161</f>
        <v/>
      </c>
      <c r="P61" s="8">
        <f>Calc!S161</f>
        <v/>
      </c>
      <c r="Q61" s="8">
        <f>Calc!T161</f>
        <v/>
      </c>
      <c r="R61" s="8">
        <f>Calc!U161</f>
        <v/>
      </c>
      <c r="S61" s="8">
        <f>Calc!V161</f>
        <v/>
      </c>
      <c r="T61" s="8">
        <f>Calc!W161</f>
        <v/>
      </c>
      <c r="U61" s="8">
        <f>Calc!X161</f>
        <v/>
      </c>
      <c r="V61" s="8">
        <f>Calc!Y161</f>
        <v/>
      </c>
      <c r="W61" s="8">
        <f>Calc!Z161</f>
        <v/>
      </c>
      <c r="X61" s="8">
        <f>Calc!AA161</f>
        <v/>
      </c>
      <c r="Y61" s="8">
        <f>Calc!AB161</f>
        <v/>
      </c>
      <c r="Z61" s="8">
        <f>Calc!AC161</f>
        <v/>
      </c>
      <c r="AA61" s="8">
        <f>Calc!AD161</f>
        <v/>
      </c>
      <c r="AB61" s="8">
        <f>Calc!AE161</f>
        <v/>
      </c>
      <c r="AC61" s="8">
        <f>Calc!AF161</f>
        <v/>
      </c>
      <c r="AD61" s="8">
        <f>Calc!AG161</f>
        <v/>
      </c>
      <c r="AE61" s="8">
        <f>Calc!AH161</f>
        <v/>
      </c>
      <c r="AF61" s="8">
        <f>Calc!AI161</f>
        <v/>
      </c>
      <c r="AG61" s="8">
        <f>Calc!AJ161</f>
        <v/>
      </c>
      <c r="AH61" s="8">
        <f>Calc!AK161</f>
        <v/>
      </c>
      <c r="AI61" s="8">
        <f>Calc!AL161</f>
        <v/>
      </c>
      <c r="AJ61" s="8">
        <f>Calc!AM161</f>
        <v/>
      </c>
      <c r="AK61" s="8">
        <f>Calc!AN161</f>
        <v/>
      </c>
      <c r="AL61" s="8">
        <f>Calc!AO161</f>
        <v/>
      </c>
      <c r="AM61" s="8">
        <f>Calc!AP161</f>
        <v/>
      </c>
      <c r="AN61" s="8">
        <f>Calc!AQ161</f>
        <v/>
      </c>
      <c r="AO61" s="8">
        <f>Calc!AR161</f>
        <v/>
      </c>
      <c r="AP61" s="8">
        <f>Calc!AS161</f>
        <v/>
      </c>
      <c r="AQ61" s="8">
        <f>Calc!AT161</f>
        <v/>
      </c>
      <c r="AR61" s="8">
        <f>Calc!AU161</f>
        <v/>
      </c>
      <c r="AS61" s="8">
        <f>Calc!AV161</f>
        <v/>
      </c>
    </row>
    <row r="62">
      <c r="C62" s="1" t="inlineStr">
        <is>
          <t>Net cash flow</t>
        </is>
      </c>
      <c r="D62" s="2" t="inlineStr">
        <is>
          <t>EUR k</t>
        </is>
      </c>
      <c r="H62" s="15">
        <f>SUM(J62:AS62)</f>
        <v/>
      </c>
      <c r="J62" s="15">
        <f>Calc!M162</f>
        <v/>
      </c>
      <c r="K62" s="15">
        <f>Calc!N162</f>
        <v/>
      </c>
      <c r="L62" s="15">
        <f>Calc!O162</f>
        <v/>
      </c>
      <c r="M62" s="15">
        <f>Calc!P162</f>
        <v/>
      </c>
      <c r="N62" s="15">
        <f>Calc!Q162</f>
        <v/>
      </c>
      <c r="O62" s="15">
        <f>Calc!R162</f>
        <v/>
      </c>
      <c r="P62" s="15">
        <f>Calc!S162</f>
        <v/>
      </c>
      <c r="Q62" s="15">
        <f>Calc!T162</f>
        <v/>
      </c>
      <c r="R62" s="15">
        <f>Calc!U162</f>
        <v/>
      </c>
      <c r="S62" s="15">
        <f>Calc!V162</f>
        <v/>
      </c>
      <c r="T62" s="15">
        <f>Calc!W162</f>
        <v/>
      </c>
      <c r="U62" s="15">
        <f>Calc!X162</f>
        <v/>
      </c>
      <c r="V62" s="15">
        <f>Calc!Y162</f>
        <v/>
      </c>
      <c r="W62" s="15">
        <f>Calc!Z162</f>
        <v/>
      </c>
      <c r="X62" s="15">
        <f>Calc!AA162</f>
        <v/>
      </c>
      <c r="Y62" s="15">
        <f>Calc!AB162</f>
        <v/>
      </c>
      <c r="Z62" s="15">
        <f>Calc!AC162</f>
        <v/>
      </c>
      <c r="AA62" s="15">
        <f>Calc!AD162</f>
        <v/>
      </c>
      <c r="AB62" s="15">
        <f>Calc!AE162</f>
        <v/>
      </c>
      <c r="AC62" s="15">
        <f>Calc!AF162</f>
        <v/>
      </c>
      <c r="AD62" s="15">
        <f>Calc!AG162</f>
        <v/>
      </c>
      <c r="AE62" s="15">
        <f>Calc!AH162</f>
        <v/>
      </c>
      <c r="AF62" s="15">
        <f>Calc!AI162</f>
        <v/>
      </c>
      <c r="AG62" s="15">
        <f>Calc!AJ162</f>
        <v/>
      </c>
      <c r="AH62" s="15">
        <f>Calc!AK162</f>
        <v/>
      </c>
      <c r="AI62" s="15">
        <f>Calc!AL162</f>
        <v/>
      </c>
      <c r="AJ62" s="15">
        <f>Calc!AM162</f>
        <v/>
      </c>
      <c r="AK62" s="15">
        <f>Calc!AN162</f>
        <v/>
      </c>
      <c r="AL62" s="15">
        <f>Calc!AO162</f>
        <v/>
      </c>
      <c r="AM62" s="15">
        <f>Calc!AP162</f>
        <v/>
      </c>
      <c r="AN62" s="15">
        <f>Calc!AQ162</f>
        <v/>
      </c>
      <c r="AO62" s="15">
        <f>Calc!AR162</f>
        <v/>
      </c>
      <c r="AP62" s="15">
        <f>Calc!AS162</f>
        <v/>
      </c>
      <c r="AQ62" s="15">
        <f>Calc!AT162</f>
        <v/>
      </c>
      <c r="AR62" s="15">
        <f>Calc!AU162</f>
        <v/>
      </c>
      <c r="AS62" s="15">
        <f>Calc!AV162</f>
        <v/>
      </c>
    </row>
    <row r="63">
      <c r="C63" s="6" t="inlineStr">
        <is>
          <t>Cumulative net cash flow</t>
        </is>
      </c>
      <c r="D63" s="2" t="inlineStr">
        <is>
          <t>EUR k</t>
        </is>
      </c>
      <c r="J63" s="8">
        <f>SUM($J62:J62)</f>
        <v/>
      </c>
      <c r="K63" s="8">
        <f>SUM($J62:K62)</f>
        <v/>
      </c>
      <c r="L63" s="8">
        <f>SUM($J62:L62)</f>
        <v/>
      </c>
      <c r="M63" s="8">
        <f>SUM($J62:M62)</f>
        <v/>
      </c>
      <c r="N63" s="8">
        <f>SUM($J62:N62)</f>
        <v/>
      </c>
      <c r="O63" s="8">
        <f>SUM($J62:O62)</f>
        <v/>
      </c>
      <c r="P63" s="8">
        <f>SUM($J62:P62)</f>
        <v/>
      </c>
      <c r="Q63" s="8">
        <f>SUM($J62:Q62)</f>
        <v/>
      </c>
      <c r="R63" s="8">
        <f>SUM($J62:R62)</f>
        <v/>
      </c>
      <c r="S63" s="8">
        <f>SUM($J62:S62)</f>
        <v/>
      </c>
      <c r="T63" s="8">
        <f>SUM($J62:T62)</f>
        <v/>
      </c>
      <c r="U63" s="8">
        <f>SUM($J62:U62)</f>
        <v/>
      </c>
      <c r="V63" s="8">
        <f>SUM($J62:V62)</f>
        <v/>
      </c>
      <c r="W63" s="8">
        <f>SUM($J62:W62)</f>
        <v/>
      </c>
      <c r="X63" s="8">
        <f>SUM($J62:X62)</f>
        <v/>
      </c>
      <c r="Y63" s="8">
        <f>SUM($J62:Y62)</f>
        <v/>
      </c>
      <c r="Z63" s="8">
        <f>SUM($J62:Z62)</f>
        <v/>
      </c>
      <c r="AA63" s="8">
        <f>SUM($J62:AA62)</f>
        <v/>
      </c>
      <c r="AB63" s="8">
        <f>SUM($J62:AB62)</f>
        <v/>
      </c>
      <c r="AC63" s="8">
        <f>SUM($J62:AC62)</f>
        <v/>
      </c>
      <c r="AD63" s="8">
        <f>SUM($J62:AD62)</f>
        <v/>
      </c>
      <c r="AE63" s="8">
        <f>SUM($J62:AE62)</f>
        <v/>
      </c>
      <c r="AF63" s="8">
        <f>SUM($J62:AF62)</f>
        <v/>
      </c>
      <c r="AG63" s="8">
        <f>SUM($J62:AG62)</f>
        <v/>
      </c>
      <c r="AH63" s="8">
        <f>SUM($J62:AH62)</f>
        <v/>
      </c>
      <c r="AI63" s="8">
        <f>SUM($J62:AI62)</f>
        <v/>
      </c>
      <c r="AJ63" s="8">
        <f>SUM($J62:AJ62)</f>
        <v/>
      </c>
      <c r="AK63" s="8">
        <f>SUM($J62:AK62)</f>
        <v/>
      </c>
      <c r="AL63" s="8">
        <f>SUM($J62:AL62)</f>
        <v/>
      </c>
      <c r="AM63" s="8">
        <f>SUM($J62:AM62)</f>
        <v/>
      </c>
      <c r="AN63" s="8">
        <f>SUM($J62:AN62)</f>
        <v/>
      </c>
      <c r="AO63" s="8">
        <f>SUM($J62:AO62)</f>
        <v/>
      </c>
      <c r="AP63" s="8">
        <f>SUM($J62:AP62)</f>
        <v/>
      </c>
      <c r="AQ63" s="8">
        <f>SUM($J62:AQ62)</f>
        <v/>
      </c>
      <c r="AR63" s="8">
        <f>SUM($J62:AR62)</f>
        <v/>
      </c>
      <c r="AS63" s="8">
        <f>SUM($J62:AS62)</f>
        <v/>
      </c>
    </row>
    <row r="65">
      <c r="C65" s="14" t="inlineStr">
        <is>
          <t>Dunaújváros</t>
        </is>
      </c>
      <c r="D65" s="14" t="n"/>
      <c r="E65" s="14" t="n"/>
      <c r="F65" s="14" t="n"/>
      <c r="G65" s="14" t="n"/>
      <c r="H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14" t="n"/>
      <c r="AH65" s="14" t="n"/>
      <c r="AI65" s="14" t="n"/>
      <c r="AJ65" s="14" t="n"/>
      <c r="AK65" s="14" t="n"/>
      <c r="AL65" s="14" t="n"/>
      <c r="AM65" s="14" t="n"/>
      <c r="AN65" s="14" t="n"/>
      <c r="AO65" s="14" t="n"/>
      <c r="AP65" s="14" t="n"/>
      <c r="AQ65" s="14" t="n"/>
      <c r="AR65" s="14" t="n"/>
      <c r="AS65" s="14" t="n"/>
    </row>
    <row r="66">
      <c r="C66" s="6" t="inlineStr">
        <is>
          <t>Spending (capex, fees, securities, devex), net</t>
        </is>
      </c>
      <c r="D66" s="2" t="inlineStr">
        <is>
          <t>EUR k</t>
        </is>
      </c>
      <c r="H66" s="8">
        <f>SUM(J66:AS66)</f>
        <v/>
      </c>
      <c r="J66" s="8">
        <f>Calc!M178</f>
        <v/>
      </c>
      <c r="K66" s="8">
        <f>Calc!N178</f>
        <v/>
      </c>
      <c r="L66" s="8">
        <f>Calc!O178</f>
        <v/>
      </c>
      <c r="M66" s="8">
        <f>Calc!P178</f>
        <v/>
      </c>
      <c r="N66" s="8">
        <f>Calc!Q178</f>
        <v/>
      </c>
      <c r="O66" s="8">
        <f>Calc!R178</f>
        <v/>
      </c>
      <c r="P66" s="8">
        <f>Calc!S178</f>
        <v/>
      </c>
      <c r="Q66" s="8">
        <f>Calc!T178</f>
        <v/>
      </c>
      <c r="R66" s="8">
        <f>Calc!U178</f>
        <v/>
      </c>
      <c r="S66" s="8">
        <f>Calc!V178</f>
        <v/>
      </c>
      <c r="T66" s="8">
        <f>Calc!W178</f>
        <v/>
      </c>
      <c r="U66" s="8">
        <f>Calc!X178</f>
        <v/>
      </c>
      <c r="V66" s="8">
        <f>Calc!Y178</f>
        <v/>
      </c>
      <c r="W66" s="8">
        <f>Calc!Z178</f>
        <v/>
      </c>
      <c r="X66" s="8">
        <f>Calc!AA178</f>
        <v/>
      </c>
      <c r="Y66" s="8">
        <f>Calc!AB178</f>
        <v/>
      </c>
      <c r="Z66" s="8">
        <f>Calc!AC178</f>
        <v/>
      </c>
      <c r="AA66" s="8">
        <f>Calc!AD178</f>
        <v/>
      </c>
      <c r="AB66" s="8">
        <f>Calc!AE178</f>
        <v/>
      </c>
      <c r="AC66" s="8">
        <f>Calc!AF178</f>
        <v/>
      </c>
      <c r="AD66" s="8">
        <f>Calc!AG178</f>
        <v/>
      </c>
      <c r="AE66" s="8">
        <f>Calc!AH178</f>
        <v/>
      </c>
      <c r="AF66" s="8">
        <f>Calc!AI178</f>
        <v/>
      </c>
      <c r="AG66" s="8">
        <f>Calc!AJ178</f>
        <v/>
      </c>
      <c r="AH66" s="8">
        <f>Calc!AK178</f>
        <v/>
      </c>
      <c r="AI66" s="8">
        <f>Calc!AL178</f>
        <v/>
      </c>
      <c r="AJ66" s="8">
        <f>Calc!AM178</f>
        <v/>
      </c>
      <c r="AK66" s="8">
        <f>Calc!AN178</f>
        <v/>
      </c>
      <c r="AL66" s="8">
        <f>Calc!AO178</f>
        <v/>
      </c>
      <c r="AM66" s="8">
        <f>Calc!AP178</f>
        <v/>
      </c>
      <c r="AN66" s="8">
        <f>Calc!AQ178</f>
        <v/>
      </c>
      <c r="AO66" s="8">
        <f>Calc!AR178</f>
        <v/>
      </c>
      <c r="AP66" s="8">
        <f>Calc!AS178</f>
        <v/>
      </c>
      <c r="AQ66" s="8">
        <f>Calc!AT178</f>
        <v/>
      </c>
      <c r="AR66" s="8">
        <f>Calc!AU178</f>
        <v/>
      </c>
      <c r="AS66" s="8">
        <f>Calc!AV178</f>
        <v/>
      </c>
    </row>
    <row r="67">
      <c r="C67" s="6" t="inlineStr">
        <is>
          <t>Revenue</t>
        </is>
      </c>
      <c r="D67" s="2" t="inlineStr">
        <is>
          <t>EUR k</t>
        </is>
      </c>
      <c r="H67" s="8">
        <f>SUM(J67:AS67)</f>
        <v/>
      </c>
      <c r="J67" s="8">
        <f>Calc!M182</f>
        <v/>
      </c>
      <c r="K67" s="8">
        <f>Calc!N182</f>
        <v/>
      </c>
      <c r="L67" s="8">
        <f>Calc!O182</f>
        <v/>
      </c>
      <c r="M67" s="8">
        <f>Calc!P182</f>
        <v/>
      </c>
      <c r="N67" s="8">
        <f>Calc!Q182</f>
        <v/>
      </c>
      <c r="O67" s="8">
        <f>Calc!R182</f>
        <v/>
      </c>
      <c r="P67" s="8">
        <f>Calc!S182</f>
        <v/>
      </c>
      <c r="Q67" s="8">
        <f>Calc!T182</f>
        <v/>
      </c>
      <c r="R67" s="8">
        <f>Calc!U182</f>
        <v/>
      </c>
      <c r="S67" s="8">
        <f>Calc!V182</f>
        <v/>
      </c>
      <c r="T67" s="8">
        <f>Calc!W182</f>
        <v/>
      </c>
      <c r="U67" s="8">
        <f>Calc!X182</f>
        <v/>
      </c>
      <c r="V67" s="8">
        <f>Calc!Y182</f>
        <v/>
      </c>
      <c r="W67" s="8">
        <f>Calc!Z182</f>
        <v/>
      </c>
      <c r="X67" s="8">
        <f>Calc!AA182</f>
        <v/>
      </c>
      <c r="Y67" s="8">
        <f>Calc!AB182</f>
        <v/>
      </c>
      <c r="Z67" s="8">
        <f>Calc!AC182</f>
        <v/>
      </c>
      <c r="AA67" s="8">
        <f>Calc!AD182</f>
        <v/>
      </c>
      <c r="AB67" s="8">
        <f>Calc!AE182</f>
        <v/>
      </c>
      <c r="AC67" s="8">
        <f>Calc!AF182</f>
        <v/>
      </c>
      <c r="AD67" s="8">
        <f>Calc!AG182</f>
        <v/>
      </c>
      <c r="AE67" s="8">
        <f>Calc!AH182</f>
        <v/>
      </c>
      <c r="AF67" s="8">
        <f>Calc!AI182</f>
        <v/>
      </c>
      <c r="AG67" s="8">
        <f>Calc!AJ182</f>
        <v/>
      </c>
      <c r="AH67" s="8">
        <f>Calc!AK182</f>
        <v/>
      </c>
      <c r="AI67" s="8">
        <f>Calc!AL182</f>
        <v/>
      </c>
      <c r="AJ67" s="8">
        <f>Calc!AM182</f>
        <v/>
      </c>
      <c r="AK67" s="8">
        <f>Calc!AN182</f>
        <v/>
      </c>
      <c r="AL67" s="8">
        <f>Calc!AO182</f>
        <v/>
      </c>
      <c r="AM67" s="8">
        <f>Calc!AP182</f>
        <v/>
      </c>
      <c r="AN67" s="8">
        <f>Calc!AQ182</f>
        <v/>
      </c>
      <c r="AO67" s="8">
        <f>Calc!AR182</f>
        <v/>
      </c>
      <c r="AP67" s="8">
        <f>Calc!AS182</f>
        <v/>
      </c>
      <c r="AQ67" s="8">
        <f>Calc!AT182</f>
        <v/>
      </c>
      <c r="AR67" s="8">
        <f>Calc!AU182</f>
        <v/>
      </c>
      <c r="AS67" s="8">
        <f>Calc!AV182</f>
        <v/>
      </c>
    </row>
    <row r="68">
      <c r="C68" s="6" t="inlineStr">
        <is>
          <t>Opex</t>
        </is>
      </c>
      <c r="D68" s="2" t="inlineStr">
        <is>
          <t>EUR k</t>
        </is>
      </c>
      <c r="H68" s="8">
        <f>SUM(J68:AS68)</f>
        <v/>
      </c>
      <c r="J68" s="8">
        <f>Calc!M191</f>
        <v/>
      </c>
      <c r="K68" s="8">
        <f>Calc!N191</f>
        <v/>
      </c>
      <c r="L68" s="8">
        <f>Calc!O191</f>
        <v/>
      </c>
      <c r="M68" s="8">
        <f>Calc!P191</f>
        <v/>
      </c>
      <c r="N68" s="8">
        <f>Calc!Q191</f>
        <v/>
      </c>
      <c r="O68" s="8">
        <f>Calc!R191</f>
        <v/>
      </c>
      <c r="P68" s="8">
        <f>Calc!S191</f>
        <v/>
      </c>
      <c r="Q68" s="8">
        <f>Calc!T191</f>
        <v/>
      </c>
      <c r="R68" s="8">
        <f>Calc!U191</f>
        <v/>
      </c>
      <c r="S68" s="8">
        <f>Calc!V191</f>
        <v/>
      </c>
      <c r="T68" s="8">
        <f>Calc!W191</f>
        <v/>
      </c>
      <c r="U68" s="8">
        <f>Calc!X191</f>
        <v/>
      </c>
      <c r="V68" s="8">
        <f>Calc!Y191</f>
        <v/>
      </c>
      <c r="W68" s="8">
        <f>Calc!Z191</f>
        <v/>
      </c>
      <c r="X68" s="8">
        <f>Calc!AA191</f>
        <v/>
      </c>
      <c r="Y68" s="8">
        <f>Calc!AB191</f>
        <v/>
      </c>
      <c r="Z68" s="8">
        <f>Calc!AC191</f>
        <v/>
      </c>
      <c r="AA68" s="8">
        <f>Calc!AD191</f>
        <v/>
      </c>
      <c r="AB68" s="8">
        <f>Calc!AE191</f>
        <v/>
      </c>
      <c r="AC68" s="8">
        <f>Calc!AF191</f>
        <v/>
      </c>
      <c r="AD68" s="8">
        <f>Calc!AG191</f>
        <v/>
      </c>
      <c r="AE68" s="8">
        <f>Calc!AH191</f>
        <v/>
      </c>
      <c r="AF68" s="8">
        <f>Calc!AI191</f>
        <v/>
      </c>
      <c r="AG68" s="8">
        <f>Calc!AJ191</f>
        <v/>
      </c>
      <c r="AH68" s="8">
        <f>Calc!AK191</f>
        <v/>
      </c>
      <c r="AI68" s="8">
        <f>Calc!AL191</f>
        <v/>
      </c>
      <c r="AJ68" s="8">
        <f>Calc!AM191</f>
        <v/>
      </c>
      <c r="AK68" s="8">
        <f>Calc!AN191</f>
        <v/>
      </c>
      <c r="AL68" s="8">
        <f>Calc!AO191</f>
        <v/>
      </c>
      <c r="AM68" s="8">
        <f>Calc!AP191</f>
        <v/>
      </c>
      <c r="AN68" s="8">
        <f>Calc!AQ191</f>
        <v/>
      </c>
      <c r="AO68" s="8">
        <f>Calc!AR191</f>
        <v/>
      </c>
      <c r="AP68" s="8">
        <f>Calc!AS191</f>
        <v/>
      </c>
      <c r="AQ68" s="8">
        <f>Calc!AT191</f>
        <v/>
      </c>
      <c r="AR68" s="8">
        <f>Calc!AU191</f>
        <v/>
      </c>
      <c r="AS68" s="8">
        <f>Calc!AV191</f>
        <v/>
      </c>
    </row>
    <row r="69">
      <c r="C69" s="6" t="inlineStr">
        <is>
          <t>EBITDA</t>
        </is>
      </c>
      <c r="D69" s="2" t="inlineStr">
        <is>
          <t>EUR k</t>
        </is>
      </c>
      <c r="H69" s="8">
        <f>SUM(J69:AS69)</f>
        <v/>
      </c>
      <c r="J69" s="8">
        <f>Calc!M192</f>
        <v/>
      </c>
      <c r="K69" s="8">
        <f>Calc!N192</f>
        <v/>
      </c>
      <c r="L69" s="8">
        <f>Calc!O192</f>
        <v/>
      </c>
      <c r="M69" s="8">
        <f>Calc!P192</f>
        <v/>
      </c>
      <c r="N69" s="8">
        <f>Calc!Q192</f>
        <v/>
      </c>
      <c r="O69" s="8">
        <f>Calc!R192</f>
        <v/>
      </c>
      <c r="P69" s="8">
        <f>Calc!S192</f>
        <v/>
      </c>
      <c r="Q69" s="8">
        <f>Calc!T192</f>
        <v/>
      </c>
      <c r="R69" s="8">
        <f>Calc!U192</f>
        <v/>
      </c>
      <c r="S69" s="8">
        <f>Calc!V192</f>
        <v/>
      </c>
      <c r="T69" s="8">
        <f>Calc!W192</f>
        <v/>
      </c>
      <c r="U69" s="8">
        <f>Calc!X192</f>
        <v/>
      </c>
      <c r="V69" s="8">
        <f>Calc!Y192</f>
        <v/>
      </c>
      <c r="W69" s="8">
        <f>Calc!Z192</f>
        <v/>
      </c>
      <c r="X69" s="8">
        <f>Calc!AA192</f>
        <v/>
      </c>
      <c r="Y69" s="8">
        <f>Calc!AB192</f>
        <v/>
      </c>
      <c r="Z69" s="8">
        <f>Calc!AC192</f>
        <v/>
      </c>
      <c r="AA69" s="8">
        <f>Calc!AD192</f>
        <v/>
      </c>
      <c r="AB69" s="8">
        <f>Calc!AE192</f>
        <v/>
      </c>
      <c r="AC69" s="8">
        <f>Calc!AF192</f>
        <v/>
      </c>
      <c r="AD69" s="8">
        <f>Calc!AG192</f>
        <v/>
      </c>
      <c r="AE69" s="8">
        <f>Calc!AH192</f>
        <v/>
      </c>
      <c r="AF69" s="8">
        <f>Calc!AI192</f>
        <v/>
      </c>
      <c r="AG69" s="8">
        <f>Calc!AJ192</f>
        <v/>
      </c>
      <c r="AH69" s="8">
        <f>Calc!AK192</f>
        <v/>
      </c>
      <c r="AI69" s="8">
        <f>Calc!AL192</f>
        <v/>
      </c>
      <c r="AJ69" s="8">
        <f>Calc!AM192</f>
        <v/>
      </c>
      <c r="AK69" s="8">
        <f>Calc!AN192</f>
        <v/>
      </c>
      <c r="AL69" s="8">
        <f>Calc!AO192</f>
        <v/>
      </c>
      <c r="AM69" s="8">
        <f>Calc!AP192</f>
        <v/>
      </c>
      <c r="AN69" s="8">
        <f>Calc!AQ192</f>
        <v/>
      </c>
      <c r="AO69" s="8">
        <f>Calc!AR192</f>
        <v/>
      </c>
      <c r="AP69" s="8">
        <f>Calc!AS192</f>
        <v/>
      </c>
      <c r="AQ69" s="8">
        <f>Calc!AT192</f>
        <v/>
      </c>
      <c r="AR69" s="8">
        <f>Calc!AU192</f>
        <v/>
      </c>
      <c r="AS69" s="8">
        <f>Calc!AV192</f>
        <v/>
      </c>
    </row>
    <row r="70">
      <c r="C70" s="1" t="inlineStr">
        <is>
          <t>Net cash flow</t>
        </is>
      </c>
      <c r="D70" s="2" t="inlineStr">
        <is>
          <t>EUR k</t>
        </is>
      </c>
      <c r="H70" s="15">
        <f>SUM(J70:AS70)</f>
        <v/>
      </c>
      <c r="J70" s="15">
        <f>Calc!M193</f>
        <v/>
      </c>
      <c r="K70" s="15">
        <f>Calc!N193</f>
        <v/>
      </c>
      <c r="L70" s="15">
        <f>Calc!O193</f>
        <v/>
      </c>
      <c r="M70" s="15">
        <f>Calc!P193</f>
        <v/>
      </c>
      <c r="N70" s="15">
        <f>Calc!Q193</f>
        <v/>
      </c>
      <c r="O70" s="15">
        <f>Calc!R193</f>
        <v/>
      </c>
      <c r="P70" s="15">
        <f>Calc!S193</f>
        <v/>
      </c>
      <c r="Q70" s="15">
        <f>Calc!T193</f>
        <v/>
      </c>
      <c r="R70" s="15">
        <f>Calc!U193</f>
        <v/>
      </c>
      <c r="S70" s="15">
        <f>Calc!V193</f>
        <v/>
      </c>
      <c r="T70" s="15">
        <f>Calc!W193</f>
        <v/>
      </c>
      <c r="U70" s="15">
        <f>Calc!X193</f>
        <v/>
      </c>
      <c r="V70" s="15">
        <f>Calc!Y193</f>
        <v/>
      </c>
      <c r="W70" s="15">
        <f>Calc!Z193</f>
        <v/>
      </c>
      <c r="X70" s="15">
        <f>Calc!AA193</f>
        <v/>
      </c>
      <c r="Y70" s="15">
        <f>Calc!AB193</f>
        <v/>
      </c>
      <c r="Z70" s="15">
        <f>Calc!AC193</f>
        <v/>
      </c>
      <c r="AA70" s="15">
        <f>Calc!AD193</f>
        <v/>
      </c>
      <c r="AB70" s="15">
        <f>Calc!AE193</f>
        <v/>
      </c>
      <c r="AC70" s="15">
        <f>Calc!AF193</f>
        <v/>
      </c>
      <c r="AD70" s="15">
        <f>Calc!AG193</f>
        <v/>
      </c>
      <c r="AE70" s="15">
        <f>Calc!AH193</f>
        <v/>
      </c>
      <c r="AF70" s="15">
        <f>Calc!AI193</f>
        <v/>
      </c>
      <c r="AG70" s="15">
        <f>Calc!AJ193</f>
        <v/>
      </c>
      <c r="AH70" s="15">
        <f>Calc!AK193</f>
        <v/>
      </c>
      <c r="AI70" s="15">
        <f>Calc!AL193</f>
        <v/>
      </c>
      <c r="AJ70" s="15">
        <f>Calc!AM193</f>
        <v/>
      </c>
      <c r="AK70" s="15">
        <f>Calc!AN193</f>
        <v/>
      </c>
      <c r="AL70" s="15">
        <f>Calc!AO193</f>
        <v/>
      </c>
      <c r="AM70" s="15">
        <f>Calc!AP193</f>
        <v/>
      </c>
      <c r="AN70" s="15">
        <f>Calc!AQ193</f>
        <v/>
      </c>
      <c r="AO70" s="15">
        <f>Calc!AR193</f>
        <v/>
      </c>
      <c r="AP70" s="15">
        <f>Calc!AS193</f>
        <v/>
      </c>
      <c r="AQ70" s="15">
        <f>Calc!AT193</f>
        <v/>
      </c>
      <c r="AR70" s="15">
        <f>Calc!AU193</f>
        <v/>
      </c>
      <c r="AS70" s="15">
        <f>Calc!AV193</f>
        <v/>
      </c>
    </row>
    <row r="71">
      <c r="C71" s="6" t="inlineStr">
        <is>
          <t>Cumulative net cash flow</t>
        </is>
      </c>
      <c r="D71" s="2" t="inlineStr">
        <is>
          <t>EUR k</t>
        </is>
      </c>
      <c r="J71" s="8">
        <f>SUM($J70:J70)</f>
        <v/>
      </c>
      <c r="K71" s="8">
        <f>SUM($J70:K70)</f>
        <v/>
      </c>
      <c r="L71" s="8">
        <f>SUM($J70:L70)</f>
        <v/>
      </c>
      <c r="M71" s="8">
        <f>SUM($J70:M70)</f>
        <v/>
      </c>
      <c r="N71" s="8">
        <f>SUM($J70:N70)</f>
        <v/>
      </c>
      <c r="O71" s="8">
        <f>SUM($J70:O70)</f>
        <v/>
      </c>
      <c r="P71" s="8">
        <f>SUM($J70:P70)</f>
        <v/>
      </c>
      <c r="Q71" s="8">
        <f>SUM($J70:Q70)</f>
        <v/>
      </c>
      <c r="R71" s="8">
        <f>SUM($J70:R70)</f>
        <v/>
      </c>
      <c r="S71" s="8">
        <f>SUM($J70:S70)</f>
        <v/>
      </c>
      <c r="T71" s="8">
        <f>SUM($J70:T70)</f>
        <v/>
      </c>
      <c r="U71" s="8">
        <f>SUM($J70:U70)</f>
        <v/>
      </c>
      <c r="V71" s="8">
        <f>SUM($J70:V70)</f>
        <v/>
      </c>
      <c r="W71" s="8">
        <f>SUM($J70:W70)</f>
        <v/>
      </c>
      <c r="X71" s="8">
        <f>SUM($J70:X70)</f>
        <v/>
      </c>
      <c r="Y71" s="8">
        <f>SUM($J70:Y70)</f>
        <v/>
      </c>
      <c r="Z71" s="8">
        <f>SUM($J70:Z70)</f>
        <v/>
      </c>
      <c r="AA71" s="8">
        <f>SUM($J70:AA70)</f>
        <v/>
      </c>
      <c r="AB71" s="8">
        <f>SUM($J70:AB70)</f>
        <v/>
      </c>
      <c r="AC71" s="8">
        <f>SUM($J70:AC70)</f>
        <v/>
      </c>
      <c r="AD71" s="8">
        <f>SUM($J70:AD70)</f>
        <v/>
      </c>
      <c r="AE71" s="8">
        <f>SUM($J70:AE70)</f>
        <v/>
      </c>
      <c r="AF71" s="8">
        <f>SUM($J70:AF70)</f>
        <v/>
      </c>
      <c r="AG71" s="8">
        <f>SUM($J70:AG70)</f>
        <v/>
      </c>
      <c r="AH71" s="8">
        <f>SUM($J70:AH70)</f>
        <v/>
      </c>
      <c r="AI71" s="8">
        <f>SUM($J70:AI70)</f>
        <v/>
      </c>
      <c r="AJ71" s="8">
        <f>SUM($J70:AJ70)</f>
        <v/>
      </c>
      <c r="AK71" s="8">
        <f>SUM($J70:AK70)</f>
        <v/>
      </c>
      <c r="AL71" s="8">
        <f>SUM($J70:AL70)</f>
        <v/>
      </c>
      <c r="AM71" s="8">
        <f>SUM($J70:AM70)</f>
        <v/>
      </c>
      <c r="AN71" s="8">
        <f>SUM($J70:AN70)</f>
        <v/>
      </c>
      <c r="AO71" s="8">
        <f>SUM($J70:AO70)</f>
        <v/>
      </c>
      <c r="AP71" s="8">
        <f>SUM($J70:AP70)</f>
        <v/>
      </c>
      <c r="AQ71" s="8">
        <f>SUM($J70:AQ70)</f>
        <v/>
      </c>
      <c r="AR71" s="8">
        <f>SUM($J70:AR70)</f>
        <v/>
      </c>
      <c r="AS71" s="8">
        <f>SUM($J70:AS70)</f>
        <v/>
      </c>
    </row>
    <row r="73">
      <c r="C73" s="20" t="inlineStr">
        <is>
          <t>***END***</t>
        </is>
      </c>
    </row>
  </sheetData>
  <conditionalFormatting sqref="H3">
    <cfRule type="cellIs" priority="1" operator="equal" dxfId="0">
      <formula>0</formula>
    </cfRule>
    <cfRule type="cellIs" priority="2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V21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</cols>
  <sheetData>
    <row r="2">
      <c r="C2" s="1" t="inlineStr">
        <is>
          <t>HU wind bids – calculations (EUR k; key inputs on the Dashboard, others on Inputs)</t>
        </is>
      </c>
    </row>
    <row r="5">
      <c r="B5" s="4" t="inlineStr">
        <is>
          <t>x</t>
        </is>
      </c>
      <c r="C5" s="4" t="inlineStr">
        <is>
          <t>Bid points and capacity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Points – municipal one-off</t>
        </is>
      </c>
      <c r="D6" s="2" t="inlineStr">
        <is>
          <t>points</t>
        </is>
      </c>
      <c r="E6" s="21">
        <f>INDEX(Osz1_Pts,1+SUMPRODUCT((Osz1_LB&lt;Dashboard!E$11)+(Osz1_LB=Dashboard!E$11)*Osz1_Incl))*Osz1_W</f>
        <v/>
      </c>
      <c r="F6" s="21">
        <f>INDEX(Osz1_Pts,1+SUMPRODUCT((Osz1_LB&lt;Dashboard!F$11)+(Osz1_LB=Dashboard!F$11)*Osz1_Incl))*Osz1_W</f>
        <v/>
      </c>
      <c r="G6" s="21">
        <f>INDEX(Osz1_Pts,1+SUMPRODUCT((Osz1_LB&lt;Dashboard!G$11)+(Osz1_LB=Dashboard!G$11)*Osz1_Incl))*Osz1_W</f>
        <v/>
      </c>
    </row>
    <row r="7">
      <c r="C7" s="6" t="inlineStr">
        <is>
          <t>Points – community contribution</t>
        </is>
      </c>
      <c r="D7" s="2" t="inlineStr">
        <is>
          <t>points</t>
        </is>
      </c>
      <c r="E7" s="21">
        <f>INDEX(Osz2_Pts,1+SUMPRODUCT((Osz2_LB&lt;Dashboard!E$12)+(Osz2_LB=Dashboard!E$12)*Osz2_Incl))*Osz2_W</f>
        <v/>
      </c>
      <c r="F7" s="21">
        <f>INDEX(Osz2_Pts,1+SUMPRODUCT((Osz2_LB&lt;Dashboard!F$12)+(Osz2_LB=Dashboard!F$12)*Osz2_Incl))*Osz2_W</f>
        <v/>
      </c>
      <c r="G7" s="21">
        <f>INDEX(Osz2_Pts,1+SUMPRODUCT((Osz2_LB&lt;Dashboard!G$12)+(Osz2_LB=Dashboard!G$12)*Osz2_Incl))*Osz2_W</f>
        <v/>
      </c>
    </row>
    <row r="8">
      <c r="C8" s="6" t="inlineStr">
        <is>
          <t>Points – overbuild</t>
        </is>
      </c>
      <c r="D8" s="2" t="inlineStr">
        <is>
          <t>points</t>
        </is>
      </c>
      <c r="E8" s="21">
        <f>INDEX(Osz3_Pts,1+SUMPRODUCT((Osz3_LB&lt;Dashboard!E$7)+(Osz3_LB=Dashboard!E$7)*Osz3_Incl))*Osz3_W</f>
        <v/>
      </c>
      <c r="F8" s="21">
        <f>INDEX(Osz3_Pts,1+SUMPRODUCT((Osz3_LB&lt;Dashboard!F$7)+(Osz3_LB=Dashboard!F$7)*Osz3_Incl))*Osz3_W</f>
        <v/>
      </c>
      <c r="G8" s="21">
        <f>INDEX(Osz3_Pts,1+SUMPRODUCT((Osz3_LB&lt;Dashboard!G$7)+(Osz3_LB=Dashboard!G$7)*Osz3_Incl))*Osz3_W</f>
        <v/>
      </c>
    </row>
    <row r="9">
      <c r="C9" s="6" t="inlineStr">
        <is>
          <t>Points – BESS</t>
        </is>
      </c>
      <c r="D9" s="2" t="inlineStr">
        <is>
          <t>points</t>
        </is>
      </c>
      <c r="E9" s="21">
        <f>INDEX(Osz3_Pts,1+SUMPRODUCT((Osz3_LB&lt;Dashboard!E$8)+(Osz3_LB=Dashboard!E$8)*Osz3_Incl))*Osz4_W</f>
        <v/>
      </c>
      <c r="F9" s="21">
        <f>INDEX(Osz3_Pts,1+SUMPRODUCT((Osz3_LB&lt;Dashboard!F$8)+(Osz3_LB=Dashboard!F$8)*Osz3_Incl))*Osz4_W</f>
        <v/>
      </c>
      <c r="G9" s="21">
        <f>INDEX(Osz3_Pts,1+SUMPRODUCT((Osz3_LB&lt;Dashboard!G$8)+(Osz3_LB=Dashboard!G$8)*Osz3_Incl))*Osz4_W</f>
        <v/>
      </c>
    </row>
    <row r="10">
      <c r="C10" s="6" t="inlineStr">
        <is>
          <t>Points – partial award</t>
        </is>
      </c>
      <c r="D10" s="2" t="inlineStr">
        <is>
          <t>points</t>
        </is>
      </c>
      <c r="E10" s="21">
        <f>Dashboard!E$13*Osz5_Pts*Osz5_W</f>
        <v/>
      </c>
      <c r="F10" s="21">
        <f>Dashboard!F$13*Osz5_Pts*Osz5_W</f>
        <v/>
      </c>
      <c r="G10" s="21">
        <f>Dashboard!G$13*Osz5_Pts*Osz5_W</f>
        <v/>
      </c>
    </row>
    <row r="11">
      <c r="C11" s="6" t="inlineStr">
        <is>
          <t>Points – performance security</t>
        </is>
      </c>
      <c r="D11" s="2" t="inlineStr">
        <is>
          <t>points</t>
        </is>
      </c>
      <c r="E11" s="21">
        <f>INDEX(Osz6_Pts,1+SUMPRODUCT((Osz6_LB&lt;Dashboard!E$14)+(Osz6_LB=Dashboard!E$14)*Osz6_Incl))*Osz6_W</f>
        <v/>
      </c>
      <c r="F11" s="21">
        <f>INDEX(Osz6_Pts,1+SUMPRODUCT((Osz6_LB&lt;Dashboard!F$14)+(Osz6_LB=Dashboard!F$14)*Osz6_Incl))*Osz6_W</f>
        <v/>
      </c>
      <c r="G11" s="21">
        <f>INDEX(Osz6_Pts,1+SUMPRODUCT((Osz6_LB&lt;Dashboard!G$14)+(Osz6_LB=Dashboard!G$14)*Osz6_Incl))*Osz6_W</f>
        <v/>
      </c>
    </row>
    <row r="12">
      <c r="C12" s="6" t="inlineStr">
        <is>
          <t>Points – brownfield</t>
        </is>
      </c>
      <c r="D12" s="2" t="inlineStr">
        <is>
          <t>points</t>
        </is>
      </c>
      <c r="E12" s="21">
        <f>Dashboard!E$15*Osz7_Pts*Osz7_W</f>
        <v/>
      </c>
      <c r="F12" s="21">
        <f>Dashboard!F$15*Osz7_Pts*Osz7_W</f>
        <v/>
      </c>
      <c r="G12" s="21">
        <f>Dashboard!G$15*Osz7_Pts*Osz7_W</f>
        <v/>
      </c>
    </row>
    <row r="13">
      <c r="C13" s="6" t="inlineStr">
        <is>
          <t>Points – shared connection</t>
        </is>
      </c>
      <c r="D13" s="2" t="inlineStr">
        <is>
          <t>points</t>
        </is>
      </c>
      <c r="E13" s="21">
        <f>Dashboard!E$16*Osz8_Pts*Osz8_W</f>
        <v/>
      </c>
      <c r="F13" s="21">
        <f>Dashboard!F$16*Osz8_Pts*Osz8_W</f>
        <v/>
      </c>
      <c r="G13" s="21">
        <f>Dashboard!G$16*Osz8_Pts*Osz8_W</f>
        <v/>
      </c>
    </row>
    <row r="14">
      <c r="C14" s="6" t="inlineStr">
        <is>
          <t>Points – EU turbines</t>
        </is>
      </c>
      <c r="D14" s="2" t="inlineStr">
        <is>
          <t>points</t>
        </is>
      </c>
      <c r="E14" s="21">
        <f>N(Dashboard!E$17="EU")*Osz9a_Pts*Osz9_W</f>
        <v/>
      </c>
      <c r="F14" s="21">
        <f>N(Dashboard!F$17="EU")*Osz9a_Pts*Osz9_W</f>
        <v/>
      </c>
      <c r="G14" s="21">
        <f>N(Dashboard!G$17="EU")*Osz9a_Pts*Osz9_W</f>
        <v/>
      </c>
    </row>
    <row r="15">
      <c r="C15" s="6" t="inlineStr">
        <is>
          <t>Points – EU transformers</t>
        </is>
      </c>
      <c r="D15" s="2" t="inlineStr">
        <is>
          <t>points</t>
        </is>
      </c>
      <c r="E15" s="21">
        <f>Inputs!E19*Osz9b_Pts*Osz9_W</f>
        <v/>
      </c>
      <c r="F15" s="21">
        <f>Inputs!F19*Osz9b_Pts*Osz9_W</f>
        <v/>
      </c>
      <c r="G15" s="21">
        <f>Inputs!G19*Osz9b_Pts*Osz9_W</f>
        <v/>
      </c>
    </row>
    <row r="16">
      <c r="C16" s="1" t="inlineStr">
        <is>
          <t>Points total</t>
        </is>
      </c>
      <c r="D16" s="2" t="inlineStr">
        <is>
          <t>points</t>
        </is>
      </c>
      <c r="E16" s="22">
        <f>SUM(E6:E15)</f>
        <v/>
      </c>
      <c r="F16" s="22">
        <f>SUM(F6:F15)</f>
        <v/>
      </c>
      <c r="G16" s="22">
        <f>SUM(G6:G15)</f>
        <v/>
      </c>
    </row>
    <row r="17">
      <c r="C17" s="6" t="inlineStr">
        <is>
          <t>Wind committed in the bid</t>
        </is>
      </c>
      <c r="D17" s="2" t="inlineStr">
        <is>
          <t>MW</t>
        </is>
      </c>
      <c r="E17" s="21">
        <f>Dashboard!E$6*(1+Dashboard!E$7)</f>
        <v/>
      </c>
      <c r="F17" s="21">
        <f>Dashboard!F$6*(1+Dashboard!F$7)</f>
        <v/>
      </c>
      <c r="G17" s="21">
        <f>Dashboard!G$6*(1+Dashboard!G$7)</f>
        <v/>
      </c>
      <c r="H17" s="21">
        <f>SUM(E17:G17)</f>
        <v/>
      </c>
    </row>
    <row r="18">
      <c r="C18" s="6" t="inlineStr">
        <is>
          <t>BESS energy</t>
        </is>
      </c>
      <c r="D18" s="2" t="inlineStr">
        <is>
          <t>MWh</t>
        </is>
      </c>
      <c r="E18" s="21">
        <f>Dashboard!E$6*Dashboard!E$8*Dashboard!E$9</f>
        <v/>
      </c>
      <c r="F18" s="21">
        <f>Dashboard!F$6*Dashboard!F$8*Dashboard!F$9</f>
        <v/>
      </c>
      <c r="G18" s="21">
        <f>Dashboard!G$6*Dashboard!G$8*Dashboard!G$9</f>
        <v/>
      </c>
      <c r="H18" s="21">
        <f>SUM(E18:G18)</f>
        <v/>
      </c>
    </row>
    <row r="19">
      <c r="C19" s="6" t="inlineStr">
        <is>
          <t>Wind built (committed less the build shortfall)</t>
        </is>
      </c>
      <c r="D19" s="2" t="inlineStr">
        <is>
          <t>MW</t>
        </is>
      </c>
      <c r="E19" s="21">
        <f>E17*(1-Dashboard!E$10)</f>
        <v/>
      </c>
      <c r="F19" s="21">
        <f>F17*(1-Dashboard!F$10)</f>
        <v/>
      </c>
      <c r="G19" s="21">
        <f>G17*(1-Dashboard!G$10)</f>
        <v/>
      </c>
      <c r="H19" s="21">
        <f>SUM(E19:G19)</f>
        <v/>
      </c>
    </row>
    <row r="21">
      <c r="B21" s="4" t="inlineStr">
        <is>
          <t>x</t>
        </is>
      </c>
      <c r="C21" s="4" t="inlineStr">
        <is>
          <t>Deposits, fees and devex to RtB (HUF rates at the FX rate; dates: FEP cash flows below)</t>
        </is>
      </c>
      <c r="D21" s="4" t="n"/>
      <c r="E21" s="5" t="inlineStr">
        <is>
          <t>Bora</t>
        </is>
      </c>
      <c r="F21" s="5" t="inlineStr">
        <is>
          <t>Iváncsa</t>
        </is>
      </c>
      <c r="G21" s="5" t="inlineStr">
        <is>
          <t>Dunaújváros</t>
        </is>
      </c>
      <c r="H21" s="5" t="inlineStr">
        <is>
          <t>Total</t>
        </is>
      </c>
    </row>
    <row r="22">
      <c r="C22" s="6" t="inlineStr">
        <is>
          <t>Security base (benchmark investment), not cash</t>
        </is>
      </c>
      <c r="D22" s="2" t="inlineStr">
        <is>
          <t>EUR k</t>
        </is>
      </c>
      <c r="E22" s="8">
        <f>(E17*Bench_Wind+E18*Bench_BESS)/FX/Thousand</f>
        <v/>
      </c>
      <c r="F22" s="8">
        <f>(F17*Bench_Wind+F18*Bench_BESS)/FX/Thousand</f>
        <v/>
      </c>
      <c r="G22" s="8">
        <f>(G17*Bench_Wind+G18*Bench_BESS)/FX/Thousand</f>
        <v/>
      </c>
      <c r="H22" s="8">
        <f>SUM(E22:G22)</f>
        <v/>
      </c>
    </row>
    <row r="23">
      <c r="C23" s="6" t="inlineStr">
        <is>
          <t>Participation fee</t>
        </is>
      </c>
      <c r="D23" s="2" t="inlineStr">
        <is>
          <t>EUR k</t>
        </is>
      </c>
      <c r="E23" s="21">
        <f>Part_Fee/FX/Thousand</f>
        <v/>
      </c>
      <c r="F23" s="21">
        <f>Part_Fee/FX/Thousand</f>
        <v/>
      </c>
      <c r="G23" s="21">
        <f>Part_Fee/FX/Thousand</f>
        <v/>
      </c>
      <c r="H23" s="21">
        <f>SUM(E23:G23)</f>
        <v/>
      </c>
    </row>
    <row r="24">
      <c r="C24" s="6" t="inlineStr">
        <is>
          <t>Bid security (cash)</t>
        </is>
      </c>
      <c r="D24" s="2" t="inlineStr">
        <is>
          <t>EUR k</t>
        </is>
      </c>
      <c r="E24" s="8">
        <f>Bid_Sec_Rate*E22</f>
        <v/>
      </c>
      <c r="F24" s="8">
        <f>Bid_Sec_Rate*F22</f>
        <v/>
      </c>
      <c r="G24" s="8">
        <f>Bid_Sec_Rate*G22</f>
        <v/>
      </c>
      <c r="H24" s="8">
        <f>SUM(E24:G24)</f>
        <v/>
      </c>
    </row>
    <row r="25">
      <c r="C25" s="6" t="inlineStr">
        <is>
          <t>Performance security payable (bid security deducted)</t>
        </is>
      </c>
      <c r="D25" s="2" t="inlineStr">
        <is>
          <t>EUR k</t>
        </is>
      </c>
      <c r="E25" s="8">
        <f>PB_Rate*Dashboard!E$14*E22-E24</f>
        <v/>
      </c>
      <c r="F25" s="8">
        <f>PB_Rate*Dashboard!F$14*F22-F24</f>
        <v/>
      </c>
      <c r="G25" s="8">
        <f>PB_Rate*Dashboard!G$14*G22-G24</f>
        <v/>
      </c>
      <c r="H25" s="8">
        <f>SUM(E25:G25)</f>
        <v/>
      </c>
    </row>
    <row r="26">
      <c r="C26" s="6" t="inlineStr">
        <is>
          <t>TSO connection-request security</t>
        </is>
      </c>
      <c r="D26" s="2" t="inlineStr">
        <is>
          <t>EUR k</t>
        </is>
      </c>
      <c r="E26" s="8">
        <f>TSO_Rate*Dashboard!E$6/FX/Thousand</f>
        <v/>
      </c>
      <c r="F26" s="8">
        <f>TSO_Rate*Dashboard!F$6/FX/Thousand</f>
        <v/>
      </c>
      <c r="G26" s="8">
        <f>TSO_Rate*Dashboard!G$6/FX/Thousand</f>
        <v/>
      </c>
      <c r="H26" s="8">
        <f>SUM(E26:G26)</f>
        <v/>
      </c>
    </row>
    <row r="27">
      <c r="C27" s="6" t="inlineStr">
        <is>
          <t>Direct connection fee (per point ÷ bids sharing it)</t>
        </is>
      </c>
      <c r="D27" s="2" t="inlineStr">
        <is>
          <t>EUR k</t>
        </is>
      </c>
      <c r="E27" s="8">
        <f>Inputs!E$15/Inputs!E$16/FX/Thousand</f>
        <v/>
      </c>
      <c r="F27" s="8">
        <f>Inputs!F$15/Inputs!F$16/FX/Thousand</f>
        <v/>
      </c>
      <c r="G27" s="8">
        <f>Inputs!G$15/Inputs!G$16/FX/Thousand</f>
        <v/>
      </c>
      <c r="H27" s="8">
        <f>SUM(E27:G27)</f>
        <v/>
      </c>
    </row>
    <row r="28">
      <c r="C28" s="6" t="inlineStr">
        <is>
          <t>Indirect connection fee, payable (TSO security deducted)</t>
        </is>
      </c>
      <c r="D28" s="2" t="inlineStr">
        <is>
          <t>EUR k</t>
        </is>
      </c>
      <c r="E28" s="8">
        <f>Inputs!E$14*Dashboard!E$6/FX/Thousand-E26</f>
        <v/>
      </c>
      <c r="F28" s="8">
        <f>Inputs!F$14*Dashboard!F$6/FX/Thousand-F26</f>
        <v/>
      </c>
      <c r="G28" s="8">
        <f>Inputs!G$14*Dashboard!G$6/FX/Thousand-G26</f>
        <v/>
      </c>
      <c r="H28" s="8">
        <f>SUM(E28:G28)</f>
        <v/>
      </c>
    </row>
    <row r="29">
      <c r="C29" s="6" t="inlineStr">
        <is>
          <t>Devex incl. contingency</t>
        </is>
      </c>
      <c r="D29" s="2" t="inlineStr">
        <is>
          <t>EUR k</t>
        </is>
      </c>
      <c r="E29" s="8">
        <f>Inputs!E$18</f>
        <v/>
      </c>
      <c r="F29" s="8">
        <f>Inputs!F$18</f>
        <v/>
      </c>
      <c r="G29" s="8">
        <f>Inputs!G$18</f>
        <v/>
      </c>
      <c r="H29" s="8">
        <f>SUM(E29:G29)</f>
        <v/>
      </c>
    </row>
    <row r="30">
      <c r="C30" s="6" t="inlineStr">
        <is>
          <t>Signing fee and DD</t>
        </is>
      </c>
      <c r="D30" s="2" t="inlineStr">
        <is>
          <t>EUR k</t>
        </is>
      </c>
      <c r="E30" s="8">
        <f>Inputs!E$17</f>
        <v/>
      </c>
      <c r="F30" s="8">
        <f>Inputs!F$17</f>
        <v/>
      </c>
      <c r="G30" s="8">
        <f>Inputs!G$17</f>
        <v/>
      </c>
      <c r="H30" s="8">
        <f>SUM(E30:G30)</f>
        <v/>
      </c>
    </row>
    <row r="31">
      <c r="C31" s="1" t="inlineStr">
        <is>
          <t>Total cash to RtB</t>
        </is>
      </c>
      <c r="D31" s="2" t="inlineStr">
        <is>
          <t>EUR k</t>
        </is>
      </c>
      <c r="E31" s="23">
        <f>SUM(E23:E30)</f>
        <v/>
      </c>
      <c r="F31" s="23">
        <f>SUM(F23:F30)</f>
        <v/>
      </c>
      <c r="G31" s="23">
        <f>SUM(G23:G30)</f>
        <v/>
      </c>
      <c r="H31" s="23">
        <f>SUM(E31:G31)</f>
        <v/>
      </c>
    </row>
    <row r="33">
      <c r="B33" s="4" t="inlineStr">
        <is>
          <t>x</t>
        </is>
      </c>
      <c r="C33" s="4" t="inlineStr">
        <is>
          <t>RtB exit: FEP claims at the sale (interest to the freeze)</t>
        </is>
      </c>
      <c r="D33" s="4" t="n"/>
      <c r="E33" s="5" t="inlineStr">
        <is>
          <t>Bora</t>
        </is>
      </c>
      <c r="F33" s="5" t="inlineStr">
        <is>
          <t>Iváncsa</t>
        </is>
      </c>
      <c r="G33" s="5" t="inlineStr">
        <is>
          <t>Dunaújváros</t>
        </is>
      </c>
      <c r="H33" s="5" t="inlineStr">
        <is>
          <t>Total</t>
        </is>
      </c>
    </row>
    <row r="34">
      <c r="C34" s="6" t="inlineStr">
        <is>
          <t>Interest accrual end (earlier of freeze and sale)</t>
        </is>
      </c>
      <c r="D34" s="2" t="inlineStr">
        <is>
          <t>date</t>
        </is>
      </c>
      <c r="E34" s="24">
        <f>MIN(Freeze_Date,Sale_Date)</f>
        <v/>
      </c>
      <c r="F34" s="24">
        <f>MIN(Freeze_Date,Sale_Date)</f>
        <v/>
      </c>
      <c r="G34" s="24">
        <f>MIN(Freeze_Date,Sale_Date)</f>
        <v/>
      </c>
    </row>
    <row r="35">
      <c r="C35" s="6" t="inlineStr">
        <is>
          <t>Accrual factor in the end year, cash rate</t>
        </is>
      </c>
      <c r="D35" s="2" t="inlineStr">
        <is>
          <t>x</t>
        </is>
      </c>
      <c r="E35" s="25">
        <f>1+Rate_Cash*(E34-DATE(YEAR(E34),1,1)+1)/Days_In_Year</f>
        <v/>
      </c>
      <c r="F35" s="25">
        <f>1+Rate_Cash*(F34-DATE(YEAR(F34),1,1)+1)/Days_In_Year</f>
        <v/>
      </c>
      <c r="G35" s="25">
        <f>1+Rate_Cash*(G34-DATE(YEAR(G34),1,1)+1)/Days_In_Year</f>
        <v/>
      </c>
    </row>
    <row r="36">
      <c r="C36" s="6" t="inlineStr">
        <is>
          <t>Accrual factor in the end year, devex rate</t>
        </is>
      </c>
      <c r="D36" s="2" t="inlineStr">
        <is>
          <t>x</t>
        </is>
      </c>
      <c r="E36" s="25">
        <f>1+Rate_Devex*(E34-DATE(YEAR(E34),1,1)+1)/Days_In_Year</f>
        <v/>
      </c>
      <c r="F36" s="25">
        <f>1+Rate_Devex*(F34-DATE(YEAR(F34),1,1)+1)/Days_In_Year</f>
        <v/>
      </c>
      <c r="G36" s="25">
        <f>1+Rate_Devex*(G34-DATE(YEAR(G34),1,1)+1)/Days_In_Year</f>
        <v/>
      </c>
    </row>
    <row r="37">
      <c r="C37" s="6" t="inlineStr">
        <is>
          <t>Days to the first 31-Dec from bid submission</t>
        </is>
      </c>
      <c r="D37" s="2" t="inlineStr">
        <is>
          <t>days</t>
        </is>
      </c>
      <c r="E37" s="26">
        <f>DATE(YEAR(Inputs!E$21)+1,1,1)-Inputs!E$21</f>
        <v/>
      </c>
      <c r="F37" s="26">
        <f>DATE(YEAR(Inputs!F$21)+1,1,1)-Inputs!F$21</f>
        <v/>
      </c>
      <c r="G37" s="26">
        <f>DATE(YEAR(Inputs!G$21)+1,1,1)-Inputs!G$21</f>
        <v/>
      </c>
    </row>
    <row r="38">
      <c r="C38" s="6" t="inlineStr">
        <is>
          <t>Accrual factor from bid submission</t>
        </is>
      </c>
      <c r="D38" s="2" t="inlineStr">
        <is>
          <t>x</t>
        </is>
      </c>
      <c r="E38" s="25">
        <f>(1+Rate_Cash*E37/Days_In_Year)*(1+Rate_Cash)^(YEAR(E34)-YEAR(Inputs!E$21)-1)*E35</f>
        <v/>
      </c>
      <c r="F38" s="25">
        <f>(1+Rate_Cash*F37/Days_In_Year)*(1+Rate_Cash)^(YEAR(F34)-YEAR(Inputs!F$21)-1)*F35</f>
        <v/>
      </c>
      <c r="G38" s="25">
        <f>(1+Rate_Cash*G37/Days_In_Year)*(1+Rate_Cash)^(YEAR(G34)-YEAR(Inputs!G$21)-1)*G35</f>
        <v/>
      </c>
    </row>
    <row r="39">
      <c r="C39" s="6" t="inlineStr">
        <is>
          <t>Days to the first 31-Dec from performance security posting</t>
        </is>
      </c>
      <c r="D39" s="2" t="inlineStr">
        <is>
          <t>days</t>
        </is>
      </c>
      <c r="E39" s="26">
        <f>DATE(YEAR(Inputs!E$22)+1,1,1)-Inputs!E$22</f>
        <v/>
      </c>
      <c r="F39" s="26">
        <f>DATE(YEAR(Inputs!F$22)+1,1,1)-Inputs!F$22</f>
        <v/>
      </c>
      <c r="G39" s="26">
        <f>DATE(YEAR(Inputs!G$22)+1,1,1)-Inputs!G$22</f>
        <v/>
      </c>
    </row>
    <row r="40">
      <c r="C40" s="6" t="inlineStr">
        <is>
          <t>Accrual factor from performance security posting</t>
        </is>
      </c>
      <c r="D40" s="2" t="inlineStr">
        <is>
          <t>x</t>
        </is>
      </c>
      <c r="E40" s="25">
        <f>(1+Rate_Cash*E39/Days_In_Year)*(1+Rate_Cash)^(YEAR(E34)-YEAR(Inputs!E$22)-1)*E35</f>
        <v/>
      </c>
      <c r="F40" s="25">
        <f>(1+Rate_Cash*F39/Days_In_Year)*(1+Rate_Cash)^(YEAR(F34)-YEAR(Inputs!F$22)-1)*F35</f>
        <v/>
      </c>
      <c r="G40" s="25">
        <f>(1+Rate_Cash*G39/Days_In_Year)*(1+Rate_Cash)^(YEAR(G34)-YEAR(Inputs!G$22)-1)*G35</f>
        <v/>
      </c>
    </row>
    <row r="41">
      <c r="C41" s="6" t="inlineStr">
        <is>
          <t>Days to the first 31-Dec from TSO security payment</t>
        </is>
      </c>
      <c r="D41" s="2" t="inlineStr">
        <is>
          <t>days</t>
        </is>
      </c>
      <c r="E41" s="26">
        <f>DATE(YEAR(Inputs!E$23)+1,1,1)-Inputs!E$23</f>
        <v/>
      </c>
      <c r="F41" s="26">
        <f>DATE(YEAR(Inputs!F$23)+1,1,1)-Inputs!F$23</f>
        <v/>
      </c>
      <c r="G41" s="26">
        <f>DATE(YEAR(Inputs!G$23)+1,1,1)-Inputs!G$23</f>
        <v/>
      </c>
    </row>
    <row r="42">
      <c r="C42" s="6" t="inlineStr">
        <is>
          <t>Accrual factor from TSO security payment</t>
        </is>
      </c>
      <c r="D42" s="2" t="inlineStr">
        <is>
          <t>x</t>
        </is>
      </c>
      <c r="E42" s="25">
        <f>(1+Rate_Cash*E41/Days_In_Year)*(1+Rate_Cash)^(YEAR(E34)-YEAR(Inputs!E$23)-1)*E35</f>
        <v/>
      </c>
      <c r="F42" s="25">
        <f>(1+Rate_Cash*F41/Days_In_Year)*(1+Rate_Cash)^(YEAR(F34)-YEAR(Inputs!F$23)-1)*F35</f>
        <v/>
      </c>
      <c r="G42" s="25">
        <f>(1+Rate_Cash*G41/Days_In_Year)*(1+Rate_Cash)^(YEAR(G34)-YEAR(Inputs!G$23)-1)*G35</f>
        <v/>
      </c>
    </row>
    <row r="43">
      <c r="C43" s="6" t="inlineStr">
        <is>
          <t>Days to the first 31-Dec from connection agreement (HCSSZ)</t>
        </is>
      </c>
      <c r="D43" s="2" t="inlineStr">
        <is>
          <t>days</t>
        </is>
      </c>
      <c r="E43" s="26">
        <f>DATE(YEAR(Inputs!E$24)+1,1,1)-Inputs!E$24</f>
        <v/>
      </c>
      <c r="F43" s="26">
        <f>DATE(YEAR(Inputs!F$24)+1,1,1)-Inputs!F$24</f>
        <v/>
      </c>
      <c r="G43" s="26">
        <f>DATE(YEAR(Inputs!G$24)+1,1,1)-Inputs!G$24</f>
        <v/>
      </c>
    </row>
    <row r="44">
      <c r="C44" s="6" t="inlineStr">
        <is>
          <t>Accrual factor from connection agreement (HCSSZ)</t>
        </is>
      </c>
      <c r="D44" s="2" t="inlineStr">
        <is>
          <t>x</t>
        </is>
      </c>
      <c r="E44" s="25">
        <f>(1+Rate_Cash*E43/Days_In_Year)*(1+Rate_Cash)^(YEAR(E34)-YEAR(Inputs!E$24)-1)*E35</f>
        <v/>
      </c>
      <c r="F44" s="25">
        <f>(1+Rate_Cash*F43/Days_In_Year)*(1+Rate_Cash)^(YEAR(F34)-YEAR(Inputs!F$24)-1)*F35</f>
        <v/>
      </c>
      <c r="G44" s="25">
        <f>(1+Rate_Cash*G43/Days_In_Year)*(1+Rate_Cash)^(YEAR(G34)-YEAR(Inputs!G$24)-1)*G35</f>
        <v/>
      </c>
    </row>
    <row r="45">
      <c r="C45" s="6" t="inlineStr">
        <is>
          <t>Days to the first 31-Dec from devex payment (average)</t>
        </is>
      </c>
      <c r="D45" s="2" t="inlineStr">
        <is>
          <t>days</t>
        </is>
      </c>
      <c r="E45" s="26">
        <f>DATE(YEAR(Inputs!E$25)+1,1,1)-Inputs!E$25</f>
        <v/>
      </c>
      <c r="F45" s="26">
        <f>DATE(YEAR(Inputs!F$25)+1,1,1)-Inputs!F$25</f>
        <v/>
      </c>
      <c r="G45" s="26">
        <f>DATE(YEAR(Inputs!G$25)+1,1,1)-Inputs!G$25</f>
        <v/>
      </c>
    </row>
    <row r="46">
      <c r="C46" s="6" t="inlineStr">
        <is>
          <t>Accrual factor from devex payment (average)</t>
        </is>
      </c>
      <c r="D46" s="2" t="inlineStr">
        <is>
          <t>x</t>
        </is>
      </c>
      <c r="E46" s="25">
        <f>(1+Rate_Devex*E45/Days_In_Year)*(1+Rate_Devex)^(YEAR(E34)-YEAR(Inputs!E$25)-1)*E36</f>
        <v/>
      </c>
      <c r="F46" s="25">
        <f>(1+Rate_Devex*F45/Days_In_Year)*(1+Rate_Devex)^(YEAR(F34)-YEAR(Inputs!F$25)-1)*F36</f>
        <v/>
      </c>
      <c r="G46" s="25">
        <f>(1+Rate_Devex*G45/Days_In_Year)*(1+Rate_Devex)^(YEAR(G34)-YEAR(Inputs!G$25)-1)*G36</f>
        <v/>
      </c>
    </row>
    <row r="47">
      <c r="C47" s="6" t="inlineStr">
        <is>
          <t>Claim: participation fee (not reimbursed)</t>
        </is>
      </c>
      <c r="D47" s="2" t="inlineStr">
        <is>
          <t>EUR k</t>
        </is>
      </c>
      <c r="E47" s="21">
        <f>E23*(E38-1)</f>
        <v/>
      </c>
      <c r="F47" s="21">
        <f>F23*(F38-1)</f>
        <v/>
      </c>
      <c r="G47" s="21">
        <f>G23*(G38-1)</f>
        <v/>
      </c>
      <c r="H47" s="21">
        <f>SUM(E47:G47)</f>
        <v/>
      </c>
    </row>
    <row r="48">
      <c r="C48" s="6" t="inlineStr">
        <is>
          <t>Claim: bid security (cash)</t>
        </is>
      </c>
      <c r="D48" s="2" t="inlineStr">
        <is>
          <t>EUR k</t>
        </is>
      </c>
      <c r="E48" s="8">
        <f>E24*(E38-1)</f>
        <v/>
      </c>
      <c r="F48" s="8">
        <f>F24*(F38-1)</f>
        <v/>
      </c>
      <c r="G48" s="8">
        <f>G24*(G38-1)</f>
        <v/>
      </c>
      <c r="H48" s="8">
        <f>SUM(E48:G48)</f>
        <v/>
      </c>
    </row>
    <row r="49">
      <c r="C49" s="6" t="inlineStr">
        <is>
          <t>Claim: performance security payable (cash)</t>
        </is>
      </c>
      <c r="D49" s="2" t="inlineStr">
        <is>
          <t>EUR k</t>
        </is>
      </c>
      <c r="E49" s="8">
        <f>E25*(E40-1)</f>
        <v/>
      </c>
      <c r="F49" s="8">
        <f>F25*(F40-1)</f>
        <v/>
      </c>
      <c r="G49" s="8">
        <f>G25*(G40-1)</f>
        <v/>
      </c>
      <c r="H49" s="8">
        <f>SUM(E49:G49)</f>
        <v/>
      </c>
    </row>
    <row r="50">
      <c r="C50" s="6" t="inlineStr">
        <is>
          <t>Claim: TSO connection-request security</t>
        </is>
      </c>
      <c r="D50" s="2" t="inlineStr">
        <is>
          <t>EUR k</t>
        </is>
      </c>
      <c r="E50" s="8">
        <f>E26*(E42-1)</f>
        <v/>
      </c>
      <c r="F50" s="8">
        <f>F26*(F42-1)</f>
        <v/>
      </c>
      <c r="G50" s="8">
        <f>G26*(G42-1)</f>
        <v/>
      </c>
      <c r="H50" s="8">
        <f>SUM(E50:G50)</f>
        <v/>
      </c>
    </row>
    <row r="51">
      <c r="C51" s="6" t="inlineStr">
        <is>
          <t>Claim: direct connection fee</t>
        </is>
      </c>
      <c r="D51" s="2" t="inlineStr">
        <is>
          <t>EUR k</t>
        </is>
      </c>
      <c r="E51" s="8">
        <f>E27*(E44-1)</f>
        <v/>
      </c>
      <c r="F51" s="8">
        <f>F27*(F44-1)</f>
        <v/>
      </c>
      <c r="G51" s="8">
        <f>G27*(G44-1)</f>
        <v/>
      </c>
      <c r="H51" s="8">
        <f>SUM(E51:G51)</f>
        <v/>
      </c>
    </row>
    <row r="52">
      <c r="C52" s="6" t="inlineStr">
        <is>
          <t>Claim: indirect connection fee, payable</t>
        </is>
      </c>
      <c r="D52" s="2" t="inlineStr">
        <is>
          <t>EUR k</t>
        </is>
      </c>
      <c r="E52" s="8">
        <f>E28*(E44-1)</f>
        <v/>
      </c>
      <c r="F52" s="8">
        <f>F28*(F44-1)</f>
        <v/>
      </c>
      <c r="G52" s="8">
        <f>G28*(G44-1)</f>
        <v/>
      </c>
      <c r="H52" s="8">
        <f>SUM(E52:G52)</f>
        <v/>
      </c>
    </row>
    <row r="53">
      <c r="C53" s="6" t="inlineStr">
        <is>
          <t>Claim: devex, MAX(20 % accrued, 1× principal)</t>
        </is>
      </c>
      <c r="D53" s="2" t="inlineStr">
        <is>
          <t>EUR k</t>
        </is>
      </c>
      <c r="E53" s="8">
        <f>E29*MAX(E46-1,Devex_Floor-1)</f>
        <v/>
      </c>
      <c r="F53" s="8">
        <f>F29*MAX(F46-1,Devex_Floor-1)</f>
        <v/>
      </c>
      <c r="G53" s="8">
        <f>G29*MAX(G46-1,Devex_Floor-1)</f>
        <v/>
      </c>
      <c r="H53" s="8">
        <f>SUM(E53:G53)</f>
        <v/>
      </c>
    </row>
    <row r="54">
      <c r="C54" s="1" t="inlineStr">
        <is>
          <t>Total FEP claims</t>
        </is>
      </c>
      <c r="D54" s="2" t="inlineStr">
        <is>
          <t>EUR k</t>
        </is>
      </c>
      <c r="E54" s="23">
        <f>SUM(E47:E53)</f>
        <v/>
      </c>
      <c r="F54" s="23">
        <f>SUM(F47:F53)</f>
        <v/>
      </c>
      <c r="G54" s="23">
        <f>SUM(G47:G53)</f>
        <v/>
      </c>
      <c r="H54" s="23">
        <f>SUM(E54:G54)</f>
        <v/>
      </c>
    </row>
    <row r="55">
      <c r="C55" s="6" t="inlineStr">
        <is>
          <t>Developer success fee due (DSA, capped)</t>
        </is>
      </c>
      <c r="D55" s="2" t="inlineStr">
        <is>
          <t>EUR k</t>
        </is>
      </c>
      <c r="E55" s="8">
        <f>Dashboard!E$21*MIN(DSA_Rate*YEARFRAC(Inputs!E$29,Sale_Date),DSA_Cap)*E17</f>
        <v/>
      </c>
      <c r="F55" s="8">
        <f>Dashboard!F$21*MIN(DSA_Rate*YEARFRAC(Inputs!F$29,Sale_Date),DSA_Cap)*F17</f>
        <v/>
      </c>
      <c r="G55" s="8">
        <f>Dashboard!G$21*MIN(DSA_Rate*YEARFRAC(Inputs!G$29,Sale_Date),DSA_Cap)*G17</f>
        <v/>
      </c>
      <c r="H55" s="8">
        <f>SUM(E55:G55)</f>
        <v/>
      </c>
    </row>
    <row r="57">
      <c r="B57" s="4" t="inlineStr">
        <is>
          <t>x</t>
        </is>
      </c>
      <c r="C57" s="4" t="inlineStr">
        <is>
          <t>RtB exit: waterfall at the sale</t>
        </is>
      </c>
      <c r="D57" s="4" t="n"/>
      <c r="E57" s="5" t="inlineStr">
        <is>
          <t>Bora</t>
        </is>
      </c>
      <c r="F57" s="5" t="inlineStr">
        <is>
          <t>Iváncsa</t>
        </is>
      </c>
      <c r="G57" s="5" t="inlineStr">
        <is>
          <t>Dunaújváros</t>
        </is>
      </c>
      <c r="H57" s="5" t="inlineStr">
        <is>
          <t>Total</t>
        </is>
      </c>
      <c r="J57" s="5" t="inlineStr">
        <is>
          <t>Date: Bora</t>
        </is>
      </c>
      <c r="K57" s="5" t="inlineStr">
        <is>
          <t>Iváncsa</t>
        </is>
      </c>
      <c r="L57" s="5" t="inlineStr">
        <is>
          <t>Dunaújváros</t>
        </is>
      </c>
    </row>
    <row r="58">
      <c r="C58" s="6" t="inlineStr">
        <is>
          <t>RtB premium</t>
        </is>
      </c>
      <c r="D58" s="2" t="inlineStr">
        <is>
          <t>EUR k</t>
        </is>
      </c>
      <c r="E58" s="8">
        <f>Dashboard!E$19*Dashboard!E$6</f>
        <v/>
      </c>
      <c r="F58" s="8">
        <f>Dashboard!F$19*Dashboard!F$6</f>
        <v/>
      </c>
      <c r="G58" s="8">
        <f>Dashboard!G$19*Dashboard!G$6</f>
        <v/>
      </c>
      <c r="H58" s="8">
        <f>SUM(E58:G58)</f>
        <v/>
      </c>
    </row>
    <row r="59">
      <c r="C59" s="6" t="inlineStr">
        <is>
          <t>Buyer reimburses securities and connection fees at cost</t>
        </is>
      </c>
      <c r="D59" s="2" t="inlineStr">
        <is>
          <t>EUR k</t>
        </is>
      </c>
      <c r="E59" s="8">
        <f>SUM(E24:E28)</f>
        <v/>
      </c>
      <c r="F59" s="8">
        <f>SUM(F24:F28)</f>
        <v/>
      </c>
      <c r="G59" s="8">
        <f>SUM(G24:G28)</f>
        <v/>
      </c>
      <c r="H59" s="8">
        <f>SUM(E59:G59)</f>
        <v/>
      </c>
    </row>
    <row r="60">
      <c r="C60" s="1" t="inlineStr">
        <is>
          <t>Total proceeds</t>
        </is>
      </c>
      <c r="D60" s="2" t="inlineStr">
        <is>
          <t>EUR k</t>
        </is>
      </c>
      <c r="E60" s="15">
        <f>E58+E59</f>
        <v/>
      </c>
      <c r="F60" s="15">
        <f>F58+F59</f>
        <v/>
      </c>
      <c r="G60" s="15">
        <f>G58+G59</f>
        <v/>
      </c>
      <c r="H60" s="15">
        <f>SUM(E60:G60)</f>
        <v/>
      </c>
    </row>
    <row r="61">
      <c r="C61" s="6" t="inlineStr">
        <is>
          <t>Less sale costs</t>
        </is>
      </c>
      <c r="D61" s="2" t="inlineStr">
        <is>
          <t>EUR k</t>
        </is>
      </c>
      <c r="E61" s="8">
        <f>-MIN(E60,Sale_Costs)</f>
        <v/>
      </c>
      <c r="F61" s="8">
        <f>-MIN(F60,Sale_Costs)</f>
        <v/>
      </c>
      <c r="G61" s="8">
        <f>-MIN(G60,Sale_Costs)</f>
        <v/>
      </c>
      <c r="H61" s="8">
        <f>SUM(E61:G61)</f>
        <v/>
      </c>
    </row>
    <row r="62">
      <c r="C62" s="6" t="inlineStr">
        <is>
          <t>Less securities and fees repaid to FEP</t>
        </is>
      </c>
      <c r="D62" s="2" t="inlineStr">
        <is>
          <t>EUR k</t>
        </is>
      </c>
      <c r="E62" s="8">
        <f>-MIN(SUM(E60:E61),E59)</f>
        <v/>
      </c>
      <c r="F62" s="8">
        <f>-MIN(SUM(F60:F61),F59)</f>
        <v/>
      </c>
      <c r="G62" s="8">
        <f>-MIN(SUM(G60:G61),G59)</f>
        <v/>
      </c>
      <c r="H62" s="8">
        <f>SUM(E62:G62)</f>
        <v/>
      </c>
    </row>
    <row r="63">
      <c r="C63" s="6" t="inlineStr">
        <is>
          <t>Less FEP claims at 12 %</t>
        </is>
      </c>
      <c r="D63" s="2" t="inlineStr">
        <is>
          <t>EUR k</t>
        </is>
      </c>
      <c r="E63" s="8">
        <f>-MIN(SUM(E60:E62),SUM(E47:E52))</f>
        <v/>
      </c>
      <c r="F63" s="8">
        <f>-MIN(SUM(F60:F62),SUM(F47:F52))</f>
        <v/>
      </c>
      <c r="G63" s="8">
        <f>-MIN(SUM(G60:G62),SUM(G47:G52))</f>
        <v/>
      </c>
      <c r="H63" s="8">
        <f>SUM(E63:G63)</f>
        <v/>
      </c>
    </row>
    <row r="64">
      <c r="C64" s="6" t="inlineStr">
        <is>
          <t>Less FEP devex return</t>
        </is>
      </c>
      <c r="D64" s="2" t="inlineStr">
        <is>
          <t>EUR k</t>
        </is>
      </c>
      <c r="E64" s="8">
        <f>-MIN(SUM(E60:E63),E53)</f>
        <v/>
      </c>
      <c r="F64" s="8">
        <f>-MIN(SUM(F60:F63),F53)</f>
        <v/>
      </c>
      <c r="G64" s="8">
        <f>-MIN(SUM(G60:G63),G53)</f>
        <v/>
      </c>
      <c r="H64" s="8">
        <f>SUM(E64:G64)</f>
        <v/>
      </c>
    </row>
    <row r="65">
      <c r="C65" s="6" t="inlineStr">
        <is>
          <t>Less developer success fee (DSA)</t>
        </is>
      </c>
      <c r="D65" s="2" t="inlineStr">
        <is>
          <t>EUR k</t>
        </is>
      </c>
      <c r="E65" s="8">
        <f>-MIN(SUM(E60:E64),E55)</f>
        <v/>
      </c>
      <c r="F65" s="8">
        <f>-MIN(SUM(F60:F64),F55)</f>
        <v/>
      </c>
      <c r="G65" s="8">
        <f>-MIN(SUM(G60:G64),G55)</f>
        <v/>
      </c>
      <c r="H65" s="8">
        <f>SUM(E65:G65)</f>
        <v/>
      </c>
    </row>
    <row r="66">
      <c r="C66" s="1" t="inlineStr">
        <is>
          <t>Distributable proceeds</t>
        </is>
      </c>
      <c r="D66" s="2" t="inlineStr">
        <is>
          <t>EUR k</t>
        </is>
      </c>
      <c r="E66" s="23">
        <f>SUM(E60:E65)</f>
        <v/>
      </c>
      <c r="F66" s="23">
        <f>SUM(F60:F65)</f>
        <v/>
      </c>
      <c r="G66" s="23">
        <f>SUM(G60:G65)</f>
        <v/>
      </c>
      <c r="H66" s="23">
        <f>SUM(E66:G66)</f>
        <v/>
      </c>
    </row>
    <row r="67">
      <c r="C67" s="6" t="inlineStr">
        <is>
          <t>FEP share of distributable</t>
        </is>
      </c>
      <c r="D67" s="2" t="inlineStr">
        <is>
          <t>EUR k</t>
        </is>
      </c>
      <c r="E67" s="8">
        <f>E66*Dashboard!E$20</f>
        <v/>
      </c>
      <c r="F67" s="8">
        <f>F66*Dashboard!F$20</f>
        <v/>
      </c>
      <c r="G67" s="8">
        <f>G66*Dashboard!G$20</f>
        <v/>
      </c>
      <c r="H67" s="8">
        <f>SUM(E67:G67)</f>
        <v/>
      </c>
    </row>
    <row r="68">
      <c r="C68" s="6" t="inlineStr">
        <is>
          <t>Developer share of distributable</t>
        </is>
      </c>
      <c r="D68" s="2" t="inlineStr">
        <is>
          <t>EUR k</t>
        </is>
      </c>
      <c r="E68" s="8">
        <f>E66-E67</f>
        <v/>
      </c>
      <c r="F68" s="8">
        <f>F66-F67</f>
        <v/>
      </c>
      <c r="G68" s="8">
        <f>G66-G67</f>
        <v/>
      </c>
      <c r="H68" s="8">
        <f>SUM(E68:G68)</f>
        <v/>
      </c>
    </row>
    <row r="70">
      <c r="C70" s="14" t="inlineStr">
        <is>
          <t>FEP cash flows, dated (outlays, then receipts at the sale)</t>
        </is>
      </c>
      <c r="D70" s="14" t="n"/>
      <c r="E70" s="14" t="n"/>
      <c r="F70" s="14" t="n"/>
      <c r="G70" s="14" t="n"/>
      <c r="H70" s="14" t="n"/>
      <c r="J70" s="14" t="n"/>
      <c r="K70" s="14" t="n"/>
      <c r="L70" s="14" t="n"/>
    </row>
    <row r="71">
      <c r="C71" s="6" t="inlineStr">
        <is>
          <t>Signing fee and DD</t>
        </is>
      </c>
      <c r="D71" s="2" t="inlineStr">
        <is>
          <t>EUR k</t>
        </is>
      </c>
      <c r="E71" s="8">
        <f>-E30</f>
        <v/>
      </c>
      <c r="F71" s="8">
        <f>-F30</f>
        <v/>
      </c>
      <c r="G71" s="8">
        <f>-G30</f>
        <v/>
      </c>
      <c r="H71" s="8">
        <f>SUM(E71:G71)</f>
        <v/>
      </c>
      <c r="J71" s="24">
        <f>Inputs!E$20</f>
        <v/>
      </c>
      <c r="K71" s="24">
        <f>Inputs!F$20</f>
        <v/>
      </c>
      <c r="L71" s="24">
        <f>Inputs!G$20</f>
        <v/>
      </c>
    </row>
    <row r="72">
      <c r="C72" s="6" t="inlineStr">
        <is>
          <t>Participation fee</t>
        </is>
      </c>
      <c r="D72" s="2" t="inlineStr">
        <is>
          <t>EUR k</t>
        </is>
      </c>
      <c r="E72" s="21">
        <f>-E23</f>
        <v/>
      </c>
      <c r="F72" s="21">
        <f>-F23</f>
        <v/>
      </c>
      <c r="G72" s="21">
        <f>-G23</f>
        <v/>
      </c>
      <c r="H72" s="21">
        <f>SUM(E72:G72)</f>
        <v/>
      </c>
      <c r="J72" s="24">
        <f>Inputs!E$21</f>
        <v/>
      </c>
      <c r="K72" s="24">
        <f>Inputs!F$21</f>
        <v/>
      </c>
      <c r="L72" s="24">
        <f>Inputs!G$21</f>
        <v/>
      </c>
    </row>
    <row r="73">
      <c r="C73" s="6" t="inlineStr">
        <is>
          <t>Bid security</t>
        </is>
      </c>
      <c r="D73" s="2" t="inlineStr">
        <is>
          <t>EUR k</t>
        </is>
      </c>
      <c r="E73" s="8">
        <f>-E24</f>
        <v/>
      </c>
      <c r="F73" s="8">
        <f>-F24</f>
        <v/>
      </c>
      <c r="G73" s="8">
        <f>-G24</f>
        <v/>
      </c>
      <c r="H73" s="8">
        <f>SUM(E73:G73)</f>
        <v/>
      </c>
      <c r="J73" s="24">
        <f>Inputs!E$21</f>
        <v/>
      </c>
      <c r="K73" s="24">
        <f>Inputs!F$21</f>
        <v/>
      </c>
      <c r="L73" s="24">
        <f>Inputs!G$21</f>
        <v/>
      </c>
    </row>
    <row r="74">
      <c r="C74" s="6" t="inlineStr">
        <is>
          <t>Performance security payable</t>
        </is>
      </c>
      <c r="D74" s="2" t="inlineStr">
        <is>
          <t>EUR k</t>
        </is>
      </c>
      <c r="E74" s="8">
        <f>-E25</f>
        <v/>
      </c>
      <c r="F74" s="8">
        <f>-F25</f>
        <v/>
      </c>
      <c r="G74" s="8">
        <f>-G25</f>
        <v/>
      </c>
      <c r="H74" s="8">
        <f>SUM(E74:G74)</f>
        <v/>
      </c>
      <c r="J74" s="24">
        <f>Inputs!E$22</f>
        <v/>
      </c>
      <c r="K74" s="24">
        <f>Inputs!F$22</f>
        <v/>
      </c>
      <c r="L74" s="24">
        <f>Inputs!G$22</f>
        <v/>
      </c>
    </row>
    <row r="75">
      <c r="C75" s="6" t="inlineStr">
        <is>
          <t>TSO connection-request security</t>
        </is>
      </c>
      <c r="D75" s="2" t="inlineStr">
        <is>
          <t>EUR k</t>
        </is>
      </c>
      <c r="E75" s="8">
        <f>-E26</f>
        <v/>
      </c>
      <c r="F75" s="8">
        <f>-F26</f>
        <v/>
      </c>
      <c r="G75" s="8">
        <f>-G26</f>
        <v/>
      </c>
      <c r="H75" s="8">
        <f>SUM(E75:G75)</f>
        <v/>
      </c>
      <c r="J75" s="24">
        <f>Inputs!E$23</f>
        <v/>
      </c>
      <c r="K75" s="24">
        <f>Inputs!F$23</f>
        <v/>
      </c>
      <c r="L75" s="24">
        <f>Inputs!G$23</f>
        <v/>
      </c>
    </row>
    <row r="76">
      <c r="C76" s="6" t="inlineStr">
        <is>
          <t>Direct connection fee</t>
        </is>
      </c>
      <c r="D76" s="2" t="inlineStr">
        <is>
          <t>EUR k</t>
        </is>
      </c>
      <c r="E76" s="8">
        <f>-E27</f>
        <v/>
      </c>
      <c r="F76" s="8">
        <f>-F27</f>
        <v/>
      </c>
      <c r="G76" s="8">
        <f>-G27</f>
        <v/>
      </c>
      <c r="H76" s="8">
        <f>SUM(E76:G76)</f>
        <v/>
      </c>
      <c r="J76" s="24">
        <f>Inputs!E$24</f>
        <v/>
      </c>
      <c r="K76" s="24">
        <f>Inputs!F$24</f>
        <v/>
      </c>
      <c r="L76" s="24">
        <f>Inputs!G$24</f>
        <v/>
      </c>
    </row>
    <row r="77">
      <c r="C77" s="6" t="inlineStr">
        <is>
          <t>Indirect connection fee, payable</t>
        </is>
      </c>
      <c r="D77" s="2" t="inlineStr">
        <is>
          <t>EUR k</t>
        </is>
      </c>
      <c r="E77" s="8">
        <f>-E28</f>
        <v/>
      </c>
      <c r="F77" s="8">
        <f>-F28</f>
        <v/>
      </c>
      <c r="G77" s="8">
        <f>-G28</f>
        <v/>
      </c>
      <c r="H77" s="8">
        <f>SUM(E77:G77)</f>
        <v/>
      </c>
      <c r="J77" s="24">
        <f>Inputs!E$24</f>
        <v/>
      </c>
      <c r="K77" s="24">
        <f>Inputs!F$24</f>
        <v/>
      </c>
      <c r="L77" s="24">
        <f>Inputs!G$24</f>
        <v/>
      </c>
    </row>
    <row r="78">
      <c r="C78" s="6" t="inlineStr">
        <is>
          <t>Devex</t>
        </is>
      </c>
      <c r="D78" s="2" t="inlineStr">
        <is>
          <t>EUR k</t>
        </is>
      </c>
      <c r="E78" s="8">
        <f>-E29</f>
        <v/>
      </c>
      <c r="F78" s="8">
        <f>-F29</f>
        <v/>
      </c>
      <c r="G78" s="8">
        <f>-G29</f>
        <v/>
      </c>
      <c r="H78" s="8">
        <f>SUM(E78:G78)</f>
        <v/>
      </c>
      <c r="J78" s="24">
        <f>Inputs!E$25</f>
        <v/>
      </c>
      <c r="K78" s="24">
        <f>Inputs!F$25</f>
        <v/>
      </c>
      <c r="L78" s="24">
        <f>Inputs!G$25</f>
        <v/>
      </c>
    </row>
    <row r="79">
      <c r="C79" s="1" t="inlineStr">
        <is>
          <t>FEP receipts at the sale (repaid, claims, share)</t>
        </is>
      </c>
      <c r="D79" s="2" t="inlineStr">
        <is>
          <t>EUR k</t>
        </is>
      </c>
      <c r="E79" s="15">
        <f>E67-SUM(E62:E64)</f>
        <v/>
      </c>
      <c r="F79" s="15">
        <f>F67-SUM(F62:F64)</f>
        <v/>
      </c>
      <c r="G79" s="15">
        <f>G67-SUM(G62:G64)</f>
        <v/>
      </c>
      <c r="H79" s="15">
        <f>SUM(E79:G79)</f>
        <v/>
      </c>
      <c r="J79" s="24">
        <f>Sale_Date</f>
        <v/>
      </c>
      <c r="K79" s="24">
        <f>Sale_Date</f>
        <v/>
      </c>
      <c r="L79" s="24">
        <f>Sale_Date</f>
        <v/>
      </c>
    </row>
    <row r="80">
      <c r="C80" s="1" t="inlineStr">
        <is>
          <t>FEP profit, pre-tax</t>
        </is>
      </c>
      <c r="D80" s="2" t="inlineStr">
        <is>
          <t>EUR k</t>
        </is>
      </c>
      <c r="E80" s="23">
        <f>SUM(E71:E79)</f>
        <v/>
      </c>
      <c r="F80" s="23">
        <f>SUM(F71:F79)</f>
        <v/>
      </c>
      <c r="G80" s="23">
        <f>SUM(G71:G79)</f>
        <v/>
      </c>
      <c r="H80" s="23">
        <f>SUM(E80:G80)</f>
        <v/>
      </c>
    </row>
    <row r="81">
      <c r="C81" s="6" t="inlineStr">
        <is>
          <t>CIT on the gain</t>
        </is>
      </c>
      <c r="D81" s="2" t="inlineStr">
        <is>
          <t>EUR k</t>
        </is>
      </c>
      <c r="E81" s="8">
        <f>-MAX(0,E80)*CIT_Rate</f>
        <v/>
      </c>
      <c r="F81" s="8">
        <f>-MAX(0,F80)*CIT_Rate</f>
        <v/>
      </c>
      <c r="G81" s="8">
        <f>-MAX(0,G80)*CIT_Rate</f>
        <v/>
      </c>
      <c r="H81" s="8">
        <f>SUM(E81:G81)</f>
        <v/>
      </c>
    </row>
    <row r="82">
      <c r="C82" s="1" t="inlineStr">
        <is>
          <t>FEP profit, post-tax</t>
        </is>
      </c>
      <c r="D82" s="2" t="inlineStr">
        <is>
          <t>EUR k</t>
        </is>
      </c>
      <c r="E82" s="15">
        <f>E80+E81</f>
        <v/>
      </c>
      <c r="F82" s="15">
        <f>F80+F81</f>
        <v/>
      </c>
      <c r="G82" s="15">
        <f>G80+G81</f>
        <v/>
      </c>
      <c r="H82" s="15">
        <f>SUM(E82:G82)</f>
        <v/>
      </c>
    </row>
    <row r="84">
      <c r="B84" s="4" t="inlineStr">
        <is>
          <t>x</t>
        </is>
      </c>
      <c r="C84" s="4" t="inlineStr">
        <is>
          <t>Capex and all-in cost to COD</t>
        </is>
      </c>
      <c r="D84" s="4" t="n"/>
      <c r="E84" s="5" t="inlineStr">
        <is>
          <t>Bora</t>
        </is>
      </c>
      <c r="F84" s="5" t="inlineStr">
        <is>
          <t>Iváncsa</t>
        </is>
      </c>
      <c r="G84" s="5" t="inlineStr">
        <is>
          <t>Dunaújváros</t>
        </is>
      </c>
      <c r="H84" s="5" t="inlineStr">
        <is>
          <t>Total</t>
        </is>
      </c>
    </row>
    <row r="85">
      <c r="C85" s="6" t="inlineStr">
        <is>
          <t>Turbine supply incl. transport (route price)</t>
        </is>
      </c>
      <c r="D85" s="2" t="inlineStr">
        <is>
          <t>EUR k</t>
        </is>
      </c>
      <c r="E85" s="8">
        <f>Dashboard!E$18*E19</f>
        <v/>
      </c>
      <c r="F85" s="8">
        <f>Dashboard!F$18*F19</f>
        <v/>
      </c>
      <c r="G85" s="8">
        <f>Dashboard!G$18*G19</f>
        <v/>
      </c>
      <c r="H85" s="8">
        <f>SUM(E85:G85)</f>
        <v/>
      </c>
    </row>
    <row r="86">
      <c r="C86" s="6" t="inlineStr">
        <is>
          <t>Turbine installation and erection</t>
        </is>
      </c>
      <c r="D86" s="2" t="inlineStr">
        <is>
          <t>EUR k</t>
        </is>
      </c>
      <c r="E86" s="8">
        <f>Capex_Install*E19</f>
        <v/>
      </c>
      <c r="F86" s="8">
        <f>Capex_Install*F19</f>
        <v/>
      </c>
      <c r="G86" s="8">
        <f>Capex_Install*G19</f>
        <v/>
      </c>
      <c r="H86" s="8">
        <f>SUM(E86:G86)</f>
        <v/>
      </c>
    </row>
    <row r="87">
      <c r="C87" s="6" t="inlineStr">
        <is>
          <t>Foundations</t>
        </is>
      </c>
      <c r="D87" s="2" t="inlineStr">
        <is>
          <t>EUR k</t>
        </is>
      </c>
      <c r="E87" s="8">
        <f>Capex_Fdn*E19</f>
        <v/>
      </c>
      <c r="F87" s="8">
        <f>Capex_Fdn*F19</f>
        <v/>
      </c>
      <c r="G87" s="8">
        <f>Capex_Fdn*G19</f>
        <v/>
      </c>
      <c r="H87" s="8">
        <f>SUM(E87:G87)</f>
        <v/>
      </c>
    </row>
    <row r="88">
      <c r="C88" s="6" t="inlineStr">
        <is>
          <t>Balance of plant – civil</t>
        </is>
      </c>
      <c r="D88" s="2" t="inlineStr">
        <is>
          <t>EUR k</t>
        </is>
      </c>
      <c r="E88" s="8">
        <f>Capex_Civil*E19</f>
        <v/>
      </c>
      <c r="F88" s="8">
        <f>Capex_Civil*F19</f>
        <v/>
      </c>
      <c r="G88" s="8">
        <f>Capex_Civil*G19</f>
        <v/>
      </c>
      <c r="H88" s="8">
        <f>SUM(E88:G88)</f>
        <v/>
      </c>
    </row>
    <row r="89">
      <c r="C89" s="6" t="inlineStr">
        <is>
          <t>Balance of plant – electrical</t>
        </is>
      </c>
      <c r="D89" s="2" t="inlineStr">
        <is>
          <t>EUR k</t>
        </is>
      </c>
      <c r="E89" s="8">
        <f>Capex_Elec*E19</f>
        <v/>
      </c>
      <c r="F89" s="8">
        <f>Capex_Elec*F19</f>
        <v/>
      </c>
      <c r="G89" s="8">
        <f>Capex_Elec*G19</f>
        <v/>
      </c>
      <c r="H89" s="8">
        <f>SUM(E89:G89)</f>
        <v/>
      </c>
    </row>
    <row r="90">
      <c r="C90" s="6" t="inlineStr">
        <is>
          <t>Owner's costs, engineering, PM, construction insurance</t>
        </is>
      </c>
      <c r="D90" s="2" t="inlineStr">
        <is>
          <t>EUR k</t>
        </is>
      </c>
      <c r="E90" s="8">
        <f>Capex_Owner*E19</f>
        <v/>
      </c>
      <c r="F90" s="8">
        <f>Capex_Owner*F19</f>
        <v/>
      </c>
      <c r="G90" s="8">
        <f>Capex_Owner*G19</f>
        <v/>
      </c>
      <c r="H90" s="8">
        <f>SUM(E90:G90)</f>
        <v/>
      </c>
    </row>
    <row r="91">
      <c r="C91" s="6" t="inlineStr">
        <is>
          <t>Land purchase and easements</t>
        </is>
      </c>
      <c r="D91" s="2" t="inlineStr">
        <is>
          <t>EUR k</t>
        </is>
      </c>
      <c r="E91" s="8">
        <f>Capex_Land*E19</f>
        <v/>
      </c>
      <c r="F91" s="8">
        <f>Capex_Land*F19</f>
        <v/>
      </c>
      <c r="G91" s="8">
        <f>Capex_Land*G19</f>
        <v/>
      </c>
      <c r="H91" s="8">
        <f>SUM(E91:G91)</f>
        <v/>
      </c>
    </row>
    <row r="92">
      <c r="C92" s="6" t="inlineStr">
        <is>
          <t>On-site substation and 132 kV bay (scaled by MVA)</t>
        </is>
      </c>
      <c r="D92" s="2" t="inlineStr">
        <is>
          <t>EUR k</t>
        </is>
      </c>
      <c r="E92" s="8">
        <f>Subs_Lump*Dashboard!E$6/Lump_Basis</f>
        <v/>
      </c>
      <c r="F92" s="8">
        <f>Subs_Lump*Dashboard!F$6/Lump_Basis</f>
        <v/>
      </c>
      <c r="G92" s="8">
        <f>Subs_Lump*Dashboard!G$6/Lump_Basis</f>
        <v/>
      </c>
      <c r="H92" s="8">
        <f>SUM(E92:G92)</f>
        <v/>
      </c>
    </row>
    <row r="93">
      <c r="C93" s="6" t="inlineStr">
        <is>
          <t>Capex contingency</t>
        </is>
      </c>
      <c r="D93" s="2" t="inlineStr">
        <is>
          <t>EUR k</t>
        </is>
      </c>
      <c r="E93" s="8">
        <f>SUM(E85:E92)*Capex_Cont</f>
        <v/>
      </c>
      <c r="F93" s="8">
        <f>SUM(F85:F92)*Capex_Cont</f>
        <v/>
      </c>
      <c r="G93" s="8">
        <f>SUM(G85:G92)*Capex_Cont</f>
        <v/>
      </c>
      <c r="H93" s="8">
        <f>SUM(E93:G93)</f>
        <v/>
      </c>
    </row>
    <row r="94">
      <c r="C94" s="6" t="inlineStr">
        <is>
          <t>BESS (on BESS energy)</t>
        </is>
      </c>
      <c r="D94" s="2" t="inlineStr">
        <is>
          <t>EUR k</t>
        </is>
      </c>
      <c r="E94" s="8">
        <f>BESS_Capex*E18</f>
        <v/>
      </c>
      <c r="F94" s="8">
        <f>BESS_Capex*F18</f>
        <v/>
      </c>
      <c r="G94" s="8">
        <f>BESS_Capex*G18</f>
        <v/>
      </c>
      <c r="H94" s="8">
        <f>SUM(E94:G94)</f>
        <v/>
      </c>
    </row>
    <row r="95">
      <c r="C95" s="1" t="inlineStr">
        <is>
          <t>Construction capex</t>
        </is>
      </c>
      <c r="D95" s="2" t="inlineStr">
        <is>
          <t>EUR k</t>
        </is>
      </c>
      <c r="E95" s="23">
        <f>SUM(E85:E94)</f>
        <v/>
      </c>
      <c r="F95" s="23">
        <f>SUM(F85:F94)</f>
        <v/>
      </c>
      <c r="G95" s="23">
        <f>SUM(G85:G94)</f>
        <v/>
      </c>
      <c r="H95" s="23">
        <f>SUM(E95:G95)</f>
        <v/>
      </c>
    </row>
    <row r="96">
      <c r="C96" s="6" t="inlineStr">
        <is>
          <t>Connection fees (TSO security, direct, indirect)</t>
        </is>
      </c>
      <c r="D96" s="2" t="inlineStr">
        <is>
          <t>EUR k</t>
        </is>
      </c>
      <c r="E96" s="8">
        <f>E26+E27+E28</f>
        <v/>
      </c>
      <c r="F96" s="8">
        <f>F26+F27+F28</f>
        <v/>
      </c>
      <c r="G96" s="8">
        <f>G26+G27+G28</f>
        <v/>
      </c>
      <c r="H96" s="8">
        <f>SUM(E96:G96)</f>
        <v/>
      </c>
    </row>
    <row r="97">
      <c r="C97" s="6" t="inlineStr">
        <is>
          <t>Municipal one-off</t>
        </is>
      </c>
      <c r="D97" s="2" t="inlineStr">
        <is>
          <t>EUR k</t>
        </is>
      </c>
      <c r="E97" s="8">
        <f>Dashboard!E$11*Dashboard!E$6</f>
        <v/>
      </c>
      <c r="F97" s="8">
        <f>Dashboard!F$11*Dashboard!F$6</f>
        <v/>
      </c>
      <c r="G97" s="8">
        <f>Dashboard!G$11*Dashboard!G$6</f>
        <v/>
      </c>
      <c r="H97" s="8">
        <f>SUM(E97:G97)</f>
        <v/>
      </c>
    </row>
    <row r="98">
      <c r="C98" s="6" t="inlineStr">
        <is>
          <t>Development (participation fee, devex, signing and DD)</t>
        </is>
      </c>
      <c r="D98" s="2" t="inlineStr">
        <is>
          <t>EUR k</t>
        </is>
      </c>
      <c r="E98" s="8">
        <f>E23+E29+E30</f>
        <v/>
      </c>
      <c r="F98" s="8">
        <f>F23+F29+F30</f>
        <v/>
      </c>
      <c r="G98" s="8">
        <f>G23+G29+G30</f>
        <v/>
      </c>
      <c r="H98" s="8">
        <f>SUM(E98:G98)</f>
        <v/>
      </c>
    </row>
    <row r="99">
      <c r="C99" s="1" t="inlineStr">
        <is>
          <t>All-in cost to COD (securities excluded: returned)</t>
        </is>
      </c>
      <c r="D99" s="2" t="inlineStr">
        <is>
          <t>EUR k</t>
        </is>
      </c>
      <c r="E99" s="23">
        <f>E95+SUM(E96:E98)</f>
        <v/>
      </c>
      <c r="F99" s="23">
        <f>F95+SUM(F96:F98)</f>
        <v/>
      </c>
      <c r="G99" s="23">
        <f>G95+SUM(G96:G98)</f>
        <v/>
      </c>
      <c r="H99" s="23">
        <f>SUM(E99:G99)</f>
        <v/>
      </c>
    </row>
    <row r="101">
      <c r="B101" s="4" t="inlineStr">
        <is>
          <t>x</t>
        </is>
      </c>
      <c r="C101" s="4" t="inlineStr">
        <is>
          <t>Annual timeline</t>
        </is>
      </c>
      <c r="D101" s="4" t="n"/>
      <c r="E101" s="5" t="n"/>
      <c r="F101" s="5" t="n"/>
      <c r="G101" s="5" t="n"/>
      <c r="H101" s="5" t="inlineStr">
        <is>
          <t>Total</t>
        </is>
      </c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</row>
    <row r="102">
      <c r="C102" s="6" t="inlineStr">
        <is>
          <t>Year</t>
        </is>
      </c>
      <c r="D102" s="2" t="inlineStr">
        <is>
          <t>year</t>
        </is>
      </c>
      <c r="M102" s="26">
        <f>First_Year+COLUMN()-COLUMN($M$1)</f>
        <v/>
      </c>
      <c r="N102" s="26">
        <f>First_Year+COLUMN()-COLUMN($M$1)</f>
        <v/>
      </c>
      <c r="O102" s="26">
        <f>First_Year+COLUMN()-COLUMN($M$1)</f>
        <v/>
      </c>
      <c r="P102" s="26">
        <f>First_Year+COLUMN()-COLUMN($M$1)</f>
        <v/>
      </c>
      <c r="Q102" s="26">
        <f>First_Year+COLUMN()-COLUMN($M$1)</f>
        <v/>
      </c>
      <c r="R102" s="26">
        <f>First_Year+COLUMN()-COLUMN($M$1)</f>
        <v/>
      </c>
      <c r="S102" s="26">
        <f>First_Year+COLUMN()-COLUMN($M$1)</f>
        <v/>
      </c>
      <c r="T102" s="26">
        <f>First_Year+COLUMN()-COLUMN($M$1)</f>
        <v/>
      </c>
      <c r="U102" s="26">
        <f>First_Year+COLUMN()-COLUMN($M$1)</f>
        <v/>
      </c>
      <c r="V102" s="26">
        <f>First_Year+COLUMN()-COLUMN($M$1)</f>
        <v/>
      </c>
      <c r="W102" s="26">
        <f>First_Year+COLUMN()-COLUMN($M$1)</f>
        <v/>
      </c>
      <c r="X102" s="26">
        <f>First_Year+COLUMN()-COLUMN($M$1)</f>
        <v/>
      </c>
      <c r="Y102" s="26">
        <f>First_Year+COLUMN()-COLUMN($M$1)</f>
        <v/>
      </c>
      <c r="Z102" s="26">
        <f>First_Year+COLUMN()-COLUMN($M$1)</f>
        <v/>
      </c>
      <c r="AA102" s="26">
        <f>First_Year+COLUMN()-COLUMN($M$1)</f>
        <v/>
      </c>
      <c r="AB102" s="26">
        <f>First_Year+COLUMN()-COLUMN($M$1)</f>
        <v/>
      </c>
      <c r="AC102" s="26">
        <f>First_Year+COLUMN()-COLUMN($M$1)</f>
        <v/>
      </c>
      <c r="AD102" s="26">
        <f>First_Year+COLUMN()-COLUMN($M$1)</f>
        <v/>
      </c>
      <c r="AE102" s="26">
        <f>First_Year+COLUMN()-COLUMN($M$1)</f>
        <v/>
      </c>
      <c r="AF102" s="26">
        <f>First_Year+COLUMN()-COLUMN($M$1)</f>
        <v/>
      </c>
      <c r="AG102" s="26">
        <f>First_Year+COLUMN()-COLUMN($M$1)</f>
        <v/>
      </c>
      <c r="AH102" s="26">
        <f>First_Year+COLUMN()-COLUMN($M$1)</f>
        <v/>
      </c>
      <c r="AI102" s="26">
        <f>First_Year+COLUMN()-COLUMN($M$1)</f>
        <v/>
      </c>
      <c r="AJ102" s="26">
        <f>First_Year+COLUMN()-COLUMN($M$1)</f>
        <v/>
      </c>
      <c r="AK102" s="26">
        <f>First_Year+COLUMN()-COLUMN($M$1)</f>
        <v/>
      </c>
      <c r="AL102" s="26">
        <f>First_Year+COLUMN()-COLUMN($M$1)</f>
        <v/>
      </c>
      <c r="AM102" s="26">
        <f>First_Year+COLUMN()-COLUMN($M$1)</f>
        <v/>
      </c>
      <c r="AN102" s="26">
        <f>First_Year+COLUMN()-COLUMN($M$1)</f>
        <v/>
      </c>
      <c r="AO102" s="26">
        <f>First_Year+COLUMN()-COLUMN($M$1)</f>
        <v/>
      </c>
      <c r="AP102" s="26">
        <f>First_Year+COLUMN()-COLUMN($M$1)</f>
        <v/>
      </c>
      <c r="AQ102" s="26">
        <f>First_Year+COLUMN()-COLUMN($M$1)</f>
        <v/>
      </c>
      <c r="AR102" s="26">
        <f>First_Year+COLUMN()-COLUMN($M$1)</f>
        <v/>
      </c>
      <c r="AS102" s="26">
        <f>First_Year+COLUMN()-COLUMN($M$1)</f>
        <v/>
      </c>
      <c r="AT102" s="26">
        <f>First_Year+COLUMN()-COLUMN($M$1)</f>
        <v/>
      </c>
      <c r="AU102" s="26">
        <f>First_Year+COLUMN()-COLUMN($M$1)</f>
        <v/>
      </c>
      <c r="AV102" s="26">
        <f>First_Year+COLUMN()-COLUMN($M$1)</f>
        <v/>
      </c>
    </row>
    <row r="103">
      <c r="C103" s="6" t="inlineStr">
        <is>
          <t>Year end</t>
        </is>
      </c>
      <c r="D103" s="2" t="inlineStr">
        <is>
          <t>date</t>
        </is>
      </c>
      <c r="M103" s="24">
        <f>DATE(M102+1,1,1)-1</f>
        <v/>
      </c>
      <c r="N103" s="24">
        <f>DATE(N102+1,1,1)-1</f>
        <v/>
      </c>
      <c r="O103" s="24">
        <f>DATE(O102+1,1,1)-1</f>
        <v/>
      </c>
      <c r="P103" s="24">
        <f>DATE(P102+1,1,1)-1</f>
        <v/>
      </c>
      <c r="Q103" s="24">
        <f>DATE(Q102+1,1,1)-1</f>
        <v/>
      </c>
      <c r="R103" s="24">
        <f>DATE(R102+1,1,1)-1</f>
        <v/>
      </c>
      <c r="S103" s="24">
        <f>DATE(S102+1,1,1)-1</f>
        <v/>
      </c>
      <c r="T103" s="24">
        <f>DATE(T102+1,1,1)-1</f>
        <v/>
      </c>
      <c r="U103" s="24">
        <f>DATE(U102+1,1,1)-1</f>
        <v/>
      </c>
      <c r="V103" s="24">
        <f>DATE(V102+1,1,1)-1</f>
        <v/>
      </c>
      <c r="W103" s="24">
        <f>DATE(W102+1,1,1)-1</f>
        <v/>
      </c>
      <c r="X103" s="24">
        <f>DATE(X102+1,1,1)-1</f>
        <v/>
      </c>
      <c r="Y103" s="24">
        <f>DATE(Y102+1,1,1)-1</f>
        <v/>
      </c>
      <c r="Z103" s="24">
        <f>DATE(Z102+1,1,1)-1</f>
        <v/>
      </c>
      <c r="AA103" s="24">
        <f>DATE(AA102+1,1,1)-1</f>
        <v/>
      </c>
      <c r="AB103" s="24">
        <f>DATE(AB102+1,1,1)-1</f>
        <v/>
      </c>
      <c r="AC103" s="24">
        <f>DATE(AC102+1,1,1)-1</f>
        <v/>
      </c>
      <c r="AD103" s="24">
        <f>DATE(AD102+1,1,1)-1</f>
        <v/>
      </c>
      <c r="AE103" s="24">
        <f>DATE(AE102+1,1,1)-1</f>
        <v/>
      </c>
      <c r="AF103" s="24">
        <f>DATE(AF102+1,1,1)-1</f>
        <v/>
      </c>
      <c r="AG103" s="24">
        <f>DATE(AG102+1,1,1)-1</f>
        <v/>
      </c>
      <c r="AH103" s="24">
        <f>DATE(AH102+1,1,1)-1</f>
        <v/>
      </c>
      <c r="AI103" s="24">
        <f>DATE(AI102+1,1,1)-1</f>
        <v/>
      </c>
      <c r="AJ103" s="24">
        <f>DATE(AJ102+1,1,1)-1</f>
        <v/>
      </c>
      <c r="AK103" s="24">
        <f>DATE(AK102+1,1,1)-1</f>
        <v/>
      </c>
      <c r="AL103" s="24">
        <f>DATE(AL102+1,1,1)-1</f>
        <v/>
      </c>
      <c r="AM103" s="24">
        <f>DATE(AM102+1,1,1)-1</f>
        <v/>
      </c>
      <c r="AN103" s="24">
        <f>DATE(AN102+1,1,1)-1</f>
        <v/>
      </c>
      <c r="AO103" s="24">
        <f>DATE(AO102+1,1,1)-1</f>
        <v/>
      </c>
      <c r="AP103" s="24">
        <f>DATE(AP102+1,1,1)-1</f>
        <v/>
      </c>
      <c r="AQ103" s="24">
        <f>DATE(AQ102+1,1,1)-1</f>
        <v/>
      </c>
      <c r="AR103" s="24">
        <f>DATE(AR102+1,1,1)-1</f>
        <v/>
      </c>
      <c r="AS103" s="24">
        <f>DATE(AS102+1,1,1)-1</f>
        <v/>
      </c>
      <c r="AT103" s="24">
        <f>DATE(AT102+1,1,1)-1</f>
        <v/>
      </c>
      <c r="AU103" s="24">
        <f>DATE(AU102+1,1,1)-1</f>
        <v/>
      </c>
      <c r="AV103" s="24">
        <f>DATE(AV102+1,1,1)-1</f>
        <v/>
      </c>
    </row>
    <row r="105">
      <c r="B105" s="4" t="inlineStr">
        <is>
          <t>x</t>
        </is>
      </c>
      <c r="C105" s="4" t="inlineStr">
        <is>
          <t>Bora: annual cash flow (EUR k)</t>
        </is>
      </c>
      <c r="D105" s="4" t="n"/>
      <c r="E105" s="5" t="inlineStr">
        <is>
          <t>Value</t>
        </is>
      </c>
      <c r="F105" s="5" t="n"/>
      <c r="G105" s="5" t="n"/>
      <c r="H105" s="5" t="inlineStr">
        <is>
          <t>Total</t>
        </is>
      </c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</row>
    <row r="106">
      <c r="C106" s="6" t="inlineStr">
        <is>
          <t>Years from the COD year</t>
        </is>
      </c>
      <c r="D106" s="2" t="inlineStr">
        <is>
          <t>years</t>
        </is>
      </c>
      <c r="M106" s="26">
        <f>M$102-YEAR(Inputs!$E$27)</f>
        <v/>
      </c>
      <c r="N106" s="26">
        <f>N$102-YEAR(Inputs!$E$27)</f>
        <v/>
      </c>
      <c r="O106" s="26">
        <f>O$102-YEAR(Inputs!$E$27)</f>
        <v/>
      </c>
      <c r="P106" s="26">
        <f>P$102-YEAR(Inputs!$E$27)</f>
        <v/>
      </c>
      <c r="Q106" s="26">
        <f>Q$102-YEAR(Inputs!$E$27)</f>
        <v/>
      </c>
      <c r="R106" s="26">
        <f>R$102-YEAR(Inputs!$E$27)</f>
        <v/>
      </c>
      <c r="S106" s="26">
        <f>S$102-YEAR(Inputs!$E$27)</f>
        <v/>
      </c>
      <c r="T106" s="26">
        <f>T$102-YEAR(Inputs!$E$27)</f>
        <v/>
      </c>
      <c r="U106" s="26">
        <f>U$102-YEAR(Inputs!$E$27)</f>
        <v/>
      </c>
      <c r="V106" s="26">
        <f>V$102-YEAR(Inputs!$E$27)</f>
        <v/>
      </c>
      <c r="W106" s="26">
        <f>W$102-YEAR(Inputs!$E$27)</f>
        <v/>
      </c>
      <c r="X106" s="26">
        <f>X$102-YEAR(Inputs!$E$27)</f>
        <v/>
      </c>
      <c r="Y106" s="26">
        <f>Y$102-YEAR(Inputs!$E$27)</f>
        <v/>
      </c>
      <c r="Z106" s="26">
        <f>Z$102-YEAR(Inputs!$E$27)</f>
        <v/>
      </c>
      <c r="AA106" s="26">
        <f>AA$102-YEAR(Inputs!$E$27)</f>
        <v/>
      </c>
      <c r="AB106" s="26">
        <f>AB$102-YEAR(Inputs!$E$27)</f>
        <v/>
      </c>
      <c r="AC106" s="26">
        <f>AC$102-YEAR(Inputs!$E$27)</f>
        <v/>
      </c>
      <c r="AD106" s="26">
        <f>AD$102-YEAR(Inputs!$E$27)</f>
        <v/>
      </c>
      <c r="AE106" s="26">
        <f>AE$102-YEAR(Inputs!$E$27)</f>
        <v/>
      </c>
      <c r="AF106" s="26">
        <f>AF$102-YEAR(Inputs!$E$27)</f>
        <v/>
      </c>
      <c r="AG106" s="26">
        <f>AG$102-YEAR(Inputs!$E$27)</f>
        <v/>
      </c>
      <c r="AH106" s="26">
        <f>AH$102-YEAR(Inputs!$E$27)</f>
        <v/>
      </c>
      <c r="AI106" s="26">
        <f>AI$102-YEAR(Inputs!$E$27)</f>
        <v/>
      </c>
      <c r="AJ106" s="26">
        <f>AJ$102-YEAR(Inputs!$E$27)</f>
        <v/>
      </c>
      <c r="AK106" s="26">
        <f>AK$102-YEAR(Inputs!$E$27)</f>
        <v/>
      </c>
      <c r="AL106" s="26">
        <f>AL$102-YEAR(Inputs!$E$27)</f>
        <v/>
      </c>
      <c r="AM106" s="26">
        <f>AM$102-YEAR(Inputs!$E$27)</f>
        <v/>
      </c>
      <c r="AN106" s="26">
        <f>AN$102-YEAR(Inputs!$E$27)</f>
        <v/>
      </c>
      <c r="AO106" s="26">
        <f>AO$102-YEAR(Inputs!$E$27)</f>
        <v/>
      </c>
      <c r="AP106" s="26">
        <f>AP$102-YEAR(Inputs!$E$27)</f>
        <v/>
      </c>
      <c r="AQ106" s="26">
        <f>AQ$102-YEAR(Inputs!$E$27)</f>
        <v/>
      </c>
      <c r="AR106" s="26">
        <f>AR$102-YEAR(Inputs!$E$27)</f>
        <v/>
      </c>
      <c r="AS106" s="26">
        <f>AS$102-YEAR(Inputs!$E$27)</f>
        <v/>
      </c>
      <c r="AT106" s="26">
        <f>AT$102-YEAR(Inputs!$E$27)</f>
        <v/>
      </c>
      <c r="AU106" s="26">
        <f>AU$102-YEAR(Inputs!$E$27)</f>
        <v/>
      </c>
      <c r="AV106" s="26">
        <f>AV$102-YEAR(Inputs!$E$27)</f>
        <v/>
      </c>
    </row>
    <row r="107">
      <c r="C107" s="6" t="inlineStr">
        <is>
          <t>Construction months by year end (value: construction period)</t>
        </is>
      </c>
      <c r="D107" s="2" t="inlineStr">
        <is>
          <t>months</t>
        </is>
      </c>
      <c r="E107" s="26">
        <f>DATEDIF(Inputs!$E$26,Inputs!$E$27,"m")</f>
        <v/>
      </c>
      <c r="M107" s="26">
        <f>(M$102+1-YEAR(Inputs!$E$26))*Months_In_Year-MONTH(Inputs!$E$26)</f>
        <v/>
      </c>
      <c r="N107" s="26">
        <f>(N$102+1-YEAR(Inputs!$E$26))*Months_In_Year-MONTH(Inputs!$E$26)</f>
        <v/>
      </c>
      <c r="O107" s="26">
        <f>(O$102+1-YEAR(Inputs!$E$26))*Months_In_Year-MONTH(Inputs!$E$26)</f>
        <v/>
      </c>
      <c r="P107" s="26">
        <f>(P$102+1-YEAR(Inputs!$E$26))*Months_In_Year-MONTH(Inputs!$E$26)</f>
        <v/>
      </c>
      <c r="Q107" s="26">
        <f>(Q$102+1-YEAR(Inputs!$E$26))*Months_In_Year-MONTH(Inputs!$E$26)</f>
        <v/>
      </c>
      <c r="R107" s="26">
        <f>(R$102+1-YEAR(Inputs!$E$26))*Months_In_Year-MONTH(Inputs!$E$26)</f>
        <v/>
      </c>
      <c r="S107" s="26">
        <f>(S$102+1-YEAR(Inputs!$E$26))*Months_In_Year-MONTH(Inputs!$E$26)</f>
        <v/>
      </c>
      <c r="T107" s="26">
        <f>(T$102+1-YEAR(Inputs!$E$26))*Months_In_Year-MONTH(Inputs!$E$26)</f>
        <v/>
      </c>
      <c r="U107" s="26">
        <f>(U$102+1-YEAR(Inputs!$E$26))*Months_In_Year-MONTH(Inputs!$E$26)</f>
        <v/>
      </c>
      <c r="V107" s="26">
        <f>(V$102+1-YEAR(Inputs!$E$26))*Months_In_Year-MONTH(Inputs!$E$26)</f>
        <v/>
      </c>
      <c r="W107" s="26">
        <f>(W$102+1-YEAR(Inputs!$E$26))*Months_In_Year-MONTH(Inputs!$E$26)</f>
        <v/>
      </c>
      <c r="X107" s="26">
        <f>(X$102+1-YEAR(Inputs!$E$26))*Months_In_Year-MONTH(Inputs!$E$26)</f>
        <v/>
      </c>
      <c r="Y107" s="26">
        <f>(Y$102+1-YEAR(Inputs!$E$26))*Months_In_Year-MONTH(Inputs!$E$26)</f>
        <v/>
      </c>
      <c r="Z107" s="26">
        <f>(Z$102+1-YEAR(Inputs!$E$26))*Months_In_Year-MONTH(Inputs!$E$26)</f>
        <v/>
      </c>
      <c r="AA107" s="26">
        <f>(AA$102+1-YEAR(Inputs!$E$26))*Months_In_Year-MONTH(Inputs!$E$26)</f>
        <v/>
      </c>
      <c r="AB107" s="26">
        <f>(AB$102+1-YEAR(Inputs!$E$26))*Months_In_Year-MONTH(Inputs!$E$26)</f>
        <v/>
      </c>
      <c r="AC107" s="26">
        <f>(AC$102+1-YEAR(Inputs!$E$26))*Months_In_Year-MONTH(Inputs!$E$26)</f>
        <v/>
      </c>
      <c r="AD107" s="26">
        <f>(AD$102+1-YEAR(Inputs!$E$26))*Months_In_Year-MONTH(Inputs!$E$26)</f>
        <v/>
      </c>
      <c r="AE107" s="26">
        <f>(AE$102+1-YEAR(Inputs!$E$26))*Months_In_Year-MONTH(Inputs!$E$26)</f>
        <v/>
      </c>
      <c r="AF107" s="26">
        <f>(AF$102+1-YEAR(Inputs!$E$26))*Months_In_Year-MONTH(Inputs!$E$26)</f>
        <v/>
      </c>
      <c r="AG107" s="26">
        <f>(AG$102+1-YEAR(Inputs!$E$26))*Months_In_Year-MONTH(Inputs!$E$26)</f>
        <v/>
      </c>
      <c r="AH107" s="26">
        <f>(AH$102+1-YEAR(Inputs!$E$26))*Months_In_Year-MONTH(Inputs!$E$26)</f>
        <v/>
      </c>
      <c r="AI107" s="26">
        <f>(AI$102+1-YEAR(Inputs!$E$26))*Months_In_Year-MONTH(Inputs!$E$26)</f>
        <v/>
      </c>
      <c r="AJ107" s="26">
        <f>(AJ$102+1-YEAR(Inputs!$E$26))*Months_In_Year-MONTH(Inputs!$E$26)</f>
        <v/>
      </c>
      <c r="AK107" s="26">
        <f>(AK$102+1-YEAR(Inputs!$E$26))*Months_In_Year-MONTH(Inputs!$E$26)</f>
        <v/>
      </c>
      <c r="AL107" s="26">
        <f>(AL$102+1-YEAR(Inputs!$E$26))*Months_In_Year-MONTH(Inputs!$E$26)</f>
        <v/>
      </c>
      <c r="AM107" s="26">
        <f>(AM$102+1-YEAR(Inputs!$E$26))*Months_In_Year-MONTH(Inputs!$E$26)</f>
        <v/>
      </c>
      <c r="AN107" s="26">
        <f>(AN$102+1-YEAR(Inputs!$E$26))*Months_In_Year-MONTH(Inputs!$E$26)</f>
        <v/>
      </c>
      <c r="AO107" s="26">
        <f>(AO$102+1-YEAR(Inputs!$E$26))*Months_In_Year-MONTH(Inputs!$E$26)</f>
        <v/>
      </c>
      <c r="AP107" s="26">
        <f>(AP$102+1-YEAR(Inputs!$E$26))*Months_In_Year-MONTH(Inputs!$E$26)</f>
        <v/>
      </c>
      <c r="AQ107" s="26">
        <f>(AQ$102+1-YEAR(Inputs!$E$26))*Months_In_Year-MONTH(Inputs!$E$26)</f>
        <v/>
      </c>
      <c r="AR107" s="26">
        <f>(AR$102+1-YEAR(Inputs!$E$26))*Months_In_Year-MONTH(Inputs!$E$26)</f>
        <v/>
      </c>
      <c r="AS107" s="26">
        <f>(AS$102+1-YEAR(Inputs!$E$26))*Months_In_Year-MONTH(Inputs!$E$26)</f>
        <v/>
      </c>
      <c r="AT107" s="26">
        <f>(AT$102+1-YEAR(Inputs!$E$26))*Months_In_Year-MONTH(Inputs!$E$26)</f>
        <v/>
      </c>
      <c r="AU107" s="26">
        <f>(AU$102+1-YEAR(Inputs!$E$26))*Months_In_Year-MONTH(Inputs!$E$26)</f>
        <v/>
      </c>
      <c r="AV107" s="26">
        <f>(AV$102+1-YEAR(Inputs!$E$26))*Months_In_Year-MONTH(Inputs!$E$26)</f>
        <v/>
      </c>
    </row>
    <row r="108">
      <c r="C108" s="6" t="inlineStr">
        <is>
          <t>Construction share of the year (NTP to COD)</t>
        </is>
      </c>
      <c r="D108" s="2" t="inlineStr">
        <is>
          <t>%</t>
        </is>
      </c>
      <c r="H108" s="27">
        <f>SUM(M108:AV108)</f>
        <v/>
      </c>
      <c r="M108" s="17">
        <f>MAX(0,MIN(M107,$E107)-MAX(M107-Months_In_Year,0))/$E107</f>
        <v/>
      </c>
      <c r="N108" s="17">
        <f>MAX(0,MIN(N107,$E107)-MAX(N107-Months_In_Year,0))/$E107</f>
        <v/>
      </c>
      <c r="O108" s="17">
        <f>MAX(0,MIN(O107,$E107)-MAX(O107-Months_In_Year,0))/$E107</f>
        <v/>
      </c>
      <c r="P108" s="17">
        <f>MAX(0,MIN(P107,$E107)-MAX(P107-Months_In_Year,0))/$E107</f>
        <v/>
      </c>
      <c r="Q108" s="17">
        <f>MAX(0,MIN(Q107,$E107)-MAX(Q107-Months_In_Year,0))/$E107</f>
        <v/>
      </c>
      <c r="R108" s="17">
        <f>MAX(0,MIN(R107,$E107)-MAX(R107-Months_In_Year,0))/$E107</f>
        <v/>
      </c>
      <c r="S108" s="17">
        <f>MAX(0,MIN(S107,$E107)-MAX(S107-Months_In_Year,0))/$E107</f>
        <v/>
      </c>
      <c r="T108" s="17">
        <f>MAX(0,MIN(T107,$E107)-MAX(T107-Months_In_Year,0))/$E107</f>
        <v/>
      </c>
      <c r="U108" s="17">
        <f>MAX(0,MIN(U107,$E107)-MAX(U107-Months_In_Year,0))/$E107</f>
        <v/>
      </c>
      <c r="V108" s="17">
        <f>MAX(0,MIN(V107,$E107)-MAX(V107-Months_In_Year,0))/$E107</f>
        <v/>
      </c>
      <c r="W108" s="17">
        <f>MAX(0,MIN(W107,$E107)-MAX(W107-Months_In_Year,0))/$E107</f>
        <v/>
      </c>
      <c r="X108" s="17">
        <f>MAX(0,MIN(X107,$E107)-MAX(X107-Months_In_Year,0))/$E107</f>
        <v/>
      </c>
      <c r="Y108" s="17">
        <f>MAX(0,MIN(Y107,$E107)-MAX(Y107-Months_In_Year,0))/$E107</f>
        <v/>
      </c>
      <c r="Z108" s="17">
        <f>MAX(0,MIN(Z107,$E107)-MAX(Z107-Months_In_Year,0))/$E107</f>
        <v/>
      </c>
      <c r="AA108" s="17">
        <f>MAX(0,MIN(AA107,$E107)-MAX(AA107-Months_In_Year,0))/$E107</f>
        <v/>
      </c>
      <c r="AB108" s="17">
        <f>MAX(0,MIN(AB107,$E107)-MAX(AB107-Months_In_Year,0))/$E107</f>
        <v/>
      </c>
      <c r="AC108" s="17">
        <f>MAX(0,MIN(AC107,$E107)-MAX(AC107-Months_In_Year,0))/$E107</f>
        <v/>
      </c>
      <c r="AD108" s="17">
        <f>MAX(0,MIN(AD107,$E107)-MAX(AD107-Months_In_Year,0))/$E107</f>
        <v/>
      </c>
      <c r="AE108" s="17">
        <f>MAX(0,MIN(AE107,$E107)-MAX(AE107-Months_In_Year,0))/$E107</f>
        <v/>
      </c>
      <c r="AF108" s="17">
        <f>MAX(0,MIN(AF107,$E107)-MAX(AF107-Months_In_Year,0))/$E107</f>
        <v/>
      </c>
      <c r="AG108" s="17">
        <f>MAX(0,MIN(AG107,$E107)-MAX(AG107-Months_In_Year,0))/$E107</f>
        <v/>
      </c>
      <c r="AH108" s="17">
        <f>MAX(0,MIN(AH107,$E107)-MAX(AH107-Months_In_Year,0))/$E107</f>
        <v/>
      </c>
      <c r="AI108" s="17">
        <f>MAX(0,MIN(AI107,$E107)-MAX(AI107-Months_In_Year,0))/$E107</f>
        <v/>
      </c>
      <c r="AJ108" s="17">
        <f>MAX(0,MIN(AJ107,$E107)-MAX(AJ107-Months_In_Year,0))/$E107</f>
        <v/>
      </c>
      <c r="AK108" s="17">
        <f>MAX(0,MIN(AK107,$E107)-MAX(AK107-Months_In_Year,0))/$E107</f>
        <v/>
      </c>
      <c r="AL108" s="17">
        <f>MAX(0,MIN(AL107,$E107)-MAX(AL107-Months_In_Year,0))/$E107</f>
        <v/>
      </c>
      <c r="AM108" s="17">
        <f>MAX(0,MIN(AM107,$E107)-MAX(AM107-Months_In_Year,0))/$E107</f>
        <v/>
      </c>
      <c r="AN108" s="17">
        <f>MAX(0,MIN(AN107,$E107)-MAX(AN107-Months_In_Year,0))/$E107</f>
        <v/>
      </c>
      <c r="AO108" s="17">
        <f>MAX(0,MIN(AO107,$E107)-MAX(AO107-Months_In_Year,0))/$E107</f>
        <v/>
      </c>
      <c r="AP108" s="17">
        <f>MAX(0,MIN(AP107,$E107)-MAX(AP107-Months_In_Year,0))/$E107</f>
        <v/>
      </c>
      <c r="AQ108" s="17">
        <f>MAX(0,MIN(AQ107,$E107)-MAX(AQ107-Months_In_Year,0))/$E107</f>
        <v/>
      </c>
      <c r="AR108" s="17">
        <f>MAX(0,MIN(AR107,$E107)-MAX(AR107-Months_In_Year,0))/$E107</f>
        <v/>
      </c>
      <c r="AS108" s="17">
        <f>MAX(0,MIN(AS107,$E107)-MAX(AS107-Months_In_Year,0))/$E107</f>
        <v/>
      </c>
      <c r="AT108" s="17">
        <f>MAX(0,MIN(AT107,$E107)-MAX(AT107-Months_In_Year,0))/$E107</f>
        <v/>
      </c>
      <c r="AU108" s="17">
        <f>MAX(0,MIN(AU107,$E107)-MAX(AU107-Months_In_Year,0))/$E107</f>
        <v/>
      </c>
      <c r="AV108" s="17">
        <f>MAX(0,MIN(AV107,$E107)-MAX(AV107-Months_In_Year,0))/$E107</f>
        <v/>
      </c>
    </row>
    <row r="109">
      <c r="C109" s="6" t="inlineStr">
        <is>
          <t>Months operated by year end (value: operating life)</t>
        </is>
      </c>
      <c r="D109" s="2" t="inlineStr">
        <is>
          <t>months</t>
        </is>
      </c>
      <c r="E109" s="26">
        <f>Life*Months_In_Year</f>
        <v/>
      </c>
      <c r="M109" s="26">
        <f>(M$102+1-YEAR(Inputs!$E$27))*Months_In_Year-MONTH(Inputs!$E$27)</f>
        <v/>
      </c>
      <c r="N109" s="26">
        <f>(N$102+1-YEAR(Inputs!$E$27))*Months_In_Year-MONTH(Inputs!$E$27)</f>
        <v/>
      </c>
      <c r="O109" s="26">
        <f>(O$102+1-YEAR(Inputs!$E$27))*Months_In_Year-MONTH(Inputs!$E$27)</f>
        <v/>
      </c>
      <c r="P109" s="26">
        <f>(P$102+1-YEAR(Inputs!$E$27))*Months_In_Year-MONTH(Inputs!$E$27)</f>
        <v/>
      </c>
      <c r="Q109" s="26">
        <f>(Q$102+1-YEAR(Inputs!$E$27))*Months_In_Year-MONTH(Inputs!$E$27)</f>
        <v/>
      </c>
      <c r="R109" s="26">
        <f>(R$102+1-YEAR(Inputs!$E$27))*Months_In_Year-MONTH(Inputs!$E$27)</f>
        <v/>
      </c>
      <c r="S109" s="26">
        <f>(S$102+1-YEAR(Inputs!$E$27))*Months_In_Year-MONTH(Inputs!$E$27)</f>
        <v/>
      </c>
      <c r="T109" s="26">
        <f>(T$102+1-YEAR(Inputs!$E$27))*Months_In_Year-MONTH(Inputs!$E$27)</f>
        <v/>
      </c>
      <c r="U109" s="26">
        <f>(U$102+1-YEAR(Inputs!$E$27))*Months_In_Year-MONTH(Inputs!$E$27)</f>
        <v/>
      </c>
      <c r="V109" s="26">
        <f>(V$102+1-YEAR(Inputs!$E$27))*Months_In_Year-MONTH(Inputs!$E$27)</f>
        <v/>
      </c>
      <c r="W109" s="26">
        <f>(W$102+1-YEAR(Inputs!$E$27))*Months_In_Year-MONTH(Inputs!$E$27)</f>
        <v/>
      </c>
      <c r="X109" s="26">
        <f>(X$102+1-YEAR(Inputs!$E$27))*Months_In_Year-MONTH(Inputs!$E$27)</f>
        <v/>
      </c>
      <c r="Y109" s="26">
        <f>(Y$102+1-YEAR(Inputs!$E$27))*Months_In_Year-MONTH(Inputs!$E$27)</f>
        <v/>
      </c>
      <c r="Z109" s="26">
        <f>(Z$102+1-YEAR(Inputs!$E$27))*Months_In_Year-MONTH(Inputs!$E$27)</f>
        <v/>
      </c>
      <c r="AA109" s="26">
        <f>(AA$102+1-YEAR(Inputs!$E$27))*Months_In_Year-MONTH(Inputs!$E$27)</f>
        <v/>
      </c>
      <c r="AB109" s="26">
        <f>(AB$102+1-YEAR(Inputs!$E$27))*Months_In_Year-MONTH(Inputs!$E$27)</f>
        <v/>
      </c>
      <c r="AC109" s="26">
        <f>(AC$102+1-YEAR(Inputs!$E$27))*Months_In_Year-MONTH(Inputs!$E$27)</f>
        <v/>
      </c>
      <c r="AD109" s="26">
        <f>(AD$102+1-YEAR(Inputs!$E$27))*Months_In_Year-MONTH(Inputs!$E$27)</f>
        <v/>
      </c>
      <c r="AE109" s="26">
        <f>(AE$102+1-YEAR(Inputs!$E$27))*Months_In_Year-MONTH(Inputs!$E$27)</f>
        <v/>
      </c>
      <c r="AF109" s="26">
        <f>(AF$102+1-YEAR(Inputs!$E$27))*Months_In_Year-MONTH(Inputs!$E$27)</f>
        <v/>
      </c>
      <c r="AG109" s="26">
        <f>(AG$102+1-YEAR(Inputs!$E$27))*Months_In_Year-MONTH(Inputs!$E$27)</f>
        <v/>
      </c>
      <c r="AH109" s="26">
        <f>(AH$102+1-YEAR(Inputs!$E$27))*Months_In_Year-MONTH(Inputs!$E$27)</f>
        <v/>
      </c>
      <c r="AI109" s="26">
        <f>(AI$102+1-YEAR(Inputs!$E$27))*Months_In_Year-MONTH(Inputs!$E$27)</f>
        <v/>
      </c>
      <c r="AJ109" s="26">
        <f>(AJ$102+1-YEAR(Inputs!$E$27))*Months_In_Year-MONTH(Inputs!$E$27)</f>
        <v/>
      </c>
      <c r="AK109" s="26">
        <f>(AK$102+1-YEAR(Inputs!$E$27))*Months_In_Year-MONTH(Inputs!$E$27)</f>
        <v/>
      </c>
      <c r="AL109" s="26">
        <f>(AL$102+1-YEAR(Inputs!$E$27))*Months_In_Year-MONTH(Inputs!$E$27)</f>
        <v/>
      </c>
      <c r="AM109" s="26">
        <f>(AM$102+1-YEAR(Inputs!$E$27))*Months_In_Year-MONTH(Inputs!$E$27)</f>
        <v/>
      </c>
      <c r="AN109" s="26">
        <f>(AN$102+1-YEAR(Inputs!$E$27))*Months_In_Year-MONTH(Inputs!$E$27)</f>
        <v/>
      </c>
      <c r="AO109" s="26">
        <f>(AO$102+1-YEAR(Inputs!$E$27))*Months_In_Year-MONTH(Inputs!$E$27)</f>
        <v/>
      </c>
      <c r="AP109" s="26">
        <f>(AP$102+1-YEAR(Inputs!$E$27))*Months_In_Year-MONTH(Inputs!$E$27)</f>
        <v/>
      </c>
      <c r="AQ109" s="26">
        <f>(AQ$102+1-YEAR(Inputs!$E$27))*Months_In_Year-MONTH(Inputs!$E$27)</f>
        <v/>
      </c>
      <c r="AR109" s="26">
        <f>(AR$102+1-YEAR(Inputs!$E$27))*Months_In_Year-MONTH(Inputs!$E$27)</f>
        <v/>
      </c>
      <c r="AS109" s="26">
        <f>(AS$102+1-YEAR(Inputs!$E$27))*Months_In_Year-MONTH(Inputs!$E$27)</f>
        <v/>
      </c>
      <c r="AT109" s="26">
        <f>(AT$102+1-YEAR(Inputs!$E$27))*Months_In_Year-MONTH(Inputs!$E$27)</f>
        <v/>
      </c>
      <c r="AU109" s="26">
        <f>(AU$102+1-YEAR(Inputs!$E$27))*Months_In_Year-MONTH(Inputs!$E$27)</f>
        <v/>
      </c>
      <c r="AV109" s="26">
        <f>(AV$102+1-YEAR(Inputs!$E$27))*Months_In_Year-MONTH(Inputs!$E$27)</f>
        <v/>
      </c>
    </row>
    <row r="110">
      <c r="C110" s="6" t="inlineStr">
        <is>
          <t>Operating share of the year (COD to end of life)</t>
        </is>
      </c>
      <c r="D110" s="2" t="inlineStr">
        <is>
          <t>%</t>
        </is>
      </c>
      <c r="H110" s="27">
        <f>SUM(M110:AV110)</f>
        <v/>
      </c>
      <c r="M110" s="17">
        <f>MAX(0,MIN(M109,$E109)-MAX(M109-Months_In_Year,0))/Months_In_Year</f>
        <v/>
      </c>
      <c r="N110" s="17">
        <f>MAX(0,MIN(N109,$E109)-MAX(N109-Months_In_Year,0))/Months_In_Year</f>
        <v/>
      </c>
      <c r="O110" s="17">
        <f>MAX(0,MIN(O109,$E109)-MAX(O109-Months_In_Year,0))/Months_In_Year</f>
        <v/>
      </c>
      <c r="P110" s="17">
        <f>MAX(0,MIN(P109,$E109)-MAX(P109-Months_In_Year,0))/Months_In_Year</f>
        <v/>
      </c>
      <c r="Q110" s="17">
        <f>MAX(0,MIN(Q109,$E109)-MAX(Q109-Months_In_Year,0))/Months_In_Year</f>
        <v/>
      </c>
      <c r="R110" s="17">
        <f>MAX(0,MIN(R109,$E109)-MAX(R109-Months_In_Year,0))/Months_In_Year</f>
        <v/>
      </c>
      <c r="S110" s="17">
        <f>MAX(0,MIN(S109,$E109)-MAX(S109-Months_In_Year,0))/Months_In_Year</f>
        <v/>
      </c>
      <c r="T110" s="17">
        <f>MAX(0,MIN(T109,$E109)-MAX(T109-Months_In_Year,0))/Months_In_Year</f>
        <v/>
      </c>
      <c r="U110" s="17">
        <f>MAX(0,MIN(U109,$E109)-MAX(U109-Months_In_Year,0))/Months_In_Year</f>
        <v/>
      </c>
      <c r="V110" s="17">
        <f>MAX(0,MIN(V109,$E109)-MAX(V109-Months_In_Year,0))/Months_In_Year</f>
        <v/>
      </c>
      <c r="W110" s="17">
        <f>MAX(0,MIN(W109,$E109)-MAX(W109-Months_In_Year,0))/Months_In_Year</f>
        <v/>
      </c>
      <c r="X110" s="17">
        <f>MAX(0,MIN(X109,$E109)-MAX(X109-Months_In_Year,0))/Months_In_Year</f>
        <v/>
      </c>
      <c r="Y110" s="17">
        <f>MAX(0,MIN(Y109,$E109)-MAX(Y109-Months_In_Year,0))/Months_In_Year</f>
        <v/>
      </c>
      <c r="Z110" s="17">
        <f>MAX(0,MIN(Z109,$E109)-MAX(Z109-Months_In_Year,0))/Months_In_Year</f>
        <v/>
      </c>
      <c r="AA110" s="17">
        <f>MAX(0,MIN(AA109,$E109)-MAX(AA109-Months_In_Year,0))/Months_In_Year</f>
        <v/>
      </c>
      <c r="AB110" s="17">
        <f>MAX(0,MIN(AB109,$E109)-MAX(AB109-Months_In_Year,0))/Months_In_Year</f>
        <v/>
      </c>
      <c r="AC110" s="17">
        <f>MAX(0,MIN(AC109,$E109)-MAX(AC109-Months_In_Year,0))/Months_In_Year</f>
        <v/>
      </c>
      <c r="AD110" s="17">
        <f>MAX(0,MIN(AD109,$E109)-MAX(AD109-Months_In_Year,0))/Months_In_Year</f>
        <v/>
      </c>
      <c r="AE110" s="17">
        <f>MAX(0,MIN(AE109,$E109)-MAX(AE109-Months_In_Year,0))/Months_In_Year</f>
        <v/>
      </c>
      <c r="AF110" s="17">
        <f>MAX(0,MIN(AF109,$E109)-MAX(AF109-Months_In_Year,0))/Months_In_Year</f>
        <v/>
      </c>
      <c r="AG110" s="17">
        <f>MAX(0,MIN(AG109,$E109)-MAX(AG109-Months_In_Year,0))/Months_In_Year</f>
        <v/>
      </c>
      <c r="AH110" s="17">
        <f>MAX(0,MIN(AH109,$E109)-MAX(AH109-Months_In_Year,0))/Months_In_Year</f>
        <v/>
      </c>
      <c r="AI110" s="17">
        <f>MAX(0,MIN(AI109,$E109)-MAX(AI109-Months_In_Year,0))/Months_In_Year</f>
        <v/>
      </c>
      <c r="AJ110" s="17">
        <f>MAX(0,MIN(AJ109,$E109)-MAX(AJ109-Months_In_Year,0))/Months_In_Year</f>
        <v/>
      </c>
      <c r="AK110" s="17">
        <f>MAX(0,MIN(AK109,$E109)-MAX(AK109-Months_In_Year,0))/Months_In_Year</f>
        <v/>
      </c>
      <c r="AL110" s="17">
        <f>MAX(0,MIN(AL109,$E109)-MAX(AL109-Months_In_Year,0))/Months_In_Year</f>
        <v/>
      </c>
      <c r="AM110" s="17">
        <f>MAX(0,MIN(AM109,$E109)-MAX(AM109-Months_In_Year,0))/Months_In_Year</f>
        <v/>
      </c>
      <c r="AN110" s="17">
        <f>MAX(0,MIN(AN109,$E109)-MAX(AN109-Months_In_Year,0))/Months_In_Year</f>
        <v/>
      </c>
      <c r="AO110" s="17">
        <f>MAX(0,MIN(AO109,$E109)-MAX(AO109-Months_In_Year,0))/Months_In_Year</f>
        <v/>
      </c>
      <c r="AP110" s="17">
        <f>MAX(0,MIN(AP109,$E109)-MAX(AP109-Months_In_Year,0))/Months_In_Year</f>
        <v/>
      </c>
      <c r="AQ110" s="17">
        <f>MAX(0,MIN(AQ109,$E109)-MAX(AQ109-Months_In_Year,0))/Months_In_Year</f>
        <v/>
      </c>
      <c r="AR110" s="17">
        <f>MAX(0,MIN(AR109,$E109)-MAX(AR109-Months_In_Year,0))/Months_In_Year</f>
        <v/>
      </c>
      <c r="AS110" s="17">
        <f>MAX(0,MIN(AS109,$E109)-MAX(AS109-Months_In_Year,0))/Months_In_Year</f>
        <v/>
      </c>
      <c r="AT110" s="17">
        <f>MAX(0,MIN(AT109,$E109)-MAX(AT109-Months_In_Year,0))/Months_In_Year</f>
        <v/>
      </c>
      <c r="AU110" s="17">
        <f>MAX(0,MIN(AU109,$E109)-MAX(AU109-Months_In_Year,0))/Months_In_Year</f>
        <v/>
      </c>
      <c r="AV110" s="17">
        <f>MAX(0,MIN(AV109,$E109)-MAX(AV109-Months_In_Year,0))/Months_In_Year</f>
        <v/>
      </c>
    </row>
    <row r="111">
      <c r="C111" s="6" t="inlineStr">
        <is>
          <t>COD year flag</t>
        </is>
      </c>
      <c r="D111" s="2" t="inlineStr">
        <is>
          <t>flag</t>
        </is>
      </c>
      <c r="M111" s="28">
        <f>N(M106=0)</f>
        <v/>
      </c>
      <c r="N111" s="28">
        <f>N(N106=0)</f>
        <v/>
      </c>
      <c r="O111" s="28">
        <f>N(O106=0)</f>
        <v/>
      </c>
      <c r="P111" s="28">
        <f>N(P106=0)</f>
        <v/>
      </c>
      <c r="Q111" s="28">
        <f>N(Q106=0)</f>
        <v/>
      </c>
      <c r="R111" s="28">
        <f>N(R106=0)</f>
        <v/>
      </c>
      <c r="S111" s="28">
        <f>N(S106=0)</f>
        <v/>
      </c>
      <c r="T111" s="28">
        <f>N(T106=0)</f>
        <v/>
      </c>
      <c r="U111" s="28">
        <f>N(U106=0)</f>
        <v/>
      </c>
      <c r="V111" s="28">
        <f>N(V106=0)</f>
        <v/>
      </c>
      <c r="W111" s="28">
        <f>N(W106=0)</f>
        <v/>
      </c>
      <c r="X111" s="28">
        <f>N(X106=0)</f>
        <v/>
      </c>
      <c r="Y111" s="28">
        <f>N(Y106=0)</f>
        <v/>
      </c>
      <c r="Z111" s="28">
        <f>N(Z106=0)</f>
        <v/>
      </c>
      <c r="AA111" s="28">
        <f>N(AA106=0)</f>
        <v/>
      </c>
      <c r="AB111" s="28">
        <f>N(AB106=0)</f>
        <v/>
      </c>
      <c r="AC111" s="28">
        <f>N(AC106=0)</f>
        <v/>
      </c>
      <c r="AD111" s="28">
        <f>N(AD106=0)</f>
        <v/>
      </c>
      <c r="AE111" s="28">
        <f>N(AE106=0)</f>
        <v/>
      </c>
      <c r="AF111" s="28">
        <f>N(AF106=0)</f>
        <v/>
      </c>
      <c r="AG111" s="28">
        <f>N(AG106=0)</f>
        <v/>
      </c>
      <c r="AH111" s="28">
        <f>N(AH106=0)</f>
        <v/>
      </c>
      <c r="AI111" s="28">
        <f>N(AI106=0)</f>
        <v/>
      </c>
      <c r="AJ111" s="28">
        <f>N(AJ106=0)</f>
        <v/>
      </c>
      <c r="AK111" s="28">
        <f>N(AK106=0)</f>
        <v/>
      </c>
      <c r="AL111" s="28">
        <f>N(AL106=0)</f>
        <v/>
      </c>
      <c r="AM111" s="28">
        <f>N(AM106=0)</f>
        <v/>
      </c>
      <c r="AN111" s="28">
        <f>N(AN106=0)</f>
        <v/>
      </c>
      <c r="AO111" s="28">
        <f>N(AO106=0)</f>
        <v/>
      </c>
      <c r="AP111" s="28">
        <f>N(AP106=0)</f>
        <v/>
      </c>
      <c r="AQ111" s="28">
        <f>N(AQ106=0)</f>
        <v/>
      </c>
      <c r="AR111" s="28">
        <f>N(AR106=0)</f>
        <v/>
      </c>
      <c r="AS111" s="28">
        <f>N(AS106=0)</f>
        <v/>
      </c>
      <c r="AT111" s="28">
        <f>N(AT106=0)</f>
        <v/>
      </c>
      <c r="AU111" s="28">
        <f>N(AU106=0)</f>
        <v/>
      </c>
      <c r="AV111" s="28">
        <f>N(AV106=0)</f>
        <v/>
      </c>
    </row>
    <row r="112">
      <c r="C112" s="6" t="inlineStr">
        <is>
          <t>FEP outlays at their dates (signing, fee, securities, fees, devex)</t>
        </is>
      </c>
      <c r="D112" s="2" t="inlineStr">
        <is>
          <t>EUR k</t>
        </is>
      </c>
      <c r="H112" s="8">
        <f>SUM(M112:AV112)</f>
        <v/>
      </c>
      <c r="M112" s="8">
        <f>SUMPRODUCT((YEAR($J$71:$J$78)=M$102)*$E$71:$E$78)</f>
        <v/>
      </c>
      <c r="N112" s="8">
        <f>SUMPRODUCT((YEAR($J$71:$J$78)=N$102)*$E$71:$E$78)</f>
        <v/>
      </c>
      <c r="O112" s="8">
        <f>SUMPRODUCT((YEAR($J$71:$J$78)=O$102)*$E$71:$E$78)</f>
        <v/>
      </c>
      <c r="P112" s="8">
        <f>SUMPRODUCT((YEAR($J$71:$J$78)=P$102)*$E$71:$E$78)</f>
        <v/>
      </c>
      <c r="Q112" s="8">
        <f>SUMPRODUCT((YEAR($J$71:$J$78)=Q$102)*$E$71:$E$78)</f>
        <v/>
      </c>
      <c r="R112" s="8">
        <f>SUMPRODUCT((YEAR($J$71:$J$78)=R$102)*$E$71:$E$78)</f>
        <v/>
      </c>
      <c r="S112" s="8">
        <f>SUMPRODUCT((YEAR($J$71:$J$78)=S$102)*$E$71:$E$78)</f>
        <v/>
      </c>
      <c r="T112" s="8">
        <f>SUMPRODUCT((YEAR($J$71:$J$78)=T$102)*$E$71:$E$78)</f>
        <v/>
      </c>
      <c r="U112" s="8">
        <f>SUMPRODUCT((YEAR($J$71:$J$78)=U$102)*$E$71:$E$78)</f>
        <v/>
      </c>
      <c r="V112" s="8">
        <f>SUMPRODUCT((YEAR($J$71:$J$78)=V$102)*$E$71:$E$78)</f>
        <v/>
      </c>
      <c r="W112" s="8">
        <f>SUMPRODUCT((YEAR($J$71:$J$78)=W$102)*$E$71:$E$78)</f>
        <v/>
      </c>
      <c r="X112" s="8">
        <f>SUMPRODUCT((YEAR($J$71:$J$78)=X$102)*$E$71:$E$78)</f>
        <v/>
      </c>
      <c r="Y112" s="8">
        <f>SUMPRODUCT((YEAR($J$71:$J$78)=Y$102)*$E$71:$E$78)</f>
        <v/>
      </c>
      <c r="Z112" s="8">
        <f>SUMPRODUCT((YEAR($J$71:$J$78)=Z$102)*$E$71:$E$78)</f>
        <v/>
      </c>
      <c r="AA112" s="8">
        <f>SUMPRODUCT((YEAR($J$71:$J$78)=AA$102)*$E$71:$E$78)</f>
        <v/>
      </c>
      <c r="AB112" s="8">
        <f>SUMPRODUCT((YEAR($J$71:$J$78)=AB$102)*$E$71:$E$78)</f>
        <v/>
      </c>
      <c r="AC112" s="8">
        <f>SUMPRODUCT((YEAR($J$71:$J$78)=AC$102)*$E$71:$E$78)</f>
        <v/>
      </c>
      <c r="AD112" s="8">
        <f>SUMPRODUCT((YEAR($J$71:$J$78)=AD$102)*$E$71:$E$78)</f>
        <v/>
      </c>
      <c r="AE112" s="8">
        <f>SUMPRODUCT((YEAR($J$71:$J$78)=AE$102)*$E$71:$E$78)</f>
        <v/>
      </c>
      <c r="AF112" s="8">
        <f>SUMPRODUCT((YEAR($J$71:$J$78)=AF$102)*$E$71:$E$78)</f>
        <v/>
      </c>
      <c r="AG112" s="8">
        <f>SUMPRODUCT((YEAR($J$71:$J$78)=AG$102)*$E$71:$E$78)</f>
        <v/>
      </c>
      <c r="AH112" s="8">
        <f>SUMPRODUCT((YEAR($J$71:$J$78)=AH$102)*$E$71:$E$78)</f>
        <v/>
      </c>
      <c r="AI112" s="8">
        <f>SUMPRODUCT((YEAR($J$71:$J$78)=AI$102)*$E$71:$E$78)</f>
        <v/>
      </c>
      <c r="AJ112" s="8">
        <f>SUMPRODUCT((YEAR($J$71:$J$78)=AJ$102)*$E$71:$E$78)</f>
        <v/>
      </c>
      <c r="AK112" s="8">
        <f>SUMPRODUCT((YEAR($J$71:$J$78)=AK$102)*$E$71:$E$78)</f>
        <v/>
      </c>
      <c r="AL112" s="8">
        <f>SUMPRODUCT((YEAR($J$71:$J$78)=AL$102)*$E$71:$E$78)</f>
        <v/>
      </c>
      <c r="AM112" s="8">
        <f>SUMPRODUCT((YEAR($J$71:$J$78)=AM$102)*$E$71:$E$78)</f>
        <v/>
      </c>
      <c r="AN112" s="8">
        <f>SUMPRODUCT((YEAR($J$71:$J$78)=AN$102)*$E$71:$E$78)</f>
        <v/>
      </c>
      <c r="AO112" s="8">
        <f>SUMPRODUCT((YEAR($J$71:$J$78)=AO$102)*$E$71:$E$78)</f>
        <v/>
      </c>
      <c r="AP112" s="8">
        <f>SUMPRODUCT((YEAR($J$71:$J$78)=AP$102)*$E$71:$E$78)</f>
        <v/>
      </c>
      <c r="AQ112" s="8">
        <f>SUMPRODUCT((YEAR($J$71:$J$78)=AQ$102)*$E$71:$E$78)</f>
        <v/>
      </c>
      <c r="AR112" s="8">
        <f>SUMPRODUCT((YEAR($J$71:$J$78)=AR$102)*$E$71:$E$78)</f>
        <v/>
      </c>
      <c r="AS112" s="8">
        <f>SUMPRODUCT((YEAR($J$71:$J$78)=AS$102)*$E$71:$E$78)</f>
        <v/>
      </c>
      <c r="AT112" s="8">
        <f>SUMPRODUCT((YEAR($J$71:$J$78)=AT$102)*$E$71:$E$78)</f>
        <v/>
      </c>
      <c r="AU112" s="8">
        <f>SUMPRODUCT((YEAR($J$71:$J$78)=AU$102)*$E$71:$E$78)</f>
        <v/>
      </c>
      <c r="AV112" s="8">
        <f>SUMPRODUCT((YEAR($J$71:$J$78)=AV$102)*$E$71:$E$78)</f>
        <v/>
      </c>
    </row>
    <row r="113">
      <c r="C113" s="6" t="inlineStr">
        <is>
          <t>Performance security released (bid security included)</t>
        </is>
      </c>
      <c r="D113" s="2" t="inlineStr">
        <is>
          <t>EUR k</t>
        </is>
      </c>
      <c r="H113" s="8">
        <f>SUM(M113:AV113)</f>
        <v/>
      </c>
      <c r="M113" s="8">
        <f>($E$24+$E$25)*(M$102=YEAR(Inputs!$E$28))</f>
        <v/>
      </c>
      <c r="N113" s="8">
        <f>($E$24+$E$25)*(N$102=YEAR(Inputs!$E$28))</f>
        <v/>
      </c>
      <c r="O113" s="8">
        <f>($E$24+$E$25)*(O$102=YEAR(Inputs!$E$28))</f>
        <v/>
      </c>
      <c r="P113" s="8">
        <f>($E$24+$E$25)*(P$102=YEAR(Inputs!$E$28))</f>
        <v/>
      </c>
      <c r="Q113" s="8">
        <f>($E$24+$E$25)*(Q$102=YEAR(Inputs!$E$28))</f>
        <v/>
      </c>
      <c r="R113" s="8">
        <f>($E$24+$E$25)*(R$102=YEAR(Inputs!$E$28))</f>
        <v/>
      </c>
      <c r="S113" s="8">
        <f>($E$24+$E$25)*(S$102=YEAR(Inputs!$E$28))</f>
        <v/>
      </c>
      <c r="T113" s="8">
        <f>($E$24+$E$25)*(T$102=YEAR(Inputs!$E$28))</f>
        <v/>
      </c>
      <c r="U113" s="8">
        <f>($E$24+$E$25)*(U$102=YEAR(Inputs!$E$28))</f>
        <v/>
      </c>
      <c r="V113" s="8">
        <f>($E$24+$E$25)*(V$102=YEAR(Inputs!$E$28))</f>
        <v/>
      </c>
      <c r="W113" s="8">
        <f>($E$24+$E$25)*(W$102=YEAR(Inputs!$E$28))</f>
        <v/>
      </c>
      <c r="X113" s="8">
        <f>($E$24+$E$25)*(X$102=YEAR(Inputs!$E$28))</f>
        <v/>
      </c>
      <c r="Y113" s="8">
        <f>($E$24+$E$25)*(Y$102=YEAR(Inputs!$E$28))</f>
        <v/>
      </c>
      <c r="Z113" s="8">
        <f>($E$24+$E$25)*(Z$102=YEAR(Inputs!$E$28))</f>
        <v/>
      </c>
      <c r="AA113" s="8">
        <f>($E$24+$E$25)*(AA$102=YEAR(Inputs!$E$28))</f>
        <v/>
      </c>
      <c r="AB113" s="8">
        <f>($E$24+$E$25)*(AB$102=YEAR(Inputs!$E$28))</f>
        <v/>
      </c>
      <c r="AC113" s="8">
        <f>($E$24+$E$25)*(AC$102=YEAR(Inputs!$E$28))</f>
        <v/>
      </c>
      <c r="AD113" s="8">
        <f>($E$24+$E$25)*(AD$102=YEAR(Inputs!$E$28))</f>
        <v/>
      </c>
      <c r="AE113" s="8">
        <f>($E$24+$E$25)*(AE$102=YEAR(Inputs!$E$28))</f>
        <v/>
      </c>
      <c r="AF113" s="8">
        <f>($E$24+$E$25)*(AF$102=YEAR(Inputs!$E$28))</f>
        <v/>
      </c>
      <c r="AG113" s="8">
        <f>($E$24+$E$25)*(AG$102=YEAR(Inputs!$E$28))</f>
        <v/>
      </c>
      <c r="AH113" s="8">
        <f>($E$24+$E$25)*(AH$102=YEAR(Inputs!$E$28))</f>
        <v/>
      </c>
      <c r="AI113" s="8">
        <f>($E$24+$E$25)*(AI$102=YEAR(Inputs!$E$28))</f>
        <v/>
      </c>
      <c r="AJ113" s="8">
        <f>($E$24+$E$25)*(AJ$102=YEAR(Inputs!$E$28))</f>
        <v/>
      </c>
      <c r="AK113" s="8">
        <f>($E$24+$E$25)*(AK$102=YEAR(Inputs!$E$28))</f>
        <v/>
      </c>
      <c r="AL113" s="8">
        <f>($E$24+$E$25)*(AL$102=YEAR(Inputs!$E$28))</f>
        <v/>
      </c>
      <c r="AM113" s="8">
        <f>($E$24+$E$25)*(AM$102=YEAR(Inputs!$E$28))</f>
        <v/>
      </c>
      <c r="AN113" s="8">
        <f>($E$24+$E$25)*(AN$102=YEAR(Inputs!$E$28))</f>
        <v/>
      </c>
      <c r="AO113" s="8">
        <f>($E$24+$E$25)*(AO$102=YEAR(Inputs!$E$28))</f>
        <v/>
      </c>
      <c r="AP113" s="8">
        <f>($E$24+$E$25)*(AP$102=YEAR(Inputs!$E$28))</f>
        <v/>
      </c>
      <c r="AQ113" s="8">
        <f>($E$24+$E$25)*(AQ$102=YEAR(Inputs!$E$28))</f>
        <v/>
      </c>
      <c r="AR113" s="8">
        <f>($E$24+$E$25)*(AR$102=YEAR(Inputs!$E$28))</f>
        <v/>
      </c>
      <c r="AS113" s="8">
        <f>($E$24+$E$25)*(AS$102=YEAR(Inputs!$E$28))</f>
        <v/>
      </c>
      <c r="AT113" s="8">
        <f>($E$24+$E$25)*(AT$102=YEAR(Inputs!$E$28))</f>
        <v/>
      </c>
      <c r="AU113" s="8">
        <f>($E$24+$E$25)*(AU$102=YEAR(Inputs!$E$28))</f>
        <v/>
      </c>
      <c r="AV113" s="8">
        <f>($E$24+$E$25)*(AV$102=YEAR(Inputs!$E$28))</f>
        <v/>
      </c>
    </row>
    <row r="114">
      <c r="C114" s="6" t="inlineStr">
        <is>
          <t>Construction capex (straight-line NTP to COD)</t>
        </is>
      </c>
      <c r="D114" s="2" t="inlineStr">
        <is>
          <t>EUR k</t>
        </is>
      </c>
      <c r="H114" s="8">
        <f>SUM(M114:AV114)</f>
        <v/>
      </c>
      <c r="M114" s="8">
        <f>-$E$95*M108</f>
        <v/>
      </c>
      <c r="N114" s="8">
        <f>-$E$95*N108</f>
        <v/>
      </c>
      <c r="O114" s="8">
        <f>-$E$95*O108</f>
        <v/>
      </c>
      <c r="P114" s="8">
        <f>-$E$95*P108</f>
        <v/>
      </c>
      <c r="Q114" s="8">
        <f>-$E$95*Q108</f>
        <v/>
      </c>
      <c r="R114" s="8">
        <f>-$E$95*R108</f>
        <v/>
      </c>
      <c r="S114" s="8">
        <f>-$E$95*S108</f>
        <v/>
      </c>
      <c r="T114" s="8">
        <f>-$E$95*T108</f>
        <v/>
      </c>
      <c r="U114" s="8">
        <f>-$E$95*U108</f>
        <v/>
      </c>
      <c r="V114" s="8">
        <f>-$E$95*V108</f>
        <v/>
      </c>
      <c r="W114" s="8">
        <f>-$E$95*W108</f>
        <v/>
      </c>
      <c r="X114" s="8">
        <f>-$E$95*X108</f>
        <v/>
      </c>
      <c r="Y114" s="8">
        <f>-$E$95*Y108</f>
        <v/>
      </c>
      <c r="Z114" s="8">
        <f>-$E$95*Z108</f>
        <v/>
      </c>
      <c r="AA114" s="8">
        <f>-$E$95*AA108</f>
        <v/>
      </c>
      <c r="AB114" s="8">
        <f>-$E$95*AB108</f>
        <v/>
      </c>
      <c r="AC114" s="8">
        <f>-$E$95*AC108</f>
        <v/>
      </c>
      <c r="AD114" s="8">
        <f>-$E$95*AD108</f>
        <v/>
      </c>
      <c r="AE114" s="8">
        <f>-$E$95*AE108</f>
        <v/>
      </c>
      <c r="AF114" s="8">
        <f>-$E$95*AF108</f>
        <v/>
      </c>
      <c r="AG114" s="8">
        <f>-$E$95*AG108</f>
        <v/>
      </c>
      <c r="AH114" s="8">
        <f>-$E$95*AH108</f>
        <v/>
      </c>
      <c r="AI114" s="8">
        <f>-$E$95*AI108</f>
        <v/>
      </c>
      <c r="AJ114" s="8">
        <f>-$E$95*AJ108</f>
        <v/>
      </c>
      <c r="AK114" s="8">
        <f>-$E$95*AK108</f>
        <v/>
      </c>
      <c r="AL114" s="8">
        <f>-$E$95*AL108</f>
        <v/>
      </c>
      <c r="AM114" s="8">
        <f>-$E$95*AM108</f>
        <v/>
      </c>
      <c r="AN114" s="8">
        <f>-$E$95*AN108</f>
        <v/>
      </c>
      <c r="AO114" s="8">
        <f>-$E$95*AO108</f>
        <v/>
      </c>
      <c r="AP114" s="8">
        <f>-$E$95*AP108</f>
        <v/>
      </c>
      <c r="AQ114" s="8">
        <f>-$E$95*AQ108</f>
        <v/>
      </c>
      <c r="AR114" s="8">
        <f>-$E$95*AR108</f>
        <v/>
      </c>
      <c r="AS114" s="8">
        <f>-$E$95*AS108</f>
        <v/>
      </c>
      <c r="AT114" s="8">
        <f>-$E$95*AT108</f>
        <v/>
      </c>
      <c r="AU114" s="8">
        <f>-$E$95*AU108</f>
        <v/>
      </c>
      <c r="AV114" s="8">
        <f>-$E$95*AV108</f>
        <v/>
      </c>
    </row>
    <row r="115">
      <c r="C115" s="6" t="inlineStr">
        <is>
          <t>Municipal one-off at COD</t>
        </is>
      </c>
      <c r="D115" s="2" t="inlineStr">
        <is>
          <t>EUR k</t>
        </is>
      </c>
      <c r="H115" s="8">
        <f>SUM(M115:AV115)</f>
        <v/>
      </c>
      <c r="M115" s="8">
        <f>-$E$97*M111</f>
        <v/>
      </c>
      <c r="N115" s="8">
        <f>-$E$97*N111</f>
        <v/>
      </c>
      <c r="O115" s="8">
        <f>-$E$97*O111</f>
        <v/>
      </c>
      <c r="P115" s="8">
        <f>-$E$97*P111</f>
        <v/>
      </c>
      <c r="Q115" s="8">
        <f>-$E$97*Q111</f>
        <v/>
      </c>
      <c r="R115" s="8">
        <f>-$E$97*R111</f>
        <v/>
      </c>
      <c r="S115" s="8">
        <f>-$E$97*S111</f>
        <v/>
      </c>
      <c r="T115" s="8">
        <f>-$E$97*T111</f>
        <v/>
      </c>
      <c r="U115" s="8">
        <f>-$E$97*U111</f>
        <v/>
      </c>
      <c r="V115" s="8">
        <f>-$E$97*V111</f>
        <v/>
      </c>
      <c r="W115" s="8">
        <f>-$E$97*W111</f>
        <v/>
      </c>
      <c r="X115" s="8">
        <f>-$E$97*X111</f>
        <v/>
      </c>
      <c r="Y115" s="8">
        <f>-$E$97*Y111</f>
        <v/>
      </c>
      <c r="Z115" s="8">
        <f>-$E$97*Z111</f>
        <v/>
      </c>
      <c r="AA115" s="8">
        <f>-$E$97*AA111</f>
        <v/>
      </c>
      <c r="AB115" s="8">
        <f>-$E$97*AB111</f>
        <v/>
      </c>
      <c r="AC115" s="8">
        <f>-$E$97*AC111</f>
        <v/>
      </c>
      <c r="AD115" s="8">
        <f>-$E$97*AD111</f>
        <v/>
      </c>
      <c r="AE115" s="8">
        <f>-$E$97*AE111</f>
        <v/>
      </c>
      <c r="AF115" s="8">
        <f>-$E$97*AF111</f>
        <v/>
      </c>
      <c r="AG115" s="8">
        <f>-$E$97*AG111</f>
        <v/>
      </c>
      <c r="AH115" s="8">
        <f>-$E$97*AH111</f>
        <v/>
      </c>
      <c r="AI115" s="8">
        <f>-$E$97*AI111</f>
        <v/>
      </c>
      <c r="AJ115" s="8">
        <f>-$E$97*AJ111</f>
        <v/>
      </c>
      <c r="AK115" s="8">
        <f>-$E$97*AK111</f>
        <v/>
      </c>
      <c r="AL115" s="8">
        <f>-$E$97*AL111</f>
        <v/>
      </c>
      <c r="AM115" s="8">
        <f>-$E$97*AM111</f>
        <v/>
      </c>
      <c r="AN115" s="8">
        <f>-$E$97*AN111</f>
        <v/>
      </c>
      <c r="AO115" s="8">
        <f>-$E$97*AO111</f>
        <v/>
      </c>
      <c r="AP115" s="8">
        <f>-$E$97*AP111</f>
        <v/>
      </c>
      <c r="AQ115" s="8">
        <f>-$E$97*AQ111</f>
        <v/>
      </c>
      <c r="AR115" s="8">
        <f>-$E$97*AR111</f>
        <v/>
      </c>
      <c r="AS115" s="8">
        <f>-$E$97*AS111</f>
        <v/>
      </c>
      <c r="AT115" s="8">
        <f>-$E$97*AT111</f>
        <v/>
      </c>
      <c r="AU115" s="8">
        <f>-$E$97*AU111</f>
        <v/>
      </c>
      <c r="AV115" s="8">
        <f>-$E$97*AV111</f>
        <v/>
      </c>
    </row>
    <row r="116">
      <c r="C116" s="1" t="inlineStr">
        <is>
          <t>Investment cash flow</t>
        </is>
      </c>
      <c r="D116" s="2" t="inlineStr">
        <is>
          <t>EUR k</t>
        </is>
      </c>
      <c r="H116" s="15">
        <f>SUM(M116:AV116)</f>
        <v/>
      </c>
      <c r="M116" s="15">
        <f>SUM(M112:M115)</f>
        <v/>
      </c>
      <c r="N116" s="15">
        <f>SUM(N112:N115)</f>
        <v/>
      </c>
      <c r="O116" s="15">
        <f>SUM(O112:O115)</f>
        <v/>
      </c>
      <c r="P116" s="15">
        <f>SUM(P112:P115)</f>
        <v/>
      </c>
      <c r="Q116" s="15">
        <f>SUM(Q112:Q115)</f>
        <v/>
      </c>
      <c r="R116" s="15">
        <f>SUM(R112:R115)</f>
        <v/>
      </c>
      <c r="S116" s="15">
        <f>SUM(S112:S115)</f>
        <v/>
      </c>
      <c r="T116" s="15">
        <f>SUM(T112:T115)</f>
        <v/>
      </c>
      <c r="U116" s="15">
        <f>SUM(U112:U115)</f>
        <v/>
      </c>
      <c r="V116" s="15">
        <f>SUM(V112:V115)</f>
        <v/>
      </c>
      <c r="W116" s="15">
        <f>SUM(W112:W115)</f>
        <v/>
      </c>
      <c r="X116" s="15">
        <f>SUM(X112:X115)</f>
        <v/>
      </c>
      <c r="Y116" s="15">
        <f>SUM(Y112:Y115)</f>
        <v/>
      </c>
      <c r="Z116" s="15">
        <f>SUM(Z112:Z115)</f>
        <v/>
      </c>
      <c r="AA116" s="15">
        <f>SUM(AA112:AA115)</f>
        <v/>
      </c>
      <c r="AB116" s="15">
        <f>SUM(AB112:AB115)</f>
        <v/>
      </c>
      <c r="AC116" s="15">
        <f>SUM(AC112:AC115)</f>
        <v/>
      </c>
      <c r="AD116" s="15">
        <f>SUM(AD112:AD115)</f>
        <v/>
      </c>
      <c r="AE116" s="15">
        <f>SUM(AE112:AE115)</f>
        <v/>
      </c>
      <c r="AF116" s="15">
        <f>SUM(AF112:AF115)</f>
        <v/>
      </c>
      <c r="AG116" s="15">
        <f>SUM(AG112:AG115)</f>
        <v/>
      </c>
      <c r="AH116" s="15">
        <f>SUM(AH112:AH115)</f>
        <v/>
      </c>
      <c r="AI116" s="15">
        <f>SUM(AI112:AI115)</f>
        <v/>
      </c>
      <c r="AJ116" s="15">
        <f>SUM(AJ112:AJ115)</f>
        <v/>
      </c>
      <c r="AK116" s="15">
        <f>SUM(AK112:AK115)</f>
        <v/>
      </c>
      <c r="AL116" s="15">
        <f>SUM(AL112:AL115)</f>
        <v/>
      </c>
      <c r="AM116" s="15">
        <f>SUM(AM112:AM115)</f>
        <v/>
      </c>
      <c r="AN116" s="15">
        <f>SUM(AN112:AN115)</f>
        <v/>
      </c>
      <c r="AO116" s="15">
        <f>SUM(AO112:AO115)</f>
        <v/>
      </c>
      <c r="AP116" s="15">
        <f>SUM(AP112:AP115)</f>
        <v/>
      </c>
      <c r="AQ116" s="15">
        <f>SUM(AQ112:AQ115)</f>
        <v/>
      </c>
      <c r="AR116" s="15">
        <f>SUM(AR112:AR115)</f>
        <v/>
      </c>
      <c r="AS116" s="15">
        <f>SUM(AS112:AS115)</f>
        <v/>
      </c>
      <c r="AT116" s="15">
        <f>SUM(AT112:AT115)</f>
        <v/>
      </c>
      <c r="AU116" s="15">
        <f>SUM(AU112:AU115)</f>
        <v/>
      </c>
      <c r="AV116" s="15">
        <f>SUM(AV112:AV115)</f>
        <v/>
      </c>
    </row>
    <row r="117">
      <c r="C117" s="6" t="inlineStr">
        <is>
          <t>Degradation factor (from the first full year)</t>
        </is>
      </c>
      <c r="D117" s="2" t="inlineStr">
        <is>
          <t>x</t>
        </is>
      </c>
      <c r="M117" s="29">
        <f>(1-Degradation)^MAX(M106-1,0)</f>
        <v/>
      </c>
      <c r="N117" s="29">
        <f>(1-Degradation)^MAX(N106-1,0)</f>
        <v/>
      </c>
      <c r="O117" s="29">
        <f>(1-Degradation)^MAX(O106-1,0)</f>
        <v/>
      </c>
      <c r="P117" s="29">
        <f>(1-Degradation)^MAX(P106-1,0)</f>
        <v/>
      </c>
      <c r="Q117" s="29">
        <f>(1-Degradation)^MAX(Q106-1,0)</f>
        <v/>
      </c>
      <c r="R117" s="29">
        <f>(1-Degradation)^MAX(R106-1,0)</f>
        <v/>
      </c>
      <c r="S117" s="29">
        <f>(1-Degradation)^MAX(S106-1,0)</f>
        <v/>
      </c>
      <c r="T117" s="29">
        <f>(1-Degradation)^MAX(T106-1,0)</f>
        <v/>
      </c>
      <c r="U117" s="29">
        <f>(1-Degradation)^MAX(U106-1,0)</f>
        <v/>
      </c>
      <c r="V117" s="29">
        <f>(1-Degradation)^MAX(V106-1,0)</f>
        <v/>
      </c>
      <c r="W117" s="29">
        <f>(1-Degradation)^MAX(W106-1,0)</f>
        <v/>
      </c>
      <c r="X117" s="29">
        <f>(1-Degradation)^MAX(X106-1,0)</f>
        <v/>
      </c>
      <c r="Y117" s="29">
        <f>(1-Degradation)^MAX(Y106-1,0)</f>
        <v/>
      </c>
      <c r="Z117" s="29">
        <f>(1-Degradation)^MAX(Z106-1,0)</f>
        <v/>
      </c>
      <c r="AA117" s="29">
        <f>(1-Degradation)^MAX(AA106-1,0)</f>
        <v/>
      </c>
      <c r="AB117" s="29">
        <f>(1-Degradation)^MAX(AB106-1,0)</f>
        <v/>
      </c>
      <c r="AC117" s="29">
        <f>(1-Degradation)^MAX(AC106-1,0)</f>
        <v/>
      </c>
      <c r="AD117" s="29">
        <f>(1-Degradation)^MAX(AD106-1,0)</f>
        <v/>
      </c>
      <c r="AE117" s="29">
        <f>(1-Degradation)^MAX(AE106-1,0)</f>
        <v/>
      </c>
      <c r="AF117" s="29">
        <f>(1-Degradation)^MAX(AF106-1,0)</f>
        <v/>
      </c>
      <c r="AG117" s="29">
        <f>(1-Degradation)^MAX(AG106-1,0)</f>
        <v/>
      </c>
      <c r="AH117" s="29">
        <f>(1-Degradation)^MAX(AH106-1,0)</f>
        <v/>
      </c>
      <c r="AI117" s="29">
        <f>(1-Degradation)^MAX(AI106-1,0)</f>
        <v/>
      </c>
      <c r="AJ117" s="29">
        <f>(1-Degradation)^MAX(AJ106-1,0)</f>
        <v/>
      </c>
      <c r="AK117" s="29">
        <f>(1-Degradation)^MAX(AK106-1,0)</f>
        <v/>
      </c>
      <c r="AL117" s="29">
        <f>(1-Degradation)^MAX(AL106-1,0)</f>
        <v/>
      </c>
      <c r="AM117" s="29">
        <f>(1-Degradation)^MAX(AM106-1,0)</f>
        <v/>
      </c>
      <c r="AN117" s="29">
        <f>(1-Degradation)^MAX(AN106-1,0)</f>
        <v/>
      </c>
      <c r="AO117" s="29">
        <f>(1-Degradation)^MAX(AO106-1,0)</f>
        <v/>
      </c>
      <c r="AP117" s="29">
        <f>(1-Degradation)^MAX(AP106-1,0)</f>
        <v/>
      </c>
      <c r="AQ117" s="29">
        <f>(1-Degradation)^MAX(AQ106-1,0)</f>
        <v/>
      </c>
      <c r="AR117" s="29">
        <f>(1-Degradation)^MAX(AR106-1,0)</f>
        <v/>
      </c>
      <c r="AS117" s="29">
        <f>(1-Degradation)^MAX(AS106-1,0)</f>
        <v/>
      </c>
      <c r="AT117" s="29">
        <f>(1-Degradation)^MAX(AT106-1,0)</f>
        <v/>
      </c>
      <c r="AU117" s="29">
        <f>(1-Degradation)^MAX(AU106-1,0)</f>
        <v/>
      </c>
      <c r="AV117" s="29">
        <f>(1-Degradation)^MAX(AV106-1,0)</f>
        <v/>
      </c>
    </row>
    <row r="118">
      <c r="C118" s="6" t="inlineStr">
        <is>
          <t>Net generation</t>
        </is>
      </c>
      <c r="D118" s="2" t="inlineStr">
        <is>
          <t>GWh</t>
        </is>
      </c>
      <c r="H118" s="21">
        <f>SUM(M118:AV118)</f>
        <v/>
      </c>
      <c r="M118" s="21">
        <f>$E$19*Hours_P50*(1-Curtailment)*(1-Clipping)*M110*M117/Thousand</f>
        <v/>
      </c>
      <c r="N118" s="21">
        <f>$E$19*Hours_P50*(1-Curtailment)*(1-Clipping)*N110*N117/Thousand</f>
        <v/>
      </c>
      <c r="O118" s="21">
        <f>$E$19*Hours_P50*(1-Curtailment)*(1-Clipping)*O110*O117/Thousand</f>
        <v/>
      </c>
      <c r="P118" s="21">
        <f>$E$19*Hours_P50*(1-Curtailment)*(1-Clipping)*P110*P117/Thousand</f>
        <v/>
      </c>
      <c r="Q118" s="21">
        <f>$E$19*Hours_P50*(1-Curtailment)*(1-Clipping)*Q110*Q117/Thousand</f>
        <v/>
      </c>
      <c r="R118" s="21">
        <f>$E$19*Hours_P50*(1-Curtailment)*(1-Clipping)*R110*R117/Thousand</f>
        <v/>
      </c>
      <c r="S118" s="21">
        <f>$E$19*Hours_P50*(1-Curtailment)*(1-Clipping)*S110*S117/Thousand</f>
        <v/>
      </c>
      <c r="T118" s="21">
        <f>$E$19*Hours_P50*(1-Curtailment)*(1-Clipping)*T110*T117/Thousand</f>
        <v/>
      </c>
      <c r="U118" s="21">
        <f>$E$19*Hours_P50*(1-Curtailment)*(1-Clipping)*U110*U117/Thousand</f>
        <v/>
      </c>
      <c r="V118" s="21">
        <f>$E$19*Hours_P50*(1-Curtailment)*(1-Clipping)*V110*V117/Thousand</f>
        <v/>
      </c>
      <c r="W118" s="21">
        <f>$E$19*Hours_P50*(1-Curtailment)*(1-Clipping)*W110*W117/Thousand</f>
        <v/>
      </c>
      <c r="X118" s="21">
        <f>$E$19*Hours_P50*(1-Curtailment)*(1-Clipping)*X110*X117/Thousand</f>
        <v/>
      </c>
      <c r="Y118" s="21">
        <f>$E$19*Hours_P50*(1-Curtailment)*(1-Clipping)*Y110*Y117/Thousand</f>
        <v/>
      </c>
      <c r="Z118" s="21">
        <f>$E$19*Hours_P50*(1-Curtailment)*(1-Clipping)*Z110*Z117/Thousand</f>
        <v/>
      </c>
      <c r="AA118" s="21">
        <f>$E$19*Hours_P50*(1-Curtailment)*(1-Clipping)*AA110*AA117/Thousand</f>
        <v/>
      </c>
      <c r="AB118" s="21">
        <f>$E$19*Hours_P50*(1-Curtailment)*(1-Clipping)*AB110*AB117/Thousand</f>
        <v/>
      </c>
      <c r="AC118" s="21">
        <f>$E$19*Hours_P50*(1-Curtailment)*(1-Clipping)*AC110*AC117/Thousand</f>
        <v/>
      </c>
      <c r="AD118" s="21">
        <f>$E$19*Hours_P50*(1-Curtailment)*(1-Clipping)*AD110*AD117/Thousand</f>
        <v/>
      </c>
      <c r="AE118" s="21">
        <f>$E$19*Hours_P50*(1-Curtailment)*(1-Clipping)*AE110*AE117/Thousand</f>
        <v/>
      </c>
      <c r="AF118" s="21">
        <f>$E$19*Hours_P50*(1-Curtailment)*(1-Clipping)*AF110*AF117/Thousand</f>
        <v/>
      </c>
      <c r="AG118" s="21">
        <f>$E$19*Hours_P50*(1-Curtailment)*(1-Clipping)*AG110*AG117/Thousand</f>
        <v/>
      </c>
      <c r="AH118" s="21">
        <f>$E$19*Hours_P50*(1-Curtailment)*(1-Clipping)*AH110*AH117/Thousand</f>
        <v/>
      </c>
      <c r="AI118" s="21">
        <f>$E$19*Hours_P50*(1-Curtailment)*(1-Clipping)*AI110*AI117/Thousand</f>
        <v/>
      </c>
      <c r="AJ118" s="21">
        <f>$E$19*Hours_P50*(1-Curtailment)*(1-Clipping)*AJ110*AJ117/Thousand</f>
        <v/>
      </c>
      <c r="AK118" s="21">
        <f>$E$19*Hours_P50*(1-Curtailment)*(1-Clipping)*AK110*AK117/Thousand</f>
        <v/>
      </c>
      <c r="AL118" s="21">
        <f>$E$19*Hours_P50*(1-Curtailment)*(1-Clipping)*AL110*AL117/Thousand</f>
        <v/>
      </c>
      <c r="AM118" s="21">
        <f>$E$19*Hours_P50*(1-Curtailment)*(1-Clipping)*AM110*AM117/Thousand</f>
        <v/>
      </c>
      <c r="AN118" s="21">
        <f>$E$19*Hours_P50*(1-Curtailment)*(1-Clipping)*AN110*AN117/Thousand</f>
        <v/>
      </c>
      <c r="AO118" s="21">
        <f>$E$19*Hours_P50*(1-Curtailment)*(1-Clipping)*AO110*AO117/Thousand</f>
        <v/>
      </c>
      <c r="AP118" s="21">
        <f>$E$19*Hours_P50*(1-Curtailment)*(1-Clipping)*AP110*AP117/Thousand</f>
        <v/>
      </c>
      <c r="AQ118" s="21">
        <f>$E$19*Hours_P50*(1-Curtailment)*(1-Clipping)*AQ110*AQ117/Thousand</f>
        <v/>
      </c>
      <c r="AR118" s="21">
        <f>$E$19*Hours_P50*(1-Curtailment)*(1-Clipping)*AR110*AR117/Thousand</f>
        <v/>
      </c>
      <c r="AS118" s="21">
        <f>$E$19*Hours_P50*(1-Curtailment)*(1-Clipping)*AS110*AS117/Thousand</f>
        <v/>
      </c>
      <c r="AT118" s="21">
        <f>$E$19*Hours_P50*(1-Curtailment)*(1-Clipping)*AT110*AT117/Thousand</f>
        <v/>
      </c>
      <c r="AU118" s="21">
        <f>$E$19*Hours_P50*(1-Curtailment)*(1-Clipping)*AU110*AU117/Thousand</f>
        <v/>
      </c>
      <c r="AV118" s="21">
        <f>$E$19*Hours_P50*(1-Curtailment)*(1-Clipping)*AV110*AV117/Thousand</f>
        <v/>
      </c>
    </row>
    <row r="119">
      <c r="C119" s="6" t="inlineStr">
        <is>
          <t>PPA price</t>
        </is>
      </c>
      <c r="D119" s="2" t="inlineStr">
        <is>
          <t>EUR/MWh</t>
        </is>
      </c>
      <c r="M119" s="21">
        <f>PPA_Price*(1+PPA_Esc)^M106*(M110&gt;0)</f>
        <v/>
      </c>
      <c r="N119" s="21">
        <f>PPA_Price*(1+PPA_Esc)^N106*(N110&gt;0)</f>
        <v/>
      </c>
      <c r="O119" s="21">
        <f>PPA_Price*(1+PPA_Esc)^O106*(O110&gt;0)</f>
        <v/>
      </c>
      <c r="P119" s="21">
        <f>PPA_Price*(1+PPA_Esc)^P106*(P110&gt;0)</f>
        <v/>
      </c>
      <c r="Q119" s="21">
        <f>PPA_Price*(1+PPA_Esc)^Q106*(Q110&gt;0)</f>
        <v/>
      </c>
      <c r="R119" s="21">
        <f>PPA_Price*(1+PPA_Esc)^R106*(R110&gt;0)</f>
        <v/>
      </c>
      <c r="S119" s="21">
        <f>PPA_Price*(1+PPA_Esc)^S106*(S110&gt;0)</f>
        <v/>
      </c>
      <c r="T119" s="21">
        <f>PPA_Price*(1+PPA_Esc)^T106*(T110&gt;0)</f>
        <v/>
      </c>
      <c r="U119" s="21">
        <f>PPA_Price*(1+PPA_Esc)^U106*(U110&gt;0)</f>
        <v/>
      </c>
      <c r="V119" s="21">
        <f>PPA_Price*(1+PPA_Esc)^V106*(V110&gt;0)</f>
        <v/>
      </c>
      <c r="W119" s="21">
        <f>PPA_Price*(1+PPA_Esc)^W106*(W110&gt;0)</f>
        <v/>
      </c>
      <c r="X119" s="21">
        <f>PPA_Price*(1+PPA_Esc)^X106*(X110&gt;0)</f>
        <v/>
      </c>
      <c r="Y119" s="21">
        <f>PPA_Price*(1+PPA_Esc)^Y106*(Y110&gt;0)</f>
        <v/>
      </c>
      <c r="Z119" s="21">
        <f>PPA_Price*(1+PPA_Esc)^Z106*(Z110&gt;0)</f>
        <v/>
      </c>
      <c r="AA119" s="21">
        <f>PPA_Price*(1+PPA_Esc)^AA106*(AA110&gt;0)</f>
        <v/>
      </c>
      <c r="AB119" s="21">
        <f>PPA_Price*(1+PPA_Esc)^AB106*(AB110&gt;0)</f>
        <v/>
      </c>
      <c r="AC119" s="21">
        <f>PPA_Price*(1+PPA_Esc)^AC106*(AC110&gt;0)</f>
        <v/>
      </c>
      <c r="AD119" s="21">
        <f>PPA_Price*(1+PPA_Esc)^AD106*(AD110&gt;0)</f>
        <v/>
      </c>
      <c r="AE119" s="21">
        <f>PPA_Price*(1+PPA_Esc)^AE106*(AE110&gt;0)</f>
        <v/>
      </c>
      <c r="AF119" s="21">
        <f>PPA_Price*(1+PPA_Esc)^AF106*(AF110&gt;0)</f>
        <v/>
      </c>
      <c r="AG119" s="21">
        <f>PPA_Price*(1+PPA_Esc)^AG106*(AG110&gt;0)</f>
        <v/>
      </c>
      <c r="AH119" s="21">
        <f>PPA_Price*(1+PPA_Esc)^AH106*(AH110&gt;0)</f>
        <v/>
      </c>
      <c r="AI119" s="21">
        <f>PPA_Price*(1+PPA_Esc)^AI106*(AI110&gt;0)</f>
        <v/>
      </c>
      <c r="AJ119" s="21">
        <f>PPA_Price*(1+PPA_Esc)^AJ106*(AJ110&gt;0)</f>
        <v/>
      </c>
      <c r="AK119" s="21">
        <f>PPA_Price*(1+PPA_Esc)^AK106*(AK110&gt;0)</f>
        <v/>
      </c>
      <c r="AL119" s="21">
        <f>PPA_Price*(1+PPA_Esc)^AL106*(AL110&gt;0)</f>
        <v/>
      </c>
      <c r="AM119" s="21">
        <f>PPA_Price*(1+PPA_Esc)^AM106*(AM110&gt;0)</f>
        <v/>
      </c>
      <c r="AN119" s="21">
        <f>PPA_Price*(1+PPA_Esc)^AN106*(AN110&gt;0)</f>
        <v/>
      </c>
      <c r="AO119" s="21">
        <f>PPA_Price*(1+PPA_Esc)^AO106*(AO110&gt;0)</f>
        <v/>
      </c>
      <c r="AP119" s="21">
        <f>PPA_Price*(1+PPA_Esc)^AP106*(AP110&gt;0)</f>
        <v/>
      </c>
      <c r="AQ119" s="21">
        <f>PPA_Price*(1+PPA_Esc)^AQ106*(AQ110&gt;0)</f>
        <v/>
      </c>
      <c r="AR119" s="21">
        <f>PPA_Price*(1+PPA_Esc)^AR106*(AR110&gt;0)</f>
        <v/>
      </c>
      <c r="AS119" s="21">
        <f>PPA_Price*(1+PPA_Esc)^AS106*(AS110&gt;0)</f>
        <v/>
      </c>
      <c r="AT119" s="21">
        <f>PPA_Price*(1+PPA_Esc)^AT106*(AT110&gt;0)</f>
        <v/>
      </c>
      <c r="AU119" s="21">
        <f>PPA_Price*(1+PPA_Esc)^AU106*(AU110&gt;0)</f>
        <v/>
      </c>
      <c r="AV119" s="21">
        <f>PPA_Price*(1+PPA_Esc)^AV106*(AV110&gt;0)</f>
        <v/>
      </c>
    </row>
    <row r="120">
      <c r="C120" s="1" t="inlineStr">
        <is>
          <t>Revenue</t>
        </is>
      </c>
      <c r="D120" s="2" t="inlineStr">
        <is>
          <t>EUR k</t>
        </is>
      </c>
      <c r="H120" s="23">
        <f>SUM(M120:AV120)</f>
        <v/>
      </c>
      <c r="M120" s="23">
        <f>M118*M119</f>
        <v/>
      </c>
      <c r="N120" s="23">
        <f>N118*N119</f>
        <v/>
      </c>
      <c r="O120" s="23">
        <f>O118*O119</f>
        <v/>
      </c>
      <c r="P120" s="23">
        <f>P118*P119</f>
        <v/>
      </c>
      <c r="Q120" s="23">
        <f>Q118*Q119</f>
        <v/>
      </c>
      <c r="R120" s="23">
        <f>R118*R119</f>
        <v/>
      </c>
      <c r="S120" s="23">
        <f>S118*S119</f>
        <v/>
      </c>
      <c r="T120" s="23">
        <f>T118*T119</f>
        <v/>
      </c>
      <c r="U120" s="23">
        <f>U118*U119</f>
        <v/>
      </c>
      <c r="V120" s="23">
        <f>V118*V119</f>
        <v/>
      </c>
      <c r="W120" s="23">
        <f>W118*W119</f>
        <v/>
      </c>
      <c r="X120" s="23">
        <f>X118*X119</f>
        <v/>
      </c>
      <c r="Y120" s="23">
        <f>Y118*Y119</f>
        <v/>
      </c>
      <c r="Z120" s="23">
        <f>Z118*Z119</f>
        <v/>
      </c>
      <c r="AA120" s="23">
        <f>AA118*AA119</f>
        <v/>
      </c>
      <c r="AB120" s="23">
        <f>AB118*AB119</f>
        <v/>
      </c>
      <c r="AC120" s="23">
        <f>AC118*AC119</f>
        <v/>
      </c>
      <c r="AD120" s="23">
        <f>AD118*AD119</f>
        <v/>
      </c>
      <c r="AE120" s="23">
        <f>AE118*AE119</f>
        <v/>
      </c>
      <c r="AF120" s="23">
        <f>AF118*AF119</f>
        <v/>
      </c>
      <c r="AG120" s="23">
        <f>AG118*AG119</f>
        <v/>
      </c>
      <c r="AH120" s="23">
        <f>AH118*AH119</f>
        <v/>
      </c>
      <c r="AI120" s="23">
        <f>AI118*AI119</f>
        <v/>
      </c>
      <c r="AJ120" s="23">
        <f>AJ118*AJ119</f>
        <v/>
      </c>
      <c r="AK120" s="23">
        <f>AK118*AK119</f>
        <v/>
      </c>
      <c r="AL120" s="23">
        <f>AL118*AL119</f>
        <v/>
      </c>
      <c r="AM120" s="23">
        <f>AM118*AM119</f>
        <v/>
      </c>
      <c r="AN120" s="23">
        <f>AN118*AN119</f>
        <v/>
      </c>
      <c r="AO120" s="23">
        <f>AO118*AO119</f>
        <v/>
      </c>
      <c r="AP120" s="23">
        <f>AP118*AP119</f>
        <v/>
      </c>
      <c r="AQ120" s="23">
        <f>AQ118*AQ119</f>
        <v/>
      </c>
      <c r="AR120" s="23">
        <f>AR118*AR119</f>
        <v/>
      </c>
      <c r="AS120" s="23">
        <f>AS118*AS119</f>
        <v/>
      </c>
      <c r="AT120" s="23">
        <f>AT118*AT119</f>
        <v/>
      </c>
      <c r="AU120" s="23">
        <f>AU118*AU119</f>
        <v/>
      </c>
      <c r="AV120" s="23">
        <f>AV118*AV119</f>
        <v/>
      </c>
    </row>
    <row r="121">
      <c r="C121" s="6" t="inlineStr">
        <is>
          <t>Opex index (COD year = 1)</t>
        </is>
      </c>
      <c r="D121" s="2" t="inlineStr">
        <is>
          <t>x</t>
        </is>
      </c>
      <c r="M121" s="29">
        <f>(1+Opex_Esc)^M106</f>
        <v/>
      </c>
      <c r="N121" s="29">
        <f>(1+Opex_Esc)^N106</f>
        <v/>
      </c>
      <c r="O121" s="29">
        <f>(1+Opex_Esc)^O106</f>
        <v/>
      </c>
      <c r="P121" s="29">
        <f>(1+Opex_Esc)^P106</f>
        <v/>
      </c>
      <c r="Q121" s="29">
        <f>(1+Opex_Esc)^Q106</f>
        <v/>
      </c>
      <c r="R121" s="29">
        <f>(1+Opex_Esc)^R106</f>
        <v/>
      </c>
      <c r="S121" s="29">
        <f>(1+Opex_Esc)^S106</f>
        <v/>
      </c>
      <c r="T121" s="29">
        <f>(1+Opex_Esc)^T106</f>
        <v/>
      </c>
      <c r="U121" s="29">
        <f>(1+Opex_Esc)^U106</f>
        <v/>
      </c>
      <c r="V121" s="29">
        <f>(1+Opex_Esc)^V106</f>
        <v/>
      </c>
      <c r="W121" s="29">
        <f>(1+Opex_Esc)^W106</f>
        <v/>
      </c>
      <c r="X121" s="29">
        <f>(1+Opex_Esc)^X106</f>
        <v/>
      </c>
      <c r="Y121" s="29">
        <f>(1+Opex_Esc)^Y106</f>
        <v/>
      </c>
      <c r="Z121" s="29">
        <f>(1+Opex_Esc)^Z106</f>
        <v/>
      </c>
      <c r="AA121" s="29">
        <f>(1+Opex_Esc)^AA106</f>
        <v/>
      </c>
      <c r="AB121" s="29">
        <f>(1+Opex_Esc)^AB106</f>
        <v/>
      </c>
      <c r="AC121" s="29">
        <f>(1+Opex_Esc)^AC106</f>
        <v/>
      </c>
      <c r="AD121" s="29">
        <f>(1+Opex_Esc)^AD106</f>
        <v/>
      </c>
      <c r="AE121" s="29">
        <f>(1+Opex_Esc)^AE106</f>
        <v/>
      </c>
      <c r="AF121" s="29">
        <f>(1+Opex_Esc)^AF106</f>
        <v/>
      </c>
      <c r="AG121" s="29">
        <f>(1+Opex_Esc)^AG106</f>
        <v/>
      </c>
      <c r="AH121" s="29">
        <f>(1+Opex_Esc)^AH106</f>
        <v/>
      </c>
      <c r="AI121" s="29">
        <f>(1+Opex_Esc)^AI106</f>
        <v/>
      </c>
      <c r="AJ121" s="29">
        <f>(1+Opex_Esc)^AJ106</f>
        <v/>
      </c>
      <c r="AK121" s="29">
        <f>(1+Opex_Esc)^AK106</f>
        <v/>
      </c>
      <c r="AL121" s="29">
        <f>(1+Opex_Esc)^AL106</f>
        <v/>
      </c>
      <c r="AM121" s="29">
        <f>(1+Opex_Esc)^AM106</f>
        <v/>
      </c>
      <c r="AN121" s="29">
        <f>(1+Opex_Esc)^AN106</f>
        <v/>
      </c>
      <c r="AO121" s="29">
        <f>(1+Opex_Esc)^AO106</f>
        <v/>
      </c>
      <c r="AP121" s="29">
        <f>(1+Opex_Esc)^AP106</f>
        <v/>
      </c>
      <c r="AQ121" s="29">
        <f>(1+Opex_Esc)^AQ106</f>
        <v/>
      </c>
      <c r="AR121" s="29">
        <f>(1+Opex_Esc)^AR106</f>
        <v/>
      </c>
      <c r="AS121" s="29">
        <f>(1+Opex_Esc)^AS106</f>
        <v/>
      </c>
      <c r="AT121" s="29">
        <f>(1+Opex_Esc)^AT106</f>
        <v/>
      </c>
      <c r="AU121" s="29">
        <f>(1+Opex_Esc)^AU106</f>
        <v/>
      </c>
      <c r="AV121" s="29">
        <f>(1+Opex_Esc)^AV106</f>
        <v/>
      </c>
    </row>
    <row r="122">
      <c r="C122" s="6" t="inlineStr">
        <is>
          <t>O&amp;M, BoP, lease, insurance, management, property tax</t>
        </is>
      </c>
      <c r="D122" s="2" t="inlineStr">
        <is>
          <t>EUR k</t>
        </is>
      </c>
      <c r="H122" s="8">
        <f>SUM(M122:AV122)</f>
        <v/>
      </c>
      <c r="M122" s="8">
        <f>-SUM(Opex_Per_MW)*$E$19*M121*M110</f>
        <v/>
      </c>
      <c r="N122" s="8">
        <f>-SUM(Opex_Per_MW)*$E$19*N121*N110</f>
        <v/>
      </c>
      <c r="O122" s="8">
        <f>-SUM(Opex_Per_MW)*$E$19*O121*O110</f>
        <v/>
      </c>
      <c r="P122" s="8">
        <f>-SUM(Opex_Per_MW)*$E$19*P121*P110</f>
        <v/>
      </c>
      <c r="Q122" s="8">
        <f>-SUM(Opex_Per_MW)*$E$19*Q121*Q110</f>
        <v/>
      </c>
      <c r="R122" s="8">
        <f>-SUM(Opex_Per_MW)*$E$19*R121*R110</f>
        <v/>
      </c>
      <c r="S122" s="8">
        <f>-SUM(Opex_Per_MW)*$E$19*S121*S110</f>
        <v/>
      </c>
      <c r="T122" s="8">
        <f>-SUM(Opex_Per_MW)*$E$19*T121*T110</f>
        <v/>
      </c>
      <c r="U122" s="8">
        <f>-SUM(Opex_Per_MW)*$E$19*U121*U110</f>
        <v/>
      </c>
      <c r="V122" s="8">
        <f>-SUM(Opex_Per_MW)*$E$19*V121*V110</f>
        <v/>
      </c>
      <c r="W122" s="8">
        <f>-SUM(Opex_Per_MW)*$E$19*W121*W110</f>
        <v/>
      </c>
      <c r="X122" s="8">
        <f>-SUM(Opex_Per_MW)*$E$19*X121*X110</f>
        <v/>
      </c>
      <c r="Y122" s="8">
        <f>-SUM(Opex_Per_MW)*$E$19*Y121*Y110</f>
        <v/>
      </c>
      <c r="Z122" s="8">
        <f>-SUM(Opex_Per_MW)*$E$19*Z121*Z110</f>
        <v/>
      </c>
      <c r="AA122" s="8">
        <f>-SUM(Opex_Per_MW)*$E$19*AA121*AA110</f>
        <v/>
      </c>
      <c r="AB122" s="8">
        <f>-SUM(Opex_Per_MW)*$E$19*AB121*AB110</f>
        <v/>
      </c>
      <c r="AC122" s="8">
        <f>-SUM(Opex_Per_MW)*$E$19*AC121*AC110</f>
        <v/>
      </c>
      <c r="AD122" s="8">
        <f>-SUM(Opex_Per_MW)*$E$19*AD121*AD110</f>
        <v/>
      </c>
      <c r="AE122" s="8">
        <f>-SUM(Opex_Per_MW)*$E$19*AE121*AE110</f>
        <v/>
      </c>
      <c r="AF122" s="8">
        <f>-SUM(Opex_Per_MW)*$E$19*AF121*AF110</f>
        <v/>
      </c>
      <c r="AG122" s="8">
        <f>-SUM(Opex_Per_MW)*$E$19*AG121*AG110</f>
        <v/>
      </c>
      <c r="AH122" s="8">
        <f>-SUM(Opex_Per_MW)*$E$19*AH121*AH110</f>
        <v/>
      </c>
      <c r="AI122" s="8">
        <f>-SUM(Opex_Per_MW)*$E$19*AI121*AI110</f>
        <v/>
      </c>
      <c r="AJ122" s="8">
        <f>-SUM(Opex_Per_MW)*$E$19*AJ121*AJ110</f>
        <v/>
      </c>
      <c r="AK122" s="8">
        <f>-SUM(Opex_Per_MW)*$E$19*AK121*AK110</f>
        <v/>
      </c>
      <c r="AL122" s="8">
        <f>-SUM(Opex_Per_MW)*$E$19*AL121*AL110</f>
        <v/>
      </c>
      <c r="AM122" s="8">
        <f>-SUM(Opex_Per_MW)*$E$19*AM121*AM110</f>
        <v/>
      </c>
      <c r="AN122" s="8">
        <f>-SUM(Opex_Per_MW)*$E$19*AN121*AN110</f>
        <v/>
      </c>
      <c r="AO122" s="8">
        <f>-SUM(Opex_Per_MW)*$E$19*AO121*AO110</f>
        <v/>
      </c>
      <c r="AP122" s="8">
        <f>-SUM(Opex_Per_MW)*$E$19*AP121*AP110</f>
        <v/>
      </c>
      <c r="AQ122" s="8">
        <f>-SUM(Opex_Per_MW)*$E$19*AQ121*AQ110</f>
        <v/>
      </c>
      <c r="AR122" s="8">
        <f>-SUM(Opex_Per_MW)*$E$19*AR121*AR110</f>
        <v/>
      </c>
      <c r="AS122" s="8">
        <f>-SUM(Opex_Per_MW)*$E$19*AS121*AS110</f>
        <v/>
      </c>
      <c r="AT122" s="8">
        <f>-SUM(Opex_Per_MW)*$E$19*AT121*AT110</f>
        <v/>
      </c>
      <c r="AU122" s="8">
        <f>-SUM(Opex_Per_MW)*$E$19*AU121*AU110</f>
        <v/>
      </c>
      <c r="AV122" s="8">
        <f>-SUM(Opex_Per_MW)*$E$19*AV121*AV110</f>
        <v/>
      </c>
    </row>
    <row r="123">
      <c r="C123" s="6" t="inlineStr">
        <is>
          <t>Administration, audit, compliance</t>
        </is>
      </c>
      <c r="D123" s="2" t="inlineStr">
        <is>
          <t>EUR k</t>
        </is>
      </c>
      <c r="H123" s="8">
        <f>SUM(M123:AV123)</f>
        <v/>
      </c>
      <c r="M123" s="8">
        <f>-Opex_Admin*Dashboard!$E$6/Lump_Basis*M121*M110</f>
        <v/>
      </c>
      <c r="N123" s="8">
        <f>-Opex_Admin*Dashboard!$E$6/Lump_Basis*N121*N110</f>
        <v/>
      </c>
      <c r="O123" s="8">
        <f>-Opex_Admin*Dashboard!$E$6/Lump_Basis*O121*O110</f>
        <v/>
      </c>
      <c r="P123" s="8">
        <f>-Opex_Admin*Dashboard!$E$6/Lump_Basis*P121*P110</f>
        <v/>
      </c>
      <c r="Q123" s="8">
        <f>-Opex_Admin*Dashboard!$E$6/Lump_Basis*Q121*Q110</f>
        <v/>
      </c>
      <c r="R123" s="8">
        <f>-Opex_Admin*Dashboard!$E$6/Lump_Basis*R121*R110</f>
        <v/>
      </c>
      <c r="S123" s="8">
        <f>-Opex_Admin*Dashboard!$E$6/Lump_Basis*S121*S110</f>
        <v/>
      </c>
      <c r="T123" s="8">
        <f>-Opex_Admin*Dashboard!$E$6/Lump_Basis*T121*T110</f>
        <v/>
      </c>
      <c r="U123" s="8">
        <f>-Opex_Admin*Dashboard!$E$6/Lump_Basis*U121*U110</f>
        <v/>
      </c>
      <c r="V123" s="8">
        <f>-Opex_Admin*Dashboard!$E$6/Lump_Basis*V121*V110</f>
        <v/>
      </c>
      <c r="W123" s="8">
        <f>-Opex_Admin*Dashboard!$E$6/Lump_Basis*W121*W110</f>
        <v/>
      </c>
      <c r="X123" s="8">
        <f>-Opex_Admin*Dashboard!$E$6/Lump_Basis*X121*X110</f>
        <v/>
      </c>
      <c r="Y123" s="8">
        <f>-Opex_Admin*Dashboard!$E$6/Lump_Basis*Y121*Y110</f>
        <v/>
      </c>
      <c r="Z123" s="8">
        <f>-Opex_Admin*Dashboard!$E$6/Lump_Basis*Z121*Z110</f>
        <v/>
      </c>
      <c r="AA123" s="8">
        <f>-Opex_Admin*Dashboard!$E$6/Lump_Basis*AA121*AA110</f>
        <v/>
      </c>
      <c r="AB123" s="8">
        <f>-Opex_Admin*Dashboard!$E$6/Lump_Basis*AB121*AB110</f>
        <v/>
      </c>
      <c r="AC123" s="8">
        <f>-Opex_Admin*Dashboard!$E$6/Lump_Basis*AC121*AC110</f>
        <v/>
      </c>
      <c r="AD123" s="8">
        <f>-Opex_Admin*Dashboard!$E$6/Lump_Basis*AD121*AD110</f>
        <v/>
      </c>
      <c r="AE123" s="8">
        <f>-Opex_Admin*Dashboard!$E$6/Lump_Basis*AE121*AE110</f>
        <v/>
      </c>
      <c r="AF123" s="8">
        <f>-Opex_Admin*Dashboard!$E$6/Lump_Basis*AF121*AF110</f>
        <v/>
      </c>
      <c r="AG123" s="8">
        <f>-Opex_Admin*Dashboard!$E$6/Lump_Basis*AG121*AG110</f>
        <v/>
      </c>
      <c r="AH123" s="8">
        <f>-Opex_Admin*Dashboard!$E$6/Lump_Basis*AH121*AH110</f>
        <v/>
      </c>
      <c r="AI123" s="8">
        <f>-Opex_Admin*Dashboard!$E$6/Lump_Basis*AI121*AI110</f>
        <v/>
      </c>
      <c r="AJ123" s="8">
        <f>-Opex_Admin*Dashboard!$E$6/Lump_Basis*AJ121*AJ110</f>
        <v/>
      </c>
      <c r="AK123" s="8">
        <f>-Opex_Admin*Dashboard!$E$6/Lump_Basis*AK121*AK110</f>
        <v/>
      </c>
      <c r="AL123" s="8">
        <f>-Opex_Admin*Dashboard!$E$6/Lump_Basis*AL121*AL110</f>
        <v/>
      </c>
      <c r="AM123" s="8">
        <f>-Opex_Admin*Dashboard!$E$6/Lump_Basis*AM121*AM110</f>
        <v/>
      </c>
      <c r="AN123" s="8">
        <f>-Opex_Admin*Dashboard!$E$6/Lump_Basis*AN121*AN110</f>
        <v/>
      </c>
      <c r="AO123" s="8">
        <f>-Opex_Admin*Dashboard!$E$6/Lump_Basis*AO121*AO110</f>
        <v/>
      </c>
      <c r="AP123" s="8">
        <f>-Opex_Admin*Dashboard!$E$6/Lump_Basis*AP121*AP110</f>
        <v/>
      </c>
      <c r="AQ123" s="8">
        <f>-Opex_Admin*Dashboard!$E$6/Lump_Basis*AQ121*AQ110</f>
        <v/>
      </c>
      <c r="AR123" s="8">
        <f>-Opex_Admin*Dashboard!$E$6/Lump_Basis*AR121*AR110</f>
        <v/>
      </c>
      <c r="AS123" s="8">
        <f>-Opex_Admin*Dashboard!$E$6/Lump_Basis*AS121*AS110</f>
        <v/>
      </c>
      <c r="AT123" s="8">
        <f>-Opex_Admin*Dashboard!$E$6/Lump_Basis*AT121*AT110</f>
        <v/>
      </c>
      <c r="AU123" s="8">
        <f>-Opex_Admin*Dashboard!$E$6/Lump_Basis*AU121*AU110</f>
        <v/>
      </c>
      <c r="AV123" s="8">
        <f>-Opex_Admin*Dashboard!$E$6/Lump_Basis*AV121*AV110</f>
        <v/>
      </c>
    </row>
    <row r="124">
      <c r="C124" s="6" t="inlineStr">
        <is>
          <t>Balancing and grid charges</t>
        </is>
      </c>
      <c r="D124" s="2" t="inlineStr">
        <is>
          <t>EUR k</t>
        </is>
      </c>
      <c r="H124" s="8">
        <f>SUM(M124:AV124)</f>
        <v/>
      </c>
      <c r="M124" s="8">
        <f>-M118*(Balancing+Grid_Charges)*M121</f>
        <v/>
      </c>
      <c r="N124" s="8">
        <f>-N118*(Balancing+Grid_Charges)*N121</f>
        <v/>
      </c>
      <c r="O124" s="8">
        <f>-O118*(Balancing+Grid_Charges)*O121</f>
        <v/>
      </c>
      <c r="P124" s="8">
        <f>-P118*(Balancing+Grid_Charges)*P121</f>
        <v/>
      </c>
      <c r="Q124" s="8">
        <f>-Q118*(Balancing+Grid_Charges)*Q121</f>
        <v/>
      </c>
      <c r="R124" s="8">
        <f>-R118*(Balancing+Grid_Charges)*R121</f>
        <v/>
      </c>
      <c r="S124" s="8">
        <f>-S118*(Balancing+Grid_Charges)*S121</f>
        <v/>
      </c>
      <c r="T124" s="8">
        <f>-T118*(Balancing+Grid_Charges)*T121</f>
        <v/>
      </c>
      <c r="U124" s="8">
        <f>-U118*(Balancing+Grid_Charges)*U121</f>
        <v/>
      </c>
      <c r="V124" s="8">
        <f>-V118*(Balancing+Grid_Charges)*V121</f>
        <v/>
      </c>
      <c r="W124" s="8">
        <f>-W118*(Balancing+Grid_Charges)*W121</f>
        <v/>
      </c>
      <c r="X124" s="8">
        <f>-X118*(Balancing+Grid_Charges)*X121</f>
        <v/>
      </c>
      <c r="Y124" s="8">
        <f>-Y118*(Balancing+Grid_Charges)*Y121</f>
        <v/>
      </c>
      <c r="Z124" s="8">
        <f>-Z118*(Balancing+Grid_Charges)*Z121</f>
        <v/>
      </c>
      <c r="AA124" s="8">
        <f>-AA118*(Balancing+Grid_Charges)*AA121</f>
        <v/>
      </c>
      <c r="AB124" s="8">
        <f>-AB118*(Balancing+Grid_Charges)*AB121</f>
        <v/>
      </c>
      <c r="AC124" s="8">
        <f>-AC118*(Balancing+Grid_Charges)*AC121</f>
        <v/>
      </c>
      <c r="AD124" s="8">
        <f>-AD118*(Balancing+Grid_Charges)*AD121</f>
        <v/>
      </c>
      <c r="AE124" s="8">
        <f>-AE118*(Balancing+Grid_Charges)*AE121</f>
        <v/>
      </c>
      <c r="AF124" s="8">
        <f>-AF118*(Balancing+Grid_Charges)*AF121</f>
        <v/>
      </c>
      <c r="AG124" s="8">
        <f>-AG118*(Balancing+Grid_Charges)*AG121</f>
        <v/>
      </c>
      <c r="AH124" s="8">
        <f>-AH118*(Balancing+Grid_Charges)*AH121</f>
        <v/>
      </c>
      <c r="AI124" s="8">
        <f>-AI118*(Balancing+Grid_Charges)*AI121</f>
        <v/>
      </c>
      <c r="AJ124" s="8">
        <f>-AJ118*(Balancing+Grid_Charges)*AJ121</f>
        <v/>
      </c>
      <c r="AK124" s="8">
        <f>-AK118*(Balancing+Grid_Charges)*AK121</f>
        <v/>
      </c>
      <c r="AL124" s="8">
        <f>-AL118*(Balancing+Grid_Charges)*AL121</f>
        <v/>
      </c>
      <c r="AM124" s="8">
        <f>-AM118*(Balancing+Grid_Charges)*AM121</f>
        <v/>
      </c>
      <c r="AN124" s="8">
        <f>-AN118*(Balancing+Grid_Charges)*AN121</f>
        <v/>
      </c>
      <c r="AO124" s="8">
        <f>-AO118*(Balancing+Grid_Charges)*AO121</f>
        <v/>
      </c>
      <c r="AP124" s="8">
        <f>-AP118*(Balancing+Grid_Charges)*AP121</f>
        <v/>
      </c>
      <c r="AQ124" s="8">
        <f>-AQ118*(Balancing+Grid_Charges)*AQ121</f>
        <v/>
      </c>
      <c r="AR124" s="8">
        <f>-AR118*(Balancing+Grid_Charges)*AR121</f>
        <v/>
      </c>
      <c r="AS124" s="8">
        <f>-AS118*(Balancing+Grid_Charges)*AS121</f>
        <v/>
      </c>
      <c r="AT124" s="8">
        <f>-AT118*(Balancing+Grid_Charges)*AT121</f>
        <v/>
      </c>
      <c r="AU124" s="8">
        <f>-AU118*(Balancing+Grid_Charges)*AU121</f>
        <v/>
      </c>
      <c r="AV124" s="8">
        <f>-AV118*(Balancing+Grid_Charges)*AV121</f>
        <v/>
      </c>
    </row>
    <row r="125">
      <c r="C125" s="6" t="inlineStr">
        <is>
          <t>MEKH supervisory fee</t>
        </is>
      </c>
      <c r="D125" s="2" t="inlineStr">
        <is>
          <t>EUR k</t>
        </is>
      </c>
      <c r="H125" s="8">
        <f>SUM(M125:AV125)</f>
        <v/>
      </c>
      <c r="M125" s="8">
        <f>-M120*MEKH_Fee</f>
        <v/>
      </c>
      <c r="N125" s="8">
        <f>-N120*MEKH_Fee</f>
        <v/>
      </c>
      <c r="O125" s="8">
        <f>-O120*MEKH_Fee</f>
        <v/>
      </c>
      <c r="P125" s="8">
        <f>-P120*MEKH_Fee</f>
        <v/>
      </c>
      <c r="Q125" s="8">
        <f>-Q120*MEKH_Fee</f>
        <v/>
      </c>
      <c r="R125" s="8">
        <f>-R120*MEKH_Fee</f>
        <v/>
      </c>
      <c r="S125" s="8">
        <f>-S120*MEKH_Fee</f>
        <v/>
      </c>
      <c r="T125" s="8">
        <f>-T120*MEKH_Fee</f>
        <v/>
      </c>
      <c r="U125" s="8">
        <f>-U120*MEKH_Fee</f>
        <v/>
      </c>
      <c r="V125" s="8">
        <f>-V120*MEKH_Fee</f>
        <v/>
      </c>
      <c r="W125" s="8">
        <f>-W120*MEKH_Fee</f>
        <v/>
      </c>
      <c r="X125" s="8">
        <f>-X120*MEKH_Fee</f>
        <v/>
      </c>
      <c r="Y125" s="8">
        <f>-Y120*MEKH_Fee</f>
        <v/>
      </c>
      <c r="Z125" s="8">
        <f>-Z120*MEKH_Fee</f>
        <v/>
      </c>
      <c r="AA125" s="8">
        <f>-AA120*MEKH_Fee</f>
        <v/>
      </c>
      <c r="AB125" s="8">
        <f>-AB120*MEKH_Fee</f>
        <v/>
      </c>
      <c r="AC125" s="8">
        <f>-AC120*MEKH_Fee</f>
        <v/>
      </c>
      <c r="AD125" s="8">
        <f>-AD120*MEKH_Fee</f>
        <v/>
      </c>
      <c r="AE125" s="8">
        <f>-AE120*MEKH_Fee</f>
        <v/>
      </c>
      <c r="AF125" s="8">
        <f>-AF120*MEKH_Fee</f>
        <v/>
      </c>
      <c r="AG125" s="8">
        <f>-AG120*MEKH_Fee</f>
        <v/>
      </c>
      <c r="AH125" s="8">
        <f>-AH120*MEKH_Fee</f>
        <v/>
      </c>
      <c r="AI125" s="8">
        <f>-AI120*MEKH_Fee</f>
        <v/>
      </c>
      <c r="AJ125" s="8">
        <f>-AJ120*MEKH_Fee</f>
        <v/>
      </c>
      <c r="AK125" s="8">
        <f>-AK120*MEKH_Fee</f>
        <v/>
      </c>
      <c r="AL125" s="8">
        <f>-AL120*MEKH_Fee</f>
        <v/>
      </c>
      <c r="AM125" s="8">
        <f>-AM120*MEKH_Fee</f>
        <v/>
      </c>
      <c r="AN125" s="8">
        <f>-AN120*MEKH_Fee</f>
        <v/>
      </c>
      <c r="AO125" s="8">
        <f>-AO120*MEKH_Fee</f>
        <v/>
      </c>
      <c r="AP125" s="8">
        <f>-AP120*MEKH_Fee</f>
        <v/>
      </c>
      <c r="AQ125" s="8">
        <f>-AQ120*MEKH_Fee</f>
        <v/>
      </c>
      <c r="AR125" s="8">
        <f>-AR120*MEKH_Fee</f>
        <v/>
      </c>
      <c r="AS125" s="8">
        <f>-AS120*MEKH_Fee</f>
        <v/>
      </c>
      <c r="AT125" s="8">
        <f>-AT120*MEKH_Fee</f>
        <v/>
      </c>
      <c r="AU125" s="8">
        <f>-AU120*MEKH_Fee</f>
        <v/>
      </c>
      <c r="AV125" s="8">
        <f>-AV120*MEKH_Fee</f>
        <v/>
      </c>
    </row>
    <row r="126">
      <c r="C126" s="6" t="inlineStr">
        <is>
          <t>Opex contingency</t>
        </is>
      </c>
      <c r="D126" s="2" t="inlineStr">
        <is>
          <t>EUR k</t>
        </is>
      </c>
      <c r="H126" s="8">
        <f>SUM(M126:AV126)</f>
        <v/>
      </c>
      <c r="M126" s="8">
        <f>SUM(M122:M125)*Opex_Cont</f>
        <v/>
      </c>
      <c r="N126" s="8">
        <f>SUM(N122:N125)*Opex_Cont</f>
        <v/>
      </c>
      <c r="O126" s="8">
        <f>SUM(O122:O125)*Opex_Cont</f>
        <v/>
      </c>
      <c r="P126" s="8">
        <f>SUM(P122:P125)*Opex_Cont</f>
        <v/>
      </c>
      <c r="Q126" s="8">
        <f>SUM(Q122:Q125)*Opex_Cont</f>
        <v/>
      </c>
      <c r="R126" s="8">
        <f>SUM(R122:R125)*Opex_Cont</f>
        <v/>
      </c>
      <c r="S126" s="8">
        <f>SUM(S122:S125)*Opex_Cont</f>
        <v/>
      </c>
      <c r="T126" s="8">
        <f>SUM(T122:T125)*Opex_Cont</f>
        <v/>
      </c>
      <c r="U126" s="8">
        <f>SUM(U122:U125)*Opex_Cont</f>
        <v/>
      </c>
      <c r="V126" s="8">
        <f>SUM(V122:V125)*Opex_Cont</f>
        <v/>
      </c>
      <c r="W126" s="8">
        <f>SUM(W122:W125)*Opex_Cont</f>
        <v/>
      </c>
      <c r="X126" s="8">
        <f>SUM(X122:X125)*Opex_Cont</f>
        <v/>
      </c>
      <c r="Y126" s="8">
        <f>SUM(Y122:Y125)*Opex_Cont</f>
        <v/>
      </c>
      <c r="Z126" s="8">
        <f>SUM(Z122:Z125)*Opex_Cont</f>
        <v/>
      </c>
      <c r="AA126" s="8">
        <f>SUM(AA122:AA125)*Opex_Cont</f>
        <v/>
      </c>
      <c r="AB126" s="8">
        <f>SUM(AB122:AB125)*Opex_Cont</f>
        <v/>
      </c>
      <c r="AC126" s="8">
        <f>SUM(AC122:AC125)*Opex_Cont</f>
        <v/>
      </c>
      <c r="AD126" s="8">
        <f>SUM(AD122:AD125)*Opex_Cont</f>
        <v/>
      </c>
      <c r="AE126" s="8">
        <f>SUM(AE122:AE125)*Opex_Cont</f>
        <v/>
      </c>
      <c r="AF126" s="8">
        <f>SUM(AF122:AF125)*Opex_Cont</f>
        <v/>
      </c>
      <c r="AG126" s="8">
        <f>SUM(AG122:AG125)*Opex_Cont</f>
        <v/>
      </c>
      <c r="AH126" s="8">
        <f>SUM(AH122:AH125)*Opex_Cont</f>
        <v/>
      </c>
      <c r="AI126" s="8">
        <f>SUM(AI122:AI125)*Opex_Cont</f>
        <v/>
      </c>
      <c r="AJ126" s="8">
        <f>SUM(AJ122:AJ125)*Opex_Cont</f>
        <v/>
      </c>
      <c r="AK126" s="8">
        <f>SUM(AK122:AK125)*Opex_Cont</f>
        <v/>
      </c>
      <c r="AL126" s="8">
        <f>SUM(AL122:AL125)*Opex_Cont</f>
        <v/>
      </c>
      <c r="AM126" s="8">
        <f>SUM(AM122:AM125)*Opex_Cont</f>
        <v/>
      </c>
      <c r="AN126" s="8">
        <f>SUM(AN122:AN125)*Opex_Cont</f>
        <v/>
      </c>
      <c r="AO126" s="8">
        <f>SUM(AO122:AO125)*Opex_Cont</f>
        <v/>
      </c>
      <c r="AP126" s="8">
        <f>SUM(AP122:AP125)*Opex_Cont</f>
        <v/>
      </c>
      <c r="AQ126" s="8">
        <f>SUM(AQ122:AQ125)*Opex_Cont</f>
        <v/>
      </c>
      <c r="AR126" s="8">
        <f>SUM(AR122:AR125)*Opex_Cont</f>
        <v/>
      </c>
      <c r="AS126" s="8">
        <f>SUM(AS122:AS125)*Opex_Cont</f>
        <v/>
      </c>
      <c r="AT126" s="8">
        <f>SUM(AT122:AT125)*Opex_Cont</f>
        <v/>
      </c>
      <c r="AU126" s="8">
        <f>SUM(AU122:AU125)*Opex_Cont</f>
        <v/>
      </c>
      <c r="AV126" s="8">
        <f>SUM(AV122:AV125)*Opex_Cont</f>
        <v/>
      </c>
    </row>
    <row r="127">
      <c r="C127" s="6" t="inlineStr">
        <is>
          <t>Community contribution</t>
        </is>
      </c>
      <c r="D127" s="2" t="inlineStr">
        <is>
          <t>EUR k</t>
        </is>
      </c>
      <c r="H127" s="8">
        <f>SUM(M127:AV127)</f>
        <v/>
      </c>
      <c r="M127" s="8">
        <f>-M118*Dashboard!$E$12</f>
        <v/>
      </c>
      <c r="N127" s="8">
        <f>-N118*Dashboard!$E$12</f>
        <v/>
      </c>
      <c r="O127" s="8">
        <f>-O118*Dashboard!$E$12</f>
        <v/>
      </c>
      <c r="P127" s="8">
        <f>-P118*Dashboard!$E$12</f>
        <v/>
      </c>
      <c r="Q127" s="8">
        <f>-Q118*Dashboard!$E$12</f>
        <v/>
      </c>
      <c r="R127" s="8">
        <f>-R118*Dashboard!$E$12</f>
        <v/>
      </c>
      <c r="S127" s="8">
        <f>-S118*Dashboard!$E$12</f>
        <v/>
      </c>
      <c r="T127" s="8">
        <f>-T118*Dashboard!$E$12</f>
        <v/>
      </c>
      <c r="U127" s="8">
        <f>-U118*Dashboard!$E$12</f>
        <v/>
      </c>
      <c r="V127" s="8">
        <f>-V118*Dashboard!$E$12</f>
        <v/>
      </c>
      <c r="W127" s="8">
        <f>-W118*Dashboard!$E$12</f>
        <v/>
      </c>
      <c r="X127" s="8">
        <f>-X118*Dashboard!$E$12</f>
        <v/>
      </c>
      <c r="Y127" s="8">
        <f>-Y118*Dashboard!$E$12</f>
        <v/>
      </c>
      <c r="Z127" s="8">
        <f>-Z118*Dashboard!$E$12</f>
        <v/>
      </c>
      <c r="AA127" s="8">
        <f>-AA118*Dashboard!$E$12</f>
        <v/>
      </c>
      <c r="AB127" s="8">
        <f>-AB118*Dashboard!$E$12</f>
        <v/>
      </c>
      <c r="AC127" s="8">
        <f>-AC118*Dashboard!$E$12</f>
        <v/>
      </c>
      <c r="AD127" s="8">
        <f>-AD118*Dashboard!$E$12</f>
        <v/>
      </c>
      <c r="AE127" s="8">
        <f>-AE118*Dashboard!$E$12</f>
        <v/>
      </c>
      <c r="AF127" s="8">
        <f>-AF118*Dashboard!$E$12</f>
        <v/>
      </c>
      <c r="AG127" s="8">
        <f>-AG118*Dashboard!$E$12</f>
        <v/>
      </c>
      <c r="AH127" s="8">
        <f>-AH118*Dashboard!$E$12</f>
        <v/>
      </c>
      <c r="AI127" s="8">
        <f>-AI118*Dashboard!$E$12</f>
        <v/>
      </c>
      <c r="AJ127" s="8">
        <f>-AJ118*Dashboard!$E$12</f>
        <v/>
      </c>
      <c r="AK127" s="8">
        <f>-AK118*Dashboard!$E$12</f>
        <v/>
      </c>
      <c r="AL127" s="8">
        <f>-AL118*Dashboard!$E$12</f>
        <v/>
      </c>
      <c r="AM127" s="8">
        <f>-AM118*Dashboard!$E$12</f>
        <v/>
      </c>
      <c r="AN127" s="8">
        <f>-AN118*Dashboard!$E$12</f>
        <v/>
      </c>
      <c r="AO127" s="8">
        <f>-AO118*Dashboard!$E$12</f>
        <v/>
      </c>
      <c r="AP127" s="8">
        <f>-AP118*Dashboard!$E$12</f>
        <v/>
      </c>
      <c r="AQ127" s="8">
        <f>-AQ118*Dashboard!$E$12</f>
        <v/>
      </c>
      <c r="AR127" s="8">
        <f>-AR118*Dashboard!$E$12</f>
        <v/>
      </c>
      <c r="AS127" s="8">
        <f>-AS118*Dashboard!$E$12</f>
        <v/>
      </c>
      <c r="AT127" s="8">
        <f>-AT118*Dashboard!$E$12</f>
        <v/>
      </c>
      <c r="AU127" s="8">
        <f>-AU118*Dashboard!$E$12</f>
        <v/>
      </c>
      <c r="AV127" s="8">
        <f>-AV118*Dashboard!$E$12</f>
        <v/>
      </c>
    </row>
    <row r="128">
      <c r="C128" s="6" t="inlineStr">
        <is>
          <t>HIPA local business tax</t>
        </is>
      </c>
      <c r="D128" s="2" t="inlineStr">
        <is>
          <t>EUR k</t>
        </is>
      </c>
      <c r="H128" s="8">
        <f>SUM(M128:AV128)</f>
        <v/>
      </c>
      <c r="M128" s="8">
        <f>-M120*HIPA_Rate</f>
        <v/>
      </c>
      <c r="N128" s="8">
        <f>-N120*HIPA_Rate</f>
        <v/>
      </c>
      <c r="O128" s="8">
        <f>-O120*HIPA_Rate</f>
        <v/>
      </c>
      <c r="P128" s="8">
        <f>-P120*HIPA_Rate</f>
        <v/>
      </c>
      <c r="Q128" s="8">
        <f>-Q120*HIPA_Rate</f>
        <v/>
      </c>
      <c r="R128" s="8">
        <f>-R120*HIPA_Rate</f>
        <v/>
      </c>
      <c r="S128" s="8">
        <f>-S120*HIPA_Rate</f>
        <v/>
      </c>
      <c r="T128" s="8">
        <f>-T120*HIPA_Rate</f>
        <v/>
      </c>
      <c r="U128" s="8">
        <f>-U120*HIPA_Rate</f>
        <v/>
      </c>
      <c r="V128" s="8">
        <f>-V120*HIPA_Rate</f>
        <v/>
      </c>
      <c r="W128" s="8">
        <f>-W120*HIPA_Rate</f>
        <v/>
      </c>
      <c r="X128" s="8">
        <f>-X120*HIPA_Rate</f>
        <v/>
      </c>
      <c r="Y128" s="8">
        <f>-Y120*HIPA_Rate</f>
        <v/>
      </c>
      <c r="Z128" s="8">
        <f>-Z120*HIPA_Rate</f>
        <v/>
      </c>
      <c r="AA128" s="8">
        <f>-AA120*HIPA_Rate</f>
        <v/>
      </c>
      <c r="AB128" s="8">
        <f>-AB120*HIPA_Rate</f>
        <v/>
      </c>
      <c r="AC128" s="8">
        <f>-AC120*HIPA_Rate</f>
        <v/>
      </c>
      <c r="AD128" s="8">
        <f>-AD120*HIPA_Rate</f>
        <v/>
      </c>
      <c r="AE128" s="8">
        <f>-AE120*HIPA_Rate</f>
        <v/>
      </c>
      <c r="AF128" s="8">
        <f>-AF120*HIPA_Rate</f>
        <v/>
      </c>
      <c r="AG128" s="8">
        <f>-AG120*HIPA_Rate</f>
        <v/>
      </c>
      <c r="AH128" s="8">
        <f>-AH120*HIPA_Rate</f>
        <v/>
      </c>
      <c r="AI128" s="8">
        <f>-AI120*HIPA_Rate</f>
        <v/>
      </c>
      <c r="AJ128" s="8">
        <f>-AJ120*HIPA_Rate</f>
        <v/>
      </c>
      <c r="AK128" s="8">
        <f>-AK120*HIPA_Rate</f>
        <v/>
      </c>
      <c r="AL128" s="8">
        <f>-AL120*HIPA_Rate</f>
        <v/>
      </c>
      <c r="AM128" s="8">
        <f>-AM120*HIPA_Rate</f>
        <v/>
      </c>
      <c r="AN128" s="8">
        <f>-AN120*HIPA_Rate</f>
        <v/>
      </c>
      <c r="AO128" s="8">
        <f>-AO120*HIPA_Rate</f>
        <v/>
      </c>
      <c r="AP128" s="8">
        <f>-AP120*HIPA_Rate</f>
        <v/>
      </c>
      <c r="AQ128" s="8">
        <f>-AQ120*HIPA_Rate</f>
        <v/>
      </c>
      <c r="AR128" s="8">
        <f>-AR120*HIPA_Rate</f>
        <v/>
      </c>
      <c r="AS128" s="8">
        <f>-AS120*HIPA_Rate</f>
        <v/>
      </c>
      <c r="AT128" s="8">
        <f>-AT120*HIPA_Rate</f>
        <v/>
      </c>
      <c r="AU128" s="8">
        <f>-AU120*HIPA_Rate</f>
        <v/>
      </c>
      <c r="AV128" s="8">
        <f>-AV120*HIPA_Rate</f>
        <v/>
      </c>
    </row>
    <row r="129">
      <c r="C129" s="1" t="inlineStr">
        <is>
          <t>Total opex</t>
        </is>
      </c>
      <c r="D129" s="2" t="inlineStr">
        <is>
          <t>EUR k</t>
        </is>
      </c>
      <c r="H129" s="23">
        <f>SUM(M129:AV129)</f>
        <v/>
      </c>
      <c r="M129" s="23">
        <f>SUM(M122:M128)</f>
        <v/>
      </c>
      <c r="N129" s="23">
        <f>SUM(N122:N128)</f>
        <v/>
      </c>
      <c r="O129" s="23">
        <f>SUM(O122:O128)</f>
        <v/>
      </c>
      <c r="P129" s="23">
        <f>SUM(P122:P128)</f>
        <v/>
      </c>
      <c r="Q129" s="23">
        <f>SUM(Q122:Q128)</f>
        <v/>
      </c>
      <c r="R129" s="23">
        <f>SUM(R122:R128)</f>
        <v/>
      </c>
      <c r="S129" s="23">
        <f>SUM(S122:S128)</f>
        <v/>
      </c>
      <c r="T129" s="23">
        <f>SUM(T122:T128)</f>
        <v/>
      </c>
      <c r="U129" s="23">
        <f>SUM(U122:U128)</f>
        <v/>
      </c>
      <c r="V129" s="23">
        <f>SUM(V122:V128)</f>
        <v/>
      </c>
      <c r="W129" s="23">
        <f>SUM(W122:W128)</f>
        <v/>
      </c>
      <c r="X129" s="23">
        <f>SUM(X122:X128)</f>
        <v/>
      </c>
      <c r="Y129" s="23">
        <f>SUM(Y122:Y128)</f>
        <v/>
      </c>
      <c r="Z129" s="23">
        <f>SUM(Z122:Z128)</f>
        <v/>
      </c>
      <c r="AA129" s="23">
        <f>SUM(AA122:AA128)</f>
        <v/>
      </c>
      <c r="AB129" s="23">
        <f>SUM(AB122:AB128)</f>
        <v/>
      </c>
      <c r="AC129" s="23">
        <f>SUM(AC122:AC128)</f>
        <v/>
      </c>
      <c r="AD129" s="23">
        <f>SUM(AD122:AD128)</f>
        <v/>
      </c>
      <c r="AE129" s="23">
        <f>SUM(AE122:AE128)</f>
        <v/>
      </c>
      <c r="AF129" s="23">
        <f>SUM(AF122:AF128)</f>
        <v/>
      </c>
      <c r="AG129" s="23">
        <f>SUM(AG122:AG128)</f>
        <v/>
      </c>
      <c r="AH129" s="23">
        <f>SUM(AH122:AH128)</f>
        <v/>
      </c>
      <c r="AI129" s="23">
        <f>SUM(AI122:AI128)</f>
        <v/>
      </c>
      <c r="AJ129" s="23">
        <f>SUM(AJ122:AJ128)</f>
        <v/>
      </c>
      <c r="AK129" s="23">
        <f>SUM(AK122:AK128)</f>
        <v/>
      </c>
      <c r="AL129" s="23">
        <f>SUM(AL122:AL128)</f>
        <v/>
      </c>
      <c r="AM129" s="23">
        <f>SUM(AM122:AM128)</f>
        <v/>
      </c>
      <c r="AN129" s="23">
        <f>SUM(AN122:AN128)</f>
        <v/>
      </c>
      <c r="AO129" s="23">
        <f>SUM(AO122:AO128)</f>
        <v/>
      </c>
      <c r="AP129" s="23">
        <f>SUM(AP122:AP128)</f>
        <v/>
      </c>
      <c r="AQ129" s="23">
        <f>SUM(AQ122:AQ128)</f>
        <v/>
      </c>
      <c r="AR129" s="23">
        <f>SUM(AR122:AR128)</f>
        <v/>
      </c>
      <c r="AS129" s="23">
        <f>SUM(AS122:AS128)</f>
        <v/>
      </c>
      <c r="AT129" s="23">
        <f>SUM(AT122:AT128)</f>
        <v/>
      </c>
      <c r="AU129" s="23">
        <f>SUM(AU122:AU128)</f>
        <v/>
      </c>
      <c r="AV129" s="23">
        <f>SUM(AV122:AV128)</f>
        <v/>
      </c>
    </row>
    <row r="130">
      <c r="C130" s="1" t="inlineStr">
        <is>
          <t>EBITDA</t>
        </is>
      </c>
      <c r="D130" s="2" t="inlineStr">
        <is>
          <t>EUR k</t>
        </is>
      </c>
      <c r="H130" s="23">
        <f>SUM(M130:AV130)</f>
        <v/>
      </c>
      <c r="M130" s="15">
        <f>M120+M129</f>
        <v/>
      </c>
      <c r="N130" s="15">
        <f>N120+N129</f>
        <v/>
      </c>
      <c r="O130" s="15">
        <f>O120+O129</f>
        <v/>
      </c>
      <c r="P130" s="15">
        <f>P120+P129</f>
        <v/>
      </c>
      <c r="Q130" s="15">
        <f>Q120+Q129</f>
        <v/>
      </c>
      <c r="R130" s="15">
        <f>R120+R129</f>
        <v/>
      </c>
      <c r="S130" s="15">
        <f>S120+S129</f>
        <v/>
      </c>
      <c r="T130" s="15">
        <f>T120+T129</f>
        <v/>
      </c>
      <c r="U130" s="15">
        <f>U120+U129</f>
        <v/>
      </c>
      <c r="V130" s="15">
        <f>V120+V129</f>
        <v/>
      </c>
      <c r="W130" s="15">
        <f>W120+W129</f>
        <v/>
      </c>
      <c r="X130" s="15">
        <f>X120+X129</f>
        <v/>
      </c>
      <c r="Y130" s="15">
        <f>Y120+Y129</f>
        <v/>
      </c>
      <c r="Z130" s="15">
        <f>Z120+Z129</f>
        <v/>
      </c>
      <c r="AA130" s="15">
        <f>AA120+AA129</f>
        <v/>
      </c>
      <c r="AB130" s="15">
        <f>AB120+AB129</f>
        <v/>
      </c>
      <c r="AC130" s="15">
        <f>AC120+AC129</f>
        <v/>
      </c>
      <c r="AD130" s="15">
        <f>AD120+AD129</f>
        <v/>
      </c>
      <c r="AE130" s="15">
        <f>AE120+AE129</f>
        <v/>
      </c>
      <c r="AF130" s="15">
        <f>AF120+AF129</f>
        <v/>
      </c>
      <c r="AG130" s="15">
        <f>AG120+AG129</f>
        <v/>
      </c>
      <c r="AH130" s="15">
        <f>AH120+AH129</f>
        <v/>
      </c>
      <c r="AI130" s="15">
        <f>AI120+AI129</f>
        <v/>
      </c>
      <c r="AJ130" s="15">
        <f>AJ120+AJ129</f>
        <v/>
      </c>
      <c r="AK130" s="15">
        <f>AK120+AK129</f>
        <v/>
      </c>
      <c r="AL130" s="15">
        <f>AL120+AL129</f>
        <v/>
      </c>
      <c r="AM130" s="15">
        <f>AM120+AM129</f>
        <v/>
      </c>
      <c r="AN130" s="15">
        <f>AN120+AN129</f>
        <v/>
      </c>
      <c r="AO130" s="15">
        <f>AO120+AO129</f>
        <v/>
      </c>
      <c r="AP130" s="15">
        <f>AP120+AP129</f>
        <v/>
      </c>
      <c r="AQ130" s="15">
        <f>AQ120+AQ129</f>
        <v/>
      </c>
      <c r="AR130" s="15">
        <f>AR120+AR129</f>
        <v/>
      </c>
      <c r="AS130" s="15">
        <f>AS120+AS129</f>
        <v/>
      </c>
      <c r="AT130" s="15">
        <f>AT120+AT129</f>
        <v/>
      </c>
      <c r="AU130" s="15">
        <f>AU120+AU129</f>
        <v/>
      </c>
      <c r="AV130" s="15">
        <f>AV120+AV129</f>
        <v/>
      </c>
    </row>
    <row r="131">
      <c r="C131" s="1" t="inlineStr">
        <is>
          <t>Unlevered pre-tax cash flow</t>
        </is>
      </c>
      <c r="D131" s="2" t="inlineStr">
        <is>
          <t>EUR k</t>
        </is>
      </c>
      <c r="H131" s="23">
        <f>SUM(M131:AV131)</f>
        <v/>
      </c>
      <c r="M131" s="23">
        <f>M116+M130</f>
        <v/>
      </c>
      <c r="N131" s="23">
        <f>N116+N130</f>
        <v/>
      </c>
      <c r="O131" s="23">
        <f>O116+O130</f>
        <v/>
      </c>
      <c r="P131" s="23">
        <f>P116+P130</f>
        <v/>
      </c>
      <c r="Q131" s="23">
        <f>Q116+Q130</f>
        <v/>
      </c>
      <c r="R131" s="23">
        <f>R116+R130</f>
        <v/>
      </c>
      <c r="S131" s="23">
        <f>S116+S130</f>
        <v/>
      </c>
      <c r="T131" s="23">
        <f>T116+T130</f>
        <v/>
      </c>
      <c r="U131" s="23">
        <f>U116+U130</f>
        <v/>
      </c>
      <c r="V131" s="23">
        <f>V116+V130</f>
        <v/>
      </c>
      <c r="W131" s="23">
        <f>W116+W130</f>
        <v/>
      </c>
      <c r="X131" s="23">
        <f>X116+X130</f>
        <v/>
      </c>
      <c r="Y131" s="23">
        <f>Y116+Y130</f>
        <v/>
      </c>
      <c r="Z131" s="23">
        <f>Z116+Z130</f>
        <v/>
      </c>
      <c r="AA131" s="23">
        <f>AA116+AA130</f>
        <v/>
      </c>
      <c r="AB131" s="23">
        <f>AB116+AB130</f>
        <v/>
      </c>
      <c r="AC131" s="23">
        <f>AC116+AC130</f>
        <v/>
      </c>
      <c r="AD131" s="23">
        <f>AD116+AD130</f>
        <v/>
      </c>
      <c r="AE131" s="23">
        <f>AE116+AE130</f>
        <v/>
      </c>
      <c r="AF131" s="23">
        <f>AF116+AF130</f>
        <v/>
      </c>
      <c r="AG131" s="23">
        <f>AG116+AG130</f>
        <v/>
      </c>
      <c r="AH131" s="23">
        <f>AH116+AH130</f>
        <v/>
      </c>
      <c r="AI131" s="23">
        <f>AI116+AI130</f>
        <v/>
      </c>
      <c r="AJ131" s="23">
        <f>AJ116+AJ130</f>
        <v/>
      </c>
      <c r="AK131" s="23">
        <f>AK116+AK130</f>
        <v/>
      </c>
      <c r="AL131" s="23">
        <f>AL116+AL130</f>
        <v/>
      </c>
      <c r="AM131" s="23">
        <f>AM116+AM130</f>
        <v/>
      </c>
      <c r="AN131" s="23">
        <f>AN116+AN130</f>
        <v/>
      </c>
      <c r="AO131" s="23">
        <f>AO116+AO130</f>
        <v/>
      </c>
      <c r="AP131" s="23">
        <f>AP116+AP130</f>
        <v/>
      </c>
      <c r="AQ131" s="23">
        <f>AQ116+AQ130</f>
        <v/>
      </c>
      <c r="AR131" s="23">
        <f>AR116+AR130</f>
        <v/>
      </c>
      <c r="AS131" s="23">
        <f>AS116+AS130</f>
        <v/>
      </c>
      <c r="AT131" s="23">
        <f>AT116+AT130</f>
        <v/>
      </c>
      <c r="AU131" s="23">
        <f>AU116+AU130</f>
        <v/>
      </c>
      <c r="AV131" s="23">
        <f>AV116+AV130</f>
        <v/>
      </c>
    </row>
    <row r="132">
      <c r="C132" s="6" t="inlineStr">
        <is>
          <t>Discount factor to COD (buyer's rate)</t>
        </is>
      </c>
      <c r="D132" s="2" t="inlineStr">
        <is>
          <t>x</t>
        </is>
      </c>
      <c r="M132" s="29">
        <f>(1+Discount_Rate)^((Inputs!$E$27-M$103)/Days_In_Year)</f>
        <v/>
      </c>
      <c r="N132" s="29">
        <f>(1+Discount_Rate)^((Inputs!$E$27-N$103)/Days_In_Year)</f>
        <v/>
      </c>
      <c r="O132" s="29">
        <f>(1+Discount_Rate)^((Inputs!$E$27-O$103)/Days_In_Year)</f>
        <v/>
      </c>
      <c r="P132" s="29">
        <f>(1+Discount_Rate)^((Inputs!$E$27-P$103)/Days_In_Year)</f>
        <v/>
      </c>
      <c r="Q132" s="29">
        <f>(1+Discount_Rate)^((Inputs!$E$27-Q$103)/Days_In_Year)</f>
        <v/>
      </c>
      <c r="R132" s="29">
        <f>(1+Discount_Rate)^((Inputs!$E$27-R$103)/Days_In_Year)</f>
        <v/>
      </c>
      <c r="S132" s="29">
        <f>(1+Discount_Rate)^((Inputs!$E$27-S$103)/Days_In_Year)</f>
        <v/>
      </c>
      <c r="T132" s="29">
        <f>(1+Discount_Rate)^((Inputs!$E$27-T$103)/Days_In_Year)</f>
        <v/>
      </c>
      <c r="U132" s="29">
        <f>(1+Discount_Rate)^((Inputs!$E$27-U$103)/Days_In_Year)</f>
        <v/>
      </c>
      <c r="V132" s="29">
        <f>(1+Discount_Rate)^((Inputs!$E$27-V$103)/Days_In_Year)</f>
        <v/>
      </c>
      <c r="W132" s="29">
        <f>(1+Discount_Rate)^((Inputs!$E$27-W$103)/Days_In_Year)</f>
        <v/>
      </c>
      <c r="X132" s="29">
        <f>(1+Discount_Rate)^((Inputs!$E$27-X$103)/Days_In_Year)</f>
        <v/>
      </c>
      <c r="Y132" s="29">
        <f>(1+Discount_Rate)^((Inputs!$E$27-Y$103)/Days_In_Year)</f>
        <v/>
      </c>
      <c r="Z132" s="29">
        <f>(1+Discount_Rate)^((Inputs!$E$27-Z$103)/Days_In_Year)</f>
        <v/>
      </c>
      <c r="AA132" s="29">
        <f>(1+Discount_Rate)^((Inputs!$E$27-AA$103)/Days_In_Year)</f>
        <v/>
      </c>
      <c r="AB132" s="29">
        <f>(1+Discount_Rate)^((Inputs!$E$27-AB$103)/Days_In_Year)</f>
        <v/>
      </c>
      <c r="AC132" s="29">
        <f>(1+Discount_Rate)^((Inputs!$E$27-AC$103)/Days_In_Year)</f>
        <v/>
      </c>
      <c r="AD132" s="29">
        <f>(1+Discount_Rate)^((Inputs!$E$27-AD$103)/Days_In_Year)</f>
        <v/>
      </c>
      <c r="AE132" s="29">
        <f>(1+Discount_Rate)^((Inputs!$E$27-AE$103)/Days_In_Year)</f>
        <v/>
      </c>
      <c r="AF132" s="29">
        <f>(1+Discount_Rate)^((Inputs!$E$27-AF$103)/Days_In_Year)</f>
        <v/>
      </c>
      <c r="AG132" s="29">
        <f>(1+Discount_Rate)^((Inputs!$E$27-AG$103)/Days_In_Year)</f>
        <v/>
      </c>
      <c r="AH132" s="29">
        <f>(1+Discount_Rate)^((Inputs!$E$27-AH$103)/Days_In_Year)</f>
        <v/>
      </c>
      <c r="AI132" s="29">
        <f>(1+Discount_Rate)^((Inputs!$E$27-AI$103)/Days_In_Year)</f>
        <v/>
      </c>
      <c r="AJ132" s="29">
        <f>(1+Discount_Rate)^((Inputs!$E$27-AJ$103)/Days_In_Year)</f>
        <v/>
      </c>
      <c r="AK132" s="29">
        <f>(1+Discount_Rate)^((Inputs!$E$27-AK$103)/Days_In_Year)</f>
        <v/>
      </c>
      <c r="AL132" s="29">
        <f>(1+Discount_Rate)^((Inputs!$E$27-AL$103)/Days_In_Year)</f>
        <v/>
      </c>
      <c r="AM132" s="29">
        <f>(1+Discount_Rate)^((Inputs!$E$27-AM$103)/Days_In_Year)</f>
        <v/>
      </c>
      <c r="AN132" s="29">
        <f>(1+Discount_Rate)^((Inputs!$E$27-AN$103)/Days_In_Year)</f>
        <v/>
      </c>
      <c r="AO132" s="29">
        <f>(1+Discount_Rate)^((Inputs!$E$27-AO$103)/Days_In_Year)</f>
        <v/>
      </c>
      <c r="AP132" s="29">
        <f>(1+Discount_Rate)^((Inputs!$E$27-AP$103)/Days_In_Year)</f>
        <v/>
      </c>
      <c r="AQ132" s="29">
        <f>(1+Discount_Rate)^((Inputs!$E$27-AQ$103)/Days_In_Year)</f>
        <v/>
      </c>
      <c r="AR132" s="29">
        <f>(1+Discount_Rate)^((Inputs!$E$27-AR$103)/Days_In_Year)</f>
        <v/>
      </c>
      <c r="AS132" s="29">
        <f>(1+Discount_Rate)^((Inputs!$E$27-AS$103)/Days_In_Year)</f>
        <v/>
      </c>
      <c r="AT132" s="29">
        <f>(1+Discount_Rate)^((Inputs!$E$27-AT$103)/Days_In_Year)</f>
        <v/>
      </c>
      <c r="AU132" s="29">
        <f>(1+Discount_Rate)^((Inputs!$E$27-AU$103)/Days_In_Year)</f>
        <v/>
      </c>
      <c r="AV132" s="29">
        <f>(1+Discount_Rate)^((Inputs!$E$27-AV$103)/Days_In_Year)</f>
        <v/>
      </c>
    </row>
    <row r="133">
      <c r="C133" s="6" t="inlineStr">
        <is>
          <t>EBITDA valued at COD (total = COD price)</t>
        </is>
      </c>
      <c r="D133" s="2" t="inlineStr">
        <is>
          <t>EUR k</t>
        </is>
      </c>
      <c r="H133" s="8">
        <f>SUM(M133:AV133)</f>
        <v/>
      </c>
      <c r="M133" s="8">
        <f>M130*M132</f>
        <v/>
      </c>
      <c r="N133" s="8">
        <f>N130*N132</f>
        <v/>
      </c>
      <c r="O133" s="8">
        <f>O130*O132</f>
        <v/>
      </c>
      <c r="P133" s="8">
        <f>P130*P132</f>
        <v/>
      </c>
      <c r="Q133" s="8">
        <f>Q130*Q132</f>
        <v/>
      </c>
      <c r="R133" s="8">
        <f>R130*R132</f>
        <v/>
      </c>
      <c r="S133" s="8">
        <f>S130*S132</f>
        <v/>
      </c>
      <c r="T133" s="8">
        <f>T130*T132</f>
        <v/>
      </c>
      <c r="U133" s="8">
        <f>U130*U132</f>
        <v/>
      </c>
      <c r="V133" s="8">
        <f>V130*V132</f>
        <v/>
      </c>
      <c r="W133" s="8">
        <f>W130*W132</f>
        <v/>
      </c>
      <c r="X133" s="8">
        <f>X130*X132</f>
        <v/>
      </c>
      <c r="Y133" s="8">
        <f>Y130*Y132</f>
        <v/>
      </c>
      <c r="Z133" s="8">
        <f>Z130*Z132</f>
        <v/>
      </c>
      <c r="AA133" s="8">
        <f>AA130*AA132</f>
        <v/>
      </c>
      <c r="AB133" s="8">
        <f>AB130*AB132</f>
        <v/>
      </c>
      <c r="AC133" s="8">
        <f>AC130*AC132</f>
        <v/>
      </c>
      <c r="AD133" s="8">
        <f>AD130*AD132</f>
        <v/>
      </c>
      <c r="AE133" s="8">
        <f>AE130*AE132</f>
        <v/>
      </c>
      <c r="AF133" s="8">
        <f>AF130*AF132</f>
        <v/>
      </c>
      <c r="AG133" s="8">
        <f>AG130*AG132</f>
        <v/>
      </c>
      <c r="AH133" s="8">
        <f>AH130*AH132</f>
        <v/>
      </c>
      <c r="AI133" s="8">
        <f>AI130*AI132</f>
        <v/>
      </c>
      <c r="AJ133" s="8">
        <f>AJ130*AJ132</f>
        <v/>
      </c>
      <c r="AK133" s="8">
        <f>AK130*AK132</f>
        <v/>
      </c>
      <c r="AL133" s="8">
        <f>AL130*AL132</f>
        <v/>
      </c>
      <c r="AM133" s="8">
        <f>AM130*AM132</f>
        <v/>
      </c>
      <c r="AN133" s="8">
        <f>AN130*AN132</f>
        <v/>
      </c>
      <c r="AO133" s="8">
        <f>AO130*AO132</f>
        <v/>
      </c>
      <c r="AP133" s="8">
        <f>AP130*AP132</f>
        <v/>
      </c>
      <c r="AQ133" s="8">
        <f>AQ130*AQ132</f>
        <v/>
      </c>
      <c r="AR133" s="8">
        <f>AR130*AR132</f>
        <v/>
      </c>
      <c r="AS133" s="8">
        <f>AS130*AS132</f>
        <v/>
      </c>
      <c r="AT133" s="8">
        <f>AT130*AT132</f>
        <v/>
      </c>
      <c r="AU133" s="8">
        <f>AU130*AU132</f>
        <v/>
      </c>
      <c r="AV133" s="8">
        <f>AV130*AV132</f>
        <v/>
      </c>
    </row>
    <row r="134">
      <c r="C134" s="1" t="inlineStr">
        <is>
          <t>COD exit: FEP cash flow (to COD, price and securities at COD)</t>
        </is>
      </c>
      <c r="D134" s="2" t="inlineStr">
        <is>
          <t>EUR k</t>
        </is>
      </c>
      <c r="H134" s="23">
        <f>SUM(M134:AV134)</f>
        <v/>
      </c>
      <c r="M134" s="23">
        <f>M116*(M106&lt;=0)+M111*($H133+$E$24+$E$25)</f>
        <v/>
      </c>
      <c r="N134" s="23">
        <f>N116*(N106&lt;=0)+N111*($H133+$E$24+$E$25)</f>
        <v/>
      </c>
      <c r="O134" s="23">
        <f>O116*(O106&lt;=0)+O111*($H133+$E$24+$E$25)</f>
        <v/>
      </c>
      <c r="P134" s="23">
        <f>P116*(P106&lt;=0)+P111*($H133+$E$24+$E$25)</f>
        <v/>
      </c>
      <c r="Q134" s="23">
        <f>Q116*(Q106&lt;=0)+Q111*($H133+$E$24+$E$25)</f>
        <v/>
      </c>
      <c r="R134" s="23">
        <f>R116*(R106&lt;=0)+R111*($H133+$E$24+$E$25)</f>
        <v/>
      </c>
      <c r="S134" s="23">
        <f>S116*(S106&lt;=0)+S111*($H133+$E$24+$E$25)</f>
        <v/>
      </c>
      <c r="T134" s="23">
        <f>T116*(T106&lt;=0)+T111*($H133+$E$24+$E$25)</f>
        <v/>
      </c>
      <c r="U134" s="23">
        <f>U116*(U106&lt;=0)+U111*($H133+$E$24+$E$25)</f>
        <v/>
      </c>
      <c r="V134" s="23">
        <f>V116*(V106&lt;=0)+V111*($H133+$E$24+$E$25)</f>
        <v/>
      </c>
      <c r="W134" s="23">
        <f>W116*(W106&lt;=0)+W111*($H133+$E$24+$E$25)</f>
        <v/>
      </c>
      <c r="X134" s="23">
        <f>X116*(X106&lt;=0)+X111*($H133+$E$24+$E$25)</f>
        <v/>
      </c>
      <c r="Y134" s="23">
        <f>Y116*(Y106&lt;=0)+Y111*($H133+$E$24+$E$25)</f>
        <v/>
      </c>
      <c r="Z134" s="23">
        <f>Z116*(Z106&lt;=0)+Z111*($H133+$E$24+$E$25)</f>
        <v/>
      </c>
      <c r="AA134" s="23">
        <f>AA116*(AA106&lt;=0)+AA111*($H133+$E$24+$E$25)</f>
        <v/>
      </c>
      <c r="AB134" s="23">
        <f>AB116*(AB106&lt;=0)+AB111*($H133+$E$24+$E$25)</f>
        <v/>
      </c>
      <c r="AC134" s="23">
        <f>AC116*(AC106&lt;=0)+AC111*($H133+$E$24+$E$25)</f>
        <v/>
      </c>
      <c r="AD134" s="23">
        <f>AD116*(AD106&lt;=0)+AD111*($H133+$E$24+$E$25)</f>
        <v/>
      </c>
      <c r="AE134" s="23">
        <f>AE116*(AE106&lt;=0)+AE111*($H133+$E$24+$E$25)</f>
        <v/>
      </c>
      <c r="AF134" s="23">
        <f>AF116*(AF106&lt;=0)+AF111*($H133+$E$24+$E$25)</f>
        <v/>
      </c>
      <c r="AG134" s="23">
        <f>AG116*(AG106&lt;=0)+AG111*($H133+$E$24+$E$25)</f>
        <v/>
      </c>
      <c r="AH134" s="23">
        <f>AH116*(AH106&lt;=0)+AH111*($H133+$E$24+$E$25)</f>
        <v/>
      </c>
      <c r="AI134" s="23">
        <f>AI116*(AI106&lt;=0)+AI111*($H133+$E$24+$E$25)</f>
        <v/>
      </c>
      <c r="AJ134" s="23">
        <f>AJ116*(AJ106&lt;=0)+AJ111*($H133+$E$24+$E$25)</f>
        <v/>
      </c>
      <c r="AK134" s="23">
        <f>AK116*(AK106&lt;=0)+AK111*($H133+$E$24+$E$25)</f>
        <v/>
      </c>
      <c r="AL134" s="23">
        <f>AL116*(AL106&lt;=0)+AL111*($H133+$E$24+$E$25)</f>
        <v/>
      </c>
      <c r="AM134" s="23">
        <f>AM116*(AM106&lt;=0)+AM111*($H133+$E$24+$E$25)</f>
        <v/>
      </c>
      <c r="AN134" s="23">
        <f>AN116*(AN106&lt;=0)+AN111*($H133+$E$24+$E$25)</f>
        <v/>
      </c>
      <c r="AO134" s="23">
        <f>AO116*(AO106&lt;=0)+AO111*($H133+$E$24+$E$25)</f>
        <v/>
      </c>
      <c r="AP134" s="23">
        <f>AP116*(AP106&lt;=0)+AP111*($H133+$E$24+$E$25)</f>
        <v/>
      </c>
      <c r="AQ134" s="23">
        <f>AQ116*(AQ106&lt;=0)+AQ111*($H133+$E$24+$E$25)</f>
        <v/>
      </c>
      <c r="AR134" s="23">
        <f>AR116*(AR106&lt;=0)+AR111*($H133+$E$24+$E$25)</f>
        <v/>
      </c>
      <c r="AS134" s="23">
        <f>AS116*(AS106&lt;=0)+AS111*($H133+$E$24+$E$25)</f>
        <v/>
      </c>
      <c r="AT134" s="23">
        <f>AT116*(AT106&lt;=0)+AT111*($H133+$E$24+$E$25)</f>
        <v/>
      </c>
      <c r="AU134" s="23">
        <f>AU116*(AU106&lt;=0)+AU111*($H133+$E$24+$E$25)</f>
        <v/>
      </c>
      <c r="AV134" s="23">
        <f>AV116*(AV106&lt;=0)+AV111*($H133+$E$24+$E$25)</f>
        <v/>
      </c>
    </row>
    <row r="136">
      <c r="B136" s="4" t="inlineStr">
        <is>
          <t>x</t>
        </is>
      </c>
      <c r="C136" s="4" t="inlineStr">
        <is>
          <t>Iváncsa: annual cash flow (EUR k)</t>
        </is>
      </c>
      <c r="D136" s="4" t="n"/>
      <c r="E136" s="5" t="n"/>
      <c r="F136" s="5" t="inlineStr">
        <is>
          <t>Value</t>
        </is>
      </c>
      <c r="G136" s="5" t="n"/>
      <c r="H136" s="5" t="inlineStr">
        <is>
          <t>Total</t>
        </is>
      </c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</row>
    <row r="137">
      <c r="C137" s="6" t="inlineStr">
        <is>
          <t>Years from the COD year</t>
        </is>
      </c>
      <c r="D137" s="2" t="inlineStr">
        <is>
          <t>years</t>
        </is>
      </c>
      <c r="M137" s="26">
        <f>M$102-YEAR(Inputs!$F$27)</f>
        <v/>
      </c>
      <c r="N137" s="26">
        <f>N$102-YEAR(Inputs!$F$27)</f>
        <v/>
      </c>
      <c r="O137" s="26">
        <f>O$102-YEAR(Inputs!$F$27)</f>
        <v/>
      </c>
      <c r="P137" s="26">
        <f>P$102-YEAR(Inputs!$F$27)</f>
        <v/>
      </c>
      <c r="Q137" s="26">
        <f>Q$102-YEAR(Inputs!$F$27)</f>
        <v/>
      </c>
      <c r="R137" s="26">
        <f>R$102-YEAR(Inputs!$F$27)</f>
        <v/>
      </c>
      <c r="S137" s="26">
        <f>S$102-YEAR(Inputs!$F$27)</f>
        <v/>
      </c>
      <c r="T137" s="26">
        <f>T$102-YEAR(Inputs!$F$27)</f>
        <v/>
      </c>
      <c r="U137" s="26">
        <f>U$102-YEAR(Inputs!$F$27)</f>
        <v/>
      </c>
      <c r="V137" s="26">
        <f>V$102-YEAR(Inputs!$F$27)</f>
        <v/>
      </c>
      <c r="W137" s="26">
        <f>W$102-YEAR(Inputs!$F$27)</f>
        <v/>
      </c>
      <c r="X137" s="26">
        <f>X$102-YEAR(Inputs!$F$27)</f>
        <v/>
      </c>
      <c r="Y137" s="26">
        <f>Y$102-YEAR(Inputs!$F$27)</f>
        <v/>
      </c>
      <c r="Z137" s="26">
        <f>Z$102-YEAR(Inputs!$F$27)</f>
        <v/>
      </c>
      <c r="AA137" s="26">
        <f>AA$102-YEAR(Inputs!$F$27)</f>
        <v/>
      </c>
      <c r="AB137" s="26">
        <f>AB$102-YEAR(Inputs!$F$27)</f>
        <v/>
      </c>
      <c r="AC137" s="26">
        <f>AC$102-YEAR(Inputs!$F$27)</f>
        <v/>
      </c>
      <c r="AD137" s="26">
        <f>AD$102-YEAR(Inputs!$F$27)</f>
        <v/>
      </c>
      <c r="AE137" s="26">
        <f>AE$102-YEAR(Inputs!$F$27)</f>
        <v/>
      </c>
      <c r="AF137" s="26">
        <f>AF$102-YEAR(Inputs!$F$27)</f>
        <v/>
      </c>
      <c r="AG137" s="26">
        <f>AG$102-YEAR(Inputs!$F$27)</f>
        <v/>
      </c>
      <c r="AH137" s="26">
        <f>AH$102-YEAR(Inputs!$F$27)</f>
        <v/>
      </c>
      <c r="AI137" s="26">
        <f>AI$102-YEAR(Inputs!$F$27)</f>
        <v/>
      </c>
      <c r="AJ137" s="26">
        <f>AJ$102-YEAR(Inputs!$F$27)</f>
        <v/>
      </c>
      <c r="AK137" s="26">
        <f>AK$102-YEAR(Inputs!$F$27)</f>
        <v/>
      </c>
      <c r="AL137" s="26">
        <f>AL$102-YEAR(Inputs!$F$27)</f>
        <v/>
      </c>
      <c r="AM137" s="26">
        <f>AM$102-YEAR(Inputs!$F$27)</f>
        <v/>
      </c>
      <c r="AN137" s="26">
        <f>AN$102-YEAR(Inputs!$F$27)</f>
        <v/>
      </c>
      <c r="AO137" s="26">
        <f>AO$102-YEAR(Inputs!$F$27)</f>
        <v/>
      </c>
      <c r="AP137" s="26">
        <f>AP$102-YEAR(Inputs!$F$27)</f>
        <v/>
      </c>
      <c r="AQ137" s="26">
        <f>AQ$102-YEAR(Inputs!$F$27)</f>
        <v/>
      </c>
      <c r="AR137" s="26">
        <f>AR$102-YEAR(Inputs!$F$27)</f>
        <v/>
      </c>
      <c r="AS137" s="26">
        <f>AS$102-YEAR(Inputs!$F$27)</f>
        <v/>
      </c>
      <c r="AT137" s="26">
        <f>AT$102-YEAR(Inputs!$F$27)</f>
        <v/>
      </c>
      <c r="AU137" s="26">
        <f>AU$102-YEAR(Inputs!$F$27)</f>
        <v/>
      </c>
      <c r="AV137" s="26">
        <f>AV$102-YEAR(Inputs!$F$27)</f>
        <v/>
      </c>
    </row>
    <row r="138">
      <c r="C138" s="6" t="inlineStr">
        <is>
          <t>Construction months by year end (value: construction period)</t>
        </is>
      </c>
      <c r="D138" s="2" t="inlineStr">
        <is>
          <t>months</t>
        </is>
      </c>
      <c r="F138" s="26">
        <f>DATEDIF(Inputs!$F$26,Inputs!$F$27,"m")</f>
        <v/>
      </c>
      <c r="M138" s="26">
        <f>(M$102+1-YEAR(Inputs!$F$26))*Months_In_Year-MONTH(Inputs!$F$26)</f>
        <v/>
      </c>
      <c r="N138" s="26">
        <f>(N$102+1-YEAR(Inputs!$F$26))*Months_In_Year-MONTH(Inputs!$F$26)</f>
        <v/>
      </c>
      <c r="O138" s="26">
        <f>(O$102+1-YEAR(Inputs!$F$26))*Months_In_Year-MONTH(Inputs!$F$26)</f>
        <v/>
      </c>
      <c r="P138" s="26">
        <f>(P$102+1-YEAR(Inputs!$F$26))*Months_In_Year-MONTH(Inputs!$F$26)</f>
        <v/>
      </c>
      <c r="Q138" s="26">
        <f>(Q$102+1-YEAR(Inputs!$F$26))*Months_In_Year-MONTH(Inputs!$F$26)</f>
        <v/>
      </c>
      <c r="R138" s="26">
        <f>(R$102+1-YEAR(Inputs!$F$26))*Months_In_Year-MONTH(Inputs!$F$26)</f>
        <v/>
      </c>
      <c r="S138" s="26">
        <f>(S$102+1-YEAR(Inputs!$F$26))*Months_In_Year-MONTH(Inputs!$F$26)</f>
        <v/>
      </c>
      <c r="T138" s="26">
        <f>(T$102+1-YEAR(Inputs!$F$26))*Months_In_Year-MONTH(Inputs!$F$26)</f>
        <v/>
      </c>
      <c r="U138" s="26">
        <f>(U$102+1-YEAR(Inputs!$F$26))*Months_In_Year-MONTH(Inputs!$F$26)</f>
        <v/>
      </c>
      <c r="V138" s="26">
        <f>(V$102+1-YEAR(Inputs!$F$26))*Months_In_Year-MONTH(Inputs!$F$26)</f>
        <v/>
      </c>
      <c r="W138" s="26">
        <f>(W$102+1-YEAR(Inputs!$F$26))*Months_In_Year-MONTH(Inputs!$F$26)</f>
        <v/>
      </c>
      <c r="X138" s="26">
        <f>(X$102+1-YEAR(Inputs!$F$26))*Months_In_Year-MONTH(Inputs!$F$26)</f>
        <v/>
      </c>
      <c r="Y138" s="26">
        <f>(Y$102+1-YEAR(Inputs!$F$26))*Months_In_Year-MONTH(Inputs!$F$26)</f>
        <v/>
      </c>
      <c r="Z138" s="26">
        <f>(Z$102+1-YEAR(Inputs!$F$26))*Months_In_Year-MONTH(Inputs!$F$26)</f>
        <v/>
      </c>
      <c r="AA138" s="26">
        <f>(AA$102+1-YEAR(Inputs!$F$26))*Months_In_Year-MONTH(Inputs!$F$26)</f>
        <v/>
      </c>
      <c r="AB138" s="26">
        <f>(AB$102+1-YEAR(Inputs!$F$26))*Months_In_Year-MONTH(Inputs!$F$26)</f>
        <v/>
      </c>
      <c r="AC138" s="26">
        <f>(AC$102+1-YEAR(Inputs!$F$26))*Months_In_Year-MONTH(Inputs!$F$26)</f>
        <v/>
      </c>
      <c r="AD138" s="26">
        <f>(AD$102+1-YEAR(Inputs!$F$26))*Months_In_Year-MONTH(Inputs!$F$26)</f>
        <v/>
      </c>
      <c r="AE138" s="26">
        <f>(AE$102+1-YEAR(Inputs!$F$26))*Months_In_Year-MONTH(Inputs!$F$26)</f>
        <v/>
      </c>
      <c r="AF138" s="26">
        <f>(AF$102+1-YEAR(Inputs!$F$26))*Months_In_Year-MONTH(Inputs!$F$26)</f>
        <v/>
      </c>
      <c r="AG138" s="26">
        <f>(AG$102+1-YEAR(Inputs!$F$26))*Months_In_Year-MONTH(Inputs!$F$26)</f>
        <v/>
      </c>
      <c r="AH138" s="26">
        <f>(AH$102+1-YEAR(Inputs!$F$26))*Months_In_Year-MONTH(Inputs!$F$26)</f>
        <v/>
      </c>
      <c r="AI138" s="26">
        <f>(AI$102+1-YEAR(Inputs!$F$26))*Months_In_Year-MONTH(Inputs!$F$26)</f>
        <v/>
      </c>
      <c r="AJ138" s="26">
        <f>(AJ$102+1-YEAR(Inputs!$F$26))*Months_In_Year-MONTH(Inputs!$F$26)</f>
        <v/>
      </c>
      <c r="AK138" s="26">
        <f>(AK$102+1-YEAR(Inputs!$F$26))*Months_In_Year-MONTH(Inputs!$F$26)</f>
        <v/>
      </c>
      <c r="AL138" s="26">
        <f>(AL$102+1-YEAR(Inputs!$F$26))*Months_In_Year-MONTH(Inputs!$F$26)</f>
        <v/>
      </c>
      <c r="AM138" s="26">
        <f>(AM$102+1-YEAR(Inputs!$F$26))*Months_In_Year-MONTH(Inputs!$F$26)</f>
        <v/>
      </c>
      <c r="AN138" s="26">
        <f>(AN$102+1-YEAR(Inputs!$F$26))*Months_In_Year-MONTH(Inputs!$F$26)</f>
        <v/>
      </c>
      <c r="AO138" s="26">
        <f>(AO$102+1-YEAR(Inputs!$F$26))*Months_In_Year-MONTH(Inputs!$F$26)</f>
        <v/>
      </c>
      <c r="AP138" s="26">
        <f>(AP$102+1-YEAR(Inputs!$F$26))*Months_In_Year-MONTH(Inputs!$F$26)</f>
        <v/>
      </c>
      <c r="AQ138" s="26">
        <f>(AQ$102+1-YEAR(Inputs!$F$26))*Months_In_Year-MONTH(Inputs!$F$26)</f>
        <v/>
      </c>
      <c r="AR138" s="26">
        <f>(AR$102+1-YEAR(Inputs!$F$26))*Months_In_Year-MONTH(Inputs!$F$26)</f>
        <v/>
      </c>
      <c r="AS138" s="26">
        <f>(AS$102+1-YEAR(Inputs!$F$26))*Months_In_Year-MONTH(Inputs!$F$26)</f>
        <v/>
      </c>
      <c r="AT138" s="26">
        <f>(AT$102+1-YEAR(Inputs!$F$26))*Months_In_Year-MONTH(Inputs!$F$26)</f>
        <v/>
      </c>
      <c r="AU138" s="26">
        <f>(AU$102+1-YEAR(Inputs!$F$26))*Months_In_Year-MONTH(Inputs!$F$26)</f>
        <v/>
      </c>
      <c r="AV138" s="26">
        <f>(AV$102+1-YEAR(Inputs!$F$26))*Months_In_Year-MONTH(Inputs!$F$26)</f>
        <v/>
      </c>
    </row>
    <row r="139">
      <c r="C139" s="6" t="inlineStr">
        <is>
          <t>Construction share of the year (NTP to COD)</t>
        </is>
      </c>
      <c r="D139" s="2" t="inlineStr">
        <is>
          <t>%</t>
        </is>
      </c>
      <c r="H139" s="27">
        <f>SUM(M139:AV139)</f>
        <v/>
      </c>
      <c r="M139" s="17">
        <f>MAX(0,MIN(M138,$F138)-MAX(M138-Months_In_Year,0))/$F138</f>
        <v/>
      </c>
      <c r="N139" s="17">
        <f>MAX(0,MIN(N138,$F138)-MAX(N138-Months_In_Year,0))/$F138</f>
        <v/>
      </c>
      <c r="O139" s="17">
        <f>MAX(0,MIN(O138,$F138)-MAX(O138-Months_In_Year,0))/$F138</f>
        <v/>
      </c>
      <c r="P139" s="17">
        <f>MAX(0,MIN(P138,$F138)-MAX(P138-Months_In_Year,0))/$F138</f>
        <v/>
      </c>
      <c r="Q139" s="17">
        <f>MAX(0,MIN(Q138,$F138)-MAX(Q138-Months_In_Year,0))/$F138</f>
        <v/>
      </c>
      <c r="R139" s="17">
        <f>MAX(0,MIN(R138,$F138)-MAX(R138-Months_In_Year,0))/$F138</f>
        <v/>
      </c>
      <c r="S139" s="17">
        <f>MAX(0,MIN(S138,$F138)-MAX(S138-Months_In_Year,0))/$F138</f>
        <v/>
      </c>
      <c r="T139" s="17">
        <f>MAX(0,MIN(T138,$F138)-MAX(T138-Months_In_Year,0))/$F138</f>
        <v/>
      </c>
      <c r="U139" s="17">
        <f>MAX(0,MIN(U138,$F138)-MAX(U138-Months_In_Year,0))/$F138</f>
        <v/>
      </c>
      <c r="V139" s="17">
        <f>MAX(0,MIN(V138,$F138)-MAX(V138-Months_In_Year,0))/$F138</f>
        <v/>
      </c>
      <c r="W139" s="17">
        <f>MAX(0,MIN(W138,$F138)-MAX(W138-Months_In_Year,0))/$F138</f>
        <v/>
      </c>
      <c r="X139" s="17">
        <f>MAX(0,MIN(X138,$F138)-MAX(X138-Months_In_Year,0))/$F138</f>
        <v/>
      </c>
      <c r="Y139" s="17">
        <f>MAX(0,MIN(Y138,$F138)-MAX(Y138-Months_In_Year,0))/$F138</f>
        <v/>
      </c>
      <c r="Z139" s="17">
        <f>MAX(0,MIN(Z138,$F138)-MAX(Z138-Months_In_Year,0))/$F138</f>
        <v/>
      </c>
      <c r="AA139" s="17">
        <f>MAX(0,MIN(AA138,$F138)-MAX(AA138-Months_In_Year,0))/$F138</f>
        <v/>
      </c>
      <c r="AB139" s="17">
        <f>MAX(0,MIN(AB138,$F138)-MAX(AB138-Months_In_Year,0))/$F138</f>
        <v/>
      </c>
      <c r="AC139" s="17">
        <f>MAX(0,MIN(AC138,$F138)-MAX(AC138-Months_In_Year,0))/$F138</f>
        <v/>
      </c>
      <c r="AD139" s="17">
        <f>MAX(0,MIN(AD138,$F138)-MAX(AD138-Months_In_Year,0))/$F138</f>
        <v/>
      </c>
      <c r="AE139" s="17">
        <f>MAX(0,MIN(AE138,$F138)-MAX(AE138-Months_In_Year,0))/$F138</f>
        <v/>
      </c>
      <c r="AF139" s="17">
        <f>MAX(0,MIN(AF138,$F138)-MAX(AF138-Months_In_Year,0))/$F138</f>
        <v/>
      </c>
      <c r="AG139" s="17">
        <f>MAX(0,MIN(AG138,$F138)-MAX(AG138-Months_In_Year,0))/$F138</f>
        <v/>
      </c>
      <c r="AH139" s="17">
        <f>MAX(0,MIN(AH138,$F138)-MAX(AH138-Months_In_Year,0))/$F138</f>
        <v/>
      </c>
      <c r="AI139" s="17">
        <f>MAX(0,MIN(AI138,$F138)-MAX(AI138-Months_In_Year,0))/$F138</f>
        <v/>
      </c>
      <c r="AJ139" s="17">
        <f>MAX(0,MIN(AJ138,$F138)-MAX(AJ138-Months_In_Year,0))/$F138</f>
        <v/>
      </c>
      <c r="AK139" s="17">
        <f>MAX(0,MIN(AK138,$F138)-MAX(AK138-Months_In_Year,0))/$F138</f>
        <v/>
      </c>
      <c r="AL139" s="17">
        <f>MAX(0,MIN(AL138,$F138)-MAX(AL138-Months_In_Year,0))/$F138</f>
        <v/>
      </c>
      <c r="AM139" s="17">
        <f>MAX(0,MIN(AM138,$F138)-MAX(AM138-Months_In_Year,0))/$F138</f>
        <v/>
      </c>
      <c r="AN139" s="17">
        <f>MAX(0,MIN(AN138,$F138)-MAX(AN138-Months_In_Year,0))/$F138</f>
        <v/>
      </c>
      <c r="AO139" s="17">
        <f>MAX(0,MIN(AO138,$F138)-MAX(AO138-Months_In_Year,0))/$F138</f>
        <v/>
      </c>
      <c r="AP139" s="17">
        <f>MAX(0,MIN(AP138,$F138)-MAX(AP138-Months_In_Year,0))/$F138</f>
        <v/>
      </c>
      <c r="AQ139" s="17">
        <f>MAX(0,MIN(AQ138,$F138)-MAX(AQ138-Months_In_Year,0))/$F138</f>
        <v/>
      </c>
      <c r="AR139" s="17">
        <f>MAX(0,MIN(AR138,$F138)-MAX(AR138-Months_In_Year,0))/$F138</f>
        <v/>
      </c>
      <c r="AS139" s="17">
        <f>MAX(0,MIN(AS138,$F138)-MAX(AS138-Months_In_Year,0))/$F138</f>
        <v/>
      </c>
      <c r="AT139" s="17">
        <f>MAX(0,MIN(AT138,$F138)-MAX(AT138-Months_In_Year,0))/$F138</f>
        <v/>
      </c>
      <c r="AU139" s="17">
        <f>MAX(0,MIN(AU138,$F138)-MAX(AU138-Months_In_Year,0))/$F138</f>
        <v/>
      </c>
      <c r="AV139" s="17">
        <f>MAX(0,MIN(AV138,$F138)-MAX(AV138-Months_In_Year,0))/$F138</f>
        <v/>
      </c>
    </row>
    <row r="140">
      <c r="C140" s="6" t="inlineStr">
        <is>
          <t>Months operated by year end (value: operating life)</t>
        </is>
      </c>
      <c r="D140" s="2" t="inlineStr">
        <is>
          <t>months</t>
        </is>
      </c>
      <c r="F140" s="26">
        <f>Life*Months_In_Year</f>
        <v/>
      </c>
      <c r="M140" s="26">
        <f>(M$102+1-YEAR(Inputs!$F$27))*Months_In_Year-MONTH(Inputs!$F$27)</f>
        <v/>
      </c>
      <c r="N140" s="26">
        <f>(N$102+1-YEAR(Inputs!$F$27))*Months_In_Year-MONTH(Inputs!$F$27)</f>
        <v/>
      </c>
      <c r="O140" s="26">
        <f>(O$102+1-YEAR(Inputs!$F$27))*Months_In_Year-MONTH(Inputs!$F$27)</f>
        <v/>
      </c>
      <c r="P140" s="26">
        <f>(P$102+1-YEAR(Inputs!$F$27))*Months_In_Year-MONTH(Inputs!$F$27)</f>
        <v/>
      </c>
      <c r="Q140" s="26">
        <f>(Q$102+1-YEAR(Inputs!$F$27))*Months_In_Year-MONTH(Inputs!$F$27)</f>
        <v/>
      </c>
      <c r="R140" s="26">
        <f>(R$102+1-YEAR(Inputs!$F$27))*Months_In_Year-MONTH(Inputs!$F$27)</f>
        <v/>
      </c>
      <c r="S140" s="26">
        <f>(S$102+1-YEAR(Inputs!$F$27))*Months_In_Year-MONTH(Inputs!$F$27)</f>
        <v/>
      </c>
      <c r="T140" s="26">
        <f>(T$102+1-YEAR(Inputs!$F$27))*Months_In_Year-MONTH(Inputs!$F$27)</f>
        <v/>
      </c>
      <c r="U140" s="26">
        <f>(U$102+1-YEAR(Inputs!$F$27))*Months_In_Year-MONTH(Inputs!$F$27)</f>
        <v/>
      </c>
      <c r="V140" s="26">
        <f>(V$102+1-YEAR(Inputs!$F$27))*Months_In_Year-MONTH(Inputs!$F$27)</f>
        <v/>
      </c>
      <c r="W140" s="26">
        <f>(W$102+1-YEAR(Inputs!$F$27))*Months_In_Year-MONTH(Inputs!$F$27)</f>
        <v/>
      </c>
      <c r="X140" s="26">
        <f>(X$102+1-YEAR(Inputs!$F$27))*Months_In_Year-MONTH(Inputs!$F$27)</f>
        <v/>
      </c>
      <c r="Y140" s="26">
        <f>(Y$102+1-YEAR(Inputs!$F$27))*Months_In_Year-MONTH(Inputs!$F$27)</f>
        <v/>
      </c>
      <c r="Z140" s="26">
        <f>(Z$102+1-YEAR(Inputs!$F$27))*Months_In_Year-MONTH(Inputs!$F$27)</f>
        <v/>
      </c>
      <c r="AA140" s="26">
        <f>(AA$102+1-YEAR(Inputs!$F$27))*Months_In_Year-MONTH(Inputs!$F$27)</f>
        <v/>
      </c>
      <c r="AB140" s="26">
        <f>(AB$102+1-YEAR(Inputs!$F$27))*Months_In_Year-MONTH(Inputs!$F$27)</f>
        <v/>
      </c>
      <c r="AC140" s="26">
        <f>(AC$102+1-YEAR(Inputs!$F$27))*Months_In_Year-MONTH(Inputs!$F$27)</f>
        <v/>
      </c>
      <c r="AD140" s="26">
        <f>(AD$102+1-YEAR(Inputs!$F$27))*Months_In_Year-MONTH(Inputs!$F$27)</f>
        <v/>
      </c>
      <c r="AE140" s="26">
        <f>(AE$102+1-YEAR(Inputs!$F$27))*Months_In_Year-MONTH(Inputs!$F$27)</f>
        <v/>
      </c>
      <c r="AF140" s="26">
        <f>(AF$102+1-YEAR(Inputs!$F$27))*Months_In_Year-MONTH(Inputs!$F$27)</f>
        <v/>
      </c>
      <c r="AG140" s="26">
        <f>(AG$102+1-YEAR(Inputs!$F$27))*Months_In_Year-MONTH(Inputs!$F$27)</f>
        <v/>
      </c>
      <c r="AH140" s="26">
        <f>(AH$102+1-YEAR(Inputs!$F$27))*Months_In_Year-MONTH(Inputs!$F$27)</f>
        <v/>
      </c>
      <c r="AI140" s="26">
        <f>(AI$102+1-YEAR(Inputs!$F$27))*Months_In_Year-MONTH(Inputs!$F$27)</f>
        <v/>
      </c>
      <c r="AJ140" s="26">
        <f>(AJ$102+1-YEAR(Inputs!$F$27))*Months_In_Year-MONTH(Inputs!$F$27)</f>
        <v/>
      </c>
      <c r="AK140" s="26">
        <f>(AK$102+1-YEAR(Inputs!$F$27))*Months_In_Year-MONTH(Inputs!$F$27)</f>
        <v/>
      </c>
      <c r="AL140" s="26">
        <f>(AL$102+1-YEAR(Inputs!$F$27))*Months_In_Year-MONTH(Inputs!$F$27)</f>
        <v/>
      </c>
      <c r="AM140" s="26">
        <f>(AM$102+1-YEAR(Inputs!$F$27))*Months_In_Year-MONTH(Inputs!$F$27)</f>
        <v/>
      </c>
      <c r="AN140" s="26">
        <f>(AN$102+1-YEAR(Inputs!$F$27))*Months_In_Year-MONTH(Inputs!$F$27)</f>
        <v/>
      </c>
      <c r="AO140" s="26">
        <f>(AO$102+1-YEAR(Inputs!$F$27))*Months_In_Year-MONTH(Inputs!$F$27)</f>
        <v/>
      </c>
      <c r="AP140" s="26">
        <f>(AP$102+1-YEAR(Inputs!$F$27))*Months_In_Year-MONTH(Inputs!$F$27)</f>
        <v/>
      </c>
      <c r="AQ140" s="26">
        <f>(AQ$102+1-YEAR(Inputs!$F$27))*Months_In_Year-MONTH(Inputs!$F$27)</f>
        <v/>
      </c>
      <c r="AR140" s="26">
        <f>(AR$102+1-YEAR(Inputs!$F$27))*Months_In_Year-MONTH(Inputs!$F$27)</f>
        <v/>
      </c>
      <c r="AS140" s="26">
        <f>(AS$102+1-YEAR(Inputs!$F$27))*Months_In_Year-MONTH(Inputs!$F$27)</f>
        <v/>
      </c>
      <c r="AT140" s="26">
        <f>(AT$102+1-YEAR(Inputs!$F$27))*Months_In_Year-MONTH(Inputs!$F$27)</f>
        <v/>
      </c>
      <c r="AU140" s="26">
        <f>(AU$102+1-YEAR(Inputs!$F$27))*Months_In_Year-MONTH(Inputs!$F$27)</f>
        <v/>
      </c>
      <c r="AV140" s="26">
        <f>(AV$102+1-YEAR(Inputs!$F$27))*Months_In_Year-MONTH(Inputs!$F$27)</f>
        <v/>
      </c>
    </row>
    <row r="141">
      <c r="C141" s="6" t="inlineStr">
        <is>
          <t>Operating share of the year (COD to end of life)</t>
        </is>
      </c>
      <c r="D141" s="2" t="inlineStr">
        <is>
          <t>%</t>
        </is>
      </c>
      <c r="H141" s="27">
        <f>SUM(M141:AV141)</f>
        <v/>
      </c>
      <c r="M141" s="17">
        <f>MAX(0,MIN(M140,$F140)-MAX(M140-Months_In_Year,0))/Months_In_Year</f>
        <v/>
      </c>
      <c r="N141" s="17">
        <f>MAX(0,MIN(N140,$F140)-MAX(N140-Months_In_Year,0))/Months_In_Year</f>
        <v/>
      </c>
      <c r="O141" s="17">
        <f>MAX(0,MIN(O140,$F140)-MAX(O140-Months_In_Year,0))/Months_In_Year</f>
        <v/>
      </c>
      <c r="P141" s="17">
        <f>MAX(0,MIN(P140,$F140)-MAX(P140-Months_In_Year,0))/Months_In_Year</f>
        <v/>
      </c>
      <c r="Q141" s="17">
        <f>MAX(0,MIN(Q140,$F140)-MAX(Q140-Months_In_Year,0))/Months_In_Year</f>
        <v/>
      </c>
      <c r="R141" s="17">
        <f>MAX(0,MIN(R140,$F140)-MAX(R140-Months_In_Year,0))/Months_In_Year</f>
        <v/>
      </c>
      <c r="S141" s="17">
        <f>MAX(0,MIN(S140,$F140)-MAX(S140-Months_In_Year,0))/Months_In_Year</f>
        <v/>
      </c>
      <c r="T141" s="17">
        <f>MAX(0,MIN(T140,$F140)-MAX(T140-Months_In_Year,0))/Months_In_Year</f>
        <v/>
      </c>
      <c r="U141" s="17">
        <f>MAX(0,MIN(U140,$F140)-MAX(U140-Months_In_Year,0))/Months_In_Year</f>
        <v/>
      </c>
      <c r="V141" s="17">
        <f>MAX(0,MIN(V140,$F140)-MAX(V140-Months_In_Year,0))/Months_In_Year</f>
        <v/>
      </c>
      <c r="W141" s="17">
        <f>MAX(0,MIN(W140,$F140)-MAX(W140-Months_In_Year,0))/Months_In_Year</f>
        <v/>
      </c>
      <c r="X141" s="17">
        <f>MAX(0,MIN(X140,$F140)-MAX(X140-Months_In_Year,0))/Months_In_Year</f>
        <v/>
      </c>
      <c r="Y141" s="17">
        <f>MAX(0,MIN(Y140,$F140)-MAX(Y140-Months_In_Year,0))/Months_In_Year</f>
        <v/>
      </c>
      <c r="Z141" s="17">
        <f>MAX(0,MIN(Z140,$F140)-MAX(Z140-Months_In_Year,0))/Months_In_Year</f>
        <v/>
      </c>
      <c r="AA141" s="17">
        <f>MAX(0,MIN(AA140,$F140)-MAX(AA140-Months_In_Year,0))/Months_In_Year</f>
        <v/>
      </c>
      <c r="AB141" s="17">
        <f>MAX(0,MIN(AB140,$F140)-MAX(AB140-Months_In_Year,0))/Months_In_Year</f>
        <v/>
      </c>
      <c r="AC141" s="17">
        <f>MAX(0,MIN(AC140,$F140)-MAX(AC140-Months_In_Year,0))/Months_In_Year</f>
        <v/>
      </c>
      <c r="AD141" s="17">
        <f>MAX(0,MIN(AD140,$F140)-MAX(AD140-Months_In_Year,0))/Months_In_Year</f>
        <v/>
      </c>
      <c r="AE141" s="17">
        <f>MAX(0,MIN(AE140,$F140)-MAX(AE140-Months_In_Year,0))/Months_In_Year</f>
        <v/>
      </c>
      <c r="AF141" s="17">
        <f>MAX(0,MIN(AF140,$F140)-MAX(AF140-Months_In_Year,0))/Months_In_Year</f>
        <v/>
      </c>
      <c r="AG141" s="17">
        <f>MAX(0,MIN(AG140,$F140)-MAX(AG140-Months_In_Year,0))/Months_In_Year</f>
        <v/>
      </c>
      <c r="AH141" s="17">
        <f>MAX(0,MIN(AH140,$F140)-MAX(AH140-Months_In_Year,0))/Months_In_Year</f>
        <v/>
      </c>
      <c r="AI141" s="17">
        <f>MAX(0,MIN(AI140,$F140)-MAX(AI140-Months_In_Year,0))/Months_In_Year</f>
        <v/>
      </c>
      <c r="AJ141" s="17">
        <f>MAX(0,MIN(AJ140,$F140)-MAX(AJ140-Months_In_Year,0))/Months_In_Year</f>
        <v/>
      </c>
      <c r="AK141" s="17">
        <f>MAX(0,MIN(AK140,$F140)-MAX(AK140-Months_In_Year,0))/Months_In_Year</f>
        <v/>
      </c>
      <c r="AL141" s="17">
        <f>MAX(0,MIN(AL140,$F140)-MAX(AL140-Months_In_Year,0))/Months_In_Year</f>
        <v/>
      </c>
      <c r="AM141" s="17">
        <f>MAX(0,MIN(AM140,$F140)-MAX(AM140-Months_In_Year,0))/Months_In_Year</f>
        <v/>
      </c>
      <c r="AN141" s="17">
        <f>MAX(0,MIN(AN140,$F140)-MAX(AN140-Months_In_Year,0))/Months_In_Year</f>
        <v/>
      </c>
      <c r="AO141" s="17">
        <f>MAX(0,MIN(AO140,$F140)-MAX(AO140-Months_In_Year,0))/Months_In_Year</f>
        <v/>
      </c>
      <c r="AP141" s="17">
        <f>MAX(0,MIN(AP140,$F140)-MAX(AP140-Months_In_Year,0))/Months_In_Year</f>
        <v/>
      </c>
      <c r="AQ141" s="17">
        <f>MAX(0,MIN(AQ140,$F140)-MAX(AQ140-Months_In_Year,0))/Months_In_Year</f>
        <v/>
      </c>
      <c r="AR141" s="17">
        <f>MAX(0,MIN(AR140,$F140)-MAX(AR140-Months_In_Year,0))/Months_In_Year</f>
        <v/>
      </c>
      <c r="AS141" s="17">
        <f>MAX(0,MIN(AS140,$F140)-MAX(AS140-Months_In_Year,0))/Months_In_Year</f>
        <v/>
      </c>
      <c r="AT141" s="17">
        <f>MAX(0,MIN(AT140,$F140)-MAX(AT140-Months_In_Year,0))/Months_In_Year</f>
        <v/>
      </c>
      <c r="AU141" s="17">
        <f>MAX(0,MIN(AU140,$F140)-MAX(AU140-Months_In_Year,0))/Months_In_Year</f>
        <v/>
      </c>
      <c r="AV141" s="17">
        <f>MAX(0,MIN(AV140,$F140)-MAX(AV140-Months_In_Year,0))/Months_In_Year</f>
        <v/>
      </c>
    </row>
    <row r="142">
      <c r="C142" s="6" t="inlineStr">
        <is>
          <t>COD year flag</t>
        </is>
      </c>
      <c r="D142" s="2" t="inlineStr">
        <is>
          <t>flag</t>
        </is>
      </c>
      <c r="M142" s="28">
        <f>N(M137=0)</f>
        <v/>
      </c>
      <c r="N142" s="28">
        <f>N(N137=0)</f>
        <v/>
      </c>
      <c r="O142" s="28">
        <f>N(O137=0)</f>
        <v/>
      </c>
      <c r="P142" s="28">
        <f>N(P137=0)</f>
        <v/>
      </c>
      <c r="Q142" s="28">
        <f>N(Q137=0)</f>
        <v/>
      </c>
      <c r="R142" s="28">
        <f>N(R137=0)</f>
        <v/>
      </c>
      <c r="S142" s="28">
        <f>N(S137=0)</f>
        <v/>
      </c>
      <c r="T142" s="28">
        <f>N(T137=0)</f>
        <v/>
      </c>
      <c r="U142" s="28">
        <f>N(U137=0)</f>
        <v/>
      </c>
      <c r="V142" s="28">
        <f>N(V137=0)</f>
        <v/>
      </c>
      <c r="W142" s="28">
        <f>N(W137=0)</f>
        <v/>
      </c>
      <c r="X142" s="28">
        <f>N(X137=0)</f>
        <v/>
      </c>
      <c r="Y142" s="28">
        <f>N(Y137=0)</f>
        <v/>
      </c>
      <c r="Z142" s="28">
        <f>N(Z137=0)</f>
        <v/>
      </c>
      <c r="AA142" s="28">
        <f>N(AA137=0)</f>
        <v/>
      </c>
      <c r="AB142" s="28">
        <f>N(AB137=0)</f>
        <v/>
      </c>
      <c r="AC142" s="28">
        <f>N(AC137=0)</f>
        <v/>
      </c>
      <c r="AD142" s="28">
        <f>N(AD137=0)</f>
        <v/>
      </c>
      <c r="AE142" s="28">
        <f>N(AE137=0)</f>
        <v/>
      </c>
      <c r="AF142" s="28">
        <f>N(AF137=0)</f>
        <v/>
      </c>
      <c r="AG142" s="28">
        <f>N(AG137=0)</f>
        <v/>
      </c>
      <c r="AH142" s="28">
        <f>N(AH137=0)</f>
        <v/>
      </c>
      <c r="AI142" s="28">
        <f>N(AI137=0)</f>
        <v/>
      </c>
      <c r="AJ142" s="28">
        <f>N(AJ137=0)</f>
        <v/>
      </c>
      <c r="AK142" s="28">
        <f>N(AK137=0)</f>
        <v/>
      </c>
      <c r="AL142" s="28">
        <f>N(AL137=0)</f>
        <v/>
      </c>
      <c r="AM142" s="28">
        <f>N(AM137=0)</f>
        <v/>
      </c>
      <c r="AN142" s="28">
        <f>N(AN137=0)</f>
        <v/>
      </c>
      <c r="AO142" s="28">
        <f>N(AO137=0)</f>
        <v/>
      </c>
      <c r="AP142" s="28">
        <f>N(AP137=0)</f>
        <v/>
      </c>
      <c r="AQ142" s="28">
        <f>N(AQ137=0)</f>
        <v/>
      </c>
      <c r="AR142" s="28">
        <f>N(AR137=0)</f>
        <v/>
      </c>
      <c r="AS142" s="28">
        <f>N(AS137=0)</f>
        <v/>
      </c>
      <c r="AT142" s="28">
        <f>N(AT137=0)</f>
        <v/>
      </c>
      <c r="AU142" s="28">
        <f>N(AU137=0)</f>
        <v/>
      </c>
      <c r="AV142" s="28">
        <f>N(AV137=0)</f>
        <v/>
      </c>
    </row>
    <row r="143">
      <c r="C143" s="6" t="inlineStr">
        <is>
          <t>FEP outlays at their dates (signing, fee, securities, fees, devex)</t>
        </is>
      </c>
      <c r="D143" s="2" t="inlineStr">
        <is>
          <t>EUR k</t>
        </is>
      </c>
      <c r="H143" s="8">
        <f>SUM(M143:AV143)</f>
        <v/>
      </c>
      <c r="M143" s="8">
        <f>SUMPRODUCT((YEAR($K$71:$K$78)=M$102)*$F$71:$F$78)</f>
        <v/>
      </c>
      <c r="N143" s="8">
        <f>SUMPRODUCT((YEAR($K$71:$K$78)=N$102)*$F$71:$F$78)</f>
        <v/>
      </c>
      <c r="O143" s="8">
        <f>SUMPRODUCT((YEAR($K$71:$K$78)=O$102)*$F$71:$F$78)</f>
        <v/>
      </c>
      <c r="P143" s="8">
        <f>SUMPRODUCT((YEAR($K$71:$K$78)=P$102)*$F$71:$F$78)</f>
        <v/>
      </c>
      <c r="Q143" s="8">
        <f>SUMPRODUCT((YEAR($K$71:$K$78)=Q$102)*$F$71:$F$78)</f>
        <v/>
      </c>
      <c r="R143" s="8">
        <f>SUMPRODUCT((YEAR($K$71:$K$78)=R$102)*$F$71:$F$78)</f>
        <v/>
      </c>
      <c r="S143" s="8">
        <f>SUMPRODUCT((YEAR($K$71:$K$78)=S$102)*$F$71:$F$78)</f>
        <v/>
      </c>
      <c r="T143" s="8">
        <f>SUMPRODUCT((YEAR($K$71:$K$78)=T$102)*$F$71:$F$78)</f>
        <v/>
      </c>
      <c r="U143" s="8">
        <f>SUMPRODUCT((YEAR($K$71:$K$78)=U$102)*$F$71:$F$78)</f>
        <v/>
      </c>
      <c r="V143" s="8">
        <f>SUMPRODUCT((YEAR($K$71:$K$78)=V$102)*$F$71:$F$78)</f>
        <v/>
      </c>
      <c r="W143" s="8">
        <f>SUMPRODUCT((YEAR($K$71:$K$78)=W$102)*$F$71:$F$78)</f>
        <v/>
      </c>
      <c r="X143" s="8">
        <f>SUMPRODUCT((YEAR($K$71:$K$78)=X$102)*$F$71:$F$78)</f>
        <v/>
      </c>
      <c r="Y143" s="8">
        <f>SUMPRODUCT((YEAR($K$71:$K$78)=Y$102)*$F$71:$F$78)</f>
        <v/>
      </c>
      <c r="Z143" s="8">
        <f>SUMPRODUCT((YEAR($K$71:$K$78)=Z$102)*$F$71:$F$78)</f>
        <v/>
      </c>
      <c r="AA143" s="8">
        <f>SUMPRODUCT((YEAR($K$71:$K$78)=AA$102)*$F$71:$F$78)</f>
        <v/>
      </c>
      <c r="AB143" s="8">
        <f>SUMPRODUCT((YEAR($K$71:$K$78)=AB$102)*$F$71:$F$78)</f>
        <v/>
      </c>
      <c r="AC143" s="8">
        <f>SUMPRODUCT((YEAR($K$71:$K$78)=AC$102)*$F$71:$F$78)</f>
        <v/>
      </c>
      <c r="AD143" s="8">
        <f>SUMPRODUCT((YEAR($K$71:$K$78)=AD$102)*$F$71:$F$78)</f>
        <v/>
      </c>
      <c r="AE143" s="8">
        <f>SUMPRODUCT((YEAR($K$71:$K$78)=AE$102)*$F$71:$F$78)</f>
        <v/>
      </c>
      <c r="AF143" s="8">
        <f>SUMPRODUCT((YEAR($K$71:$K$78)=AF$102)*$F$71:$F$78)</f>
        <v/>
      </c>
      <c r="AG143" s="8">
        <f>SUMPRODUCT((YEAR($K$71:$K$78)=AG$102)*$F$71:$F$78)</f>
        <v/>
      </c>
      <c r="AH143" s="8">
        <f>SUMPRODUCT((YEAR($K$71:$K$78)=AH$102)*$F$71:$F$78)</f>
        <v/>
      </c>
      <c r="AI143" s="8">
        <f>SUMPRODUCT((YEAR($K$71:$K$78)=AI$102)*$F$71:$F$78)</f>
        <v/>
      </c>
      <c r="AJ143" s="8">
        <f>SUMPRODUCT((YEAR($K$71:$K$78)=AJ$102)*$F$71:$F$78)</f>
        <v/>
      </c>
      <c r="AK143" s="8">
        <f>SUMPRODUCT((YEAR($K$71:$K$78)=AK$102)*$F$71:$F$78)</f>
        <v/>
      </c>
      <c r="AL143" s="8">
        <f>SUMPRODUCT((YEAR($K$71:$K$78)=AL$102)*$F$71:$F$78)</f>
        <v/>
      </c>
      <c r="AM143" s="8">
        <f>SUMPRODUCT((YEAR($K$71:$K$78)=AM$102)*$F$71:$F$78)</f>
        <v/>
      </c>
      <c r="AN143" s="8">
        <f>SUMPRODUCT((YEAR($K$71:$K$78)=AN$102)*$F$71:$F$78)</f>
        <v/>
      </c>
      <c r="AO143" s="8">
        <f>SUMPRODUCT((YEAR($K$71:$K$78)=AO$102)*$F$71:$F$78)</f>
        <v/>
      </c>
      <c r="AP143" s="8">
        <f>SUMPRODUCT((YEAR($K$71:$K$78)=AP$102)*$F$71:$F$78)</f>
        <v/>
      </c>
      <c r="AQ143" s="8">
        <f>SUMPRODUCT((YEAR($K$71:$K$78)=AQ$102)*$F$71:$F$78)</f>
        <v/>
      </c>
      <c r="AR143" s="8">
        <f>SUMPRODUCT((YEAR($K$71:$K$78)=AR$102)*$F$71:$F$78)</f>
        <v/>
      </c>
      <c r="AS143" s="8">
        <f>SUMPRODUCT((YEAR($K$71:$K$78)=AS$102)*$F$71:$F$78)</f>
        <v/>
      </c>
      <c r="AT143" s="8">
        <f>SUMPRODUCT((YEAR($K$71:$K$78)=AT$102)*$F$71:$F$78)</f>
        <v/>
      </c>
      <c r="AU143" s="8">
        <f>SUMPRODUCT((YEAR($K$71:$K$78)=AU$102)*$F$71:$F$78)</f>
        <v/>
      </c>
      <c r="AV143" s="8">
        <f>SUMPRODUCT((YEAR($K$71:$K$78)=AV$102)*$F$71:$F$78)</f>
        <v/>
      </c>
    </row>
    <row r="144">
      <c r="C144" s="6" t="inlineStr">
        <is>
          <t>Performance security released (bid security included)</t>
        </is>
      </c>
      <c r="D144" s="2" t="inlineStr">
        <is>
          <t>EUR k</t>
        </is>
      </c>
      <c r="H144" s="8">
        <f>SUM(M144:AV144)</f>
        <v/>
      </c>
      <c r="M144" s="8">
        <f>($F$24+$F$25)*(M$102=YEAR(Inputs!$F$28))</f>
        <v/>
      </c>
      <c r="N144" s="8">
        <f>($F$24+$F$25)*(N$102=YEAR(Inputs!$F$28))</f>
        <v/>
      </c>
      <c r="O144" s="8">
        <f>($F$24+$F$25)*(O$102=YEAR(Inputs!$F$28))</f>
        <v/>
      </c>
      <c r="P144" s="8">
        <f>($F$24+$F$25)*(P$102=YEAR(Inputs!$F$28))</f>
        <v/>
      </c>
      <c r="Q144" s="8">
        <f>($F$24+$F$25)*(Q$102=YEAR(Inputs!$F$28))</f>
        <v/>
      </c>
      <c r="R144" s="8">
        <f>($F$24+$F$25)*(R$102=YEAR(Inputs!$F$28))</f>
        <v/>
      </c>
      <c r="S144" s="8">
        <f>($F$24+$F$25)*(S$102=YEAR(Inputs!$F$28))</f>
        <v/>
      </c>
      <c r="T144" s="8">
        <f>($F$24+$F$25)*(T$102=YEAR(Inputs!$F$28))</f>
        <v/>
      </c>
      <c r="U144" s="8">
        <f>($F$24+$F$25)*(U$102=YEAR(Inputs!$F$28))</f>
        <v/>
      </c>
      <c r="V144" s="8">
        <f>($F$24+$F$25)*(V$102=YEAR(Inputs!$F$28))</f>
        <v/>
      </c>
      <c r="W144" s="8">
        <f>($F$24+$F$25)*(W$102=YEAR(Inputs!$F$28))</f>
        <v/>
      </c>
      <c r="X144" s="8">
        <f>($F$24+$F$25)*(X$102=YEAR(Inputs!$F$28))</f>
        <v/>
      </c>
      <c r="Y144" s="8">
        <f>($F$24+$F$25)*(Y$102=YEAR(Inputs!$F$28))</f>
        <v/>
      </c>
      <c r="Z144" s="8">
        <f>($F$24+$F$25)*(Z$102=YEAR(Inputs!$F$28))</f>
        <v/>
      </c>
      <c r="AA144" s="8">
        <f>($F$24+$F$25)*(AA$102=YEAR(Inputs!$F$28))</f>
        <v/>
      </c>
      <c r="AB144" s="8">
        <f>($F$24+$F$25)*(AB$102=YEAR(Inputs!$F$28))</f>
        <v/>
      </c>
      <c r="AC144" s="8">
        <f>($F$24+$F$25)*(AC$102=YEAR(Inputs!$F$28))</f>
        <v/>
      </c>
      <c r="AD144" s="8">
        <f>($F$24+$F$25)*(AD$102=YEAR(Inputs!$F$28))</f>
        <v/>
      </c>
      <c r="AE144" s="8">
        <f>($F$24+$F$25)*(AE$102=YEAR(Inputs!$F$28))</f>
        <v/>
      </c>
      <c r="AF144" s="8">
        <f>($F$24+$F$25)*(AF$102=YEAR(Inputs!$F$28))</f>
        <v/>
      </c>
      <c r="AG144" s="8">
        <f>($F$24+$F$25)*(AG$102=YEAR(Inputs!$F$28))</f>
        <v/>
      </c>
      <c r="AH144" s="8">
        <f>($F$24+$F$25)*(AH$102=YEAR(Inputs!$F$28))</f>
        <v/>
      </c>
      <c r="AI144" s="8">
        <f>($F$24+$F$25)*(AI$102=YEAR(Inputs!$F$28))</f>
        <v/>
      </c>
      <c r="AJ144" s="8">
        <f>($F$24+$F$25)*(AJ$102=YEAR(Inputs!$F$28))</f>
        <v/>
      </c>
      <c r="AK144" s="8">
        <f>($F$24+$F$25)*(AK$102=YEAR(Inputs!$F$28))</f>
        <v/>
      </c>
      <c r="AL144" s="8">
        <f>($F$24+$F$25)*(AL$102=YEAR(Inputs!$F$28))</f>
        <v/>
      </c>
      <c r="AM144" s="8">
        <f>($F$24+$F$25)*(AM$102=YEAR(Inputs!$F$28))</f>
        <v/>
      </c>
      <c r="AN144" s="8">
        <f>($F$24+$F$25)*(AN$102=YEAR(Inputs!$F$28))</f>
        <v/>
      </c>
      <c r="AO144" s="8">
        <f>($F$24+$F$25)*(AO$102=YEAR(Inputs!$F$28))</f>
        <v/>
      </c>
      <c r="AP144" s="8">
        <f>($F$24+$F$25)*(AP$102=YEAR(Inputs!$F$28))</f>
        <v/>
      </c>
      <c r="AQ144" s="8">
        <f>($F$24+$F$25)*(AQ$102=YEAR(Inputs!$F$28))</f>
        <v/>
      </c>
      <c r="AR144" s="8">
        <f>($F$24+$F$25)*(AR$102=YEAR(Inputs!$F$28))</f>
        <v/>
      </c>
      <c r="AS144" s="8">
        <f>($F$24+$F$25)*(AS$102=YEAR(Inputs!$F$28))</f>
        <v/>
      </c>
      <c r="AT144" s="8">
        <f>($F$24+$F$25)*(AT$102=YEAR(Inputs!$F$28))</f>
        <v/>
      </c>
      <c r="AU144" s="8">
        <f>($F$24+$F$25)*(AU$102=YEAR(Inputs!$F$28))</f>
        <v/>
      </c>
      <c r="AV144" s="8">
        <f>($F$24+$F$25)*(AV$102=YEAR(Inputs!$F$28))</f>
        <v/>
      </c>
    </row>
    <row r="145">
      <c r="C145" s="6" t="inlineStr">
        <is>
          <t>Construction capex (straight-line NTP to COD)</t>
        </is>
      </c>
      <c r="D145" s="2" t="inlineStr">
        <is>
          <t>EUR k</t>
        </is>
      </c>
      <c r="H145" s="8">
        <f>SUM(M145:AV145)</f>
        <v/>
      </c>
      <c r="M145" s="8">
        <f>-$F$95*M139</f>
        <v/>
      </c>
      <c r="N145" s="8">
        <f>-$F$95*N139</f>
        <v/>
      </c>
      <c r="O145" s="8">
        <f>-$F$95*O139</f>
        <v/>
      </c>
      <c r="P145" s="8">
        <f>-$F$95*P139</f>
        <v/>
      </c>
      <c r="Q145" s="8">
        <f>-$F$95*Q139</f>
        <v/>
      </c>
      <c r="R145" s="8">
        <f>-$F$95*R139</f>
        <v/>
      </c>
      <c r="S145" s="8">
        <f>-$F$95*S139</f>
        <v/>
      </c>
      <c r="T145" s="8">
        <f>-$F$95*T139</f>
        <v/>
      </c>
      <c r="U145" s="8">
        <f>-$F$95*U139</f>
        <v/>
      </c>
      <c r="V145" s="8">
        <f>-$F$95*V139</f>
        <v/>
      </c>
      <c r="W145" s="8">
        <f>-$F$95*W139</f>
        <v/>
      </c>
      <c r="X145" s="8">
        <f>-$F$95*X139</f>
        <v/>
      </c>
      <c r="Y145" s="8">
        <f>-$F$95*Y139</f>
        <v/>
      </c>
      <c r="Z145" s="8">
        <f>-$F$95*Z139</f>
        <v/>
      </c>
      <c r="AA145" s="8">
        <f>-$F$95*AA139</f>
        <v/>
      </c>
      <c r="AB145" s="8">
        <f>-$F$95*AB139</f>
        <v/>
      </c>
      <c r="AC145" s="8">
        <f>-$F$95*AC139</f>
        <v/>
      </c>
      <c r="AD145" s="8">
        <f>-$F$95*AD139</f>
        <v/>
      </c>
      <c r="AE145" s="8">
        <f>-$F$95*AE139</f>
        <v/>
      </c>
      <c r="AF145" s="8">
        <f>-$F$95*AF139</f>
        <v/>
      </c>
      <c r="AG145" s="8">
        <f>-$F$95*AG139</f>
        <v/>
      </c>
      <c r="AH145" s="8">
        <f>-$F$95*AH139</f>
        <v/>
      </c>
      <c r="AI145" s="8">
        <f>-$F$95*AI139</f>
        <v/>
      </c>
      <c r="AJ145" s="8">
        <f>-$F$95*AJ139</f>
        <v/>
      </c>
      <c r="AK145" s="8">
        <f>-$F$95*AK139</f>
        <v/>
      </c>
      <c r="AL145" s="8">
        <f>-$F$95*AL139</f>
        <v/>
      </c>
      <c r="AM145" s="8">
        <f>-$F$95*AM139</f>
        <v/>
      </c>
      <c r="AN145" s="8">
        <f>-$F$95*AN139</f>
        <v/>
      </c>
      <c r="AO145" s="8">
        <f>-$F$95*AO139</f>
        <v/>
      </c>
      <c r="AP145" s="8">
        <f>-$F$95*AP139</f>
        <v/>
      </c>
      <c r="AQ145" s="8">
        <f>-$F$95*AQ139</f>
        <v/>
      </c>
      <c r="AR145" s="8">
        <f>-$F$95*AR139</f>
        <v/>
      </c>
      <c r="AS145" s="8">
        <f>-$F$95*AS139</f>
        <v/>
      </c>
      <c r="AT145" s="8">
        <f>-$F$95*AT139</f>
        <v/>
      </c>
      <c r="AU145" s="8">
        <f>-$F$95*AU139</f>
        <v/>
      </c>
      <c r="AV145" s="8">
        <f>-$F$95*AV139</f>
        <v/>
      </c>
    </row>
    <row r="146">
      <c r="C146" s="6" t="inlineStr">
        <is>
          <t>Municipal one-off at COD</t>
        </is>
      </c>
      <c r="D146" s="2" t="inlineStr">
        <is>
          <t>EUR k</t>
        </is>
      </c>
      <c r="H146" s="8">
        <f>SUM(M146:AV146)</f>
        <v/>
      </c>
      <c r="M146" s="8">
        <f>-$F$97*M142</f>
        <v/>
      </c>
      <c r="N146" s="8">
        <f>-$F$97*N142</f>
        <v/>
      </c>
      <c r="O146" s="8">
        <f>-$F$97*O142</f>
        <v/>
      </c>
      <c r="P146" s="8">
        <f>-$F$97*P142</f>
        <v/>
      </c>
      <c r="Q146" s="8">
        <f>-$F$97*Q142</f>
        <v/>
      </c>
      <c r="R146" s="8">
        <f>-$F$97*R142</f>
        <v/>
      </c>
      <c r="S146" s="8">
        <f>-$F$97*S142</f>
        <v/>
      </c>
      <c r="T146" s="8">
        <f>-$F$97*T142</f>
        <v/>
      </c>
      <c r="U146" s="8">
        <f>-$F$97*U142</f>
        <v/>
      </c>
      <c r="V146" s="8">
        <f>-$F$97*V142</f>
        <v/>
      </c>
      <c r="W146" s="8">
        <f>-$F$97*W142</f>
        <v/>
      </c>
      <c r="X146" s="8">
        <f>-$F$97*X142</f>
        <v/>
      </c>
      <c r="Y146" s="8">
        <f>-$F$97*Y142</f>
        <v/>
      </c>
      <c r="Z146" s="8">
        <f>-$F$97*Z142</f>
        <v/>
      </c>
      <c r="AA146" s="8">
        <f>-$F$97*AA142</f>
        <v/>
      </c>
      <c r="AB146" s="8">
        <f>-$F$97*AB142</f>
        <v/>
      </c>
      <c r="AC146" s="8">
        <f>-$F$97*AC142</f>
        <v/>
      </c>
      <c r="AD146" s="8">
        <f>-$F$97*AD142</f>
        <v/>
      </c>
      <c r="AE146" s="8">
        <f>-$F$97*AE142</f>
        <v/>
      </c>
      <c r="AF146" s="8">
        <f>-$F$97*AF142</f>
        <v/>
      </c>
      <c r="AG146" s="8">
        <f>-$F$97*AG142</f>
        <v/>
      </c>
      <c r="AH146" s="8">
        <f>-$F$97*AH142</f>
        <v/>
      </c>
      <c r="AI146" s="8">
        <f>-$F$97*AI142</f>
        <v/>
      </c>
      <c r="AJ146" s="8">
        <f>-$F$97*AJ142</f>
        <v/>
      </c>
      <c r="AK146" s="8">
        <f>-$F$97*AK142</f>
        <v/>
      </c>
      <c r="AL146" s="8">
        <f>-$F$97*AL142</f>
        <v/>
      </c>
      <c r="AM146" s="8">
        <f>-$F$97*AM142</f>
        <v/>
      </c>
      <c r="AN146" s="8">
        <f>-$F$97*AN142</f>
        <v/>
      </c>
      <c r="AO146" s="8">
        <f>-$F$97*AO142</f>
        <v/>
      </c>
      <c r="AP146" s="8">
        <f>-$F$97*AP142</f>
        <v/>
      </c>
      <c r="AQ146" s="8">
        <f>-$F$97*AQ142</f>
        <v/>
      </c>
      <c r="AR146" s="8">
        <f>-$F$97*AR142</f>
        <v/>
      </c>
      <c r="AS146" s="8">
        <f>-$F$97*AS142</f>
        <v/>
      </c>
      <c r="AT146" s="8">
        <f>-$F$97*AT142</f>
        <v/>
      </c>
      <c r="AU146" s="8">
        <f>-$F$97*AU142</f>
        <v/>
      </c>
      <c r="AV146" s="8">
        <f>-$F$97*AV142</f>
        <v/>
      </c>
    </row>
    <row r="147">
      <c r="C147" s="1" t="inlineStr">
        <is>
          <t>Investment cash flow</t>
        </is>
      </c>
      <c r="D147" s="2" t="inlineStr">
        <is>
          <t>EUR k</t>
        </is>
      </c>
      <c r="H147" s="15">
        <f>SUM(M147:AV147)</f>
        <v/>
      </c>
      <c r="M147" s="15">
        <f>SUM(M143:M146)</f>
        <v/>
      </c>
      <c r="N147" s="15">
        <f>SUM(N143:N146)</f>
        <v/>
      </c>
      <c r="O147" s="15">
        <f>SUM(O143:O146)</f>
        <v/>
      </c>
      <c r="P147" s="15">
        <f>SUM(P143:P146)</f>
        <v/>
      </c>
      <c r="Q147" s="15">
        <f>SUM(Q143:Q146)</f>
        <v/>
      </c>
      <c r="R147" s="15">
        <f>SUM(R143:R146)</f>
        <v/>
      </c>
      <c r="S147" s="15">
        <f>SUM(S143:S146)</f>
        <v/>
      </c>
      <c r="T147" s="15">
        <f>SUM(T143:T146)</f>
        <v/>
      </c>
      <c r="U147" s="15">
        <f>SUM(U143:U146)</f>
        <v/>
      </c>
      <c r="V147" s="15">
        <f>SUM(V143:V146)</f>
        <v/>
      </c>
      <c r="W147" s="15">
        <f>SUM(W143:W146)</f>
        <v/>
      </c>
      <c r="X147" s="15">
        <f>SUM(X143:X146)</f>
        <v/>
      </c>
      <c r="Y147" s="15">
        <f>SUM(Y143:Y146)</f>
        <v/>
      </c>
      <c r="Z147" s="15">
        <f>SUM(Z143:Z146)</f>
        <v/>
      </c>
      <c r="AA147" s="15">
        <f>SUM(AA143:AA146)</f>
        <v/>
      </c>
      <c r="AB147" s="15">
        <f>SUM(AB143:AB146)</f>
        <v/>
      </c>
      <c r="AC147" s="15">
        <f>SUM(AC143:AC146)</f>
        <v/>
      </c>
      <c r="AD147" s="15">
        <f>SUM(AD143:AD146)</f>
        <v/>
      </c>
      <c r="AE147" s="15">
        <f>SUM(AE143:AE146)</f>
        <v/>
      </c>
      <c r="AF147" s="15">
        <f>SUM(AF143:AF146)</f>
        <v/>
      </c>
      <c r="AG147" s="15">
        <f>SUM(AG143:AG146)</f>
        <v/>
      </c>
      <c r="AH147" s="15">
        <f>SUM(AH143:AH146)</f>
        <v/>
      </c>
      <c r="AI147" s="15">
        <f>SUM(AI143:AI146)</f>
        <v/>
      </c>
      <c r="AJ147" s="15">
        <f>SUM(AJ143:AJ146)</f>
        <v/>
      </c>
      <c r="AK147" s="15">
        <f>SUM(AK143:AK146)</f>
        <v/>
      </c>
      <c r="AL147" s="15">
        <f>SUM(AL143:AL146)</f>
        <v/>
      </c>
      <c r="AM147" s="15">
        <f>SUM(AM143:AM146)</f>
        <v/>
      </c>
      <c r="AN147" s="15">
        <f>SUM(AN143:AN146)</f>
        <v/>
      </c>
      <c r="AO147" s="15">
        <f>SUM(AO143:AO146)</f>
        <v/>
      </c>
      <c r="AP147" s="15">
        <f>SUM(AP143:AP146)</f>
        <v/>
      </c>
      <c r="AQ147" s="15">
        <f>SUM(AQ143:AQ146)</f>
        <v/>
      </c>
      <c r="AR147" s="15">
        <f>SUM(AR143:AR146)</f>
        <v/>
      </c>
      <c r="AS147" s="15">
        <f>SUM(AS143:AS146)</f>
        <v/>
      </c>
      <c r="AT147" s="15">
        <f>SUM(AT143:AT146)</f>
        <v/>
      </c>
      <c r="AU147" s="15">
        <f>SUM(AU143:AU146)</f>
        <v/>
      </c>
      <c r="AV147" s="15">
        <f>SUM(AV143:AV146)</f>
        <v/>
      </c>
    </row>
    <row r="148">
      <c r="C148" s="6" t="inlineStr">
        <is>
          <t>Degradation factor (from the first full year)</t>
        </is>
      </c>
      <c r="D148" s="2" t="inlineStr">
        <is>
          <t>x</t>
        </is>
      </c>
      <c r="M148" s="29">
        <f>(1-Degradation)^MAX(M137-1,0)</f>
        <v/>
      </c>
      <c r="N148" s="29">
        <f>(1-Degradation)^MAX(N137-1,0)</f>
        <v/>
      </c>
      <c r="O148" s="29">
        <f>(1-Degradation)^MAX(O137-1,0)</f>
        <v/>
      </c>
      <c r="P148" s="29">
        <f>(1-Degradation)^MAX(P137-1,0)</f>
        <v/>
      </c>
      <c r="Q148" s="29">
        <f>(1-Degradation)^MAX(Q137-1,0)</f>
        <v/>
      </c>
      <c r="R148" s="29">
        <f>(1-Degradation)^MAX(R137-1,0)</f>
        <v/>
      </c>
      <c r="S148" s="29">
        <f>(1-Degradation)^MAX(S137-1,0)</f>
        <v/>
      </c>
      <c r="T148" s="29">
        <f>(1-Degradation)^MAX(T137-1,0)</f>
        <v/>
      </c>
      <c r="U148" s="29">
        <f>(1-Degradation)^MAX(U137-1,0)</f>
        <v/>
      </c>
      <c r="V148" s="29">
        <f>(1-Degradation)^MAX(V137-1,0)</f>
        <v/>
      </c>
      <c r="W148" s="29">
        <f>(1-Degradation)^MAX(W137-1,0)</f>
        <v/>
      </c>
      <c r="X148" s="29">
        <f>(1-Degradation)^MAX(X137-1,0)</f>
        <v/>
      </c>
      <c r="Y148" s="29">
        <f>(1-Degradation)^MAX(Y137-1,0)</f>
        <v/>
      </c>
      <c r="Z148" s="29">
        <f>(1-Degradation)^MAX(Z137-1,0)</f>
        <v/>
      </c>
      <c r="AA148" s="29">
        <f>(1-Degradation)^MAX(AA137-1,0)</f>
        <v/>
      </c>
      <c r="AB148" s="29">
        <f>(1-Degradation)^MAX(AB137-1,0)</f>
        <v/>
      </c>
      <c r="AC148" s="29">
        <f>(1-Degradation)^MAX(AC137-1,0)</f>
        <v/>
      </c>
      <c r="AD148" s="29">
        <f>(1-Degradation)^MAX(AD137-1,0)</f>
        <v/>
      </c>
      <c r="AE148" s="29">
        <f>(1-Degradation)^MAX(AE137-1,0)</f>
        <v/>
      </c>
      <c r="AF148" s="29">
        <f>(1-Degradation)^MAX(AF137-1,0)</f>
        <v/>
      </c>
      <c r="AG148" s="29">
        <f>(1-Degradation)^MAX(AG137-1,0)</f>
        <v/>
      </c>
      <c r="AH148" s="29">
        <f>(1-Degradation)^MAX(AH137-1,0)</f>
        <v/>
      </c>
      <c r="AI148" s="29">
        <f>(1-Degradation)^MAX(AI137-1,0)</f>
        <v/>
      </c>
      <c r="AJ148" s="29">
        <f>(1-Degradation)^MAX(AJ137-1,0)</f>
        <v/>
      </c>
      <c r="AK148" s="29">
        <f>(1-Degradation)^MAX(AK137-1,0)</f>
        <v/>
      </c>
      <c r="AL148" s="29">
        <f>(1-Degradation)^MAX(AL137-1,0)</f>
        <v/>
      </c>
      <c r="AM148" s="29">
        <f>(1-Degradation)^MAX(AM137-1,0)</f>
        <v/>
      </c>
      <c r="AN148" s="29">
        <f>(1-Degradation)^MAX(AN137-1,0)</f>
        <v/>
      </c>
      <c r="AO148" s="29">
        <f>(1-Degradation)^MAX(AO137-1,0)</f>
        <v/>
      </c>
      <c r="AP148" s="29">
        <f>(1-Degradation)^MAX(AP137-1,0)</f>
        <v/>
      </c>
      <c r="AQ148" s="29">
        <f>(1-Degradation)^MAX(AQ137-1,0)</f>
        <v/>
      </c>
      <c r="AR148" s="29">
        <f>(1-Degradation)^MAX(AR137-1,0)</f>
        <v/>
      </c>
      <c r="AS148" s="29">
        <f>(1-Degradation)^MAX(AS137-1,0)</f>
        <v/>
      </c>
      <c r="AT148" s="29">
        <f>(1-Degradation)^MAX(AT137-1,0)</f>
        <v/>
      </c>
      <c r="AU148" s="29">
        <f>(1-Degradation)^MAX(AU137-1,0)</f>
        <v/>
      </c>
      <c r="AV148" s="29">
        <f>(1-Degradation)^MAX(AV137-1,0)</f>
        <v/>
      </c>
    </row>
    <row r="149">
      <c r="C149" s="6" t="inlineStr">
        <is>
          <t>Net generation</t>
        </is>
      </c>
      <c r="D149" s="2" t="inlineStr">
        <is>
          <t>GWh</t>
        </is>
      </c>
      <c r="H149" s="21">
        <f>SUM(M149:AV149)</f>
        <v/>
      </c>
      <c r="M149" s="21">
        <f>$F$19*Hours_P50*(1-Curtailment)*(1-Clipping)*M141*M148/Thousand</f>
        <v/>
      </c>
      <c r="N149" s="21">
        <f>$F$19*Hours_P50*(1-Curtailment)*(1-Clipping)*N141*N148/Thousand</f>
        <v/>
      </c>
      <c r="O149" s="21">
        <f>$F$19*Hours_P50*(1-Curtailment)*(1-Clipping)*O141*O148/Thousand</f>
        <v/>
      </c>
      <c r="P149" s="21">
        <f>$F$19*Hours_P50*(1-Curtailment)*(1-Clipping)*P141*P148/Thousand</f>
        <v/>
      </c>
      <c r="Q149" s="21">
        <f>$F$19*Hours_P50*(1-Curtailment)*(1-Clipping)*Q141*Q148/Thousand</f>
        <v/>
      </c>
      <c r="R149" s="21">
        <f>$F$19*Hours_P50*(1-Curtailment)*(1-Clipping)*R141*R148/Thousand</f>
        <v/>
      </c>
      <c r="S149" s="21">
        <f>$F$19*Hours_P50*(1-Curtailment)*(1-Clipping)*S141*S148/Thousand</f>
        <v/>
      </c>
      <c r="T149" s="21">
        <f>$F$19*Hours_P50*(1-Curtailment)*(1-Clipping)*T141*T148/Thousand</f>
        <v/>
      </c>
      <c r="U149" s="21">
        <f>$F$19*Hours_P50*(1-Curtailment)*(1-Clipping)*U141*U148/Thousand</f>
        <v/>
      </c>
      <c r="V149" s="21">
        <f>$F$19*Hours_P50*(1-Curtailment)*(1-Clipping)*V141*V148/Thousand</f>
        <v/>
      </c>
      <c r="W149" s="21">
        <f>$F$19*Hours_P50*(1-Curtailment)*(1-Clipping)*W141*W148/Thousand</f>
        <v/>
      </c>
      <c r="X149" s="21">
        <f>$F$19*Hours_P50*(1-Curtailment)*(1-Clipping)*X141*X148/Thousand</f>
        <v/>
      </c>
      <c r="Y149" s="21">
        <f>$F$19*Hours_P50*(1-Curtailment)*(1-Clipping)*Y141*Y148/Thousand</f>
        <v/>
      </c>
      <c r="Z149" s="21">
        <f>$F$19*Hours_P50*(1-Curtailment)*(1-Clipping)*Z141*Z148/Thousand</f>
        <v/>
      </c>
      <c r="AA149" s="21">
        <f>$F$19*Hours_P50*(1-Curtailment)*(1-Clipping)*AA141*AA148/Thousand</f>
        <v/>
      </c>
      <c r="AB149" s="21">
        <f>$F$19*Hours_P50*(1-Curtailment)*(1-Clipping)*AB141*AB148/Thousand</f>
        <v/>
      </c>
      <c r="AC149" s="21">
        <f>$F$19*Hours_P50*(1-Curtailment)*(1-Clipping)*AC141*AC148/Thousand</f>
        <v/>
      </c>
      <c r="AD149" s="21">
        <f>$F$19*Hours_P50*(1-Curtailment)*(1-Clipping)*AD141*AD148/Thousand</f>
        <v/>
      </c>
      <c r="AE149" s="21">
        <f>$F$19*Hours_P50*(1-Curtailment)*(1-Clipping)*AE141*AE148/Thousand</f>
        <v/>
      </c>
      <c r="AF149" s="21">
        <f>$F$19*Hours_P50*(1-Curtailment)*(1-Clipping)*AF141*AF148/Thousand</f>
        <v/>
      </c>
      <c r="AG149" s="21">
        <f>$F$19*Hours_P50*(1-Curtailment)*(1-Clipping)*AG141*AG148/Thousand</f>
        <v/>
      </c>
      <c r="AH149" s="21">
        <f>$F$19*Hours_P50*(1-Curtailment)*(1-Clipping)*AH141*AH148/Thousand</f>
        <v/>
      </c>
      <c r="AI149" s="21">
        <f>$F$19*Hours_P50*(1-Curtailment)*(1-Clipping)*AI141*AI148/Thousand</f>
        <v/>
      </c>
      <c r="AJ149" s="21">
        <f>$F$19*Hours_P50*(1-Curtailment)*(1-Clipping)*AJ141*AJ148/Thousand</f>
        <v/>
      </c>
      <c r="AK149" s="21">
        <f>$F$19*Hours_P50*(1-Curtailment)*(1-Clipping)*AK141*AK148/Thousand</f>
        <v/>
      </c>
      <c r="AL149" s="21">
        <f>$F$19*Hours_P50*(1-Curtailment)*(1-Clipping)*AL141*AL148/Thousand</f>
        <v/>
      </c>
      <c r="AM149" s="21">
        <f>$F$19*Hours_P50*(1-Curtailment)*(1-Clipping)*AM141*AM148/Thousand</f>
        <v/>
      </c>
      <c r="AN149" s="21">
        <f>$F$19*Hours_P50*(1-Curtailment)*(1-Clipping)*AN141*AN148/Thousand</f>
        <v/>
      </c>
      <c r="AO149" s="21">
        <f>$F$19*Hours_P50*(1-Curtailment)*(1-Clipping)*AO141*AO148/Thousand</f>
        <v/>
      </c>
      <c r="AP149" s="21">
        <f>$F$19*Hours_P50*(1-Curtailment)*(1-Clipping)*AP141*AP148/Thousand</f>
        <v/>
      </c>
      <c r="AQ149" s="21">
        <f>$F$19*Hours_P50*(1-Curtailment)*(1-Clipping)*AQ141*AQ148/Thousand</f>
        <v/>
      </c>
      <c r="AR149" s="21">
        <f>$F$19*Hours_P50*(1-Curtailment)*(1-Clipping)*AR141*AR148/Thousand</f>
        <v/>
      </c>
      <c r="AS149" s="21">
        <f>$F$19*Hours_P50*(1-Curtailment)*(1-Clipping)*AS141*AS148/Thousand</f>
        <v/>
      </c>
      <c r="AT149" s="21">
        <f>$F$19*Hours_P50*(1-Curtailment)*(1-Clipping)*AT141*AT148/Thousand</f>
        <v/>
      </c>
      <c r="AU149" s="21">
        <f>$F$19*Hours_P50*(1-Curtailment)*(1-Clipping)*AU141*AU148/Thousand</f>
        <v/>
      </c>
      <c r="AV149" s="21">
        <f>$F$19*Hours_P50*(1-Curtailment)*(1-Clipping)*AV141*AV148/Thousand</f>
        <v/>
      </c>
    </row>
    <row r="150">
      <c r="C150" s="6" t="inlineStr">
        <is>
          <t>PPA price</t>
        </is>
      </c>
      <c r="D150" s="2" t="inlineStr">
        <is>
          <t>EUR/MWh</t>
        </is>
      </c>
      <c r="M150" s="21">
        <f>PPA_Price*(1+PPA_Esc)^M137*(M141&gt;0)</f>
        <v/>
      </c>
      <c r="N150" s="21">
        <f>PPA_Price*(1+PPA_Esc)^N137*(N141&gt;0)</f>
        <v/>
      </c>
      <c r="O150" s="21">
        <f>PPA_Price*(1+PPA_Esc)^O137*(O141&gt;0)</f>
        <v/>
      </c>
      <c r="P150" s="21">
        <f>PPA_Price*(1+PPA_Esc)^P137*(P141&gt;0)</f>
        <v/>
      </c>
      <c r="Q150" s="21">
        <f>PPA_Price*(1+PPA_Esc)^Q137*(Q141&gt;0)</f>
        <v/>
      </c>
      <c r="R150" s="21">
        <f>PPA_Price*(1+PPA_Esc)^R137*(R141&gt;0)</f>
        <v/>
      </c>
      <c r="S150" s="21">
        <f>PPA_Price*(1+PPA_Esc)^S137*(S141&gt;0)</f>
        <v/>
      </c>
      <c r="T150" s="21">
        <f>PPA_Price*(1+PPA_Esc)^T137*(T141&gt;0)</f>
        <v/>
      </c>
      <c r="U150" s="21">
        <f>PPA_Price*(1+PPA_Esc)^U137*(U141&gt;0)</f>
        <v/>
      </c>
      <c r="V150" s="21">
        <f>PPA_Price*(1+PPA_Esc)^V137*(V141&gt;0)</f>
        <v/>
      </c>
      <c r="W150" s="21">
        <f>PPA_Price*(1+PPA_Esc)^W137*(W141&gt;0)</f>
        <v/>
      </c>
      <c r="X150" s="21">
        <f>PPA_Price*(1+PPA_Esc)^X137*(X141&gt;0)</f>
        <v/>
      </c>
      <c r="Y150" s="21">
        <f>PPA_Price*(1+PPA_Esc)^Y137*(Y141&gt;0)</f>
        <v/>
      </c>
      <c r="Z150" s="21">
        <f>PPA_Price*(1+PPA_Esc)^Z137*(Z141&gt;0)</f>
        <v/>
      </c>
      <c r="AA150" s="21">
        <f>PPA_Price*(1+PPA_Esc)^AA137*(AA141&gt;0)</f>
        <v/>
      </c>
      <c r="AB150" s="21">
        <f>PPA_Price*(1+PPA_Esc)^AB137*(AB141&gt;0)</f>
        <v/>
      </c>
      <c r="AC150" s="21">
        <f>PPA_Price*(1+PPA_Esc)^AC137*(AC141&gt;0)</f>
        <v/>
      </c>
      <c r="AD150" s="21">
        <f>PPA_Price*(1+PPA_Esc)^AD137*(AD141&gt;0)</f>
        <v/>
      </c>
      <c r="AE150" s="21">
        <f>PPA_Price*(1+PPA_Esc)^AE137*(AE141&gt;0)</f>
        <v/>
      </c>
      <c r="AF150" s="21">
        <f>PPA_Price*(1+PPA_Esc)^AF137*(AF141&gt;0)</f>
        <v/>
      </c>
      <c r="AG150" s="21">
        <f>PPA_Price*(1+PPA_Esc)^AG137*(AG141&gt;0)</f>
        <v/>
      </c>
      <c r="AH150" s="21">
        <f>PPA_Price*(1+PPA_Esc)^AH137*(AH141&gt;0)</f>
        <v/>
      </c>
      <c r="AI150" s="21">
        <f>PPA_Price*(1+PPA_Esc)^AI137*(AI141&gt;0)</f>
        <v/>
      </c>
      <c r="AJ150" s="21">
        <f>PPA_Price*(1+PPA_Esc)^AJ137*(AJ141&gt;0)</f>
        <v/>
      </c>
      <c r="AK150" s="21">
        <f>PPA_Price*(1+PPA_Esc)^AK137*(AK141&gt;0)</f>
        <v/>
      </c>
      <c r="AL150" s="21">
        <f>PPA_Price*(1+PPA_Esc)^AL137*(AL141&gt;0)</f>
        <v/>
      </c>
      <c r="AM150" s="21">
        <f>PPA_Price*(1+PPA_Esc)^AM137*(AM141&gt;0)</f>
        <v/>
      </c>
      <c r="AN150" s="21">
        <f>PPA_Price*(1+PPA_Esc)^AN137*(AN141&gt;0)</f>
        <v/>
      </c>
      <c r="AO150" s="21">
        <f>PPA_Price*(1+PPA_Esc)^AO137*(AO141&gt;0)</f>
        <v/>
      </c>
      <c r="AP150" s="21">
        <f>PPA_Price*(1+PPA_Esc)^AP137*(AP141&gt;0)</f>
        <v/>
      </c>
      <c r="AQ150" s="21">
        <f>PPA_Price*(1+PPA_Esc)^AQ137*(AQ141&gt;0)</f>
        <v/>
      </c>
      <c r="AR150" s="21">
        <f>PPA_Price*(1+PPA_Esc)^AR137*(AR141&gt;0)</f>
        <v/>
      </c>
      <c r="AS150" s="21">
        <f>PPA_Price*(1+PPA_Esc)^AS137*(AS141&gt;0)</f>
        <v/>
      </c>
      <c r="AT150" s="21">
        <f>PPA_Price*(1+PPA_Esc)^AT137*(AT141&gt;0)</f>
        <v/>
      </c>
      <c r="AU150" s="21">
        <f>PPA_Price*(1+PPA_Esc)^AU137*(AU141&gt;0)</f>
        <v/>
      </c>
      <c r="AV150" s="21">
        <f>PPA_Price*(1+PPA_Esc)^AV137*(AV141&gt;0)</f>
        <v/>
      </c>
    </row>
    <row r="151">
      <c r="C151" s="1" t="inlineStr">
        <is>
          <t>Revenue</t>
        </is>
      </c>
      <c r="D151" s="2" t="inlineStr">
        <is>
          <t>EUR k</t>
        </is>
      </c>
      <c r="H151" s="23">
        <f>SUM(M151:AV151)</f>
        <v/>
      </c>
      <c r="M151" s="23">
        <f>M149*M150</f>
        <v/>
      </c>
      <c r="N151" s="23">
        <f>N149*N150</f>
        <v/>
      </c>
      <c r="O151" s="23">
        <f>O149*O150</f>
        <v/>
      </c>
      <c r="P151" s="23">
        <f>P149*P150</f>
        <v/>
      </c>
      <c r="Q151" s="23">
        <f>Q149*Q150</f>
        <v/>
      </c>
      <c r="R151" s="23">
        <f>R149*R150</f>
        <v/>
      </c>
      <c r="S151" s="23">
        <f>S149*S150</f>
        <v/>
      </c>
      <c r="T151" s="23">
        <f>T149*T150</f>
        <v/>
      </c>
      <c r="U151" s="23">
        <f>U149*U150</f>
        <v/>
      </c>
      <c r="V151" s="23">
        <f>V149*V150</f>
        <v/>
      </c>
      <c r="W151" s="23">
        <f>W149*W150</f>
        <v/>
      </c>
      <c r="X151" s="23">
        <f>X149*X150</f>
        <v/>
      </c>
      <c r="Y151" s="23">
        <f>Y149*Y150</f>
        <v/>
      </c>
      <c r="Z151" s="23">
        <f>Z149*Z150</f>
        <v/>
      </c>
      <c r="AA151" s="23">
        <f>AA149*AA150</f>
        <v/>
      </c>
      <c r="AB151" s="23">
        <f>AB149*AB150</f>
        <v/>
      </c>
      <c r="AC151" s="23">
        <f>AC149*AC150</f>
        <v/>
      </c>
      <c r="AD151" s="23">
        <f>AD149*AD150</f>
        <v/>
      </c>
      <c r="AE151" s="23">
        <f>AE149*AE150</f>
        <v/>
      </c>
      <c r="AF151" s="23">
        <f>AF149*AF150</f>
        <v/>
      </c>
      <c r="AG151" s="23">
        <f>AG149*AG150</f>
        <v/>
      </c>
      <c r="AH151" s="23">
        <f>AH149*AH150</f>
        <v/>
      </c>
      <c r="AI151" s="23">
        <f>AI149*AI150</f>
        <v/>
      </c>
      <c r="AJ151" s="23">
        <f>AJ149*AJ150</f>
        <v/>
      </c>
      <c r="AK151" s="23">
        <f>AK149*AK150</f>
        <v/>
      </c>
      <c r="AL151" s="23">
        <f>AL149*AL150</f>
        <v/>
      </c>
      <c r="AM151" s="23">
        <f>AM149*AM150</f>
        <v/>
      </c>
      <c r="AN151" s="23">
        <f>AN149*AN150</f>
        <v/>
      </c>
      <c r="AO151" s="23">
        <f>AO149*AO150</f>
        <v/>
      </c>
      <c r="AP151" s="23">
        <f>AP149*AP150</f>
        <v/>
      </c>
      <c r="AQ151" s="23">
        <f>AQ149*AQ150</f>
        <v/>
      </c>
      <c r="AR151" s="23">
        <f>AR149*AR150</f>
        <v/>
      </c>
      <c r="AS151" s="23">
        <f>AS149*AS150</f>
        <v/>
      </c>
      <c r="AT151" s="23">
        <f>AT149*AT150</f>
        <v/>
      </c>
      <c r="AU151" s="23">
        <f>AU149*AU150</f>
        <v/>
      </c>
      <c r="AV151" s="23">
        <f>AV149*AV150</f>
        <v/>
      </c>
    </row>
    <row r="152">
      <c r="C152" s="6" t="inlineStr">
        <is>
          <t>Opex index (COD year = 1)</t>
        </is>
      </c>
      <c r="D152" s="2" t="inlineStr">
        <is>
          <t>x</t>
        </is>
      </c>
      <c r="M152" s="29">
        <f>(1+Opex_Esc)^M137</f>
        <v/>
      </c>
      <c r="N152" s="29">
        <f>(1+Opex_Esc)^N137</f>
        <v/>
      </c>
      <c r="O152" s="29">
        <f>(1+Opex_Esc)^O137</f>
        <v/>
      </c>
      <c r="P152" s="29">
        <f>(1+Opex_Esc)^P137</f>
        <v/>
      </c>
      <c r="Q152" s="29">
        <f>(1+Opex_Esc)^Q137</f>
        <v/>
      </c>
      <c r="R152" s="29">
        <f>(1+Opex_Esc)^R137</f>
        <v/>
      </c>
      <c r="S152" s="29">
        <f>(1+Opex_Esc)^S137</f>
        <v/>
      </c>
      <c r="T152" s="29">
        <f>(1+Opex_Esc)^T137</f>
        <v/>
      </c>
      <c r="U152" s="29">
        <f>(1+Opex_Esc)^U137</f>
        <v/>
      </c>
      <c r="V152" s="29">
        <f>(1+Opex_Esc)^V137</f>
        <v/>
      </c>
      <c r="W152" s="29">
        <f>(1+Opex_Esc)^W137</f>
        <v/>
      </c>
      <c r="X152" s="29">
        <f>(1+Opex_Esc)^X137</f>
        <v/>
      </c>
      <c r="Y152" s="29">
        <f>(1+Opex_Esc)^Y137</f>
        <v/>
      </c>
      <c r="Z152" s="29">
        <f>(1+Opex_Esc)^Z137</f>
        <v/>
      </c>
      <c r="AA152" s="29">
        <f>(1+Opex_Esc)^AA137</f>
        <v/>
      </c>
      <c r="AB152" s="29">
        <f>(1+Opex_Esc)^AB137</f>
        <v/>
      </c>
      <c r="AC152" s="29">
        <f>(1+Opex_Esc)^AC137</f>
        <v/>
      </c>
      <c r="AD152" s="29">
        <f>(1+Opex_Esc)^AD137</f>
        <v/>
      </c>
      <c r="AE152" s="29">
        <f>(1+Opex_Esc)^AE137</f>
        <v/>
      </c>
      <c r="AF152" s="29">
        <f>(1+Opex_Esc)^AF137</f>
        <v/>
      </c>
      <c r="AG152" s="29">
        <f>(1+Opex_Esc)^AG137</f>
        <v/>
      </c>
      <c r="AH152" s="29">
        <f>(1+Opex_Esc)^AH137</f>
        <v/>
      </c>
      <c r="AI152" s="29">
        <f>(1+Opex_Esc)^AI137</f>
        <v/>
      </c>
      <c r="AJ152" s="29">
        <f>(1+Opex_Esc)^AJ137</f>
        <v/>
      </c>
      <c r="AK152" s="29">
        <f>(1+Opex_Esc)^AK137</f>
        <v/>
      </c>
      <c r="AL152" s="29">
        <f>(1+Opex_Esc)^AL137</f>
        <v/>
      </c>
      <c r="AM152" s="29">
        <f>(1+Opex_Esc)^AM137</f>
        <v/>
      </c>
      <c r="AN152" s="29">
        <f>(1+Opex_Esc)^AN137</f>
        <v/>
      </c>
      <c r="AO152" s="29">
        <f>(1+Opex_Esc)^AO137</f>
        <v/>
      </c>
      <c r="AP152" s="29">
        <f>(1+Opex_Esc)^AP137</f>
        <v/>
      </c>
      <c r="AQ152" s="29">
        <f>(1+Opex_Esc)^AQ137</f>
        <v/>
      </c>
      <c r="AR152" s="29">
        <f>(1+Opex_Esc)^AR137</f>
        <v/>
      </c>
      <c r="AS152" s="29">
        <f>(1+Opex_Esc)^AS137</f>
        <v/>
      </c>
      <c r="AT152" s="29">
        <f>(1+Opex_Esc)^AT137</f>
        <v/>
      </c>
      <c r="AU152" s="29">
        <f>(1+Opex_Esc)^AU137</f>
        <v/>
      </c>
      <c r="AV152" s="29">
        <f>(1+Opex_Esc)^AV137</f>
        <v/>
      </c>
    </row>
    <row r="153">
      <c r="C153" s="6" t="inlineStr">
        <is>
          <t>O&amp;M, BoP, lease, insurance, management, property tax</t>
        </is>
      </c>
      <c r="D153" s="2" t="inlineStr">
        <is>
          <t>EUR k</t>
        </is>
      </c>
      <c r="H153" s="8">
        <f>SUM(M153:AV153)</f>
        <v/>
      </c>
      <c r="M153" s="8">
        <f>-SUM(Opex_Per_MW)*$F$19*M152*M141</f>
        <v/>
      </c>
      <c r="N153" s="8">
        <f>-SUM(Opex_Per_MW)*$F$19*N152*N141</f>
        <v/>
      </c>
      <c r="O153" s="8">
        <f>-SUM(Opex_Per_MW)*$F$19*O152*O141</f>
        <v/>
      </c>
      <c r="P153" s="8">
        <f>-SUM(Opex_Per_MW)*$F$19*P152*P141</f>
        <v/>
      </c>
      <c r="Q153" s="8">
        <f>-SUM(Opex_Per_MW)*$F$19*Q152*Q141</f>
        <v/>
      </c>
      <c r="R153" s="8">
        <f>-SUM(Opex_Per_MW)*$F$19*R152*R141</f>
        <v/>
      </c>
      <c r="S153" s="8">
        <f>-SUM(Opex_Per_MW)*$F$19*S152*S141</f>
        <v/>
      </c>
      <c r="T153" s="8">
        <f>-SUM(Opex_Per_MW)*$F$19*T152*T141</f>
        <v/>
      </c>
      <c r="U153" s="8">
        <f>-SUM(Opex_Per_MW)*$F$19*U152*U141</f>
        <v/>
      </c>
      <c r="V153" s="8">
        <f>-SUM(Opex_Per_MW)*$F$19*V152*V141</f>
        <v/>
      </c>
      <c r="W153" s="8">
        <f>-SUM(Opex_Per_MW)*$F$19*W152*W141</f>
        <v/>
      </c>
      <c r="X153" s="8">
        <f>-SUM(Opex_Per_MW)*$F$19*X152*X141</f>
        <v/>
      </c>
      <c r="Y153" s="8">
        <f>-SUM(Opex_Per_MW)*$F$19*Y152*Y141</f>
        <v/>
      </c>
      <c r="Z153" s="8">
        <f>-SUM(Opex_Per_MW)*$F$19*Z152*Z141</f>
        <v/>
      </c>
      <c r="AA153" s="8">
        <f>-SUM(Opex_Per_MW)*$F$19*AA152*AA141</f>
        <v/>
      </c>
      <c r="AB153" s="8">
        <f>-SUM(Opex_Per_MW)*$F$19*AB152*AB141</f>
        <v/>
      </c>
      <c r="AC153" s="8">
        <f>-SUM(Opex_Per_MW)*$F$19*AC152*AC141</f>
        <v/>
      </c>
      <c r="AD153" s="8">
        <f>-SUM(Opex_Per_MW)*$F$19*AD152*AD141</f>
        <v/>
      </c>
      <c r="AE153" s="8">
        <f>-SUM(Opex_Per_MW)*$F$19*AE152*AE141</f>
        <v/>
      </c>
      <c r="AF153" s="8">
        <f>-SUM(Opex_Per_MW)*$F$19*AF152*AF141</f>
        <v/>
      </c>
      <c r="AG153" s="8">
        <f>-SUM(Opex_Per_MW)*$F$19*AG152*AG141</f>
        <v/>
      </c>
      <c r="AH153" s="8">
        <f>-SUM(Opex_Per_MW)*$F$19*AH152*AH141</f>
        <v/>
      </c>
      <c r="AI153" s="8">
        <f>-SUM(Opex_Per_MW)*$F$19*AI152*AI141</f>
        <v/>
      </c>
      <c r="AJ153" s="8">
        <f>-SUM(Opex_Per_MW)*$F$19*AJ152*AJ141</f>
        <v/>
      </c>
      <c r="AK153" s="8">
        <f>-SUM(Opex_Per_MW)*$F$19*AK152*AK141</f>
        <v/>
      </c>
      <c r="AL153" s="8">
        <f>-SUM(Opex_Per_MW)*$F$19*AL152*AL141</f>
        <v/>
      </c>
      <c r="AM153" s="8">
        <f>-SUM(Opex_Per_MW)*$F$19*AM152*AM141</f>
        <v/>
      </c>
      <c r="AN153" s="8">
        <f>-SUM(Opex_Per_MW)*$F$19*AN152*AN141</f>
        <v/>
      </c>
      <c r="AO153" s="8">
        <f>-SUM(Opex_Per_MW)*$F$19*AO152*AO141</f>
        <v/>
      </c>
      <c r="AP153" s="8">
        <f>-SUM(Opex_Per_MW)*$F$19*AP152*AP141</f>
        <v/>
      </c>
      <c r="AQ153" s="8">
        <f>-SUM(Opex_Per_MW)*$F$19*AQ152*AQ141</f>
        <v/>
      </c>
      <c r="AR153" s="8">
        <f>-SUM(Opex_Per_MW)*$F$19*AR152*AR141</f>
        <v/>
      </c>
      <c r="AS153" s="8">
        <f>-SUM(Opex_Per_MW)*$F$19*AS152*AS141</f>
        <v/>
      </c>
      <c r="AT153" s="8">
        <f>-SUM(Opex_Per_MW)*$F$19*AT152*AT141</f>
        <v/>
      </c>
      <c r="AU153" s="8">
        <f>-SUM(Opex_Per_MW)*$F$19*AU152*AU141</f>
        <v/>
      </c>
      <c r="AV153" s="8">
        <f>-SUM(Opex_Per_MW)*$F$19*AV152*AV141</f>
        <v/>
      </c>
    </row>
    <row r="154">
      <c r="C154" s="6" t="inlineStr">
        <is>
          <t>Administration, audit, compliance</t>
        </is>
      </c>
      <c r="D154" s="2" t="inlineStr">
        <is>
          <t>EUR k</t>
        </is>
      </c>
      <c r="H154" s="8">
        <f>SUM(M154:AV154)</f>
        <v/>
      </c>
      <c r="M154" s="8">
        <f>-Opex_Admin*Dashboard!$F$6/Lump_Basis*M152*M141</f>
        <v/>
      </c>
      <c r="N154" s="8">
        <f>-Opex_Admin*Dashboard!$F$6/Lump_Basis*N152*N141</f>
        <v/>
      </c>
      <c r="O154" s="8">
        <f>-Opex_Admin*Dashboard!$F$6/Lump_Basis*O152*O141</f>
        <v/>
      </c>
      <c r="P154" s="8">
        <f>-Opex_Admin*Dashboard!$F$6/Lump_Basis*P152*P141</f>
        <v/>
      </c>
      <c r="Q154" s="8">
        <f>-Opex_Admin*Dashboard!$F$6/Lump_Basis*Q152*Q141</f>
        <v/>
      </c>
      <c r="R154" s="8">
        <f>-Opex_Admin*Dashboard!$F$6/Lump_Basis*R152*R141</f>
        <v/>
      </c>
      <c r="S154" s="8">
        <f>-Opex_Admin*Dashboard!$F$6/Lump_Basis*S152*S141</f>
        <v/>
      </c>
      <c r="T154" s="8">
        <f>-Opex_Admin*Dashboard!$F$6/Lump_Basis*T152*T141</f>
        <v/>
      </c>
      <c r="U154" s="8">
        <f>-Opex_Admin*Dashboard!$F$6/Lump_Basis*U152*U141</f>
        <v/>
      </c>
      <c r="V154" s="8">
        <f>-Opex_Admin*Dashboard!$F$6/Lump_Basis*V152*V141</f>
        <v/>
      </c>
      <c r="W154" s="8">
        <f>-Opex_Admin*Dashboard!$F$6/Lump_Basis*W152*W141</f>
        <v/>
      </c>
      <c r="X154" s="8">
        <f>-Opex_Admin*Dashboard!$F$6/Lump_Basis*X152*X141</f>
        <v/>
      </c>
      <c r="Y154" s="8">
        <f>-Opex_Admin*Dashboard!$F$6/Lump_Basis*Y152*Y141</f>
        <v/>
      </c>
      <c r="Z154" s="8">
        <f>-Opex_Admin*Dashboard!$F$6/Lump_Basis*Z152*Z141</f>
        <v/>
      </c>
      <c r="AA154" s="8">
        <f>-Opex_Admin*Dashboard!$F$6/Lump_Basis*AA152*AA141</f>
        <v/>
      </c>
      <c r="AB154" s="8">
        <f>-Opex_Admin*Dashboard!$F$6/Lump_Basis*AB152*AB141</f>
        <v/>
      </c>
      <c r="AC154" s="8">
        <f>-Opex_Admin*Dashboard!$F$6/Lump_Basis*AC152*AC141</f>
        <v/>
      </c>
      <c r="AD154" s="8">
        <f>-Opex_Admin*Dashboard!$F$6/Lump_Basis*AD152*AD141</f>
        <v/>
      </c>
      <c r="AE154" s="8">
        <f>-Opex_Admin*Dashboard!$F$6/Lump_Basis*AE152*AE141</f>
        <v/>
      </c>
      <c r="AF154" s="8">
        <f>-Opex_Admin*Dashboard!$F$6/Lump_Basis*AF152*AF141</f>
        <v/>
      </c>
      <c r="AG154" s="8">
        <f>-Opex_Admin*Dashboard!$F$6/Lump_Basis*AG152*AG141</f>
        <v/>
      </c>
      <c r="AH154" s="8">
        <f>-Opex_Admin*Dashboard!$F$6/Lump_Basis*AH152*AH141</f>
        <v/>
      </c>
      <c r="AI154" s="8">
        <f>-Opex_Admin*Dashboard!$F$6/Lump_Basis*AI152*AI141</f>
        <v/>
      </c>
      <c r="AJ154" s="8">
        <f>-Opex_Admin*Dashboard!$F$6/Lump_Basis*AJ152*AJ141</f>
        <v/>
      </c>
      <c r="AK154" s="8">
        <f>-Opex_Admin*Dashboard!$F$6/Lump_Basis*AK152*AK141</f>
        <v/>
      </c>
      <c r="AL154" s="8">
        <f>-Opex_Admin*Dashboard!$F$6/Lump_Basis*AL152*AL141</f>
        <v/>
      </c>
      <c r="AM154" s="8">
        <f>-Opex_Admin*Dashboard!$F$6/Lump_Basis*AM152*AM141</f>
        <v/>
      </c>
      <c r="AN154" s="8">
        <f>-Opex_Admin*Dashboard!$F$6/Lump_Basis*AN152*AN141</f>
        <v/>
      </c>
      <c r="AO154" s="8">
        <f>-Opex_Admin*Dashboard!$F$6/Lump_Basis*AO152*AO141</f>
        <v/>
      </c>
      <c r="AP154" s="8">
        <f>-Opex_Admin*Dashboard!$F$6/Lump_Basis*AP152*AP141</f>
        <v/>
      </c>
      <c r="AQ154" s="8">
        <f>-Opex_Admin*Dashboard!$F$6/Lump_Basis*AQ152*AQ141</f>
        <v/>
      </c>
      <c r="AR154" s="8">
        <f>-Opex_Admin*Dashboard!$F$6/Lump_Basis*AR152*AR141</f>
        <v/>
      </c>
      <c r="AS154" s="8">
        <f>-Opex_Admin*Dashboard!$F$6/Lump_Basis*AS152*AS141</f>
        <v/>
      </c>
      <c r="AT154" s="8">
        <f>-Opex_Admin*Dashboard!$F$6/Lump_Basis*AT152*AT141</f>
        <v/>
      </c>
      <c r="AU154" s="8">
        <f>-Opex_Admin*Dashboard!$F$6/Lump_Basis*AU152*AU141</f>
        <v/>
      </c>
      <c r="AV154" s="8">
        <f>-Opex_Admin*Dashboard!$F$6/Lump_Basis*AV152*AV141</f>
        <v/>
      </c>
    </row>
    <row r="155">
      <c r="C155" s="6" t="inlineStr">
        <is>
          <t>Balancing and grid charges</t>
        </is>
      </c>
      <c r="D155" s="2" t="inlineStr">
        <is>
          <t>EUR k</t>
        </is>
      </c>
      <c r="H155" s="8">
        <f>SUM(M155:AV155)</f>
        <v/>
      </c>
      <c r="M155" s="8">
        <f>-M149*(Balancing+Grid_Charges)*M152</f>
        <v/>
      </c>
      <c r="N155" s="8">
        <f>-N149*(Balancing+Grid_Charges)*N152</f>
        <v/>
      </c>
      <c r="O155" s="8">
        <f>-O149*(Balancing+Grid_Charges)*O152</f>
        <v/>
      </c>
      <c r="P155" s="8">
        <f>-P149*(Balancing+Grid_Charges)*P152</f>
        <v/>
      </c>
      <c r="Q155" s="8">
        <f>-Q149*(Balancing+Grid_Charges)*Q152</f>
        <v/>
      </c>
      <c r="R155" s="8">
        <f>-R149*(Balancing+Grid_Charges)*R152</f>
        <v/>
      </c>
      <c r="S155" s="8">
        <f>-S149*(Balancing+Grid_Charges)*S152</f>
        <v/>
      </c>
      <c r="T155" s="8">
        <f>-T149*(Balancing+Grid_Charges)*T152</f>
        <v/>
      </c>
      <c r="U155" s="8">
        <f>-U149*(Balancing+Grid_Charges)*U152</f>
        <v/>
      </c>
      <c r="V155" s="8">
        <f>-V149*(Balancing+Grid_Charges)*V152</f>
        <v/>
      </c>
      <c r="W155" s="8">
        <f>-W149*(Balancing+Grid_Charges)*W152</f>
        <v/>
      </c>
      <c r="X155" s="8">
        <f>-X149*(Balancing+Grid_Charges)*X152</f>
        <v/>
      </c>
      <c r="Y155" s="8">
        <f>-Y149*(Balancing+Grid_Charges)*Y152</f>
        <v/>
      </c>
      <c r="Z155" s="8">
        <f>-Z149*(Balancing+Grid_Charges)*Z152</f>
        <v/>
      </c>
      <c r="AA155" s="8">
        <f>-AA149*(Balancing+Grid_Charges)*AA152</f>
        <v/>
      </c>
      <c r="AB155" s="8">
        <f>-AB149*(Balancing+Grid_Charges)*AB152</f>
        <v/>
      </c>
      <c r="AC155" s="8">
        <f>-AC149*(Balancing+Grid_Charges)*AC152</f>
        <v/>
      </c>
      <c r="AD155" s="8">
        <f>-AD149*(Balancing+Grid_Charges)*AD152</f>
        <v/>
      </c>
      <c r="AE155" s="8">
        <f>-AE149*(Balancing+Grid_Charges)*AE152</f>
        <v/>
      </c>
      <c r="AF155" s="8">
        <f>-AF149*(Balancing+Grid_Charges)*AF152</f>
        <v/>
      </c>
      <c r="AG155" s="8">
        <f>-AG149*(Balancing+Grid_Charges)*AG152</f>
        <v/>
      </c>
      <c r="AH155" s="8">
        <f>-AH149*(Balancing+Grid_Charges)*AH152</f>
        <v/>
      </c>
      <c r="AI155" s="8">
        <f>-AI149*(Balancing+Grid_Charges)*AI152</f>
        <v/>
      </c>
      <c r="AJ155" s="8">
        <f>-AJ149*(Balancing+Grid_Charges)*AJ152</f>
        <v/>
      </c>
      <c r="AK155" s="8">
        <f>-AK149*(Balancing+Grid_Charges)*AK152</f>
        <v/>
      </c>
      <c r="AL155" s="8">
        <f>-AL149*(Balancing+Grid_Charges)*AL152</f>
        <v/>
      </c>
      <c r="AM155" s="8">
        <f>-AM149*(Balancing+Grid_Charges)*AM152</f>
        <v/>
      </c>
      <c r="AN155" s="8">
        <f>-AN149*(Balancing+Grid_Charges)*AN152</f>
        <v/>
      </c>
      <c r="AO155" s="8">
        <f>-AO149*(Balancing+Grid_Charges)*AO152</f>
        <v/>
      </c>
      <c r="AP155" s="8">
        <f>-AP149*(Balancing+Grid_Charges)*AP152</f>
        <v/>
      </c>
      <c r="AQ155" s="8">
        <f>-AQ149*(Balancing+Grid_Charges)*AQ152</f>
        <v/>
      </c>
      <c r="AR155" s="8">
        <f>-AR149*(Balancing+Grid_Charges)*AR152</f>
        <v/>
      </c>
      <c r="AS155" s="8">
        <f>-AS149*(Balancing+Grid_Charges)*AS152</f>
        <v/>
      </c>
      <c r="AT155" s="8">
        <f>-AT149*(Balancing+Grid_Charges)*AT152</f>
        <v/>
      </c>
      <c r="AU155" s="8">
        <f>-AU149*(Balancing+Grid_Charges)*AU152</f>
        <v/>
      </c>
      <c r="AV155" s="8">
        <f>-AV149*(Balancing+Grid_Charges)*AV152</f>
        <v/>
      </c>
    </row>
    <row r="156">
      <c r="C156" s="6" t="inlineStr">
        <is>
          <t>MEKH supervisory fee</t>
        </is>
      </c>
      <c r="D156" s="2" t="inlineStr">
        <is>
          <t>EUR k</t>
        </is>
      </c>
      <c r="H156" s="8">
        <f>SUM(M156:AV156)</f>
        <v/>
      </c>
      <c r="M156" s="8">
        <f>-M151*MEKH_Fee</f>
        <v/>
      </c>
      <c r="N156" s="8">
        <f>-N151*MEKH_Fee</f>
        <v/>
      </c>
      <c r="O156" s="8">
        <f>-O151*MEKH_Fee</f>
        <v/>
      </c>
      <c r="P156" s="8">
        <f>-P151*MEKH_Fee</f>
        <v/>
      </c>
      <c r="Q156" s="8">
        <f>-Q151*MEKH_Fee</f>
        <v/>
      </c>
      <c r="R156" s="8">
        <f>-R151*MEKH_Fee</f>
        <v/>
      </c>
      <c r="S156" s="8">
        <f>-S151*MEKH_Fee</f>
        <v/>
      </c>
      <c r="T156" s="8">
        <f>-T151*MEKH_Fee</f>
        <v/>
      </c>
      <c r="U156" s="8">
        <f>-U151*MEKH_Fee</f>
        <v/>
      </c>
      <c r="V156" s="8">
        <f>-V151*MEKH_Fee</f>
        <v/>
      </c>
      <c r="W156" s="8">
        <f>-W151*MEKH_Fee</f>
        <v/>
      </c>
      <c r="X156" s="8">
        <f>-X151*MEKH_Fee</f>
        <v/>
      </c>
      <c r="Y156" s="8">
        <f>-Y151*MEKH_Fee</f>
        <v/>
      </c>
      <c r="Z156" s="8">
        <f>-Z151*MEKH_Fee</f>
        <v/>
      </c>
      <c r="AA156" s="8">
        <f>-AA151*MEKH_Fee</f>
        <v/>
      </c>
      <c r="AB156" s="8">
        <f>-AB151*MEKH_Fee</f>
        <v/>
      </c>
      <c r="AC156" s="8">
        <f>-AC151*MEKH_Fee</f>
        <v/>
      </c>
      <c r="AD156" s="8">
        <f>-AD151*MEKH_Fee</f>
        <v/>
      </c>
      <c r="AE156" s="8">
        <f>-AE151*MEKH_Fee</f>
        <v/>
      </c>
      <c r="AF156" s="8">
        <f>-AF151*MEKH_Fee</f>
        <v/>
      </c>
      <c r="AG156" s="8">
        <f>-AG151*MEKH_Fee</f>
        <v/>
      </c>
      <c r="AH156" s="8">
        <f>-AH151*MEKH_Fee</f>
        <v/>
      </c>
      <c r="AI156" s="8">
        <f>-AI151*MEKH_Fee</f>
        <v/>
      </c>
      <c r="AJ156" s="8">
        <f>-AJ151*MEKH_Fee</f>
        <v/>
      </c>
      <c r="AK156" s="8">
        <f>-AK151*MEKH_Fee</f>
        <v/>
      </c>
      <c r="AL156" s="8">
        <f>-AL151*MEKH_Fee</f>
        <v/>
      </c>
      <c r="AM156" s="8">
        <f>-AM151*MEKH_Fee</f>
        <v/>
      </c>
      <c r="AN156" s="8">
        <f>-AN151*MEKH_Fee</f>
        <v/>
      </c>
      <c r="AO156" s="8">
        <f>-AO151*MEKH_Fee</f>
        <v/>
      </c>
      <c r="AP156" s="8">
        <f>-AP151*MEKH_Fee</f>
        <v/>
      </c>
      <c r="AQ156" s="8">
        <f>-AQ151*MEKH_Fee</f>
        <v/>
      </c>
      <c r="AR156" s="8">
        <f>-AR151*MEKH_Fee</f>
        <v/>
      </c>
      <c r="AS156" s="8">
        <f>-AS151*MEKH_Fee</f>
        <v/>
      </c>
      <c r="AT156" s="8">
        <f>-AT151*MEKH_Fee</f>
        <v/>
      </c>
      <c r="AU156" s="8">
        <f>-AU151*MEKH_Fee</f>
        <v/>
      </c>
      <c r="AV156" s="8">
        <f>-AV151*MEKH_Fee</f>
        <v/>
      </c>
    </row>
    <row r="157">
      <c r="C157" s="6" t="inlineStr">
        <is>
          <t>Opex contingency</t>
        </is>
      </c>
      <c r="D157" s="2" t="inlineStr">
        <is>
          <t>EUR k</t>
        </is>
      </c>
      <c r="H157" s="8">
        <f>SUM(M157:AV157)</f>
        <v/>
      </c>
      <c r="M157" s="8">
        <f>SUM(M153:M156)*Opex_Cont</f>
        <v/>
      </c>
      <c r="N157" s="8">
        <f>SUM(N153:N156)*Opex_Cont</f>
        <v/>
      </c>
      <c r="O157" s="8">
        <f>SUM(O153:O156)*Opex_Cont</f>
        <v/>
      </c>
      <c r="P157" s="8">
        <f>SUM(P153:P156)*Opex_Cont</f>
        <v/>
      </c>
      <c r="Q157" s="8">
        <f>SUM(Q153:Q156)*Opex_Cont</f>
        <v/>
      </c>
      <c r="R157" s="8">
        <f>SUM(R153:R156)*Opex_Cont</f>
        <v/>
      </c>
      <c r="S157" s="8">
        <f>SUM(S153:S156)*Opex_Cont</f>
        <v/>
      </c>
      <c r="T157" s="8">
        <f>SUM(T153:T156)*Opex_Cont</f>
        <v/>
      </c>
      <c r="U157" s="8">
        <f>SUM(U153:U156)*Opex_Cont</f>
        <v/>
      </c>
      <c r="V157" s="8">
        <f>SUM(V153:V156)*Opex_Cont</f>
        <v/>
      </c>
      <c r="W157" s="8">
        <f>SUM(W153:W156)*Opex_Cont</f>
        <v/>
      </c>
      <c r="X157" s="8">
        <f>SUM(X153:X156)*Opex_Cont</f>
        <v/>
      </c>
      <c r="Y157" s="8">
        <f>SUM(Y153:Y156)*Opex_Cont</f>
        <v/>
      </c>
      <c r="Z157" s="8">
        <f>SUM(Z153:Z156)*Opex_Cont</f>
        <v/>
      </c>
      <c r="AA157" s="8">
        <f>SUM(AA153:AA156)*Opex_Cont</f>
        <v/>
      </c>
      <c r="AB157" s="8">
        <f>SUM(AB153:AB156)*Opex_Cont</f>
        <v/>
      </c>
      <c r="AC157" s="8">
        <f>SUM(AC153:AC156)*Opex_Cont</f>
        <v/>
      </c>
      <c r="AD157" s="8">
        <f>SUM(AD153:AD156)*Opex_Cont</f>
        <v/>
      </c>
      <c r="AE157" s="8">
        <f>SUM(AE153:AE156)*Opex_Cont</f>
        <v/>
      </c>
      <c r="AF157" s="8">
        <f>SUM(AF153:AF156)*Opex_Cont</f>
        <v/>
      </c>
      <c r="AG157" s="8">
        <f>SUM(AG153:AG156)*Opex_Cont</f>
        <v/>
      </c>
      <c r="AH157" s="8">
        <f>SUM(AH153:AH156)*Opex_Cont</f>
        <v/>
      </c>
      <c r="AI157" s="8">
        <f>SUM(AI153:AI156)*Opex_Cont</f>
        <v/>
      </c>
      <c r="AJ157" s="8">
        <f>SUM(AJ153:AJ156)*Opex_Cont</f>
        <v/>
      </c>
      <c r="AK157" s="8">
        <f>SUM(AK153:AK156)*Opex_Cont</f>
        <v/>
      </c>
      <c r="AL157" s="8">
        <f>SUM(AL153:AL156)*Opex_Cont</f>
        <v/>
      </c>
      <c r="AM157" s="8">
        <f>SUM(AM153:AM156)*Opex_Cont</f>
        <v/>
      </c>
      <c r="AN157" s="8">
        <f>SUM(AN153:AN156)*Opex_Cont</f>
        <v/>
      </c>
      <c r="AO157" s="8">
        <f>SUM(AO153:AO156)*Opex_Cont</f>
        <v/>
      </c>
      <c r="AP157" s="8">
        <f>SUM(AP153:AP156)*Opex_Cont</f>
        <v/>
      </c>
      <c r="AQ157" s="8">
        <f>SUM(AQ153:AQ156)*Opex_Cont</f>
        <v/>
      </c>
      <c r="AR157" s="8">
        <f>SUM(AR153:AR156)*Opex_Cont</f>
        <v/>
      </c>
      <c r="AS157" s="8">
        <f>SUM(AS153:AS156)*Opex_Cont</f>
        <v/>
      </c>
      <c r="AT157" s="8">
        <f>SUM(AT153:AT156)*Opex_Cont</f>
        <v/>
      </c>
      <c r="AU157" s="8">
        <f>SUM(AU153:AU156)*Opex_Cont</f>
        <v/>
      </c>
      <c r="AV157" s="8">
        <f>SUM(AV153:AV156)*Opex_Cont</f>
        <v/>
      </c>
    </row>
    <row r="158">
      <c r="C158" s="6" t="inlineStr">
        <is>
          <t>Community contribution</t>
        </is>
      </c>
      <c r="D158" s="2" t="inlineStr">
        <is>
          <t>EUR k</t>
        </is>
      </c>
      <c r="H158" s="8">
        <f>SUM(M158:AV158)</f>
        <v/>
      </c>
      <c r="M158" s="8">
        <f>-M149*Dashboard!$F$12</f>
        <v/>
      </c>
      <c r="N158" s="8">
        <f>-N149*Dashboard!$F$12</f>
        <v/>
      </c>
      <c r="O158" s="8">
        <f>-O149*Dashboard!$F$12</f>
        <v/>
      </c>
      <c r="P158" s="8">
        <f>-P149*Dashboard!$F$12</f>
        <v/>
      </c>
      <c r="Q158" s="8">
        <f>-Q149*Dashboard!$F$12</f>
        <v/>
      </c>
      <c r="R158" s="8">
        <f>-R149*Dashboard!$F$12</f>
        <v/>
      </c>
      <c r="S158" s="8">
        <f>-S149*Dashboard!$F$12</f>
        <v/>
      </c>
      <c r="T158" s="8">
        <f>-T149*Dashboard!$F$12</f>
        <v/>
      </c>
      <c r="U158" s="8">
        <f>-U149*Dashboard!$F$12</f>
        <v/>
      </c>
      <c r="V158" s="8">
        <f>-V149*Dashboard!$F$12</f>
        <v/>
      </c>
      <c r="W158" s="8">
        <f>-W149*Dashboard!$F$12</f>
        <v/>
      </c>
      <c r="X158" s="8">
        <f>-X149*Dashboard!$F$12</f>
        <v/>
      </c>
      <c r="Y158" s="8">
        <f>-Y149*Dashboard!$F$12</f>
        <v/>
      </c>
      <c r="Z158" s="8">
        <f>-Z149*Dashboard!$F$12</f>
        <v/>
      </c>
      <c r="AA158" s="8">
        <f>-AA149*Dashboard!$F$12</f>
        <v/>
      </c>
      <c r="AB158" s="8">
        <f>-AB149*Dashboard!$F$12</f>
        <v/>
      </c>
      <c r="AC158" s="8">
        <f>-AC149*Dashboard!$F$12</f>
        <v/>
      </c>
      <c r="AD158" s="8">
        <f>-AD149*Dashboard!$F$12</f>
        <v/>
      </c>
      <c r="AE158" s="8">
        <f>-AE149*Dashboard!$F$12</f>
        <v/>
      </c>
      <c r="AF158" s="8">
        <f>-AF149*Dashboard!$F$12</f>
        <v/>
      </c>
      <c r="AG158" s="8">
        <f>-AG149*Dashboard!$F$12</f>
        <v/>
      </c>
      <c r="AH158" s="8">
        <f>-AH149*Dashboard!$F$12</f>
        <v/>
      </c>
      <c r="AI158" s="8">
        <f>-AI149*Dashboard!$F$12</f>
        <v/>
      </c>
      <c r="AJ158" s="8">
        <f>-AJ149*Dashboard!$F$12</f>
        <v/>
      </c>
      <c r="AK158" s="8">
        <f>-AK149*Dashboard!$F$12</f>
        <v/>
      </c>
      <c r="AL158" s="8">
        <f>-AL149*Dashboard!$F$12</f>
        <v/>
      </c>
      <c r="AM158" s="8">
        <f>-AM149*Dashboard!$F$12</f>
        <v/>
      </c>
      <c r="AN158" s="8">
        <f>-AN149*Dashboard!$F$12</f>
        <v/>
      </c>
      <c r="AO158" s="8">
        <f>-AO149*Dashboard!$F$12</f>
        <v/>
      </c>
      <c r="AP158" s="8">
        <f>-AP149*Dashboard!$F$12</f>
        <v/>
      </c>
      <c r="AQ158" s="8">
        <f>-AQ149*Dashboard!$F$12</f>
        <v/>
      </c>
      <c r="AR158" s="8">
        <f>-AR149*Dashboard!$F$12</f>
        <v/>
      </c>
      <c r="AS158" s="8">
        <f>-AS149*Dashboard!$F$12</f>
        <v/>
      </c>
      <c r="AT158" s="8">
        <f>-AT149*Dashboard!$F$12</f>
        <v/>
      </c>
      <c r="AU158" s="8">
        <f>-AU149*Dashboard!$F$12</f>
        <v/>
      </c>
      <c r="AV158" s="8">
        <f>-AV149*Dashboard!$F$12</f>
        <v/>
      </c>
    </row>
    <row r="159">
      <c r="C159" s="6" t="inlineStr">
        <is>
          <t>HIPA local business tax</t>
        </is>
      </c>
      <c r="D159" s="2" t="inlineStr">
        <is>
          <t>EUR k</t>
        </is>
      </c>
      <c r="H159" s="8">
        <f>SUM(M159:AV159)</f>
        <v/>
      </c>
      <c r="M159" s="8">
        <f>-M151*HIPA_Rate</f>
        <v/>
      </c>
      <c r="N159" s="8">
        <f>-N151*HIPA_Rate</f>
        <v/>
      </c>
      <c r="O159" s="8">
        <f>-O151*HIPA_Rate</f>
        <v/>
      </c>
      <c r="P159" s="8">
        <f>-P151*HIPA_Rate</f>
        <v/>
      </c>
      <c r="Q159" s="8">
        <f>-Q151*HIPA_Rate</f>
        <v/>
      </c>
      <c r="R159" s="8">
        <f>-R151*HIPA_Rate</f>
        <v/>
      </c>
      <c r="S159" s="8">
        <f>-S151*HIPA_Rate</f>
        <v/>
      </c>
      <c r="T159" s="8">
        <f>-T151*HIPA_Rate</f>
        <v/>
      </c>
      <c r="U159" s="8">
        <f>-U151*HIPA_Rate</f>
        <v/>
      </c>
      <c r="V159" s="8">
        <f>-V151*HIPA_Rate</f>
        <v/>
      </c>
      <c r="W159" s="8">
        <f>-W151*HIPA_Rate</f>
        <v/>
      </c>
      <c r="X159" s="8">
        <f>-X151*HIPA_Rate</f>
        <v/>
      </c>
      <c r="Y159" s="8">
        <f>-Y151*HIPA_Rate</f>
        <v/>
      </c>
      <c r="Z159" s="8">
        <f>-Z151*HIPA_Rate</f>
        <v/>
      </c>
      <c r="AA159" s="8">
        <f>-AA151*HIPA_Rate</f>
        <v/>
      </c>
      <c r="AB159" s="8">
        <f>-AB151*HIPA_Rate</f>
        <v/>
      </c>
      <c r="AC159" s="8">
        <f>-AC151*HIPA_Rate</f>
        <v/>
      </c>
      <c r="AD159" s="8">
        <f>-AD151*HIPA_Rate</f>
        <v/>
      </c>
      <c r="AE159" s="8">
        <f>-AE151*HIPA_Rate</f>
        <v/>
      </c>
      <c r="AF159" s="8">
        <f>-AF151*HIPA_Rate</f>
        <v/>
      </c>
      <c r="AG159" s="8">
        <f>-AG151*HIPA_Rate</f>
        <v/>
      </c>
      <c r="AH159" s="8">
        <f>-AH151*HIPA_Rate</f>
        <v/>
      </c>
      <c r="AI159" s="8">
        <f>-AI151*HIPA_Rate</f>
        <v/>
      </c>
      <c r="AJ159" s="8">
        <f>-AJ151*HIPA_Rate</f>
        <v/>
      </c>
      <c r="AK159" s="8">
        <f>-AK151*HIPA_Rate</f>
        <v/>
      </c>
      <c r="AL159" s="8">
        <f>-AL151*HIPA_Rate</f>
        <v/>
      </c>
      <c r="AM159" s="8">
        <f>-AM151*HIPA_Rate</f>
        <v/>
      </c>
      <c r="AN159" s="8">
        <f>-AN151*HIPA_Rate</f>
        <v/>
      </c>
      <c r="AO159" s="8">
        <f>-AO151*HIPA_Rate</f>
        <v/>
      </c>
      <c r="AP159" s="8">
        <f>-AP151*HIPA_Rate</f>
        <v/>
      </c>
      <c r="AQ159" s="8">
        <f>-AQ151*HIPA_Rate</f>
        <v/>
      </c>
      <c r="AR159" s="8">
        <f>-AR151*HIPA_Rate</f>
        <v/>
      </c>
      <c r="AS159" s="8">
        <f>-AS151*HIPA_Rate</f>
        <v/>
      </c>
      <c r="AT159" s="8">
        <f>-AT151*HIPA_Rate</f>
        <v/>
      </c>
      <c r="AU159" s="8">
        <f>-AU151*HIPA_Rate</f>
        <v/>
      </c>
      <c r="AV159" s="8">
        <f>-AV151*HIPA_Rate</f>
        <v/>
      </c>
    </row>
    <row r="160">
      <c r="C160" s="1" t="inlineStr">
        <is>
          <t>Total opex</t>
        </is>
      </c>
      <c r="D160" s="2" t="inlineStr">
        <is>
          <t>EUR k</t>
        </is>
      </c>
      <c r="H160" s="23">
        <f>SUM(M160:AV160)</f>
        <v/>
      </c>
      <c r="M160" s="23">
        <f>SUM(M153:M159)</f>
        <v/>
      </c>
      <c r="N160" s="23">
        <f>SUM(N153:N159)</f>
        <v/>
      </c>
      <c r="O160" s="23">
        <f>SUM(O153:O159)</f>
        <v/>
      </c>
      <c r="P160" s="23">
        <f>SUM(P153:P159)</f>
        <v/>
      </c>
      <c r="Q160" s="23">
        <f>SUM(Q153:Q159)</f>
        <v/>
      </c>
      <c r="R160" s="23">
        <f>SUM(R153:R159)</f>
        <v/>
      </c>
      <c r="S160" s="23">
        <f>SUM(S153:S159)</f>
        <v/>
      </c>
      <c r="T160" s="23">
        <f>SUM(T153:T159)</f>
        <v/>
      </c>
      <c r="U160" s="23">
        <f>SUM(U153:U159)</f>
        <v/>
      </c>
      <c r="V160" s="23">
        <f>SUM(V153:V159)</f>
        <v/>
      </c>
      <c r="W160" s="23">
        <f>SUM(W153:W159)</f>
        <v/>
      </c>
      <c r="X160" s="23">
        <f>SUM(X153:X159)</f>
        <v/>
      </c>
      <c r="Y160" s="23">
        <f>SUM(Y153:Y159)</f>
        <v/>
      </c>
      <c r="Z160" s="23">
        <f>SUM(Z153:Z159)</f>
        <v/>
      </c>
      <c r="AA160" s="23">
        <f>SUM(AA153:AA159)</f>
        <v/>
      </c>
      <c r="AB160" s="23">
        <f>SUM(AB153:AB159)</f>
        <v/>
      </c>
      <c r="AC160" s="23">
        <f>SUM(AC153:AC159)</f>
        <v/>
      </c>
      <c r="AD160" s="23">
        <f>SUM(AD153:AD159)</f>
        <v/>
      </c>
      <c r="AE160" s="23">
        <f>SUM(AE153:AE159)</f>
        <v/>
      </c>
      <c r="AF160" s="23">
        <f>SUM(AF153:AF159)</f>
        <v/>
      </c>
      <c r="AG160" s="23">
        <f>SUM(AG153:AG159)</f>
        <v/>
      </c>
      <c r="AH160" s="23">
        <f>SUM(AH153:AH159)</f>
        <v/>
      </c>
      <c r="AI160" s="23">
        <f>SUM(AI153:AI159)</f>
        <v/>
      </c>
      <c r="AJ160" s="23">
        <f>SUM(AJ153:AJ159)</f>
        <v/>
      </c>
      <c r="AK160" s="23">
        <f>SUM(AK153:AK159)</f>
        <v/>
      </c>
      <c r="AL160" s="23">
        <f>SUM(AL153:AL159)</f>
        <v/>
      </c>
      <c r="AM160" s="23">
        <f>SUM(AM153:AM159)</f>
        <v/>
      </c>
      <c r="AN160" s="23">
        <f>SUM(AN153:AN159)</f>
        <v/>
      </c>
      <c r="AO160" s="23">
        <f>SUM(AO153:AO159)</f>
        <v/>
      </c>
      <c r="AP160" s="23">
        <f>SUM(AP153:AP159)</f>
        <v/>
      </c>
      <c r="AQ160" s="23">
        <f>SUM(AQ153:AQ159)</f>
        <v/>
      </c>
      <c r="AR160" s="23">
        <f>SUM(AR153:AR159)</f>
        <v/>
      </c>
      <c r="AS160" s="23">
        <f>SUM(AS153:AS159)</f>
        <v/>
      </c>
      <c r="AT160" s="23">
        <f>SUM(AT153:AT159)</f>
        <v/>
      </c>
      <c r="AU160" s="23">
        <f>SUM(AU153:AU159)</f>
        <v/>
      </c>
      <c r="AV160" s="23">
        <f>SUM(AV153:AV159)</f>
        <v/>
      </c>
    </row>
    <row r="161">
      <c r="C161" s="1" t="inlineStr">
        <is>
          <t>EBITDA</t>
        </is>
      </c>
      <c r="D161" s="2" t="inlineStr">
        <is>
          <t>EUR k</t>
        </is>
      </c>
      <c r="H161" s="23">
        <f>SUM(M161:AV161)</f>
        <v/>
      </c>
      <c r="M161" s="15">
        <f>M151+M160</f>
        <v/>
      </c>
      <c r="N161" s="15">
        <f>N151+N160</f>
        <v/>
      </c>
      <c r="O161" s="15">
        <f>O151+O160</f>
        <v/>
      </c>
      <c r="P161" s="15">
        <f>P151+P160</f>
        <v/>
      </c>
      <c r="Q161" s="15">
        <f>Q151+Q160</f>
        <v/>
      </c>
      <c r="R161" s="15">
        <f>R151+R160</f>
        <v/>
      </c>
      <c r="S161" s="15">
        <f>S151+S160</f>
        <v/>
      </c>
      <c r="T161" s="15">
        <f>T151+T160</f>
        <v/>
      </c>
      <c r="U161" s="15">
        <f>U151+U160</f>
        <v/>
      </c>
      <c r="V161" s="15">
        <f>V151+V160</f>
        <v/>
      </c>
      <c r="W161" s="15">
        <f>W151+W160</f>
        <v/>
      </c>
      <c r="X161" s="15">
        <f>X151+X160</f>
        <v/>
      </c>
      <c r="Y161" s="15">
        <f>Y151+Y160</f>
        <v/>
      </c>
      <c r="Z161" s="15">
        <f>Z151+Z160</f>
        <v/>
      </c>
      <c r="AA161" s="15">
        <f>AA151+AA160</f>
        <v/>
      </c>
      <c r="AB161" s="15">
        <f>AB151+AB160</f>
        <v/>
      </c>
      <c r="AC161" s="15">
        <f>AC151+AC160</f>
        <v/>
      </c>
      <c r="AD161" s="15">
        <f>AD151+AD160</f>
        <v/>
      </c>
      <c r="AE161" s="15">
        <f>AE151+AE160</f>
        <v/>
      </c>
      <c r="AF161" s="15">
        <f>AF151+AF160</f>
        <v/>
      </c>
      <c r="AG161" s="15">
        <f>AG151+AG160</f>
        <v/>
      </c>
      <c r="AH161" s="15">
        <f>AH151+AH160</f>
        <v/>
      </c>
      <c r="AI161" s="15">
        <f>AI151+AI160</f>
        <v/>
      </c>
      <c r="AJ161" s="15">
        <f>AJ151+AJ160</f>
        <v/>
      </c>
      <c r="AK161" s="15">
        <f>AK151+AK160</f>
        <v/>
      </c>
      <c r="AL161" s="15">
        <f>AL151+AL160</f>
        <v/>
      </c>
      <c r="AM161" s="15">
        <f>AM151+AM160</f>
        <v/>
      </c>
      <c r="AN161" s="15">
        <f>AN151+AN160</f>
        <v/>
      </c>
      <c r="AO161" s="15">
        <f>AO151+AO160</f>
        <v/>
      </c>
      <c r="AP161" s="15">
        <f>AP151+AP160</f>
        <v/>
      </c>
      <c r="AQ161" s="15">
        <f>AQ151+AQ160</f>
        <v/>
      </c>
      <c r="AR161" s="15">
        <f>AR151+AR160</f>
        <v/>
      </c>
      <c r="AS161" s="15">
        <f>AS151+AS160</f>
        <v/>
      </c>
      <c r="AT161" s="15">
        <f>AT151+AT160</f>
        <v/>
      </c>
      <c r="AU161" s="15">
        <f>AU151+AU160</f>
        <v/>
      </c>
      <c r="AV161" s="15">
        <f>AV151+AV160</f>
        <v/>
      </c>
    </row>
    <row r="162">
      <c r="C162" s="1" t="inlineStr">
        <is>
          <t>Unlevered pre-tax cash flow</t>
        </is>
      </c>
      <c r="D162" s="2" t="inlineStr">
        <is>
          <t>EUR k</t>
        </is>
      </c>
      <c r="H162" s="23">
        <f>SUM(M162:AV162)</f>
        <v/>
      </c>
      <c r="M162" s="23">
        <f>M147+M161</f>
        <v/>
      </c>
      <c r="N162" s="23">
        <f>N147+N161</f>
        <v/>
      </c>
      <c r="O162" s="23">
        <f>O147+O161</f>
        <v/>
      </c>
      <c r="P162" s="23">
        <f>P147+P161</f>
        <v/>
      </c>
      <c r="Q162" s="23">
        <f>Q147+Q161</f>
        <v/>
      </c>
      <c r="R162" s="23">
        <f>R147+R161</f>
        <v/>
      </c>
      <c r="S162" s="23">
        <f>S147+S161</f>
        <v/>
      </c>
      <c r="T162" s="23">
        <f>T147+T161</f>
        <v/>
      </c>
      <c r="U162" s="23">
        <f>U147+U161</f>
        <v/>
      </c>
      <c r="V162" s="23">
        <f>V147+V161</f>
        <v/>
      </c>
      <c r="W162" s="23">
        <f>W147+W161</f>
        <v/>
      </c>
      <c r="X162" s="23">
        <f>X147+X161</f>
        <v/>
      </c>
      <c r="Y162" s="23">
        <f>Y147+Y161</f>
        <v/>
      </c>
      <c r="Z162" s="23">
        <f>Z147+Z161</f>
        <v/>
      </c>
      <c r="AA162" s="23">
        <f>AA147+AA161</f>
        <v/>
      </c>
      <c r="AB162" s="23">
        <f>AB147+AB161</f>
        <v/>
      </c>
      <c r="AC162" s="23">
        <f>AC147+AC161</f>
        <v/>
      </c>
      <c r="AD162" s="23">
        <f>AD147+AD161</f>
        <v/>
      </c>
      <c r="AE162" s="23">
        <f>AE147+AE161</f>
        <v/>
      </c>
      <c r="AF162" s="23">
        <f>AF147+AF161</f>
        <v/>
      </c>
      <c r="AG162" s="23">
        <f>AG147+AG161</f>
        <v/>
      </c>
      <c r="AH162" s="23">
        <f>AH147+AH161</f>
        <v/>
      </c>
      <c r="AI162" s="23">
        <f>AI147+AI161</f>
        <v/>
      </c>
      <c r="AJ162" s="23">
        <f>AJ147+AJ161</f>
        <v/>
      </c>
      <c r="AK162" s="23">
        <f>AK147+AK161</f>
        <v/>
      </c>
      <c r="AL162" s="23">
        <f>AL147+AL161</f>
        <v/>
      </c>
      <c r="AM162" s="23">
        <f>AM147+AM161</f>
        <v/>
      </c>
      <c r="AN162" s="23">
        <f>AN147+AN161</f>
        <v/>
      </c>
      <c r="AO162" s="23">
        <f>AO147+AO161</f>
        <v/>
      </c>
      <c r="AP162" s="23">
        <f>AP147+AP161</f>
        <v/>
      </c>
      <c r="AQ162" s="23">
        <f>AQ147+AQ161</f>
        <v/>
      </c>
      <c r="AR162" s="23">
        <f>AR147+AR161</f>
        <v/>
      </c>
      <c r="AS162" s="23">
        <f>AS147+AS161</f>
        <v/>
      </c>
      <c r="AT162" s="23">
        <f>AT147+AT161</f>
        <v/>
      </c>
      <c r="AU162" s="23">
        <f>AU147+AU161</f>
        <v/>
      </c>
      <c r="AV162" s="23">
        <f>AV147+AV161</f>
        <v/>
      </c>
    </row>
    <row r="163">
      <c r="C163" s="6" t="inlineStr">
        <is>
          <t>Discount factor to COD (buyer's rate)</t>
        </is>
      </c>
      <c r="D163" s="2" t="inlineStr">
        <is>
          <t>x</t>
        </is>
      </c>
      <c r="M163" s="29">
        <f>(1+Discount_Rate)^((Inputs!$F$27-M$103)/Days_In_Year)</f>
        <v/>
      </c>
      <c r="N163" s="29">
        <f>(1+Discount_Rate)^((Inputs!$F$27-N$103)/Days_In_Year)</f>
        <v/>
      </c>
      <c r="O163" s="29">
        <f>(1+Discount_Rate)^((Inputs!$F$27-O$103)/Days_In_Year)</f>
        <v/>
      </c>
      <c r="P163" s="29">
        <f>(1+Discount_Rate)^((Inputs!$F$27-P$103)/Days_In_Year)</f>
        <v/>
      </c>
      <c r="Q163" s="29">
        <f>(1+Discount_Rate)^((Inputs!$F$27-Q$103)/Days_In_Year)</f>
        <v/>
      </c>
      <c r="R163" s="29">
        <f>(1+Discount_Rate)^((Inputs!$F$27-R$103)/Days_In_Year)</f>
        <v/>
      </c>
      <c r="S163" s="29">
        <f>(1+Discount_Rate)^((Inputs!$F$27-S$103)/Days_In_Year)</f>
        <v/>
      </c>
      <c r="T163" s="29">
        <f>(1+Discount_Rate)^((Inputs!$F$27-T$103)/Days_In_Year)</f>
        <v/>
      </c>
      <c r="U163" s="29">
        <f>(1+Discount_Rate)^((Inputs!$F$27-U$103)/Days_In_Year)</f>
        <v/>
      </c>
      <c r="V163" s="29">
        <f>(1+Discount_Rate)^((Inputs!$F$27-V$103)/Days_In_Year)</f>
        <v/>
      </c>
      <c r="W163" s="29">
        <f>(1+Discount_Rate)^((Inputs!$F$27-W$103)/Days_In_Year)</f>
        <v/>
      </c>
      <c r="X163" s="29">
        <f>(1+Discount_Rate)^((Inputs!$F$27-X$103)/Days_In_Year)</f>
        <v/>
      </c>
      <c r="Y163" s="29">
        <f>(1+Discount_Rate)^((Inputs!$F$27-Y$103)/Days_In_Year)</f>
        <v/>
      </c>
      <c r="Z163" s="29">
        <f>(1+Discount_Rate)^((Inputs!$F$27-Z$103)/Days_In_Year)</f>
        <v/>
      </c>
      <c r="AA163" s="29">
        <f>(1+Discount_Rate)^((Inputs!$F$27-AA$103)/Days_In_Year)</f>
        <v/>
      </c>
      <c r="AB163" s="29">
        <f>(1+Discount_Rate)^((Inputs!$F$27-AB$103)/Days_In_Year)</f>
        <v/>
      </c>
      <c r="AC163" s="29">
        <f>(1+Discount_Rate)^((Inputs!$F$27-AC$103)/Days_In_Year)</f>
        <v/>
      </c>
      <c r="AD163" s="29">
        <f>(1+Discount_Rate)^((Inputs!$F$27-AD$103)/Days_In_Year)</f>
        <v/>
      </c>
      <c r="AE163" s="29">
        <f>(1+Discount_Rate)^((Inputs!$F$27-AE$103)/Days_In_Year)</f>
        <v/>
      </c>
      <c r="AF163" s="29">
        <f>(1+Discount_Rate)^((Inputs!$F$27-AF$103)/Days_In_Year)</f>
        <v/>
      </c>
      <c r="AG163" s="29">
        <f>(1+Discount_Rate)^((Inputs!$F$27-AG$103)/Days_In_Year)</f>
        <v/>
      </c>
      <c r="AH163" s="29">
        <f>(1+Discount_Rate)^((Inputs!$F$27-AH$103)/Days_In_Year)</f>
        <v/>
      </c>
      <c r="AI163" s="29">
        <f>(1+Discount_Rate)^((Inputs!$F$27-AI$103)/Days_In_Year)</f>
        <v/>
      </c>
      <c r="AJ163" s="29">
        <f>(1+Discount_Rate)^((Inputs!$F$27-AJ$103)/Days_In_Year)</f>
        <v/>
      </c>
      <c r="AK163" s="29">
        <f>(1+Discount_Rate)^((Inputs!$F$27-AK$103)/Days_In_Year)</f>
        <v/>
      </c>
      <c r="AL163" s="29">
        <f>(1+Discount_Rate)^((Inputs!$F$27-AL$103)/Days_In_Year)</f>
        <v/>
      </c>
      <c r="AM163" s="29">
        <f>(1+Discount_Rate)^((Inputs!$F$27-AM$103)/Days_In_Year)</f>
        <v/>
      </c>
      <c r="AN163" s="29">
        <f>(1+Discount_Rate)^((Inputs!$F$27-AN$103)/Days_In_Year)</f>
        <v/>
      </c>
      <c r="AO163" s="29">
        <f>(1+Discount_Rate)^((Inputs!$F$27-AO$103)/Days_In_Year)</f>
        <v/>
      </c>
      <c r="AP163" s="29">
        <f>(1+Discount_Rate)^((Inputs!$F$27-AP$103)/Days_In_Year)</f>
        <v/>
      </c>
      <c r="AQ163" s="29">
        <f>(1+Discount_Rate)^((Inputs!$F$27-AQ$103)/Days_In_Year)</f>
        <v/>
      </c>
      <c r="AR163" s="29">
        <f>(1+Discount_Rate)^((Inputs!$F$27-AR$103)/Days_In_Year)</f>
        <v/>
      </c>
      <c r="AS163" s="29">
        <f>(1+Discount_Rate)^((Inputs!$F$27-AS$103)/Days_In_Year)</f>
        <v/>
      </c>
      <c r="AT163" s="29">
        <f>(1+Discount_Rate)^((Inputs!$F$27-AT$103)/Days_In_Year)</f>
        <v/>
      </c>
      <c r="AU163" s="29">
        <f>(1+Discount_Rate)^((Inputs!$F$27-AU$103)/Days_In_Year)</f>
        <v/>
      </c>
      <c r="AV163" s="29">
        <f>(1+Discount_Rate)^((Inputs!$F$27-AV$103)/Days_In_Year)</f>
        <v/>
      </c>
    </row>
    <row r="164">
      <c r="C164" s="6" t="inlineStr">
        <is>
          <t>EBITDA valued at COD (total = COD price)</t>
        </is>
      </c>
      <c r="D164" s="2" t="inlineStr">
        <is>
          <t>EUR k</t>
        </is>
      </c>
      <c r="H164" s="8">
        <f>SUM(M164:AV164)</f>
        <v/>
      </c>
      <c r="M164" s="8">
        <f>M161*M163</f>
        <v/>
      </c>
      <c r="N164" s="8">
        <f>N161*N163</f>
        <v/>
      </c>
      <c r="O164" s="8">
        <f>O161*O163</f>
        <v/>
      </c>
      <c r="P164" s="8">
        <f>P161*P163</f>
        <v/>
      </c>
      <c r="Q164" s="8">
        <f>Q161*Q163</f>
        <v/>
      </c>
      <c r="R164" s="8">
        <f>R161*R163</f>
        <v/>
      </c>
      <c r="S164" s="8">
        <f>S161*S163</f>
        <v/>
      </c>
      <c r="T164" s="8">
        <f>T161*T163</f>
        <v/>
      </c>
      <c r="U164" s="8">
        <f>U161*U163</f>
        <v/>
      </c>
      <c r="V164" s="8">
        <f>V161*V163</f>
        <v/>
      </c>
      <c r="W164" s="8">
        <f>W161*W163</f>
        <v/>
      </c>
      <c r="X164" s="8">
        <f>X161*X163</f>
        <v/>
      </c>
      <c r="Y164" s="8">
        <f>Y161*Y163</f>
        <v/>
      </c>
      <c r="Z164" s="8">
        <f>Z161*Z163</f>
        <v/>
      </c>
      <c r="AA164" s="8">
        <f>AA161*AA163</f>
        <v/>
      </c>
      <c r="AB164" s="8">
        <f>AB161*AB163</f>
        <v/>
      </c>
      <c r="AC164" s="8">
        <f>AC161*AC163</f>
        <v/>
      </c>
      <c r="AD164" s="8">
        <f>AD161*AD163</f>
        <v/>
      </c>
      <c r="AE164" s="8">
        <f>AE161*AE163</f>
        <v/>
      </c>
      <c r="AF164" s="8">
        <f>AF161*AF163</f>
        <v/>
      </c>
      <c r="AG164" s="8">
        <f>AG161*AG163</f>
        <v/>
      </c>
      <c r="AH164" s="8">
        <f>AH161*AH163</f>
        <v/>
      </c>
      <c r="AI164" s="8">
        <f>AI161*AI163</f>
        <v/>
      </c>
      <c r="AJ164" s="8">
        <f>AJ161*AJ163</f>
        <v/>
      </c>
      <c r="AK164" s="8">
        <f>AK161*AK163</f>
        <v/>
      </c>
      <c r="AL164" s="8">
        <f>AL161*AL163</f>
        <v/>
      </c>
      <c r="AM164" s="8">
        <f>AM161*AM163</f>
        <v/>
      </c>
      <c r="AN164" s="8">
        <f>AN161*AN163</f>
        <v/>
      </c>
      <c r="AO164" s="8">
        <f>AO161*AO163</f>
        <v/>
      </c>
      <c r="AP164" s="8">
        <f>AP161*AP163</f>
        <v/>
      </c>
      <c r="AQ164" s="8">
        <f>AQ161*AQ163</f>
        <v/>
      </c>
      <c r="AR164" s="8">
        <f>AR161*AR163</f>
        <v/>
      </c>
      <c r="AS164" s="8">
        <f>AS161*AS163</f>
        <v/>
      </c>
      <c r="AT164" s="8">
        <f>AT161*AT163</f>
        <v/>
      </c>
      <c r="AU164" s="8">
        <f>AU161*AU163</f>
        <v/>
      </c>
      <c r="AV164" s="8">
        <f>AV161*AV163</f>
        <v/>
      </c>
    </row>
    <row r="165">
      <c r="C165" s="1" t="inlineStr">
        <is>
          <t>COD exit: FEP cash flow (to COD, price and securities at COD)</t>
        </is>
      </c>
      <c r="D165" s="2" t="inlineStr">
        <is>
          <t>EUR k</t>
        </is>
      </c>
      <c r="H165" s="23">
        <f>SUM(M165:AV165)</f>
        <v/>
      </c>
      <c r="M165" s="23">
        <f>M147*(M137&lt;=0)+M142*($H164+$F$24+$F$25)</f>
        <v/>
      </c>
      <c r="N165" s="23">
        <f>N147*(N137&lt;=0)+N142*($H164+$F$24+$F$25)</f>
        <v/>
      </c>
      <c r="O165" s="23">
        <f>O147*(O137&lt;=0)+O142*($H164+$F$24+$F$25)</f>
        <v/>
      </c>
      <c r="P165" s="23">
        <f>P147*(P137&lt;=0)+P142*($H164+$F$24+$F$25)</f>
        <v/>
      </c>
      <c r="Q165" s="23">
        <f>Q147*(Q137&lt;=0)+Q142*($H164+$F$24+$F$25)</f>
        <v/>
      </c>
      <c r="R165" s="23">
        <f>R147*(R137&lt;=0)+R142*($H164+$F$24+$F$25)</f>
        <v/>
      </c>
      <c r="S165" s="23">
        <f>S147*(S137&lt;=0)+S142*($H164+$F$24+$F$25)</f>
        <v/>
      </c>
      <c r="T165" s="23">
        <f>T147*(T137&lt;=0)+T142*($H164+$F$24+$F$25)</f>
        <v/>
      </c>
      <c r="U165" s="23">
        <f>U147*(U137&lt;=0)+U142*($H164+$F$24+$F$25)</f>
        <v/>
      </c>
      <c r="V165" s="23">
        <f>V147*(V137&lt;=0)+V142*($H164+$F$24+$F$25)</f>
        <v/>
      </c>
      <c r="W165" s="23">
        <f>W147*(W137&lt;=0)+W142*($H164+$F$24+$F$25)</f>
        <v/>
      </c>
      <c r="X165" s="23">
        <f>X147*(X137&lt;=0)+X142*($H164+$F$24+$F$25)</f>
        <v/>
      </c>
      <c r="Y165" s="23">
        <f>Y147*(Y137&lt;=0)+Y142*($H164+$F$24+$F$25)</f>
        <v/>
      </c>
      <c r="Z165" s="23">
        <f>Z147*(Z137&lt;=0)+Z142*($H164+$F$24+$F$25)</f>
        <v/>
      </c>
      <c r="AA165" s="23">
        <f>AA147*(AA137&lt;=0)+AA142*($H164+$F$24+$F$25)</f>
        <v/>
      </c>
      <c r="AB165" s="23">
        <f>AB147*(AB137&lt;=0)+AB142*($H164+$F$24+$F$25)</f>
        <v/>
      </c>
      <c r="AC165" s="23">
        <f>AC147*(AC137&lt;=0)+AC142*($H164+$F$24+$F$25)</f>
        <v/>
      </c>
      <c r="AD165" s="23">
        <f>AD147*(AD137&lt;=0)+AD142*($H164+$F$24+$F$25)</f>
        <v/>
      </c>
      <c r="AE165" s="23">
        <f>AE147*(AE137&lt;=0)+AE142*($H164+$F$24+$F$25)</f>
        <v/>
      </c>
      <c r="AF165" s="23">
        <f>AF147*(AF137&lt;=0)+AF142*($H164+$F$24+$F$25)</f>
        <v/>
      </c>
      <c r="AG165" s="23">
        <f>AG147*(AG137&lt;=0)+AG142*($H164+$F$24+$F$25)</f>
        <v/>
      </c>
      <c r="AH165" s="23">
        <f>AH147*(AH137&lt;=0)+AH142*($H164+$F$24+$F$25)</f>
        <v/>
      </c>
      <c r="AI165" s="23">
        <f>AI147*(AI137&lt;=0)+AI142*($H164+$F$24+$F$25)</f>
        <v/>
      </c>
      <c r="AJ165" s="23">
        <f>AJ147*(AJ137&lt;=0)+AJ142*($H164+$F$24+$F$25)</f>
        <v/>
      </c>
      <c r="AK165" s="23">
        <f>AK147*(AK137&lt;=0)+AK142*($H164+$F$24+$F$25)</f>
        <v/>
      </c>
      <c r="AL165" s="23">
        <f>AL147*(AL137&lt;=0)+AL142*($H164+$F$24+$F$25)</f>
        <v/>
      </c>
      <c r="AM165" s="23">
        <f>AM147*(AM137&lt;=0)+AM142*($H164+$F$24+$F$25)</f>
        <v/>
      </c>
      <c r="AN165" s="23">
        <f>AN147*(AN137&lt;=0)+AN142*($H164+$F$24+$F$25)</f>
        <v/>
      </c>
      <c r="AO165" s="23">
        <f>AO147*(AO137&lt;=0)+AO142*($H164+$F$24+$F$25)</f>
        <v/>
      </c>
      <c r="AP165" s="23">
        <f>AP147*(AP137&lt;=0)+AP142*($H164+$F$24+$F$25)</f>
        <v/>
      </c>
      <c r="AQ165" s="23">
        <f>AQ147*(AQ137&lt;=0)+AQ142*($H164+$F$24+$F$25)</f>
        <v/>
      </c>
      <c r="AR165" s="23">
        <f>AR147*(AR137&lt;=0)+AR142*($H164+$F$24+$F$25)</f>
        <v/>
      </c>
      <c r="AS165" s="23">
        <f>AS147*(AS137&lt;=0)+AS142*($H164+$F$24+$F$25)</f>
        <v/>
      </c>
      <c r="AT165" s="23">
        <f>AT147*(AT137&lt;=0)+AT142*($H164+$F$24+$F$25)</f>
        <v/>
      </c>
      <c r="AU165" s="23">
        <f>AU147*(AU137&lt;=0)+AU142*($H164+$F$24+$F$25)</f>
        <v/>
      </c>
      <c r="AV165" s="23">
        <f>AV147*(AV137&lt;=0)+AV142*($H164+$F$24+$F$25)</f>
        <v/>
      </c>
    </row>
    <row r="167">
      <c r="B167" s="4" t="inlineStr">
        <is>
          <t>x</t>
        </is>
      </c>
      <c r="C167" s="4" t="inlineStr">
        <is>
          <t>Dunaújváros: annual cash flow (EUR k)</t>
        </is>
      </c>
      <c r="D167" s="4" t="n"/>
      <c r="E167" s="5" t="n"/>
      <c r="F167" s="5" t="n"/>
      <c r="G167" s="5" t="inlineStr">
        <is>
          <t>Value</t>
        </is>
      </c>
      <c r="H167" s="5" t="inlineStr">
        <is>
          <t>Total</t>
        </is>
      </c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</row>
    <row r="168">
      <c r="C168" s="6" t="inlineStr">
        <is>
          <t>Years from the COD year</t>
        </is>
      </c>
      <c r="D168" s="2" t="inlineStr">
        <is>
          <t>years</t>
        </is>
      </c>
      <c r="M168" s="26">
        <f>M$102-YEAR(Inputs!$G$27)</f>
        <v/>
      </c>
      <c r="N168" s="26">
        <f>N$102-YEAR(Inputs!$G$27)</f>
        <v/>
      </c>
      <c r="O168" s="26">
        <f>O$102-YEAR(Inputs!$G$27)</f>
        <v/>
      </c>
      <c r="P168" s="26">
        <f>P$102-YEAR(Inputs!$G$27)</f>
        <v/>
      </c>
      <c r="Q168" s="26">
        <f>Q$102-YEAR(Inputs!$G$27)</f>
        <v/>
      </c>
      <c r="R168" s="26">
        <f>R$102-YEAR(Inputs!$G$27)</f>
        <v/>
      </c>
      <c r="S168" s="26">
        <f>S$102-YEAR(Inputs!$G$27)</f>
        <v/>
      </c>
      <c r="T168" s="26">
        <f>T$102-YEAR(Inputs!$G$27)</f>
        <v/>
      </c>
      <c r="U168" s="26">
        <f>U$102-YEAR(Inputs!$G$27)</f>
        <v/>
      </c>
      <c r="V168" s="26">
        <f>V$102-YEAR(Inputs!$G$27)</f>
        <v/>
      </c>
      <c r="W168" s="26">
        <f>W$102-YEAR(Inputs!$G$27)</f>
        <v/>
      </c>
      <c r="X168" s="26">
        <f>X$102-YEAR(Inputs!$G$27)</f>
        <v/>
      </c>
      <c r="Y168" s="26">
        <f>Y$102-YEAR(Inputs!$G$27)</f>
        <v/>
      </c>
      <c r="Z168" s="26">
        <f>Z$102-YEAR(Inputs!$G$27)</f>
        <v/>
      </c>
      <c r="AA168" s="26">
        <f>AA$102-YEAR(Inputs!$G$27)</f>
        <v/>
      </c>
      <c r="AB168" s="26">
        <f>AB$102-YEAR(Inputs!$G$27)</f>
        <v/>
      </c>
      <c r="AC168" s="26">
        <f>AC$102-YEAR(Inputs!$G$27)</f>
        <v/>
      </c>
      <c r="AD168" s="26">
        <f>AD$102-YEAR(Inputs!$G$27)</f>
        <v/>
      </c>
      <c r="AE168" s="26">
        <f>AE$102-YEAR(Inputs!$G$27)</f>
        <v/>
      </c>
      <c r="AF168" s="26">
        <f>AF$102-YEAR(Inputs!$G$27)</f>
        <v/>
      </c>
      <c r="AG168" s="26">
        <f>AG$102-YEAR(Inputs!$G$27)</f>
        <v/>
      </c>
      <c r="AH168" s="26">
        <f>AH$102-YEAR(Inputs!$G$27)</f>
        <v/>
      </c>
      <c r="AI168" s="26">
        <f>AI$102-YEAR(Inputs!$G$27)</f>
        <v/>
      </c>
      <c r="AJ168" s="26">
        <f>AJ$102-YEAR(Inputs!$G$27)</f>
        <v/>
      </c>
      <c r="AK168" s="26">
        <f>AK$102-YEAR(Inputs!$G$27)</f>
        <v/>
      </c>
      <c r="AL168" s="26">
        <f>AL$102-YEAR(Inputs!$G$27)</f>
        <v/>
      </c>
      <c r="AM168" s="26">
        <f>AM$102-YEAR(Inputs!$G$27)</f>
        <v/>
      </c>
      <c r="AN168" s="26">
        <f>AN$102-YEAR(Inputs!$G$27)</f>
        <v/>
      </c>
      <c r="AO168" s="26">
        <f>AO$102-YEAR(Inputs!$G$27)</f>
        <v/>
      </c>
      <c r="AP168" s="26">
        <f>AP$102-YEAR(Inputs!$G$27)</f>
        <v/>
      </c>
      <c r="AQ168" s="26">
        <f>AQ$102-YEAR(Inputs!$G$27)</f>
        <v/>
      </c>
      <c r="AR168" s="26">
        <f>AR$102-YEAR(Inputs!$G$27)</f>
        <v/>
      </c>
      <c r="AS168" s="26">
        <f>AS$102-YEAR(Inputs!$G$27)</f>
        <v/>
      </c>
      <c r="AT168" s="26">
        <f>AT$102-YEAR(Inputs!$G$27)</f>
        <v/>
      </c>
      <c r="AU168" s="26">
        <f>AU$102-YEAR(Inputs!$G$27)</f>
        <v/>
      </c>
      <c r="AV168" s="26">
        <f>AV$102-YEAR(Inputs!$G$27)</f>
        <v/>
      </c>
    </row>
    <row r="169">
      <c r="C169" s="6" t="inlineStr">
        <is>
          <t>Construction months by year end (value: construction period)</t>
        </is>
      </c>
      <c r="D169" s="2" t="inlineStr">
        <is>
          <t>months</t>
        </is>
      </c>
      <c r="G169" s="26">
        <f>DATEDIF(Inputs!$G$26,Inputs!$G$27,"m")</f>
        <v/>
      </c>
      <c r="M169" s="26">
        <f>(M$102+1-YEAR(Inputs!$G$26))*Months_In_Year-MONTH(Inputs!$G$26)</f>
        <v/>
      </c>
      <c r="N169" s="26">
        <f>(N$102+1-YEAR(Inputs!$G$26))*Months_In_Year-MONTH(Inputs!$G$26)</f>
        <v/>
      </c>
      <c r="O169" s="26">
        <f>(O$102+1-YEAR(Inputs!$G$26))*Months_In_Year-MONTH(Inputs!$G$26)</f>
        <v/>
      </c>
      <c r="P169" s="26">
        <f>(P$102+1-YEAR(Inputs!$G$26))*Months_In_Year-MONTH(Inputs!$G$26)</f>
        <v/>
      </c>
      <c r="Q169" s="26">
        <f>(Q$102+1-YEAR(Inputs!$G$26))*Months_In_Year-MONTH(Inputs!$G$26)</f>
        <v/>
      </c>
      <c r="R169" s="26">
        <f>(R$102+1-YEAR(Inputs!$G$26))*Months_In_Year-MONTH(Inputs!$G$26)</f>
        <v/>
      </c>
      <c r="S169" s="26">
        <f>(S$102+1-YEAR(Inputs!$G$26))*Months_In_Year-MONTH(Inputs!$G$26)</f>
        <v/>
      </c>
      <c r="T169" s="26">
        <f>(T$102+1-YEAR(Inputs!$G$26))*Months_In_Year-MONTH(Inputs!$G$26)</f>
        <v/>
      </c>
      <c r="U169" s="26">
        <f>(U$102+1-YEAR(Inputs!$G$26))*Months_In_Year-MONTH(Inputs!$G$26)</f>
        <v/>
      </c>
      <c r="V169" s="26">
        <f>(V$102+1-YEAR(Inputs!$G$26))*Months_In_Year-MONTH(Inputs!$G$26)</f>
        <v/>
      </c>
      <c r="W169" s="26">
        <f>(W$102+1-YEAR(Inputs!$G$26))*Months_In_Year-MONTH(Inputs!$G$26)</f>
        <v/>
      </c>
      <c r="X169" s="26">
        <f>(X$102+1-YEAR(Inputs!$G$26))*Months_In_Year-MONTH(Inputs!$G$26)</f>
        <v/>
      </c>
      <c r="Y169" s="26">
        <f>(Y$102+1-YEAR(Inputs!$G$26))*Months_In_Year-MONTH(Inputs!$G$26)</f>
        <v/>
      </c>
      <c r="Z169" s="26">
        <f>(Z$102+1-YEAR(Inputs!$G$26))*Months_In_Year-MONTH(Inputs!$G$26)</f>
        <v/>
      </c>
      <c r="AA169" s="26">
        <f>(AA$102+1-YEAR(Inputs!$G$26))*Months_In_Year-MONTH(Inputs!$G$26)</f>
        <v/>
      </c>
      <c r="AB169" s="26">
        <f>(AB$102+1-YEAR(Inputs!$G$26))*Months_In_Year-MONTH(Inputs!$G$26)</f>
        <v/>
      </c>
      <c r="AC169" s="26">
        <f>(AC$102+1-YEAR(Inputs!$G$26))*Months_In_Year-MONTH(Inputs!$G$26)</f>
        <v/>
      </c>
      <c r="AD169" s="26">
        <f>(AD$102+1-YEAR(Inputs!$G$26))*Months_In_Year-MONTH(Inputs!$G$26)</f>
        <v/>
      </c>
      <c r="AE169" s="26">
        <f>(AE$102+1-YEAR(Inputs!$G$26))*Months_In_Year-MONTH(Inputs!$G$26)</f>
        <v/>
      </c>
      <c r="AF169" s="26">
        <f>(AF$102+1-YEAR(Inputs!$G$26))*Months_In_Year-MONTH(Inputs!$G$26)</f>
        <v/>
      </c>
      <c r="AG169" s="26">
        <f>(AG$102+1-YEAR(Inputs!$G$26))*Months_In_Year-MONTH(Inputs!$G$26)</f>
        <v/>
      </c>
      <c r="AH169" s="26">
        <f>(AH$102+1-YEAR(Inputs!$G$26))*Months_In_Year-MONTH(Inputs!$G$26)</f>
        <v/>
      </c>
      <c r="AI169" s="26">
        <f>(AI$102+1-YEAR(Inputs!$G$26))*Months_In_Year-MONTH(Inputs!$G$26)</f>
        <v/>
      </c>
      <c r="AJ169" s="26">
        <f>(AJ$102+1-YEAR(Inputs!$G$26))*Months_In_Year-MONTH(Inputs!$G$26)</f>
        <v/>
      </c>
      <c r="AK169" s="26">
        <f>(AK$102+1-YEAR(Inputs!$G$26))*Months_In_Year-MONTH(Inputs!$G$26)</f>
        <v/>
      </c>
      <c r="AL169" s="26">
        <f>(AL$102+1-YEAR(Inputs!$G$26))*Months_In_Year-MONTH(Inputs!$G$26)</f>
        <v/>
      </c>
      <c r="AM169" s="26">
        <f>(AM$102+1-YEAR(Inputs!$G$26))*Months_In_Year-MONTH(Inputs!$G$26)</f>
        <v/>
      </c>
      <c r="AN169" s="26">
        <f>(AN$102+1-YEAR(Inputs!$G$26))*Months_In_Year-MONTH(Inputs!$G$26)</f>
        <v/>
      </c>
      <c r="AO169" s="26">
        <f>(AO$102+1-YEAR(Inputs!$G$26))*Months_In_Year-MONTH(Inputs!$G$26)</f>
        <v/>
      </c>
      <c r="AP169" s="26">
        <f>(AP$102+1-YEAR(Inputs!$G$26))*Months_In_Year-MONTH(Inputs!$G$26)</f>
        <v/>
      </c>
      <c r="AQ169" s="26">
        <f>(AQ$102+1-YEAR(Inputs!$G$26))*Months_In_Year-MONTH(Inputs!$G$26)</f>
        <v/>
      </c>
      <c r="AR169" s="26">
        <f>(AR$102+1-YEAR(Inputs!$G$26))*Months_In_Year-MONTH(Inputs!$G$26)</f>
        <v/>
      </c>
      <c r="AS169" s="26">
        <f>(AS$102+1-YEAR(Inputs!$G$26))*Months_In_Year-MONTH(Inputs!$G$26)</f>
        <v/>
      </c>
      <c r="AT169" s="26">
        <f>(AT$102+1-YEAR(Inputs!$G$26))*Months_In_Year-MONTH(Inputs!$G$26)</f>
        <v/>
      </c>
      <c r="AU169" s="26">
        <f>(AU$102+1-YEAR(Inputs!$G$26))*Months_In_Year-MONTH(Inputs!$G$26)</f>
        <v/>
      </c>
      <c r="AV169" s="26">
        <f>(AV$102+1-YEAR(Inputs!$G$26))*Months_In_Year-MONTH(Inputs!$G$26)</f>
        <v/>
      </c>
    </row>
    <row r="170">
      <c r="C170" s="6" t="inlineStr">
        <is>
          <t>Construction share of the year (NTP to COD)</t>
        </is>
      </c>
      <c r="D170" s="2" t="inlineStr">
        <is>
          <t>%</t>
        </is>
      </c>
      <c r="H170" s="27">
        <f>SUM(M170:AV170)</f>
        <v/>
      </c>
      <c r="M170" s="17">
        <f>MAX(0,MIN(M169,$G169)-MAX(M169-Months_In_Year,0))/$G169</f>
        <v/>
      </c>
      <c r="N170" s="17">
        <f>MAX(0,MIN(N169,$G169)-MAX(N169-Months_In_Year,0))/$G169</f>
        <v/>
      </c>
      <c r="O170" s="17">
        <f>MAX(0,MIN(O169,$G169)-MAX(O169-Months_In_Year,0))/$G169</f>
        <v/>
      </c>
      <c r="P170" s="17">
        <f>MAX(0,MIN(P169,$G169)-MAX(P169-Months_In_Year,0))/$G169</f>
        <v/>
      </c>
      <c r="Q170" s="17">
        <f>MAX(0,MIN(Q169,$G169)-MAX(Q169-Months_In_Year,0))/$G169</f>
        <v/>
      </c>
      <c r="R170" s="17">
        <f>MAX(0,MIN(R169,$G169)-MAX(R169-Months_In_Year,0))/$G169</f>
        <v/>
      </c>
      <c r="S170" s="17">
        <f>MAX(0,MIN(S169,$G169)-MAX(S169-Months_In_Year,0))/$G169</f>
        <v/>
      </c>
      <c r="T170" s="17">
        <f>MAX(0,MIN(T169,$G169)-MAX(T169-Months_In_Year,0))/$G169</f>
        <v/>
      </c>
      <c r="U170" s="17">
        <f>MAX(0,MIN(U169,$G169)-MAX(U169-Months_In_Year,0))/$G169</f>
        <v/>
      </c>
      <c r="V170" s="17">
        <f>MAX(0,MIN(V169,$G169)-MAX(V169-Months_In_Year,0))/$G169</f>
        <v/>
      </c>
      <c r="W170" s="17">
        <f>MAX(0,MIN(W169,$G169)-MAX(W169-Months_In_Year,0))/$G169</f>
        <v/>
      </c>
      <c r="X170" s="17">
        <f>MAX(0,MIN(X169,$G169)-MAX(X169-Months_In_Year,0))/$G169</f>
        <v/>
      </c>
      <c r="Y170" s="17">
        <f>MAX(0,MIN(Y169,$G169)-MAX(Y169-Months_In_Year,0))/$G169</f>
        <v/>
      </c>
      <c r="Z170" s="17">
        <f>MAX(0,MIN(Z169,$G169)-MAX(Z169-Months_In_Year,0))/$G169</f>
        <v/>
      </c>
      <c r="AA170" s="17">
        <f>MAX(0,MIN(AA169,$G169)-MAX(AA169-Months_In_Year,0))/$G169</f>
        <v/>
      </c>
      <c r="AB170" s="17">
        <f>MAX(0,MIN(AB169,$G169)-MAX(AB169-Months_In_Year,0))/$G169</f>
        <v/>
      </c>
      <c r="AC170" s="17">
        <f>MAX(0,MIN(AC169,$G169)-MAX(AC169-Months_In_Year,0))/$G169</f>
        <v/>
      </c>
      <c r="AD170" s="17">
        <f>MAX(0,MIN(AD169,$G169)-MAX(AD169-Months_In_Year,0))/$G169</f>
        <v/>
      </c>
      <c r="AE170" s="17">
        <f>MAX(0,MIN(AE169,$G169)-MAX(AE169-Months_In_Year,0))/$G169</f>
        <v/>
      </c>
      <c r="AF170" s="17">
        <f>MAX(0,MIN(AF169,$G169)-MAX(AF169-Months_In_Year,0))/$G169</f>
        <v/>
      </c>
      <c r="AG170" s="17">
        <f>MAX(0,MIN(AG169,$G169)-MAX(AG169-Months_In_Year,0))/$G169</f>
        <v/>
      </c>
      <c r="AH170" s="17">
        <f>MAX(0,MIN(AH169,$G169)-MAX(AH169-Months_In_Year,0))/$G169</f>
        <v/>
      </c>
      <c r="AI170" s="17">
        <f>MAX(0,MIN(AI169,$G169)-MAX(AI169-Months_In_Year,0))/$G169</f>
        <v/>
      </c>
      <c r="AJ170" s="17">
        <f>MAX(0,MIN(AJ169,$G169)-MAX(AJ169-Months_In_Year,0))/$G169</f>
        <v/>
      </c>
      <c r="AK170" s="17">
        <f>MAX(0,MIN(AK169,$G169)-MAX(AK169-Months_In_Year,0))/$G169</f>
        <v/>
      </c>
      <c r="AL170" s="17">
        <f>MAX(0,MIN(AL169,$G169)-MAX(AL169-Months_In_Year,0))/$G169</f>
        <v/>
      </c>
      <c r="AM170" s="17">
        <f>MAX(0,MIN(AM169,$G169)-MAX(AM169-Months_In_Year,0))/$G169</f>
        <v/>
      </c>
      <c r="AN170" s="17">
        <f>MAX(0,MIN(AN169,$G169)-MAX(AN169-Months_In_Year,0))/$G169</f>
        <v/>
      </c>
      <c r="AO170" s="17">
        <f>MAX(0,MIN(AO169,$G169)-MAX(AO169-Months_In_Year,0))/$G169</f>
        <v/>
      </c>
      <c r="AP170" s="17">
        <f>MAX(0,MIN(AP169,$G169)-MAX(AP169-Months_In_Year,0))/$G169</f>
        <v/>
      </c>
      <c r="AQ170" s="17">
        <f>MAX(0,MIN(AQ169,$G169)-MAX(AQ169-Months_In_Year,0))/$G169</f>
        <v/>
      </c>
      <c r="AR170" s="17">
        <f>MAX(0,MIN(AR169,$G169)-MAX(AR169-Months_In_Year,0))/$G169</f>
        <v/>
      </c>
      <c r="AS170" s="17">
        <f>MAX(0,MIN(AS169,$G169)-MAX(AS169-Months_In_Year,0))/$G169</f>
        <v/>
      </c>
      <c r="AT170" s="17">
        <f>MAX(0,MIN(AT169,$G169)-MAX(AT169-Months_In_Year,0))/$G169</f>
        <v/>
      </c>
      <c r="AU170" s="17">
        <f>MAX(0,MIN(AU169,$G169)-MAX(AU169-Months_In_Year,0))/$G169</f>
        <v/>
      </c>
      <c r="AV170" s="17">
        <f>MAX(0,MIN(AV169,$G169)-MAX(AV169-Months_In_Year,0))/$G169</f>
        <v/>
      </c>
    </row>
    <row r="171">
      <c r="C171" s="6" t="inlineStr">
        <is>
          <t>Months operated by year end (value: operating life)</t>
        </is>
      </c>
      <c r="D171" s="2" t="inlineStr">
        <is>
          <t>months</t>
        </is>
      </c>
      <c r="G171" s="26">
        <f>Life*Months_In_Year</f>
        <v/>
      </c>
      <c r="M171" s="26">
        <f>(M$102+1-YEAR(Inputs!$G$27))*Months_In_Year-MONTH(Inputs!$G$27)</f>
        <v/>
      </c>
      <c r="N171" s="26">
        <f>(N$102+1-YEAR(Inputs!$G$27))*Months_In_Year-MONTH(Inputs!$G$27)</f>
        <v/>
      </c>
      <c r="O171" s="26">
        <f>(O$102+1-YEAR(Inputs!$G$27))*Months_In_Year-MONTH(Inputs!$G$27)</f>
        <v/>
      </c>
      <c r="P171" s="26">
        <f>(P$102+1-YEAR(Inputs!$G$27))*Months_In_Year-MONTH(Inputs!$G$27)</f>
        <v/>
      </c>
      <c r="Q171" s="26">
        <f>(Q$102+1-YEAR(Inputs!$G$27))*Months_In_Year-MONTH(Inputs!$G$27)</f>
        <v/>
      </c>
      <c r="R171" s="26">
        <f>(R$102+1-YEAR(Inputs!$G$27))*Months_In_Year-MONTH(Inputs!$G$27)</f>
        <v/>
      </c>
      <c r="S171" s="26">
        <f>(S$102+1-YEAR(Inputs!$G$27))*Months_In_Year-MONTH(Inputs!$G$27)</f>
        <v/>
      </c>
      <c r="T171" s="26">
        <f>(T$102+1-YEAR(Inputs!$G$27))*Months_In_Year-MONTH(Inputs!$G$27)</f>
        <v/>
      </c>
      <c r="U171" s="26">
        <f>(U$102+1-YEAR(Inputs!$G$27))*Months_In_Year-MONTH(Inputs!$G$27)</f>
        <v/>
      </c>
      <c r="V171" s="26">
        <f>(V$102+1-YEAR(Inputs!$G$27))*Months_In_Year-MONTH(Inputs!$G$27)</f>
        <v/>
      </c>
      <c r="W171" s="26">
        <f>(W$102+1-YEAR(Inputs!$G$27))*Months_In_Year-MONTH(Inputs!$G$27)</f>
        <v/>
      </c>
      <c r="X171" s="26">
        <f>(X$102+1-YEAR(Inputs!$G$27))*Months_In_Year-MONTH(Inputs!$G$27)</f>
        <v/>
      </c>
      <c r="Y171" s="26">
        <f>(Y$102+1-YEAR(Inputs!$G$27))*Months_In_Year-MONTH(Inputs!$G$27)</f>
        <v/>
      </c>
      <c r="Z171" s="26">
        <f>(Z$102+1-YEAR(Inputs!$G$27))*Months_In_Year-MONTH(Inputs!$G$27)</f>
        <v/>
      </c>
      <c r="AA171" s="26">
        <f>(AA$102+1-YEAR(Inputs!$G$27))*Months_In_Year-MONTH(Inputs!$G$27)</f>
        <v/>
      </c>
      <c r="AB171" s="26">
        <f>(AB$102+1-YEAR(Inputs!$G$27))*Months_In_Year-MONTH(Inputs!$G$27)</f>
        <v/>
      </c>
      <c r="AC171" s="26">
        <f>(AC$102+1-YEAR(Inputs!$G$27))*Months_In_Year-MONTH(Inputs!$G$27)</f>
        <v/>
      </c>
      <c r="AD171" s="26">
        <f>(AD$102+1-YEAR(Inputs!$G$27))*Months_In_Year-MONTH(Inputs!$G$27)</f>
        <v/>
      </c>
      <c r="AE171" s="26">
        <f>(AE$102+1-YEAR(Inputs!$G$27))*Months_In_Year-MONTH(Inputs!$G$27)</f>
        <v/>
      </c>
      <c r="AF171" s="26">
        <f>(AF$102+1-YEAR(Inputs!$G$27))*Months_In_Year-MONTH(Inputs!$G$27)</f>
        <v/>
      </c>
      <c r="AG171" s="26">
        <f>(AG$102+1-YEAR(Inputs!$G$27))*Months_In_Year-MONTH(Inputs!$G$27)</f>
        <v/>
      </c>
      <c r="AH171" s="26">
        <f>(AH$102+1-YEAR(Inputs!$G$27))*Months_In_Year-MONTH(Inputs!$G$27)</f>
        <v/>
      </c>
      <c r="AI171" s="26">
        <f>(AI$102+1-YEAR(Inputs!$G$27))*Months_In_Year-MONTH(Inputs!$G$27)</f>
        <v/>
      </c>
      <c r="AJ171" s="26">
        <f>(AJ$102+1-YEAR(Inputs!$G$27))*Months_In_Year-MONTH(Inputs!$G$27)</f>
        <v/>
      </c>
      <c r="AK171" s="26">
        <f>(AK$102+1-YEAR(Inputs!$G$27))*Months_In_Year-MONTH(Inputs!$G$27)</f>
        <v/>
      </c>
      <c r="AL171" s="26">
        <f>(AL$102+1-YEAR(Inputs!$G$27))*Months_In_Year-MONTH(Inputs!$G$27)</f>
        <v/>
      </c>
      <c r="AM171" s="26">
        <f>(AM$102+1-YEAR(Inputs!$G$27))*Months_In_Year-MONTH(Inputs!$G$27)</f>
        <v/>
      </c>
      <c r="AN171" s="26">
        <f>(AN$102+1-YEAR(Inputs!$G$27))*Months_In_Year-MONTH(Inputs!$G$27)</f>
        <v/>
      </c>
      <c r="AO171" s="26">
        <f>(AO$102+1-YEAR(Inputs!$G$27))*Months_In_Year-MONTH(Inputs!$G$27)</f>
        <v/>
      </c>
      <c r="AP171" s="26">
        <f>(AP$102+1-YEAR(Inputs!$G$27))*Months_In_Year-MONTH(Inputs!$G$27)</f>
        <v/>
      </c>
      <c r="AQ171" s="26">
        <f>(AQ$102+1-YEAR(Inputs!$G$27))*Months_In_Year-MONTH(Inputs!$G$27)</f>
        <v/>
      </c>
      <c r="AR171" s="26">
        <f>(AR$102+1-YEAR(Inputs!$G$27))*Months_In_Year-MONTH(Inputs!$G$27)</f>
        <v/>
      </c>
      <c r="AS171" s="26">
        <f>(AS$102+1-YEAR(Inputs!$G$27))*Months_In_Year-MONTH(Inputs!$G$27)</f>
        <v/>
      </c>
      <c r="AT171" s="26">
        <f>(AT$102+1-YEAR(Inputs!$G$27))*Months_In_Year-MONTH(Inputs!$G$27)</f>
        <v/>
      </c>
      <c r="AU171" s="26">
        <f>(AU$102+1-YEAR(Inputs!$G$27))*Months_In_Year-MONTH(Inputs!$G$27)</f>
        <v/>
      </c>
      <c r="AV171" s="26">
        <f>(AV$102+1-YEAR(Inputs!$G$27))*Months_In_Year-MONTH(Inputs!$G$27)</f>
        <v/>
      </c>
    </row>
    <row r="172">
      <c r="C172" s="6" t="inlineStr">
        <is>
          <t>Operating share of the year (COD to end of life)</t>
        </is>
      </c>
      <c r="D172" s="2" t="inlineStr">
        <is>
          <t>%</t>
        </is>
      </c>
      <c r="H172" s="27">
        <f>SUM(M172:AV172)</f>
        <v/>
      </c>
      <c r="M172" s="17">
        <f>MAX(0,MIN(M171,$G171)-MAX(M171-Months_In_Year,0))/Months_In_Year</f>
        <v/>
      </c>
      <c r="N172" s="17">
        <f>MAX(0,MIN(N171,$G171)-MAX(N171-Months_In_Year,0))/Months_In_Year</f>
        <v/>
      </c>
      <c r="O172" s="17">
        <f>MAX(0,MIN(O171,$G171)-MAX(O171-Months_In_Year,0))/Months_In_Year</f>
        <v/>
      </c>
      <c r="P172" s="17">
        <f>MAX(0,MIN(P171,$G171)-MAX(P171-Months_In_Year,0))/Months_In_Year</f>
        <v/>
      </c>
      <c r="Q172" s="17">
        <f>MAX(0,MIN(Q171,$G171)-MAX(Q171-Months_In_Year,0))/Months_In_Year</f>
        <v/>
      </c>
      <c r="R172" s="17">
        <f>MAX(0,MIN(R171,$G171)-MAX(R171-Months_In_Year,0))/Months_In_Year</f>
        <v/>
      </c>
      <c r="S172" s="17">
        <f>MAX(0,MIN(S171,$G171)-MAX(S171-Months_In_Year,0))/Months_In_Year</f>
        <v/>
      </c>
      <c r="T172" s="17">
        <f>MAX(0,MIN(T171,$G171)-MAX(T171-Months_In_Year,0))/Months_In_Year</f>
        <v/>
      </c>
      <c r="U172" s="17">
        <f>MAX(0,MIN(U171,$G171)-MAX(U171-Months_In_Year,0))/Months_In_Year</f>
        <v/>
      </c>
      <c r="V172" s="17">
        <f>MAX(0,MIN(V171,$G171)-MAX(V171-Months_In_Year,0))/Months_In_Year</f>
        <v/>
      </c>
      <c r="W172" s="17">
        <f>MAX(0,MIN(W171,$G171)-MAX(W171-Months_In_Year,0))/Months_In_Year</f>
        <v/>
      </c>
      <c r="X172" s="17">
        <f>MAX(0,MIN(X171,$G171)-MAX(X171-Months_In_Year,0))/Months_In_Year</f>
        <v/>
      </c>
      <c r="Y172" s="17">
        <f>MAX(0,MIN(Y171,$G171)-MAX(Y171-Months_In_Year,0))/Months_In_Year</f>
        <v/>
      </c>
      <c r="Z172" s="17">
        <f>MAX(0,MIN(Z171,$G171)-MAX(Z171-Months_In_Year,0))/Months_In_Year</f>
        <v/>
      </c>
      <c r="AA172" s="17">
        <f>MAX(0,MIN(AA171,$G171)-MAX(AA171-Months_In_Year,0))/Months_In_Year</f>
        <v/>
      </c>
      <c r="AB172" s="17">
        <f>MAX(0,MIN(AB171,$G171)-MAX(AB171-Months_In_Year,0))/Months_In_Year</f>
        <v/>
      </c>
      <c r="AC172" s="17">
        <f>MAX(0,MIN(AC171,$G171)-MAX(AC171-Months_In_Year,0))/Months_In_Year</f>
        <v/>
      </c>
      <c r="AD172" s="17">
        <f>MAX(0,MIN(AD171,$G171)-MAX(AD171-Months_In_Year,0))/Months_In_Year</f>
        <v/>
      </c>
      <c r="AE172" s="17">
        <f>MAX(0,MIN(AE171,$G171)-MAX(AE171-Months_In_Year,0))/Months_In_Year</f>
        <v/>
      </c>
      <c r="AF172" s="17">
        <f>MAX(0,MIN(AF171,$G171)-MAX(AF171-Months_In_Year,0))/Months_In_Year</f>
        <v/>
      </c>
      <c r="AG172" s="17">
        <f>MAX(0,MIN(AG171,$G171)-MAX(AG171-Months_In_Year,0))/Months_In_Year</f>
        <v/>
      </c>
      <c r="AH172" s="17">
        <f>MAX(0,MIN(AH171,$G171)-MAX(AH171-Months_In_Year,0))/Months_In_Year</f>
        <v/>
      </c>
      <c r="AI172" s="17">
        <f>MAX(0,MIN(AI171,$G171)-MAX(AI171-Months_In_Year,0))/Months_In_Year</f>
        <v/>
      </c>
      <c r="AJ172" s="17">
        <f>MAX(0,MIN(AJ171,$G171)-MAX(AJ171-Months_In_Year,0))/Months_In_Year</f>
        <v/>
      </c>
      <c r="AK172" s="17">
        <f>MAX(0,MIN(AK171,$G171)-MAX(AK171-Months_In_Year,0))/Months_In_Year</f>
        <v/>
      </c>
      <c r="AL172" s="17">
        <f>MAX(0,MIN(AL171,$G171)-MAX(AL171-Months_In_Year,0))/Months_In_Year</f>
        <v/>
      </c>
      <c r="AM172" s="17">
        <f>MAX(0,MIN(AM171,$G171)-MAX(AM171-Months_In_Year,0))/Months_In_Year</f>
        <v/>
      </c>
      <c r="AN172" s="17">
        <f>MAX(0,MIN(AN171,$G171)-MAX(AN171-Months_In_Year,0))/Months_In_Year</f>
        <v/>
      </c>
      <c r="AO172" s="17">
        <f>MAX(0,MIN(AO171,$G171)-MAX(AO171-Months_In_Year,0))/Months_In_Year</f>
        <v/>
      </c>
      <c r="AP172" s="17">
        <f>MAX(0,MIN(AP171,$G171)-MAX(AP171-Months_In_Year,0))/Months_In_Year</f>
        <v/>
      </c>
      <c r="AQ172" s="17">
        <f>MAX(0,MIN(AQ171,$G171)-MAX(AQ171-Months_In_Year,0))/Months_In_Year</f>
        <v/>
      </c>
      <c r="AR172" s="17">
        <f>MAX(0,MIN(AR171,$G171)-MAX(AR171-Months_In_Year,0))/Months_In_Year</f>
        <v/>
      </c>
      <c r="AS172" s="17">
        <f>MAX(0,MIN(AS171,$G171)-MAX(AS171-Months_In_Year,0))/Months_In_Year</f>
        <v/>
      </c>
      <c r="AT172" s="17">
        <f>MAX(0,MIN(AT171,$G171)-MAX(AT171-Months_In_Year,0))/Months_In_Year</f>
        <v/>
      </c>
      <c r="AU172" s="17">
        <f>MAX(0,MIN(AU171,$G171)-MAX(AU171-Months_In_Year,0))/Months_In_Year</f>
        <v/>
      </c>
      <c r="AV172" s="17">
        <f>MAX(0,MIN(AV171,$G171)-MAX(AV171-Months_In_Year,0))/Months_In_Year</f>
        <v/>
      </c>
    </row>
    <row r="173">
      <c r="C173" s="6" t="inlineStr">
        <is>
          <t>COD year flag</t>
        </is>
      </c>
      <c r="D173" s="2" t="inlineStr">
        <is>
          <t>flag</t>
        </is>
      </c>
      <c r="M173" s="28">
        <f>N(M168=0)</f>
        <v/>
      </c>
      <c r="N173" s="28">
        <f>N(N168=0)</f>
        <v/>
      </c>
      <c r="O173" s="28">
        <f>N(O168=0)</f>
        <v/>
      </c>
      <c r="P173" s="28">
        <f>N(P168=0)</f>
        <v/>
      </c>
      <c r="Q173" s="28">
        <f>N(Q168=0)</f>
        <v/>
      </c>
      <c r="R173" s="28">
        <f>N(R168=0)</f>
        <v/>
      </c>
      <c r="S173" s="28">
        <f>N(S168=0)</f>
        <v/>
      </c>
      <c r="T173" s="28">
        <f>N(T168=0)</f>
        <v/>
      </c>
      <c r="U173" s="28">
        <f>N(U168=0)</f>
        <v/>
      </c>
      <c r="V173" s="28">
        <f>N(V168=0)</f>
        <v/>
      </c>
      <c r="W173" s="28">
        <f>N(W168=0)</f>
        <v/>
      </c>
      <c r="X173" s="28">
        <f>N(X168=0)</f>
        <v/>
      </c>
      <c r="Y173" s="28">
        <f>N(Y168=0)</f>
        <v/>
      </c>
      <c r="Z173" s="28">
        <f>N(Z168=0)</f>
        <v/>
      </c>
      <c r="AA173" s="28">
        <f>N(AA168=0)</f>
        <v/>
      </c>
      <c r="AB173" s="28">
        <f>N(AB168=0)</f>
        <v/>
      </c>
      <c r="AC173" s="28">
        <f>N(AC168=0)</f>
        <v/>
      </c>
      <c r="AD173" s="28">
        <f>N(AD168=0)</f>
        <v/>
      </c>
      <c r="AE173" s="28">
        <f>N(AE168=0)</f>
        <v/>
      </c>
      <c r="AF173" s="28">
        <f>N(AF168=0)</f>
        <v/>
      </c>
      <c r="AG173" s="28">
        <f>N(AG168=0)</f>
        <v/>
      </c>
      <c r="AH173" s="28">
        <f>N(AH168=0)</f>
        <v/>
      </c>
      <c r="AI173" s="28">
        <f>N(AI168=0)</f>
        <v/>
      </c>
      <c r="AJ173" s="28">
        <f>N(AJ168=0)</f>
        <v/>
      </c>
      <c r="AK173" s="28">
        <f>N(AK168=0)</f>
        <v/>
      </c>
      <c r="AL173" s="28">
        <f>N(AL168=0)</f>
        <v/>
      </c>
      <c r="AM173" s="28">
        <f>N(AM168=0)</f>
        <v/>
      </c>
      <c r="AN173" s="28">
        <f>N(AN168=0)</f>
        <v/>
      </c>
      <c r="AO173" s="28">
        <f>N(AO168=0)</f>
        <v/>
      </c>
      <c r="AP173" s="28">
        <f>N(AP168=0)</f>
        <v/>
      </c>
      <c r="AQ173" s="28">
        <f>N(AQ168=0)</f>
        <v/>
      </c>
      <c r="AR173" s="28">
        <f>N(AR168=0)</f>
        <v/>
      </c>
      <c r="AS173" s="28">
        <f>N(AS168=0)</f>
        <v/>
      </c>
      <c r="AT173" s="28">
        <f>N(AT168=0)</f>
        <v/>
      </c>
      <c r="AU173" s="28">
        <f>N(AU168=0)</f>
        <v/>
      </c>
      <c r="AV173" s="28">
        <f>N(AV168=0)</f>
        <v/>
      </c>
    </row>
    <row r="174">
      <c r="C174" s="6" t="inlineStr">
        <is>
          <t>FEP outlays at their dates (signing, fee, securities, fees, devex)</t>
        </is>
      </c>
      <c r="D174" s="2" t="inlineStr">
        <is>
          <t>EUR k</t>
        </is>
      </c>
      <c r="H174" s="8">
        <f>SUM(M174:AV174)</f>
        <v/>
      </c>
      <c r="M174" s="8">
        <f>SUMPRODUCT((YEAR($L$71:$L$78)=M$102)*$G$71:$G$78)</f>
        <v/>
      </c>
      <c r="N174" s="8">
        <f>SUMPRODUCT((YEAR($L$71:$L$78)=N$102)*$G$71:$G$78)</f>
        <v/>
      </c>
      <c r="O174" s="8">
        <f>SUMPRODUCT((YEAR($L$71:$L$78)=O$102)*$G$71:$G$78)</f>
        <v/>
      </c>
      <c r="P174" s="8">
        <f>SUMPRODUCT((YEAR($L$71:$L$78)=P$102)*$G$71:$G$78)</f>
        <v/>
      </c>
      <c r="Q174" s="8">
        <f>SUMPRODUCT((YEAR($L$71:$L$78)=Q$102)*$G$71:$G$78)</f>
        <v/>
      </c>
      <c r="R174" s="8">
        <f>SUMPRODUCT((YEAR($L$71:$L$78)=R$102)*$G$71:$G$78)</f>
        <v/>
      </c>
      <c r="S174" s="8">
        <f>SUMPRODUCT((YEAR($L$71:$L$78)=S$102)*$G$71:$G$78)</f>
        <v/>
      </c>
      <c r="T174" s="8">
        <f>SUMPRODUCT((YEAR($L$71:$L$78)=T$102)*$G$71:$G$78)</f>
        <v/>
      </c>
      <c r="U174" s="8">
        <f>SUMPRODUCT((YEAR($L$71:$L$78)=U$102)*$G$71:$G$78)</f>
        <v/>
      </c>
      <c r="V174" s="8">
        <f>SUMPRODUCT((YEAR($L$71:$L$78)=V$102)*$G$71:$G$78)</f>
        <v/>
      </c>
      <c r="W174" s="8">
        <f>SUMPRODUCT((YEAR($L$71:$L$78)=W$102)*$G$71:$G$78)</f>
        <v/>
      </c>
      <c r="X174" s="8">
        <f>SUMPRODUCT((YEAR($L$71:$L$78)=X$102)*$G$71:$G$78)</f>
        <v/>
      </c>
      <c r="Y174" s="8">
        <f>SUMPRODUCT((YEAR($L$71:$L$78)=Y$102)*$G$71:$G$78)</f>
        <v/>
      </c>
      <c r="Z174" s="8">
        <f>SUMPRODUCT((YEAR($L$71:$L$78)=Z$102)*$G$71:$G$78)</f>
        <v/>
      </c>
      <c r="AA174" s="8">
        <f>SUMPRODUCT((YEAR($L$71:$L$78)=AA$102)*$G$71:$G$78)</f>
        <v/>
      </c>
      <c r="AB174" s="8">
        <f>SUMPRODUCT((YEAR($L$71:$L$78)=AB$102)*$G$71:$G$78)</f>
        <v/>
      </c>
      <c r="AC174" s="8">
        <f>SUMPRODUCT((YEAR($L$71:$L$78)=AC$102)*$G$71:$G$78)</f>
        <v/>
      </c>
      <c r="AD174" s="8">
        <f>SUMPRODUCT((YEAR($L$71:$L$78)=AD$102)*$G$71:$G$78)</f>
        <v/>
      </c>
      <c r="AE174" s="8">
        <f>SUMPRODUCT((YEAR($L$71:$L$78)=AE$102)*$G$71:$G$78)</f>
        <v/>
      </c>
      <c r="AF174" s="8">
        <f>SUMPRODUCT((YEAR($L$71:$L$78)=AF$102)*$G$71:$G$78)</f>
        <v/>
      </c>
      <c r="AG174" s="8">
        <f>SUMPRODUCT((YEAR($L$71:$L$78)=AG$102)*$G$71:$G$78)</f>
        <v/>
      </c>
      <c r="AH174" s="8">
        <f>SUMPRODUCT((YEAR($L$71:$L$78)=AH$102)*$G$71:$G$78)</f>
        <v/>
      </c>
      <c r="AI174" s="8">
        <f>SUMPRODUCT((YEAR($L$71:$L$78)=AI$102)*$G$71:$G$78)</f>
        <v/>
      </c>
      <c r="AJ174" s="8">
        <f>SUMPRODUCT((YEAR($L$71:$L$78)=AJ$102)*$G$71:$G$78)</f>
        <v/>
      </c>
      <c r="AK174" s="8">
        <f>SUMPRODUCT((YEAR($L$71:$L$78)=AK$102)*$G$71:$G$78)</f>
        <v/>
      </c>
      <c r="AL174" s="8">
        <f>SUMPRODUCT((YEAR($L$71:$L$78)=AL$102)*$G$71:$G$78)</f>
        <v/>
      </c>
      <c r="AM174" s="8">
        <f>SUMPRODUCT((YEAR($L$71:$L$78)=AM$102)*$G$71:$G$78)</f>
        <v/>
      </c>
      <c r="AN174" s="8">
        <f>SUMPRODUCT((YEAR($L$71:$L$78)=AN$102)*$G$71:$G$78)</f>
        <v/>
      </c>
      <c r="AO174" s="8">
        <f>SUMPRODUCT((YEAR($L$71:$L$78)=AO$102)*$G$71:$G$78)</f>
        <v/>
      </c>
      <c r="AP174" s="8">
        <f>SUMPRODUCT((YEAR($L$71:$L$78)=AP$102)*$G$71:$G$78)</f>
        <v/>
      </c>
      <c r="AQ174" s="8">
        <f>SUMPRODUCT((YEAR($L$71:$L$78)=AQ$102)*$G$71:$G$78)</f>
        <v/>
      </c>
      <c r="AR174" s="8">
        <f>SUMPRODUCT((YEAR($L$71:$L$78)=AR$102)*$G$71:$G$78)</f>
        <v/>
      </c>
      <c r="AS174" s="8">
        <f>SUMPRODUCT((YEAR($L$71:$L$78)=AS$102)*$G$71:$G$78)</f>
        <v/>
      </c>
      <c r="AT174" s="8">
        <f>SUMPRODUCT((YEAR($L$71:$L$78)=AT$102)*$G$71:$G$78)</f>
        <v/>
      </c>
      <c r="AU174" s="8">
        <f>SUMPRODUCT((YEAR($L$71:$L$78)=AU$102)*$G$71:$G$78)</f>
        <v/>
      </c>
      <c r="AV174" s="8">
        <f>SUMPRODUCT((YEAR($L$71:$L$78)=AV$102)*$G$71:$G$78)</f>
        <v/>
      </c>
    </row>
    <row r="175">
      <c r="C175" s="6" t="inlineStr">
        <is>
          <t>Performance security released (bid security included)</t>
        </is>
      </c>
      <c r="D175" s="2" t="inlineStr">
        <is>
          <t>EUR k</t>
        </is>
      </c>
      <c r="H175" s="8">
        <f>SUM(M175:AV175)</f>
        <v/>
      </c>
      <c r="M175" s="8">
        <f>($G$24+$G$25)*(M$102=YEAR(Inputs!$G$28))</f>
        <v/>
      </c>
      <c r="N175" s="8">
        <f>($G$24+$G$25)*(N$102=YEAR(Inputs!$G$28))</f>
        <v/>
      </c>
      <c r="O175" s="8">
        <f>($G$24+$G$25)*(O$102=YEAR(Inputs!$G$28))</f>
        <v/>
      </c>
      <c r="P175" s="8">
        <f>($G$24+$G$25)*(P$102=YEAR(Inputs!$G$28))</f>
        <v/>
      </c>
      <c r="Q175" s="8">
        <f>($G$24+$G$25)*(Q$102=YEAR(Inputs!$G$28))</f>
        <v/>
      </c>
      <c r="R175" s="8">
        <f>($G$24+$G$25)*(R$102=YEAR(Inputs!$G$28))</f>
        <v/>
      </c>
      <c r="S175" s="8">
        <f>($G$24+$G$25)*(S$102=YEAR(Inputs!$G$28))</f>
        <v/>
      </c>
      <c r="T175" s="8">
        <f>($G$24+$G$25)*(T$102=YEAR(Inputs!$G$28))</f>
        <v/>
      </c>
      <c r="U175" s="8">
        <f>($G$24+$G$25)*(U$102=YEAR(Inputs!$G$28))</f>
        <v/>
      </c>
      <c r="V175" s="8">
        <f>($G$24+$G$25)*(V$102=YEAR(Inputs!$G$28))</f>
        <v/>
      </c>
      <c r="W175" s="8">
        <f>($G$24+$G$25)*(W$102=YEAR(Inputs!$G$28))</f>
        <v/>
      </c>
      <c r="X175" s="8">
        <f>($G$24+$G$25)*(X$102=YEAR(Inputs!$G$28))</f>
        <v/>
      </c>
      <c r="Y175" s="8">
        <f>($G$24+$G$25)*(Y$102=YEAR(Inputs!$G$28))</f>
        <v/>
      </c>
      <c r="Z175" s="8">
        <f>($G$24+$G$25)*(Z$102=YEAR(Inputs!$G$28))</f>
        <v/>
      </c>
      <c r="AA175" s="8">
        <f>($G$24+$G$25)*(AA$102=YEAR(Inputs!$G$28))</f>
        <v/>
      </c>
      <c r="AB175" s="8">
        <f>($G$24+$G$25)*(AB$102=YEAR(Inputs!$G$28))</f>
        <v/>
      </c>
      <c r="AC175" s="8">
        <f>($G$24+$G$25)*(AC$102=YEAR(Inputs!$G$28))</f>
        <v/>
      </c>
      <c r="AD175" s="8">
        <f>($G$24+$G$25)*(AD$102=YEAR(Inputs!$G$28))</f>
        <v/>
      </c>
      <c r="AE175" s="8">
        <f>($G$24+$G$25)*(AE$102=YEAR(Inputs!$G$28))</f>
        <v/>
      </c>
      <c r="AF175" s="8">
        <f>($G$24+$G$25)*(AF$102=YEAR(Inputs!$G$28))</f>
        <v/>
      </c>
      <c r="AG175" s="8">
        <f>($G$24+$G$25)*(AG$102=YEAR(Inputs!$G$28))</f>
        <v/>
      </c>
      <c r="AH175" s="8">
        <f>($G$24+$G$25)*(AH$102=YEAR(Inputs!$G$28))</f>
        <v/>
      </c>
      <c r="AI175" s="8">
        <f>($G$24+$G$25)*(AI$102=YEAR(Inputs!$G$28))</f>
        <v/>
      </c>
      <c r="AJ175" s="8">
        <f>($G$24+$G$25)*(AJ$102=YEAR(Inputs!$G$28))</f>
        <v/>
      </c>
      <c r="AK175" s="8">
        <f>($G$24+$G$25)*(AK$102=YEAR(Inputs!$G$28))</f>
        <v/>
      </c>
      <c r="AL175" s="8">
        <f>($G$24+$G$25)*(AL$102=YEAR(Inputs!$G$28))</f>
        <v/>
      </c>
      <c r="AM175" s="8">
        <f>($G$24+$G$25)*(AM$102=YEAR(Inputs!$G$28))</f>
        <v/>
      </c>
      <c r="AN175" s="8">
        <f>($G$24+$G$25)*(AN$102=YEAR(Inputs!$G$28))</f>
        <v/>
      </c>
      <c r="AO175" s="8">
        <f>($G$24+$G$25)*(AO$102=YEAR(Inputs!$G$28))</f>
        <v/>
      </c>
      <c r="AP175" s="8">
        <f>($G$24+$G$25)*(AP$102=YEAR(Inputs!$G$28))</f>
        <v/>
      </c>
      <c r="AQ175" s="8">
        <f>($G$24+$G$25)*(AQ$102=YEAR(Inputs!$G$28))</f>
        <v/>
      </c>
      <c r="AR175" s="8">
        <f>($G$24+$G$25)*(AR$102=YEAR(Inputs!$G$28))</f>
        <v/>
      </c>
      <c r="AS175" s="8">
        <f>($G$24+$G$25)*(AS$102=YEAR(Inputs!$G$28))</f>
        <v/>
      </c>
      <c r="AT175" s="8">
        <f>($G$24+$G$25)*(AT$102=YEAR(Inputs!$G$28))</f>
        <v/>
      </c>
      <c r="AU175" s="8">
        <f>($G$24+$G$25)*(AU$102=YEAR(Inputs!$G$28))</f>
        <v/>
      </c>
      <c r="AV175" s="8">
        <f>($G$24+$G$25)*(AV$102=YEAR(Inputs!$G$28))</f>
        <v/>
      </c>
    </row>
    <row r="176">
      <c r="C176" s="6" t="inlineStr">
        <is>
          <t>Construction capex (straight-line NTP to COD)</t>
        </is>
      </c>
      <c r="D176" s="2" t="inlineStr">
        <is>
          <t>EUR k</t>
        </is>
      </c>
      <c r="H176" s="8">
        <f>SUM(M176:AV176)</f>
        <v/>
      </c>
      <c r="M176" s="8">
        <f>-$G$95*M170</f>
        <v/>
      </c>
      <c r="N176" s="8">
        <f>-$G$95*N170</f>
        <v/>
      </c>
      <c r="O176" s="8">
        <f>-$G$95*O170</f>
        <v/>
      </c>
      <c r="P176" s="8">
        <f>-$G$95*P170</f>
        <v/>
      </c>
      <c r="Q176" s="8">
        <f>-$G$95*Q170</f>
        <v/>
      </c>
      <c r="R176" s="8">
        <f>-$G$95*R170</f>
        <v/>
      </c>
      <c r="S176" s="8">
        <f>-$G$95*S170</f>
        <v/>
      </c>
      <c r="T176" s="8">
        <f>-$G$95*T170</f>
        <v/>
      </c>
      <c r="U176" s="8">
        <f>-$G$95*U170</f>
        <v/>
      </c>
      <c r="V176" s="8">
        <f>-$G$95*V170</f>
        <v/>
      </c>
      <c r="W176" s="8">
        <f>-$G$95*W170</f>
        <v/>
      </c>
      <c r="X176" s="8">
        <f>-$G$95*X170</f>
        <v/>
      </c>
      <c r="Y176" s="8">
        <f>-$G$95*Y170</f>
        <v/>
      </c>
      <c r="Z176" s="8">
        <f>-$G$95*Z170</f>
        <v/>
      </c>
      <c r="AA176" s="8">
        <f>-$G$95*AA170</f>
        <v/>
      </c>
      <c r="AB176" s="8">
        <f>-$G$95*AB170</f>
        <v/>
      </c>
      <c r="AC176" s="8">
        <f>-$G$95*AC170</f>
        <v/>
      </c>
      <c r="AD176" s="8">
        <f>-$G$95*AD170</f>
        <v/>
      </c>
      <c r="AE176" s="8">
        <f>-$G$95*AE170</f>
        <v/>
      </c>
      <c r="AF176" s="8">
        <f>-$G$95*AF170</f>
        <v/>
      </c>
      <c r="AG176" s="8">
        <f>-$G$95*AG170</f>
        <v/>
      </c>
      <c r="AH176" s="8">
        <f>-$G$95*AH170</f>
        <v/>
      </c>
      <c r="AI176" s="8">
        <f>-$G$95*AI170</f>
        <v/>
      </c>
      <c r="AJ176" s="8">
        <f>-$G$95*AJ170</f>
        <v/>
      </c>
      <c r="AK176" s="8">
        <f>-$G$95*AK170</f>
        <v/>
      </c>
      <c r="AL176" s="8">
        <f>-$G$95*AL170</f>
        <v/>
      </c>
      <c r="AM176" s="8">
        <f>-$G$95*AM170</f>
        <v/>
      </c>
      <c r="AN176" s="8">
        <f>-$G$95*AN170</f>
        <v/>
      </c>
      <c r="AO176" s="8">
        <f>-$G$95*AO170</f>
        <v/>
      </c>
      <c r="AP176" s="8">
        <f>-$G$95*AP170</f>
        <v/>
      </c>
      <c r="AQ176" s="8">
        <f>-$G$95*AQ170</f>
        <v/>
      </c>
      <c r="AR176" s="8">
        <f>-$G$95*AR170</f>
        <v/>
      </c>
      <c r="AS176" s="8">
        <f>-$G$95*AS170</f>
        <v/>
      </c>
      <c r="AT176" s="8">
        <f>-$G$95*AT170</f>
        <v/>
      </c>
      <c r="AU176" s="8">
        <f>-$G$95*AU170</f>
        <v/>
      </c>
      <c r="AV176" s="8">
        <f>-$G$95*AV170</f>
        <v/>
      </c>
    </row>
    <row r="177">
      <c r="C177" s="6" t="inlineStr">
        <is>
          <t>Municipal one-off at COD</t>
        </is>
      </c>
      <c r="D177" s="2" t="inlineStr">
        <is>
          <t>EUR k</t>
        </is>
      </c>
      <c r="H177" s="8">
        <f>SUM(M177:AV177)</f>
        <v/>
      </c>
      <c r="M177" s="8">
        <f>-$G$97*M173</f>
        <v/>
      </c>
      <c r="N177" s="8">
        <f>-$G$97*N173</f>
        <v/>
      </c>
      <c r="O177" s="8">
        <f>-$G$97*O173</f>
        <v/>
      </c>
      <c r="P177" s="8">
        <f>-$G$97*P173</f>
        <v/>
      </c>
      <c r="Q177" s="8">
        <f>-$G$97*Q173</f>
        <v/>
      </c>
      <c r="R177" s="8">
        <f>-$G$97*R173</f>
        <v/>
      </c>
      <c r="S177" s="8">
        <f>-$G$97*S173</f>
        <v/>
      </c>
      <c r="T177" s="8">
        <f>-$G$97*T173</f>
        <v/>
      </c>
      <c r="U177" s="8">
        <f>-$G$97*U173</f>
        <v/>
      </c>
      <c r="V177" s="8">
        <f>-$G$97*V173</f>
        <v/>
      </c>
      <c r="W177" s="8">
        <f>-$G$97*W173</f>
        <v/>
      </c>
      <c r="X177" s="8">
        <f>-$G$97*X173</f>
        <v/>
      </c>
      <c r="Y177" s="8">
        <f>-$G$97*Y173</f>
        <v/>
      </c>
      <c r="Z177" s="8">
        <f>-$G$97*Z173</f>
        <v/>
      </c>
      <c r="AA177" s="8">
        <f>-$G$97*AA173</f>
        <v/>
      </c>
      <c r="AB177" s="8">
        <f>-$G$97*AB173</f>
        <v/>
      </c>
      <c r="AC177" s="8">
        <f>-$G$97*AC173</f>
        <v/>
      </c>
      <c r="AD177" s="8">
        <f>-$G$97*AD173</f>
        <v/>
      </c>
      <c r="AE177" s="8">
        <f>-$G$97*AE173</f>
        <v/>
      </c>
      <c r="AF177" s="8">
        <f>-$G$97*AF173</f>
        <v/>
      </c>
      <c r="AG177" s="8">
        <f>-$G$97*AG173</f>
        <v/>
      </c>
      <c r="AH177" s="8">
        <f>-$G$97*AH173</f>
        <v/>
      </c>
      <c r="AI177" s="8">
        <f>-$G$97*AI173</f>
        <v/>
      </c>
      <c r="AJ177" s="8">
        <f>-$G$97*AJ173</f>
        <v/>
      </c>
      <c r="AK177" s="8">
        <f>-$G$97*AK173</f>
        <v/>
      </c>
      <c r="AL177" s="8">
        <f>-$G$97*AL173</f>
        <v/>
      </c>
      <c r="AM177" s="8">
        <f>-$G$97*AM173</f>
        <v/>
      </c>
      <c r="AN177" s="8">
        <f>-$G$97*AN173</f>
        <v/>
      </c>
      <c r="AO177" s="8">
        <f>-$G$97*AO173</f>
        <v/>
      </c>
      <c r="AP177" s="8">
        <f>-$G$97*AP173</f>
        <v/>
      </c>
      <c r="AQ177" s="8">
        <f>-$G$97*AQ173</f>
        <v/>
      </c>
      <c r="AR177" s="8">
        <f>-$G$97*AR173</f>
        <v/>
      </c>
      <c r="AS177" s="8">
        <f>-$G$97*AS173</f>
        <v/>
      </c>
      <c r="AT177" s="8">
        <f>-$G$97*AT173</f>
        <v/>
      </c>
      <c r="AU177" s="8">
        <f>-$G$97*AU173</f>
        <v/>
      </c>
      <c r="AV177" s="8">
        <f>-$G$97*AV173</f>
        <v/>
      </c>
    </row>
    <row r="178">
      <c r="C178" s="1" t="inlineStr">
        <is>
          <t>Investment cash flow</t>
        </is>
      </c>
      <c r="D178" s="2" t="inlineStr">
        <is>
          <t>EUR k</t>
        </is>
      </c>
      <c r="H178" s="15">
        <f>SUM(M178:AV178)</f>
        <v/>
      </c>
      <c r="M178" s="15">
        <f>SUM(M174:M177)</f>
        <v/>
      </c>
      <c r="N178" s="15">
        <f>SUM(N174:N177)</f>
        <v/>
      </c>
      <c r="O178" s="15">
        <f>SUM(O174:O177)</f>
        <v/>
      </c>
      <c r="P178" s="15">
        <f>SUM(P174:P177)</f>
        <v/>
      </c>
      <c r="Q178" s="15">
        <f>SUM(Q174:Q177)</f>
        <v/>
      </c>
      <c r="R178" s="15">
        <f>SUM(R174:R177)</f>
        <v/>
      </c>
      <c r="S178" s="15">
        <f>SUM(S174:S177)</f>
        <v/>
      </c>
      <c r="T178" s="15">
        <f>SUM(T174:T177)</f>
        <v/>
      </c>
      <c r="U178" s="15">
        <f>SUM(U174:U177)</f>
        <v/>
      </c>
      <c r="V178" s="15">
        <f>SUM(V174:V177)</f>
        <v/>
      </c>
      <c r="W178" s="15">
        <f>SUM(W174:W177)</f>
        <v/>
      </c>
      <c r="X178" s="15">
        <f>SUM(X174:X177)</f>
        <v/>
      </c>
      <c r="Y178" s="15">
        <f>SUM(Y174:Y177)</f>
        <v/>
      </c>
      <c r="Z178" s="15">
        <f>SUM(Z174:Z177)</f>
        <v/>
      </c>
      <c r="AA178" s="15">
        <f>SUM(AA174:AA177)</f>
        <v/>
      </c>
      <c r="AB178" s="15">
        <f>SUM(AB174:AB177)</f>
        <v/>
      </c>
      <c r="AC178" s="15">
        <f>SUM(AC174:AC177)</f>
        <v/>
      </c>
      <c r="AD178" s="15">
        <f>SUM(AD174:AD177)</f>
        <v/>
      </c>
      <c r="AE178" s="15">
        <f>SUM(AE174:AE177)</f>
        <v/>
      </c>
      <c r="AF178" s="15">
        <f>SUM(AF174:AF177)</f>
        <v/>
      </c>
      <c r="AG178" s="15">
        <f>SUM(AG174:AG177)</f>
        <v/>
      </c>
      <c r="AH178" s="15">
        <f>SUM(AH174:AH177)</f>
        <v/>
      </c>
      <c r="AI178" s="15">
        <f>SUM(AI174:AI177)</f>
        <v/>
      </c>
      <c r="AJ178" s="15">
        <f>SUM(AJ174:AJ177)</f>
        <v/>
      </c>
      <c r="AK178" s="15">
        <f>SUM(AK174:AK177)</f>
        <v/>
      </c>
      <c r="AL178" s="15">
        <f>SUM(AL174:AL177)</f>
        <v/>
      </c>
      <c r="AM178" s="15">
        <f>SUM(AM174:AM177)</f>
        <v/>
      </c>
      <c r="AN178" s="15">
        <f>SUM(AN174:AN177)</f>
        <v/>
      </c>
      <c r="AO178" s="15">
        <f>SUM(AO174:AO177)</f>
        <v/>
      </c>
      <c r="AP178" s="15">
        <f>SUM(AP174:AP177)</f>
        <v/>
      </c>
      <c r="AQ178" s="15">
        <f>SUM(AQ174:AQ177)</f>
        <v/>
      </c>
      <c r="AR178" s="15">
        <f>SUM(AR174:AR177)</f>
        <v/>
      </c>
      <c r="AS178" s="15">
        <f>SUM(AS174:AS177)</f>
        <v/>
      </c>
      <c r="AT178" s="15">
        <f>SUM(AT174:AT177)</f>
        <v/>
      </c>
      <c r="AU178" s="15">
        <f>SUM(AU174:AU177)</f>
        <v/>
      </c>
      <c r="AV178" s="15">
        <f>SUM(AV174:AV177)</f>
        <v/>
      </c>
    </row>
    <row r="179">
      <c r="C179" s="6" t="inlineStr">
        <is>
          <t>Degradation factor (from the first full year)</t>
        </is>
      </c>
      <c r="D179" s="2" t="inlineStr">
        <is>
          <t>x</t>
        </is>
      </c>
      <c r="M179" s="29">
        <f>(1-Degradation)^MAX(M168-1,0)</f>
        <v/>
      </c>
      <c r="N179" s="29">
        <f>(1-Degradation)^MAX(N168-1,0)</f>
        <v/>
      </c>
      <c r="O179" s="29">
        <f>(1-Degradation)^MAX(O168-1,0)</f>
        <v/>
      </c>
      <c r="P179" s="29">
        <f>(1-Degradation)^MAX(P168-1,0)</f>
        <v/>
      </c>
      <c r="Q179" s="29">
        <f>(1-Degradation)^MAX(Q168-1,0)</f>
        <v/>
      </c>
      <c r="R179" s="29">
        <f>(1-Degradation)^MAX(R168-1,0)</f>
        <v/>
      </c>
      <c r="S179" s="29">
        <f>(1-Degradation)^MAX(S168-1,0)</f>
        <v/>
      </c>
      <c r="T179" s="29">
        <f>(1-Degradation)^MAX(T168-1,0)</f>
        <v/>
      </c>
      <c r="U179" s="29">
        <f>(1-Degradation)^MAX(U168-1,0)</f>
        <v/>
      </c>
      <c r="V179" s="29">
        <f>(1-Degradation)^MAX(V168-1,0)</f>
        <v/>
      </c>
      <c r="W179" s="29">
        <f>(1-Degradation)^MAX(W168-1,0)</f>
        <v/>
      </c>
      <c r="X179" s="29">
        <f>(1-Degradation)^MAX(X168-1,0)</f>
        <v/>
      </c>
      <c r="Y179" s="29">
        <f>(1-Degradation)^MAX(Y168-1,0)</f>
        <v/>
      </c>
      <c r="Z179" s="29">
        <f>(1-Degradation)^MAX(Z168-1,0)</f>
        <v/>
      </c>
      <c r="AA179" s="29">
        <f>(1-Degradation)^MAX(AA168-1,0)</f>
        <v/>
      </c>
      <c r="AB179" s="29">
        <f>(1-Degradation)^MAX(AB168-1,0)</f>
        <v/>
      </c>
      <c r="AC179" s="29">
        <f>(1-Degradation)^MAX(AC168-1,0)</f>
        <v/>
      </c>
      <c r="AD179" s="29">
        <f>(1-Degradation)^MAX(AD168-1,0)</f>
        <v/>
      </c>
      <c r="AE179" s="29">
        <f>(1-Degradation)^MAX(AE168-1,0)</f>
        <v/>
      </c>
      <c r="AF179" s="29">
        <f>(1-Degradation)^MAX(AF168-1,0)</f>
        <v/>
      </c>
      <c r="AG179" s="29">
        <f>(1-Degradation)^MAX(AG168-1,0)</f>
        <v/>
      </c>
      <c r="AH179" s="29">
        <f>(1-Degradation)^MAX(AH168-1,0)</f>
        <v/>
      </c>
      <c r="AI179" s="29">
        <f>(1-Degradation)^MAX(AI168-1,0)</f>
        <v/>
      </c>
      <c r="AJ179" s="29">
        <f>(1-Degradation)^MAX(AJ168-1,0)</f>
        <v/>
      </c>
      <c r="AK179" s="29">
        <f>(1-Degradation)^MAX(AK168-1,0)</f>
        <v/>
      </c>
      <c r="AL179" s="29">
        <f>(1-Degradation)^MAX(AL168-1,0)</f>
        <v/>
      </c>
      <c r="AM179" s="29">
        <f>(1-Degradation)^MAX(AM168-1,0)</f>
        <v/>
      </c>
      <c r="AN179" s="29">
        <f>(1-Degradation)^MAX(AN168-1,0)</f>
        <v/>
      </c>
      <c r="AO179" s="29">
        <f>(1-Degradation)^MAX(AO168-1,0)</f>
        <v/>
      </c>
      <c r="AP179" s="29">
        <f>(1-Degradation)^MAX(AP168-1,0)</f>
        <v/>
      </c>
      <c r="AQ179" s="29">
        <f>(1-Degradation)^MAX(AQ168-1,0)</f>
        <v/>
      </c>
      <c r="AR179" s="29">
        <f>(1-Degradation)^MAX(AR168-1,0)</f>
        <v/>
      </c>
      <c r="AS179" s="29">
        <f>(1-Degradation)^MAX(AS168-1,0)</f>
        <v/>
      </c>
      <c r="AT179" s="29">
        <f>(1-Degradation)^MAX(AT168-1,0)</f>
        <v/>
      </c>
      <c r="AU179" s="29">
        <f>(1-Degradation)^MAX(AU168-1,0)</f>
        <v/>
      </c>
      <c r="AV179" s="29">
        <f>(1-Degradation)^MAX(AV168-1,0)</f>
        <v/>
      </c>
    </row>
    <row r="180">
      <c r="C180" s="6" t="inlineStr">
        <is>
          <t>Net generation</t>
        </is>
      </c>
      <c r="D180" s="2" t="inlineStr">
        <is>
          <t>GWh</t>
        </is>
      </c>
      <c r="H180" s="21">
        <f>SUM(M180:AV180)</f>
        <v/>
      </c>
      <c r="M180" s="21">
        <f>$G$19*Hours_P50*(1-Curtailment)*(1-Clipping)*M172*M179/Thousand</f>
        <v/>
      </c>
      <c r="N180" s="21">
        <f>$G$19*Hours_P50*(1-Curtailment)*(1-Clipping)*N172*N179/Thousand</f>
        <v/>
      </c>
      <c r="O180" s="21">
        <f>$G$19*Hours_P50*(1-Curtailment)*(1-Clipping)*O172*O179/Thousand</f>
        <v/>
      </c>
      <c r="P180" s="21">
        <f>$G$19*Hours_P50*(1-Curtailment)*(1-Clipping)*P172*P179/Thousand</f>
        <v/>
      </c>
      <c r="Q180" s="21">
        <f>$G$19*Hours_P50*(1-Curtailment)*(1-Clipping)*Q172*Q179/Thousand</f>
        <v/>
      </c>
      <c r="R180" s="21">
        <f>$G$19*Hours_P50*(1-Curtailment)*(1-Clipping)*R172*R179/Thousand</f>
        <v/>
      </c>
      <c r="S180" s="21">
        <f>$G$19*Hours_P50*(1-Curtailment)*(1-Clipping)*S172*S179/Thousand</f>
        <v/>
      </c>
      <c r="T180" s="21">
        <f>$G$19*Hours_P50*(1-Curtailment)*(1-Clipping)*T172*T179/Thousand</f>
        <v/>
      </c>
      <c r="U180" s="21">
        <f>$G$19*Hours_P50*(1-Curtailment)*(1-Clipping)*U172*U179/Thousand</f>
        <v/>
      </c>
      <c r="V180" s="21">
        <f>$G$19*Hours_P50*(1-Curtailment)*(1-Clipping)*V172*V179/Thousand</f>
        <v/>
      </c>
      <c r="W180" s="21">
        <f>$G$19*Hours_P50*(1-Curtailment)*(1-Clipping)*W172*W179/Thousand</f>
        <v/>
      </c>
      <c r="X180" s="21">
        <f>$G$19*Hours_P50*(1-Curtailment)*(1-Clipping)*X172*X179/Thousand</f>
        <v/>
      </c>
      <c r="Y180" s="21">
        <f>$G$19*Hours_P50*(1-Curtailment)*(1-Clipping)*Y172*Y179/Thousand</f>
        <v/>
      </c>
      <c r="Z180" s="21">
        <f>$G$19*Hours_P50*(1-Curtailment)*(1-Clipping)*Z172*Z179/Thousand</f>
        <v/>
      </c>
      <c r="AA180" s="21">
        <f>$G$19*Hours_P50*(1-Curtailment)*(1-Clipping)*AA172*AA179/Thousand</f>
        <v/>
      </c>
      <c r="AB180" s="21">
        <f>$G$19*Hours_P50*(1-Curtailment)*(1-Clipping)*AB172*AB179/Thousand</f>
        <v/>
      </c>
      <c r="AC180" s="21">
        <f>$G$19*Hours_P50*(1-Curtailment)*(1-Clipping)*AC172*AC179/Thousand</f>
        <v/>
      </c>
      <c r="AD180" s="21">
        <f>$G$19*Hours_P50*(1-Curtailment)*(1-Clipping)*AD172*AD179/Thousand</f>
        <v/>
      </c>
      <c r="AE180" s="21">
        <f>$G$19*Hours_P50*(1-Curtailment)*(1-Clipping)*AE172*AE179/Thousand</f>
        <v/>
      </c>
      <c r="AF180" s="21">
        <f>$G$19*Hours_P50*(1-Curtailment)*(1-Clipping)*AF172*AF179/Thousand</f>
        <v/>
      </c>
      <c r="AG180" s="21">
        <f>$G$19*Hours_P50*(1-Curtailment)*(1-Clipping)*AG172*AG179/Thousand</f>
        <v/>
      </c>
      <c r="AH180" s="21">
        <f>$G$19*Hours_P50*(1-Curtailment)*(1-Clipping)*AH172*AH179/Thousand</f>
        <v/>
      </c>
      <c r="AI180" s="21">
        <f>$G$19*Hours_P50*(1-Curtailment)*(1-Clipping)*AI172*AI179/Thousand</f>
        <v/>
      </c>
      <c r="AJ180" s="21">
        <f>$G$19*Hours_P50*(1-Curtailment)*(1-Clipping)*AJ172*AJ179/Thousand</f>
        <v/>
      </c>
      <c r="AK180" s="21">
        <f>$G$19*Hours_P50*(1-Curtailment)*(1-Clipping)*AK172*AK179/Thousand</f>
        <v/>
      </c>
      <c r="AL180" s="21">
        <f>$G$19*Hours_P50*(1-Curtailment)*(1-Clipping)*AL172*AL179/Thousand</f>
        <v/>
      </c>
      <c r="AM180" s="21">
        <f>$G$19*Hours_P50*(1-Curtailment)*(1-Clipping)*AM172*AM179/Thousand</f>
        <v/>
      </c>
      <c r="AN180" s="21">
        <f>$G$19*Hours_P50*(1-Curtailment)*(1-Clipping)*AN172*AN179/Thousand</f>
        <v/>
      </c>
      <c r="AO180" s="21">
        <f>$G$19*Hours_P50*(1-Curtailment)*(1-Clipping)*AO172*AO179/Thousand</f>
        <v/>
      </c>
      <c r="AP180" s="21">
        <f>$G$19*Hours_P50*(1-Curtailment)*(1-Clipping)*AP172*AP179/Thousand</f>
        <v/>
      </c>
      <c r="AQ180" s="21">
        <f>$G$19*Hours_P50*(1-Curtailment)*(1-Clipping)*AQ172*AQ179/Thousand</f>
        <v/>
      </c>
      <c r="AR180" s="21">
        <f>$G$19*Hours_P50*(1-Curtailment)*(1-Clipping)*AR172*AR179/Thousand</f>
        <v/>
      </c>
      <c r="AS180" s="21">
        <f>$G$19*Hours_P50*(1-Curtailment)*(1-Clipping)*AS172*AS179/Thousand</f>
        <v/>
      </c>
      <c r="AT180" s="21">
        <f>$G$19*Hours_P50*(1-Curtailment)*(1-Clipping)*AT172*AT179/Thousand</f>
        <v/>
      </c>
      <c r="AU180" s="21">
        <f>$G$19*Hours_P50*(1-Curtailment)*(1-Clipping)*AU172*AU179/Thousand</f>
        <v/>
      </c>
      <c r="AV180" s="21">
        <f>$G$19*Hours_P50*(1-Curtailment)*(1-Clipping)*AV172*AV179/Thousand</f>
        <v/>
      </c>
    </row>
    <row r="181">
      <c r="C181" s="6" t="inlineStr">
        <is>
          <t>PPA price</t>
        </is>
      </c>
      <c r="D181" s="2" t="inlineStr">
        <is>
          <t>EUR/MWh</t>
        </is>
      </c>
      <c r="M181" s="21">
        <f>PPA_Price*(1+PPA_Esc)^M168*(M172&gt;0)</f>
        <v/>
      </c>
      <c r="N181" s="21">
        <f>PPA_Price*(1+PPA_Esc)^N168*(N172&gt;0)</f>
        <v/>
      </c>
      <c r="O181" s="21">
        <f>PPA_Price*(1+PPA_Esc)^O168*(O172&gt;0)</f>
        <v/>
      </c>
      <c r="P181" s="21">
        <f>PPA_Price*(1+PPA_Esc)^P168*(P172&gt;0)</f>
        <v/>
      </c>
      <c r="Q181" s="21">
        <f>PPA_Price*(1+PPA_Esc)^Q168*(Q172&gt;0)</f>
        <v/>
      </c>
      <c r="R181" s="21">
        <f>PPA_Price*(1+PPA_Esc)^R168*(R172&gt;0)</f>
        <v/>
      </c>
      <c r="S181" s="21">
        <f>PPA_Price*(1+PPA_Esc)^S168*(S172&gt;0)</f>
        <v/>
      </c>
      <c r="T181" s="21">
        <f>PPA_Price*(1+PPA_Esc)^T168*(T172&gt;0)</f>
        <v/>
      </c>
      <c r="U181" s="21">
        <f>PPA_Price*(1+PPA_Esc)^U168*(U172&gt;0)</f>
        <v/>
      </c>
      <c r="V181" s="21">
        <f>PPA_Price*(1+PPA_Esc)^V168*(V172&gt;0)</f>
        <v/>
      </c>
      <c r="W181" s="21">
        <f>PPA_Price*(1+PPA_Esc)^W168*(W172&gt;0)</f>
        <v/>
      </c>
      <c r="X181" s="21">
        <f>PPA_Price*(1+PPA_Esc)^X168*(X172&gt;0)</f>
        <v/>
      </c>
      <c r="Y181" s="21">
        <f>PPA_Price*(1+PPA_Esc)^Y168*(Y172&gt;0)</f>
        <v/>
      </c>
      <c r="Z181" s="21">
        <f>PPA_Price*(1+PPA_Esc)^Z168*(Z172&gt;0)</f>
        <v/>
      </c>
      <c r="AA181" s="21">
        <f>PPA_Price*(1+PPA_Esc)^AA168*(AA172&gt;0)</f>
        <v/>
      </c>
      <c r="AB181" s="21">
        <f>PPA_Price*(1+PPA_Esc)^AB168*(AB172&gt;0)</f>
        <v/>
      </c>
      <c r="AC181" s="21">
        <f>PPA_Price*(1+PPA_Esc)^AC168*(AC172&gt;0)</f>
        <v/>
      </c>
      <c r="AD181" s="21">
        <f>PPA_Price*(1+PPA_Esc)^AD168*(AD172&gt;0)</f>
        <v/>
      </c>
      <c r="AE181" s="21">
        <f>PPA_Price*(1+PPA_Esc)^AE168*(AE172&gt;0)</f>
        <v/>
      </c>
      <c r="AF181" s="21">
        <f>PPA_Price*(1+PPA_Esc)^AF168*(AF172&gt;0)</f>
        <v/>
      </c>
      <c r="AG181" s="21">
        <f>PPA_Price*(1+PPA_Esc)^AG168*(AG172&gt;0)</f>
        <v/>
      </c>
      <c r="AH181" s="21">
        <f>PPA_Price*(1+PPA_Esc)^AH168*(AH172&gt;0)</f>
        <v/>
      </c>
      <c r="AI181" s="21">
        <f>PPA_Price*(1+PPA_Esc)^AI168*(AI172&gt;0)</f>
        <v/>
      </c>
      <c r="AJ181" s="21">
        <f>PPA_Price*(1+PPA_Esc)^AJ168*(AJ172&gt;0)</f>
        <v/>
      </c>
      <c r="AK181" s="21">
        <f>PPA_Price*(1+PPA_Esc)^AK168*(AK172&gt;0)</f>
        <v/>
      </c>
      <c r="AL181" s="21">
        <f>PPA_Price*(1+PPA_Esc)^AL168*(AL172&gt;0)</f>
        <v/>
      </c>
      <c r="AM181" s="21">
        <f>PPA_Price*(1+PPA_Esc)^AM168*(AM172&gt;0)</f>
        <v/>
      </c>
      <c r="AN181" s="21">
        <f>PPA_Price*(1+PPA_Esc)^AN168*(AN172&gt;0)</f>
        <v/>
      </c>
      <c r="AO181" s="21">
        <f>PPA_Price*(1+PPA_Esc)^AO168*(AO172&gt;0)</f>
        <v/>
      </c>
      <c r="AP181" s="21">
        <f>PPA_Price*(1+PPA_Esc)^AP168*(AP172&gt;0)</f>
        <v/>
      </c>
      <c r="AQ181" s="21">
        <f>PPA_Price*(1+PPA_Esc)^AQ168*(AQ172&gt;0)</f>
        <v/>
      </c>
      <c r="AR181" s="21">
        <f>PPA_Price*(1+PPA_Esc)^AR168*(AR172&gt;0)</f>
        <v/>
      </c>
      <c r="AS181" s="21">
        <f>PPA_Price*(1+PPA_Esc)^AS168*(AS172&gt;0)</f>
        <v/>
      </c>
      <c r="AT181" s="21">
        <f>PPA_Price*(1+PPA_Esc)^AT168*(AT172&gt;0)</f>
        <v/>
      </c>
      <c r="AU181" s="21">
        <f>PPA_Price*(1+PPA_Esc)^AU168*(AU172&gt;0)</f>
        <v/>
      </c>
      <c r="AV181" s="21">
        <f>PPA_Price*(1+PPA_Esc)^AV168*(AV172&gt;0)</f>
        <v/>
      </c>
    </row>
    <row r="182">
      <c r="C182" s="1" t="inlineStr">
        <is>
          <t>Revenue</t>
        </is>
      </c>
      <c r="D182" s="2" t="inlineStr">
        <is>
          <t>EUR k</t>
        </is>
      </c>
      <c r="H182" s="23">
        <f>SUM(M182:AV182)</f>
        <v/>
      </c>
      <c r="M182" s="23">
        <f>M180*M181</f>
        <v/>
      </c>
      <c r="N182" s="23">
        <f>N180*N181</f>
        <v/>
      </c>
      <c r="O182" s="23">
        <f>O180*O181</f>
        <v/>
      </c>
      <c r="P182" s="23">
        <f>P180*P181</f>
        <v/>
      </c>
      <c r="Q182" s="23">
        <f>Q180*Q181</f>
        <v/>
      </c>
      <c r="R182" s="23">
        <f>R180*R181</f>
        <v/>
      </c>
      <c r="S182" s="23">
        <f>S180*S181</f>
        <v/>
      </c>
      <c r="T182" s="23">
        <f>T180*T181</f>
        <v/>
      </c>
      <c r="U182" s="23">
        <f>U180*U181</f>
        <v/>
      </c>
      <c r="V182" s="23">
        <f>V180*V181</f>
        <v/>
      </c>
      <c r="W182" s="23">
        <f>W180*W181</f>
        <v/>
      </c>
      <c r="X182" s="23">
        <f>X180*X181</f>
        <v/>
      </c>
      <c r="Y182" s="23">
        <f>Y180*Y181</f>
        <v/>
      </c>
      <c r="Z182" s="23">
        <f>Z180*Z181</f>
        <v/>
      </c>
      <c r="AA182" s="23">
        <f>AA180*AA181</f>
        <v/>
      </c>
      <c r="AB182" s="23">
        <f>AB180*AB181</f>
        <v/>
      </c>
      <c r="AC182" s="23">
        <f>AC180*AC181</f>
        <v/>
      </c>
      <c r="AD182" s="23">
        <f>AD180*AD181</f>
        <v/>
      </c>
      <c r="AE182" s="23">
        <f>AE180*AE181</f>
        <v/>
      </c>
      <c r="AF182" s="23">
        <f>AF180*AF181</f>
        <v/>
      </c>
      <c r="AG182" s="23">
        <f>AG180*AG181</f>
        <v/>
      </c>
      <c r="AH182" s="23">
        <f>AH180*AH181</f>
        <v/>
      </c>
      <c r="AI182" s="23">
        <f>AI180*AI181</f>
        <v/>
      </c>
      <c r="AJ182" s="23">
        <f>AJ180*AJ181</f>
        <v/>
      </c>
      <c r="AK182" s="23">
        <f>AK180*AK181</f>
        <v/>
      </c>
      <c r="AL182" s="23">
        <f>AL180*AL181</f>
        <v/>
      </c>
      <c r="AM182" s="23">
        <f>AM180*AM181</f>
        <v/>
      </c>
      <c r="AN182" s="23">
        <f>AN180*AN181</f>
        <v/>
      </c>
      <c r="AO182" s="23">
        <f>AO180*AO181</f>
        <v/>
      </c>
      <c r="AP182" s="23">
        <f>AP180*AP181</f>
        <v/>
      </c>
      <c r="AQ182" s="23">
        <f>AQ180*AQ181</f>
        <v/>
      </c>
      <c r="AR182" s="23">
        <f>AR180*AR181</f>
        <v/>
      </c>
      <c r="AS182" s="23">
        <f>AS180*AS181</f>
        <v/>
      </c>
      <c r="AT182" s="23">
        <f>AT180*AT181</f>
        <v/>
      </c>
      <c r="AU182" s="23">
        <f>AU180*AU181</f>
        <v/>
      </c>
      <c r="AV182" s="23">
        <f>AV180*AV181</f>
        <v/>
      </c>
    </row>
    <row r="183">
      <c r="C183" s="6" t="inlineStr">
        <is>
          <t>Opex index (COD year = 1)</t>
        </is>
      </c>
      <c r="D183" s="2" t="inlineStr">
        <is>
          <t>x</t>
        </is>
      </c>
      <c r="M183" s="29">
        <f>(1+Opex_Esc)^M168</f>
        <v/>
      </c>
      <c r="N183" s="29">
        <f>(1+Opex_Esc)^N168</f>
        <v/>
      </c>
      <c r="O183" s="29">
        <f>(1+Opex_Esc)^O168</f>
        <v/>
      </c>
      <c r="P183" s="29">
        <f>(1+Opex_Esc)^P168</f>
        <v/>
      </c>
      <c r="Q183" s="29">
        <f>(1+Opex_Esc)^Q168</f>
        <v/>
      </c>
      <c r="R183" s="29">
        <f>(1+Opex_Esc)^R168</f>
        <v/>
      </c>
      <c r="S183" s="29">
        <f>(1+Opex_Esc)^S168</f>
        <v/>
      </c>
      <c r="T183" s="29">
        <f>(1+Opex_Esc)^T168</f>
        <v/>
      </c>
      <c r="U183" s="29">
        <f>(1+Opex_Esc)^U168</f>
        <v/>
      </c>
      <c r="V183" s="29">
        <f>(1+Opex_Esc)^V168</f>
        <v/>
      </c>
      <c r="W183" s="29">
        <f>(1+Opex_Esc)^W168</f>
        <v/>
      </c>
      <c r="X183" s="29">
        <f>(1+Opex_Esc)^X168</f>
        <v/>
      </c>
      <c r="Y183" s="29">
        <f>(1+Opex_Esc)^Y168</f>
        <v/>
      </c>
      <c r="Z183" s="29">
        <f>(1+Opex_Esc)^Z168</f>
        <v/>
      </c>
      <c r="AA183" s="29">
        <f>(1+Opex_Esc)^AA168</f>
        <v/>
      </c>
      <c r="AB183" s="29">
        <f>(1+Opex_Esc)^AB168</f>
        <v/>
      </c>
      <c r="AC183" s="29">
        <f>(1+Opex_Esc)^AC168</f>
        <v/>
      </c>
      <c r="AD183" s="29">
        <f>(1+Opex_Esc)^AD168</f>
        <v/>
      </c>
      <c r="AE183" s="29">
        <f>(1+Opex_Esc)^AE168</f>
        <v/>
      </c>
      <c r="AF183" s="29">
        <f>(1+Opex_Esc)^AF168</f>
        <v/>
      </c>
      <c r="AG183" s="29">
        <f>(1+Opex_Esc)^AG168</f>
        <v/>
      </c>
      <c r="AH183" s="29">
        <f>(1+Opex_Esc)^AH168</f>
        <v/>
      </c>
      <c r="AI183" s="29">
        <f>(1+Opex_Esc)^AI168</f>
        <v/>
      </c>
      <c r="AJ183" s="29">
        <f>(1+Opex_Esc)^AJ168</f>
        <v/>
      </c>
      <c r="AK183" s="29">
        <f>(1+Opex_Esc)^AK168</f>
        <v/>
      </c>
      <c r="AL183" s="29">
        <f>(1+Opex_Esc)^AL168</f>
        <v/>
      </c>
      <c r="AM183" s="29">
        <f>(1+Opex_Esc)^AM168</f>
        <v/>
      </c>
      <c r="AN183" s="29">
        <f>(1+Opex_Esc)^AN168</f>
        <v/>
      </c>
      <c r="AO183" s="29">
        <f>(1+Opex_Esc)^AO168</f>
        <v/>
      </c>
      <c r="AP183" s="29">
        <f>(1+Opex_Esc)^AP168</f>
        <v/>
      </c>
      <c r="AQ183" s="29">
        <f>(1+Opex_Esc)^AQ168</f>
        <v/>
      </c>
      <c r="AR183" s="29">
        <f>(1+Opex_Esc)^AR168</f>
        <v/>
      </c>
      <c r="AS183" s="29">
        <f>(1+Opex_Esc)^AS168</f>
        <v/>
      </c>
      <c r="AT183" s="29">
        <f>(1+Opex_Esc)^AT168</f>
        <v/>
      </c>
      <c r="AU183" s="29">
        <f>(1+Opex_Esc)^AU168</f>
        <v/>
      </c>
      <c r="AV183" s="29">
        <f>(1+Opex_Esc)^AV168</f>
        <v/>
      </c>
    </row>
    <row r="184">
      <c r="C184" s="6" t="inlineStr">
        <is>
          <t>O&amp;M, BoP, lease, insurance, management, property tax</t>
        </is>
      </c>
      <c r="D184" s="2" t="inlineStr">
        <is>
          <t>EUR k</t>
        </is>
      </c>
      <c r="H184" s="8">
        <f>SUM(M184:AV184)</f>
        <v/>
      </c>
      <c r="M184" s="8">
        <f>-SUM(Opex_Per_MW)*$G$19*M183*M172</f>
        <v/>
      </c>
      <c r="N184" s="8">
        <f>-SUM(Opex_Per_MW)*$G$19*N183*N172</f>
        <v/>
      </c>
      <c r="O184" s="8">
        <f>-SUM(Opex_Per_MW)*$G$19*O183*O172</f>
        <v/>
      </c>
      <c r="P184" s="8">
        <f>-SUM(Opex_Per_MW)*$G$19*P183*P172</f>
        <v/>
      </c>
      <c r="Q184" s="8">
        <f>-SUM(Opex_Per_MW)*$G$19*Q183*Q172</f>
        <v/>
      </c>
      <c r="R184" s="8">
        <f>-SUM(Opex_Per_MW)*$G$19*R183*R172</f>
        <v/>
      </c>
      <c r="S184" s="8">
        <f>-SUM(Opex_Per_MW)*$G$19*S183*S172</f>
        <v/>
      </c>
      <c r="T184" s="8">
        <f>-SUM(Opex_Per_MW)*$G$19*T183*T172</f>
        <v/>
      </c>
      <c r="U184" s="8">
        <f>-SUM(Opex_Per_MW)*$G$19*U183*U172</f>
        <v/>
      </c>
      <c r="V184" s="8">
        <f>-SUM(Opex_Per_MW)*$G$19*V183*V172</f>
        <v/>
      </c>
      <c r="W184" s="8">
        <f>-SUM(Opex_Per_MW)*$G$19*W183*W172</f>
        <v/>
      </c>
      <c r="X184" s="8">
        <f>-SUM(Opex_Per_MW)*$G$19*X183*X172</f>
        <v/>
      </c>
      <c r="Y184" s="8">
        <f>-SUM(Opex_Per_MW)*$G$19*Y183*Y172</f>
        <v/>
      </c>
      <c r="Z184" s="8">
        <f>-SUM(Opex_Per_MW)*$G$19*Z183*Z172</f>
        <v/>
      </c>
      <c r="AA184" s="8">
        <f>-SUM(Opex_Per_MW)*$G$19*AA183*AA172</f>
        <v/>
      </c>
      <c r="AB184" s="8">
        <f>-SUM(Opex_Per_MW)*$G$19*AB183*AB172</f>
        <v/>
      </c>
      <c r="AC184" s="8">
        <f>-SUM(Opex_Per_MW)*$G$19*AC183*AC172</f>
        <v/>
      </c>
      <c r="AD184" s="8">
        <f>-SUM(Opex_Per_MW)*$G$19*AD183*AD172</f>
        <v/>
      </c>
      <c r="AE184" s="8">
        <f>-SUM(Opex_Per_MW)*$G$19*AE183*AE172</f>
        <v/>
      </c>
      <c r="AF184" s="8">
        <f>-SUM(Opex_Per_MW)*$G$19*AF183*AF172</f>
        <v/>
      </c>
      <c r="AG184" s="8">
        <f>-SUM(Opex_Per_MW)*$G$19*AG183*AG172</f>
        <v/>
      </c>
      <c r="AH184" s="8">
        <f>-SUM(Opex_Per_MW)*$G$19*AH183*AH172</f>
        <v/>
      </c>
      <c r="AI184" s="8">
        <f>-SUM(Opex_Per_MW)*$G$19*AI183*AI172</f>
        <v/>
      </c>
      <c r="AJ184" s="8">
        <f>-SUM(Opex_Per_MW)*$G$19*AJ183*AJ172</f>
        <v/>
      </c>
      <c r="AK184" s="8">
        <f>-SUM(Opex_Per_MW)*$G$19*AK183*AK172</f>
        <v/>
      </c>
      <c r="AL184" s="8">
        <f>-SUM(Opex_Per_MW)*$G$19*AL183*AL172</f>
        <v/>
      </c>
      <c r="AM184" s="8">
        <f>-SUM(Opex_Per_MW)*$G$19*AM183*AM172</f>
        <v/>
      </c>
      <c r="AN184" s="8">
        <f>-SUM(Opex_Per_MW)*$G$19*AN183*AN172</f>
        <v/>
      </c>
      <c r="AO184" s="8">
        <f>-SUM(Opex_Per_MW)*$G$19*AO183*AO172</f>
        <v/>
      </c>
      <c r="AP184" s="8">
        <f>-SUM(Opex_Per_MW)*$G$19*AP183*AP172</f>
        <v/>
      </c>
      <c r="AQ184" s="8">
        <f>-SUM(Opex_Per_MW)*$G$19*AQ183*AQ172</f>
        <v/>
      </c>
      <c r="AR184" s="8">
        <f>-SUM(Opex_Per_MW)*$G$19*AR183*AR172</f>
        <v/>
      </c>
      <c r="AS184" s="8">
        <f>-SUM(Opex_Per_MW)*$G$19*AS183*AS172</f>
        <v/>
      </c>
      <c r="AT184" s="8">
        <f>-SUM(Opex_Per_MW)*$G$19*AT183*AT172</f>
        <v/>
      </c>
      <c r="AU184" s="8">
        <f>-SUM(Opex_Per_MW)*$G$19*AU183*AU172</f>
        <v/>
      </c>
      <c r="AV184" s="8">
        <f>-SUM(Opex_Per_MW)*$G$19*AV183*AV172</f>
        <v/>
      </c>
    </row>
    <row r="185">
      <c r="C185" s="6" t="inlineStr">
        <is>
          <t>Administration, audit, compliance</t>
        </is>
      </c>
      <c r="D185" s="2" t="inlineStr">
        <is>
          <t>EUR k</t>
        </is>
      </c>
      <c r="H185" s="8">
        <f>SUM(M185:AV185)</f>
        <v/>
      </c>
      <c r="M185" s="8">
        <f>-Opex_Admin*Dashboard!$G$6/Lump_Basis*M183*M172</f>
        <v/>
      </c>
      <c r="N185" s="8">
        <f>-Opex_Admin*Dashboard!$G$6/Lump_Basis*N183*N172</f>
        <v/>
      </c>
      <c r="O185" s="8">
        <f>-Opex_Admin*Dashboard!$G$6/Lump_Basis*O183*O172</f>
        <v/>
      </c>
      <c r="P185" s="8">
        <f>-Opex_Admin*Dashboard!$G$6/Lump_Basis*P183*P172</f>
        <v/>
      </c>
      <c r="Q185" s="8">
        <f>-Opex_Admin*Dashboard!$G$6/Lump_Basis*Q183*Q172</f>
        <v/>
      </c>
      <c r="R185" s="8">
        <f>-Opex_Admin*Dashboard!$G$6/Lump_Basis*R183*R172</f>
        <v/>
      </c>
      <c r="S185" s="8">
        <f>-Opex_Admin*Dashboard!$G$6/Lump_Basis*S183*S172</f>
        <v/>
      </c>
      <c r="T185" s="8">
        <f>-Opex_Admin*Dashboard!$G$6/Lump_Basis*T183*T172</f>
        <v/>
      </c>
      <c r="U185" s="8">
        <f>-Opex_Admin*Dashboard!$G$6/Lump_Basis*U183*U172</f>
        <v/>
      </c>
      <c r="V185" s="8">
        <f>-Opex_Admin*Dashboard!$G$6/Lump_Basis*V183*V172</f>
        <v/>
      </c>
      <c r="W185" s="8">
        <f>-Opex_Admin*Dashboard!$G$6/Lump_Basis*W183*W172</f>
        <v/>
      </c>
      <c r="X185" s="8">
        <f>-Opex_Admin*Dashboard!$G$6/Lump_Basis*X183*X172</f>
        <v/>
      </c>
      <c r="Y185" s="8">
        <f>-Opex_Admin*Dashboard!$G$6/Lump_Basis*Y183*Y172</f>
        <v/>
      </c>
      <c r="Z185" s="8">
        <f>-Opex_Admin*Dashboard!$G$6/Lump_Basis*Z183*Z172</f>
        <v/>
      </c>
      <c r="AA185" s="8">
        <f>-Opex_Admin*Dashboard!$G$6/Lump_Basis*AA183*AA172</f>
        <v/>
      </c>
      <c r="AB185" s="8">
        <f>-Opex_Admin*Dashboard!$G$6/Lump_Basis*AB183*AB172</f>
        <v/>
      </c>
      <c r="AC185" s="8">
        <f>-Opex_Admin*Dashboard!$G$6/Lump_Basis*AC183*AC172</f>
        <v/>
      </c>
      <c r="AD185" s="8">
        <f>-Opex_Admin*Dashboard!$G$6/Lump_Basis*AD183*AD172</f>
        <v/>
      </c>
      <c r="AE185" s="8">
        <f>-Opex_Admin*Dashboard!$G$6/Lump_Basis*AE183*AE172</f>
        <v/>
      </c>
      <c r="AF185" s="8">
        <f>-Opex_Admin*Dashboard!$G$6/Lump_Basis*AF183*AF172</f>
        <v/>
      </c>
      <c r="AG185" s="8">
        <f>-Opex_Admin*Dashboard!$G$6/Lump_Basis*AG183*AG172</f>
        <v/>
      </c>
      <c r="AH185" s="8">
        <f>-Opex_Admin*Dashboard!$G$6/Lump_Basis*AH183*AH172</f>
        <v/>
      </c>
      <c r="AI185" s="8">
        <f>-Opex_Admin*Dashboard!$G$6/Lump_Basis*AI183*AI172</f>
        <v/>
      </c>
      <c r="AJ185" s="8">
        <f>-Opex_Admin*Dashboard!$G$6/Lump_Basis*AJ183*AJ172</f>
        <v/>
      </c>
      <c r="AK185" s="8">
        <f>-Opex_Admin*Dashboard!$G$6/Lump_Basis*AK183*AK172</f>
        <v/>
      </c>
      <c r="AL185" s="8">
        <f>-Opex_Admin*Dashboard!$G$6/Lump_Basis*AL183*AL172</f>
        <v/>
      </c>
      <c r="AM185" s="8">
        <f>-Opex_Admin*Dashboard!$G$6/Lump_Basis*AM183*AM172</f>
        <v/>
      </c>
      <c r="AN185" s="8">
        <f>-Opex_Admin*Dashboard!$G$6/Lump_Basis*AN183*AN172</f>
        <v/>
      </c>
      <c r="AO185" s="8">
        <f>-Opex_Admin*Dashboard!$G$6/Lump_Basis*AO183*AO172</f>
        <v/>
      </c>
      <c r="AP185" s="8">
        <f>-Opex_Admin*Dashboard!$G$6/Lump_Basis*AP183*AP172</f>
        <v/>
      </c>
      <c r="AQ185" s="8">
        <f>-Opex_Admin*Dashboard!$G$6/Lump_Basis*AQ183*AQ172</f>
        <v/>
      </c>
      <c r="AR185" s="8">
        <f>-Opex_Admin*Dashboard!$G$6/Lump_Basis*AR183*AR172</f>
        <v/>
      </c>
      <c r="AS185" s="8">
        <f>-Opex_Admin*Dashboard!$G$6/Lump_Basis*AS183*AS172</f>
        <v/>
      </c>
      <c r="AT185" s="8">
        <f>-Opex_Admin*Dashboard!$G$6/Lump_Basis*AT183*AT172</f>
        <v/>
      </c>
      <c r="AU185" s="8">
        <f>-Opex_Admin*Dashboard!$G$6/Lump_Basis*AU183*AU172</f>
        <v/>
      </c>
      <c r="AV185" s="8">
        <f>-Opex_Admin*Dashboard!$G$6/Lump_Basis*AV183*AV172</f>
        <v/>
      </c>
    </row>
    <row r="186">
      <c r="C186" s="6" t="inlineStr">
        <is>
          <t>Balancing and grid charges</t>
        </is>
      </c>
      <c r="D186" s="2" t="inlineStr">
        <is>
          <t>EUR k</t>
        </is>
      </c>
      <c r="H186" s="8">
        <f>SUM(M186:AV186)</f>
        <v/>
      </c>
      <c r="M186" s="8">
        <f>-M180*(Balancing+Grid_Charges)*M183</f>
        <v/>
      </c>
      <c r="N186" s="8">
        <f>-N180*(Balancing+Grid_Charges)*N183</f>
        <v/>
      </c>
      <c r="O186" s="8">
        <f>-O180*(Balancing+Grid_Charges)*O183</f>
        <v/>
      </c>
      <c r="P186" s="8">
        <f>-P180*(Balancing+Grid_Charges)*P183</f>
        <v/>
      </c>
      <c r="Q186" s="8">
        <f>-Q180*(Balancing+Grid_Charges)*Q183</f>
        <v/>
      </c>
      <c r="R186" s="8">
        <f>-R180*(Balancing+Grid_Charges)*R183</f>
        <v/>
      </c>
      <c r="S186" s="8">
        <f>-S180*(Balancing+Grid_Charges)*S183</f>
        <v/>
      </c>
      <c r="T186" s="8">
        <f>-T180*(Balancing+Grid_Charges)*T183</f>
        <v/>
      </c>
      <c r="U186" s="8">
        <f>-U180*(Balancing+Grid_Charges)*U183</f>
        <v/>
      </c>
      <c r="V186" s="8">
        <f>-V180*(Balancing+Grid_Charges)*V183</f>
        <v/>
      </c>
      <c r="W186" s="8">
        <f>-W180*(Balancing+Grid_Charges)*W183</f>
        <v/>
      </c>
      <c r="X186" s="8">
        <f>-X180*(Balancing+Grid_Charges)*X183</f>
        <v/>
      </c>
      <c r="Y186" s="8">
        <f>-Y180*(Balancing+Grid_Charges)*Y183</f>
        <v/>
      </c>
      <c r="Z186" s="8">
        <f>-Z180*(Balancing+Grid_Charges)*Z183</f>
        <v/>
      </c>
      <c r="AA186" s="8">
        <f>-AA180*(Balancing+Grid_Charges)*AA183</f>
        <v/>
      </c>
      <c r="AB186" s="8">
        <f>-AB180*(Balancing+Grid_Charges)*AB183</f>
        <v/>
      </c>
      <c r="AC186" s="8">
        <f>-AC180*(Balancing+Grid_Charges)*AC183</f>
        <v/>
      </c>
      <c r="AD186" s="8">
        <f>-AD180*(Balancing+Grid_Charges)*AD183</f>
        <v/>
      </c>
      <c r="AE186" s="8">
        <f>-AE180*(Balancing+Grid_Charges)*AE183</f>
        <v/>
      </c>
      <c r="AF186" s="8">
        <f>-AF180*(Balancing+Grid_Charges)*AF183</f>
        <v/>
      </c>
      <c r="AG186" s="8">
        <f>-AG180*(Balancing+Grid_Charges)*AG183</f>
        <v/>
      </c>
      <c r="AH186" s="8">
        <f>-AH180*(Balancing+Grid_Charges)*AH183</f>
        <v/>
      </c>
      <c r="AI186" s="8">
        <f>-AI180*(Balancing+Grid_Charges)*AI183</f>
        <v/>
      </c>
      <c r="AJ186" s="8">
        <f>-AJ180*(Balancing+Grid_Charges)*AJ183</f>
        <v/>
      </c>
      <c r="AK186" s="8">
        <f>-AK180*(Balancing+Grid_Charges)*AK183</f>
        <v/>
      </c>
      <c r="AL186" s="8">
        <f>-AL180*(Balancing+Grid_Charges)*AL183</f>
        <v/>
      </c>
      <c r="AM186" s="8">
        <f>-AM180*(Balancing+Grid_Charges)*AM183</f>
        <v/>
      </c>
      <c r="AN186" s="8">
        <f>-AN180*(Balancing+Grid_Charges)*AN183</f>
        <v/>
      </c>
      <c r="AO186" s="8">
        <f>-AO180*(Balancing+Grid_Charges)*AO183</f>
        <v/>
      </c>
      <c r="AP186" s="8">
        <f>-AP180*(Balancing+Grid_Charges)*AP183</f>
        <v/>
      </c>
      <c r="AQ186" s="8">
        <f>-AQ180*(Balancing+Grid_Charges)*AQ183</f>
        <v/>
      </c>
      <c r="AR186" s="8">
        <f>-AR180*(Balancing+Grid_Charges)*AR183</f>
        <v/>
      </c>
      <c r="AS186" s="8">
        <f>-AS180*(Balancing+Grid_Charges)*AS183</f>
        <v/>
      </c>
      <c r="AT186" s="8">
        <f>-AT180*(Balancing+Grid_Charges)*AT183</f>
        <v/>
      </c>
      <c r="AU186" s="8">
        <f>-AU180*(Balancing+Grid_Charges)*AU183</f>
        <v/>
      </c>
      <c r="AV186" s="8">
        <f>-AV180*(Balancing+Grid_Charges)*AV183</f>
        <v/>
      </c>
    </row>
    <row r="187">
      <c r="C187" s="6" t="inlineStr">
        <is>
          <t>MEKH supervisory fee</t>
        </is>
      </c>
      <c r="D187" s="2" t="inlineStr">
        <is>
          <t>EUR k</t>
        </is>
      </c>
      <c r="H187" s="8">
        <f>SUM(M187:AV187)</f>
        <v/>
      </c>
      <c r="M187" s="8">
        <f>-M182*MEKH_Fee</f>
        <v/>
      </c>
      <c r="N187" s="8">
        <f>-N182*MEKH_Fee</f>
        <v/>
      </c>
      <c r="O187" s="8">
        <f>-O182*MEKH_Fee</f>
        <v/>
      </c>
      <c r="P187" s="8">
        <f>-P182*MEKH_Fee</f>
        <v/>
      </c>
      <c r="Q187" s="8">
        <f>-Q182*MEKH_Fee</f>
        <v/>
      </c>
      <c r="R187" s="8">
        <f>-R182*MEKH_Fee</f>
        <v/>
      </c>
      <c r="S187" s="8">
        <f>-S182*MEKH_Fee</f>
        <v/>
      </c>
      <c r="T187" s="8">
        <f>-T182*MEKH_Fee</f>
        <v/>
      </c>
      <c r="U187" s="8">
        <f>-U182*MEKH_Fee</f>
        <v/>
      </c>
      <c r="V187" s="8">
        <f>-V182*MEKH_Fee</f>
        <v/>
      </c>
      <c r="W187" s="8">
        <f>-W182*MEKH_Fee</f>
        <v/>
      </c>
      <c r="X187" s="8">
        <f>-X182*MEKH_Fee</f>
        <v/>
      </c>
      <c r="Y187" s="8">
        <f>-Y182*MEKH_Fee</f>
        <v/>
      </c>
      <c r="Z187" s="8">
        <f>-Z182*MEKH_Fee</f>
        <v/>
      </c>
      <c r="AA187" s="8">
        <f>-AA182*MEKH_Fee</f>
        <v/>
      </c>
      <c r="AB187" s="8">
        <f>-AB182*MEKH_Fee</f>
        <v/>
      </c>
      <c r="AC187" s="8">
        <f>-AC182*MEKH_Fee</f>
        <v/>
      </c>
      <c r="AD187" s="8">
        <f>-AD182*MEKH_Fee</f>
        <v/>
      </c>
      <c r="AE187" s="8">
        <f>-AE182*MEKH_Fee</f>
        <v/>
      </c>
      <c r="AF187" s="8">
        <f>-AF182*MEKH_Fee</f>
        <v/>
      </c>
      <c r="AG187" s="8">
        <f>-AG182*MEKH_Fee</f>
        <v/>
      </c>
      <c r="AH187" s="8">
        <f>-AH182*MEKH_Fee</f>
        <v/>
      </c>
      <c r="AI187" s="8">
        <f>-AI182*MEKH_Fee</f>
        <v/>
      </c>
      <c r="AJ187" s="8">
        <f>-AJ182*MEKH_Fee</f>
        <v/>
      </c>
      <c r="AK187" s="8">
        <f>-AK182*MEKH_Fee</f>
        <v/>
      </c>
      <c r="AL187" s="8">
        <f>-AL182*MEKH_Fee</f>
        <v/>
      </c>
      <c r="AM187" s="8">
        <f>-AM182*MEKH_Fee</f>
        <v/>
      </c>
      <c r="AN187" s="8">
        <f>-AN182*MEKH_Fee</f>
        <v/>
      </c>
      <c r="AO187" s="8">
        <f>-AO182*MEKH_Fee</f>
        <v/>
      </c>
      <c r="AP187" s="8">
        <f>-AP182*MEKH_Fee</f>
        <v/>
      </c>
      <c r="AQ187" s="8">
        <f>-AQ182*MEKH_Fee</f>
        <v/>
      </c>
      <c r="AR187" s="8">
        <f>-AR182*MEKH_Fee</f>
        <v/>
      </c>
      <c r="AS187" s="8">
        <f>-AS182*MEKH_Fee</f>
        <v/>
      </c>
      <c r="AT187" s="8">
        <f>-AT182*MEKH_Fee</f>
        <v/>
      </c>
      <c r="AU187" s="8">
        <f>-AU182*MEKH_Fee</f>
        <v/>
      </c>
      <c r="AV187" s="8">
        <f>-AV182*MEKH_Fee</f>
        <v/>
      </c>
    </row>
    <row r="188">
      <c r="C188" s="6" t="inlineStr">
        <is>
          <t>Opex contingency</t>
        </is>
      </c>
      <c r="D188" s="2" t="inlineStr">
        <is>
          <t>EUR k</t>
        </is>
      </c>
      <c r="H188" s="8">
        <f>SUM(M188:AV188)</f>
        <v/>
      </c>
      <c r="M188" s="8">
        <f>SUM(M184:M187)*Opex_Cont</f>
        <v/>
      </c>
      <c r="N188" s="8">
        <f>SUM(N184:N187)*Opex_Cont</f>
        <v/>
      </c>
      <c r="O188" s="8">
        <f>SUM(O184:O187)*Opex_Cont</f>
        <v/>
      </c>
      <c r="P188" s="8">
        <f>SUM(P184:P187)*Opex_Cont</f>
        <v/>
      </c>
      <c r="Q188" s="8">
        <f>SUM(Q184:Q187)*Opex_Cont</f>
        <v/>
      </c>
      <c r="R188" s="8">
        <f>SUM(R184:R187)*Opex_Cont</f>
        <v/>
      </c>
      <c r="S188" s="8">
        <f>SUM(S184:S187)*Opex_Cont</f>
        <v/>
      </c>
      <c r="T188" s="8">
        <f>SUM(T184:T187)*Opex_Cont</f>
        <v/>
      </c>
      <c r="U188" s="8">
        <f>SUM(U184:U187)*Opex_Cont</f>
        <v/>
      </c>
      <c r="V188" s="8">
        <f>SUM(V184:V187)*Opex_Cont</f>
        <v/>
      </c>
      <c r="W188" s="8">
        <f>SUM(W184:W187)*Opex_Cont</f>
        <v/>
      </c>
      <c r="X188" s="8">
        <f>SUM(X184:X187)*Opex_Cont</f>
        <v/>
      </c>
      <c r="Y188" s="8">
        <f>SUM(Y184:Y187)*Opex_Cont</f>
        <v/>
      </c>
      <c r="Z188" s="8">
        <f>SUM(Z184:Z187)*Opex_Cont</f>
        <v/>
      </c>
      <c r="AA188" s="8">
        <f>SUM(AA184:AA187)*Opex_Cont</f>
        <v/>
      </c>
      <c r="AB188" s="8">
        <f>SUM(AB184:AB187)*Opex_Cont</f>
        <v/>
      </c>
      <c r="AC188" s="8">
        <f>SUM(AC184:AC187)*Opex_Cont</f>
        <v/>
      </c>
      <c r="AD188" s="8">
        <f>SUM(AD184:AD187)*Opex_Cont</f>
        <v/>
      </c>
      <c r="AE188" s="8">
        <f>SUM(AE184:AE187)*Opex_Cont</f>
        <v/>
      </c>
      <c r="AF188" s="8">
        <f>SUM(AF184:AF187)*Opex_Cont</f>
        <v/>
      </c>
      <c r="AG188" s="8">
        <f>SUM(AG184:AG187)*Opex_Cont</f>
        <v/>
      </c>
      <c r="AH188" s="8">
        <f>SUM(AH184:AH187)*Opex_Cont</f>
        <v/>
      </c>
      <c r="AI188" s="8">
        <f>SUM(AI184:AI187)*Opex_Cont</f>
        <v/>
      </c>
      <c r="AJ188" s="8">
        <f>SUM(AJ184:AJ187)*Opex_Cont</f>
        <v/>
      </c>
      <c r="AK188" s="8">
        <f>SUM(AK184:AK187)*Opex_Cont</f>
        <v/>
      </c>
      <c r="AL188" s="8">
        <f>SUM(AL184:AL187)*Opex_Cont</f>
        <v/>
      </c>
      <c r="AM188" s="8">
        <f>SUM(AM184:AM187)*Opex_Cont</f>
        <v/>
      </c>
      <c r="AN188" s="8">
        <f>SUM(AN184:AN187)*Opex_Cont</f>
        <v/>
      </c>
      <c r="AO188" s="8">
        <f>SUM(AO184:AO187)*Opex_Cont</f>
        <v/>
      </c>
      <c r="AP188" s="8">
        <f>SUM(AP184:AP187)*Opex_Cont</f>
        <v/>
      </c>
      <c r="AQ188" s="8">
        <f>SUM(AQ184:AQ187)*Opex_Cont</f>
        <v/>
      </c>
      <c r="AR188" s="8">
        <f>SUM(AR184:AR187)*Opex_Cont</f>
        <v/>
      </c>
      <c r="AS188" s="8">
        <f>SUM(AS184:AS187)*Opex_Cont</f>
        <v/>
      </c>
      <c r="AT188" s="8">
        <f>SUM(AT184:AT187)*Opex_Cont</f>
        <v/>
      </c>
      <c r="AU188" s="8">
        <f>SUM(AU184:AU187)*Opex_Cont</f>
        <v/>
      </c>
      <c r="AV188" s="8">
        <f>SUM(AV184:AV187)*Opex_Cont</f>
        <v/>
      </c>
    </row>
    <row r="189">
      <c r="C189" s="6" t="inlineStr">
        <is>
          <t>Community contribution</t>
        </is>
      </c>
      <c r="D189" s="2" t="inlineStr">
        <is>
          <t>EUR k</t>
        </is>
      </c>
      <c r="H189" s="8">
        <f>SUM(M189:AV189)</f>
        <v/>
      </c>
      <c r="M189" s="8">
        <f>-M180*Dashboard!$G$12</f>
        <v/>
      </c>
      <c r="N189" s="8">
        <f>-N180*Dashboard!$G$12</f>
        <v/>
      </c>
      <c r="O189" s="8">
        <f>-O180*Dashboard!$G$12</f>
        <v/>
      </c>
      <c r="P189" s="8">
        <f>-P180*Dashboard!$G$12</f>
        <v/>
      </c>
      <c r="Q189" s="8">
        <f>-Q180*Dashboard!$G$12</f>
        <v/>
      </c>
      <c r="R189" s="8">
        <f>-R180*Dashboard!$G$12</f>
        <v/>
      </c>
      <c r="S189" s="8">
        <f>-S180*Dashboard!$G$12</f>
        <v/>
      </c>
      <c r="T189" s="8">
        <f>-T180*Dashboard!$G$12</f>
        <v/>
      </c>
      <c r="U189" s="8">
        <f>-U180*Dashboard!$G$12</f>
        <v/>
      </c>
      <c r="V189" s="8">
        <f>-V180*Dashboard!$G$12</f>
        <v/>
      </c>
      <c r="W189" s="8">
        <f>-W180*Dashboard!$G$12</f>
        <v/>
      </c>
      <c r="X189" s="8">
        <f>-X180*Dashboard!$G$12</f>
        <v/>
      </c>
      <c r="Y189" s="8">
        <f>-Y180*Dashboard!$G$12</f>
        <v/>
      </c>
      <c r="Z189" s="8">
        <f>-Z180*Dashboard!$G$12</f>
        <v/>
      </c>
      <c r="AA189" s="8">
        <f>-AA180*Dashboard!$G$12</f>
        <v/>
      </c>
      <c r="AB189" s="8">
        <f>-AB180*Dashboard!$G$12</f>
        <v/>
      </c>
      <c r="AC189" s="8">
        <f>-AC180*Dashboard!$G$12</f>
        <v/>
      </c>
      <c r="AD189" s="8">
        <f>-AD180*Dashboard!$G$12</f>
        <v/>
      </c>
      <c r="AE189" s="8">
        <f>-AE180*Dashboard!$G$12</f>
        <v/>
      </c>
      <c r="AF189" s="8">
        <f>-AF180*Dashboard!$G$12</f>
        <v/>
      </c>
      <c r="AG189" s="8">
        <f>-AG180*Dashboard!$G$12</f>
        <v/>
      </c>
      <c r="AH189" s="8">
        <f>-AH180*Dashboard!$G$12</f>
        <v/>
      </c>
      <c r="AI189" s="8">
        <f>-AI180*Dashboard!$G$12</f>
        <v/>
      </c>
      <c r="AJ189" s="8">
        <f>-AJ180*Dashboard!$G$12</f>
        <v/>
      </c>
      <c r="AK189" s="8">
        <f>-AK180*Dashboard!$G$12</f>
        <v/>
      </c>
      <c r="AL189" s="8">
        <f>-AL180*Dashboard!$G$12</f>
        <v/>
      </c>
      <c r="AM189" s="8">
        <f>-AM180*Dashboard!$G$12</f>
        <v/>
      </c>
      <c r="AN189" s="8">
        <f>-AN180*Dashboard!$G$12</f>
        <v/>
      </c>
      <c r="AO189" s="8">
        <f>-AO180*Dashboard!$G$12</f>
        <v/>
      </c>
      <c r="AP189" s="8">
        <f>-AP180*Dashboard!$G$12</f>
        <v/>
      </c>
      <c r="AQ189" s="8">
        <f>-AQ180*Dashboard!$G$12</f>
        <v/>
      </c>
      <c r="AR189" s="8">
        <f>-AR180*Dashboard!$G$12</f>
        <v/>
      </c>
      <c r="AS189" s="8">
        <f>-AS180*Dashboard!$G$12</f>
        <v/>
      </c>
      <c r="AT189" s="8">
        <f>-AT180*Dashboard!$G$12</f>
        <v/>
      </c>
      <c r="AU189" s="8">
        <f>-AU180*Dashboard!$G$12</f>
        <v/>
      </c>
      <c r="AV189" s="8">
        <f>-AV180*Dashboard!$G$12</f>
        <v/>
      </c>
    </row>
    <row r="190">
      <c r="C190" s="6" t="inlineStr">
        <is>
          <t>HIPA local business tax</t>
        </is>
      </c>
      <c r="D190" s="2" t="inlineStr">
        <is>
          <t>EUR k</t>
        </is>
      </c>
      <c r="H190" s="8">
        <f>SUM(M190:AV190)</f>
        <v/>
      </c>
      <c r="M190" s="8">
        <f>-M182*HIPA_Rate</f>
        <v/>
      </c>
      <c r="N190" s="8">
        <f>-N182*HIPA_Rate</f>
        <v/>
      </c>
      <c r="O190" s="8">
        <f>-O182*HIPA_Rate</f>
        <v/>
      </c>
      <c r="P190" s="8">
        <f>-P182*HIPA_Rate</f>
        <v/>
      </c>
      <c r="Q190" s="8">
        <f>-Q182*HIPA_Rate</f>
        <v/>
      </c>
      <c r="R190" s="8">
        <f>-R182*HIPA_Rate</f>
        <v/>
      </c>
      <c r="S190" s="8">
        <f>-S182*HIPA_Rate</f>
        <v/>
      </c>
      <c r="T190" s="8">
        <f>-T182*HIPA_Rate</f>
        <v/>
      </c>
      <c r="U190" s="8">
        <f>-U182*HIPA_Rate</f>
        <v/>
      </c>
      <c r="V190" s="8">
        <f>-V182*HIPA_Rate</f>
        <v/>
      </c>
      <c r="W190" s="8">
        <f>-W182*HIPA_Rate</f>
        <v/>
      </c>
      <c r="X190" s="8">
        <f>-X182*HIPA_Rate</f>
        <v/>
      </c>
      <c r="Y190" s="8">
        <f>-Y182*HIPA_Rate</f>
        <v/>
      </c>
      <c r="Z190" s="8">
        <f>-Z182*HIPA_Rate</f>
        <v/>
      </c>
      <c r="AA190" s="8">
        <f>-AA182*HIPA_Rate</f>
        <v/>
      </c>
      <c r="AB190" s="8">
        <f>-AB182*HIPA_Rate</f>
        <v/>
      </c>
      <c r="AC190" s="8">
        <f>-AC182*HIPA_Rate</f>
        <v/>
      </c>
      <c r="AD190" s="8">
        <f>-AD182*HIPA_Rate</f>
        <v/>
      </c>
      <c r="AE190" s="8">
        <f>-AE182*HIPA_Rate</f>
        <v/>
      </c>
      <c r="AF190" s="8">
        <f>-AF182*HIPA_Rate</f>
        <v/>
      </c>
      <c r="AG190" s="8">
        <f>-AG182*HIPA_Rate</f>
        <v/>
      </c>
      <c r="AH190" s="8">
        <f>-AH182*HIPA_Rate</f>
        <v/>
      </c>
      <c r="AI190" s="8">
        <f>-AI182*HIPA_Rate</f>
        <v/>
      </c>
      <c r="AJ190" s="8">
        <f>-AJ182*HIPA_Rate</f>
        <v/>
      </c>
      <c r="AK190" s="8">
        <f>-AK182*HIPA_Rate</f>
        <v/>
      </c>
      <c r="AL190" s="8">
        <f>-AL182*HIPA_Rate</f>
        <v/>
      </c>
      <c r="AM190" s="8">
        <f>-AM182*HIPA_Rate</f>
        <v/>
      </c>
      <c r="AN190" s="8">
        <f>-AN182*HIPA_Rate</f>
        <v/>
      </c>
      <c r="AO190" s="8">
        <f>-AO182*HIPA_Rate</f>
        <v/>
      </c>
      <c r="AP190" s="8">
        <f>-AP182*HIPA_Rate</f>
        <v/>
      </c>
      <c r="AQ190" s="8">
        <f>-AQ182*HIPA_Rate</f>
        <v/>
      </c>
      <c r="AR190" s="8">
        <f>-AR182*HIPA_Rate</f>
        <v/>
      </c>
      <c r="AS190" s="8">
        <f>-AS182*HIPA_Rate</f>
        <v/>
      </c>
      <c r="AT190" s="8">
        <f>-AT182*HIPA_Rate</f>
        <v/>
      </c>
      <c r="AU190" s="8">
        <f>-AU182*HIPA_Rate</f>
        <v/>
      </c>
      <c r="AV190" s="8">
        <f>-AV182*HIPA_Rate</f>
        <v/>
      </c>
    </row>
    <row r="191">
      <c r="C191" s="1" t="inlineStr">
        <is>
          <t>Total opex</t>
        </is>
      </c>
      <c r="D191" s="2" t="inlineStr">
        <is>
          <t>EUR k</t>
        </is>
      </c>
      <c r="H191" s="23">
        <f>SUM(M191:AV191)</f>
        <v/>
      </c>
      <c r="M191" s="23">
        <f>SUM(M184:M190)</f>
        <v/>
      </c>
      <c r="N191" s="23">
        <f>SUM(N184:N190)</f>
        <v/>
      </c>
      <c r="O191" s="23">
        <f>SUM(O184:O190)</f>
        <v/>
      </c>
      <c r="P191" s="23">
        <f>SUM(P184:P190)</f>
        <v/>
      </c>
      <c r="Q191" s="23">
        <f>SUM(Q184:Q190)</f>
        <v/>
      </c>
      <c r="R191" s="23">
        <f>SUM(R184:R190)</f>
        <v/>
      </c>
      <c r="S191" s="23">
        <f>SUM(S184:S190)</f>
        <v/>
      </c>
      <c r="T191" s="23">
        <f>SUM(T184:T190)</f>
        <v/>
      </c>
      <c r="U191" s="23">
        <f>SUM(U184:U190)</f>
        <v/>
      </c>
      <c r="V191" s="23">
        <f>SUM(V184:V190)</f>
        <v/>
      </c>
      <c r="W191" s="23">
        <f>SUM(W184:W190)</f>
        <v/>
      </c>
      <c r="X191" s="23">
        <f>SUM(X184:X190)</f>
        <v/>
      </c>
      <c r="Y191" s="23">
        <f>SUM(Y184:Y190)</f>
        <v/>
      </c>
      <c r="Z191" s="23">
        <f>SUM(Z184:Z190)</f>
        <v/>
      </c>
      <c r="AA191" s="23">
        <f>SUM(AA184:AA190)</f>
        <v/>
      </c>
      <c r="AB191" s="23">
        <f>SUM(AB184:AB190)</f>
        <v/>
      </c>
      <c r="AC191" s="23">
        <f>SUM(AC184:AC190)</f>
        <v/>
      </c>
      <c r="AD191" s="23">
        <f>SUM(AD184:AD190)</f>
        <v/>
      </c>
      <c r="AE191" s="23">
        <f>SUM(AE184:AE190)</f>
        <v/>
      </c>
      <c r="AF191" s="23">
        <f>SUM(AF184:AF190)</f>
        <v/>
      </c>
      <c r="AG191" s="23">
        <f>SUM(AG184:AG190)</f>
        <v/>
      </c>
      <c r="AH191" s="23">
        <f>SUM(AH184:AH190)</f>
        <v/>
      </c>
      <c r="AI191" s="23">
        <f>SUM(AI184:AI190)</f>
        <v/>
      </c>
      <c r="AJ191" s="23">
        <f>SUM(AJ184:AJ190)</f>
        <v/>
      </c>
      <c r="AK191" s="23">
        <f>SUM(AK184:AK190)</f>
        <v/>
      </c>
      <c r="AL191" s="23">
        <f>SUM(AL184:AL190)</f>
        <v/>
      </c>
      <c r="AM191" s="23">
        <f>SUM(AM184:AM190)</f>
        <v/>
      </c>
      <c r="AN191" s="23">
        <f>SUM(AN184:AN190)</f>
        <v/>
      </c>
      <c r="AO191" s="23">
        <f>SUM(AO184:AO190)</f>
        <v/>
      </c>
      <c r="AP191" s="23">
        <f>SUM(AP184:AP190)</f>
        <v/>
      </c>
      <c r="AQ191" s="23">
        <f>SUM(AQ184:AQ190)</f>
        <v/>
      </c>
      <c r="AR191" s="23">
        <f>SUM(AR184:AR190)</f>
        <v/>
      </c>
      <c r="AS191" s="23">
        <f>SUM(AS184:AS190)</f>
        <v/>
      </c>
      <c r="AT191" s="23">
        <f>SUM(AT184:AT190)</f>
        <v/>
      </c>
      <c r="AU191" s="23">
        <f>SUM(AU184:AU190)</f>
        <v/>
      </c>
      <c r="AV191" s="23">
        <f>SUM(AV184:AV190)</f>
        <v/>
      </c>
    </row>
    <row r="192">
      <c r="C192" s="1" t="inlineStr">
        <is>
          <t>EBITDA</t>
        </is>
      </c>
      <c r="D192" s="2" t="inlineStr">
        <is>
          <t>EUR k</t>
        </is>
      </c>
      <c r="H192" s="23">
        <f>SUM(M192:AV192)</f>
        <v/>
      </c>
      <c r="M192" s="15">
        <f>M182+M191</f>
        <v/>
      </c>
      <c r="N192" s="15">
        <f>N182+N191</f>
        <v/>
      </c>
      <c r="O192" s="15">
        <f>O182+O191</f>
        <v/>
      </c>
      <c r="P192" s="15">
        <f>P182+P191</f>
        <v/>
      </c>
      <c r="Q192" s="15">
        <f>Q182+Q191</f>
        <v/>
      </c>
      <c r="R192" s="15">
        <f>R182+R191</f>
        <v/>
      </c>
      <c r="S192" s="15">
        <f>S182+S191</f>
        <v/>
      </c>
      <c r="T192" s="15">
        <f>T182+T191</f>
        <v/>
      </c>
      <c r="U192" s="15">
        <f>U182+U191</f>
        <v/>
      </c>
      <c r="V192" s="15">
        <f>V182+V191</f>
        <v/>
      </c>
      <c r="W192" s="15">
        <f>W182+W191</f>
        <v/>
      </c>
      <c r="X192" s="15">
        <f>X182+X191</f>
        <v/>
      </c>
      <c r="Y192" s="15">
        <f>Y182+Y191</f>
        <v/>
      </c>
      <c r="Z192" s="15">
        <f>Z182+Z191</f>
        <v/>
      </c>
      <c r="AA192" s="15">
        <f>AA182+AA191</f>
        <v/>
      </c>
      <c r="AB192" s="15">
        <f>AB182+AB191</f>
        <v/>
      </c>
      <c r="AC192" s="15">
        <f>AC182+AC191</f>
        <v/>
      </c>
      <c r="AD192" s="15">
        <f>AD182+AD191</f>
        <v/>
      </c>
      <c r="AE192" s="15">
        <f>AE182+AE191</f>
        <v/>
      </c>
      <c r="AF192" s="15">
        <f>AF182+AF191</f>
        <v/>
      </c>
      <c r="AG192" s="15">
        <f>AG182+AG191</f>
        <v/>
      </c>
      <c r="AH192" s="15">
        <f>AH182+AH191</f>
        <v/>
      </c>
      <c r="AI192" s="15">
        <f>AI182+AI191</f>
        <v/>
      </c>
      <c r="AJ192" s="15">
        <f>AJ182+AJ191</f>
        <v/>
      </c>
      <c r="AK192" s="15">
        <f>AK182+AK191</f>
        <v/>
      </c>
      <c r="AL192" s="15">
        <f>AL182+AL191</f>
        <v/>
      </c>
      <c r="AM192" s="15">
        <f>AM182+AM191</f>
        <v/>
      </c>
      <c r="AN192" s="15">
        <f>AN182+AN191</f>
        <v/>
      </c>
      <c r="AO192" s="15">
        <f>AO182+AO191</f>
        <v/>
      </c>
      <c r="AP192" s="15">
        <f>AP182+AP191</f>
        <v/>
      </c>
      <c r="AQ192" s="15">
        <f>AQ182+AQ191</f>
        <v/>
      </c>
      <c r="AR192" s="15">
        <f>AR182+AR191</f>
        <v/>
      </c>
      <c r="AS192" s="15">
        <f>AS182+AS191</f>
        <v/>
      </c>
      <c r="AT192" s="15">
        <f>AT182+AT191</f>
        <v/>
      </c>
      <c r="AU192" s="15">
        <f>AU182+AU191</f>
        <v/>
      </c>
      <c r="AV192" s="15">
        <f>AV182+AV191</f>
        <v/>
      </c>
    </row>
    <row r="193">
      <c r="C193" s="1" t="inlineStr">
        <is>
          <t>Unlevered pre-tax cash flow</t>
        </is>
      </c>
      <c r="D193" s="2" t="inlineStr">
        <is>
          <t>EUR k</t>
        </is>
      </c>
      <c r="H193" s="23">
        <f>SUM(M193:AV193)</f>
        <v/>
      </c>
      <c r="M193" s="23">
        <f>M178+M192</f>
        <v/>
      </c>
      <c r="N193" s="23">
        <f>N178+N192</f>
        <v/>
      </c>
      <c r="O193" s="23">
        <f>O178+O192</f>
        <v/>
      </c>
      <c r="P193" s="23">
        <f>P178+P192</f>
        <v/>
      </c>
      <c r="Q193" s="23">
        <f>Q178+Q192</f>
        <v/>
      </c>
      <c r="R193" s="23">
        <f>R178+R192</f>
        <v/>
      </c>
      <c r="S193" s="23">
        <f>S178+S192</f>
        <v/>
      </c>
      <c r="T193" s="23">
        <f>T178+T192</f>
        <v/>
      </c>
      <c r="U193" s="23">
        <f>U178+U192</f>
        <v/>
      </c>
      <c r="V193" s="23">
        <f>V178+V192</f>
        <v/>
      </c>
      <c r="W193" s="23">
        <f>W178+W192</f>
        <v/>
      </c>
      <c r="X193" s="23">
        <f>X178+X192</f>
        <v/>
      </c>
      <c r="Y193" s="23">
        <f>Y178+Y192</f>
        <v/>
      </c>
      <c r="Z193" s="23">
        <f>Z178+Z192</f>
        <v/>
      </c>
      <c r="AA193" s="23">
        <f>AA178+AA192</f>
        <v/>
      </c>
      <c r="AB193" s="23">
        <f>AB178+AB192</f>
        <v/>
      </c>
      <c r="AC193" s="23">
        <f>AC178+AC192</f>
        <v/>
      </c>
      <c r="AD193" s="23">
        <f>AD178+AD192</f>
        <v/>
      </c>
      <c r="AE193" s="23">
        <f>AE178+AE192</f>
        <v/>
      </c>
      <c r="AF193" s="23">
        <f>AF178+AF192</f>
        <v/>
      </c>
      <c r="AG193" s="23">
        <f>AG178+AG192</f>
        <v/>
      </c>
      <c r="AH193" s="23">
        <f>AH178+AH192</f>
        <v/>
      </c>
      <c r="AI193" s="23">
        <f>AI178+AI192</f>
        <v/>
      </c>
      <c r="AJ193" s="23">
        <f>AJ178+AJ192</f>
        <v/>
      </c>
      <c r="AK193" s="23">
        <f>AK178+AK192</f>
        <v/>
      </c>
      <c r="AL193" s="23">
        <f>AL178+AL192</f>
        <v/>
      </c>
      <c r="AM193" s="23">
        <f>AM178+AM192</f>
        <v/>
      </c>
      <c r="AN193" s="23">
        <f>AN178+AN192</f>
        <v/>
      </c>
      <c r="AO193" s="23">
        <f>AO178+AO192</f>
        <v/>
      </c>
      <c r="AP193" s="23">
        <f>AP178+AP192</f>
        <v/>
      </c>
      <c r="AQ193" s="23">
        <f>AQ178+AQ192</f>
        <v/>
      </c>
      <c r="AR193" s="23">
        <f>AR178+AR192</f>
        <v/>
      </c>
      <c r="AS193" s="23">
        <f>AS178+AS192</f>
        <v/>
      </c>
      <c r="AT193" s="23">
        <f>AT178+AT192</f>
        <v/>
      </c>
      <c r="AU193" s="23">
        <f>AU178+AU192</f>
        <v/>
      </c>
      <c r="AV193" s="23">
        <f>AV178+AV192</f>
        <v/>
      </c>
    </row>
    <row r="194">
      <c r="C194" s="6" t="inlineStr">
        <is>
          <t>Discount factor to COD (buyer's rate)</t>
        </is>
      </c>
      <c r="D194" s="2" t="inlineStr">
        <is>
          <t>x</t>
        </is>
      </c>
      <c r="M194" s="29">
        <f>(1+Discount_Rate)^((Inputs!$G$27-M$103)/Days_In_Year)</f>
        <v/>
      </c>
      <c r="N194" s="29">
        <f>(1+Discount_Rate)^((Inputs!$G$27-N$103)/Days_In_Year)</f>
        <v/>
      </c>
      <c r="O194" s="29">
        <f>(1+Discount_Rate)^((Inputs!$G$27-O$103)/Days_In_Year)</f>
        <v/>
      </c>
      <c r="P194" s="29">
        <f>(1+Discount_Rate)^((Inputs!$G$27-P$103)/Days_In_Year)</f>
        <v/>
      </c>
      <c r="Q194" s="29">
        <f>(1+Discount_Rate)^((Inputs!$G$27-Q$103)/Days_In_Year)</f>
        <v/>
      </c>
      <c r="R194" s="29">
        <f>(1+Discount_Rate)^((Inputs!$G$27-R$103)/Days_In_Year)</f>
        <v/>
      </c>
      <c r="S194" s="29">
        <f>(1+Discount_Rate)^((Inputs!$G$27-S$103)/Days_In_Year)</f>
        <v/>
      </c>
      <c r="T194" s="29">
        <f>(1+Discount_Rate)^((Inputs!$G$27-T$103)/Days_In_Year)</f>
        <v/>
      </c>
      <c r="U194" s="29">
        <f>(1+Discount_Rate)^((Inputs!$G$27-U$103)/Days_In_Year)</f>
        <v/>
      </c>
      <c r="V194" s="29">
        <f>(1+Discount_Rate)^((Inputs!$G$27-V$103)/Days_In_Year)</f>
        <v/>
      </c>
      <c r="W194" s="29">
        <f>(1+Discount_Rate)^((Inputs!$G$27-W$103)/Days_In_Year)</f>
        <v/>
      </c>
      <c r="X194" s="29">
        <f>(1+Discount_Rate)^((Inputs!$G$27-X$103)/Days_In_Year)</f>
        <v/>
      </c>
      <c r="Y194" s="29">
        <f>(1+Discount_Rate)^((Inputs!$G$27-Y$103)/Days_In_Year)</f>
        <v/>
      </c>
      <c r="Z194" s="29">
        <f>(1+Discount_Rate)^((Inputs!$G$27-Z$103)/Days_In_Year)</f>
        <v/>
      </c>
      <c r="AA194" s="29">
        <f>(1+Discount_Rate)^((Inputs!$G$27-AA$103)/Days_In_Year)</f>
        <v/>
      </c>
      <c r="AB194" s="29">
        <f>(1+Discount_Rate)^((Inputs!$G$27-AB$103)/Days_In_Year)</f>
        <v/>
      </c>
      <c r="AC194" s="29">
        <f>(1+Discount_Rate)^((Inputs!$G$27-AC$103)/Days_In_Year)</f>
        <v/>
      </c>
      <c r="AD194" s="29">
        <f>(1+Discount_Rate)^((Inputs!$G$27-AD$103)/Days_In_Year)</f>
        <v/>
      </c>
      <c r="AE194" s="29">
        <f>(1+Discount_Rate)^((Inputs!$G$27-AE$103)/Days_In_Year)</f>
        <v/>
      </c>
      <c r="AF194" s="29">
        <f>(1+Discount_Rate)^((Inputs!$G$27-AF$103)/Days_In_Year)</f>
        <v/>
      </c>
      <c r="AG194" s="29">
        <f>(1+Discount_Rate)^((Inputs!$G$27-AG$103)/Days_In_Year)</f>
        <v/>
      </c>
      <c r="AH194" s="29">
        <f>(1+Discount_Rate)^((Inputs!$G$27-AH$103)/Days_In_Year)</f>
        <v/>
      </c>
      <c r="AI194" s="29">
        <f>(1+Discount_Rate)^((Inputs!$G$27-AI$103)/Days_In_Year)</f>
        <v/>
      </c>
      <c r="AJ194" s="29">
        <f>(1+Discount_Rate)^((Inputs!$G$27-AJ$103)/Days_In_Year)</f>
        <v/>
      </c>
      <c r="AK194" s="29">
        <f>(1+Discount_Rate)^((Inputs!$G$27-AK$103)/Days_In_Year)</f>
        <v/>
      </c>
      <c r="AL194" s="29">
        <f>(1+Discount_Rate)^((Inputs!$G$27-AL$103)/Days_In_Year)</f>
        <v/>
      </c>
      <c r="AM194" s="29">
        <f>(1+Discount_Rate)^((Inputs!$G$27-AM$103)/Days_In_Year)</f>
        <v/>
      </c>
      <c r="AN194" s="29">
        <f>(1+Discount_Rate)^((Inputs!$G$27-AN$103)/Days_In_Year)</f>
        <v/>
      </c>
      <c r="AO194" s="29">
        <f>(1+Discount_Rate)^((Inputs!$G$27-AO$103)/Days_In_Year)</f>
        <v/>
      </c>
      <c r="AP194" s="29">
        <f>(1+Discount_Rate)^((Inputs!$G$27-AP$103)/Days_In_Year)</f>
        <v/>
      </c>
      <c r="AQ194" s="29">
        <f>(1+Discount_Rate)^((Inputs!$G$27-AQ$103)/Days_In_Year)</f>
        <v/>
      </c>
      <c r="AR194" s="29">
        <f>(1+Discount_Rate)^((Inputs!$G$27-AR$103)/Days_In_Year)</f>
        <v/>
      </c>
      <c r="AS194" s="29">
        <f>(1+Discount_Rate)^((Inputs!$G$27-AS$103)/Days_In_Year)</f>
        <v/>
      </c>
      <c r="AT194" s="29">
        <f>(1+Discount_Rate)^((Inputs!$G$27-AT$103)/Days_In_Year)</f>
        <v/>
      </c>
      <c r="AU194" s="29">
        <f>(1+Discount_Rate)^((Inputs!$G$27-AU$103)/Days_In_Year)</f>
        <v/>
      </c>
      <c r="AV194" s="29">
        <f>(1+Discount_Rate)^((Inputs!$G$27-AV$103)/Days_In_Year)</f>
        <v/>
      </c>
    </row>
    <row r="195">
      <c r="C195" s="6" t="inlineStr">
        <is>
          <t>EBITDA valued at COD (total = COD price)</t>
        </is>
      </c>
      <c r="D195" s="2" t="inlineStr">
        <is>
          <t>EUR k</t>
        </is>
      </c>
      <c r="H195" s="8">
        <f>SUM(M195:AV195)</f>
        <v/>
      </c>
      <c r="M195" s="8">
        <f>M192*M194</f>
        <v/>
      </c>
      <c r="N195" s="8">
        <f>N192*N194</f>
        <v/>
      </c>
      <c r="O195" s="8">
        <f>O192*O194</f>
        <v/>
      </c>
      <c r="P195" s="8">
        <f>P192*P194</f>
        <v/>
      </c>
      <c r="Q195" s="8">
        <f>Q192*Q194</f>
        <v/>
      </c>
      <c r="R195" s="8">
        <f>R192*R194</f>
        <v/>
      </c>
      <c r="S195" s="8">
        <f>S192*S194</f>
        <v/>
      </c>
      <c r="T195" s="8">
        <f>T192*T194</f>
        <v/>
      </c>
      <c r="U195" s="8">
        <f>U192*U194</f>
        <v/>
      </c>
      <c r="V195" s="8">
        <f>V192*V194</f>
        <v/>
      </c>
      <c r="W195" s="8">
        <f>W192*W194</f>
        <v/>
      </c>
      <c r="X195" s="8">
        <f>X192*X194</f>
        <v/>
      </c>
      <c r="Y195" s="8">
        <f>Y192*Y194</f>
        <v/>
      </c>
      <c r="Z195" s="8">
        <f>Z192*Z194</f>
        <v/>
      </c>
      <c r="AA195" s="8">
        <f>AA192*AA194</f>
        <v/>
      </c>
      <c r="AB195" s="8">
        <f>AB192*AB194</f>
        <v/>
      </c>
      <c r="AC195" s="8">
        <f>AC192*AC194</f>
        <v/>
      </c>
      <c r="AD195" s="8">
        <f>AD192*AD194</f>
        <v/>
      </c>
      <c r="AE195" s="8">
        <f>AE192*AE194</f>
        <v/>
      </c>
      <c r="AF195" s="8">
        <f>AF192*AF194</f>
        <v/>
      </c>
      <c r="AG195" s="8">
        <f>AG192*AG194</f>
        <v/>
      </c>
      <c r="AH195" s="8">
        <f>AH192*AH194</f>
        <v/>
      </c>
      <c r="AI195" s="8">
        <f>AI192*AI194</f>
        <v/>
      </c>
      <c r="AJ195" s="8">
        <f>AJ192*AJ194</f>
        <v/>
      </c>
      <c r="AK195" s="8">
        <f>AK192*AK194</f>
        <v/>
      </c>
      <c r="AL195" s="8">
        <f>AL192*AL194</f>
        <v/>
      </c>
      <c r="AM195" s="8">
        <f>AM192*AM194</f>
        <v/>
      </c>
      <c r="AN195" s="8">
        <f>AN192*AN194</f>
        <v/>
      </c>
      <c r="AO195" s="8">
        <f>AO192*AO194</f>
        <v/>
      </c>
      <c r="AP195" s="8">
        <f>AP192*AP194</f>
        <v/>
      </c>
      <c r="AQ195" s="8">
        <f>AQ192*AQ194</f>
        <v/>
      </c>
      <c r="AR195" s="8">
        <f>AR192*AR194</f>
        <v/>
      </c>
      <c r="AS195" s="8">
        <f>AS192*AS194</f>
        <v/>
      </c>
      <c r="AT195" s="8">
        <f>AT192*AT194</f>
        <v/>
      </c>
      <c r="AU195" s="8">
        <f>AU192*AU194</f>
        <v/>
      </c>
      <c r="AV195" s="8">
        <f>AV192*AV194</f>
        <v/>
      </c>
    </row>
    <row r="196">
      <c r="C196" s="1" t="inlineStr">
        <is>
          <t>COD exit: FEP cash flow (to COD, price and securities at COD)</t>
        </is>
      </c>
      <c r="D196" s="2" t="inlineStr">
        <is>
          <t>EUR k</t>
        </is>
      </c>
      <c r="H196" s="23">
        <f>SUM(M196:AV196)</f>
        <v/>
      </c>
      <c r="M196" s="23">
        <f>M178*(M168&lt;=0)+M173*($H195+$G$24+$G$25)</f>
        <v/>
      </c>
      <c r="N196" s="23">
        <f>N178*(N168&lt;=0)+N173*($H195+$G$24+$G$25)</f>
        <v/>
      </c>
      <c r="O196" s="23">
        <f>O178*(O168&lt;=0)+O173*($H195+$G$24+$G$25)</f>
        <v/>
      </c>
      <c r="P196" s="23">
        <f>P178*(P168&lt;=0)+P173*($H195+$G$24+$G$25)</f>
        <v/>
      </c>
      <c r="Q196" s="23">
        <f>Q178*(Q168&lt;=0)+Q173*($H195+$G$24+$G$25)</f>
        <v/>
      </c>
      <c r="R196" s="23">
        <f>R178*(R168&lt;=0)+R173*($H195+$G$24+$G$25)</f>
        <v/>
      </c>
      <c r="S196" s="23">
        <f>S178*(S168&lt;=0)+S173*($H195+$G$24+$G$25)</f>
        <v/>
      </c>
      <c r="T196" s="23">
        <f>T178*(T168&lt;=0)+T173*($H195+$G$24+$G$25)</f>
        <v/>
      </c>
      <c r="U196" s="23">
        <f>U178*(U168&lt;=0)+U173*($H195+$G$24+$G$25)</f>
        <v/>
      </c>
      <c r="V196" s="23">
        <f>V178*(V168&lt;=0)+V173*($H195+$G$24+$G$25)</f>
        <v/>
      </c>
      <c r="W196" s="23">
        <f>W178*(W168&lt;=0)+W173*($H195+$G$24+$G$25)</f>
        <v/>
      </c>
      <c r="X196" s="23">
        <f>X178*(X168&lt;=0)+X173*($H195+$G$24+$G$25)</f>
        <v/>
      </c>
      <c r="Y196" s="23">
        <f>Y178*(Y168&lt;=0)+Y173*($H195+$G$24+$G$25)</f>
        <v/>
      </c>
      <c r="Z196" s="23">
        <f>Z178*(Z168&lt;=0)+Z173*($H195+$G$24+$G$25)</f>
        <v/>
      </c>
      <c r="AA196" s="23">
        <f>AA178*(AA168&lt;=0)+AA173*($H195+$G$24+$G$25)</f>
        <v/>
      </c>
      <c r="AB196" s="23">
        <f>AB178*(AB168&lt;=0)+AB173*($H195+$G$24+$G$25)</f>
        <v/>
      </c>
      <c r="AC196" s="23">
        <f>AC178*(AC168&lt;=0)+AC173*($H195+$G$24+$G$25)</f>
        <v/>
      </c>
      <c r="AD196" s="23">
        <f>AD178*(AD168&lt;=0)+AD173*($H195+$G$24+$G$25)</f>
        <v/>
      </c>
      <c r="AE196" s="23">
        <f>AE178*(AE168&lt;=0)+AE173*($H195+$G$24+$G$25)</f>
        <v/>
      </c>
      <c r="AF196" s="23">
        <f>AF178*(AF168&lt;=0)+AF173*($H195+$G$24+$G$25)</f>
        <v/>
      </c>
      <c r="AG196" s="23">
        <f>AG178*(AG168&lt;=0)+AG173*($H195+$G$24+$G$25)</f>
        <v/>
      </c>
      <c r="AH196" s="23">
        <f>AH178*(AH168&lt;=0)+AH173*($H195+$G$24+$G$25)</f>
        <v/>
      </c>
      <c r="AI196" s="23">
        <f>AI178*(AI168&lt;=0)+AI173*($H195+$G$24+$G$25)</f>
        <v/>
      </c>
      <c r="AJ196" s="23">
        <f>AJ178*(AJ168&lt;=0)+AJ173*($H195+$G$24+$G$25)</f>
        <v/>
      </c>
      <c r="AK196" s="23">
        <f>AK178*(AK168&lt;=0)+AK173*($H195+$G$24+$G$25)</f>
        <v/>
      </c>
      <c r="AL196" s="23">
        <f>AL178*(AL168&lt;=0)+AL173*($H195+$G$24+$G$25)</f>
        <v/>
      </c>
      <c r="AM196" s="23">
        <f>AM178*(AM168&lt;=0)+AM173*($H195+$G$24+$G$25)</f>
        <v/>
      </c>
      <c r="AN196" s="23">
        <f>AN178*(AN168&lt;=0)+AN173*($H195+$G$24+$G$25)</f>
        <v/>
      </c>
      <c r="AO196" s="23">
        <f>AO178*(AO168&lt;=0)+AO173*($H195+$G$24+$G$25)</f>
        <v/>
      </c>
      <c r="AP196" s="23">
        <f>AP178*(AP168&lt;=0)+AP173*($H195+$G$24+$G$25)</f>
        <v/>
      </c>
      <c r="AQ196" s="23">
        <f>AQ178*(AQ168&lt;=0)+AQ173*($H195+$G$24+$G$25)</f>
        <v/>
      </c>
      <c r="AR196" s="23">
        <f>AR178*(AR168&lt;=0)+AR173*($H195+$G$24+$G$25)</f>
        <v/>
      </c>
      <c r="AS196" s="23">
        <f>AS178*(AS168&lt;=0)+AS173*($H195+$G$24+$G$25)</f>
        <v/>
      </c>
      <c r="AT196" s="23">
        <f>AT178*(AT168&lt;=0)+AT173*($H195+$G$24+$G$25)</f>
        <v/>
      </c>
      <c r="AU196" s="23">
        <f>AU178*(AU168&lt;=0)+AU173*($H195+$G$24+$G$25)</f>
        <v/>
      </c>
      <c r="AV196" s="23">
        <f>AV178*(AV168&lt;=0)+AV173*($H195+$G$24+$G$25)</f>
        <v/>
      </c>
    </row>
    <row r="198">
      <c r="B198" s="4" t="inlineStr">
        <is>
          <t>x</t>
        </is>
      </c>
      <c r="C198" s="4" t="inlineStr">
        <is>
          <t>COD exit: tax on the gain (price and profit: totals of the cash-flow blocks above)</t>
        </is>
      </c>
      <c r="D198" s="4" t="n"/>
      <c r="E198" s="5" t="inlineStr">
        <is>
          <t>Bora</t>
        </is>
      </c>
      <c r="F198" s="5" t="inlineStr">
        <is>
          <t>Iváncsa</t>
        </is>
      </c>
      <c r="G198" s="5" t="inlineStr">
        <is>
          <t>Dunaújváros</t>
        </is>
      </c>
      <c r="H198" s="5" t="inlineStr">
        <is>
          <t>Total</t>
        </is>
      </c>
    </row>
    <row r="199">
      <c r="C199" s="6" t="inlineStr">
        <is>
          <t>CIT on the gain</t>
        </is>
      </c>
      <c r="D199" s="2" t="inlineStr">
        <is>
          <t>EUR k</t>
        </is>
      </c>
      <c r="E199" s="8">
        <f>-MAX(0,$H$134)*CIT_Rate</f>
        <v/>
      </c>
      <c r="F199" s="8">
        <f>-MAX(0,$H$165)*CIT_Rate</f>
        <v/>
      </c>
      <c r="G199" s="8">
        <f>-MAX(0,$H$196)*CIT_Rate</f>
        <v/>
      </c>
      <c r="H199" s="8">
        <f>SUM(E199:G199)</f>
        <v/>
      </c>
    </row>
    <row r="200">
      <c r="C200" s="1" t="inlineStr">
        <is>
          <t>FEP profit, post-tax</t>
        </is>
      </c>
      <c r="D200" s="2" t="inlineStr">
        <is>
          <t>EUR k</t>
        </is>
      </c>
      <c r="E200" s="15">
        <f>$H$134+E199</f>
        <v/>
      </c>
      <c r="F200" s="15">
        <f>$H$165+F199</f>
        <v/>
      </c>
      <c r="G200" s="15">
        <f>$H$196+G199</f>
        <v/>
      </c>
      <c r="H200" s="15">
        <f>SUM(E200:G200)</f>
        <v/>
      </c>
    </row>
    <row r="202">
      <c r="B202" s="4" t="inlineStr">
        <is>
          <t>x</t>
        </is>
      </c>
      <c r="C202" s="4" t="inlineStr">
        <is>
          <t>Checks (0 = OK)</t>
        </is>
      </c>
      <c r="D202" s="4" t="n"/>
      <c r="E202" s="5" t="inlineStr">
        <is>
          <t>Bora</t>
        </is>
      </c>
      <c r="F202" s="5" t="inlineStr">
        <is>
          <t>Iváncsa</t>
        </is>
      </c>
      <c r="G202" s="5" t="inlineStr">
        <is>
          <t>Dunaújváros</t>
        </is>
      </c>
      <c r="H202" s="5" t="inlineStr">
        <is>
          <t>Total</t>
        </is>
      </c>
    </row>
    <row r="203">
      <c r="C203" s="6" t="inlineStr">
        <is>
          <t>RtB waterfall closes (proceeds = all amounts paid out)</t>
        </is>
      </c>
      <c r="D203" s="2" t="inlineStr">
        <is>
          <t>flag</t>
        </is>
      </c>
      <c r="E203" s="28">
        <f>N(ABS(E60+E61+E65-E68-E79)&gt;Tolerance)</f>
        <v/>
      </c>
      <c r="F203" s="28">
        <f>N(ABS(F60+F61+F65-F68-F79)&gt;Tolerance)</f>
        <v/>
      </c>
      <c r="G203" s="28">
        <f>N(ABS(G60+G61+G65-G68-G79)&gt;Tolerance)</f>
        <v/>
      </c>
      <c r="H203" s="28">
        <f>SUM(E203:G203)</f>
        <v/>
      </c>
    </row>
    <row r="204">
      <c r="C204" s="6" t="inlineStr">
        <is>
          <t>Claim lines paid before the accrual end year</t>
        </is>
      </c>
      <c r="D204" s="2" t="inlineStr">
        <is>
          <t>flag</t>
        </is>
      </c>
      <c r="E204" s="28">
        <f>SUMPRODUCT(--(YEAR(J72:J78)&gt;=YEAR(E34)))</f>
        <v/>
      </c>
      <c r="F204" s="28">
        <f>SUMPRODUCT(--(YEAR(K72:K78)&gt;=YEAR(F34)))</f>
        <v/>
      </c>
      <c r="G204" s="28">
        <f>SUMPRODUCT(--(YEAR(L72:L78)&gt;=YEAR(G34)))</f>
        <v/>
      </c>
      <c r="H204" s="28">
        <f>SUM(E204:G204)</f>
        <v/>
      </c>
    </row>
    <row r="205">
      <c r="C205" s="6" t="inlineStr">
        <is>
          <t>Turbine route is EU or CN</t>
        </is>
      </c>
      <c r="D205" s="2" t="inlineStr">
        <is>
          <t>flag</t>
        </is>
      </c>
      <c r="E205" s="28">
        <f>N(AND(Dashboard!E$17&lt;&gt;"EU",Dashboard!E$17&lt;&gt;"CN"))</f>
        <v/>
      </c>
      <c r="F205" s="28">
        <f>N(AND(Dashboard!F$17&lt;&gt;"EU",Dashboard!F$17&lt;&gt;"CN"))</f>
        <v/>
      </c>
      <c r="G205" s="28">
        <f>N(AND(Dashboard!G$17&lt;&gt;"EU",Dashboard!G$17&lt;&gt;"CN"))</f>
        <v/>
      </c>
      <c r="H205" s="28">
        <f>SUM(E205:G205)</f>
        <v/>
      </c>
    </row>
    <row r="206">
      <c r="C206" s="6" t="inlineStr">
        <is>
          <t>Construction capex spread in full (timeline = capex)</t>
        </is>
      </c>
      <c r="D206" s="2" t="inlineStr">
        <is>
          <t>flag</t>
        </is>
      </c>
      <c r="E206" s="28">
        <f>N(ABS(E95+$H$114)&gt;Tolerance)</f>
        <v/>
      </c>
      <c r="F206" s="28">
        <f>N(ABS(F95+$H$145)&gt;Tolerance)</f>
        <v/>
      </c>
      <c r="G206" s="28">
        <f>N(ABS(G95+$H$176)&gt;Tolerance)</f>
        <v/>
      </c>
      <c r="H206" s="28">
        <f>SUM(E206:G206)</f>
        <v/>
      </c>
    </row>
    <row r="207">
      <c r="C207" s="6" t="inlineStr">
        <is>
          <t>Investment cash flows = all-in cost to COD</t>
        </is>
      </c>
      <c r="D207" s="2" t="inlineStr">
        <is>
          <t>flag</t>
        </is>
      </c>
      <c r="E207" s="28">
        <f>N(ABS(E99+$H$116)&gt;Tolerance)</f>
        <v/>
      </c>
      <c r="F207" s="28">
        <f>N(ABS(F99+$H$147)&gt;Tolerance)</f>
        <v/>
      </c>
      <c r="G207" s="28">
        <f>N(ABS(G99+$H$178)&gt;Tolerance)</f>
        <v/>
      </c>
      <c r="H207" s="28">
        <f>SUM(E207:G207)</f>
        <v/>
      </c>
    </row>
    <row r="208">
      <c r="C208" s="6" t="inlineStr">
        <is>
          <t>Operating life inside the timeline</t>
        </is>
      </c>
      <c r="D208" s="2" t="inlineStr">
        <is>
          <t>flag</t>
        </is>
      </c>
      <c r="E208" s="28">
        <f>N(ABS($H$110-Life)&gt;Tolerance)</f>
        <v/>
      </c>
      <c r="F208" s="28">
        <f>N(ABS($H$141-Life)&gt;Tolerance)</f>
        <v/>
      </c>
      <c r="G208" s="28">
        <f>N(ABS($H$172-Life)&gt;Tolerance)</f>
        <v/>
      </c>
      <c r="H208" s="28">
        <f>SUM(E208:G208)</f>
        <v/>
      </c>
    </row>
    <row r="209">
      <c r="C209" s="1" t="inlineStr">
        <is>
          <t>Master check</t>
        </is>
      </c>
      <c r="D209" s="2" t="inlineStr">
        <is>
          <t>flag</t>
        </is>
      </c>
      <c r="H209" s="30">
        <f>SUM(H203:H208)</f>
        <v/>
      </c>
    </row>
    <row r="211">
      <c r="C211" s="20" t="inlineStr">
        <is>
          <t>***END***</t>
        </is>
      </c>
    </row>
  </sheetData>
  <conditionalFormatting sqref="H209">
    <cfRule type="cellIs" priority="1" operator="equal" dxfId="0">
      <formula>0</formula>
    </cfRule>
    <cfRule type="cellIs" priority="2" operator="not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11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2" customWidth="1" min="3" max="3"/>
    <col width="11" customWidth="1" min="4" max="4"/>
    <col width="13" customWidth="1" min="5" max="5"/>
    <col width="13" customWidth="1" min="6" max="6"/>
    <col width="13" customWidth="1" min="7" max="7"/>
    <col width="44" customWidth="1" min="8" max="8"/>
  </cols>
  <sheetData>
    <row r="2">
      <c r="C2" s="1" t="inlineStr">
        <is>
          <t>HU wind bids – other inputs (blue) with sources</t>
        </is>
      </c>
    </row>
    <row r="4">
      <c r="B4" s="4" t="inlineStr">
        <is>
          <t>x</t>
        </is>
      </c>
      <c r="C4" s="4" t="inlineStr">
        <is>
          <t>Inputs</t>
        </is>
      </c>
      <c r="D4" s="4" t="n"/>
      <c r="E4" s="5" t="inlineStr">
        <is>
          <t>Bora</t>
        </is>
      </c>
      <c r="F4" s="5" t="inlineStr">
        <is>
          <t>Iváncsa</t>
        </is>
      </c>
      <c r="G4" s="5" t="inlineStr">
        <is>
          <t>Dunaújváros</t>
        </is>
      </c>
      <c r="H4" s="4" t="inlineStr">
        <is>
          <t>Source</t>
        </is>
      </c>
    </row>
    <row r="5">
      <c r="C5" s="14" t="inlineStr">
        <is>
          <t>Tender and grid (all projects) (value in column E)</t>
        </is>
      </c>
      <c r="D5" s="14" t="n"/>
      <c r="E5" s="14" t="n"/>
      <c r="F5" s="14" t="n"/>
      <c r="G5" s="14" t="n"/>
      <c r="H5" s="14" t="n"/>
    </row>
    <row r="6">
      <c r="C6" s="6" t="inlineStr">
        <is>
          <t>FX rate</t>
        </is>
      </c>
      <c r="D6" s="2" t="inlineStr">
        <is>
          <t>HUF/EUR</t>
        </is>
      </c>
      <c r="E6" s="7" t="n">
        <v>365</v>
      </c>
      <c r="H6" s="2" t="inlineStr">
        <is>
          <t>Bora Inputs E11; Bid_Cash E45</t>
        </is>
      </c>
    </row>
    <row r="7">
      <c r="C7" s="6" t="inlineStr">
        <is>
          <t>Security base: benchmark investment, wind</t>
        </is>
      </c>
      <c r="D7" s="2" t="inlineStr">
        <is>
          <t>HUF/MW</t>
        </is>
      </c>
      <c r="E7" s="7" t="n">
        <v>406000000</v>
      </c>
      <c r="H7" s="2" t="inlineStr">
        <is>
          <t>Bora Inputs E75; Bid_Cash E46</t>
        </is>
      </c>
    </row>
    <row r="8">
      <c r="C8" s="6" t="inlineStr">
        <is>
          <t>Security base: benchmark investment, BESS</t>
        </is>
      </c>
      <c r="D8" s="2" t="inlineStr">
        <is>
          <t>HUF/MWh</t>
        </is>
      </c>
      <c r="E8" s="7" t="n">
        <v>200000000</v>
      </c>
      <c r="H8" s="2" t="inlineStr">
        <is>
          <t>Bora Inputs E89; Bid_Cash E47</t>
        </is>
      </c>
    </row>
    <row r="9">
      <c r="C9" s="6" t="inlineStr">
        <is>
          <t>Bid security, share of base</t>
        </is>
      </c>
      <c r="D9" s="2" t="inlineStr">
        <is>
          <t>%</t>
        </is>
      </c>
      <c r="E9" s="9" t="n">
        <v>0.005</v>
      </c>
      <c r="H9" s="2" t="inlineStr">
        <is>
          <t>Bora Inputs E76; Bid_Cash E49</t>
        </is>
      </c>
    </row>
    <row r="10">
      <c r="C10" s="6" t="inlineStr">
        <is>
          <t>Performance security, minimum share of base</t>
        </is>
      </c>
      <c r="D10" s="2" t="inlineStr">
        <is>
          <t>%</t>
        </is>
      </c>
      <c r="E10" s="9" t="n">
        <v>0.025</v>
      </c>
      <c r="H10" s="2" t="inlineStr">
        <is>
          <t>Bora Inputs E77; Bid_Cash E50</t>
        </is>
      </c>
    </row>
    <row r="11">
      <c r="C11" s="6" t="inlineStr">
        <is>
          <t>Participation fee per bid</t>
        </is>
      </c>
      <c r="D11" s="2" t="inlineStr">
        <is>
          <t>HUF</t>
        </is>
      </c>
      <c r="E11" s="7" t="n">
        <v>3000000</v>
      </c>
      <c r="H11" s="2" t="inlineStr">
        <is>
          <t>Bora Inputs E81; Bid_Cash E48</t>
        </is>
      </c>
    </row>
    <row r="12">
      <c r="C12" s="6" t="inlineStr">
        <is>
          <t>TSO connection-request security</t>
        </is>
      </c>
      <c r="D12" s="2" t="inlineStr">
        <is>
          <t>HUF/MVA</t>
        </is>
      </c>
      <c r="E12" s="7" t="n">
        <v>4500000</v>
      </c>
      <c r="H12" s="2" t="inlineStr">
        <is>
          <t>Bora Inputs E83; Bid_Cash E51</t>
        </is>
      </c>
    </row>
    <row r="13">
      <c r="C13" s="14" t="inlineStr">
        <is>
          <t>Per project: fees, devex, dates</t>
        </is>
      </c>
      <c r="D13" s="14" t="n"/>
      <c r="E13" s="14" t="n"/>
      <c r="F13" s="14" t="n"/>
      <c r="G13" s="14" t="n"/>
      <c r="H13" s="14" t="n"/>
    </row>
    <row r="14">
      <c r="C14" s="6" t="inlineStr">
        <is>
          <t>Indirect connection fee</t>
        </is>
      </c>
      <c r="D14" s="2" t="inlineStr">
        <is>
          <t>HUF/MVA</t>
        </is>
      </c>
      <c r="E14" s="7" t="n">
        <v>73071306</v>
      </c>
      <c r="F14" s="7" t="n">
        <v>19826680</v>
      </c>
      <c r="G14" s="7" t="n">
        <v>19826680</v>
      </c>
      <c r="H14" s="2" t="inlineStr">
        <is>
          <t>Bora Inputs G290; Bid_Cash E52</t>
        </is>
      </c>
    </row>
    <row r="15">
      <c r="C15" s="6" t="inlineStr">
        <is>
          <t>Direct connection fee per connection point</t>
        </is>
      </c>
      <c r="D15" s="2" t="inlineStr">
        <is>
          <t>HUF</t>
        </is>
      </c>
      <c r="E15" s="7" t="n">
        <v>508345804</v>
      </c>
      <c r="F15" s="7" t="n">
        <v>460000000</v>
      </c>
      <c r="G15" s="7" t="n">
        <v>460000000</v>
      </c>
      <c r="H15" s="2" t="inlineStr">
        <is>
          <t>Bora Inputs G291; Bid_Cash E53</t>
        </is>
      </c>
    </row>
    <row r="16">
      <c r="C16" s="6" t="inlineStr">
        <is>
          <t>Bids sharing the connection point</t>
        </is>
      </c>
      <c r="D16" s="2" t="inlineStr">
        <is>
          <t>count</t>
        </is>
      </c>
      <c r="E16" s="11" t="n">
        <v>2</v>
      </c>
      <c r="F16" s="11" t="n">
        <v>1</v>
      </c>
      <c r="G16" s="11" t="n">
        <v>1</v>
      </c>
      <c r="H16" s="2" t="inlineStr">
        <is>
          <t>Bora: 2 bids per point (SPEC §22.2)</t>
        </is>
      </c>
    </row>
    <row r="17">
      <c r="C17" s="6" t="inlineStr">
        <is>
          <t>Signing fee and DD</t>
        </is>
      </c>
      <c r="D17" s="2" t="inlineStr">
        <is>
          <t>EUR k</t>
        </is>
      </c>
      <c r="E17" s="7" t="n">
        <v>200</v>
      </c>
      <c r="F17" s="7" t="n">
        <v>150</v>
      </c>
      <c r="G17" s="7" t="n">
        <v>150</v>
      </c>
      <c r="H17" s="2" t="inlineStr">
        <is>
          <t>Bora Inputs E24+E25; Bid_Cash E55</t>
        </is>
      </c>
    </row>
    <row r="18">
      <c r="C18" s="6" t="inlineStr">
        <is>
          <t>Devex incl. contingency</t>
        </is>
      </c>
      <c r="D18" s="2" t="inlineStr">
        <is>
          <t>EUR k</t>
        </is>
      </c>
      <c r="E18" s="10" t="n">
        <v>1568.9</v>
      </c>
      <c r="F18" s="10" t="n">
        <v>1000</v>
      </c>
      <c r="G18" s="10" t="n">
        <v>1000</v>
      </c>
      <c r="H18" s="2" t="inlineStr">
        <is>
          <t>Bora Devex_FEP E39 (100 MVA); Bid_Cash E56</t>
        </is>
      </c>
    </row>
    <row r="19">
      <c r="C19" s="6" t="inlineStr">
        <is>
          <t>EU transformers ≥ 80 % (ÖSZ-9)</t>
        </is>
      </c>
      <c r="D19" s="2" t="inlineStr">
        <is>
          <t>flag</t>
        </is>
      </c>
      <c r="E19" s="11" t="n">
        <v>0</v>
      </c>
      <c r="F19" s="11" t="n">
        <v>0</v>
      </c>
      <c r="G19" s="11" t="n">
        <v>0</v>
      </c>
      <c r="H19" s="2" t="inlineStr">
        <is>
          <t>Bid_Cash E16; Bora low bid: no</t>
        </is>
      </c>
    </row>
    <row r="20">
      <c r="C20" s="6" t="inlineStr">
        <is>
          <t>Signing fee and DD paid</t>
        </is>
      </c>
      <c r="D20" s="2" t="inlineStr">
        <is>
          <t>date</t>
        </is>
      </c>
      <c r="E20" s="31" t="n">
        <v>46234</v>
      </c>
      <c r="F20" s="31" t="n">
        <v>46234</v>
      </c>
      <c r="G20" s="31" t="n">
        <v>46234</v>
      </c>
      <c r="H20" s="2" t="inlineStr">
        <is>
          <t>Bora Inputs E27; Bid_Cash E34</t>
        </is>
      </c>
    </row>
    <row r="21">
      <c r="C21" s="6" t="inlineStr">
        <is>
          <t>Bid submission: fee paid, bid security posted</t>
        </is>
      </c>
      <c r="D21" s="2" t="inlineStr">
        <is>
          <t>date</t>
        </is>
      </c>
      <c r="E21" s="31" t="n">
        <v>46325</v>
      </c>
      <c r="F21" s="31" t="n">
        <v>46325</v>
      </c>
      <c r="G21" s="31" t="n">
        <v>46325</v>
      </c>
      <c r="H21" s="2" t="inlineStr">
        <is>
          <t>Bora Inputs E95; Bid_Cash E35</t>
        </is>
      </c>
    </row>
    <row r="22">
      <c r="C22" s="6" t="inlineStr">
        <is>
          <t>Performance security posted</t>
        </is>
      </c>
      <c r="D22" s="2" t="inlineStr">
        <is>
          <t>date</t>
        </is>
      </c>
      <c r="E22" s="31" t="n">
        <v>46386</v>
      </c>
      <c r="F22" s="31" t="n">
        <v>46402</v>
      </c>
      <c r="G22" s="31" t="n">
        <v>46402</v>
      </c>
      <c r="H22" s="2" t="inlineStr">
        <is>
          <t>Bora Deposits K10 (E96 + 17 d); Bid_Cash E36</t>
        </is>
      </c>
    </row>
    <row r="23">
      <c r="C23" s="6" t="inlineStr">
        <is>
          <t>TSO security paid</t>
        </is>
      </c>
      <c r="D23" s="2" t="inlineStr">
        <is>
          <t>date</t>
        </is>
      </c>
      <c r="E23" s="31" t="n">
        <v>46386</v>
      </c>
      <c r="F23" s="31" t="n">
        <v>46402</v>
      </c>
      <c r="G23" s="31" t="n">
        <v>46402</v>
      </c>
      <c r="H23" s="2" t="inlineStr">
        <is>
          <t>Bora Inputs E97; Bid_Cash E37</t>
        </is>
      </c>
    </row>
    <row r="24">
      <c r="C24" s="6" t="inlineStr">
        <is>
          <t>Connection agreement (HCSSZ): fees paid</t>
        </is>
      </c>
      <c r="D24" s="2" t="inlineStr">
        <is>
          <t>date</t>
        </is>
      </c>
      <c r="E24" s="31" t="n">
        <v>47027</v>
      </c>
      <c r="F24" s="31" t="n">
        <v>47027</v>
      </c>
      <c r="G24" s="31" t="n">
        <v>47027</v>
      </c>
      <c r="H24" s="2" t="inlineStr">
        <is>
          <t>Bora Inputs E99; Bid_Cash E39</t>
        </is>
      </c>
    </row>
    <row r="25">
      <c r="C25" s="6" t="inlineStr">
        <is>
          <t>Devex average payment date</t>
        </is>
      </c>
      <c r="D25" s="2" t="inlineStr">
        <is>
          <t>date</t>
        </is>
      </c>
      <c r="E25" s="31" t="n">
        <v>46768</v>
      </c>
      <c r="F25" s="31" t="n">
        <v>46752</v>
      </c>
      <c r="G25" s="31" t="n">
        <v>46752</v>
      </c>
      <c r="H25" s="2" t="inlineStr">
        <is>
          <t>Bora Devex_FEP, amount-weighted; Bid_Cash 'continuous'</t>
        </is>
      </c>
    </row>
    <row r="26">
      <c r="C26" s="6" t="inlineStr">
        <is>
          <t>Notice to proceed</t>
        </is>
      </c>
      <c r="D26" s="2" t="inlineStr">
        <is>
          <t>date</t>
        </is>
      </c>
      <c r="E26" s="31" t="n">
        <v>47299</v>
      </c>
      <c r="F26" s="31" t="n">
        <v>47299</v>
      </c>
      <c r="G26" s="31" t="n">
        <v>47299</v>
      </c>
      <c r="H26" s="2" t="inlineStr">
        <is>
          <t>Bora Inputs E154; Bid_Cash E40</t>
        </is>
      </c>
    </row>
    <row r="27">
      <c r="C27" s="6" t="inlineStr">
        <is>
          <t>COD</t>
        </is>
      </c>
      <c r="D27" s="2" t="inlineStr">
        <is>
          <t>date</t>
        </is>
      </c>
      <c r="E27" s="31" t="n">
        <v>48029</v>
      </c>
      <c r="F27" s="31" t="n">
        <v>48029</v>
      </c>
      <c r="G27" s="31" t="n">
        <v>48029</v>
      </c>
      <c r="H27" s="2" t="inlineStr">
        <is>
          <t>Bora Inputs E155; Bid_Cash E41</t>
        </is>
      </c>
    </row>
    <row r="28">
      <c r="C28" s="6" t="inlineStr">
        <is>
          <t>Performance security released</t>
        </is>
      </c>
      <c r="D28" s="2" t="inlineStr">
        <is>
          <t>date</t>
        </is>
      </c>
      <c r="E28" s="31" t="n">
        <v>48669</v>
      </c>
      <c r="F28" s="31" t="n">
        <v>48669</v>
      </c>
      <c r="G28" s="31" t="n">
        <v>48669</v>
      </c>
      <c r="H28" s="2" t="inlineStr">
        <is>
          <t>Bid_Cash E42 (Kiírás XII.13, estimate)</t>
        </is>
      </c>
    </row>
    <row r="29">
      <c r="C29" s="6" t="inlineStr">
        <is>
          <t>DSA accrual start</t>
        </is>
      </c>
      <c r="D29" s="2" t="inlineStr">
        <is>
          <t>date</t>
        </is>
      </c>
      <c r="E29" s="31" t="n">
        <v>46321</v>
      </c>
      <c r="F29" s="31" t="n">
        <v>46234</v>
      </c>
      <c r="G29" s="31" t="n">
        <v>46234</v>
      </c>
      <c r="H29" s="2" t="inlineStr">
        <is>
          <t>Bora Inputs E70; others: signing (DSA off)</t>
        </is>
      </c>
    </row>
    <row r="30">
      <c r="C30" s="14" t="inlineStr">
        <is>
          <t>RtB exit terms (all projects) (value in column E)</t>
        </is>
      </c>
      <c r="D30" s="14" t="n"/>
      <c r="E30" s="14" t="n"/>
      <c r="F30" s="14" t="n"/>
      <c r="G30" s="14" t="n"/>
      <c r="H30" s="14" t="n"/>
    </row>
    <row r="31">
      <c r="C31" s="6" t="inlineStr">
        <is>
          <t>Claim rate, cash lines (incl. cash-posted securities)</t>
        </is>
      </c>
      <c r="D31" s="2" t="inlineStr">
        <is>
          <t>%</t>
        </is>
      </c>
      <c r="E31" s="9" t="n">
        <v>0.12</v>
      </c>
      <c r="H31" s="2" t="inlineStr">
        <is>
          <t>Devex file V18; SPEC §21.1</t>
        </is>
      </c>
    </row>
    <row r="32">
      <c r="C32" s="6" t="inlineStr">
        <is>
          <t>Claim rate, devex</t>
        </is>
      </c>
      <c r="D32" s="2" t="inlineStr">
        <is>
          <t>%</t>
        </is>
      </c>
      <c r="E32" s="9" t="n">
        <v>0.2</v>
      </c>
      <c r="H32" s="2" t="inlineStr">
        <is>
          <t>Devex file V19</t>
        </is>
      </c>
    </row>
    <row r="33">
      <c r="C33" s="6" t="inlineStr">
        <is>
          <t>Devex minimum return multiple</t>
        </is>
      </c>
      <c r="D33" s="2" t="inlineStr">
        <is>
          <t>x</t>
        </is>
      </c>
      <c r="E33" s="12" t="n">
        <v>2</v>
      </c>
      <c r="H33" s="2" t="inlineStr">
        <is>
          <t>Devex file V20</t>
        </is>
      </c>
    </row>
    <row r="34">
      <c r="C34" s="6" t="inlineStr">
        <is>
          <t>Interest freeze date</t>
        </is>
      </c>
      <c r="D34" s="2" t="inlineStr">
        <is>
          <t>date</t>
        </is>
      </c>
      <c r="E34" s="31" t="n">
        <v>47299</v>
      </c>
      <c r="H34" s="2" t="inlineStr">
        <is>
          <t>Devex file V24</t>
        </is>
      </c>
    </row>
    <row r="35">
      <c r="C35" s="6" t="inlineStr">
        <is>
          <t>Sale date (RtB exit)</t>
        </is>
      </c>
      <c r="D35" s="2" t="inlineStr">
        <is>
          <t>date</t>
        </is>
      </c>
      <c r="E35" s="31" t="n">
        <v>47391</v>
      </c>
      <c r="H35" s="2" t="inlineStr">
        <is>
          <t>Bora Inputs E58; SPEC §21.1</t>
        </is>
      </c>
    </row>
    <row r="36">
      <c r="C36" s="6" t="inlineStr">
        <is>
          <t>Sale costs per project</t>
        </is>
      </c>
      <c r="D36" s="2" t="inlineStr">
        <is>
          <t>EUR k</t>
        </is>
      </c>
      <c r="E36" s="7" t="n">
        <v>250</v>
      </c>
      <c r="H36" s="2" t="inlineStr">
        <is>
          <t>SPEC §21.1</t>
        </is>
      </c>
    </row>
    <row r="37">
      <c r="C37" s="6" t="inlineStr">
        <is>
          <t>Developer success fee (on committed MW, 30/360)</t>
        </is>
      </c>
      <c r="D37" s="2" t="inlineStr">
        <is>
          <t>EUR k/MW/yr</t>
        </is>
      </c>
      <c r="E37" s="10" t="n">
        <v>2.5</v>
      </c>
      <c r="H37" s="2" t="inlineStr">
        <is>
          <t>Bora Inputs E36</t>
        </is>
      </c>
    </row>
    <row r="38">
      <c r="C38" s="6" t="inlineStr">
        <is>
          <t>Developer success fee cap</t>
        </is>
      </c>
      <c r="D38" s="2" t="inlineStr">
        <is>
          <t>EUR k/MW</t>
        </is>
      </c>
      <c r="E38" s="10" t="n">
        <v>10</v>
      </c>
      <c r="H38" s="2" t="inlineStr">
        <is>
          <t>Bora Inputs E37</t>
        </is>
      </c>
    </row>
    <row r="39">
      <c r="C39" s="6" t="inlineStr">
        <is>
          <t>Corporate income tax on exit gains</t>
        </is>
      </c>
      <c r="D39" s="2" t="inlineStr">
        <is>
          <t>%</t>
        </is>
      </c>
      <c r="E39" s="9" t="n">
        <v>0.09</v>
      </c>
      <c r="H39" s="2" t="inlineStr">
        <is>
          <t>SPEC §22.2 (exit gains only)</t>
        </is>
      </c>
    </row>
    <row r="40">
      <c r="C40" s="14" t="inlineStr">
        <is>
          <t>Capex (per MW of wind built unless stated) (value in column E)</t>
        </is>
      </c>
      <c r="D40" s="14" t="n"/>
      <c r="E40" s="14" t="n"/>
      <c r="F40" s="14" t="n"/>
      <c r="G40" s="14" t="n"/>
      <c r="H40" s="14" t="n"/>
    </row>
    <row r="41">
      <c r="C41" s="6" t="inlineStr">
        <is>
          <t>Turbine supply incl. transport, EU route</t>
        </is>
      </c>
      <c r="D41" s="2" t="inlineStr">
        <is>
          <t>EUR k/MW</t>
        </is>
      </c>
      <c r="E41" s="7" t="n">
        <v>850</v>
      </c>
      <c r="H41" s="2" t="inlineStr">
        <is>
          <t>Bora Inputs G162 (Base)</t>
        </is>
      </c>
    </row>
    <row r="42">
      <c r="C42" s="6" t="inlineStr">
        <is>
          <t>Turbine supply incl. transport, CN route</t>
        </is>
      </c>
      <c r="D42" s="2" t="inlineStr">
        <is>
          <t>EUR k/MW</t>
        </is>
      </c>
      <c r="E42" s="7" t="n">
        <v>500</v>
      </c>
      <c r="H42" s="2" t="inlineStr">
        <is>
          <t>Bora Inputs H162 (High)</t>
        </is>
      </c>
    </row>
    <row r="43">
      <c r="C43" s="6" t="inlineStr">
        <is>
          <t>Turbine installation and erection</t>
        </is>
      </c>
      <c r="D43" s="2" t="inlineStr">
        <is>
          <t>EUR k/MW</t>
        </is>
      </c>
      <c r="E43" s="7" t="n">
        <v>80</v>
      </c>
      <c r="H43" s="2" t="inlineStr">
        <is>
          <t>Bora Inputs G163</t>
        </is>
      </c>
    </row>
    <row r="44">
      <c r="C44" s="6" t="inlineStr">
        <is>
          <t>Foundations</t>
        </is>
      </c>
      <c r="D44" s="2" t="inlineStr">
        <is>
          <t>EUR k/MW</t>
        </is>
      </c>
      <c r="E44" s="7" t="n">
        <v>90</v>
      </c>
      <c r="H44" s="2" t="inlineStr">
        <is>
          <t>Bora Inputs G164</t>
        </is>
      </c>
    </row>
    <row r="45">
      <c r="C45" s="6" t="inlineStr">
        <is>
          <t>Balance of plant – civil</t>
        </is>
      </c>
      <c r="D45" s="2" t="inlineStr">
        <is>
          <t>EUR k/MW</t>
        </is>
      </c>
      <c r="E45" s="7" t="n">
        <v>70</v>
      </c>
      <c r="H45" s="2" t="inlineStr">
        <is>
          <t>Bora Inputs G165</t>
        </is>
      </c>
    </row>
    <row r="46">
      <c r="C46" s="6" t="inlineStr">
        <is>
          <t>Balance of plant – electrical</t>
        </is>
      </c>
      <c r="D46" s="2" t="inlineStr">
        <is>
          <t>EUR k/MW</t>
        </is>
      </c>
      <c r="E46" s="7" t="n">
        <v>60</v>
      </c>
      <c r="H46" s="2" t="inlineStr">
        <is>
          <t>Bora Inputs G166</t>
        </is>
      </c>
    </row>
    <row r="47">
      <c r="C47" s="6" t="inlineStr">
        <is>
          <t>Owner's costs, engineering, PM, construction insurance</t>
        </is>
      </c>
      <c r="D47" s="2" t="inlineStr">
        <is>
          <t>EUR k/MW</t>
        </is>
      </c>
      <c r="E47" s="7" t="n">
        <v>40</v>
      </c>
      <c r="H47" s="2" t="inlineStr">
        <is>
          <t>Bora Inputs G169</t>
        </is>
      </c>
    </row>
    <row r="48">
      <c r="C48" s="6" t="inlineStr">
        <is>
          <t>Land purchase and easements</t>
        </is>
      </c>
      <c r="D48" s="2" t="inlineStr">
        <is>
          <t>EUR k/MW</t>
        </is>
      </c>
      <c r="E48" s="7" t="n">
        <v>15</v>
      </c>
      <c r="H48" s="2" t="inlineStr">
        <is>
          <t>Bora Inputs G170</t>
        </is>
      </c>
    </row>
    <row r="49">
      <c r="C49" s="6" t="inlineStr">
        <is>
          <t>On-site substation and 132 kV bay (lump sum)</t>
        </is>
      </c>
      <c r="D49" s="2" t="inlineStr">
        <is>
          <t>EUR k</t>
        </is>
      </c>
      <c r="E49" s="7" t="n">
        <v>12000</v>
      </c>
      <c r="H49" s="2" t="inlineStr">
        <is>
          <t>Bora Inputs G167</t>
        </is>
      </c>
    </row>
    <row r="50">
      <c r="C50" s="6" t="inlineStr">
        <is>
          <t>Source basis of the lump sums</t>
        </is>
      </c>
      <c r="D50" s="2" t="inlineStr">
        <is>
          <t>MVA</t>
        </is>
      </c>
      <c r="E50" s="7" t="n">
        <v>200</v>
      </c>
      <c r="H50" s="2" t="inlineStr">
        <is>
          <t>Bora Inputs E305</t>
        </is>
      </c>
    </row>
    <row r="51">
      <c r="C51" s="6" t="inlineStr">
        <is>
          <t>Capex contingency (not on BESS)</t>
        </is>
      </c>
      <c r="D51" s="2" t="inlineStr">
        <is>
          <t>%</t>
        </is>
      </c>
      <c r="E51" s="9" t="n">
        <v>0.05</v>
      </c>
      <c r="H51" s="2" t="inlineStr">
        <is>
          <t>Bora Inputs G173</t>
        </is>
      </c>
    </row>
    <row r="52">
      <c r="C52" s="6" t="inlineStr">
        <is>
          <t>BESS capex</t>
        </is>
      </c>
      <c r="D52" s="2" t="inlineStr">
        <is>
          <t>EUR k/MWh</t>
        </is>
      </c>
      <c r="E52" s="7" t="n">
        <v>100</v>
      </c>
      <c r="H52" s="2" t="inlineStr">
        <is>
          <t>CLAUDE.md standing assumption, 15-Oct-26</t>
        </is>
      </c>
    </row>
    <row r="53">
      <c r="C53" s="14" t="inlineStr">
        <is>
          <t>Generation and revenue (value in column E)</t>
        </is>
      </c>
      <c r="D53" s="14" t="n"/>
      <c r="E53" s="14" t="n"/>
      <c r="F53" s="14" t="n"/>
      <c r="G53" s="14" t="n"/>
      <c r="H53" s="14" t="n"/>
    </row>
    <row r="54">
      <c r="C54" s="6" t="inlineStr">
        <is>
          <t>Net P50 hours</t>
        </is>
      </c>
      <c r="D54" s="2" t="inlineStr">
        <is>
          <t>h/yr</t>
        </is>
      </c>
      <c r="E54" s="7" t="n">
        <v>2500</v>
      </c>
      <c r="H54" s="2" t="inlineStr">
        <is>
          <t>Bora Inputs G181 (Base)</t>
        </is>
      </c>
    </row>
    <row r="55">
      <c r="C55" s="6" t="inlineStr">
        <is>
          <t>Curtailment</t>
        </is>
      </c>
      <c r="D55" s="2" t="inlineStr">
        <is>
          <t>%</t>
        </is>
      </c>
      <c r="E55" s="9" t="n">
        <v>0.02</v>
      </c>
      <c r="H55" s="2" t="inlineStr">
        <is>
          <t>Bora Inputs G183</t>
        </is>
      </c>
    </row>
    <row r="56">
      <c r="C56" s="6" t="inlineStr">
        <is>
          <t>Clipping</t>
        </is>
      </c>
      <c r="D56" s="2" t="inlineStr">
        <is>
          <t>%</t>
        </is>
      </c>
      <c r="E56" s="9" t="n">
        <v>0.04</v>
      </c>
      <c r="H56" s="2" t="inlineStr">
        <is>
          <t>Bora Dash_Clip_Override (user, 26-Oct-26)</t>
        </is>
      </c>
    </row>
    <row r="57">
      <c r="C57" s="6" t="inlineStr">
        <is>
          <t>Degradation</t>
        </is>
      </c>
      <c r="D57" s="2" t="inlineStr">
        <is>
          <t>% p.a.</t>
        </is>
      </c>
      <c r="E57" s="9" t="n">
        <v>0.003</v>
      </c>
      <c r="H57" s="2" t="inlineStr">
        <is>
          <t>Bora Inputs G184</t>
        </is>
      </c>
    </row>
    <row r="58">
      <c r="C58" s="6" t="inlineStr">
        <is>
          <t>PPA price in the COD year</t>
        </is>
      </c>
      <c r="D58" s="2" t="inlineStr">
        <is>
          <t>EUR/MWh</t>
        </is>
      </c>
      <c r="E58" s="10" t="n">
        <v>90</v>
      </c>
      <c r="H58" s="2" t="inlineStr">
        <is>
          <t>Bora Inputs G193 (Base)</t>
        </is>
      </c>
    </row>
    <row r="59">
      <c r="C59" s="6" t="inlineStr">
        <is>
          <t>PPA escalation</t>
        </is>
      </c>
      <c r="D59" s="2" t="inlineStr">
        <is>
          <t>% p.a.</t>
        </is>
      </c>
      <c r="E59" s="9" t="n">
        <v>0.01</v>
      </c>
      <c r="H59" s="2" t="inlineStr">
        <is>
          <t>Bora Inputs G194</t>
        </is>
      </c>
    </row>
    <row r="60">
      <c r="C60" s="14" t="inlineStr">
        <is>
          <t>Opex (COD-year prices) (value in column E)</t>
        </is>
      </c>
      <c r="D60" s="14" t="n"/>
      <c r="E60" s="14" t="n"/>
      <c r="F60" s="14" t="n"/>
      <c r="G60" s="14" t="n"/>
      <c r="H60" s="14" t="n"/>
    </row>
    <row r="61">
      <c r="C61" s="6" t="inlineStr">
        <is>
          <t>O&amp;M full-service contract</t>
        </is>
      </c>
      <c r="D61" s="2" t="inlineStr">
        <is>
          <t>EUR k/MW/yr</t>
        </is>
      </c>
      <c r="E61" s="10" t="n">
        <v>12</v>
      </c>
      <c r="H61" s="2" t="inlineStr">
        <is>
          <t>Bora Inputs G203 (Base)</t>
        </is>
      </c>
    </row>
    <row r="62">
      <c r="C62" s="6" t="inlineStr">
        <is>
          <t>Balance of plant maintenance</t>
        </is>
      </c>
      <c r="D62" s="2" t="inlineStr">
        <is>
          <t>EUR k/MW/yr</t>
        </is>
      </c>
      <c r="E62" s="10" t="n">
        <v>3</v>
      </c>
      <c r="H62" s="2" t="inlineStr">
        <is>
          <t>Bora Inputs G204</t>
        </is>
      </c>
    </row>
    <row r="63">
      <c r="C63" s="6" t="inlineStr">
        <is>
          <t>Land lease</t>
        </is>
      </c>
      <c r="D63" s="2" t="inlineStr">
        <is>
          <t>EUR k/MW/yr</t>
        </is>
      </c>
      <c r="E63" s="10" t="n">
        <v>3</v>
      </c>
      <c r="H63" s="2" t="inlineStr">
        <is>
          <t>Bora Inputs G205</t>
        </is>
      </c>
    </row>
    <row r="64">
      <c r="C64" s="6" t="inlineStr">
        <is>
          <t>Operational insurance</t>
        </is>
      </c>
      <c r="D64" s="2" t="inlineStr">
        <is>
          <t>EUR k/MW/yr</t>
        </is>
      </c>
      <c r="E64" s="10" t="n">
        <v>2.5</v>
      </c>
      <c r="H64" s="2" t="inlineStr">
        <is>
          <t>Bora Inputs G206</t>
        </is>
      </c>
    </row>
    <row r="65">
      <c r="C65" s="6" t="inlineStr">
        <is>
          <t>Asset and commercial management</t>
        </is>
      </c>
      <c r="D65" s="2" t="inlineStr">
        <is>
          <t>EUR k/MW/yr</t>
        </is>
      </c>
      <c r="E65" s="10" t="n">
        <v>1.5</v>
      </c>
      <c r="H65" s="2" t="inlineStr">
        <is>
          <t>Bora Inputs G207</t>
        </is>
      </c>
    </row>
    <row r="66">
      <c r="C66" s="6" t="inlineStr">
        <is>
          <t>Property tax</t>
        </is>
      </c>
      <c r="D66" s="2" t="inlineStr">
        <is>
          <t>EUR k/MW/yr</t>
        </is>
      </c>
      <c r="E66" s="10" t="n">
        <v>3</v>
      </c>
      <c r="H66" s="2" t="inlineStr">
        <is>
          <t>Bora Inputs G208</t>
        </is>
      </c>
    </row>
    <row r="67">
      <c r="C67" s="6" t="inlineStr">
        <is>
          <t>Administration, audit, compliance (at the source basis)</t>
        </is>
      </c>
      <c r="D67" s="2" t="inlineStr">
        <is>
          <t>EUR k/yr</t>
        </is>
      </c>
      <c r="E67" s="7" t="n">
        <v>150</v>
      </c>
      <c r="H67" s="2" t="inlineStr">
        <is>
          <t>Bora Inputs G209</t>
        </is>
      </c>
    </row>
    <row r="68">
      <c r="C68" s="6" t="inlineStr">
        <is>
          <t>Balancing cost</t>
        </is>
      </c>
      <c r="D68" s="2" t="inlineStr">
        <is>
          <t>EUR/MWh</t>
        </is>
      </c>
      <c r="E68" s="10" t="n">
        <v>4</v>
      </c>
      <c r="H68" s="2" t="inlineStr">
        <is>
          <t>Bora Inputs G196</t>
        </is>
      </c>
    </row>
    <row r="69">
      <c r="C69" s="6" t="inlineStr">
        <is>
          <t>Grid use-of-system charges</t>
        </is>
      </c>
      <c r="D69" s="2" t="inlineStr">
        <is>
          <t>EUR/MWh</t>
        </is>
      </c>
      <c r="E69" s="10" t="n">
        <v>1</v>
      </c>
      <c r="H69" s="2" t="inlineStr">
        <is>
          <t>Bora Inputs G197</t>
        </is>
      </c>
    </row>
    <row r="70">
      <c r="C70" s="6" t="inlineStr">
        <is>
          <t>MEKH supervisory fee</t>
        </is>
      </c>
      <c r="D70" s="2" t="inlineStr">
        <is>
          <t>% of rev.</t>
        </is>
      </c>
      <c r="E70" s="9" t="n">
        <v>0.001</v>
      </c>
      <c r="H70" s="2" t="inlineStr">
        <is>
          <t>Bora Inputs G198</t>
        </is>
      </c>
    </row>
    <row r="71">
      <c r="C71" s="6" t="inlineStr">
        <is>
          <t>HIPA local business tax</t>
        </is>
      </c>
      <c r="D71" s="2" t="inlineStr">
        <is>
          <t>% of rev.</t>
        </is>
      </c>
      <c r="E71" s="9" t="n">
        <v>0.02</v>
      </c>
      <c r="H71" s="2" t="inlineStr">
        <is>
          <t>Bora Inputs G212</t>
        </is>
      </c>
    </row>
    <row r="72">
      <c r="C72" s="6" t="inlineStr">
        <is>
          <t>Opex contingency (not on community, HIPA)</t>
        </is>
      </c>
      <c r="D72" s="2" t="inlineStr">
        <is>
          <t>%</t>
        </is>
      </c>
      <c r="E72" s="9" t="n">
        <v>0.05</v>
      </c>
      <c r="H72" s="2" t="inlineStr">
        <is>
          <t>Bora Inputs G210</t>
        </is>
      </c>
    </row>
    <row r="73">
      <c r="C73" s="6" t="inlineStr">
        <is>
          <t>Opex escalation</t>
        </is>
      </c>
      <c r="D73" s="2" t="inlineStr">
        <is>
          <t>% p.a.</t>
        </is>
      </c>
      <c r="E73" s="9" t="n">
        <v>0.025</v>
      </c>
      <c r="H73" s="2" t="inlineStr">
        <is>
          <t>Bora Inputs G211</t>
        </is>
      </c>
    </row>
    <row r="74">
      <c r="C74" s="14" t="inlineStr">
        <is>
          <t>Valuation, timeline and constants (value in column E)</t>
        </is>
      </c>
      <c r="D74" s="14" t="n"/>
      <c r="E74" s="14" t="n"/>
      <c r="F74" s="14" t="n"/>
      <c r="G74" s="14" t="n"/>
      <c r="H74" s="14" t="n"/>
    </row>
    <row r="75">
      <c r="C75" s="6" t="inlineStr">
        <is>
          <t>Operating life from COD</t>
        </is>
      </c>
      <c r="D75" s="2" t="inlineStr">
        <is>
          <t>years</t>
        </is>
      </c>
      <c r="E75" s="11" t="n">
        <v>30</v>
      </c>
      <c r="H75" s="2" t="inlineStr">
        <is>
          <t>Bora Inputs G157</t>
        </is>
      </c>
    </row>
    <row r="76">
      <c r="C76" s="6" t="inlineStr">
        <is>
          <t>Discount rate (buyer's pre-tax return at COD)</t>
        </is>
      </c>
      <c r="D76" s="2" t="inlineStr">
        <is>
          <t>%</t>
        </is>
      </c>
      <c r="E76" s="9" t="n">
        <v>0.08</v>
      </c>
      <c r="H76" s="2" t="inlineStr">
        <is>
          <t>Bora Inputs G226</t>
        </is>
      </c>
    </row>
    <row r="77">
      <c r="C77" s="6" t="inlineStr">
        <is>
          <t>First year of the annual timeline</t>
        </is>
      </c>
      <c r="D77" s="2" t="inlineStr">
        <is>
          <t>year</t>
        </is>
      </c>
      <c r="E77" s="11" t="n">
        <v>2026</v>
      </c>
      <c r="H77" s="2" t="inlineStr">
        <is>
          <t>Year of the first signing</t>
        </is>
      </c>
    </row>
    <row r="78">
      <c r="C78" s="6" t="inlineStr">
        <is>
          <t>Thousand</t>
        </is>
      </c>
      <c r="D78" s="2" t="inlineStr">
        <is>
          <t>x</t>
        </is>
      </c>
      <c r="E78" s="7" t="n">
        <v>1000</v>
      </c>
      <c r="H78" s="2" t="inlineStr">
        <is>
          <t>Constant</t>
        </is>
      </c>
    </row>
    <row r="79">
      <c r="C79" s="6" t="inlineStr">
        <is>
          <t>Days in a year (act/365)</t>
        </is>
      </c>
      <c r="D79" s="2" t="inlineStr">
        <is>
          <t>days</t>
        </is>
      </c>
      <c r="E79" s="11" t="n">
        <v>365</v>
      </c>
      <c r="H79" s="2" t="inlineStr">
        <is>
          <t>Constant</t>
        </is>
      </c>
    </row>
    <row r="80">
      <c r="C80" s="6" t="inlineStr">
        <is>
          <t>Months in a year</t>
        </is>
      </c>
      <c r="D80" s="2" t="inlineStr">
        <is>
          <t>months</t>
        </is>
      </c>
      <c r="E80" s="11" t="n">
        <v>12</v>
      </c>
      <c r="H80" s="2" t="inlineStr">
        <is>
          <t>Constant</t>
        </is>
      </c>
    </row>
    <row r="81">
      <c r="C81" s="6" t="inlineStr">
        <is>
          <t>Check tolerance</t>
        </is>
      </c>
      <c r="D81" s="2" t="inlineStr">
        <is>
          <t>EUR k</t>
        </is>
      </c>
      <c r="E81" s="32" t="n">
        <v>0.001</v>
      </c>
      <c r="H81" s="2" t="inlineStr">
        <is>
          <t>Constant</t>
        </is>
      </c>
    </row>
    <row r="83">
      <c r="B83" s="4" t="inlineStr">
        <is>
          <t>x</t>
        </is>
      </c>
      <c r="C83" s="4" t="inlineStr">
        <is>
          <t>Band tables for the points (ÖSZ, Kiírás Annex 4)</t>
        </is>
      </c>
      <c r="D83" s="4" t="n"/>
      <c r="E83" s="5" t="inlineStr">
        <is>
          <t>Values →</t>
        </is>
      </c>
      <c r="F83" s="5" t="n"/>
      <c r="G83" s="5" t="n"/>
      <c r="H83" s="5" t="n"/>
    </row>
    <row r="84">
      <c r="C84" s="6" t="inlineStr">
        <is>
          <t>Osz1_LB</t>
        </is>
      </c>
      <c r="E84" s="13" t="n">
        <v>10</v>
      </c>
      <c r="F84" s="13" t="n">
        <v>15</v>
      </c>
      <c r="G84" s="13" t="n">
        <v>20</v>
      </c>
      <c r="H84" s="13" t="n">
        <v>25</v>
      </c>
      <c r="I84" s="13" t="n">
        <v>30</v>
      </c>
      <c r="J84" s="13" t="n">
        <v>35</v>
      </c>
      <c r="K84" s="13" t="n">
        <v>40</v>
      </c>
      <c r="L84" s="13" t="n">
        <v>45</v>
      </c>
      <c r="M84" s="13" t="n">
        <v>50</v>
      </c>
    </row>
    <row r="85">
      <c r="C85" s="6" t="inlineStr">
        <is>
          <t>Osz1_Incl</t>
        </is>
      </c>
      <c r="E85" s="13" t="n">
        <v>0</v>
      </c>
      <c r="F85" s="13" t="n">
        <v>0</v>
      </c>
      <c r="G85" s="13" t="n">
        <v>0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1</v>
      </c>
    </row>
    <row r="86">
      <c r="C86" s="6" t="inlineStr">
        <is>
          <t>Osz1_Pts</t>
        </is>
      </c>
      <c r="E86" s="13" t="n">
        <v>0</v>
      </c>
      <c r="F86" s="13" t="n">
        <v>10</v>
      </c>
      <c r="G86" s="13" t="n">
        <v>20</v>
      </c>
      <c r="H86" s="13" t="n">
        <v>30</v>
      </c>
      <c r="I86" s="13" t="n">
        <v>40</v>
      </c>
      <c r="J86" s="13" t="n">
        <v>55</v>
      </c>
      <c r="K86" s="13" t="n">
        <v>70</v>
      </c>
      <c r="L86" s="13" t="n">
        <v>80</v>
      </c>
      <c r="M86" s="13" t="n">
        <v>90</v>
      </c>
      <c r="N86" s="13" t="n">
        <v>100</v>
      </c>
    </row>
    <row r="87">
      <c r="C87" s="6" t="inlineStr">
        <is>
          <t>Osz2_LB</t>
        </is>
      </c>
      <c r="E87" s="13" t="n">
        <v>2</v>
      </c>
      <c r="F87" s="13" t="n">
        <v>2.1</v>
      </c>
      <c r="G87" s="13" t="n">
        <v>2.2</v>
      </c>
      <c r="H87" s="13" t="n">
        <v>2.3</v>
      </c>
      <c r="I87" s="13" t="n">
        <v>2.4</v>
      </c>
      <c r="J87" s="13" t="n">
        <v>2.5</v>
      </c>
      <c r="K87" s="13" t="n">
        <v>2.6</v>
      </c>
      <c r="L87" s="13" t="n">
        <v>2.7</v>
      </c>
      <c r="M87" s="13" t="n">
        <v>2.8</v>
      </c>
      <c r="N87" s="13" t="n">
        <v>2.9</v>
      </c>
      <c r="O87" s="13" t="n">
        <v>3</v>
      </c>
    </row>
    <row r="88">
      <c r="C88" s="6" t="inlineStr">
        <is>
          <t>Osz2_Incl</t>
        </is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1</v>
      </c>
    </row>
    <row r="89">
      <c r="C89" s="6" t="inlineStr">
        <is>
          <t>Osz2_Pts</t>
        </is>
      </c>
      <c r="E89" s="13" t="n">
        <v>0</v>
      </c>
      <c r="F89" s="13" t="n">
        <v>5</v>
      </c>
      <c r="G89" s="13" t="n">
        <v>10</v>
      </c>
      <c r="H89" s="13" t="n">
        <v>20</v>
      </c>
      <c r="I89" s="13" t="n">
        <v>30</v>
      </c>
      <c r="J89" s="13" t="n">
        <v>40</v>
      </c>
      <c r="K89" s="13" t="n">
        <v>50</v>
      </c>
      <c r="L89" s="13" t="n">
        <v>60</v>
      </c>
      <c r="M89" s="13" t="n">
        <v>70</v>
      </c>
      <c r="N89" s="13" t="n">
        <v>80</v>
      </c>
      <c r="O89" s="13" t="n">
        <v>90</v>
      </c>
      <c r="P89" s="13" t="n">
        <v>100</v>
      </c>
    </row>
    <row r="90">
      <c r="C90" s="6" t="inlineStr">
        <is>
          <t>Osz3_LB</t>
        </is>
      </c>
      <c r="E90" s="13" t="n">
        <v>0.02</v>
      </c>
      <c r="F90" s="13" t="n">
        <v>0.05</v>
      </c>
      <c r="G90" s="13" t="n">
        <v>0.1</v>
      </c>
      <c r="H90" s="13" t="n">
        <v>0.15</v>
      </c>
      <c r="I90" s="13" t="n">
        <v>0.2</v>
      </c>
      <c r="J90" s="13" t="n">
        <v>0.25</v>
      </c>
      <c r="K90" s="13" t="n">
        <v>0.3</v>
      </c>
      <c r="L90" s="13" t="n">
        <v>0.35</v>
      </c>
      <c r="M90" s="13" t="n">
        <v>0.4</v>
      </c>
      <c r="N90" s="13" t="n">
        <v>0.5</v>
      </c>
    </row>
    <row r="91">
      <c r="C91" s="6" t="inlineStr">
        <is>
          <t>Osz3_Incl</t>
        </is>
      </c>
      <c r="E91" s="13" t="n">
        <v>0</v>
      </c>
      <c r="F91" s="13" t="n">
        <v>1</v>
      </c>
      <c r="G91" s="13" t="n">
        <v>1</v>
      </c>
      <c r="H91" s="13" t="n">
        <v>1</v>
      </c>
      <c r="I91" s="13" t="n">
        <v>1</v>
      </c>
      <c r="J91" s="13" t="n">
        <v>1</v>
      </c>
      <c r="K91" s="13" t="n">
        <v>1</v>
      </c>
      <c r="L91" s="13" t="n">
        <v>1</v>
      </c>
      <c r="M91" s="13" t="n">
        <v>1</v>
      </c>
      <c r="N91" s="13" t="n">
        <v>0</v>
      </c>
    </row>
    <row r="92">
      <c r="C92" s="6" t="inlineStr">
        <is>
          <t>Osz3_Pts</t>
        </is>
      </c>
      <c r="E92" s="13" t="n">
        <v>0</v>
      </c>
      <c r="F92" s="13" t="n">
        <v>10</v>
      </c>
      <c r="G92" s="13" t="n">
        <v>20</v>
      </c>
      <c r="H92" s="13" t="n">
        <v>30</v>
      </c>
      <c r="I92" s="13" t="n">
        <v>40</v>
      </c>
      <c r="J92" s="13" t="n">
        <v>50</v>
      </c>
      <c r="K92" s="13" t="n">
        <v>60</v>
      </c>
      <c r="L92" s="13" t="n">
        <v>70</v>
      </c>
      <c r="M92" s="13" t="n">
        <v>80</v>
      </c>
      <c r="N92" s="13" t="n">
        <v>90</v>
      </c>
      <c r="O92" s="13" t="n">
        <v>100</v>
      </c>
    </row>
    <row r="93">
      <c r="C93" s="6" t="inlineStr">
        <is>
          <t>Osz6_LB</t>
        </is>
      </c>
      <c r="E93" s="13" t="n">
        <v>1</v>
      </c>
      <c r="F93" s="13" t="n">
        <v>1.2</v>
      </c>
      <c r="G93" s="13" t="n">
        <v>1.3</v>
      </c>
      <c r="H93" s="13" t="n">
        <v>1.4</v>
      </c>
      <c r="I93" s="13" t="n">
        <v>1.5</v>
      </c>
      <c r="J93" s="13" t="n">
        <v>1.6</v>
      </c>
      <c r="K93" s="13" t="n">
        <v>1.7</v>
      </c>
      <c r="L93" s="13" t="n">
        <v>1.8</v>
      </c>
      <c r="M93" s="13" t="n">
        <v>1.9</v>
      </c>
      <c r="N93" s="13" t="n">
        <v>2</v>
      </c>
    </row>
    <row r="94">
      <c r="C94" s="6" t="inlineStr">
        <is>
          <t>Osz6_Incl</t>
        </is>
      </c>
      <c r="E94" s="13" t="n">
        <v>0</v>
      </c>
      <c r="F94" s="13" t="n">
        <v>1</v>
      </c>
      <c r="G94" s="13" t="n">
        <v>1</v>
      </c>
      <c r="H94" s="13" t="n">
        <v>1</v>
      </c>
      <c r="I94" s="13" t="n">
        <v>1</v>
      </c>
      <c r="J94" s="13" t="n">
        <v>1</v>
      </c>
      <c r="K94" s="13" t="n">
        <v>1</v>
      </c>
      <c r="L94" s="13" t="n">
        <v>1</v>
      </c>
      <c r="M94" s="13" t="n">
        <v>1</v>
      </c>
      <c r="N94" s="13" t="n">
        <v>1</v>
      </c>
    </row>
    <row r="95">
      <c r="C95" s="6" t="inlineStr">
        <is>
          <t>Osz6_Pts</t>
        </is>
      </c>
      <c r="E95" s="13" t="n">
        <v>0</v>
      </c>
      <c r="F95" s="13" t="n">
        <v>10</v>
      </c>
      <c r="G95" s="13" t="n">
        <v>20</v>
      </c>
      <c r="H95" s="13" t="n">
        <v>30</v>
      </c>
      <c r="I95" s="13" t="n">
        <v>40</v>
      </c>
      <c r="J95" s="13" t="n">
        <v>50</v>
      </c>
      <c r="K95" s="13" t="n">
        <v>60</v>
      </c>
      <c r="L95" s="13" t="n">
        <v>70</v>
      </c>
      <c r="M95" s="13" t="n">
        <v>80</v>
      </c>
      <c r="N95" s="13" t="n">
        <v>90</v>
      </c>
      <c r="O95" s="13" t="n">
        <v>100</v>
      </c>
    </row>
    <row r="96">
      <c r="C96" s="6" t="inlineStr">
        <is>
          <t>Osz5_Pts</t>
        </is>
      </c>
      <c r="E96" s="13" t="n">
        <v>100</v>
      </c>
    </row>
    <row r="97">
      <c r="C97" s="6" t="inlineStr">
        <is>
          <t>Osz7_Pts</t>
        </is>
      </c>
      <c r="E97" s="13" t="n">
        <v>100</v>
      </c>
    </row>
    <row r="98">
      <c r="C98" s="6" t="inlineStr">
        <is>
          <t>Osz8_Pts</t>
        </is>
      </c>
      <c r="E98" s="13" t="n">
        <v>100</v>
      </c>
    </row>
    <row r="99">
      <c r="C99" s="6" t="inlineStr">
        <is>
          <t>Osz9a_Pts</t>
        </is>
      </c>
      <c r="E99" s="13" t="n">
        <v>80</v>
      </c>
    </row>
    <row r="100">
      <c r="C100" s="6" t="inlineStr">
        <is>
          <t>Osz9b_Pts</t>
        </is>
      </c>
      <c r="E100" s="13" t="n">
        <v>20</v>
      </c>
    </row>
    <row r="101">
      <c r="C101" s="6" t="inlineStr">
        <is>
          <t>Osz1_W</t>
        </is>
      </c>
      <c r="E101" s="13" t="n">
        <v>0.2</v>
      </c>
    </row>
    <row r="102">
      <c r="C102" s="6" t="inlineStr">
        <is>
          <t>Osz2_W</t>
        </is>
      </c>
      <c r="E102" s="13" t="n">
        <v>0.15</v>
      </c>
    </row>
    <row r="103">
      <c r="C103" s="6" t="inlineStr">
        <is>
          <t>Osz3_W</t>
        </is>
      </c>
      <c r="E103" s="13" t="n">
        <v>0.1</v>
      </c>
    </row>
    <row r="104">
      <c r="C104" s="6" t="inlineStr">
        <is>
          <t>Osz4_W</t>
        </is>
      </c>
      <c r="E104" s="13" t="n">
        <v>0.15</v>
      </c>
    </row>
    <row r="105">
      <c r="C105" s="6" t="inlineStr">
        <is>
          <t>Osz5_W</t>
        </is>
      </c>
      <c r="E105" s="13" t="n">
        <v>0.05</v>
      </c>
    </row>
    <row r="106">
      <c r="C106" s="6" t="inlineStr">
        <is>
          <t>Osz6_W</t>
        </is>
      </c>
      <c r="E106" s="13" t="n">
        <v>0.05</v>
      </c>
    </row>
    <row r="107">
      <c r="C107" s="6" t="inlineStr">
        <is>
          <t>Osz7_W</t>
        </is>
      </c>
      <c r="E107" s="13" t="n">
        <v>0.1</v>
      </c>
    </row>
    <row r="108">
      <c r="C108" s="6" t="inlineStr">
        <is>
          <t>Osz8_W</t>
        </is>
      </c>
      <c r="E108" s="13" t="n">
        <v>0.05</v>
      </c>
    </row>
    <row r="109">
      <c r="C109" s="6" t="inlineStr">
        <is>
          <t>Osz9_W</t>
        </is>
      </c>
      <c r="E109" s="13" t="n">
        <v>0.15</v>
      </c>
    </row>
    <row r="111">
      <c r="C111" s="20" t="inlineStr">
        <is>
          <t>***END***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2026-10-27T15:23:36Z</dcterms:created>
  <dcterms:modified xmlns:dcterms="http://purl.org/dc/terms/" xmlns:xsi="http://www.w3.org/2001/XMLSchema-instance" xsi:type="dcterms:W3CDTF">2026-10-27T15:23:36Z</dcterms:modified>
</cp:coreProperties>
</file>