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</sheets>
  <definedNames>
    <definedName name="FX">Inputs!$E$6</definedName>
    <definedName name="Bench_Wind">Inputs!$E$7</definedName>
    <definedName name="Bench_BESS">Inputs!$E$8</definedName>
    <definedName name="Bid_Sec_Rate">Inputs!$E$9</definedName>
    <definedName name="PB_Rate">Inputs!$E$10</definedName>
    <definedName name="Part_Fee">Inputs!$E$11</definedName>
    <definedName name="TSO_Rate">Inputs!$E$12</definedName>
    <definedName name="Rate_Cash">Inputs!$E$37</definedName>
    <definedName name="Rate_Devex">Inputs!$E$38</definedName>
    <definedName name="Devex_Floor">Inputs!$E$39</definedName>
    <definedName name="Freeze_Date">Inputs!$E$40</definedName>
    <definedName name="Sale_Date">Inputs!$E$41</definedName>
    <definedName name="Sale_Costs">Inputs!$E$42</definedName>
    <definedName name="DSA_Rate">Inputs!$E$43</definedName>
    <definedName name="DSA_Cap">Inputs!$E$44</definedName>
    <definedName name="CIT_Rate">Inputs!$E$45</definedName>
    <definedName name="Capex_Install">Inputs!$E$47</definedName>
    <definedName name="Capex_Fdn">Inputs!$E$48</definedName>
    <definedName name="Capex_Civil">Inputs!$E$49</definedName>
    <definedName name="Capex_Elec">Inputs!$E$50</definedName>
    <definedName name="Capex_Owner">Inputs!$E$51</definedName>
    <definedName name="Capex_Land">Inputs!$E$52</definedName>
    <definedName name="Subs_Lump">Inputs!$E$53</definedName>
    <definedName name="Lump_Basis">Inputs!$E$54</definedName>
    <definedName name="Capex_Cont">Inputs!$E$55</definedName>
    <definedName name="BESS_Capex">Inputs!$E$56</definedName>
    <definedName name="Curtailment">Inputs!$E$58</definedName>
    <definedName name="Clipping">Inputs!$E$59</definedName>
    <definedName name="Degradation">Inputs!$E$60</definedName>
    <definedName name="PPA_Esc">Inputs!$E$61</definedName>
    <definedName name="Opex_BoP">Inputs!$E$63</definedName>
    <definedName name="Opex_Lease">Inputs!$E$64</definedName>
    <definedName name="Opex_Ins">Inputs!$E$65</definedName>
    <definedName name="Opex_Mgmt">Inputs!$E$66</definedName>
    <definedName name="Opex_PropTax">Inputs!$E$67</definedName>
    <definedName name="Opex_Admin">Inputs!$E$68</definedName>
    <definedName name="Balancing">Inputs!$E$69</definedName>
    <definedName name="Grid_Charges">Inputs!$E$70</definedName>
    <definedName name="MEKH_Fee">Inputs!$E$71</definedName>
    <definedName name="HIPA_Rate">Inputs!$E$72</definedName>
    <definedName name="Opex_Cont">Inputs!$E$73</definedName>
    <definedName name="Opex_Esc">Inputs!$E$74</definedName>
    <definedName name="Life">Inputs!$E$76</definedName>
    <definedName name="Discount_Rate">Inputs!$E$77</definedName>
    <definedName name="First_Year">Inputs!$E$78</definedName>
    <definedName name="Thousand">Inputs!$E$79</definedName>
    <definedName name="Days_In_Year">Inputs!$E$80</definedName>
    <definedName name="Months_In_Year">Inputs!$E$81</definedName>
    <definedName name="Tolerance">Inputs!$E$82</definedName>
    <definedName name="Opex_Per_MW">Inputs!$E$63:$E$67</definedName>
    <definedName name="Osz1_LB">Inputs!$E$85:$M$85</definedName>
    <definedName name="Osz1_Incl">Inputs!$E$86:$M$86</definedName>
    <definedName name="Osz1_Pts">Inputs!$E$87:$N$87</definedName>
    <definedName name="Osz2_LB">Inputs!$E$88:$O$88</definedName>
    <definedName name="Osz2_Incl">Inputs!$E$89:$O$89</definedName>
    <definedName name="Osz2_Pts">Inputs!$E$90:$P$90</definedName>
    <definedName name="Osz3_LB">Inputs!$E$91:$N$91</definedName>
    <definedName name="Osz3_Incl">Inputs!$E$92:$N$92</definedName>
    <definedName name="Osz3_Pts">Inputs!$E$93:$O$93</definedName>
    <definedName name="Osz6_LB">Inputs!$E$94:$N$94</definedName>
    <definedName name="Osz6_Incl">Inputs!$E$95:$N$95</definedName>
    <definedName name="Osz6_Pts">Inputs!$E$96:$O$96</definedName>
    <definedName name="Osz5_Pts">Inputs!$E$97</definedName>
    <definedName name="Osz7_Pts">Inputs!$E$98</definedName>
    <definedName name="Osz8_Pts">Inputs!$E$99</definedName>
    <definedName name="Osz9a_Pts">Inputs!$E$100</definedName>
    <definedName name="Osz9b_Pts">Inputs!$E$101</definedName>
    <definedName name="Osz1_W">Inputs!$E$102</definedName>
    <definedName name="Osz2_W">Inputs!$E$103</definedName>
    <definedName name="Osz3_W">Inputs!$E$104</definedName>
    <definedName name="Osz4_W">Inputs!$E$105</definedName>
    <definedName name="Osz5_W">Inputs!$E$106</definedName>
    <definedName name="Osz6_W">Inputs!$E$107</definedName>
    <definedName name="Osz7_W">Inputs!$E$108</definedName>
    <definedName name="Osz8_W">Inputs!$E$109</definedName>
    <definedName name="Osz9_W">Inputs!$E$110</definedName>
    <definedName name="Dash_MVA">Dashboard!$E$6:$G$6</definedName>
    <definedName name="Dash_Overbuild">Dashboard!$E$7:$G$7</definedName>
    <definedName name="Dash_BESS_Share">Dashboard!$E$8:$G$8</definedName>
    <definedName name="Dash_Hours">Dashboard!$E$9:$G$9</definedName>
    <definedName name="Dash_Shortfall">Dashboard!$E$10:$G$10</definedName>
    <definedName name="Dash_Municipal">Dashboard!$E$11:$G$11</definedName>
    <definedName name="Dash_Community">Dashboard!$E$12:$G$12</definedName>
    <definedName name="Dash_Partial">Dashboard!$E$13:$G$13</definedName>
    <definedName name="Dash_PB_Mult">Dashboard!$E$14:$G$14</definedName>
    <definedName name="Dash_Brownfield">Dashboard!$E$15:$G$15</definedName>
    <definedName name="Dash_Shared">Dashboard!$E$16:$G$16</definedName>
    <definedName name="Dash_Turbine">Dashboard!$E$17:$G$17</definedName>
    <definedName name="Dash_Premium">Dashboard!$E$18:$G$18</definedName>
    <definedName name="Dash_FEP_Share">Dashboard!$E$19:$G$19</definedName>
    <definedName name="Dash_DSA">Dashboard!$E$20:$G$20</definedName>
    <definedName name="Dash_Case">Dashboard!$H$23</definedName>
    <definedName name="Dash_Case_EU">Dashboard!$E$24:$G$24</definedName>
    <definedName name="Case_EU">Dashboard!$H$24</definedName>
    <definedName name="Dash_Case_CN">Dashboard!$E$25:$G$25</definedName>
    <definedName name="Case_CN">Dashboard!$H$25</definedName>
    <definedName name="Dash_Case_PPA">Dashboard!$E$26:$G$26</definedName>
    <definedName name="Case_PPA">Dashboard!$H$26</definedName>
    <definedName name="Dash_Case_P50">Dashboard!$E$27:$G$27</definedName>
    <definedName name="Case_P50">Dashboard!$H$27</definedName>
    <definedName name="Dash_Case_OM">Dashboard!$E$28:$G$28</definedName>
    <definedName name="Case_OM">Dashboard!$H$28</definedName>
    <definedName name="Master_Check">Dashboard!$H$312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0.0%;(0.0%);&quot;–&quot;"/>
    <numFmt numFmtId="166" formatCode="#,##0.0;(#,##0.0);&quot;–&quot;"/>
    <numFmt numFmtId="167" formatCode="yyyy-mm-dd h:mm:ss"/>
    <numFmt numFmtId="168" formatCode="dd-mmm-yy"/>
    <numFmt numFmtId="169" formatCode="0.00&quot;x&quot;"/>
    <numFmt numFmtId="170" formatCode="0.000"/>
    <numFmt numFmtId="171" formatCode="0.0000"/>
    <numFmt numFmtId="172" formatCode="#,##0.00;(#,##0.00);&quot;–&quot;"/>
    <numFmt numFmtId="173" formatCode="0;-0;&quot;–&quot;"/>
    <numFmt numFmtId="174" formatCode="0.000;(0.000);&quot;–&quot;"/>
    <numFmt numFmtId="175" formatCode="&quot;CHECK&quot; 0;&quot;CHECK&quot; -0;&quot;OK&quot;"/>
  </numFmts>
  <fonts count="8">
    <font>
      <name val="Calibri"/>
      <family val="2"/>
      <color theme="1"/>
      <sz val="11"/>
      <scheme val="minor"/>
    </font>
    <font>
      <name val="Aptos Narrow"/>
      <b val="1"/>
      <color rgb="00000000"/>
      <sz val="10"/>
    </font>
    <font>
      <name val="Aptos Narrow"/>
      <b val="1"/>
      <color rgb="00FFFFFF"/>
      <sz val="10"/>
    </font>
    <font>
      <name val="Aptos Narrow"/>
      <b val="1"/>
      <color rgb="003C3C3B"/>
      <sz val="10"/>
    </font>
    <font>
      <name val="Aptos Narrow"/>
      <color rgb="00000000"/>
      <sz val="10"/>
    </font>
    <font>
      <name val="Aptos Narrow"/>
      <i val="1"/>
      <color rgb="00808080"/>
      <sz val="10"/>
    </font>
    <font>
      <name val="Aptos Narrow"/>
      <color rgb="000000FF"/>
      <sz val="10"/>
    </font>
    <font>
      <name val="Aptos Narrow"/>
      <b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00563C"/>
      </patternFill>
    </fill>
    <fill>
      <patternFill patternType="solid">
        <fgColor rgb="00E6F4EC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175" fontId="1" fillId="0" borderId="0" applyAlignment="1" pivotButton="0" quotePrefix="0" xfId="0">
      <alignment horizontal="right"/>
    </xf>
    <xf numFmtId="0" fontId="2" fillId="2" borderId="0" pivotButton="0" quotePrefix="0" xfId="0"/>
    <xf numFmtId="0" fontId="2" fillId="2" borderId="0" applyAlignment="1" pivotButton="0" quotePrefix="0" xfId="0">
      <alignment horizontal="right"/>
    </xf>
    <xf numFmtId="0" fontId="4" fillId="0" borderId="0" pivotButton="0" quotePrefix="0" xfId="0"/>
    <xf numFmtId="164" fontId="6" fillId="4" borderId="1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166" fontId="6" fillId="4" borderId="1" applyAlignment="1" pivotButton="0" quotePrefix="0" xfId="0">
      <alignment horizontal="right"/>
    </xf>
    <xf numFmtId="1" fontId="6" fillId="4" borderId="1" applyAlignment="1" pivotButton="0" quotePrefix="0" xfId="0">
      <alignment horizontal="right"/>
    </xf>
    <xf numFmtId="169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6" fontId="1" fillId="0" borderId="2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4" fontId="1" fillId="0" borderId="2" applyAlignment="1" pivotButton="0" quotePrefix="0" xfId="0">
      <alignment horizontal="right"/>
    </xf>
    <xf numFmtId="0" fontId="3" fillId="3" borderId="0" pivotButton="0" quotePrefix="0" xfId="0"/>
    <xf numFmtId="0" fontId="3" fillId="3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1" fontId="1" fillId="0" borderId="0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1" fillId="0" borderId="2" applyAlignment="1" pivotButton="0" quotePrefix="0" xfId="0">
      <alignment horizontal="right"/>
    </xf>
    <xf numFmtId="0" fontId="7" fillId="0" borderId="0" pivotButton="0" quotePrefix="0" xfId="0"/>
    <xf numFmtId="168" fontId="6" fillId="4" borderId="1" applyAlignment="1" pivotButton="0" quotePrefix="0" xfId="0">
      <alignment horizontal="right"/>
    </xf>
    <xf numFmtId="170" fontId="6" fillId="4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00B050"/>
      </font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B2:AS314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</cols>
  <sheetData>
    <row r="2">
      <c r="C2" s="1" t="inlineStr">
        <is>
          <t>HU wind bids: Bora (one 50 MVA low bid), Iváncsa, Dunaújváros – RtB exit, COD exit, hold</t>
        </is>
      </c>
    </row>
    <row r="3">
      <c r="C3" s="1" t="inlineStr">
        <is>
          <t>Master check (0 = OK; checks at the end of the detail)</t>
        </is>
      </c>
      <c r="D3" s="2" t="inlineStr">
        <is>
          <t>flag</t>
        </is>
      </c>
      <c r="H3" s="3">
        <f>Master_Check</f>
        <v/>
      </c>
    </row>
    <row r="5">
      <c r="B5" s="4" t="inlineStr">
        <is>
          <t>x</t>
        </is>
      </c>
      <c r="C5" s="4" t="inlineStr">
        <is>
          <t>Key inputs: the bids</t>
        </is>
      </c>
      <c r="D5" s="4" t="n"/>
      <c r="E5" s="5" t="inlineStr">
        <is>
          <t>Bora</t>
        </is>
      </c>
      <c r="F5" s="5" t="inlineStr">
        <is>
          <t>Iváncsa</t>
        </is>
      </c>
      <c r="G5" s="5" t="inlineStr">
        <is>
          <t>Dunaújváros</t>
        </is>
      </c>
      <c r="H5" s="5" t="inlineStr">
        <is>
          <t>Total</t>
        </is>
      </c>
    </row>
    <row r="6">
      <c r="C6" s="6" t="inlineStr">
        <is>
          <t>Net connection capacity</t>
        </is>
      </c>
      <c r="D6" s="2" t="inlineStr">
        <is>
          <t>MVA</t>
        </is>
      </c>
      <c r="E6" s="7" t="n">
        <v>50</v>
      </c>
      <c r="F6" s="7" t="n">
        <v>50</v>
      </c>
      <c r="G6" s="7" t="n">
        <v>50</v>
      </c>
      <c r="H6" s="8">
        <f>SUM(E6:G6)</f>
        <v/>
      </c>
    </row>
    <row r="7">
      <c r="C7" s="6" t="inlineStr">
        <is>
          <t>Overbuild (ÖSZ-3)</t>
        </is>
      </c>
      <c r="D7" s="2" t="inlineStr">
        <is>
          <t>%</t>
        </is>
      </c>
      <c r="E7" s="9" t="n">
        <v>0.2</v>
      </c>
      <c r="F7" s="9" t="n">
        <v>0.4</v>
      </c>
      <c r="G7" s="9" t="n">
        <v>0.4</v>
      </c>
    </row>
    <row r="8">
      <c r="C8" s="6" t="inlineStr">
        <is>
          <t>BESS power, share of MVA (ÖSZ-4)</t>
        </is>
      </c>
      <c r="D8" s="2" t="inlineStr">
        <is>
          <t>%</t>
        </is>
      </c>
      <c r="E8" s="9" t="n">
        <v>0.1</v>
      </c>
      <c r="F8" s="9" t="n">
        <v>0.2</v>
      </c>
      <c r="G8" s="9" t="n">
        <v>0.2</v>
      </c>
    </row>
    <row r="9">
      <c r="C9" s="6" t="inlineStr">
        <is>
          <t>BESS duration</t>
        </is>
      </c>
      <c r="D9" s="2" t="inlineStr">
        <is>
          <t>h</t>
        </is>
      </c>
      <c r="E9" s="7" t="n">
        <v>4</v>
      </c>
      <c r="F9" s="7" t="n">
        <v>4</v>
      </c>
      <c r="G9" s="7" t="n">
        <v>4</v>
      </c>
    </row>
    <row r="10">
      <c r="C10" s="6" t="inlineStr">
        <is>
          <t>Wind built below the bid</t>
        </is>
      </c>
      <c r="D10" s="2" t="inlineStr">
        <is>
          <t>%</t>
        </is>
      </c>
      <c r="E10" s="9" t="n">
        <v>0.1</v>
      </c>
      <c r="F10" s="9" t="n">
        <v>0.1</v>
      </c>
      <c r="G10" s="9" t="n">
        <v>0.1</v>
      </c>
    </row>
    <row r="11">
      <c r="C11" s="6" t="inlineStr">
        <is>
          <t>Municipal one-off (ÖSZ-1), at COD</t>
        </is>
      </c>
      <c r="D11" s="2" t="inlineStr">
        <is>
          <t>EUR k/MVA</t>
        </is>
      </c>
      <c r="E11" s="7" t="n">
        <v>20</v>
      </c>
      <c r="F11" s="7" t="n">
        <v>50</v>
      </c>
      <c r="G11" s="7" t="n">
        <v>50</v>
      </c>
    </row>
    <row r="12">
      <c r="C12" s="6" t="inlineStr">
        <is>
          <t>Community contribution (ÖSZ-2)</t>
        </is>
      </c>
      <c r="D12" s="2" t="inlineStr">
        <is>
          <t>EUR/MWh</t>
        </is>
      </c>
      <c r="E12" s="10" t="n">
        <v>0</v>
      </c>
      <c r="F12" s="10" t="n">
        <v>3</v>
      </c>
      <c r="G12" s="10" t="n">
        <v>3</v>
      </c>
    </row>
    <row r="13">
      <c r="C13" s="6" t="inlineStr">
        <is>
          <t>Partial award accepted (ÖSZ-5)</t>
        </is>
      </c>
      <c r="D13" s="2" t="inlineStr">
        <is>
          <t>flag</t>
        </is>
      </c>
      <c r="E13" s="11" t="n">
        <v>1</v>
      </c>
      <c r="F13" s="11" t="n">
        <v>0</v>
      </c>
      <c r="G13" s="11" t="n">
        <v>0</v>
      </c>
    </row>
    <row r="14">
      <c r="C14" s="6" t="inlineStr">
        <is>
          <t>Performance security multiple (ÖSZ-6)</t>
        </is>
      </c>
      <c r="D14" s="2" t="inlineStr">
        <is>
          <t>x</t>
        </is>
      </c>
      <c r="E14" s="12" t="n">
        <v>1</v>
      </c>
      <c r="F14" s="12" t="n">
        <v>1</v>
      </c>
      <c r="G14" s="12" t="n">
        <v>1</v>
      </c>
    </row>
    <row r="15">
      <c r="C15" s="6" t="inlineStr">
        <is>
          <t>Brownfield site (ÖSZ-7)</t>
        </is>
      </c>
      <c r="D15" s="2" t="inlineStr">
        <is>
          <t>flag</t>
        </is>
      </c>
      <c r="E15" s="11" t="n">
        <v>0</v>
      </c>
      <c r="F15" s="11" t="n">
        <v>0</v>
      </c>
      <c r="G15" s="11" t="n">
        <v>0</v>
      </c>
    </row>
    <row r="16">
      <c r="C16" s="6" t="inlineStr">
        <is>
          <t>Shared connection (ÖSZ-8)</t>
        </is>
      </c>
      <c r="D16" s="2" t="inlineStr">
        <is>
          <t>flag</t>
        </is>
      </c>
      <c r="E16" s="11" t="n">
        <v>1</v>
      </c>
      <c r="F16" s="11" t="n">
        <v>0</v>
      </c>
      <c r="G16" s="11" t="n">
        <v>0</v>
      </c>
    </row>
    <row r="17">
      <c r="C17" s="6" t="inlineStr">
        <is>
          <t>Turbine route (EU or CN; EU scores ÖSZ-9)</t>
        </is>
      </c>
      <c r="D17" s="2" t="inlineStr">
        <is>
          <t>text</t>
        </is>
      </c>
      <c r="E17" s="13" t="inlineStr">
        <is>
          <t>CN</t>
        </is>
      </c>
      <c r="F17" s="13" t="inlineStr">
        <is>
          <t>CN</t>
        </is>
      </c>
      <c r="G17" s="13" t="inlineStr">
        <is>
          <t>CN</t>
        </is>
      </c>
    </row>
    <row r="18">
      <c r="C18" s="6" t="inlineStr">
        <is>
          <t>RtB premium</t>
        </is>
      </c>
      <c r="D18" s="2" t="inlineStr">
        <is>
          <t>EUR k/MVA</t>
        </is>
      </c>
      <c r="E18" s="7" t="n">
        <v>150</v>
      </c>
      <c r="F18" s="7" t="n">
        <v>150</v>
      </c>
      <c r="G18" s="7" t="n">
        <v>150</v>
      </c>
    </row>
    <row r="19">
      <c r="C19" s="6" t="inlineStr">
        <is>
          <t>FEP share of distributable proceeds</t>
        </is>
      </c>
      <c r="D19" s="2" t="inlineStr">
        <is>
          <t>%</t>
        </is>
      </c>
      <c r="E19" s="9" t="n">
        <v>0.7</v>
      </c>
      <c r="F19" s="9" t="n">
        <v>1</v>
      </c>
      <c r="G19" s="9" t="n">
        <v>1</v>
      </c>
    </row>
    <row r="20">
      <c r="C20" s="6" t="inlineStr">
        <is>
          <t>Developer success fee (DSA) on</t>
        </is>
      </c>
      <c r="D20" s="2" t="inlineStr">
        <is>
          <t>flag</t>
        </is>
      </c>
      <c r="E20" s="11" t="n">
        <v>1</v>
      </c>
      <c r="F20" s="11" t="n">
        <v>0</v>
      </c>
      <c r="G20" s="11" t="n">
        <v>0</v>
      </c>
    </row>
    <row r="22">
      <c r="B22" s="4" t="inlineStr">
        <is>
          <t>x</t>
        </is>
      </c>
      <c r="C22" s="4" t="inlineStr">
        <is>
          <t>Case: turbine price, PPA, yield, O&amp;M</t>
        </is>
      </c>
      <c r="D22" s="4" t="n"/>
      <c r="E22" s="5" t="inlineStr">
        <is>
          <t>Base</t>
        </is>
      </c>
      <c r="F22" s="5" t="inlineStr">
        <is>
          <t>Low</t>
        </is>
      </c>
      <c r="G22" s="5" t="inlineStr">
        <is>
          <t>High</t>
        </is>
      </c>
      <c r="H22" s="5" t="inlineStr">
        <is>
          <t>Live</t>
        </is>
      </c>
    </row>
    <row r="23">
      <c r="C23" s="1" t="inlineStr">
        <is>
          <t>Case selected (Base, Low or High)</t>
        </is>
      </c>
      <c r="D23" s="2" t="inlineStr">
        <is>
          <t>case</t>
        </is>
      </c>
      <c r="H23" s="13" t="inlineStr">
        <is>
          <t>Base</t>
        </is>
      </c>
    </row>
    <row r="24">
      <c r="C24" s="6" t="inlineStr">
        <is>
          <t>Turbine supply incl. transport, EU route</t>
        </is>
      </c>
      <c r="D24" s="2" t="inlineStr">
        <is>
          <t>EUR k/MW</t>
        </is>
      </c>
      <c r="E24" s="7" t="n">
        <v>850</v>
      </c>
      <c r="F24" s="7" t="n">
        <v>950</v>
      </c>
      <c r="G24" s="7" t="n">
        <v>800</v>
      </c>
      <c r="H24" s="14">
        <f>INDEX(E24:G24,MATCH(Dash_Case,$E$22:$G$22,0))</f>
        <v/>
      </c>
      <c r="J24" s="2" t="inlineStr">
        <is>
          <t>Bora Dashboard H8 / Inputs G162</t>
        </is>
      </c>
    </row>
    <row r="25">
      <c r="C25" s="6" t="inlineStr">
        <is>
          <t>Turbine supply incl. transport, CN route</t>
        </is>
      </c>
      <c r="D25" s="2" t="inlineStr">
        <is>
          <t>EUR k/MW</t>
        </is>
      </c>
      <c r="E25" s="7" t="n">
        <v>500</v>
      </c>
      <c r="F25" s="7" t="n">
        <v>500</v>
      </c>
      <c r="G25" s="7" t="n">
        <v>500</v>
      </c>
      <c r="H25" s="14">
        <f>INDEX(E25:G25,MATCH(Dash_Case,$E$22:$G$22,0))</f>
        <v/>
      </c>
      <c r="J25" s="2" t="inlineStr">
        <is>
          <t>Bora Inputs H162</t>
        </is>
      </c>
    </row>
    <row r="26">
      <c r="C26" s="6" t="inlineStr">
        <is>
          <t>PPA price in the COD year</t>
        </is>
      </c>
      <c r="D26" s="2" t="inlineStr">
        <is>
          <t>EUR/MWh</t>
        </is>
      </c>
      <c r="E26" s="10" t="n">
        <v>90</v>
      </c>
      <c r="F26" s="10" t="n">
        <v>90</v>
      </c>
      <c r="G26" s="10" t="n">
        <v>100</v>
      </c>
      <c r="H26" s="15">
        <f>INDEX(E26:G26,MATCH(Dash_Case,$E$22:$G$22,0))</f>
        <v/>
      </c>
      <c r="J26" s="2" t="inlineStr">
        <is>
          <t>Bora Dashboard H9</t>
        </is>
      </c>
    </row>
    <row r="27">
      <c r="C27" s="6" t="inlineStr">
        <is>
          <t>Net P50 hours</t>
        </is>
      </c>
      <c r="D27" s="2" t="inlineStr">
        <is>
          <t>h/yr</t>
        </is>
      </c>
      <c r="E27" s="7" t="n">
        <v>2500</v>
      </c>
      <c r="F27" s="7" t="n">
        <v>2460</v>
      </c>
      <c r="G27" s="7" t="n">
        <v>2600</v>
      </c>
      <c r="H27" s="14">
        <f>INDEX(E27:G27,MATCH(Dash_Case,$E$22:$G$22,0))</f>
        <v/>
      </c>
      <c r="J27" s="2" t="inlineStr">
        <is>
          <t>Bora Dashboard H10</t>
        </is>
      </c>
    </row>
    <row r="28">
      <c r="C28" s="6" t="inlineStr">
        <is>
          <t>O&amp;M full-service contract</t>
        </is>
      </c>
      <c r="D28" s="2" t="inlineStr">
        <is>
          <t>EUR k/MW/yr</t>
        </is>
      </c>
      <c r="E28" s="10" t="n">
        <v>12</v>
      </c>
      <c r="F28" s="10" t="n">
        <v>12</v>
      </c>
      <c r="G28" s="10" t="n">
        <v>10</v>
      </c>
      <c r="H28" s="15">
        <f>INDEX(E28:G28,MATCH(Dash_Case,$E$22:$G$22,0))</f>
        <v/>
      </c>
      <c r="J28" s="2" t="inlineStr">
        <is>
          <t>Bora Dashboard H11</t>
        </is>
      </c>
    </row>
    <row r="30">
      <c r="B30" s="4" t="inlineStr">
        <is>
          <t>x</t>
        </is>
      </c>
      <c r="C30" s="4" t="inlineStr">
        <is>
          <t>Bid points and capacity</t>
        </is>
      </c>
      <c r="D30" s="4" t="n"/>
      <c r="E30" s="5" t="inlineStr">
        <is>
          <t>Bora</t>
        </is>
      </c>
      <c r="F30" s="5" t="inlineStr">
        <is>
          <t>Iváncsa</t>
        </is>
      </c>
      <c r="G30" s="5" t="inlineStr">
        <is>
          <t>Dunaújváros</t>
        </is>
      </c>
      <c r="H30" s="5" t="inlineStr">
        <is>
          <t>Total</t>
        </is>
      </c>
    </row>
    <row r="31">
      <c r="C31" s="6" t="inlineStr">
        <is>
          <t>Points – municipal one-off</t>
        </is>
      </c>
      <c r="D31" s="2" t="inlineStr">
        <is>
          <t>points</t>
        </is>
      </c>
      <c r="E31" s="16">
        <f>INDEX(Osz1_Pts,1+SUMPRODUCT((Osz1_LB&lt;E11)+(Osz1_LB=E11)*Osz1_Incl))*Osz1_W</f>
        <v/>
      </c>
      <c r="F31" s="16">
        <f>INDEX(Osz1_Pts,1+SUMPRODUCT((Osz1_LB&lt;F11)+(Osz1_LB=F11)*Osz1_Incl))*Osz1_W</f>
        <v/>
      </c>
      <c r="G31" s="16">
        <f>INDEX(Osz1_Pts,1+SUMPRODUCT((Osz1_LB&lt;G11)+(Osz1_LB=G11)*Osz1_Incl))*Osz1_W</f>
        <v/>
      </c>
    </row>
    <row r="32">
      <c r="C32" s="6" t="inlineStr">
        <is>
          <t>Points – community contribution</t>
        </is>
      </c>
      <c r="D32" s="2" t="inlineStr">
        <is>
          <t>points</t>
        </is>
      </c>
      <c r="E32" s="16">
        <f>INDEX(Osz2_Pts,1+SUMPRODUCT((Osz2_LB&lt;E12)+(Osz2_LB=E12)*Osz2_Incl))*Osz2_W</f>
        <v/>
      </c>
      <c r="F32" s="16">
        <f>INDEX(Osz2_Pts,1+SUMPRODUCT((Osz2_LB&lt;F12)+(Osz2_LB=F12)*Osz2_Incl))*Osz2_W</f>
        <v/>
      </c>
      <c r="G32" s="16">
        <f>INDEX(Osz2_Pts,1+SUMPRODUCT((Osz2_LB&lt;G12)+(Osz2_LB=G12)*Osz2_Incl))*Osz2_W</f>
        <v/>
      </c>
    </row>
    <row r="33">
      <c r="C33" s="6" t="inlineStr">
        <is>
          <t>Points – overbuild</t>
        </is>
      </c>
      <c r="D33" s="2" t="inlineStr">
        <is>
          <t>points</t>
        </is>
      </c>
      <c r="E33" s="16">
        <f>INDEX(Osz3_Pts,1+SUMPRODUCT((Osz3_LB&lt;E7)+(Osz3_LB=E7)*Osz3_Incl))*Osz3_W</f>
        <v/>
      </c>
      <c r="F33" s="16">
        <f>INDEX(Osz3_Pts,1+SUMPRODUCT((Osz3_LB&lt;F7)+(Osz3_LB=F7)*Osz3_Incl))*Osz3_W</f>
        <v/>
      </c>
      <c r="G33" s="16">
        <f>INDEX(Osz3_Pts,1+SUMPRODUCT((Osz3_LB&lt;G7)+(Osz3_LB=G7)*Osz3_Incl))*Osz3_W</f>
        <v/>
      </c>
    </row>
    <row r="34">
      <c r="C34" s="6" t="inlineStr">
        <is>
          <t>Points – BESS</t>
        </is>
      </c>
      <c r="D34" s="2" t="inlineStr">
        <is>
          <t>points</t>
        </is>
      </c>
      <c r="E34" s="16">
        <f>INDEX(Osz3_Pts,1+SUMPRODUCT((Osz3_LB&lt;E8)+(Osz3_LB=E8)*Osz3_Incl))*Osz4_W</f>
        <v/>
      </c>
      <c r="F34" s="16">
        <f>INDEX(Osz3_Pts,1+SUMPRODUCT((Osz3_LB&lt;F8)+(Osz3_LB=F8)*Osz3_Incl))*Osz4_W</f>
        <v/>
      </c>
      <c r="G34" s="16">
        <f>INDEX(Osz3_Pts,1+SUMPRODUCT((Osz3_LB&lt;G8)+(Osz3_LB=G8)*Osz3_Incl))*Osz4_W</f>
        <v/>
      </c>
    </row>
    <row r="35">
      <c r="C35" s="6" t="inlineStr">
        <is>
          <t>Points – partial award</t>
        </is>
      </c>
      <c r="D35" s="2" t="inlineStr">
        <is>
          <t>points</t>
        </is>
      </c>
      <c r="E35" s="16">
        <f>E13*Osz5_Pts*Osz5_W</f>
        <v/>
      </c>
      <c r="F35" s="16">
        <f>F13*Osz5_Pts*Osz5_W</f>
        <v/>
      </c>
      <c r="G35" s="16">
        <f>G13*Osz5_Pts*Osz5_W</f>
        <v/>
      </c>
    </row>
    <row r="36">
      <c r="C36" s="6" t="inlineStr">
        <is>
          <t>Points – performance security</t>
        </is>
      </c>
      <c r="D36" s="2" t="inlineStr">
        <is>
          <t>points</t>
        </is>
      </c>
      <c r="E36" s="16">
        <f>INDEX(Osz6_Pts,1+SUMPRODUCT((Osz6_LB&lt;E14)+(Osz6_LB=E14)*Osz6_Incl))*Osz6_W</f>
        <v/>
      </c>
      <c r="F36" s="16">
        <f>INDEX(Osz6_Pts,1+SUMPRODUCT((Osz6_LB&lt;F14)+(Osz6_LB=F14)*Osz6_Incl))*Osz6_W</f>
        <v/>
      </c>
      <c r="G36" s="16">
        <f>INDEX(Osz6_Pts,1+SUMPRODUCT((Osz6_LB&lt;G14)+(Osz6_LB=G14)*Osz6_Incl))*Osz6_W</f>
        <v/>
      </c>
    </row>
    <row r="37">
      <c r="C37" s="6" t="inlineStr">
        <is>
          <t>Points – brownfield</t>
        </is>
      </c>
      <c r="D37" s="2" t="inlineStr">
        <is>
          <t>points</t>
        </is>
      </c>
      <c r="E37" s="16">
        <f>E15*Osz7_Pts*Osz7_W</f>
        <v/>
      </c>
      <c r="F37" s="16">
        <f>F15*Osz7_Pts*Osz7_W</f>
        <v/>
      </c>
      <c r="G37" s="16">
        <f>G15*Osz7_Pts*Osz7_W</f>
        <v/>
      </c>
    </row>
    <row r="38">
      <c r="C38" s="6" t="inlineStr">
        <is>
          <t>Points – shared connection</t>
        </is>
      </c>
      <c r="D38" s="2" t="inlineStr">
        <is>
          <t>points</t>
        </is>
      </c>
      <c r="E38" s="16">
        <f>E16*Osz8_Pts*Osz8_W</f>
        <v/>
      </c>
      <c r="F38" s="16">
        <f>F16*Osz8_Pts*Osz8_W</f>
        <v/>
      </c>
      <c r="G38" s="16">
        <f>G16*Osz8_Pts*Osz8_W</f>
        <v/>
      </c>
    </row>
    <row r="39">
      <c r="C39" s="6" t="inlineStr">
        <is>
          <t>Points – EU turbines</t>
        </is>
      </c>
      <c r="D39" s="2" t="inlineStr">
        <is>
          <t>points</t>
        </is>
      </c>
      <c r="E39" s="16">
        <f>N(E17="EU")*Osz9a_Pts*Osz9_W</f>
        <v/>
      </c>
      <c r="F39" s="16">
        <f>N(F17="EU")*Osz9a_Pts*Osz9_W</f>
        <v/>
      </c>
      <c r="G39" s="16">
        <f>N(G17="EU")*Osz9a_Pts*Osz9_W</f>
        <v/>
      </c>
    </row>
    <row r="40">
      <c r="C40" s="6" t="inlineStr">
        <is>
          <t>Points – EU transformers</t>
        </is>
      </c>
      <c r="D40" s="2" t="inlineStr">
        <is>
          <t>points</t>
        </is>
      </c>
      <c r="E40" s="16">
        <f>Inputs!E$25*Osz9b_Pts*Osz9_W</f>
        <v/>
      </c>
      <c r="F40" s="16">
        <f>Inputs!F$25*Osz9b_Pts*Osz9_W</f>
        <v/>
      </c>
      <c r="G40" s="16">
        <f>Inputs!G$25*Osz9b_Pts*Osz9_W</f>
        <v/>
      </c>
    </row>
    <row r="41">
      <c r="C41" s="1" t="inlineStr">
        <is>
          <t>Points total</t>
        </is>
      </c>
      <c r="D41" s="2" t="inlineStr">
        <is>
          <t>points</t>
        </is>
      </c>
      <c r="E41" s="17">
        <f>SUM(E31:E40)</f>
        <v/>
      </c>
      <c r="F41" s="17">
        <f>SUM(F31:F40)</f>
        <v/>
      </c>
      <c r="G41" s="17">
        <f>SUM(G31:G40)</f>
        <v/>
      </c>
    </row>
    <row r="42">
      <c r="C42" s="6" t="inlineStr">
        <is>
          <t>Wind committed in the bid</t>
        </is>
      </c>
      <c r="D42" s="2" t="inlineStr">
        <is>
          <t>MW</t>
        </is>
      </c>
      <c r="E42" s="16">
        <f>E6*(1+E7)</f>
        <v/>
      </c>
      <c r="F42" s="16">
        <f>F6*(1+F7)</f>
        <v/>
      </c>
      <c r="G42" s="16">
        <f>G6*(1+G7)</f>
        <v/>
      </c>
      <c r="H42" s="16">
        <f>SUM(E42:G42)</f>
        <v/>
      </c>
    </row>
    <row r="43">
      <c r="C43" s="6" t="inlineStr">
        <is>
          <t>BESS energy</t>
        </is>
      </c>
      <c r="D43" s="2" t="inlineStr">
        <is>
          <t>MWh</t>
        </is>
      </c>
      <c r="E43" s="16">
        <f>E6*E8*E9</f>
        <v/>
      </c>
      <c r="F43" s="16">
        <f>F6*F8*F9</f>
        <v/>
      </c>
      <c r="G43" s="16">
        <f>G6*G8*G9</f>
        <v/>
      </c>
      <c r="H43" s="16">
        <f>SUM(E43:G43)</f>
        <v/>
      </c>
    </row>
    <row r="44">
      <c r="C44" s="6" t="inlineStr">
        <is>
          <t>Wind built (committed less the build shortfall)</t>
        </is>
      </c>
      <c r="D44" s="2" t="inlineStr">
        <is>
          <t>MW</t>
        </is>
      </c>
      <c r="E44" s="16">
        <f>E42*(1-E10)</f>
        <v/>
      </c>
      <c r="F44" s="16">
        <f>F42*(1-F10)</f>
        <v/>
      </c>
      <c r="G44" s="16">
        <f>G42*(1-G10)</f>
        <v/>
      </c>
      <c r="H44" s="16">
        <f>SUM(E44:G44)</f>
        <v/>
      </c>
    </row>
    <row r="46">
      <c r="B46" s="4" t="inlineStr">
        <is>
          <t>x</t>
        </is>
      </c>
      <c r="C46" s="4" t="inlineStr">
        <is>
          <t>Guarantees, securities and connection fees, DEVEX (HUF)</t>
        </is>
      </c>
      <c r="D46" s="4" t="n"/>
      <c r="E46" s="5" t="inlineStr">
        <is>
          <t>Bora</t>
        </is>
      </c>
      <c r="F46" s="5" t="inlineStr">
        <is>
          <t>Iváncsa</t>
        </is>
      </c>
      <c r="G46" s="5" t="inlineStr">
        <is>
          <t>Dunaújváros</t>
        </is>
      </c>
      <c r="H46" s="5" t="inlineStr">
        <is>
          <t>Total</t>
        </is>
      </c>
      <c r="J46" s="5" t="inlineStr">
        <is>
          <t>Date: Bora</t>
        </is>
      </c>
      <c r="K46" s="5" t="inlineStr">
        <is>
          <t>Iváncsa</t>
        </is>
      </c>
      <c r="L46" s="5" t="inlineStr">
        <is>
          <t>Dunaújváros</t>
        </is>
      </c>
    </row>
    <row r="47">
      <c r="C47" s="6" t="inlineStr">
        <is>
          <t>Participation fee</t>
        </is>
      </c>
      <c r="D47" s="2" t="inlineStr">
        <is>
          <t>HUF</t>
        </is>
      </c>
      <c r="E47" s="8">
        <f>Part_Fee</f>
        <v/>
      </c>
      <c r="F47" s="8">
        <f>Part_Fee</f>
        <v/>
      </c>
      <c r="G47" s="8">
        <f>Part_Fee</f>
        <v/>
      </c>
      <c r="H47" s="8">
        <f>SUM(E47:G47)</f>
        <v/>
      </c>
      <c r="J47" s="18">
        <f>Inputs!E$27</f>
        <v/>
      </c>
      <c r="K47" s="18">
        <f>Inputs!F$27</f>
        <v/>
      </c>
      <c r="L47" s="18">
        <f>Inputs!G$27</f>
        <v/>
      </c>
    </row>
    <row r="48">
      <c r="C48" s="6" t="inlineStr">
        <is>
          <t>Bid security</t>
        </is>
      </c>
      <c r="D48" s="2" t="inlineStr">
        <is>
          <t>HUF</t>
        </is>
      </c>
      <c r="E48" s="8">
        <f>Bid_Sec_Rate*(E42*Bench_Wind+E43*Bench_BESS)</f>
        <v/>
      </c>
      <c r="F48" s="8">
        <f>Bid_Sec_Rate*(F42*Bench_Wind+F43*Bench_BESS)</f>
        <v/>
      </c>
      <c r="G48" s="8">
        <f>Bid_Sec_Rate*(G42*Bench_Wind+G43*Bench_BESS)</f>
        <v/>
      </c>
      <c r="H48" s="8">
        <f>SUM(E48:G48)</f>
        <v/>
      </c>
      <c r="J48" s="18">
        <f>Inputs!E$27</f>
        <v/>
      </c>
      <c r="K48" s="18">
        <f>Inputs!F$27</f>
        <v/>
      </c>
      <c r="L48" s="18">
        <f>Inputs!G$27</f>
        <v/>
      </c>
    </row>
    <row r="49">
      <c r="C49" s="6" t="inlineStr">
        <is>
          <t>Performance security, gross</t>
        </is>
      </c>
      <c r="D49" s="2" t="inlineStr">
        <is>
          <t>HUF</t>
        </is>
      </c>
      <c r="E49" s="8">
        <f>PB_Rate*E14*(E42*Bench_Wind+E43*Bench_BESS)</f>
        <v/>
      </c>
      <c r="F49" s="8">
        <f>PB_Rate*F14*(F42*Bench_Wind+F43*Bench_BESS)</f>
        <v/>
      </c>
      <c r="G49" s="8">
        <f>PB_Rate*G14*(G42*Bench_Wind+G43*Bench_BESS)</f>
        <v/>
      </c>
      <c r="H49" s="8">
        <f>SUM(E49:G49)</f>
        <v/>
      </c>
      <c r="J49" s="18">
        <f>Inputs!E$28</f>
        <v/>
      </c>
      <c r="K49" s="18">
        <f>Inputs!F$28</f>
        <v/>
      </c>
      <c r="L49" s="18">
        <f>Inputs!G$28</f>
        <v/>
      </c>
    </row>
    <row r="50">
      <c r="C50" s="6" t="inlineStr">
        <is>
          <t>Less bid security credited</t>
        </is>
      </c>
      <c r="D50" s="2" t="inlineStr">
        <is>
          <t>HUF</t>
        </is>
      </c>
      <c r="E50" s="8">
        <f>-E48</f>
        <v/>
      </c>
      <c r="F50" s="8">
        <f>-F48</f>
        <v/>
      </c>
      <c r="G50" s="8">
        <f>-G48</f>
        <v/>
      </c>
      <c r="H50" s="8">
        <f>SUM(E50:G50)</f>
        <v/>
      </c>
    </row>
    <row r="51">
      <c r="C51" s="6" t="inlineStr">
        <is>
          <t>Performance security payable (bid security deducted)</t>
        </is>
      </c>
      <c r="D51" s="2" t="inlineStr">
        <is>
          <t>HUF</t>
        </is>
      </c>
      <c r="E51" s="8">
        <f>E49+E50</f>
        <v/>
      </c>
      <c r="F51" s="8">
        <f>F49+F50</f>
        <v/>
      </c>
      <c r="G51" s="8">
        <f>G49+G50</f>
        <v/>
      </c>
      <c r="H51" s="8">
        <f>SUM(E51:G51)</f>
        <v/>
      </c>
      <c r="J51" s="18">
        <f>Inputs!E$28</f>
        <v/>
      </c>
      <c r="K51" s="18">
        <f>Inputs!F$28</f>
        <v/>
      </c>
      <c r="L51" s="18">
        <f>Inputs!G$28</f>
        <v/>
      </c>
    </row>
    <row r="52">
      <c r="C52" s="6" t="inlineStr">
        <is>
          <t>TSO connection-request security</t>
        </is>
      </c>
      <c r="D52" s="2" t="inlineStr">
        <is>
          <t>HUF</t>
        </is>
      </c>
      <c r="E52" s="8">
        <f>TSO_Rate*E6</f>
        <v/>
      </c>
      <c r="F52" s="8">
        <f>TSO_Rate*F6</f>
        <v/>
      </c>
      <c r="G52" s="8">
        <f>TSO_Rate*G6</f>
        <v/>
      </c>
      <c r="H52" s="8">
        <f>SUM(E52:G52)</f>
        <v/>
      </c>
      <c r="J52" s="18">
        <f>Inputs!E$29</f>
        <v/>
      </c>
      <c r="K52" s="18">
        <f>Inputs!F$29</f>
        <v/>
      </c>
      <c r="L52" s="18">
        <f>Inputs!G$29</f>
        <v/>
      </c>
    </row>
    <row r="53">
      <c r="C53" s="6" t="inlineStr">
        <is>
          <t>Direct connection fee (per point ÷ bids sharing it)</t>
        </is>
      </c>
      <c r="D53" s="2" t="inlineStr">
        <is>
          <t>HUF</t>
        </is>
      </c>
      <c r="E53" s="8">
        <f>Inputs!E$15/Inputs!E$16</f>
        <v/>
      </c>
      <c r="F53" s="8">
        <f>Inputs!F$15/Inputs!F$16</f>
        <v/>
      </c>
      <c r="G53" s="8">
        <f>Inputs!G$15/Inputs!G$16</f>
        <v/>
      </c>
      <c r="H53" s="8">
        <f>SUM(E53:G53)</f>
        <v/>
      </c>
      <c r="J53" s="18">
        <f>Inputs!E$30</f>
        <v/>
      </c>
      <c r="K53" s="18">
        <f>Inputs!F$30</f>
        <v/>
      </c>
      <c r="L53" s="18">
        <f>Inputs!G$30</f>
        <v/>
      </c>
    </row>
    <row r="54">
      <c r="C54" s="6" t="inlineStr">
        <is>
          <t>Indirect connection fee, gross</t>
        </is>
      </c>
      <c r="D54" s="2" t="inlineStr">
        <is>
          <t>HUF</t>
        </is>
      </c>
      <c r="E54" s="8">
        <f>Inputs!E$14*E6</f>
        <v/>
      </c>
      <c r="F54" s="8">
        <f>Inputs!F$14*F6</f>
        <v/>
      </c>
      <c r="G54" s="8">
        <f>Inputs!G$14*G6</f>
        <v/>
      </c>
      <c r="H54" s="8">
        <f>SUM(E54:G54)</f>
        <v/>
      </c>
      <c r="J54" s="18">
        <f>Inputs!E$30</f>
        <v/>
      </c>
      <c r="K54" s="18">
        <f>Inputs!F$30</f>
        <v/>
      </c>
      <c r="L54" s="18">
        <f>Inputs!G$30</f>
        <v/>
      </c>
    </row>
    <row r="55">
      <c r="C55" s="6" t="inlineStr">
        <is>
          <t>Less TSO security credited</t>
        </is>
      </c>
      <c r="D55" s="2" t="inlineStr">
        <is>
          <t>HUF</t>
        </is>
      </c>
      <c r="E55" s="8">
        <f>-E52</f>
        <v/>
      </c>
      <c r="F55" s="8">
        <f>-F52</f>
        <v/>
      </c>
      <c r="G55" s="8">
        <f>-G52</f>
        <v/>
      </c>
      <c r="H55" s="8">
        <f>SUM(E55:G55)</f>
        <v/>
      </c>
    </row>
    <row r="56">
      <c r="C56" s="6" t="inlineStr">
        <is>
          <t>Indirect connection fee, payable (TSO security deducted)</t>
        </is>
      </c>
      <c r="D56" s="2" t="inlineStr">
        <is>
          <t>HUF</t>
        </is>
      </c>
      <c r="E56" s="8">
        <f>E54+E55</f>
        <v/>
      </c>
      <c r="F56" s="8">
        <f>F54+F55</f>
        <v/>
      </c>
      <c r="G56" s="8">
        <f>G54+G55</f>
        <v/>
      </c>
      <c r="H56" s="8">
        <f>SUM(E56:G56)</f>
        <v/>
      </c>
      <c r="J56" s="18">
        <f>Inputs!E$30</f>
        <v/>
      </c>
      <c r="K56" s="18">
        <f>Inputs!F$30</f>
        <v/>
      </c>
      <c r="L56" s="18">
        <f>Inputs!G$30</f>
        <v/>
      </c>
    </row>
    <row r="57">
      <c r="C57" s="6" t="inlineStr">
        <is>
          <t>DEVEX</t>
        </is>
      </c>
      <c r="D57" s="2" t="inlineStr">
        <is>
          <t>HUF</t>
        </is>
      </c>
      <c r="E57" s="8">
        <f>SUM(Inputs!E$18:E$24)*FX*Thousand</f>
        <v/>
      </c>
      <c r="F57" s="8">
        <f>SUM(Inputs!F$18:F$24)*FX*Thousand</f>
        <v/>
      </c>
      <c r="G57" s="8">
        <f>SUM(Inputs!G$18:G$24)*FX*Thousand</f>
        <v/>
      </c>
      <c r="H57" s="8">
        <f>SUM(E57:G57)</f>
        <v/>
      </c>
      <c r="J57" s="18">
        <f>Inputs!E$31</f>
        <v/>
      </c>
      <c r="K57" s="18">
        <f>Inputs!F$31</f>
        <v/>
      </c>
      <c r="L57" s="18">
        <f>Inputs!G$31</f>
        <v/>
      </c>
    </row>
    <row r="58">
      <c r="C58" s="1" t="inlineStr">
        <is>
          <t>Total cash: fee, securities, connection fees, DEVEX</t>
        </is>
      </c>
      <c r="D58" s="2" t="inlineStr">
        <is>
          <t>HUF</t>
        </is>
      </c>
      <c r="E58" s="19">
        <f>E47+E48+E51+E52+E53+E56+E57</f>
        <v/>
      </c>
      <c r="F58" s="19">
        <f>F47+F48+F51+F52+F53+F56+F57</f>
        <v/>
      </c>
      <c r="G58" s="19">
        <f>G47+G48+G51+G52+G53+G56+G57</f>
        <v/>
      </c>
      <c r="H58" s="19">
        <f>SUM(E58:G58)</f>
        <v/>
      </c>
    </row>
    <row r="60">
      <c r="B60" s="4" t="inlineStr">
        <is>
          <t>x</t>
        </is>
      </c>
      <c r="C60" s="4" t="inlineStr">
        <is>
          <t>Guarantees, securities and connection fees, DEVEX (EUR k)</t>
        </is>
      </c>
      <c r="D60" s="4" t="n"/>
      <c r="E60" s="5" t="inlineStr">
        <is>
          <t>Bora</t>
        </is>
      </c>
      <c r="F60" s="5" t="inlineStr">
        <is>
          <t>Iváncsa</t>
        </is>
      </c>
      <c r="G60" s="5" t="inlineStr">
        <is>
          <t>Dunaújváros</t>
        </is>
      </c>
      <c r="H60" s="5" t="inlineStr">
        <is>
          <t>Total</t>
        </is>
      </c>
      <c r="J60" s="5" t="inlineStr">
        <is>
          <t>Date: Bora</t>
        </is>
      </c>
      <c r="K60" s="5" t="inlineStr">
        <is>
          <t>Iváncsa</t>
        </is>
      </c>
      <c r="L60" s="5" t="inlineStr">
        <is>
          <t>Dunaújváros</t>
        </is>
      </c>
    </row>
    <row r="61">
      <c r="C61" s="6" t="inlineStr">
        <is>
          <t>Participation fee</t>
        </is>
      </c>
      <c r="D61" s="2" t="inlineStr">
        <is>
          <t>EUR k</t>
        </is>
      </c>
      <c r="E61" s="16">
        <f>E47/FX/Thousand</f>
        <v/>
      </c>
      <c r="F61" s="16">
        <f>F47/FX/Thousand</f>
        <v/>
      </c>
      <c r="G61" s="16">
        <f>G47/FX/Thousand</f>
        <v/>
      </c>
      <c r="H61" s="16">
        <f>SUM(E61:G61)</f>
        <v/>
      </c>
      <c r="J61" s="18">
        <f>Inputs!E$27</f>
        <v/>
      </c>
      <c r="K61" s="18">
        <f>Inputs!F$27</f>
        <v/>
      </c>
      <c r="L61" s="18">
        <f>Inputs!G$27</f>
        <v/>
      </c>
    </row>
    <row r="62">
      <c r="C62" s="6" t="inlineStr">
        <is>
          <t>Bid security</t>
        </is>
      </c>
      <c r="D62" s="2" t="inlineStr">
        <is>
          <t>EUR k</t>
        </is>
      </c>
      <c r="E62" s="8">
        <f>E48/FX/Thousand</f>
        <v/>
      </c>
      <c r="F62" s="8">
        <f>F48/FX/Thousand</f>
        <v/>
      </c>
      <c r="G62" s="8">
        <f>G48/FX/Thousand</f>
        <v/>
      </c>
      <c r="H62" s="8">
        <f>SUM(E62:G62)</f>
        <v/>
      </c>
      <c r="J62" s="18">
        <f>Inputs!E$27</f>
        <v/>
      </c>
      <c r="K62" s="18">
        <f>Inputs!F$27</f>
        <v/>
      </c>
      <c r="L62" s="18">
        <f>Inputs!G$27</f>
        <v/>
      </c>
    </row>
    <row r="63">
      <c r="C63" s="6" t="inlineStr">
        <is>
          <t>Performance security payable (bid security deducted)</t>
        </is>
      </c>
      <c r="D63" s="2" t="inlineStr">
        <is>
          <t>EUR k</t>
        </is>
      </c>
      <c r="E63" s="8">
        <f>E51/FX/Thousand</f>
        <v/>
      </c>
      <c r="F63" s="8">
        <f>F51/FX/Thousand</f>
        <v/>
      </c>
      <c r="G63" s="8">
        <f>G51/FX/Thousand</f>
        <v/>
      </c>
      <c r="H63" s="8">
        <f>SUM(E63:G63)</f>
        <v/>
      </c>
      <c r="J63" s="18">
        <f>Inputs!E$28</f>
        <v/>
      </c>
      <c r="K63" s="18">
        <f>Inputs!F$28</f>
        <v/>
      </c>
      <c r="L63" s="18">
        <f>Inputs!G$28</f>
        <v/>
      </c>
    </row>
    <row r="64">
      <c r="C64" s="6" t="inlineStr">
        <is>
          <t>TSO connection-request security</t>
        </is>
      </c>
      <c r="D64" s="2" t="inlineStr">
        <is>
          <t>EUR k</t>
        </is>
      </c>
      <c r="E64" s="8">
        <f>E52/FX/Thousand</f>
        <v/>
      </c>
      <c r="F64" s="8">
        <f>F52/FX/Thousand</f>
        <v/>
      </c>
      <c r="G64" s="8">
        <f>G52/FX/Thousand</f>
        <v/>
      </c>
      <c r="H64" s="8">
        <f>SUM(E64:G64)</f>
        <v/>
      </c>
      <c r="J64" s="18">
        <f>Inputs!E$29</f>
        <v/>
      </c>
      <c r="K64" s="18">
        <f>Inputs!F$29</f>
        <v/>
      </c>
      <c r="L64" s="18">
        <f>Inputs!G$29</f>
        <v/>
      </c>
    </row>
    <row r="65">
      <c r="C65" s="6" t="inlineStr">
        <is>
          <t>Direct connection fee</t>
        </is>
      </c>
      <c r="D65" s="2" t="inlineStr">
        <is>
          <t>EUR k</t>
        </is>
      </c>
      <c r="E65" s="8">
        <f>E53/FX/Thousand</f>
        <v/>
      </c>
      <c r="F65" s="8">
        <f>F53/FX/Thousand</f>
        <v/>
      </c>
      <c r="G65" s="8">
        <f>G53/FX/Thousand</f>
        <v/>
      </c>
      <c r="H65" s="8">
        <f>SUM(E65:G65)</f>
        <v/>
      </c>
      <c r="J65" s="18">
        <f>Inputs!E$30</f>
        <v/>
      </c>
      <c r="K65" s="18">
        <f>Inputs!F$30</f>
        <v/>
      </c>
      <c r="L65" s="18">
        <f>Inputs!G$30</f>
        <v/>
      </c>
    </row>
    <row r="66">
      <c r="C66" s="6" t="inlineStr">
        <is>
          <t>Indirect connection fee, payable (TSO security deducted)</t>
        </is>
      </c>
      <c r="D66" s="2" t="inlineStr">
        <is>
          <t>EUR k</t>
        </is>
      </c>
      <c r="E66" s="8">
        <f>E56/FX/Thousand</f>
        <v/>
      </c>
      <c r="F66" s="8">
        <f>F56/FX/Thousand</f>
        <v/>
      </c>
      <c r="G66" s="8">
        <f>G56/FX/Thousand</f>
        <v/>
      </c>
      <c r="H66" s="8">
        <f>SUM(E66:G66)</f>
        <v/>
      </c>
      <c r="J66" s="18">
        <f>Inputs!E$30</f>
        <v/>
      </c>
      <c r="K66" s="18">
        <f>Inputs!F$30</f>
        <v/>
      </c>
      <c r="L66" s="18">
        <f>Inputs!G$30</f>
        <v/>
      </c>
    </row>
    <row r="67">
      <c r="C67" s="6" t="inlineStr">
        <is>
          <t>DEVEX</t>
        </is>
      </c>
      <c r="D67" s="2" t="inlineStr">
        <is>
          <t>EUR k</t>
        </is>
      </c>
      <c r="E67" s="8">
        <f>E57/FX/Thousand</f>
        <v/>
      </c>
      <c r="F67" s="8">
        <f>F57/FX/Thousand</f>
        <v/>
      </c>
      <c r="G67" s="8">
        <f>G57/FX/Thousand</f>
        <v/>
      </c>
      <c r="H67" s="8">
        <f>SUM(E67:G67)</f>
        <v/>
      </c>
      <c r="J67" s="18">
        <f>Inputs!E$31</f>
        <v/>
      </c>
      <c r="K67" s="18">
        <f>Inputs!F$31</f>
        <v/>
      </c>
      <c r="L67" s="18">
        <f>Inputs!G$31</f>
        <v/>
      </c>
    </row>
    <row r="68">
      <c r="C68" s="6" t="inlineStr">
        <is>
          <t>Signing fee and DD</t>
        </is>
      </c>
      <c r="D68" s="2" t="inlineStr">
        <is>
          <t>EUR k</t>
        </is>
      </c>
      <c r="E68" s="8">
        <f>Inputs!E$17</f>
        <v/>
      </c>
      <c r="F68" s="8">
        <f>Inputs!F$17</f>
        <v/>
      </c>
      <c r="G68" s="8">
        <f>Inputs!G$17</f>
        <v/>
      </c>
      <c r="H68" s="8">
        <f>SUM(E68:G68)</f>
        <v/>
      </c>
      <c r="J68" s="18">
        <f>Inputs!E$26</f>
        <v/>
      </c>
      <c r="K68" s="18">
        <f>Inputs!F$26</f>
        <v/>
      </c>
      <c r="L68" s="18">
        <f>Inputs!G$26</f>
        <v/>
      </c>
    </row>
    <row r="69">
      <c r="C69" s="1" t="inlineStr">
        <is>
          <t>Total cash to RtB (incl. signing and DD)</t>
        </is>
      </c>
      <c r="D69" s="2" t="inlineStr">
        <is>
          <t>EUR k</t>
        </is>
      </c>
      <c r="E69" s="19">
        <f>SUM(E61:E68)</f>
        <v/>
      </c>
      <c r="F69" s="19">
        <f>SUM(F61:F68)</f>
        <v/>
      </c>
      <c r="G69" s="19">
        <f>SUM(G61:G68)</f>
        <v/>
      </c>
      <c r="H69" s="19">
        <f>SUM(E69:G69)</f>
        <v/>
      </c>
    </row>
    <row r="71">
      <c r="B71" s="4" t="inlineStr">
        <is>
          <t>x</t>
        </is>
      </c>
      <c r="C71" s="4" t="inlineStr">
        <is>
          <t>Capex breakdown to COD</t>
        </is>
      </c>
      <c r="D71" s="4" t="n"/>
      <c r="E71" s="5" t="inlineStr">
        <is>
          <t>Bora</t>
        </is>
      </c>
      <c r="F71" s="5" t="inlineStr">
        <is>
          <t>Iváncsa</t>
        </is>
      </c>
      <c r="G71" s="5" t="inlineStr">
        <is>
          <t>Dunaújváros</t>
        </is>
      </c>
      <c r="H71" s="5" t="inlineStr">
        <is>
          <t>Total</t>
        </is>
      </c>
    </row>
    <row r="72">
      <c r="C72" s="6" t="inlineStr">
        <is>
          <t>Turbines (route price, live case)</t>
        </is>
      </c>
      <c r="D72" s="2" t="inlineStr">
        <is>
          <t>EUR k</t>
        </is>
      </c>
      <c r="E72" s="8">
        <f>IF(E17="EU",Case_EU,Case_CN)*E44</f>
        <v/>
      </c>
      <c r="F72" s="8">
        <f>IF(F17="EU",Case_EU,Case_CN)*F44</f>
        <v/>
      </c>
      <c r="G72" s="8">
        <f>IF(G17="EU",Case_EU,Case_CN)*G44</f>
        <v/>
      </c>
      <c r="H72" s="8">
        <f>SUM(E72:G72)</f>
        <v/>
      </c>
    </row>
    <row r="73">
      <c r="C73" s="6" t="inlineStr">
        <is>
          <t>Installation and erection</t>
        </is>
      </c>
      <c r="D73" s="2" t="inlineStr">
        <is>
          <t>EUR k</t>
        </is>
      </c>
      <c r="E73" s="8">
        <f>Capex_Install*E44</f>
        <v/>
      </c>
      <c r="F73" s="8">
        <f>Capex_Install*F44</f>
        <v/>
      </c>
      <c r="G73" s="8">
        <f>Capex_Install*G44</f>
        <v/>
      </c>
      <c r="H73" s="8">
        <f>SUM(E73:G73)</f>
        <v/>
      </c>
    </row>
    <row r="74">
      <c r="C74" s="6" t="inlineStr">
        <is>
          <t>Foundations</t>
        </is>
      </c>
      <c r="D74" s="2" t="inlineStr">
        <is>
          <t>EUR k</t>
        </is>
      </c>
      <c r="E74" s="8">
        <f>Capex_Fdn*E44</f>
        <v/>
      </c>
      <c r="F74" s="8">
        <f>Capex_Fdn*F44</f>
        <v/>
      </c>
      <c r="G74" s="8">
        <f>Capex_Fdn*G44</f>
        <v/>
      </c>
      <c r="H74" s="8">
        <f>SUM(E74:G74)</f>
        <v/>
      </c>
    </row>
    <row r="75">
      <c r="C75" s="6" t="inlineStr">
        <is>
          <t>Balance of plant – civil</t>
        </is>
      </c>
      <c r="D75" s="2" t="inlineStr">
        <is>
          <t>EUR k</t>
        </is>
      </c>
      <c r="E75" s="8">
        <f>Capex_Civil*E44</f>
        <v/>
      </c>
      <c r="F75" s="8">
        <f>Capex_Civil*F44</f>
        <v/>
      </c>
      <c r="G75" s="8">
        <f>Capex_Civil*G44</f>
        <v/>
      </c>
      <c r="H75" s="8">
        <f>SUM(E75:G75)</f>
        <v/>
      </c>
    </row>
    <row r="76">
      <c r="C76" s="6" t="inlineStr">
        <is>
          <t>Balance of plant – electrical</t>
        </is>
      </c>
      <c r="D76" s="2" t="inlineStr">
        <is>
          <t>EUR k</t>
        </is>
      </c>
      <c r="E76" s="8">
        <f>Capex_Elec*E44</f>
        <v/>
      </c>
      <c r="F76" s="8">
        <f>Capex_Elec*F44</f>
        <v/>
      </c>
      <c r="G76" s="8">
        <f>Capex_Elec*G44</f>
        <v/>
      </c>
      <c r="H76" s="8">
        <f>SUM(E76:G76)</f>
        <v/>
      </c>
    </row>
    <row r="77">
      <c r="C77" s="6" t="inlineStr">
        <is>
          <t>Owner's costs, engineering, PM, construction insurance</t>
        </is>
      </c>
      <c r="D77" s="2" t="inlineStr">
        <is>
          <t>EUR k</t>
        </is>
      </c>
      <c r="E77" s="8">
        <f>Capex_Owner*E44</f>
        <v/>
      </c>
      <c r="F77" s="8">
        <f>Capex_Owner*F44</f>
        <v/>
      </c>
      <c r="G77" s="8">
        <f>Capex_Owner*G44</f>
        <v/>
      </c>
      <c r="H77" s="8">
        <f>SUM(E77:G77)</f>
        <v/>
      </c>
    </row>
    <row r="78">
      <c r="C78" s="6" t="inlineStr">
        <is>
          <t>Land purchase and easements</t>
        </is>
      </c>
      <c r="D78" s="2" t="inlineStr">
        <is>
          <t>EUR k</t>
        </is>
      </c>
      <c r="E78" s="8">
        <f>Capex_Land*E44</f>
        <v/>
      </c>
      <c r="F78" s="8">
        <f>Capex_Land*F44</f>
        <v/>
      </c>
      <c r="G78" s="8">
        <f>Capex_Land*G44</f>
        <v/>
      </c>
      <c r="H78" s="8">
        <f>SUM(E78:G78)</f>
        <v/>
      </c>
    </row>
    <row r="79">
      <c r="C79" s="6" t="inlineStr">
        <is>
          <t>Substation and 132 kV bay (scaled by MVA)</t>
        </is>
      </c>
      <c r="D79" s="2" t="inlineStr">
        <is>
          <t>EUR k</t>
        </is>
      </c>
      <c r="E79" s="8">
        <f>Subs_Lump*E6/Lump_Basis</f>
        <v/>
      </c>
      <c r="F79" s="8">
        <f>Subs_Lump*F6/Lump_Basis</f>
        <v/>
      </c>
      <c r="G79" s="8">
        <f>Subs_Lump*G6/Lump_Basis</f>
        <v/>
      </c>
      <c r="H79" s="8">
        <f>SUM(E79:G79)</f>
        <v/>
      </c>
    </row>
    <row r="80">
      <c r="C80" s="6" t="inlineStr">
        <is>
          <t>Contingency (not on BESS)</t>
        </is>
      </c>
      <c r="D80" s="2" t="inlineStr">
        <is>
          <t>EUR k</t>
        </is>
      </c>
      <c r="E80" s="8">
        <f>SUM(E72:E79)*Capex_Cont</f>
        <v/>
      </c>
      <c r="F80" s="8">
        <f>SUM(F72:F79)*Capex_Cont</f>
        <v/>
      </c>
      <c r="G80" s="8">
        <f>SUM(G72:G79)*Capex_Cont</f>
        <v/>
      </c>
      <c r="H80" s="8">
        <f>SUM(E80:G80)</f>
        <v/>
      </c>
    </row>
    <row r="81">
      <c r="C81" s="6" t="inlineStr">
        <is>
          <t>BESS (on BESS energy)</t>
        </is>
      </c>
      <c r="D81" s="2" t="inlineStr">
        <is>
          <t>EUR k</t>
        </is>
      </c>
      <c r="E81" s="8">
        <f>BESS_Capex*E43</f>
        <v/>
      </c>
      <c r="F81" s="8">
        <f>BESS_Capex*F43</f>
        <v/>
      </c>
      <c r="G81" s="8">
        <f>BESS_Capex*G43</f>
        <v/>
      </c>
      <c r="H81" s="8">
        <f>SUM(E81:G81)</f>
        <v/>
      </c>
    </row>
    <row r="82">
      <c r="C82" s="1" t="inlineStr">
        <is>
          <t>Construction capex</t>
        </is>
      </c>
      <c r="D82" s="2" t="inlineStr">
        <is>
          <t>EUR k</t>
        </is>
      </c>
      <c r="E82" s="19">
        <f>SUM(E72:E81)</f>
        <v/>
      </c>
      <c r="F82" s="19">
        <f>SUM(F72:F81)</f>
        <v/>
      </c>
      <c r="G82" s="19">
        <f>SUM(G72:G81)</f>
        <v/>
      </c>
      <c r="H82" s="19">
        <f>SUM(E82:G82)</f>
        <v/>
      </c>
    </row>
    <row r="83">
      <c r="C83" s="6" t="inlineStr">
        <is>
          <t>Connection fees (TSO security, direct, indirect)</t>
        </is>
      </c>
      <c r="D83" s="2" t="inlineStr">
        <is>
          <t>EUR k</t>
        </is>
      </c>
      <c r="E83" s="8">
        <f>E64+E65+E66</f>
        <v/>
      </c>
      <c r="F83" s="8">
        <f>F64+F65+F66</f>
        <v/>
      </c>
      <c r="G83" s="8">
        <f>G64+G65+G66</f>
        <v/>
      </c>
      <c r="H83" s="8">
        <f>SUM(E83:G83)</f>
        <v/>
      </c>
    </row>
    <row r="84">
      <c r="C84" s="6" t="inlineStr">
        <is>
          <t>Municipal one-off</t>
        </is>
      </c>
      <c r="D84" s="2" t="inlineStr">
        <is>
          <t>EUR k</t>
        </is>
      </c>
      <c r="E84" s="8">
        <f>E11*E6</f>
        <v/>
      </c>
      <c r="F84" s="8">
        <f>F11*F6</f>
        <v/>
      </c>
      <c r="G84" s="8">
        <f>G11*G6</f>
        <v/>
      </c>
      <c r="H84" s="8">
        <f>SUM(E84:G84)</f>
        <v/>
      </c>
    </row>
    <row r="85">
      <c r="C85" s="6" t="inlineStr">
        <is>
          <t>Development (participation fee, devex, signing and DD)</t>
        </is>
      </c>
      <c r="D85" s="2" t="inlineStr">
        <is>
          <t>EUR k</t>
        </is>
      </c>
      <c r="E85" s="8">
        <f>E61+E67+E68</f>
        <v/>
      </c>
      <c r="F85" s="8">
        <f>F61+F67+F68</f>
        <v/>
      </c>
      <c r="G85" s="8">
        <f>G61+G67+G68</f>
        <v/>
      </c>
      <c r="H85" s="8">
        <f>SUM(E85:G85)</f>
        <v/>
      </c>
    </row>
    <row r="86">
      <c r="C86" s="1" t="inlineStr">
        <is>
          <t>All-in cost to COD (securities excluded: returned)</t>
        </is>
      </c>
      <c r="D86" s="2" t="inlineStr">
        <is>
          <t>EUR k</t>
        </is>
      </c>
      <c r="E86" s="19">
        <f>E82+SUM(E83:E85)</f>
        <v/>
      </c>
      <c r="F86" s="19">
        <f>F82+SUM(F83:F85)</f>
        <v/>
      </c>
      <c r="G86" s="19">
        <f>G82+SUM(G83:G85)</f>
        <v/>
      </c>
      <c r="H86" s="19">
        <f>SUM(E86:G86)</f>
        <v/>
      </c>
    </row>
    <row r="87">
      <c r="C87" s="6" t="inlineStr">
        <is>
          <t>All-in cost per MW built</t>
        </is>
      </c>
      <c r="D87" s="2" t="inlineStr">
        <is>
          <t>EUR k/MW</t>
        </is>
      </c>
      <c r="E87" s="16">
        <f>E86/E44</f>
        <v/>
      </c>
      <c r="F87" s="16">
        <f>F86/F44</f>
        <v/>
      </c>
      <c r="G87" s="16">
        <f>G86/G44</f>
        <v/>
      </c>
      <c r="H87" s="16">
        <f>H86/H44</f>
        <v/>
      </c>
    </row>
    <row r="88">
      <c r="C88" s="6" t="inlineStr">
        <is>
          <t>All-in cost per MVA</t>
        </is>
      </c>
      <c r="D88" s="2" t="inlineStr">
        <is>
          <t>EUR k/MVA</t>
        </is>
      </c>
      <c r="E88" s="16">
        <f>E86/E6</f>
        <v/>
      </c>
      <c r="F88" s="16">
        <f>F86/F6</f>
        <v/>
      </c>
      <c r="G88" s="16">
        <f>G86/G6</f>
        <v/>
      </c>
      <c r="H88" s="16">
        <f>H86/H6</f>
        <v/>
      </c>
    </row>
    <row r="90">
      <c r="B90" s="4" t="inlineStr">
        <is>
          <t>x</t>
        </is>
      </c>
      <c r="C90" s="4" t="inlineStr">
        <is>
          <t>Devex breakdown (Bora: devex-file categories; tender fee and securities: above)</t>
        </is>
      </c>
      <c r="D90" s="4" t="n"/>
      <c r="E90" s="5" t="inlineStr">
        <is>
          <t>Bora</t>
        </is>
      </c>
      <c r="F90" s="5" t="inlineStr">
        <is>
          <t>Iváncsa</t>
        </is>
      </c>
      <c r="G90" s="5" t="inlineStr">
        <is>
          <t>Dunaújváros</t>
        </is>
      </c>
      <c r="H90" s="5" t="inlineStr">
        <is>
          <t>Total</t>
        </is>
      </c>
    </row>
    <row r="91">
      <c r="C91" s="6" t="inlineStr">
        <is>
          <t>Grid connection plan and agreement</t>
        </is>
      </c>
      <c r="D91" s="2" t="inlineStr">
        <is>
          <t>EUR k</t>
        </is>
      </c>
      <c r="E91" s="16">
        <f>Inputs!E$18</f>
        <v/>
      </c>
      <c r="F91" s="16">
        <f>Inputs!F$18</f>
        <v/>
      </c>
      <c r="G91" s="16">
        <f>Inputs!G$18</f>
        <v/>
      </c>
      <c r="H91" s="16">
        <f>SUM(E91:G91)</f>
        <v/>
      </c>
    </row>
    <row r="92">
      <c r="C92" s="6" t="inlineStr">
        <is>
          <t>Land (reservation, purchase, contracting)</t>
        </is>
      </c>
      <c r="D92" s="2" t="inlineStr">
        <is>
          <t>EUR k</t>
        </is>
      </c>
      <c r="E92" s="16">
        <f>Inputs!E$19</f>
        <v/>
      </c>
      <c r="F92" s="16">
        <f>Inputs!F$19</f>
        <v/>
      </c>
      <c r="G92" s="16">
        <f>Inputs!G$19</f>
        <v/>
      </c>
      <c r="H92" s="16">
        <f>SUM(E92:G92)</f>
        <v/>
      </c>
    </row>
    <row r="93">
      <c r="C93" s="6" t="inlineStr">
        <is>
          <t>Permits, zoning, cable rights</t>
        </is>
      </c>
      <c r="D93" s="2" t="inlineStr">
        <is>
          <t>EUR k</t>
        </is>
      </c>
      <c r="E93" s="16">
        <f>Inputs!E$20</f>
        <v/>
      </c>
      <c r="F93" s="16">
        <f>Inputs!F$20</f>
        <v/>
      </c>
      <c r="G93" s="16">
        <f>Inputs!G$20</f>
        <v/>
      </c>
      <c r="H93" s="16">
        <f>SUM(E93:G93)</f>
        <v/>
      </c>
    </row>
    <row r="94">
      <c r="C94" s="6" t="inlineStr">
        <is>
          <t>Studies (wind, environment, ground)</t>
        </is>
      </c>
      <c r="D94" s="2" t="inlineStr">
        <is>
          <t>EUR k</t>
        </is>
      </c>
      <c r="E94" s="16">
        <f>Inputs!E$21</f>
        <v/>
      </c>
      <c r="F94" s="16">
        <f>Inputs!F$21</f>
        <v/>
      </c>
      <c r="G94" s="16">
        <f>Inputs!G$21</f>
        <v/>
      </c>
      <c r="H94" s="16">
        <f>SUM(E94:G94)</f>
        <v/>
      </c>
    </row>
    <row r="95">
      <c r="C95" s="6" t="inlineStr">
        <is>
          <t>Legal, financial and other</t>
        </is>
      </c>
      <c r="D95" s="2" t="inlineStr">
        <is>
          <t>EUR k</t>
        </is>
      </c>
      <c r="E95" s="16">
        <f>Inputs!E$22</f>
        <v/>
      </c>
      <c r="F95" s="16">
        <f>Inputs!F$22</f>
        <v/>
      </c>
      <c r="G95" s="16">
        <f>Inputs!G$22</f>
        <v/>
      </c>
      <c r="H95" s="16">
        <f>SUM(E95:G95)</f>
        <v/>
      </c>
    </row>
    <row r="96">
      <c r="C96" s="6" t="inlineStr">
        <is>
          <t>Not itemised</t>
        </is>
      </c>
      <c r="D96" s="2" t="inlineStr">
        <is>
          <t>EUR k</t>
        </is>
      </c>
      <c r="E96" s="16">
        <f>Inputs!E$23</f>
        <v/>
      </c>
      <c r="F96" s="16">
        <f>Inputs!F$23</f>
        <v/>
      </c>
      <c r="G96" s="16">
        <f>Inputs!G$23</f>
        <v/>
      </c>
      <c r="H96" s="16">
        <f>SUM(E96:G96)</f>
        <v/>
      </c>
    </row>
    <row r="97">
      <c r="C97" s="6" t="inlineStr">
        <is>
          <t>Contingency</t>
        </is>
      </c>
      <c r="D97" s="2" t="inlineStr">
        <is>
          <t>EUR k</t>
        </is>
      </c>
      <c r="E97" s="16">
        <f>Inputs!E$24</f>
        <v/>
      </c>
      <c r="F97" s="16">
        <f>Inputs!F$24</f>
        <v/>
      </c>
      <c r="G97" s="16">
        <f>Inputs!G$24</f>
        <v/>
      </c>
      <c r="H97" s="16">
        <f>SUM(E97:G97)</f>
        <v/>
      </c>
    </row>
    <row r="98">
      <c r="C98" s="1" t="inlineStr">
        <is>
          <t>Devex total (= DEVEX line above)</t>
        </is>
      </c>
      <c r="D98" s="2" t="inlineStr">
        <is>
          <t>EUR k</t>
        </is>
      </c>
      <c r="E98" s="17">
        <f>SUM(E91:E97)</f>
        <v/>
      </c>
      <c r="F98" s="17">
        <f>SUM(F91:F97)</f>
        <v/>
      </c>
      <c r="G98" s="17">
        <f>SUM(G91:G97)</f>
        <v/>
      </c>
      <c r="H98" s="17">
        <f>SUM(E98:G98)</f>
        <v/>
      </c>
    </row>
    <row r="100">
      <c r="B100" s="4" t="inlineStr">
        <is>
          <t>x</t>
        </is>
      </c>
      <c r="C100" s="4" t="inlineStr">
        <is>
          <t>Three routes, totals</t>
        </is>
      </c>
      <c r="D100" s="4" t="n"/>
      <c r="E100" s="5" t="inlineStr">
        <is>
          <t>Bora</t>
        </is>
      </c>
      <c r="F100" s="5" t="inlineStr">
        <is>
          <t>Iváncsa</t>
        </is>
      </c>
      <c r="G100" s="5" t="inlineStr">
        <is>
          <t>Dunaújváros</t>
        </is>
      </c>
      <c r="H100" s="5" t="inlineStr">
        <is>
          <t>Total</t>
        </is>
      </c>
    </row>
    <row r="101">
      <c r="C101" s="20" t="inlineStr">
        <is>
          <t>RtB exit (sale at RtB, 30-Sep-2029)</t>
        </is>
      </c>
      <c r="D101" s="20" t="n"/>
      <c r="E101" s="21" t="n"/>
      <c r="F101" s="21" t="n"/>
      <c r="G101" s="21" t="n"/>
      <c r="H101" s="21" t="n"/>
    </row>
    <row r="102">
      <c r="C102" s="6" t="inlineStr">
        <is>
          <t>Total FEP cash out to RtB (peak exposure)</t>
        </is>
      </c>
      <c r="D102" s="2" t="inlineStr">
        <is>
          <t>EUR k</t>
        </is>
      </c>
      <c r="E102" s="8">
        <f>E69</f>
        <v/>
      </c>
      <c r="F102" s="8">
        <f>F69</f>
        <v/>
      </c>
      <c r="G102" s="8">
        <f>G69</f>
        <v/>
      </c>
      <c r="H102" s="8">
        <f>SUM(E102:G102)</f>
        <v/>
      </c>
    </row>
    <row r="103">
      <c r="C103" s="6" t="inlineStr">
        <is>
          <t>Total proceeds to FEP at the sale</t>
        </is>
      </c>
      <c r="D103" s="2" t="inlineStr">
        <is>
          <t>EUR k</t>
        </is>
      </c>
      <c r="E103" s="8">
        <f>E198</f>
        <v/>
      </c>
      <c r="F103" s="8">
        <f>F198</f>
        <v/>
      </c>
      <c r="G103" s="8">
        <f>G198</f>
        <v/>
      </c>
      <c r="H103" s="8">
        <f>SUM(E103:G103)</f>
        <v/>
      </c>
    </row>
    <row r="104">
      <c r="C104" s="6" t="inlineStr">
        <is>
          <t>FEP profit, pre-tax</t>
        </is>
      </c>
      <c r="D104" s="2" t="inlineStr">
        <is>
          <t>EUR k</t>
        </is>
      </c>
      <c r="E104" s="8">
        <f>E199</f>
        <v/>
      </c>
      <c r="F104" s="8">
        <f>F199</f>
        <v/>
      </c>
      <c r="G104" s="8">
        <f>G199</f>
        <v/>
      </c>
      <c r="H104" s="8">
        <f>SUM(E104:G104)</f>
        <v/>
      </c>
    </row>
    <row r="105">
      <c r="C105" s="1" t="inlineStr">
        <is>
          <t>FEP profit, post-tax</t>
        </is>
      </c>
      <c r="D105" s="2" t="inlineStr">
        <is>
          <t>EUR k</t>
        </is>
      </c>
      <c r="E105" s="14">
        <f>E201</f>
        <v/>
      </c>
      <c r="F105" s="14">
        <f>F201</f>
        <v/>
      </c>
      <c r="G105" s="14">
        <f>G201</f>
        <v/>
      </c>
      <c r="H105" s="14">
        <f>SUM(E105:G105)</f>
        <v/>
      </c>
    </row>
    <row r="106">
      <c r="C106" s="6" t="inlineStr">
        <is>
          <t>MOIC, pre-tax</t>
        </is>
      </c>
      <c r="D106" s="2" t="inlineStr">
        <is>
          <t>x</t>
        </is>
      </c>
      <c r="E106" s="22">
        <f>SUMIF(E190:E198,"&gt;0")/-SUMIF(E190:E198,"&lt;0")</f>
        <v/>
      </c>
      <c r="F106" s="22">
        <f>SUMIF(F190:F198,"&gt;0")/-SUMIF(F190:F198,"&lt;0")</f>
        <v/>
      </c>
      <c r="G106" s="22">
        <f>SUMIF(G190:G198,"&gt;0")/-SUMIF(G190:G198,"&lt;0")</f>
        <v/>
      </c>
      <c r="H106" s="22">
        <f>SUMIF(H190:H198,"&gt;0")/-SUMIF(H190:H198,"&lt;0")</f>
        <v/>
      </c>
    </row>
    <row r="107">
      <c r="C107" s="6" t="inlineStr">
        <is>
          <t>IRR, pre-tax</t>
        </is>
      </c>
      <c r="D107" s="2" t="inlineStr">
        <is>
          <t>%</t>
        </is>
      </c>
      <c r="E107" s="23">
        <f>XIRR(E190:E198,J190:J198)</f>
        <v/>
      </c>
      <c r="F107" s="23">
        <f>XIRR(F190:F198,K190:K198)</f>
        <v/>
      </c>
      <c r="G107" s="23">
        <f>XIRR(G190:G198,L190:L198)</f>
        <v/>
      </c>
    </row>
    <row r="108">
      <c r="C108" s="20" t="inlineStr">
        <is>
          <t>COD exit (sale at COD to a buyer earning the discount rate)</t>
        </is>
      </c>
      <c r="D108" s="20" t="n"/>
      <c r="E108" s="21" t="n"/>
      <c r="F108" s="21" t="n"/>
      <c r="G108" s="21" t="n"/>
      <c r="H108" s="21" t="n"/>
    </row>
    <row r="109">
      <c r="C109" s="6" t="inlineStr">
        <is>
          <t>Total capex and costs to COD</t>
        </is>
      </c>
      <c r="D109" s="2" t="inlineStr">
        <is>
          <t>EUR k</t>
        </is>
      </c>
      <c r="E109" s="8">
        <f>E86</f>
        <v/>
      </c>
      <c r="F109" s="8">
        <f>F86</f>
        <v/>
      </c>
      <c r="G109" s="8">
        <f>G86</f>
        <v/>
      </c>
      <c r="H109" s="8">
        <f>SUM(E109:G109)</f>
        <v/>
      </c>
    </row>
    <row r="110">
      <c r="C110" s="6" t="inlineStr">
        <is>
          <t>Sale price at COD</t>
        </is>
      </c>
      <c r="D110" s="2" t="inlineStr">
        <is>
          <t>EUR k</t>
        </is>
      </c>
      <c r="E110" s="8">
        <f>$H$235</f>
        <v/>
      </c>
      <c r="F110" s="8">
        <f>$H$266</f>
        <v/>
      </c>
      <c r="G110" s="8">
        <f>$H$297</f>
        <v/>
      </c>
      <c r="H110" s="8">
        <f>SUM(E110:G110)</f>
        <v/>
      </c>
    </row>
    <row r="111">
      <c r="C111" s="6" t="inlineStr">
        <is>
          <t>FEP profit, pre-tax</t>
        </is>
      </c>
      <c r="D111" s="2" t="inlineStr">
        <is>
          <t>EUR k</t>
        </is>
      </c>
      <c r="E111" s="8">
        <f>$H$236</f>
        <v/>
      </c>
      <c r="F111" s="8">
        <f>$H$267</f>
        <v/>
      </c>
      <c r="G111" s="8">
        <f>$H$298</f>
        <v/>
      </c>
      <c r="H111" s="8">
        <f>SUM(E111:G111)</f>
        <v/>
      </c>
    </row>
    <row r="112">
      <c r="C112" s="1" t="inlineStr">
        <is>
          <t>FEP profit, post-tax</t>
        </is>
      </c>
      <c r="D112" s="2" t="inlineStr">
        <is>
          <t>EUR k</t>
        </is>
      </c>
      <c r="E112" s="14">
        <f>E302</f>
        <v/>
      </c>
      <c r="F112" s="14">
        <f>F302</f>
        <v/>
      </c>
      <c r="G112" s="14">
        <f>G302</f>
        <v/>
      </c>
      <c r="H112" s="14">
        <f>SUM(E112:G112)</f>
        <v/>
      </c>
    </row>
    <row r="113">
      <c r="C113" s="6" t="inlineStr">
        <is>
          <t>MOIC, pre-tax</t>
        </is>
      </c>
      <c r="D113" s="2" t="inlineStr">
        <is>
          <t>x</t>
        </is>
      </c>
      <c r="E113" s="22">
        <f>SUMIF($J$236:$AS$236,"&gt;0")/-SUMIF($J$236:$AS$236,"&lt;0")</f>
        <v/>
      </c>
      <c r="F113" s="22">
        <f>SUMIF($J$267:$AS$267,"&gt;0")/-SUMIF($J$267:$AS$267,"&lt;0")</f>
        <v/>
      </c>
      <c r="G113" s="22">
        <f>SUMIF($J$298:$AS$298,"&gt;0")/-SUMIF($J$298:$AS$298,"&lt;0")</f>
        <v/>
      </c>
    </row>
    <row r="114">
      <c r="C114" s="6" t="inlineStr">
        <is>
          <t>IRR, pre-tax</t>
        </is>
      </c>
      <c r="D114" s="2" t="inlineStr">
        <is>
          <t>%</t>
        </is>
      </c>
      <c r="E114" s="23">
        <f>XIRR($J$236:$AS$236,$J$205:$AS$205)</f>
        <v/>
      </c>
      <c r="F114" s="23">
        <f>XIRR($J$267:$AS$267,$J$205:$AS$205)</f>
        <v/>
      </c>
      <c r="G114" s="23">
        <f>XIRR($J$298:$AS$298,$J$205:$AS$205)</f>
        <v/>
      </c>
    </row>
    <row r="115">
      <c r="C115" s="20" t="inlineStr">
        <is>
          <t>Hold to maturity (EBITDA only, no debt, no tax)</t>
        </is>
      </c>
      <c r="D115" s="20" t="n"/>
      <c r="E115" s="21" t="n"/>
      <c r="F115" s="21" t="n"/>
      <c r="G115" s="21" t="n"/>
      <c r="H115" s="21" t="n"/>
    </row>
    <row r="116">
      <c r="C116" s="6" t="inlineStr">
        <is>
          <t>Total capex and costs to COD</t>
        </is>
      </c>
      <c r="D116" s="2" t="inlineStr">
        <is>
          <t>EUR k</t>
        </is>
      </c>
      <c r="E116" s="8">
        <f>E86</f>
        <v/>
      </c>
      <c r="F116" s="8">
        <f>F86</f>
        <v/>
      </c>
      <c r="G116" s="8">
        <f>G86</f>
        <v/>
      </c>
      <c r="H116" s="8">
        <f>SUM(E116:G116)</f>
        <v/>
      </c>
    </row>
    <row r="117">
      <c r="C117" s="6" t="inlineStr">
        <is>
          <t>Total revenue over the life</t>
        </is>
      </c>
      <c r="D117" s="2" t="inlineStr">
        <is>
          <t>EUR k</t>
        </is>
      </c>
      <c r="E117" s="8">
        <f>$H$222</f>
        <v/>
      </c>
      <c r="F117" s="8">
        <f>$H$253</f>
        <v/>
      </c>
      <c r="G117" s="8">
        <f>$H$284</f>
        <v/>
      </c>
      <c r="H117" s="8">
        <f>SUM(E117:G117)</f>
        <v/>
      </c>
    </row>
    <row r="118">
      <c r="C118" s="6" t="inlineStr">
        <is>
          <t>Total opex over the life</t>
        </is>
      </c>
      <c r="D118" s="2" t="inlineStr">
        <is>
          <t>EUR k</t>
        </is>
      </c>
      <c r="E118" s="8">
        <f>$H$231</f>
        <v/>
      </c>
      <c r="F118" s="8">
        <f>$H$262</f>
        <v/>
      </c>
      <c r="G118" s="8">
        <f>$H$293</f>
        <v/>
      </c>
      <c r="H118" s="8">
        <f>SUM(E118:G118)</f>
        <v/>
      </c>
    </row>
    <row r="119">
      <c r="C119" s="6" t="inlineStr">
        <is>
          <t>Total EBITDA over the life</t>
        </is>
      </c>
      <c r="D119" s="2" t="inlineStr">
        <is>
          <t>EUR k</t>
        </is>
      </c>
      <c r="E119" s="8">
        <f>$H$232</f>
        <v/>
      </c>
      <c r="F119" s="8">
        <f>$H$263</f>
        <v/>
      </c>
      <c r="G119" s="8">
        <f>$H$294</f>
        <v/>
      </c>
      <c r="H119" s="8">
        <f>SUM(E119:G119)</f>
        <v/>
      </c>
    </row>
    <row r="120">
      <c r="C120" s="1" t="inlineStr">
        <is>
          <t>Project IRR, pre-tax</t>
        </is>
      </c>
      <c r="D120" s="2" t="inlineStr">
        <is>
          <t>%</t>
        </is>
      </c>
      <c r="E120" s="24">
        <f>XIRR($J$233:$AS$233,$J$205:$AS$205)</f>
        <v/>
      </c>
      <c r="F120" s="24">
        <f>XIRR($J$264:$AS$264,$J$205:$AS$205)</f>
        <v/>
      </c>
      <c r="G120" s="24">
        <f>XIRR($J$295:$AS$295,$J$205:$AS$205)</f>
        <v/>
      </c>
    </row>
    <row r="121">
      <c r="C121" s="6" t="inlineStr">
        <is>
          <t>NPV at the discount rate, at the first year end</t>
        </is>
      </c>
      <c r="D121" s="2" t="inlineStr">
        <is>
          <t>EUR k</t>
        </is>
      </c>
      <c r="E121" s="8">
        <f>XNPV(Discount_Rate,$J$233:$AS$233,$J$205:$AS$205)</f>
        <v/>
      </c>
      <c r="F121" s="8">
        <f>XNPV(Discount_Rate,$J$264:$AS$264,$J$205:$AS$205)</f>
        <v/>
      </c>
      <c r="G121" s="8">
        <f>XNPV(Discount_Rate,$J$295:$AS$295,$J$205:$AS$205)</f>
        <v/>
      </c>
      <c r="H121" s="8">
        <f>SUM(E121:G121)</f>
        <v/>
      </c>
    </row>
    <row r="123">
      <c r="B123" s="4" t="inlineStr">
        <is>
          <t>x</t>
        </is>
      </c>
      <c r="C123" s="4" t="inlineStr">
        <is>
          <t>Annual cash flow per project (EUR k)</t>
        </is>
      </c>
      <c r="D123" s="4" t="n"/>
      <c r="E123" s="5" t="n"/>
      <c r="F123" s="5" t="n"/>
      <c r="G123" s="5" t="n"/>
      <c r="H123" s="5" t="inlineStr">
        <is>
          <t>Total</t>
        </is>
      </c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</row>
    <row r="124">
      <c r="C124" s="6" t="inlineStr">
        <is>
          <t>Year</t>
        </is>
      </c>
      <c r="D124" s="2" t="inlineStr">
        <is>
          <t>year</t>
        </is>
      </c>
      <c r="J124" s="25">
        <f>J204</f>
        <v/>
      </c>
      <c r="K124" s="25">
        <f>K204</f>
        <v/>
      </c>
      <c r="L124" s="25">
        <f>L204</f>
        <v/>
      </c>
      <c r="M124" s="25">
        <f>M204</f>
        <v/>
      </c>
      <c r="N124" s="25">
        <f>N204</f>
        <v/>
      </c>
      <c r="O124" s="25">
        <f>O204</f>
        <v/>
      </c>
      <c r="P124" s="25">
        <f>P204</f>
        <v/>
      </c>
      <c r="Q124" s="25">
        <f>Q204</f>
        <v/>
      </c>
      <c r="R124" s="25">
        <f>R204</f>
        <v/>
      </c>
      <c r="S124" s="25">
        <f>S204</f>
        <v/>
      </c>
      <c r="T124" s="25">
        <f>T204</f>
        <v/>
      </c>
      <c r="U124" s="25">
        <f>U204</f>
        <v/>
      </c>
      <c r="V124" s="25">
        <f>V204</f>
        <v/>
      </c>
      <c r="W124" s="25">
        <f>W204</f>
        <v/>
      </c>
      <c r="X124" s="25">
        <f>X204</f>
        <v/>
      </c>
      <c r="Y124" s="25">
        <f>Y204</f>
        <v/>
      </c>
      <c r="Z124" s="25">
        <f>Z204</f>
        <v/>
      </c>
      <c r="AA124" s="25">
        <f>AA204</f>
        <v/>
      </c>
      <c r="AB124" s="25">
        <f>AB204</f>
        <v/>
      </c>
      <c r="AC124" s="25">
        <f>AC204</f>
        <v/>
      </c>
      <c r="AD124" s="25">
        <f>AD204</f>
        <v/>
      </c>
      <c r="AE124" s="25">
        <f>AE204</f>
        <v/>
      </c>
      <c r="AF124" s="25">
        <f>AF204</f>
        <v/>
      </c>
      <c r="AG124" s="25">
        <f>AG204</f>
        <v/>
      </c>
      <c r="AH124" s="25">
        <f>AH204</f>
        <v/>
      </c>
      <c r="AI124" s="25">
        <f>AI204</f>
        <v/>
      </c>
      <c r="AJ124" s="25">
        <f>AJ204</f>
        <v/>
      </c>
      <c r="AK124" s="25">
        <f>AK204</f>
        <v/>
      </c>
      <c r="AL124" s="25">
        <f>AL204</f>
        <v/>
      </c>
      <c r="AM124" s="25">
        <f>AM204</f>
        <v/>
      </c>
      <c r="AN124" s="25">
        <f>AN204</f>
        <v/>
      </c>
      <c r="AO124" s="25">
        <f>AO204</f>
        <v/>
      </c>
      <c r="AP124" s="25">
        <f>AP204</f>
        <v/>
      </c>
      <c r="AQ124" s="25">
        <f>AQ204</f>
        <v/>
      </c>
      <c r="AR124" s="25">
        <f>AR204</f>
        <v/>
      </c>
      <c r="AS124" s="25">
        <f>AS204</f>
        <v/>
      </c>
    </row>
    <row r="126">
      <c r="C126" s="20" t="inlineStr">
        <is>
          <t>Bora</t>
        </is>
      </c>
      <c r="D126" s="20" t="n"/>
      <c r="E126" s="21" t="n"/>
      <c r="F126" s="21" t="n"/>
      <c r="G126" s="21" t="n"/>
      <c r="H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21" t="n"/>
      <c r="AI126" s="21" t="n"/>
      <c r="AJ126" s="21" t="n"/>
      <c r="AK126" s="21" t="n"/>
      <c r="AL126" s="21" t="n"/>
      <c r="AM126" s="21" t="n"/>
      <c r="AN126" s="21" t="n"/>
      <c r="AO126" s="21" t="n"/>
      <c r="AP126" s="21" t="n"/>
      <c r="AQ126" s="21" t="n"/>
      <c r="AR126" s="21" t="n"/>
      <c r="AS126" s="21" t="n"/>
    </row>
    <row r="127">
      <c r="C127" s="6" t="inlineStr">
        <is>
          <t>Spending (capex, fees, securities, devex), net</t>
        </is>
      </c>
      <c r="D127" s="2" t="inlineStr">
        <is>
          <t>EUR k</t>
        </is>
      </c>
      <c r="H127" s="8">
        <f>SUM(J127:AS127)</f>
        <v/>
      </c>
      <c r="J127" s="8">
        <f>J218</f>
        <v/>
      </c>
      <c r="K127" s="8">
        <f>K218</f>
        <v/>
      </c>
      <c r="L127" s="8">
        <f>L218</f>
        <v/>
      </c>
      <c r="M127" s="8">
        <f>M218</f>
        <v/>
      </c>
      <c r="N127" s="8">
        <f>N218</f>
        <v/>
      </c>
      <c r="O127" s="8">
        <f>O218</f>
        <v/>
      </c>
      <c r="P127" s="8">
        <f>P218</f>
        <v/>
      </c>
      <c r="Q127" s="8">
        <f>Q218</f>
        <v/>
      </c>
      <c r="R127" s="8">
        <f>R218</f>
        <v/>
      </c>
      <c r="S127" s="8">
        <f>S218</f>
        <v/>
      </c>
      <c r="T127" s="8">
        <f>T218</f>
        <v/>
      </c>
      <c r="U127" s="8">
        <f>U218</f>
        <v/>
      </c>
      <c r="V127" s="8">
        <f>V218</f>
        <v/>
      </c>
      <c r="W127" s="8">
        <f>W218</f>
        <v/>
      </c>
      <c r="X127" s="8">
        <f>X218</f>
        <v/>
      </c>
      <c r="Y127" s="8">
        <f>Y218</f>
        <v/>
      </c>
      <c r="Z127" s="8">
        <f>Z218</f>
        <v/>
      </c>
      <c r="AA127" s="8">
        <f>AA218</f>
        <v/>
      </c>
      <c r="AB127" s="8">
        <f>AB218</f>
        <v/>
      </c>
      <c r="AC127" s="8">
        <f>AC218</f>
        <v/>
      </c>
      <c r="AD127" s="8">
        <f>AD218</f>
        <v/>
      </c>
      <c r="AE127" s="8">
        <f>AE218</f>
        <v/>
      </c>
      <c r="AF127" s="8">
        <f>AF218</f>
        <v/>
      </c>
      <c r="AG127" s="8">
        <f>AG218</f>
        <v/>
      </c>
      <c r="AH127" s="8">
        <f>AH218</f>
        <v/>
      </c>
      <c r="AI127" s="8">
        <f>AI218</f>
        <v/>
      </c>
      <c r="AJ127" s="8">
        <f>AJ218</f>
        <v/>
      </c>
      <c r="AK127" s="8">
        <f>AK218</f>
        <v/>
      </c>
      <c r="AL127" s="8">
        <f>AL218</f>
        <v/>
      </c>
      <c r="AM127" s="8">
        <f>AM218</f>
        <v/>
      </c>
      <c r="AN127" s="8">
        <f>AN218</f>
        <v/>
      </c>
      <c r="AO127" s="8">
        <f>AO218</f>
        <v/>
      </c>
      <c r="AP127" s="8">
        <f>AP218</f>
        <v/>
      </c>
      <c r="AQ127" s="8">
        <f>AQ218</f>
        <v/>
      </c>
      <c r="AR127" s="8">
        <f>AR218</f>
        <v/>
      </c>
      <c r="AS127" s="8">
        <f>AS218</f>
        <v/>
      </c>
    </row>
    <row r="128">
      <c r="C128" s="6" t="inlineStr">
        <is>
          <t>Revenue</t>
        </is>
      </c>
      <c r="D128" s="2" t="inlineStr">
        <is>
          <t>EUR k</t>
        </is>
      </c>
      <c r="H128" s="8">
        <f>SUM(J128:AS128)</f>
        <v/>
      </c>
      <c r="J128" s="8">
        <f>J222</f>
        <v/>
      </c>
      <c r="K128" s="8">
        <f>K222</f>
        <v/>
      </c>
      <c r="L128" s="8">
        <f>L222</f>
        <v/>
      </c>
      <c r="M128" s="8">
        <f>M222</f>
        <v/>
      </c>
      <c r="N128" s="8">
        <f>N222</f>
        <v/>
      </c>
      <c r="O128" s="8">
        <f>O222</f>
        <v/>
      </c>
      <c r="P128" s="8">
        <f>P222</f>
        <v/>
      </c>
      <c r="Q128" s="8">
        <f>Q222</f>
        <v/>
      </c>
      <c r="R128" s="8">
        <f>R222</f>
        <v/>
      </c>
      <c r="S128" s="8">
        <f>S222</f>
        <v/>
      </c>
      <c r="T128" s="8">
        <f>T222</f>
        <v/>
      </c>
      <c r="U128" s="8">
        <f>U222</f>
        <v/>
      </c>
      <c r="V128" s="8">
        <f>V222</f>
        <v/>
      </c>
      <c r="W128" s="8">
        <f>W222</f>
        <v/>
      </c>
      <c r="X128" s="8">
        <f>X222</f>
        <v/>
      </c>
      <c r="Y128" s="8">
        <f>Y222</f>
        <v/>
      </c>
      <c r="Z128" s="8">
        <f>Z222</f>
        <v/>
      </c>
      <c r="AA128" s="8">
        <f>AA222</f>
        <v/>
      </c>
      <c r="AB128" s="8">
        <f>AB222</f>
        <v/>
      </c>
      <c r="AC128" s="8">
        <f>AC222</f>
        <v/>
      </c>
      <c r="AD128" s="8">
        <f>AD222</f>
        <v/>
      </c>
      <c r="AE128" s="8">
        <f>AE222</f>
        <v/>
      </c>
      <c r="AF128" s="8">
        <f>AF222</f>
        <v/>
      </c>
      <c r="AG128" s="8">
        <f>AG222</f>
        <v/>
      </c>
      <c r="AH128" s="8">
        <f>AH222</f>
        <v/>
      </c>
      <c r="AI128" s="8">
        <f>AI222</f>
        <v/>
      </c>
      <c r="AJ128" s="8">
        <f>AJ222</f>
        <v/>
      </c>
      <c r="AK128" s="8">
        <f>AK222</f>
        <v/>
      </c>
      <c r="AL128" s="8">
        <f>AL222</f>
        <v/>
      </c>
      <c r="AM128" s="8">
        <f>AM222</f>
        <v/>
      </c>
      <c r="AN128" s="8">
        <f>AN222</f>
        <v/>
      </c>
      <c r="AO128" s="8">
        <f>AO222</f>
        <v/>
      </c>
      <c r="AP128" s="8">
        <f>AP222</f>
        <v/>
      </c>
      <c r="AQ128" s="8">
        <f>AQ222</f>
        <v/>
      </c>
      <c r="AR128" s="8">
        <f>AR222</f>
        <v/>
      </c>
      <c r="AS128" s="8">
        <f>AS222</f>
        <v/>
      </c>
    </row>
    <row r="129">
      <c r="C129" s="6" t="inlineStr">
        <is>
          <t>Opex</t>
        </is>
      </c>
      <c r="D129" s="2" t="inlineStr">
        <is>
          <t>EUR k</t>
        </is>
      </c>
      <c r="H129" s="8">
        <f>SUM(J129:AS129)</f>
        <v/>
      </c>
      <c r="J129" s="8">
        <f>J231</f>
        <v/>
      </c>
      <c r="K129" s="8">
        <f>K231</f>
        <v/>
      </c>
      <c r="L129" s="8">
        <f>L231</f>
        <v/>
      </c>
      <c r="M129" s="8">
        <f>M231</f>
        <v/>
      </c>
      <c r="N129" s="8">
        <f>N231</f>
        <v/>
      </c>
      <c r="O129" s="8">
        <f>O231</f>
        <v/>
      </c>
      <c r="P129" s="8">
        <f>P231</f>
        <v/>
      </c>
      <c r="Q129" s="8">
        <f>Q231</f>
        <v/>
      </c>
      <c r="R129" s="8">
        <f>R231</f>
        <v/>
      </c>
      <c r="S129" s="8">
        <f>S231</f>
        <v/>
      </c>
      <c r="T129" s="8">
        <f>T231</f>
        <v/>
      </c>
      <c r="U129" s="8">
        <f>U231</f>
        <v/>
      </c>
      <c r="V129" s="8">
        <f>V231</f>
        <v/>
      </c>
      <c r="W129" s="8">
        <f>W231</f>
        <v/>
      </c>
      <c r="X129" s="8">
        <f>X231</f>
        <v/>
      </c>
      <c r="Y129" s="8">
        <f>Y231</f>
        <v/>
      </c>
      <c r="Z129" s="8">
        <f>Z231</f>
        <v/>
      </c>
      <c r="AA129" s="8">
        <f>AA231</f>
        <v/>
      </c>
      <c r="AB129" s="8">
        <f>AB231</f>
        <v/>
      </c>
      <c r="AC129" s="8">
        <f>AC231</f>
        <v/>
      </c>
      <c r="AD129" s="8">
        <f>AD231</f>
        <v/>
      </c>
      <c r="AE129" s="8">
        <f>AE231</f>
        <v/>
      </c>
      <c r="AF129" s="8">
        <f>AF231</f>
        <v/>
      </c>
      <c r="AG129" s="8">
        <f>AG231</f>
        <v/>
      </c>
      <c r="AH129" s="8">
        <f>AH231</f>
        <v/>
      </c>
      <c r="AI129" s="8">
        <f>AI231</f>
        <v/>
      </c>
      <c r="AJ129" s="8">
        <f>AJ231</f>
        <v/>
      </c>
      <c r="AK129" s="8">
        <f>AK231</f>
        <v/>
      </c>
      <c r="AL129" s="8">
        <f>AL231</f>
        <v/>
      </c>
      <c r="AM129" s="8">
        <f>AM231</f>
        <v/>
      </c>
      <c r="AN129" s="8">
        <f>AN231</f>
        <v/>
      </c>
      <c r="AO129" s="8">
        <f>AO231</f>
        <v/>
      </c>
      <c r="AP129" s="8">
        <f>AP231</f>
        <v/>
      </c>
      <c r="AQ129" s="8">
        <f>AQ231</f>
        <v/>
      </c>
      <c r="AR129" s="8">
        <f>AR231</f>
        <v/>
      </c>
      <c r="AS129" s="8">
        <f>AS231</f>
        <v/>
      </c>
    </row>
    <row r="130">
      <c r="C130" s="6" t="inlineStr">
        <is>
          <t>EBITDA</t>
        </is>
      </c>
      <c r="D130" s="2" t="inlineStr">
        <is>
          <t>EUR k</t>
        </is>
      </c>
      <c r="H130" s="8">
        <f>SUM(J130:AS130)</f>
        <v/>
      </c>
      <c r="J130" s="8">
        <f>J232</f>
        <v/>
      </c>
      <c r="K130" s="8">
        <f>K232</f>
        <v/>
      </c>
      <c r="L130" s="8">
        <f>L232</f>
        <v/>
      </c>
      <c r="M130" s="8">
        <f>M232</f>
        <v/>
      </c>
      <c r="N130" s="8">
        <f>N232</f>
        <v/>
      </c>
      <c r="O130" s="8">
        <f>O232</f>
        <v/>
      </c>
      <c r="P130" s="8">
        <f>P232</f>
        <v/>
      </c>
      <c r="Q130" s="8">
        <f>Q232</f>
        <v/>
      </c>
      <c r="R130" s="8">
        <f>R232</f>
        <v/>
      </c>
      <c r="S130" s="8">
        <f>S232</f>
        <v/>
      </c>
      <c r="T130" s="8">
        <f>T232</f>
        <v/>
      </c>
      <c r="U130" s="8">
        <f>U232</f>
        <v/>
      </c>
      <c r="V130" s="8">
        <f>V232</f>
        <v/>
      </c>
      <c r="W130" s="8">
        <f>W232</f>
        <v/>
      </c>
      <c r="X130" s="8">
        <f>X232</f>
        <v/>
      </c>
      <c r="Y130" s="8">
        <f>Y232</f>
        <v/>
      </c>
      <c r="Z130" s="8">
        <f>Z232</f>
        <v/>
      </c>
      <c r="AA130" s="8">
        <f>AA232</f>
        <v/>
      </c>
      <c r="AB130" s="8">
        <f>AB232</f>
        <v/>
      </c>
      <c r="AC130" s="8">
        <f>AC232</f>
        <v/>
      </c>
      <c r="AD130" s="8">
        <f>AD232</f>
        <v/>
      </c>
      <c r="AE130" s="8">
        <f>AE232</f>
        <v/>
      </c>
      <c r="AF130" s="8">
        <f>AF232</f>
        <v/>
      </c>
      <c r="AG130" s="8">
        <f>AG232</f>
        <v/>
      </c>
      <c r="AH130" s="8">
        <f>AH232</f>
        <v/>
      </c>
      <c r="AI130" s="8">
        <f>AI232</f>
        <v/>
      </c>
      <c r="AJ130" s="8">
        <f>AJ232</f>
        <v/>
      </c>
      <c r="AK130" s="8">
        <f>AK232</f>
        <v/>
      </c>
      <c r="AL130" s="8">
        <f>AL232</f>
        <v/>
      </c>
      <c r="AM130" s="8">
        <f>AM232</f>
        <v/>
      </c>
      <c r="AN130" s="8">
        <f>AN232</f>
        <v/>
      </c>
      <c r="AO130" s="8">
        <f>AO232</f>
        <v/>
      </c>
      <c r="AP130" s="8">
        <f>AP232</f>
        <v/>
      </c>
      <c r="AQ130" s="8">
        <f>AQ232</f>
        <v/>
      </c>
      <c r="AR130" s="8">
        <f>AR232</f>
        <v/>
      </c>
      <c r="AS130" s="8">
        <f>AS232</f>
        <v/>
      </c>
    </row>
    <row r="131">
      <c r="C131" s="1" t="inlineStr">
        <is>
          <t>Net cash flow</t>
        </is>
      </c>
      <c r="D131" s="2" t="inlineStr">
        <is>
          <t>EUR k</t>
        </is>
      </c>
      <c r="H131" s="14">
        <f>SUM(J131:AS131)</f>
        <v/>
      </c>
      <c r="J131" s="14">
        <f>J233</f>
        <v/>
      </c>
      <c r="K131" s="14">
        <f>K233</f>
        <v/>
      </c>
      <c r="L131" s="14">
        <f>L233</f>
        <v/>
      </c>
      <c r="M131" s="14">
        <f>M233</f>
        <v/>
      </c>
      <c r="N131" s="14">
        <f>N233</f>
        <v/>
      </c>
      <c r="O131" s="14">
        <f>O233</f>
        <v/>
      </c>
      <c r="P131" s="14">
        <f>P233</f>
        <v/>
      </c>
      <c r="Q131" s="14">
        <f>Q233</f>
        <v/>
      </c>
      <c r="R131" s="14">
        <f>R233</f>
        <v/>
      </c>
      <c r="S131" s="14">
        <f>S233</f>
        <v/>
      </c>
      <c r="T131" s="14">
        <f>T233</f>
        <v/>
      </c>
      <c r="U131" s="14">
        <f>U233</f>
        <v/>
      </c>
      <c r="V131" s="14">
        <f>V233</f>
        <v/>
      </c>
      <c r="W131" s="14">
        <f>W233</f>
        <v/>
      </c>
      <c r="X131" s="14">
        <f>X233</f>
        <v/>
      </c>
      <c r="Y131" s="14">
        <f>Y233</f>
        <v/>
      </c>
      <c r="Z131" s="14">
        <f>Z233</f>
        <v/>
      </c>
      <c r="AA131" s="14">
        <f>AA233</f>
        <v/>
      </c>
      <c r="AB131" s="14">
        <f>AB233</f>
        <v/>
      </c>
      <c r="AC131" s="14">
        <f>AC233</f>
        <v/>
      </c>
      <c r="AD131" s="14">
        <f>AD233</f>
        <v/>
      </c>
      <c r="AE131" s="14">
        <f>AE233</f>
        <v/>
      </c>
      <c r="AF131" s="14">
        <f>AF233</f>
        <v/>
      </c>
      <c r="AG131" s="14">
        <f>AG233</f>
        <v/>
      </c>
      <c r="AH131" s="14">
        <f>AH233</f>
        <v/>
      </c>
      <c r="AI131" s="14">
        <f>AI233</f>
        <v/>
      </c>
      <c r="AJ131" s="14">
        <f>AJ233</f>
        <v/>
      </c>
      <c r="AK131" s="14">
        <f>AK233</f>
        <v/>
      </c>
      <c r="AL131" s="14">
        <f>AL233</f>
        <v/>
      </c>
      <c r="AM131" s="14">
        <f>AM233</f>
        <v/>
      </c>
      <c r="AN131" s="14">
        <f>AN233</f>
        <v/>
      </c>
      <c r="AO131" s="14">
        <f>AO233</f>
        <v/>
      </c>
      <c r="AP131" s="14">
        <f>AP233</f>
        <v/>
      </c>
      <c r="AQ131" s="14">
        <f>AQ233</f>
        <v/>
      </c>
      <c r="AR131" s="14">
        <f>AR233</f>
        <v/>
      </c>
      <c r="AS131" s="14">
        <f>AS233</f>
        <v/>
      </c>
    </row>
    <row r="132">
      <c r="C132" s="6" t="inlineStr">
        <is>
          <t>Cumulative net cash flow</t>
        </is>
      </c>
      <c r="D132" s="2" t="inlineStr">
        <is>
          <t>EUR k</t>
        </is>
      </c>
      <c r="J132" s="8">
        <f>SUM($J131:J131)</f>
        <v/>
      </c>
      <c r="K132" s="8">
        <f>SUM($J131:K131)</f>
        <v/>
      </c>
      <c r="L132" s="8">
        <f>SUM($J131:L131)</f>
        <v/>
      </c>
      <c r="M132" s="8">
        <f>SUM($J131:M131)</f>
        <v/>
      </c>
      <c r="N132" s="8">
        <f>SUM($J131:N131)</f>
        <v/>
      </c>
      <c r="O132" s="8">
        <f>SUM($J131:O131)</f>
        <v/>
      </c>
      <c r="P132" s="8">
        <f>SUM($J131:P131)</f>
        <v/>
      </c>
      <c r="Q132" s="8">
        <f>SUM($J131:Q131)</f>
        <v/>
      </c>
      <c r="R132" s="8">
        <f>SUM($J131:R131)</f>
        <v/>
      </c>
      <c r="S132" s="8">
        <f>SUM($J131:S131)</f>
        <v/>
      </c>
      <c r="T132" s="8">
        <f>SUM($J131:T131)</f>
        <v/>
      </c>
      <c r="U132" s="8">
        <f>SUM($J131:U131)</f>
        <v/>
      </c>
      <c r="V132" s="8">
        <f>SUM($J131:V131)</f>
        <v/>
      </c>
      <c r="W132" s="8">
        <f>SUM($J131:W131)</f>
        <v/>
      </c>
      <c r="X132" s="8">
        <f>SUM($J131:X131)</f>
        <v/>
      </c>
      <c r="Y132" s="8">
        <f>SUM($J131:Y131)</f>
        <v/>
      </c>
      <c r="Z132" s="8">
        <f>SUM($J131:Z131)</f>
        <v/>
      </c>
      <c r="AA132" s="8">
        <f>SUM($J131:AA131)</f>
        <v/>
      </c>
      <c r="AB132" s="8">
        <f>SUM($J131:AB131)</f>
        <v/>
      </c>
      <c r="AC132" s="8">
        <f>SUM($J131:AC131)</f>
        <v/>
      </c>
      <c r="AD132" s="8">
        <f>SUM($J131:AD131)</f>
        <v/>
      </c>
      <c r="AE132" s="8">
        <f>SUM($J131:AE131)</f>
        <v/>
      </c>
      <c r="AF132" s="8">
        <f>SUM($J131:AF131)</f>
        <v/>
      </c>
      <c r="AG132" s="8">
        <f>SUM($J131:AG131)</f>
        <v/>
      </c>
      <c r="AH132" s="8">
        <f>SUM($J131:AH131)</f>
        <v/>
      </c>
      <c r="AI132" s="8">
        <f>SUM($J131:AI131)</f>
        <v/>
      </c>
      <c r="AJ132" s="8">
        <f>SUM($J131:AJ131)</f>
        <v/>
      </c>
      <c r="AK132" s="8">
        <f>SUM($J131:AK131)</f>
        <v/>
      </c>
      <c r="AL132" s="8">
        <f>SUM($J131:AL131)</f>
        <v/>
      </c>
      <c r="AM132" s="8">
        <f>SUM($J131:AM131)</f>
        <v/>
      </c>
      <c r="AN132" s="8">
        <f>SUM($J131:AN131)</f>
        <v/>
      </c>
      <c r="AO132" s="8">
        <f>SUM($J131:AO131)</f>
        <v/>
      </c>
      <c r="AP132" s="8">
        <f>SUM($J131:AP131)</f>
        <v/>
      </c>
      <c r="AQ132" s="8">
        <f>SUM($J131:AQ131)</f>
        <v/>
      </c>
      <c r="AR132" s="8">
        <f>SUM($J131:AR131)</f>
        <v/>
      </c>
      <c r="AS132" s="8">
        <f>SUM($J131:AS131)</f>
        <v/>
      </c>
    </row>
    <row r="134">
      <c r="C134" s="20" t="inlineStr">
        <is>
          <t>Iváncsa</t>
        </is>
      </c>
      <c r="D134" s="20" t="n"/>
      <c r="E134" s="21" t="n"/>
      <c r="F134" s="21" t="n"/>
      <c r="G134" s="21" t="n"/>
      <c r="H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21" t="n"/>
      <c r="AI134" s="21" t="n"/>
      <c r="AJ134" s="21" t="n"/>
      <c r="AK134" s="21" t="n"/>
      <c r="AL134" s="21" t="n"/>
      <c r="AM134" s="21" t="n"/>
      <c r="AN134" s="21" t="n"/>
      <c r="AO134" s="21" t="n"/>
      <c r="AP134" s="21" t="n"/>
      <c r="AQ134" s="21" t="n"/>
      <c r="AR134" s="21" t="n"/>
      <c r="AS134" s="21" t="n"/>
    </row>
    <row r="135">
      <c r="C135" s="6" t="inlineStr">
        <is>
          <t>Spending (capex, fees, securities, devex), net</t>
        </is>
      </c>
      <c r="D135" s="2" t="inlineStr">
        <is>
          <t>EUR k</t>
        </is>
      </c>
      <c r="H135" s="8">
        <f>SUM(J135:AS135)</f>
        <v/>
      </c>
      <c r="J135" s="8">
        <f>J249</f>
        <v/>
      </c>
      <c r="K135" s="8">
        <f>K249</f>
        <v/>
      </c>
      <c r="L135" s="8">
        <f>L249</f>
        <v/>
      </c>
      <c r="M135" s="8">
        <f>M249</f>
        <v/>
      </c>
      <c r="N135" s="8">
        <f>N249</f>
        <v/>
      </c>
      <c r="O135" s="8">
        <f>O249</f>
        <v/>
      </c>
      <c r="P135" s="8">
        <f>P249</f>
        <v/>
      </c>
      <c r="Q135" s="8">
        <f>Q249</f>
        <v/>
      </c>
      <c r="R135" s="8">
        <f>R249</f>
        <v/>
      </c>
      <c r="S135" s="8">
        <f>S249</f>
        <v/>
      </c>
      <c r="T135" s="8">
        <f>T249</f>
        <v/>
      </c>
      <c r="U135" s="8">
        <f>U249</f>
        <v/>
      </c>
      <c r="V135" s="8">
        <f>V249</f>
        <v/>
      </c>
      <c r="W135" s="8">
        <f>W249</f>
        <v/>
      </c>
      <c r="X135" s="8">
        <f>X249</f>
        <v/>
      </c>
      <c r="Y135" s="8">
        <f>Y249</f>
        <v/>
      </c>
      <c r="Z135" s="8">
        <f>Z249</f>
        <v/>
      </c>
      <c r="AA135" s="8">
        <f>AA249</f>
        <v/>
      </c>
      <c r="AB135" s="8">
        <f>AB249</f>
        <v/>
      </c>
      <c r="AC135" s="8">
        <f>AC249</f>
        <v/>
      </c>
      <c r="AD135" s="8">
        <f>AD249</f>
        <v/>
      </c>
      <c r="AE135" s="8">
        <f>AE249</f>
        <v/>
      </c>
      <c r="AF135" s="8">
        <f>AF249</f>
        <v/>
      </c>
      <c r="AG135" s="8">
        <f>AG249</f>
        <v/>
      </c>
      <c r="AH135" s="8">
        <f>AH249</f>
        <v/>
      </c>
      <c r="AI135" s="8">
        <f>AI249</f>
        <v/>
      </c>
      <c r="AJ135" s="8">
        <f>AJ249</f>
        <v/>
      </c>
      <c r="AK135" s="8">
        <f>AK249</f>
        <v/>
      </c>
      <c r="AL135" s="8">
        <f>AL249</f>
        <v/>
      </c>
      <c r="AM135" s="8">
        <f>AM249</f>
        <v/>
      </c>
      <c r="AN135" s="8">
        <f>AN249</f>
        <v/>
      </c>
      <c r="AO135" s="8">
        <f>AO249</f>
        <v/>
      </c>
      <c r="AP135" s="8">
        <f>AP249</f>
        <v/>
      </c>
      <c r="AQ135" s="8">
        <f>AQ249</f>
        <v/>
      </c>
      <c r="AR135" s="8">
        <f>AR249</f>
        <v/>
      </c>
      <c r="AS135" s="8">
        <f>AS249</f>
        <v/>
      </c>
    </row>
    <row r="136">
      <c r="C136" s="6" t="inlineStr">
        <is>
          <t>Revenue</t>
        </is>
      </c>
      <c r="D136" s="2" t="inlineStr">
        <is>
          <t>EUR k</t>
        </is>
      </c>
      <c r="H136" s="8">
        <f>SUM(J136:AS136)</f>
        <v/>
      </c>
      <c r="J136" s="8">
        <f>J253</f>
        <v/>
      </c>
      <c r="K136" s="8">
        <f>K253</f>
        <v/>
      </c>
      <c r="L136" s="8">
        <f>L253</f>
        <v/>
      </c>
      <c r="M136" s="8">
        <f>M253</f>
        <v/>
      </c>
      <c r="N136" s="8">
        <f>N253</f>
        <v/>
      </c>
      <c r="O136" s="8">
        <f>O253</f>
        <v/>
      </c>
      <c r="P136" s="8">
        <f>P253</f>
        <v/>
      </c>
      <c r="Q136" s="8">
        <f>Q253</f>
        <v/>
      </c>
      <c r="R136" s="8">
        <f>R253</f>
        <v/>
      </c>
      <c r="S136" s="8">
        <f>S253</f>
        <v/>
      </c>
      <c r="T136" s="8">
        <f>T253</f>
        <v/>
      </c>
      <c r="U136" s="8">
        <f>U253</f>
        <v/>
      </c>
      <c r="V136" s="8">
        <f>V253</f>
        <v/>
      </c>
      <c r="W136" s="8">
        <f>W253</f>
        <v/>
      </c>
      <c r="X136" s="8">
        <f>X253</f>
        <v/>
      </c>
      <c r="Y136" s="8">
        <f>Y253</f>
        <v/>
      </c>
      <c r="Z136" s="8">
        <f>Z253</f>
        <v/>
      </c>
      <c r="AA136" s="8">
        <f>AA253</f>
        <v/>
      </c>
      <c r="AB136" s="8">
        <f>AB253</f>
        <v/>
      </c>
      <c r="AC136" s="8">
        <f>AC253</f>
        <v/>
      </c>
      <c r="AD136" s="8">
        <f>AD253</f>
        <v/>
      </c>
      <c r="AE136" s="8">
        <f>AE253</f>
        <v/>
      </c>
      <c r="AF136" s="8">
        <f>AF253</f>
        <v/>
      </c>
      <c r="AG136" s="8">
        <f>AG253</f>
        <v/>
      </c>
      <c r="AH136" s="8">
        <f>AH253</f>
        <v/>
      </c>
      <c r="AI136" s="8">
        <f>AI253</f>
        <v/>
      </c>
      <c r="AJ136" s="8">
        <f>AJ253</f>
        <v/>
      </c>
      <c r="AK136" s="8">
        <f>AK253</f>
        <v/>
      </c>
      <c r="AL136" s="8">
        <f>AL253</f>
        <v/>
      </c>
      <c r="AM136" s="8">
        <f>AM253</f>
        <v/>
      </c>
      <c r="AN136" s="8">
        <f>AN253</f>
        <v/>
      </c>
      <c r="AO136" s="8">
        <f>AO253</f>
        <v/>
      </c>
      <c r="AP136" s="8">
        <f>AP253</f>
        <v/>
      </c>
      <c r="AQ136" s="8">
        <f>AQ253</f>
        <v/>
      </c>
      <c r="AR136" s="8">
        <f>AR253</f>
        <v/>
      </c>
      <c r="AS136" s="8">
        <f>AS253</f>
        <v/>
      </c>
    </row>
    <row r="137">
      <c r="C137" s="6" t="inlineStr">
        <is>
          <t>Opex</t>
        </is>
      </c>
      <c r="D137" s="2" t="inlineStr">
        <is>
          <t>EUR k</t>
        </is>
      </c>
      <c r="H137" s="8">
        <f>SUM(J137:AS137)</f>
        <v/>
      </c>
      <c r="J137" s="8">
        <f>J262</f>
        <v/>
      </c>
      <c r="K137" s="8">
        <f>K262</f>
        <v/>
      </c>
      <c r="L137" s="8">
        <f>L262</f>
        <v/>
      </c>
      <c r="M137" s="8">
        <f>M262</f>
        <v/>
      </c>
      <c r="N137" s="8">
        <f>N262</f>
        <v/>
      </c>
      <c r="O137" s="8">
        <f>O262</f>
        <v/>
      </c>
      <c r="P137" s="8">
        <f>P262</f>
        <v/>
      </c>
      <c r="Q137" s="8">
        <f>Q262</f>
        <v/>
      </c>
      <c r="R137" s="8">
        <f>R262</f>
        <v/>
      </c>
      <c r="S137" s="8">
        <f>S262</f>
        <v/>
      </c>
      <c r="T137" s="8">
        <f>T262</f>
        <v/>
      </c>
      <c r="U137" s="8">
        <f>U262</f>
        <v/>
      </c>
      <c r="V137" s="8">
        <f>V262</f>
        <v/>
      </c>
      <c r="W137" s="8">
        <f>W262</f>
        <v/>
      </c>
      <c r="X137" s="8">
        <f>X262</f>
        <v/>
      </c>
      <c r="Y137" s="8">
        <f>Y262</f>
        <v/>
      </c>
      <c r="Z137" s="8">
        <f>Z262</f>
        <v/>
      </c>
      <c r="AA137" s="8">
        <f>AA262</f>
        <v/>
      </c>
      <c r="AB137" s="8">
        <f>AB262</f>
        <v/>
      </c>
      <c r="AC137" s="8">
        <f>AC262</f>
        <v/>
      </c>
      <c r="AD137" s="8">
        <f>AD262</f>
        <v/>
      </c>
      <c r="AE137" s="8">
        <f>AE262</f>
        <v/>
      </c>
      <c r="AF137" s="8">
        <f>AF262</f>
        <v/>
      </c>
      <c r="AG137" s="8">
        <f>AG262</f>
        <v/>
      </c>
      <c r="AH137" s="8">
        <f>AH262</f>
        <v/>
      </c>
      <c r="AI137" s="8">
        <f>AI262</f>
        <v/>
      </c>
      <c r="AJ137" s="8">
        <f>AJ262</f>
        <v/>
      </c>
      <c r="AK137" s="8">
        <f>AK262</f>
        <v/>
      </c>
      <c r="AL137" s="8">
        <f>AL262</f>
        <v/>
      </c>
      <c r="AM137" s="8">
        <f>AM262</f>
        <v/>
      </c>
      <c r="AN137" s="8">
        <f>AN262</f>
        <v/>
      </c>
      <c r="AO137" s="8">
        <f>AO262</f>
        <v/>
      </c>
      <c r="AP137" s="8">
        <f>AP262</f>
        <v/>
      </c>
      <c r="AQ137" s="8">
        <f>AQ262</f>
        <v/>
      </c>
      <c r="AR137" s="8">
        <f>AR262</f>
        <v/>
      </c>
      <c r="AS137" s="8">
        <f>AS262</f>
        <v/>
      </c>
    </row>
    <row r="138">
      <c r="C138" s="6" t="inlineStr">
        <is>
          <t>EBITDA</t>
        </is>
      </c>
      <c r="D138" s="2" t="inlineStr">
        <is>
          <t>EUR k</t>
        </is>
      </c>
      <c r="H138" s="8">
        <f>SUM(J138:AS138)</f>
        <v/>
      </c>
      <c r="J138" s="8">
        <f>J263</f>
        <v/>
      </c>
      <c r="K138" s="8">
        <f>K263</f>
        <v/>
      </c>
      <c r="L138" s="8">
        <f>L263</f>
        <v/>
      </c>
      <c r="M138" s="8">
        <f>M263</f>
        <v/>
      </c>
      <c r="N138" s="8">
        <f>N263</f>
        <v/>
      </c>
      <c r="O138" s="8">
        <f>O263</f>
        <v/>
      </c>
      <c r="P138" s="8">
        <f>P263</f>
        <v/>
      </c>
      <c r="Q138" s="8">
        <f>Q263</f>
        <v/>
      </c>
      <c r="R138" s="8">
        <f>R263</f>
        <v/>
      </c>
      <c r="S138" s="8">
        <f>S263</f>
        <v/>
      </c>
      <c r="T138" s="8">
        <f>T263</f>
        <v/>
      </c>
      <c r="U138" s="8">
        <f>U263</f>
        <v/>
      </c>
      <c r="V138" s="8">
        <f>V263</f>
        <v/>
      </c>
      <c r="W138" s="8">
        <f>W263</f>
        <v/>
      </c>
      <c r="X138" s="8">
        <f>X263</f>
        <v/>
      </c>
      <c r="Y138" s="8">
        <f>Y263</f>
        <v/>
      </c>
      <c r="Z138" s="8">
        <f>Z263</f>
        <v/>
      </c>
      <c r="AA138" s="8">
        <f>AA263</f>
        <v/>
      </c>
      <c r="AB138" s="8">
        <f>AB263</f>
        <v/>
      </c>
      <c r="AC138" s="8">
        <f>AC263</f>
        <v/>
      </c>
      <c r="AD138" s="8">
        <f>AD263</f>
        <v/>
      </c>
      <c r="AE138" s="8">
        <f>AE263</f>
        <v/>
      </c>
      <c r="AF138" s="8">
        <f>AF263</f>
        <v/>
      </c>
      <c r="AG138" s="8">
        <f>AG263</f>
        <v/>
      </c>
      <c r="AH138" s="8">
        <f>AH263</f>
        <v/>
      </c>
      <c r="AI138" s="8">
        <f>AI263</f>
        <v/>
      </c>
      <c r="AJ138" s="8">
        <f>AJ263</f>
        <v/>
      </c>
      <c r="AK138" s="8">
        <f>AK263</f>
        <v/>
      </c>
      <c r="AL138" s="8">
        <f>AL263</f>
        <v/>
      </c>
      <c r="AM138" s="8">
        <f>AM263</f>
        <v/>
      </c>
      <c r="AN138" s="8">
        <f>AN263</f>
        <v/>
      </c>
      <c r="AO138" s="8">
        <f>AO263</f>
        <v/>
      </c>
      <c r="AP138" s="8">
        <f>AP263</f>
        <v/>
      </c>
      <c r="AQ138" s="8">
        <f>AQ263</f>
        <v/>
      </c>
      <c r="AR138" s="8">
        <f>AR263</f>
        <v/>
      </c>
      <c r="AS138" s="8">
        <f>AS263</f>
        <v/>
      </c>
    </row>
    <row r="139">
      <c r="C139" s="1" t="inlineStr">
        <is>
          <t>Net cash flow</t>
        </is>
      </c>
      <c r="D139" s="2" t="inlineStr">
        <is>
          <t>EUR k</t>
        </is>
      </c>
      <c r="H139" s="14">
        <f>SUM(J139:AS139)</f>
        <v/>
      </c>
      <c r="J139" s="14">
        <f>J264</f>
        <v/>
      </c>
      <c r="K139" s="14">
        <f>K264</f>
        <v/>
      </c>
      <c r="L139" s="14">
        <f>L264</f>
        <v/>
      </c>
      <c r="M139" s="14">
        <f>M264</f>
        <v/>
      </c>
      <c r="N139" s="14">
        <f>N264</f>
        <v/>
      </c>
      <c r="O139" s="14">
        <f>O264</f>
        <v/>
      </c>
      <c r="P139" s="14">
        <f>P264</f>
        <v/>
      </c>
      <c r="Q139" s="14">
        <f>Q264</f>
        <v/>
      </c>
      <c r="R139" s="14">
        <f>R264</f>
        <v/>
      </c>
      <c r="S139" s="14">
        <f>S264</f>
        <v/>
      </c>
      <c r="T139" s="14">
        <f>T264</f>
        <v/>
      </c>
      <c r="U139" s="14">
        <f>U264</f>
        <v/>
      </c>
      <c r="V139" s="14">
        <f>V264</f>
        <v/>
      </c>
      <c r="W139" s="14">
        <f>W264</f>
        <v/>
      </c>
      <c r="X139" s="14">
        <f>X264</f>
        <v/>
      </c>
      <c r="Y139" s="14">
        <f>Y264</f>
        <v/>
      </c>
      <c r="Z139" s="14">
        <f>Z264</f>
        <v/>
      </c>
      <c r="AA139" s="14">
        <f>AA264</f>
        <v/>
      </c>
      <c r="AB139" s="14">
        <f>AB264</f>
        <v/>
      </c>
      <c r="AC139" s="14">
        <f>AC264</f>
        <v/>
      </c>
      <c r="AD139" s="14">
        <f>AD264</f>
        <v/>
      </c>
      <c r="AE139" s="14">
        <f>AE264</f>
        <v/>
      </c>
      <c r="AF139" s="14">
        <f>AF264</f>
        <v/>
      </c>
      <c r="AG139" s="14">
        <f>AG264</f>
        <v/>
      </c>
      <c r="AH139" s="14">
        <f>AH264</f>
        <v/>
      </c>
      <c r="AI139" s="14">
        <f>AI264</f>
        <v/>
      </c>
      <c r="AJ139" s="14">
        <f>AJ264</f>
        <v/>
      </c>
      <c r="AK139" s="14">
        <f>AK264</f>
        <v/>
      </c>
      <c r="AL139" s="14">
        <f>AL264</f>
        <v/>
      </c>
      <c r="AM139" s="14">
        <f>AM264</f>
        <v/>
      </c>
      <c r="AN139" s="14">
        <f>AN264</f>
        <v/>
      </c>
      <c r="AO139" s="14">
        <f>AO264</f>
        <v/>
      </c>
      <c r="AP139" s="14">
        <f>AP264</f>
        <v/>
      </c>
      <c r="AQ139" s="14">
        <f>AQ264</f>
        <v/>
      </c>
      <c r="AR139" s="14">
        <f>AR264</f>
        <v/>
      </c>
      <c r="AS139" s="14">
        <f>AS264</f>
        <v/>
      </c>
    </row>
    <row r="140">
      <c r="C140" s="6" t="inlineStr">
        <is>
          <t>Cumulative net cash flow</t>
        </is>
      </c>
      <c r="D140" s="2" t="inlineStr">
        <is>
          <t>EUR k</t>
        </is>
      </c>
      <c r="J140" s="8">
        <f>SUM($J139:J139)</f>
        <v/>
      </c>
      <c r="K140" s="8">
        <f>SUM($J139:K139)</f>
        <v/>
      </c>
      <c r="L140" s="8">
        <f>SUM($J139:L139)</f>
        <v/>
      </c>
      <c r="M140" s="8">
        <f>SUM($J139:M139)</f>
        <v/>
      </c>
      <c r="N140" s="8">
        <f>SUM($J139:N139)</f>
        <v/>
      </c>
      <c r="O140" s="8">
        <f>SUM($J139:O139)</f>
        <v/>
      </c>
      <c r="P140" s="8">
        <f>SUM($J139:P139)</f>
        <v/>
      </c>
      <c r="Q140" s="8">
        <f>SUM($J139:Q139)</f>
        <v/>
      </c>
      <c r="R140" s="8">
        <f>SUM($J139:R139)</f>
        <v/>
      </c>
      <c r="S140" s="8">
        <f>SUM($J139:S139)</f>
        <v/>
      </c>
      <c r="T140" s="8">
        <f>SUM($J139:T139)</f>
        <v/>
      </c>
      <c r="U140" s="8">
        <f>SUM($J139:U139)</f>
        <v/>
      </c>
      <c r="V140" s="8">
        <f>SUM($J139:V139)</f>
        <v/>
      </c>
      <c r="W140" s="8">
        <f>SUM($J139:W139)</f>
        <v/>
      </c>
      <c r="X140" s="8">
        <f>SUM($J139:X139)</f>
        <v/>
      </c>
      <c r="Y140" s="8">
        <f>SUM($J139:Y139)</f>
        <v/>
      </c>
      <c r="Z140" s="8">
        <f>SUM($J139:Z139)</f>
        <v/>
      </c>
      <c r="AA140" s="8">
        <f>SUM($J139:AA139)</f>
        <v/>
      </c>
      <c r="AB140" s="8">
        <f>SUM($J139:AB139)</f>
        <v/>
      </c>
      <c r="AC140" s="8">
        <f>SUM($J139:AC139)</f>
        <v/>
      </c>
      <c r="AD140" s="8">
        <f>SUM($J139:AD139)</f>
        <v/>
      </c>
      <c r="AE140" s="8">
        <f>SUM($J139:AE139)</f>
        <v/>
      </c>
      <c r="AF140" s="8">
        <f>SUM($J139:AF139)</f>
        <v/>
      </c>
      <c r="AG140" s="8">
        <f>SUM($J139:AG139)</f>
        <v/>
      </c>
      <c r="AH140" s="8">
        <f>SUM($J139:AH139)</f>
        <v/>
      </c>
      <c r="AI140" s="8">
        <f>SUM($J139:AI139)</f>
        <v/>
      </c>
      <c r="AJ140" s="8">
        <f>SUM($J139:AJ139)</f>
        <v/>
      </c>
      <c r="AK140" s="8">
        <f>SUM($J139:AK139)</f>
        <v/>
      </c>
      <c r="AL140" s="8">
        <f>SUM($J139:AL139)</f>
        <v/>
      </c>
      <c r="AM140" s="8">
        <f>SUM($J139:AM139)</f>
        <v/>
      </c>
      <c r="AN140" s="8">
        <f>SUM($J139:AN139)</f>
        <v/>
      </c>
      <c r="AO140" s="8">
        <f>SUM($J139:AO139)</f>
        <v/>
      </c>
      <c r="AP140" s="8">
        <f>SUM($J139:AP139)</f>
        <v/>
      </c>
      <c r="AQ140" s="8">
        <f>SUM($J139:AQ139)</f>
        <v/>
      </c>
      <c r="AR140" s="8">
        <f>SUM($J139:AR139)</f>
        <v/>
      </c>
      <c r="AS140" s="8">
        <f>SUM($J139:AS139)</f>
        <v/>
      </c>
    </row>
    <row r="142">
      <c r="C142" s="20" t="inlineStr">
        <is>
          <t>Dunaújváros</t>
        </is>
      </c>
      <c r="D142" s="20" t="n"/>
      <c r="E142" s="21" t="n"/>
      <c r="F142" s="21" t="n"/>
      <c r="G142" s="21" t="n"/>
      <c r="H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21" t="n"/>
      <c r="AI142" s="21" t="n"/>
      <c r="AJ142" s="21" t="n"/>
      <c r="AK142" s="21" t="n"/>
      <c r="AL142" s="21" t="n"/>
      <c r="AM142" s="21" t="n"/>
      <c r="AN142" s="21" t="n"/>
      <c r="AO142" s="21" t="n"/>
      <c r="AP142" s="21" t="n"/>
      <c r="AQ142" s="21" t="n"/>
      <c r="AR142" s="21" t="n"/>
      <c r="AS142" s="21" t="n"/>
    </row>
    <row r="143">
      <c r="C143" s="6" t="inlineStr">
        <is>
          <t>Spending (capex, fees, securities, devex), net</t>
        </is>
      </c>
      <c r="D143" s="2" t="inlineStr">
        <is>
          <t>EUR k</t>
        </is>
      </c>
      <c r="H143" s="8">
        <f>SUM(J143:AS143)</f>
        <v/>
      </c>
      <c r="J143" s="8">
        <f>J280</f>
        <v/>
      </c>
      <c r="K143" s="8">
        <f>K280</f>
        <v/>
      </c>
      <c r="L143" s="8">
        <f>L280</f>
        <v/>
      </c>
      <c r="M143" s="8">
        <f>M280</f>
        <v/>
      </c>
      <c r="N143" s="8">
        <f>N280</f>
        <v/>
      </c>
      <c r="O143" s="8">
        <f>O280</f>
        <v/>
      </c>
      <c r="P143" s="8">
        <f>P280</f>
        <v/>
      </c>
      <c r="Q143" s="8">
        <f>Q280</f>
        <v/>
      </c>
      <c r="R143" s="8">
        <f>R280</f>
        <v/>
      </c>
      <c r="S143" s="8">
        <f>S280</f>
        <v/>
      </c>
      <c r="T143" s="8">
        <f>T280</f>
        <v/>
      </c>
      <c r="U143" s="8">
        <f>U280</f>
        <v/>
      </c>
      <c r="V143" s="8">
        <f>V280</f>
        <v/>
      </c>
      <c r="W143" s="8">
        <f>W280</f>
        <v/>
      </c>
      <c r="X143" s="8">
        <f>X280</f>
        <v/>
      </c>
      <c r="Y143" s="8">
        <f>Y280</f>
        <v/>
      </c>
      <c r="Z143" s="8">
        <f>Z280</f>
        <v/>
      </c>
      <c r="AA143" s="8">
        <f>AA280</f>
        <v/>
      </c>
      <c r="AB143" s="8">
        <f>AB280</f>
        <v/>
      </c>
      <c r="AC143" s="8">
        <f>AC280</f>
        <v/>
      </c>
      <c r="AD143" s="8">
        <f>AD280</f>
        <v/>
      </c>
      <c r="AE143" s="8">
        <f>AE280</f>
        <v/>
      </c>
      <c r="AF143" s="8">
        <f>AF280</f>
        <v/>
      </c>
      <c r="AG143" s="8">
        <f>AG280</f>
        <v/>
      </c>
      <c r="AH143" s="8">
        <f>AH280</f>
        <v/>
      </c>
      <c r="AI143" s="8">
        <f>AI280</f>
        <v/>
      </c>
      <c r="AJ143" s="8">
        <f>AJ280</f>
        <v/>
      </c>
      <c r="AK143" s="8">
        <f>AK280</f>
        <v/>
      </c>
      <c r="AL143" s="8">
        <f>AL280</f>
        <v/>
      </c>
      <c r="AM143" s="8">
        <f>AM280</f>
        <v/>
      </c>
      <c r="AN143" s="8">
        <f>AN280</f>
        <v/>
      </c>
      <c r="AO143" s="8">
        <f>AO280</f>
        <v/>
      </c>
      <c r="AP143" s="8">
        <f>AP280</f>
        <v/>
      </c>
      <c r="AQ143" s="8">
        <f>AQ280</f>
        <v/>
      </c>
      <c r="AR143" s="8">
        <f>AR280</f>
        <v/>
      </c>
      <c r="AS143" s="8">
        <f>AS280</f>
        <v/>
      </c>
    </row>
    <row r="144">
      <c r="C144" s="6" t="inlineStr">
        <is>
          <t>Revenue</t>
        </is>
      </c>
      <c r="D144" s="2" t="inlineStr">
        <is>
          <t>EUR k</t>
        </is>
      </c>
      <c r="H144" s="8">
        <f>SUM(J144:AS144)</f>
        <v/>
      </c>
      <c r="J144" s="8">
        <f>J284</f>
        <v/>
      </c>
      <c r="K144" s="8">
        <f>K284</f>
        <v/>
      </c>
      <c r="L144" s="8">
        <f>L284</f>
        <v/>
      </c>
      <c r="M144" s="8">
        <f>M284</f>
        <v/>
      </c>
      <c r="N144" s="8">
        <f>N284</f>
        <v/>
      </c>
      <c r="O144" s="8">
        <f>O284</f>
        <v/>
      </c>
      <c r="P144" s="8">
        <f>P284</f>
        <v/>
      </c>
      <c r="Q144" s="8">
        <f>Q284</f>
        <v/>
      </c>
      <c r="R144" s="8">
        <f>R284</f>
        <v/>
      </c>
      <c r="S144" s="8">
        <f>S284</f>
        <v/>
      </c>
      <c r="T144" s="8">
        <f>T284</f>
        <v/>
      </c>
      <c r="U144" s="8">
        <f>U284</f>
        <v/>
      </c>
      <c r="V144" s="8">
        <f>V284</f>
        <v/>
      </c>
      <c r="W144" s="8">
        <f>W284</f>
        <v/>
      </c>
      <c r="X144" s="8">
        <f>X284</f>
        <v/>
      </c>
      <c r="Y144" s="8">
        <f>Y284</f>
        <v/>
      </c>
      <c r="Z144" s="8">
        <f>Z284</f>
        <v/>
      </c>
      <c r="AA144" s="8">
        <f>AA284</f>
        <v/>
      </c>
      <c r="AB144" s="8">
        <f>AB284</f>
        <v/>
      </c>
      <c r="AC144" s="8">
        <f>AC284</f>
        <v/>
      </c>
      <c r="AD144" s="8">
        <f>AD284</f>
        <v/>
      </c>
      <c r="AE144" s="8">
        <f>AE284</f>
        <v/>
      </c>
      <c r="AF144" s="8">
        <f>AF284</f>
        <v/>
      </c>
      <c r="AG144" s="8">
        <f>AG284</f>
        <v/>
      </c>
      <c r="AH144" s="8">
        <f>AH284</f>
        <v/>
      </c>
      <c r="AI144" s="8">
        <f>AI284</f>
        <v/>
      </c>
      <c r="AJ144" s="8">
        <f>AJ284</f>
        <v/>
      </c>
      <c r="AK144" s="8">
        <f>AK284</f>
        <v/>
      </c>
      <c r="AL144" s="8">
        <f>AL284</f>
        <v/>
      </c>
      <c r="AM144" s="8">
        <f>AM284</f>
        <v/>
      </c>
      <c r="AN144" s="8">
        <f>AN284</f>
        <v/>
      </c>
      <c r="AO144" s="8">
        <f>AO284</f>
        <v/>
      </c>
      <c r="AP144" s="8">
        <f>AP284</f>
        <v/>
      </c>
      <c r="AQ144" s="8">
        <f>AQ284</f>
        <v/>
      </c>
      <c r="AR144" s="8">
        <f>AR284</f>
        <v/>
      </c>
      <c r="AS144" s="8">
        <f>AS284</f>
        <v/>
      </c>
    </row>
    <row r="145">
      <c r="C145" s="6" t="inlineStr">
        <is>
          <t>Opex</t>
        </is>
      </c>
      <c r="D145" s="2" t="inlineStr">
        <is>
          <t>EUR k</t>
        </is>
      </c>
      <c r="H145" s="8">
        <f>SUM(J145:AS145)</f>
        <v/>
      </c>
      <c r="J145" s="8">
        <f>J293</f>
        <v/>
      </c>
      <c r="K145" s="8">
        <f>K293</f>
        <v/>
      </c>
      <c r="L145" s="8">
        <f>L293</f>
        <v/>
      </c>
      <c r="M145" s="8">
        <f>M293</f>
        <v/>
      </c>
      <c r="N145" s="8">
        <f>N293</f>
        <v/>
      </c>
      <c r="O145" s="8">
        <f>O293</f>
        <v/>
      </c>
      <c r="P145" s="8">
        <f>P293</f>
        <v/>
      </c>
      <c r="Q145" s="8">
        <f>Q293</f>
        <v/>
      </c>
      <c r="R145" s="8">
        <f>R293</f>
        <v/>
      </c>
      <c r="S145" s="8">
        <f>S293</f>
        <v/>
      </c>
      <c r="T145" s="8">
        <f>T293</f>
        <v/>
      </c>
      <c r="U145" s="8">
        <f>U293</f>
        <v/>
      </c>
      <c r="V145" s="8">
        <f>V293</f>
        <v/>
      </c>
      <c r="W145" s="8">
        <f>W293</f>
        <v/>
      </c>
      <c r="X145" s="8">
        <f>X293</f>
        <v/>
      </c>
      <c r="Y145" s="8">
        <f>Y293</f>
        <v/>
      </c>
      <c r="Z145" s="8">
        <f>Z293</f>
        <v/>
      </c>
      <c r="AA145" s="8">
        <f>AA293</f>
        <v/>
      </c>
      <c r="AB145" s="8">
        <f>AB293</f>
        <v/>
      </c>
      <c r="AC145" s="8">
        <f>AC293</f>
        <v/>
      </c>
      <c r="AD145" s="8">
        <f>AD293</f>
        <v/>
      </c>
      <c r="AE145" s="8">
        <f>AE293</f>
        <v/>
      </c>
      <c r="AF145" s="8">
        <f>AF293</f>
        <v/>
      </c>
      <c r="AG145" s="8">
        <f>AG293</f>
        <v/>
      </c>
      <c r="AH145" s="8">
        <f>AH293</f>
        <v/>
      </c>
      <c r="AI145" s="8">
        <f>AI293</f>
        <v/>
      </c>
      <c r="AJ145" s="8">
        <f>AJ293</f>
        <v/>
      </c>
      <c r="AK145" s="8">
        <f>AK293</f>
        <v/>
      </c>
      <c r="AL145" s="8">
        <f>AL293</f>
        <v/>
      </c>
      <c r="AM145" s="8">
        <f>AM293</f>
        <v/>
      </c>
      <c r="AN145" s="8">
        <f>AN293</f>
        <v/>
      </c>
      <c r="AO145" s="8">
        <f>AO293</f>
        <v/>
      </c>
      <c r="AP145" s="8">
        <f>AP293</f>
        <v/>
      </c>
      <c r="AQ145" s="8">
        <f>AQ293</f>
        <v/>
      </c>
      <c r="AR145" s="8">
        <f>AR293</f>
        <v/>
      </c>
      <c r="AS145" s="8">
        <f>AS293</f>
        <v/>
      </c>
    </row>
    <row r="146">
      <c r="C146" s="6" t="inlineStr">
        <is>
          <t>EBITDA</t>
        </is>
      </c>
      <c r="D146" s="2" t="inlineStr">
        <is>
          <t>EUR k</t>
        </is>
      </c>
      <c r="H146" s="8">
        <f>SUM(J146:AS146)</f>
        <v/>
      </c>
      <c r="J146" s="8">
        <f>J294</f>
        <v/>
      </c>
      <c r="K146" s="8">
        <f>K294</f>
        <v/>
      </c>
      <c r="L146" s="8">
        <f>L294</f>
        <v/>
      </c>
      <c r="M146" s="8">
        <f>M294</f>
        <v/>
      </c>
      <c r="N146" s="8">
        <f>N294</f>
        <v/>
      </c>
      <c r="O146" s="8">
        <f>O294</f>
        <v/>
      </c>
      <c r="P146" s="8">
        <f>P294</f>
        <v/>
      </c>
      <c r="Q146" s="8">
        <f>Q294</f>
        <v/>
      </c>
      <c r="R146" s="8">
        <f>R294</f>
        <v/>
      </c>
      <c r="S146" s="8">
        <f>S294</f>
        <v/>
      </c>
      <c r="T146" s="8">
        <f>T294</f>
        <v/>
      </c>
      <c r="U146" s="8">
        <f>U294</f>
        <v/>
      </c>
      <c r="V146" s="8">
        <f>V294</f>
        <v/>
      </c>
      <c r="W146" s="8">
        <f>W294</f>
        <v/>
      </c>
      <c r="X146" s="8">
        <f>X294</f>
        <v/>
      </c>
      <c r="Y146" s="8">
        <f>Y294</f>
        <v/>
      </c>
      <c r="Z146" s="8">
        <f>Z294</f>
        <v/>
      </c>
      <c r="AA146" s="8">
        <f>AA294</f>
        <v/>
      </c>
      <c r="AB146" s="8">
        <f>AB294</f>
        <v/>
      </c>
      <c r="AC146" s="8">
        <f>AC294</f>
        <v/>
      </c>
      <c r="AD146" s="8">
        <f>AD294</f>
        <v/>
      </c>
      <c r="AE146" s="8">
        <f>AE294</f>
        <v/>
      </c>
      <c r="AF146" s="8">
        <f>AF294</f>
        <v/>
      </c>
      <c r="AG146" s="8">
        <f>AG294</f>
        <v/>
      </c>
      <c r="AH146" s="8">
        <f>AH294</f>
        <v/>
      </c>
      <c r="AI146" s="8">
        <f>AI294</f>
        <v/>
      </c>
      <c r="AJ146" s="8">
        <f>AJ294</f>
        <v/>
      </c>
      <c r="AK146" s="8">
        <f>AK294</f>
        <v/>
      </c>
      <c r="AL146" s="8">
        <f>AL294</f>
        <v/>
      </c>
      <c r="AM146" s="8">
        <f>AM294</f>
        <v/>
      </c>
      <c r="AN146" s="8">
        <f>AN294</f>
        <v/>
      </c>
      <c r="AO146" s="8">
        <f>AO294</f>
        <v/>
      </c>
      <c r="AP146" s="8">
        <f>AP294</f>
        <v/>
      </c>
      <c r="AQ146" s="8">
        <f>AQ294</f>
        <v/>
      </c>
      <c r="AR146" s="8">
        <f>AR294</f>
        <v/>
      </c>
      <c r="AS146" s="8">
        <f>AS294</f>
        <v/>
      </c>
    </row>
    <row r="147">
      <c r="C147" s="1" t="inlineStr">
        <is>
          <t>Net cash flow</t>
        </is>
      </c>
      <c r="D147" s="2" t="inlineStr">
        <is>
          <t>EUR k</t>
        </is>
      </c>
      <c r="H147" s="14">
        <f>SUM(J147:AS147)</f>
        <v/>
      </c>
      <c r="J147" s="14">
        <f>J295</f>
        <v/>
      </c>
      <c r="K147" s="14">
        <f>K295</f>
        <v/>
      </c>
      <c r="L147" s="14">
        <f>L295</f>
        <v/>
      </c>
      <c r="M147" s="14">
        <f>M295</f>
        <v/>
      </c>
      <c r="N147" s="14">
        <f>N295</f>
        <v/>
      </c>
      <c r="O147" s="14">
        <f>O295</f>
        <v/>
      </c>
      <c r="P147" s="14">
        <f>P295</f>
        <v/>
      </c>
      <c r="Q147" s="14">
        <f>Q295</f>
        <v/>
      </c>
      <c r="R147" s="14">
        <f>R295</f>
        <v/>
      </c>
      <c r="S147" s="14">
        <f>S295</f>
        <v/>
      </c>
      <c r="T147" s="14">
        <f>T295</f>
        <v/>
      </c>
      <c r="U147" s="14">
        <f>U295</f>
        <v/>
      </c>
      <c r="V147" s="14">
        <f>V295</f>
        <v/>
      </c>
      <c r="W147" s="14">
        <f>W295</f>
        <v/>
      </c>
      <c r="X147" s="14">
        <f>X295</f>
        <v/>
      </c>
      <c r="Y147" s="14">
        <f>Y295</f>
        <v/>
      </c>
      <c r="Z147" s="14">
        <f>Z295</f>
        <v/>
      </c>
      <c r="AA147" s="14">
        <f>AA295</f>
        <v/>
      </c>
      <c r="AB147" s="14">
        <f>AB295</f>
        <v/>
      </c>
      <c r="AC147" s="14">
        <f>AC295</f>
        <v/>
      </c>
      <c r="AD147" s="14">
        <f>AD295</f>
        <v/>
      </c>
      <c r="AE147" s="14">
        <f>AE295</f>
        <v/>
      </c>
      <c r="AF147" s="14">
        <f>AF295</f>
        <v/>
      </c>
      <c r="AG147" s="14">
        <f>AG295</f>
        <v/>
      </c>
      <c r="AH147" s="14">
        <f>AH295</f>
        <v/>
      </c>
      <c r="AI147" s="14">
        <f>AI295</f>
        <v/>
      </c>
      <c r="AJ147" s="14">
        <f>AJ295</f>
        <v/>
      </c>
      <c r="AK147" s="14">
        <f>AK295</f>
        <v/>
      </c>
      <c r="AL147" s="14">
        <f>AL295</f>
        <v/>
      </c>
      <c r="AM147" s="14">
        <f>AM295</f>
        <v/>
      </c>
      <c r="AN147" s="14">
        <f>AN295</f>
        <v/>
      </c>
      <c r="AO147" s="14">
        <f>AO295</f>
        <v/>
      </c>
      <c r="AP147" s="14">
        <f>AP295</f>
        <v/>
      </c>
      <c r="AQ147" s="14">
        <f>AQ295</f>
        <v/>
      </c>
      <c r="AR147" s="14">
        <f>AR295</f>
        <v/>
      </c>
      <c r="AS147" s="14">
        <f>AS295</f>
        <v/>
      </c>
    </row>
    <row r="148">
      <c r="C148" s="6" t="inlineStr">
        <is>
          <t>Cumulative net cash flow</t>
        </is>
      </c>
      <c r="D148" s="2" t="inlineStr">
        <is>
          <t>EUR k</t>
        </is>
      </c>
      <c r="J148" s="8">
        <f>SUM($J147:J147)</f>
        <v/>
      </c>
      <c r="K148" s="8">
        <f>SUM($J147:K147)</f>
        <v/>
      </c>
      <c r="L148" s="8">
        <f>SUM($J147:L147)</f>
        <v/>
      </c>
      <c r="M148" s="8">
        <f>SUM($J147:M147)</f>
        <v/>
      </c>
      <c r="N148" s="8">
        <f>SUM($J147:N147)</f>
        <v/>
      </c>
      <c r="O148" s="8">
        <f>SUM($J147:O147)</f>
        <v/>
      </c>
      <c r="P148" s="8">
        <f>SUM($J147:P147)</f>
        <v/>
      </c>
      <c r="Q148" s="8">
        <f>SUM($J147:Q147)</f>
        <v/>
      </c>
      <c r="R148" s="8">
        <f>SUM($J147:R147)</f>
        <v/>
      </c>
      <c r="S148" s="8">
        <f>SUM($J147:S147)</f>
        <v/>
      </c>
      <c r="T148" s="8">
        <f>SUM($J147:T147)</f>
        <v/>
      </c>
      <c r="U148" s="8">
        <f>SUM($J147:U147)</f>
        <v/>
      </c>
      <c r="V148" s="8">
        <f>SUM($J147:V147)</f>
        <v/>
      </c>
      <c r="W148" s="8">
        <f>SUM($J147:W147)</f>
        <v/>
      </c>
      <c r="X148" s="8">
        <f>SUM($J147:X147)</f>
        <v/>
      </c>
      <c r="Y148" s="8">
        <f>SUM($J147:Y147)</f>
        <v/>
      </c>
      <c r="Z148" s="8">
        <f>SUM($J147:Z147)</f>
        <v/>
      </c>
      <c r="AA148" s="8">
        <f>SUM($J147:AA147)</f>
        <v/>
      </c>
      <c r="AB148" s="8">
        <f>SUM($J147:AB147)</f>
        <v/>
      </c>
      <c r="AC148" s="8">
        <f>SUM($J147:AC147)</f>
        <v/>
      </c>
      <c r="AD148" s="8">
        <f>SUM($J147:AD147)</f>
        <v/>
      </c>
      <c r="AE148" s="8">
        <f>SUM($J147:AE147)</f>
        <v/>
      </c>
      <c r="AF148" s="8">
        <f>SUM($J147:AF147)</f>
        <v/>
      </c>
      <c r="AG148" s="8">
        <f>SUM($J147:AG147)</f>
        <v/>
      </c>
      <c r="AH148" s="8">
        <f>SUM($J147:AH147)</f>
        <v/>
      </c>
      <c r="AI148" s="8">
        <f>SUM($J147:AI147)</f>
        <v/>
      </c>
      <c r="AJ148" s="8">
        <f>SUM($J147:AJ147)</f>
        <v/>
      </c>
      <c r="AK148" s="8">
        <f>SUM($J147:AK147)</f>
        <v/>
      </c>
      <c r="AL148" s="8">
        <f>SUM($J147:AL147)</f>
        <v/>
      </c>
      <c r="AM148" s="8">
        <f>SUM($J147:AM147)</f>
        <v/>
      </c>
      <c r="AN148" s="8">
        <f>SUM($J147:AN147)</f>
        <v/>
      </c>
      <c r="AO148" s="8">
        <f>SUM($J147:AO147)</f>
        <v/>
      </c>
      <c r="AP148" s="8">
        <f>SUM($J147:AP147)</f>
        <v/>
      </c>
      <c r="AQ148" s="8">
        <f>SUM($J147:AQ147)</f>
        <v/>
      </c>
      <c r="AR148" s="8">
        <f>SUM($J147:AR147)</f>
        <v/>
      </c>
      <c r="AS148" s="8">
        <f>SUM($J147:AS147)</f>
        <v/>
      </c>
    </row>
    <row r="150">
      <c r="B150" s="4" t="inlineStr">
        <is>
          <t>x</t>
        </is>
      </c>
      <c r="C150" s="4" t="inlineStr">
        <is>
          <t>Detailed calculations: claims, waterfall, dated flows, timelines, checks – expand the group</t>
        </is>
      </c>
      <c r="D150" s="4" t="n"/>
      <c r="E150" s="5" t="inlineStr">
        <is>
          <t>Bora</t>
        </is>
      </c>
      <c r="F150" s="5" t="inlineStr">
        <is>
          <t>Iváncsa</t>
        </is>
      </c>
      <c r="G150" s="5" t="inlineStr">
        <is>
          <t>Dunaújváros</t>
        </is>
      </c>
      <c r="H150" s="5" t="inlineStr">
        <is>
          <t>Total</t>
        </is>
      </c>
    </row>
    <row r="151" hidden="1" outlineLevel="1"/>
    <row r="152" hidden="1" outlineLevel="1">
      <c r="B152" s="4" t="inlineStr">
        <is>
          <t>x</t>
        </is>
      </c>
      <c r="C152" s="4" t="inlineStr">
        <is>
          <t>RtB exit: FEP claims at the sale (interest to the freeze, act/365, capitalised 31-Dec)</t>
        </is>
      </c>
      <c r="D152" s="4" t="n"/>
      <c r="E152" s="5" t="inlineStr">
        <is>
          <t>Bora</t>
        </is>
      </c>
      <c r="F152" s="5" t="inlineStr">
        <is>
          <t>Iváncsa</t>
        </is>
      </c>
      <c r="G152" s="5" t="inlineStr">
        <is>
          <t>Dunaújváros</t>
        </is>
      </c>
      <c r="H152" s="5" t="inlineStr">
        <is>
          <t>Total</t>
        </is>
      </c>
    </row>
    <row r="153" hidden="1" outlineLevel="1">
      <c r="C153" s="6" t="inlineStr">
        <is>
          <t>Interest accrual end (earlier of freeze and sale)</t>
        </is>
      </c>
      <c r="D153" s="2" t="inlineStr">
        <is>
          <t>date</t>
        </is>
      </c>
      <c r="E153" s="18">
        <f>MIN(Freeze_Date,Sale_Date)</f>
        <v/>
      </c>
      <c r="F153" s="18">
        <f>MIN(Freeze_Date,Sale_Date)</f>
        <v/>
      </c>
      <c r="G153" s="18">
        <f>MIN(Freeze_Date,Sale_Date)</f>
        <v/>
      </c>
    </row>
    <row r="154" hidden="1" outlineLevel="1">
      <c r="C154" s="6" t="inlineStr">
        <is>
          <t>Accrual factor in the end year, cash rate</t>
        </is>
      </c>
      <c r="D154" s="2" t="inlineStr">
        <is>
          <t>x</t>
        </is>
      </c>
      <c r="E154" s="26">
        <f>1+Rate_Cash*(E153-DATE(YEAR(E153),1,1)+1)/Days_In_Year</f>
        <v/>
      </c>
      <c r="F154" s="26">
        <f>1+Rate_Cash*(F153-DATE(YEAR(F153),1,1)+1)/Days_In_Year</f>
        <v/>
      </c>
      <c r="G154" s="26">
        <f>1+Rate_Cash*(G153-DATE(YEAR(G153),1,1)+1)/Days_In_Year</f>
        <v/>
      </c>
    </row>
    <row r="155" hidden="1" outlineLevel="1">
      <c r="C155" s="6" t="inlineStr">
        <is>
          <t>Accrual factor in the end year, devex rate</t>
        </is>
      </c>
      <c r="D155" s="2" t="inlineStr">
        <is>
          <t>x</t>
        </is>
      </c>
      <c r="E155" s="26">
        <f>1+Rate_Devex*(E153-DATE(YEAR(E153),1,1)+1)/Days_In_Year</f>
        <v/>
      </c>
      <c r="F155" s="26">
        <f>1+Rate_Devex*(F153-DATE(YEAR(F153),1,1)+1)/Days_In_Year</f>
        <v/>
      </c>
      <c r="G155" s="26">
        <f>1+Rate_Devex*(G153-DATE(YEAR(G153),1,1)+1)/Days_In_Year</f>
        <v/>
      </c>
    </row>
    <row r="156" hidden="1" outlineLevel="1">
      <c r="C156" s="6" t="inlineStr">
        <is>
          <t>Days to the first 31-Dec from bid submission</t>
        </is>
      </c>
      <c r="D156" s="2" t="inlineStr">
        <is>
          <t>days</t>
        </is>
      </c>
      <c r="E156" s="27">
        <f>DATE(YEAR(Inputs!E$27)+1,1,1)-Inputs!E$27</f>
        <v/>
      </c>
      <c r="F156" s="27">
        <f>DATE(YEAR(Inputs!F$27)+1,1,1)-Inputs!F$27</f>
        <v/>
      </c>
      <c r="G156" s="27">
        <f>DATE(YEAR(Inputs!G$27)+1,1,1)-Inputs!G$27</f>
        <v/>
      </c>
    </row>
    <row r="157" hidden="1" outlineLevel="1">
      <c r="C157" s="6" t="inlineStr">
        <is>
          <t>Accrual factor from bid submission</t>
        </is>
      </c>
      <c r="D157" s="2" t="inlineStr">
        <is>
          <t>x</t>
        </is>
      </c>
      <c r="E157" s="26">
        <f>(1+Rate_Cash*E156/Days_In_Year)*(1+Rate_Cash)^(YEAR(E153)-YEAR(Inputs!E$27)-1)*E154</f>
        <v/>
      </c>
      <c r="F157" s="26">
        <f>(1+Rate_Cash*F156/Days_In_Year)*(1+Rate_Cash)^(YEAR(F153)-YEAR(Inputs!F$27)-1)*F154</f>
        <v/>
      </c>
      <c r="G157" s="26">
        <f>(1+Rate_Cash*G156/Days_In_Year)*(1+Rate_Cash)^(YEAR(G153)-YEAR(Inputs!G$27)-1)*G154</f>
        <v/>
      </c>
    </row>
    <row r="158" hidden="1" outlineLevel="1">
      <c r="C158" s="6" t="inlineStr">
        <is>
          <t>Days to the first 31-Dec from performance security posting</t>
        </is>
      </c>
      <c r="D158" s="2" t="inlineStr">
        <is>
          <t>days</t>
        </is>
      </c>
      <c r="E158" s="27">
        <f>DATE(YEAR(Inputs!E$28)+1,1,1)-Inputs!E$28</f>
        <v/>
      </c>
      <c r="F158" s="27">
        <f>DATE(YEAR(Inputs!F$28)+1,1,1)-Inputs!F$28</f>
        <v/>
      </c>
      <c r="G158" s="27">
        <f>DATE(YEAR(Inputs!G$28)+1,1,1)-Inputs!G$28</f>
        <v/>
      </c>
    </row>
    <row r="159" hidden="1" outlineLevel="1">
      <c r="C159" s="6" t="inlineStr">
        <is>
          <t>Accrual factor from performance security posting</t>
        </is>
      </c>
      <c r="D159" s="2" t="inlineStr">
        <is>
          <t>x</t>
        </is>
      </c>
      <c r="E159" s="26">
        <f>(1+Rate_Cash*E158/Days_In_Year)*(1+Rate_Cash)^(YEAR(E153)-YEAR(Inputs!E$28)-1)*E154</f>
        <v/>
      </c>
      <c r="F159" s="26">
        <f>(1+Rate_Cash*F158/Days_In_Year)*(1+Rate_Cash)^(YEAR(F153)-YEAR(Inputs!F$28)-1)*F154</f>
        <v/>
      </c>
      <c r="G159" s="26">
        <f>(1+Rate_Cash*G158/Days_In_Year)*(1+Rate_Cash)^(YEAR(G153)-YEAR(Inputs!G$28)-1)*G154</f>
        <v/>
      </c>
    </row>
    <row r="160" hidden="1" outlineLevel="1">
      <c r="C160" s="6" t="inlineStr">
        <is>
          <t>Days to the first 31-Dec from TSO security payment</t>
        </is>
      </c>
      <c r="D160" s="2" t="inlineStr">
        <is>
          <t>days</t>
        </is>
      </c>
      <c r="E160" s="27">
        <f>DATE(YEAR(Inputs!E$29)+1,1,1)-Inputs!E$29</f>
        <v/>
      </c>
      <c r="F160" s="27">
        <f>DATE(YEAR(Inputs!F$29)+1,1,1)-Inputs!F$29</f>
        <v/>
      </c>
      <c r="G160" s="27">
        <f>DATE(YEAR(Inputs!G$29)+1,1,1)-Inputs!G$29</f>
        <v/>
      </c>
    </row>
    <row r="161" hidden="1" outlineLevel="1">
      <c r="C161" s="6" t="inlineStr">
        <is>
          <t>Accrual factor from TSO security payment</t>
        </is>
      </c>
      <c r="D161" s="2" t="inlineStr">
        <is>
          <t>x</t>
        </is>
      </c>
      <c r="E161" s="26">
        <f>(1+Rate_Cash*E160/Days_In_Year)*(1+Rate_Cash)^(YEAR(E153)-YEAR(Inputs!E$29)-1)*E154</f>
        <v/>
      </c>
      <c r="F161" s="26">
        <f>(1+Rate_Cash*F160/Days_In_Year)*(1+Rate_Cash)^(YEAR(F153)-YEAR(Inputs!F$29)-1)*F154</f>
        <v/>
      </c>
      <c r="G161" s="26">
        <f>(1+Rate_Cash*G160/Days_In_Year)*(1+Rate_Cash)^(YEAR(G153)-YEAR(Inputs!G$29)-1)*G154</f>
        <v/>
      </c>
    </row>
    <row r="162" hidden="1" outlineLevel="1">
      <c r="C162" s="6" t="inlineStr">
        <is>
          <t>Days to the first 31-Dec from connection agreement (HCSSZ)</t>
        </is>
      </c>
      <c r="D162" s="2" t="inlineStr">
        <is>
          <t>days</t>
        </is>
      </c>
      <c r="E162" s="27">
        <f>DATE(YEAR(Inputs!E$30)+1,1,1)-Inputs!E$30</f>
        <v/>
      </c>
      <c r="F162" s="27">
        <f>DATE(YEAR(Inputs!F$30)+1,1,1)-Inputs!F$30</f>
        <v/>
      </c>
      <c r="G162" s="27">
        <f>DATE(YEAR(Inputs!G$30)+1,1,1)-Inputs!G$30</f>
        <v/>
      </c>
    </row>
    <row r="163" hidden="1" outlineLevel="1">
      <c r="C163" s="6" t="inlineStr">
        <is>
          <t>Accrual factor from connection agreement (HCSSZ)</t>
        </is>
      </c>
      <c r="D163" s="2" t="inlineStr">
        <is>
          <t>x</t>
        </is>
      </c>
      <c r="E163" s="26">
        <f>(1+Rate_Cash*E162/Days_In_Year)*(1+Rate_Cash)^(YEAR(E153)-YEAR(Inputs!E$30)-1)*E154</f>
        <v/>
      </c>
      <c r="F163" s="26">
        <f>(1+Rate_Cash*F162/Days_In_Year)*(1+Rate_Cash)^(YEAR(F153)-YEAR(Inputs!F$30)-1)*F154</f>
        <v/>
      </c>
      <c r="G163" s="26">
        <f>(1+Rate_Cash*G162/Days_In_Year)*(1+Rate_Cash)^(YEAR(G153)-YEAR(Inputs!G$30)-1)*G154</f>
        <v/>
      </c>
    </row>
    <row r="164" hidden="1" outlineLevel="1">
      <c r="C164" s="6" t="inlineStr">
        <is>
          <t>Days to the first 31-Dec from devex payment (average)</t>
        </is>
      </c>
      <c r="D164" s="2" t="inlineStr">
        <is>
          <t>days</t>
        </is>
      </c>
      <c r="E164" s="27">
        <f>DATE(YEAR(Inputs!E$31)+1,1,1)-Inputs!E$31</f>
        <v/>
      </c>
      <c r="F164" s="27">
        <f>DATE(YEAR(Inputs!F$31)+1,1,1)-Inputs!F$31</f>
        <v/>
      </c>
      <c r="G164" s="27">
        <f>DATE(YEAR(Inputs!G$31)+1,1,1)-Inputs!G$31</f>
        <v/>
      </c>
    </row>
    <row r="165" hidden="1" outlineLevel="1">
      <c r="C165" s="6" t="inlineStr">
        <is>
          <t>Accrual factor from devex payment (average)</t>
        </is>
      </c>
      <c r="D165" s="2" t="inlineStr">
        <is>
          <t>x</t>
        </is>
      </c>
      <c r="E165" s="26">
        <f>(1+Rate_Devex*E164/Days_In_Year)*(1+Rate_Devex)^(YEAR(E153)-YEAR(Inputs!E$31)-1)*E155</f>
        <v/>
      </c>
      <c r="F165" s="26">
        <f>(1+Rate_Devex*F164/Days_In_Year)*(1+Rate_Devex)^(YEAR(F153)-YEAR(Inputs!F$31)-1)*F155</f>
        <v/>
      </c>
      <c r="G165" s="26">
        <f>(1+Rate_Devex*G164/Days_In_Year)*(1+Rate_Devex)^(YEAR(G153)-YEAR(Inputs!G$31)-1)*G155</f>
        <v/>
      </c>
    </row>
    <row r="166" hidden="1" outlineLevel="1">
      <c r="C166" s="6" t="inlineStr">
        <is>
          <t>Claim: participation fee (not reimbursed)</t>
        </is>
      </c>
      <c r="D166" s="2" t="inlineStr">
        <is>
          <t>EUR k</t>
        </is>
      </c>
      <c r="E166" s="16">
        <f>E61*(E157-1)</f>
        <v/>
      </c>
      <c r="F166" s="16">
        <f>F61*(F157-1)</f>
        <v/>
      </c>
      <c r="G166" s="16">
        <f>G61*(G157-1)</f>
        <v/>
      </c>
      <c r="H166" s="16">
        <f>SUM(E166:G166)</f>
        <v/>
      </c>
    </row>
    <row r="167" hidden="1" outlineLevel="1">
      <c r="C167" s="6" t="inlineStr">
        <is>
          <t>Claim: bid security (cash)</t>
        </is>
      </c>
      <c r="D167" s="2" t="inlineStr">
        <is>
          <t>EUR k</t>
        </is>
      </c>
      <c r="E167" s="8">
        <f>E62*(E157-1)</f>
        <v/>
      </c>
      <c r="F167" s="8">
        <f>F62*(F157-1)</f>
        <v/>
      </c>
      <c r="G167" s="8">
        <f>G62*(G157-1)</f>
        <v/>
      </c>
      <c r="H167" s="8">
        <f>SUM(E167:G167)</f>
        <v/>
      </c>
    </row>
    <row r="168" hidden="1" outlineLevel="1">
      <c r="C168" s="6" t="inlineStr">
        <is>
          <t>Claim: performance security payable (cash)</t>
        </is>
      </c>
      <c r="D168" s="2" t="inlineStr">
        <is>
          <t>EUR k</t>
        </is>
      </c>
      <c r="E168" s="8">
        <f>E63*(E159-1)</f>
        <v/>
      </c>
      <c r="F168" s="8">
        <f>F63*(F159-1)</f>
        <v/>
      </c>
      <c r="G168" s="8">
        <f>G63*(G159-1)</f>
        <v/>
      </c>
      <c r="H168" s="8">
        <f>SUM(E168:G168)</f>
        <v/>
      </c>
    </row>
    <row r="169" hidden="1" outlineLevel="1">
      <c r="C169" s="6" t="inlineStr">
        <is>
          <t>Claim: TSO connection-request security</t>
        </is>
      </c>
      <c r="D169" s="2" t="inlineStr">
        <is>
          <t>EUR k</t>
        </is>
      </c>
      <c r="E169" s="8">
        <f>E64*(E161-1)</f>
        <v/>
      </c>
      <c r="F169" s="8">
        <f>F64*(F161-1)</f>
        <v/>
      </c>
      <c r="G169" s="8">
        <f>G64*(G161-1)</f>
        <v/>
      </c>
      <c r="H169" s="8">
        <f>SUM(E169:G169)</f>
        <v/>
      </c>
    </row>
    <row r="170" hidden="1" outlineLevel="1">
      <c r="C170" s="6" t="inlineStr">
        <is>
          <t>Claim: direct connection fee</t>
        </is>
      </c>
      <c r="D170" s="2" t="inlineStr">
        <is>
          <t>EUR k</t>
        </is>
      </c>
      <c r="E170" s="8">
        <f>E65*(E163-1)</f>
        <v/>
      </c>
      <c r="F170" s="8">
        <f>F65*(F163-1)</f>
        <v/>
      </c>
      <c r="G170" s="8">
        <f>G65*(G163-1)</f>
        <v/>
      </c>
      <c r="H170" s="8">
        <f>SUM(E170:G170)</f>
        <v/>
      </c>
    </row>
    <row r="171" hidden="1" outlineLevel="1">
      <c r="C171" s="6" t="inlineStr">
        <is>
          <t>Claim: indirect connection fee, payable</t>
        </is>
      </c>
      <c r="D171" s="2" t="inlineStr">
        <is>
          <t>EUR k</t>
        </is>
      </c>
      <c r="E171" s="8">
        <f>E66*(E163-1)</f>
        <v/>
      </c>
      <c r="F171" s="8">
        <f>F66*(F163-1)</f>
        <v/>
      </c>
      <c r="G171" s="8">
        <f>G66*(G163-1)</f>
        <v/>
      </c>
      <c r="H171" s="8">
        <f>SUM(E171:G171)</f>
        <v/>
      </c>
    </row>
    <row r="172" hidden="1" outlineLevel="1">
      <c r="C172" s="6" t="inlineStr">
        <is>
          <t>Claim: devex, MAX(20 % accrued, 1× principal)</t>
        </is>
      </c>
      <c r="D172" s="2" t="inlineStr">
        <is>
          <t>EUR k</t>
        </is>
      </c>
      <c r="E172" s="8">
        <f>E67*MAX(E165-1,Devex_Floor-1)</f>
        <v/>
      </c>
      <c r="F172" s="8">
        <f>F67*MAX(F165-1,Devex_Floor-1)</f>
        <v/>
      </c>
      <c r="G172" s="8">
        <f>G67*MAX(G165-1,Devex_Floor-1)</f>
        <v/>
      </c>
      <c r="H172" s="8">
        <f>SUM(E172:G172)</f>
        <v/>
      </c>
    </row>
    <row r="173" hidden="1" outlineLevel="1">
      <c r="C173" s="1" t="inlineStr">
        <is>
          <t>Total FEP claims</t>
        </is>
      </c>
      <c r="D173" s="2" t="inlineStr">
        <is>
          <t>EUR k</t>
        </is>
      </c>
      <c r="E173" s="19">
        <f>SUM(E166:E172)</f>
        <v/>
      </c>
      <c r="F173" s="19">
        <f>SUM(F166:F172)</f>
        <v/>
      </c>
      <c r="G173" s="19">
        <f>SUM(G166:G172)</f>
        <v/>
      </c>
      <c r="H173" s="19">
        <f>SUM(E173:G173)</f>
        <v/>
      </c>
    </row>
    <row r="174" hidden="1" outlineLevel="1">
      <c r="C174" s="6" t="inlineStr">
        <is>
          <t>Developer success fee due (DSA, capped)</t>
        </is>
      </c>
      <c r="D174" s="2" t="inlineStr">
        <is>
          <t>EUR k</t>
        </is>
      </c>
      <c r="E174" s="8">
        <f>E20*MIN(DSA_Rate*YEARFRAC(Inputs!E$35,Sale_Date),DSA_Cap)*E42</f>
        <v/>
      </c>
      <c r="F174" s="8">
        <f>F20*MIN(DSA_Rate*YEARFRAC(Inputs!F$35,Sale_Date),DSA_Cap)*F42</f>
        <v/>
      </c>
      <c r="G174" s="8">
        <f>G20*MIN(DSA_Rate*YEARFRAC(Inputs!G$35,Sale_Date),DSA_Cap)*G42</f>
        <v/>
      </c>
      <c r="H174" s="8">
        <f>SUM(E174:G174)</f>
        <v/>
      </c>
    </row>
    <row r="175" hidden="1" outlineLevel="1"/>
    <row r="176" hidden="1" outlineLevel="1">
      <c r="B176" s="4" t="inlineStr">
        <is>
          <t>x</t>
        </is>
      </c>
      <c r="C176" s="4" t="inlineStr">
        <is>
          <t>RtB exit: waterfall at the sale</t>
        </is>
      </c>
      <c r="D176" s="4" t="n"/>
      <c r="E176" s="5" t="inlineStr">
        <is>
          <t>Bora</t>
        </is>
      </c>
      <c r="F176" s="5" t="inlineStr">
        <is>
          <t>Iváncsa</t>
        </is>
      </c>
      <c r="G176" s="5" t="inlineStr">
        <is>
          <t>Dunaújváros</t>
        </is>
      </c>
      <c r="H176" s="5" t="inlineStr">
        <is>
          <t>Total</t>
        </is>
      </c>
    </row>
    <row r="177" hidden="1" outlineLevel="1">
      <c r="C177" s="6" t="inlineStr">
        <is>
          <t>RtB premium</t>
        </is>
      </c>
      <c r="D177" s="2" t="inlineStr">
        <is>
          <t>EUR k</t>
        </is>
      </c>
      <c r="E177" s="8">
        <f>E18*E6</f>
        <v/>
      </c>
      <c r="F177" s="8">
        <f>F18*F6</f>
        <v/>
      </c>
      <c r="G177" s="8">
        <f>G18*G6</f>
        <v/>
      </c>
      <c r="H177" s="8">
        <f>SUM(E177:G177)</f>
        <v/>
      </c>
    </row>
    <row r="178" hidden="1" outlineLevel="1">
      <c r="C178" s="6" t="inlineStr">
        <is>
          <t>Buyer reimburses securities and connection fees at cost</t>
        </is>
      </c>
      <c r="D178" s="2" t="inlineStr">
        <is>
          <t>EUR k</t>
        </is>
      </c>
      <c r="E178" s="8">
        <f>SUM(E62:E66)</f>
        <v/>
      </c>
      <c r="F178" s="8">
        <f>SUM(F62:F66)</f>
        <v/>
      </c>
      <c r="G178" s="8">
        <f>SUM(G62:G66)</f>
        <v/>
      </c>
      <c r="H178" s="8">
        <f>SUM(E178:G178)</f>
        <v/>
      </c>
    </row>
    <row r="179" hidden="1" outlineLevel="1">
      <c r="C179" s="1" t="inlineStr">
        <is>
          <t>Total proceeds</t>
        </is>
      </c>
      <c r="D179" s="2" t="inlineStr">
        <is>
          <t>EUR k</t>
        </is>
      </c>
      <c r="E179" s="14">
        <f>E177+E178</f>
        <v/>
      </c>
      <c r="F179" s="14">
        <f>F177+F178</f>
        <v/>
      </c>
      <c r="G179" s="14">
        <f>G177+G178</f>
        <v/>
      </c>
      <c r="H179" s="14">
        <f>SUM(E179:G179)</f>
        <v/>
      </c>
    </row>
    <row r="180" hidden="1" outlineLevel="1">
      <c r="C180" s="6" t="inlineStr">
        <is>
          <t>Less sale costs</t>
        </is>
      </c>
      <c r="D180" s="2" t="inlineStr">
        <is>
          <t>EUR k</t>
        </is>
      </c>
      <c r="E180" s="8">
        <f>-MIN(E179,Sale_Costs)</f>
        <v/>
      </c>
      <c r="F180" s="8">
        <f>-MIN(F179,Sale_Costs)</f>
        <v/>
      </c>
      <c r="G180" s="8">
        <f>-MIN(G179,Sale_Costs)</f>
        <v/>
      </c>
      <c r="H180" s="8">
        <f>SUM(E180:G180)</f>
        <v/>
      </c>
    </row>
    <row r="181" hidden="1" outlineLevel="1">
      <c r="C181" s="6" t="inlineStr">
        <is>
          <t>Less securities and fees repaid to FEP</t>
        </is>
      </c>
      <c r="D181" s="2" t="inlineStr">
        <is>
          <t>EUR k</t>
        </is>
      </c>
      <c r="E181" s="8">
        <f>-MIN(SUM(E179:E180),E178)</f>
        <v/>
      </c>
      <c r="F181" s="8">
        <f>-MIN(SUM(F179:F180),F178)</f>
        <v/>
      </c>
      <c r="G181" s="8">
        <f>-MIN(SUM(G179:G180),G178)</f>
        <v/>
      </c>
      <c r="H181" s="8">
        <f>SUM(E181:G181)</f>
        <v/>
      </c>
    </row>
    <row r="182" hidden="1" outlineLevel="1">
      <c r="C182" s="6" t="inlineStr">
        <is>
          <t>Less FEP claims at 12 %</t>
        </is>
      </c>
      <c r="D182" s="2" t="inlineStr">
        <is>
          <t>EUR k</t>
        </is>
      </c>
      <c r="E182" s="8">
        <f>-MIN(SUM(E179:E181),SUM(E166:E171))</f>
        <v/>
      </c>
      <c r="F182" s="8">
        <f>-MIN(SUM(F179:F181),SUM(F166:F171))</f>
        <v/>
      </c>
      <c r="G182" s="8">
        <f>-MIN(SUM(G179:G181),SUM(G166:G171))</f>
        <v/>
      </c>
      <c r="H182" s="8">
        <f>SUM(E182:G182)</f>
        <v/>
      </c>
    </row>
    <row r="183" hidden="1" outlineLevel="1">
      <c r="C183" s="6" t="inlineStr">
        <is>
          <t>Less FEP devex return</t>
        </is>
      </c>
      <c r="D183" s="2" t="inlineStr">
        <is>
          <t>EUR k</t>
        </is>
      </c>
      <c r="E183" s="8">
        <f>-MIN(SUM(E179:E182),E172)</f>
        <v/>
      </c>
      <c r="F183" s="8">
        <f>-MIN(SUM(F179:F182),F172)</f>
        <v/>
      </c>
      <c r="G183" s="8">
        <f>-MIN(SUM(G179:G182),G172)</f>
        <v/>
      </c>
      <c r="H183" s="8">
        <f>SUM(E183:G183)</f>
        <v/>
      </c>
    </row>
    <row r="184" hidden="1" outlineLevel="1">
      <c r="C184" s="6" t="inlineStr">
        <is>
          <t>Less developer success fee (DSA)</t>
        </is>
      </c>
      <c r="D184" s="2" t="inlineStr">
        <is>
          <t>EUR k</t>
        </is>
      </c>
      <c r="E184" s="8">
        <f>-MIN(SUM(E179:E183),E174)</f>
        <v/>
      </c>
      <c r="F184" s="8">
        <f>-MIN(SUM(F179:F183),F174)</f>
        <v/>
      </c>
      <c r="G184" s="8">
        <f>-MIN(SUM(G179:G183),G174)</f>
        <v/>
      </c>
      <c r="H184" s="8">
        <f>SUM(E184:G184)</f>
        <v/>
      </c>
    </row>
    <row r="185" hidden="1" outlineLevel="1">
      <c r="C185" s="1" t="inlineStr">
        <is>
          <t>Distributable proceeds</t>
        </is>
      </c>
      <c r="D185" s="2" t="inlineStr">
        <is>
          <t>EUR k</t>
        </is>
      </c>
      <c r="E185" s="19">
        <f>SUM(E179:E184)</f>
        <v/>
      </c>
      <c r="F185" s="19">
        <f>SUM(F179:F184)</f>
        <v/>
      </c>
      <c r="G185" s="19">
        <f>SUM(G179:G184)</f>
        <v/>
      </c>
      <c r="H185" s="19">
        <f>SUM(E185:G185)</f>
        <v/>
      </c>
    </row>
    <row r="186" hidden="1" outlineLevel="1">
      <c r="C186" s="6" t="inlineStr">
        <is>
          <t>FEP share of distributable</t>
        </is>
      </c>
      <c r="D186" s="2" t="inlineStr">
        <is>
          <t>EUR k</t>
        </is>
      </c>
      <c r="E186" s="8">
        <f>E185*E19</f>
        <v/>
      </c>
      <c r="F186" s="8">
        <f>F185*F19</f>
        <v/>
      </c>
      <c r="G186" s="8">
        <f>G185*G19</f>
        <v/>
      </c>
      <c r="H186" s="8">
        <f>SUM(E186:G186)</f>
        <v/>
      </c>
    </row>
    <row r="187" hidden="1" outlineLevel="1">
      <c r="C187" s="6" t="inlineStr">
        <is>
          <t>Developer share of distributable</t>
        </is>
      </c>
      <c r="D187" s="2" t="inlineStr">
        <is>
          <t>EUR k</t>
        </is>
      </c>
      <c r="E187" s="8">
        <f>E185-E186</f>
        <v/>
      </c>
      <c r="F187" s="8">
        <f>F185-F186</f>
        <v/>
      </c>
      <c r="G187" s="8">
        <f>G185-G186</f>
        <v/>
      </c>
      <c r="H187" s="8">
        <f>SUM(E187:G187)</f>
        <v/>
      </c>
    </row>
    <row r="188" hidden="1" outlineLevel="1"/>
    <row r="189" hidden="1" outlineLevel="1">
      <c r="C189" s="20" t="inlineStr">
        <is>
          <t>FEP cash flows, dated (outlays, then receipts at the sale)</t>
        </is>
      </c>
      <c r="D189" s="20" t="n"/>
      <c r="E189" s="21" t="inlineStr">
        <is>
          <t>Bora</t>
        </is>
      </c>
      <c r="F189" s="21" t="inlineStr">
        <is>
          <t>Iváncsa</t>
        </is>
      </c>
      <c r="G189" s="21" t="inlineStr">
        <is>
          <t>Dunaújváros</t>
        </is>
      </c>
      <c r="H189" s="21" t="inlineStr">
        <is>
          <t>Total</t>
        </is>
      </c>
      <c r="J189" s="21" t="inlineStr">
        <is>
          <t>Date: Bora</t>
        </is>
      </c>
      <c r="K189" s="21" t="inlineStr">
        <is>
          <t>Iváncsa</t>
        </is>
      </c>
      <c r="L189" s="21" t="inlineStr">
        <is>
          <t>Dunaújváros</t>
        </is>
      </c>
    </row>
    <row r="190" hidden="1" outlineLevel="1">
      <c r="C190" s="6" t="inlineStr">
        <is>
          <t>Signing fee and DD</t>
        </is>
      </c>
      <c r="D190" s="2" t="inlineStr">
        <is>
          <t>EUR k</t>
        </is>
      </c>
      <c r="E190" s="8">
        <f>-E68</f>
        <v/>
      </c>
      <c r="F190" s="8">
        <f>-F68</f>
        <v/>
      </c>
      <c r="G190" s="8">
        <f>-G68</f>
        <v/>
      </c>
      <c r="H190" s="8">
        <f>SUM(E190:G190)</f>
        <v/>
      </c>
      <c r="J190" s="18">
        <f>Inputs!E$26</f>
        <v/>
      </c>
      <c r="K190" s="18">
        <f>Inputs!F$26</f>
        <v/>
      </c>
      <c r="L190" s="18">
        <f>Inputs!G$26</f>
        <v/>
      </c>
    </row>
    <row r="191" hidden="1" outlineLevel="1">
      <c r="C191" s="6" t="inlineStr">
        <is>
          <t>Participation fee</t>
        </is>
      </c>
      <c r="D191" s="2" t="inlineStr">
        <is>
          <t>EUR k</t>
        </is>
      </c>
      <c r="E191" s="16">
        <f>-E61</f>
        <v/>
      </c>
      <c r="F191" s="16">
        <f>-F61</f>
        <v/>
      </c>
      <c r="G191" s="16">
        <f>-G61</f>
        <v/>
      </c>
      <c r="H191" s="16">
        <f>SUM(E191:G191)</f>
        <v/>
      </c>
      <c r="J191" s="18">
        <f>Inputs!E$27</f>
        <v/>
      </c>
      <c r="K191" s="18">
        <f>Inputs!F$27</f>
        <v/>
      </c>
      <c r="L191" s="18">
        <f>Inputs!G$27</f>
        <v/>
      </c>
    </row>
    <row r="192" hidden="1" outlineLevel="1">
      <c r="C192" s="6" t="inlineStr">
        <is>
          <t>Bid security</t>
        </is>
      </c>
      <c r="D192" s="2" t="inlineStr">
        <is>
          <t>EUR k</t>
        </is>
      </c>
      <c r="E192" s="8">
        <f>-E62</f>
        <v/>
      </c>
      <c r="F192" s="8">
        <f>-F62</f>
        <v/>
      </c>
      <c r="G192" s="8">
        <f>-G62</f>
        <v/>
      </c>
      <c r="H192" s="8">
        <f>SUM(E192:G192)</f>
        <v/>
      </c>
      <c r="J192" s="18">
        <f>Inputs!E$27</f>
        <v/>
      </c>
      <c r="K192" s="18">
        <f>Inputs!F$27</f>
        <v/>
      </c>
      <c r="L192" s="18">
        <f>Inputs!G$27</f>
        <v/>
      </c>
    </row>
    <row r="193" hidden="1" outlineLevel="1">
      <c r="C193" s="6" t="inlineStr">
        <is>
          <t>Performance security payable</t>
        </is>
      </c>
      <c r="D193" s="2" t="inlineStr">
        <is>
          <t>EUR k</t>
        </is>
      </c>
      <c r="E193" s="8">
        <f>-E63</f>
        <v/>
      </c>
      <c r="F193" s="8">
        <f>-F63</f>
        <v/>
      </c>
      <c r="G193" s="8">
        <f>-G63</f>
        <v/>
      </c>
      <c r="H193" s="8">
        <f>SUM(E193:G193)</f>
        <v/>
      </c>
      <c r="J193" s="18">
        <f>Inputs!E$28</f>
        <v/>
      </c>
      <c r="K193" s="18">
        <f>Inputs!F$28</f>
        <v/>
      </c>
      <c r="L193" s="18">
        <f>Inputs!G$28</f>
        <v/>
      </c>
    </row>
    <row r="194" hidden="1" outlineLevel="1">
      <c r="C194" s="6" t="inlineStr">
        <is>
          <t>TSO connection-request security</t>
        </is>
      </c>
      <c r="D194" s="2" t="inlineStr">
        <is>
          <t>EUR k</t>
        </is>
      </c>
      <c r="E194" s="8">
        <f>-E64</f>
        <v/>
      </c>
      <c r="F194" s="8">
        <f>-F64</f>
        <v/>
      </c>
      <c r="G194" s="8">
        <f>-G64</f>
        <v/>
      </c>
      <c r="H194" s="8">
        <f>SUM(E194:G194)</f>
        <v/>
      </c>
      <c r="J194" s="18">
        <f>Inputs!E$29</f>
        <v/>
      </c>
      <c r="K194" s="18">
        <f>Inputs!F$29</f>
        <v/>
      </c>
      <c r="L194" s="18">
        <f>Inputs!G$29</f>
        <v/>
      </c>
    </row>
    <row r="195" hidden="1" outlineLevel="1">
      <c r="C195" s="6" t="inlineStr">
        <is>
          <t>Direct connection fee</t>
        </is>
      </c>
      <c r="D195" s="2" t="inlineStr">
        <is>
          <t>EUR k</t>
        </is>
      </c>
      <c r="E195" s="8">
        <f>-E65</f>
        <v/>
      </c>
      <c r="F195" s="8">
        <f>-F65</f>
        <v/>
      </c>
      <c r="G195" s="8">
        <f>-G65</f>
        <v/>
      </c>
      <c r="H195" s="8">
        <f>SUM(E195:G195)</f>
        <v/>
      </c>
      <c r="J195" s="18">
        <f>Inputs!E$30</f>
        <v/>
      </c>
      <c r="K195" s="18">
        <f>Inputs!F$30</f>
        <v/>
      </c>
      <c r="L195" s="18">
        <f>Inputs!G$30</f>
        <v/>
      </c>
    </row>
    <row r="196" hidden="1" outlineLevel="1">
      <c r="C196" s="6" t="inlineStr">
        <is>
          <t>Indirect connection fee, payable</t>
        </is>
      </c>
      <c r="D196" s="2" t="inlineStr">
        <is>
          <t>EUR k</t>
        </is>
      </c>
      <c r="E196" s="8">
        <f>-E66</f>
        <v/>
      </c>
      <c r="F196" s="8">
        <f>-F66</f>
        <v/>
      </c>
      <c r="G196" s="8">
        <f>-G66</f>
        <v/>
      </c>
      <c r="H196" s="8">
        <f>SUM(E196:G196)</f>
        <v/>
      </c>
      <c r="J196" s="18">
        <f>Inputs!E$30</f>
        <v/>
      </c>
      <c r="K196" s="18">
        <f>Inputs!F$30</f>
        <v/>
      </c>
      <c r="L196" s="18">
        <f>Inputs!G$30</f>
        <v/>
      </c>
    </row>
    <row r="197" hidden="1" outlineLevel="1">
      <c r="C197" s="6" t="inlineStr">
        <is>
          <t>Devex</t>
        </is>
      </c>
      <c r="D197" s="2" t="inlineStr">
        <is>
          <t>EUR k</t>
        </is>
      </c>
      <c r="E197" s="8">
        <f>-E67</f>
        <v/>
      </c>
      <c r="F197" s="8">
        <f>-F67</f>
        <v/>
      </c>
      <c r="G197" s="8">
        <f>-G67</f>
        <v/>
      </c>
      <c r="H197" s="8">
        <f>SUM(E197:G197)</f>
        <v/>
      </c>
      <c r="J197" s="18">
        <f>Inputs!E$31</f>
        <v/>
      </c>
      <c r="K197" s="18">
        <f>Inputs!F$31</f>
        <v/>
      </c>
      <c r="L197" s="18">
        <f>Inputs!G$31</f>
        <v/>
      </c>
    </row>
    <row r="198" hidden="1" outlineLevel="1">
      <c r="C198" s="1" t="inlineStr">
        <is>
          <t>FEP receipts at the sale (repaid, claims, share)</t>
        </is>
      </c>
      <c r="D198" s="2" t="inlineStr">
        <is>
          <t>EUR k</t>
        </is>
      </c>
      <c r="E198" s="14">
        <f>E186-SUM(E181:E183)</f>
        <v/>
      </c>
      <c r="F198" s="14">
        <f>F186-SUM(F181:F183)</f>
        <v/>
      </c>
      <c r="G198" s="14">
        <f>G186-SUM(G181:G183)</f>
        <v/>
      </c>
      <c r="H198" s="14">
        <f>SUM(E198:G198)</f>
        <v/>
      </c>
      <c r="J198" s="18">
        <f>Sale_Date</f>
        <v/>
      </c>
      <c r="K198" s="18">
        <f>Sale_Date</f>
        <v/>
      </c>
      <c r="L198" s="18">
        <f>Sale_Date</f>
        <v/>
      </c>
    </row>
    <row r="199" hidden="1" outlineLevel="1">
      <c r="C199" s="1" t="inlineStr">
        <is>
          <t>FEP profit, pre-tax</t>
        </is>
      </c>
      <c r="D199" s="2" t="inlineStr">
        <is>
          <t>EUR k</t>
        </is>
      </c>
      <c r="E199" s="19">
        <f>SUM(E190:E198)</f>
        <v/>
      </c>
      <c r="F199" s="19">
        <f>SUM(F190:F198)</f>
        <v/>
      </c>
      <c r="G199" s="19">
        <f>SUM(G190:G198)</f>
        <v/>
      </c>
      <c r="H199" s="19">
        <f>SUM(E199:G199)</f>
        <v/>
      </c>
    </row>
    <row r="200" hidden="1" outlineLevel="1">
      <c r="C200" s="6" t="inlineStr">
        <is>
          <t>CIT on the gain</t>
        </is>
      </c>
      <c r="D200" s="2" t="inlineStr">
        <is>
          <t>EUR k</t>
        </is>
      </c>
      <c r="E200" s="8">
        <f>-MAX(0,E199)*CIT_Rate</f>
        <v/>
      </c>
      <c r="F200" s="8">
        <f>-MAX(0,F199)*CIT_Rate</f>
        <v/>
      </c>
      <c r="G200" s="8">
        <f>-MAX(0,G199)*CIT_Rate</f>
        <v/>
      </c>
      <c r="H200" s="8">
        <f>SUM(E200:G200)</f>
        <v/>
      </c>
    </row>
    <row r="201" hidden="1" outlineLevel="1">
      <c r="C201" s="1" t="inlineStr">
        <is>
          <t>FEP profit, post-tax</t>
        </is>
      </c>
      <c r="D201" s="2" t="inlineStr">
        <is>
          <t>EUR k</t>
        </is>
      </c>
      <c r="E201" s="14">
        <f>E199+E200</f>
        <v/>
      </c>
      <c r="F201" s="14">
        <f>F199+F200</f>
        <v/>
      </c>
      <c r="G201" s="14">
        <f>G199+G200</f>
        <v/>
      </c>
      <c r="H201" s="14">
        <f>SUM(E201:G201)</f>
        <v/>
      </c>
    </row>
    <row r="202" hidden="1" outlineLevel="1"/>
    <row r="203" hidden="1" outlineLevel="1">
      <c r="B203" s="4" t="inlineStr">
        <is>
          <t>x</t>
        </is>
      </c>
      <c r="C203" s="4" t="inlineStr">
        <is>
          <t>Annual timeline</t>
        </is>
      </c>
      <c r="D203" s="4" t="n"/>
      <c r="E203" s="5" t="n"/>
      <c r="F203" s="5" t="n"/>
      <c r="G203" s="5" t="n"/>
      <c r="H203" s="5" t="inlineStr">
        <is>
          <t>Total</t>
        </is>
      </c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</row>
    <row r="204" hidden="1" outlineLevel="1">
      <c r="C204" s="6" t="inlineStr">
        <is>
          <t>Year</t>
        </is>
      </c>
      <c r="D204" s="2" t="inlineStr">
        <is>
          <t>year</t>
        </is>
      </c>
      <c r="J204" s="27">
        <f>First_Year+COLUMN()-COLUMN($J$1)</f>
        <v/>
      </c>
      <c r="K204" s="27">
        <f>First_Year+COLUMN()-COLUMN($J$1)</f>
        <v/>
      </c>
      <c r="L204" s="27">
        <f>First_Year+COLUMN()-COLUMN($J$1)</f>
        <v/>
      </c>
      <c r="M204" s="27">
        <f>First_Year+COLUMN()-COLUMN($J$1)</f>
        <v/>
      </c>
      <c r="N204" s="27">
        <f>First_Year+COLUMN()-COLUMN($J$1)</f>
        <v/>
      </c>
      <c r="O204" s="27">
        <f>First_Year+COLUMN()-COLUMN($J$1)</f>
        <v/>
      </c>
      <c r="P204" s="27">
        <f>First_Year+COLUMN()-COLUMN($J$1)</f>
        <v/>
      </c>
      <c r="Q204" s="27">
        <f>First_Year+COLUMN()-COLUMN($J$1)</f>
        <v/>
      </c>
      <c r="R204" s="27">
        <f>First_Year+COLUMN()-COLUMN($J$1)</f>
        <v/>
      </c>
      <c r="S204" s="27">
        <f>First_Year+COLUMN()-COLUMN($J$1)</f>
        <v/>
      </c>
      <c r="T204" s="27">
        <f>First_Year+COLUMN()-COLUMN($J$1)</f>
        <v/>
      </c>
      <c r="U204" s="27">
        <f>First_Year+COLUMN()-COLUMN($J$1)</f>
        <v/>
      </c>
      <c r="V204" s="27">
        <f>First_Year+COLUMN()-COLUMN($J$1)</f>
        <v/>
      </c>
      <c r="W204" s="27">
        <f>First_Year+COLUMN()-COLUMN($J$1)</f>
        <v/>
      </c>
      <c r="X204" s="27">
        <f>First_Year+COLUMN()-COLUMN($J$1)</f>
        <v/>
      </c>
      <c r="Y204" s="27">
        <f>First_Year+COLUMN()-COLUMN($J$1)</f>
        <v/>
      </c>
      <c r="Z204" s="27">
        <f>First_Year+COLUMN()-COLUMN($J$1)</f>
        <v/>
      </c>
      <c r="AA204" s="27">
        <f>First_Year+COLUMN()-COLUMN($J$1)</f>
        <v/>
      </c>
      <c r="AB204" s="27">
        <f>First_Year+COLUMN()-COLUMN($J$1)</f>
        <v/>
      </c>
      <c r="AC204" s="27">
        <f>First_Year+COLUMN()-COLUMN($J$1)</f>
        <v/>
      </c>
      <c r="AD204" s="27">
        <f>First_Year+COLUMN()-COLUMN($J$1)</f>
        <v/>
      </c>
      <c r="AE204" s="27">
        <f>First_Year+COLUMN()-COLUMN($J$1)</f>
        <v/>
      </c>
      <c r="AF204" s="27">
        <f>First_Year+COLUMN()-COLUMN($J$1)</f>
        <v/>
      </c>
      <c r="AG204" s="27">
        <f>First_Year+COLUMN()-COLUMN($J$1)</f>
        <v/>
      </c>
      <c r="AH204" s="27">
        <f>First_Year+COLUMN()-COLUMN($J$1)</f>
        <v/>
      </c>
      <c r="AI204" s="27">
        <f>First_Year+COLUMN()-COLUMN($J$1)</f>
        <v/>
      </c>
      <c r="AJ204" s="27">
        <f>First_Year+COLUMN()-COLUMN($J$1)</f>
        <v/>
      </c>
      <c r="AK204" s="27">
        <f>First_Year+COLUMN()-COLUMN($J$1)</f>
        <v/>
      </c>
      <c r="AL204" s="27">
        <f>First_Year+COLUMN()-COLUMN($J$1)</f>
        <v/>
      </c>
      <c r="AM204" s="27">
        <f>First_Year+COLUMN()-COLUMN($J$1)</f>
        <v/>
      </c>
      <c r="AN204" s="27">
        <f>First_Year+COLUMN()-COLUMN($J$1)</f>
        <v/>
      </c>
      <c r="AO204" s="27">
        <f>First_Year+COLUMN()-COLUMN($J$1)</f>
        <v/>
      </c>
      <c r="AP204" s="27">
        <f>First_Year+COLUMN()-COLUMN($J$1)</f>
        <v/>
      </c>
      <c r="AQ204" s="27">
        <f>First_Year+COLUMN()-COLUMN($J$1)</f>
        <v/>
      </c>
      <c r="AR204" s="27">
        <f>First_Year+COLUMN()-COLUMN($J$1)</f>
        <v/>
      </c>
      <c r="AS204" s="27">
        <f>First_Year+COLUMN()-COLUMN($J$1)</f>
        <v/>
      </c>
    </row>
    <row r="205" hidden="1" outlineLevel="1">
      <c r="C205" s="6" t="inlineStr">
        <is>
          <t>Year end</t>
        </is>
      </c>
      <c r="D205" s="2" t="inlineStr">
        <is>
          <t>date</t>
        </is>
      </c>
      <c r="J205" s="18">
        <f>DATE(J204+1,1,1)-1</f>
        <v/>
      </c>
      <c r="K205" s="18">
        <f>DATE(K204+1,1,1)-1</f>
        <v/>
      </c>
      <c r="L205" s="18">
        <f>DATE(L204+1,1,1)-1</f>
        <v/>
      </c>
      <c r="M205" s="18">
        <f>DATE(M204+1,1,1)-1</f>
        <v/>
      </c>
      <c r="N205" s="18">
        <f>DATE(N204+1,1,1)-1</f>
        <v/>
      </c>
      <c r="O205" s="18">
        <f>DATE(O204+1,1,1)-1</f>
        <v/>
      </c>
      <c r="P205" s="18">
        <f>DATE(P204+1,1,1)-1</f>
        <v/>
      </c>
      <c r="Q205" s="18">
        <f>DATE(Q204+1,1,1)-1</f>
        <v/>
      </c>
      <c r="R205" s="18">
        <f>DATE(R204+1,1,1)-1</f>
        <v/>
      </c>
      <c r="S205" s="18">
        <f>DATE(S204+1,1,1)-1</f>
        <v/>
      </c>
      <c r="T205" s="18">
        <f>DATE(T204+1,1,1)-1</f>
        <v/>
      </c>
      <c r="U205" s="18">
        <f>DATE(U204+1,1,1)-1</f>
        <v/>
      </c>
      <c r="V205" s="18">
        <f>DATE(V204+1,1,1)-1</f>
        <v/>
      </c>
      <c r="W205" s="18">
        <f>DATE(W204+1,1,1)-1</f>
        <v/>
      </c>
      <c r="X205" s="18">
        <f>DATE(X204+1,1,1)-1</f>
        <v/>
      </c>
      <c r="Y205" s="18">
        <f>DATE(Y204+1,1,1)-1</f>
        <v/>
      </c>
      <c r="Z205" s="18">
        <f>DATE(Z204+1,1,1)-1</f>
        <v/>
      </c>
      <c r="AA205" s="18">
        <f>DATE(AA204+1,1,1)-1</f>
        <v/>
      </c>
      <c r="AB205" s="18">
        <f>DATE(AB204+1,1,1)-1</f>
        <v/>
      </c>
      <c r="AC205" s="18">
        <f>DATE(AC204+1,1,1)-1</f>
        <v/>
      </c>
      <c r="AD205" s="18">
        <f>DATE(AD204+1,1,1)-1</f>
        <v/>
      </c>
      <c r="AE205" s="18">
        <f>DATE(AE204+1,1,1)-1</f>
        <v/>
      </c>
      <c r="AF205" s="18">
        <f>DATE(AF204+1,1,1)-1</f>
        <v/>
      </c>
      <c r="AG205" s="18">
        <f>DATE(AG204+1,1,1)-1</f>
        <v/>
      </c>
      <c r="AH205" s="18">
        <f>DATE(AH204+1,1,1)-1</f>
        <v/>
      </c>
      <c r="AI205" s="18">
        <f>DATE(AI204+1,1,1)-1</f>
        <v/>
      </c>
      <c r="AJ205" s="18">
        <f>DATE(AJ204+1,1,1)-1</f>
        <v/>
      </c>
      <c r="AK205" s="18">
        <f>DATE(AK204+1,1,1)-1</f>
        <v/>
      </c>
      <c r="AL205" s="18">
        <f>DATE(AL204+1,1,1)-1</f>
        <v/>
      </c>
      <c r="AM205" s="18">
        <f>DATE(AM204+1,1,1)-1</f>
        <v/>
      </c>
      <c r="AN205" s="18">
        <f>DATE(AN204+1,1,1)-1</f>
        <v/>
      </c>
      <c r="AO205" s="18">
        <f>DATE(AO204+1,1,1)-1</f>
        <v/>
      </c>
      <c r="AP205" s="18">
        <f>DATE(AP204+1,1,1)-1</f>
        <v/>
      </c>
      <c r="AQ205" s="18">
        <f>DATE(AQ204+1,1,1)-1</f>
        <v/>
      </c>
      <c r="AR205" s="18">
        <f>DATE(AR204+1,1,1)-1</f>
        <v/>
      </c>
      <c r="AS205" s="18">
        <f>DATE(AS204+1,1,1)-1</f>
        <v/>
      </c>
    </row>
    <row r="206" hidden="1" outlineLevel="1"/>
    <row r="207" hidden="1" outlineLevel="1">
      <c r="B207" s="4" t="inlineStr">
        <is>
          <t>x</t>
        </is>
      </c>
      <c r="C207" s="4" t="inlineStr">
        <is>
          <t>Bora: annual cash flow (EUR k)</t>
        </is>
      </c>
      <c r="D207" s="4" t="n"/>
      <c r="E207" s="5" t="inlineStr">
        <is>
          <t>Value</t>
        </is>
      </c>
      <c r="F207" s="5" t="n"/>
      <c r="G207" s="5" t="n"/>
      <c r="H207" s="5" t="inlineStr">
        <is>
          <t>Total</t>
        </is>
      </c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</row>
    <row r="208" hidden="1" outlineLevel="1">
      <c r="C208" s="6" t="inlineStr">
        <is>
          <t>Years from the COD year</t>
        </is>
      </c>
      <c r="D208" s="2" t="inlineStr">
        <is>
          <t>years</t>
        </is>
      </c>
      <c r="J208" s="27">
        <f>J$204-YEAR(Inputs!$E$33)</f>
        <v/>
      </c>
      <c r="K208" s="27">
        <f>K$204-YEAR(Inputs!$E$33)</f>
        <v/>
      </c>
      <c r="L208" s="27">
        <f>L$204-YEAR(Inputs!$E$33)</f>
        <v/>
      </c>
      <c r="M208" s="27">
        <f>M$204-YEAR(Inputs!$E$33)</f>
        <v/>
      </c>
      <c r="N208" s="27">
        <f>N$204-YEAR(Inputs!$E$33)</f>
        <v/>
      </c>
      <c r="O208" s="27">
        <f>O$204-YEAR(Inputs!$E$33)</f>
        <v/>
      </c>
      <c r="P208" s="27">
        <f>P$204-YEAR(Inputs!$E$33)</f>
        <v/>
      </c>
      <c r="Q208" s="27">
        <f>Q$204-YEAR(Inputs!$E$33)</f>
        <v/>
      </c>
      <c r="R208" s="27">
        <f>R$204-YEAR(Inputs!$E$33)</f>
        <v/>
      </c>
      <c r="S208" s="27">
        <f>S$204-YEAR(Inputs!$E$33)</f>
        <v/>
      </c>
      <c r="T208" s="27">
        <f>T$204-YEAR(Inputs!$E$33)</f>
        <v/>
      </c>
      <c r="U208" s="27">
        <f>U$204-YEAR(Inputs!$E$33)</f>
        <v/>
      </c>
      <c r="V208" s="27">
        <f>V$204-YEAR(Inputs!$E$33)</f>
        <v/>
      </c>
      <c r="W208" s="27">
        <f>W$204-YEAR(Inputs!$E$33)</f>
        <v/>
      </c>
      <c r="X208" s="27">
        <f>X$204-YEAR(Inputs!$E$33)</f>
        <v/>
      </c>
      <c r="Y208" s="27">
        <f>Y$204-YEAR(Inputs!$E$33)</f>
        <v/>
      </c>
      <c r="Z208" s="27">
        <f>Z$204-YEAR(Inputs!$E$33)</f>
        <v/>
      </c>
      <c r="AA208" s="27">
        <f>AA$204-YEAR(Inputs!$E$33)</f>
        <v/>
      </c>
      <c r="AB208" s="27">
        <f>AB$204-YEAR(Inputs!$E$33)</f>
        <v/>
      </c>
      <c r="AC208" s="27">
        <f>AC$204-YEAR(Inputs!$E$33)</f>
        <v/>
      </c>
      <c r="AD208" s="27">
        <f>AD$204-YEAR(Inputs!$E$33)</f>
        <v/>
      </c>
      <c r="AE208" s="27">
        <f>AE$204-YEAR(Inputs!$E$33)</f>
        <v/>
      </c>
      <c r="AF208" s="27">
        <f>AF$204-YEAR(Inputs!$E$33)</f>
        <v/>
      </c>
      <c r="AG208" s="27">
        <f>AG$204-YEAR(Inputs!$E$33)</f>
        <v/>
      </c>
      <c r="AH208" s="27">
        <f>AH$204-YEAR(Inputs!$E$33)</f>
        <v/>
      </c>
      <c r="AI208" s="27">
        <f>AI$204-YEAR(Inputs!$E$33)</f>
        <v/>
      </c>
      <c r="AJ208" s="27">
        <f>AJ$204-YEAR(Inputs!$E$33)</f>
        <v/>
      </c>
      <c r="AK208" s="27">
        <f>AK$204-YEAR(Inputs!$E$33)</f>
        <v/>
      </c>
      <c r="AL208" s="27">
        <f>AL$204-YEAR(Inputs!$E$33)</f>
        <v/>
      </c>
      <c r="AM208" s="27">
        <f>AM$204-YEAR(Inputs!$E$33)</f>
        <v/>
      </c>
      <c r="AN208" s="27">
        <f>AN$204-YEAR(Inputs!$E$33)</f>
        <v/>
      </c>
      <c r="AO208" s="27">
        <f>AO$204-YEAR(Inputs!$E$33)</f>
        <v/>
      </c>
      <c r="AP208" s="27">
        <f>AP$204-YEAR(Inputs!$E$33)</f>
        <v/>
      </c>
      <c r="AQ208" s="27">
        <f>AQ$204-YEAR(Inputs!$E$33)</f>
        <v/>
      </c>
      <c r="AR208" s="27">
        <f>AR$204-YEAR(Inputs!$E$33)</f>
        <v/>
      </c>
      <c r="AS208" s="27">
        <f>AS$204-YEAR(Inputs!$E$33)</f>
        <v/>
      </c>
    </row>
    <row r="209" hidden="1" outlineLevel="1">
      <c r="C209" s="6" t="inlineStr">
        <is>
          <t>Construction months by year end (value: construction period)</t>
        </is>
      </c>
      <c r="D209" s="2" t="inlineStr">
        <is>
          <t>months</t>
        </is>
      </c>
      <c r="E209" s="27">
        <f>DATEDIF(Inputs!$E$32,Inputs!$E$33,"m")</f>
        <v/>
      </c>
      <c r="J209" s="27">
        <f>(J$204+1-YEAR(Inputs!$E$32))*Months_In_Year-MONTH(Inputs!$E$32)</f>
        <v/>
      </c>
      <c r="K209" s="27">
        <f>(K$204+1-YEAR(Inputs!$E$32))*Months_In_Year-MONTH(Inputs!$E$32)</f>
        <v/>
      </c>
      <c r="L209" s="27">
        <f>(L$204+1-YEAR(Inputs!$E$32))*Months_In_Year-MONTH(Inputs!$E$32)</f>
        <v/>
      </c>
      <c r="M209" s="27">
        <f>(M$204+1-YEAR(Inputs!$E$32))*Months_In_Year-MONTH(Inputs!$E$32)</f>
        <v/>
      </c>
      <c r="N209" s="27">
        <f>(N$204+1-YEAR(Inputs!$E$32))*Months_In_Year-MONTH(Inputs!$E$32)</f>
        <v/>
      </c>
      <c r="O209" s="27">
        <f>(O$204+1-YEAR(Inputs!$E$32))*Months_In_Year-MONTH(Inputs!$E$32)</f>
        <v/>
      </c>
      <c r="P209" s="27">
        <f>(P$204+1-YEAR(Inputs!$E$32))*Months_In_Year-MONTH(Inputs!$E$32)</f>
        <v/>
      </c>
      <c r="Q209" s="27">
        <f>(Q$204+1-YEAR(Inputs!$E$32))*Months_In_Year-MONTH(Inputs!$E$32)</f>
        <v/>
      </c>
      <c r="R209" s="27">
        <f>(R$204+1-YEAR(Inputs!$E$32))*Months_In_Year-MONTH(Inputs!$E$32)</f>
        <v/>
      </c>
      <c r="S209" s="27">
        <f>(S$204+1-YEAR(Inputs!$E$32))*Months_In_Year-MONTH(Inputs!$E$32)</f>
        <v/>
      </c>
      <c r="T209" s="27">
        <f>(T$204+1-YEAR(Inputs!$E$32))*Months_In_Year-MONTH(Inputs!$E$32)</f>
        <v/>
      </c>
      <c r="U209" s="27">
        <f>(U$204+1-YEAR(Inputs!$E$32))*Months_In_Year-MONTH(Inputs!$E$32)</f>
        <v/>
      </c>
      <c r="V209" s="27">
        <f>(V$204+1-YEAR(Inputs!$E$32))*Months_In_Year-MONTH(Inputs!$E$32)</f>
        <v/>
      </c>
      <c r="W209" s="27">
        <f>(W$204+1-YEAR(Inputs!$E$32))*Months_In_Year-MONTH(Inputs!$E$32)</f>
        <v/>
      </c>
      <c r="X209" s="27">
        <f>(X$204+1-YEAR(Inputs!$E$32))*Months_In_Year-MONTH(Inputs!$E$32)</f>
        <v/>
      </c>
      <c r="Y209" s="27">
        <f>(Y$204+1-YEAR(Inputs!$E$32))*Months_In_Year-MONTH(Inputs!$E$32)</f>
        <v/>
      </c>
      <c r="Z209" s="27">
        <f>(Z$204+1-YEAR(Inputs!$E$32))*Months_In_Year-MONTH(Inputs!$E$32)</f>
        <v/>
      </c>
      <c r="AA209" s="27">
        <f>(AA$204+1-YEAR(Inputs!$E$32))*Months_In_Year-MONTH(Inputs!$E$32)</f>
        <v/>
      </c>
      <c r="AB209" s="27">
        <f>(AB$204+1-YEAR(Inputs!$E$32))*Months_In_Year-MONTH(Inputs!$E$32)</f>
        <v/>
      </c>
      <c r="AC209" s="27">
        <f>(AC$204+1-YEAR(Inputs!$E$32))*Months_In_Year-MONTH(Inputs!$E$32)</f>
        <v/>
      </c>
      <c r="AD209" s="27">
        <f>(AD$204+1-YEAR(Inputs!$E$32))*Months_In_Year-MONTH(Inputs!$E$32)</f>
        <v/>
      </c>
      <c r="AE209" s="27">
        <f>(AE$204+1-YEAR(Inputs!$E$32))*Months_In_Year-MONTH(Inputs!$E$32)</f>
        <v/>
      </c>
      <c r="AF209" s="27">
        <f>(AF$204+1-YEAR(Inputs!$E$32))*Months_In_Year-MONTH(Inputs!$E$32)</f>
        <v/>
      </c>
      <c r="AG209" s="27">
        <f>(AG$204+1-YEAR(Inputs!$E$32))*Months_In_Year-MONTH(Inputs!$E$32)</f>
        <v/>
      </c>
      <c r="AH209" s="27">
        <f>(AH$204+1-YEAR(Inputs!$E$32))*Months_In_Year-MONTH(Inputs!$E$32)</f>
        <v/>
      </c>
      <c r="AI209" s="27">
        <f>(AI$204+1-YEAR(Inputs!$E$32))*Months_In_Year-MONTH(Inputs!$E$32)</f>
        <v/>
      </c>
      <c r="AJ209" s="27">
        <f>(AJ$204+1-YEAR(Inputs!$E$32))*Months_In_Year-MONTH(Inputs!$E$32)</f>
        <v/>
      </c>
      <c r="AK209" s="27">
        <f>(AK$204+1-YEAR(Inputs!$E$32))*Months_In_Year-MONTH(Inputs!$E$32)</f>
        <v/>
      </c>
      <c r="AL209" s="27">
        <f>(AL$204+1-YEAR(Inputs!$E$32))*Months_In_Year-MONTH(Inputs!$E$32)</f>
        <v/>
      </c>
      <c r="AM209" s="27">
        <f>(AM$204+1-YEAR(Inputs!$E$32))*Months_In_Year-MONTH(Inputs!$E$32)</f>
        <v/>
      </c>
      <c r="AN209" s="27">
        <f>(AN$204+1-YEAR(Inputs!$E$32))*Months_In_Year-MONTH(Inputs!$E$32)</f>
        <v/>
      </c>
      <c r="AO209" s="27">
        <f>(AO$204+1-YEAR(Inputs!$E$32))*Months_In_Year-MONTH(Inputs!$E$32)</f>
        <v/>
      </c>
      <c r="AP209" s="27">
        <f>(AP$204+1-YEAR(Inputs!$E$32))*Months_In_Year-MONTH(Inputs!$E$32)</f>
        <v/>
      </c>
      <c r="AQ209" s="27">
        <f>(AQ$204+1-YEAR(Inputs!$E$32))*Months_In_Year-MONTH(Inputs!$E$32)</f>
        <v/>
      </c>
      <c r="AR209" s="27">
        <f>(AR$204+1-YEAR(Inputs!$E$32))*Months_In_Year-MONTH(Inputs!$E$32)</f>
        <v/>
      </c>
      <c r="AS209" s="27">
        <f>(AS$204+1-YEAR(Inputs!$E$32))*Months_In_Year-MONTH(Inputs!$E$32)</f>
        <v/>
      </c>
    </row>
    <row r="210" hidden="1" outlineLevel="1">
      <c r="C210" s="6" t="inlineStr">
        <is>
          <t>Construction share of the year (NTP to COD)</t>
        </is>
      </c>
      <c r="D210" s="2" t="inlineStr">
        <is>
          <t>%</t>
        </is>
      </c>
      <c r="H210" s="28">
        <f>SUM(J210:AS210)</f>
        <v/>
      </c>
      <c r="J210" s="23">
        <f>MAX(0,MIN(J209,$E209)-MAX(J209-Months_In_Year,0))/$E209</f>
        <v/>
      </c>
      <c r="K210" s="23">
        <f>MAX(0,MIN(K209,$E209)-MAX(K209-Months_In_Year,0))/$E209</f>
        <v/>
      </c>
      <c r="L210" s="23">
        <f>MAX(0,MIN(L209,$E209)-MAX(L209-Months_In_Year,0))/$E209</f>
        <v/>
      </c>
      <c r="M210" s="23">
        <f>MAX(0,MIN(M209,$E209)-MAX(M209-Months_In_Year,0))/$E209</f>
        <v/>
      </c>
      <c r="N210" s="23">
        <f>MAX(0,MIN(N209,$E209)-MAX(N209-Months_In_Year,0))/$E209</f>
        <v/>
      </c>
      <c r="O210" s="23">
        <f>MAX(0,MIN(O209,$E209)-MAX(O209-Months_In_Year,0))/$E209</f>
        <v/>
      </c>
      <c r="P210" s="23">
        <f>MAX(0,MIN(P209,$E209)-MAX(P209-Months_In_Year,0))/$E209</f>
        <v/>
      </c>
      <c r="Q210" s="23">
        <f>MAX(0,MIN(Q209,$E209)-MAX(Q209-Months_In_Year,0))/$E209</f>
        <v/>
      </c>
      <c r="R210" s="23">
        <f>MAX(0,MIN(R209,$E209)-MAX(R209-Months_In_Year,0))/$E209</f>
        <v/>
      </c>
      <c r="S210" s="23">
        <f>MAX(0,MIN(S209,$E209)-MAX(S209-Months_In_Year,0))/$E209</f>
        <v/>
      </c>
      <c r="T210" s="23">
        <f>MAX(0,MIN(T209,$E209)-MAX(T209-Months_In_Year,0))/$E209</f>
        <v/>
      </c>
      <c r="U210" s="23">
        <f>MAX(0,MIN(U209,$E209)-MAX(U209-Months_In_Year,0))/$E209</f>
        <v/>
      </c>
      <c r="V210" s="23">
        <f>MAX(0,MIN(V209,$E209)-MAX(V209-Months_In_Year,0))/$E209</f>
        <v/>
      </c>
      <c r="W210" s="23">
        <f>MAX(0,MIN(W209,$E209)-MAX(W209-Months_In_Year,0))/$E209</f>
        <v/>
      </c>
      <c r="X210" s="23">
        <f>MAX(0,MIN(X209,$E209)-MAX(X209-Months_In_Year,0))/$E209</f>
        <v/>
      </c>
      <c r="Y210" s="23">
        <f>MAX(0,MIN(Y209,$E209)-MAX(Y209-Months_In_Year,0))/$E209</f>
        <v/>
      </c>
      <c r="Z210" s="23">
        <f>MAX(0,MIN(Z209,$E209)-MAX(Z209-Months_In_Year,0))/$E209</f>
        <v/>
      </c>
      <c r="AA210" s="23">
        <f>MAX(0,MIN(AA209,$E209)-MAX(AA209-Months_In_Year,0))/$E209</f>
        <v/>
      </c>
      <c r="AB210" s="23">
        <f>MAX(0,MIN(AB209,$E209)-MAX(AB209-Months_In_Year,0))/$E209</f>
        <v/>
      </c>
      <c r="AC210" s="23">
        <f>MAX(0,MIN(AC209,$E209)-MAX(AC209-Months_In_Year,0))/$E209</f>
        <v/>
      </c>
      <c r="AD210" s="23">
        <f>MAX(0,MIN(AD209,$E209)-MAX(AD209-Months_In_Year,0))/$E209</f>
        <v/>
      </c>
      <c r="AE210" s="23">
        <f>MAX(0,MIN(AE209,$E209)-MAX(AE209-Months_In_Year,0))/$E209</f>
        <v/>
      </c>
      <c r="AF210" s="23">
        <f>MAX(0,MIN(AF209,$E209)-MAX(AF209-Months_In_Year,0))/$E209</f>
        <v/>
      </c>
      <c r="AG210" s="23">
        <f>MAX(0,MIN(AG209,$E209)-MAX(AG209-Months_In_Year,0))/$E209</f>
        <v/>
      </c>
      <c r="AH210" s="23">
        <f>MAX(0,MIN(AH209,$E209)-MAX(AH209-Months_In_Year,0))/$E209</f>
        <v/>
      </c>
      <c r="AI210" s="23">
        <f>MAX(0,MIN(AI209,$E209)-MAX(AI209-Months_In_Year,0))/$E209</f>
        <v/>
      </c>
      <c r="AJ210" s="23">
        <f>MAX(0,MIN(AJ209,$E209)-MAX(AJ209-Months_In_Year,0))/$E209</f>
        <v/>
      </c>
      <c r="AK210" s="23">
        <f>MAX(0,MIN(AK209,$E209)-MAX(AK209-Months_In_Year,0))/$E209</f>
        <v/>
      </c>
      <c r="AL210" s="23">
        <f>MAX(0,MIN(AL209,$E209)-MAX(AL209-Months_In_Year,0))/$E209</f>
        <v/>
      </c>
      <c r="AM210" s="23">
        <f>MAX(0,MIN(AM209,$E209)-MAX(AM209-Months_In_Year,0))/$E209</f>
        <v/>
      </c>
      <c r="AN210" s="23">
        <f>MAX(0,MIN(AN209,$E209)-MAX(AN209-Months_In_Year,0))/$E209</f>
        <v/>
      </c>
      <c r="AO210" s="23">
        <f>MAX(0,MIN(AO209,$E209)-MAX(AO209-Months_In_Year,0))/$E209</f>
        <v/>
      </c>
      <c r="AP210" s="23">
        <f>MAX(0,MIN(AP209,$E209)-MAX(AP209-Months_In_Year,0))/$E209</f>
        <v/>
      </c>
      <c r="AQ210" s="23">
        <f>MAX(0,MIN(AQ209,$E209)-MAX(AQ209-Months_In_Year,0))/$E209</f>
        <v/>
      </c>
      <c r="AR210" s="23">
        <f>MAX(0,MIN(AR209,$E209)-MAX(AR209-Months_In_Year,0))/$E209</f>
        <v/>
      </c>
      <c r="AS210" s="23">
        <f>MAX(0,MIN(AS209,$E209)-MAX(AS209-Months_In_Year,0))/$E209</f>
        <v/>
      </c>
    </row>
    <row r="211" hidden="1" outlineLevel="1">
      <c r="C211" s="6" t="inlineStr">
        <is>
          <t>Months operated by year end (value: operating life)</t>
        </is>
      </c>
      <c r="D211" s="2" t="inlineStr">
        <is>
          <t>months</t>
        </is>
      </c>
      <c r="E211" s="27">
        <f>Life*Months_In_Year</f>
        <v/>
      </c>
      <c r="J211" s="27">
        <f>(J$204+1-YEAR(Inputs!$E$33))*Months_In_Year-MONTH(Inputs!$E$33)</f>
        <v/>
      </c>
      <c r="K211" s="27">
        <f>(K$204+1-YEAR(Inputs!$E$33))*Months_In_Year-MONTH(Inputs!$E$33)</f>
        <v/>
      </c>
      <c r="L211" s="27">
        <f>(L$204+1-YEAR(Inputs!$E$33))*Months_In_Year-MONTH(Inputs!$E$33)</f>
        <v/>
      </c>
      <c r="M211" s="27">
        <f>(M$204+1-YEAR(Inputs!$E$33))*Months_In_Year-MONTH(Inputs!$E$33)</f>
        <v/>
      </c>
      <c r="N211" s="27">
        <f>(N$204+1-YEAR(Inputs!$E$33))*Months_In_Year-MONTH(Inputs!$E$33)</f>
        <v/>
      </c>
      <c r="O211" s="27">
        <f>(O$204+1-YEAR(Inputs!$E$33))*Months_In_Year-MONTH(Inputs!$E$33)</f>
        <v/>
      </c>
      <c r="P211" s="27">
        <f>(P$204+1-YEAR(Inputs!$E$33))*Months_In_Year-MONTH(Inputs!$E$33)</f>
        <v/>
      </c>
      <c r="Q211" s="27">
        <f>(Q$204+1-YEAR(Inputs!$E$33))*Months_In_Year-MONTH(Inputs!$E$33)</f>
        <v/>
      </c>
      <c r="R211" s="27">
        <f>(R$204+1-YEAR(Inputs!$E$33))*Months_In_Year-MONTH(Inputs!$E$33)</f>
        <v/>
      </c>
      <c r="S211" s="27">
        <f>(S$204+1-YEAR(Inputs!$E$33))*Months_In_Year-MONTH(Inputs!$E$33)</f>
        <v/>
      </c>
      <c r="T211" s="27">
        <f>(T$204+1-YEAR(Inputs!$E$33))*Months_In_Year-MONTH(Inputs!$E$33)</f>
        <v/>
      </c>
      <c r="U211" s="27">
        <f>(U$204+1-YEAR(Inputs!$E$33))*Months_In_Year-MONTH(Inputs!$E$33)</f>
        <v/>
      </c>
      <c r="V211" s="27">
        <f>(V$204+1-YEAR(Inputs!$E$33))*Months_In_Year-MONTH(Inputs!$E$33)</f>
        <v/>
      </c>
      <c r="W211" s="27">
        <f>(W$204+1-YEAR(Inputs!$E$33))*Months_In_Year-MONTH(Inputs!$E$33)</f>
        <v/>
      </c>
      <c r="X211" s="27">
        <f>(X$204+1-YEAR(Inputs!$E$33))*Months_In_Year-MONTH(Inputs!$E$33)</f>
        <v/>
      </c>
      <c r="Y211" s="27">
        <f>(Y$204+1-YEAR(Inputs!$E$33))*Months_In_Year-MONTH(Inputs!$E$33)</f>
        <v/>
      </c>
      <c r="Z211" s="27">
        <f>(Z$204+1-YEAR(Inputs!$E$33))*Months_In_Year-MONTH(Inputs!$E$33)</f>
        <v/>
      </c>
      <c r="AA211" s="27">
        <f>(AA$204+1-YEAR(Inputs!$E$33))*Months_In_Year-MONTH(Inputs!$E$33)</f>
        <v/>
      </c>
      <c r="AB211" s="27">
        <f>(AB$204+1-YEAR(Inputs!$E$33))*Months_In_Year-MONTH(Inputs!$E$33)</f>
        <v/>
      </c>
      <c r="AC211" s="27">
        <f>(AC$204+1-YEAR(Inputs!$E$33))*Months_In_Year-MONTH(Inputs!$E$33)</f>
        <v/>
      </c>
      <c r="AD211" s="27">
        <f>(AD$204+1-YEAR(Inputs!$E$33))*Months_In_Year-MONTH(Inputs!$E$33)</f>
        <v/>
      </c>
      <c r="AE211" s="27">
        <f>(AE$204+1-YEAR(Inputs!$E$33))*Months_In_Year-MONTH(Inputs!$E$33)</f>
        <v/>
      </c>
      <c r="AF211" s="27">
        <f>(AF$204+1-YEAR(Inputs!$E$33))*Months_In_Year-MONTH(Inputs!$E$33)</f>
        <v/>
      </c>
      <c r="AG211" s="27">
        <f>(AG$204+1-YEAR(Inputs!$E$33))*Months_In_Year-MONTH(Inputs!$E$33)</f>
        <v/>
      </c>
      <c r="AH211" s="27">
        <f>(AH$204+1-YEAR(Inputs!$E$33))*Months_In_Year-MONTH(Inputs!$E$33)</f>
        <v/>
      </c>
      <c r="AI211" s="27">
        <f>(AI$204+1-YEAR(Inputs!$E$33))*Months_In_Year-MONTH(Inputs!$E$33)</f>
        <v/>
      </c>
      <c r="AJ211" s="27">
        <f>(AJ$204+1-YEAR(Inputs!$E$33))*Months_In_Year-MONTH(Inputs!$E$33)</f>
        <v/>
      </c>
      <c r="AK211" s="27">
        <f>(AK$204+1-YEAR(Inputs!$E$33))*Months_In_Year-MONTH(Inputs!$E$33)</f>
        <v/>
      </c>
      <c r="AL211" s="27">
        <f>(AL$204+1-YEAR(Inputs!$E$33))*Months_In_Year-MONTH(Inputs!$E$33)</f>
        <v/>
      </c>
      <c r="AM211" s="27">
        <f>(AM$204+1-YEAR(Inputs!$E$33))*Months_In_Year-MONTH(Inputs!$E$33)</f>
        <v/>
      </c>
      <c r="AN211" s="27">
        <f>(AN$204+1-YEAR(Inputs!$E$33))*Months_In_Year-MONTH(Inputs!$E$33)</f>
        <v/>
      </c>
      <c r="AO211" s="27">
        <f>(AO$204+1-YEAR(Inputs!$E$33))*Months_In_Year-MONTH(Inputs!$E$33)</f>
        <v/>
      </c>
      <c r="AP211" s="27">
        <f>(AP$204+1-YEAR(Inputs!$E$33))*Months_In_Year-MONTH(Inputs!$E$33)</f>
        <v/>
      </c>
      <c r="AQ211" s="27">
        <f>(AQ$204+1-YEAR(Inputs!$E$33))*Months_In_Year-MONTH(Inputs!$E$33)</f>
        <v/>
      </c>
      <c r="AR211" s="27">
        <f>(AR$204+1-YEAR(Inputs!$E$33))*Months_In_Year-MONTH(Inputs!$E$33)</f>
        <v/>
      </c>
      <c r="AS211" s="27">
        <f>(AS$204+1-YEAR(Inputs!$E$33))*Months_In_Year-MONTH(Inputs!$E$33)</f>
        <v/>
      </c>
    </row>
    <row r="212" hidden="1" outlineLevel="1">
      <c r="C212" s="6" t="inlineStr">
        <is>
          <t>Operating share of the year (COD to end of life)</t>
        </is>
      </c>
      <c r="D212" s="2" t="inlineStr">
        <is>
          <t>%</t>
        </is>
      </c>
      <c r="H212" s="28">
        <f>SUM(J212:AS212)</f>
        <v/>
      </c>
      <c r="J212" s="23">
        <f>MAX(0,MIN(J211,$E211)-MAX(J211-Months_In_Year,0))/Months_In_Year</f>
        <v/>
      </c>
      <c r="K212" s="23">
        <f>MAX(0,MIN(K211,$E211)-MAX(K211-Months_In_Year,0))/Months_In_Year</f>
        <v/>
      </c>
      <c r="L212" s="23">
        <f>MAX(0,MIN(L211,$E211)-MAX(L211-Months_In_Year,0))/Months_In_Year</f>
        <v/>
      </c>
      <c r="M212" s="23">
        <f>MAX(0,MIN(M211,$E211)-MAX(M211-Months_In_Year,0))/Months_In_Year</f>
        <v/>
      </c>
      <c r="N212" s="23">
        <f>MAX(0,MIN(N211,$E211)-MAX(N211-Months_In_Year,0))/Months_In_Year</f>
        <v/>
      </c>
      <c r="O212" s="23">
        <f>MAX(0,MIN(O211,$E211)-MAX(O211-Months_In_Year,0))/Months_In_Year</f>
        <v/>
      </c>
      <c r="P212" s="23">
        <f>MAX(0,MIN(P211,$E211)-MAX(P211-Months_In_Year,0))/Months_In_Year</f>
        <v/>
      </c>
      <c r="Q212" s="23">
        <f>MAX(0,MIN(Q211,$E211)-MAX(Q211-Months_In_Year,0))/Months_In_Year</f>
        <v/>
      </c>
      <c r="R212" s="23">
        <f>MAX(0,MIN(R211,$E211)-MAX(R211-Months_In_Year,0))/Months_In_Year</f>
        <v/>
      </c>
      <c r="S212" s="23">
        <f>MAX(0,MIN(S211,$E211)-MAX(S211-Months_In_Year,0))/Months_In_Year</f>
        <v/>
      </c>
      <c r="T212" s="23">
        <f>MAX(0,MIN(T211,$E211)-MAX(T211-Months_In_Year,0))/Months_In_Year</f>
        <v/>
      </c>
      <c r="U212" s="23">
        <f>MAX(0,MIN(U211,$E211)-MAX(U211-Months_In_Year,0))/Months_In_Year</f>
        <v/>
      </c>
      <c r="V212" s="23">
        <f>MAX(0,MIN(V211,$E211)-MAX(V211-Months_In_Year,0))/Months_In_Year</f>
        <v/>
      </c>
      <c r="W212" s="23">
        <f>MAX(0,MIN(W211,$E211)-MAX(W211-Months_In_Year,0))/Months_In_Year</f>
        <v/>
      </c>
      <c r="X212" s="23">
        <f>MAX(0,MIN(X211,$E211)-MAX(X211-Months_In_Year,0))/Months_In_Year</f>
        <v/>
      </c>
      <c r="Y212" s="23">
        <f>MAX(0,MIN(Y211,$E211)-MAX(Y211-Months_In_Year,0))/Months_In_Year</f>
        <v/>
      </c>
      <c r="Z212" s="23">
        <f>MAX(0,MIN(Z211,$E211)-MAX(Z211-Months_In_Year,0))/Months_In_Year</f>
        <v/>
      </c>
      <c r="AA212" s="23">
        <f>MAX(0,MIN(AA211,$E211)-MAX(AA211-Months_In_Year,0))/Months_In_Year</f>
        <v/>
      </c>
      <c r="AB212" s="23">
        <f>MAX(0,MIN(AB211,$E211)-MAX(AB211-Months_In_Year,0))/Months_In_Year</f>
        <v/>
      </c>
      <c r="AC212" s="23">
        <f>MAX(0,MIN(AC211,$E211)-MAX(AC211-Months_In_Year,0))/Months_In_Year</f>
        <v/>
      </c>
      <c r="AD212" s="23">
        <f>MAX(0,MIN(AD211,$E211)-MAX(AD211-Months_In_Year,0))/Months_In_Year</f>
        <v/>
      </c>
      <c r="AE212" s="23">
        <f>MAX(0,MIN(AE211,$E211)-MAX(AE211-Months_In_Year,0))/Months_In_Year</f>
        <v/>
      </c>
      <c r="AF212" s="23">
        <f>MAX(0,MIN(AF211,$E211)-MAX(AF211-Months_In_Year,0))/Months_In_Year</f>
        <v/>
      </c>
      <c r="AG212" s="23">
        <f>MAX(0,MIN(AG211,$E211)-MAX(AG211-Months_In_Year,0))/Months_In_Year</f>
        <v/>
      </c>
      <c r="AH212" s="23">
        <f>MAX(0,MIN(AH211,$E211)-MAX(AH211-Months_In_Year,0))/Months_In_Year</f>
        <v/>
      </c>
      <c r="AI212" s="23">
        <f>MAX(0,MIN(AI211,$E211)-MAX(AI211-Months_In_Year,0))/Months_In_Year</f>
        <v/>
      </c>
      <c r="AJ212" s="23">
        <f>MAX(0,MIN(AJ211,$E211)-MAX(AJ211-Months_In_Year,0))/Months_In_Year</f>
        <v/>
      </c>
      <c r="AK212" s="23">
        <f>MAX(0,MIN(AK211,$E211)-MAX(AK211-Months_In_Year,0))/Months_In_Year</f>
        <v/>
      </c>
      <c r="AL212" s="23">
        <f>MAX(0,MIN(AL211,$E211)-MAX(AL211-Months_In_Year,0))/Months_In_Year</f>
        <v/>
      </c>
      <c r="AM212" s="23">
        <f>MAX(0,MIN(AM211,$E211)-MAX(AM211-Months_In_Year,0))/Months_In_Year</f>
        <v/>
      </c>
      <c r="AN212" s="23">
        <f>MAX(0,MIN(AN211,$E211)-MAX(AN211-Months_In_Year,0))/Months_In_Year</f>
        <v/>
      </c>
      <c r="AO212" s="23">
        <f>MAX(0,MIN(AO211,$E211)-MAX(AO211-Months_In_Year,0))/Months_In_Year</f>
        <v/>
      </c>
      <c r="AP212" s="23">
        <f>MAX(0,MIN(AP211,$E211)-MAX(AP211-Months_In_Year,0))/Months_In_Year</f>
        <v/>
      </c>
      <c r="AQ212" s="23">
        <f>MAX(0,MIN(AQ211,$E211)-MAX(AQ211-Months_In_Year,0))/Months_In_Year</f>
        <v/>
      </c>
      <c r="AR212" s="23">
        <f>MAX(0,MIN(AR211,$E211)-MAX(AR211-Months_In_Year,0))/Months_In_Year</f>
        <v/>
      </c>
      <c r="AS212" s="23">
        <f>MAX(0,MIN(AS211,$E211)-MAX(AS211-Months_In_Year,0))/Months_In_Year</f>
        <v/>
      </c>
    </row>
    <row r="213" hidden="1" outlineLevel="1">
      <c r="C213" s="6" t="inlineStr">
        <is>
          <t>COD year flag</t>
        </is>
      </c>
      <c r="D213" s="2" t="inlineStr">
        <is>
          <t>flag</t>
        </is>
      </c>
      <c r="J213" s="29">
        <f>N(J208=0)</f>
        <v/>
      </c>
      <c r="K213" s="29">
        <f>N(K208=0)</f>
        <v/>
      </c>
      <c r="L213" s="29">
        <f>N(L208=0)</f>
        <v/>
      </c>
      <c r="M213" s="29">
        <f>N(M208=0)</f>
        <v/>
      </c>
      <c r="N213" s="29">
        <f>N(N208=0)</f>
        <v/>
      </c>
      <c r="O213" s="29">
        <f>N(O208=0)</f>
        <v/>
      </c>
      <c r="P213" s="29">
        <f>N(P208=0)</f>
        <v/>
      </c>
      <c r="Q213" s="29">
        <f>N(Q208=0)</f>
        <v/>
      </c>
      <c r="R213" s="29">
        <f>N(R208=0)</f>
        <v/>
      </c>
      <c r="S213" s="29">
        <f>N(S208=0)</f>
        <v/>
      </c>
      <c r="T213" s="29">
        <f>N(T208=0)</f>
        <v/>
      </c>
      <c r="U213" s="29">
        <f>N(U208=0)</f>
        <v/>
      </c>
      <c r="V213" s="29">
        <f>N(V208=0)</f>
        <v/>
      </c>
      <c r="W213" s="29">
        <f>N(W208=0)</f>
        <v/>
      </c>
      <c r="X213" s="29">
        <f>N(X208=0)</f>
        <v/>
      </c>
      <c r="Y213" s="29">
        <f>N(Y208=0)</f>
        <v/>
      </c>
      <c r="Z213" s="29">
        <f>N(Z208=0)</f>
        <v/>
      </c>
      <c r="AA213" s="29">
        <f>N(AA208=0)</f>
        <v/>
      </c>
      <c r="AB213" s="29">
        <f>N(AB208=0)</f>
        <v/>
      </c>
      <c r="AC213" s="29">
        <f>N(AC208=0)</f>
        <v/>
      </c>
      <c r="AD213" s="29">
        <f>N(AD208=0)</f>
        <v/>
      </c>
      <c r="AE213" s="29">
        <f>N(AE208=0)</f>
        <v/>
      </c>
      <c r="AF213" s="29">
        <f>N(AF208=0)</f>
        <v/>
      </c>
      <c r="AG213" s="29">
        <f>N(AG208=0)</f>
        <v/>
      </c>
      <c r="AH213" s="29">
        <f>N(AH208=0)</f>
        <v/>
      </c>
      <c r="AI213" s="29">
        <f>N(AI208=0)</f>
        <v/>
      </c>
      <c r="AJ213" s="29">
        <f>N(AJ208=0)</f>
        <v/>
      </c>
      <c r="AK213" s="29">
        <f>N(AK208=0)</f>
        <v/>
      </c>
      <c r="AL213" s="29">
        <f>N(AL208=0)</f>
        <v/>
      </c>
      <c r="AM213" s="29">
        <f>N(AM208=0)</f>
        <v/>
      </c>
      <c r="AN213" s="29">
        <f>N(AN208=0)</f>
        <v/>
      </c>
      <c r="AO213" s="29">
        <f>N(AO208=0)</f>
        <v/>
      </c>
      <c r="AP213" s="29">
        <f>N(AP208=0)</f>
        <v/>
      </c>
      <c r="AQ213" s="29">
        <f>N(AQ208=0)</f>
        <v/>
      </c>
      <c r="AR213" s="29">
        <f>N(AR208=0)</f>
        <v/>
      </c>
      <c r="AS213" s="29">
        <f>N(AS208=0)</f>
        <v/>
      </c>
    </row>
    <row r="214" hidden="1" outlineLevel="1">
      <c r="C214" s="6" t="inlineStr">
        <is>
          <t>FEP outlays at their dates (signing, fee, securities, fees, devex)</t>
        </is>
      </c>
      <c r="D214" s="2" t="inlineStr">
        <is>
          <t>EUR k</t>
        </is>
      </c>
      <c r="H214" s="8">
        <f>SUM(J214:AS214)</f>
        <v/>
      </c>
      <c r="J214" s="8">
        <f>SUMPRODUCT((YEAR($J$190:$J$197)=J$204)*$E$190:$E$197)</f>
        <v/>
      </c>
      <c r="K214" s="8">
        <f>SUMPRODUCT((YEAR($J$190:$J$197)=K$204)*$E$190:$E$197)</f>
        <v/>
      </c>
      <c r="L214" s="8">
        <f>SUMPRODUCT((YEAR($J$190:$J$197)=L$204)*$E$190:$E$197)</f>
        <v/>
      </c>
      <c r="M214" s="8">
        <f>SUMPRODUCT((YEAR($J$190:$J$197)=M$204)*$E$190:$E$197)</f>
        <v/>
      </c>
      <c r="N214" s="8">
        <f>SUMPRODUCT((YEAR($J$190:$J$197)=N$204)*$E$190:$E$197)</f>
        <v/>
      </c>
      <c r="O214" s="8">
        <f>SUMPRODUCT((YEAR($J$190:$J$197)=O$204)*$E$190:$E$197)</f>
        <v/>
      </c>
      <c r="P214" s="8">
        <f>SUMPRODUCT((YEAR($J$190:$J$197)=P$204)*$E$190:$E$197)</f>
        <v/>
      </c>
      <c r="Q214" s="8">
        <f>SUMPRODUCT((YEAR($J$190:$J$197)=Q$204)*$E$190:$E$197)</f>
        <v/>
      </c>
      <c r="R214" s="8">
        <f>SUMPRODUCT((YEAR($J$190:$J$197)=R$204)*$E$190:$E$197)</f>
        <v/>
      </c>
      <c r="S214" s="8">
        <f>SUMPRODUCT((YEAR($J$190:$J$197)=S$204)*$E$190:$E$197)</f>
        <v/>
      </c>
      <c r="T214" s="8">
        <f>SUMPRODUCT((YEAR($J$190:$J$197)=T$204)*$E$190:$E$197)</f>
        <v/>
      </c>
      <c r="U214" s="8">
        <f>SUMPRODUCT((YEAR($J$190:$J$197)=U$204)*$E$190:$E$197)</f>
        <v/>
      </c>
      <c r="V214" s="8">
        <f>SUMPRODUCT((YEAR($J$190:$J$197)=V$204)*$E$190:$E$197)</f>
        <v/>
      </c>
      <c r="W214" s="8">
        <f>SUMPRODUCT((YEAR($J$190:$J$197)=W$204)*$E$190:$E$197)</f>
        <v/>
      </c>
      <c r="X214" s="8">
        <f>SUMPRODUCT((YEAR($J$190:$J$197)=X$204)*$E$190:$E$197)</f>
        <v/>
      </c>
      <c r="Y214" s="8">
        <f>SUMPRODUCT((YEAR($J$190:$J$197)=Y$204)*$E$190:$E$197)</f>
        <v/>
      </c>
      <c r="Z214" s="8">
        <f>SUMPRODUCT((YEAR($J$190:$J$197)=Z$204)*$E$190:$E$197)</f>
        <v/>
      </c>
      <c r="AA214" s="8">
        <f>SUMPRODUCT((YEAR($J$190:$J$197)=AA$204)*$E$190:$E$197)</f>
        <v/>
      </c>
      <c r="AB214" s="8">
        <f>SUMPRODUCT((YEAR($J$190:$J$197)=AB$204)*$E$190:$E$197)</f>
        <v/>
      </c>
      <c r="AC214" s="8">
        <f>SUMPRODUCT((YEAR($J$190:$J$197)=AC$204)*$E$190:$E$197)</f>
        <v/>
      </c>
      <c r="AD214" s="8">
        <f>SUMPRODUCT((YEAR($J$190:$J$197)=AD$204)*$E$190:$E$197)</f>
        <v/>
      </c>
      <c r="AE214" s="8">
        <f>SUMPRODUCT((YEAR($J$190:$J$197)=AE$204)*$E$190:$E$197)</f>
        <v/>
      </c>
      <c r="AF214" s="8">
        <f>SUMPRODUCT((YEAR($J$190:$J$197)=AF$204)*$E$190:$E$197)</f>
        <v/>
      </c>
      <c r="AG214" s="8">
        <f>SUMPRODUCT((YEAR($J$190:$J$197)=AG$204)*$E$190:$E$197)</f>
        <v/>
      </c>
      <c r="AH214" s="8">
        <f>SUMPRODUCT((YEAR($J$190:$J$197)=AH$204)*$E$190:$E$197)</f>
        <v/>
      </c>
      <c r="AI214" s="8">
        <f>SUMPRODUCT((YEAR($J$190:$J$197)=AI$204)*$E$190:$E$197)</f>
        <v/>
      </c>
      <c r="AJ214" s="8">
        <f>SUMPRODUCT((YEAR($J$190:$J$197)=AJ$204)*$E$190:$E$197)</f>
        <v/>
      </c>
      <c r="AK214" s="8">
        <f>SUMPRODUCT((YEAR($J$190:$J$197)=AK$204)*$E$190:$E$197)</f>
        <v/>
      </c>
      <c r="AL214" s="8">
        <f>SUMPRODUCT((YEAR($J$190:$J$197)=AL$204)*$E$190:$E$197)</f>
        <v/>
      </c>
      <c r="AM214" s="8">
        <f>SUMPRODUCT((YEAR($J$190:$J$197)=AM$204)*$E$190:$E$197)</f>
        <v/>
      </c>
      <c r="AN214" s="8">
        <f>SUMPRODUCT((YEAR($J$190:$J$197)=AN$204)*$E$190:$E$197)</f>
        <v/>
      </c>
      <c r="AO214" s="8">
        <f>SUMPRODUCT((YEAR($J$190:$J$197)=AO$204)*$E$190:$E$197)</f>
        <v/>
      </c>
      <c r="AP214" s="8">
        <f>SUMPRODUCT((YEAR($J$190:$J$197)=AP$204)*$E$190:$E$197)</f>
        <v/>
      </c>
      <c r="AQ214" s="8">
        <f>SUMPRODUCT((YEAR($J$190:$J$197)=AQ$204)*$E$190:$E$197)</f>
        <v/>
      </c>
      <c r="AR214" s="8">
        <f>SUMPRODUCT((YEAR($J$190:$J$197)=AR$204)*$E$190:$E$197)</f>
        <v/>
      </c>
      <c r="AS214" s="8">
        <f>SUMPRODUCT((YEAR($J$190:$J$197)=AS$204)*$E$190:$E$197)</f>
        <v/>
      </c>
    </row>
    <row r="215" hidden="1" outlineLevel="1">
      <c r="C215" s="6" t="inlineStr">
        <is>
          <t>Performance security released (bid security included)</t>
        </is>
      </c>
      <c r="D215" s="2" t="inlineStr">
        <is>
          <t>EUR k</t>
        </is>
      </c>
      <c r="H215" s="8">
        <f>SUM(J215:AS215)</f>
        <v/>
      </c>
      <c r="J215" s="8">
        <f>($E$62+$E$63)*(J$204=YEAR(Inputs!$E$34))</f>
        <v/>
      </c>
      <c r="K215" s="8">
        <f>($E$62+$E$63)*(K$204=YEAR(Inputs!$E$34))</f>
        <v/>
      </c>
      <c r="L215" s="8">
        <f>($E$62+$E$63)*(L$204=YEAR(Inputs!$E$34))</f>
        <v/>
      </c>
      <c r="M215" s="8">
        <f>($E$62+$E$63)*(M$204=YEAR(Inputs!$E$34))</f>
        <v/>
      </c>
      <c r="N215" s="8">
        <f>($E$62+$E$63)*(N$204=YEAR(Inputs!$E$34))</f>
        <v/>
      </c>
      <c r="O215" s="8">
        <f>($E$62+$E$63)*(O$204=YEAR(Inputs!$E$34))</f>
        <v/>
      </c>
      <c r="P215" s="8">
        <f>($E$62+$E$63)*(P$204=YEAR(Inputs!$E$34))</f>
        <v/>
      </c>
      <c r="Q215" s="8">
        <f>($E$62+$E$63)*(Q$204=YEAR(Inputs!$E$34))</f>
        <v/>
      </c>
      <c r="R215" s="8">
        <f>($E$62+$E$63)*(R$204=YEAR(Inputs!$E$34))</f>
        <v/>
      </c>
      <c r="S215" s="8">
        <f>($E$62+$E$63)*(S$204=YEAR(Inputs!$E$34))</f>
        <v/>
      </c>
      <c r="T215" s="8">
        <f>($E$62+$E$63)*(T$204=YEAR(Inputs!$E$34))</f>
        <v/>
      </c>
      <c r="U215" s="8">
        <f>($E$62+$E$63)*(U$204=YEAR(Inputs!$E$34))</f>
        <v/>
      </c>
      <c r="V215" s="8">
        <f>($E$62+$E$63)*(V$204=YEAR(Inputs!$E$34))</f>
        <v/>
      </c>
      <c r="W215" s="8">
        <f>($E$62+$E$63)*(W$204=YEAR(Inputs!$E$34))</f>
        <v/>
      </c>
      <c r="X215" s="8">
        <f>($E$62+$E$63)*(X$204=YEAR(Inputs!$E$34))</f>
        <v/>
      </c>
      <c r="Y215" s="8">
        <f>($E$62+$E$63)*(Y$204=YEAR(Inputs!$E$34))</f>
        <v/>
      </c>
      <c r="Z215" s="8">
        <f>($E$62+$E$63)*(Z$204=YEAR(Inputs!$E$34))</f>
        <v/>
      </c>
      <c r="AA215" s="8">
        <f>($E$62+$E$63)*(AA$204=YEAR(Inputs!$E$34))</f>
        <v/>
      </c>
      <c r="AB215" s="8">
        <f>($E$62+$E$63)*(AB$204=YEAR(Inputs!$E$34))</f>
        <v/>
      </c>
      <c r="AC215" s="8">
        <f>($E$62+$E$63)*(AC$204=YEAR(Inputs!$E$34))</f>
        <v/>
      </c>
      <c r="AD215" s="8">
        <f>($E$62+$E$63)*(AD$204=YEAR(Inputs!$E$34))</f>
        <v/>
      </c>
      <c r="AE215" s="8">
        <f>($E$62+$E$63)*(AE$204=YEAR(Inputs!$E$34))</f>
        <v/>
      </c>
      <c r="AF215" s="8">
        <f>($E$62+$E$63)*(AF$204=YEAR(Inputs!$E$34))</f>
        <v/>
      </c>
      <c r="AG215" s="8">
        <f>($E$62+$E$63)*(AG$204=YEAR(Inputs!$E$34))</f>
        <v/>
      </c>
      <c r="AH215" s="8">
        <f>($E$62+$E$63)*(AH$204=YEAR(Inputs!$E$34))</f>
        <v/>
      </c>
      <c r="AI215" s="8">
        <f>($E$62+$E$63)*(AI$204=YEAR(Inputs!$E$34))</f>
        <v/>
      </c>
      <c r="AJ215" s="8">
        <f>($E$62+$E$63)*(AJ$204=YEAR(Inputs!$E$34))</f>
        <v/>
      </c>
      <c r="AK215" s="8">
        <f>($E$62+$E$63)*(AK$204=YEAR(Inputs!$E$34))</f>
        <v/>
      </c>
      <c r="AL215" s="8">
        <f>($E$62+$E$63)*(AL$204=YEAR(Inputs!$E$34))</f>
        <v/>
      </c>
      <c r="AM215" s="8">
        <f>($E$62+$E$63)*(AM$204=YEAR(Inputs!$E$34))</f>
        <v/>
      </c>
      <c r="AN215" s="8">
        <f>($E$62+$E$63)*(AN$204=YEAR(Inputs!$E$34))</f>
        <v/>
      </c>
      <c r="AO215" s="8">
        <f>($E$62+$E$63)*(AO$204=YEAR(Inputs!$E$34))</f>
        <v/>
      </c>
      <c r="AP215" s="8">
        <f>($E$62+$E$63)*(AP$204=YEAR(Inputs!$E$34))</f>
        <v/>
      </c>
      <c r="AQ215" s="8">
        <f>($E$62+$E$63)*(AQ$204=YEAR(Inputs!$E$34))</f>
        <v/>
      </c>
      <c r="AR215" s="8">
        <f>($E$62+$E$63)*(AR$204=YEAR(Inputs!$E$34))</f>
        <v/>
      </c>
      <c r="AS215" s="8">
        <f>($E$62+$E$63)*(AS$204=YEAR(Inputs!$E$34))</f>
        <v/>
      </c>
    </row>
    <row r="216" hidden="1" outlineLevel="1">
      <c r="C216" s="6" t="inlineStr">
        <is>
          <t>Construction capex (straight-line NTP to COD)</t>
        </is>
      </c>
      <c r="D216" s="2" t="inlineStr">
        <is>
          <t>EUR k</t>
        </is>
      </c>
      <c r="H216" s="8">
        <f>SUM(J216:AS216)</f>
        <v/>
      </c>
      <c r="J216" s="8">
        <f>-$E$82*J210</f>
        <v/>
      </c>
      <c r="K216" s="8">
        <f>-$E$82*K210</f>
        <v/>
      </c>
      <c r="L216" s="8">
        <f>-$E$82*L210</f>
        <v/>
      </c>
      <c r="M216" s="8">
        <f>-$E$82*M210</f>
        <v/>
      </c>
      <c r="N216" s="8">
        <f>-$E$82*N210</f>
        <v/>
      </c>
      <c r="O216" s="8">
        <f>-$E$82*O210</f>
        <v/>
      </c>
      <c r="P216" s="8">
        <f>-$E$82*P210</f>
        <v/>
      </c>
      <c r="Q216" s="8">
        <f>-$E$82*Q210</f>
        <v/>
      </c>
      <c r="R216" s="8">
        <f>-$E$82*R210</f>
        <v/>
      </c>
      <c r="S216" s="8">
        <f>-$E$82*S210</f>
        <v/>
      </c>
      <c r="T216" s="8">
        <f>-$E$82*T210</f>
        <v/>
      </c>
      <c r="U216" s="8">
        <f>-$E$82*U210</f>
        <v/>
      </c>
      <c r="V216" s="8">
        <f>-$E$82*V210</f>
        <v/>
      </c>
      <c r="W216" s="8">
        <f>-$E$82*W210</f>
        <v/>
      </c>
      <c r="X216" s="8">
        <f>-$E$82*X210</f>
        <v/>
      </c>
      <c r="Y216" s="8">
        <f>-$E$82*Y210</f>
        <v/>
      </c>
      <c r="Z216" s="8">
        <f>-$E$82*Z210</f>
        <v/>
      </c>
      <c r="AA216" s="8">
        <f>-$E$82*AA210</f>
        <v/>
      </c>
      <c r="AB216" s="8">
        <f>-$E$82*AB210</f>
        <v/>
      </c>
      <c r="AC216" s="8">
        <f>-$E$82*AC210</f>
        <v/>
      </c>
      <c r="AD216" s="8">
        <f>-$E$82*AD210</f>
        <v/>
      </c>
      <c r="AE216" s="8">
        <f>-$E$82*AE210</f>
        <v/>
      </c>
      <c r="AF216" s="8">
        <f>-$E$82*AF210</f>
        <v/>
      </c>
      <c r="AG216" s="8">
        <f>-$E$82*AG210</f>
        <v/>
      </c>
      <c r="AH216" s="8">
        <f>-$E$82*AH210</f>
        <v/>
      </c>
      <c r="AI216" s="8">
        <f>-$E$82*AI210</f>
        <v/>
      </c>
      <c r="AJ216" s="8">
        <f>-$E$82*AJ210</f>
        <v/>
      </c>
      <c r="AK216" s="8">
        <f>-$E$82*AK210</f>
        <v/>
      </c>
      <c r="AL216" s="8">
        <f>-$E$82*AL210</f>
        <v/>
      </c>
      <c r="AM216" s="8">
        <f>-$E$82*AM210</f>
        <v/>
      </c>
      <c r="AN216" s="8">
        <f>-$E$82*AN210</f>
        <v/>
      </c>
      <c r="AO216" s="8">
        <f>-$E$82*AO210</f>
        <v/>
      </c>
      <c r="AP216" s="8">
        <f>-$E$82*AP210</f>
        <v/>
      </c>
      <c r="AQ216" s="8">
        <f>-$E$82*AQ210</f>
        <v/>
      </c>
      <c r="AR216" s="8">
        <f>-$E$82*AR210</f>
        <v/>
      </c>
      <c r="AS216" s="8">
        <f>-$E$82*AS210</f>
        <v/>
      </c>
    </row>
    <row r="217" hidden="1" outlineLevel="1">
      <c r="C217" s="6" t="inlineStr">
        <is>
          <t>Municipal one-off at COD</t>
        </is>
      </c>
      <c r="D217" s="2" t="inlineStr">
        <is>
          <t>EUR k</t>
        </is>
      </c>
      <c r="H217" s="8">
        <f>SUM(J217:AS217)</f>
        <v/>
      </c>
      <c r="J217" s="8">
        <f>-$E$84*J213</f>
        <v/>
      </c>
      <c r="K217" s="8">
        <f>-$E$84*K213</f>
        <v/>
      </c>
      <c r="L217" s="8">
        <f>-$E$84*L213</f>
        <v/>
      </c>
      <c r="M217" s="8">
        <f>-$E$84*M213</f>
        <v/>
      </c>
      <c r="N217" s="8">
        <f>-$E$84*N213</f>
        <v/>
      </c>
      <c r="O217" s="8">
        <f>-$E$84*O213</f>
        <v/>
      </c>
      <c r="P217" s="8">
        <f>-$E$84*P213</f>
        <v/>
      </c>
      <c r="Q217" s="8">
        <f>-$E$84*Q213</f>
        <v/>
      </c>
      <c r="R217" s="8">
        <f>-$E$84*R213</f>
        <v/>
      </c>
      <c r="S217" s="8">
        <f>-$E$84*S213</f>
        <v/>
      </c>
      <c r="T217" s="8">
        <f>-$E$84*T213</f>
        <v/>
      </c>
      <c r="U217" s="8">
        <f>-$E$84*U213</f>
        <v/>
      </c>
      <c r="V217" s="8">
        <f>-$E$84*V213</f>
        <v/>
      </c>
      <c r="W217" s="8">
        <f>-$E$84*W213</f>
        <v/>
      </c>
      <c r="X217" s="8">
        <f>-$E$84*X213</f>
        <v/>
      </c>
      <c r="Y217" s="8">
        <f>-$E$84*Y213</f>
        <v/>
      </c>
      <c r="Z217" s="8">
        <f>-$E$84*Z213</f>
        <v/>
      </c>
      <c r="AA217" s="8">
        <f>-$E$84*AA213</f>
        <v/>
      </c>
      <c r="AB217" s="8">
        <f>-$E$84*AB213</f>
        <v/>
      </c>
      <c r="AC217" s="8">
        <f>-$E$84*AC213</f>
        <v/>
      </c>
      <c r="AD217" s="8">
        <f>-$E$84*AD213</f>
        <v/>
      </c>
      <c r="AE217" s="8">
        <f>-$E$84*AE213</f>
        <v/>
      </c>
      <c r="AF217" s="8">
        <f>-$E$84*AF213</f>
        <v/>
      </c>
      <c r="AG217" s="8">
        <f>-$E$84*AG213</f>
        <v/>
      </c>
      <c r="AH217" s="8">
        <f>-$E$84*AH213</f>
        <v/>
      </c>
      <c r="AI217" s="8">
        <f>-$E$84*AI213</f>
        <v/>
      </c>
      <c r="AJ217" s="8">
        <f>-$E$84*AJ213</f>
        <v/>
      </c>
      <c r="AK217" s="8">
        <f>-$E$84*AK213</f>
        <v/>
      </c>
      <c r="AL217" s="8">
        <f>-$E$84*AL213</f>
        <v/>
      </c>
      <c r="AM217" s="8">
        <f>-$E$84*AM213</f>
        <v/>
      </c>
      <c r="AN217" s="8">
        <f>-$E$84*AN213</f>
        <v/>
      </c>
      <c r="AO217" s="8">
        <f>-$E$84*AO213</f>
        <v/>
      </c>
      <c r="AP217" s="8">
        <f>-$E$84*AP213</f>
        <v/>
      </c>
      <c r="AQ217" s="8">
        <f>-$E$84*AQ213</f>
        <v/>
      </c>
      <c r="AR217" s="8">
        <f>-$E$84*AR213</f>
        <v/>
      </c>
      <c r="AS217" s="8">
        <f>-$E$84*AS213</f>
        <v/>
      </c>
    </row>
    <row r="218" hidden="1" outlineLevel="1">
      <c r="C218" s="1" t="inlineStr">
        <is>
          <t>Investment cash flow</t>
        </is>
      </c>
      <c r="D218" s="2" t="inlineStr">
        <is>
          <t>EUR k</t>
        </is>
      </c>
      <c r="H218" s="14">
        <f>SUM(J218:AS218)</f>
        <v/>
      </c>
      <c r="J218" s="14">
        <f>SUM(J214:J217)</f>
        <v/>
      </c>
      <c r="K218" s="14">
        <f>SUM(K214:K217)</f>
        <v/>
      </c>
      <c r="L218" s="14">
        <f>SUM(L214:L217)</f>
        <v/>
      </c>
      <c r="M218" s="14">
        <f>SUM(M214:M217)</f>
        <v/>
      </c>
      <c r="N218" s="14">
        <f>SUM(N214:N217)</f>
        <v/>
      </c>
      <c r="O218" s="14">
        <f>SUM(O214:O217)</f>
        <v/>
      </c>
      <c r="P218" s="14">
        <f>SUM(P214:P217)</f>
        <v/>
      </c>
      <c r="Q218" s="14">
        <f>SUM(Q214:Q217)</f>
        <v/>
      </c>
      <c r="R218" s="14">
        <f>SUM(R214:R217)</f>
        <v/>
      </c>
      <c r="S218" s="14">
        <f>SUM(S214:S217)</f>
        <v/>
      </c>
      <c r="T218" s="14">
        <f>SUM(T214:T217)</f>
        <v/>
      </c>
      <c r="U218" s="14">
        <f>SUM(U214:U217)</f>
        <v/>
      </c>
      <c r="V218" s="14">
        <f>SUM(V214:V217)</f>
        <v/>
      </c>
      <c r="W218" s="14">
        <f>SUM(W214:W217)</f>
        <v/>
      </c>
      <c r="X218" s="14">
        <f>SUM(X214:X217)</f>
        <v/>
      </c>
      <c r="Y218" s="14">
        <f>SUM(Y214:Y217)</f>
        <v/>
      </c>
      <c r="Z218" s="14">
        <f>SUM(Z214:Z217)</f>
        <v/>
      </c>
      <c r="AA218" s="14">
        <f>SUM(AA214:AA217)</f>
        <v/>
      </c>
      <c r="AB218" s="14">
        <f>SUM(AB214:AB217)</f>
        <v/>
      </c>
      <c r="AC218" s="14">
        <f>SUM(AC214:AC217)</f>
        <v/>
      </c>
      <c r="AD218" s="14">
        <f>SUM(AD214:AD217)</f>
        <v/>
      </c>
      <c r="AE218" s="14">
        <f>SUM(AE214:AE217)</f>
        <v/>
      </c>
      <c r="AF218" s="14">
        <f>SUM(AF214:AF217)</f>
        <v/>
      </c>
      <c r="AG218" s="14">
        <f>SUM(AG214:AG217)</f>
        <v/>
      </c>
      <c r="AH218" s="14">
        <f>SUM(AH214:AH217)</f>
        <v/>
      </c>
      <c r="AI218" s="14">
        <f>SUM(AI214:AI217)</f>
        <v/>
      </c>
      <c r="AJ218" s="14">
        <f>SUM(AJ214:AJ217)</f>
        <v/>
      </c>
      <c r="AK218" s="14">
        <f>SUM(AK214:AK217)</f>
        <v/>
      </c>
      <c r="AL218" s="14">
        <f>SUM(AL214:AL217)</f>
        <v/>
      </c>
      <c r="AM218" s="14">
        <f>SUM(AM214:AM217)</f>
        <v/>
      </c>
      <c r="AN218" s="14">
        <f>SUM(AN214:AN217)</f>
        <v/>
      </c>
      <c r="AO218" s="14">
        <f>SUM(AO214:AO217)</f>
        <v/>
      </c>
      <c r="AP218" s="14">
        <f>SUM(AP214:AP217)</f>
        <v/>
      </c>
      <c r="AQ218" s="14">
        <f>SUM(AQ214:AQ217)</f>
        <v/>
      </c>
      <c r="AR218" s="14">
        <f>SUM(AR214:AR217)</f>
        <v/>
      </c>
      <c r="AS218" s="14">
        <f>SUM(AS214:AS217)</f>
        <v/>
      </c>
    </row>
    <row r="219" hidden="1" outlineLevel="1">
      <c r="C219" s="6" t="inlineStr">
        <is>
          <t>Degradation factor (from the first full year)</t>
        </is>
      </c>
      <c r="D219" s="2" t="inlineStr">
        <is>
          <t>x</t>
        </is>
      </c>
      <c r="J219" s="30">
        <f>(1-Degradation)^MAX(J208-1,0)</f>
        <v/>
      </c>
      <c r="K219" s="30">
        <f>(1-Degradation)^MAX(K208-1,0)</f>
        <v/>
      </c>
      <c r="L219" s="30">
        <f>(1-Degradation)^MAX(L208-1,0)</f>
        <v/>
      </c>
      <c r="M219" s="30">
        <f>(1-Degradation)^MAX(M208-1,0)</f>
        <v/>
      </c>
      <c r="N219" s="30">
        <f>(1-Degradation)^MAX(N208-1,0)</f>
        <v/>
      </c>
      <c r="O219" s="30">
        <f>(1-Degradation)^MAX(O208-1,0)</f>
        <v/>
      </c>
      <c r="P219" s="30">
        <f>(1-Degradation)^MAX(P208-1,0)</f>
        <v/>
      </c>
      <c r="Q219" s="30">
        <f>(1-Degradation)^MAX(Q208-1,0)</f>
        <v/>
      </c>
      <c r="R219" s="30">
        <f>(1-Degradation)^MAX(R208-1,0)</f>
        <v/>
      </c>
      <c r="S219" s="30">
        <f>(1-Degradation)^MAX(S208-1,0)</f>
        <v/>
      </c>
      <c r="T219" s="30">
        <f>(1-Degradation)^MAX(T208-1,0)</f>
        <v/>
      </c>
      <c r="U219" s="30">
        <f>(1-Degradation)^MAX(U208-1,0)</f>
        <v/>
      </c>
      <c r="V219" s="30">
        <f>(1-Degradation)^MAX(V208-1,0)</f>
        <v/>
      </c>
      <c r="W219" s="30">
        <f>(1-Degradation)^MAX(W208-1,0)</f>
        <v/>
      </c>
      <c r="X219" s="30">
        <f>(1-Degradation)^MAX(X208-1,0)</f>
        <v/>
      </c>
      <c r="Y219" s="30">
        <f>(1-Degradation)^MAX(Y208-1,0)</f>
        <v/>
      </c>
      <c r="Z219" s="30">
        <f>(1-Degradation)^MAX(Z208-1,0)</f>
        <v/>
      </c>
      <c r="AA219" s="30">
        <f>(1-Degradation)^MAX(AA208-1,0)</f>
        <v/>
      </c>
      <c r="AB219" s="30">
        <f>(1-Degradation)^MAX(AB208-1,0)</f>
        <v/>
      </c>
      <c r="AC219" s="30">
        <f>(1-Degradation)^MAX(AC208-1,0)</f>
        <v/>
      </c>
      <c r="AD219" s="30">
        <f>(1-Degradation)^MAX(AD208-1,0)</f>
        <v/>
      </c>
      <c r="AE219" s="30">
        <f>(1-Degradation)^MAX(AE208-1,0)</f>
        <v/>
      </c>
      <c r="AF219" s="30">
        <f>(1-Degradation)^MAX(AF208-1,0)</f>
        <v/>
      </c>
      <c r="AG219" s="30">
        <f>(1-Degradation)^MAX(AG208-1,0)</f>
        <v/>
      </c>
      <c r="AH219" s="30">
        <f>(1-Degradation)^MAX(AH208-1,0)</f>
        <v/>
      </c>
      <c r="AI219" s="30">
        <f>(1-Degradation)^MAX(AI208-1,0)</f>
        <v/>
      </c>
      <c r="AJ219" s="30">
        <f>(1-Degradation)^MAX(AJ208-1,0)</f>
        <v/>
      </c>
      <c r="AK219" s="30">
        <f>(1-Degradation)^MAX(AK208-1,0)</f>
        <v/>
      </c>
      <c r="AL219" s="30">
        <f>(1-Degradation)^MAX(AL208-1,0)</f>
        <v/>
      </c>
      <c r="AM219" s="30">
        <f>(1-Degradation)^MAX(AM208-1,0)</f>
        <v/>
      </c>
      <c r="AN219" s="30">
        <f>(1-Degradation)^MAX(AN208-1,0)</f>
        <v/>
      </c>
      <c r="AO219" s="30">
        <f>(1-Degradation)^MAX(AO208-1,0)</f>
        <v/>
      </c>
      <c r="AP219" s="30">
        <f>(1-Degradation)^MAX(AP208-1,0)</f>
        <v/>
      </c>
      <c r="AQ219" s="30">
        <f>(1-Degradation)^MAX(AQ208-1,0)</f>
        <v/>
      </c>
      <c r="AR219" s="30">
        <f>(1-Degradation)^MAX(AR208-1,0)</f>
        <v/>
      </c>
      <c r="AS219" s="30">
        <f>(1-Degradation)^MAX(AS208-1,0)</f>
        <v/>
      </c>
    </row>
    <row r="220" hidden="1" outlineLevel="1">
      <c r="C220" s="6" t="inlineStr">
        <is>
          <t>Net generation</t>
        </is>
      </c>
      <c r="D220" s="2" t="inlineStr">
        <is>
          <t>GWh</t>
        </is>
      </c>
      <c r="H220" s="16">
        <f>SUM(J220:AS220)</f>
        <v/>
      </c>
      <c r="J220" s="16">
        <f>$E$44*Case_P50*(1-Curtailment)*(1-Clipping)*J212*J219/Thousand</f>
        <v/>
      </c>
      <c r="K220" s="16">
        <f>$E$44*Case_P50*(1-Curtailment)*(1-Clipping)*K212*K219/Thousand</f>
        <v/>
      </c>
      <c r="L220" s="16">
        <f>$E$44*Case_P50*(1-Curtailment)*(1-Clipping)*L212*L219/Thousand</f>
        <v/>
      </c>
      <c r="M220" s="16">
        <f>$E$44*Case_P50*(1-Curtailment)*(1-Clipping)*M212*M219/Thousand</f>
        <v/>
      </c>
      <c r="N220" s="16">
        <f>$E$44*Case_P50*(1-Curtailment)*(1-Clipping)*N212*N219/Thousand</f>
        <v/>
      </c>
      <c r="O220" s="16">
        <f>$E$44*Case_P50*(1-Curtailment)*(1-Clipping)*O212*O219/Thousand</f>
        <v/>
      </c>
      <c r="P220" s="16">
        <f>$E$44*Case_P50*(1-Curtailment)*(1-Clipping)*P212*P219/Thousand</f>
        <v/>
      </c>
      <c r="Q220" s="16">
        <f>$E$44*Case_P50*(1-Curtailment)*(1-Clipping)*Q212*Q219/Thousand</f>
        <v/>
      </c>
      <c r="R220" s="16">
        <f>$E$44*Case_P50*(1-Curtailment)*(1-Clipping)*R212*R219/Thousand</f>
        <v/>
      </c>
      <c r="S220" s="16">
        <f>$E$44*Case_P50*(1-Curtailment)*(1-Clipping)*S212*S219/Thousand</f>
        <v/>
      </c>
      <c r="T220" s="16">
        <f>$E$44*Case_P50*(1-Curtailment)*(1-Clipping)*T212*T219/Thousand</f>
        <v/>
      </c>
      <c r="U220" s="16">
        <f>$E$44*Case_P50*(1-Curtailment)*(1-Clipping)*U212*U219/Thousand</f>
        <v/>
      </c>
      <c r="V220" s="16">
        <f>$E$44*Case_P50*(1-Curtailment)*(1-Clipping)*V212*V219/Thousand</f>
        <v/>
      </c>
      <c r="W220" s="16">
        <f>$E$44*Case_P50*(1-Curtailment)*(1-Clipping)*W212*W219/Thousand</f>
        <v/>
      </c>
      <c r="X220" s="16">
        <f>$E$44*Case_P50*(1-Curtailment)*(1-Clipping)*X212*X219/Thousand</f>
        <v/>
      </c>
      <c r="Y220" s="16">
        <f>$E$44*Case_P50*(1-Curtailment)*(1-Clipping)*Y212*Y219/Thousand</f>
        <v/>
      </c>
      <c r="Z220" s="16">
        <f>$E$44*Case_P50*(1-Curtailment)*(1-Clipping)*Z212*Z219/Thousand</f>
        <v/>
      </c>
      <c r="AA220" s="16">
        <f>$E$44*Case_P50*(1-Curtailment)*(1-Clipping)*AA212*AA219/Thousand</f>
        <v/>
      </c>
      <c r="AB220" s="16">
        <f>$E$44*Case_P50*(1-Curtailment)*(1-Clipping)*AB212*AB219/Thousand</f>
        <v/>
      </c>
      <c r="AC220" s="16">
        <f>$E$44*Case_P50*(1-Curtailment)*(1-Clipping)*AC212*AC219/Thousand</f>
        <v/>
      </c>
      <c r="AD220" s="16">
        <f>$E$44*Case_P50*(1-Curtailment)*(1-Clipping)*AD212*AD219/Thousand</f>
        <v/>
      </c>
      <c r="AE220" s="16">
        <f>$E$44*Case_P50*(1-Curtailment)*(1-Clipping)*AE212*AE219/Thousand</f>
        <v/>
      </c>
      <c r="AF220" s="16">
        <f>$E$44*Case_P50*(1-Curtailment)*(1-Clipping)*AF212*AF219/Thousand</f>
        <v/>
      </c>
      <c r="AG220" s="16">
        <f>$E$44*Case_P50*(1-Curtailment)*(1-Clipping)*AG212*AG219/Thousand</f>
        <v/>
      </c>
      <c r="AH220" s="16">
        <f>$E$44*Case_P50*(1-Curtailment)*(1-Clipping)*AH212*AH219/Thousand</f>
        <v/>
      </c>
      <c r="AI220" s="16">
        <f>$E$44*Case_P50*(1-Curtailment)*(1-Clipping)*AI212*AI219/Thousand</f>
        <v/>
      </c>
      <c r="AJ220" s="16">
        <f>$E$44*Case_P50*(1-Curtailment)*(1-Clipping)*AJ212*AJ219/Thousand</f>
        <v/>
      </c>
      <c r="AK220" s="16">
        <f>$E$44*Case_P50*(1-Curtailment)*(1-Clipping)*AK212*AK219/Thousand</f>
        <v/>
      </c>
      <c r="AL220" s="16">
        <f>$E$44*Case_P50*(1-Curtailment)*(1-Clipping)*AL212*AL219/Thousand</f>
        <v/>
      </c>
      <c r="AM220" s="16">
        <f>$E$44*Case_P50*(1-Curtailment)*(1-Clipping)*AM212*AM219/Thousand</f>
        <v/>
      </c>
      <c r="AN220" s="16">
        <f>$E$44*Case_P50*(1-Curtailment)*(1-Clipping)*AN212*AN219/Thousand</f>
        <v/>
      </c>
      <c r="AO220" s="16">
        <f>$E$44*Case_P50*(1-Curtailment)*(1-Clipping)*AO212*AO219/Thousand</f>
        <v/>
      </c>
      <c r="AP220" s="16">
        <f>$E$44*Case_P50*(1-Curtailment)*(1-Clipping)*AP212*AP219/Thousand</f>
        <v/>
      </c>
      <c r="AQ220" s="16">
        <f>$E$44*Case_P50*(1-Curtailment)*(1-Clipping)*AQ212*AQ219/Thousand</f>
        <v/>
      </c>
      <c r="AR220" s="16">
        <f>$E$44*Case_P50*(1-Curtailment)*(1-Clipping)*AR212*AR219/Thousand</f>
        <v/>
      </c>
      <c r="AS220" s="16">
        <f>$E$44*Case_P50*(1-Curtailment)*(1-Clipping)*AS212*AS219/Thousand</f>
        <v/>
      </c>
    </row>
    <row r="221" hidden="1" outlineLevel="1">
      <c r="C221" s="6" t="inlineStr">
        <is>
          <t>PPA price</t>
        </is>
      </c>
      <c r="D221" s="2" t="inlineStr">
        <is>
          <t>EUR/MWh</t>
        </is>
      </c>
      <c r="J221" s="16">
        <f>Case_PPA*(1+PPA_Esc)^J208*(J212&gt;0)</f>
        <v/>
      </c>
      <c r="K221" s="16">
        <f>Case_PPA*(1+PPA_Esc)^K208*(K212&gt;0)</f>
        <v/>
      </c>
      <c r="L221" s="16">
        <f>Case_PPA*(1+PPA_Esc)^L208*(L212&gt;0)</f>
        <v/>
      </c>
      <c r="M221" s="16">
        <f>Case_PPA*(1+PPA_Esc)^M208*(M212&gt;0)</f>
        <v/>
      </c>
      <c r="N221" s="16">
        <f>Case_PPA*(1+PPA_Esc)^N208*(N212&gt;0)</f>
        <v/>
      </c>
      <c r="O221" s="16">
        <f>Case_PPA*(1+PPA_Esc)^O208*(O212&gt;0)</f>
        <v/>
      </c>
      <c r="P221" s="16">
        <f>Case_PPA*(1+PPA_Esc)^P208*(P212&gt;0)</f>
        <v/>
      </c>
      <c r="Q221" s="16">
        <f>Case_PPA*(1+PPA_Esc)^Q208*(Q212&gt;0)</f>
        <v/>
      </c>
      <c r="R221" s="16">
        <f>Case_PPA*(1+PPA_Esc)^R208*(R212&gt;0)</f>
        <v/>
      </c>
      <c r="S221" s="16">
        <f>Case_PPA*(1+PPA_Esc)^S208*(S212&gt;0)</f>
        <v/>
      </c>
      <c r="T221" s="16">
        <f>Case_PPA*(1+PPA_Esc)^T208*(T212&gt;0)</f>
        <v/>
      </c>
      <c r="U221" s="16">
        <f>Case_PPA*(1+PPA_Esc)^U208*(U212&gt;0)</f>
        <v/>
      </c>
      <c r="V221" s="16">
        <f>Case_PPA*(1+PPA_Esc)^V208*(V212&gt;0)</f>
        <v/>
      </c>
      <c r="W221" s="16">
        <f>Case_PPA*(1+PPA_Esc)^W208*(W212&gt;0)</f>
        <v/>
      </c>
      <c r="X221" s="16">
        <f>Case_PPA*(1+PPA_Esc)^X208*(X212&gt;0)</f>
        <v/>
      </c>
      <c r="Y221" s="16">
        <f>Case_PPA*(1+PPA_Esc)^Y208*(Y212&gt;0)</f>
        <v/>
      </c>
      <c r="Z221" s="16">
        <f>Case_PPA*(1+PPA_Esc)^Z208*(Z212&gt;0)</f>
        <v/>
      </c>
      <c r="AA221" s="16">
        <f>Case_PPA*(1+PPA_Esc)^AA208*(AA212&gt;0)</f>
        <v/>
      </c>
      <c r="AB221" s="16">
        <f>Case_PPA*(1+PPA_Esc)^AB208*(AB212&gt;0)</f>
        <v/>
      </c>
      <c r="AC221" s="16">
        <f>Case_PPA*(1+PPA_Esc)^AC208*(AC212&gt;0)</f>
        <v/>
      </c>
      <c r="AD221" s="16">
        <f>Case_PPA*(1+PPA_Esc)^AD208*(AD212&gt;0)</f>
        <v/>
      </c>
      <c r="AE221" s="16">
        <f>Case_PPA*(1+PPA_Esc)^AE208*(AE212&gt;0)</f>
        <v/>
      </c>
      <c r="AF221" s="16">
        <f>Case_PPA*(1+PPA_Esc)^AF208*(AF212&gt;0)</f>
        <v/>
      </c>
      <c r="AG221" s="16">
        <f>Case_PPA*(1+PPA_Esc)^AG208*(AG212&gt;0)</f>
        <v/>
      </c>
      <c r="AH221" s="16">
        <f>Case_PPA*(1+PPA_Esc)^AH208*(AH212&gt;0)</f>
        <v/>
      </c>
      <c r="AI221" s="16">
        <f>Case_PPA*(1+PPA_Esc)^AI208*(AI212&gt;0)</f>
        <v/>
      </c>
      <c r="AJ221" s="16">
        <f>Case_PPA*(1+PPA_Esc)^AJ208*(AJ212&gt;0)</f>
        <v/>
      </c>
      <c r="AK221" s="16">
        <f>Case_PPA*(1+PPA_Esc)^AK208*(AK212&gt;0)</f>
        <v/>
      </c>
      <c r="AL221" s="16">
        <f>Case_PPA*(1+PPA_Esc)^AL208*(AL212&gt;0)</f>
        <v/>
      </c>
      <c r="AM221" s="16">
        <f>Case_PPA*(1+PPA_Esc)^AM208*(AM212&gt;0)</f>
        <v/>
      </c>
      <c r="AN221" s="16">
        <f>Case_PPA*(1+PPA_Esc)^AN208*(AN212&gt;0)</f>
        <v/>
      </c>
      <c r="AO221" s="16">
        <f>Case_PPA*(1+PPA_Esc)^AO208*(AO212&gt;0)</f>
        <v/>
      </c>
      <c r="AP221" s="16">
        <f>Case_PPA*(1+PPA_Esc)^AP208*(AP212&gt;0)</f>
        <v/>
      </c>
      <c r="AQ221" s="16">
        <f>Case_PPA*(1+PPA_Esc)^AQ208*(AQ212&gt;0)</f>
        <v/>
      </c>
      <c r="AR221" s="16">
        <f>Case_PPA*(1+PPA_Esc)^AR208*(AR212&gt;0)</f>
        <v/>
      </c>
      <c r="AS221" s="16">
        <f>Case_PPA*(1+PPA_Esc)^AS208*(AS212&gt;0)</f>
        <v/>
      </c>
    </row>
    <row r="222" hidden="1" outlineLevel="1">
      <c r="C222" s="1" t="inlineStr">
        <is>
          <t>Revenue</t>
        </is>
      </c>
      <c r="D222" s="2" t="inlineStr">
        <is>
          <t>EUR k</t>
        </is>
      </c>
      <c r="H222" s="19">
        <f>SUM(J222:AS222)</f>
        <v/>
      </c>
      <c r="J222" s="19">
        <f>J220*J221</f>
        <v/>
      </c>
      <c r="K222" s="19">
        <f>K220*K221</f>
        <v/>
      </c>
      <c r="L222" s="19">
        <f>L220*L221</f>
        <v/>
      </c>
      <c r="M222" s="19">
        <f>M220*M221</f>
        <v/>
      </c>
      <c r="N222" s="19">
        <f>N220*N221</f>
        <v/>
      </c>
      <c r="O222" s="19">
        <f>O220*O221</f>
        <v/>
      </c>
      <c r="P222" s="19">
        <f>P220*P221</f>
        <v/>
      </c>
      <c r="Q222" s="19">
        <f>Q220*Q221</f>
        <v/>
      </c>
      <c r="R222" s="19">
        <f>R220*R221</f>
        <v/>
      </c>
      <c r="S222" s="19">
        <f>S220*S221</f>
        <v/>
      </c>
      <c r="T222" s="19">
        <f>T220*T221</f>
        <v/>
      </c>
      <c r="U222" s="19">
        <f>U220*U221</f>
        <v/>
      </c>
      <c r="V222" s="19">
        <f>V220*V221</f>
        <v/>
      </c>
      <c r="W222" s="19">
        <f>W220*W221</f>
        <v/>
      </c>
      <c r="X222" s="19">
        <f>X220*X221</f>
        <v/>
      </c>
      <c r="Y222" s="19">
        <f>Y220*Y221</f>
        <v/>
      </c>
      <c r="Z222" s="19">
        <f>Z220*Z221</f>
        <v/>
      </c>
      <c r="AA222" s="19">
        <f>AA220*AA221</f>
        <v/>
      </c>
      <c r="AB222" s="19">
        <f>AB220*AB221</f>
        <v/>
      </c>
      <c r="AC222" s="19">
        <f>AC220*AC221</f>
        <v/>
      </c>
      <c r="AD222" s="19">
        <f>AD220*AD221</f>
        <v/>
      </c>
      <c r="AE222" s="19">
        <f>AE220*AE221</f>
        <v/>
      </c>
      <c r="AF222" s="19">
        <f>AF220*AF221</f>
        <v/>
      </c>
      <c r="AG222" s="19">
        <f>AG220*AG221</f>
        <v/>
      </c>
      <c r="AH222" s="19">
        <f>AH220*AH221</f>
        <v/>
      </c>
      <c r="AI222" s="19">
        <f>AI220*AI221</f>
        <v/>
      </c>
      <c r="AJ222" s="19">
        <f>AJ220*AJ221</f>
        <v/>
      </c>
      <c r="AK222" s="19">
        <f>AK220*AK221</f>
        <v/>
      </c>
      <c r="AL222" s="19">
        <f>AL220*AL221</f>
        <v/>
      </c>
      <c r="AM222" s="19">
        <f>AM220*AM221</f>
        <v/>
      </c>
      <c r="AN222" s="19">
        <f>AN220*AN221</f>
        <v/>
      </c>
      <c r="AO222" s="19">
        <f>AO220*AO221</f>
        <v/>
      </c>
      <c r="AP222" s="19">
        <f>AP220*AP221</f>
        <v/>
      </c>
      <c r="AQ222" s="19">
        <f>AQ220*AQ221</f>
        <v/>
      </c>
      <c r="AR222" s="19">
        <f>AR220*AR221</f>
        <v/>
      </c>
      <c r="AS222" s="19">
        <f>AS220*AS221</f>
        <v/>
      </c>
    </row>
    <row r="223" hidden="1" outlineLevel="1">
      <c r="C223" s="6" t="inlineStr">
        <is>
          <t>Opex index (COD year = 1)</t>
        </is>
      </c>
      <c r="D223" s="2" t="inlineStr">
        <is>
          <t>x</t>
        </is>
      </c>
      <c r="J223" s="30">
        <f>(1+Opex_Esc)^J208</f>
        <v/>
      </c>
      <c r="K223" s="30">
        <f>(1+Opex_Esc)^K208</f>
        <v/>
      </c>
      <c r="L223" s="30">
        <f>(1+Opex_Esc)^L208</f>
        <v/>
      </c>
      <c r="M223" s="30">
        <f>(1+Opex_Esc)^M208</f>
        <v/>
      </c>
      <c r="N223" s="30">
        <f>(1+Opex_Esc)^N208</f>
        <v/>
      </c>
      <c r="O223" s="30">
        <f>(1+Opex_Esc)^O208</f>
        <v/>
      </c>
      <c r="P223" s="30">
        <f>(1+Opex_Esc)^P208</f>
        <v/>
      </c>
      <c r="Q223" s="30">
        <f>(1+Opex_Esc)^Q208</f>
        <v/>
      </c>
      <c r="R223" s="30">
        <f>(1+Opex_Esc)^R208</f>
        <v/>
      </c>
      <c r="S223" s="30">
        <f>(1+Opex_Esc)^S208</f>
        <v/>
      </c>
      <c r="T223" s="30">
        <f>(1+Opex_Esc)^T208</f>
        <v/>
      </c>
      <c r="U223" s="30">
        <f>(1+Opex_Esc)^U208</f>
        <v/>
      </c>
      <c r="V223" s="30">
        <f>(1+Opex_Esc)^V208</f>
        <v/>
      </c>
      <c r="W223" s="30">
        <f>(1+Opex_Esc)^W208</f>
        <v/>
      </c>
      <c r="X223" s="30">
        <f>(1+Opex_Esc)^X208</f>
        <v/>
      </c>
      <c r="Y223" s="30">
        <f>(1+Opex_Esc)^Y208</f>
        <v/>
      </c>
      <c r="Z223" s="30">
        <f>(1+Opex_Esc)^Z208</f>
        <v/>
      </c>
      <c r="AA223" s="30">
        <f>(1+Opex_Esc)^AA208</f>
        <v/>
      </c>
      <c r="AB223" s="30">
        <f>(1+Opex_Esc)^AB208</f>
        <v/>
      </c>
      <c r="AC223" s="30">
        <f>(1+Opex_Esc)^AC208</f>
        <v/>
      </c>
      <c r="AD223" s="30">
        <f>(1+Opex_Esc)^AD208</f>
        <v/>
      </c>
      <c r="AE223" s="30">
        <f>(1+Opex_Esc)^AE208</f>
        <v/>
      </c>
      <c r="AF223" s="30">
        <f>(1+Opex_Esc)^AF208</f>
        <v/>
      </c>
      <c r="AG223" s="30">
        <f>(1+Opex_Esc)^AG208</f>
        <v/>
      </c>
      <c r="AH223" s="30">
        <f>(1+Opex_Esc)^AH208</f>
        <v/>
      </c>
      <c r="AI223" s="30">
        <f>(1+Opex_Esc)^AI208</f>
        <v/>
      </c>
      <c r="AJ223" s="30">
        <f>(1+Opex_Esc)^AJ208</f>
        <v/>
      </c>
      <c r="AK223" s="30">
        <f>(1+Opex_Esc)^AK208</f>
        <v/>
      </c>
      <c r="AL223" s="30">
        <f>(1+Opex_Esc)^AL208</f>
        <v/>
      </c>
      <c r="AM223" s="30">
        <f>(1+Opex_Esc)^AM208</f>
        <v/>
      </c>
      <c r="AN223" s="30">
        <f>(1+Opex_Esc)^AN208</f>
        <v/>
      </c>
      <c r="AO223" s="30">
        <f>(1+Opex_Esc)^AO208</f>
        <v/>
      </c>
      <c r="AP223" s="30">
        <f>(1+Opex_Esc)^AP208</f>
        <v/>
      </c>
      <c r="AQ223" s="30">
        <f>(1+Opex_Esc)^AQ208</f>
        <v/>
      </c>
      <c r="AR223" s="30">
        <f>(1+Opex_Esc)^AR208</f>
        <v/>
      </c>
      <c r="AS223" s="30">
        <f>(1+Opex_Esc)^AS208</f>
        <v/>
      </c>
    </row>
    <row r="224" hidden="1" outlineLevel="1">
      <c r="C224" s="6" t="inlineStr">
        <is>
          <t>O&amp;M, BoP, lease, insurance, management, property tax</t>
        </is>
      </c>
      <c r="D224" s="2" t="inlineStr">
        <is>
          <t>EUR k</t>
        </is>
      </c>
      <c r="H224" s="8">
        <f>SUM(J224:AS224)</f>
        <v/>
      </c>
      <c r="J224" s="8">
        <f>-(Case_OM+SUM(Opex_Per_MW))*$E$44*J223*J212</f>
        <v/>
      </c>
      <c r="K224" s="8">
        <f>-(Case_OM+SUM(Opex_Per_MW))*$E$44*K223*K212</f>
        <v/>
      </c>
      <c r="L224" s="8">
        <f>-(Case_OM+SUM(Opex_Per_MW))*$E$44*L223*L212</f>
        <v/>
      </c>
      <c r="M224" s="8">
        <f>-(Case_OM+SUM(Opex_Per_MW))*$E$44*M223*M212</f>
        <v/>
      </c>
      <c r="N224" s="8">
        <f>-(Case_OM+SUM(Opex_Per_MW))*$E$44*N223*N212</f>
        <v/>
      </c>
      <c r="O224" s="8">
        <f>-(Case_OM+SUM(Opex_Per_MW))*$E$44*O223*O212</f>
        <v/>
      </c>
      <c r="P224" s="8">
        <f>-(Case_OM+SUM(Opex_Per_MW))*$E$44*P223*P212</f>
        <v/>
      </c>
      <c r="Q224" s="8">
        <f>-(Case_OM+SUM(Opex_Per_MW))*$E$44*Q223*Q212</f>
        <v/>
      </c>
      <c r="R224" s="8">
        <f>-(Case_OM+SUM(Opex_Per_MW))*$E$44*R223*R212</f>
        <v/>
      </c>
      <c r="S224" s="8">
        <f>-(Case_OM+SUM(Opex_Per_MW))*$E$44*S223*S212</f>
        <v/>
      </c>
      <c r="T224" s="8">
        <f>-(Case_OM+SUM(Opex_Per_MW))*$E$44*T223*T212</f>
        <v/>
      </c>
      <c r="U224" s="8">
        <f>-(Case_OM+SUM(Opex_Per_MW))*$E$44*U223*U212</f>
        <v/>
      </c>
      <c r="V224" s="8">
        <f>-(Case_OM+SUM(Opex_Per_MW))*$E$44*V223*V212</f>
        <v/>
      </c>
      <c r="W224" s="8">
        <f>-(Case_OM+SUM(Opex_Per_MW))*$E$44*W223*W212</f>
        <v/>
      </c>
      <c r="X224" s="8">
        <f>-(Case_OM+SUM(Opex_Per_MW))*$E$44*X223*X212</f>
        <v/>
      </c>
      <c r="Y224" s="8">
        <f>-(Case_OM+SUM(Opex_Per_MW))*$E$44*Y223*Y212</f>
        <v/>
      </c>
      <c r="Z224" s="8">
        <f>-(Case_OM+SUM(Opex_Per_MW))*$E$44*Z223*Z212</f>
        <v/>
      </c>
      <c r="AA224" s="8">
        <f>-(Case_OM+SUM(Opex_Per_MW))*$E$44*AA223*AA212</f>
        <v/>
      </c>
      <c r="AB224" s="8">
        <f>-(Case_OM+SUM(Opex_Per_MW))*$E$44*AB223*AB212</f>
        <v/>
      </c>
      <c r="AC224" s="8">
        <f>-(Case_OM+SUM(Opex_Per_MW))*$E$44*AC223*AC212</f>
        <v/>
      </c>
      <c r="AD224" s="8">
        <f>-(Case_OM+SUM(Opex_Per_MW))*$E$44*AD223*AD212</f>
        <v/>
      </c>
      <c r="AE224" s="8">
        <f>-(Case_OM+SUM(Opex_Per_MW))*$E$44*AE223*AE212</f>
        <v/>
      </c>
      <c r="AF224" s="8">
        <f>-(Case_OM+SUM(Opex_Per_MW))*$E$44*AF223*AF212</f>
        <v/>
      </c>
      <c r="AG224" s="8">
        <f>-(Case_OM+SUM(Opex_Per_MW))*$E$44*AG223*AG212</f>
        <v/>
      </c>
      <c r="AH224" s="8">
        <f>-(Case_OM+SUM(Opex_Per_MW))*$E$44*AH223*AH212</f>
        <v/>
      </c>
      <c r="AI224" s="8">
        <f>-(Case_OM+SUM(Opex_Per_MW))*$E$44*AI223*AI212</f>
        <v/>
      </c>
      <c r="AJ224" s="8">
        <f>-(Case_OM+SUM(Opex_Per_MW))*$E$44*AJ223*AJ212</f>
        <v/>
      </c>
      <c r="AK224" s="8">
        <f>-(Case_OM+SUM(Opex_Per_MW))*$E$44*AK223*AK212</f>
        <v/>
      </c>
      <c r="AL224" s="8">
        <f>-(Case_OM+SUM(Opex_Per_MW))*$E$44*AL223*AL212</f>
        <v/>
      </c>
      <c r="AM224" s="8">
        <f>-(Case_OM+SUM(Opex_Per_MW))*$E$44*AM223*AM212</f>
        <v/>
      </c>
      <c r="AN224" s="8">
        <f>-(Case_OM+SUM(Opex_Per_MW))*$E$44*AN223*AN212</f>
        <v/>
      </c>
      <c r="AO224" s="8">
        <f>-(Case_OM+SUM(Opex_Per_MW))*$E$44*AO223*AO212</f>
        <v/>
      </c>
      <c r="AP224" s="8">
        <f>-(Case_OM+SUM(Opex_Per_MW))*$E$44*AP223*AP212</f>
        <v/>
      </c>
      <c r="AQ224" s="8">
        <f>-(Case_OM+SUM(Opex_Per_MW))*$E$44*AQ223*AQ212</f>
        <v/>
      </c>
      <c r="AR224" s="8">
        <f>-(Case_OM+SUM(Opex_Per_MW))*$E$44*AR223*AR212</f>
        <v/>
      </c>
      <c r="AS224" s="8">
        <f>-(Case_OM+SUM(Opex_Per_MW))*$E$44*AS223*AS212</f>
        <v/>
      </c>
    </row>
    <row r="225" hidden="1" outlineLevel="1">
      <c r="C225" s="6" t="inlineStr">
        <is>
          <t>Administration, audit, compliance</t>
        </is>
      </c>
      <c r="D225" s="2" t="inlineStr">
        <is>
          <t>EUR k</t>
        </is>
      </c>
      <c r="H225" s="8">
        <f>SUM(J225:AS225)</f>
        <v/>
      </c>
      <c r="J225" s="8">
        <f>-Opex_Admin*$E$6/Lump_Basis*J223*J212</f>
        <v/>
      </c>
      <c r="K225" s="8">
        <f>-Opex_Admin*$E$6/Lump_Basis*K223*K212</f>
        <v/>
      </c>
      <c r="L225" s="8">
        <f>-Opex_Admin*$E$6/Lump_Basis*L223*L212</f>
        <v/>
      </c>
      <c r="M225" s="8">
        <f>-Opex_Admin*$E$6/Lump_Basis*M223*M212</f>
        <v/>
      </c>
      <c r="N225" s="8">
        <f>-Opex_Admin*$E$6/Lump_Basis*N223*N212</f>
        <v/>
      </c>
      <c r="O225" s="8">
        <f>-Opex_Admin*$E$6/Lump_Basis*O223*O212</f>
        <v/>
      </c>
      <c r="P225" s="8">
        <f>-Opex_Admin*$E$6/Lump_Basis*P223*P212</f>
        <v/>
      </c>
      <c r="Q225" s="8">
        <f>-Opex_Admin*$E$6/Lump_Basis*Q223*Q212</f>
        <v/>
      </c>
      <c r="R225" s="8">
        <f>-Opex_Admin*$E$6/Lump_Basis*R223*R212</f>
        <v/>
      </c>
      <c r="S225" s="8">
        <f>-Opex_Admin*$E$6/Lump_Basis*S223*S212</f>
        <v/>
      </c>
      <c r="T225" s="8">
        <f>-Opex_Admin*$E$6/Lump_Basis*T223*T212</f>
        <v/>
      </c>
      <c r="U225" s="8">
        <f>-Opex_Admin*$E$6/Lump_Basis*U223*U212</f>
        <v/>
      </c>
      <c r="V225" s="8">
        <f>-Opex_Admin*$E$6/Lump_Basis*V223*V212</f>
        <v/>
      </c>
      <c r="W225" s="8">
        <f>-Opex_Admin*$E$6/Lump_Basis*W223*W212</f>
        <v/>
      </c>
      <c r="X225" s="8">
        <f>-Opex_Admin*$E$6/Lump_Basis*X223*X212</f>
        <v/>
      </c>
      <c r="Y225" s="8">
        <f>-Opex_Admin*$E$6/Lump_Basis*Y223*Y212</f>
        <v/>
      </c>
      <c r="Z225" s="8">
        <f>-Opex_Admin*$E$6/Lump_Basis*Z223*Z212</f>
        <v/>
      </c>
      <c r="AA225" s="8">
        <f>-Opex_Admin*$E$6/Lump_Basis*AA223*AA212</f>
        <v/>
      </c>
      <c r="AB225" s="8">
        <f>-Opex_Admin*$E$6/Lump_Basis*AB223*AB212</f>
        <v/>
      </c>
      <c r="AC225" s="8">
        <f>-Opex_Admin*$E$6/Lump_Basis*AC223*AC212</f>
        <v/>
      </c>
      <c r="AD225" s="8">
        <f>-Opex_Admin*$E$6/Lump_Basis*AD223*AD212</f>
        <v/>
      </c>
      <c r="AE225" s="8">
        <f>-Opex_Admin*$E$6/Lump_Basis*AE223*AE212</f>
        <v/>
      </c>
      <c r="AF225" s="8">
        <f>-Opex_Admin*$E$6/Lump_Basis*AF223*AF212</f>
        <v/>
      </c>
      <c r="AG225" s="8">
        <f>-Opex_Admin*$E$6/Lump_Basis*AG223*AG212</f>
        <v/>
      </c>
      <c r="AH225" s="8">
        <f>-Opex_Admin*$E$6/Lump_Basis*AH223*AH212</f>
        <v/>
      </c>
      <c r="AI225" s="8">
        <f>-Opex_Admin*$E$6/Lump_Basis*AI223*AI212</f>
        <v/>
      </c>
      <c r="AJ225" s="8">
        <f>-Opex_Admin*$E$6/Lump_Basis*AJ223*AJ212</f>
        <v/>
      </c>
      <c r="AK225" s="8">
        <f>-Opex_Admin*$E$6/Lump_Basis*AK223*AK212</f>
        <v/>
      </c>
      <c r="AL225" s="8">
        <f>-Opex_Admin*$E$6/Lump_Basis*AL223*AL212</f>
        <v/>
      </c>
      <c r="AM225" s="8">
        <f>-Opex_Admin*$E$6/Lump_Basis*AM223*AM212</f>
        <v/>
      </c>
      <c r="AN225" s="8">
        <f>-Opex_Admin*$E$6/Lump_Basis*AN223*AN212</f>
        <v/>
      </c>
      <c r="AO225" s="8">
        <f>-Opex_Admin*$E$6/Lump_Basis*AO223*AO212</f>
        <v/>
      </c>
      <c r="AP225" s="8">
        <f>-Opex_Admin*$E$6/Lump_Basis*AP223*AP212</f>
        <v/>
      </c>
      <c r="AQ225" s="8">
        <f>-Opex_Admin*$E$6/Lump_Basis*AQ223*AQ212</f>
        <v/>
      </c>
      <c r="AR225" s="8">
        <f>-Opex_Admin*$E$6/Lump_Basis*AR223*AR212</f>
        <v/>
      </c>
      <c r="AS225" s="8">
        <f>-Opex_Admin*$E$6/Lump_Basis*AS223*AS212</f>
        <v/>
      </c>
    </row>
    <row r="226" hidden="1" outlineLevel="1">
      <c r="C226" s="6" t="inlineStr">
        <is>
          <t>Balancing and grid charges</t>
        </is>
      </c>
      <c r="D226" s="2" t="inlineStr">
        <is>
          <t>EUR k</t>
        </is>
      </c>
      <c r="H226" s="8">
        <f>SUM(J226:AS226)</f>
        <v/>
      </c>
      <c r="J226" s="8">
        <f>-J220*(Balancing+Grid_Charges)*J223</f>
        <v/>
      </c>
      <c r="K226" s="8">
        <f>-K220*(Balancing+Grid_Charges)*K223</f>
        <v/>
      </c>
      <c r="L226" s="8">
        <f>-L220*(Balancing+Grid_Charges)*L223</f>
        <v/>
      </c>
      <c r="M226" s="8">
        <f>-M220*(Balancing+Grid_Charges)*M223</f>
        <v/>
      </c>
      <c r="N226" s="8">
        <f>-N220*(Balancing+Grid_Charges)*N223</f>
        <v/>
      </c>
      <c r="O226" s="8">
        <f>-O220*(Balancing+Grid_Charges)*O223</f>
        <v/>
      </c>
      <c r="P226" s="8">
        <f>-P220*(Balancing+Grid_Charges)*P223</f>
        <v/>
      </c>
      <c r="Q226" s="8">
        <f>-Q220*(Balancing+Grid_Charges)*Q223</f>
        <v/>
      </c>
      <c r="R226" s="8">
        <f>-R220*(Balancing+Grid_Charges)*R223</f>
        <v/>
      </c>
      <c r="S226" s="8">
        <f>-S220*(Balancing+Grid_Charges)*S223</f>
        <v/>
      </c>
      <c r="T226" s="8">
        <f>-T220*(Balancing+Grid_Charges)*T223</f>
        <v/>
      </c>
      <c r="U226" s="8">
        <f>-U220*(Balancing+Grid_Charges)*U223</f>
        <v/>
      </c>
      <c r="V226" s="8">
        <f>-V220*(Balancing+Grid_Charges)*V223</f>
        <v/>
      </c>
      <c r="W226" s="8">
        <f>-W220*(Balancing+Grid_Charges)*W223</f>
        <v/>
      </c>
      <c r="X226" s="8">
        <f>-X220*(Balancing+Grid_Charges)*X223</f>
        <v/>
      </c>
      <c r="Y226" s="8">
        <f>-Y220*(Balancing+Grid_Charges)*Y223</f>
        <v/>
      </c>
      <c r="Z226" s="8">
        <f>-Z220*(Balancing+Grid_Charges)*Z223</f>
        <v/>
      </c>
      <c r="AA226" s="8">
        <f>-AA220*(Balancing+Grid_Charges)*AA223</f>
        <v/>
      </c>
      <c r="AB226" s="8">
        <f>-AB220*(Balancing+Grid_Charges)*AB223</f>
        <v/>
      </c>
      <c r="AC226" s="8">
        <f>-AC220*(Balancing+Grid_Charges)*AC223</f>
        <v/>
      </c>
      <c r="AD226" s="8">
        <f>-AD220*(Balancing+Grid_Charges)*AD223</f>
        <v/>
      </c>
      <c r="AE226" s="8">
        <f>-AE220*(Balancing+Grid_Charges)*AE223</f>
        <v/>
      </c>
      <c r="AF226" s="8">
        <f>-AF220*(Balancing+Grid_Charges)*AF223</f>
        <v/>
      </c>
      <c r="AG226" s="8">
        <f>-AG220*(Balancing+Grid_Charges)*AG223</f>
        <v/>
      </c>
      <c r="AH226" s="8">
        <f>-AH220*(Balancing+Grid_Charges)*AH223</f>
        <v/>
      </c>
      <c r="AI226" s="8">
        <f>-AI220*(Balancing+Grid_Charges)*AI223</f>
        <v/>
      </c>
      <c r="AJ226" s="8">
        <f>-AJ220*(Balancing+Grid_Charges)*AJ223</f>
        <v/>
      </c>
      <c r="AK226" s="8">
        <f>-AK220*(Balancing+Grid_Charges)*AK223</f>
        <v/>
      </c>
      <c r="AL226" s="8">
        <f>-AL220*(Balancing+Grid_Charges)*AL223</f>
        <v/>
      </c>
      <c r="AM226" s="8">
        <f>-AM220*(Balancing+Grid_Charges)*AM223</f>
        <v/>
      </c>
      <c r="AN226" s="8">
        <f>-AN220*(Balancing+Grid_Charges)*AN223</f>
        <v/>
      </c>
      <c r="AO226" s="8">
        <f>-AO220*(Balancing+Grid_Charges)*AO223</f>
        <v/>
      </c>
      <c r="AP226" s="8">
        <f>-AP220*(Balancing+Grid_Charges)*AP223</f>
        <v/>
      </c>
      <c r="AQ226" s="8">
        <f>-AQ220*(Balancing+Grid_Charges)*AQ223</f>
        <v/>
      </c>
      <c r="AR226" s="8">
        <f>-AR220*(Balancing+Grid_Charges)*AR223</f>
        <v/>
      </c>
      <c r="AS226" s="8">
        <f>-AS220*(Balancing+Grid_Charges)*AS223</f>
        <v/>
      </c>
    </row>
    <row r="227" hidden="1" outlineLevel="1">
      <c r="C227" s="6" t="inlineStr">
        <is>
          <t>MEKH supervisory fee</t>
        </is>
      </c>
      <c r="D227" s="2" t="inlineStr">
        <is>
          <t>EUR k</t>
        </is>
      </c>
      <c r="H227" s="8">
        <f>SUM(J227:AS227)</f>
        <v/>
      </c>
      <c r="J227" s="8">
        <f>-J222*MEKH_Fee</f>
        <v/>
      </c>
      <c r="K227" s="8">
        <f>-K222*MEKH_Fee</f>
        <v/>
      </c>
      <c r="L227" s="8">
        <f>-L222*MEKH_Fee</f>
        <v/>
      </c>
      <c r="M227" s="8">
        <f>-M222*MEKH_Fee</f>
        <v/>
      </c>
      <c r="N227" s="8">
        <f>-N222*MEKH_Fee</f>
        <v/>
      </c>
      <c r="O227" s="8">
        <f>-O222*MEKH_Fee</f>
        <v/>
      </c>
      <c r="P227" s="8">
        <f>-P222*MEKH_Fee</f>
        <v/>
      </c>
      <c r="Q227" s="8">
        <f>-Q222*MEKH_Fee</f>
        <v/>
      </c>
      <c r="R227" s="8">
        <f>-R222*MEKH_Fee</f>
        <v/>
      </c>
      <c r="S227" s="8">
        <f>-S222*MEKH_Fee</f>
        <v/>
      </c>
      <c r="T227" s="8">
        <f>-T222*MEKH_Fee</f>
        <v/>
      </c>
      <c r="U227" s="8">
        <f>-U222*MEKH_Fee</f>
        <v/>
      </c>
      <c r="V227" s="8">
        <f>-V222*MEKH_Fee</f>
        <v/>
      </c>
      <c r="W227" s="8">
        <f>-W222*MEKH_Fee</f>
        <v/>
      </c>
      <c r="X227" s="8">
        <f>-X222*MEKH_Fee</f>
        <v/>
      </c>
      <c r="Y227" s="8">
        <f>-Y222*MEKH_Fee</f>
        <v/>
      </c>
      <c r="Z227" s="8">
        <f>-Z222*MEKH_Fee</f>
        <v/>
      </c>
      <c r="AA227" s="8">
        <f>-AA222*MEKH_Fee</f>
        <v/>
      </c>
      <c r="AB227" s="8">
        <f>-AB222*MEKH_Fee</f>
        <v/>
      </c>
      <c r="AC227" s="8">
        <f>-AC222*MEKH_Fee</f>
        <v/>
      </c>
      <c r="AD227" s="8">
        <f>-AD222*MEKH_Fee</f>
        <v/>
      </c>
      <c r="AE227" s="8">
        <f>-AE222*MEKH_Fee</f>
        <v/>
      </c>
      <c r="AF227" s="8">
        <f>-AF222*MEKH_Fee</f>
        <v/>
      </c>
      <c r="AG227" s="8">
        <f>-AG222*MEKH_Fee</f>
        <v/>
      </c>
      <c r="AH227" s="8">
        <f>-AH222*MEKH_Fee</f>
        <v/>
      </c>
      <c r="AI227" s="8">
        <f>-AI222*MEKH_Fee</f>
        <v/>
      </c>
      <c r="AJ227" s="8">
        <f>-AJ222*MEKH_Fee</f>
        <v/>
      </c>
      <c r="AK227" s="8">
        <f>-AK222*MEKH_Fee</f>
        <v/>
      </c>
      <c r="AL227" s="8">
        <f>-AL222*MEKH_Fee</f>
        <v/>
      </c>
      <c r="AM227" s="8">
        <f>-AM222*MEKH_Fee</f>
        <v/>
      </c>
      <c r="AN227" s="8">
        <f>-AN222*MEKH_Fee</f>
        <v/>
      </c>
      <c r="AO227" s="8">
        <f>-AO222*MEKH_Fee</f>
        <v/>
      </c>
      <c r="AP227" s="8">
        <f>-AP222*MEKH_Fee</f>
        <v/>
      </c>
      <c r="AQ227" s="8">
        <f>-AQ222*MEKH_Fee</f>
        <v/>
      </c>
      <c r="AR227" s="8">
        <f>-AR222*MEKH_Fee</f>
        <v/>
      </c>
      <c r="AS227" s="8">
        <f>-AS222*MEKH_Fee</f>
        <v/>
      </c>
    </row>
    <row r="228" hidden="1" outlineLevel="1">
      <c r="C228" s="6" t="inlineStr">
        <is>
          <t>Opex contingency</t>
        </is>
      </c>
      <c r="D228" s="2" t="inlineStr">
        <is>
          <t>EUR k</t>
        </is>
      </c>
      <c r="H228" s="8">
        <f>SUM(J228:AS228)</f>
        <v/>
      </c>
      <c r="J228" s="8">
        <f>SUM(J224:J227)*Opex_Cont</f>
        <v/>
      </c>
      <c r="K228" s="8">
        <f>SUM(K224:K227)*Opex_Cont</f>
        <v/>
      </c>
      <c r="L228" s="8">
        <f>SUM(L224:L227)*Opex_Cont</f>
        <v/>
      </c>
      <c r="M228" s="8">
        <f>SUM(M224:M227)*Opex_Cont</f>
        <v/>
      </c>
      <c r="N228" s="8">
        <f>SUM(N224:N227)*Opex_Cont</f>
        <v/>
      </c>
      <c r="O228" s="8">
        <f>SUM(O224:O227)*Opex_Cont</f>
        <v/>
      </c>
      <c r="P228" s="8">
        <f>SUM(P224:P227)*Opex_Cont</f>
        <v/>
      </c>
      <c r="Q228" s="8">
        <f>SUM(Q224:Q227)*Opex_Cont</f>
        <v/>
      </c>
      <c r="R228" s="8">
        <f>SUM(R224:R227)*Opex_Cont</f>
        <v/>
      </c>
      <c r="S228" s="8">
        <f>SUM(S224:S227)*Opex_Cont</f>
        <v/>
      </c>
      <c r="T228" s="8">
        <f>SUM(T224:T227)*Opex_Cont</f>
        <v/>
      </c>
      <c r="U228" s="8">
        <f>SUM(U224:U227)*Opex_Cont</f>
        <v/>
      </c>
      <c r="V228" s="8">
        <f>SUM(V224:V227)*Opex_Cont</f>
        <v/>
      </c>
      <c r="W228" s="8">
        <f>SUM(W224:W227)*Opex_Cont</f>
        <v/>
      </c>
      <c r="X228" s="8">
        <f>SUM(X224:X227)*Opex_Cont</f>
        <v/>
      </c>
      <c r="Y228" s="8">
        <f>SUM(Y224:Y227)*Opex_Cont</f>
        <v/>
      </c>
      <c r="Z228" s="8">
        <f>SUM(Z224:Z227)*Opex_Cont</f>
        <v/>
      </c>
      <c r="AA228" s="8">
        <f>SUM(AA224:AA227)*Opex_Cont</f>
        <v/>
      </c>
      <c r="AB228" s="8">
        <f>SUM(AB224:AB227)*Opex_Cont</f>
        <v/>
      </c>
      <c r="AC228" s="8">
        <f>SUM(AC224:AC227)*Opex_Cont</f>
        <v/>
      </c>
      <c r="AD228" s="8">
        <f>SUM(AD224:AD227)*Opex_Cont</f>
        <v/>
      </c>
      <c r="AE228" s="8">
        <f>SUM(AE224:AE227)*Opex_Cont</f>
        <v/>
      </c>
      <c r="AF228" s="8">
        <f>SUM(AF224:AF227)*Opex_Cont</f>
        <v/>
      </c>
      <c r="AG228" s="8">
        <f>SUM(AG224:AG227)*Opex_Cont</f>
        <v/>
      </c>
      <c r="AH228" s="8">
        <f>SUM(AH224:AH227)*Opex_Cont</f>
        <v/>
      </c>
      <c r="AI228" s="8">
        <f>SUM(AI224:AI227)*Opex_Cont</f>
        <v/>
      </c>
      <c r="AJ228" s="8">
        <f>SUM(AJ224:AJ227)*Opex_Cont</f>
        <v/>
      </c>
      <c r="AK228" s="8">
        <f>SUM(AK224:AK227)*Opex_Cont</f>
        <v/>
      </c>
      <c r="AL228" s="8">
        <f>SUM(AL224:AL227)*Opex_Cont</f>
        <v/>
      </c>
      <c r="AM228" s="8">
        <f>SUM(AM224:AM227)*Opex_Cont</f>
        <v/>
      </c>
      <c r="AN228" s="8">
        <f>SUM(AN224:AN227)*Opex_Cont</f>
        <v/>
      </c>
      <c r="AO228" s="8">
        <f>SUM(AO224:AO227)*Opex_Cont</f>
        <v/>
      </c>
      <c r="AP228" s="8">
        <f>SUM(AP224:AP227)*Opex_Cont</f>
        <v/>
      </c>
      <c r="AQ228" s="8">
        <f>SUM(AQ224:AQ227)*Opex_Cont</f>
        <v/>
      </c>
      <c r="AR228" s="8">
        <f>SUM(AR224:AR227)*Opex_Cont</f>
        <v/>
      </c>
      <c r="AS228" s="8">
        <f>SUM(AS224:AS227)*Opex_Cont</f>
        <v/>
      </c>
    </row>
    <row r="229" hidden="1" outlineLevel="1">
      <c r="C229" s="6" t="inlineStr">
        <is>
          <t>Community contribution</t>
        </is>
      </c>
      <c r="D229" s="2" t="inlineStr">
        <is>
          <t>EUR k</t>
        </is>
      </c>
      <c r="H229" s="8">
        <f>SUM(J229:AS229)</f>
        <v/>
      </c>
      <c r="J229" s="8">
        <f>-J220*$E$12</f>
        <v/>
      </c>
      <c r="K229" s="8">
        <f>-K220*$E$12</f>
        <v/>
      </c>
      <c r="L229" s="8">
        <f>-L220*$E$12</f>
        <v/>
      </c>
      <c r="M229" s="8">
        <f>-M220*$E$12</f>
        <v/>
      </c>
      <c r="N229" s="8">
        <f>-N220*$E$12</f>
        <v/>
      </c>
      <c r="O229" s="8">
        <f>-O220*$E$12</f>
        <v/>
      </c>
      <c r="P229" s="8">
        <f>-P220*$E$12</f>
        <v/>
      </c>
      <c r="Q229" s="8">
        <f>-Q220*$E$12</f>
        <v/>
      </c>
      <c r="R229" s="8">
        <f>-R220*$E$12</f>
        <v/>
      </c>
      <c r="S229" s="8">
        <f>-S220*$E$12</f>
        <v/>
      </c>
      <c r="T229" s="8">
        <f>-T220*$E$12</f>
        <v/>
      </c>
      <c r="U229" s="8">
        <f>-U220*$E$12</f>
        <v/>
      </c>
      <c r="V229" s="8">
        <f>-V220*$E$12</f>
        <v/>
      </c>
      <c r="W229" s="8">
        <f>-W220*$E$12</f>
        <v/>
      </c>
      <c r="X229" s="8">
        <f>-X220*$E$12</f>
        <v/>
      </c>
      <c r="Y229" s="8">
        <f>-Y220*$E$12</f>
        <v/>
      </c>
      <c r="Z229" s="8">
        <f>-Z220*$E$12</f>
        <v/>
      </c>
      <c r="AA229" s="8">
        <f>-AA220*$E$12</f>
        <v/>
      </c>
      <c r="AB229" s="8">
        <f>-AB220*$E$12</f>
        <v/>
      </c>
      <c r="AC229" s="8">
        <f>-AC220*$E$12</f>
        <v/>
      </c>
      <c r="AD229" s="8">
        <f>-AD220*$E$12</f>
        <v/>
      </c>
      <c r="AE229" s="8">
        <f>-AE220*$E$12</f>
        <v/>
      </c>
      <c r="AF229" s="8">
        <f>-AF220*$E$12</f>
        <v/>
      </c>
      <c r="AG229" s="8">
        <f>-AG220*$E$12</f>
        <v/>
      </c>
      <c r="AH229" s="8">
        <f>-AH220*$E$12</f>
        <v/>
      </c>
      <c r="AI229" s="8">
        <f>-AI220*$E$12</f>
        <v/>
      </c>
      <c r="AJ229" s="8">
        <f>-AJ220*$E$12</f>
        <v/>
      </c>
      <c r="AK229" s="8">
        <f>-AK220*$E$12</f>
        <v/>
      </c>
      <c r="AL229" s="8">
        <f>-AL220*$E$12</f>
        <v/>
      </c>
      <c r="AM229" s="8">
        <f>-AM220*$E$12</f>
        <v/>
      </c>
      <c r="AN229" s="8">
        <f>-AN220*$E$12</f>
        <v/>
      </c>
      <c r="AO229" s="8">
        <f>-AO220*$E$12</f>
        <v/>
      </c>
      <c r="AP229" s="8">
        <f>-AP220*$E$12</f>
        <v/>
      </c>
      <c r="AQ229" s="8">
        <f>-AQ220*$E$12</f>
        <v/>
      </c>
      <c r="AR229" s="8">
        <f>-AR220*$E$12</f>
        <v/>
      </c>
      <c r="AS229" s="8">
        <f>-AS220*$E$12</f>
        <v/>
      </c>
    </row>
    <row r="230" hidden="1" outlineLevel="1">
      <c r="C230" s="6" t="inlineStr">
        <is>
          <t>HIPA local business tax</t>
        </is>
      </c>
      <c r="D230" s="2" t="inlineStr">
        <is>
          <t>EUR k</t>
        </is>
      </c>
      <c r="H230" s="8">
        <f>SUM(J230:AS230)</f>
        <v/>
      </c>
      <c r="J230" s="8">
        <f>-J222*HIPA_Rate</f>
        <v/>
      </c>
      <c r="K230" s="8">
        <f>-K222*HIPA_Rate</f>
        <v/>
      </c>
      <c r="L230" s="8">
        <f>-L222*HIPA_Rate</f>
        <v/>
      </c>
      <c r="M230" s="8">
        <f>-M222*HIPA_Rate</f>
        <v/>
      </c>
      <c r="N230" s="8">
        <f>-N222*HIPA_Rate</f>
        <v/>
      </c>
      <c r="O230" s="8">
        <f>-O222*HIPA_Rate</f>
        <v/>
      </c>
      <c r="P230" s="8">
        <f>-P222*HIPA_Rate</f>
        <v/>
      </c>
      <c r="Q230" s="8">
        <f>-Q222*HIPA_Rate</f>
        <v/>
      </c>
      <c r="R230" s="8">
        <f>-R222*HIPA_Rate</f>
        <v/>
      </c>
      <c r="S230" s="8">
        <f>-S222*HIPA_Rate</f>
        <v/>
      </c>
      <c r="T230" s="8">
        <f>-T222*HIPA_Rate</f>
        <v/>
      </c>
      <c r="U230" s="8">
        <f>-U222*HIPA_Rate</f>
        <v/>
      </c>
      <c r="V230" s="8">
        <f>-V222*HIPA_Rate</f>
        <v/>
      </c>
      <c r="W230" s="8">
        <f>-W222*HIPA_Rate</f>
        <v/>
      </c>
      <c r="X230" s="8">
        <f>-X222*HIPA_Rate</f>
        <v/>
      </c>
      <c r="Y230" s="8">
        <f>-Y222*HIPA_Rate</f>
        <v/>
      </c>
      <c r="Z230" s="8">
        <f>-Z222*HIPA_Rate</f>
        <v/>
      </c>
      <c r="AA230" s="8">
        <f>-AA222*HIPA_Rate</f>
        <v/>
      </c>
      <c r="AB230" s="8">
        <f>-AB222*HIPA_Rate</f>
        <v/>
      </c>
      <c r="AC230" s="8">
        <f>-AC222*HIPA_Rate</f>
        <v/>
      </c>
      <c r="AD230" s="8">
        <f>-AD222*HIPA_Rate</f>
        <v/>
      </c>
      <c r="AE230" s="8">
        <f>-AE222*HIPA_Rate</f>
        <v/>
      </c>
      <c r="AF230" s="8">
        <f>-AF222*HIPA_Rate</f>
        <v/>
      </c>
      <c r="AG230" s="8">
        <f>-AG222*HIPA_Rate</f>
        <v/>
      </c>
      <c r="AH230" s="8">
        <f>-AH222*HIPA_Rate</f>
        <v/>
      </c>
      <c r="AI230" s="8">
        <f>-AI222*HIPA_Rate</f>
        <v/>
      </c>
      <c r="AJ230" s="8">
        <f>-AJ222*HIPA_Rate</f>
        <v/>
      </c>
      <c r="AK230" s="8">
        <f>-AK222*HIPA_Rate</f>
        <v/>
      </c>
      <c r="AL230" s="8">
        <f>-AL222*HIPA_Rate</f>
        <v/>
      </c>
      <c r="AM230" s="8">
        <f>-AM222*HIPA_Rate</f>
        <v/>
      </c>
      <c r="AN230" s="8">
        <f>-AN222*HIPA_Rate</f>
        <v/>
      </c>
      <c r="AO230" s="8">
        <f>-AO222*HIPA_Rate</f>
        <v/>
      </c>
      <c r="AP230" s="8">
        <f>-AP222*HIPA_Rate</f>
        <v/>
      </c>
      <c r="AQ230" s="8">
        <f>-AQ222*HIPA_Rate</f>
        <v/>
      </c>
      <c r="AR230" s="8">
        <f>-AR222*HIPA_Rate</f>
        <v/>
      </c>
      <c r="AS230" s="8">
        <f>-AS222*HIPA_Rate</f>
        <v/>
      </c>
    </row>
    <row r="231" hidden="1" outlineLevel="1">
      <c r="C231" s="1" t="inlineStr">
        <is>
          <t>Total opex</t>
        </is>
      </c>
      <c r="D231" s="2" t="inlineStr">
        <is>
          <t>EUR k</t>
        </is>
      </c>
      <c r="H231" s="19">
        <f>SUM(J231:AS231)</f>
        <v/>
      </c>
      <c r="J231" s="19">
        <f>SUM(J224:J230)</f>
        <v/>
      </c>
      <c r="K231" s="19">
        <f>SUM(K224:K230)</f>
        <v/>
      </c>
      <c r="L231" s="19">
        <f>SUM(L224:L230)</f>
        <v/>
      </c>
      <c r="M231" s="19">
        <f>SUM(M224:M230)</f>
        <v/>
      </c>
      <c r="N231" s="19">
        <f>SUM(N224:N230)</f>
        <v/>
      </c>
      <c r="O231" s="19">
        <f>SUM(O224:O230)</f>
        <v/>
      </c>
      <c r="P231" s="19">
        <f>SUM(P224:P230)</f>
        <v/>
      </c>
      <c r="Q231" s="19">
        <f>SUM(Q224:Q230)</f>
        <v/>
      </c>
      <c r="R231" s="19">
        <f>SUM(R224:R230)</f>
        <v/>
      </c>
      <c r="S231" s="19">
        <f>SUM(S224:S230)</f>
        <v/>
      </c>
      <c r="T231" s="19">
        <f>SUM(T224:T230)</f>
        <v/>
      </c>
      <c r="U231" s="19">
        <f>SUM(U224:U230)</f>
        <v/>
      </c>
      <c r="V231" s="19">
        <f>SUM(V224:V230)</f>
        <v/>
      </c>
      <c r="W231" s="19">
        <f>SUM(W224:W230)</f>
        <v/>
      </c>
      <c r="X231" s="19">
        <f>SUM(X224:X230)</f>
        <v/>
      </c>
      <c r="Y231" s="19">
        <f>SUM(Y224:Y230)</f>
        <v/>
      </c>
      <c r="Z231" s="19">
        <f>SUM(Z224:Z230)</f>
        <v/>
      </c>
      <c r="AA231" s="19">
        <f>SUM(AA224:AA230)</f>
        <v/>
      </c>
      <c r="AB231" s="19">
        <f>SUM(AB224:AB230)</f>
        <v/>
      </c>
      <c r="AC231" s="19">
        <f>SUM(AC224:AC230)</f>
        <v/>
      </c>
      <c r="AD231" s="19">
        <f>SUM(AD224:AD230)</f>
        <v/>
      </c>
      <c r="AE231" s="19">
        <f>SUM(AE224:AE230)</f>
        <v/>
      </c>
      <c r="AF231" s="19">
        <f>SUM(AF224:AF230)</f>
        <v/>
      </c>
      <c r="AG231" s="19">
        <f>SUM(AG224:AG230)</f>
        <v/>
      </c>
      <c r="AH231" s="19">
        <f>SUM(AH224:AH230)</f>
        <v/>
      </c>
      <c r="AI231" s="19">
        <f>SUM(AI224:AI230)</f>
        <v/>
      </c>
      <c r="AJ231" s="19">
        <f>SUM(AJ224:AJ230)</f>
        <v/>
      </c>
      <c r="AK231" s="19">
        <f>SUM(AK224:AK230)</f>
        <v/>
      </c>
      <c r="AL231" s="19">
        <f>SUM(AL224:AL230)</f>
        <v/>
      </c>
      <c r="AM231" s="19">
        <f>SUM(AM224:AM230)</f>
        <v/>
      </c>
      <c r="AN231" s="19">
        <f>SUM(AN224:AN230)</f>
        <v/>
      </c>
      <c r="AO231" s="19">
        <f>SUM(AO224:AO230)</f>
        <v/>
      </c>
      <c r="AP231" s="19">
        <f>SUM(AP224:AP230)</f>
        <v/>
      </c>
      <c r="AQ231" s="19">
        <f>SUM(AQ224:AQ230)</f>
        <v/>
      </c>
      <c r="AR231" s="19">
        <f>SUM(AR224:AR230)</f>
        <v/>
      </c>
      <c r="AS231" s="19">
        <f>SUM(AS224:AS230)</f>
        <v/>
      </c>
    </row>
    <row r="232" hidden="1" outlineLevel="1">
      <c r="C232" s="1" t="inlineStr">
        <is>
          <t>EBITDA</t>
        </is>
      </c>
      <c r="D232" s="2" t="inlineStr">
        <is>
          <t>EUR k</t>
        </is>
      </c>
      <c r="H232" s="14">
        <f>SUM(J232:AS232)</f>
        <v/>
      </c>
      <c r="J232" s="14">
        <f>J222+J231</f>
        <v/>
      </c>
      <c r="K232" s="14">
        <f>K222+K231</f>
        <v/>
      </c>
      <c r="L232" s="14">
        <f>L222+L231</f>
        <v/>
      </c>
      <c r="M232" s="14">
        <f>M222+M231</f>
        <v/>
      </c>
      <c r="N232" s="14">
        <f>N222+N231</f>
        <v/>
      </c>
      <c r="O232" s="14">
        <f>O222+O231</f>
        <v/>
      </c>
      <c r="P232" s="14">
        <f>P222+P231</f>
        <v/>
      </c>
      <c r="Q232" s="14">
        <f>Q222+Q231</f>
        <v/>
      </c>
      <c r="R232" s="14">
        <f>R222+R231</f>
        <v/>
      </c>
      <c r="S232" s="14">
        <f>S222+S231</f>
        <v/>
      </c>
      <c r="T232" s="14">
        <f>T222+T231</f>
        <v/>
      </c>
      <c r="U232" s="14">
        <f>U222+U231</f>
        <v/>
      </c>
      <c r="V232" s="14">
        <f>V222+V231</f>
        <v/>
      </c>
      <c r="W232" s="14">
        <f>W222+W231</f>
        <v/>
      </c>
      <c r="X232" s="14">
        <f>X222+X231</f>
        <v/>
      </c>
      <c r="Y232" s="14">
        <f>Y222+Y231</f>
        <v/>
      </c>
      <c r="Z232" s="14">
        <f>Z222+Z231</f>
        <v/>
      </c>
      <c r="AA232" s="14">
        <f>AA222+AA231</f>
        <v/>
      </c>
      <c r="AB232" s="14">
        <f>AB222+AB231</f>
        <v/>
      </c>
      <c r="AC232" s="14">
        <f>AC222+AC231</f>
        <v/>
      </c>
      <c r="AD232" s="14">
        <f>AD222+AD231</f>
        <v/>
      </c>
      <c r="AE232" s="14">
        <f>AE222+AE231</f>
        <v/>
      </c>
      <c r="AF232" s="14">
        <f>AF222+AF231</f>
        <v/>
      </c>
      <c r="AG232" s="14">
        <f>AG222+AG231</f>
        <v/>
      </c>
      <c r="AH232" s="14">
        <f>AH222+AH231</f>
        <v/>
      </c>
      <c r="AI232" s="14">
        <f>AI222+AI231</f>
        <v/>
      </c>
      <c r="AJ232" s="14">
        <f>AJ222+AJ231</f>
        <v/>
      </c>
      <c r="AK232" s="14">
        <f>AK222+AK231</f>
        <v/>
      </c>
      <c r="AL232" s="14">
        <f>AL222+AL231</f>
        <v/>
      </c>
      <c r="AM232" s="14">
        <f>AM222+AM231</f>
        <v/>
      </c>
      <c r="AN232" s="14">
        <f>AN222+AN231</f>
        <v/>
      </c>
      <c r="AO232" s="14">
        <f>AO222+AO231</f>
        <v/>
      </c>
      <c r="AP232" s="14">
        <f>AP222+AP231</f>
        <v/>
      </c>
      <c r="AQ232" s="14">
        <f>AQ222+AQ231</f>
        <v/>
      </c>
      <c r="AR232" s="14">
        <f>AR222+AR231</f>
        <v/>
      </c>
      <c r="AS232" s="14">
        <f>AS222+AS231</f>
        <v/>
      </c>
    </row>
    <row r="233" hidden="1" outlineLevel="1">
      <c r="C233" s="1" t="inlineStr">
        <is>
          <t>Unlevered pre-tax cash flow</t>
        </is>
      </c>
      <c r="D233" s="2" t="inlineStr">
        <is>
          <t>EUR k</t>
        </is>
      </c>
      <c r="H233" s="19">
        <f>SUM(J233:AS233)</f>
        <v/>
      </c>
      <c r="J233" s="19">
        <f>J218+J232</f>
        <v/>
      </c>
      <c r="K233" s="19">
        <f>K218+K232</f>
        <v/>
      </c>
      <c r="L233" s="19">
        <f>L218+L232</f>
        <v/>
      </c>
      <c r="M233" s="19">
        <f>M218+M232</f>
        <v/>
      </c>
      <c r="N233" s="19">
        <f>N218+N232</f>
        <v/>
      </c>
      <c r="O233" s="19">
        <f>O218+O232</f>
        <v/>
      </c>
      <c r="P233" s="19">
        <f>P218+P232</f>
        <v/>
      </c>
      <c r="Q233" s="19">
        <f>Q218+Q232</f>
        <v/>
      </c>
      <c r="R233" s="19">
        <f>R218+R232</f>
        <v/>
      </c>
      <c r="S233" s="19">
        <f>S218+S232</f>
        <v/>
      </c>
      <c r="T233" s="19">
        <f>T218+T232</f>
        <v/>
      </c>
      <c r="U233" s="19">
        <f>U218+U232</f>
        <v/>
      </c>
      <c r="V233" s="19">
        <f>V218+V232</f>
        <v/>
      </c>
      <c r="W233" s="19">
        <f>W218+W232</f>
        <v/>
      </c>
      <c r="X233" s="19">
        <f>X218+X232</f>
        <v/>
      </c>
      <c r="Y233" s="19">
        <f>Y218+Y232</f>
        <v/>
      </c>
      <c r="Z233" s="19">
        <f>Z218+Z232</f>
        <v/>
      </c>
      <c r="AA233" s="19">
        <f>AA218+AA232</f>
        <v/>
      </c>
      <c r="AB233" s="19">
        <f>AB218+AB232</f>
        <v/>
      </c>
      <c r="AC233" s="19">
        <f>AC218+AC232</f>
        <v/>
      </c>
      <c r="AD233" s="19">
        <f>AD218+AD232</f>
        <v/>
      </c>
      <c r="AE233" s="19">
        <f>AE218+AE232</f>
        <v/>
      </c>
      <c r="AF233" s="19">
        <f>AF218+AF232</f>
        <v/>
      </c>
      <c r="AG233" s="19">
        <f>AG218+AG232</f>
        <v/>
      </c>
      <c r="AH233" s="19">
        <f>AH218+AH232</f>
        <v/>
      </c>
      <c r="AI233" s="19">
        <f>AI218+AI232</f>
        <v/>
      </c>
      <c r="AJ233" s="19">
        <f>AJ218+AJ232</f>
        <v/>
      </c>
      <c r="AK233" s="19">
        <f>AK218+AK232</f>
        <v/>
      </c>
      <c r="AL233" s="19">
        <f>AL218+AL232</f>
        <v/>
      </c>
      <c r="AM233" s="19">
        <f>AM218+AM232</f>
        <v/>
      </c>
      <c r="AN233" s="19">
        <f>AN218+AN232</f>
        <v/>
      </c>
      <c r="AO233" s="19">
        <f>AO218+AO232</f>
        <v/>
      </c>
      <c r="AP233" s="19">
        <f>AP218+AP232</f>
        <v/>
      </c>
      <c r="AQ233" s="19">
        <f>AQ218+AQ232</f>
        <v/>
      </c>
      <c r="AR233" s="19">
        <f>AR218+AR232</f>
        <v/>
      </c>
      <c r="AS233" s="19">
        <f>AS218+AS232</f>
        <v/>
      </c>
    </row>
    <row r="234" hidden="1" outlineLevel="1">
      <c r="C234" s="6" t="inlineStr">
        <is>
          <t>Discount factor to COD (buyer's rate)</t>
        </is>
      </c>
      <c r="D234" s="2" t="inlineStr">
        <is>
          <t>x</t>
        </is>
      </c>
      <c r="J234" s="30">
        <f>(1+Discount_Rate)^((Inputs!$E$33-J$205)/Days_In_Year)</f>
        <v/>
      </c>
      <c r="K234" s="30">
        <f>(1+Discount_Rate)^((Inputs!$E$33-K$205)/Days_In_Year)</f>
        <v/>
      </c>
      <c r="L234" s="30">
        <f>(1+Discount_Rate)^((Inputs!$E$33-L$205)/Days_In_Year)</f>
        <v/>
      </c>
      <c r="M234" s="30">
        <f>(1+Discount_Rate)^((Inputs!$E$33-M$205)/Days_In_Year)</f>
        <v/>
      </c>
      <c r="N234" s="30">
        <f>(1+Discount_Rate)^((Inputs!$E$33-N$205)/Days_In_Year)</f>
        <v/>
      </c>
      <c r="O234" s="30">
        <f>(1+Discount_Rate)^((Inputs!$E$33-O$205)/Days_In_Year)</f>
        <v/>
      </c>
      <c r="P234" s="30">
        <f>(1+Discount_Rate)^((Inputs!$E$33-P$205)/Days_In_Year)</f>
        <v/>
      </c>
      <c r="Q234" s="30">
        <f>(1+Discount_Rate)^((Inputs!$E$33-Q$205)/Days_In_Year)</f>
        <v/>
      </c>
      <c r="R234" s="30">
        <f>(1+Discount_Rate)^((Inputs!$E$33-R$205)/Days_In_Year)</f>
        <v/>
      </c>
      <c r="S234" s="30">
        <f>(1+Discount_Rate)^((Inputs!$E$33-S$205)/Days_In_Year)</f>
        <v/>
      </c>
      <c r="T234" s="30">
        <f>(1+Discount_Rate)^((Inputs!$E$33-T$205)/Days_In_Year)</f>
        <v/>
      </c>
      <c r="U234" s="30">
        <f>(1+Discount_Rate)^((Inputs!$E$33-U$205)/Days_In_Year)</f>
        <v/>
      </c>
      <c r="V234" s="30">
        <f>(1+Discount_Rate)^((Inputs!$E$33-V$205)/Days_In_Year)</f>
        <v/>
      </c>
      <c r="W234" s="30">
        <f>(1+Discount_Rate)^((Inputs!$E$33-W$205)/Days_In_Year)</f>
        <v/>
      </c>
      <c r="X234" s="30">
        <f>(1+Discount_Rate)^((Inputs!$E$33-X$205)/Days_In_Year)</f>
        <v/>
      </c>
      <c r="Y234" s="30">
        <f>(1+Discount_Rate)^((Inputs!$E$33-Y$205)/Days_In_Year)</f>
        <v/>
      </c>
      <c r="Z234" s="30">
        <f>(1+Discount_Rate)^((Inputs!$E$33-Z$205)/Days_In_Year)</f>
        <v/>
      </c>
      <c r="AA234" s="30">
        <f>(1+Discount_Rate)^((Inputs!$E$33-AA$205)/Days_In_Year)</f>
        <v/>
      </c>
      <c r="AB234" s="30">
        <f>(1+Discount_Rate)^((Inputs!$E$33-AB$205)/Days_In_Year)</f>
        <v/>
      </c>
      <c r="AC234" s="30">
        <f>(1+Discount_Rate)^((Inputs!$E$33-AC$205)/Days_In_Year)</f>
        <v/>
      </c>
      <c r="AD234" s="30">
        <f>(1+Discount_Rate)^((Inputs!$E$33-AD$205)/Days_In_Year)</f>
        <v/>
      </c>
      <c r="AE234" s="30">
        <f>(1+Discount_Rate)^((Inputs!$E$33-AE$205)/Days_In_Year)</f>
        <v/>
      </c>
      <c r="AF234" s="30">
        <f>(1+Discount_Rate)^((Inputs!$E$33-AF$205)/Days_In_Year)</f>
        <v/>
      </c>
      <c r="AG234" s="30">
        <f>(1+Discount_Rate)^((Inputs!$E$33-AG$205)/Days_In_Year)</f>
        <v/>
      </c>
      <c r="AH234" s="30">
        <f>(1+Discount_Rate)^((Inputs!$E$33-AH$205)/Days_In_Year)</f>
        <v/>
      </c>
      <c r="AI234" s="30">
        <f>(1+Discount_Rate)^((Inputs!$E$33-AI$205)/Days_In_Year)</f>
        <v/>
      </c>
      <c r="AJ234" s="30">
        <f>(1+Discount_Rate)^((Inputs!$E$33-AJ$205)/Days_In_Year)</f>
        <v/>
      </c>
      <c r="AK234" s="30">
        <f>(1+Discount_Rate)^((Inputs!$E$33-AK$205)/Days_In_Year)</f>
        <v/>
      </c>
      <c r="AL234" s="30">
        <f>(1+Discount_Rate)^((Inputs!$E$33-AL$205)/Days_In_Year)</f>
        <v/>
      </c>
      <c r="AM234" s="30">
        <f>(1+Discount_Rate)^((Inputs!$E$33-AM$205)/Days_In_Year)</f>
        <v/>
      </c>
      <c r="AN234" s="30">
        <f>(1+Discount_Rate)^((Inputs!$E$33-AN$205)/Days_In_Year)</f>
        <v/>
      </c>
      <c r="AO234" s="30">
        <f>(1+Discount_Rate)^((Inputs!$E$33-AO$205)/Days_In_Year)</f>
        <v/>
      </c>
      <c r="AP234" s="30">
        <f>(1+Discount_Rate)^((Inputs!$E$33-AP$205)/Days_In_Year)</f>
        <v/>
      </c>
      <c r="AQ234" s="30">
        <f>(1+Discount_Rate)^((Inputs!$E$33-AQ$205)/Days_In_Year)</f>
        <v/>
      </c>
      <c r="AR234" s="30">
        <f>(1+Discount_Rate)^((Inputs!$E$33-AR$205)/Days_In_Year)</f>
        <v/>
      </c>
      <c r="AS234" s="30">
        <f>(1+Discount_Rate)^((Inputs!$E$33-AS$205)/Days_In_Year)</f>
        <v/>
      </c>
    </row>
    <row r="235" hidden="1" outlineLevel="1">
      <c r="C235" s="6" t="inlineStr">
        <is>
          <t>EBITDA valued at COD (total = COD price)</t>
        </is>
      </c>
      <c r="D235" s="2" t="inlineStr">
        <is>
          <t>EUR k</t>
        </is>
      </c>
      <c r="H235" s="8">
        <f>SUM(J235:AS235)</f>
        <v/>
      </c>
      <c r="J235" s="8">
        <f>J232*J234</f>
        <v/>
      </c>
      <c r="K235" s="8">
        <f>K232*K234</f>
        <v/>
      </c>
      <c r="L235" s="8">
        <f>L232*L234</f>
        <v/>
      </c>
      <c r="M235" s="8">
        <f>M232*M234</f>
        <v/>
      </c>
      <c r="N235" s="8">
        <f>N232*N234</f>
        <v/>
      </c>
      <c r="O235" s="8">
        <f>O232*O234</f>
        <v/>
      </c>
      <c r="P235" s="8">
        <f>P232*P234</f>
        <v/>
      </c>
      <c r="Q235" s="8">
        <f>Q232*Q234</f>
        <v/>
      </c>
      <c r="R235" s="8">
        <f>R232*R234</f>
        <v/>
      </c>
      <c r="S235" s="8">
        <f>S232*S234</f>
        <v/>
      </c>
      <c r="T235" s="8">
        <f>T232*T234</f>
        <v/>
      </c>
      <c r="U235" s="8">
        <f>U232*U234</f>
        <v/>
      </c>
      <c r="V235" s="8">
        <f>V232*V234</f>
        <v/>
      </c>
      <c r="W235" s="8">
        <f>W232*W234</f>
        <v/>
      </c>
      <c r="X235" s="8">
        <f>X232*X234</f>
        <v/>
      </c>
      <c r="Y235" s="8">
        <f>Y232*Y234</f>
        <v/>
      </c>
      <c r="Z235" s="8">
        <f>Z232*Z234</f>
        <v/>
      </c>
      <c r="AA235" s="8">
        <f>AA232*AA234</f>
        <v/>
      </c>
      <c r="AB235" s="8">
        <f>AB232*AB234</f>
        <v/>
      </c>
      <c r="AC235" s="8">
        <f>AC232*AC234</f>
        <v/>
      </c>
      <c r="AD235" s="8">
        <f>AD232*AD234</f>
        <v/>
      </c>
      <c r="AE235" s="8">
        <f>AE232*AE234</f>
        <v/>
      </c>
      <c r="AF235" s="8">
        <f>AF232*AF234</f>
        <v/>
      </c>
      <c r="AG235" s="8">
        <f>AG232*AG234</f>
        <v/>
      </c>
      <c r="AH235" s="8">
        <f>AH232*AH234</f>
        <v/>
      </c>
      <c r="AI235" s="8">
        <f>AI232*AI234</f>
        <v/>
      </c>
      <c r="AJ235" s="8">
        <f>AJ232*AJ234</f>
        <v/>
      </c>
      <c r="AK235" s="8">
        <f>AK232*AK234</f>
        <v/>
      </c>
      <c r="AL235" s="8">
        <f>AL232*AL234</f>
        <v/>
      </c>
      <c r="AM235" s="8">
        <f>AM232*AM234</f>
        <v/>
      </c>
      <c r="AN235" s="8">
        <f>AN232*AN234</f>
        <v/>
      </c>
      <c r="AO235" s="8">
        <f>AO232*AO234</f>
        <v/>
      </c>
      <c r="AP235" s="8">
        <f>AP232*AP234</f>
        <v/>
      </c>
      <c r="AQ235" s="8">
        <f>AQ232*AQ234</f>
        <v/>
      </c>
      <c r="AR235" s="8">
        <f>AR232*AR234</f>
        <v/>
      </c>
      <c r="AS235" s="8">
        <f>AS232*AS234</f>
        <v/>
      </c>
    </row>
    <row r="236" hidden="1" outlineLevel="1">
      <c r="C236" s="1" t="inlineStr">
        <is>
          <t>COD exit: FEP cash flow (to COD, price and securities at COD)</t>
        </is>
      </c>
      <c r="D236" s="2" t="inlineStr">
        <is>
          <t>EUR k</t>
        </is>
      </c>
      <c r="H236" s="19">
        <f>SUM(J236:AS236)</f>
        <v/>
      </c>
      <c r="J236" s="19">
        <f>J218*(J208&lt;=0)+J213*($H235+$E$62+$E$63)</f>
        <v/>
      </c>
      <c r="K236" s="19">
        <f>K218*(K208&lt;=0)+K213*($H235+$E$62+$E$63)</f>
        <v/>
      </c>
      <c r="L236" s="19">
        <f>L218*(L208&lt;=0)+L213*($H235+$E$62+$E$63)</f>
        <v/>
      </c>
      <c r="M236" s="19">
        <f>M218*(M208&lt;=0)+M213*($H235+$E$62+$E$63)</f>
        <v/>
      </c>
      <c r="N236" s="19">
        <f>N218*(N208&lt;=0)+N213*($H235+$E$62+$E$63)</f>
        <v/>
      </c>
      <c r="O236" s="19">
        <f>O218*(O208&lt;=0)+O213*($H235+$E$62+$E$63)</f>
        <v/>
      </c>
      <c r="P236" s="19">
        <f>P218*(P208&lt;=0)+P213*($H235+$E$62+$E$63)</f>
        <v/>
      </c>
      <c r="Q236" s="19">
        <f>Q218*(Q208&lt;=0)+Q213*($H235+$E$62+$E$63)</f>
        <v/>
      </c>
      <c r="R236" s="19">
        <f>R218*(R208&lt;=0)+R213*($H235+$E$62+$E$63)</f>
        <v/>
      </c>
      <c r="S236" s="19">
        <f>S218*(S208&lt;=0)+S213*($H235+$E$62+$E$63)</f>
        <v/>
      </c>
      <c r="T236" s="19">
        <f>T218*(T208&lt;=0)+T213*($H235+$E$62+$E$63)</f>
        <v/>
      </c>
      <c r="U236" s="19">
        <f>U218*(U208&lt;=0)+U213*($H235+$E$62+$E$63)</f>
        <v/>
      </c>
      <c r="V236" s="19">
        <f>V218*(V208&lt;=0)+V213*($H235+$E$62+$E$63)</f>
        <v/>
      </c>
      <c r="W236" s="19">
        <f>W218*(W208&lt;=0)+W213*($H235+$E$62+$E$63)</f>
        <v/>
      </c>
      <c r="X236" s="19">
        <f>X218*(X208&lt;=0)+X213*($H235+$E$62+$E$63)</f>
        <v/>
      </c>
      <c r="Y236" s="19">
        <f>Y218*(Y208&lt;=0)+Y213*($H235+$E$62+$E$63)</f>
        <v/>
      </c>
      <c r="Z236" s="19">
        <f>Z218*(Z208&lt;=0)+Z213*($H235+$E$62+$E$63)</f>
        <v/>
      </c>
      <c r="AA236" s="19">
        <f>AA218*(AA208&lt;=0)+AA213*($H235+$E$62+$E$63)</f>
        <v/>
      </c>
      <c r="AB236" s="19">
        <f>AB218*(AB208&lt;=0)+AB213*($H235+$E$62+$E$63)</f>
        <v/>
      </c>
      <c r="AC236" s="19">
        <f>AC218*(AC208&lt;=0)+AC213*($H235+$E$62+$E$63)</f>
        <v/>
      </c>
      <c r="AD236" s="19">
        <f>AD218*(AD208&lt;=0)+AD213*($H235+$E$62+$E$63)</f>
        <v/>
      </c>
      <c r="AE236" s="19">
        <f>AE218*(AE208&lt;=0)+AE213*($H235+$E$62+$E$63)</f>
        <v/>
      </c>
      <c r="AF236" s="19">
        <f>AF218*(AF208&lt;=0)+AF213*($H235+$E$62+$E$63)</f>
        <v/>
      </c>
      <c r="AG236" s="19">
        <f>AG218*(AG208&lt;=0)+AG213*($H235+$E$62+$E$63)</f>
        <v/>
      </c>
      <c r="AH236" s="19">
        <f>AH218*(AH208&lt;=0)+AH213*($H235+$E$62+$E$63)</f>
        <v/>
      </c>
      <c r="AI236" s="19">
        <f>AI218*(AI208&lt;=0)+AI213*($H235+$E$62+$E$63)</f>
        <v/>
      </c>
      <c r="AJ236" s="19">
        <f>AJ218*(AJ208&lt;=0)+AJ213*($H235+$E$62+$E$63)</f>
        <v/>
      </c>
      <c r="AK236" s="19">
        <f>AK218*(AK208&lt;=0)+AK213*($H235+$E$62+$E$63)</f>
        <v/>
      </c>
      <c r="AL236" s="19">
        <f>AL218*(AL208&lt;=0)+AL213*($H235+$E$62+$E$63)</f>
        <v/>
      </c>
      <c r="AM236" s="19">
        <f>AM218*(AM208&lt;=0)+AM213*($H235+$E$62+$E$63)</f>
        <v/>
      </c>
      <c r="AN236" s="19">
        <f>AN218*(AN208&lt;=0)+AN213*($H235+$E$62+$E$63)</f>
        <v/>
      </c>
      <c r="AO236" s="19">
        <f>AO218*(AO208&lt;=0)+AO213*($H235+$E$62+$E$63)</f>
        <v/>
      </c>
      <c r="AP236" s="19">
        <f>AP218*(AP208&lt;=0)+AP213*($H235+$E$62+$E$63)</f>
        <v/>
      </c>
      <c r="AQ236" s="19">
        <f>AQ218*(AQ208&lt;=0)+AQ213*($H235+$E$62+$E$63)</f>
        <v/>
      </c>
      <c r="AR236" s="19">
        <f>AR218*(AR208&lt;=0)+AR213*($H235+$E$62+$E$63)</f>
        <v/>
      </c>
      <c r="AS236" s="19">
        <f>AS218*(AS208&lt;=0)+AS213*($H235+$E$62+$E$63)</f>
        <v/>
      </c>
    </row>
    <row r="237" hidden="1" outlineLevel="1"/>
    <row r="238" hidden="1" outlineLevel="1">
      <c r="B238" s="4" t="inlineStr">
        <is>
          <t>x</t>
        </is>
      </c>
      <c r="C238" s="4" t="inlineStr">
        <is>
          <t>Iváncsa: annual cash flow (EUR k)</t>
        </is>
      </c>
      <c r="D238" s="4" t="n"/>
      <c r="E238" s="5" t="n"/>
      <c r="F238" s="5" t="inlineStr">
        <is>
          <t>Value</t>
        </is>
      </c>
      <c r="G238" s="5" t="n"/>
      <c r="H238" s="5" t="inlineStr">
        <is>
          <t>Total</t>
        </is>
      </c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  <c r="AQ238" s="5" t="n"/>
      <c r="AR238" s="5" t="n"/>
      <c r="AS238" s="5" t="n"/>
    </row>
    <row r="239" hidden="1" outlineLevel="1">
      <c r="C239" s="6" t="inlineStr">
        <is>
          <t>Years from the COD year</t>
        </is>
      </c>
      <c r="D239" s="2" t="inlineStr">
        <is>
          <t>years</t>
        </is>
      </c>
      <c r="J239" s="27">
        <f>J$204-YEAR(Inputs!$F$33)</f>
        <v/>
      </c>
      <c r="K239" s="27">
        <f>K$204-YEAR(Inputs!$F$33)</f>
        <v/>
      </c>
      <c r="L239" s="27">
        <f>L$204-YEAR(Inputs!$F$33)</f>
        <v/>
      </c>
      <c r="M239" s="27">
        <f>M$204-YEAR(Inputs!$F$33)</f>
        <v/>
      </c>
      <c r="N239" s="27">
        <f>N$204-YEAR(Inputs!$F$33)</f>
        <v/>
      </c>
      <c r="O239" s="27">
        <f>O$204-YEAR(Inputs!$F$33)</f>
        <v/>
      </c>
      <c r="P239" s="27">
        <f>P$204-YEAR(Inputs!$F$33)</f>
        <v/>
      </c>
      <c r="Q239" s="27">
        <f>Q$204-YEAR(Inputs!$F$33)</f>
        <v/>
      </c>
      <c r="R239" s="27">
        <f>R$204-YEAR(Inputs!$F$33)</f>
        <v/>
      </c>
      <c r="S239" s="27">
        <f>S$204-YEAR(Inputs!$F$33)</f>
        <v/>
      </c>
      <c r="T239" s="27">
        <f>T$204-YEAR(Inputs!$F$33)</f>
        <v/>
      </c>
      <c r="U239" s="27">
        <f>U$204-YEAR(Inputs!$F$33)</f>
        <v/>
      </c>
      <c r="V239" s="27">
        <f>V$204-YEAR(Inputs!$F$33)</f>
        <v/>
      </c>
      <c r="W239" s="27">
        <f>W$204-YEAR(Inputs!$F$33)</f>
        <v/>
      </c>
      <c r="X239" s="27">
        <f>X$204-YEAR(Inputs!$F$33)</f>
        <v/>
      </c>
      <c r="Y239" s="27">
        <f>Y$204-YEAR(Inputs!$F$33)</f>
        <v/>
      </c>
      <c r="Z239" s="27">
        <f>Z$204-YEAR(Inputs!$F$33)</f>
        <v/>
      </c>
      <c r="AA239" s="27">
        <f>AA$204-YEAR(Inputs!$F$33)</f>
        <v/>
      </c>
      <c r="AB239" s="27">
        <f>AB$204-YEAR(Inputs!$F$33)</f>
        <v/>
      </c>
      <c r="AC239" s="27">
        <f>AC$204-YEAR(Inputs!$F$33)</f>
        <v/>
      </c>
      <c r="AD239" s="27">
        <f>AD$204-YEAR(Inputs!$F$33)</f>
        <v/>
      </c>
      <c r="AE239" s="27">
        <f>AE$204-YEAR(Inputs!$F$33)</f>
        <v/>
      </c>
      <c r="AF239" s="27">
        <f>AF$204-YEAR(Inputs!$F$33)</f>
        <v/>
      </c>
      <c r="AG239" s="27">
        <f>AG$204-YEAR(Inputs!$F$33)</f>
        <v/>
      </c>
      <c r="AH239" s="27">
        <f>AH$204-YEAR(Inputs!$F$33)</f>
        <v/>
      </c>
      <c r="AI239" s="27">
        <f>AI$204-YEAR(Inputs!$F$33)</f>
        <v/>
      </c>
      <c r="AJ239" s="27">
        <f>AJ$204-YEAR(Inputs!$F$33)</f>
        <v/>
      </c>
      <c r="AK239" s="27">
        <f>AK$204-YEAR(Inputs!$F$33)</f>
        <v/>
      </c>
      <c r="AL239" s="27">
        <f>AL$204-YEAR(Inputs!$F$33)</f>
        <v/>
      </c>
      <c r="AM239" s="27">
        <f>AM$204-YEAR(Inputs!$F$33)</f>
        <v/>
      </c>
      <c r="AN239" s="27">
        <f>AN$204-YEAR(Inputs!$F$33)</f>
        <v/>
      </c>
      <c r="AO239" s="27">
        <f>AO$204-YEAR(Inputs!$F$33)</f>
        <v/>
      </c>
      <c r="AP239" s="27">
        <f>AP$204-YEAR(Inputs!$F$33)</f>
        <v/>
      </c>
      <c r="AQ239" s="27">
        <f>AQ$204-YEAR(Inputs!$F$33)</f>
        <v/>
      </c>
      <c r="AR239" s="27">
        <f>AR$204-YEAR(Inputs!$F$33)</f>
        <v/>
      </c>
      <c r="AS239" s="27">
        <f>AS$204-YEAR(Inputs!$F$33)</f>
        <v/>
      </c>
    </row>
    <row r="240" hidden="1" outlineLevel="1">
      <c r="C240" s="6" t="inlineStr">
        <is>
          <t>Construction months by year end (value: construction period)</t>
        </is>
      </c>
      <c r="D240" s="2" t="inlineStr">
        <is>
          <t>months</t>
        </is>
      </c>
      <c r="F240" s="27">
        <f>DATEDIF(Inputs!$F$32,Inputs!$F$33,"m")</f>
        <v/>
      </c>
      <c r="J240" s="27">
        <f>(J$204+1-YEAR(Inputs!$F$32))*Months_In_Year-MONTH(Inputs!$F$32)</f>
        <v/>
      </c>
      <c r="K240" s="27">
        <f>(K$204+1-YEAR(Inputs!$F$32))*Months_In_Year-MONTH(Inputs!$F$32)</f>
        <v/>
      </c>
      <c r="L240" s="27">
        <f>(L$204+1-YEAR(Inputs!$F$32))*Months_In_Year-MONTH(Inputs!$F$32)</f>
        <v/>
      </c>
      <c r="M240" s="27">
        <f>(M$204+1-YEAR(Inputs!$F$32))*Months_In_Year-MONTH(Inputs!$F$32)</f>
        <v/>
      </c>
      <c r="N240" s="27">
        <f>(N$204+1-YEAR(Inputs!$F$32))*Months_In_Year-MONTH(Inputs!$F$32)</f>
        <v/>
      </c>
      <c r="O240" s="27">
        <f>(O$204+1-YEAR(Inputs!$F$32))*Months_In_Year-MONTH(Inputs!$F$32)</f>
        <v/>
      </c>
      <c r="P240" s="27">
        <f>(P$204+1-YEAR(Inputs!$F$32))*Months_In_Year-MONTH(Inputs!$F$32)</f>
        <v/>
      </c>
      <c r="Q240" s="27">
        <f>(Q$204+1-YEAR(Inputs!$F$32))*Months_In_Year-MONTH(Inputs!$F$32)</f>
        <v/>
      </c>
      <c r="R240" s="27">
        <f>(R$204+1-YEAR(Inputs!$F$32))*Months_In_Year-MONTH(Inputs!$F$32)</f>
        <v/>
      </c>
      <c r="S240" s="27">
        <f>(S$204+1-YEAR(Inputs!$F$32))*Months_In_Year-MONTH(Inputs!$F$32)</f>
        <v/>
      </c>
      <c r="T240" s="27">
        <f>(T$204+1-YEAR(Inputs!$F$32))*Months_In_Year-MONTH(Inputs!$F$32)</f>
        <v/>
      </c>
      <c r="U240" s="27">
        <f>(U$204+1-YEAR(Inputs!$F$32))*Months_In_Year-MONTH(Inputs!$F$32)</f>
        <v/>
      </c>
      <c r="V240" s="27">
        <f>(V$204+1-YEAR(Inputs!$F$32))*Months_In_Year-MONTH(Inputs!$F$32)</f>
        <v/>
      </c>
      <c r="W240" s="27">
        <f>(W$204+1-YEAR(Inputs!$F$32))*Months_In_Year-MONTH(Inputs!$F$32)</f>
        <v/>
      </c>
      <c r="X240" s="27">
        <f>(X$204+1-YEAR(Inputs!$F$32))*Months_In_Year-MONTH(Inputs!$F$32)</f>
        <v/>
      </c>
      <c r="Y240" s="27">
        <f>(Y$204+1-YEAR(Inputs!$F$32))*Months_In_Year-MONTH(Inputs!$F$32)</f>
        <v/>
      </c>
      <c r="Z240" s="27">
        <f>(Z$204+1-YEAR(Inputs!$F$32))*Months_In_Year-MONTH(Inputs!$F$32)</f>
        <v/>
      </c>
      <c r="AA240" s="27">
        <f>(AA$204+1-YEAR(Inputs!$F$32))*Months_In_Year-MONTH(Inputs!$F$32)</f>
        <v/>
      </c>
      <c r="AB240" s="27">
        <f>(AB$204+1-YEAR(Inputs!$F$32))*Months_In_Year-MONTH(Inputs!$F$32)</f>
        <v/>
      </c>
      <c r="AC240" s="27">
        <f>(AC$204+1-YEAR(Inputs!$F$32))*Months_In_Year-MONTH(Inputs!$F$32)</f>
        <v/>
      </c>
      <c r="AD240" s="27">
        <f>(AD$204+1-YEAR(Inputs!$F$32))*Months_In_Year-MONTH(Inputs!$F$32)</f>
        <v/>
      </c>
      <c r="AE240" s="27">
        <f>(AE$204+1-YEAR(Inputs!$F$32))*Months_In_Year-MONTH(Inputs!$F$32)</f>
        <v/>
      </c>
      <c r="AF240" s="27">
        <f>(AF$204+1-YEAR(Inputs!$F$32))*Months_In_Year-MONTH(Inputs!$F$32)</f>
        <v/>
      </c>
      <c r="AG240" s="27">
        <f>(AG$204+1-YEAR(Inputs!$F$32))*Months_In_Year-MONTH(Inputs!$F$32)</f>
        <v/>
      </c>
      <c r="AH240" s="27">
        <f>(AH$204+1-YEAR(Inputs!$F$32))*Months_In_Year-MONTH(Inputs!$F$32)</f>
        <v/>
      </c>
      <c r="AI240" s="27">
        <f>(AI$204+1-YEAR(Inputs!$F$32))*Months_In_Year-MONTH(Inputs!$F$32)</f>
        <v/>
      </c>
      <c r="AJ240" s="27">
        <f>(AJ$204+1-YEAR(Inputs!$F$32))*Months_In_Year-MONTH(Inputs!$F$32)</f>
        <v/>
      </c>
      <c r="AK240" s="27">
        <f>(AK$204+1-YEAR(Inputs!$F$32))*Months_In_Year-MONTH(Inputs!$F$32)</f>
        <v/>
      </c>
      <c r="AL240" s="27">
        <f>(AL$204+1-YEAR(Inputs!$F$32))*Months_In_Year-MONTH(Inputs!$F$32)</f>
        <v/>
      </c>
      <c r="AM240" s="27">
        <f>(AM$204+1-YEAR(Inputs!$F$32))*Months_In_Year-MONTH(Inputs!$F$32)</f>
        <v/>
      </c>
      <c r="AN240" s="27">
        <f>(AN$204+1-YEAR(Inputs!$F$32))*Months_In_Year-MONTH(Inputs!$F$32)</f>
        <v/>
      </c>
      <c r="AO240" s="27">
        <f>(AO$204+1-YEAR(Inputs!$F$32))*Months_In_Year-MONTH(Inputs!$F$32)</f>
        <v/>
      </c>
      <c r="AP240" s="27">
        <f>(AP$204+1-YEAR(Inputs!$F$32))*Months_In_Year-MONTH(Inputs!$F$32)</f>
        <v/>
      </c>
      <c r="AQ240" s="27">
        <f>(AQ$204+1-YEAR(Inputs!$F$32))*Months_In_Year-MONTH(Inputs!$F$32)</f>
        <v/>
      </c>
      <c r="AR240" s="27">
        <f>(AR$204+1-YEAR(Inputs!$F$32))*Months_In_Year-MONTH(Inputs!$F$32)</f>
        <v/>
      </c>
      <c r="AS240" s="27">
        <f>(AS$204+1-YEAR(Inputs!$F$32))*Months_In_Year-MONTH(Inputs!$F$32)</f>
        <v/>
      </c>
    </row>
    <row r="241" hidden="1" outlineLevel="1">
      <c r="C241" s="6" t="inlineStr">
        <is>
          <t>Construction share of the year (NTP to COD)</t>
        </is>
      </c>
      <c r="D241" s="2" t="inlineStr">
        <is>
          <t>%</t>
        </is>
      </c>
      <c r="H241" s="28">
        <f>SUM(J241:AS241)</f>
        <v/>
      </c>
      <c r="J241" s="23">
        <f>MAX(0,MIN(J240,$F240)-MAX(J240-Months_In_Year,0))/$F240</f>
        <v/>
      </c>
      <c r="K241" s="23">
        <f>MAX(0,MIN(K240,$F240)-MAX(K240-Months_In_Year,0))/$F240</f>
        <v/>
      </c>
      <c r="L241" s="23">
        <f>MAX(0,MIN(L240,$F240)-MAX(L240-Months_In_Year,0))/$F240</f>
        <v/>
      </c>
      <c r="M241" s="23">
        <f>MAX(0,MIN(M240,$F240)-MAX(M240-Months_In_Year,0))/$F240</f>
        <v/>
      </c>
      <c r="N241" s="23">
        <f>MAX(0,MIN(N240,$F240)-MAX(N240-Months_In_Year,0))/$F240</f>
        <v/>
      </c>
      <c r="O241" s="23">
        <f>MAX(0,MIN(O240,$F240)-MAX(O240-Months_In_Year,0))/$F240</f>
        <v/>
      </c>
      <c r="P241" s="23">
        <f>MAX(0,MIN(P240,$F240)-MAX(P240-Months_In_Year,0))/$F240</f>
        <v/>
      </c>
      <c r="Q241" s="23">
        <f>MAX(0,MIN(Q240,$F240)-MAX(Q240-Months_In_Year,0))/$F240</f>
        <v/>
      </c>
      <c r="R241" s="23">
        <f>MAX(0,MIN(R240,$F240)-MAX(R240-Months_In_Year,0))/$F240</f>
        <v/>
      </c>
      <c r="S241" s="23">
        <f>MAX(0,MIN(S240,$F240)-MAX(S240-Months_In_Year,0))/$F240</f>
        <v/>
      </c>
      <c r="T241" s="23">
        <f>MAX(0,MIN(T240,$F240)-MAX(T240-Months_In_Year,0))/$F240</f>
        <v/>
      </c>
      <c r="U241" s="23">
        <f>MAX(0,MIN(U240,$F240)-MAX(U240-Months_In_Year,0))/$F240</f>
        <v/>
      </c>
      <c r="V241" s="23">
        <f>MAX(0,MIN(V240,$F240)-MAX(V240-Months_In_Year,0))/$F240</f>
        <v/>
      </c>
      <c r="W241" s="23">
        <f>MAX(0,MIN(W240,$F240)-MAX(W240-Months_In_Year,0))/$F240</f>
        <v/>
      </c>
      <c r="X241" s="23">
        <f>MAX(0,MIN(X240,$F240)-MAX(X240-Months_In_Year,0))/$F240</f>
        <v/>
      </c>
      <c r="Y241" s="23">
        <f>MAX(0,MIN(Y240,$F240)-MAX(Y240-Months_In_Year,0))/$F240</f>
        <v/>
      </c>
      <c r="Z241" s="23">
        <f>MAX(0,MIN(Z240,$F240)-MAX(Z240-Months_In_Year,0))/$F240</f>
        <v/>
      </c>
      <c r="AA241" s="23">
        <f>MAX(0,MIN(AA240,$F240)-MAX(AA240-Months_In_Year,0))/$F240</f>
        <v/>
      </c>
      <c r="AB241" s="23">
        <f>MAX(0,MIN(AB240,$F240)-MAX(AB240-Months_In_Year,0))/$F240</f>
        <v/>
      </c>
      <c r="AC241" s="23">
        <f>MAX(0,MIN(AC240,$F240)-MAX(AC240-Months_In_Year,0))/$F240</f>
        <v/>
      </c>
      <c r="AD241" s="23">
        <f>MAX(0,MIN(AD240,$F240)-MAX(AD240-Months_In_Year,0))/$F240</f>
        <v/>
      </c>
      <c r="AE241" s="23">
        <f>MAX(0,MIN(AE240,$F240)-MAX(AE240-Months_In_Year,0))/$F240</f>
        <v/>
      </c>
      <c r="AF241" s="23">
        <f>MAX(0,MIN(AF240,$F240)-MAX(AF240-Months_In_Year,0))/$F240</f>
        <v/>
      </c>
      <c r="AG241" s="23">
        <f>MAX(0,MIN(AG240,$F240)-MAX(AG240-Months_In_Year,0))/$F240</f>
        <v/>
      </c>
      <c r="AH241" s="23">
        <f>MAX(0,MIN(AH240,$F240)-MAX(AH240-Months_In_Year,0))/$F240</f>
        <v/>
      </c>
      <c r="AI241" s="23">
        <f>MAX(0,MIN(AI240,$F240)-MAX(AI240-Months_In_Year,0))/$F240</f>
        <v/>
      </c>
      <c r="AJ241" s="23">
        <f>MAX(0,MIN(AJ240,$F240)-MAX(AJ240-Months_In_Year,0))/$F240</f>
        <v/>
      </c>
      <c r="AK241" s="23">
        <f>MAX(0,MIN(AK240,$F240)-MAX(AK240-Months_In_Year,0))/$F240</f>
        <v/>
      </c>
      <c r="AL241" s="23">
        <f>MAX(0,MIN(AL240,$F240)-MAX(AL240-Months_In_Year,0))/$F240</f>
        <v/>
      </c>
      <c r="AM241" s="23">
        <f>MAX(0,MIN(AM240,$F240)-MAX(AM240-Months_In_Year,0))/$F240</f>
        <v/>
      </c>
      <c r="AN241" s="23">
        <f>MAX(0,MIN(AN240,$F240)-MAX(AN240-Months_In_Year,0))/$F240</f>
        <v/>
      </c>
      <c r="AO241" s="23">
        <f>MAX(0,MIN(AO240,$F240)-MAX(AO240-Months_In_Year,0))/$F240</f>
        <v/>
      </c>
      <c r="AP241" s="23">
        <f>MAX(0,MIN(AP240,$F240)-MAX(AP240-Months_In_Year,0))/$F240</f>
        <v/>
      </c>
      <c r="AQ241" s="23">
        <f>MAX(0,MIN(AQ240,$F240)-MAX(AQ240-Months_In_Year,0))/$F240</f>
        <v/>
      </c>
      <c r="AR241" s="23">
        <f>MAX(0,MIN(AR240,$F240)-MAX(AR240-Months_In_Year,0))/$F240</f>
        <v/>
      </c>
      <c r="AS241" s="23">
        <f>MAX(0,MIN(AS240,$F240)-MAX(AS240-Months_In_Year,0))/$F240</f>
        <v/>
      </c>
    </row>
    <row r="242" hidden="1" outlineLevel="1">
      <c r="C242" s="6" t="inlineStr">
        <is>
          <t>Months operated by year end (value: operating life)</t>
        </is>
      </c>
      <c r="D242" s="2" t="inlineStr">
        <is>
          <t>months</t>
        </is>
      </c>
      <c r="F242" s="27">
        <f>Life*Months_In_Year</f>
        <v/>
      </c>
      <c r="J242" s="27">
        <f>(J$204+1-YEAR(Inputs!$F$33))*Months_In_Year-MONTH(Inputs!$F$33)</f>
        <v/>
      </c>
      <c r="K242" s="27">
        <f>(K$204+1-YEAR(Inputs!$F$33))*Months_In_Year-MONTH(Inputs!$F$33)</f>
        <v/>
      </c>
      <c r="L242" s="27">
        <f>(L$204+1-YEAR(Inputs!$F$33))*Months_In_Year-MONTH(Inputs!$F$33)</f>
        <v/>
      </c>
      <c r="M242" s="27">
        <f>(M$204+1-YEAR(Inputs!$F$33))*Months_In_Year-MONTH(Inputs!$F$33)</f>
        <v/>
      </c>
      <c r="N242" s="27">
        <f>(N$204+1-YEAR(Inputs!$F$33))*Months_In_Year-MONTH(Inputs!$F$33)</f>
        <v/>
      </c>
      <c r="O242" s="27">
        <f>(O$204+1-YEAR(Inputs!$F$33))*Months_In_Year-MONTH(Inputs!$F$33)</f>
        <v/>
      </c>
      <c r="P242" s="27">
        <f>(P$204+1-YEAR(Inputs!$F$33))*Months_In_Year-MONTH(Inputs!$F$33)</f>
        <v/>
      </c>
      <c r="Q242" s="27">
        <f>(Q$204+1-YEAR(Inputs!$F$33))*Months_In_Year-MONTH(Inputs!$F$33)</f>
        <v/>
      </c>
      <c r="R242" s="27">
        <f>(R$204+1-YEAR(Inputs!$F$33))*Months_In_Year-MONTH(Inputs!$F$33)</f>
        <v/>
      </c>
      <c r="S242" s="27">
        <f>(S$204+1-YEAR(Inputs!$F$33))*Months_In_Year-MONTH(Inputs!$F$33)</f>
        <v/>
      </c>
      <c r="T242" s="27">
        <f>(T$204+1-YEAR(Inputs!$F$33))*Months_In_Year-MONTH(Inputs!$F$33)</f>
        <v/>
      </c>
      <c r="U242" s="27">
        <f>(U$204+1-YEAR(Inputs!$F$33))*Months_In_Year-MONTH(Inputs!$F$33)</f>
        <v/>
      </c>
      <c r="V242" s="27">
        <f>(V$204+1-YEAR(Inputs!$F$33))*Months_In_Year-MONTH(Inputs!$F$33)</f>
        <v/>
      </c>
      <c r="W242" s="27">
        <f>(W$204+1-YEAR(Inputs!$F$33))*Months_In_Year-MONTH(Inputs!$F$33)</f>
        <v/>
      </c>
      <c r="X242" s="27">
        <f>(X$204+1-YEAR(Inputs!$F$33))*Months_In_Year-MONTH(Inputs!$F$33)</f>
        <v/>
      </c>
      <c r="Y242" s="27">
        <f>(Y$204+1-YEAR(Inputs!$F$33))*Months_In_Year-MONTH(Inputs!$F$33)</f>
        <v/>
      </c>
      <c r="Z242" s="27">
        <f>(Z$204+1-YEAR(Inputs!$F$33))*Months_In_Year-MONTH(Inputs!$F$33)</f>
        <v/>
      </c>
      <c r="AA242" s="27">
        <f>(AA$204+1-YEAR(Inputs!$F$33))*Months_In_Year-MONTH(Inputs!$F$33)</f>
        <v/>
      </c>
      <c r="AB242" s="27">
        <f>(AB$204+1-YEAR(Inputs!$F$33))*Months_In_Year-MONTH(Inputs!$F$33)</f>
        <v/>
      </c>
      <c r="AC242" s="27">
        <f>(AC$204+1-YEAR(Inputs!$F$33))*Months_In_Year-MONTH(Inputs!$F$33)</f>
        <v/>
      </c>
      <c r="AD242" s="27">
        <f>(AD$204+1-YEAR(Inputs!$F$33))*Months_In_Year-MONTH(Inputs!$F$33)</f>
        <v/>
      </c>
      <c r="AE242" s="27">
        <f>(AE$204+1-YEAR(Inputs!$F$33))*Months_In_Year-MONTH(Inputs!$F$33)</f>
        <v/>
      </c>
      <c r="AF242" s="27">
        <f>(AF$204+1-YEAR(Inputs!$F$33))*Months_In_Year-MONTH(Inputs!$F$33)</f>
        <v/>
      </c>
      <c r="AG242" s="27">
        <f>(AG$204+1-YEAR(Inputs!$F$33))*Months_In_Year-MONTH(Inputs!$F$33)</f>
        <v/>
      </c>
      <c r="AH242" s="27">
        <f>(AH$204+1-YEAR(Inputs!$F$33))*Months_In_Year-MONTH(Inputs!$F$33)</f>
        <v/>
      </c>
      <c r="AI242" s="27">
        <f>(AI$204+1-YEAR(Inputs!$F$33))*Months_In_Year-MONTH(Inputs!$F$33)</f>
        <v/>
      </c>
      <c r="AJ242" s="27">
        <f>(AJ$204+1-YEAR(Inputs!$F$33))*Months_In_Year-MONTH(Inputs!$F$33)</f>
        <v/>
      </c>
      <c r="AK242" s="27">
        <f>(AK$204+1-YEAR(Inputs!$F$33))*Months_In_Year-MONTH(Inputs!$F$33)</f>
        <v/>
      </c>
      <c r="AL242" s="27">
        <f>(AL$204+1-YEAR(Inputs!$F$33))*Months_In_Year-MONTH(Inputs!$F$33)</f>
        <v/>
      </c>
      <c r="AM242" s="27">
        <f>(AM$204+1-YEAR(Inputs!$F$33))*Months_In_Year-MONTH(Inputs!$F$33)</f>
        <v/>
      </c>
      <c r="AN242" s="27">
        <f>(AN$204+1-YEAR(Inputs!$F$33))*Months_In_Year-MONTH(Inputs!$F$33)</f>
        <v/>
      </c>
      <c r="AO242" s="27">
        <f>(AO$204+1-YEAR(Inputs!$F$33))*Months_In_Year-MONTH(Inputs!$F$33)</f>
        <v/>
      </c>
      <c r="AP242" s="27">
        <f>(AP$204+1-YEAR(Inputs!$F$33))*Months_In_Year-MONTH(Inputs!$F$33)</f>
        <v/>
      </c>
      <c r="AQ242" s="27">
        <f>(AQ$204+1-YEAR(Inputs!$F$33))*Months_In_Year-MONTH(Inputs!$F$33)</f>
        <v/>
      </c>
      <c r="AR242" s="27">
        <f>(AR$204+1-YEAR(Inputs!$F$33))*Months_In_Year-MONTH(Inputs!$F$33)</f>
        <v/>
      </c>
      <c r="AS242" s="27">
        <f>(AS$204+1-YEAR(Inputs!$F$33))*Months_In_Year-MONTH(Inputs!$F$33)</f>
        <v/>
      </c>
    </row>
    <row r="243" hidden="1" outlineLevel="1">
      <c r="C243" s="6" t="inlineStr">
        <is>
          <t>Operating share of the year (COD to end of life)</t>
        </is>
      </c>
      <c r="D243" s="2" t="inlineStr">
        <is>
          <t>%</t>
        </is>
      </c>
      <c r="H243" s="28">
        <f>SUM(J243:AS243)</f>
        <v/>
      </c>
      <c r="J243" s="23">
        <f>MAX(0,MIN(J242,$F242)-MAX(J242-Months_In_Year,0))/Months_In_Year</f>
        <v/>
      </c>
      <c r="K243" s="23">
        <f>MAX(0,MIN(K242,$F242)-MAX(K242-Months_In_Year,0))/Months_In_Year</f>
        <v/>
      </c>
      <c r="L243" s="23">
        <f>MAX(0,MIN(L242,$F242)-MAX(L242-Months_In_Year,0))/Months_In_Year</f>
        <v/>
      </c>
      <c r="M243" s="23">
        <f>MAX(0,MIN(M242,$F242)-MAX(M242-Months_In_Year,0))/Months_In_Year</f>
        <v/>
      </c>
      <c r="N243" s="23">
        <f>MAX(0,MIN(N242,$F242)-MAX(N242-Months_In_Year,0))/Months_In_Year</f>
        <v/>
      </c>
      <c r="O243" s="23">
        <f>MAX(0,MIN(O242,$F242)-MAX(O242-Months_In_Year,0))/Months_In_Year</f>
        <v/>
      </c>
      <c r="P243" s="23">
        <f>MAX(0,MIN(P242,$F242)-MAX(P242-Months_In_Year,0))/Months_In_Year</f>
        <v/>
      </c>
      <c r="Q243" s="23">
        <f>MAX(0,MIN(Q242,$F242)-MAX(Q242-Months_In_Year,0))/Months_In_Year</f>
        <v/>
      </c>
      <c r="R243" s="23">
        <f>MAX(0,MIN(R242,$F242)-MAX(R242-Months_In_Year,0))/Months_In_Year</f>
        <v/>
      </c>
      <c r="S243" s="23">
        <f>MAX(0,MIN(S242,$F242)-MAX(S242-Months_In_Year,0))/Months_In_Year</f>
        <v/>
      </c>
      <c r="T243" s="23">
        <f>MAX(0,MIN(T242,$F242)-MAX(T242-Months_In_Year,0))/Months_In_Year</f>
        <v/>
      </c>
      <c r="U243" s="23">
        <f>MAX(0,MIN(U242,$F242)-MAX(U242-Months_In_Year,0))/Months_In_Year</f>
        <v/>
      </c>
      <c r="V243" s="23">
        <f>MAX(0,MIN(V242,$F242)-MAX(V242-Months_In_Year,0))/Months_In_Year</f>
        <v/>
      </c>
      <c r="W243" s="23">
        <f>MAX(0,MIN(W242,$F242)-MAX(W242-Months_In_Year,0))/Months_In_Year</f>
        <v/>
      </c>
      <c r="X243" s="23">
        <f>MAX(0,MIN(X242,$F242)-MAX(X242-Months_In_Year,0))/Months_In_Year</f>
        <v/>
      </c>
      <c r="Y243" s="23">
        <f>MAX(0,MIN(Y242,$F242)-MAX(Y242-Months_In_Year,0))/Months_In_Year</f>
        <v/>
      </c>
      <c r="Z243" s="23">
        <f>MAX(0,MIN(Z242,$F242)-MAX(Z242-Months_In_Year,0))/Months_In_Year</f>
        <v/>
      </c>
      <c r="AA243" s="23">
        <f>MAX(0,MIN(AA242,$F242)-MAX(AA242-Months_In_Year,0))/Months_In_Year</f>
        <v/>
      </c>
      <c r="AB243" s="23">
        <f>MAX(0,MIN(AB242,$F242)-MAX(AB242-Months_In_Year,0))/Months_In_Year</f>
        <v/>
      </c>
      <c r="AC243" s="23">
        <f>MAX(0,MIN(AC242,$F242)-MAX(AC242-Months_In_Year,0))/Months_In_Year</f>
        <v/>
      </c>
      <c r="AD243" s="23">
        <f>MAX(0,MIN(AD242,$F242)-MAX(AD242-Months_In_Year,0))/Months_In_Year</f>
        <v/>
      </c>
      <c r="AE243" s="23">
        <f>MAX(0,MIN(AE242,$F242)-MAX(AE242-Months_In_Year,0))/Months_In_Year</f>
        <v/>
      </c>
      <c r="AF243" s="23">
        <f>MAX(0,MIN(AF242,$F242)-MAX(AF242-Months_In_Year,0))/Months_In_Year</f>
        <v/>
      </c>
      <c r="AG243" s="23">
        <f>MAX(0,MIN(AG242,$F242)-MAX(AG242-Months_In_Year,0))/Months_In_Year</f>
        <v/>
      </c>
      <c r="AH243" s="23">
        <f>MAX(0,MIN(AH242,$F242)-MAX(AH242-Months_In_Year,0))/Months_In_Year</f>
        <v/>
      </c>
      <c r="AI243" s="23">
        <f>MAX(0,MIN(AI242,$F242)-MAX(AI242-Months_In_Year,0))/Months_In_Year</f>
        <v/>
      </c>
      <c r="AJ243" s="23">
        <f>MAX(0,MIN(AJ242,$F242)-MAX(AJ242-Months_In_Year,0))/Months_In_Year</f>
        <v/>
      </c>
      <c r="AK243" s="23">
        <f>MAX(0,MIN(AK242,$F242)-MAX(AK242-Months_In_Year,0))/Months_In_Year</f>
        <v/>
      </c>
      <c r="AL243" s="23">
        <f>MAX(0,MIN(AL242,$F242)-MAX(AL242-Months_In_Year,0))/Months_In_Year</f>
        <v/>
      </c>
      <c r="AM243" s="23">
        <f>MAX(0,MIN(AM242,$F242)-MAX(AM242-Months_In_Year,0))/Months_In_Year</f>
        <v/>
      </c>
      <c r="AN243" s="23">
        <f>MAX(0,MIN(AN242,$F242)-MAX(AN242-Months_In_Year,0))/Months_In_Year</f>
        <v/>
      </c>
      <c r="AO243" s="23">
        <f>MAX(0,MIN(AO242,$F242)-MAX(AO242-Months_In_Year,0))/Months_In_Year</f>
        <v/>
      </c>
      <c r="AP243" s="23">
        <f>MAX(0,MIN(AP242,$F242)-MAX(AP242-Months_In_Year,0))/Months_In_Year</f>
        <v/>
      </c>
      <c r="AQ243" s="23">
        <f>MAX(0,MIN(AQ242,$F242)-MAX(AQ242-Months_In_Year,0))/Months_In_Year</f>
        <v/>
      </c>
      <c r="AR243" s="23">
        <f>MAX(0,MIN(AR242,$F242)-MAX(AR242-Months_In_Year,0))/Months_In_Year</f>
        <v/>
      </c>
      <c r="AS243" s="23">
        <f>MAX(0,MIN(AS242,$F242)-MAX(AS242-Months_In_Year,0))/Months_In_Year</f>
        <v/>
      </c>
    </row>
    <row r="244" hidden="1" outlineLevel="1">
      <c r="C244" s="6" t="inlineStr">
        <is>
          <t>COD year flag</t>
        </is>
      </c>
      <c r="D244" s="2" t="inlineStr">
        <is>
          <t>flag</t>
        </is>
      </c>
      <c r="J244" s="29">
        <f>N(J239=0)</f>
        <v/>
      </c>
      <c r="K244" s="29">
        <f>N(K239=0)</f>
        <v/>
      </c>
      <c r="L244" s="29">
        <f>N(L239=0)</f>
        <v/>
      </c>
      <c r="M244" s="29">
        <f>N(M239=0)</f>
        <v/>
      </c>
      <c r="N244" s="29">
        <f>N(N239=0)</f>
        <v/>
      </c>
      <c r="O244" s="29">
        <f>N(O239=0)</f>
        <v/>
      </c>
      <c r="P244" s="29">
        <f>N(P239=0)</f>
        <v/>
      </c>
      <c r="Q244" s="29">
        <f>N(Q239=0)</f>
        <v/>
      </c>
      <c r="R244" s="29">
        <f>N(R239=0)</f>
        <v/>
      </c>
      <c r="S244" s="29">
        <f>N(S239=0)</f>
        <v/>
      </c>
      <c r="T244" s="29">
        <f>N(T239=0)</f>
        <v/>
      </c>
      <c r="U244" s="29">
        <f>N(U239=0)</f>
        <v/>
      </c>
      <c r="V244" s="29">
        <f>N(V239=0)</f>
        <v/>
      </c>
      <c r="W244" s="29">
        <f>N(W239=0)</f>
        <v/>
      </c>
      <c r="X244" s="29">
        <f>N(X239=0)</f>
        <v/>
      </c>
      <c r="Y244" s="29">
        <f>N(Y239=0)</f>
        <v/>
      </c>
      <c r="Z244" s="29">
        <f>N(Z239=0)</f>
        <v/>
      </c>
      <c r="AA244" s="29">
        <f>N(AA239=0)</f>
        <v/>
      </c>
      <c r="AB244" s="29">
        <f>N(AB239=0)</f>
        <v/>
      </c>
      <c r="AC244" s="29">
        <f>N(AC239=0)</f>
        <v/>
      </c>
      <c r="AD244" s="29">
        <f>N(AD239=0)</f>
        <v/>
      </c>
      <c r="AE244" s="29">
        <f>N(AE239=0)</f>
        <v/>
      </c>
      <c r="AF244" s="29">
        <f>N(AF239=0)</f>
        <v/>
      </c>
      <c r="AG244" s="29">
        <f>N(AG239=0)</f>
        <v/>
      </c>
      <c r="AH244" s="29">
        <f>N(AH239=0)</f>
        <v/>
      </c>
      <c r="AI244" s="29">
        <f>N(AI239=0)</f>
        <v/>
      </c>
      <c r="AJ244" s="29">
        <f>N(AJ239=0)</f>
        <v/>
      </c>
      <c r="AK244" s="29">
        <f>N(AK239=0)</f>
        <v/>
      </c>
      <c r="AL244" s="29">
        <f>N(AL239=0)</f>
        <v/>
      </c>
      <c r="AM244" s="29">
        <f>N(AM239=0)</f>
        <v/>
      </c>
      <c r="AN244" s="29">
        <f>N(AN239=0)</f>
        <v/>
      </c>
      <c r="AO244" s="29">
        <f>N(AO239=0)</f>
        <v/>
      </c>
      <c r="AP244" s="29">
        <f>N(AP239=0)</f>
        <v/>
      </c>
      <c r="AQ244" s="29">
        <f>N(AQ239=0)</f>
        <v/>
      </c>
      <c r="AR244" s="29">
        <f>N(AR239=0)</f>
        <v/>
      </c>
      <c r="AS244" s="29">
        <f>N(AS239=0)</f>
        <v/>
      </c>
    </row>
    <row r="245" hidden="1" outlineLevel="1">
      <c r="C245" s="6" t="inlineStr">
        <is>
          <t>FEP outlays at their dates (signing, fee, securities, fees, devex)</t>
        </is>
      </c>
      <c r="D245" s="2" t="inlineStr">
        <is>
          <t>EUR k</t>
        </is>
      </c>
      <c r="H245" s="8">
        <f>SUM(J245:AS245)</f>
        <v/>
      </c>
      <c r="J245" s="8">
        <f>SUMPRODUCT((YEAR($K$190:$K$197)=J$204)*$F$190:$F$197)</f>
        <v/>
      </c>
      <c r="K245" s="8">
        <f>SUMPRODUCT((YEAR($K$190:$K$197)=K$204)*$F$190:$F$197)</f>
        <v/>
      </c>
      <c r="L245" s="8">
        <f>SUMPRODUCT((YEAR($K$190:$K$197)=L$204)*$F$190:$F$197)</f>
        <v/>
      </c>
      <c r="M245" s="8">
        <f>SUMPRODUCT((YEAR($K$190:$K$197)=M$204)*$F$190:$F$197)</f>
        <v/>
      </c>
      <c r="N245" s="8">
        <f>SUMPRODUCT((YEAR($K$190:$K$197)=N$204)*$F$190:$F$197)</f>
        <v/>
      </c>
      <c r="O245" s="8">
        <f>SUMPRODUCT((YEAR($K$190:$K$197)=O$204)*$F$190:$F$197)</f>
        <v/>
      </c>
      <c r="P245" s="8">
        <f>SUMPRODUCT((YEAR($K$190:$K$197)=P$204)*$F$190:$F$197)</f>
        <v/>
      </c>
      <c r="Q245" s="8">
        <f>SUMPRODUCT((YEAR($K$190:$K$197)=Q$204)*$F$190:$F$197)</f>
        <v/>
      </c>
      <c r="R245" s="8">
        <f>SUMPRODUCT((YEAR($K$190:$K$197)=R$204)*$F$190:$F$197)</f>
        <v/>
      </c>
      <c r="S245" s="8">
        <f>SUMPRODUCT((YEAR($K$190:$K$197)=S$204)*$F$190:$F$197)</f>
        <v/>
      </c>
      <c r="T245" s="8">
        <f>SUMPRODUCT((YEAR($K$190:$K$197)=T$204)*$F$190:$F$197)</f>
        <v/>
      </c>
      <c r="U245" s="8">
        <f>SUMPRODUCT((YEAR($K$190:$K$197)=U$204)*$F$190:$F$197)</f>
        <v/>
      </c>
      <c r="V245" s="8">
        <f>SUMPRODUCT((YEAR($K$190:$K$197)=V$204)*$F$190:$F$197)</f>
        <v/>
      </c>
      <c r="W245" s="8">
        <f>SUMPRODUCT((YEAR($K$190:$K$197)=W$204)*$F$190:$F$197)</f>
        <v/>
      </c>
      <c r="X245" s="8">
        <f>SUMPRODUCT((YEAR($K$190:$K$197)=X$204)*$F$190:$F$197)</f>
        <v/>
      </c>
      <c r="Y245" s="8">
        <f>SUMPRODUCT((YEAR($K$190:$K$197)=Y$204)*$F$190:$F$197)</f>
        <v/>
      </c>
      <c r="Z245" s="8">
        <f>SUMPRODUCT((YEAR($K$190:$K$197)=Z$204)*$F$190:$F$197)</f>
        <v/>
      </c>
      <c r="AA245" s="8">
        <f>SUMPRODUCT((YEAR($K$190:$K$197)=AA$204)*$F$190:$F$197)</f>
        <v/>
      </c>
      <c r="AB245" s="8">
        <f>SUMPRODUCT((YEAR($K$190:$K$197)=AB$204)*$F$190:$F$197)</f>
        <v/>
      </c>
      <c r="AC245" s="8">
        <f>SUMPRODUCT((YEAR($K$190:$K$197)=AC$204)*$F$190:$F$197)</f>
        <v/>
      </c>
      <c r="AD245" s="8">
        <f>SUMPRODUCT((YEAR($K$190:$K$197)=AD$204)*$F$190:$F$197)</f>
        <v/>
      </c>
      <c r="AE245" s="8">
        <f>SUMPRODUCT((YEAR($K$190:$K$197)=AE$204)*$F$190:$F$197)</f>
        <v/>
      </c>
      <c r="AF245" s="8">
        <f>SUMPRODUCT((YEAR($K$190:$K$197)=AF$204)*$F$190:$F$197)</f>
        <v/>
      </c>
      <c r="AG245" s="8">
        <f>SUMPRODUCT((YEAR($K$190:$K$197)=AG$204)*$F$190:$F$197)</f>
        <v/>
      </c>
      <c r="AH245" s="8">
        <f>SUMPRODUCT((YEAR($K$190:$K$197)=AH$204)*$F$190:$F$197)</f>
        <v/>
      </c>
      <c r="AI245" s="8">
        <f>SUMPRODUCT((YEAR($K$190:$K$197)=AI$204)*$F$190:$F$197)</f>
        <v/>
      </c>
      <c r="AJ245" s="8">
        <f>SUMPRODUCT((YEAR($K$190:$K$197)=AJ$204)*$F$190:$F$197)</f>
        <v/>
      </c>
      <c r="AK245" s="8">
        <f>SUMPRODUCT((YEAR($K$190:$K$197)=AK$204)*$F$190:$F$197)</f>
        <v/>
      </c>
      <c r="AL245" s="8">
        <f>SUMPRODUCT((YEAR($K$190:$K$197)=AL$204)*$F$190:$F$197)</f>
        <v/>
      </c>
      <c r="AM245" s="8">
        <f>SUMPRODUCT((YEAR($K$190:$K$197)=AM$204)*$F$190:$F$197)</f>
        <v/>
      </c>
      <c r="AN245" s="8">
        <f>SUMPRODUCT((YEAR($K$190:$K$197)=AN$204)*$F$190:$F$197)</f>
        <v/>
      </c>
      <c r="AO245" s="8">
        <f>SUMPRODUCT((YEAR($K$190:$K$197)=AO$204)*$F$190:$F$197)</f>
        <v/>
      </c>
      <c r="AP245" s="8">
        <f>SUMPRODUCT((YEAR($K$190:$K$197)=AP$204)*$F$190:$F$197)</f>
        <v/>
      </c>
      <c r="AQ245" s="8">
        <f>SUMPRODUCT((YEAR($K$190:$K$197)=AQ$204)*$F$190:$F$197)</f>
        <v/>
      </c>
      <c r="AR245" s="8">
        <f>SUMPRODUCT((YEAR($K$190:$K$197)=AR$204)*$F$190:$F$197)</f>
        <v/>
      </c>
      <c r="AS245" s="8">
        <f>SUMPRODUCT((YEAR($K$190:$K$197)=AS$204)*$F$190:$F$197)</f>
        <v/>
      </c>
    </row>
    <row r="246" hidden="1" outlineLevel="1">
      <c r="C246" s="6" t="inlineStr">
        <is>
          <t>Performance security released (bid security included)</t>
        </is>
      </c>
      <c r="D246" s="2" t="inlineStr">
        <is>
          <t>EUR k</t>
        </is>
      </c>
      <c r="H246" s="8">
        <f>SUM(J246:AS246)</f>
        <v/>
      </c>
      <c r="J246" s="8">
        <f>($F$62+$F$63)*(J$204=YEAR(Inputs!$F$34))</f>
        <v/>
      </c>
      <c r="K246" s="8">
        <f>($F$62+$F$63)*(K$204=YEAR(Inputs!$F$34))</f>
        <v/>
      </c>
      <c r="L246" s="8">
        <f>($F$62+$F$63)*(L$204=YEAR(Inputs!$F$34))</f>
        <v/>
      </c>
      <c r="M246" s="8">
        <f>($F$62+$F$63)*(M$204=YEAR(Inputs!$F$34))</f>
        <v/>
      </c>
      <c r="N246" s="8">
        <f>($F$62+$F$63)*(N$204=YEAR(Inputs!$F$34))</f>
        <v/>
      </c>
      <c r="O246" s="8">
        <f>($F$62+$F$63)*(O$204=YEAR(Inputs!$F$34))</f>
        <v/>
      </c>
      <c r="P246" s="8">
        <f>($F$62+$F$63)*(P$204=YEAR(Inputs!$F$34))</f>
        <v/>
      </c>
      <c r="Q246" s="8">
        <f>($F$62+$F$63)*(Q$204=YEAR(Inputs!$F$34))</f>
        <v/>
      </c>
      <c r="R246" s="8">
        <f>($F$62+$F$63)*(R$204=YEAR(Inputs!$F$34))</f>
        <v/>
      </c>
      <c r="S246" s="8">
        <f>($F$62+$F$63)*(S$204=YEAR(Inputs!$F$34))</f>
        <v/>
      </c>
      <c r="T246" s="8">
        <f>($F$62+$F$63)*(T$204=YEAR(Inputs!$F$34))</f>
        <v/>
      </c>
      <c r="U246" s="8">
        <f>($F$62+$F$63)*(U$204=YEAR(Inputs!$F$34))</f>
        <v/>
      </c>
      <c r="V246" s="8">
        <f>($F$62+$F$63)*(V$204=YEAR(Inputs!$F$34))</f>
        <v/>
      </c>
      <c r="W246" s="8">
        <f>($F$62+$F$63)*(W$204=YEAR(Inputs!$F$34))</f>
        <v/>
      </c>
      <c r="X246" s="8">
        <f>($F$62+$F$63)*(X$204=YEAR(Inputs!$F$34))</f>
        <v/>
      </c>
      <c r="Y246" s="8">
        <f>($F$62+$F$63)*(Y$204=YEAR(Inputs!$F$34))</f>
        <v/>
      </c>
      <c r="Z246" s="8">
        <f>($F$62+$F$63)*(Z$204=YEAR(Inputs!$F$34))</f>
        <v/>
      </c>
      <c r="AA246" s="8">
        <f>($F$62+$F$63)*(AA$204=YEAR(Inputs!$F$34))</f>
        <v/>
      </c>
      <c r="AB246" s="8">
        <f>($F$62+$F$63)*(AB$204=YEAR(Inputs!$F$34))</f>
        <v/>
      </c>
      <c r="AC246" s="8">
        <f>($F$62+$F$63)*(AC$204=YEAR(Inputs!$F$34))</f>
        <v/>
      </c>
      <c r="AD246" s="8">
        <f>($F$62+$F$63)*(AD$204=YEAR(Inputs!$F$34))</f>
        <v/>
      </c>
      <c r="AE246" s="8">
        <f>($F$62+$F$63)*(AE$204=YEAR(Inputs!$F$34))</f>
        <v/>
      </c>
      <c r="AF246" s="8">
        <f>($F$62+$F$63)*(AF$204=YEAR(Inputs!$F$34))</f>
        <v/>
      </c>
      <c r="AG246" s="8">
        <f>($F$62+$F$63)*(AG$204=YEAR(Inputs!$F$34))</f>
        <v/>
      </c>
      <c r="AH246" s="8">
        <f>($F$62+$F$63)*(AH$204=YEAR(Inputs!$F$34))</f>
        <v/>
      </c>
      <c r="AI246" s="8">
        <f>($F$62+$F$63)*(AI$204=YEAR(Inputs!$F$34))</f>
        <v/>
      </c>
      <c r="AJ246" s="8">
        <f>($F$62+$F$63)*(AJ$204=YEAR(Inputs!$F$34))</f>
        <v/>
      </c>
      <c r="AK246" s="8">
        <f>($F$62+$F$63)*(AK$204=YEAR(Inputs!$F$34))</f>
        <v/>
      </c>
      <c r="AL246" s="8">
        <f>($F$62+$F$63)*(AL$204=YEAR(Inputs!$F$34))</f>
        <v/>
      </c>
      <c r="AM246" s="8">
        <f>($F$62+$F$63)*(AM$204=YEAR(Inputs!$F$34))</f>
        <v/>
      </c>
      <c r="AN246" s="8">
        <f>($F$62+$F$63)*(AN$204=YEAR(Inputs!$F$34))</f>
        <v/>
      </c>
      <c r="AO246" s="8">
        <f>($F$62+$F$63)*(AO$204=YEAR(Inputs!$F$34))</f>
        <v/>
      </c>
      <c r="AP246" s="8">
        <f>($F$62+$F$63)*(AP$204=YEAR(Inputs!$F$34))</f>
        <v/>
      </c>
      <c r="AQ246" s="8">
        <f>($F$62+$F$63)*(AQ$204=YEAR(Inputs!$F$34))</f>
        <v/>
      </c>
      <c r="AR246" s="8">
        <f>($F$62+$F$63)*(AR$204=YEAR(Inputs!$F$34))</f>
        <v/>
      </c>
      <c r="AS246" s="8">
        <f>($F$62+$F$63)*(AS$204=YEAR(Inputs!$F$34))</f>
        <v/>
      </c>
    </row>
    <row r="247" hidden="1" outlineLevel="1">
      <c r="C247" s="6" t="inlineStr">
        <is>
          <t>Construction capex (straight-line NTP to COD)</t>
        </is>
      </c>
      <c r="D247" s="2" t="inlineStr">
        <is>
          <t>EUR k</t>
        </is>
      </c>
      <c r="H247" s="8">
        <f>SUM(J247:AS247)</f>
        <v/>
      </c>
      <c r="J247" s="8">
        <f>-$F$82*J241</f>
        <v/>
      </c>
      <c r="K247" s="8">
        <f>-$F$82*K241</f>
        <v/>
      </c>
      <c r="L247" s="8">
        <f>-$F$82*L241</f>
        <v/>
      </c>
      <c r="M247" s="8">
        <f>-$F$82*M241</f>
        <v/>
      </c>
      <c r="N247" s="8">
        <f>-$F$82*N241</f>
        <v/>
      </c>
      <c r="O247" s="8">
        <f>-$F$82*O241</f>
        <v/>
      </c>
      <c r="P247" s="8">
        <f>-$F$82*P241</f>
        <v/>
      </c>
      <c r="Q247" s="8">
        <f>-$F$82*Q241</f>
        <v/>
      </c>
      <c r="R247" s="8">
        <f>-$F$82*R241</f>
        <v/>
      </c>
      <c r="S247" s="8">
        <f>-$F$82*S241</f>
        <v/>
      </c>
      <c r="T247" s="8">
        <f>-$F$82*T241</f>
        <v/>
      </c>
      <c r="U247" s="8">
        <f>-$F$82*U241</f>
        <v/>
      </c>
      <c r="V247" s="8">
        <f>-$F$82*V241</f>
        <v/>
      </c>
      <c r="W247" s="8">
        <f>-$F$82*W241</f>
        <v/>
      </c>
      <c r="X247" s="8">
        <f>-$F$82*X241</f>
        <v/>
      </c>
      <c r="Y247" s="8">
        <f>-$F$82*Y241</f>
        <v/>
      </c>
      <c r="Z247" s="8">
        <f>-$F$82*Z241</f>
        <v/>
      </c>
      <c r="AA247" s="8">
        <f>-$F$82*AA241</f>
        <v/>
      </c>
      <c r="AB247" s="8">
        <f>-$F$82*AB241</f>
        <v/>
      </c>
      <c r="AC247" s="8">
        <f>-$F$82*AC241</f>
        <v/>
      </c>
      <c r="AD247" s="8">
        <f>-$F$82*AD241</f>
        <v/>
      </c>
      <c r="AE247" s="8">
        <f>-$F$82*AE241</f>
        <v/>
      </c>
      <c r="AF247" s="8">
        <f>-$F$82*AF241</f>
        <v/>
      </c>
      <c r="AG247" s="8">
        <f>-$F$82*AG241</f>
        <v/>
      </c>
      <c r="AH247" s="8">
        <f>-$F$82*AH241</f>
        <v/>
      </c>
      <c r="AI247" s="8">
        <f>-$F$82*AI241</f>
        <v/>
      </c>
      <c r="AJ247" s="8">
        <f>-$F$82*AJ241</f>
        <v/>
      </c>
      <c r="AK247" s="8">
        <f>-$F$82*AK241</f>
        <v/>
      </c>
      <c r="AL247" s="8">
        <f>-$F$82*AL241</f>
        <v/>
      </c>
      <c r="AM247" s="8">
        <f>-$F$82*AM241</f>
        <v/>
      </c>
      <c r="AN247" s="8">
        <f>-$F$82*AN241</f>
        <v/>
      </c>
      <c r="AO247" s="8">
        <f>-$F$82*AO241</f>
        <v/>
      </c>
      <c r="AP247" s="8">
        <f>-$F$82*AP241</f>
        <v/>
      </c>
      <c r="AQ247" s="8">
        <f>-$F$82*AQ241</f>
        <v/>
      </c>
      <c r="AR247" s="8">
        <f>-$F$82*AR241</f>
        <v/>
      </c>
      <c r="AS247" s="8">
        <f>-$F$82*AS241</f>
        <v/>
      </c>
    </row>
    <row r="248" hidden="1" outlineLevel="1">
      <c r="C248" s="6" t="inlineStr">
        <is>
          <t>Municipal one-off at COD</t>
        </is>
      </c>
      <c r="D248" s="2" t="inlineStr">
        <is>
          <t>EUR k</t>
        </is>
      </c>
      <c r="H248" s="8">
        <f>SUM(J248:AS248)</f>
        <v/>
      </c>
      <c r="J248" s="8">
        <f>-$F$84*J244</f>
        <v/>
      </c>
      <c r="K248" s="8">
        <f>-$F$84*K244</f>
        <v/>
      </c>
      <c r="L248" s="8">
        <f>-$F$84*L244</f>
        <v/>
      </c>
      <c r="M248" s="8">
        <f>-$F$84*M244</f>
        <v/>
      </c>
      <c r="N248" s="8">
        <f>-$F$84*N244</f>
        <v/>
      </c>
      <c r="O248" s="8">
        <f>-$F$84*O244</f>
        <v/>
      </c>
      <c r="P248" s="8">
        <f>-$F$84*P244</f>
        <v/>
      </c>
      <c r="Q248" s="8">
        <f>-$F$84*Q244</f>
        <v/>
      </c>
      <c r="R248" s="8">
        <f>-$F$84*R244</f>
        <v/>
      </c>
      <c r="S248" s="8">
        <f>-$F$84*S244</f>
        <v/>
      </c>
      <c r="T248" s="8">
        <f>-$F$84*T244</f>
        <v/>
      </c>
      <c r="U248" s="8">
        <f>-$F$84*U244</f>
        <v/>
      </c>
      <c r="V248" s="8">
        <f>-$F$84*V244</f>
        <v/>
      </c>
      <c r="W248" s="8">
        <f>-$F$84*W244</f>
        <v/>
      </c>
      <c r="X248" s="8">
        <f>-$F$84*X244</f>
        <v/>
      </c>
      <c r="Y248" s="8">
        <f>-$F$84*Y244</f>
        <v/>
      </c>
      <c r="Z248" s="8">
        <f>-$F$84*Z244</f>
        <v/>
      </c>
      <c r="AA248" s="8">
        <f>-$F$84*AA244</f>
        <v/>
      </c>
      <c r="AB248" s="8">
        <f>-$F$84*AB244</f>
        <v/>
      </c>
      <c r="AC248" s="8">
        <f>-$F$84*AC244</f>
        <v/>
      </c>
      <c r="AD248" s="8">
        <f>-$F$84*AD244</f>
        <v/>
      </c>
      <c r="AE248" s="8">
        <f>-$F$84*AE244</f>
        <v/>
      </c>
      <c r="AF248" s="8">
        <f>-$F$84*AF244</f>
        <v/>
      </c>
      <c r="AG248" s="8">
        <f>-$F$84*AG244</f>
        <v/>
      </c>
      <c r="AH248" s="8">
        <f>-$F$84*AH244</f>
        <v/>
      </c>
      <c r="AI248" s="8">
        <f>-$F$84*AI244</f>
        <v/>
      </c>
      <c r="AJ248" s="8">
        <f>-$F$84*AJ244</f>
        <v/>
      </c>
      <c r="AK248" s="8">
        <f>-$F$84*AK244</f>
        <v/>
      </c>
      <c r="AL248" s="8">
        <f>-$F$84*AL244</f>
        <v/>
      </c>
      <c r="AM248" s="8">
        <f>-$F$84*AM244</f>
        <v/>
      </c>
      <c r="AN248" s="8">
        <f>-$F$84*AN244</f>
        <v/>
      </c>
      <c r="AO248" s="8">
        <f>-$F$84*AO244</f>
        <v/>
      </c>
      <c r="AP248" s="8">
        <f>-$F$84*AP244</f>
        <v/>
      </c>
      <c r="AQ248" s="8">
        <f>-$F$84*AQ244</f>
        <v/>
      </c>
      <c r="AR248" s="8">
        <f>-$F$84*AR244</f>
        <v/>
      </c>
      <c r="AS248" s="8">
        <f>-$F$84*AS244</f>
        <v/>
      </c>
    </row>
    <row r="249" hidden="1" outlineLevel="1">
      <c r="C249" s="1" t="inlineStr">
        <is>
          <t>Investment cash flow</t>
        </is>
      </c>
      <c r="D249" s="2" t="inlineStr">
        <is>
          <t>EUR k</t>
        </is>
      </c>
      <c r="H249" s="14">
        <f>SUM(J249:AS249)</f>
        <v/>
      </c>
      <c r="J249" s="14">
        <f>SUM(J245:J248)</f>
        <v/>
      </c>
      <c r="K249" s="14">
        <f>SUM(K245:K248)</f>
        <v/>
      </c>
      <c r="L249" s="14">
        <f>SUM(L245:L248)</f>
        <v/>
      </c>
      <c r="M249" s="14">
        <f>SUM(M245:M248)</f>
        <v/>
      </c>
      <c r="N249" s="14">
        <f>SUM(N245:N248)</f>
        <v/>
      </c>
      <c r="O249" s="14">
        <f>SUM(O245:O248)</f>
        <v/>
      </c>
      <c r="P249" s="14">
        <f>SUM(P245:P248)</f>
        <v/>
      </c>
      <c r="Q249" s="14">
        <f>SUM(Q245:Q248)</f>
        <v/>
      </c>
      <c r="R249" s="14">
        <f>SUM(R245:R248)</f>
        <v/>
      </c>
      <c r="S249" s="14">
        <f>SUM(S245:S248)</f>
        <v/>
      </c>
      <c r="T249" s="14">
        <f>SUM(T245:T248)</f>
        <v/>
      </c>
      <c r="U249" s="14">
        <f>SUM(U245:U248)</f>
        <v/>
      </c>
      <c r="V249" s="14">
        <f>SUM(V245:V248)</f>
        <v/>
      </c>
      <c r="W249" s="14">
        <f>SUM(W245:W248)</f>
        <v/>
      </c>
      <c r="X249" s="14">
        <f>SUM(X245:X248)</f>
        <v/>
      </c>
      <c r="Y249" s="14">
        <f>SUM(Y245:Y248)</f>
        <v/>
      </c>
      <c r="Z249" s="14">
        <f>SUM(Z245:Z248)</f>
        <v/>
      </c>
      <c r="AA249" s="14">
        <f>SUM(AA245:AA248)</f>
        <v/>
      </c>
      <c r="AB249" s="14">
        <f>SUM(AB245:AB248)</f>
        <v/>
      </c>
      <c r="AC249" s="14">
        <f>SUM(AC245:AC248)</f>
        <v/>
      </c>
      <c r="AD249" s="14">
        <f>SUM(AD245:AD248)</f>
        <v/>
      </c>
      <c r="AE249" s="14">
        <f>SUM(AE245:AE248)</f>
        <v/>
      </c>
      <c r="AF249" s="14">
        <f>SUM(AF245:AF248)</f>
        <v/>
      </c>
      <c r="AG249" s="14">
        <f>SUM(AG245:AG248)</f>
        <v/>
      </c>
      <c r="AH249" s="14">
        <f>SUM(AH245:AH248)</f>
        <v/>
      </c>
      <c r="AI249" s="14">
        <f>SUM(AI245:AI248)</f>
        <v/>
      </c>
      <c r="AJ249" s="14">
        <f>SUM(AJ245:AJ248)</f>
        <v/>
      </c>
      <c r="AK249" s="14">
        <f>SUM(AK245:AK248)</f>
        <v/>
      </c>
      <c r="AL249" s="14">
        <f>SUM(AL245:AL248)</f>
        <v/>
      </c>
      <c r="AM249" s="14">
        <f>SUM(AM245:AM248)</f>
        <v/>
      </c>
      <c r="AN249" s="14">
        <f>SUM(AN245:AN248)</f>
        <v/>
      </c>
      <c r="AO249" s="14">
        <f>SUM(AO245:AO248)</f>
        <v/>
      </c>
      <c r="AP249" s="14">
        <f>SUM(AP245:AP248)</f>
        <v/>
      </c>
      <c r="AQ249" s="14">
        <f>SUM(AQ245:AQ248)</f>
        <v/>
      </c>
      <c r="AR249" s="14">
        <f>SUM(AR245:AR248)</f>
        <v/>
      </c>
      <c r="AS249" s="14">
        <f>SUM(AS245:AS248)</f>
        <v/>
      </c>
    </row>
    <row r="250" hidden="1" outlineLevel="1">
      <c r="C250" s="6" t="inlineStr">
        <is>
          <t>Degradation factor (from the first full year)</t>
        </is>
      </c>
      <c r="D250" s="2" t="inlineStr">
        <is>
          <t>x</t>
        </is>
      </c>
      <c r="J250" s="30">
        <f>(1-Degradation)^MAX(J239-1,0)</f>
        <v/>
      </c>
      <c r="K250" s="30">
        <f>(1-Degradation)^MAX(K239-1,0)</f>
        <v/>
      </c>
      <c r="L250" s="30">
        <f>(1-Degradation)^MAX(L239-1,0)</f>
        <v/>
      </c>
      <c r="M250" s="30">
        <f>(1-Degradation)^MAX(M239-1,0)</f>
        <v/>
      </c>
      <c r="N250" s="30">
        <f>(1-Degradation)^MAX(N239-1,0)</f>
        <v/>
      </c>
      <c r="O250" s="30">
        <f>(1-Degradation)^MAX(O239-1,0)</f>
        <v/>
      </c>
      <c r="P250" s="30">
        <f>(1-Degradation)^MAX(P239-1,0)</f>
        <v/>
      </c>
      <c r="Q250" s="30">
        <f>(1-Degradation)^MAX(Q239-1,0)</f>
        <v/>
      </c>
      <c r="R250" s="30">
        <f>(1-Degradation)^MAX(R239-1,0)</f>
        <v/>
      </c>
      <c r="S250" s="30">
        <f>(1-Degradation)^MAX(S239-1,0)</f>
        <v/>
      </c>
      <c r="T250" s="30">
        <f>(1-Degradation)^MAX(T239-1,0)</f>
        <v/>
      </c>
      <c r="U250" s="30">
        <f>(1-Degradation)^MAX(U239-1,0)</f>
        <v/>
      </c>
      <c r="V250" s="30">
        <f>(1-Degradation)^MAX(V239-1,0)</f>
        <v/>
      </c>
      <c r="W250" s="30">
        <f>(1-Degradation)^MAX(W239-1,0)</f>
        <v/>
      </c>
      <c r="X250" s="30">
        <f>(1-Degradation)^MAX(X239-1,0)</f>
        <v/>
      </c>
      <c r="Y250" s="30">
        <f>(1-Degradation)^MAX(Y239-1,0)</f>
        <v/>
      </c>
      <c r="Z250" s="30">
        <f>(1-Degradation)^MAX(Z239-1,0)</f>
        <v/>
      </c>
      <c r="AA250" s="30">
        <f>(1-Degradation)^MAX(AA239-1,0)</f>
        <v/>
      </c>
      <c r="AB250" s="30">
        <f>(1-Degradation)^MAX(AB239-1,0)</f>
        <v/>
      </c>
      <c r="AC250" s="30">
        <f>(1-Degradation)^MAX(AC239-1,0)</f>
        <v/>
      </c>
      <c r="AD250" s="30">
        <f>(1-Degradation)^MAX(AD239-1,0)</f>
        <v/>
      </c>
      <c r="AE250" s="30">
        <f>(1-Degradation)^MAX(AE239-1,0)</f>
        <v/>
      </c>
      <c r="AF250" s="30">
        <f>(1-Degradation)^MAX(AF239-1,0)</f>
        <v/>
      </c>
      <c r="AG250" s="30">
        <f>(1-Degradation)^MAX(AG239-1,0)</f>
        <v/>
      </c>
      <c r="AH250" s="30">
        <f>(1-Degradation)^MAX(AH239-1,0)</f>
        <v/>
      </c>
      <c r="AI250" s="30">
        <f>(1-Degradation)^MAX(AI239-1,0)</f>
        <v/>
      </c>
      <c r="AJ250" s="30">
        <f>(1-Degradation)^MAX(AJ239-1,0)</f>
        <v/>
      </c>
      <c r="AK250" s="30">
        <f>(1-Degradation)^MAX(AK239-1,0)</f>
        <v/>
      </c>
      <c r="AL250" s="30">
        <f>(1-Degradation)^MAX(AL239-1,0)</f>
        <v/>
      </c>
      <c r="AM250" s="30">
        <f>(1-Degradation)^MAX(AM239-1,0)</f>
        <v/>
      </c>
      <c r="AN250" s="30">
        <f>(1-Degradation)^MAX(AN239-1,0)</f>
        <v/>
      </c>
      <c r="AO250" s="30">
        <f>(1-Degradation)^MAX(AO239-1,0)</f>
        <v/>
      </c>
      <c r="AP250" s="30">
        <f>(1-Degradation)^MAX(AP239-1,0)</f>
        <v/>
      </c>
      <c r="AQ250" s="30">
        <f>(1-Degradation)^MAX(AQ239-1,0)</f>
        <v/>
      </c>
      <c r="AR250" s="30">
        <f>(1-Degradation)^MAX(AR239-1,0)</f>
        <v/>
      </c>
      <c r="AS250" s="30">
        <f>(1-Degradation)^MAX(AS239-1,0)</f>
        <v/>
      </c>
    </row>
    <row r="251" hidden="1" outlineLevel="1">
      <c r="C251" s="6" t="inlineStr">
        <is>
          <t>Net generation</t>
        </is>
      </c>
      <c r="D251" s="2" t="inlineStr">
        <is>
          <t>GWh</t>
        </is>
      </c>
      <c r="H251" s="16">
        <f>SUM(J251:AS251)</f>
        <v/>
      </c>
      <c r="J251" s="16">
        <f>$F$44*Case_P50*(1-Curtailment)*(1-Clipping)*J243*J250/Thousand</f>
        <v/>
      </c>
      <c r="K251" s="16">
        <f>$F$44*Case_P50*(1-Curtailment)*(1-Clipping)*K243*K250/Thousand</f>
        <v/>
      </c>
      <c r="L251" s="16">
        <f>$F$44*Case_P50*(1-Curtailment)*(1-Clipping)*L243*L250/Thousand</f>
        <v/>
      </c>
      <c r="M251" s="16">
        <f>$F$44*Case_P50*(1-Curtailment)*(1-Clipping)*M243*M250/Thousand</f>
        <v/>
      </c>
      <c r="N251" s="16">
        <f>$F$44*Case_P50*(1-Curtailment)*(1-Clipping)*N243*N250/Thousand</f>
        <v/>
      </c>
      <c r="O251" s="16">
        <f>$F$44*Case_P50*(1-Curtailment)*(1-Clipping)*O243*O250/Thousand</f>
        <v/>
      </c>
      <c r="P251" s="16">
        <f>$F$44*Case_P50*(1-Curtailment)*(1-Clipping)*P243*P250/Thousand</f>
        <v/>
      </c>
      <c r="Q251" s="16">
        <f>$F$44*Case_P50*(1-Curtailment)*(1-Clipping)*Q243*Q250/Thousand</f>
        <v/>
      </c>
      <c r="R251" s="16">
        <f>$F$44*Case_P50*(1-Curtailment)*(1-Clipping)*R243*R250/Thousand</f>
        <v/>
      </c>
      <c r="S251" s="16">
        <f>$F$44*Case_P50*(1-Curtailment)*(1-Clipping)*S243*S250/Thousand</f>
        <v/>
      </c>
      <c r="T251" s="16">
        <f>$F$44*Case_P50*(1-Curtailment)*(1-Clipping)*T243*T250/Thousand</f>
        <v/>
      </c>
      <c r="U251" s="16">
        <f>$F$44*Case_P50*(1-Curtailment)*(1-Clipping)*U243*U250/Thousand</f>
        <v/>
      </c>
      <c r="V251" s="16">
        <f>$F$44*Case_P50*(1-Curtailment)*(1-Clipping)*V243*V250/Thousand</f>
        <v/>
      </c>
      <c r="W251" s="16">
        <f>$F$44*Case_P50*(1-Curtailment)*(1-Clipping)*W243*W250/Thousand</f>
        <v/>
      </c>
      <c r="X251" s="16">
        <f>$F$44*Case_P50*(1-Curtailment)*(1-Clipping)*X243*X250/Thousand</f>
        <v/>
      </c>
      <c r="Y251" s="16">
        <f>$F$44*Case_P50*(1-Curtailment)*(1-Clipping)*Y243*Y250/Thousand</f>
        <v/>
      </c>
      <c r="Z251" s="16">
        <f>$F$44*Case_P50*(1-Curtailment)*(1-Clipping)*Z243*Z250/Thousand</f>
        <v/>
      </c>
      <c r="AA251" s="16">
        <f>$F$44*Case_P50*(1-Curtailment)*(1-Clipping)*AA243*AA250/Thousand</f>
        <v/>
      </c>
      <c r="AB251" s="16">
        <f>$F$44*Case_P50*(1-Curtailment)*(1-Clipping)*AB243*AB250/Thousand</f>
        <v/>
      </c>
      <c r="AC251" s="16">
        <f>$F$44*Case_P50*(1-Curtailment)*(1-Clipping)*AC243*AC250/Thousand</f>
        <v/>
      </c>
      <c r="AD251" s="16">
        <f>$F$44*Case_P50*(1-Curtailment)*(1-Clipping)*AD243*AD250/Thousand</f>
        <v/>
      </c>
      <c r="AE251" s="16">
        <f>$F$44*Case_P50*(1-Curtailment)*(1-Clipping)*AE243*AE250/Thousand</f>
        <v/>
      </c>
      <c r="AF251" s="16">
        <f>$F$44*Case_P50*(1-Curtailment)*(1-Clipping)*AF243*AF250/Thousand</f>
        <v/>
      </c>
      <c r="AG251" s="16">
        <f>$F$44*Case_P50*(1-Curtailment)*(1-Clipping)*AG243*AG250/Thousand</f>
        <v/>
      </c>
      <c r="AH251" s="16">
        <f>$F$44*Case_P50*(1-Curtailment)*(1-Clipping)*AH243*AH250/Thousand</f>
        <v/>
      </c>
      <c r="AI251" s="16">
        <f>$F$44*Case_P50*(1-Curtailment)*(1-Clipping)*AI243*AI250/Thousand</f>
        <v/>
      </c>
      <c r="AJ251" s="16">
        <f>$F$44*Case_P50*(1-Curtailment)*(1-Clipping)*AJ243*AJ250/Thousand</f>
        <v/>
      </c>
      <c r="AK251" s="16">
        <f>$F$44*Case_P50*(1-Curtailment)*(1-Clipping)*AK243*AK250/Thousand</f>
        <v/>
      </c>
      <c r="AL251" s="16">
        <f>$F$44*Case_P50*(1-Curtailment)*(1-Clipping)*AL243*AL250/Thousand</f>
        <v/>
      </c>
      <c r="AM251" s="16">
        <f>$F$44*Case_P50*(1-Curtailment)*(1-Clipping)*AM243*AM250/Thousand</f>
        <v/>
      </c>
      <c r="AN251" s="16">
        <f>$F$44*Case_P50*(1-Curtailment)*(1-Clipping)*AN243*AN250/Thousand</f>
        <v/>
      </c>
      <c r="AO251" s="16">
        <f>$F$44*Case_P50*(1-Curtailment)*(1-Clipping)*AO243*AO250/Thousand</f>
        <v/>
      </c>
      <c r="AP251" s="16">
        <f>$F$44*Case_P50*(1-Curtailment)*(1-Clipping)*AP243*AP250/Thousand</f>
        <v/>
      </c>
      <c r="AQ251" s="16">
        <f>$F$44*Case_P50*(1-Curtailment)*(1-Clipping)*AQ243*AQ250/Thousand</f>
        <v/>
      </c>
      <c r="AR251" s="16">
        <f>$F$44*Case_P50*(1-Curtailment)*(1-Clipping)*AR243*AR250/Thousand</f>
        <v/>
      </c>
      <c r="AS251" s="16">
        <f>$F$44*Case_P50*(1-Curtailment)*(1-Clipping)*AS243*AS250/Thousand</f>
        <v/>
      </c>
    </row>
    <row r="252" hidden="1" outlineLevel="1">
      <c r="C252" s="6" t="inlineStr">
        <is>
          <t>PPA price</t>
        </is>
      </c>
      <c r="D252" s="2" t="inlineStr">
        <is>
          <t>EUR/MWh</t>
        </is>
      </c>
      <c r="J252" s="16">
        <f>Case_PPA*(1+PPA_Esc)^J239*(J243&gt;0)</f>
        <v/>
      </c>
      <c r="K252" s="16">
        <f>Case_PPA*(1+PPA_Esc)^K239*(K243&gt;0)</f>
        <v/>
      </c>
      <c r="L252" s="16">
        <f>Case_PPA*(1+PPA_Esc)^L239*(L243&gt;0)</f>
        <v/>
      </c>
      <c r="M252" s="16">
        <f>Case_PPA*(1+PPA_Esc)^M239*(M243&gt;0)</f>
        <v/>
      </c>
      <c r="N252" s="16">
        <f>Case_PPA*(1+PPA_Esc)^N239*(N243&gt;0)</f>
        <v/>
      </c>
      <c r="O252" s="16">
        <f>Case_PPA*(1+PPA_Esc)^O239*(O243&gt;0)</f>
        <v/>
      </c>
      <c r="P252" s="16">
        <f>Case_PPA*(1+PPA_Esc)^P239*(P243&gt;0)</f>
        <v/>
      </c>
      <c r="Q252" s="16">
        <f>Case_PPA*(1+PPA_Esc)^Q239*(Q243&gt;0)</f>
        <v/>
      </c>
      <c r="R252" s="16">
        <f>Case_PPA*(1+PPA_Esc)^R239*(R243&gt;0)</f>
        <v/>
      </c>
      <c r="S252" s="16">
        <f>Case_PPA*(1+PPA_Esc)^S239*(S243&gt;0)</f>
        <v/>
      </c>
      <c r="T252" s="16">
        <f>Case_PPA*(1+PPA_Esc)^T239*(T243&gt;0)</f>
        <v/>
      </c>
      <c r="U252" s="16">
        <f>Case_PPA*(1+PPA_Esc)^U239*(U243&gt;0)</f>
        <v/>
      </c>
      <c r="V252" s="16">
        <f>Case_PPA*(1+PPA_Esc)^V239*(V243&gt;0)</f>
        <v/>
      </c>
      <c r="W252" s="16">
        <f>Case_PPA*(1+PPA_Esc)^W239*(W243&gt;0)</f>
        <v/>
      </c>
      <c r="X252" s="16">
        <f>Case_PPA*(1+PPA_Esc)^X239*(X243&gt;0)</f>
        <v/>
      </c>
      <c r="Y252" s="16">
        <f>Case_PPA*(1+PPA_Esc)^Y239*(Y243&gt;0)</f>
        <v/>
      </c>
      <c r="Z252" s="16">
        <f>Case_PPA*(1+PPA_Esc)^Z239*(Z243&gt;0)</f>
        <v/>
      </c>
      <c r="AA252" s="16">
        <f>Case_PPA*(1+PPA_Esc)^AA239*(AA243&gt;0)</f>
        <v/>
      </c>
      <c r="AB252" s="16">
        <f>Case_PPA*(1+PPA_Esc)^AB239*(AB243&gt;0)</f>
        <v/>
      </c>
      <c r="AC252" s="16">
        <f>Case_PPA*(1+PPA_Esc)^AC239*(AC243&gt;0)</f>
        <v/>
      </c>
      <c r="AD252" s="16">
        <f>Case_PPA*(1+PPA_Esc)^AD239*(AD243&gt;0)</f>
        <v/>
      </c>
      <c r="AE252" s="16">
        <f>Case_PPA*(1+PPA_Esc)^AE239*(AE243&gt;0)</f>
        <v/>
      </c>
      <c r="AF252" s="16">
        <f>Case_PPA*(1+PPA_Esc)^AF239*(AF243&gt;0)</f>
        <v/>
      </c>
      <c r="AG252" s="16">
        <f>Case_PPA*(1+PPA_Esc)^AG239*(AG243&gt;0)</f>
        <v/>
      </c>
      <c r="AH252" s="16">
        <f>Case_PPA*(1+PPA_Esc)^AH239*(AH243&gt;0)</f>
        <v/>
      </c>
      <c r="AI252" s="16">
        <f>Case_PPA*(1+PPA_Esc)^AI239*(AI243&gt;0)</f>
        <v/>
      </c>
      <c r="AJ252" s="16">
        <f>Case_PPA*(1+PPA_Esc)^AJ239*(AJ243&gt;0)</f>
        <v/>
      </c>
      <c r="AK252" s="16">
        <f>Case_PPA*(1+PPA_Esc)^AK239*(AK243&gt;0)</f>
        <v/>
      </c>
      <c r="AL252" s="16">
        <f>Case_PPA*(1+PPA_Esc)^AL239*(AL243&gt;0)</f>
        <v/>
      </c>
      <c r="AM252" s="16">
        <f>Case_PPA*(1+PPA_Esc)^AM239*(AM243&gt;0)</f>
        <v/>
      </c>
      <c r="AN252" s="16">
        <f>Case_PPA*(1+PPA_Esc)^AN239*(AN243&gt;0)</f>
        <v/>
      </c>
      <c r="AO252" s="16">
        <f>Case_PPA*(1+PPA_Esc)^AO239*(AO243&gt;0)</f>
        <v/>
      </c>
      <c r="AP252" s="16">
        <f>Case_PPA*(1+PPA_Esc)^AP239*(AP243&gt;0)</f>
        <v/>
      </c>
      <c r="AQ252" s="16">
        <f>Case_PPA*(1+PPA_Esc)^AQ239*(AQ243&gt;0)</f>
        <v/>
      </c>
      <c r="AR252" s="16">
        <f>Case_PPA*(1+PPA_Esc)^AR239*(AR243&gt;0)</f>
        <v/>
      </c>
      <c r="AS252" s="16">
        <f>Case_PPA*(1+PPA_Esc)^AS239*(AS243&gt;0)</f>
        <v/>
      </c>
    </row>
    <row r="253" hidden="1" outlineLevel="1">
      <c r="C253" s="1" t="inlineStr">
        <is>
          <t>Revenue</t>
        </is>
      </c>
      <c r="D253" s="2" t="inlineStr">
        <is>
          <t>EUR k</t>
        </is>
      </c>
      <c r="H253" s="19">
        <f>SUM(J253:AS253)</f>
        <v/>
      </c>
      <c r="J253" s="19">
        <f>J251*J252</f>
        <v/>
      </c>
      <c r="K253" s="19">
        <f>K251*K252</f>
        <v/>
      </c>
      <c r="L253" s="19">
        <f>L251*L252</f>
        <v/>
      </c>
      <c r="M253" s="19">
        <f>M251*M252</f>
        <v/>
      </c>
      <c r="N253" s="19">
        <f>N251*N252</f>
        <v/>
      </c>
      <c r="O253" s="19">
        <f>O251*O252</f>
        <v/>
      </c>
      <c r="P253" s="19">
        <f>P251*P252</f>
        <v/>
      </c>
      <c r="Q253" s="19">
        <f>Q251*Q252</f>
        <v/>
      </c>
      <c r="R253" s="19">
        <f>R251*R252</f>
        <v/>
      </c>
      <c r="S253" s="19">
        <f>S251*S252</f>
        <v/>
      </c>
      <c r="T253" s="19">
        <f>T251*T252</f>
        <v/>
      </c>
      <c r="U253" s="19">
        <f>U251*U252</f>
        <v/>
      </c>
      <c r="V253" s="19">
        <f>V251*V252</f>
        <v/>
      </c>
      <c r="W253" s="19">
        <f>W251*W252</f>
        <v/>
      </c>
      <c r="X253" s="19">
        <f>X251*X252</f>
        <v/>
      </c>
      <c r="Y253" s="19">
        <f>Y251*Y252</f>
        <v/>
      </c>
      <c r="Z253" s="19">
        <f>Z251*Z252</f>
        <v/>
      </c>
      <c r="AA253" s="19">
        <f>AA251*AA252</f>
        <v/>
      </c>
      <c r="AB253" s="19">
        <f>AB251*AB252</f>
        <v/>
      </c>
      <c r="AC253" s="19">
        <f>AC251*AC252</f>
        <v/>
      </c>
      <c r="AD253" s="19">
        <f>AD251*AD252</f>
        <v/>
      </c>
      <c r="AE253" s="19">
        <f>AE251*AE252</f>
        <v/>
      </c>
      <c r="AF253" s="19">
        <f>AF251*AF252</f>
        <v/>
      </c>
      <c r="AG253" s="19">
        <f>AG251*AG252</f>
        <v/>
      </c>
      <c r="AH253" s="19">
        <f>AH251*AH252</f>
        <v/>
      </c>
      <c r="AI253" s="19">
        <f>AI251*AI252</f>
        <v/>
      </c>
      <c r="AJ253" s="19">
        <f>AJ251*AJ252</f>
        <v/>
      </c>
      <c r="AK253" s="19">
        <f>AK251*AK252</f>
        <v/>
      </c>
      <c r="AL253" s="19">
        <f>AL251*AL252</f>
        <v/>
      </c>
      <c r="AM253" s="19">
        <f>AM251*AM252</f>
        <v/>
      </c>
      <c r="AN253" s="19">
        <f>AN251*AN252</f>
        <v/>
      </c>
      <c r="AO253" s="19">
        <f>AO251*AO252</f>
        <v/>
      </c>
      <c r="AP253" s="19">
        <f>AP251*AP252</f>
        <v/>
      </c>
      <c r="AQ253" s="19">
        <f>AQ251*AQ252</f>
        <v/>
      </c>
      <c r="AR253" s="19">
        <f>AR251*AR252</f>
        <v/>
      </c>
      <c r="AS253" s="19">
        <f>AS251*AS252</f>
        <v/>
      </c>
    </row>
    <row r="254" hidden="1" outlineLevel="1">
      <c r="C254" s="6" t="inlineStr">
        <is>
          <t>Opex index (COD year = 1)</t>
        </is>
      </c>
      <c r="D254" s="2" t="inlineStr">
        <is>
          <t>x</t>
        </is>
      </c>
      <c r="J254" s="30">
        <f>(1+Opex_Esc)^J239</f>
        <v/>
      </c>
      <c r="K254" s="30">
        <f>(1+Opex_Esc)^K239</f>
        <v/>
      </c>
      <c r="L254" s="30">
        <f>(1+Opex_Esc)^L239</f>
        <v/>
      </c>
      <c r="M254" s="30">
        <f>(1+Opex_Esc)^M239</f>
        <v/>
      </c>
      <c r="N254" s="30">
        <f>(1+Opex_Esc)^N239</f>
        <v/>
      </c>
      <c r="O254" s="30">
        <f>(1+Opex_Esc)^O239</f>
        <v/>
      </c>
      <c r="P254" s="30">
        <f>(1+Opex_Esc)^P239</f>
        <v/>
      </c>
      <c r="Q254" s="30">
        <f>(1+Opex_Esc)^Q239</f>
        <v/>
      </c>
      <c r="R254" s="30">
        <f>(1+Opex_Esc)^R239</f>
        <v/>
      </c>
      <c r="S254" s="30">
        <f>(1+Opex_Esc)^S239</f>
        <v/>
      </c>
      <c r="T254" s="30">
        <f>(1+Opex_Esc)^T239</f>
        <v/>
      </c>
      <c r="U254" s="30">
        <f>(1+Opex_Esc)^U239</f>
        <v/>
      </c>
      <c r="V254" s="30">
        <f>(1+Opex_Esc)^V239</f>
        <v/>
      </c>
      <c r="W254" s="30">
        <f>(1+Opex_Esc)^W239</f>
        <v/>
      </c>
      <c r="X254" s="30">
        <f>(1+Opex_Esc)^X239</f>
        <v/>
      </c>
      <c r="Y254" s="30">
        <f>(1+Opex_Esc)^Y239</f>
        <v/>
      </c>
      <c r="Z254" s="30">
        <f>(1+Opex_Esc)^Z239</f>
        <v/>
      </c>
      <c r="AA254" s="30">
        <f>(1+Opex_Esc)^AA239</f>
        <v/>
      </c>
      <c r="AB254" s="30">
        <f>(1+Opex_Esc)^AB239</f>
        <v/>
      </c>
      <c r="AC254" s="30">
        <f>(1+Opex_Esc)^AC239</f>
        <v/>
      </c>
      <c r="AD254" s="30">
        <f>(1+Opex_Esc)^AD239</f>
        <v/>
      </c>
      <c r="AE254" s="30">
        <f>(1+Opex_Esc)^AE239</f>
        <v/>
      </c>
      <c r="AF254" s="30">
        <f>(1+Opex_Esc)^AF239</f>
        <v/>
      </c>
      <c r="AG254" s="30">
        <f>(1+Opex_Esc)^AG239</f>
        <v/>
      </c>
      <c r="AH254" s="30">
        <f>(1+Opex_Esc)^AH239</f>
        <v/>
      </c>
      <c r="AI254" s="30">
        <f>(1+Opex_Esc)^AI239</f>
        <v/>
      </c>
      <c r="AJ254" s="30">
        <f>(1+Opex_Esc)^AJ239</f>
        <v/>
      </c>
      <c r="AK254" s="30">
        <f>(1+Opex_Esc)^AK239</f>
        <v/>
      </c>
      <c r="AL254" s="30">
        <f>(1+Opex_Esc)^AL239</f>
        <v/>
      </c>
      <c r="AM254" s="30">
        <f>(1+Opex_Esc)^AM239</f>
        <v/>
      </c>
      <c r="AN254" s="30">
        <f>(1+Opex_Esc)^AN239</f>
        <v/>
      </c>
      <c r="AO254" s="30">
        <f>(1+Opex_Esc)^AO239</f>
        <v/>
      </c>
      <c r="AP254" s="30">
        <f>(1+Opex_Esc)^AP239</f>
        <v/>
      </c>
      <c r="AQ254" s="30">
        <f>(1+Opex_Esc)^AQ239</f>
        <v/>
      </c>
      <c r="AR254" s="30">
        <f>(1+Opex_Esc)^AR239</f>
        <v/>
      </c>
      <c r="AS254" s="30">
        <f>(1+Opex_Esc)^AS239</f>
        <v/>
      </c>
    </row>
    <row r="255" hidden="1" outlineLevel="1">
      <c r="C255" s="6" t="inlineStr">
        <is>
          <t>O&amp;M, BoP, lease, insurance, management, property tax</t>
        </is>
      </c>
      <c r="D255" s="2" t="inlineStr">
        <is>
          <t>EUR k</t>
        </is>
      </c>
      <c r="H255" s="8">
        <f>SUM(J255:AS255)</f>
        <v/>
      </c>
      <c r="J255" s="8">
        <f>-(Case_OM+SUM(Opex_Per_MW))*$F$44*J254*J243</f>
        <v/>
      </c>
      <c r="K255" s="8">
        <f>-(Case_OM+SUM(Opex_Per_MW))*$F$44*K254*K243</f>
        <v/>
      </c>
      <c r="L255" s="8">
        <f>-(Case_OM+SUM(Opex_Per_MW))*$F$44*L254*L243</f>
        <v/>
      </c>
      <c r="M255" s="8">
        <f>-(Case_OM+SUM(Opex_Per_MW))*$F$44*M254*M243</f>
        <v/>
      </c>
      <c r="N255" s="8">
        <f>-(Case_OM+SUM(Opex_Per_MW))*$F$44*N254*N243</f>
        <v/>
      </c>
      <c r="O255" s="8">
        <f>-(Case_OM+SUM(Opex_Per_MW))*$F$44*O254*O243</f>
        <v/>
      </c>
      <c r="P255" s="8">
        <f>-(Case_OM+SUM(Opex_Per_MW))*$F$44*P254*P243</f>
        <v/>
      </c>
      <c r="Q255" s="8">
        <f>-(Case_OM+SUM(Opex_Per_MW))*$F$44*Q254*Q243</f>
        <v/>
      </c>
      <c r="R255" s="8">
        <f>-(Case_OM+SUM(Opex_Per_MW))*$F$44*R254*R243</f>
        <v/>
      </c>
      <c r="S255" s="8">
        <f>-(Case_OM+SUM(Opex_Per_MW))*$F$44*S254*S243</f>
        <v/>
      </c>
      <c r="T255" s="8">
        <f>-(Case_OM+SUM(Opex_Per_MW))*$F$44*T254*T243</f>
        <v/>
      </c>
      <c r="U255" s="8">
        <f>-(Case_OM+SUM(Opex_Per_MW))*$F$44*U254*U243</f>
        <v/>
      </c>
      <c r="V255" s="8">
        <f>-(Case_OM+SUM(Opex_Per_MW))*$F$44*V254*V243</f>
        <v/>
      </c>
      <c r="W255" s="8">
        <f>-(Case_OM+SUM(Opex_Per_MW))*$F$44*W254*W243</f>
        <v/>
      </c>
      <c r="X255" s="8">
        <f>-(Case_OM+SUM(Opex_Per_MW))*$F$44*X254*X243</f>
        <v/>
      </c>
      <c r="Y255" s="8">
        <f>-(Case_OM+SUM(Opex_Per_MW))*$F$44*Y254*Y243</f>
        <v/>
      </c>
      <c r="Z255" s="8">
        <f>-(Case_OM+SUM(Opex_Per_MW))*$F$44*Z254*Z243</f>
        <v/>
      </c>
      <c r="AA255" s="8">
        <f>-(Case_OM+SUM(Opex_Per_MW))*$F$44*AA254*AA243</f>
        <v/>
      </c>
      <c r="AB255" s="8">
        <f>-(Case_OM+SUM(Opex_Per_MW))*$F$44*AB254*AB243</f>
        <v/>
      </c>
      <c r="AC255" s="8">
        <f>-(Case_OM+SUM(Opex_Per_MW))*$F$44*AC254*AC243</f>
        <v/>
      </c>
      <c r="AD255" s="8">
        <f>-(Case_OM+SUM(Opex_Per_MW))*$F$44*AD254*AD243</f>
        <v/>
      </c>
      <c r="AE255" s="8">
        <f>-(Case_OM+SUM(Opex_Per_MW))*$F$44*AE254*AE243</f>
        <v/>
      </c>
      <c r="AF255" s="8">
        <f>-(Case_OM+SUM(Opex_Per_MW))*$F$44*AF254*AF243</f>
        <v/>
      </c>
      <c r="AG255" s="8">
        <f>-(Case_OM+SUM(Opex_Per_MW))*$F$44*AG254*AG243</f>
        <v/>
      </c>
      <c r="AH255" s="8">
        <f>-(Case_OM+SUM(Opex_Per_MW))*$F$44*AH254*AH243</f>
        <v/>
      </c>
      <c r="AI255" s="8">
        <f>-(Case_OM+SUM(Opex_Per_MW))*$F$44*AI254*AI243</f>
        <v/>
      </c>
      <c r="AJ255" s="8">
        <f>-(Case_OM+SUM(Opex_Per_MW))*$F$44*AJ254*AJ243</f>
        <v/>
      </c>
      <c r="AK255" s="8">
        <f>-(Case_OM+SUM(Opex_Per_MW))*$F$44*AK254*AK243</f>
        <v/>
      </c>
      <c r="AL255" s="8">
        <f>-(Case_OM+SUM(Opex_Per_MW))*$F$44*AL254*AL243</f>
        <v/>
      </c>
      <c r="AM255" s="8">
        <f>-(Case_OM+SUM(Opex_Per_MW))*$F$44*AM254*AM243</f>
        <v/>
      </c>
      <c r="AN255" s="8">
        <f>-(Case_OM+SUM(Opex_Per_MW))*$F$44*AN254*AN243</f>
        <v/>
      </c>
      <c r="AO255" s="8">
        <f>-(Case_OM+SUM(Opex_Per_MW))*$F$44*AO254*AO243</f>
        <v/>
      </c>
      <c r="AP255" s="8">
        <f>-(Case_OM+SUM(Opex_Per_MW))*$F$44*AP254*AP243</f>
        <v/>
      </c>
      <c r="AQ255" s="8">
        <f>-(Case_OM+SUM(Opex_Per_MW))*$F$44*AQ254*AQ243</f>
        <v/>
      </c>
      <c r="AR255" s="8">
        <f>-(Case_OM+SUM(Opex_Per_MW))*$F$44*AR254*AR243</f>
        <v/>
      </c>
      <c r="AS255" s="8">
        <f>-(Case_OM+SUM(Opex_Per_MW))*$F$44*AS254*AS243</f>
        <v/>
      </c>
    </row>
    <row r="256" hidden="1" outlineLevel="1">
      <c r="C256" s="6" t="inlineStr">
        <is>
          <t>Administration, audit, compliance</t>
        </is>
      </c>
      <c r="D256" s="2" t="inlineStr">
        <is>
          <t>EUR k</t>
        </is>
      </c>
      <c r="H256" s="8">
        <f>SUM(J256:AS256)</f>
        <v/>
      </c>
      <c r="J256" s="8">
        <f>-Opex_Admin*$F$6/Lump_Basis*J254*J243</f>
        <v/>
      </c>
      <c r="K256" s="8">
        <f>-Opex_Admin*$F$6/Lump_Basis*K254*K243</f>
        <v/>
      </c>
      <c r="L256" s="8">
        <f>-Opex_Admin*$F$6/Lump_Basis*L254*L243</f>
        <v/>
      </c>
      <c r="M256" s="8">
        <f>-Opex_Admin*$F$6/Lump_Basis*M254*M243</f>
        <v/>
      </c>
      <c r="N256" s="8">
        <f>-Opex_Admin*$F$6/Lump_Basis*N254*N243</f>
        <v/>
      </c>
      <c r="O256" s="8">
        <f>-Opex_Admin*$F$6/Lump_Basis*O254*O243</f>
        <v/>
      </c>
      <c r="P256" s="8">
        <f>-Opex_Admin*$F$6/Lump_Basis*P254*P243</f>
        <v/>
      </c>
      <c r="Q256" s="8">
        <f>-Opex_Admin*$F$6/Lump_Basis*Q254*Q243</f>
        <v/>
      </c>
      <c r="R256" s="8">
        <f>-Opex_Admin*$F$6/Lump_Basis*R254*R243</f>
        <v/>
      </c>
      <c r="S256" s="8">
        <f>-Opex_Admin*$F$6/Lump_Basis*S254*S243</f>
        <v/>
      </c>
      <c r="T256" s="8">
        <f>-Opex_Admin*$F$6/Lump_Basis*T254*T243</f>
        <v/>
      </c>
      <c r="U256" s="8">
        <f>-Opex_Admin*$F$6/Lump_Basis*U254*U243</f>
        <v/>
      </c>
      <c r="V256" s="8">
        <f>-Opex_Admin*$F$6/Lump_Basis*V254*V243</f>
        <v/>
      </c>
      <c r="W256" s="8">
        <f>-Opex_Admin*$F$6/Lump_Basis*W254*W243</f>
        <v/>
      </c>
      <c r="X256" s="8">
        <f>-Opex_Admin*$F$6/Lump_Basis*X254*X243</f>
        <v/>
      </c>
      <c r="Y256" s="8">
        <f>-Opex_Admin*$F$6/Lump_Basis*Y254*Y243</f>
        <v/>
      </c>
      <c r="Z256" s="8">
        <f>-Opex_Admin*$F$6/Lump_Basis*Z254*Z243</f>
        <v/>
      </c>
      <c r="AA256" s="8">
        <f>-Opex_Admin*$F$6/Lump_Basis*AA254*AA243</f>
        <v/>
      </c>
      <c r="AB256" s="8">
        <f>-Opex_Admin*$F$6/Lump_Basis*AB254*AB243</f>
        <v/>
      </c>
      <c r="AC256" s="8">
        <f>-Opex_Admin*$F$6/Lump_Basis*AC254*AC243</f>
        <v/>
      </c>
      <c r="AD256" s="8">
        <f>-Opex_Admin*$F$6/Lump_Basis*AD254*AD243</f>
        <v/>
      </c>
      <c r="AE256" s="8">
        <f>-Opex_Admin*$F$6/Lump_Basis*AE254*AE243</f>
        <v/>
      </c>
      <c r="AF256" s="8">
        <f>-Opex_Admin*$F$6/Lump_Basis*AF254*AF243</f>
        <v/>
      </c>
      <c r="AG256" s="8">
        <f>-Opex_Admin*$F$6/Lump_Basis*AG254*AG243</f>
        <v/>
      </c>
      <c r="AH256" s="8">
        <f>-Opex_Admin*$F$6/Lump_Basis*AH254*AH243</f>
        <v/>
      </c>
      <c r="AI256" s="8">
        <f>-Opex_Admin*$F$6/Lump_Basis*AI254*AI243</f>
        <v/>
      </c>
      <c r="AJ256" s="8">
        <f>-Opex_Admin*$F$6/Lump_Basis*AJ254*AJ243</f>
        <v/>
      </c>
      <c r="AK256" s="8">
        <f>-Opex_Admin*$F$6/Lump_Basis*AK254*AK243</f>
        <v/>
      </c>
      <c r="AL256" s="8">
        <f>-Opex_Admin*$F$6/Lump_Basis*AL254*AL243</f>
        <v/>
      </c>
      <c r="AM256" s="8">
        <f>-Opex_Admin*$F$6/Lump_Basis*AM254*AM243</f>
        <v/>
      </c>
      <c r="AN256" s="8">
        <f>-Opex_Admin*$F$6/Lump_Basis*AN254*AN243</f>
        <v/>
      </c>
      <c r="AO256" s="8">
        <f>-Opex_Admin*$F$6/Lump_Basis*AO254*AO243</f>
        <v/>
      </c>
      <c r="AP256" s="8">
        <f>-Opex_Admin*$F$6/Lump_Basis*AP254*AP243</f>
        <v/>
      </c>
      <c r="AQ256" s="8">
        <f>-Opex_Admin*$F$6/Lump_Basis*AQ254*AQ243</f>
        <v/>
      </c>
      <c r="AR256" s="8">
        <f>-Opex_Admin*$F$6/Lump_Basis*AR254*AR243</f>
        <v/>
      </c>
      <c r="AS256" s="8">
        <f>-Opex_Admin*$F$6/Lump_Basis*AS254*AS243</f>
        <v/>
      </c>
    </row>
    <row r="257" hidden="1" outlineLevel="1">
      <c r="C257" s="6" t="inlineStr">
        <is>
          <t>Balancing and grid charges</t>
        </is>
      </c>
      <c r="D257" s="2" t="inlineStr">
        <is>
          <t>EUR k</t>
        </is>
      </c>
      <c r="H257" s="8">
        <f>SUM(J257:AS257)</f>
        <v/>
      </c>
      <c r="J257" s="8">
        <f>-J251*(Balancing+Grid_Charges)*J254</f>
        <v/>
      </c>
      <c r="K257" s="8">
        <f>-K251*(Balancing+Grid_Charges)*K254</f>
        <v/>
      </c>
      <c r="L257" s="8">
        <f>-L251*(Balancing+Grid_Charges)*L254</f>
        <v/>
      </c>
      <c r="M257" s="8">
        <f>-M251*(Balancing+Grid_Charges)*M254</f>
        <v/>
      </c>
      <c r="N257" s="8">
        <f>-N251*(Balancing+Grid_Charges)*N254</f>
        <v/>
      </c>
      <c r="O257" s="8">
        <f>-O251*(Balancing+Grid_Charges)*O254</f>
        <v/>
      </c>
      <c r="P257" s="8">
        <f>-P251*(Balancing+Grid_Charges)*P254</f>
        <v/>
      </c>
      <c r="Q257" s="8">
        <f>-Q251*(Balancing+Grid_Charges)*Q254</f>
        <v/>
      </c>
      <c r="R257" s="8">
        <f>-R251*(Balancing+Grid_Charges)*R254</f>
        <v/>
      </c>
      <c r="S257" s="8">
        <f>-S251*(Balancing+Grid_Charges)*S254</f>
        <v/>
      </c>
      <c r="T257" s="8">
        <f>-T251*(Balancing+Grid_Charges)*T254</f>
        <v/>
      </c>
      <c r="U257" s="8">
        <f>-U251*(Balancing+Grid_Charges)*U254</f>
        <v/>
      </c>
      <c r="V257" s="8">
        <f>-V251*(Balancing+Grid_Charges)*V254</f>
        <v/>
      </c>
      <c r="W257" s="8">
        <f>-W251*(Balancing+Grid_Charges)*W254</f>
        <v/>
      </c>
      <c r="X257" s="8">
        <f>-X251*(Balancing+Grid_Charges)*X254</f>
        <v/>
      </c>
      <c r="Y257" s="8">
        <f>-Y251*(Balancing+Grid_Charges)*Y254</f>
        <v/>
      </c>
      <c r="Z257" s="8">
        <f>-Z251*(Balancing+Grid_Charges)*Z254</f>
        <v/>
      </c>
      <c r="AA257" s="8">
        <f>-AA251*(Balancing+Grid_Charges)*AA254</f>
        <v/>
      </c>
      <c r="AB257" s="8">
        <f>-AB251*(Balancing+Grid_Charges)*AB254</f>
        <v/>
      </c>
      <c r="AC257" s="8">
        <f>-AC251*(Balancing+Grid_Charges)*AC254</f>
        <v/>
      </c>
      <c r="AD257" s="8">
        <f>-AD251*(Balancing+Grid_Charges)*AD254</f>
        <v/>
      </c>
      <c r="AE257" s="8">
        <f>-AE251*(Balancing+Grid_Charges)*AE254</f>
        <v/>
      </c>
      <c r="AF257" s="8">
        <f>-AF251*(Balancing+Grid_Charges)*AF254</f>
        <v/>
      </c>
      <c r="AG257" s="8">
        <f>-AG251*(Balancing+Grid_Charges)*AG254</f>
        <v/>
      </c>
      <c r="AH257" s="8">
        <f>-AH251*(Balancing+Grid_Charges)*AH254</f>
        <v/>
      </c>
      <c r="AI257" s="8">
        <f>-AI251*(Balancing+Grid_Charges)*AI254</f>
        <v/>
      </c>
      <c r="AJ257" s="8">
        <f>-AJ251*(Balancing+Grid_Charges)*AJ254</f>
        <v/>
      </c>
      <c r="AK257" s="8">
        <f>-AK251*(Balancing+Grid_Charges)*AK254</f>
        <v/>
      </c>
      <c r="AL257" s="8">
        <f>-AL251*(Balancing+Grid_Charges)*AL254</f>
        <v/>
      </c>
      <c r="AM257" s="8">
        <f>-AM251*(Balancing+Grid_Charges)*AM254</f>
        <v/>
      </c>
      <c r="AN257" s="8">
        <f>-AN251*(Balancing+Grid_Charges)*AN254</f>
        <v/>
      </c>
      <c r="AO257" s="8">
        <f>-AO251*(Balancing+Grid_Charges)*AO254</f>
        <v/>
      </c>
      <c r="AP257" s="8">
        <f>-AP251*(Balancing+Grid_Charges)*AP254</f>
        <v/>
      </c>
      <c r="AQ257" s="8">
        <f>-AQ251*(Balancing+Grid_Charges)*AQ254</f>
        <v/>
      </c>
      <c r="AR257" s="8">
        <f>-AR251*(Balancing+Grid_Charges)*AR254</f>
        <v/>
      </c>
      <c r="AS257" s="8">
        <f>-AS251*(Balancing+Grid_Charges)*AS254</f>
        <v/>
      </c>
    </row>
    <row r="258" hidden="1" outlineLevel="1">
      <c r="C258" s="6" t="inlineStr">
        <is>
          <t>MEKH supervisory fee</t>
        </is>
      </c>
      <c r="D258" s="2" t="inlineStr">
        <is>
          <t>EUR k</t>
        </is>
      </c>
      <c r="H258" s="8">
        <f>SUM(J258:AS258)</f>
        <v/>
      </c>
      <c r="J258" s="8">
        <f>-J253*MEKH_Fee</f>
        <v/>
      </c>
      <c r="K258" s="8">
        <f>-K253*MEKH_Fee</f>
        <v/>
      </c>
      <c r="L258" s="8">
        <f>-L253*MEKH_Fee</f>
        <v/>
      </c>
      <c r="M258" s="8">
        <f>-M253*MEKH_Fee</f>
        <v/>
      </c>
      <c r="N258" s="8">
        <f>-N253*MEKH_Fee</f>
        <v/>
      </c>
      <c r="O258" s="8">
        <f>-O253*MEKH_Fee</f>
        <v/>
      </c>
      <c r="P258" s="8">
        <f>-P253*MEKH_Fee</f>
        <v/>
      </c>
      <c r="Q258" s="8">
        <f>-Q253*MEKH_Fee</f>
        <v/>
      </c>
      <c r="R258" s="8">
        <f>-R253*MEKH_Fee</f>
        <v/>
      </c>
      <c r="S258" s="8">
        <f>-S253*MEKH_Fee</f>
        <v/>
      </c>
      <c r="T258" s="8">
        <f>-T253*MEKH_Fee</f>
        <v/>
      </c>
      <c r="U258" s="8">
        <f>-U253*MEKH_Fee</f>
        <v/>
      </c>
      <c r="V258" s="8">
        <f>-V253*MEKH_Fee</f>
        <v/>
      </c>
      <c r="W258" s="8">
        <f>-W253*MEKH_Fee</f>
        <v/>
      </c>
      <c r="X258" s="8">
        <f>-X253*MEKH_Fee</f>
        <v/>
      </c>
      <c r="Y258" s="8">
        <f>-Y253*MEKH_Fee</f>
        <v/>
      </c>
      <c r="Z258" s="8">
        <f>-Z253*MEKH_Fee</f>
        <v/>
      </c>
      <c r="AA258" s="8">
        <f>-AA253*MEKH_Fee</f>
        <v/>
      </c>
      <c r="AB258" s="8">
        <f>-AB253*MEKH_Fee</f>
        <v/>
      </c>
      <c r="AC258" s="8">
        <f>-AC253*MEKH_Fee</f>
        <v/>
      </c>
      <c r="AD258" s="8">
        <f>-AD253*MEKH_Fee</f>
        <v/>
      </c>
      <c r="AE258" s="8">
        <f>-AE253*MEKH_Fee</f>
        <v/>
      </c>
      <c r="AF258" s="8">
        <f>-AF253*MEKH_Fee</f>
        <v/>
      </c>
      <c r="AG258" s="8">
        <f>-AG253*MEKH_Fee</f>
        <v/>
      </c>
      <c r="AH258" s="8">
        <f>-AH253*MEKH_Fee</f>
        <v/>
      </c>
      <c r="AI258" s="8">
        <f>-AI253*MEKH_Fee</f>
        <v/>
      </c>
      <c r="AJ258" s="8">
        <f>-AJ253*MEKH_Fee</f>
        <v/>
      </c>
      <c r="AK258" s="8">
        <f>-AK253*MEKH_Fee</f>
        <v/>
      </c>
      <c r="AL258" s="8">
        <f>-AL253*MEKH_Fee</f>
        <v/>
      </c>
      <c r="AM258" s="8">
        <f>-AM253*MEKH_Fee</f>
        <v/>
      </c>
      <c r="AN258" s="8">
        <f>-AN253*MEKH_Fee</f>
        <v/>
      </c>
      <c r="AO258" s="8">
        <f>-AO253*MEKH_Fee</f>
        <v/>
      </c>
      <c r="AP258" s="8">
        <f>-AP253*MEKH_Fee</f>
        <v/>
      </c>
      <c r="AQ258" s="8">
        <f>-AQ253*MEKH_Fee</f>
        <v/>
      </c>
      <c r="AR258" s="8">
        <f>-AR253*MEKH_Fee</f>
        <v/>
      </c>
      <c r="AS258" s="8">
        <f>-AS253*MEKH_Fee</f>
        <v/>
      </c>
    </row>
    <row r="259" hidden="1" outlineLevel="1">
      <c r="C259" s="6" t="inlineStr">
        <is>
          <t>Opex contingency</t>
        </is>
      </c>
      <c r="D259" s="2" t="inlineStr">
        <is>
          <t>EUR k</t>
        </is>
      </c>
      <c r="H259" s="8">
        <f>SUM(J259:AS259)</f>
        <v/>
      </c>
      <c r="J259" s="8">
        <f>SUM(J255:J258)*Opex_Cont</f>
        <v/>
      </c>
      <c r="K259" s="8">
        <f>SUM(K255:K258)*Opex_Cont</f>
        <v/>
      </c>
      <c r="L259" s="8">
        <f>SUM(L255:L258)*Opex_Cont</f>
        <v/>
      </c>
      <c r="M259" s="8">
        <f>SUM(M255:M258)*Opex_Cont</f>
        <v/>
      </c>
      <c r="N259" s="8">
        <f>SUM(N255:N258)*Opex_Cont</f>
        <v/>
      </c>
      <c r="O259" s="8">
        <f>SUM(O255:O258)*Opex_Cont</f>
        <v/>
      </c>
      <c r="P259" s="8">
        <f>SUM(P255:P258)*Opex_Cont</f>
        <v/>
      </c>
      <c r="Q259" s="8">
        <f>SUM(Q255:Q258)*Opex_Cont</f>
        <v/>
      </c>
      <c r="R259" s="8">
        <f>SUM(R255:R258)*Opex_Cont</f>
        <v/>
      </c>
      <c r="S259" s="8">
        <f>SUM(S255:S258)*Opex_Cont</f>
        <v/>
      </c>
      <c r="T259" s="8">
        <f>SUM(T255:T258)*Opex_Cont</f>
        <v/>
      </c>
      <c r="U259" s="8">
        <f>SUM(U255:U258)*Opex_Cont</f>
        <v/>
      </c>
      <c r="V259" s="8">
        <f>SUM(V255:V258)*Opex_Cont</f>
        <v/>
      </c>
      <c r="W259" s="8">
        <f>SUM(W255:W258)*Opex_Cont</f>
        <v/>
      </c>
      <c r="X259" s="8">
        <f>SUM(X255:X258)*Opex_Cont</f>
        <v/>
      </c>
      <c r="Y259" s="8">
        <f>SUM(Y255:Y258)*Opex_Cont</f>
        <v/>
      </c>
      <c r="Z259" s="8">
        <f>SUM(Z255:Z258)*Opex_Cont</f>
        <v/>
      </c>
      <c r="AA259" s="8">
        <f>SUM(AA255:AA258)*Opex_Cont</f>
        <v/>
      </c>
      <c r="AB259" s="8">
        <f>SUM(AB255:AB258)*Opex_Cont</f>
        <v/>
      </c>
      <c r="AC259" s="8">
        <f>SUM(AC255:AC258)*Opex_Cont</f>
        <v/>
      </c>
      <c r="AD259" s="8">
        <f>SUM(AD255:AD258)*Opex_Cont</f>
        <v/>
      </c>
      <c r="AE259" s="8">
        <f>SUM(AE255:AE258)*Opex_Cont</f>
        <v/>
      </c>
      <c r="AF259" s="8">
        <f>SUM(AF255:AF258)*Opex_Cont</f>
        <v/>
      </c>
      <c r="AG259" s="8">
        <f>SUM(AG255:AG258)*Opex_Cont</f>
        <v/>
      </c>
      <c r="AH259" s="8">
        <f>SUM(AH255:AH258)*Opex_Cont</f>
        <v/>
      </c>
      <c r="AI259" s="8">
        <f>SUM(AI255:AI258)*Opex_Cont</f>
        <v/>
      </c>
      <c r="AJ259" s="8">
        <f>SUM(AJ255:AJ258)*Opex_Cont</f>
        <v/>
      </c>
      <c r="AK259" s="8">
        <f>SUM(AK255:AK258)*Opex_Cont</f>
        <v/>
      </c>
      <c r="AL259" s="8">
        <f>SUM(AL255:AL258)*Opex_Cont</f>
        <v/>
      </c>
      <c r="AM259" s="8">
        <f>SUM(AM255:AM258)*Opex_Cont</f>
        <v/>
      </c>
      <c r="AN259" s="8">
        <f>SUM(AN255:AN258)*Opex_Cont</f>
        <v/>
      </c>
      <c r="AO259" s="8">
        <f>SUM(AO255:AO258)*Opex_Cont</f>
        <v/>
      </c>
      <c r="AP259" s="8">
        <f>SUM(AP255:AP258)*Opex_Cont</f>
        <v/>
      </c>
      <c r="AQ259" s="8">
        <f>SUM(AQ255:AQ258)*Opex_Cont</f>
        <v/>
      </c>
      <c r="AR259" s="8">
        <f>SUM(AR255:AR258)*Opex_Cont</f>
        <v/>
      </c>
      <c r="AS259" s="8">
        <f>SUM(AS255:AS258)*Opex_Cont</f>
        <v/>
      </c>
    </row>
    <row r="260" hidden="1" outlineLevel="1">
      <c r="C260" s="6" t="inlineStr">
        <is>
          <t>Community contribution</t>
        </is>
      </c>
      <c r="D260" s="2" t="inlineStr">
        <is>
          <t>EUR k</t>
        </is>
      </c>
      <c r="H260" s="8">
        <f>SUM(J260:AS260)</f>
        <v/>
      </c>
      <c r="J260" s="8">
        <f>-J251*$F$12</f>
        <v/>
      </c>
      <c r="K260" s="8">
        <f>-K251*$F$12</f>
        <v/>
      </c>
      <c r="L260" s="8">
        <f>-L251*$F$12</f>
        <v/>
      </c>
      <c r="M260" s="8">
        <f>-M251*$F$12</f>
        <v/>
      </c>
      <c r="N260" s="8">
        <f>-N251*$F$12</f>
        <v/>
      </c>
      <c r="O260" s="8">
        <f>-O251*$F$12</f>
        <v/>
      </c>
      <c r="P260" s="8">
        <f>-P251*$F$12</f>
        <v/>
      </c>
      <c r="Q260" s="8">
        <f>-Q251*$F$12</f>
        <v/>
      </c>
      <c r="R260" s="8">
        <f>-R251*$F$12</f>
        <v/>
      </c>
      <c r="S260" s="8">
        <f>-S251*$F$12</f>
        <v/>
      </c>
      <c r="T260" s="8">
        <f>-T251*$F$12</f>
        <v/>
      </c>
      <c r="U260" s="8">
        <f>-U251*$F$12</f>
        <v/>
      </c>
      <c r="V260" s="8">
        <f>-V251*$F$12</f>
        <v/>
      </c>
      <c r="W260" s="8">
        <f>-W251*$F$12</f>
        <v/>
      </c>
      <c r="X260" s="8">
        <f>-X251*$F$12</f>
        <v/>
      </c>
      <c r="Y260" s="8">
        <f>-Y251*$F$12</f>
        <v/>
      </c>
      <c r="Z260" s="8">
        <f>-Z251*$F$12</f>
        <v/>
      </c>
      <c r="AA260" s="8">
        <f>-AA251*$F$12</f>
        <v/>
      </c>
      <c r="AB260" s="8">
        <f>-AB251*$F$12</f>
        <v/>
      </c>
      <c r="AC260" s="8">
        <f>-AC251*$F$12</f>
        <v/>
      </c>
      <c r="AD260" s="8">
        <f>-AD251*$F$12</f>
        <v/>
      </c>
      <c r="AE260" s="8">
        <f>-AE251*$F$12</f>
        <v/>
      </c>
      <c r="AF260" s="8">
        <f>-AF251*$F$12</f>
        <v/>
      </c>
      <c r="AG260" s="8">
        <f>-AG251*$F$12</f>
        <v/>
      </c>
      <c r="AH260" s="8">
        <f>-AH251*$F$12</f>
        <v/>
      </c>
      <c r="AI260" s="8">
        <f>-AI251*$F$12</f>
        <v/>
      </c>
      <c r="AJ260" s="8">
        <f>-AJ251*$F$12</f>
        <v/>
      </c>
      <c r="AK260" s="8">
        <f>-AK251*$F$12</f>
        <v/>
      </c>
      <c r="AL260" s="8">
        <f>-AL251*$F$12</f>
        <v/>
      </c>
      <c r="AM260" s="8">
        <f>-AM251*$F$12</f>
        <v/>
      </c>
      <c r="AN260" s="8">
        <f>-AN251*$F$12</f>
        <v/>
      </c>
      <c r="AO260" s="8">
        <f>-AO251*$F$12</f>
        <v/>
      </c>
      <c r="AP260" s="8">
        <f>-AP251*$F$12</f>
        <v/>
      </c>
      <c r="AQ260" s="8">
        <f>-AQ251*$F$12</f>
        <v/>
      </c>
      <c r="AR260" s="8">
        <f>-AR251*$F$12</f>
        <v/>
      </c>
      <c r="AS260" s="8">
        <f>-AS251*$F$12</f>
        <v/>
      </c>
    </row>
    <row r="261" hidden="1" outlineLevel="1">
      <c r="C261" s="6" t="inlineStr">
        <is>
          <t>HIPA local business tax</t>
        </is>
      </c>
      <c r="D261" s="2" t="inlineStr">
        <is>
          <t>EUR k</t>
        </is>
      </c>
      <c r="H261" s="8">
        <f>SUM(J261:AS261)</f>
        <v/>
      </c>
      <c r="J261" s="8">
        <f>-J253*HIPA_Rate</f>
        <v/>
      </c>
      <c r="K261" s="8">
        <f>-K253*HIPA_Rate</f>
        <v/>
      </c>
      <c r="L261" s="8">
        <f>-L253*HIPA_Rate</f>
        <v/>
      </c>
      <c r="M261" s="8">
        <f>-M253*HIPA_Rate</f>
        <v/>
      </c>
      <c r="N261" s="8">
        <f>-N253*HIPA_Rate</f>
        <v/>
      </c>
      <c r="O261" s="8">
        <f>-O253*HIPA_Rate</f>
        <v/>
      </c>
      <c r="P261" s="8">
        <f>-P253*HIPA_Rate</f>
        <v/>
      </c>
      <c r="Q261" s="8">
        <f>-Q253*HIPA_Rate</f>
        <v/>
      </c>
      <c r="R261" s="8">
        <f>-R253*HIPA_Rate</f>
        <v/>
      </c>
      <c r="S261" s="8">
        <f>-S253*HIPA_Rate</f>
        <v/>
      </c>
      <c r="T261" s="8">
        <f>-T253*HIPA_Rate</f>
        <v/>
      </c>
      <c r="U261" s="8">
        <f>-U253*HIPA_Rate</f>
        <v/>
      </c>
      <c r="V261" s="8">
        <f>-V253*HIPA_Rate</f>
        <v/>
      </c>
      <c r="W261" s="8">
        <f>-W253*HIPA_Rate</f>
        <v/>
      </c>
      <c r="X261" s="8">
        <f>-X253*HIPA_Rate</f>
        <v/>
      </c>
      <c r="Y261" s="8">
        <f>-Y253*HIPA_Rate</f>
        <v/>
      </c>
      <c r="Z261" s="8">
        <f>-Z253*HIPA_Rate</f>
        <v/>
      </c>
      <c r="AA261" s="8">
        <f>-AA253*HIPA_Rate</f>
        <v/>
      </c>
      <c r="AB261" s="8">
        <f>-AB253*HIPA_Rate</f>
        <v/>
      </c>
      <c r="AC261" s="8">
        <f>-AC253*HIPA_Rate</f>
        <v/>
      </c>
      <c r="AD261" s="8">
        <f>-AD253*HIPA_Rate</f>
        <v/>
      </c>
      <c r="AE261" s="8">
        <f>-AE253*HIPA_Rate</f>
        <v/>
      </c>
      <c r="AF261" s="8">
        <f>-AF253*HIPA_Rate</f>
        <v/>
      </c>
      <c r="AG261" s="8">
        <f>-AG253*HIPA_Rate</f>
        <v/>
      </c>
      <c r="AH261" s="8">
        <f>-AH253*HIPA_Rate</f>
        <v/>
      </c>
      <c r="AI261" s="8">
        <f>-AI253*HIPA_Rate</f>
        <v/>
      </c>
      <c r="AJ261" s="8">
        <f>-AJ253*HIPA_Rate</f>
        <v/>
      </c>
      <c r="AK261" s="8">
        <f>-AK253*HIPA_Rate</f>
        <v/>
      </c>
      <c r="AL261" s="8">
        <f>-AL253*HIPA_Rate</f>
        <v/>
      </c>
      <c r="AM261" s="8">
        <f>-AM253*HIPA_Rate</f>
        <v/>
      </c>
      <c r="AN261" s="8">
        <f>-AN253*HIPA_Rate</f>
        <v/>
      </c>
      <c r="AO261" s="8">
        <f>-AO253*HIPA_Rate</f>
        <v/>
      </c>
      <c r="AP261" s="8">
        <f>-AP253*HIPA_Rate</f>
        <v/>
      </c>
      <c r="AQ261" s="8">
        <f>-AQ253*HIPA_Rate</f>
        <v/>
      </c>
      <c r="AR261" s="8">
        <f>-AR253*HIPA_Rate</f>
        <v/>
      </c>
      <c r="AS261" s="8">
        <f>-AS253*HIPA_Rate</f>
        <v/>
      </c>
    </row>
    <row r="262" hidden="1" outlineLevel="1">
      <c r="C262" s="1" t="inlineStr">
        <is>
          <t>Total opex</t>
        </is>
      </c>
      <c r="D262" s="2" t="inlineStr">
        <is>
          <t>EUR k</t>
        </is>
      </c>
      <c r="H262" s="19">
        <f>SUM(J262:AS262)</f>
        <v/>
      </c>
      <c r="J262" s="19">
        <f>SUM(J255:J261)</f>
        <v/>
      </c>
      <c r="K262" s="19">
        <f>SUM(K255:K261)</f>
        <v/>
      </c>
      <c r="L262" s="19">
        <f>SUM(L255:L261)</f>
        <v/>
      </c>
      <c r="M262" s="19">
        <f>SUM(M255:M261)</f>
        <v/>
      </c>
      <c r="N262" s="19">
        <f>SUM(N255:N261)</f>
        <v/>
      </c>
      <c r="O262" s="19">
        <f>SUM(O255:O261)</f>
        <v/>
      </c>
      <c r="P262" s="19">
        <f>SUM(P255:P261)</f>
        <v/>
      </c>
      <c r="Q262" s="19">
        <f>SUM(Q255:Q261)</f>
        <v/>
      </c>
      <c r="R262" s="19">
        <f>SUM(R255:R261)</f>
        <v/>
      </c>
      <c r="S262" s="19">
        <f>SUM(S255:S261)</f>
        <v/>
      </c>
      <c r="T262" s="19">
        <f>SUM(T255:T261)</f>
        <v/>
      </c>
      <c r="U262" s="19">
        <f>SUM(U255:U261)</f>
        <v/>
      </c>
      <c r="V262" s="19">
        <f>SUM(V255:V261)</f>
        <v/>
      </c>
      <c r="W262" s="19">
        <f>SUM(W255:W261)</f>
        <v/>
      </c>
      <c r="X262" s="19">
        <f>SUM(X255:X261)</f>
        <v/>
      </c>
      <c r="Y262" s="19">
        <f>SUM(Y255:Y261)</f>
        <v/>
      </c>
      <c r="Z262" s="19">
        <f>SUM(Z255:Z261)</f>
        <v/>
      </c>
      <c r="AA262" s="19">
        <f>SUM(AA255:AA261)</f>
        <v/>
      </c>
      <c r="AB262" s="19">
        <f>SUM(AB255:AB261)</f>
        <v/>
      </c>
      <c r="AC262" s="19">
        <f>SUM(AC255:AC261)</f>
        <v/>
      </c>
      <c r="AD262" s="19">
        <f>SUM(AD255:AD261)</f>
        <v/>
      </c>
      <c r="AE262" s="19">
        <f>SUM(AE255:AE261)</f>
        <v/>
      </c>
      <c r="AF262" s="19">
        <f>SUM(AF255:AF261)</f>
        <v/>
      </c>
      <c r="AG262" s="19">
        <f>SUM(AG255:AG261)</f>
        <v/>
      </c>
      <c r="AH262" s="19">
        <f>SUM(AH255:AH261)</f>
        <v/>
      </c>
      <c r="AI262" s="19">
        <f>SUM(AI255:AI261)</f>
        <v/>
      </c>
      <c r="AJ262" s="19">
        <f>SUM(AJ255:AJ261)</f>
        <v/>
      </c>
      <c r="AK262" s="19">
        <f>SUM(AK255:AK261)</f>
        <v/>
      </c>
      <c r="AL262" s="19">
        <f>SUM(AL255:AL261)</f>
        <v/>
      </c>
      <c r="AM262" s="19">
        <f>SUM(AM255:AM261)</f>
        <v/>
      </c>
      <c r="AN262" s="19">
        <f>SUM(AN255:AN261)</f>
        <v/>
      </c>
      <c r="AO262" s="19">
        <f>SUM(AO255:AO261)</f>
        <v/>
      </c>
      <c r="AP262" s="19">
        <f>SUM(AP255:AP261)</f>
        <v/>
      </c>
      <c r="AQ262" s="19">
        <f>SUM(AQ255:AQ261)</f>
        <v/>
      </c>
      <c r="AR262" s="19">
        <f>SUM(AR255:AR261)</f>
        <v/>
      </c>
      <c r="AS262" s="19">
        <f>SUM(AS255:AS261)</f>
        <v/>
      </c>
    </row>
    <row r="263" hidden="1" outlineLevel="1">
      <c r="C263" s="1" t="inlineStr">
        <is>
          <t>EBITDA</t>
        </is>
      </c>
      <c r="D263" s="2" t="inlineStr">
        <is>
          <t>EUR k</t>
        </is>
      </c>
      <c r="H263" s="14">
        <f>SUM(J263:AS263)</f>
        <v/>
      </c>
      <c r="J263" s="14">
        <f>J253+J262</f>
        <v/>
      </c>
      <c r="K263" s="14">
        <f>K253+K262</f>
        <v/>
      </c>
      <c r="L263" s="14">
        <f>L253+L262</f>
        <v/>
      </c>
      <c r="M263" s="14">
        <f>M253+M262</f>
        <v/>
      </c>
      <c r="N263" s="14">
        <f>N253+N262</f>
        <v/>
      </c>
      <c r="O263" s="14">
        <f>O253+O262</f>
        <v/>
      </c>
      <c r="P263" s="14">
        <f>P253+P262</f>
        <v/>
      </c>
      <c r="Q263" s="14">
        <f>Q253+Q262</f>
        <v/>
      </c>
      <c r="R263" s="14">
        <f>R253+R262</f>
        <v/>
      </c>
      <c r="S263" s="14">
        <f>S253+S262</f>
        <v/>
      </c>
      <c r="T263" s="14">
        <f>T253+T262</f>
        <v/>
      </c>
      <c r="U263" s="14">
        <f>U253+U262</f>
        <v/>
      </c>
      <c r="V263" s="14">
        <f>V253+V262</f>
        <v/>
      </c>
      <c r="W263" s="14">
        <f>W253+W262</f>
        <v/>
      </c>
      <c r="X263" s="14">
        <f>X253+X262</f>
        <v/>
      </c>
      <c r="Y263" s="14">
        <f>Y253+Y262</f>
        <v/>
      </c>
      <c r="Z263" s="14">
        <f>Z253+Z262</f>
        <v/>
      </c>
      <c r="AA263" s="14">
        <f>AA253+AA262</f>
        <v/>
      </c>
      <c r="AB263" s="14">
        <f>AB253+AB262</f>
        <v/>
      </c>
      <c r="AC263" s="14">
        <f>AC253+AC262</f>
        <v/>
      </c>
      <c r="AD263" s="14">
        <f>AD253+AD262</f>
        <v/>
      </c>
      <c r="AE263" s="14">
        <f>AE253+AE262</f>
        <v/>
      </c>
      <c r="AF263" s="14">
        <f>AF253+AF262</f>
        <v/>
      </c>
      <c r="AG263" s="14">
        <f>AG253+AG262</f>
        <v/>
      </c>
      <c r="AH263" s="14">
        <f>AH253+AH262</f>
        <v/>
      </c>
      <c r="AI263" s="14">
        <f>AI253+AI262</f>
        <v/>
      </c>
      <c r="AJ263" s="14">
        <f>AJ253+AJ262</f>
        <v/>
      </c>
      <c r="AK263" s="14">
        <f>AK253+AK262</f>
        <v/>
      </c>
      <c r="AL263" s="14">
        <f>AL253+AL262</f>
        <v/>
      </c>
      <c r="AM263" s="14">
        <f>AM253+AM262</f>
        <v/>
      </c>
      <c r="AN263" s="14">
        <f>AN253+AN262</f>
        <v/>
      </c>
      <c r="AO263" s="14">
        <f>AO253+AO262</f>
        <v/>
      </c>
      <c r="AP263" s="14">
        <f>AP253+AP262</f>
        <v/>
      </c>
      <c r="AQ263" s="14">
        <f>AQ253+AQ262</f>
        <v/>
      </c>
      <c r="AR263" s="14">
        <f>AR253+AR262</f>
        <v/>
      </c>
      <c r="AS263" s="14">
        <f>AS253+AS262</f>
        <v/>
      </c>
    </row>
    <row r="264" hidden="1" outlineLevel="1">
      <c r="C264" s="1" t="inlineStr">
        <is>
          <t>Unlevered pre-tax cash flow</t>
        </is>
      </c>
      <c r="D264" s="2" t="inlineStr">
        <is>
          <t>EUR k</t>
        </is>
      </c>
      <c r="H264" s="19">
        <f>SUM(J264:AS264)</f>
        <v/>
      </c>
      <c r="J264" s="19">
        <f>J249+J263</f>
        <v/>
      </c>
      <c r="K264" s="19">
        <f>K249+K263</f>
        <v/>
      </c>
      <c r="L264" s="19">
        <f>L249+L263</f>
        <v/>
      </c>
      <c r="M264" s="19">
        <f>M249+M263</f>
        <v/>
      </c>
      <c r="N264" s="19">
        <f>N249+N263</f>
        <v/>
      </c>
      <c r="O264" s="19">
        <f>O249+O263</f>
        <v/>
      </c>
      <c r="P264" s="19">
        <f>P249+P263</f>
        <v/>
      </c>
      <c r="Q264" s="19">
        <f>Q249+Q263</f>
        <v/>
      </c>
      <c r="R264" s="19">
        <f>R249+R263</f>
        <v/>
      </c>
      <c r="S264" s="19">
        <f>S249+S263</f>
        <v/>
      </c>
      <c r="T264" s="19">
        <f>T249+T263</f>
        <v/>
      </c>
      <c r="U264" s="19">
        <f>U249+U263</f>
        <v/>
      </c>
      <c r="V264" s="19">
        <f>V249+V263</f>
        <v/>
      </c>
      <c r="W264" s="19">
        <f>W249+W263</f>
        <v/>
      </c>
      <c r="X264" s="19">
        <f>X249+X263</f>
        <v/>
      </c>
      <c r="Y264" s="19">
        <f>Y249+Y263</f>
        <v/>
      </c>
      <c r="Z264" s="19">
        <f>Z249+Z263</f>
        <v/>
      </c>
      <c r="AA264" s="19">
        <f>AA249+AA263</f>
        <v/>
      </c>
      <c r="AB264" s="19">
        <f>AB249+AB263</f>
        <v/>
      </c>
      <c r="AC264" s="19">
        <f>AC249+AC263</f>
        <v/>
      </c>
      <c r="AD264" s="19">
        <f>AD249+AD263</f>
        <v/>
      </c>
      <c r="AE264" s="19">
        <f>AE249+AE263</f>
        <v/>
      </c>
      <c r="AF264" s="19">
        <f>AF249+AF263</f>
        <v/>
      </c>
      <c r="AG264" s="19">
        <f>AG249+AG263</f>
        <v/>
      </c>
      <c r="AH264" s="19">
        <f>AH249+AH263</f>
        <v/>
      </c>
      <c r="AI264" s="19">
        <f>AI249+AI263</f>
        <v/>
      </c>
      <c r="AJ264" s="19">
        <f>AJ249+AJ263</f>
        <v/>
      </c>
      <c r="AK264" s="19">
        <f>AK249+AK263</f>
        <v/>
      </c>
      <c r="AL264" s="19">
        <f>AL249+AL263</f>
        <v/>
      </c>
      <c r="AM264" s="19">
        <f>AM249+AM263</f>
        <v/>
      </c>
      <c r="AN264" s="19">
        <f>AN249+AN263</f>
        <v/>
      </c>
      <c r="AO264" s="19">
        <f>AO249+AO263</f>
        <v/>
      </c>
      <c r="AP264" s="19">
        <f>AP249+AP263</f>
        <v/>
      </c>
      <c r="AQ264" s="19">
        <f>AQ249+AQ263</f>
        <v/>
      </c>
      <c r="AR264" s="19">
        <f>AR249+AR263</f>
        <v/>
      </c>
      <c r="AS264" s="19">
        <f>AS249+AS263</f>
        <v/>
      </c>
    </row>
    <row r="265" hidden="1" outlineLevel="1">
      <c r="C265" s="6" t="inlineStr">
        <is>
          <t>Discount factor to COD (buyer's rate)</t>
        </is>
      </c>
      <c r="D265" s="2" t="inlineStr">
        <is>
          <t>x</t>
        </is>
      </c>
      <c r="J265" s="30">
        <f>(1+Discount_Rate)^((Inputs!$F$33-J$205)/Days_In_Year)</f>
        <v/>
      </c>
      <c r="K265" s="30">
        <f>(1+Discount_Rate)^((Inputs!$F$33-K$205)/Days_In_Year)</f>
        <v/>
      </c>
      <c r="L265" s="30">
        <f>(1+Discount_Rate)^((Inputs!$F$33-L$205)/Days_In_Year)</f>
        <v/>
      </c>
      <c r="M265" s="30">
        <f>(1+Discount_Rate)^((Inputs!$F$33-M$205)/Days_In_Year)</f>
        <v/>
      </c>
      <c r="N265" s="30">
        <f>(1+Discount_Rate)^((Inputs!$F$33-N$205)/Days_In_Year)</f>
        <v/>
      </c>
      <c r="O265" s="30">
        <f>(1+Discount_Rate)^((Inputs!$F$33-O$205)/Days_In_Year)</f>
        <v/>
      </c>
      <c r="P265" s="30">
        <f>(1+Discount_Rate)^((Inputs!$F$33-P$205)/Days_In_Year)</f>
        <v/>
      </c>
      <c r="Q265" s="30">
        <f>(1+Discount_Rate)^((Inputs!$F$33-Q$205)/Days_In_Year)</f>
        <v/>
      </c>
      <c r="R265" s="30">
        <f>(1+Discount_Rate)^((Inputs!$F$33-R$205)/Days_In_Year)</f>
        <v/>
      </c>
      <c r="S265" s="30">
        <f>(1+Discount_Rate)^((Inputs!$F$33-S$205)/Days_In_Year)</f>
        <v/>
      </c>
      <c r="T265" s="30">
        <f>(1+Discount_Rate)^((Inputs!$F$33-T$205)/Days_In_Year)</f>
        <v/>
      </c>
      <c r="U265" s="30">
        <f>(1+Discount_Rate)^((Inputs!$F$33-U$205)/Days_In_Year)</f>
        <v/>
      </c>
      <c r="V265" s="30">
        <f>(1+Discount_Rate)^((Inputs!$F$33-V$205)/Days_In_Year)</f>
        <v/>
      </c>
      <c r="W265" s="30">
        <f>(1+Discount_Rate)^((Inputs!$F$33-W$205)/Days_In_Year)</f>
        <v/>
      </c>
      <c r="X265" s="30">
        <f>(1+Discount_Rate)^((Inputs!$F$33-X$205)/Days_In_Year)</f>
        <v/>
      </c>
      <c r="Y265" s="30">
        <f>(1+Discount_Rate)^((Inputs!$F$33-Y$205)/Days_In_Year)</f>
        <v/>
      </c>
      <c r="Z265" s="30">
        <f>(1+Discount_Rate)^((Inputs!$F$33-Z$205)/Days_In_Year)</f>
        <v/>
      </c>
      <c r="AA265" s="30">
        <f>(1+Discount_Rate)^((Inputs!$F$33-AA$205)/Days_In_Year)</f>
        <v/>
      </c>
      <c r="AB265" s="30">
        <f>(1+Discount_Rate)^((Inputs!$F$33-AB$205)/Days_In_Year)</f>
        <v/>
      </c>
      <c r="AC265" s="30">
        <f>(1+Discount_Rate)^((Inputs!$F$33-AC$205)/Days_In_Year)</f>
        <v/>
      </c>
      <c r="AD265" s="30">
        <f>(1+Discount_Rate)^((Inputs!$F$33-AD$205)/Days_In_Year)</f>
        <v/>
      </c>
      <c r="AE265" s="30">
        <f>(1+Discount_Rate)^((Inputs!$F$33-AE$205)/Days_In_Year)</f>
        <v/>
      </c>
      <c r="AF265" s="30">
        <f>(1+Discount_Rate)^((Inputs!$F$33-AF$205)/Days_In_Year)</f>
        <v/>
      </c>
      <c r="AG265" s="30">
        <f>(1+Discount_Rate)^((Inputs!$F$33-AG$205)/Days_In_Year)</f>
        <v/>
      </c>
      <c r="AH265" s="30">
        <f>(1+Discount_Rate)^((Inputs!$F$33-AH$205)/Days_In_Year)</f>
        <v/>
      </c>
      <c r="AI265" s="30">
        <f>(1+Discount_Rate)^((Inputs!$F$33-AI$205)/Days_In_Year)</f>
        <v/>
      </c>
      <c r="AJ265" s="30">
        <f>(1+Discount_Rate)^((Inputs!$F$33-AJ$205)/Days_In_Year)</f>
        <v/>
      </c>
      <c r="AK265" s="30">
        <f>(1+Discount_Rate)^((Inputs!$F$33-AK$205)/Days_In_Year)</f>
        <v/>
      </c>
      <c r="AL265" s="30">
        <f>(1+Discount_Rate)^((Inputs!$F$33-AL$205)/Days_In_Year)</f>
        <v/>
      </c>
      <c r="AM265" s="30">
        <f>(1+Discount_Rate)^((Inputs!$F$33-AM$205)/Days_In_Year)</f>
        <v/>
      </c>
      <c r="AN265" s="30">
        <f>(1+Discount_Rate)^((Inputs!$F$33-AN$205)/Days_In_Year)</f>
        <v/>
      </c>
      <c r="AO265" s="30">
        <f>(1+Discount_Rate)^((Inputs!$F$33-AO$205)/Days_In_Year)</f>
        <v/>
      </c>
      <c r="AP265" s="30">
        <f>(1+Discount_Rate)^((Inputs!$F$33-AP$205)/Days_In_Year)</f>
        <v/>
      </c>
      <c r="AQ265" s="30">
        <f>(1+Discount_Rate)^((Inputs!$F$33-AQ$205)/Days_In_Year)</f>
        <v/>
      </c>
      <c r="AR265" s="30">
        <f>(1+Discount_Rate)^((Inputs!$F$33-AR$205)/Days_In_Year)</f>
        <v/>
      </c>
      <c r="AS265" s="30">
        <f>(1+Discount_Rate)^((Inputs!$F$33-AS$205)/Days_In_Year)</f>
        <v/>
      </c>
    </row>
    <row r="266" hidden="1" outlineLevel="1">
      <c r="C266" s="6" t="inlineStr">
        <is>
          <t>EBITDA valued at COD (total = COD price)</t>
        </is>
      </c>
      <c r="D266" s="2" t="inlineStr">
        <is>
          <t>EUR k</t>
        </is>
      </c>
      <c r="H266" s="8">
        <f>SUM(J266:AS266)</f>
        <v/>
      </c>
      <c r="J266" s="8">
        <f>J263*J265</f>
        <v/>
      </c>
      <c r="K266" s="8">
        <f>K263*K265</f>
        <v/>
      </c>
      <c r="L266" s="8">
        <f>L263*L265</f>
        <v/>
      </c>
      <c r="M266" s="8">
        <f>M263*M265</f>
        <v/>
      </c>
      <c r="N266" s="8">
        <f>N263*N265</f>
        <v/>
      </c>
      <c r="O266" s="8">
        <f>O263*O265</f>
        <v/>
      </c>
      <c r="P266" s="8">
        <f>P263*P265</f>
        <v/>
      </c>
      <c r="Q266" s="8">
        <f>Q263*Q265</f>
        <v/>
      </c>
      <c r="R266" s="8">
        <f>R263*R265</f>
        <v/>
      </c>
      <c r="S266" s="8">
        <f>S263*S265</f>
        <v/>
      </c>
      <c r="T266" s="8">
        <f>T263*T265</f>
        <v/>
      </c>
      <c r="U266" s="8">
        <f>U263*U265</f>
        <v/>
      </c>
      <c r="V266" s="8">
        <f>V263*V265</f>
        <v/>
      </c>
      <c r="W266" s="8">
        <f>W263*W265</f>
        <v/>
      </c>
      <c r="X266" s="8">
        <f>X263*X265</f>
        <v/>
      </c>
      <c r="Y266" s="8">
        <f>Y263*Y265</f>
        <v/>
      </c>
      <c r="Z266" s="8">
        <f>Z263*Z265</f>
        <v/>
      </c>
      <c r="AA266" s="8">
        <f>AA263*AA265</f>
        <v/>
      </c>
      <c r="AB266" s="8">
        <f>AB263*AB265</f>
        <v/>
      </c>
      <c r="AC266" s="8">
        <f>AC263*AC265</f>
        <v/>
      </c>
      <c r="AD266" s="8">
        <f>AD263*AD265</f>
        <v/>
      </c>
      <c r="AE266" s="8">
        <f>AE263*AE265</f>
        <v/>
      </c>
      <c r="AF266" s="8">
        <f>AF263*AF265</f>
        <v/>
      </c>
      <c r="AG266" s="8">
        <f>AG263*AG265</f>
        <v/>
      </c>
      <c r="AH266" s="8">
        <f>AH263*AH265</f>
        <v/>
      </c>
      <c r="AI266" s="8">
        <f>AI263*AI265</f>
        <v/>
      </c>
      <c r="AJ266" s="8">
        <f>AJ263*AJ265</f>
        <v/>
      </c>
      <c r="AK266" s="8">
        <f>AK263*AK265</f>
        <v/>
      </c>
      <c r="AL266" s="8">
        <f>AL263*AL265</f>
        <v/>
      </c>
      <c r="AM266" s="8">
        <f>AM263*AM265</f>
        <v/>
      </c>
      <c r="AN266" s="8">
        <f>AN263*AN265</f>
        <v/>
      </c>
      <c r="AO266" s="8">
        <f>AO263*AO265</f>
        <v/>
      </c>
      <c r="AP266" s="8">
        <f>AP263*AP265</f>
        <v/>
      </c>
      <c r="AQ266" s="8">
        <f>AQ263*AQ265</f>
        <v/>
      </c>
      <c r="AR266" s="8">
        <f>AR263*AR265</f>
        <v/>
      </c>
      <c r="AS266" s="8">
        <f>AS263*AS265</f>
        <v/>
      </c>
    </row>
    <row r="267" hidden="1" outlineLevel="1">
      <c r="C267" s="1" t="inlineStr">
        <is>
          <t>COD exit: FEP cash flow (to COD, price and securities at COD)</t>
        </is>
      </c>
      <c r="D267" s="2" t="inlineStr">
        <is>
          <t>EUR k</t>
        </is>
      </c>
      <c r="H267" s="19">
        <f>SUM(J267:AS267)</f>
        <v/>
      </c>
      <c r="J267" s="19">
        <f>J249*(J239&lt;=0)+J244*($H266+$F$62+$F$63)</f>
        <v/>
      </c>
      <c r="K267" s="19">
        <f>K249*(K239&lt;=0)+K244*($H266+$F$62+$F$63)</f>
        <v/>
      </c>
      <c r="L267" s="19">
        <f>L249*(L239&lt;=0)+L244*($H266+$F$62+$F$63)</f>
        <v/>
      </c>
      <c r="M267" s="19">
        <f>M249*(M239&lt;=0)+M244*($H266+$F$62+$F$63)</f>
        <v/>
      </c>
      <c r="N267" s="19">
        <f>N249*(N239&lt;=0)+N244*($H266+$F$62+$F$63)</f>
        <v/>
      </c>
      <c r="O267" s="19">
        <f>O249*(O239&lt;=0)+O244*($H266+$F$62+$F$63)</f>
        <v/>
      </c>
      <c r="P267" s="19">
        <f>P249*(P239&lt;=0)+P244*($H266+$F$62+$F$63)</f>
        <v/>
      </c>
      <c r="Q267" s="19">
        <f>Q249*(Q239&lt;=0)+Q244*($H266+$F$62+$F$63)</f>
        <v/>
      </c>
      <c r="R267" s="19">
        <f>R249*(R239&lt;=0)+R244*($H266+$F$62+$F$63)</f>
        <v/>
      </c>
      <c r="S267" s="19">
        <f>S249*(S239&lt;=0)+S244*($H266+$F$62+$F$63)</f>
        <v/>
      </c>
      <c r="T267" s="19">
        <f>T249*(T239&lt;=0)+T244*($H266+$F$62+$F$63)</f>
        <v/>
      </c>
      <c r="U267" s="19">
        <f>U249*(U239&lt;=0)+U244*($H266+$F$62+$F$63)</f>
        <v/>
      </c>
      <c r="V267" s="19">
        <f>V249*(V239&lt;=0)+V244*($H266+$F$62+$F$63)</f>
        <v/>
      </c>
      <c r="W267" s="19">
        <f>W249*(W239&lt;=0)+W244*($H266+$F$62+$F$63)</f>
        <v/>
      </c>
      <c r="X267" s="19">
        <f>X249*(X239&lt;=0)+X244*($H266+$F$62+$F$63)</f>
        <v/>
      </c>
      <c r="Y267" s="19">
        <f>Y249*(Y239&lt;=0)+Y244*($H266+$F$62+$F$63)</f>
        <v/>
      </c>
      <c r="Z267" s="19">
        <f>Z249*(Z239&lt;=0)+Z244*($H266+$F$62+$F$63)</f>
        <v/>
      </c>
      <c r="AA267" s="19">
        <f>AA249*(AA239&lt;=0)+AA244*($H266+$F$62+$F$63)</f>
        <v/>
      </c>
      <c r="AB267" s="19">
        <f>AB249*(AB239&lt;=0)+AB244*($H266+$F$62+$F$63)</f>
        <v/>
      </c>
      <c r="AC267" s="19">
        <f>AC249*(AC239&lt;=0)+AC244*($H266+$F$62+$F$63)</f>
        <v/>
      </c>
      <c r="AD267" s="19">
        <f>AD249*(AD239&lt;=0)+AD244*($H266+$F$62+$F$63)</f>
        <v/>
      </c>
      <c r="AE267" s="19">
        <f>AE249*(AE239&lt;=0)+AE244*($H266+$F$62+$F$63)</f>
        <v/>
      </c>
      <c r="AF267" s="19">
        <f>AF249*(AF239&lt;=0)+AF244*($H266+$F$62+$F$63)</f>
        <v/>
      </c>
      <c r="AG267" s="19">
        <f>AG249*(AG239&lt;=0)+AG244*($H266+$F$62+$F$63)</f>
        <v/>
      </c>
      <c r="AH267" s="19">
        <f>AH249*(AH239&lt;=0)+AH244*($H266+$F$62+$F$63)</f>
        <v/>
      </c>
      <c r="AI267" s="19">
        <f>AI249*(AI239&lt;=0)+AI244*($H266+$F$62+$F$63)</f>
        <v/>
      </c>
      <c r="AJ267" s="19">
        <f>AJ249*(AJ239&lt;=0)+AJ244*($H266+$F$62+$F$63)</f>
        <v/>
      </c>
      <c r="AK267" s="19">
        <f>AK249*(AK239&lt;=0)+AK244*($H266+$F$62+$F$63)</f>
        <v/>
      </c>
      <c r="AL267" s="19">
        <f>AL249*(AL239&lt;=0)+AL244*($H266+$F$62+$F$63)</f>
        <v/>
      </c>
      <c r="AM267" s="19">
        <f>AM249*(AM239&lt;=0)+AM244*($H266+$F$62+$F$63)</f>
        <v/>
      </c>
      <c r="AN267" s="19">
        <f>AN249*(AN239&lt;=0)+AN244*($H266+$F$62+$F$63)</f>
        <v/>
      </c>
      <c r="AO267" s="19">
        <f>AO249*(AO239&lt;=0)+AO244*($H266+$F$62+$F$63)</f>
        <v/>
      </c>
      <c r="AP267" s="19">
        <f>AP249*(AP239&lt;=0)+AP244*($H266+$F$62+$F$63)</f>
        <v/>
      </c>
      <c r="AQ267" s="19">
        <f>AQ249*(AQ239&lt;=0)+AQ244*($H266+$F$62+$F$63)</f>
        <v/>
      </c>
      <c r="AR267" s="19">
        <f>AR249*(AR239&lt;=0)+AR244*($H266+$F$62+$F$63)</f>
        <v/>
      </c>
      <c r="AS267" s="19">
        <f>AS249*(AS239&lt;=0)+AS244*($H266+$F$62+$F$63)</f>
        <v/>
      </c>
    </row>
    <row r="268" hidden="1" outlineLevel="1"/>
    <row r="269" hidden="1" outlineLevel="1">
      <c r="B269" s="4" t="inlineStr">
        <is>
          <t>x</t>
        </is>
      </c>
      <c r="C269" s="4" t="inlineStr">
        <is>
          <t>Dunaújváros: annual cash flow (EUR k)</t>
        </is>
      </c>
      <c r="D269" s="4" t="n"/>
      <c r="E269" s="5" t="n"/>
      <c r="F269" s="5" t="n"/>
      <c r="G269" s="5" t="inlineStr">
        <is>
          <t>Value</t>
        </is>
      </c>
      <c r="H269" s="5" t="inlineStr">
        <is>
          <t>Total</t>
        </is>
      </c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  <c r="AQ269" s="5" t="n"/>
      <c r="AR269" s="5" t="n"/>
      <c r="AS269" s="5" t="n"/>
    </row>
    <row r="270" hidden="1" outlineLevel="1">
      <c r="C270" s="6" t="inlineStr">
        <is>
          <t>Years from the COD year</t>
        </is>
      </c>
      <c r="D270" s="2" t="inlineStr">
        <is>
          <t>years</t>
        </is>
      </c>
      <c r="J270" s="27">
        <f>J$204-YEAR(Inputs!$G$33)</f>
        <v/>
      </c>
      <c r="K270" s="27">
        <f>K$204-YEAR(Inputs!$G$33)</f>
        <v/>
      </c>
      <c r="L270" s="27">
        <f>L$204-YEAR(Inputs!$G$33)</f>
        <v/>
      </c>
      <c r="M270" s="27">
        <f>M$204-YEAR(Inputs!$G$33)</f>
        <v/>
      </c>
      <c r="N270" s="27">
        <f>N$204-YEAR(Inputs!$G$33)</f>
        <v/>
      </c>
      <c r="O270" s="27">
        <f>O$204-YEAR(Inputs!$G$33)</f>
        <v/>
      </c>
      <c r="P270" s="27">
        <f>P$204-YEAR(Inputs!$G$33)</f>
        <v/>
      </c>
      <c r="Q270" s="27">
        <f>Q$204-YEAR(Inputs!$G$33)</f>
        <v/>
      </c>
      <c r="R270" s="27">
        <f>R$204-YEAR(Inputs!$G$33)</f>
        <v/>
      </c>
      <c r="S270" s="27">
        <f>S$204-YEAR(Inputs!$G$33)</f>
        <v/>
      </c>
      <c r="T270" s="27">
        <f>T$204-YEAR(Inputs!$G$33)</f>
        <v/>
      </c>
      <c r="U270" s="27">
        <f>U$204-YEAR(Inputs!$G$33)</f>
        <v/>
      </c>
      <c r="V270" s="27">
        <f>V$204-YEAR(Inputs!$G$33)</f>
        <v/>
      </c>
      <c r="W270" s="27">
        <f>W$204-YEAR(Inputs!$G$33)</f>
        <v/>
      </c>
      <c r="X270" s="27">
        <f>X$204-YEAR(Inputs!$G$33)</f>
        <v/>
      </c>
      <c r="Y270" s="27">
        <f>Y$204-YEAR(Inputs!$G$33)</f>
        <v/>
      </c>
      <c r="Z270" s="27">
        <f>Z$204-YEAR(Inputs!$G$33)</f>
        <v/>
      </c>
      <c r="AA270" s="27">
        <f>AA$204-YEAR(Inputs!$G$33)</f>
        <v/>
      </c>
      <c r="AB270" s="27">
        <f>AB$204-YEAR(Inputs!$G$33)</f>
        <v/>
      </c>
      <c r="AC270" s="27">
        <f>AC$204-YEAR(Inputs!$G$33)</f>
        <v/>
      </c>
      <c r="AD270" s="27">
        <f>AD$204-YEAR(Inputs!$G$33)</f>
        <v/>
      </c>
      <c r="AE270" s="27">
        <f>AE$204-YEAR(Inputs!$G$33)</f>
        <v/>
      </c>
      <c r="AF270" s="27">
        <f>AF$204-YEAR(Inputs!$G$33)</f>
        <v/>
      </c>
      <c r="AG270" s="27">
        <f>AG$204-YEAR(Inputs!$G$33)</f>
        <v/>
      </c>
      <c r="AH270" s="27">
        <f>AH$204-YEAR(Inputs!$G$33)</f>
        <v/>
      </c>
      <c r="AI270" s="27">
        <f>AI$204-YEAR(Inputs!$G$33)</f>
        <v/>
      </c>
      <c r="AJ270" s="27">
        <f>AJ$204-YEAR(Inputs!$G$33)</f>
        <v/>
      </c>
      <c r="AK270" s="27">
        <f>AK$204-YEAR(Inputs!$G$33)</f>
        <v/>
      </c>
      <c r="AL270" s="27">
        <f>AL$204-YEAR(Inputs!$G$33)</f>
        <v/>
      </c>
      <c r="AM270" s="27">
        <f>AM$204-YEAR(Inputs!$G$33)</f>
        <v/>
      </c>
      <c r="AN270" s="27">
        <f>AN$204-YEAR(Inputs!$G$33)</f>
        <v/>
      </c>
      <c r="AO270" s="27">
        <f>AO$204-YEAR(Inputs!$G$33)</f>
        <v/>
      </c>
      <c r="AP270" s="27">
        <f>AP$204-YEAR(Inputs!$G$33)</f>
        <v/>
      </c>
      <c r="AQ270" s="27">
        <f>AQ$204-YEAR(Inputs!$G$33)</f>
        <v/>
      </c>
      <c r="AR270" s="27">
        <f>AR$204-YEAR(Inputs!$G$33)</f>
        <v/>
      </c>
      <c r="AS270" s="27">
        <f>AS$204-YEAR(Inputs!$G$33)</f>
        <v/>
      </c>
    </row>
    <row r="271" hidden="1" outlineLevel="1">
      <c r="C271" s="6" t="inlineStr">
        <is>
          <t>Construction months by year end (value: construction period)</t>
        </is>
      </c>
      <c r="D271" s="2" t="inlineStr">
        <is>
          <t>months</t>
        </is>
      </c>
      <c r="G271" s="27">
        <f>DATEDIF(Inputs!$G$32,Inputs!$G$33,"m")</f>
        <v/>
      </c>
      <c r="J271" s="27">
        <f>(J$204+1-YEAR(Inputs!$G$32))*Months_In_Year-MONTH(Inputs!$G$32)</f>
        <v/>
      </c>
      <c r="K271" s="27">
        <f>(K$204+1-YEAR(Inputs!$G$32))*Months_In_Year-MONTH(Inputs!$G$32)</f>
        <v/>
      </c>
      <c r="L271" s="27">
        <f>(L$204+1-YEAR(Inputs!$G$32))*Months_In_Year-MONTH(Inputs!$G$32)</f>
        <v/>
      </c>
      <c r="M271" s="27">
        <f>(M$204+1-YEAR(Inputs!$G$32))*Months_In_Year-MONTH(Inputs!$G$32)</f>
        <v/>
      </c>
      <c r="N271" s="27">
        <f>(N$204+1-YEAR(Inputs!$G$32))*Months_In_Year-MONTH(Inputs!$G$32)</f>
        <v/>
      </c>
      <c r="O271" s="27">
        <f>(O$204+1-YEAR(Inputs!$G$32))*Months_In_Year-MONTH(Inputs!$G$32)</f>
        <v/>
      </c>
      <c r="P271" s="27">
        <f>(P$204+1-YEAR(Inputs!$G$32))*Months_In_Year-MONTH(Inputs!$G$32)</f>
        <v/>
      </c>
      <c r="Q271" s="27">
        <f>(Q$204+1-YEAR(Inputs!$G$32))*Months_In_Year-MONTH(Inputs!$G$32)</f>
        <v/>
      </c>
      <c r="R271" s="27">
        <f>(R$204+1-YEAR(Inputs!$G$32))*Months_In_Year-MONTH(Inputs!$G$32)</f>
        <v/>
      </c>
      <c r="S271" s="27">
        <f>(S$204+1-YEAR(Inputs!$G$32))*Months_In_Year-MONTH(Inputs!$G$32)</f>
        <v/>
      </c>
      <c r="T271" s="27">
        <f>(T$204+1-YEAR(Inputs!$G$32))*Months_In_Year-MONTH(Inputs!$G$32)</f>
        <v/>
      </c>
      <c r="U271" s="27">
        <f>(U$204+1-YEAR(Inputs!$G$32))*Months_In_Year-MONTH(Inputs!$G$32)</f>
        <v/>
      </c>
      <c r="V271" s="27">
        <f>(V$204+1-YEAR(Inputs!$G$32))*Months_In_Year-MONTH(Inputs!$G$32)</f>
        <v/>
      </c>
      <c r="W271" s="27">
        <f>(W$204+1-YEAR(Inputs!$G$32))*Months_In_Year-MONTH(Inputs!$G$32)</f>
        <v/>
      </c>
      <c r="X271" s="27">
        <f>(X$204+1-YEAR(Inputs!$G$32))*Months_In_Year-MONTH(Inputs!$G$32)</f>
        <v/>
      </c>
      <c r="Y271" s="27">
        <f>(Y$204+1-YEAR(Inputs!$G$32))*Months_In_Year-MONTH(Inputs!$G$32)</f>
        <v/>
      </c>
      <c r="Z271" s="27">
        <f>(Z$204+1-YEAR(Inputs!$G$32))*Months_In_Year-MONTH(Inputs!$G$32)</f>
        <v/>
      </c>
      <c r="AA271" s="27">
        <f>(AA$204+1-YEAR(Inputs!$G$32))*Months_In_Year-MONTH(Inputs!$G$32)</f>
        <v/>
      </c>
      <c r="AB271" s="27">
        <f>(AB$204+1-YEAR(Inputs!$G$32))*Months_In_Year-MONTH(Inputs!$G$32)</f>
        <v/>
      </c>
      <c r="AC271" s="27">
        <f>(AC$204+1-YEAR(Inputs!$G$32))*Months_In_Year-MONTH(Inputs!$G$32)</f>
        <v/>
      </c>
      <c r="AD271" s="27">
        <f>(AD$204+1-YEAR(Inputs!$G$32))*Months_In_Year-MONTH(Inputs!$G$32)</f>
        <v/>
      </c>
      <c r="AE271" s="27">
        <f>(AE$204+1-YEAR(Inputs!$G$32))*Months_In_Year-MONTH(Inputs!$G$32)</f>
        <v/>
      </c>
      <c r="AF271" s="27">
        <f>(AF$204+1-YEAR(Inputs!$G$32))*Months_In_Year-MONTH(Inputs!$G$32)</f>
        <v/>
      </c>
      <c r="AG271" s="27">
        <f>(AG$204+1-YEAR(Inputs!$G$32))*Months_In_Year-MONTH(Inputs!$G$32)</f>
        <v/>
      </c>
      <c r="AH271" s="27">
        <f>(AH$204+1-YEAR(Inputs!$G$32))*Months_In_Year-MONTH(Inputs!$G$32)</f>
        <v/>
      </c>
      <c r="AI271" s="27">
        <f>(AI$204+1-YEAR(Inputs!$G$32))*Months_In_Year-MONTH(Inputs!$G$32)</f>
        <v/>
      </c>
      <c r="AJ271" s="27">
        <f>(AJ$204+1-YEAR(Inputs!$G$32))*Months_In_Year-MONTH(Inputs!$G$32)</f>
        <v/>
      </c>
      <c r="AK271" s="27">
        <f>(AK$204+1-YEAR(Inputs!$G$32))*Months_In_Year-MONTH(Inputs!$G$32)</f>
        <v/>
      </c>
      <c r="AL271" s="27">
        <f>(AL$204+1-YEAR(Inputs!$G$32))*Months_In_Year-MONTH(Inputs!$G$32)</f>
        <v/>
      </c>
      <c r="AM271" s="27">
        <f>(AM$204+1-YEAR(Inputs!$G$32))*Months_In_Year-MONTH(Inputs!$G$32)</f>
        <v/>
      </c>
      <c r="AN271" s="27">
        <f>(AN$204+1-YEAR(Inputs!$G$32))*Months_In_Year-MONTH(Inputs!$G$32)</f>
        <v/>
      </c>
      <c r="AO271" s="27">
        <f>(AO$204+1-YEAR(Inputs!$G$32))*Months_In_Year-MONTH(Inputs!$G$32)</f>
        <v/>
      </c>
      <c r="AP271" s="27">
        <f>(AP$204+1-YEAR(Inputs!$G$32))*Months_In_Year-MONTH(Inputs!$G$32)</f>
        <v/>
      </c>
      <c r="AQ271" s="27">
        <f>(AQ$204+1-YEAR(Inputs!$G$32))*Months_In_Year-MONTH(Inputs!$G$32)</f>
        <v/>
      </c>
      <c r="AR271" s="27">
        <f>(AR$204+1-YEAR(Inputs!$G$32))*Months_In_Year-MONTH(Inputs!$G$32)</f>
        <v/>
      </c>
      <c r="AS271" s="27">
        <f>(AS$204+1-YEAR(Inputs!$G$32))*Months_In_Year-MONTH(Inputs!$G$32)</f>
        <v/>
      </c>
    </row>
    <row r="272" hidden="1" outlineLevel="1">
      <c r="C272" s="6" t="inlineStr">
        <is>
          <t>Construction share of the year (NTP to COD)</t>
        </is>
      </c>
      <c r="D272" s="2" t="inlineStr">
        <is>
          <t>%</t>
        </is>
      </c>
      <c r="H272" s="28">
        <f>SUM(J272:AS272)</f>
        <v/>
      </c>
      <c r="J272" s="23">
        <f>MAX(0,MIN(J271,$G271)-MAX(J271-Months_In_Year,0))/$G271</f>
        <v/>
      </c>
      <c r="K272" s="23">
        <f>MAX(0,MIN(K271,$G271)-MAX(K271-Months_In_Year,0))/$G271</f>
        <v/>
      </c>
      <c r="L272" s="23">
        <f>MAX(0,MIN(L271,$G271)-MAX(L271-Months_In_Year,0))/$G271</f>
        <v/>
      </c>
      <c r="M272" s="23">
        <f>MAX(0,MIN(M271,$G271)-MAX(M271-Months_In_Year,0))/$G271</f>
        <v/>
      </c>
      <c r="N272" s="23">
        <f>MAX(0,MIN(N271,$G271)-MAX(N271-Months_In_Year,0))/$G271</f>
        <v/>
      </c>
      <c r="O272" s="23">
        <f>MAX(0,MIN(O271,$G271)-MAX(O271-Months_In_Year,0))/$G271</f>
        <v/>
      </c>
      <c r="P272" s="23">
        <f>MAX(0,MIN(P271,$G271)-MAX(P271-Months_In_Year,0))/$G271</f>
        <v/>
      </c>
      <c r="Q272" s="23">
        <f>MAX(0,MIN(Q271,$G271)-MAX(Q271-Months_In_Year,0))/$G271</f>
        <v/>
      </c>
      <c r="R272" s="23">
        <f>MAX(0,MIN(R271,$G271)-MAX(R271-Months_In_Year,0))/$G271</f>
        <v/>
      </c>
      <c r="S272" s="23">
        <f>MAX(0,MIN(S271,$G271)-MAX(S271-Months_In_Year,0))/$G271</f>
        <v/>
      </c>
      <c r="T272" s="23">
        <f>MAX(0,MIN(T271,$G271)-MAX(T271-Months_In_Year,0))/$G271</f>
        <v/>
      </c>
      <c r="U272" s="23">
        <f>MAX(0,MIN(U271,$G271)-MAX(U271-Months_In_Year,0))/$G271</f>
        <v/>
      </c>
      <c r="V272" s="23">
        <f>MAX(0,MIN(V271,$G271)-MAX(V271-Months_In_Year,0))/$G271</f>
        <v/>
      </c>
      <c r="W272" s="23">
        <f>MAX(0,MIN(W271,$G271)-MAX(W271-Months_In_Year,0))/$G271</f>
        <v/>
      </c>
      <c r="X272" s="23">
        <f>MAX(0,MIN(X271,$G271)-MAX(X271-Months_In_Year,0))/$G271</f>
        <v/>
      </c>
      <c r="Y272" s="23">
        <f>MAX(0,MIN(Y271,$G271)-MAX(Y271-Months_In_Year,0))/$G271</f>
        <v/>
      </c>
      <c r="Z272" s="23">
        <f>MAX(0,MIN(Z271,$G271)-MAX(Z271-Months_In_Year,0))/$G271</f>
        <v/>
      </c>
      <c r="AA272" s="23">
        <f>MAX(0,MIN(AA271,$G271)-MAX(AA271-Months_In_Year,0))/$G271</f>
        <v/>
      </c>
      <c r="AB272" s="23">
        <f>MAX(0,MIN(AB271,$G271)-MAX(AB271-Months_In_Year,0))/$G271</f>
        <v/>
      </c>
      <c r="AC272" s="23">
        <f>MAX(0,MIN(AC271,$G271)-MAX(AC271-Months_In_Year,0))/$G271</f>
        <v/>
      </c>
      <c r="AD272" s="23">
        <f>MAX(0,MIN(AD271,$G271)-MAX(AD271-Months_In_Year,0))/$G271</f>
        <v/>
      </c>
      <c r="AE272" s="23">
        <f>MAX(0,MIN(AE271,$G271)-MAX(AE271-Months_In_Year,0))/$G271</f>
        <v/>
      </c>
      <c r="AF272" s="23">
        <f>MAX(0,MIN(AF271,$G271)-MAX(AF271-Months_In_Year,0))/$G271</f>
        <v/>
      </c>
      <c r="AG272" s="23">
        <f>MAX(0,MIN(AG271,$G271)-MAX(AG271-Months_In_Year,0))/$G271</f>
        <v/>
      </c>
      <c r="AH272" s="23">
        <f>MAX(0,MIN(AH271,$G271)-MAX(AH271-Months_In_Year,0))/$G271</f>
        <v/>
      </c>
      <c r="AI272" s="23">
        <f>MAX(0,MIN(AI271,$G271)-MAX(AI271-Months_In_Year,0))/$G271</f>
        <v/>
      </c>
      <c r="AJ272" s="23">
        <f>MAX(0,MIN(AJ271,$G271)-MAX(AJ271-Months_In_Year,0))/$G271</f>
        <v/>
      </c>
      <c r="AK272" s="23">
        <f>MAX(0,MIN(AK271,$G271)-MAX(AK271-Months_In_Year,0))/$G271</f>
        <v/>
      </c>
      <c r="AL272" s="23">
        <f>MAX(0,MIN(AL271,$G271)-MAX(AL271-Months_In_Year,0))/$G271</f>
        <v/>
      </c>
      <c r="AM272" s="23">
        <f>MAX(0,MIN(AM271,$G271)-MAX(AM271-Months_In_Year,0))/$G271</f>
        <v/>
      </c>
      <c r="AN272" s="23">
        <f>MAX(0,MIN(AN271,$G271)-MAX(AN271-Months_In_Year,0))/$G271</f>
        <v/>
      </c>
      <c r="AO272" s="23">
        <f>MAX(0,MIN(AO271,$G271)-MAX(AO271-Months_In_Year,0))/$G271</f>
        <v/>
      </c>
      <c r="AP272" s="23">
        <f>MAX(0,MIN(AP271,$G271)-MAX(AP271-Months_In_Year,0))/$G271</f>
        <v/>
      </c>
      <c r="AQ272" s="23">
        <f>MAX(0,MIN(AQ271,$G271)-MAX(AQ271-Months_In_Year,0))/$G271</f>
        <v/>
      </c>
      <c r="AR272" s="23">
        <f>MAX(0,MIN(AR271,$G271)-MAX(AR271-Months_In_Year,0))/$G271</f>
        <v/>
      </c>
      <c r="AS272" s="23">
        <f>MAX(0,MIN(AS271,$G271)-MAX(AS271-Months_In_Year,0))/$G271</f>
        <v/>
      </c>
    </row>
    <row r="273" hidden="1" outlineLevel="1">
      <c r="C273" s="6" t="inlineStr">
        <is>
          <t>Months operated by year end (value: operating life)</t>
        </is>
      </c>
      <c r="D273" s="2" t="inlineStr">
        <is>
          <t>months</t>
        </is>
      </c>
      <c r="G273" s="27">
        <f>Life*Months_In_Year</f>
        <v/>
      </c>
      <c r="J273" s="27">
        <f>(J$204+1-YEAR(Inputs!$G$33))*Months_In_Year-MONTH(Inputs!$G$33)</f>
        <v/>
      </c>
      <c r="K273" s="27">
        <f>(K$204+1-YEAR(Inputs!$G$33))*Months_In_Year-MONTH(Inputs!$G$33)</f>
        <v/>
      </c>
      <c r="L273" s="27">
        <f>(L$204+1-YEAR(Inputs!$G$33))*Months_In_Year-MONTH(Inputs!$G$33)</f>
        <v/>
      </c>
      <c r="M273" s="27">
        <f>(M$204+1-YEAR(Inputs!$G$33))*Months_In_Year-MONTH(Inputs!$G$33)</f>
        <v/>
      </c>
      <c r="N273" s="27">
        <f>(N$204+1-YEAR(Inputs!$G$33))*Months_In_Year-MONTH(Inputs!$G$33)</f>
        <v/>
      </c>
      <c r="O273" s="27">
        <f>(O$204+1-YEAR(Inputs!$G$33))*Months_In_Year-MONTH(Inputs!$G$33)</f>
        <v/>
      </c>
      <c r="P273" s="27">
        <f>(P$204+1-YEAR(Inputs!$G$33))*Months_In_Year-MONTH(Inputs!$G$33)</f>
        <v/>
      </c>
      <c r="Q273" s="27">
        <f>(Q$204+1-YEAR(Inputs!$G$33))*Months_In_Year-MONTH(Inputs!$G$33)</f>
        <v/>
      </c>
      <c r="R273" s="27">
        <f>(R$204+1-YEAR(Inputs!$G$33))*Months_In_Year-MONTH(Inputs!$G$33)</f>
        <v/>
      </c>
      <c r="S273" s="27">
        <f>(S$204+1-YEAR(Inputs!$G$33))*Months_In_Year-MONTH(Inputs!$G$33)</f>
        <v/>
      </c>
      <c r="T273" s="27">
        <f>(T$204+1-YEAR(Inputs!$G$33))*Months_In_Year-MONTH(Inputs!$G$33)</f>
        <v/>
      </c>
      <c r="U273" s="27">
        <f>(U$204+1-YEAR(Inputs!$G$33))*Months_In_Year-MONTH(Inputs!$G$33)</f>
        <v/>
      </c>
      <c r="V273" s="27">
        <f>(V$204+1-YEAR(Inputs!$G$33))*Months_In_Year-MONTH(Inputs!$G$33)</f>
        <v/>
      </c>
      <c r="W273" s="27">
        <f>(W$204+1-YEAR(Inputs!$G$33))*Months_In_Year-MONTH(Inputs!$G$33)</f>
        <v/>
      </c>
      <c r="X273" s="27">
        <f>(X$204+1-YEAR(Inputs!$G$33))*Months_In_Year-MONTH(Inputs!$G$33)</f>
        <v/>
      </c>
      <c r="Y273" s="27">
        <f>(Y$204+1-YEAR(Inputs!$G$33))*Months_In_Year-MONTH(Inputs!$G$33)</f>
        <v/>
      </c>
      <c r="Z273" s="27">
        <f>(Z$204+1-YEAR(Inputs!$G$33))*Months_In_Year-MONTH(Inputs!$G$33)</f>
        <v/>
      </c>
      <c r="AA273" s="27">
        <f>(AA$204+1-YEAR(Inputs!$G$33))*Months_In_Year-MONTH(Inputs!$G$33)</f>
        <v/>
      </c>
      <c r="AB273" s="27">
        <f>(AB$204+1-YEAR(Inputs!$G$33))*Months_In_Year-MONTH(Inputs!$G$33)</f>
        <v/>
      </c>
      <c r="AC273" s="27">
        <f>(AC$204+1-YEAR(Inputs!$G$33))*Months_In_Year-MONTH(Inputs!$G$33)</f>
        <v/>
      </c>
      <c r="AD273" s="27">
        <f>(AD$204+1-YEAR(Inputs!$G$33))*Months_In_Year-MONTH(Inputs!$G$33)</f>
        <v/>
      </c>
      <c r="AE273" s="27">
        <f>(AE$204+1-YEAR(Inputs!$G$33))*Months_In_Year-MONTH(Inputs!$G$33)</f>
        <v/>
      </c>
      <c r="AF273" s="27">
        <f>(AF$204+1-YEAR(Inputs!$G$33))*Months_In_Year-MONTH(Inputs!$G$33)</f>
        <v/>
      </c>
      <c r="AG273" s="27">
        <f>(AG$204+1-YEAR(Inputs!$G$33))*Months_In_Year-MONTH(Inputs!$G$33)</f>
        <v/>
      </c>
      <c r="AH273" s="27">
        <f>(AH$204+1-YEAR(Inputs!$G$33))*Months_In_Year-MONTH(Inputs!$G$33)</f>
        <v/>
      </c>
      <c r="AI273" s="27">
        <f>(AI$204+1-YEAR(Inputs!$G$33))*Months_In_Year-MONTH(Inputs!$G$33)</f>
        <v/>
      </c>
      <c r="AJ273" s="27">
        <f>(AJ$204+1-YEAR(Inputs!$G$33))*Months_In_Year-MONTH(Inputs!$G$33)</f>
        <v/>
      </c>
      <c r="AK273" s="27">
        <f>(AK$204+1-YEAR(Inputs!$G$33))*Months_In_Year-MONTH(Inputs!$G$33)</f>
        <v/>
      </c>
      <c r="AL273" s="27">
        <f>(AL$204+1-YEAR(Inputs!$G$33))*Months_In_Year-MONTH(Inputs!$G$33)</f>
        <v/>
      </c>
      <c r="AM273" s="27">
        <f>(AM$204+1-YEAR(Inputs!$G$33))*Months_In_Year-MONTH(Inputs!$G$33)</f>
        <v/>
      </c>
      <c r="AN273" s="27">
        <f>(AN$204+1-YEAR(Inputs!$G$33))*Months_In_Year-MONTH(Inputs!$G$33)</f>
        <v/>
      </c>
      <c r="AO273" s="27">
        <f>(AO$204+1-YEAR(Inputs!$G$33))*Months_In_Year-MONTH(Inputs!$G$33)</f>
        <v/>
      </c>
      <c r="AP273" s="27">
        <f>(AP$204+1-YEAR(Inputs!$G$33))*Months_In_Year-MONTH(Inputs!$G$33)</f>
        <v/>
      </c>
      <c r="AQ273" s="27">
        <f>(AQ$204+1-YEAR(Inputs!$G$33))*Months_In_Year-MONTH(Inputs!$G$33)</f>
        <v/>
      </c>
      <c r="AR273" s="27">
        <f>(AR$204+1-YEAR(Inputs!$G$33))*Months_In_Year-MONTH(Inputs!$G$33)</f>
        <v/>
      </c>
      <c r="AS273" s="27">
        <f>(AS$204+1-YEAR(Inputs!$G$33))*Months_In_Year-MONTH(Inputs!$G$33)</f>
        <v/>
      </c>
    </row>
    <row r="274" hidden="1" outlineLevel="1">
      <c r="C274" s="6" t="inlineStr">
        <is>
          <t>Operating share of the year (COD to end of life)</t>
        </is>
      </c>
      <c r="D274" s="2" t="inlineStr">
        <is>
          <t>%</t>
        </is>
      </c>
      <c r="H274" s="28">
        <f>SUM(J274:AS274)</f>
        <v/>
      </c>
      <c r="J274" s="23">
        <f>MAX(0,MIN(J273,$G273)-MAX(J273-Months_In_Year,0))/Months_In_Year</f>
        <v/>
      </c>
      <c r="K274" s="23">
        <f>MAX(0,MIN(K273,$G273)-MAX(K273-Months_In_Year,0))/Months_In_Year</f>
        <v/>
      </c>
      <c r="L274" s="23">
        <f>MAX(0,MIN(L273,$G273)-MAX(L273-Months_In_Year,0))/Months_In_Year</f>
        <v/>
      </c>
      <c r="M274" s="23">
        <f>MAX(0,MIN(M273,$G273)-MAX(M273-Months_In_Year,0))/Months_In_Year</f>
        <v/>
      </c>
      <c r="N274" s="23">
        <f>MAX(0,MIN(N273,$G273)-MAX(N273-Months_In_Year,0))/Months_In_Year</f>
        <v/>
      </c>
      <c r="O274" s="23">
        <f>MAX(0,MIN(O273,$G273)-MAX(O273-Months_In_Year,0))/Months_In_Year</f>
        <v/>
      </c>
      <c r="P274" s="23">
        <f>MAX(0,MIN(P273,$G273)-MAX(P273-Months_In_Year,0))/Months_In_Year</f>
        <v/>
      </c>
      <c r="Q274" s="23">
        <f>MAX(0,MIN(Q273,$G273)-MAX(Q273-Months_In_Year,0))/Months_In_Year</f>
        <v/>
      </c>
      <c r="R274" s="23">
        <f>MAX(0,MIN(R273,$G273)-MAX(R273-Months_In_Year,0))/Months_In_Year</f>
        <v/>
      </c>
      <c r="S274" s="23">
        <f>MAX(0,MIN(S273,$G273)-MAX(S273-Months_In_Year,0))/Months_In_Year</f>
        <v/>
      </c>
      <c r="T274" s="23">
        <f>MAX(0,MIN(T273,$G273)-MAX(T273-Months_In_Year,0))/Months_In_Year</f>
        <v/>
      </c>
      <c r="U274" s="23">
        <f>MAX(0,MIN(U273,$G273)-MAX(U273-Months_In_Year,0))/Months_In_Year</f>
        <v/>
      </c>
      <c r="V274" s="23">
        <f>MAX(0,MIN(V273,$G273)-MAX(V273-Months_In_Year,0))/Months_In_Year</f>
        <v/>
      </c>
      <c r="W274" s="23">
        <f>MAX(0,MIN(W273,$G273)-MAX(W273-Months_In_Year,0))/Months_In_Year</f>
        <v/>
      </c>
      <c r="X274" s="23">
        <f>MAX(0,MIN(X273,$G273)-MAX(X273-Months_In_Year,0))/Months_In_Year</f>
        <v/>
      </c>
      <c r="Y274" s="23">
        <f>MAX(0,MIN(Y273,$G273)-MAX(Y273-Months_In_Year,0))/Months_In_Year</f>
        <v/>
      </c>
      <c r="Z274" s="23">
        <f>MAX(0,MIN(Z273,$G273)-MAX(Z273-Months_In_Year,0))/Months_In_Year</f>
        <v/>
      </c>
      <c r="AA274" s="23">
        <f>MAX(0,MIN(AA273,$G273)-MAX(AA273-Months_In_Year,0))/Months_In_Year</f>
        <v/>
      </c>
      <c r="AB274" s="23">
        <f>MAX(0,MIN(AB273,$G273)-MAX(AB273-Months_In_Year,0))/Months_In_Year</f>
        <v/>
      </c>
      <c r="AC274" s="23">
        <f>MAX(0,MIN(AC273,$G273)-MAX(AC273-Months_In_Year,0))/Months_In_Year</f>
        <v/>
      </c>
      <c r="AD274" s="23">
        <f>MAX(0,MIN(AD273,$G273)-MAX(AD273-Months_In_Year,0))/Months_In_Year</f>
        <v/>
      </c>
      <c r="AE274" s="23">
        <f>MAX(0,MIN(AE273,$G273)-MAX(AE273-Months_In_Year,0))/Months_In_Year</f>
        <v/>
      </c>
      <c r="AF274" s="23">
        <f>MAX(0,MIN(AF273,$G273)-MAX(AF273-Months_In_Year,0))/Months_In_Year</f>
        <v/>
      </c>
      <c r="AG274" s="23">
        <f>MAX(0,MIN(AG273,$G273)-MAX(AG273-Months_In_Year,0))/Months_In_Year</f>
        <v/>
      </c>
      <c r="AH274" s="23">
        <f>MAX(0,MIN(AH273,$G273)-MAX(AH273-Months_In_Year,0))/Months_In_Year</f>
        <v/>
      </c>
      <c r="AI274" s="23">
        <f>MAX(0,MIN(AI273,$G273)-MAX(AI273-Months_In_Year,0))/Months_In_Year</f>
        <v/>
      </c>
      <c r="AJ274" s="23">
        <f>MAX(0,MIN(AJ273,$G273)-MAX(AJ273-Months_In_Year,0))/Months_In_Year</f>
        <v/>
      </c>
      <c r="AK274" s="23">
        <f>MAX(0,MIN(AK273,$G273)-MAX(AK273-Months_In_Year,0))/Months_In_Year</f>
        <v/>
      </c>
      <c r="AL274" s="23">
        <f>MAX(0,MIN(AL273,$G273)-MAX(AL273-Months_In_Year,0))/Months_In_Year</f>
        <v/>
      </c>
      <c r="AM274" s="23">
        <f>MAX(0,MIN(AM273,$G273)-MAX(AM273-Months_In_Year,0))/Months_In_Year</f>
        <v/>
      </c>
      <c r="AN274" s="23">
        <f>MAX(0,MIN(AN273,$G273)-MAX(AN273-Months_In_Year,0))/Months_In_Year</f>
        <v/>
      </c>
      <c r="AO274" s="23">
        <f>MAX(0,MIN(AO273,$G273)-MAX(AO273-Months_In_Year,0))/Months_In_Year</f>
        <v/>
      </c>
      <c r="AP274" s="23">
        <f>MAX(0,MIN(AP273,$G273)-MAX(AP273-Months_In_Year,0))/Months_In_Year</f>
        <v/>
      </c>
      <c r="AQ274" s="23">
        <f>MAX(0,MIN(AQ273,$G273)-MAX(AQ273-Months_In_Year,0))/Months_In_Year</f>
        <v/>
      </c>
      <c r="AR274" s="23">
        <f>MAX(0,MIN(AR273,$G273)-MAX(AR273-Months_In_Year,0))/Months_In_Year</f>
        <v/>
      </c>
      <c r="AS274" s="23">
        <f>MAX(0,MIN(AS273,$G273)-MAX(AS273-Months_In_Year,0))/Months_In_Year</f>
        <v/>
      </c>
    </row>
    <row r="275" hidden="1" outlineLevel="1">
      <c r="C275" s="6" t="inlineStr">
        <is>
          <t>COD year flag</t>
        </is>
      </c>
      <c r="D275" s="2" t="inlineStr">
        <is>
          <t>flag</t>
        </is>
      </c>
      <c r="J275" s="29">
        <f>N(J270=0)</f>
        <v/>
      </c>
      <c r="K275" s="29">
        <f>N(K270=0)</f>
        <v/>
      </c>
      <c r="L275" s="29">
        <f>N(L270=0)</f>
        <v/>
      </c>
      <c r="M275" s="29">
        <f>N(M270=0)</f>
        <v/>
      </c>
      <c r="N275" s="29">
        <f>N(N270=0)</f>
        <v/>
      </c>
      <c r="O275" s="29">
        <f>N(O270=0)</f>
        <v/>
      </c>
      <c r="P275" s="29">
        <f>N(P270=0)</f>
        <v/>
      </c>
      <c r="Q275" s="29">
        <f>N(Q270=0)</f>
        <v/>
      </c>
      <c r="R275" s="29">
        <f>N(R270=0)</f>
        <v/>
      </c>
      <c r="S275" s="29">
        <f>N(S270=0)</f>
        <v/>
      </c>
      <c r="T275" s="29">
        <f>N(T270=0)</f>
        <v/>
      </c>
      <c r="U275" s="29">
        <f>N(U270=0)</f>
        <v/>
      </c>
      <c r="V275" s="29">
        <f>N(V270=0)</f>
        <v/>
      </c>
      <c r="W275" s="29">
        <f>N(W270=0)</f>
        <v/>
      </c>
      <c r="X275" s="29">
        <f>N(X270=0)</f>
        <v/>
      </c>
      <c r="Y275" s="29">
        <f>N(Y270=0)</f>
        <v/>
      </c>
      <c r="Z275" s="29">
        <f>N(Z270=0)</f>
        <v/>
      </c>
      <c r="AA275" s="29">
        <f>N(AA270=0)</f>
        <v/>
      </c>
      <c r="AB275" s="29">
        <f>N(AB270=0)</f>
        <v/>
      </c>
      <c r="AC275" s="29">
        <f>N(AC270=0)</f>
        <v/>
      </c>
      <c r="AD275" s="29">
        <f>N(AD270=0)</f>
        <v/>
      </c>
      <c r="AE275" s="29">
        <f>N(AE270=0)</f>
        <v/>
      </c>
      <c r="AF275" s="29">
        <f>N(AF270=0)</f>
        <v/>
      </c>
      <c r="AG275" s="29">
        <f>N(AG270=0)</f>
        <v/>
      </c>
      <c r="AH275" s="29">
        <f>N(AH270=0)</f>
        <v/>
      </c>
      <c r="AI275" s="29">
        <f>N(AI270=0)</f>
        <v/>
      </c>
      <c r="AJ275" s="29">
        <f>N(AJ270=0)</f>
        <v/>
      </c>
      <c r="AK275" s="29">
        <f>N(AK270=0)</f>
        <v/>
      </c>
      <c r="AL275" s="29">
        <f>N(AL270=0)</f>
        <v/>
      </c>
      <c r="AM275" s="29">
        <f>N(AM270=0)</f>
        <v/>
      </c>
      <c r="AN275" s="29">
        <f>N(AN270=0)</f>
        <v/>
      </c>
      <c r="AO275" s="29">
        <f>N(AO270=0)</f>
        <v/>
      </c>
      <c r="AP275" s="29">
        <f>N(AP270=0)</f>
        <v/>
      </c>
      <c r="AQ275" s="29">
        <f>N(AQ270=0)</f>
        <v/>
      </c>
      <c r="AR275" s="29">
        <f>N(AR270=0)</f>
        <v/>
      </c>
      <c r="AS275" s="29">
        <f>N(AS270=0)</f>
        <v/>
      </c>
    </row>
    <row r="276" hidden="1" outlineLevel="1">
      <c r="C276" s="6" t="inlineStr">
        <is>
          <t>FEP outlays at their dates (signing, fee, securities, fees, devex)</t>
        </is>
      </c>
      <c r="D276" s="2" t="inlineStr">
        <is>
          <t>EUR k</t>
        </is>
      </c>
      <c r="H276" s="8">
        <f>SUM(J276:AS276)</f>
        <v/>
      </c>
      <c r="J276" s="8">
        <f>SUMPRODUCT((YEAR($L$190:$L$197)=J$204)*$G$190:$G$197)</f>
        <v/>
      </c>
      <c r="K276" s="8">
        <f>SUMPRODUCT((YEAR($L$190:$L$197)=K$204)*$G$190:$G$197)</f>
        <v/>
      </c>
      <c r="L276" s="8">
        <f>SUMPRODUCT((YEAR($L$190:$L$197)=L$204)*$G$190:$G$197)</f>
        <v/>
      </c>
      <c r="M276" s="8">
        <f>SUMPRODUCT((YEAR($L$190:$L$197)=M$204)*$G$190:$G$197)</f>
        <v/>
      </c>
      <c r="N276" s="8">
        <f>SUMPRODUCT((YEAR($L$190:$L$197)=N$204)*$G$190:$G$197)</f>
        <v/>
      </c>
      <c r="O276" s="8">
        <f>SUMPRODUCT((YEAR($L$190:$L$197)=O$204)*$G$190:$G$197)</f>
        <v/>
      </c>
      <c r="P276" s="8">
        <f>SUMPRODUCT((YEAR($L$190:$L$197)=P$204)*$G$190:$G$197)</f>
        <v/>
      </c>
      <c r="Q276" s="8">
        <f>SUMPRODUCT((YEAR($L$190:$L$197)=Q$204)*$G$190:$G$197)</f>
        <v/>
      </c>
      <c r="R276" s="8">
        <f>SUMPRODUCT((YEAR($L$190:$L$197)=R$204)*$G$190:$G$197)</f>
        <v/>
      </c>
      <c r="S276" s="8">
        <f>SUMPRODUCT((YEAR($L$190:$L$197)=S$204)*$G$190:$G$197)</f>
        <v/>
      </c>
      <c r="T276" s="8">
        <f>SUMPRODUCT((YEAR($L$190:$L$197)=T$204)*$G$190:$G$197)</f>
        <v/>
      </c>
      <c r="U276" s="8">
        <f>SUMPRODUCT((YEAR($L$190:$L$197)=U$204)*$G$190:$G$197)</f>
        <v/>
      </c>
      <c r="V276" s="8">
        <f>SUMPRODUCT((YEAR($L$190:$L$197)=V$204)*$G$190:$G$197)</f>
        <v/>
      </c>
      <c r="W276" s="8">
        <f>SUMPRODUCT((YEAR($L$190:$L$197)=W$204)*$G$190:$G$197)</f>
        <v/>
      </c>
      <c r="X276" s="8">
        <f>SUMPRODUCT((YEAR($L$190:$L$197)=X$204)*$G$190:$G$197)</f>
        <v/>
      </c>
      <c r="Y276" s="8">
        <f>SUMPRODUCT((YEAR($L$190:$L$197)=Y$204)*$G$190:$G$197)</f>
        <v/>
      </c>
      <c r="Z276" s="8">
        <f>SUMPRODUCT((YEAR($L$190:$L$197)=Z$204)*$G$190:$G$197)</f>
        <v/>
      </c>
      <c r="AA276" s="8">
        <f>SUMPRODUCT((YEAR($L$190:$L$197)=AA$204)*$G$190:$G$197)</f>
        <v/>
      </c>
      <c r="AB276" s="8">
        <f>SUMPRODUCT((YEAR($L$190:$L$197)=AB$204)*$G$190:$G$197)</f>
        <v/>
      </c>
      <c r="AC276" s="8">
        <f>SUMPRODUCT((YEAR($L$190:$L$197)=AC$204)*$G$190:$G$197)</f>
        <v/>
      </c>
      <c r="AD276" s="8">
        <f>SUMPRODUCT((YEAR($L$190:$L$197)=AD$204)*$G$190:$G$197)</f>
        <v/>
      </c>
      <c r="AE276" s="8">
        <f>SUMPRODUCT((YEAR($L$190:$L$197)=AE$204)*$G$190:$G$197)</f>
        <v/>
      </c>
      <c r="AF276" s="8">
        <f>SUMPRODUCT((YEAR($L$190:$L$197)=AF$204)*$G$190:$G$197)</f>
        <v/>
      </c>
      <c r="AG276" s="8">
        <f>SUMPRODUCT((YEAR($L$190:$L$197)=AG$204)*$G$190:$G$197)</f>
        <v/>
      </c>
      <c r="AH276" s="8">
        <f>SUMPRODUCT((YEAR($L$190:$L$197)=AH$204)*$G$190:$G$197)</f>
        <v/>
      </c>
      <c r="AI276" s="8">
        <f>SUMPRODUCT((YEAR($L$190:$L$197)=AI$204)*$G$190:$G$197)</f>
        <v/>
      </c>
      <c r="AJ276" s="8">
        <f>SUMPRODUCT((YEAR($L$190:$L$197)=AJ$204)*$G$190:$G$197)</f>
        <v/>
      </c>
      <c r="AK276" s="8">
        <f>SUMPRODUCT((YEAR($L$190:$L$197)=AK$204)*$G$190:$G$197)</f>
        <v/>
      </c>
      <c r="AL276" s="8">
        <f>SUMPRODUCT((YEAR($L$190:$L$197)=AL$204)*$G$190:$G$197)</f>
        <v/>
      </c>
      <c r="AM276" s="8">
        <f>SUMPRODUCT((YEAR($L$190:$L$197)=AM$204)*$G$190:$G$197)</f>
        <v/>
      </c>
      <c r="AN276" s="8">
        <f>SUMPRODUCT((YEAR($L$190:$L$197)=AN$204)*$G$190:$G$197)</f>
        <v/>
      </c>
      <c r="AO276" s="8">
        <f>SUMPRODUCT((YEAR($L$190:$L$197)=AO$204)*$G$190:$G$197)</f>
        <v/>
      </c>
      <c r="AP276" s="8">
        <f>SUMPRODUCT((YEAR($L$190:$L$197)=AP$204)*$G$190:$G$197)</f>
        <v/>
      </c>
      <c r="AQ276" s="8">
        <f>SUMPRODUCT((YEAR($L$190:$L$197)=AQ$204)*$G$190:$G$197)</f>
        <v/>
      </c>
      <c r="AR276" s="8">
        <f>SUMPRODUCT((YEAR($L$190:$L$197)=AR$204)*$G$190:$G$197)</f>
        <v/>
      </c>
      <c r="AS276" s="8">
        <f>SUMPRODUCT((YEAR($L$190:$L$197)=AS$204)*$G$190:$G$197)</f>
        <v/>
      </c>
    </row>
    <row r="277" hidden="1" outlineLevel="1">
      <c r="C277" s="6" t="inlineStr">
        <is>
          <t>Performance security released (bid security included)</t>
        </is>
      </c>
      <c r="D277" s="2" t="inlineStr">
        <is>
          <t>EUR k</t>
        </is>
      </c>
      <c r="H277" s="8">
        <f>SUM(J277:AS277)</f>
        <v/>
      </c>
      <c r="J277" s="8">
        <f>($G$62+$G$63)*(J$204=YEAR(Inputs!$G$34))</f>
        <v/>
      </c>
      <c r="K277" s="8">
        <f>($G$62+$G$63)*(K$204=YEAR(Inputs!$G$34))</f>
        <v/>
      </c>
      <c r="L277" s="8">
        <f>($G$62+$G$63)*(L$204=YEAR(Inputs!$G$34))</f>
        <v/>
      </c>
      <c r="M277" s="8">
        <f>($G$62+$G$63)*(M$204=YEAR(Inputs!$G$34))</f>
        <v/>
      </c>
      <c r="N277" s="8">
        <f>($G$62+$G$63)*(N$204=YEAR(Inputs!$G$34))</f>
        <v/>
      </c>
      <c r="O277" s="8">
        <f>($G$62+$G$63)*(O$204=YEAR(Inputs!$G$34))</f>
        <v/>
      </c>
      <c r="P277" s="8">
        <f>($G$62+$G$63)*(P$204=YEAR(Inputs!$G$34))</f>
        <v/>
      </c>
      <c r="Q277" s="8">
        <f>($G$62+$G$63)*(Q$204=YEAR(Inputs!$G$34))</f>
        <v/>
      </c>
      <c r="R277" s="8">
        <f>($G$62+$G$63)*(R$204=YEAR(Inputs!$G$34))</f>
        <v/>
      </c>
      <c r="S277" s="8">
        <f>($G$62+$G$63)*(S$204=YEAR(Inputs!$G$34))</f>
        <v/>
      </c>
      <c r="T277" s="8">
        <f>($G$62+$G$63)*(T$204=YEAR(Inputs!$G$34))</f>
        <v/>
      </c>
      <c r="U277" s="8">
        <f>($G$62+$G$63)*(U$204=YEAR(Inputs!$G$34))</f>
        <v/>
      </c>
      <c r="V277" s="8">
        <f>($G$62+$G$63)*(V$204=YEAR(Inputs!$G$34))</f>
        <v/>
      </c>
      <c r="W277" s="8">
        <f>($G$62+$G$63)*(W$204=YEAR(Inputs!$G$34))</f>
        <v/>
      </c>
      <c r="X277" s="8">
        <f>($G$62+$G$63)*(X$204=YEAR(Inputs!$G$34))</f>
        <v/>
      </c>
      <c r="Y277" s="8">
        <f>($G$62+$G$63)*(Y$204=YEAR(Inputs!$G$34))</f>
        <v/>
      </c>
      <c r="Z277" s="8">
        <f>($G$62+$G$63)*(Z$204=YEAR(Inputs!$G$34))</f>
        <v/>
      </c>
      <c r="AA277" s="8">
        <f>($G$62+$G$63)*(AA$204=YEAR(Inputs!$G$34))</f>
        <v/>
      </c>
      <c r="AB277" s="8">
        <f>($G$62+$G$63)*(AB$204=YEAR(Inputs!$G$34))</f>
        <v/>
      </c>
      <c r="AC277" s="8">
        <f>($G$62+$G$63)*(AC$204=YEAR(Inputs!$G$34))</f>
        <v/>
      </c>
      <c r="AD277" s="8">
        <f>($G$62+$G$63)*(AD$204=YEAR(Inputs!$G$34))</f>
        <v/>
      </c>
      <c r="AE277" s="8">
        <f>($G$62+$G$63)*(AE$204=YEAR(Inputs!$G$34))</f>
        <v/>
      </c>
      <c r="AF277" s="8">
        <f>($G$62+$G$63)*(AF$204=YEAR(Inputs!$G$34))</f>
        <v/>
      </c>
      <c r="AG277" s="8">
        <f>($G$62+$G$63)*(AG$204=YEAR(Inputs!$G$34))</f>
        <v/>
      </c>
      <c r="AH277" s="8">
        <f>($G$62+$G$63)*(AH$204=YEAR(Inputs!$G$34))</f>
        <v/>
      </c>
      <c r="AI277" s="8">
        <f>($G$62+$G$63)*(AI$204=YEAR(Inputs!$G$34))</f>
        <v/>
      </c>
      <c r="AJ277" s="8">
        <f>($G$62+$G$63)*(AJ$204=YEAR(Inputs!$G$34))</f>
        <v/>
      </c>
      <c r="AK277" s="8">
        <f>($G$62+$G$63)*(AK$204=YEAR(Inputs!$G$34))</f>
        <v/>
      </c>
      <c r="AL277" s="8">
        <f>($G$62+$G$63)*(AL$204=YEAR(Inputs!$G$34))</f>
        <v/>
      </c>
      <c r="AM277" s="8">
        <f>($G$62+$G$63)*(AM$204=YEAR(Inputs!$G$34))</f>
        <v/>
      </c>
      <c r="AN277" s="8">
        <f>($G$62+$G$63)*(AN$204=YEAR(Inputs!$G$34))</f>
        <v/>
      </c>
      <c r="AO277" s="8">
        <f>($G$62+$G$63)*(AO$204=YEAR(Inputs!$G$34))</f>
        <v/>
      </c>
      <c r="AP277" s="8">
        <f>($G$62+$G$63)*(AP$204=YEAR(Inputs!$G$34))</f>
        <v/>
      </c>
      <c r="AQ277" s="8">
        <f>($G$62+$G$63)*(AQ$204=YEAR(Inputs!$G$34))</f>
        <v/>
      </c>
      <c r="AR277" s="8">
        <f>($G$62+$G$63)*(AR$204=YEAR(Inputs!$G$34))</f>
        <v/>
      </c>
      <c r="AS277" s="8">
        <f>($G$62+$G$63)*(AS$204=YEAR(Inputs!$G$34))</f>
        <v/>
      </c>
    </row>
    <row r="278" hidden="1" outlineLevel="1">
      <c r="C278" s="6" t="inlineStr">
        <is>
          <t>Construction capex (straight-line NTP to COD)</t>
        </is>
      </c>
      <c r="D278" s="2" t="inlineStr">
        <is>
          <t>EUR k</t>
        </is>
      </c>
      <c r="H278" s="8">
        <f>SUM(J278:AS278)</f>
        <v/>
      </c>
      <c r="J278" s="8">
        <f>-$G$82*J272</f>
        <v/>
      </c>
      <c r="K278" s="8">
        <f>-$G$82*K272</f>
        <v/>
      </c>
      <c r="L278" s="8">
        <f>-$G$82*L272</f>
        <v/>
      </c>
      <c r="M278" s="8">
        <f>-$G$82*M272</f>
        <v/>
      </c>
      <c r="N278" s="8">
        <f>-$G$82*N272</f>
        <v/>
      </c>
      <c r="O278" s="8">
        <f>-$G$82*O272</f>
        <v/>
      </c>
      <c r="P278" s="8">
        <f>-$G$82*P272</f>
        <v/>
      </c>
      <c r="Q278" s="8">
        <f>-$G$82*Q272</f>
        <v/>
      </c>
      <c r="R278" s="8">
        <f>-$G$82*R272</f>
        <v/>
      </c>
      <c r="S278" s="8">
        <f>-$G$82*S272</f>
        <v/>
      </c>
      <c r="T278" s="8">
        <f>-$G$82*T272</f>
        <v/>
      </c>
      <c r="U278" s="8">
        <f>-$G$82*U272</f>
        <v/>
      </c>
      <c r="V278" s="8">
        <f>-$G$82*V272</f>
        <v/>
      </c>
      <c r="W278" s="8">
        <f>-$G$82*W272</f>
        <v/>
      </c>
      <c r="X278" s="8">
        <f>-$G$82*X272</f>
        <v/>
      </c>
      <c r="Y278" s="8">
        <f>-$G$82*Y272</f>
        <v/>
      </c>
      <c r="Z278" s="8">
        <f>-$G$82*Z272</f>
        <v/>
      </c>
      <c r="AA278" s="8">
        <f>-$G$82*AA272</f>
        <v/>
      </c>
      <c r="AB278" s="8">
        <f>-$G$82*AB272</f>
        <v/>
      </c>
      <c r="AC278" s="8">
        <f>-$G$82*AC272</f>
        <v/>
      </c>
      <c r="AD278" s="8">
        <f>-$G$82*AD272</f>
        <v/>
      </c>
      <c r="AE278" s="8">
        <f>-$G$82*AE272</f>
        <v/>
      </c>
      <c r="AF278" s="8">
        <f>-$G$82*AF272</f>
        <v/>
      </c>
      <c r="AG278" s="8">
        <f>-$G$82*AG272</f>
        <v/>
      </c>
      <c r="AH278" s="8">
        <f>-$G$82*AH272</f>
        <v/>
      </c>
      <c r="AI278" s="8">
        <f>-$G$82*AI272</f>
        <v/>
      </c>
      <c r="AJ278" s="8">
        <f>-$G$82*AJ272</f>
        <v/>
      </c>
      <c r="AK278" s="8">
        <f>-$G$82*AK272</f>
        <v/>
      </c>
      <c r="AL278" s="8">
        <f>-$G$82*AL272</f>
        <v/>
      </c>
      <c r="AM278" s="8">
        <f>-$G$82*AM272</f>
        <v/>
      </c>
      <c r="AN278" s="8">
        <f>-$G$82*AN272</f>
        <v/>
      </c>
      <c r="AO278" s="8">
        <f>-$G$82*AO272</f>
        <v/>
      </c>
      <c r="AP278" s="8">
        <f>-$G$82*AP272</f>
        <v/>
      </c>
      <c r="AQ278" s="8">
        <f>-$G$82*AQ272</f>
        <v/>
      </c>
      <c r="AR278" s="8">
        <f>-$G$82*AR272</f>
        <v/>
      </c>
      <c r="AS278" s="8">
        <f>-$G$82*AS272</f>
        <v/>
      </c>
    </row>
    <row r="279" hidden="1" outlineLevel="1">
      <c r="C279" s="6" t="inlineStr">
        <is>
          <t>Municipal one-off at COD</t>
        </is>
      </c>
      <c r="D279" s="2" t="inlineStr">
        <is>
          <t>EUR k</t>
        </is>
      </c>
      <c r="H279" s="8">
        <f>SUM(J279:AS279)</f>
        <v/>
      </c>
      <c r="J279" s="8">
        <f>-$G$84*J275</f>
        <v/>
      </c>
      <c r="K279" s="8">
        <f>-$G$84*K275</f>
        <v/>
      </c>
      <c r="L279" s="8">
        <f>-$G$84*L275</f>
        <v/>
      </c>
      <c r="M279" s="8">
        <f>-$G$84*M275</f>
        <v/>
      </c>
      <c r="N279" s="8">
        <f>-$G$84*N275</f>
        <v/>
      </c>
      <c r="O279" s="8">
        <f>-$G$84*O275</f>
        <v/>
      </c>
      <c r="P279" s="8">
        <f>-$G$84*P275</f>
        <v/>
      </c>
      <c r="Q279" s="8">
        <f>-$G$84*Q275</f>
        <v/>
      </c>
      <c r="R279" s="8">
        <f>-$G$84*R275</f>
        <v/>
      </c>
      <c r="S279" s="8">
        <f>-$G$84*S275</f>
        <v/>
      </c>
      <c r="T279" s="8">
        <f>-$G$84*T275</f>
        <v/>
      </c>
      <c r="U279" s="8">
        <f>-$G$84*U275</f>
        <v/>
      </c>
      <c r="V279" s="8">
        <f>-$G$84*V275</f>
        <v/>
      </c>
      <c r="W279" s="8">
        <f>-$G$84*W275</f>
        <v/>
      </c>
      <c r="X279" s="8">
        <f>-$G$84*X275</f>
        <v/>
      </c>
      <c r="Y279" s="8">
        <f>-$G$84*Y275</f>
        <v/>
      </c>
      <c r="Z279" s="8">
        <f>-$G$84*Z275</f>
        <v/>
      </c>
      <c r="AA279" s="8">
        <f>-$G$84*AA275</f>
        <v/>
      </c>
      <c r="AB279" s="8">
        <f>-$G$84*AB275</f>
        <v/>
      </c>
      <c r="AC279" s="8">
        <f>-$G$84*AC275</f>
        <v/>
      </c>
      <c r="AD279" s="8">
        <f>-$G$84*AD275</f>
        <v/>
      </c>
      <c r="AE279" s="8">
        <f>-$G$84*AE275</f>
        <v/>
      </c>
      <c r="AF279" s="8">
        <f>-$G$84*AF275</f>
        <v/>
      </c>
      <c r="AG279" s="8">
        <f>-$G$84*AG275</f>
        <v/>
      </c>
      <c r="AH279" s="8">
        <f>-$G$84*AH275</f>
        <v/>
      </c>
      <c r="AI279" s="8">
        <f>-$G$84*AI275</f>
        <v/>
      </c>
      <c r="AJ279" s="8">
        <f>-$G$84*AJ275</f>
        <v/>
      </c>
      <c r="AK279" s="8">
        <f>-$G$84*AK275</f>
        <v/>
      </c>
      <c r="AL279" s="8">
        <f>-$G$84*AL275</f>
        <v/>
      </c>
      <c r="AM279" s="8">
        <f>-$G$84*AM275</f>
        <v/>
      </c>
      <c r="AN279" s="8">
        <f>-$G$84*AN275</f>
        <v/>
      </c>
      <c r="AO279" s="8">
        <f>-$G$84*AO275</f>
        <v/>
      </c>
      <c r="AP279" s="8">
        <f>-$G$84*AP275</f>
        <v/>
      </c>
      <c r="AQ279" s="8">
        <f>-$G$84*AQ275</f>
        <v/>
      </c>
      <c r="AR279" s="8">
        <f>-$G$84*AR275</f>
        <v/>
      </c>
      <c r="AS279" s="8">
        <f>-$G$84*AS275</f>
        <v/>
      </c>
    </row>
    <row r="280" hidden="1" outlineLevel="1">
      <c r="C280" s="1" t="inlineStr">
        <is>
          <t>Investment cash flow</t>
        </is>
      </c>
      <c r="D280" s="2" t="inlineStr">
        <is>
          <t>EUR k</t>
        </is>
      </c>
      <c r="H280" s="14">
        <f>SUM(J280:AS280)</f>
        <v/>
      </c>
      <c r="J280" s="14">
        <f>SUM(J276:J279)</f>
        <v/>
      </c>
      <c r="K280" s="14">
        <f>SUM(K276:K279)</f>
        <v/>
      </c>
      <c r="L280" s="14">
        <f>SUM(L276:L279)</f>
        <v/>
      </c>
      <c r="M280" s="14">
        <f>SUM(M276:M279)</f>
        <v/>
      </c>
      <c r="N280" s="14">
        <f>SUM(N276:N279)</f>
        <v/>
      </c>
      <c r="O280" s="14">
        <f>SUM(O276:O279)</f>
        <v/>
      </c>
      <c r="P280" s="14">
        <f>SUM(P276:P279)</f>
        <v/>
      </c>
      <c r="Q280" s="14">
        <f>SUM(Q276:Q279)</f>
        <v/>
      </c>
      <c r="R280" s="14">
        <f>SUM(R276:R279)</f>
        <v/>
      </c>
      <c r="S280" s="14">
        <f>SUM(S276:S279)</f>
        <v/>
      </c>
      <c r="T280" s="14">
        <f>SUM(T276:T279)</f>
        <v/>
      </c>
      <c r="U280" s="14">
        <f>SUM(U276:U279)</f>
        <v/>
      </c>
      <c r="V280" s="14">
        <f>SUM(V276:V279)</f>
        <v/>
      </c>
      <c r="W280" s="14">
        <f>SUM(W276:W279)</f>
        <v/>
      </c>
      <c r="X280" s="14">
        <f>SUM(X276:X279)</f>
        <v/>
      </c>
      <c r="Y280" s="14">
        <f>SUM(Y276:Y279)</f>
        <v/>
      </c>
      <c r="Z280" s="14">
        <f>SUM(Z276:Z279)</f>
        <v/>
      </c>
      <c r="AA280" s="14">
        <f>SUM(AA276:AA279)</f>
        <v/>
      </c>
      <c r="AB280" s="14">
        <f>SUM(AB276:AB279)</f>
        <v/>
      </c>
      <c r="AC280" s="14">
        <f>SUM(AC276:AC279)</f>
        <v/>
      </c>
      <c r="AD280" s="14">
        <f>SUM(AD276:AD279)</f>
        <v/>
      </c>
      <c r="AE280" s="14">
        <f>SUM(AE276:AE279)</f>
        <v/>
      </c>
      <c r="AF280" s="14">
        <f>SUM(AF276:AF279)</f>
        <v/>
      </c>
      <c r="AG280" s="14">
        <f>SUM(AG276:AG279)</f>
        <v/>
      </c>
      <c r="AH280" s="14">
        <f>SUM(AH276:AH279)</f>
        <v/>
      </c>
      <c r="AI280" s="14">
        <f>SUM(AI276:AI279)</f>
        <v/>
      </c>
      <c r="AJ280" s="14">
        <f>SUM(AJ276:AJ279)</f>
        <v/>
      </c>
      <c r="AK280" s="14">
        <f>SUM(AK276:AK279)</f>
        <v/>
      </c>
      <c r="AL280" s="14">
        <f>SUM(AL276:AL279)</f>
        <v/>
      </c>
      <c r="AM280" s="14">
        <f>SUM(AM276:AM279)</f>
        <v/>
      </c>
      <c r="AN280" s="14">
        <f>SUM(AN276:AN279)</f>
        <v/>
      </c>
      <c r="AO280" s="14">
        <f>SUM(AO276:AO279)</f>
        <v/>
      </c>
      <c r="AP280" s="14">
        <f>SUM(AP276:AP279)</f>
        <v/>
      </c>
      <c r="AQ280" s="14">
        <f>SUM(AQ276:AQ279)</f>
        <v/>
      </c>
      <c r="AR280" s="14">
        <f>SUM(AR276:AR279)</f>
        <v/>
      </c>
      <c r="AS280" s="14">
        <f>SUM(AS276:AS279)</f>
        <v/>
      </c>
    </row>
    <row r="281" hidden="1" outlineLevel="1">
      <c r="C281" s="6" t="inlineStr">
        <is>
          <t>Degradation factor (from the first full year)</t>
        </is>
      </c>
      <c r="D281" s="2" t="inlineStr">
        <is>
          <t>x</t>
        </is>
      </c>
      <c r="J281" s="30">
        <f>(1-Degradation)^MAX(J270-1,0)</f>
        <v/>
      </c>
      <c r="K281" s="30">
        <f>(1-Degradation)^MAX(K270-1,0)</f>
        <v/>
      </c>
      <c r="L281" s="30">
        <f>(1-Degradation)^MAX(L270-1,0)</f>
        <v/>
      </c>
      <c r="M281" s="30">
        <f>(1-Degradation)^MAX(M270-1,0)</f>
        <v/>
      </c>
      <c r="N281" s="30">
        <f>(1-Degradation)^MAX(N270-1,0)</f>
        <v/>
      </c>
      <c r="O281" s="30">
        <f>(1-Degradation)^MAX(O270-1,0)</f>
        <v/>
      </c>
      <c r="P281" s="30">
        <f>(1-Degradation)^MAX(P270-1,0)</f>
        <v/>
      </c>
      <c r="Q281" s="30">
        <f>(1-Degradation)^MAX(Q270-1,0)</f>
        <v/>
      </c>
      <c r="R281" s="30">
        <f>(1-Degradation)^MAX(R270-1,0)</f>
        <v/>
      </c>
      <c r="S281" s="30">
        <f>(1-Degradation)^MAX(S270-1,0)</f>
        <v/>
      </c>
      <c r="T281" s="30">
        <f>(1-Degradation)^MAX(T270-1,0)</f>
        <v/>
      </c>
      <c r="U281" s="30">
        <f>(1-Degradation)^MAX(U270-1,0)</f>
        <v/>
      </c>
      <c r="V281" s="30">
        <f>(1-Degradation)^MAX(V270-1,0)</f>
        <v/>
      </c>
      <c r="W281" s="30">
        <f>(1-Degradation)^MAX(W270-1,0)</f>
        <v/>
      </c>
      <c r="X281" s="30">
        <f>(1-Degradation)^MAX(X270-1,0)</f>
        <v/>
      </c>
      <c r="Y281" s="30">
        <f>(1-Degradation)^MAX(Y270-1,0)</f>
        <v/>
      </c>
      <c r="Z281" s="30">
        <f>(1-Degradation)^MAX(Z270-1,0)</f>
        <v/>
      </c>
      <c r="AA281" s="30">
        <f>(1-Degradation)^MAX(AA270-1,0)</f>
        <v/>
      </c>
      <c r="AB281" s="30">
        <f>(1-Degradation)^MAX(AB270-1,0)</f>
        <v/>
      </c>
      <c r="AC281" s="30">
        <f>(1-Degradation)^MAX(AC270-1,0)</f>
        <v/>
      </c>
      <c r="AD281" s="30">
        <f>(1-Degradation)^MAX(AD270-1,0)</f>
        <v/>
      </c>
      <c r="AE281" s="30">
        <f>(1-Degradation)^MAX(AE270-1,0)</f>
        <v/>
      </c>
      <c r="AF281" s="30">
        <f>(1-Degradation)^MAX(AF270-1,0)</f>
        <v/>
      </c>
      <c r="AG281" s="30">
        <f>(1-Degradation)^MAX(AG270-1,0)</f>
        <v/>
      </c>
      <c r="AH281" s="30">
        <f>(1-Degradation)^MAX(AH270-1,0)</f>
        <v/>
      </c>
      <c r="AI281" s="30">
        <f>(1-Degradation)^MAX(AI270-1,0)</f>
        <v/>
      </c>
      <c r="AJ281" s="30">
        <f>(1-Degradation)^MAX(AJ270-1,0)</f>
        <v/>
      </c>
      <c r="AK281" s="30">
        <f>(1-Degradation)^MAX(AK270-1,0)</f>
        <v/>
      </c>
      <c r="AL281" s="30">
        <f>(1-Degradation)^MAX(AL270-1,0)</f>
        <v/>
      </c>
      <c r="AM281" s="30">
        <f>(1-Degradation)^MAX(AM270-1,0)</f>
        <v/>
      </c>
      <c r="AN281" s="30">
        <f>(1-Degradation)^MAX(AN270-1,0)</f>
        <v/>
      </c>
      <c r="AO281" s="30">
        <f>(1-Degradation)^MAX(AO270-1,0)</f>
        <v/>
      </c>
      <c r="AP281" s="30">
        <f>(1-Degradation)^MAX(AP270-1,0)</f>
        <v/>
      </c>
      <c r="AQ281" s="30">
        <f>(1-Degradation)^MAX(AQ270-1,0)</f>
        <v/>
      </c>
      <c r="AR281" s="30">
        <f>(1-Degradation)^MAX(AR270-1,0)</f>
        <v/>
      </c>
      <c r="AS281" s="30">
        <f>(1-Degradation)^MAX(AS270-1,0)</f>
        <v/>
      </c>
    </row>
    <row r="282" hidden="1" outlineLevel="1">
      <c r="C282" s="6" t="inlineStr">
        <is>
          <t>Net generation</t>
        </is>
      </c>
      <c r="D282" s="2" t="inlineStr">
        <is>
          <t>GWh</t>
        </is>
      </c>
      <c r="H282" s="16">
        <f>SUM(J282:AS282)</f>
        <v/>
      </c>
      <c r="J282" s="16">
        <f>$G$44*Case_P50*(1-Curtailment)*(1-Clipping)*J274*J281/Thousand</f>
        <v/>
      </c>
      <c r="K282" s="16">
        <f>$G$44*Case_P50*(1-Curtailment)*(1-Clipping)*K274*K281/Thousand</f>
        <v/>
      </c>
      <c r="L282" s="16">
        <f>$G$44*Case_P50*(1-Curtailment)*(1-Clipping)*L274*L281/Thousand</f>
        <v/>
      </c>
      <c r="M282" s="16">
        <f>$G$44*Case_P50*(1-Curtailment)*(1-Clipping)*M274*M281/Thousand</f>
        <v/>
      </c>
      <c r="N282" s="16">
        <f>$G$44*Case_P50*(1-Curtailment)*(1-Clipping)*N274*N281/Thousand</f>
        <v/>
      </c>
      <c r="O282" s="16">
        <f>$G$44*Case_P50*(1-Curtailment)*(1-Clipping)*O274*O281/Thousand</f>
        <v/>
      </c>
      <c r="P282" s="16">
        <f>$G$44*Case_P50*(1-Curtailment)*(1-Clipping)*P274*P281/Thousand</f>
        <v/>
      </c>
      <c r="Q282" s="16">
        <f>$G$44*Case_P50*(1-Curtailment)*(1-Clipping)*Q274*Q281/Thousand</f>
        <v/>
      </c>
      <c r="R282" s="16">
        <f>$G$44*Case_P50*(1-Curtailment)*(1-Clipping)*R274*R281/Thousand</f>
        <v/>
      </c>
      <c r="S282" s="16">
        <f>$G$44*Case_P50*(1-Curtailment)*(1-Clipping)*S274*S281/Thousand</f>
        <v/>
      </c>
      <c r="T282" s="16">
        <f>$G$44*Case_P50*(1-Curtailment)*(1-Clipping)*T274*T281/Thousand</f>
        <v/>
      </c>
      <c r="U282" s="16">
        <f>$G$44*Case_P50*(1-Curtailment)*(1-Clipping)*U274*U281/Thousand</f>
        <v/>
      </c>
      <c r="V282" s="16">
        <f>$G$44*Case_P50*(1-Curtailment)*(1-Clipping)*V274*V281/Thousand</f>
        <v/>
      </c>
      <c r="W282" s="16">
        <f>$G$44*Case_P50*(1-Curtailment)*(1-Clipping)*W274*W281/Thousand</f>
        <v/>
      </c>
      <c r="X282" s="16">
        <f>$G$44*Case_P50*(1-Curtailment)*(1-Clipping)*X274*X281/Thousand</f>
        <v/>
      </c>
      <c r="Y282" s="16">
        <f>$G$44*Case_P50*(1-Curtailment)*(1-Clipping)*Y274*Y281/Thousand</f>
        <v/>
      </c>
      <c r="Z282" s="16">
        <f>$G$44*Case_P50*(1-Curtailment)*(1-Clipping)*Z274*Z281/Thousand</f>
        <v/>
      </c>
      <c r="AA282" s="16">
        <f>$G$44*Case_P50*(1-Curtailment)*(1-Clipping)*AA274*AA281/Thousand</f>
        <v/>
      </c>
      <c r="AB282" s="16">
        <f>$G$44*Case_P50*(1-Curtailment)*(1-Clipping)*AB274*AB281/Thousand</f>
        <v/>
      </c>
      <c r="AC282" s="16">
        <f>$G$44*Case_P50*(1-Curtailment)*(1-Clipping)*AC274*AC281/Thousand</f>
        <v/>
      </c>
      <c r="AD282" s="16">
        <f>$G$44*Case_P50*(1-Curtailment)*(1-Clipping)*AD274*AD281/Thousand</f>
        <v/>
      </c>
      <c r="AE282" s="16">
        <f>$G$44*Case_P50*(1-Curtailment)*(1-Clipping)*AE274*AE281/Thousand</f>
        <v/>
      </c>
      <c r="AF282" s="16">
        <f>$G$44*Case_P50*(1-Curtailment)*(1-Clipping)*AF274*AF281/Thousand</f>
        <v/>
      </c>
      <c r="AG282" s="16">
        <f>$G$44*Case_P50*(1-Curtailment)*(1-Clipping)*AG274*AG281/Thousand</f>
        <v/>
      </c>
      <c r="AH282" s="16">
        <f>$G$44*Case_P50*(1-Curtailment)*(1-Clipping)*AH274*AH281/Thousand</f>
        <v/>
      </c>
      <c r="AI282" s="16">
        <f>$G$44*Case_P50*(1-Curtailment)*(1-Clipping)*AI274*AI281/Thousand</f>
        <v/>
      </c>
      <c r="AJ282" s="16">
        <f>$G$44*Case_P50*(1-Curtailment)*(1-Clipping)*AJ274*AJ281/Thousand</f>
        <v/>
      </c>
      <c r="AK282" s="16">
        <f>$G$44*Case_P50*(1-Curtailment)*(1-Clipping)*AK274*AK281/Thousand</f>
        <v/>
      </c>
      <c r="AL282" s="16">
        <f>$G$44*Case_P50*(1-Curtailment)*(1-Clipping)*AL274*AL281/Thousand</f>
        <v/>
      </c>
      <c r="AM282" s="16">
        <f>$G$44*Case_P50*(1-Curtailment)*(1-Clipping)*AM274*AM281/Thousand</f>
        <v/>
      </c>
      <c r="AN282" s="16">
        <f>$G$44*Case_P50*(1-Curtailment)*(1-Clipping)*AN274*AN281/Thousand</f>
        <v/>
      </c>
      <c r="AO282" s="16">
        <f>$G$44*Case_P50*(1-Curtailment)*(1-Clipping)*AO274*AO281/Thousand</f>
        <v/>
      </c>
      <c r="AP282" s="16">
        <f>$G$44*Case_P50*(1-Curtailment)*(1-Clipping)*AP274*AP281/Thousand</f>
        <v/>
      </c>
      <c r="AQ282" s="16">
        <f>$G$44*Case_P50*(1-Curtailment)*(1-Clipping)*AQ274*AQ281/Thousand</f>
        <v/>
      </c>
      <c r="AR282" s="16">
        <f>$G$44*Case_P50*(1-Curtailment)*(1-Clipping)*AR274*AR281/Thousand</f>
        <v/>
      </c>
      <c r="AS282" s="16">
        <f>$G$44*Case_P50*(1-Curtailment)*(1-Clipping)*AS274*AS281/Thousand</f>
        <v/>
      </c>
    </row>
    <row r="283" hidden="1" outlineLevel="1">
      <c r="C283" s="6" t="inlineStr">
        <is>
          <t>PPA price</t>
        </is>
      </c>
      <c r="D283" s="2" t="inlineStr">
        <is>
          <t>EUR/MWh</t>
        </is>
      </c>
      <c r="J283" s="16">
        <f>Case_PPA*(1+PPA_Esc)^J270*(J274&gt;0)</f>
        <v/>
      </c>
      <c r="K283" s="16">
        <f>Case_PPA*(1+PPA_Esc)^K270*(K274&gt;0)</f>
        <v/>
      </c>
      <c r="L283" s="16">
        <f>Case_PPA*(1+PPA_Esc)^L270*(L274&gt;0)</f>
        <v/>
      </c>
      <c r="M283" s="16">
        <f>Case_PPA*(1+PPA_Esc)^M270*(M274&gt;0)</f>
        <v/>
      </c>
      <c r="N283" s="16">
        <f>Case_PPA*(1+PPA_Esc)^N270*(N274&gt;0)</f>
        <v/>
      </c>
      <c r="O283" s="16">
        <f>Case_PPA*(1+PPA_Esc)^O270*(O274&gt;0)</f>
        <v/>
      </c>
      <c r="P283" s="16">
        <f>Case_PPA*(1+PPA_Esc)^P270*(P274&gt;0)</f>
        <v/>
      </c>
      <c r="Q283" s="16">
        <f>Case_PPA*(1+PPA_Esc)^Q270*(Q274&gt;0)</f>
        <v/>
      </c>
      <c r="R283" s="16">
        <f>Case_PPA*(1+PPA_Esc)^R270*(R274&gt;0)</f>
        <v/>
      </c>
      <c r="S283" s="16">
        <f>Case_PPA*(1+PPA_Esc)^S270*(S274&gt;0)</f>
        <v/>
      </c>
      <c r="T283" s="16">
        <f>Case_PPA*(1+PPA_Esc)^T270*(T274&gt;0)</f>
        <v/>
      </c>
      <c r="U283" s="16">
        <f>Case_PPA*(1+PPA_Esc)^U270*(U274&gt;0)</f>
        <v/>
      </c>
      <c r="V283" s="16">
        <f>Case_PPA*(1+PPA_Esc)^V270*(V274&gt;0)</f>
        <v/>
      </c>
      <c r="W283" s="16">
        <f>Case_PPA*(1+PPA_Esc)^W270*(W274&gt;0)</f>
        <v/>
      </c>
      <c r="X283" s="16">
        <f>Case_PPA*(1+PPA_Esc)^X270*(X274&gt;0)</f>
        <v/>
      </c>
      <c r="Y283" s="16">
        <f>Case_PPA*(1+PPA_Esc)^Y270*(Y274&gt;0)</f>
        <v/>
      </c>
      <c r="Z283" s="16">
        <f>Case_PPA*(1+PPA_Esc)^Z270*(Z274&gt;0)</f>
        <v/>
      </c>
      <c r="AA283" s="16">
        <f>Case_PPA*(1+PPA_Esc)^AA270*(AA274&gt;0)</f>
        <v/>
      </c>
      <c r="AB283" s="16">
        <f>Case_PPA*(1+PPA_Esc)^AB270*(AB274&gt;0)</f>
        <v/>
      </c>
      <c r="AC283" s="16">
        <f>Case_PPA*(1+PPA_Esc)^AC270*(AC274&gt;0)</f>
        <v/>
      </c>
      <c r="AD283" s="16">
        <f>Case_PPA*(1+PPA_Esc)^AD270*(AD274&gt;0)</f>
        <v/>
      </c>
      <c r="AE283" s="16">
        <f>Case_PPA*(1+PPA_Esc)^AE270*(AE274&gt;0)</f>
        <v/>
      </c>
      <c r="AF283" s="16">
        <f>Case_PPA*(1+PPA_Esc)^AF270*(AF274&gt;0)</f>
        <v/>
      </c>
      <c r="AG283" s="16">
        <f>Case_PPA*(1+PPA_Esc)^AG270*(AG274&gt;0)</f>
        <v/>
      </c>
      <c r="AH283" s="16">
        <f>Case_PPA*(1+PPA_Esc)^AH270*(AH274&gt;0)</f>
        <v/>
      </c>
      <c r="AI283" s="16">
        <f>Case_PPA*(1+PPA_Esc)^AI270*(AI274&gt;0)</f>
        <v/>
      </c>
      <c r="AJ283" s="16">
        <f>Case_PPA*(1+PPA_Esc)^AJ270*(AJ274&gt;0)</f>
        <v/>
      </c>
      <c r="AK283" s="16">
        <f>Case_PPA*(1+PPA_Esc)^AK270*(AK274&gt;0)</f>
        <v/>
      </c>
      <c r="AL283" s="16">
        <f>Case_PPA*(1+PPA_Esc)^AL270*(AL274&gt;0)</f>
        <v/>
      </c>
      <c r="AM283" s="16">
        <f>Case_PPA*(1+PPA_Esc)^AM270*(AM274&gt;0)</f>
        <v/>
      </c>
      <c r="AN283" s="16">
        <f>Case_PPA*(1+PPA_Esc)^AN270*(AN274&gt;0)</f>
        <v/>
      </c>
      <c r="AO283" s="16">
        <f>Case_PPA*(1+PPA_Esc)^AO270*(AO274&gt;0)</f>
        <v/>
      </c>
      <c r="AP283" s="16">
        <f>Case_PPA*(1+PPA_Esc)^AP270*(AP274&gt;0)</f>
        <v/>
      </c>
      <c r="AQ283" s="16">
        <f>Case_PPA*(1+PPA_Esc)^AQ270*(AQ274&gt;0)</f>
        <v/>
      </c>
      <c r="AR283" s="16">
        <f>Case_PPA*(1+PPA_Esc)^AR270*(AR274&gt;0)</f>
        <v/>
      </c>
      <c r="AS283" s="16">
        <f>Case_PPA*(1+PPA_Esc)^AS270*(AS274&gt;0)</f>
        <v/>
      </c>
    </row>
    <row r="284" hidden="1" outlineLevel="1">
      <c r="C284" s="1" t="inlineStr">
        <is>
          <t>Revenue</t>
        </is>
      </c>
      <c r="D284" s="2" t="inlineStr">
        <is>
          <t>EUR k</t>
        </is>
      </c>
      <c r="H284" s="19">
        <f>SUM(J284:AS284)</f>
        <v/>
      </c>
      <c r="J284" s="19">
        <f>J282*J283</f>
        <v/>
      </c>
      <c r="K284" s="19">
        <f>K282*K283</f>
        <v/>
      </c>
      <c r="L284" s="19">
        <f>L282*L283</f>
        <v/>
      </c>
      <c r="M284" s="19">
        <f>M282*M283</f>
        <v/>
      </c>
      <c r="N284" s="19">
        <f>N282*N283</f>
        <v/>
      </c>
      <c r="O284" s="19">
        <f>O282*O283</f>
        <v/>
      </c>
      <c r="P284" s="19">
        <f>P282*P283</f>
        <v/>
      </c>
      <c r="Q284" s="19">
        <f>Q282*Q283</f>
        <v/>
      </c>
      <c r="R284" s="19">
        <f>R282*R283</f>
        <v/>
      </c>
      <c r="S284" s="19">
        <f>S282*S283</f>
        <v/>
      </c>
      <c r="T284" s="19">
        <f>T282*T283</f>
        <v/>
      </c>
      <c r="U284" s="19">
        <f>U282*U283</f>
        <v/>
      </c>
      <c r="V284" s="19">
        <f>V282*V283</f>
        <v/>
      </c>
      <c r="W284" s="19">
        <f>W282*W283</f>
        <v/>
      </c>
      <c r="X284" s="19">
        <f>X282*X283</f>
        <v/>
      </c>
      <c r="Y284" s="19">
        <f>Y282*Y283</f>
        <v/>
      </c>
      <c r="Z284" s="19">
        <f>Z282*Z283</f>
        <v/>
      </c>
      <c r="AA284" s="19">
        <f>AA282*AA283</f>
        <v/>
      </c>
      <c r="AB284" s="19">
        <f>AB282*AB283</f>
        <v/>
      </c>
      <c r="AC284" s="19">
        <f>AC282*AC283</f>
        <v/>
      </c>
      <c r="AD284" s="19">
        <f>AD282*AD283</f>
        <v/>
      </c>
      <c r="AE284" s="19">
        <f>AE282*AE283</f>
        <v/>
      </c>
      <c r="AF284" s="19">
        <f>AF282*AF283</f>
        <v/>
      </c>
      <c r="AG284" s="19">
        <f>AG282*AG283</f>
        <v/>
      </c>
      <c r="AH284" s="19">
        <f>AH282*AH283</f>
        <v/>
      </c>
      <c r="AI284" s="19">
        <f>AI282*AI283</f>
        <v/>
      </c>
      <c r="AJ284" s="19">
        <f>AJ282*AJ283</f>
        <v/>
      </c>
      <c r="AK284" s="19">
        <f>AK282*AK283</f>
        <v/>
      </c>
      <c r="AL284" s="19">
        <f>AL282*AL283</f>
        <v/>
      </c>
      <c r="AM284" s="19">
        <f>AM282*AM283</f>
        <v/>
      </c>
      <c r="AN284" s="19">
        <f>AN282*AN283</f>
        <v/>
      </c>
      <c r="AO284" s="19">
        <f>AO282*AO283</f>
        <v/>
      </c>
      <c r="AP284" s="19">
        <f>AP282*AP283</f>
        <v/>
      </c>
      <c r="AQ284" s="19">
        <f>AQ282*AQ283</f>
        <v/>
      </c>
      <c r="AR284" s="19">
        <f>AR282*AR283</f>
        <v/>
      </c>
      <c r="AS284" s="19">
        <f>AS282*AS283</f>
        <v/>
      </c>
    </row>
    <row r="285" hidden="1" outlineLevel="1">
      <c r="C285" s="6" t="inlineStr">
        <is>
          <t>Opex index (COD year = 1)</t>
        </is>
      </c>
      <c r="D285" s="2" t="inlineStr">
        <is>
          <t>x</t>
        </is>
      </c>
      <c r="J285" s="30">
        <f>(1+Opex_Esc)^J270</f>
        <v/>
      </c>
      <c r="K285" s="30">
        <f>(1+Opex_Esc)^K270</f>
        <v/>
      </c>
      <c r="L285" s="30">
        <f>(1+Opex_Esc)^L270</f>
        <v/>
      </c>
      <c r="M285" s="30">
        <f>(1+Opex_Esc)^M270</f>
        <v/>
      </c>
      <c r="N285" s="30">
        <f>(1+Opex_Esc)^N270</f>
        <v/>
      </c>
      <c r="O285" s="30">
        <f>(1+Opex_Esc)^O270</f>
        <v/>
      </c>
      <c r="P285" s="30">
        <f>(1+Opex_Esc)^P270</f>
        <v/>
      </c>
      <c r="Q285" s="30">
        <f>(1+Opex_Esc)^Q270</f>
        <v/>
      </c>
      <c r="R285" s="30">
        <f>(1+Opex_Esc)^R270</f>
        <v/>
      </c>
      <c r="S285" s="30">
        <f>(1+Opex_Esc)^S270</f>
        <v/>
      </c>
      <c r="T285" s="30">
        <f>(1+Opex_Esc)^T270</f>
        <v/>
      </c>
      <c r="U285" s="30">
        <f>(1+Opex_Esc)^U270</f>
        <v/>
      </c>
      <c r="V285" s="30">
        <f>(1+Opex_Esc)^V270</f>
        <v/>
      </c>
      <c r="W285" s="30">
        <f>(1+Opex_Esc)^W270</f>
        <v/>
      </c>
      <c r="X285" s="30">
        <f>(1+Opex_Esc)^X270</f>
        <v/>
      </c>
      <c r="Y285" s="30">
        <f>(1+Opex_Esc)^Y270</f>
        <v/>
      </c>
      <c r="Z285" s="30">
        <f>(1+Opex_Esc)^Z270</f>
        <v/>
      </c>
      <c r="AA285" s="30">
        <f>(1+Opex_Esc)^AA270</f>
        <v/>
      </c>
      <c r="AB285" s="30">
        <f>(1+Opex_Esc)^AB270</f>
        <v/>
      </c>
      <c r="AC285" s="30">
        <f>(1+Opex_Esc)^AC270</f>
        <v/>
      </c>
      <c r="AD285" s="30">
        <f>(1+Opex_Esc)^AD270</f>
        <v/>
      </c>
      <c r="AE285" s="30">
        <f>(1+Opex_Esc)^AE270</f>
        <v/>
      </c>
      <c r="AF285" s="30">
        <f>(1+Opex_Esc)^AF270</f>
        <v/>
      </c>
      <c r="AG285" s="30">
        <f>(1+Opex_Esc)^AG270</f>
        <v/>
      </c>
      <c r="AH285" s="30">
        <f>(1+Opex_Esc)^AH270</f>
        <v/>
      </c>
      <c r="AI285" s="30">
        <f>(1+Opex_Esc)^AI270</f>
        <v/>
      </c>
      <c r="AJ285" s="30">
        <f>(1+Opex_Esc)^AJ270</f>
        <v/>
      </c>
      <c r="AK285" s="30">
        <f>(1+Opex_Esc)^AK270</f>
        <v/>
      </c>
      <c r="AL285" s="30">
        <f>(1+Opex_Esc)^AL270</f>
        <v/>
      </c>
      <c r="AM285" s="30">
        <f>(1+Opex_Esc)^AM270</f>
        <v/>
      </c>
      <c r="AN285" s="30">
        <f>(1+Opex_Esc)^AN270</f>
        <v/>
      </c>
      <c r="AO285" s="30">
        <f>(1+Opex_Esc)^AO270</f>
        <v/>
      </c>
      <c r="AP285" s="30">
        <f>(1+Opex_Esc)^AP270</f>
        <v/>
      </c>
      <c r="AQ285" s="30">
        <f>(1+Opex_Esc)^AQ270</f>
        <v/>
      </c>
      <c r="AR285" s="30">
        <f>(1+Opex_Esc)^AR270</f>
        <v/>
      </c>
      <c r="AS285" s="30">
        <f>(1+Opex_Esc)^AS270</f>
        <v/>
      </c>
    </row>
    <row r="286" hidden="1" outlineLevel="1">
      <c r="C286" s="6" t="inlineStr">
        <is>
          <t>O&amp;M, BoP, lease, insurance, management, property tax</t>
        </is>
      </c>
      <c r="D286" s="2" t="inlineStr">
        <is>
          <t>EUR k</t>
        </is>
      </c>
      <c r="H286" s="8">
        <f>SUM(J286:AS286)</f>
        <v/>
      </c>
      <c r="J286" s="8">
        <f>-(Case_OM+SUM(Opex_Per_MW))*$G$44*J285*J274</f>
        <v/>
      </c>
      <c r="K286" s="8">
        <f>-(Case_OM+SUM(Opex_Per_MW))*$G$44*K285*K274</f>
        <v/>
      </c>
      <c r="L286" s="8">
        <f>-(Case_OM+SUM(Opex_Per_MW))*$G$44*L285*L274</f>
        <v/>
      </c>
      <c r="M286" s="8">
        <f>-(Case_OM+SUM(Opex_Per_MW))*$G$44*M285*M274</f>
        <v/>
      </c>
      <c r="N286" s="8">
        <f>-(Case_OM+SUM(Opex_Per_MW))*$G$44*N285*N274</f>
        <v/>
      </c>
      <c r="O286" s="8">
        <f>-(Case_OM+SUM(Opex_Per_MW))*$G$44*O285*O274</f>
        <v/>
      </c>
      <c r="P286" s="8">
        <f>-(Case_OM+SUM(Opex_Per_MW))*$G$44*P285*P274</f>
        <v/>
      </c>
      <c r="Q286" s="8">
        <f>-(Case_OM+SUM(Opex_Per_MW))*$G$44*Q285*Q274</f>
        <v/>
      </c>
      <c r="R286" s="8">
        <f>-(Case_OM+SUM(Opex_Per_MW))*$G$44*R285*R274</f>
        <v/>
      </c>
      <c r="S286" s="8">
        <f>-(Case_OM+SUM(Opex_Per_MW))*$G$44*S285*S274</f>
        <v/>
      </c>
      <c r="T286" s="8">
        <f>-(Case_OM+SUM(Opex_Per_MW))*$G$44*T285*T274</f>
        <v/>
      </c>
      <c r="U286" s="8">
        <f>-(Case_OM+SUM(Opex_Per_MW))*$G$44*U285*U274</f>
        <v/>
      </c>
      <c r="V286" s="8">
        <f>-(Case_OM+SUM(Opex_Per_MW))*$G$44*V285*V274</f>
        <v/>
      </c>
      <c r="W286" s="8">
        <f>-(Case_OM+SUM(Opex_Per_MW))*$G$44*W285*W274</f>
        <v/>
      </c>
      <c r="X286" s="8">
        <f>-(Case_OM+SUM(Opex_Per_MW))*$G$44*X285*X274</f>
        <v/>
      </c>
      <c r="Y286" s="8">
        <f>-(Case_OM+SUM(Opex_Per_MW))*$G$44*Y285*Y274</f>
        <v/>
      </c>
      <c r="Z286" s="8">
        <f>-(Case_OM+SUM(Opex_Per_MW))*$G$44*Z285*Z274</f>
        <v/>
      </c>
      <c r="AA286" s="8">
        <f>-(Case_OM+SUM(Opex_Per_MW))*$G$44*AA285*AA274</f>
        <v/>
      </c>
      <c r="AB286" s="8">
        <f>-(Case_OM+SUM(Opex_Per_MW))*$G$44*AB285*AB274</f>
        <v/>
      </c>
      <c r="AC286" s="8">
        <f>-(Case_OM+SUM(Opex_Per_MW))*$G$44*AC285*AC274</f>
        <v/>
      </c>
      <c r="AD286" s="8">
        <f>-(Case_OM+SUM(Opex_Per_MW))*$G$44*AD285*AD274</f>
        <v/>
      </c>
      <c r="AE286" s="8">
        <f>-(Case_OM+SUM(Opex_Per_MW))*$G$44*AE285*AE274</f>
        <v/>
      </c>
      <c r="AF286" s="8">
        <f>-(Case_OM+SUM(Opex_Per_MW))*$G$44*AF285*AF274</f>
        <v/>
      </c>
      <c r="AG286" s="8">
        <f>-(Case_OM+SUM(Opex_Per_MW))*$G$44*AG285*AG274</f>
        <v/>
      </c>
      <c r="AH286" s="8">
        <f>-(Case_OM+SUM(Opex_Per_MW))*$G$44*AH285*AH274</f>
        <v/>
      </c>
      <c r="AI286" s="8">
        <f>-(Case_OM+SUM(Opex_Per_MW))*$G$44*AI285*AI274</f>
        <v/>
      </c>
      <c r="AJ286" s="8">
        <f>-(Case_OM+SUM(Opex_Per_MW))*$G$44*AJ285*AJ274</f>
        <v/>
      </c>
      <c r="AK286" s="8">
        <f>-(Case_OM+SUM(Opex_Per_MW))*$G$44*AK285*AK274</f>
        <v/>
      </c>
      <c r="AL286" s="8">
        <f>-(Case_OM+SUM(Opex_Per_MW))*$G$44*AL285*AL274</f>
        <v/>
      </c>
      <c r="AM286" s="8">
        <f>-(Case_OM+SUM(Opex_Per_MW))*$G$44*AM285*AM274</f>
        <v/>
      </c>
      <c r="AN286" s="8">
        <f>-(Case_OM+SUM(Opex_Per_MW))*$G$44*AN285*AN274</f>
        <v/>
      </c>
      <c r="AO286" s="8">
        <f>-(Case_OM+SUM(Opex_Per_MW))*$G$44*AO285*AO274</f>
        <v/>
      </c>
      <c r="AP286" s="8">
        <f>-(Case_OM+SUM(Opex_Per_MW))*$G$44*AP285*AP274</f>
        <v/>
      </c>
      <c r="AQ286" s="8">
        <f>-(Case_OM+SUM(Opex_Per_MW))*$G$44*AQ285*AQ274</f>
        <v/>
      </c>
      <c r="AR286" s="8">
        <f>-(Case_OM+SUM(Opex_Per_MW))*$G$44*AR285*AR274</f>
        <v/>
      </c>
      <c r="AS286" s="8">
        <f>-(Case_OM+SUM(Opex_Per_MW))*$G$44*AS285*AS274</f>
        <v/>
      </c>
    </row>
    <row r="287" hidden="1" outlineLevel="1">
      <c r="C287" s="6" t="inlineStr">
        <is>
          <t>Administration, audit, compliance</t>
        </is>
      </c>
      <c r="D287" s="2" t="inlineStr">
        <is>
          <t>EUR k</t>
        </is>
      </c>
      <c r="H287" s="8">
        <f>SUM(J287:AS287)</f>
        <v/>
      </c>
      <c r="J287" s="8">
        <f>-Opex_Admin*$G$6/Lump_Basis*J285*J274</f>
        <v/>
      </c>
      <c r="K287" s="8">
        <f>-Opex_Admin*$G$6/Lump_Basis*K285*K274</f>
        <v/>
      </c>
      <c r="L287" s="8">
        <f>-Opex_Admin*$G$6/Lump_Basis*L285*L274</f>
        <v/>
      </c>
      <c r="M287" s="8">
        <f>-Opex_Admin*$G$6/Lump_Basis*M285*M274</f>
        <v/>
      </c>
      <c r="N287" s="8">
        <f>-Opex_Admin*$G$6/Lump_Basis*N285*N274</f>
        <v/>
      </c>
      <c r="O287" s="8">
        <f>-Opex_Admin*$G$6/Lump_Basis*O285*O274</f>
        <v/>
      </c>
      <c r="P287" s="8">
        <f>-Opex_Admin*$G$6/Lump_Basis*P285*P274</f>
        <v/>
      </c>
      <c r="Q287" s="8">
        <f>-Opex_Admin*$G$6/Lump_Basis*Q285*Q274</f>
        <v/>
      </c>
      <c r="R287" s="8">
        <f>-Opex_Admin*$G$6/Lump_Basis*R285*R274</f>
        <v/>
      </c>
      <c r="S287" s="8">
        <f>-Opex_Admin*$G$6/Lump_Basis*S285*S274</f>
        <v/>
      </c>
      <c r="T287" s="8">
        <f>-Opex_Admin*$G$6/Lump_Basis*T285*T274</f>
        <v/>
      </c>
      <c r="U287" s="8">
        <f>-Opex_Admin*$G$6/Lump_Basis*U285*U274</f>
        <v/>
      </c>
      <c r="V287" s="8">
        <f>-Opex_Admin*$G$6/Lump_Basis*V285*V274</f>
        <v/>
      </c>
      <c r="W287" s="8">
        <f>-Opex_Admin*$G$6/Lump_Basis*W285*W274</f>
        <v/>
      </c>
      <c r="X287" s="8">
        <f>-Opex_Admin*$G$6/Lump_Basis*X285*X274</f>
        <v/>
      </c>
      <c r="Y287" s="8">
        <f>-Opex_Admin*$G$6/Lump_Basis*Y285*Y274</f>
        <v/>
      </c>
      <c r="Z287" s="8">
        <f>-Opex_Admin*$G$6/Lump_Basis*Z285*Z274</f>
        <v/>
      </c>
      <c r="AA287" s="8">
        <f>-Opex_Admin*$G$6/Lump_Basis*AA285*AA274</f>
        <v/>
      </c>
      <c r="AB287" s="8">
        <f>-Opex_Admin*$G$6/Lump_Basis*AB285*AB274</f>
        <v/>
      </c>
      <c r="AC287" s="8">
        <f>-Opex_Admin*$G$6/Lump_Basis*AC285*AC274</f>
        <v/>
      </c>
      <c r="AD287" s="8">
        <f>-Opex_Admin*$G$6/Lump_Basis*AD285*AD274</f>
        <v/>
      </c>
      <c r="AE287" s="8">
        <f>-Opex_Admin*$G$6/Lump_Basis*AE285*AE274</f>
        <v/>
      </c>
      <c r="AF287" s="8">
        <f>-Opex_Admin*$G$6/Lump_Basis*AF285*AF274</f>
        <v/>
      </c>
      <c r="AG287" s="8">
        <f>-Opex_Admin*$G$6/Lump_Basis*AG285*AG274</f>
        <v/>
      </c>
      <c r="AH287" s="8">
        <f>-Opex_Admin*$G$6/Lump_Basis*AH285*AH274</f>
        <v/>
      </c>
      <c r="AI287" s="8">
        <f>-Opex_Admin*$G$6/Lump_Basis*AI285*AI274</f>
        <v/>
      </c>
      <c r="AJ287" s="8">
        <f>-Opex_Admin*$G$6/Lump_Basis*AJ285*AJ274</f>
        <v/>
      </c>
      <c r="AK287" s="8">
        <f>-Opex_Admin*$G$6/Lump_Basis*AK285*AK274</f>
        <v/>
      </c>
      <c r="AL287" s="8">
        <f>-Opex_Admin*$G$6/Lump_Basis*AL285*AL274</f>
        <v/>
      </c>
      <c r="AM287" s="8">
        <f>-Opex_Admin*$G$6/Lump_Basis*AM285*AM274</f>
        <v/>
      </c>
      <c r="AN287" s="8">
        <f>-Opex_Admin*$G$6/Lump_Basis*AN285*AN274</f>
        <v/>
      </c>
      <c r="AO287" s="8">
        <f>-Opex_Admin*$G$6/Lump_Basis*AO285*AO274</f>
        <v/>
      </c>
      <c r="AP287" s="8">
        <f>-Opex_Admin*$G$6/Lump_Basis*AP285*AP274</f>
        <v/>
      </c>
      <c r="AQ287" s="8">
        <f>-Opex_Admin*$G$6/Lump_Basis*AQ285*AQ274</f>
        <v/>
      </c>
      <c r="AR287" s="8">
        <f>-Opex_Admin*$G$6/Lump_Basis*AR285*AR274</f>
        <v/>
      </c>
      <c r="AS287" s="8">
        <f>-Opex_Admin*$G$6/Lump_Basis*AS285*AS274</f>
        <v/>
      </c>
    </row>
    <row r="288" hidden="1" outlineLevel="1">
      <c r="C288" s="6" t="inlineStr">
        <is>
          <t>Balancing and grid charges</t>
        </is>
      </c>
      <c r="D288" s="2" t="inlineStr">
        <is>
          <t>EUR k</t>
        </is>
      </c>
      <c r="H288" s="8">
        <f>SUM(J288:AS288)</f>
        <v/>
      </c>
      <c r="J288" s="8">
        <f>-J282*(Balancing+Grid_Charges)*J285</f>
        <v/>
      </c>
      <c r="K288" s="8">
        <f>-K282*(Balancing+Grid_Charges)*K285</f>
        <v/>
      </c>
      <c r="L288" s="8">
        <f>-L282*(Balancing+Grid_Charges)*L285</f>
        <v/>
      </c>
      <c r="M288" s="8">
        <f>-M282*(Balancing+Grid_Charges)*M285</f>
        <v/>
      </c>
      <c r="N288" s="8">
        <f>-N282*(Balancing+Grid_Charges)*N285</f>
        <v/>
      </c>
      <c r="O288" s="8">
        <f>-O282*(Balancing+Grid_Charges)*O285</f>
        <v/>
      </c>
      <c r="P288" s="8">
        <f>-P282*(Balancing+Grid_Charges)*P285</f>
        <v/>
      </c>
      <c r="Q288" s="8">
        <f>-Q282*(Balancing+Grid_Charges)*Q285</f>
        <v/>
      </c>
      <c r="R288" s="8">
        <f>-R282*(Balancing+Grid_Charges)*R285</f>
        <v/>
      </c>
      <c r="S288" s="8">
        <f>-S282*(Balancing+Grid_Charges)*S285</f>
        <v/>
      </c>
      <c r="T288" s="8">
        <f>-T282*(Balancing+Grid_Charges)*T285</f>
        <v/>
      </c>
      <c r="U288" s="8">
        <f>-U282*(Balancing+Grid_Charges)*U285</f>
        <v/>
      </c>
      <c r="V288" s="8">
        <f>-V282*(Balancing+Grid_Charges)*V285</f>
        <v/>
      </c>
      <c r="W288" s="8">
        <f>-W282*(Balancing+Grid_Charges)*W285</f>
        <v/>
      </c>
      <c r="X288" s="8">
        <f>-X282*(Balancing+Grid_Charges)*X285</f>
        <v/>
      </c>
      <c r="Y288" s="8">
        <f>-Y282*(Balancing+Grid_Charges)*Y285</f>
        <v/>
      </c>
      <c r="Z288" s="8">
        <f>-Z282*(Balancing+Grid_Charges)*Z285</f>
        <v/>
      </c>
      <c r="AA288" s="8">
        <f>-AA282*(Balancing+Grid_Charges)*AA285</f>
        <v/>
      </c>
      <c r="AB288" s="8">
        <f>-AB282*(Balancing+Grid_Charges)*AB285</f>
        <v/>
      </c>
      <c r="AC288" s="8">
        <f>-AC282*(Balancing+Grid_Charges)*AC285</f>
        <v/>
      </c>
      <c r="AD288" s="8">
        <f>-AD282*(Balancing+Grid_Charges)*AD285</f>
        <v/>
      </c>
      <c r="AE288" s="8">
        <f>-AE282*(Balancing+Grid_Charges)*AE285</f>
        <v/>
      </c>
      <c r="AF288" s="8">
        <f>-AF282*(Balancing+Grid_Charges)*AF285</f>
        <v/>
      </c>
      <c r="AG288" s="8">
        <f>-AG282*(Balancing+Grid_Charges)*AG285</f>
        <v/>
      </c>
      <c r="AH288" s="8">
        <f>-AH282*(Balancing+Grid_Charges)*AH285</f>
        <v/>
      </c>
      <c r="AI288" s="8">
        <f>-AI282*(Balancing+Grid_Charges)*AI285</f>
        <v/>
      </c>
      <c r="AJ288" s="8">
        <f>-AJ282*(Balancing+Grid_Charges)*AJ285</f>
        <v/>
      </c>
      <c r="AK288" s="8">
        <f>-AK282*(Balancing+Grid_Charges)*AK285</f>
        <v/>
      </c>
      <c r="AL288" s="8">
        <f>-AL282*(Balancing+Grid_Charges)*AL285</f>
        <v/>
      </c>
      <c r="AM288" s="8">
        <f>-AM282*(Balancing+Grid_Charges)*AM285</f>
        <v/>
      </c>
      <c r="AN288" s="8">
        <f>-AN282*(Balancing+Grid_Charges)*AN285</f>
        <v/>
      </c>
      <c r="AO288" s="8">
        <f>-AO282*(Balancing+Grid_Charges)*AO285</f>
        <v/>
      </c>
      <c r="AP288" s="8">
        <f>-AP282*(Balancing+Grid_Charges)*AP285</f>
        <v/>
      </c>
      <c r="AQ288" s="8">
        <f>-AQ282*(Balancing+Grid_Charges)*AQ285</f>
        <v/>
      </c>
      <c r="AR288" s="8">
        <f>-AR282*(Balancing+Grid_Charges)*AR285</f>
        <v/>
      </c>
      <c r="AS288" s="8">
        <f>-AS282*(Balancing+Grid_Charges)*AS285</f>
        <v/>
      </c>
    </row>
    <row r="289" hidden="1" outlineLevel="1">
      <c r="C289" s="6" t="inlineStr">
        <is>
          <t>MEKH supervisory fee</t>
        </is>
      </c>
      <c r="D289" s="2" t="inlineStr">
        <is>
          <t>EUR k</t>
        </is>
      </c>
      <c r="H289" s="8">
        <f>SUM(J289:AS289)</f>
        <v/>
      </c>
      <c r="J289" s="8">
        <f>-J284*MEKH_Fee</f>
        <v/>
      </c>
      <c r="K289" s="8">
        <f>-K284*MEKH_Fee</f>
        <v/>
      </c>
      <c r="L289" s="8">
        <f>-L284*MEKH_Fee</f>
        <v/>
      </c>
      <c r="M289" s="8">
        <f>-M284*MEKH_Fee</f>
        <v/>
      </c>
      <c r="N289" s="8">
        <f>-N284*MEKH_Fee</f>
        <v/>
      </c>
      <c r="O289" s="8">
        <f>-O284*MEKH_Fee</f>
        <v/>
      </c>
      <c r="P289" s="8">
        <f>-P284*MEKH_Fee</f>
        <v/>
      </c>
      <c r="Q289" s="8">
        <f>-Q284*MEKH_Fee</f>
        <v/>
      </c>
      <c r="R289" s="8">
        <f>-R284*MEKH_Fee</f>
        <v/>
      </c>
      <c r="S289" s="8">
        <f>-S284*MEKH_Fee</f>
        <v/>
      </c>
      <c r="T289" s="8">
        <f>-T284*MEKH_Fee</f>
        <v/>
      </c>
      <c r="U289" s="8">
        <f>-U284*MEKH_Fee</f>
        <v/>
      </c>
      <c r="V289" s="8">
        <f>-V284*MEKH_Fee</f>
        <v/>
      </c>
      <c r="W289" s="8">
        <f>-W284*MEKH_Fee</f>
        <v/>
      </c>
      <c r="X289" s="8">
        <f>-X284*MEKH_Fee</f>
        <v/>
      </c>
      <c r="Y289" s="8">
        <f>-Y284*MEKH_Fee</f>
        <v/>
      </c>
      <c r="Z289" s="8">
        <f>-Z284*MEKH_Fee</f>
        <v/>
      </c>
      <c r="AA289" s="8">
        <f>-AA284*MEKH_Fee</f>
        <v/>
      </c>
      <c r="AB289" s="8">
        <f>-AB284*MEKH_Fee</f>
        <v/>
      </c>
      <c r="AC289" s="8">
        <f>-AC284*MEKH_Fee</f>
        <v/>
      </c>
      <c r="AD289" s="8">
        <f>-AD284*MEKH_Fee</f>
        <v/>
      </c>
      <c r="AE289" s="8">
        <f>-AE284*MEKH_Fee</f>
        <v/>
      </c>
      <c r="AF289" s="8">
        <f>-AF284*MEKH_Fee</f>
        <v/>
      </c>
      <c r="AG289" s="8">
        <f>-AG284*MEKH_Fee</f>
        <v/>
      </c>
      <c r="AH289" s="8">
        <f>-AH284*MEKH_Fee</f>
        <v/>
      </c>
      <c r="AI289" s="8">
        <f>-AI284*MEKH_Fee</f>
        <v/>
      </c>
      <c r="AJ289" s="8">
        <f>-AJ284*MEKH_Fee</f>
        <v/>
      </c>
      <c r="AK289" s="8">
        <f>-AK284*MEKH_Fee</f>
        <v/>
      </c>
      <c r="AL289" s="8">
        <f>-AL284*MEKH_Fee</f>
        <v/>
      </c>
      <c r="AM289" s="8">
        <f>-AM284*MEKH_Fee</f>
        <v/>
      </c>
      <c r="AN289" s="8">
        <f>-AN284*MEKH_Fee</f>
        <v/>
      </c>
      <c r="AO289" s="8">
        <f>-AO284*MEKH_Fee</f>
        <v/>
      </c>
      <c r="AP289" s="8">
        <f>-AP284*MEKH_Fee</f>
        <v/>
      </c>
      <c r="AQ289" s="8">
        <f>-AQ284*MEKH_Fee</f>
        <v/>
      </c>
      <c r="AR289" s="8">
        <f>-AR284*MEKH_Fee</f>
        <v/>
      </c>
      <c r="AS289" s="8">
        <f>-AS284*MEKH_Fee</f>
        <v/>
      </c>
    </row>
    <row r="290" hidden="1" outlineLevel="1">
      <c r="C290" s="6" t="inlineStr">
        <is>
          <t>Opex contingency</t>
        </is>
      </c>
      <c r="D290" s="2" t="inlineStr">
        <is>
          <t>EUR k</t>
        </is>
      </c>
      <c r="H290" s="8">
        <f>SUM(J290:AS290)</f>
        <v/>
      </c>
      <c r="J290" s="8">
        <f>SUM(J286:J289)*Opex_Cont</f>
        <v/>
      </c>
      <c r="K290" s="8">
        <f>SUM(K286:K289)*Opex_Cont</f>
        <v/>
      </c>
      <c r="L290" s="8">
        <f>SUM(L286:L289)*Opex_Cont</f>
        <v/>
      </c>
      <c r="M290" s="8">
        <f>SUM(M286:M289)*Opex_Cont</f>
        <v/>
      </c>
      <c r="N290" s="8">
        <f>SUM(N286:N289)*Opex_Cont</f>
        <v/>
      </c>
      <c r="O290" s="8">
        <f>SUM(O286:O289)*Opex_Cont</f>
        <v/>
      </c>
      <c r="P290" s="8">
        <f>SUM(P286:P289)*Opex_Cont</f>
        <v/>
      </c>
      <c r="Q290" s="8">
        <f>SUM(Q286:Q289)*Opex_Cont</f>
        <v/>
      </c>
      <c r="R290" s="8">
        <f>SUM(R286:R289)*Opex_Cont</f>
        <v/>
      </c>
      <c r="S290" s="8">
        <f>SUM(S286:S289)*Opex_Cont</f>
        <v/>
      </c>
      <c r="T290" s="8">
        <f>SUM(T286:T289)*Opex_Cont</f>
        <v/>
      </c>
      <c r="U290" s="8">
        <f>SUM(U286:U289)*Opex_Cont</f>
        <v/>
      </c>
      <c r="V290" s="8">
        <f>SUM(V286:V289)*Opex_Cont</f>
        <v/>
      </c>
      <c r="W290" s="8">
        <f>SUM(W286:W289)*Opex_Cont</f>
        <v/>
      </c>
      <c r="X290" s="8">
        <f>SUM(X286:X289)*Opex_Cont</f>
        <v/>
      </c>
      <c r="Y290" s="8">
        <f>SUM(Y286:Y289)*Opex_Cont</f>
        <v/>
      </c>
      <c r="Z290" s="8">
        <f>SUM(Z286:Z289)*Opex_Cont</f>
        <v/>
      </c>
      <c r="AA290" s="8">
        <f>SUM(AA286:AA289)*Opex_Cont</f>
        <v/>
      </c>
      <c r="AB290" s="8">
        <f>SUM(AB286:AB289)*Opex_Cont</f>
        <v/>
      </c>
      <c r="AC290" s="8">
        <f>SUM(AC286:AC289)*Opex_Cont</f>
        <v/>
      </c>
      <c r="AD290" s="8">
        <f>SUM(AD286:AD289)*Opex_Cont</f>
        <v/>
      </c>
      <c r="AE290" s="8">
        <f>SUM(AE286:AE289)*Opex_Cont</f>
        <v/>
      </c>
      <c r="AF290" s="8">
        <f>SUM(AF286:AF289)*Opex_Cont</f>
        <v/>
      </c>
      <c r="AG290" s="8">
        <f>SUM(AG286:AG289)*Opex_Cont</f>
        <v/>
      </c>
      <c r="AH290" s="8">
        <f>SUM(AH286:AH289)*Opex_Cont</f>
        <v/>
      </c>
      <c r="AI290" s="8">
        <f>SUM(AI286:AI289)*Opex_Cont</f>
        <v/>
      </c>
      <c r="AJ290" s="8">
        <f>SUM(AJ286:AJ289)*Opex_Cont</f>
        <v/>
      </c>
      <c r="AK290" s="8">
        <f>SUM(AK286:AK289)*Opex_Cont</f>
        <v/>
      </c>
      <c r="AL290" s="8">
        <f>SUM(AL286:AL289)*Opex_Cont</f>
        <v/>
      </c>
      <c r="AM290" s="8">
        <f>SUM(AM286:AM289)*Opex_Cont</f>
        <v/>
      </c>
      <c r="AN290" s="8">
        <f>SUM(AN286:AN289)*Opex_Cont</f>
        <v/>
      </c>
      <c r="AO290" s="8">
        <f>SUM(AO286:AO289)*Opex_Cont</f>
        <v/>
      </c>
      <c r="AP290" s="8">
        <f>SUM(AP286:AP289)*Opex_Cont</f>
        <v/>
      </c>
      <c r="AQ290" s="8">
        <f>SUM(AQ286:AQ289)*Opex_Cont</f>
        <v/>
      </c>
      <c r="AR290" s="8">
        <f>SUM(AR286:AR289)*Opex_Cont</f>
        <v/>
      </c>
      <c r="AS290" s="8">
        <f>SUM(AS286:AS289)*Opex_Cont</f>
        <v/>
      </c>
    </row>
    <row r="291" hidden="1" outlineLevel="1">
      <c r="C291" s="6" t="inlineStr">
        <is>
          <t>Community contribution</t>
        </is>
      </c>
      <c r="D291" s="2" t="inlineStr">
        <is>
          <t>EUR k</t>
        </is>
      </c>
      <c r="H291" s="8">
        <f>SUM(J291:AS291)</f>
        <v/>
      </c>
      <c r="J291" s="8">
        <f>-J282*$G$12</f>
        <v/>
      </c>
      <c r="K291" s="8">
        <f>-K282*$G$12</f>
        <v/>
      </c>
      <c r="L291" s="8">
        <f>-L282*$G$12</f>
        <v/>
      </c>
      <c r="M291" s="8">
        <f>-M282*$G$12</f>
        <v/>
      </c>
      <c r="N291" s="8">
        <f>-N282*$G$12</f>
        <v/>
      </c>
      <c r="O291" s="8">
        <f>-O282*$G$12</f>
        <v/>
      </c>
      <c r="P291" s="8">
        <f>-P282*$G$12</f>
        <v/>
      </c>
      <c r="Q291" s="8">
        <f>-Q282*$G$12</f>
        <v/>
      </c>
      <c r="R291" s="8">
        <f>-R282*$G$12</f>
        <v/>
      </c>
      <c r="S291" s="8">
        <f>-S282*$G$12</f>
        <v/>
      </c>
      <c r="T291" s="8">
        <f>-T282*$G$12</f>
        <v/>
      </c>
      <c r="U291" s="8">
        <f>-U282*$G$12</f>
        <v/>
      </c>
      <c r="V291" s="8">
        <f>-V282*$G$12</f>
        <v/>
      </c>
      <c r="W291" s="8">
        <f>-W282*$G$12</f>
        <v/>
      </c>
      <c r="X291" s="8">
        <f>-X282*$G$12</f>
        <v/>
      </c>
      <c r="Y291" s="8">
        <f>-Y282*$G$12</f>
        <v/>
      </c>
      <c r="Z291" s="8">
        <f>-Z282*$G$12</f>
        <v/>
      </c>
      <c r="AA291" s="8">
        <f>-AA282*$G$12</f>
        <v/>
      </c>
      <c r="AB291" s="8">
        <f>-AB282*$G$12</f>
        <v/>
      </c>
      <c r="AC291" s="8">
        <f>-AC282*$G$12</f>
        <v/>
      </c>
      <c r="AD291" s="8">
        <f>-AD282*$G$12</f>
        <v/>
      </c>
      <c r="AE291" s="8">
        <f>-AE282*$G$12</f>
        <v/>
      </c>
      <c r="AF291" s="8">
        <f>-AF282*$G$12</f>
        <v/>
      </c>
      <c r="AG291" s="8">
        <f>-AG282*$G$12</f>
        <v/>
      </c>
      <c r="AH291" s="8">
        <f>-AH282*$G$12</f>
        <v/>
      </c>
      <c r="AI291" s="8">
        <f>-AI282*$G$12</f>
        <v/>
      </c>
      <c r="AJ291" s="8">
        <f>-AJ282*$G$12</f>
        <v/>
      </c>
      <c r="AK291" s="8">
        <f>-AK282*$G$12</f>
        <v/>
      </c>
      <c r="AL291" s="8">
        <f>-AL282*$G$12</f>
        <v/>
      </c>
      <c r="AM291" s="8">
        <f>-AM282*$G$12</f>
        <v/>
      </c>
      <c r="AN291" s="8">
        <f>-AN282*$G$12</f>
        <v/>
      </c>
      <c r="AO291" s="8">
        <f>-AO282*$G$12</f>
        <v/>
      </c>
      <c r="AP291" s="8">
        <f>-AP282*$G$12</f>
        <v/>
      </c>
      <c r="AQ291" s="8">
        <f>-AQ282*$G$12</f>
        <v/>
      </c>
      <c r="AR291" s="8">
        <f>-AR282*$G$12</f>
        <v/>
      </c>
      <c r="AS291" s="8">
        <f>-AS282*$G$12</f>
        <v/>
      </c>
    </row>
    <row r="292" hidden="1" outlineLevel="1">
      <c r="C292" s="6" t="inlineStr">
        <is>
          <t>HIPA local business tax</t>
        </is>
      </c>
      <c r="D292" s="2" t="inlineStr">
        <is>
          <t>EUR k</t>
        </is>
      </c>
      <c r="H292" s="8">
        <f>SUM(J292:AS292)</f>
        <v/>
      </c>
      <c r="J292" s="8">
        <f>-J284*HIPA_Rate</f>
        <v/>
      </c>
      <c r="K292" s="8">
        <f>-K284*HIPA_Rate</f>
        <v/>
      </c>
      <c r="L292" s="8">
        <f>-L284*HIPA_Rate</f>
        <v/>
      </c>
      <c r="M292" s="8">
        <f>-M284*HIPA_Rate</f>
        <v/>
      </c>
      <c r="N292" s="8">
        <f>-N284*HIPA_Rate</f>
        <v/>
      </c>
      <c r="O292" s="8">
        <f>-O284*HIPA_Rate</f>
        <v/>
      </c>
      <c r="P292" s="8">
        <f>-P284*HIPA_Rate</f>
        <v/>
      </c>
      <c r="Q292" s="8">
        <f>-Q284*HIPA_Rate</f>
        <v/>
      </c>
      <c r="R292" s="8">
        <f>-R284*HIPA_Rate</f>
        <v/>
      </c>
      <c r="S292" s="8">
        <f>-S284*HIPA_Rate</f>
        <v/>
      </c>
      <c r="T292" s="8">
        <f>-T284*HIPA_Rate</f>
        <v/>
      </c>
      <c r="U292" s="8">
        <f>-U284*HIPA_Rate</f>
        <v/>
      </c>
      <c r="V292" s="8">
        <f>-V284*HIPA_Rate</f>
        <v/>
      </c>
      <c r="W292" s="8">
        <f>-W284*HIPA_Rate</f>
        <v/>
      </c>
      <c r="X292" s="8">
        <f>-X284*HIPA_Rate</f>
        <v/>
      </c>
      <c r="Y292" s="8">
        <f>-Y284*HIPA_Rate</f>
        <v/>
      </c>
      <c r="Z292" s="8">
        <f>-Z284*HIPA_Rate</f>
        <v/>
      </c>
      <c r="AA292" s="8">
        <f>-AA284*HIPA_Rate</f>
        <v/>
      </c>
      <c r="AB292" s="8">
        <f>-AB284*HIPA_Rate</f>
        <v/>
      </c>
      <c r="AC292" s="8">
        <f>-AC284*HIPA_Rate</f>
        <v/>
      </c>
      <c r="AD292" s="8">
        <f>-AD284*HIPA_Rate</f>
        <v/>
      </c>
      <c r="AE292" s="8">
        <f>-AE284*HIPA_Rate</f>
        <v/>
      </c>
      <c r="AF292" s="8">
        <f>-AF284*HIPA_Rate</f>
        <v/>
      </c>
      <c r="AG292" s="8">
        <f>-AG284*HIPA_Rate</f>
        <v/>
      </c>
      <c r="AH292" s="8">
        <f>-AH284*HIPA_Rate</f>
        <v/>
      </c>
      <c r="AI292" s="8">
        <f>-AI284*HIPA_Rate</f>
        <v/>
      </c>
      <c r="AJ292" s="8">
        <f>-AJ284*HIPA_Rate</f>
        <v/>
      </c>
      <c r="AK292" s="8">
        <f>-AK284*HIPA_Rate</f>
        <v/>
      </c>
      <c r="AL292" s="8">
        <f>-AL284*HIPA_Rate</f>
        <v/>
      </c>
      <c r="AM292" s="8">
        <f>-AM284*HIPA_Rate</f>
        <v/>
      </c>
      <c r="AN292" s="8">
        <f>-AN284*HIPA_Rate</f>
        <v/>
      </c>
      <c r="AO292" s="8">
        <f>-AO284*HIPA_Rate</f>
        <v/>
      </c>
      <c r="AP292" s="8">
        <f>-AP284*HIPA_Rate</f>
        <v/>
      </c>
      <c r="AQ292" s="8">
        <f>-AQ284*HIPA_Rate</f>
        <v/>
      </c>
      <c r="AR292" s="8">
        <f>-AR284*HIPA_Rate</f>
        <v/>
      </c>
      <c r="AS292" s="8">
        <f>-AS284*HIPA_Rate</f>
        <v/>
      </c>
    </row>
    <row r="293" hidden="1" outlineLevel="1">
      <c r="C293" s="1" t="inlineStr">
        <is>
          <t>Total opex</t>
        </is>
      </c>
      <c r="D293" s="2" t="inlineStr">
        <is>
          <t>EUR k</t>
        </is>
      </c>
      <c r="H293" s="19">
        <f>SUM(J293:AS293)</f>
        <v/>
      </c>
      <c r="J293" s="19">
        <f>SUM(J286:J292)</f>
        <v/>
      </c>
      <c r="K293" s="19">
        <f>SUM(K286:K292)</f>
        <v/>
      </c>
      <c r="L293" s="19">
        <f>SUM(L286:L292)</f>
        <v/>
      </c>
      <c r="M293" s="19">
        <f>SUM(M286:M292)</f>
        <v/>
      </c>
      <c r="N293" s="19">
        <f>SUM(N286:N292)</f>
        <v/>
      </c>
      <c r="O293" s="19">
        <f>SUM(O286:O292)</f>
        <v/>
      </c>
      <c r="P293" s="19">
        <f>SUM(P286:P292)</f>
        <v/>
      </c>
      <c r="Q293" s="19">
        <f>SUM(Q286:Q292)</f>
        <v/>
      </c>
      <c r="R293" s="19">
        <f>SUM(R286:R292)</f>
        <v/>
      </c>
      <c r="S293" s="19">
        <f>SUM(S286:S292)</f>
        <v/>
      </c>
      <c r="T293" s="19">
        <f>SUM(T286:T292)</f>
        <v/>
      </c>
      <c r="U293" s="19">
        <f>SUM(U286:U292)</f>
        <v/>
      </c>
      <c r="V293" s="19">
        <f>SUM(V286:V292)</f>
        <v/>
      </c>
      <c r="W293" s="19">
        <f>SUM(W286:W292)</f>
        <v/>
      </c>
      <c r="X293" s="19">
        <f>SUM(X286:X292)</f>
        <v/>
      </c>
      <c r="Y293" s="19">
        <f>SUM(Y286:Y292)</f>
        <v/>
      </c>
      <c r="Z293" s="19">
        <f>SUM(Z286:Z292)</f>
        <v/>
      </c>
      <c r="AA293" s="19">
        <f>SUM(AA286:AA292)</f>
        <v/>
      </c>
      <c r="AB293" s="19">
        <f>SUM(AB286:AB292)</f>
        <v/>
      </c>
      <c r="AC293" s="19">
        <f>SUM(AC286:AC292)</f>
        <v/>
      </c>
      <c r="AD293" s="19">
        <f>SUM(AD286:AD292)</f>
        <v/>
      </c>
      <c r="AE293" s="19">
        <f>SUM(AE286:AE292)</f>
        <v/>
      </c>
      <c r="AF293" s="19">
        <f>SUM(AF286:AF292)</f>
        <v/>
      </c>
      <c r="AG293" s="19">
        <f>SUM(AG286:AG292)</f>
        <v/>
      </c>
      <c r="AH293" s="19">
        <f>SUM(AH286:AH292)</f>
        <v/>
      </c>
      <c r="AI293" s="19">
        <f>SUM(AI286:AI292)</f>
        <v/>
      </c>
      <c r="AJ293" s="19">
        <f>SUM(AJ286:AJ292)</f>
        <v/>
      </c>
      <c r="AK293" s="19">
        <f>SUM(AK286:AK292)</f>
        <v/>
      </c>
      <c r="AL293" s="19">
        <f>SUM(AL286:AL292)</f>
        <v/>
      </c>
      <c r="AM293" s="19">
        <f>SUM(AM286:AM292)</f>
        <v/>
      </c>
      <c r="AN293" s="19">
        <f>SUM(AN286:AN292)</f>
        <v/>
      </c>
      <c r="AO293" s="19">
        <f>SUM(AO286:AO292)</f>
        <v/>
      </c>
      <c r="AP293" s="19">
        <f>SUM(AP286:AP292)</f>
        <v/>
      </c>
      <c r="AQ293" s="19">
        <f>SUM(AQ286:AQ292)</f>
        <v/>
      </c>
      <c r="AR293" s="19">
        <f>SUM(AR286:AR292)</f>
        <v/>
      </c>
      <c r="AS293" s="19">
        <f>SUM(AS286:AS292)</f>
        <v/>
      </c>
    </row>
    <row r="294" hidden="1" outlineLevel="1">
      <c r="C294" s="1" t="inlineStr">
        <is>
          <t>EBITDA</t>
        </is>
      </c>
      <c r="D294" s="2" t="inlineStr">
        <is>
          <t>EUR k</t>
        </is>
      </c>
      <c r="H294" s="14">
        <f>SUM(J294:AS294)</f>
        <v/>
      </c>
      <c r="J294" s="14">
        <f>J284+J293</f>
        <v/>
      </c>
      <c r="K294" s="14">
        <f>K284+K293</f>
        <v/>
      </c>
      <c r="L294" s="14">
        <f>L284+L293</f>
        <v/>
      </c>
      <c r="M294" s="14">
        <f>M284+M293</f>
        <v/>
      </c>
      <c r="N294" s="14">
        <f>N284+N293</f>
        <v/>
      </c>
      <c r="O294" s="14">
        <f>O284+O293</f>
        <v/>
      </c>
      <c r="P294" s="14">
        <f>P284+P293</f>
        <v/>
      </c>
      <c r="Q294" s="14">
        <f>Q284+Q293</f>
        <v/>
      </c>
      <c r="R294" s="14">
        <f>R284+R293</f>
        <v/>
      </c>
      <c r="S294" s="14">
        <f>S284+S293</f>
        <v/>
      </c>
      <c r="T294" s="14">
        <f>T284+T293</f>
        <v/>
      </c>
      <c r="U294" s="14">
        <f>U284+U293</f>
        <v/>
      </c>
      <c r="V294" s="14">
        <f>V284+V293</f>
        <v/>
      </c>
      <c r="W294" s="14">
        <f>W284+W293</f>
        <v/>
      </c>
      <c r="X294" s="14">
        <f>X284+X293</f>
        <v/>
      </c>
      <c r="Y294" s="14">
        <f>Y284+Y293</f>
        <v/>
      </c>
      <c r="Z294" s="14">
        <f>Z284+Z293</f>
        <v/>
      </c>
      <c r="AA294" s="14">
        <f>AA284+AA293</f>
        <v/>
      </c>
      <c r="AB294" s="14">
        <f>AB284+AB293</f>
        <v/>
      </c>
      <c r="AC294" s="14">
        <f>AC284+AC293</f>
        <v/>
      </c>
      <c r="AD294" s="14">
        <f>AD284+AD293</f>
        <v/>
      </c>
      <c r="AE294" s="14">
        <f>AE284+AE293</f>
        <v/>
      </c>
      <c r="AF294" s="14">
        <f>AF284+AF293</f>
        <v/>
      </c>
      <c r="AG294" s="14">
        <f>AG284+AG293</f>
        <v/>
      </c>
      <c r="AH294" s="14">
        <f>AH284+AH293</f>
        <v/>
      </c>
      <c r="AI294" s="14">
        <f>AI284+AI293</f>
        <v/>
      </c>
      <c r="AJ294" s="14">
        <f>AJ284+AJ293</f>
        <v/>
      </c>
      <c r="AK294" s="14">
        <f>AK284+AK293</f>
        <v/>
      </c>
      <c r="AL294" s="14">
        <f>AL284+AL293</f>
        <v/>
      </c>
      <c r="AM294" s="14">
        <f>AM284+AM293</f>
        <v/>
      </c>
      <c r="AN294" s="14">
        <f>AN284+AN293</f>
        <v/>
      </c>
      <c r="AO294" s="14">
        <f>AO284+AO293</f>
        <v/>
      </c>
      <c r="AP294" s="14">
        <f>AP284+AP293</f>
        <v/>
      </c>
      <c r="AQ294" s="14">
        <f>AQ284+AQ293</f>
        <v/>
      </c>
      <c r="AR294" s="14">
        <f>AR284+AR293</f>
        <v/>
      </c>
      <c r="AS294" s="14">
        <f>AS284+AS293</f>
        <v/>
      </c>
    </row>
    <row r="295" hidden="1" outlineLevel="1">
      <c r="C295" s="1" t="inlineStr">
        <is>
          <t>Unlevered pre-tax cash flow</t>
        </is>
      </c>
      <c r="D295" s="2" t="inlineStr">
        <is>
          <t>EUR k</t>
        </is>
      </c>
      <c r="H295" s="19">
        <f>SUM(J295:AS295)</f>
        <v/>
      </c>
      <c r="J295" s="19">
        <f>J280+J294</f>
        <v/>
      </c>
      <c r="K295" s="19">
        <f>K280+K294</f>
        <v/>
      </c>
      <c r="L295" s="19">
        <f>L280+L294</f>
        <v/>
      </c>
      <c r="M295" s="19">
        <f>M280+M294</f>
        <v/>
      </c>
      <c r="N295" s="19">
        <f>N280+N294</f>
        <v/>
      </c>
      <c r="O295" s="19">
        <f>O280+O294</f>
        <v/>
      </c>
      <c r="P295" s="19">
        <f>P280+P294</f>
        <v/>
      </c>
      <c r="Q295" s="19">
        <f>Q280+Q294</f>
        <v/>
      </c>
      <c r="R295" s="19">
        <f>R280+R294</f>
        <v/>
      </c>
      <c r="S295" s="19">
        <f>S280+S294</f>
        <v/>
      </c>
      <c r="T295" s="19">
        <f>T280+T294</f>
        <v/>
      </c>
      <c r="U295" s="19">
        <f>U280+U294</f>
        <v/>
      </c>
      <c r="V295" s="19">
        <f>V280+V294</f>
        <v/>
      </c>
      <c r="W295" s="19">
        <f>W280+W294</f>
        <v/>
      </c>
      <c r="X295" s="19">
        <f>X280+X294</f>
        <v/>
      </c>
      <c r="Y295" s="19">
        <f>Y280+Y294</f>
        <v/>
      </c>
      <c r="Z295" s="19">
        <f>Z280+Z294</f>
        <v/>
      </c>
      <c r="AA295" s="19">
        <f>AA280+AA294</f>
        <v/>
      </c>
      <c r="AB295" s="19">
        <f>AB280+AB294</f>
        <v/>
      </c>
      <c r="AC295" s="19">
        <f>AC280+AC294</f>
        <v/>
      </c>
      <c r="AD295" s="19">
        <f>AD280+AD294</f>
        <v/>
      </c>
      <c r="AE295" s="19">
        <f>AE280+AE294</f>
        <v/>
      </c>
      <c r="AF295" s="19">
        <f>AF280+AF294</f>
        <v/>
      </c>
      <c r="AG295" s="19">
        <f>AG280+AG294</f>
        <v/>
      </c>
      <c r="AH295" s="19">
        <f>AH280+AH294</f>
        <v/>
      </c>
      <c r="AI295" s="19">
        <f>AI280+AI294</f>
        <v/>
      </c>
      <c r="AJ295" s="19">
        <f>AJ280+AJ294</f>
        <v/>
      </c>
      <c r="AK295" s="19">
        <f>AK280+AK294</f>
        <v/>
      </c>
      <c r="AL295" s="19">
        <f>AL280+AL294</f>
        <v/>
      </c>
      <c r="AM295" s="19">
        <f>AM280+AM294</f>
        <v/>
      </c>
      <c r="AN295" s="19">
        <f>AN280+AN294</f>
        <v/>
      </c>
      <c r="AO295" s="19">
        <f>AO280+AO294</f>
        <v/>
      </c>
      <c r="AP295" s="19">
        <f>AP280+AP294</f>
        <v/>
      </c>
      <c r="AQ295" s="19">
        <f>AQ280+AQ294</f>
        <v/>
      </c>
      <c r="AR295" s="19">
        <f>AR280+AR294</f>
        <v/>
      </c>
      <c r="AS295" s="19">
        <f>AS280+AS294</f>
        <v/>
      </c>
    </row>
    <row r="296" hidden="1" outlineLevel="1">
      <c r="C296" s="6" t="inlineStr">
        <is>
          <t>Discount factor to COD (buyer's rate)</t>
        </is>
      </c>
      <c r="D296" s="2" t="inlineStr">
        <is>
          <t>x</t>
        </is>
      </c>
      <c r="J296" s="30">
        <f>(1+Discount_Rate)^((Inputs!$G$33-J$205)/Days_In_Year)</f>
        <v/>
      </c>
      <c r="K296" s="30">
        <f>(1+Discount_Rate)^((Inputs!$G$33-K$205)/Days_In_Year)</f>
        <v/>
      </c>
      <c r="L296" s="30">
        <f>(1+Discount_Rate)^((Inputs!$G$33-L$205)/Days_In_Year)</f>
        <v/>
      </c>
      <c r="M296" s="30">
        <f>(1+Discount_Rate)^((Inputs!$G$33-M$205)/Days_In_Year)</f>
        <v/>
      </c>
      <c r="N296" s="30">
        <f>(1+Discount_Rate)^((Inputs!$G$33-N$205)/Days_In_Year)</f>
        <v/>
      </c>
      <c r="O296" s="30">
        <f>(1+Discount_Rate)^((Inputs!$G$33-O$205)/Days_In_Year)</f>
        <v/>
      </c>
      <c r="P296" s="30">
        <f>(1+Discount_Rate)^((Inputs!$G$33-P$205)/Days_In_Year)</f>
        <v/>
      </c>
      <c r="Q296" s="30">
        <f>(1+Discount_Rate)^((Inputs!$G$33-Q$205)/Days_In_Year)</f>
        <v/>
      </c>
      <c r="R296" s="30">
        <f>(1+Discount_Rate)^((Inputs!$G$33-R$205)/Days_In_Year)</f>
        <v/>
      </c>
      <c r="S296" s="30">
        <f>(1+Discount_Rate)^((Inputs!$G$33-S$205)/Days_In_Year)</f>
        <v/>
      </c>
      <c r="T296" s="30">
        <f>(1+Discount_Rate)^((Inputs!$G$33-T$205)/Days_In_Year)</f>
        <v/>
      </c>
      <c r="U296" s="30">
        <f>(1+Discount_Rate)^((Inputs!$G$33-U$205)/Days_In_Year)</f>
        <v/>
      </c>
      <c r="V296" s="30">
        <f>(1+Discount_Rate)^((Inputs!$G$33-V$205)/Days_In_Year)</f>
        <v/>
      </c>
      <c r="W296" s="30">
        <f>(1+Discount_Rate)^((Inputs!$G$33-W$205)/Days_In_Year)</f>
        <v/>
      </c>
      <c r="X296" s="30">
        <f>(1+Discount_Rate)^((Inputs!$G$33-X$205)/Days_In_Year)</f>
        <v/>
      </c>
      <c r="Y296" s="30">
        <f>(1+Discount_Rate)^((Inputs!$G$33-Y$205)/Days_In_Year)</f>
        <v/>
      </c>
      <c r="Z296" s="30">
        <f>(1+Discount_Rate)^((Inputs!$G$33-Z$205)/Days_In_Year)</f>
        <v/>
      </c>
      <c r="AA296" s="30">
        <f>(1+Discount_Rate)^((Inputs!$G$33-AA$205)/Days_In_Year)</f>
        <v/>
      </c>
      <c r="AB296" s="30">
        <f>(1+Discount_Rate)^((Inputs!$G$33-AB$205)/Days_In_Year)</f>
        <v/>
      </c>
      <c r="AC296" s="30">
        <f>(1+Discount_Rate)^((Inputs!$G$33-AC$205)/Days_In_Year)</f>
        <v/>
      </c>
      <c r="AD296" s="30">
        <f>(1+Discount_Rate)^((Inputs!$G$33-AD$205)/Days_In_Year)</f>
        <v/>
      </c>
      <c r="AE296" s="30">
        <f>(1+Discount_Rate)^((Inputs!$G$33-AE$205)/Days_In_Year)</f>
        <v/>
      </c>
      <c r="AF296" s="30">
        <f>(1+Discount_Rate)^((Inputs!$G$33-AF$205)/Days_In_Year)</f>
        <v/>
      </c>
      <c r="AG296" s="30">
        <f>(1+Discount_Rate)^((Inputs!$G$33-AG$205)/Days_In_Year)</f>
        <v/>
      </c>
      <c r="AH296" s="30">
        <f>(1+Discount_Rate)^((Inputs!$G$33-AH$205)/Days_In_Year)</f>
        <v/>
      </c>
      <c r="AI296" s="30">
        <f>(1+Discount_Rate)^((Inputs!$G$33-AI$205)/Days_In_Year)</f>
        <v/>
      </c>
      <c r="AJ296" s="30">
        <f>(1+Discount_Rate)^((Inputs!$G$33-AJ$205)/Days_In_Year)</f>
        <v/>
      </c>
      <c r="AK296" s="30">
        <f>(1+Discount_Rate)^((Inputs!$G$33-AK$205)/Days_In_Year)</f>
        <v/>
      </c>
      <c r="AL296" s="30">
        <f>(1+Discount_Rate)^((Inputs!$G$33-AL$205)/Days_In_Year)</f>
        <v/>
      </c>
      <c r="AM296" s="30">
        <f>(1+Discount_Rate)^((Inputs!$G$33-AM$205)/Days_In_Year)</f>
        <v/>
      </c>
      <c r="AN296" s="30">
        <f>(1+Discount_Rate)^((Inputs!$G$33-AN$205)/Days_In_Year)</f>
        <v/>
      </c>
      <c r="AO296" s="30">
        <f>(1+Discount_Rate)^((Inputs!$G$33-AO$205)/Days_In_Year)</f>
        <v/>
      </c>
      <c r="AP296" s="30">
        <f>(1+Discount_Rate)^((Inputs!$G$33-AP$205)/Days_In_Year)</f>
        <v/>
      </c>
      <c r="AQ296" s="30">
        <f>(1+Discount_Rate)^((Inputs!$G$33-AQ$205)/Days_In_Year)</f>
        <v/>
      </c>
      <c r="AR296" s="30">
        <f>(1+Discount_Rate)^((Inputs!$G$33-AR$205)/Days_In_Year)</f>
        <v/>
      </c>
      <c r="AS296" s="30">
        <f>(1+Discount_Rate)^((Inputs!$G$33-AS$205)/Days_In_Year)</f>
        <v/>
      </c>
    </row>
    <row r="297" hidden="1" outlineLevel="1">
      <c r="C297" s="6" t="inlineStr">
        <is>
          <t>EBITDA valued at COD (total = COD price)</t>
        </is>
      </c>
      <c r="D297" s="2" t="inlineStr">
        <is>
          <t>EUR k</t>
        </is>
      </c>
      <c r="H297" s="8">
        <f>SUM(J297:AS297)</f>
        <v/>
      </c>
      <c r="J297" s="8">
        <f>J294*J296</f>
        <v/>
      </c>
      <c r="K297" s="8">
        <f>K294*K296</f>
        <v/>
      </c>
      <c r="L297" s="8">
        <f>L294*L296</f>
        <v/>
      </c>
      <c r="M297" s="8">
        <f>M294*M296</f>
        <v/>
      </c>
      <c r="N297" s="8">
        <f>N294*N296</f>
        <v/>
      </c>
      <c r="O297" s="8">
        <f>O294*O296</f>
        <v/>
      </c>
      <c r="P297" s="8">
        <f>P294*P296</f>
        <v/>
      </c>
      <c r="Q297" s="8">
        <f>Q294*Q296</f>
        <v/>
      </c>
      <c r="R297" s="8">
        <f>R294*R296</f>
        <v/>
      </c>
      <c r="S297" s="8">
        <f>S294*S296</f>
        <v/>
      </c>
      <c r="T297" s="8">
        <f>T294*T296</f>
        <v/>
      </c>
      <c r="U297" s="8">
        <f>U294*U296</f>
        <v/>
      </c>
      <c r="V297" s="8">
        <f>V294*V296</f>
        <v/>
      </c>
      <c r="W297" s="8">
        <f>W294*W296</f>
        <v/>
      </c>
      <c r="X297" s="8">
        <f>X294*X296</f>
        <v/>
      </c>
      <c r="Y297" s="8">
        <f>Y294*Y296</f>
        <v/>
      </c>
      <c r="Z297" s="8">
        <f>Z294*Z296</f>
        <v/>
      </c>
      <c r="AA297" s="8">
        <f>AA294*AA296</f>
        <v/>
      </c>
      <c r="AB297" s="8">
        <f>AB294*AB296</f>
        <v/>
      </c>
      <c r="AC297" s="8">
        <f>AC294*AC296</f>
        <v/>
      </c>
      <c r="AD297" s="8">
        <f>AD294*AD296</f>
        <v/>
      </c>
      <c r="AE297" s="8">
        <f>AE294*AE296</f>
        <v/>
      </c>
      <c r="AF297" s="8">
        <f>AF294*AF296</f>
        <v/>
      </c>
      <c r="AG297" s="8">
        <f>AG294*AG296</f>
        <v/>
      </c>
      <c r="AH297" s="8">
        <f>AH294*AH296</f>
        <v/>
      </c>
      <c r="AI297" s="8">
        <f>AI294*AI296</f>
        <v/>
      </c>
      <c r="AJ297" s="8">
        <f>AJ294*AJ296</f>
        <v/>
      </c>
      <c r="AK297" s="8">
        <f>AK294*AK296</f>
        <v/>
      </c>
      <c r="AL297" s="8">
        <f>AL294*AL296</f>
        <v/>
      </c>
      <c r="AM297" s="8">
        <f>AM294*AM296</f>
        <v/>
      </c>
      <c r="AN297" s="8">
        <f>AN294*AN296</f>
        <v/>
      </c>
      <c r="AO297" s="8">
        <f>AO294*AO296</f>
        <v/>
      </c>
      <c r="AP297" s="8">
        <f>AP294*AP296</f>
        <v/>
      </c>
      <c r="AQ297" s="8">
        <f>AQ294*AQ296</f>
        <v/>
      </c>
      <c r="AR297" s="8">
        <f>AR294*AR296</f>
        <v/>
      </c>
      <c r="AS297" s="8">
        <f>AS294*AS296</f>
        <v/>
      </c>
    </row>
    <row r="298" hidden="1" outlineLevel="1">
      <c r="C298" s="1" t="inlineStr">
        <is>
          <t>COD exit: FEP cash flow (to COD, price and securities at COD)</t>
        </is>
      </c>
      <c r="D298" s="2" t="inlineStr">
        <is>
          <t>EUR k</t>
        </is>
      </c>
      <c r="H298" s="19">
        <f>SUM(J298:AS298)</f>
        <v/>
      </c>
      <c r="J298" s="19">
        <f>J280*(J270&lt;=0)+J275*($H297+$G$62+$G$63)</f>
        <v/>
      </c>
      <c r="K298" s="19">
        <f>K280*(K270&lt;=0)+K275*($H297+$G$62+$G$63)</f>
        <v/>
      </c>
      <c r="L298" s="19">
        <f>L280*(L270&lt;=0)+L275*($H297+$G$62+$G$63)</f>
        <v/>
      </c>
      <c r="M298" s="19">
        <f>M280*(M270&lt;=0)+M275*($H297+$G$62+$G$63)</f>
        <v/>
      </c>
      <c r="N298" s="19">
        <f>N280*(N270&lt;=0)+N275*($H297+$G$62+$G$63)</f>
        <v/>
      </c>
      <c r="O298" s="19">
        <f>O280*(O270&lt;=0)+O275*($H297+$G$62+$G$63)</f>
        <v/>
      </c>
      <c r="P298" s="19">
        <f>P280*(P270&lt;=0)+P275*($H297+$G$62+$G$63)</f>
        <v/>
      </c>
      <c r="Q298" s="19">
        <f>Q280*(Q270&lt;=0)+Q275*($H297+$G$62+$G$63)</f>
        <v/>
      </c>
      <c r="R298" s="19">
        <f>R280*(R270&lt;=0)+R275*($H297+$G$62+$G$63)</f>
        <v/>
      </c>
      <c r="S298" s="19">
        <f>S280*(S270&lt;=0)+S275*($H297+$G$62+$G$63)</f>
        <v/>
      </c>
      <c r="T298" s="19">
        <f>T280*(T270&lt;=0)+T275*($H297+$G$62+$G$63)</f>
        <v/>
      </c>
      <c r="U298" s="19">
        <f>U280*(U270&lt;=0)+U275*($H297+$G$62+$G$63)</f>
        <v/>
      </c>
      <c r="V298" s="19">
        <f>V280*(V270&lt;=0)+V275*($H297+$G$62+$G$63)</f>
        <v/>
      </c>
      <c r="W298" s="19">
        <f>W280*(W270&lt;=0)+W275*($H297+$G$62+$G$63)</f>
        <v/>
      </c>
      <c r="X298" s="19">
        <f>X280*(X270&lt;=0)+X275*($H297+$G$62+$G$63)</f>
        <v/>
      </c>
      <c r="Y298" s="19">
        <f>Y280*(Y270&lt;=0)+Y275*($H297+$G$62+$G$63)</f>
        <v/>
      </c>
      <c r="Z298" s="19">
        <f>Z280*(Z270&lt;=0)+Z275*($H297+$G$62+$G$63)</f>
        <v/>
      </c>
      <c r="AA298" s="19">
        <f>AA280*(AA270&lt;=0)+AA275*($H297+$G$62+$G$63)</f>
        <v/>
      </c>
      <c r="AB298" s="19">
        <f>AB280*(AB270&lt;=0)+AB275*($H297+$G$62+$G$63)</f>
        <v/>
      </c>
      <c r="AC298" s="19">
        <f>AC280*(AC270&lt;=0)+AC275*($H297+$G$62+$G$63)</f>
        <v/>
      </c>
      <c r="AD298" s="19">
        <f>AD280*(AD270&lt;=0)+AD275*($H297+$G$62+$G$63)</f>
        <v/>
      </c>
      <c r="AE298" s="19">
        <f>AE280*(AE270&lt;=0)+AE275*($H297+$G$62+$G$63)</f>
        <v/>
      </c>
      <c r="AF298" s="19">
        <f>AF280*(AF270&lt;=0)+AF275*($H297+$G$62+$G$63)</f>
        <v/>
      </c>
      <c r="AG298" s="19">
        <f>AG280*(AG270&lt;=0)+AG275*($H297+$G$62+$G$63)</f>
        <v/>
      </c>
      <c r="AH298" s="19">
        <f>AH280*(AH270&lt;=0)+AH275*($H297+$G$62+$G$63)</f>
        <v/>
      </c>
      <c r="AI298" s="19">
        <f>AI280*(AI270&lt;=0)+AI275*($H297+$G$62+$G$63)</f>
        <v/>
      </c>
      <c r="AJ298" s="19">
        <f>AJ280*(AJ270&lt;=0)+AJ275*($H297+$G$62+$G$63)</f>
        <v/>
      </c>
      <c r="AK298" s="19">
        <f>AK280*(AK270&lt;=0)+AK275*($H297+$G$62+$G$63)</f>
        <v/>
      </c>
      <c r="AL298" s="19">
        <f>AL280*(AL270&lt;=0)+AL275*($H297+$G$62+$G$63)</f>
        <v/>
      </c>
      <c r="AM298" s="19">
        <f>AM280*(AM270&lt;=0)+AM275*($H297+$G$62+$G$63)</f>
        <v/>
      </c>
      <c r="AN298" s="19">
        <f>AN280*(AN270&lt;=0)+AN275*($H297+$G$62+$G$63)</f>
        <v/>
      </c>
      <c r="AO298" s="19">
        <f>AO280*(AO270&lt;=0)+AO275*($H297+$G$62+$G$63)</f>
        <v/>
      </c>
      <c r="AP298" s="19">
        <f>AP280*(AP270&lt;=0)+AP275*($H297+$G$62+$G$63)</f>
        <v/>
      </c>
      <c r="AQ298" s="19">
        <f>AQ280*(AQ270&lt;=0)+AQ275*($H297+$G$62+$G$63)</f>
        <v/>
      </c>
      <c r="AR298" s="19">
        <f>AR280*(AR270&lt;=0)+AR275*($H297+$G$62+$G$63)</f>
        <v/>
      </c>
      <c r="AS298" s="19">
        <f>AS280*(AS270&lt;=0)+AS275*($H297+$G$62+$G$63)</f>
        <v/>
      </c>
    </row>
    <row r="299" hidden="1" outlineLevel="1"/>
    <row r="300" hidden="1" outlineLevel="1">
      <c r="B300" s="4" t="inlineStr">
        <is>
          <t>x</t>
        </is>
      </c>
      <c r="C300" s="4" t="inlineStr">
        <is>
          <t>COD exit: tax on the gain (price and profit: totals of the cash-flow blocks above)</t>
        </is>
      </c>
      <c r="D300" s="4" t="n"/>
      <c r="E300" s="5" t="inlineStr">
        <is>
          <t>Bora</t>
        </is>
      </c>
      <c r="F300" s="5" t="inlineStr">
        <is>
          <t>Iváncsa</t>
        </is>
      </c>
      <c r="G300" s="5" t="inlineStr">
        <is>
          <t>Dunaújváros</t>
        </is>
      </c>
      <c r="H300" s="5" t="inlineStr">
        <is>
          <t>Total</t>
        </is>
      </c>
    </row>
    <row r="301" hidden="1" outlineLevel="1">
      <c r="C301" s="6" t="inlineStr">
        <is>
          <t>CIT on the gain</t>
        </is>
      </c>
      <c r="D301" s="2" t="inlineStr">
        <is>
          <t>EUR k</t>
        </is>
      </c>
      <c r="E301" s="8">
        <f>-MAX(0,$H$236)*CIT_Rate</f>
        <v/>
      </c>
      <c r="F301" s="8">
        <f>-MAX(0,$H$267)*CIT_Rate</f>
        <v/>
      </c>
      <c r="G301" s="8">
        <f>-MAX(0,$H$298)*CIT_Rate</f>
        <v/>
      </c>
      <c r="H301" s="8">
        <f>SUM(E301:G301)</f>
        <v/>
      </c>
    </row>
    <row r="302" hidden="1" outlineLevel="1">
      <c r="C302" s="1" t="inlineStr">
        <is>
          <t>FEP profit, post-tax</t>
        </is>
      </c>
      <c r="D302" s="2" t="inlineStr">
        <is>
          <t>EUR k</t>
        </is>
      </c>
      <c r="E302" s="14">
        <f>$H$236+E301</f>
        <v/>
      </c>
      <c r="F302" s="14">
        <f>$H$267+F301</f>
        <v/>
      </c>
      <c r="G302" s="14">
        <f>$H$298+G301</f>
        <v/>
      </c>
      <c r="H302" s="14">
        <f>SUM(E302:G302)</f>
        <v/>
      </c>
    </row>
    <row r="303" hidden="1" outlineLevel="1"/>
    <row r="304" hidden="1" outlineLevel="1">
      <c r="B304" s="4" t="inlineStr">
        <is>
          <t>x</t>
        </is>
      </c>
      <c r="C304" s="4" t="inlineStr">
        <is>
          <t>Checks (0 = OK)</t>
        </is>
      </c>
      <c r="D304" s="4" t="n"/>
      <c r="E304" s="5" t="inlineStr">
        <is>
          <t>Bora</t>
        </is>
      </c>
      <c r="F304" s="5" t="inlineStr">
        <is>
          <t>Iváncsa</t>
        </is>
      </c>
      <c r="G304" s="5" t="inlineStr">
        <is>
          <t>Dunaújváros</t>
        </is>
      </c>
      <c r="H304" s="5" t="inlineStr">
        <is>
          <t>Total</t>
        </is>
      </c>
    </row>
    <row r="305" hidden="1" outlineLevel="1">
      <c r="C305" s="6" t="inlineStr">
        <is>
          <t>RtB waterfall closes (proceeds = all amounts paid out)</t>
        </is>
      </c>
      <c r="D305" s="2" t="inlineStr">
        <is>
          <t>flag</t>
        </is>
      </c>
      <c r="E305" s="29">
        <f>N(ABS(E179+E180+E184-E187-E198)&gt;Tolerance)</f>
        <v/>
      </c>
      <c r="F305" s="29">
        <f>N(ABS(F179+F180+F184-F187-F198)&gt;Tolerance)</f>
        <v/>
      </c>
      <c r="G305" s="29">
        <f>N(ABS(G179+G180+G184-G187-G198)&gt;Tolerance)</f>
        <v/>
      </c>
      <c r="H305" s="29">
        <f>SUM(E305:G305)</f>
        <v/>
      </c>
    </row>
    <row r="306" hidden="1" outlineLevel="1">
      <c r="C306" s="6" t="inlineStr">
        <is>
          <t>Claim lines paid before the accrual end year</t>
        </is>
      </c>
      <c r="D306" s="2" t="inlineStr">
        <is>
          <t>flag</t>
        </is>
      </c>
      <c r="E306" s="29">
        <f>SUMPRODUCT(--(YEAR(J191:J197)&gt;=YEAR(E153)))</f>
        <v/>
      </c>
      <c r="F306" s="29">
        <f>SUMPRODUCT(--(YEAR(K191:K197)&gt;=YEAR(F153)))</f>
        <v/>
      </c>
      <c r="G306" s="29">
        <f>SUMPRODUCT(--(YEAR(L191:L197)&gt;=YEAR(G153)))</f>
        <v/>
      </c>
      <c r="H306" s="29">
        <f>SUM(E306:G306)</f>
        <v/>
      </c>
    </row>
    <row r="307" hidden="1" outlineLevel="1">
      <c r="C307" s="6" t="inlineStr">
        <is>
          <t>Turbine route is EU or CN</t>
        </is>
      </c>
      <c r="D307" s="2" t="inlineStr">
        <is>
          <t>flag</t>
        </is>
      </c>
      <c r="E307" s="29">
        <f>N(AND(E17&lt;&gt;"EU",E17&lt;&gt;"CN"))</f>
        <v/>
      </c>
      <c r="F307" s="29">
        <f>N(AND(F17&lt;&gt;"EU",F17&lt;&gt;"CN"))</f>
        <v/>
      </c>
      <c r="G307" s="29">
        <f>N(AND(G17&lt;&gt;"EU",G17&lt;&gt;"CN"))</f>
        <v/>
      </c>
      <c r="H307" s="29">
        <f>SUM(E307:G307)</f>
        <v/>
      </c>
    </row>
    <row r="308" hidden="1" outlineLevel="1">
      <c r="C308" s="6" t="inlineStr">
        <is>
          <t>Devex breakdown = DEVEX line</t>
        </is>
      </c>
      <c r="D308" s="2" t="inlineStr">
        <is>
          <t>flag</t>
        </is>
      </c>
      <c r="E308" s="29">
        <f>N(ABS(E98-E67)&gt;Tolerance)</f>
        <v/>
      </c>
      <c r="F308" s="29">
        <f>N(ABS(F98-F67)&gt;Tolerance)</f>
        <v/>
      </c>
      <c r="G308" s="29">
        <f>N(ABS(G98-G67)&gt;Tolerance)</f>
        <v/>
      </c>
      <c r="H308" s="29">
        <f>SUM(E308:G308)</f>
        <v/>
      </c>
    </row>
    <row r="309" hidden="1" outlineLevel="1">
      <c r="C309" s="6" t="inlineStr">
        <is>
          <t>Construction capex spread in full (timeline = capex)</t>
        </is>
      </c>
      <c r="D309" s="2" t="inlineStr">
        <is>
          <t>flag</t>
        </is>
      </c>
      <c r="E309" s="29">
        <f>N(ABS(E82+$H$216)&gt;Tolerance)</f>
        <v/>
      </c>
      <c r="F309" s="29">
        <f>N(ABS(F82+$H$247)&gt;Tolerance)</f>
        <v/>
      </c>
      <c r="G309" s="29">
        <f>N(ABS(G82+$H$278)&gt;Tolerance)</f>
        <v/>
      </c>
      <c r="H309" s="29">
        <f>SUM(E309:G309)</f>
        <v/>
      </c>
    </row>
    <row r="310" hidden="1" outlineLevel="1">
      <c r="C310" s="6" t="inlineStr">
        <is>
          <t>Investment cash flows = all-in cost to COD</t>
        </is>
      </c>
      <c r="D310" s="2" t="inlineStr">
        <is>
          <t>flag</t>
        </is>
      </c>
      <c r="E310" s="29">
        <f>N(ABS(E86+$H$218)&gt;Tolerance)</f>
        <v/>
      </c>
      <c r="F310" s="29">
        <f>N(ABS(F86+$H$249)&gt;Tolerance)</f>
        <v/>
      </c>
      <c r="G310" s="29">
        <f>N(ABS(G86+$H$280)&gt;Tolerance)</f>
        <v/>
      </c>
      <c r="H310" s="29">
        <f>SUM(E310:G310)</f>
        <v/>
      </c>
    </row>
    <row r="311" hidden="1" outlineLevel="1">
      <c r="C311" s="6" t="inlineStr">
        <is>
          <t>Operating life inside the timeline</t>
        </is>
      </c>
      <c r="D311" s="2" t="inlineStr">
        <is>
          <t>flag</t>
        </is>
      </c>
      <c r="E311" s="29">
        <f>N(ABS($H$212-Life)&gt;Tolerance)</f>
        <v/>
      </c>
      <c r="F311" s="29">
        <f>N(ABS($H$243-Life)&gt;Tolerance)</f>
        <v/>
      </c>
      <c r="G311" s="29">
        <f>N(ABS($H$274-Life)&gt;Tolerance)</f>
        <v/>
      </c>
      <c r="H311" s="29">
        <f>SUM(E311:G311)</f>
        <v/>
      </c>
    </row>
    <row r="312" hidden="1" outlineLevel="1">
      <c r="C312" s="1" t="inlineStr">
        <is>
          <t>Master check</t>
        </is>
      </c>
      <c r="D312" s="2" t="inlineStr">
        <is>
          <t>flag</t>
        </is>
      </c>
      <c r="H312" s="31">
        <f>SUM(H305:H311)</f>
        <v/>
      </c>
    </row>
    <row r="313" hidden="1" outlineLevel="1"/>
    <row r="314" hidden="1" outlineLevel="1">
      <c r="C314" s="32" t="inlineStr">
        <is>
          <t>***END***</t>
        </is>
      </c>
    </row>
  </sheetData>
  <conditionalFormatting sqref="H3">
    <cfRule type="cellIs" priority="1" operator="equal" dxfId="0">
      <formula>0</formula>
    </cfRule>
    <cfRule type="cellIs" priority="3" operator="notEqual" dxfId="1">
      <formula>0</formula>
    </cfRule>
  </conditionalFormatting>
  <conditionalFormatting sqref="H312">
    <cfRule type="cellIs" priority="1" operator="equal" dxfId="0">
      <formula>0</formula>
    </cfRule>
    <cfRule type="cellIs" priority="3" operator="notEqual" dxfId="1">
      <formula>0</formula>
    </cfRule>
  </conditionalFormatting>
  <dataValidations count="1">
    <dataValidation sqref="H23" showDropDown="0" showInputMessage="0" showErrorMessage="0" allowBlank="0" type="list">
      <formula1>"Base,Low,High"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2:P11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54" customWidth="1" min="3" max="3"/>
    <col width="11" customWidth="1" min="4" max="4"/>
    <col width="13" customWidth="1" min="5" max="5"/>
    <col width="13" customWidth="1" min="6" max="6"/>
    <col width="13" customWidth="1" min="7" max="7"/>
    <col width="50" customWidth="1" min="8" max="8"/>
  </cols>
  <sheetData>
    <row r="2">
      <c r="C2" s="1" t="inlineStr">
        <is>
          <t>HU wind bids – other inputs (blue) with sources</t>
        </is>
      </c>
    </row>
    <row r="4">
      <c r="B4" s="4" t="inlineStr">
        <is>
          <t>x</t>
        </is>
      </c>
      <c r="C4" s="4" t="inlineStr">
        <is>
          <t>Inputs</t>
        </is>
      </c>
      <c r="D4" s="4" t="n"/>
      <c r="E4" s="5" t="inlineStr">
        <is>
          <t>Bora</t>
        </is>
      </c>
      <c r="F4" s="5" t="inlineStr">
        <is>
          <t>Iváncsa</t>
        </is>
      </c>
      <c r="G4" s="5" t="inlineStr">
        <is>
          <t>Dunaújváros</t>
        </is>
      </c>
      <c r="H4" s="4" t="inlineStr">
        <is>
          <t>Source</t>
        </is>
      </c>
    </row>
    <row r="5">
      <c r="C5" s="20" t="inlineStr">
        <is>
          <t>Tender and grid (all projects; value in column E)</t>
        </is>
      </c>
      <c r="D5" s="20" t="n"/>
      <c r="E5" s="21" t="n"/>
      <c r="F5" s="21" t="n"/>
      <c r="G5" s="21" t="n"/>
      <c r="H5" s="21" t="n"/>
    </row>
    <row r="6">
      <c r="C6" s="6" t="inlineStr">
        <is>
          <t>FX rate</t>
        </is>
      </c>
      <c r="D6" s="2" t="inlineStr">
        <is>
          <t>HUF/EUR</t>
        </is>
      </c>
      <c r="E6" s="7" t="n">
        <v>365</v>
      </c>
      <c r="H6" s="2" t="inlineStr">
        <is>
          <t>Bora Inputs E11; Bid_Cash E45</t>
        </is>
      </c>
    </row>
    <row r="7">
      <c r="C7" s="6" t="inlineStr">
        <is>
          <t>Security base: benchmark investment, wind</t>
        </is>
      </c>
      <c r="D7" s="2" t="inlineStr">
        <is>
          <t>HUF/MW</t>
        </is>
      </c>
      <c r="E7" s="7" t="n">
        <v>406000000</v>
      </c>
      <c r="H7" s="2" t="inlineStr">
        <is>
          <t>Bora Inputs E75; Bid_Cash E46</t>
        </is>
      </c>
    </row>
    <row r="8">
      <c r="C8" s="6" t="inlineStr">
        <is>
          <t>Security base: benchmark investment, BESS</t>
        </is>
      </c>
      <c r="D8" s="2" t="inlineStr">
        <is>
          <t>HUF/MWh</t>
        </is>
      </c>
      <c r="E8" s="7" t="n">
        <v>200000000</v>
      </c>
      <c r="H8" s="2" t="inlineStr">
        <is>
          <t>Bora Inputs E89; Bid_Cash E47</t>
        </is>
      </c>
    </row>
    <row r="9">
      <c r="C9" s="6" t="inlineStr">
        <is>
          <t>Bid security, share of base</t>
        </is>
      </c>
      <c r="D9" s="2" t="inlineStr">
        <is>
          <t>%</t>
        </is>
      </c>
      <c r="E9" s="9" t="n">
        <v>0.005</v>
      </c>
      <c r="H9" s="2" t="inlineStr">
        <is>
          <t>Bora Inputs E76; Bid_Cash E49</t>
        </is>
      </c>
    </row>
    <row r="10">
      <c r="C10" s="6" t="inlineStr">
        <is>
          <t>Performance security, minimum share of base</t>
        </is>
      </c>
      <c r="D10" s="2" t="inlineStr">
        <is>
          <t>%</t>
        </is>
      </c>
      <c r="E10" s="9" t="n">
        <v>0.025</v>
      </c>
      <c r="H10" s="2" t="inlineStr">
        <is>
          <t>Bora Inputs E77; Bid_Cash E50</t>
        </is>
      </c>
    </row>
    <row r="11">
      <c r="C11" s="6" t="inlineStr">
        <is>
          <t>Participation fee per bid</t>
        </is>
      </c>
      <c r="D11" s="2" t="inlineStr">
        <is>
          <t>HUF</t>
        </is>
      </c>
      <c r="E11" s="7" t="n">
        <v>3000000</v>
      </c>
      <c r="H11" s="2" t="inlineStr">
        <is>
          <t>Bora Inputs E81; Bid_Cash E48</t>
        </is>
      </c>
    </row>
    <row r="12">
      <c r="C12" s="6" t="inlineStr">
        <is>
          <t>TSO connection-request security</t>
        </is>
      </c>
      <c r="D12" s="2" t="inlineStr">
        <is>
          <t>HUF/MVA</t>
        </is>
      </c>
      <c r="E12" s="7" t="n">
        <v>4500000</v>
      </c>
      <c r="H12" s="2" t="inlineStr">
        <is>
          <t>Bora Inputs E83; Bid_Cash E51</t>
        </is>
      </c>
    </row>
    <row r="13">
      <c r="C13" s="20" t="inlineStr">
        <is>
          <t>Per project: fees, devex, dates</t>
        </is>
      </c>
      <c r="D13" s="20" t="n"/>
      <c r="E13" s="21" t="n"/>
      <c r="F13" s="21" t="n"/>
      <c r="G13" s="21" t="n"/>
      <c r="H13" s="21" t="n"/>
    </row>
    <row r="14">
      <c r="C14" s="6" t="inlineStr">
        <is>
          <t>Indirect connection fee</t>
        </is>
      </c>
      <c r="D14" s="2" t="inlineStr">
        <is>
          <t>HUF/MVA</t>
        </is>
      </c>
      <c r="E14" s="7" t="n">
        <v>73071306</v>
      </c>
      <c r="F14" s="7" t="n">
        <v>19826680</v>
      </c>
      <c r="G14" s="7" t="n">
        <v>19826680</v>
      </c>
      <c r="H14" s="2" t="inlineStr">
        <is>
          <t>Bora Inputs G290; Bid_Cash E52</t>
        </is>
      </c>
    </row>
    <row r="15">
      <c r="C15" s="6" t="inlineStr">
        <is>
          <t>Direct connection fee per connection point</t>
        </is>
      </c>
      <c r="D15" s="2" t="inlineStr">
        <is>
          <t>HUF</t>
        </is>
      </c>
      <c r="E15" s="7" t="n">
        <v>508345804</v>
      </c>
      <c r="F15" s="7" t="n">
        <v>460000000</v>
      </c>
      <c r="G15" s="7" t="n">
        <v>460000000</v>
      </c>
      <c r="H15" s="2" t="inlineStr">
        <is>
          <t>Bora Inputs G291; Bid_Cash E53</t>
        </is>
      </c>
    </row>
    <row r="16">
      <c r="C16" s="6" t="inlineStr">
        <is>
          <t>Bids sharing the connection point</t>
        </is>
      </c>
      <c r="D16" s="2" t="inlineStr">
        <is>
          <t>count</t>
        </is>
      </c>
      <c r="E16" s="11" t="n">
        <v>2</v>
      </c>
      <c r="F16" s="11" t="n">
        <v>1</v>
      </c>
      <c r="G16" s="11" t="n">
        <v>1</v>
      </c>
      <c r="H16" s="2" t="inlineStr">
        <is>
          <t>Bora: 2 bids per point (SPEC §22.2)</t>
        </is>
      </c>
    </row>
    <row r="17">
      <c r="C17" s="6" t="inlineStr">
        <is>
          <t>Signing fee and DD</t>
        </is>
      </c>
      <c r="D17" s="2" t="inlineStr">
        <is>
          <t>EUR k</t>
        </is>
      </c>
      <c r="E17" s="7" t="n">
        <v>100</v>
      </c>
      <c r="F17" s="7" t="n">
        <v>150</v>
      </c>
      <c r="G17" s="7" t="n">
        <v>150</v>
      </c>
      <c r="H17" s="2" t="inlineStr">
        <is>
          <t>Bora E24+E25: 400 × 50/200; Bid_Cash E55</t>
        </is>
      </c>
    </row>
    <row r="18">
      <c r="C18" s="6" t="inlineStr">
        <is>
          <t>Devex: grid connection plan and agreement</t>
        </is>
      </c>
      <c r="D18" s="2" t="inlineStr">
        <is>
          <t>EUR k</t>
        </is>
      </c>
      <c r="E18" s="10" t="n">
        <v>40.47</v>
      </c>
      <c r="F18" s="10" t="n">
        <v>0</v>
      </c>
      <c r="G18" s="10" t="n">
        <v>0</v>
      </c>
      <c r="H18" s="2" t="inlineStr">
        <is>
          <t>Bora Devex_FEP × 50/100 MVA; Bid_Cash E56 (10 % cont.)</t>
        </is>
      </c>
    </row>
    <row r="19">
      <c r="C19" s="6" t="inlineStr">
        <is>
          <t>Devex: land (reservation, purchase, contracting)</t>
        </is>
      </c>
      <c r="D19" s="2" t="inlineStr">
        <is>
          <t>EUR k</t>
        </is>
      </c>
      <c r="E19" s="10" t="n">
        <v>150.66</v>
      </c>
      <c r="F19" s="10" t="n">
        <v>0</v>
      </c>
      <c r="G19" s="10" t="n">
        <v>0</v>
      </c>
      <c r="H19" s="2" t="inlineStr">
        <is>
          <t>Bora Devex_FEP × 50/100 MVA; Bid_Cash E56 (10 % cont.)</t>
        </is>
      </c>
    </row>
    <row r="20">
      <c r="C20" s="6" t="inlineStr">
        <is>
          <t>Devex: permits, zoning, cable rights</t>
        </is>
      </c>
      <c r="D20" s="2" t="inlineStr">
        <is>
          <t>EUR k</t>
        </is>
      </c>
      <c r="E20" s="10" t="n">
        <v>333.93</v>
      </c>
      <c r="F20" s="10" t="n">
        <v>0</v>
      </c>
      <c r="G20" s="10" t="n">
        <v>0</v>
      </c>
      <c r="H20" s="2" t="inlineStr">
        <is>
          <t>Bora Devex_FEP × 50/100 MVA; Bid_Cash E56 (10 % cont.)</t>
        </is>
      </c>
    </row>
    <row r="21">
      <c r="C21" s="6" t="inlineStr">
        <is>
          <t>Devex: studies (wind, environment, ground)</t>
        </is>
      </c>
      <c r="D21" s="2" t="inlineStr">
        <is>
          <t>EUR k</t>
        </is>
      </c>
      <c r="E21" s="10" t="n">
        <v>151.36</v>
      </c>
      <c r="F21" s="10" t="n">
        <v>0</v>
      </c>
      <c r="G21" s="10" t="n">
        <v>0</v>
      </c>
      <c r="H21" s="2" t="inlineStr">
        <is>
          <t>Bora Devex_FEP × 50/100 MVA; Bid_Cash E56 (10 % cont.)</t>
        </is>
      </c>
    </row>
    <row r="22">
      <c r="C22" s="6" t="inlineStr">
        <is>
          <t>Devex: legal, financial and other</t>
        </is>
      </c>
      <c r="D22" s="2" t="inlineStr">
        <is>
          <t>EUR k</t>
        </is>
      </c>
      <c r="E22" s="10" t="n">
        <v>37.5</v>
      </c>
      <c r="F22" s="10" t="n">
        <v>0</v>
      </c>
      <c r="G22" s="10" t="n">
        <v>0</v>
      </c>
      <c r="H22" s="2" t="inlineStr">
        <is>
          <t>Bora Devex_FEP × 50/100 MVA; Bid_Cash E56 (10 % cont.)</t>
        </is>
      </c>
    </row>
    <row r="23">
      <c r="C23" s="6" t="inlineStr">
        <is>
          <t>Devex: not itemised</t>
        </is>
      </c>
      <c r="D23" s="2" t="inlineStr">
        <is>
          <t>EUR k</t>
        </is>
      </c>
      <c r="E23" s="10" t="n">
        <v>0</v>
      </c>
      <c r="F23" s="10" t="n">
        <v>909.09</v>
      </c>
      <c r="G23" s="10" t="n">
        <v>909.09</v>
      </c>
      <c r="H23" s="2" t="inlineStr">
        <is>
          <t>Bora Devex_FEP × 50/100 MVA; Bid_Cash E56 (10 % cont.)</t>
        </is>
      </c>
    </row>
    <row r="24">
      <c r="C24" s="6" t="inlineStr">
        <is>
          <t>Devex: contingency</t>
        </is>
      </c>
      <c r="D24" s="2" t="inlineStr">
        <is>
          <t>EUR k</t>
        </is>
      </c>
      <c r="E24" s="10" t="n">
        <v>70.55</v>
      </c>
      <c r="F24" s="10" t="n">
        <v>90.91</v>
      </c>
      <c r="G24" s="10" t="n">
        <v>90.91</v>
      </c>
      <c r="H24" s="2" t="inlineStr">
        <is>
          <t>Bora Devex_FEP × 50/100 MVA; Bid_Cash E56 (10 % cont.)</t>
        </is>
      </c>
    </row>
    <row r="25">
      <c r="C25" s="6" t="inlineStr">
        <is>
          <t>EU transformers ≥ 80 % (ÖSZ-9)</t>
        </is>
      </c>
      <c r="D25" s="2" t="inlineStr">
        <is>
          <t>flag</t>
        </is>
      </c>
      <c r="E25" s="11" t="n">
        <v>0</v>
      </c>
      <c r="F25" s="11" t="n">
        <v>0</v>
      </c>
      <c r="G25" s="11" t="n">
        <v>0</v>
      </c>
      <c r="H25" s="2" t="inlineStr">
        <is>
          <t>Bid_Cash E16; SPEC §23.1</t>
        </is>
      </c>
    </row>
    <row r="26">
      <c r="C26" s="6" t="inlineStr">
        <is>
          <t>Signing fee and DD paid</t>
        </is>
      </c>
      <c r="D26" s="2" t="inlineStr">
        <is>
          <t>date</t>
        </is>
      </c>
      <c r="E26" s="33" t="n">
        <v>46234</v>
      </c>
      <c r="F26" s="33" t="n">
        <v>46234</v>
      </c>
      <c r="G26" s="33" t="n">
        <v>46234</v>
      </c>
      <c r="H26" s="2" t="inlineStr">
        <is>
          <t>Bora Inputs E27; Bid_Cash E34</t>
        </is>
      </c>
    </row>
    <row r="27">
      <c r="C27" s="6" t="inlineStr">
        <is>
          <t>Bid submission: fee paid, bid security posted</t>
        </is>
      </c>
      <c r="D27" s="2" t="inlineStr">
        <is>
          <t>date</t>
        </is>
      </c>
      <c r="E27" s="33" t="n">
        <v>46325</v>
      </c>
      <c r="F27" s="33" t="n">
        <v>46325</v>
      </c>
      <c r="G27" s="33" t="n">
        <v>46325</v>
      </c>
      <c r="H27" s="2" t="inlineStr">
        <is>
          <t>Bora Inputs E95; Bid_Cash E35</t>
        </is>
      </c>
    </row>
    <row r="28">
      <c r="C28" s="6" t="inlineStr">
        <is>
          <t>Performance security posted</t>
        </is>
      </c>
      <c r="D28" s="2" t="inlineStr">
        <is>
          <t>date</t>
        </is>
      </c>
      <c r="E28" s="33" t="n">
        <v>46386</v>
      </c>
      <c r="F28" s="33" t="n">
        <v>46402</v>
      </c>
      <c r="G28" s="33" t="n">
        <v>46402</v>
      </c>
      <c r="H28" s="2" t="inlineStr">
        <is>
          <t>Bora Deposits K10 (E96 + 17 d); Bid_Cash E36</t>
        </is>
      </c>
    </row>
    <row r="29">
      <c r="C29" s="6" t="inlineStr">
        <is>
          <t>TSO security paid</t>
        </is>
      </c>
      <c r="D29" s="2" t="inlineStr">
        <is>
          <t>date</t>
        </is>
      </c>
      <c r="E29" s="33" t="n">
        <v>46386</v>
      </c>
      <c r="F29" s="33" t="n">
        <v>46402</v>
      </c>
      <c r="G29" s="33" t="n">
        <v>46402</v>
      </c>
      <c r="H29" s="2" t="inlineStr">
        <is>
          <t>Bora Inputs E97; Bid_Cash E37</t>
        </is>
      </c>
    </row>
    <row r="30">
      <c r="C30" s="6" t="inlineStr">
        <is>
          <t>Connection agreement (HCSSZ): fees paid</t>
        </is>
      </c>
      <c r="D30" s="2" t="inlineStr">
        <is>
          <t>date</t>
        </is>
      </c>
      <c r="E30" s="33" t="n">
        <v>47027</v>
      </c>
      <c r="F30" s="33" t="n">
        <v>47027</v>
      </c>
      <c r="G30" s="33" t="n">
        <v>47027</v>
      </c>
      <c r="H30" s="2" t="inlineStr">
        <is>
          <t>Bora Inputs E99; Bid_Cash E39</t>
        </is>
      </c>
    </row>
    <row r="31">
      <c r="C31" s="6" t="inlineStr">
        <is>
          <t>Devex average payment date</t>
        </is>
      </c>
      <c r="D31" s="2" t="inlineStr">
        <is>
          <t>date</t>
        </is>
      </c>
      <c r="E31" s="33" t="n">
        <v>46768</v>
      </c>
      <c r="F31" s="33" t="n">
        <v>46752</v>
      </c>
      <c r="G31" s="33" t="n">
        <v>46752</v>
      </c>
      <c r="H31" s="2" t="inlineStr">
        <is>
          <t>Bora Devex_FEP, amount-weighted; Bid_Cash 'continuous'</t>
        </is>
      </c>
    </row>
    <row r="32">
      <c r="C32" s="6" t="inlineStr">
        <is>
          <t>Notice to proceed</t>
        </is>
      </c>
      <c r="D32" s="2" t="inlineStr">
        <is>
          <t>date</t>
        </is>
      </c>
      <c r="E32" s="33" t="n">
        <v>47299</v>
      </c>
      <c r="F32" s="33" t="n">
        <v>47299</v>
      </c>
      <c r="G32" s="33" t="n">
        <v>47299</v>
      </c>
      <c r="H32" s="2" t="inlineStr">
        <is>
          <t>Bora Inputs E154; Bid_Cash E40</t>
        </is>
      </c>
    </row>
    <row r="33">
      <c r="C33" s="6" t="inlineStr">
        <is>
          <t>COD</t>
        </is>
      </c>
      <c r="D33" s="2" t="inlineStr">
        <is>
          <t>date</t>
        </is>
      </c>
      <c r="E33" s="33" t="n">
        <v>48029</v>
      </c>
      <c r="F33" s="33" t="n">
        <v>48029</v>
      </c>
      <c r="G33" s="33" t="n">
        <v>48029</v>
      </c>
      <c r="H33" s="2" t="inlineStr">
        <is>
          <t>Bora Inputs E155; Bid_Cash E41</t>
        </is>
      </c>
    </row>
    <row r="34">
      <c r="C34" s="6" t="inlineStr">
        <is>
          <t>Performance security released</t>
        </is>
      </c>
      <c r="D34" s="2" t="inlineStr">
        <is>
          <t>date</t>
        </is>
      </c>
      <c r="E34" s="33" t="n">
        <v>48669</v>
      </c>
      <c r="F34" s="33" t="n">
        <v>48669</v>
      </c>
      <c r="G34" s="33" t="n">
        <v>48669</v>
      </c>
      <c r="H34" s="2" t="inlineStr">
        <is>
          <t>Bid_Cash E42 (Kiírás XII.13, estimate)</t>
        </is>
      </c>
    </row>
    <row r="35">
      <c r="C35" s="6" t="inlineStr">
        <is>
          <t>DSA accrual start</t>
        </is>
      </c>
      <c r="D35" s="2" t="inlineStr">
        <is>
          <t>date</t>
        </is>
      </c>
      <c r="E35" s="33" t="n">
        <v>46321</v>
      </c>
      <c r="F35" s="33" t="n">
        <v>46234</v>
      </c>
      <c r="G35" s="33" t="n">
        <v>46234</v>
      </c>
      <c r="H35" s="2" t="inlineStr">
        <is>
          <t>Bora Inputs E70; others: signing (DSA off)</t>
        </is>
      </c>
    </row>
    <row r="36">
      <c r="C36" s="20" t="inlineStr">
        <is>
          <t>RtB exit terms (all projects; value in column E)</t>
        </is>
      </c>
      <c r="D36" s="20" t="n"/>
      <c r="E36" s="21" t="n"/>
      <c r="F36" s="21" t="n"/>
      <c r="G36" s="21" t="n"/>
      <c r="H36" s="21" t="n"/>
    </row>
    <row r="37">
      <c r="C37" s="6" t="inlineStr">
        <is>
          <t>Claim rate, cash lines (incl. cash-posted securities)</t>
        </is>
      </c>
      <c r="D37" s="2" t="inlineStr">
        <is>
          <t>%</t>
        </is>
      </c>
      <c r="E37" s="9" t="n">
        <v>0.12</v>
      </c>
      <c r="H37" s="2" t="inlineStr">
        <is>
          <t>Devex file V18; SPEC §21.1</t>
        </is>
      </c>
    </row>
    <row r="38">
      <c r="C38" s="6" t="inlineStr">
        <is>
          <t>Claim rate, devex</t>
        </is>
      </c>
      <c r="D38" s="2" t="inlineStr">
        <is>
          <t>%</t>
        </is>
      </c>
      <c r="E38" s="9" t="n">
        <v>0.2</v>
      </c>
      <c r="H38" s="2" t="inlineStr">
        <is>
          <t>Devex file V19</t>
        </is>
      </c>
    </row>
    <row r="39">
      <c r="C39" s="6" t="inlineStr">
        <is>
          <t>Devex minimum return multiple</t>
        </is>
      </c>
      <c r="D39" s="2" t="inlineStr">
        <is>
          <t>x</t>
        </is>
      </c>
      <c r="E39" s="12" t="n">
        <v>2</v>
      </c>
      <c r="H39" s="2" t="inlineStr">
        <is>
          <t>Devex file V20</t>
        </is>
      </c>
    </row>
    <row r="40">
      <c r="C40" s="6" t="inlineStr">
        <is>
          <t>Interest freeze date</t>
        </is>
      </c>
      <c r="D40" s="2" t="inlineStr">
        <is>
          <t>date</t>
        </is>
      </c>
      <c r="E40" s="33" t="n">
        <v>47299</v>
      </c>
      <c r="H40" s="2" t="inlineStr">
        <is>
          <t>Devex file V24</t>
        </is>
      </c>
    </row>
    <row r="41">
      <c r="C41" s="6" t="inlineStr">
        <is>
          <t>Sale date (RtB exit)</t>
        </is>
      </c>
      <c r="D41" s="2" t="inlineStr">
        <is>
          <t>date</t>
        </is>
      </c>
      <c r="E41" s="33" t="n">
        <v>47391</v>
      </c>
      <c r="H41" s="2" t="inlineStr">
        <is>
          <t>Bora Inputs E58; SPEC §21.1</t>
        </is>
      </c>
    </row>
    <row r="42">
      <c r="C42" s="6" t="inlineStr">
        <is>
          <t>Sale costs per project</t>
        </is>
      </c>
      <c r="D42" s="2" t="inlineStr">
        <is>
          <t>EUR k</t>
        </is>
      </c>
      <c r="E42" s="7" t="n">
        <v>250</v>
      </c>
      <c r="H42" s="2" t="inlineStr">
        <is>
          <t>SPEC §21.1</t>
        </is>
      </c>
    </row>
    <row r="43">
      <c r="C43" s="6" t="inlineStr">
        <is>
          <t>Developer success fee (on committed MW, 30/360)</t>
        </is>
      </c>
      <c r="D43" s="2" t="inlineStr">
        <is>
          <t>EUR k/MW/yr</t>
        </is>
      </c>
      <c r="E43" s="10" t="n">
        <v>2.5</v>
      </c>
      <c r="H43" s="2" t="inlineStr">
        <is>
          <t>Bora Inputs E36</t>
        </is>
      </c>
    </row>
    <row r="44">
      <c r="C44" s="6" t="inlineStr">
        <is>
          <t>Developer success fee cap</t>
        </is>
      </c>
      <c r="D44" s="2" t="inlineStr">
        <is>
          <t>EUR k/MW</t>
        </is>
      </c>
      <c r="E44" s="10" t="n">
        <v>10</v>
      </c>
      <c r="H44" s="2" t="inlineStr">
        <is>
          <t>Bora Inputs E37</t>
        </is>
      </c>
    </row>
    <row r="45">
      <c r="C45" s="6" t="inlineStr">
        <is>
          <t>Corporate income tax on exit gains</t>
        </is>
      </c>
      <c r="D45" s="2" t="inlineStr">
        <is>
          <t>%</t>
        </is>
      </c>
      <c r="E45" s="9" t="n">
        <v>0.09</v>
      </c>
      <c r="H45" s="2" t="inlineStr">
        <is>
          <t>SPEC §22.2 (exit gains only)</t>
        </is>
      </c>
    </row>
    <row r="46">
      <c r="C46" s="20" t="inlineStr">
        <is>
          <t>Capex (per MW of wind built unless stated; turbines: case table on the Dashboard)</t>
        </is>
      </c>
      <c r="D46" s="20" t="n"/>
      <c r="E46" s="21" t="n"/>
      <c r="F46" s="21" t="n"/>
      <c r="G46" s="21" t="n"/>
      <c r="H46" s="21" t="n"/>
    </row>
    <row r="47">
      <c r="C47" s="6" t="inlineStr">
        <is>
          <t>Turbine installation and erection</t>
        </is>
      </c>
      <c r="D47" s="2" t="inlineStr">
        <is>
          <t>EUR k/MW</t>
        </is>
      </c>
      <c r="E47" s="7" t="n">
        <v>80</v>
      </c>
      <c r="H47" s="2" t="inlineStr">
        <is>
          <t>Bora Inputs G163</t>
        </is>
      </c>
    </row>
    <row r="48">
      <c r="C48" s="6" t="inlineStr">
        <is>
          <t>Foundations</t>
        </is>
      </c>
      <c r="D48" s="2" t="inlineStr">
        <is>
          <t>EUR k/MW</t>
        </is>
      </c>
      <c r="E48" s="7" t="n">
        <v>90</v>
      </c>
      <c r="H48" s="2" t="inlineStr">
        <is>
          <t>Bora Inputs G164</t>
        </is>
      </c>
    </row>
    <row r="49">
      <c r="C49" s="6" t="inlineStr">
        <is>
          <t>Balance of plant – civil</t>
        </is>
      </c>
      <c r="D49" s="2" t="inlineStr">
        <is>
          <t>EUR k/MW</t>
        </is>
      </c>
      <c r="E49" s="7" t="n">
        <v>70</v>
      </c>
      <c r="H49" s="2" t="inlineStr">
        <is>
          <t>Bora Inputs G165</t>
        </is>
      </c>
    </row>
    <row r="50">
      <c r="C50" s="6" t="inlineStr">
        <is>
          <t>Balance of plant – electrical</t>
        </is>
      </c>
      <c r="D50" s="2" t="inlineStr">
        <is>
          <t>EUR k/MW</t>
        </is>
      </c>
      <c r="E50" s="7" t="n">
        <v>60</v>
      </c>
      <c r="H50" s="2" t="inlineStr">
        <is>
          <t>Bora Inputs G166</t>
        </is>
      </c>
    </row>
    <row r="51">
      <c r="C51" s="6" t="inlineStr">
        <is>
          <t>Owner's costs, engineering, PM, construction insurance</t>
        </is>
      </c>
      <c r="D51" s="2" t="inlineStr">
        <is>
          <t>EUR k/MW</t>
        </is>
      </c>
      <c r="E51" s="7" t="n">
        <v>40</v>
      </c>
      <c r="H51" s="2" t="inlineStr">
        <is>
          <t>Bora Inputs G169</t>
        </is>
      </c>
    </row>
    <row r="52">
      <c r="C52" s="6" t="inlineStr">
        <is>
          <t>Land purchase and easements</t>
        </is>
      </c>
      <c r="D52" s="2" t="inlineStr">
        <is>
          <t>EUR k/MW</t>
        </is>
      </c>
      <c r="E52" s="7" t="n">
        <v>15</v>
      </c>
      <c r="H52" s="2" t="inlineStr">
        <is>
          <t>Bora Inputs G170</t>
        </is>
      </c>
    </row>
    <row r="53">
      <c r="C53" s="6" t="inlineStr">
        <is>
          <t>On-site substation and 132 kV bay (lump sum)</t>
        </is>
      </c>
      <c r="D53" s="2" t="inlineStr">
        <is>
          <t>EUR k</t>
        </is>
      </c>
      <c r="E53" s="7" t="n">
        <v>12000</v>
      </c>
      <c r="H53" s="2" t="inlineStr">
        <is>
          <t>Bora Inputs G167</t>
        </is>
      </c>
    </row>
    <row r="54">
      <c r="C54" s="6" t="inlineStr">
        <is>
          <t>Source basis of the lump sums</t>
        </is>
      </c>
      <c r="D54" s="2" t="inlineStr">
        <is>
          <t>MVA</t>
        </is>
      </c>
      <c r="E54" s="7" t="n">
        <v>200</v>
      </c>
      <c r="H54" s="2" t="inlineStr">
        <is>
          <t>Bora Inputs E305</t>
        </is>
      </c>
    </row>
    <row r="55">
      <c r="C55" s="6" t="inlineStr">
        <is>
          <t>Capex contingency (not on BESS)</t>
        </is>
      </c>
      <c r="D55" s="2" t="inlineStr">
        <is>
          <t>%</t>
        </is>
      </c>
      <c r="E55" s="9" t="n">
        <v>0.05</v>
      </c>
      <c r="H55" s="2" t="inlineStr">
        <is>
          <t>Bora Inputs G173</t>
        </is>
      </c>
    </row>
    <row r="56">
      <c r="C56" s="6" t="inlineStr">
        <is>
          <t>BESS capex</t>
        </is>
      </c>
      <c r="D56" s="2" t="inlineStr">
        <is>
          <t>EUR k/MWh</t>
        </is>
      </c>
      <c r="E56" s="7" t="n">
        <v>100</v>
      </c>
      <c r="H56" s="2" t="inlineStr">
        <is>
          <t>CLAUDE.md standing assumption, 15-Oct-26</t>
        </is>
      </c>
    </row>
    <row r="57">
      <c r="C57" s="20" t="inlineStr">
        <is>
          <t>Generation (hours and PPA price: case table on the Dashboard)</t>
        </is>
      </c>
      <c r="D57" s="20" t="n"/>
      <c r="E57" s="21" t="n"/>
      <c r="F57" s="21" t="n"/>
      <c r="G57" s="21" t="n"/>
      <c r="H57" s="21" t="n"/>
    </row>
    <row r="58">
      <c r="C58" s="6" t="inlineStr">
        <is>
          <t>Curtailment</t>
        </is>
      </c>
      <c r="D58" s="2" t="inlineStr">
        <is>
          <t>%</t>
        </is>
      </c>
      <c r="E58" s="9" t="n">
        <v>0.02</v>
      </c>
      <c r="H58" s="2" t="inlineStr">
        <is>
          <t>Bora Inputs G183</t>
        </is>
      </c>
    </row>
    <row r="59">
      <c r="C59" s="6" t="inlineStr">
        <is>
          <t>Clipping</t>
        </is>
      </c>
      <c r="D59" s="2" t="inlineStr">
        <is>
          <t>%</t>
        </is>
      </c>
      <c r="E59" s="9" t="n">
        <v>0.04</v>
      </c>
      <c r="H59" s="2" t="inlineStr">
        <is>
          <t>Bora Dash_Clip_Override (user, 26-Oct-26)</t>
        </is>
      </c>
    </row>
    <row r="60">
      <c r="C60" s="6" t="inlineStr">
        <is>
          <t>Degradation</t>
        </is>
      </c>
      <c r="D60" s="2" t="inlineStr">
        <is>
          <t>% p.a.</t>
        </is>
      </c>
      <c r="E60" s="9" t="n">
        <v>0.003</v>
      </c>
      <c r="H60" s="2" t="inlineStr">
        <is>
          <t>Bora Inputs G184</t>
        </is>
      </c>
    </row>
    <row r="61">
      <c r="C61" s="6" t="inlineStr">
        <is>
          <t>PPA escalation</t>
        </is>
      </c>
      <c r="D61" s="2" t="inlineStr">
        <is>
          <t>% p.a.</t>
        </is>
      </c>
      <c r="E61" s="9" t="n">
        <v>0.01</v>
      </c>
      <c r="H61" s="2" t="inlineStr">
        <is>
          <t>Bora Inputs G194</t>
        </is>
      </c>
    </row>
    <row r="62">
      <c r="C62" s="20" t="inlineStr">
        <is>
          <t>Opex (COD-year prices; O&amp;M contract: case table on the Dashboard)</t>
        </is>
      </c>
      <c r="D62" s="20" t="n"/>
      <c r="E62" s="21" t="n"/>
      <c r="F62" s="21" t="n"/>
      <c r="G62" s="21" t="n"/>
      <c r="H62" s="21" t="n"/>
    </row>
    <row r="63">
      <c r="C63" s="6" t="inlineStr">
        <is>
          <t>Balance of plant maintenance</t>
        </is>
      </c>
      <c r="D63" s="2" t="inlineStr">
        <is>
          <t>EUR k/MW/yr</t>
        </is>
      </c>
      <c r="E63" s="10" t="n">
        <v>3</v>
      </c>
      <c r="H63" s="2" t="inlineStr">
        <is>
          <t>Bora Inputs G204</t>
        </is>
      </c>
    </row>
    <row r="64">
      <c r="C64" s="6" t="inlineStr">
        <is>
          <t>Land lease</t>
        </is>
      </c>
      <c r="D64" s="2" t="inlineStr">
        <is>
          <t>EUR k/MW/yr</t>
        </is>
      </c>
      <c r="E64" s="10" t="n">
        <v>3</v>
      </c>
      <c r="H64" s="2" t="inlineStr">
        <is>
          <t>Bora Inputs G205</t>
        </is>
      </c>
    </row>
    <row r="65">
      <c r="C65" s="6" t="inlineStr">
        <is>
          <t>Operational insurance</t>
        </is>
      </c>
      <c r="D65" s="2" t="inlineStr">
        <is>
          <t>EUR k/MW/yr</t>
        </is>
      </c>
      <c r="E65" s="10" t="n">
        <v>2.5</v>
      </c>
      <c r="H65" s="2" t="inlineStr">
        <is>
          <t>Bora Inputs G206</t>
        </is>
      </c>
    </row>
    <row r="66">
      <c r="C66" s="6" t="inlineStr">
        <is>
          <t>Asset and commercial management</t>
        </is>
      </c>
      <c r="D66" s="2" t="inlineStr">
        <is>
          <t>EUR k/MW/yr</t>
        </is>
      </c>
      <c r="E66" s="10" t="n">
        <v>1.5</v>
      </c>
      <c r="H66" s="2" t="inlineStr">
        <is>
          <t>Bora Inputs G207</t>
        </is>
      </c>
    </row>
    <row r="67">
      <c r="C67" s="6" t="inlineStr">
        <is>
          <t>Property tax</t>
        </is>
      </c>
      <c r="D67" s="2" t="inlineStr">
        <is>
          <t>EUR k/MW/yr</t>
        </is>
      </c>
      <c r="E67" s="10" t="n">
        <v>3</v>
      </c>
      <c r="H67" s="2" t="inlineStr">
        <is>
          <t>Bora Inputs G208</t>
        </is>
      </c>
    </row>
    <row r="68">
      <c r="C68" s="6" t="inlineStr">
        <is>
          <t>Administration, audit, compliance (at the source basis)</t>
        </is>
      </c>
      <c r="D68" s="2" t="inlineStr">
        <is>
          <t>EUR k/yr</t>
        </is>
      </c>
      <c r="E68" s="7" t="n">
        <v>150</v>
      </c>
      <c r="H68" s="2" t="inlineStr">
        <is>
          <t>Bora Inputs G209</t>
        </is>
      </c>
    </row>
    <row r="69">
      <c r="C69" s="6" t="inlineStr">
        <is>
          <t>Balancing cost</t>
        </is>
      </c>
      <c r="D69" s="2" t="inlineStr">
        <is>
          <t>EUR/MWh</t>
        </is>
      </c>
      <c r="E69" s="10" t="n">
        <v>4</v>
      </c>
      <c r="H69" s="2" t="inlineStr">
        <is>
          <t>Bora Inputs G196</t>
        </is>
      </c>
    </row>
    <row r="70">
      <c r="C70" s="6" t="inlineStr">
        <is>
          <t>Grid use-of-system charges</t>
        </is>
      </c>
      <c r="D70" s="2" t="inlineStr">
        <is>
          <t>EUR/MWh</t>
        </is>
      </c>
      <c r="E70" s="10" t="n">
        <v>1</v>
      </c>
      <c r="H70" s="2" t="inlineStr">
        <is>
          <t>Bora Inputs G197</t>
        </is>
      </c>
    </row>
    <row r="71">
      <c r="C71" s="6" t="inlineStr">
        <is>
          <t>MEKH supervisory fee</t>
        </is>
      </c>
      <c r="D71" s="2" t="inlineStr">
        <is>
          <t>% of rev.</t>
        </is>
      </c>
      <c r="E71" s="9" t="n">
        <v>0.001</v>
      </c>
      <c r="H71" s="2" t="inlineStr">
        <is>
          <t>Bora Inputs G198</t>
        </is>
      </c>
    </row>
    <row r="72">
      <c r="C72" s="6" t="inlineStr">
        <is>
          <t>HIPA local business tax</t>
        </is>
      </c>
      <c r="D72" s="2" t="inlineStr">
        <is>
          <t>% of rev.</t>
        </is>
      </c>
      <c r="E72" s="9" t="n">
        <v>0.02</v>
      </c>
      <c r="H72" s="2" t="inlineStr">
        <is>
          <t>Bora Inputs G212</t>
        </is>
      </c>
    </row>
    <row r="73">
      <c r="C73" s="6" t="inlineStr">
        <is>
          <t>Opex contingency (not on community, HIPA)</t>
        </is>
      </c>
      <c r="D73" s="2" t="inlineStr">
        <is>
          <t>%</t>
        </is>
      </c>
      <c r="E73" s="9" t="n">
        <v>0.05</v>
      </c>
      <c r="H73" s="2" t="inlineStr">
        <is>
          <t>Bora Inputs G210</t>
        </is>
      </c>
    </row>
    <row r="74">
      <c r="C74" s="6" t="inlineStr">
        <is>
          <t>Opex escalation</t>
        </is>
      </c>
      <c r="D74" s="2" t="inlineStr">
        <is>
          <t>% p.a.</t>
        </is>
      </c>
      <c r="E74" s="9" t="n">
        <v>0.025</v>
      </c>
      <c r="H74" s="2" t="inlineStr">
        <is>
          <t>Bora Inputs G211</t>
        </is>
      </c>
    </row>
    <row r="75">
      <c r="C75" s="20" t="inlineStr">
        <is>
          <t>Valuation, timeline and constants</t>
        </is>
      </c>
      <c r="D75" s="20" t="n"/>
      <c r="E75" s="21" t="n"/>
      <c r="F75" s="21" t="n"/>
      <c r="G75" s="21" t="n"/>
      <c r="H75" s="21" t="n"/>
    </row>
    <row r="76">
      <c r="C76" s="6" t="inlineStr">
        <is>
          <t>Operating life from COD</t>
        </is>
      </c>
      <c r="D76" s="2" t="inlineStr">
        <is>
          <t>years</t>
        </is>
      </c>
      <c r="E76" s="11" t="n">
        <v>30</v>
      </c>
      <c r="H76" s="2" t="inlineStr">
        <is>
          <t>Bora Inputs G157</t>
        </is>
      </c>
    </row>
    <row r="77">
      <c r="C77" s="6" t="inlineStr">
        <is>
          <t>Discount rate (buyer's pre-tax return at COD)</t>
        </is>
      </c>
      <c r="D77" s="2" t="inlineStr">
        <is>
          <t>%</t>
        </is>
      </c>
      <c r="E77" s="9" t="n">
        <v>0.08</v>
      </c>
      <c r="H77" s="2" t="inlineStr">
        <is>
          <t>Bora Inputs G226</t>
        </is>
      </c>
    </row>
    <row r="78">
      <c r="C78" s="6" t="inlineStr">
        <is>
          <t>First year of the annual timeline</t>
        </is>
      </c>
      <c r="D78" s="2" t="inlineStr">
        <is>
          <t>year</t>
        </is>
      </c>
      <c r="E78" s="11" t="n">
        <v>2026</v>
      </c>
      <c r="H78" s="2" t="inlineStr">
        <is>
          <t>Year of the first signing</t>
        </is>
      </c>
    </row>
    <row r="79">
      <c r="C79" s="6" t="inlineStr">
        <is>
          <t>Thousand</t>
        </is>
      </c>
      <c r="D79" s="2" t="inlineStr">
        <is>
          <t>x</t>
        </is>
      </c>
      <c r="E79" s="7" t="n">
        <v>1000</v>
      </c>
      <c r="H79" s="2" t="inlineStr">
        <is>
          <t>Constant</t>
        </is>
      </c>
    </row>
    <row r="80">
      <c r="C80" s="6" t="inlineStr">
        <is>
          <t>Days in a year (act/365)</t>
        </is>
      </c>
      <c r="D80" s="2" t="inlineStr">
        <is>
          <t>days</t>
        </is>
      </c>
      <c r="E80" s="11" t="n">
        <v>365</v>
      </c>
      <c r="H80" s="2" t="inlineStr">
        <is>
          <t>Constant</t>
        </is>
      </c>
    </row>
    <row r="81">
      <c r="C81" s="6" t="inlineStr">
        <is>
          <t>Months in a year</t>
        </is>
      </c>
      <c r="D81" s="2" t="inlineStr">
        <is>
          <t>months</t>
        </is>
      </c>
      <c r="E81" s="11" t="n">
        <v>12</v>
      </c>
      <c r="H81" s="2" t="inlineStr">
        <is>
          <t>Constant</t>
        </is>
      </c>
    </row>
    <row r="82">
      <c r="C82" s="6" t="inlineStr">
        <is>
          <t>Check tolerance</t>
        </is>
      </c>
      <c r="D82" s="2" t="inlineStr">
        <is>
          <t>EUR k</t>
        </is>
      </c>
      <c r="E82" s="34" t="n">
        <v>0.001</v>
      </c>
      <c r="H82" s="2" t="inlineStr">
        <is>
          <t>Constant</t>
        </is>
      </c>
    </row>
    <row r="84">
      <c r="B84" s="4" t="inlineStr">
        <is>
          <t>x</t>
        </is>
      </c>
      <c r="C84" s="4" t="inlineStr">
        <is>
          <t>Band tables for the points (ÖSZ, Kiírás Annex 4) – expand the group</t>
        </is>
      </c>
      <c r="D84" s="4" t="n"/>
      <c r="E84" s="5" t="inlineStr">
        <is>
          <t>Values →</t>
        </is>
      </c>
      <c r="F84" s="5" t="n"/>
      <c r="G84" s="5" t="n"/>
      <c r="H84" s="5" t="n"/>
    </row>
    <row r="85" hidden="1" outlineLevel="1">
      <c r="C85" s="6" t="inlineStr">
        <is>
          <t>Osz1_LB</t>
        </is>
      </c>
      <c r="E85" s="13" t="n">
        <v>10</v>
      </c>
      <c r="F85" s="13" t="n">
        <v>15</v>
      </c>
      <c r="G85" s="13" t="n">
        <v>20</v>
      </c>
      <c r="H85" s="13" t="n">
        <v>25</v>
      </c>
      <c r="I85" s="13" t="n">
        <v>30</v>
      </c>
      <c r="J85" s="13" t="n">
        <v>35</v>
      </c>
      <c r="K85" s="13" t="n">
        <v>40</v>
      </c>
      <c r="L85" s="13" t="n">
        <v>45</v>
      </c>
      <c r="M85" s="13" t="n">
        <v>50</v>
      </c>
    </row>
    <row r="86" hidden="1" outlineLevel="1">
      <c r="C86" s="6" t="inlineStr">
        <is>
          <t>Osz1_Incl</t>
        </is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</v>
      </c>
    </row>
    <row r="87" hidden="1" outlineLevel="1">
      <c r="C87" s="6" t="inlineStr">
        <is>
          <t>Osz1_Pts</t>
        </is>
      </c>
      <c r="E87" s="13" t="n">
        <v>0</v>
      </c>
      <c r="F87" s="13" t="n">
        <v>10</v>
      </c>
      <c r="G87" s="13" t="n">
        <v>20</v>
      </c>
      <c r="H87" s="13" t="n">
        <v>30</v>
      </c>
      <c r="I87" s="13" t="n">
        <v>40</v>
      </c>
      <c r="J87" s="13" t="n">
        <v>55</v>
      </c>
      <c r="K87" s="13" t="n">
        <v>70</v>
      </c>
      <c r="L87" s="13" t="n">
        <v>80</v>
      </c>
      <c r="M87" s="13" t="n">
        <v>90</v>
      </c>
      <c r="N87" s="13" t="n">
        <v>100</v>
      </c>
    </row>
    <row r="88" hidden="1" outlineLevel="1">
      <c r="C88" s="6" t="inlineStr">
        <is>
          <t>Osz2_LB</t>
        </is>
      </c>
      <c r="E88" s="13" t="n">
        <v>2</v>
      </c>
      <c r="F88" s="13" t="n">
        <v>2.1</v>
      </c>
      <c r="G88" s="13" t="n">
        <v>2.2</v>
      </c>
      <c r="H88" s="13" t="n">
        <v>2.3</v>
      </c>
      <c r="I88" s="13" t="n">
        <v>2.4</v>
      </c>
      <c r="J88" s="13" t="n">
        <v>2.5</v>
      </c>
      <c r="K88" s="13" t="n">
        <v>2.6</v>
      </c>
      <c r="L88" s="13" t="n">
        <v>2.7</v>
      </c>
      <c r="M88" s="13" t="n">
        <v>2.8</v>
      </c>
      <c r="N88" s="13" t="n">
        <v>2.9</v>
      </c>
      <c r="O88" s="13" t="n">
        <v>3</v>
      </c>
    </row>
    <row r="89" hidden="1" outlineLevel="1">
      <c r="C89" s="6" t="inlineStr">
        <is>
          <t>Osz2_Incl</t>
        </is>
      </c>
      <c r="E89" s="13" t="n">
        <v>0</v>
      </c>
      <c r="F89" s="13" t="n">
        <v>0</v>
      </c>
      <c r="G89" s="13" t="n">
        <v>0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0</v>
      </c>
      <c r="N89" s="13" t="n">
        <v>0</v>
      </c>
      <c r="O89" s="13" t="n">
        <v>1</v>
      </c>
    </row>
    <row r="90" hidden="1" outlineLevel="1">
      <c r="C90" s="6" t="inlineStr">
        <is>
          <t>Osz2_Pts</t>
        </is>
      </c>
      <c r="E90" s="13" t="n">
        <v>0</v>
      </c>
      <c r="F90" s="13" t="n">
        <v>5</v>
      </c>
      <c r="G90" s="13" t="n">
        <v>10</v>
      </c>
      <c r="H90" s="13" t="n">
        <v>20</v>
      </c>
      <c r="I90" s="13" t="n">
        <v>30</v>
      </c>
      <c r="J90" s="13" t="n">
        <v>40</v>
      </c>
      <c r="K90" s="13" t="n">
        <v>50</v>
      </c>
      <c r="L90" s="13" t="n">
        <v>60</v>
      </c>
      <c r="M90" s="13" t="n">
        <v>70</v>
      </c>
      <c r="N90" s="13" t="n">
        <v>80</v>
      </c>
      <c r="O90" s="13" t="n">
        <v>90</v>
      </c>
      <c r="P90" s="13" t="n">
        <v>100</v>
      </c>
    </row>
    <row r="91" hidden="1" outlineLevel="1">
      <c r="C91" s="6" t="inlineStr">
        <is>
          <t>Osz3_LB</t>
        </is>
      </c>
      <c r="E91" s="13" t="n">
        <v>0.02</v>
      </c>
      <c r="F91" s="13" t="n">
        <v>0.05</v>
      </c>
      <c r="G91" s="13" t="n">
        <v>0.1</v>
      </c>
      <c r="H91" s="13" t="n">
        <v>0.15</v>
      </c>
      <c r="I91" s="13" t="n">
        <v>0.2</v>
      </c>
      <c r="J91" s="13" t="n">
        <v>0.25</v>
      </c>
      <c r="K91" s="13" t="n">
        <v>0.3</v>
      </c>
      <c r="L91" s="13" t="n">
        <v>0.35</v>
      </c>
      <c r="M91" s="13" t="n">
        <v>0.4</v>
      </c>
      <c r="N91" s="13" t="n">
        <v>0.5</v>
      </c>
    </row>
    <row r="92" hidden="1" outlineLevel="1">
      <c r="C92" s="6" t="inlineStr">
        <is>
          <t>Osz3_Incl</t>
        </is>
      </c>
      <c r="E92" s="13" t="n">
        <v>0</v>
      </c>
      <c r="F92" s="13" t="n">
        <v>1</v>
      </c>
      <c r="G92" s="13" t="n">
        <v>1</v>
      </c>
      <c r="H92" s="13" t="n">
        <v>1</v>
      </c>
      <c r="I92" s="13" t="n">
        <v>1</v>
      </c>
      <c r="J92" s="13" t="n">
        <v>1</v>
      </c>
      <c r="K92" s="13" t="n">
        <v>1</v>
      </c>
      <c r="L92" s="13" t="n">
        <v>1</v>
      </c>
      <c r="M92" s="13" t="n">
        <v>1</v>
      </c>
      <c r="N92" s="13" t="n">
        <v>0</v>
      </c>
    </row>
    <row r="93" hidden="1" outlineLevel="1">
      <c r="C93" s="6" t="inlineStr">
        <is>
          <t>Osz3_Pts</t>
        </is>
      </c>
      <c r="E93" s="13" t="n">
        <v>0</v>
      </c>
      <c r="F93" s="13" t="n">
        <v>10</v>
      </c>
      <c r="G93" s="13" t="n">
        <v>20</v>
      </c>
      <c r="H93" s="13" t="n">
        <v>30</v>
      </c>
      <c r="I93" s="13" t="n">
        <v>40</v>
      </c>
      <c r="J93" s="13" t="n">
        <v>50</v>
      </c>
      <c r="K93" s="13" t="n">
        <v>60</v>
      </c>
      <c r="L93" s="13" t="n">
        <v>70</v>
      </c>
      <c r="M93" s="13" t="n">
        <v>80</v>
      </c>
      <c r="N93" s="13" t="n">
        <v>90</v>
      </c>
      <c r="O93" s="13" t="n">
        <v>100</v>
      </c>
    </row>
    <row r="94" hidden="1" outlineLevel="1">
      <c r="C94" s="6" t="inlineStr">
        <is>
          <t>Osz6_LB</t>
        </is>
      </c>
      <c r="E94" s="13" t="n">
        <v>1</v>
      </c>
      <c r="F94" s="13" t="n">
        <v>1.2</v>
      </c>
      <c r="G94" s="13" t="n">
        <v>1.3</v>
      </c>
      <c r="H94" s="13" t="n">
        <v>1.4</v>
      </c>
      <c r="I94" s="13" t="n">
        <v>1.5</v>
      </c>
      <c r="J94" s="13" t="n">
        <v>1.6</v>
      </c>
      <c r="K94" s="13" t="n">
        <v>1.7</v>
      </c>
      <c r="L94" s="13" t="n">
        <v>1.8</v>
      </c>
      <c r="M94" s="13" t="n">
        <v>1.9</v>
      </c>
      <c r="N94" s="13" t="n">
        <v>2</v>
      </c>
    </row>
    <row r="95" hidden="1" outlineLevel="1">
      <c r="C95" s="6" t="inlineStr">
        <is>
          <t>Osz6_Incl</t>
        </is>
      </c>
      <c r="E95" s="13" t="n">
        <v>0</v>
      </c>
      <c r="F95" s="13" t="n">
        <v>1</v>
      </c>
      <c r="G95" s="13" t="n">
        <v>1</v>
      </c>
      <c r="H95" s="13" t="n">
        <v>1</v>
      </c>
      <c r="I95" s="13" t="n">
        <v>1</v>
      </c>
      <c r="J95" s="13" t="n">
        <v>1</v>
      </c>
      <c r="K95" s="13" t="n">
        <v>1</v>
      </c>
      <c r="L95" s="13" t="n">
        <v>1</v>
      </c>
      <c r="M95" s="13" t="n">
        <v>1</v>
      </c>
      <c r="N95" s="13" t="n">
        <v>1</v>
      </c>
    </row>
    <row r="96" hidden="1" outlineLevel="1">
      <c r="C96" s="6" t="inlineStr">
        <is>
          <t>Osz6_Pts</t>
        </is>
      </c>
      <c r="E96" s="13" t="n">
        <v>0</v>
      </c>
      <c r="F96" s="13" t="n">
        <v>10</v>
      </c>
      <c r="G96" s="13" t="n">
        <v>20</v>
      </c>
      <c r="H96" s="13" t="n">
        <v>30</v>
      </c>
      <c r="I96" s="13" t="n">
        <v>40</v>
      </c>
      <c r="J96" s="13" t="n">
        <v>50</v>
      </c>
      <c r="K96" s="13" t="n">
        <v>60</v>
      </c>
      <c r="L96" s="13" t="n">
        <v>70</v>
      </c>
      <c r="M96" s="13" t="n">
        <v>80</v>
      </c>
      <c r="N96" s="13" t="n">
        <v>90</v>
      </c>
      <c r="O96" s="13" t="n">
        <v>100</v>
      </c>
    </row>
    <row r="97" hidden="1" outlineLevel="1">
      <c r="C97" s="6" t="inlineStr">
        <is>
          <t>Osz5_Pts</t>
        </is>
      </c>
      <c r="E97" s="13" t="n">
        <v>100</v>
      </c>
    </row>
    <row r="98" hidden="1" outlineLevel="1">
      <c r="C98" s="6" t="inlineStr">
        <is>
          <t>Osz7_Pts</t>
        </is>
      </c>
      <c r="E98" s="13" t="n">
        <v>100</v>
      </c>
    </row>
    <row r="99" hidden="1" outlineLevel="1">
      <c r="C99" s="6" t="inlineStr">
        <is>
          <t>Osz8_Pts</t>
        </is>
      </c>
      <c r="E99" s="13" t="n">
        <v>100</v>
      </c>
    </row>
    <row r="100" hidden="1" outlineLevel="1">
      <c r="C100" s="6" t="inlineStr">
        <is>
          <t>Osz9a_Pts</t>
        </is>
      </c>
      <c r="E100" s="13" t="n">
        <v>80</v>
      </c>
    </row>
    <row r="101" hidden="1" outlineLevel="1">
      <c r="C101" s="6" t="inlineStr">
        <is>
          <t>Osz9b_Pts</t>
        </is>
      </c>
      <c r="E101" s="13" t="n">
        <v>20</v>
      </c>
    </row>
    <row r="102" hidden="1" outlineLevel="1">
      <c r="C102" s="6" t="inlineStr">
        <is>
          <t>Osz1_W</t>
        </is>
      </c>
      <c r="E102" s="13" t="n">
        <v>0.2</v>
      </c>
    </row>
    <row r="103" hidden="1" outlineLevel="1">
      <c r="C103" s="6" t="inlineStr">
        <is>
          <t>Osz2_W</t>
        </is>
      </c>
      <c r="E103" s="13" t="n">
        <v>0.15</v>
      </c>
    </row>
    <row r="104" hidden="1" outlineLevel="1">
      <c r="C104" s="6" t="inlineStr">
        <is>
          <t>Osz3_W</t>
        </is>
      </c>
      <c r="E104" s="13" t="n">
        <v>0.1</v>
      </c>
    </row>
    <row r="105" hidden="1" outlineLevel="1">
      <c r="C105" s="6" t="inlineStr">
        <is>
          <t>Osz4_W</t>
        </is>
      </c>
      <c r="E105" s="13" t="n">
        <v>0.15</v>
      </c>
    </row>
    <row r="106" hidden="1" outlineLevel="1">
      <c r="C106" s="6" t="inlineStr">
        <is>
          <t>Osz5_W</t>
        </is>
      </c>
      <c r="E106" s="13" t="n">
        <v>0.05</v>
      </c>
    </row>
    <row r="107" hidden="1" outlineLevel="1">
      <c r="C107" s="6" t="inlineStr">
        <is>
          <t>Osz6_W</t>
        </is>
      </c>
      <c r="E107" s="13" t="n">
        <v>0.05</v>
      </c>
    </row>
    <row r="108" hidden="1" outlineLevel="1">
      <c r="C108" s="6" t="inlineStr">
        <is>
          <t>Osz7_W</t>
        </is>
      </c>
      <c r="E108" s="13" t="n">
        <v>0.1</v>
      </c>
    </row>
    <row r="109" hidden="1" outlineLevel="1">
      <c r="C109" s="6" t="inlineStr">
        <is>
          <t>Osz8_W</t>
        </is>
      </c>
      <c r="E109" s="13" t="n">
        <v>0.05</v>
      </c>
    </row>
    <row r="110" hidden="1" outlineLevel="1">
      <c r="C110" s="6" t="inlineStr">
        <is>
          <t>Osz9_W</t>
        </is>
      </c>
      <c r="E110" s="13" t="n">
        <v>0.15</v>
      </c>
    </row>
    <row r="112">
      <c r="C112" s="32" t="inlineStr">
        <is>
          <t>***END***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2026-10-27T15:34:29Z</dcterms:created>
  <dcterms:modified xmlns:dcterms="http://purl.org/dc/terms/" xmlns:xsi="http://www.w3.org/2001/XMLSchema-instance" xsi:type="dcterms:W3CDTF">2026-10-27T15:34:29Z</dcterms:modified>
</cp:coreProperties>
</file>